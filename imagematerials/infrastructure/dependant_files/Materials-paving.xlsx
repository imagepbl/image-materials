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Formulas\"/>
    </mc:Choice>
  </mc:AlternateContent>
  <xr:revisionPtr revIDLastSave="0" documentId="13_ncr:1_{31F98A7D-7A34-487B-99B2-4B3CEB6F068B}" xr6:coauthVersionLast="47" xr6:coauthVersionMax="47" xr10:uidLastSave="{00000000-0000-0000-0000-000000000000}"/>
  <bookViews>
    <workbookView xWindow="-120" yWindow="-120" windowWidth="38640" windowHeight="21120" xr2:uid="{3FD666A7-7324-44EC-9CFD-E9C4BAE8D612}"/>
  </bookViews>
  <sheets>
    <sheet name="Sheet1" sheetId="16" r:id="rId1"/>
    <sheet name="Read_in_file" sheetId="15" r:id="rId2"/>
    <sheet name="Overview" sheetId="11" r:id="rId3"/>
    <sheet name="Motorway" sheetId="6" r:id="rId4"/>
    <sheet name="Primary" sheetId="8" r:id="rId5"/>
    <sheet name="Secondary" sheetId="9" r:id="rId6"/>
    <sheet name="Tertiary" sheetId="10" r:id="rId7"/>
    <sheet name="Local" sheetId="12" r:id="rId8"/>
    <sheet name="Pedestrian" sheetId="7" r:id="rId9"/>
    <sheet name="Cycling" sheetId="13" r:id="rId10"/>
    <sheet name="Informal" sheetId="4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4" l="1"/>
  <c r="N22" i="4"/>
  <c r="O22" i="4"/>
  <c r="P22" i="4"/>
  <c r="Q22" i="4"/>
  <c r="R22" i="4"/>
  <c r="S22" i="4"/>
  <c r="T22" i="4"/>
  <c r="U22" i="4"/>
  <c r="V22" i="4"/>
  <c r="M21" i="4"/>
  <c r="N21" i="4"/>
  <c r="O21" i="4"/>
  <c r="P21" i="4"/>
  <c r="Q21" i="4"/>
  <c r="R21" i="4"/>
  <c r="S21" i="4"/>
  <c r="T21" i="4"/>
  <c r="U21" i="4"/>
  <c r="V21" i="4"/>
  <c r="M55" i="4"/>
  <c r="N55" i="4"/>
  <c r="O55" i="4"/>
  <c r="P55" i="4"/>
  <c r="Q55" i="4"/>
  <c r="R55" i="4"/>
  <c r="S55" i="4"/>
  <c r="T55" i="4"/>
  <c r="U55" i="4"/>
  <c r="V55" i="4"/>
  <c r="M6" i="4"/>
  <c r="N6" i="4"/>
  <c r="O6" i="4"/>
  <c r="P6" i="4"/>
  <c r="Q6" i="4"/>
  <c r="R6" i="4"/>
  <c r="S6" i="4"/>
  <c r="T6" i="4"/>
  <c r="U6" i="4"/>
  <c r="V6" i="4"/>
  <c r="M75" i="4"/>
  <c r="N75" i="4"/>
  <c r="O75" i="4"/>
  <c r="P75" i="4"/>
  <c r="Q75" i="4"/>
  <c r="R75" i="4"/>
  <c r="S75" i="4"/>
  <c r="T75" i="4"/>
  <c r="U75" i="4"/>
  <c r="V75" i="4"/>
  <c r="M54" i="4"/>
  <c r="N54" i="4"/>
  <c r="O54" i="4"/>
  <c r="P54" i="4"/>
  <c r="Q54" i="4"/>
  <c r="R54" i="4"/>
  <c r="S54" i="4"/>
  <c r="T54" i="4"/>
  <c r="U54" i="4"/>
  <c r="V54" i="4"/>
  <c r="M9" i="4"/>
  <c r="N9" i="4"/>
  <c r="O9" i="4"/>
  <c r="P9" i="4"/>
  <c r="Q9" i="4"/>
  <c r="R9" i="4"/>
  <c r="S9" i="4"/>
  <c r="T9" i="4"/>
  <c r="U9" i="4"/>
  <c r="V9" i="4"/>
  <c r="M74" i="4"/>
  <c r="N74" i="4"/>
  <c r="O74" i="4"/>
  <c r="P74" i="4"/>
  <c r="Q74" i="4"/>
  <c r="R74" i="4"/>
  <c r="S74" i="4"/>
  <c r="T74" i="4"/>
  <c r="U74" i="4"/>
  <c r="V74" i="4"/>
  <c r="M50" i="4"/>
  <c r="N50" i="4"/>
  <c r="O50" i="4"/>
  <c r="P50" i="4"/>
  <c r="Q50" i="4"/>
  <c r="R50" i="4"/>
  <c r="S50" i="4"/>
  <c r="T50" i="4"/>
  <c r="U50" i="4"/>
  <c r="V50" i="4"/>
  <c r="M52" i="4"/>
  <c r="N52" i="4"/>
  <c r="O52" i="4"/>
  <c r="P52" i="4"/>
  <c r="Q52" i="4"/>
  <c r="R52" i="4"/>
  <c r="S52" i="4"/>
  <c r="T52" i="4"/>
  <c r="U52" i="4"/>
  <c r="V52" i="4"/>
  <c r="M13" i="4"/>
  <c r="N13" i="4"/>
  <c r="O13" i="4"/>
  <c r="P13" i="4"/>
  <c r="Q13" i="4"/>
  <c r="R13" i="4"/>
  <c r="S13" i="4"/>
  <c r="T13" i="4"/>
  <c r="U13" i="4"/>
  <c r="V13" i="4"/>
  <c r="M14" i="4"/>
  <c r="N14" i="4"/>
  <c r="O14" i="4"/>
  <c r="P14" i="4"/>
  <c r="Q14" i="4"/>
  <c r="R14" i="4"/>
  <c r="S14" i="4"/>
  <c r="T14" i="4"/>
  <c r="U14" i="4"/>
  <c r="V14" i="4"/>
  <c r="M24" i="4"/>
  <c r="N24" i="4"/>
  <c r="O24" i="4"/>
  <c r="P24" i="4"/>
  <c r="Q24" i="4"/>
  <c r="R24" i="4"/>
  <c r="S24" i="4"/>
  <c r="T24" i="4"/>
  <c r="U24" i="4"/>
  <c r="V24" i="4"/>
  <c r="M23" i="4"/>
  <c r="N23" i="4"/>
  <c r="O23" i="4"/>
  <c r="P23" i="4"/>
  <c r="Q23" i="4"/>
  <c r="R23" i="4"/>
  <c r="S23" i="4"/>
  <c r="T23" i="4"/>
  <c r="U23" i="4"/>
  <c r="V23" i="4"/>
  <c r="M26" i="4"/>
  <c r="N26" i="4"/>
  <c r="O26" i="4"/>
  <c r="P26" i="4"/>
  <c r="Q26" i="4"/>
  <c r="R26" i="4"/>
  <c r="S26" i="4"/>
  <c r="T26" i="4"/>
  <c r="U26" i="4"/>
  <c r="V26" i="4"/>
  <c r="M18" i="4"/>
  <c r="N18" i="4"/>
  <c r="O18" i="4"/>
  <c r="P18" i="4"/>
  <c r="Q18" i="4"/>
  <c r="R18" i="4"/>
  <c r="S18" i="4"/>
  <c r="T18" i="4"/>
  <c r="U18" i="4"/>
  <c r="V18" i="4"/>
  <c r="M64" i="4"/>
  <c r="N64" i="4"/>
  <c r="O64" i="4"/>
  <c r="P64" i="4"/>
  <c r="Q64" i="4"/>
  <c r="R64" i="4"/>
  <c r="S64" i="4"/>
  <c r="T64" i="4"/>
  <c r="U64" i="4"/>
  <c r="V64" i="4"/>
  <c r="M20" i="4"/>
  <c r="N20" i="4"/>
  <c r="O20" i="4"/>
  <c r="P20" i="4"/>
  <c r="Q20" i="4"/>
  <c r="R20" i="4"/>
  <c r="S20" i="4"/>
  <c r="T20" i="4"/>
  <c r="U20" i="4"/>
  <c r="V20" i="4"/>
  <c r="M10" i="4"/>
  <c r="N10" i="4"/>
  <c r="O10" i="4"/>
  <c r="P10" i="4"/>
  <c r="Q10" i="4"/>
  <c r="R10" i="4"/>
  <c r="S10" i="4"/>
  <c r="T10" i="4"/>
  <c r="U10" i="4"/>
  <c r="V10" i="4"/>
  <c r="M69" i="4"/>
  <c r="N69" i="4"/>
  <c r="O69" i="4"/>
  <c r="P69" i="4"/>
  <c r="Q69" i="4"/>
  <c r="R69" i="4"/>
  <c r="S69" i="4"/>
  <c r="T69" i="4"/>
  <c r="U69" i="4"/>
  <c r="V69" i="4"/>
  <c r="M42" i="4"/>
  <c r="N42" i="4"/>
  <c r="O42" i="4"/>
  <c r="P42" i="4"/>
  <c r="Q42" i="4"/>
  <c r="R42" i="4"/>
  <c r="S42" i="4"/>
  <c r="T42" i="4"/>
  <c r="U42" i="4"/>
  <c r="V42" i="4"/>
  <c r="M11" i="4"/>
  <c r="N11" i="4"/>
  <c r="O11" i="4"/>
  <c r="P11" i="4"/>
  <c r="Q11" i="4"/>
  <c r="R11" i="4"/>
  <c r="S11" i="4"/>
  <c r="T11" i="4"/>
  <c r="U11" i="4"/>
  <c r="V11" i="4"/>
  <c r="M25" i="4"/>
  <c r="N25" i="4"/>
  <c r="O25" i="4"/>
  <c r="P25" i="4"/>
  <c r="Q25" i="4"/>
  <c r="R25" i="4"/>
  <c r="S25" i="4"/>
  <c r="T25" i="4"/>
  <c r="U25" i="4"/>
  <c r="V25" i="4"/>
  <c r="M8" i="4"/>
  <c r="N8" i="4"/>
  <c r="O8" i="4"/>
  <c r="P8" i="4"/>
  <c r="Q8" i="4"/>
  <c r="R8" i="4"/>
  <c r="S8" i="4"/>
  <c r="T8" i="4"/>
  <c r="U8" i="4"/>
  <c r="V8" i="4"/>
  <c r="M68" i="4"/>
  <c r="N68" i="4"/>
  <c r="O68" i="4"/>
  <c r="P68" i="4"/>
  <c r="Q68" i="4"/>
  <c r="R68" i="4"/>
  <c r="S68" i="4"/>
  <c r="T68" i="4"/>
  <c r="U68" i="4"/>
  <c r="V68" i="4"/>
  <c r="M28" i="4"/>
  <c r="N28" i="4"/>
  <c r="O28" i="4"/>
  <c r="P28" i="4"/>
  <c r="Q28" i="4"/>
  <c r="R28" i="4"/>
  <c r="S28" i="4"/>
  <c r="T28" i="4"/>
  <c r="U28" i="4"/>
  <c r="V28" i="4"/>
  <c r="M29" i="4"/>
  <c r="N29" i="4"/>
  <c r="O29" i="4"/>
  <c r="P29" i="4"/>
  <c r="Q29" i="4"/>
  <c r="R29" i="4"/>
  <c r="S29" i="4"/>
  <c r="T29" i="4"/>
  <c r="U29" i="4"/>
  <c r="V29" i="4"/>
  <c r="M59" i="4"/>
  <c r="N59" i="4"/>
  <c r="O59" i="4"/>
  <c r="P59" i="4"/>
  <c r="Q59" i="4"/>
  <c r="R59" i="4"/>
  <c r="S59" i="4"/>
  <c r="T59" i="4"/>
  <c r="U59" i="4"/>
  <c r="V59" i="4"/>
  <c r="M43" i="4"/>
  <c r="N43" i="4"/>
  <c r="O43" i="4"/>
  <c r="P43" i="4"/>
  <c r="Q43" i="4"/>
  <c r="R43" i="4"/>
  <c r="S43" i="4"/>
  <c r="T43" i="4"/>
  <c r="U43" i="4"/>
  <c r="V43" i="4"/>
  <c r="M27" i="4"/>
  <c r="N27" i="4"/>
  <c r="O27" i="4"/>
  <c r="P27" i="4"/>
  <c r="Q27" i="4"/>
  <c r="R27" i="4"/>
  <c r="S27" i="4"/>
  <c r="T27" i="4"/>
  <c r="U27" i="4"/>
  <c r="V27" i="4"/>
  <c r="M33" i="4"/>
  <c r="N33" i="4"/>
  <c r="O33" i="4"/>
  <c r="P33" i="4"/>
  <c r="Q33" i="4"/>
  <c r="R33" i="4"/>
  <c r="S33" i="4"/>
  <c r="T33" i="4"/>
  <c r="U33" i="4"/>
  <c r="V33" i="4"/>
  <c r="M12" i="4"/>
  <c r="N12" i="4"/>
  <c r="O12" i="4"/>
  <c r="P12" i="4"/>
  <c r="Q12" i="4"/>
  <c r="R12" i="4"/>
  <c r="S12" i="4"/>
  <c r="T12" i="4"/>
  <c r="U12" i="4"/>
  <c r="V12" i="4"/>
  <c r="M60" i="4"/>
  <c r="N60" i="4"/>
  <c r="O60" i="4"/>
  <c r="P60" i="4"/>
  <c r="Q60" i="4"/>
  <c r="R60" i="4"/>
  <c r="S60" i="4"/>
  <c r="T60" i="4"/>
  <c r="U60" i="4"/>
  <c r="V60" i="4"/>
  <c r="M63" i="4"/>
  <c r="N63" i="4"/>
  <c r="O63" i="4"/>
  <c r="P63" i="4"/>
  <c r="Q63" i="4"/>
  <c r="R63" i="4"/>
  <c r="S63" i="4"/>
  <c r="T63" i="4"/>
  <c r="U63" i="4"/>
  <c r="V63" i="4"/>
  <c r="M37" i="4"/>
  <c r="N37" i="4"/>
  <c r="O37" i="4"/>
  <c r="P37" i="4"/>
  <c r="Q37" i="4"/>
  <c r="R37" i="4"/>
  <c r="S37" i="4"/>
  <c r="T37" i="4"/>
  <c r="U37" i="4"/>
  <c r="V37" i="4"/>
  <c r="M4" i="4"/>
  <c r="N4" i="4"/>
  <c r="O4" i="4"/>
  <c r="P4" i="4"/>
  <c r="Q4" i="4"/>
  <c r="R4" i="4"/>
  <c r="S4" i="4"/>
  <c r="T4" i="4"/>
  <c r="U4" i="4"/>
  <c r="V4" i="4"/>
  <c r="M47" i="4"/>
  <c r="N47" i="4"/>
  <c r="O47" i="4"/>
  <c r="P47" i="4"/>
  <c r="Q47" i="4"/>
  <c r="R47" i="4"/>
  <c r="S47" i="4"/>
  <c r="T47" i="4"/>
  <c r="U47" i="4"/>
  <c r="V47" i="4"/>
  <c r="M40" i="4"/>
  <c r="N40" i="4"/>
  <c r="O40" i="4"/>
  <c r="P40" i="4"/>
  <c r="Q40" i="4"/>
  <c r="R40" i="4"/>
  <c r="S40" i="4"/>
  <c r="T40" i="4"/>
  <c r="U40" i="4"/>
  <c r="V40" i="4"/>
  <c r="M41" i="4"/>
  <c r="N41" i="4"/>
  <c r="O41" i="4"/>
  <c r="P41" i="4"/>
  <c r="Q41" i="4"/>
  <c r="R41" i="4"/>
  <c r="S41" i="4"/>
  <c r="T41" i="4"/>
  <c r="U41" i="4"/>
  <c r="V41" i="4"/>
  <c r="M17" i="4"/>
  <c r="N17" i="4"/>
  <c r="O17" i="4"/>
  <c r="P17" i="4"/>
  <c r="Q17" i="4"/>
  <c r="R17" i="4"/>
  <c r="S17" i="4"/>
  <c r="T17" i="4"/>
  <c r="U17" i="4"/>
  <c r="V17" i="4"/>
  <c r="M38" i="4"/>
  <c r="N38" i="4"/>
  <c r="O38" i="4"/>
  <c r="P38" i="4"/>
  <c r="Q38" i="4"/>
  <c r="R38" i="4"/>
  <c r="S38" i="4"/>
  <c r="T38" i="4"/>
  <c r="U38" i="4"/>
  <c r="V38" i="4"/>
  <c r="M44" i="4"/>
  <c r="N44" i="4"/>
  <c r="O44" i="4"/>
  <c r="P44" i="4"/>
  <c r="Q44" i="4"/>
  <c r="R44" i="4"/>
  <c r="S44" i="4"/>
  <c r="T44" i="4"/>
  <c r="U44" i="4"/>
  <c r="V44" i="4"/>
  <c r="M3" i="4"/>
  <c r="N3" i="4"/>
  <c r="O3" i="4"/>
  <c r="P3" i="4"/>
  <c r="Q3" i="4"/>
  <c r="R3" i="4"/>
  <c r="S3" i="4"/>
  <c r="T3" i="4"/>
  <c r="U3" i="4"/>
  <c r="V3" i="4"/>
  <c r="M32" i="4"/>
  <c r="N32" i="4"/>
  <c r="O32" i="4"/>
  <c r="P32" i="4"/>
  <c r="Q32" i="4"/>
  <c r="R32" i="4"/>
  <c r="S32" i="4"/>
  <c r="T32" i="4"/>
  <c r="U32" i="4"/>
  <c r="V32" i="4"/>
  <c r="M36" i="4"/>
  <c r="N36" i="4"/>
  <c r="O36" i="4"/>
  <c r="P36" i="4"/>
  <c r="Q36" i="4"/>
  <c r="R36" i="4"/>
  <c r="S36" i="4"/>
  <c r="T36" i="4"/>
  <c r="U36" i="4"/>
  <c r="V36" i="4"/>
  <c r="M19" i="4"/>
  <c r="N19" i="4"/>
  <c r="O19" i="4"/>
  <c r="P19" i="4"/>
  <c r="Q19" i="4"/>
  <c r="R19" i="4"/>
  <c r="S19" i="4"/>
  <c r="T19" i="4"/>
  <c r="U19" i="4"/>
  <c r="V19" i="4"/>
  <c r="M49" i="4"/>
  <c r="N49" i="4"/>
  <c r="O49" i="4"/>
  <c r="P49" i="4"/>
  <c r="Q49" i="4"/>
  <c r="R49" i="4"/>
  <c r="S49" i="4"/>
  <c r="T49" i="4"/>
  <c r="U49" i="4"/>
  <c r="V49" i="4"/>
  <c r="M48" i="4"/>
  <c r="N48" i="4"/>
  <c r="O48" i="4"/>
  <c r="P48" i="4"/>
  <c r="Q48" i="4"/>
  <c r="R48" i="4"/>
  <c r="S48" i="4"/>
  <c r="T48" i="4"/>
  <c r="U48" i="4"/>
  <c r="V48" i="4"/>
  <c r="M51" i="4"/>
  <c r="N51" i="4"/>
  <c r="O51" i="4"/>
  <c r="P51" i="4"/>
  <c r="Q51" i="4"/>
  <c r="R51" i="4"/>
  <c r="S51" i="4"/>
  <c r="T51" i="4"/>
  <c r="U51" i="4"/>
  <c r="V51" i="4"/>
  <c r="M66" i="4"/>
  <c r="N66" i="4"/>
  <c r="O66" i="4"/>
  <c r="P66" i="4"/>
  <c r="Q66" i="4"/>
  <c r="R66" i="4"/>
  <c r="S66" i="4"/>
  <c r="T66" i="4"/>
  <c r="U66" i="4"/>
  <c r="V66" i="4"/>
  <c r="M53" i="4"/>
  <c r="N53" i="4"/>
  <c r="O53" i="4"/>
  <c r="P53" i="4"/>
  <c r="Q53" i="4"/>
  <c r="R53" i="4"/>
  <c r="S53" i="4"/>
  <c r="T53" i="4"/>
  <c r="U53" i="4"/>
  <c r="V53" i="4"/>
  <c r="M57" i="4"/>
  <c r="N57" i="4"/>
  <c r="O57" i="4"/>
  <c r="P57" i="4"/>
  <c r="Q57" i="4"/>
  <c r="R57" i="4"/>
  <c r="S57" i="4"/>
  <c r="T57" i="4"/>
  <c r="U57" i="4"/>
  <c r="V57" i="4"/>
  <c r="M65" i="4"/>
  <c r="N65" i="4"/>
  <c r="O65" i="4"/>
  <c r="P65" i="4"/>
  <c r="Q65" i="4"/>
  <c r="R65" i="4"/>
  <c r="S65" i="4"/>
  <c r="T65" i="4"/>
  <c r="U65" i="4"/>
  <c r="V65" i="4"/>
  <c r="M56" i="4"/>
  <c r="N56" i="4"/>
  <c r="O56" i="4"/>
  <c r="P56" i="4"/>
  <c r="Q56" i="4"/>
  <c r="R56" i="4"/>
  <c r="S56" i="4"/>
  <c r="T56" i="4"/>
  <c r="U56" i="4"/>
  <c r="V56" i="4"/>
  <c r="M39" i="4"/>
  <c r="N39" i="4"/>
  <c r="O39" i="4"/>
  <c r="P39" i="4"/>
  <c r="Q39" i="4"/>
  <c r="R39" i="4"/>
  <c r="S39" i="4"/>
  <c r="T39" i="4"/>
  <c r="U39" i="4"/>
  <c r="V39" i="4"/>
  <c r="M46" i="4"/>
  <c r="N46" i="4"/>
  <c r="O46" i="4"/>
  <c r="P46" i="4"/>
  <c r="Q46" i="4"/>
  <c r="R46" i="4"/>
  <c r="S46" i="4"/>
  <c r="T46" i="4"/>
  <c r="U46" i="4"/>
  <c r="V46" i="4"/>
  <c r="M34" i="4"/>
  <c r="N34" i="4"/>
  <c r="O34" i="4"/>
  <c r="P34" i="4"/>
  <c r="Q34" i="4"/>
  <c r="R34" i="4"/>
  <c r="S34" i="4"/>
  <c r="T34" i="4"/>
  <c r="U34" i="4"/>
  <c r="V34" i="4"/>
  <c r="M35" i="4"/>
  <c r="N35" i="4"/>
  <c r="O35" i="4"/>
  <c r="P35" i="4"/>
  <c r="Q35" i="4"/>
  <c r="R35" i="4"/>
  <c r="S35" i="4"/>
  <c r="T35" i="4"/>
  <c r="U35" i="4"/>
  <c r="V35" i="4"/>
  <c r="M61" i="4"/>
  <c r="N61" i="4"/>
  <c r="O61" i="4"/>
  <c r="P61" i="4"/>
  <c r="Q61" i="4"/>
  <c r="R61" i="4"/>
  <c r="S61" i="4"/>
  <c r="T61" i="4"/>
  <c r="U61" i="4"/>
  <c r="V61" i="4"/>
  <c r="M62" i="4"/>
  <c r="N62" i="4"/>
  <c r="O62" i="4"/>
  <c r="P62" i="4"/>
  <c r="Q62" i="4"/>
  <c r="R62" i="4"/>
  <c r="S62" i="4"/>
  <c r="T62" i="4"/>
  <c r="U62" i="4"/>
  <c r="V62" i="4"/>
  <c r="M16" i="4"/>
  <c r="N16" i="4"/>
  <c r="O16" i="4"/>
  <c r="P16" i="4"/>
  <c r="Q16" i="4"/>
  <c r="R16" i="4"/>
  <c r="S16" i="4"/>
  <c r="T16" i="4"/>
  <c r="U16" i="4"/>
  <c r="V16" i="4"/>
  <c r="M15" i="4"/>
  <c r="N15" i="4"/>
  <c r="O15" i="4"/>
  <c r="P15" i="4"/>
  <c r="Q15" i="4"/>
  <c r="R15" i="4"/>
  <c r="S15" i="4"/>
  <c r="T15" i="4"/>
  <c r="U15" i="4"/>
  <c r="V15" i="4"/>
  <c r="M58" i="4"/>
  <c r="N58" i="4"/>
  <c r="O58" i="4"/>
  <c r="P58" i="4"/>
  <c r="Q58" i="4"/>
  <c r="R58" i="4"/>
  <c r="S58" i="4"/>
  <c r="T58" i="4"/>
  <c r="U58" i="4"/>
  <c r="V58" i="4"/>
  <c r="M30" i="4"/>
  <c r="N30" i="4"/>
  <c r="O30" i="4"/>
  <c r="P30" i="4"/>
  <c r="Q30" i="4"/>
  <c r="R30" i="4"/>
  <c r="S30" i="4"/>
  <c r="T30" i="4"/>
  <c r="U30" i="4"/>
  <c r="V30" i="4"/>
  <c r="M67" i="4"/>
  <c r="N67" i="4"/>
  <c r="O67" i="4"/>
  <c r="P67" i="4"/>
  <c r="Q67" i="4"/>
  <c r="R67" i="4"/>
  <c r="S67" i="4"/>
  <c r="T67" i="4"/>
  <c r="U67" i="4"/>
  <c r="V67" i="4"/>
  <c r="M31" i="4"/>
  <c r="N31" i="4"/>
  <c r="O31" i="4"/>
  <c r="P31" i="4"/>
  <c r="Q31" i="4"/>
  <c r="R31" i="4"/>
  <c r="S31" i="4"/>
  <c r="T31" i="4"/>
  <c r="U31" i="4"/>
  <c r="V31" i="4"/>
  <c r="M45" i="4"/>
  <c r="N45" i="4"/>
  <c r="O45" i="4"/>
  <c r="P45" i="4"/>
  <c r="Q45" i="4"/>
  <c r="R45" i="4"/>
  <c r="S45" i="4"/>
  <c r="T45" i="4"/>
  <c r="U45" i="4"/>
  <c r="V45" i="4"/>
  <c r="M70" i="4"/>
  <c r="N70" i="4"/>
  <c r="O70" i="4"/>
  <c r="P70" i="4"/>
  <c r="Q70" i="4"/>
  <c r="R70" i="4"/>
  <c r="S70" i="4"/>
  <c r="T70" i="4"/>
  <c r="U70" i="4"/>
  <c r="V70" i="4"/>
  <c r="M77" i="4"/>
  <c r="N77" i="4"/>
  <c r="O77" i="4"/>
  <c r="P77" i="4"/>
  <c r="Q77" i="4"/>
  <c r="R77" i="4"/>
  <c r="S77" i="4"/>
  <c r="T77" i="4"/>
  <c r="U77" i="4"/>
  <c r="V77" i="4"/>
  <c r="M78" i="4"/>
  <c r="N78" i="4"/>
  <c r="O78" i="4"/>
  <c r="P78" i="4"/>
  <c r="Q78" i="4"/>
  <c r="R78" i="4"/>
  <c r="S78" i="4"/>
  <c r="T78" i="4"/>
  <c r="U78" i="4"/>
  <c r="V78" i="4"/>
  <c r="M73" i="4"/>
  <c r="N73" i="4"/>
  <c r="O73" i="4"/>
  <c r="P73" i="4"/>
  <c r="Q73" i="4"/>
  <c r="R73" i="4"/>
  <c r="S73" i="4"/>
  <c r="T73" i="4"/>
  <c r="U73" i="4"/>
  <c r="V73" i="4"/>
  <c r="M5" i="4"/>
  <c r="N5" i="4"/>
  <c r="O5" i="4"/>
  <c r="P5" i="4"/>
  <c r="Q5" i="4"/>
  <c r="R5" i="4"/>
  <c r="S5" i="4"/>
  <c r="T5" i="4"/>
  <c r="U5" i="4"/>
  <c r="V5" i="4"/>
  <c r="M7" i="4"/>
  <c r="N7" i="4"/>
  <c r="O7" i="4"/>
  <c r="P7" i="4"/>
  <c r="Q7" i="4"/>
  <c r="R7" i="4"/>
  <c r="S7" i="4"/>
  <c r="T7" i="4"/>
  <c r="U7" i="4"/>
  <c r="V7" i="4"/>
  <c r="M76" i="4"/>
  <c r="N76" i="4"/>
  <c r="O76" i="4"/>
  <c r="P76" i="4"/>
  <c r="Q76" i="4"/>
  <c r="R76" i="4"/>
  <c r="S76" i="4"/>
  <c r="T76" i="4"/>
  <c r="U76" i="4"/>
  <c r="V76" i="4"/>
  <c r="M71" i="4"/>
  <c r="N71" i="4"/>
  <c r="O71" i="4"/>
  <c r="P71" i="4"/>
  <c r="Q71" i="4"/>
  <c r="R71" i="4"/>
  <c r="S71" i="4"/>
  <c r="T71" i="4"/>
  <c r="U71" i="4"/>
  <c r="V71" i="4"/>
  <c r="M72" i="4"/>
  <c r="N72" i="4"/>
  <c r="O72" i="4"/>
  <c r="P72" i="4"/>
  <c r="Q72" i="4"/>
  <c r="R72" i="4"/>
  <c r="S72" i="4"/>
  <c r="T72" i="4"/>
  <c r="U72" i="4"/>
  <c r="V72" i="4"/>
  <c r="M79" i="4"/>
  <c r="N79" i="4"/>
  <c r="O79" i="4"/>
  <c r="P79" i="4"/>
  <c r="Q79" i="4"/>
  <c r="R79" i="4"/>
  <c r="S79" i="4"/>
  <c r="T79" i="4"/>
  <c r="U79" i="4"/>
  <c r="V79" i="4"/>
  <c r="V2" i="4"/>
  <c r="U2" i="4"/>
  <c r="N2" i="4"/>
  <c r="O2" i="4"/>
  <c r="P2" i="4"/>
  <c r="Q2" i="4"/>
  <c r="R2" i="4"/>
  <c r="S2" i="4"/>
  <c r="T2" i="4"/>
  <c r="M2" i="4"/>
  <c r="M22" i="13"/>
  <c r="N22" i="13"/>
  <c r="O22" i="13"/>
  <c r="P22" i="13"/>
  <c r="Q22" i="13"/>
  <c r="R22" i="13"/>
  <c r="S22" i="13"/>
  <c r="T22" i="13"/>
  <c r="U22" i="13"/>
  <c r="V22" i="13"/>
  <c r="M21" i="13"/>
  <c r="N21" i="13"/>
  <c r="O21" i="13"/>
  <c r="P21" i="13"/>
  <c r="Q21" i="13"/>
  <c r="R21" i="13"/>
  <c r="S21" i="13"/>
  <c r="T21" i="13"/>
  <c r="U21" i="13"/>
  <c r="V21" i="13"/>
  <c r="M55" i="13"/>
  <c r="N55" i="13"/>
  <c r="O55" i="13"/>
  <c r="P55" i="13"/>
  <c r="Q55" i="13"/>
  <c r="R55" i="13"/>
  <c r="S55" i="13"/>
  <c r="T55" i="13"/>
  <c r="U55" i="13"/>
  <c r="V55" i="13"/>
  <c r="M6" i="13"/>
  <c r="N6" i="13"/>
  <c r="O6" i="13"/>
  <c r="P6" i="13"/>
  <c r="Q6" i="13"/>
  <c r="R6" i="13"/>
  <c r="S6" i="13"/>
  <c r="T6" i="13"/>
  <c r="U6" i="13"/>
  <c r="V6" i="13"/>
  <c r="M75" i="13"/>
  <c r="N75" i="13"/>
  <c r="O75" i="13"/>
  <c r="P75" i="13"/>
  <c r="Q75" i="13"/>
  <c r="R75" i="13"/>
  <c r="S75" i="13"/>
  <c r="T75" i="13"/>
  <c r="U75" i="13"/>
  <c r="V75" i="13"/>
  <c r="M54" i="13"/>
  <c r="N54" i="13"/>
  <c r="O54" i="13"/>
  <c r="P54" i="13"/>
  <c r="Q54" i="13"/>
  <c r="R54" i="13"/>
  <c r="S54" i="13"/>
  <c r="T54" i="13"/>
  <c r="U54" i="13"/>
  <c r="V54" i="13"/>
  <c r="M9" i="13"/>
  <c r="N9" i="13"/>
  <c r="O9" i="13"/>
  <c r="P9" i="13"/>
  <c r="Q9" i="13"/>
  <c r="R9" i="13"/>
  <c r="S9" i="13"/>
  <c r="T9" i="13"/>
  <c r="U9" i="13"/>
  <c r="V9" i="13"/>
  <c r="M74" i="13"/>
  <c r="N74" i="13"/>
  <c r="O74" i="13"/>
  <c r="P74" i="13"/>
  <c r="Q74" i="13"/>
  <c r="R74" i="13"/>
  <c r="S74" i="13"/>
  <c r="T74" i="13"/>
  <c r="U74" i="13"/>
  <c r="V74" i="13"/>
  <c r="M50" i="13"/>
  <c r="N50" i="13"/>
  <c r="O50" i="13"/>
  <c r="P50" i="13"/>
  <c r="Q50" i="13"/>
  <c r="R50" i="13"/>
  <c r="S50" i="13"/>
  <c r="T50" i="13"/>
  <c r="U50" i="13"/>
  <c r="V50" i="13"/>
  <c r="M52" i="13"/>
  <c r="N52" i="13"/>
  <c r="O52" i="13"/>
  <c r="P52" i="13"/>
  <c r="Q52" i="13"/>
  <c r="R52" i="13"/>
  <c r="S52" i="13"/>
  <c r="T52" i="13"/>
  <c r="U52" i="13"/>
  <c r="V52" i="13"/>
  <c r="M13" i="13"/>
  <c r="N13" i="13"/>
  <c r="O13" i="13"/>
  <c r="P13" i="13"/>
  <c r="Q13" i="13"/>
  <c r="R13" i="13"/>
  <c r="S13" i="13"/>
  <c r="T13" i="13"/>
  <c r="U13" i="13"/>
  <c r="V13" i="13"/>
  <c r="M14" i="13"/>
  <c r="N14" i="13"/>
  <c r="O14" i="13"/>
  <c r="P14" i="13"/>
  <c r="Q14" i="13"/>
  <c r="R14" i="13"/>
  <c r="S14" i="13"/>
  <c r="T14" i="13"/>
  <c r="U14" i="13"/>
  <c r="V14" i="13"/>
  <c r="M24" i="13"/>
  <c r="N24" i="13"/>
  <c r="O24" i="13"/>
  <c r="P24" i="13"/>
  <c r="Q24" i="13"/>
  <c r="R24" i="13"/>
  <c r="S24" i="13"/>
  <c r="T24" i="13"/>
  <c r="U24" i="13"/>
  <c r="V24" i="13"/>
  <c r="M23" i="13"/>
  <c r="N23" i="13"/>
  <c r="O23" i="13"/>
  <c r="P23" i="13"/>
  <c r="Q23" i="13"/>
  <c r="R23" i="13"/>
  <c r="S23" i="13"/>
  <c r="T23" i="13"/>
  <c r="U23" i="13"/>
  <c r="V23" i="13"/>
  <c r="M26" i="13"/>
  <c r="N26" i="13"/>
  <c r="O26" i="13"/>
  <c r="P26" i="13"/>
  <c r="Q26" i="13"/>
  <c r="R26" i="13"/>
  <c r="S26" i="13"/>
  <c r="T26" i="13"/>
  <c r="U26" i="13"/>
  <c r="V26" i="13"/>
  <c r="M18" i="13"/>
  <c r="N18" i="13"/>
  <c r="O18" i="13"/>
  <c r="P18" i="13"/>
  <c r="Q18" i="13"/>
  <c r="R18" i="13"/>
  <c r="S18" i="13"/>
  <c r="T18" i="13"/>
  <c r="U18" i="13"/>
  <c r="V18" i="13"/>
  <c r="M64" i="13"/>
  <c r="N64" i="13"/>
  <c r="O64" i="13"/>
  <c r="P64" i="13"/>
  <c r="Q64" i="13"/>
  <c r="R64" i="13"/>
  <c r="S64" i="13"/>
  <c r="T64" i="13"/>
  <c r="U64" i="13"/>
  <c r="V64" i="13"/>
  <c r="M20" i="13"/>
  <c r="N20" i="13"/>
  <c r="O20" i="13"/>
  <c r="P20" i="13"/>
  <c r="Q20" i="13"/>
  <c r="R20" i="13"/>
  <c r="S20" i="13"/>
  <c r="T20" i="13"/>
  <c r="U20" i="13"/>
  <c r="V20" i="13"/>
  <c r="M10" i="13"/>
  <c r="N10" i="13"/>
  <c r="O10" i="13"/>
  <c r="P10" i="13"/>
  <c r="Q10" i="13"/>
  <c r="R10" i="13"/>
  <c r="S10" i="13"/>
  <c r="T10" i="13"/>
  <c r="U10" i="13"/>
  <c r="V10" i="13"/>
  <c r="M69" i="13"/>
  <c r="N69" i="13"/>
  <c r="O69" i="13"/>
  <c r="P69" i="13"/>
  <c r="Q69" i="13"/>
  <c r="R69" i="13"/>
  <c r="S69" i="13"/>
  <c r="T69" i="13"/>
  <c r="U69" i="13"/>
  <c r="V69" i="13"/>
  <c r="M42" i="13"/>
  <c r="N42" i="13"/>
  <c r="O42" i="13"/>
  <c r="P42" i="13"/>
  <c r="Q42" i="13"/>
  <c r="R42" i="13"/>
  <c r="S42" i="13"/>
  <c r="T42" i="13"/>
  <c r="U42" i="13"/>
  <c r="V42" i="13"/>
  <c r="M11" i="13"/>
  <c r="N11" i="13"/>
  <c r="O11" i="13"/>
  <c r="P11" i="13"/>
  <c r="Q11" i="13"/>
  <c r="R11" i="13"/>
  <c r="S11" i="13"/>
  <c r="T11" i="13"/>
  <c r="U11" i="13"/>
  <c r="V11" i="13"/>
  <c r="M25" i="13"/>
  <c r="N25" i="13"/>
  <c r="O25" i="13"/>
  <c r="P25" i="13"/>
  <c r="Q25" i="13"/>
  <c r="R25" i="13"/>
  <c r="S25" i="13"/>
  <c r="T25" i="13"/>
  <c r="U25" i="13"/>
  <c r="V25" i="13"/>
  <c r="M8" i="13"/>
  <c r="N8" i="13"/>
  <c r="O8" i="13"/>
  <c r="P8" i="13"/>
  <c r="Q8" i="13"/>
  <c r="R8" i="13"/>
  <c r="S8" i="13"/>
  <c r="T8" i="13"/>
  <c r="U8" i="13"/>
  <c r="V8" i="13"/>
  <c r="M68" i="13"/>
  <c r="N68" i="13"/>
  <c r="O68" i="13"/>
  <c r="P68" i="13"/>
  <c r="Q68" i="13"/>
  <c r="R68" i="13"/>
  <c r="S68" i="13"/>
  <c r="T68" i="13"/>
  <c r="U68" i="13"/>
  <c r="V68" i="13"/>
  <c r="M28" i="13"/>
  <c r="N28" i="13"/>
  <c r="O28" i="13"/>
  <c r="P28" i="13"/>
  <c r="Q28" i="13"/>
  <c r="R28" i="13"/>
  <c r="S28" i="13"/>
  <c r="T28" i="13"/>
  <c r="U28" i="13"/>
  <c r="V28" i="13"/>
  <c r="M29" i="13"/>
  <c r="N29" i="13"/>
  <c r="O29" i="13"/>
  <c r="P29" i="13"/>
  <c r="Q29" i="13"/>
  <c r="R29" i="13"/>
  <c r="S29" i="13"/>
  <c r="T29" i="13"/>
  <c r="U29" i="13"/>
  <c r="V29" i="13"/>
  <c r="M59" i="13"/>
  <c r="N59" i="13"/>
  <c r="O59" i="13"/>
  <c r="P59" i="13"/>
  <c r="Q59" i="13"/>
  <c r="R59" i="13"/>
  <c r="S59" i="13"/>
  <c r="T59" i="13"/>
  <c r="U59" i="13"/>
  <c r="V59" i="13"/>
  <c r="M43" i="13"/>
  <c r="N43" i="13"/>
  <c r="O43" i="13"/>
  <c r="P43" i="13"/>
  <c r="Q43" i="13"/>
  <c r="R43" i="13"/>
  <c r="S43" i="13"/>
  <c r="T43" i="13"/>
  <c r="U43" i="13"/>
  <c r="V43" i="13"/>
  <c r="M27" i="13"/>
  <c r="N27" i="13"/>
  <c r="O27" i="13"/>
  <c r="P27" i="13"/>
  <c r="Q27" i="13"/>
  <c r="R27" i="13"/>
  <c r="S27" i="13"/>
  <c r="T27" i="13"/>
  <c r="U27" i="13"/>
  <c r="V27" i="13"/>
  <c r="M33" i="13"/>
  <c r="N33" i="13"/>
  <c r="O33" i="13"/>
  <c r="P33" i="13"/>
  <c r="Q33" i="13"/>
  <c r="R33" i="13"/>
  <c r="S33" i="13"/>
  <c r="T33" i="13"/>
  <c r="U33" i="13"/>
  <c r="V33" i="13"/>
  <c r="M12" i="13"/>
  <c r="N12" i="13"/>
  <c r="O12" i="13"/>
  <c r="P12" i="13"/>
  <c r="Q12" i="13"/>
  <c r="R12" i="13"/>
  <c r="S12" i="13"/>
  <c r="T12" i="13"/>
  <c r="U12" i="13"/>
  <c r="V12" i="13"/>
  <c r="M60" i="13"/>
  <c r="N60" i="13"/>
  <c r="O60" i="13"/>
  <c r="P60" i="13"/>
  <c r="Q60" i="13"/>
  <c r="R60" i="13"/>
  <c r="S60" i="13"/>
  <c r="T60" i="13"/>
  <c r="U60" i="13"/>
  <c r="V60" i="13"/>
  <c r="M63" i="13"/>
  <c r="N63" i="13"/>
  <c r="O63" i="13"/>
  <c r="P63" i="13"/>
  <c r="Q63" i="13"/>
  <c r="R63" i="13"/>
  <c r="S63" i="13"/>
  <c r="T63" i="13"/>
  <c r="U63" i="13"/>
  <c r="V63" i="13"/>
  <c r="M37" i="13"/>
  <c r="N37" i="13"/>
  <c r="O37" i="13"/>
  <c r="P37" i="13"/>
  <c r="Q37" i="13"/>
  <c r="R37" i="13"/>
  <c r="S37" i="13"/>
  <c r="T37" i="13"/>
  <c r="U37" i="13"/>
  <c r="V37" i="13"/>
  <c r="M4" i="13"/>
  <c r="N4" i="13"/>
  <c r="O4" i="13"/>
  <c r="P4" i="13"/>
  <c r="Q4" i="13"/>
  <c r="R4" i="13"/>
  <c r="S4" i="13"/>
  <c r="T4" i="13"/>
  <c r="U4" i="13"/>
  <c r="V4" i="13"/>
  <c r="M47" i="13"/>
  <c r="N47" i="13"/>
  <c r="O47" i="13"/>
  <c r="P47" i="13"/>
  <c r="Q47" i="13"/>
  <c r="R47" i="13"/>
  <c r="S47" i="13"/>
  <c r="T47" i="13"/>
  <c r="U47" i="13"/>
  <c r="V47" i="13"/>
  <c r="M40" i="13"/>
  <c r="N40" i="13"/>
  <c r="O40" i="13"/>
  <c r="P40" i="13"/>
  <c r="Q40" i="13"/>
  <c r="R40" i="13"/>
  <c r="S40" i="13"/>
  <c r="T40" i="13"/>
  <c r="U40" i="13"/>
  <c r="V40" i="13"/>
  <c r="M41" i="13"/>
  <c r="N41" i="13"/>
  <c r="O41" i="13"/>
  <c r="P41" i="13"/>
  <c r="Q41" i="13"/>
  <c r="R41" i="13"/>
  <c r="S41" i="13"/>
  <c r="T41" i="13"/>
  <c r="U41" i="13"/>
  <c r="V41" i="13"/>
  <c r="M17" i="13"/>
  <c r="N17" i="13"/>
  <c r="O17" i="13"/>
  <c r="P17" i="13"/>
  <c r="Q17" i="13"/>
  <c r="R17" i="13"/>
  <c r="S17" i="13"/>
  <c r="T17" i="13"/>
  <c r="U17" i="13"/>
  <c r="V17" i="13"/>
  <c r="M38" i="13"/>
  <c r="N38" i="13"/>
  <c r="O38" i="13"/>
  <c r="P38" i="13"/>
  <c r="Q38" i="13"/>
  <c r="R38" i="13"/>
  <c r="S38" i="13"/>
  <c r="T38" i="13"/>
  <c r="U38" i="13"/>
  <c r="V38" i="13"/>
  <c r="M44" i="13"/>
  <c r="N44" i="13"/>
  <c r="O44" i="13"/>
  <c r="P44" i="13"/>
  <c r="Q44" i="13"/>
  <c r="R44" i="13"/>
  <c r="S44" i="13"/>
  <c r="T44" i="13"/>
  <c r="U44" i="13"/>
  <c r="V44" i="13"/>
  <c r="M3" i="13"/>
  <c r="N3" i="13"/>
  <c r="O3" i="13"/>
  <c r="P3" i="13"/>
  <c r="Q3" i="13"/>
  <c r="R3" i="13"/>
  <c r="S3" i="13"/>
  <c r="T3" i="13"/>
  <c r="U3" i="13"/>
  <c r="V3" i="13"/>
  <c r="M32" i="13"/>
  <c r="N32" i="13"/>
  <c r="O32" i="13"/>
  <c r="P32" i="13"/>
  <c r="Q32" i="13"/>
  <c r="R32" i="13"/>
  <c r="S32" i="13"/>
  <c r="T32" i="13"/>
  <c r="U32" i="13"/>
  <c r="V32" i="13"/>
  <c r="M36" i="13"/>
  <c r="N36" i="13"/>
  <c r="O36" i="13"/>
  <c r="P36" i="13"/>
  <c r="Q36" i="13"/>
  <c r="R36" i="13"/>
  <c r="S36" i="13"/>
  <c r="T36" i="13"/>
  <c r="U36" i="13"/>
  <c r="V36" i="13"/>
  <c r="M19" i="13"/>
  <c r="N19" i="13"/>
  <c r="O19" i="13"/>
  <c r="P19" i="13"/>
  <c r="Q19" i="13"/>
  <c r="R19" i="13"/>
  <c r="S19" i="13"/>
  <c r="T19" i="13"/>
  <c r="U19" i="13"/>
  <c r="V19" i="13"/>
  <c r="M49" i="13"/>
  <c r="N49" i="13"/>
  <c r="O49" i="13"/>
  <c r="P49" i="13"/>
  <c r="Q49" i="13"/>
  <c r="R49" i="13"/>
  <c r="S49" i="13"/>
  <c r="T49" i="13"/>
  <c r="U49" i="13"/>
  <c r="V49" i="13"/>
  <c r="M48" i="13"/>
  <c r="N48" i="13"/>
  <c r="O48" i="13"/>
  <c r="P48" i="13"/>
  <c r="Q48" i="13"/>
  <c r="R48" i="13"/>
  <c r="S48" i="13"/>
  <c r="T48" i="13"/>
  <c r="U48" i="13"/>
  <c r="V48" i="13"/>
  <c r="M51" i="13"/>
  <c r="N51" i="13"/>
  <c r="O51" i="13"/>
  <c r="P51" i="13"/>
  <c r="Q51" i="13"/>
  <c r="R51" i="13"/>
  <c r="S51" i="13"/>
  <c r="T51" i="13"/>
  <c r="U51" i="13"/>
  <c r="V51" i="13"/>
  <c r="M66" i="13"/>
  <c r="N66" i="13"/>
  <c r="O66" i="13"/>
  <c r="P66" i="13"/>
  <c r="Q66" i="13"/>
  <c r="R66" i="13"/>
  <c r="S66" i="13"/>
  <c r="T66" i="13"/>
  <c r="U66" i="13"/>
  <c r="V66" i="13"/>
  <c r="M53" i="13"/>
  <c r="N53" i="13"/>
  <c r="O53" i="13"/>
  <c r="P53" i="13"/>
  <c r="Q53" i="13"/>
  <c r="R53" i="13"/>
  <c r="S53" i="13"/>
  <c r="T53" i="13"/>
  <c r="U53" i="13"/>
  <c r="V53" i="13"/>
  <c r="M57" i="13"/>
  <c r="N57" i="13"/>
  <c r="O57" i="13"/>
  <c r="P57" i="13"/>
  <c r="Q57" i="13"/>
  <c r="R57" i="13"/>
  <c r="S57" i="13"/>
  <c r="T57" i="13"/>
  <c r="U57" i="13"/>
  <c r="V57" i="13"/>
  <c r="M65" i="13"/>
  <c r="N65" i="13"/>
  <c r="O65" i="13"/>
  <c r="P65" i="13"/>
  <c r="Q65" i="13"/>
  <c r="R65" i="13"/>
  <c r="S65" i="13"/>
  <c r="T65" i="13"/>
  <c r="U65" i="13"/>
  <c r="V65" i="13"/>
  <c r="M56" i="13"/>
  <c r="N56" i="13"/>
  <c r="O56" i="13"/>
  <c r="P56" i="13"/>
  <c r="Q56" i="13"/>
  <c r="R56" i="13"/>
  <c r="S56" i="13"/>
  <c r="T56" i="13"/>
  <c r="U56" i="13"/>
  <c r="V56" i="13"/>
  <c r="M39" i="13"/>
  <c r="N39" i="13"/>
  <c r="O39" i="13"/>
  <c r="P39" i="13"/>
  <c r="Q39" i="13"/>
  <c r="R39" i="13"/>
  <c r="S39" i="13"/>
  <c r="T39" i="13"/>
  <c r="U39" i="13"/>
  <c r="V39" i="13"/>
  <c r="M46" i="13"/>
  <c r="N46" i="13"/>
  <c r="O46" i="13"/>
  <c r="P46" i="13"/>
  <c r="Q46" i="13"/>
  <c r="R46" i="13"/>
  <c r="S46" i="13"/>
  <c r="T46" i="13"/>
  <c r="U46" i="13"/>
  <c r="V46" i="13"/>
  <c r="M34" i="13"/>
  <c r="N34" i="13"/>
  <c r="O34" i="13"/>
  <c r="P34" i="13"/>
  <c r="Q34" i="13"/>
  <c r="R34" i="13"/>
  <c r="S34" i="13"/>
  <c r="T34" i="13"/>
  <c r="U34" i="13"/>
  <c r="V34" i="13"/>
  <c r="M35" i="13"/>
  <c r="N35" i="13"/>
  <c r="O35" i="13"/>
  <c r="P35" i="13"/>
  <c r="Q35" i="13"/>
  <c r="R35" i="13"/>
  <c r="S35" i="13"/>
  <c r="T35" i="13"/>
  <c r="U35" i="13"/>
  <c r="V35" i="13"/>
  <c r="M61" i="13"/>
  <c r="N61" i="13"/>
  <c r="O61" i="13"/>
  <c r="P61" i="13"/>
  <c r="Q61" i="13"/>
  <c r="R61" i="13"/>
  <c r="S61" i="13"/>
  <c r="T61" i="13"/>
  <c r="U61" i="13"/>
  <c r="V61" i="13"/>
  <c r="M62" i="13"/>
  <c r="N62" i="13"/>
  <c r="O62" i="13"/>
  <c r="P62" i="13"/>
  <c r="Q62" i="13"/>
  <c r="R62" i="13"/>
  <c r="S62" i="13"/>
  <c r="T62" i="13"/>
  <c r="U62" i="13"/>
  <c r="V62" i="13"/>
  <c r="M16" i="13"/>
  <c r="N16" i="13"/>
  <c r="O16" i="13"/>
  <c r="P16" i="13"/>
  <c r="Q16" i="13"/>
  <c r="R16" i="13"/>
  <c r="S16" i="13"/>
  <c r="T16" i="13"/>
  <c r="U16" i="13"/>
  <c r="V16" i="13"/>
  <c r="M15" i="13"/>
  <c r="N15" i="13"/>
  <c r="O15" i="13"/>
  <c r="P15" i="13"/>
  <c r="Q15" i="13"/>
  <c r="R15" i="13"/>
  <c r="S15" i="13"/>
  <c r="T15" i="13"/>
  <c r="U15" i="13"/>
  <c r="V15" i="13"/>
  <c r="M58" i="13"/>
  <c r="N58" i="13"/>
  <c r="O58" i="13"/>
  <c r="P58" i="13"/>
  <c r="Q58" i="13"/>
  <c r="R58" i="13"/>
  <c r="S58" i="13"/>
  <c r="T58" i="13"/>
  <c r="U58" i="13"/>
  <c r="V58" i="13"/>
  <c r="M30" i="13"/>
  <c r="N30" i="13"/>
  <c r="O30" i="13"/>
  <c r="P30" i="13"/>
  <c r="Q30" i="13"/>
  <c r="R30" i="13"/>
  <c r="S30" i="13"/>
  <c r="T30" i="13"/>
  <c r="U30" i="13"/>
  <c r="V30" i="13"/>
  <c r="M67" i="13"/>
  <c r="N67" i="13"/>
  <c r="O67" i="13"/>
  <c r="P67" i="13"/>
  <c r="Q67" i="13"/>
  <c r="R67" i="13"/>
  <c r="S67" i="13"/>
  <c r="T67" i="13"/>
  <c r="U67" i="13"/>
  <c r="V67" i="13"/>
  <c r="M31" i="13"/>
  <c r="N31" i="13"/>
  <c r="O31" i="13"/>
  <c r="P31" i="13"/>
  <c r="Q31" i="13"/>
  <c r="R31" i="13"/>
  <c r="S31" i="13"/>
  <c r="T31" i="13"/>
  <c r="U31" i="13"/>
  <c r="V31" i="13"/>
  <c r="M45" i="13"/>
  <c r="N45" i="13"/>
  <c r="O45" i="13"/>
  <c r="P45" i="13"/>
  <c r="Q45" i="13"/>
  <c r="R45" i="13"/>
  <c r="S45" i="13"/>
  <c r="T45" i="13"/>
  <c r="U45" i="13"/>
  <c r="V45" i="13"/>
  <c r="M70" i="13"/>
  <c r="N70" i="13"/>
  <c r="O70" i="13"/>
  <c r="P70" i="13"/>
  <c r="Q70" i="13"/>
  <c r="R70" i="13"/>
  <c r="S70" i="13"/>
  <c r="T70" i="13"/>
  <c r="U70" i="13"/>
  <c r="V70" i="13"/>
  <c r="M77" i="13"/>
  <c r="N77" i="13"/>
  <c r="O77" i="13"/>
  <c r="P77" i="13"/>
  <c r="Q77" i="13"/>
  <c r="R77" i="13"/>
  <c r="S77" i="13"/>
  <c r="T77" i="13"/>
  <c r="U77" i="13"/>
  <c r="V77" i="13"/>
  <c r="M78" i="13"/>
  <c r="N78" i="13"/>
  <c r="O78" i="13"/>
  <c r="P78" i="13"/>
  <c r="Q78" i="13"/>
  <c r="R78" i="13"/>
  <c r="S78" i="13"/>
  <c r="T78" i="13"/>
  <c r="U78" i="13"/>
  <c r="V78" i="13"/>
  <c r="M73" i="13"/>
  <c r="N73" i="13"/>
  <c r="O73" i="13"/>
  <c r="P73" i="13"/>
  <c r="Q73" i="13"/>
  <c r="R73" i="13"/>
  <c r="S73" i="13"/>
  <c r="T73" i="13"/>
  <c r="U73" i="13"/>
  <c r="V73" i="13"/>
  <c r="M5" i="13"/>
  <c r="N5" i="13"/>
  <c r="O5" i="13"/>
  <c r="P5" i="13"/>
  <c r="Q5" i="13"/>
  <c r="R5" i="13"/>
  <c r="S5" i="13"/>
  <c r="T5" i="13"/>
  <c r="U5" i="13"/>
  <c r="V5" i="13"/>
  <c r="M7" i="13"/>
  <c r="N7" i="13"/>
  <c r="O7" i="13"/>
  <c r="P7" i="13"/>
  <c r="Q7" i="13"/>
  <c r="R7" i="13"/>
  <c r="S7" i="13"/>
  <c r="T7" i="13"/>
  <c r="U7" i="13"/>
  <c r="V7" i="13"/>
  <c r="M76" i="13"/>
  <c r="N76" i="13"/>
  <c r="O76" i="13"/>
  <c r="P76" i="13"/>
  <c r="Q76" i="13"/>
  <c r="R76" i="13"/>
  <c r="S76" i="13"/>
  <c r="T76" i="13"/>
  <c r="U76" i="13"/>
  <c r="V76" i="13"/>
  <c r="M71" i="13"/>
  <c r="N71" i="13"/>
  <c r="O71" i="13"/>
  <c r="P71" i="13"/>
  <c r="Q71" i="13"/>
  <c r="R71" i="13"/>
  <c r="S71" i="13"/>
  <c r="T71" i="13"/>
  <c r="U71" i="13"/>
  <c r="V71" i="13"/>
  <c r="M72" i="13"/>
  <c r="N72" i="13"/>
  <c r="O72" i="13"/>
  <c r="P72" i="13"/>
  <c r="Q72" i="13"/>
  <c r="R72" i="13"/>
  <c r="S72" i="13"/>
  <c r="T72" i="13"/>
  <c r="U72" i="13"/>
  <c r="V72" i="13"/>
  <c r="M79" i="13"/>
  <c r="N79" i="13"/>
  <c r="O79" i="13"/>
  <c r="P79" i="13"/>
  <c r="Q79" i="13"/>
  <c r="R79" i="13"/>
  <c r="S79" i="13"/>
  <c r="T79" i="13"/>
  <c r="U79" i="13"/>
  <c r="V79" i="13"/>
  <c r="V2" i="13"/>
  <c r="U2" i="13"/>
  <c r="N2" i="13"/>
  <c r="O2" i="13"/>
  <c r="P2" i="13"/>
  <c r="Q2" i="13"/>
  <c r="R2" i="13"/>
  <c r="S2" i="13"/>
  <c r="T2" i="13"/>
  <c r="M2" i="13"/>
  <c r="M22" i="7"/>
  <c r="N22" i="7"/>
  <c r="O22" i="7"/>
  <c r="P22" i="7"/>
  <c r="Q22" i="7"/>
  <c r="R22" i="7"/>
  <c r="S22" i="7"/>
  <c r="T22" i="7"/>
  <c r="U22" i="7"/>
  <c r="V22" i="7"/>
  <c r="M21" i="7"/>
  <c r="N21" i="7"/>
  <c r="O21" i="7"/>
  <c r="P21" i="7"/>
  <c r="Q21" i="7"/>
  <c r="R21" i="7"/>
  <c r="S21" i="7"/>
  <c r="T21" i="7"/>
  <c r="U21" i="7"/>
  <c r="V21" i="7"/>
  <c r="M55" i="7"/>
  <c r="N55" i="7"/>
  <c r="O55" i="7"/>
  <c r="P55" i="7"/>
  <c r="Q55" i="7"/>
  <c r="R55" i="7"/>
  <c r="S55" i="7"/>
  <c r="T55" i="7"/>
  <c r="U55" i="7"/>
  <c r="V55" i="7"/>
  <c r="M6" i="7"/>
  <c r="N6" i="7"/>
  <c r="O6" i="7"/>
  <c r="P6" i="7"/>
  <c r="Q6" i="7"/>
  <c r="R6" i="7"/>
  <c r="S6" i="7"/>
  <c r="T6" i="7"/>
  <c r="U6" i="7"/>
  <c r="V6" i="7"/>
  <c r="M75" i="7"/>
  <c r="N75" i="7"/>
  <c r="O75" i="7"/>
  <c r="P75" i="7"/>
  <c r="Q75" i="7"/>
  <c r="R75" i="7"/>
  <c r="S75" i="7"/>
  <c r="T75" i="7"/>
  <c r="U75" i="7"/>
  <c r="V75" i="7"/>
  <c r="M54" i="7"/>
  <c r="N54" i="7"/>
  <c r="O54" i="7"/>
  <c r="P54" i="7"/>
  <c r="Q54" i="7"/>
  <c r="R54" i="7"/>
  <c r="S54" i="7"/>
  <c r="T54" i="7"/>
  <c r="U54" i="7"/>
  <c r="V54" i="7"/>
  <c r="M9" i="7"/>
  <c r="N9" i="7"/>
  <c r="O9" i="7"/>
  <c r="P9" i="7"/>
  <c r="Q9" i="7"/>
  <c r="R9" i="7"/>
  <c r="S9" i="7"/>
  <c r="T9" i="7"/>
  <c r="U9" i="7"/>
  <c r="V9" i="7"/>
  <c r="M74" i="7"/>
  <c r="N74" i="7"/>
  <c r="O74" i="7"/>
  <c r="P74" i="7"/>
  <c r="Q74" i="7"/>
  <c r="R74" i="7"/>
  <c r="S74" i="7"/>
  <c r="T74" i="7"/>
  <c r="U74" i="7"/>
  <c r="V74" i="7"/>
  <c r="M50" i="7"/>
  <c r="N50" i="7"/>
  <c r="O50" i="7"/>
  <c r="P50" i="7"/>
  <c r="Q50" i="7"/>
  <c r="R50" i="7"/>
  <c r="S50" i="7"/>
  <c r="T50" i="7"/>
  <c r="U50" i="7"/>
  <c r="V50" i="7"/>
  <c r="M52" i="7"/>
  <c r="N52" i="7"/>
  <c r="O52" i="7"/>
  <c r="P52" i="7"/>
  <c r="Q52" i="7"/>
  <c r="R52" i="7"/>
  <c r="S52" i="7"/>
  <c r="T52" i="7"/>
  <c r="U52" i="7"/>
  <c r="V52" i="7"/>
  <c r="M13" i="7"/>
  <c r="N13" i="7"/>
  <c r="O13" i="7"/>
  <c r="P13" i="7"/>
  <c r="Q13" i="7"/>
  <c r="R13" i="7"/>
  <c r="S13" i="7"/>
  <c r="T13" i="7"/>
  <c r="U13" i="7"/>
  <c r="V13" i="7"/>
  <c r="M14" i="7"/>
  <c r="N14" i="7"/>
  <c r="O14" i="7"/>
  <c r="P14" i="7"/>
  <c r="Q14" i="7"/>
  <c r="R14" i="7"/>
  <c r="S14" i="7"/>
  <c r="T14" i="7"/>
  <c r="U14" i="7"/>
  <c r="V14" i="7"/>
  <c r="M24" i="7"/>
  <c r="N24" i="7"/>
  <c r="O24" i="7"/>
  <c r="P24" i="7"/>
  <c r="Q24" i="7"/>
  <c r="R24" i="7"/>
  <c r="S24" i="7"/>
  <c r="T24" i="7"/>
  <c r="U24" i="7"/>
  <c r="V24" i="7"/>
  <c r="M23" i="7"/>
  <c r="N23" i="7"/>
  <c r="O23" i="7"/>
  <c r="P23" i="7"/>
  <c r="Q23" i="7"/>
  <c r="R23" i="7"/>
  <c r="S23" i="7"/>
  <c r="T23" i="7"/>
  <c r="U23" i="7"/>
  <c r="V23" i="7"/>
  <c r="M26" i="7"/>
  <c r="N26" i="7"/>
  <c r="O26" i="7"/>
  <c r="P26" i="7"/>
  <c r="Q26" i="7"/>
  <c r="R26" i="7"/>
  <c r="S26" i="7"/>
  <c r="T26" i="7"/>
  <c r="U26" i="7"/>
  <c r="V26" i="7"/>
  <c r="M18" i="7"/>
  <c r="N18" i="7"/>
  <c r="O18" i="7"/>
  <c r="P18" i="7"/>
  <c r="Q18" i="7"/>
  <c r="R18" i="7"/>
  <c r="S18" i="7"/>
  <c r="T18" i="7"/>
  <c r="U18" i="7"/>
  <c r="V18" i="7"/>
  <c r="M64" i="7"/>
  <c r="N64" i="7"/>
  <c r="O64" i="7"/>
  <c r="P64" i="7"/>
  <c r="Q64" i="7"/>
  <c r="R64" i="7"/>
  <c r="S64" i="7"/>
  <c r="T64" i="7"/>
  <c r="U64" i="7"/>
  <c r="V64" i="7"/>
  <c r="M20" i="7"/>
  <c r="N20" i="7"/>
  <c r="O20" i="7"/>
  <c r="P20" i="7"/>
  <c r="Q20" i="7"/>
  <c r="R20" i="7"/>
  <c r="S20" i="7"/>
  <c r="T20" i="7"/>
  <c r="U20" i="7"/>
  <c r="V20" i="7"/>
  <c r="M10" i="7"/>
  <c r="N10" i="7"/>
  <c r="O10" i="7"/>
  <c r="P10" i="7"/>
  <c r="Q10" i="7"/>
  <c r="R10" i="7"/>
  <c r="S10" i="7"/>
  <c r="T10" i="7"/>
  <c r="U10" i="7"/>
  <c r="V10" i="7"/>
  <c r="M69" i="7"/>
  <c r="N69" i="7"/>
  <c r="O69" i="7"/>
  <c r="P69" i="7"/>
  <c r="Q69" i="7"/>
  <c r="R69" i="7"/>
  <c r="S69" i="7"/>
  <c r="T69" i="7"/>
  <c r="U69" i="7"/>
  <c r="V69" i="7"/>
  <c r="M42" i="7"/>
  <c r="N42" i="7"/>
  <c r="O42" i="7"/>
  <c r="P42" i="7"/>
  <c r="Q42" i="7"/>
  <c r="R42" i="7"/>
  <c r="S42" i="7"/>
  <c r="T42" i="7"/>
  <c r="U42" i="7"/>
  <c r="V42" i="7"/>
  <c r="M11" i="7"/>
  <c r="N11" i="7"/>
  <c r="O11" i="7"/>
  <c r="P11" i="7"/>
  <c r="Q11" i="7"/>
  <c r="R11" i="7"/>
  <c r="S11" i="7"/>
  <c r="T11" i="7"/>
  <c r="U11" i="7"/>
  <c r="V11" i="7"/>
  <c r="M25" i="7"/>
  <c r="N25" i="7"/>
  <c r="O25" i="7"/>
  <c r="P25" i="7"/>
  <c r="Q25" i="7"/>
  <c r="R25" i="7"/>
  <c r="S25" i="7"/>
  <c r="T25" i="7"/>
  <c r="U25" i="7"/>
  <c r="V25" i="7"/>
  <c r="M8" i="7"/>
  <c r="N8" i="7"/>
  <c r="O8" i="7"/>
  <c r="P8" i="7"/>
  <c r="Q8" i="7"/>
  <c r="R8" i="7"/>
  <c r="S8" i="7"/>
  <c r="T8" i="7"/>
  <c r="U8" i="7"/>
  <c r="V8" i="7"/>
  <c r="M68" i="7"/>
  <c r="N68" i="7"/>
  <c r="O68" i="7"/>
  <c r="P68" i="7"/>
  <c r="Q68" i="7"/>
  <c r="R68" i="7"/>
  <c r="S68" i="7"/>
  <c r="T68" i="7"/>
  <c r="U68" i="7"/>
  <c r="V68" i="7"/>
  <c r="M28" i="7"/>
  <c r="N28" i="7"/>
  <c r="O28" i="7"/>
  <c r="P28" i="7"/>
  <c r="Q28" i="7"/>
  <c r="R28" i="7"/>
  <c r="S28" i="7"/>
  <c r="T28" i="7"/>
  <c r="U28" i="7"/>
  <c r="V28" i="7"/>
  <c r="M29" i="7"/>
  <c r="N29" i="7"/>
  <c r="O29" i="7"/>
  <c r="P29" i="7"/>
  <c r="Q29" i="7"/>
  <c r="R29" i="7"/>
  <c r="S29" i="7"/>
  <c r="T29" i="7"/>
  <c r="U29" i="7"/>
  <c r="V29" i="7"/>
  <c r="M59" i="7"/>
  <c r="N59" i="7"/>
  <c r="O59" i="7"/>
  <c r="P59" i="7"/>
  <c r="Q59" i="7"/>
  <c r="R59" i="7"/>
  <c r="S59" i="7"/>
  <c r="T59" i="7"/>
  <c r="U59" i="7"/>
  <c r="V59" i="7"/>
  <c r="M43" i="7"/>
  <c r="N43" i="7"/>
  <c r="O43" i="7"/>
  <c r="P43" i="7"/>
  <c r="Q43" i="7"/>
  <c r="R43" i="7"/>
  <c r="S43" i="7"/>
  <c r="T43" i="7"/>
  <c r="U43" i="7"/>
  <c r="V43" i="7"/>
  <c r="M27" i="7"/>
  <c r="N27" i="7"/>
  <c r="O27" i="7"/>
  <c r="P27" i="7"/>
  <c r="Q27" i="7"/>
  <c r="R27" i="7"/>
  <c r="S27" i="7"/>
  <c r="T27" i="7"/>
  <c r="U27" i="7"/>
  <c r="V27" i="7"/>
  <c r="M33" i="7"/>
  <c r="N33" i="7"/>
  <c r="O33" i="7"/>
  <c r="P33" i="7"/>
  <c r="Q33" i="7"/>
  <c r="R33" i="7"/>
  <c r="S33" i="7"/>
  <c r="T33" i="7"/>
  <c r="U33" i="7"/>
  <c r="V33" i="7"/>
  <c r="M12" i="7"/>
  <c r="N12" i="7"/>
  <c r="O12" i="7"/>
  <c r="P12" i="7"/>
  <c r="Q12" i="7"/>
  <c r="R12" i="7"/>
  <c r="S12" i="7"/>
  <c r="T12" i="7"/>
  <c r="U12" i="7"/>
  <c r="V12" i="7"/>
  <c r="M60" i="7"/>
  <c r="N60" i="7"/>
  <c r="O60" i="7"/>
  <c r="P60" i="7"/>
  <c r="Q60" i="7"/>
  <c r="R60" i="7"/>
  <c r="S60" i="7"/>
  <c r="T60" i="7"/>
  <c r="U60" i="7"/>
  <c r="V60" i="7"/>
  <c r="M63" i="7"/>
  <c r="N63" i="7"/>
  <c r="O63" i="7"/>
  <c r="P63" i="7"/>
  <c r="Q63" i="7"/>
  <c r="R63" i="7"/>
  <c r="S63" i="7"/>
  <c r="T63" i="7"/>
  <c r="U63" i="7"/>
  <c r="V63" i="7"/>
  <c r="M37" i="7"/>
  <c r="N37" i="7"/>
  <c r="O37" i="7"/>
  <c r="P37" i="7"/>
  <c r="Q37" i="7"/>
  <c r="R37" i="7"/>
  <c r="S37" i="7"/>
  <c r="T37" i="7"/>
  <c r="U37" i="7"/>
  <c r="V37" i="7"/>
  <c r="M4" i="7"/>
  <c r="N4" i="7"/>
  <c r="O4" i="7"/>
  <c r="P4" i="7"/>
  <c r="Q4" i="7"/>
  <c r="R4" i="7"/>
  <c r="S4" i="7"/>
  <c r="T4" i="7"/>
  <c r="U4" i="7"/>
  <c r="V4" i="7"/>
  <c r="M47" i="7"/>
  <c r="N47" i="7"/>
  <c r="O47" i="7"/>
  <c r="P47" i="7"/>
  <c r="Q47" i="7"/>
  <c r="R47" i="7"/>
  <c r="S47" i="7"/>
  <c r="T47" i="7"/>
  <c r="U47" i="7"/>
  <c r="V47" i="7"/>
  <c r="M40" i="7"/>
  <c r="N40" i="7"/>
  <c r="O40" i="7"/>
  <c r="P40" i="7"/>
  <c r="Q40" i="7"/>
  <c r="R40" i="7"/>
  <c r="S40" i="7"/>
  <c r="T40" i="7"/>
  <c r="U40" i="7"/>
  <c r="V40" i="7"/>
  <c r="M41" i="7"/>
  <c r="N41" i="7"/>
  <c r="O41" i="7"/>
  <c r="P41" i="7"/>
  <c r="Q41" i="7"/>
  <c r="R41" i="7"/>
  <c r="S41" i="7"/>
  <c r="T41" i="7"/>
  <c r="U41" i="7"/>
  <c r="V41" i="7"/>
  <c r="M17" i="7"/>
  <c r="N17" i="7"/>
  <c r="O17" i="7"/>
  <c r="P17" i="7"/>
  <c r="Q17" i="7"/>
  <c r="R17" i="7"/>
  <c r="S17" i="7"/>
  <c r="T17" i="7"/>
  <c r="U17" i="7"/>
  <c r="V17" i="7"/>
  <c r="M38" i="7"/>
  <c r="N38" i="7"/>
  <c r="O38" i="7"/>
  <c r="P38" i="7"/>
  <c r="Q38" i="7"/>
  <c r="R38" i="7"/>
  <c r="S38" i="7"/>
  <c r="T38" i="7"/>
  <c r="U38" i="7"/>
  <c r="V38" i="7"/>
  <c r="M44" i="7"/>
  <c r="N44" i="7"/>
  <c r="O44" i="7"/>
  <c r="P44" i="7"/>
  <c r="Q44" i="7"/>
  <c r="R44" i="7"/>
  <c r="S44" i="7"/>
  <c r="T44" i="7"/>
  <c r="U44" i="7"/>
  <c r="V44" i="7"/>
  <c r="M3" i="7"/>
  <c r="N3" i="7"/>
  <c r="O3" i="7"/>
  <c r="P3" i="7"/>
  <c r="Q3" i="7"/>
  <c r="R3" i="7"/>
  <c r="S3" i="7"/>
  <c r="T3" i="7"/>
  <c r="U3" i="7"/>
  <c r="V3" i="7"/>
  <c r="M32" i="7"/>
  <c r="N32" i="7"/>
  <c r="O32" i="7"/>
  <c r="P32" i="7"/>
  <c r="Q32" i="7"/>
  <c r="R32" i="7"/>
  <c r="S32" i="7"/>
  <c r="T32" i="7"/>
  <c r="U32" i="7"/>
  <c r="V32" i="7"/>
  <c r="M36" i="7"/>
  <c r="N36" i="7"/>
  <c r="O36" i="7"/>
  <c r="P36" i="7"/>
  <c r="Q36" i="7"/>
  <c r="R36" i="7"/>
  <c r="S36" i="7"/>
  <c r="T36" i="7"/>
  <c r="U36" i="7"/>
  <c r="V36" i="7"/>
  <c r="M19" i="7"/>
  <c r="N19" i="7"/>
  <c r="O19" i="7"/>
  <c r="P19" i="7"/>
  <c r="Q19" i="7"/>
  <c r="R19" i="7"/>
  <c r="S19" i="7"/>
  <c r="T19" i="7"/>
  <c r="U19" i="7"/>
  <c r="V19" i="7"/>
  <c r="M49" i="7"/>
  <c r="N49" i="7"/>
  <c r="O49" i="7"/>
  <c r="P49" i="7"/>
  <c r="Q49" i="7"/>
  <c r="R49" i="7"/>
  <c r="S49" i="7"/>
  <c r="T49" i="7"/>
  <c r="U49" i="7"/>
  <c r="V49" i="7"/>
  <c r="M48" i="7"/>
  <c r="N48" i="7"/>
  <c r="O48" i="7"/>
  <c r="P48" i="7"/>
  <c r="Q48" i="7"/>
  <c r="R48" i="7"/>
  <c r="S48" i="7"/>
  <c r="T48" i="7"/>
  <c r="U48" i="7"/>
  <c r="V48" i="7"/>
  <c r="M51" i="7"/>
  <c r="N51" i="7"/>
  <c r="O51" i="7"/>
  <c r="P51" i="7"/>
  <c r="Q51" i="7"/>
  <c r="R51" i="7"/>
  <c r="S51" i="7"/>
  <c r="T51" i="7"/>
  <c r="U51" i="7"/>
  <c r="V51" i="7"/>
  <c r="M66" i="7"/>
  <c r="N66" i="7"/>
  <c r="O66" i="7"/>
  <c r="P66" i="7"/>
  <c r="Q66" i="7"/>
  <c r="R66" i="7"/>
  <c r="S66" i="7"/>
  <c r="T66" i="7"/>
  <c r="U66" i="7"/>
  <c r="V66" i="7"/>
  <c r="M53" i="7"/>
  <c r="N53" i="7"/>
  <c r="O53" i="7"/>
  <c r="P53" i="7"/>
  <c r="Q53" i="7"/>
  <c r="R53" i="7"/>
  <c r="S53" i="7"/>
  <c r="T53" i="7"/>
  <c r="U53" i="7"/>
  <c r="V53" i="7"/>
  <c r="M57" i="7"/>
  <c r="N57" i="7"/>
  <c r="O57" i="7"/>
  <c r="P57" i="7"/>
  <c r="Q57" i="7"/>
  <c r="R57" i="7"/>
  <c r="S57" i="7"/>
  <c r="T57" i="7"/>
  <c r="U57" i="7"/>
  <c r="V57" i="7"/>
  <c r="M65" i="7"/>
  <c r="N65" i="7"/>
  <c r="O65" i="7"/>
  <c r="P65" i="7"/>
  <c r="Q65" i="7"/>
  <c r="R65" i="7"/>
  <c r="S65" i="7"/>
  <c r="T65" i="7"/>
  <c r="U65" i="7"/>
  <c r="V65" i="7"/>
  <c r="M56" i="7"/>
  <c r="N56" i="7"/>
  <c r="O56" i="7"/>
  <c r="P56" i="7"/>
  <c r="Q56" i="7"/>
  <c r="R56" i="7"/>
  <c r="S56" i="7"/>
  <c r="T56" i="7"/>
  <c r="U56" i="7"/>
  <c r="V56" i="7"/>
  <c r="M39" i="7"/>
  <c r="N39" i="7"/>
  <c r="O39" i="7"/>
  <c r="P39" i="7"/>
  <c r="Q39" i="7"/>
  <c r="R39" i="7"/>
  <c r="S39" i="7"/>
  <c r="T39" i="7"/>
  <c r="U39" i="7"/>
  <c r="V39" i="7"/>
  <c r="M46" i="7"/>
  <c r="N46" i="7"/>
  <c r="O46" i="7"/>
  <c r="P46" i="7"/>
  <c r="Q46" i="7"/>
  <c r="R46" i="7"/>
  <c r="S46" i="7"/>
  <c r="T46" i="7"/>
  <c r="U46" i="7"/>
  <c r="V46" i="7"/>
  <c r="M34" i="7"/>
  <c r="N34" i="7"/>
  <c r="O34" i="7"/>
  <c r="P34" i="7"/>
  <c r="Q34" i="7"/>
  <c r="R34" i="7"/>
  <c r="S34" i="7"/>
  <c r="T34" i="7"/>
  <c r="U34" i="7"/>
  <c r="V34" i="7"/>
  <c r="M35" i="7"/>
  <c r="N35" i="7"/>
  <c r="O35" i="7"/>
  <c r="P35" i="7"/>
  <c r="Q35" i="7"/>
  <c r="R35" i="7"/>
  <c r="S35" i="7"/>
  <c r="T35" i="7"/>
  <c r="U35" i="7"/>
  <c r="V35" i="7"/>
  <c r="M61" i="7"/>
  <c r="N61" i="7"/>
  <c r="O61" i="7"/>
  <c r="P61" i="7"/>
  <c r="Q61" i="7"/>
  <c r="R61" i="7"/>
  <c r="S61" i="7"/>
  <c r="T61" i="7"/>
  <c r="U61" i="7"/>
  <c r="V61" i="7"/>
  <c r="M62" i="7"/>
  <c r="N62" i="7"/>
  <c r="O62" i="7"/>
  <c r="P62" i="7"/>
  <c r="Q62" i="7"/>
  <c r="R62" i="7"/>
  <c r="S62" i="7"/>
  <c r="T62" i="7"/>
  <c r="U62" i="7"/>
  <c r="V62" i="7"/>
  <c r="M16" i="7"/>
  <c r="N16" i="7"/>
  <c r="O16" i="7"/>
  <c r="P16" i="7"/>
  <c r="Q16" i="7"/>
  <c r="R16" i="7"/>
  <c r="S16" i="7"/>
  <c r="T16" i="7"/>
  <c r="U16" i="7"/>
  <c r="V16" i="7"/>
  <c r="M15" i="7"/>
  <c r="N15" i="7"/>
  <c r="O15" i="7"/>
  <c r="P15" i="7"/>
  <c r="Q15" i="7"/>
  <c r="R15" i="7"/>
  <c r="S15" i="7"/>
  <c r="T15" i="7"/>
  <c r="U15" i="7"/>
  <c r="V15" i="7"/>
  <c r="M58" i="7"/>
  <c r="N58" i="7"/>
  <c r="O58" i="7"/>
  <c r="P58" i="7"/>
  <c r="Q58" i="7"/>
  <c r="R58" i="7"/>
  <c r="S58" i="7"/>
  <c r="T58" i="7"/>
  <c r="U58" i="7"/>
  <c r="V58" i="7"/>
  <c r="M30" i="7"/>
  <c r="N30" i="7"/>
  <c r="O30" i="7"/>
  <c r="P30" i="7"/>
  <c r="Q30" i="7"/>
  <c r="R30" i="7"/>
  <c r="S30" i="7"/>
  <c r="T30" i="7"/>
  <c r="U30" i="7"/>
  <c r="V30" i="7"/>
  <c r="M67" i="7"/>
  <c r="N67" i="7"/>
  <c r="O67" i="7"/>
  <c r="P67" i="7"/>
  <c r="Q67" i="7"/>
  <c r="R67" i="7"/>
  <c r="S67" i="7"/>
  <c r="T67" i="7"/>
  <c r="U67" i="7"/>
  <c r="V67" i="7"/>
  <c r="M31" i="7"/>
  <c r="N31" i="7"/>
  <c r="O31" i="7"/>
  <c r="P31" i="7"/>
  <c r="Q31" i="7"/>
  <c r="R31" i="7"/>
  <c r="S31" i="7"/>
  <c r="T31" i="7"/>
  <c r="U31" i="7"/>
  <c r="V31" i="7"/>
  <c r="M45" i="7"/>
  <c r="N45" i="7"/>
  <c r="O45" i="7"/>
  <c r="P45" i="7"/>
  <c r="Q45" i="7"/>
  <c r="R45" i="7"/>
  <c r="S45" i="7"/>
  <c r="T45" i="7"/>
  <c r="U45" i="7"/>
  <c r="V45" i="7"/>
  <c r="M70" i="7"/>
  <c r="N70" i="7"/>
  <c r="O70" i="7"/>
  <c r="P70" i="7"/>
  <c r="Q70" i="7"/>
  <c r="R70" i="7"/>
  <c r="S70" i="7"/>
  <c r="T70" i="7"/>
  <c r="U70" i="7"/>
  <c r="V70" i="7"/>
  <c r="M77" i="7"/>
  <c r="N77" i="7"/>
  <c r="O77" i="7"/>
  <c r="P77" i="7"/>
  <c r="Q77" i="7"/>
  <c r="R77" i="7"/>
  <c r="S77" i="7"/>
  <c r="T77" i="7"/>
  <c r="U77" i="7"/>
  <c r="V77" i="7"/>
  <c r="M78" i="7"/>
  <c r="N78" i="7"/>
  <c r="O78" i="7"/>
  <c r="P78" i="7"/>
  <c r="Q78" i="7"/>
  <c r="R78" i="7"/>
  <c r="S78" i="7"/>
  <c r="T78" i="7"/>
  <c r="U78" i="7"/>
  <c r="V78" i="7"/>
  <c r="M73" i="7"/>
  <c r="N73" i="7"/>
  <c r="O73" i="7"/>
  <c r="P73" i="7"/>
  <c r="Q73" i="7"/>
  <c r="R73" i="7"/>
  <c r="S73" i="7"/>
  <c r="T73" i="7"/>
  <c r="U73" i="7"/>
  <c r="V73" i="7"/>
  <c r="M5" i="7"/>
  <c r="N5" i="7"/>
  <c r="O5" i="7"/>
  <c r="P5" i="7"/>
  <c r="Q5" i="7"/>
  <c r="R5" i="7"/>
  <c r="S5" i="7"/>
  <c r="T5" i="7"/>
  <c r="U5" i="7"/>
  <c r="V5" i="7"/>
  <c r="M7" i="7"/>
  <c r="N7" i="7"/>
  <c r="O7" i="7"/>
  <c r="P7" i="7"/>
  <c r="Q7" i="7"/>
  <c r="R7" i="7"/>
  <c r="S7" i="7"/>
  <c r="T7" i="7"/>
  <c r="U7" i="7"/>
  <c r="V7" i="7"/>
  <c r="M76" i="7"/>
  <c r="N76" i="7"/>
  <c r="O76" i="7"/>
  <c r="P76" i="7"/>
  <c r="Q76" i="7"/>
  <c r="R76" i="7"/>
  <c r="S76" i="7"/>
  <c r="T76" i="7"/>
  <c r="U76" i="7"/>
  <c r="V76" i="7"/>
  <c r="M71" i="7"/>
  <c r="N71" i="7"/>
  <c r="O71" i="7"/>
  <c r="P71" i="7"/>
  <c r="Q71" i="7"/>
  <c r="R71" i="7"/>
  <c r="S71" i="7"/>
  <c r="T71" i="7"/>
  <c r="U71" i="7"/>
  <c r="V71" i="7"/>
  <c r="M72" i="7"/>
  <c r="N72" i="7"/>
  <c r="O72" i="7"/>
  <c r="P72" i="7"/>
  <c r="Q72" i="7"/>
  <c r="R72" i="7"/>
  <c r="S72" i="7"/>
  <c r="T72" i="7"/>
  <c r="U72" i="7"/>
  <c r="V72" i="7"/>
  <c r="M79" i="7"/>
  <c r="N79" i="7"/>
  <c r="O79" i="7"/>
  <c r="P79" i="7"/>
  <c r="Q79" i="7"/>
  <c r="R79" i="7"/>
  <c r="S79" i="7"/>
  <c r="T79" i="7"/>
  <c r="U79" i="7"/>
  <c r="V79" i="7"/>
  <c r="V2" i="7"/>
  <c r="U2" i="7"/>
  <c r="N2" i="7"/>
  <c r="O2" i="7"/>
  <c r="P2" i="7"/>
  <c r="Q2" i="7"/>
  <c r="R2" i="7"/>
  <c r="S2" i="7"/>
  <c r="T2" i="7"/>
  <c r="M2" i="7"/>
  <c r="M22" i="10"/>
  <c r="N22" i="10"/>
  <c r="O22" i="10"/>
  <c r="P22" i="10"/>
  <c r="Q22" i="10"/>
  <c r="R22" i="10"/>
  <c r="S22" i="10"/>
  <c r="T22" i="10"/>
  <c r="U22" i="10"/>
  <c r="V22" i="10"/>
  <c r="M21" i="10"/>
  <c r="N21" i="10"/>
  <c r="O21" i="10"/>
  <c r="P21" i="10"/>
  <c r="Q21" i="10"/>
  <c r="R21" i="10"/>
  <c r="S21" i="10"/>
  <c r="T21" i="10"/>
  <c r="U21" i="10"/>
  <c r="V21" i="10"/>
  <c r="M55" i="10"/>
  <c r="N55" i="10"/>
  <c r="O55" i="10"/>
  <c r="P55" i="10"/>
  <c r="Q55" i="10"/>
  <c r="R55" i="10"/>
  <c r="S55" i="10"/>
  <c r="T55" i="10"/>
  <c r="U55" i="10"/>
  <c r="V55" i="10"/>
  <c r="M6" i="10"/>
  <c r="N6" i="10"/>
  <c r="O6" i="10"/>
  <c r="P6" i="10"/>
  <c r="Q6" i="10"/>
  <c r="R6" i="10"/>
  <c r="S6" i="10"/>
  <c r="T6" i="10"/>
  <c r="U6" i="10"/>
  <c r="V6" i="10"/>
  <c r="M75" i="10"/>
  <c r="N75" i="10"/>
  <c r="O75" i="10"/>
  <c r="P75" i="10"/>
  <c r="Q75" i="10"/>
  <c r="R75" i="10"/>
  <c r="S75" i="10"/>
  <c r="T75" i="10"/>
  <c r="U75" i="10"/>
  <c r="V75" i="10"/>
  <c r="M54" i="10"/>
  <c r="N54" i="10"/>
  <c r="O54" i="10"/>
  <c r="P54" i="10"/>
  <c r="Q54" i="10"/>
  <c r="R54" i="10"/>
  <c r="S54" i="10"/>
  <c r="T54" i="10"/>
  <c r="U54" i="10"/>
  <c r="V54" i="10"/>
  <c r="M9" i="10"/>
  <c r="N9" i="10"/>
  <c r="O9" i="10"/>
  <c r="P9" i="10"/>
  <c r="Q9" i="10"/>
  <c r="R9" i="10"/>
  <c r="S9" i="10"/>
  <c r="T9" i="10"/>
  <c r="U9" i="10"/>
  <c r="V9" i="10"/>
  <c r="M74" i="10"/>
  <c r="N74" i="10"/>
  <c r="O74" i="10"/>
  <c r="P74" i="10"/>
  <c r="Q74" i="10"/>
  <c r="R74" i="10"/>
  <c r="S74" i="10"/>
  <c r="T74" i="10"/>
  <c r="U74" i="10"/>
  <c r="V74" i="10"/>
  <c r="M50" i="10"/>
  <c r="N50" i="10"/>
  <c r="O50" i="10"/>
  <c r="P50" i="10"/>
  <c r="Q50" i="10"/>
  <c r="R50" i="10"/>
  <c r="S50" i="10"/>
  <c r="T50" i="10"/>
  <c r="U50" i="10"/>
  <c r="V50" i="10"/>
  <c r="M52" i="10"/>
  <c r="N52" i="10"/>
  <c r="O52" i="10"/>
  <c r="P52" i="10"/>
  <c r="Q52" i="10"/>
  <c r="R52" i="10"/>
  <c r="S52" i="10"/>
  <c r="T52" i="10"/>
  <c r="U52" i="10"/>
  <c r="V52" i="10"/>
  <c r="M13" i="10"/>
  <c r="N13" i="10"/>
  <c r="O13" i="10"/>
  <c r="P13" i="10"/>
  <c r="Q13" i="10"/>
  <c r="R13" i="10"/>
  <c r="S13" i="10"/>
  <c r="T13" i="10"/>
  <c r="U13" i="10"/>
  <c r="V13" i="10"/>
  <c r="M14" i="10"/>
  <c r="N14" i="10"/>
  <c r="O14" i="10"/>
  <c r="P14" i="10"/>
  <c r="Q14" i="10"/>
  <c r="R14" i="10"/>
  <c r="S14" i="10"/>
  <c r="T14" i="10"/>
  <c r="U14" i="10"/>
  <c r="V14" i="10"/>
  <c r="M24" i="10"/>
  <c r="N24" i="10"/>
  <c r="O24" i="10"/>
  <c r="P24" i="10"/>
  <c r="Q24" i="10"/>
  <c r="R24" i="10"/>
  <c r="S24" i="10"/>
  <c r="T24" i="10"/>
  <c r="U24" i="10"/>
  <c r="V24" i="10"/>
  <c r="M23" i="10"/>
  <c r="N23" i="10"/>
  <c r="O23" i="10"/>
  <c r="P23" i="10"/>
  <c r="Q23" i="10"/>
  <c r="R23" i="10"/>
  <c r="S23" i="10"/>
  <c r="T23" i="10"/>
  <c r="U23" i="10"/>
  <c r="V23" i="10"/>
  <c r="M26" i="10"/>
  <c r="N26" i="10"/>
  <c r="O26" i="10"/>
  <c r="P26" i="10"/>
  <c r="Q26" i="10"/>
  <c r="R26" i="10"/>
  <c r="S26" i="10"/>
  <c r="T26" i="10"/>
  <c r="U26" i="10"/>
  <c r="V26" i="10"/>
  <c r="M18" i="10"/>
  <c r="N18" i="10"/>
  <c r="O18" i="10"/>
  <c r="P18" i="10"/>
  <c r="Q18" i="10"/>
  <c r="R18" i="10"/>
  <c r="S18" i="10"/>
  <c r="T18" i="10"/>
  <c r="U18" i="10"/>
  <c r="V18" i="10"/>
  <c r="M64" i="10"/>
  <c r="N64" i="10"/>
  <c r="O64" i="10"/>
  <c r="P64" i="10"/>
  <c r="Q64" i="10"/>
  <c r="R64" i="10"/>
  <c r="S64" i="10"/>
  <c r="T64" i="10"/>
  <c r="U64" i="10"/>
  <c r="V64" i="10"/>
  <c r="M20" i="10"/>
  <c r="N20" i="10"/>
  <c r="O20" i="10"/>
  <c r="P20" i="10"/>
  <c r="Q20" i="10"/>
  <c r="R20" i="10"/>
  <c r="S20" i="10"/>
  <c r="T20" i="10"/>
  <c r="U20" i="10"/>
  <c r="V20" i="10"/>
  <c r="M10" i="10"/>
  <c r="N10" i="10"/>
  <c r="O10" i="10"/>
  <c r="P10" i="10"/>
  <c r="Q10" i="10"/>
  <c r="R10" i="10"/>
  <c r="S10" i="10"/>
  <c r="T10" i="10"/>
  <c r="U10" i="10"/>
  <c r="V10" i="10"/>
  <c r="M69" i="10"/>
  <c r="N69" i="10"/>
  <c r="O69" i="10"/>
  <c r="P69" i="10"/>
  <c r="Q69" i="10"/>
  <c r="R69" i="10"/>
  <c r="S69" i="10"/>
  <c r="T69" i="10"/>
  <c r="U69" i="10"/>
  <c r="V69" i="10"/>
  <c r="M42" i="10"/>
  <c r="N42" i="10"/>
  <c r="O42" i="10"/>
  <c r="P42" i="10"/>
  <c r="Q42" i="10"/>
  <c r="R42" i="10"/>
  <c r="S42" i="10"/>
  <c r="T42" i="10"/>
  <c r="U42" i="10"/>
  <c r="V42" i="10"/>
  <c r="M11" i="10"/>
  <c r="N11" i="10"/>
  <c r="O11" i="10"/>
  <c r="P11" i="10"/>
  <c r="Q11" i="10"/>
  <c r="R11" i="10"/>
  <c r="S11" i="10"/>
  <c r="T11" i="10"/>
  <c r="U11" i="10"/>
  <c r="V11" i="10"/>
  <c r="M25" i="10"/>
  <c r="N25" i="10"/>
  <c r="O25" i="10"/>
  <c r="P25" i="10"/>
  <c r="Q25" i="10"/>
  <c r="R25" i="10"/>
  <c r="S25" i="10"/>
  <c r="T25" i="10"/>
  <c r="U25" i="10"/>
  <c r="V25" i="10"/>
  <c r="M8" i="10"/>
  <c r="N8" i="10"/>
  <c r="O8" i="10"/>
  <c r="P8" i="10"/>
  <c r="Q8" i="10"/>
  <c r="R8" i="10"/>
  <c r="S8" i="10"/>
  <c r="T8" i="10"/>
  <c r="U8" i="10"/>
  <c r="V8" i="10"/>
  <c r="M68" i="10"/>
  <c r="N68" i="10"/>
  <c r="O68" i="10"/>
  <c r="P68" i="10"/>
  <c r="Q68" i="10"/>
  <c r="R68" i="10"/>
  <c r="S68" i="10"/>
  <c r="T68" i="10"/>
  <c r="U68" i="10"/>
  <c r="V68" i="10"/>
  <c r="M28" i="10"/>
  <c r="N28" i="10"/>
  <c r="O28" i="10"/>
  <c r="P28" i="10"/>
  <c r="Q28" i="10"/>
  <c r="R28" i="10"/>
  <c r="S28" i="10"/>
  <c r="T28" i="10"/>
  <c r="U28" i="10"/>
  <c r="V28" i="10"/>
  <c r="M29" i="10"/>
  <c r="N29" i="10"/>
  <c r="O29" i="10"/>
  <c r="P29" i="10"/>
  <c r="Q29" i="10"/>
  <c r="R29" i="10"/>
  <c r="S29" i="10"/>
  <c r="T29" i="10"/>
  <c r="U29" i="10"/>
  <c r="V29" i="10"/>
  <c r="M59" i="10"/>
  <c r="N59" i="10"/>
  <c r="O59" i="10"/>
  <c r="P59" i="10"/>
  <c r="Q59" i="10"/>
  <c r="R59" i="10"/>
  <c r="S59" i="10"/>
  <c r="T59" i="10"/>
  <c r="U59" i="10"/>
  <c r="V59" i="10"/>
  <c r="M43" i="10"/>
  <c r="N43" i="10"/>
  <c r="O43" i="10"/>
  <c r="P43" i="10"/>
  <c r="Q43" i="10"/>
  <c r="R43" i="10"/>
  <c r="S43" i="10"/>
  <c r="T43" i="10"/>
  <c r="U43" i="10"/>
  <c r="V43" i="10"/>
  <c r="M27" i="10"/>
  <c r="N27" i="10"/>
  <c r="O27" i="10"/>
  <c r="P27" i="10"/>
  <c r="Q27" i="10"/>
  <c r="R27" i="10"/>
  <c r="S27" i="10"/>
  <c r="T27" i="10"/>
  <c r="U27" i="10"/>
  <c r="V27" i="10"/>
  <c r="M33" i="10"/>
  <c r="N33" i="10"/>
  <c r="O33" i="10"/>
  <c r="P33" i="10"/>
  <c r="Q33" i="10"/>
  <c r="R33" i="10"/>
  <c r="S33" i="10"/>
  <c r="T33" i="10"/>
  <c r="U33" i="10"/>
  <c r="V33" i="10"/>
  <c r="M12" i="10"/>
  <c r="N12" i="10"/>
  <c r="O12" i="10"/>
  <c r="P12" i="10"/>
  <c r="Q12" i="10"/>
  <c r="R12" i="10"/>
  <c r="S12" i="10"/>
  <c r="T12" i="10"/>
  <c r="U12" i="10"/>
  <c r="V12" i="10"/>
  <c r="M60" i="10"/>
  <c r="N60" i="10"/>
  <c r="O60" i="10"/>
  <c r="P60" i="10"/>
  <c r="Q60" i="10"/>
  <c r="R60" i="10"/>
  <c r="S60" i="10"/>
  <c r="T60" i="10"/>
  <c r="U60" i="10"/>
  <c r="V60" i="10"/>
  <c r="M63" i="10"/>
  <c r="N63" i="10"/>
  <c r="O63" i="10"/>
  <c r="P63" i="10"/>
  <c r="Q63" i="10"/>
  <c r="R63" i="10"/>
  <c r="S63" i="10"/>
  <c r="T63" i="10"/>
  <c r="U63" i="10"/>
  <c r="V63" i="10"/>
  <c r="M37" i="10"/>
  <c r="N37" i="10"/>
  <c r="O37" i="10"/>
  <c r="P37" i="10"/>
  <c r="Q37" i="10"/>
  <c r="R37" i="10"/>
  <c r="S37" i="10"/>
  <c r="T37" i="10"/>
  <c r="U37" i="10"/>
  <c r="V37" i="10"/>
  <c r="M4" i="10"/>
  <c r="N4" i="10"/>
  <c r="O4" i="10"/>
  <c r="P4" i="10"/>
  <c r="Q4" i="10"/>
  <c r="R4" i="10"/>
  <c r="S4" i="10"/>
  <c r="T4" i="10"/>
  <c r="U4" i="10"/>
  <c r="V4" i="10"/>
  <c r="M47" i="10"/>
  <c r="N47" i="10"/>
  <c r="O47" i="10"/>
  <c r="P47" i="10"/>
  <c r="Q47" i="10"/>
  <c r="R47" i="10"/>
  <c r="S47" i="10"/>
  <c r="T47" i="10"/>
  <c r="U47" i="10"/>
  <c r="V47" i="10"/>
  <c r="M40" i="10"/>
  <c r="N40" i="10"/>
  <c r="O40" i="10"/>
  <c r="P40" i="10"/>
  <c r="Q40" i="10"/>
  <c r="R40" i="10"/>
  <c r="S40" i="10"/>
  <c r="T40" i="10"/>
  <c r="U40" i="10"/>
  <c r="V40" i="10"/>
  <c r="M41" i="10"/>
  <c r="N41" i="10"/>
  <c r="O41" i="10"/>
  <c r="P41" i="10"/>
  <c r="Q41" i="10"/>
  <c r="R41" i="10"/>
  <c r="S41" i="10"/>
  <c r="T41" i="10"/>
  <c r="U41" i="10"/>
  <c r="V41" i="10"/>
  <c r="M17" i="10"/>
  <c r="N17" i="10"/>
  <c r="O17" i="10"/>
  <c r="P17" i="10"/>
  <c r="Q17" i="10"/>
  <c r="R17" i="10"/>
  <c r="S17" i="10"/>
  <c r="T17" i="10"/>
  <c r="U17" i="10"/>
  <c r="V17" i="10"/>
  <c r="M38" i="10"/>
  <c r="N38" i="10"/>
  <c r="O38" i="10"/>
  <c r="P38" i="10"/>
  <c r="Q38" i="10"/>
  <c r="R38" i="10"/>
  <c r="S38" i="10"/>
  <c r="T38" i="10"/>
  <c r="U38" i="10"/>
  <c r="V38" i="10"/>
  <c r="M44" i="10"/>
  <c r="N44" i="10"/>
  <c r="O44" i="10"/>
  <c r="P44" i="10"/>
  <c r="Q44" i="10"/>
  <c r="R44" i="10"/>
  <c r="S44" i="10"/>
  <c r="T44" i="10"/>
  <c r="U44" i="10"/>
  <c r="V44" i="10"/>
  <c r="M3" i="10"/>
  <c r="N3" i="10"/>
  <c r="O3" i="10"/>
  <c r="P3" i="10"/>
  <c r="Q3" i="10"/>
  <c r="R3" i="10"/>
  <c r="S3" i="10"/>
  <c r="T3" i="10"/>
  <c r="U3" i="10"/>
  <c r="V3" i="10"/>
  <c r="M32" i="10"/>
  <c r="N32" i="10"/>
  <c r="O32" i="10"/>
  <c r="P32" i="10"/>
  <c r="Q32" i="10"/>
  <c r="R32" i="10"/>
  <c r="S32" i="10"/>
  <c r="T32" i="10"/>
  <c r="U32" i="10"/>
  <c r="V32" i="10"/>
  <c r="M36" i="10"/>
  <c r="N36" i="10"/>
  <c r="O36" i="10"/>
  <c r="P36" i="10"/>
  <c r="Q36" i="10"/>
  <c r="R36" i="10"/>
  <c r="S36" i="10"/>
  <c r="T36" i="10"/>
  <c r="U36" i="10"/>
  <c r="V36" i="10"/>
  <c r="M19" i="10"/>
  <c r="N19" i="10"/>
  <c r="O19" i="10"/>
  <c r="P19" i="10"/>
  <c r="Q19" i="10"/>
  <c r="R19" i="10"/>
  <c r="S19" i="10"/>
  <c r="T19" i="10"/>
  <c r="U19" i="10"/>
  <c r="V19" i="10"/>
  <c r="M49" i="10"/>
  <c r="N49" i="10"/>
  <c r="O49" i="10"/>
  <c r="P49" i="10"/>
  <c r="Q49" i="10"/>
  <c r="R49" i="10"/>
  <c r="S49" i="10"/>
  <c r="T49" i="10"/>
  <c r="U49" i="10"/>
  <c r="V49" i="10"/>
  <c r="M48" i="10"/>
  <c r="N48" i="10"/>
  <c r="O48" i="10"/>
  <c r="P48" i="10"/>
  <c r="Q48" i="10"/>
  <c r="R48" i="10"/>
  <c r="S48" i="10"/>
  <c r="T48" i="10"/>
  <c r="U48" i="10"/>
  <c r="V48" i="10"/>
  <c r="M51" i="10"/>
  <c r="N51" i="10"/>
  <c r="O51" i="10"/>
  <c r="P51" i="10"/>
  <c r="Q51" i="10"/>
  <c r="R51" i="10"/>
  <c r="S51" i="10"/>
  <c r="T51" i="10"/>
  <c r="U51" i="10"/>
  <c r="V51" i="10"/>
  <c r="M66" i="10"/>
  <c r="N66" i="10"/>
  <c r="O66" i="10"/>
  <c r="P66" i="10"/>
  <c r="Q66" i="10"/>
  <c r="R66" i="10"/>
  <c r="S66" i="10"/>
  <c r="T66" i="10"/>
  <c r="U66" i="10"/>
  <c r="V66" i="10"/>
  <c r="M53" i="10"/>
  <c r="N53" i="10"/>
  <c r="O53" i="10"/>
  <c r="P53" i="10"/>
  <c r="Q53" i="10"/>
  <c r="R53" i="10"/>
  <c r="S53" i="10"/>
  <c r="T53" i="10"/>
  <c r="U53" i="10"/>
  <c r="V53" i="10"/>
  <c r="M57" i="10"/>
  <c r="N57" i="10"/>
  <c r="O57" i="10"/>
  <c r="P57" i="10"/>
  <c r="Q57" i="10"/>
  <c r="R57" i="10"/>
  <c r="S57" i="10"/>
  <c r="T57" i="10"/>
  <c r="U57" i="10"/>
  <c r="V57" i="10"/>
  <c r="M65" i="10"/>
  <c r="N65" i="10"/>
  <c r="O65" i="10"/>
  <c r="P65" i="10"/>
  <c r="Q65" i="10"/>
  <c r="R65" i="10"/>
  <c r="S65" i="10"/>
  <c r="T65" i="10"/>
  <c r="U65" i="10"/>
  <c r="V65" i="10"/>
  <c r="M56" i="10"/>
  <c r="N56" i="10"/>
  <c r="O56" i="10"/>
  <c r="P56" i="10"/>
  <c r="Q56" i="10"/>
  <c r="R56" i="10"/>
  <c r="S56" i="10"/>
  <c r="T56" i="10"/>
  <c r="U56" i="10"/>
  <c r="V56" i="10"/>
  <c r="M39" i="10"/>
  <c r="N39" i="10"/>
  <c r="O39" i="10"/>
  <c r="P39" i="10"/>
  <c r="Q39" i="10"/>
  <c r="R39" i="10"/>
  <c r="S39" i="10"/>
  <c r="T39" i="10"/>
  <c r="U39" i="10"/>
  <c r="V39" i="10"/>
  <c r="M46" i="10"/>
  <c r="N46" i="10"/>
  <c r="O46" i="10"/>
  <c r="P46" i="10"/>
  <c r="Q46" i="10"/>
  <c r="R46" i="10"/>
  <c r="S46" i="10"/>
  <c r="T46" i="10"/>
  <c r="U46" i="10"/>
  <c r="V46" i="10"/>
  <c r="M34" i="10"/>
  <c r="N34" i="10"/>
  <c r="O34" i="10"/>
  <c r="P34" i="10"/>
  <c r="Q34" i="10"/>
  <c r="R34" i="10"/>
  <c r="S34" i="10"/>
  <c r="T34" i="10"/>
  <c r="U34" i="10"/>
  <c r="V34" i="10"/>
  <c r="M35" i="10"/>
  <c r="N35" i="10"/>
  <c r="O35" i="10"/>
  <c r="P35" i="10"/>
  <c r="Q35" i="10"/>
  <c r="R35" i="10"/>
  <c r="S35" i="10"/>
  <c r="T35" i="10"/>
  <c r="U35" i="10"/>
  <c r="V35" i="10"/>
  <c r="M61" i="10"/>
  <c r="N61" i="10"/>
  <c r="O61" i="10"/>
  <c r="P61" i="10"/>
  <c r="Q61" i="10"/>
  <c r="R61" i="10"/>
  <c r="S61" i="10"/>
  <c r="T61" i="10"/>
  <c r="U61" i="10"/>
  <c r="V61" i="10"/>
  <c r="M62" i="10"/>
  <c r="N62" i="10"/>
  <c r="O62" i="10"/>
  <c r="P62" i="10"/>
  <c r="Q62" i="10"/>
  <c r="R62" i="10"/>
  <c r="S62" i="10"/>
  <c r="T62" i="10"/>
  <c r="U62" i="10"/>
  <c r="V62" i="10"/>
  <c r="M16" i="10"/>
  <c r="N16" i="10"/>
  <c r="O16" i="10"/>
  <c r="P16" i="10"/>
  <c r="Q16" i="10"/>
  <c r="R16" i="10"/>
  <c r="S16" i="10"/>
  <c r="T16" i="10"/>
  <c r="U16" i="10"/>
  <c r="V16" i="10"/>
  <c r="M15" i="10"/>
  <c r="N15" i="10"/>
  <c r="O15" i="10"/>
  <c r="P15" i="10"/>
  <c r="Q15" i="10"/>
  <c r="R15" i="10"/>
  <c r="S15" i="10"/>
  <c r="T15" i="10"/>
  <c r="U15" i="10"/>
  <c r="V15" i="10"/>
  <c r="M58" i="10"/>
  <c r="N58" i="10"/>
  <c r="O58" i="10"/>
  <c r="P58" i="10"/>
  <c r="Q58" i="10"/>
  <c r="R58" i="10"/>
  <c r="S58" i="10"/>
  <c r="T58" i="10"/>
  <c r="U58" i="10"/>
  <c r="V58" i="10"/>
  <c r="M30" i="10"/>
  <c r="N30" i="10"/>
  <c r="O30" i="10"/>
  <c r="P30" i="10"/>
  <c r="Q30" i="10"/>
  <c r="R30" i="10"/>
  <c r="S30" i="10"/>
  <c r="T30" i="10"/>
  <c r="U30" i="10"/>
  <c r="V30" i="10"/>
  <c r="M67" i="10"/>
  <c r="N67" i="10"/>
  <c r="O67" i="10"/>
  <c r="P67" i="10"/>
  <c r="Q67" i="10"/>
  <c r="R67" i="10"/>
  <c r="S67" i="10"/>
  <c r="T67" i="10"/>
  <c r="U67" i="10"/>
  <c r="V67" i="10"/>
  <c r="M31" i="10"/>
  <c r="N31" i="10"/>
  <c r="O31" i="10"/>
  <c r="P31" i="10"/>
  <c r="Q31" i="10"/>
  <c r="R31" i="10"/>
  <c r="S31" i="10"/>
  <c r="T31" i="10"/>
  <c r="U31" i="10"/>
  <c r="V31" i="10"/>
  <c r="M45" i="10"/>
  <c r="N45" i="10"/>
  <c r="O45" i="10"/>
  <c r="P45" i="10"/>
  <c r="Q45" i="10"/>
  <c r="R45" i="10"/>
  <c r="S45" i="10"/>
  <c r="T45" i="10"/>
  <c r="U45" i="10"/>
  <c r="V45" i="10"/>
  <c r="M70" i="10"/>
  <c r="N70" i="10"/>
  <c r="O70" i="10"/>
  <c r="P70" i="10"/>
  <c r="Q70" i="10"/>
  <c r="R70" i="10"/>
  <c r="S70" i="10"/>
  <c r="T70" i="10"/>
  <c r="U70" i="10"/>
  <c r="V70" i="10"/>
  <c r="M77" i="10"/>
  <c r="N77" i="10"/>
  <c r="O77" i="10"/>
  <c r="P77" i="10"/>
  <c r="Q77" i="10"/>
  <c r="R77" i="10"/>
  <c r="S77" i="10"/>
  <c r="T77" i="10"/>
  <c r="U77" i="10"/>
  <c r="V77" i="10"/>
  <c r="M78" i="10"/>
  <c r="N78" i="10"/>
  <c r="O78" i="10"/>
  <c r="P78" i="10"/>
  <c r="Q78" i="10"/>
  <c r="R78" i="10"/>
  <c r="S78" i="10"/>
  <c r="T78" i="10"/>
  <c r="U78" i="10"/>
  <c r="V78" i="10"/>
  <c r="M73" i="10"/>
  <c r="N73" i="10"/>
  <c r="O73" i="10"/>
  <c r="P73" i="10"/>
  <c r="Q73" i="10"/>
  <c r="R73" i="10"/>
  <c r="S73" i="10"/>
  <c r="T73" i="10"/>
  <c r="U73" i="10"/>
  <c r="V73" i="10"/>
  <c r="M5" i="10"/>
  <c r="N5" i="10"/>
  <c r="O5" i="10"/>
  <c r="P5" i="10"/>
  <c r="Q5" i="10"/>
  <c r="R5" i="10"/>
  <c r="S5" i="10"/>
  <c r="T5" i="10"/>
  <c r="U5" i="10"/>
  <c r="V5" i="10"/>
  <c r="M7" i="10"/>
  <c r="N7" i="10"/>
  <c r="O7" i="10"/>
  <c r="P7" i="10"/>
  <c r="Q7" i="10"/>
  <c r="R7" i="10"/>
  <c r="S7" i="10"/>
  <c r="T7" i="10"/>
  <c r="U7" i="10"/>
  <c r="V7" i="10"/>
  <c r="M76" i="10"/>
  <c r="N76" i="10"/>
  <c r="O76" i="10"/>
  <c r="P76" i="10"/>
  <c r="Q76" i="10"/>
  <c r="R76" i="10"/>
  <c r="S76" i="10"/>
  <c r="T76" i="10"/>
  <c r="U76" i="10"/>
  <c r="V76" i="10"/>
  <c r="M71" i="10"/>
  <c r="N71" i="10"/>
  <c r="O71" i="10"/>
  <c r="P71" i="10"/>
  <c r="Q71" i="10"/>
  <c r="R71" i="10"/>
  <c r="S71" i="10"/>
  <c r="T71" i="10"/>
  <c r="U71" i="10"/>
  <c r="V71" i="10"/>
  <c r="M72" i="10"/>
  <c r="N72" i="10"/>
  <c r="O72" i="10"/>
  <c r="P72" i="10"/>
  <c r="Q72" i="10"/>
  <c r="R72" i="10"/>
  <c r="S72" i="10"/>
  <c r="T72" i="10"/>
  <c r="U72" i="10"/>
  <c r="V72" i="10"/>
  <c r="M79" i="10"/>
  <c r="N79" i="10"/>
  <c r="O79" i="10"/>
  <c r="P79" i="10"/>
  <c r="Q79" i="10"/>
  <c r="R79" i="10"/>
  <c r="S79" i="10"/>
  <c r="T79" i="10"/>
  <c r="U79" i="10"/>
  <c r="V79" i="10"/>
  <c r="V2" i="10"/>
  <c r="U2" i="10"/>
  <c r="T2" i="10"/>
  <c r="R2" i="10"/>
  <c r="S2" i="10"/>
  <c r="N2" i="10"/>
  <c r="O2" i="10"/>
  <c r="P2" i="10"/>
  <c r="Q2" i="10"/>
  <c r="M2" i="10"/>
  <c r="L22" i="9"/>
  <c r="M22" i="9"/>
  <c r="N22" i="9"/>
  <c r="O22" i="9"/>
  <c r="P22" i="9"/>
  <c r="Q22" i="9"/>
  <c r="R22" i="9"/>
  <c r="S22" i="9"/>
  <c r="T22" i="9"/>
  <c r="L21" i="9"/>
  <c r="M21" i="9"/>
  <c r="N21" i="9"/>
  <c r="O21" i="9"/>
  <c r="P21" i="9"/>
  <c r="Q21" i="9"/>
  <c r="R21" i="9"/>
  <c r="S21" i="9"/>
  <c r="T21" i="9"/>
  <c r="L55" i="9"/>
  <c r="M55" i="9"/>
  <c r="N55" i="9"/>
  <c r="O55" i="9"/>
  <c r="P55" i="9"/>
  <c r="Q55" i="9"/>
  <c r="R55" i="9"/>
  <c r="S55" i="9"/>
  <c r="T55" i="9"/>
  <c r="L6" i="9"/>
  <c r="M6" i="9"/>
  <c r="N6" i="9"/>
  <c r="O6" i="9"/>
  <c r="P6" i="9"/>
  <c r="Q6" i="9"/>
  <c r="R6" i="9"/>
  <c r="S6" i="9"/>
  <c r="T6" i="9"/>
  <c r="L75" i="9"/>
  <c r="M75" i="9"/>
  <c r="N75" i="9"/>
  <c r="O75" i="9"/>
  <c r="P75" i="9"/>
  <c r="Q75" i="9"/>
  <c r="R75" i="9"/>
  <c r="S75" i="9"/>
  <c r="T75" i="9"/>
  <c r="L54" i="9"/>
  <c r="M54" i="9"/>
  <c r="N54" i="9"/>
  <c r="O54" i="9"/>
  <c r="P54" i="9"/>
  <c r="Q54" i="9"/>
  <c r="R54" i="9"/>
  <c r="S54" i="9"/>
  <c r="T54" i="9"/>
  <c r="L9" i="9"/>
  <c r="M9" i="9"/>
  <c r="N9" i="9"/>
  <c r="O9" i="9"/>
  <c r="P9" i="9"/>
  <c r="Q9" i="9"/>
  <c r="R9" i="9"/>
  <c r="S9" i="9"/>
  <c r="T9" i="9"/>
  <c r="L74" i="9"/>
  <c r="M74" i="9"/>
  <c r="N74" i="9"/>
  <c r="O74" i="9"/>
  <c r="P74" i="9"/>
  <c r="Q74" i="9"/>
  <c r="R74" i="9"/>
  <c r="S74" i="9"/>
  <c r="T74" i="9"/>
  <c r="L50" i="9"/>
  <c r="M50" i="9"/>
  <c r="N50" i="9"/>
  <c r="O50" i="9"/>
  <c r="P50" i="9"/>
  <c r="Q50" i="9"/>
  <c r="R50" i="9"/>
  <c r="S50" i="9"/>
  <c r="T50" i="9"/>
  <c r="L52" i="9"/>
  <c r="M52" i="9"/>
  <c r="N52" i="9"/>
  <c r="O52" i="9"/>
  <c r="P52" i="9"/>
  <c r="Q52" i="9"/>
  <c r="R52" i="9"/>
  <c r="S52" i="9"/>
  <c r="T52" i="9"/>
  <c r="L13" i="9"/>
  <c r="M13" i="9"/>
  <c r="N13" i="9"/>
  <c r="O13" i="9"/>
  <c r="P13" i="9"/>
  <c r="Q13" i="9"/>
  <c r="R13" i="9"/>
  <c r="S13" i="9"/>
  <c r="T13" i="9"/>
  <c r="L14" i="9"/>
  <c r="M14" i="9"/>
  <c r="N14" i="9"/>
  <c r="O14" i="9"/>
  <c r="P14" i="9"/>
  <c r="Q14" i="9"/>
  <c r="R14" i="9"/>
  <c r="S14" i="9"/>
  <c r="T14" i="9"/>
  <c r="L24" i="9"/>
  <c r="M24" i="9"/>
  <c r="N24" i="9"/>
  <c r="O24" i="9"/>
  <c r="P24" i="9"/>
  <c r="Q24" i="9"/>
  <c r="R24" i="9"/>
  <c r="S24" i="9"/>
  <c r="T24" i="9"/>
  <c r="L23" i="9"/>
  <c r="M23" i="9"/>
  <c r="N23" i="9"/>
  <c r="O23" i="9"/>
  <c r="P23" i="9"/>
  <c r="Q23" i="9"/>
  <c r="R23" i="9"/>
  <c r="S23" i="9"/>
  <c r="T23" i="9"/>
  <c r="L26" i="9"/>
  <c r="M26" i="9"/>
  <c r="N26" i="9"/>
  <c r="O26" i="9"/>
  <c r="P26" i="9"/>
  <c r="Q26" i="9"/>
  <c r="R26" i="9"/>
  <c r="S26" i="9"/>
  <c r="T26" i="9"/>
  <c r="L18" i="9"/>
  <c r="M18" i="9"/>
  <c r="N18" i="9"/>
  <c r="O18" i="9"/>
  <c r="P18" i="9"/>
  <c r="Q18" i="9"/>
  <c r="R18" i="9"/>
  <c r="S18" i="9"/>
  <c r="T18" i="9"/>
  <c r="L64" i="9"/>
  <c r="M64" i="9"/>
  <c r="N64" i="9"/>
  <c r="O64" i="9"/>
  <c r="P64" i="9"/>
  <c r="Q64" i="9"/>
  <c r="R64" i="9"/>
  <c r="S64" i="9"/>
  <c r="T64" i="9"/>
  <c r="L20" i="9"/>
  <c r="M20" i="9"/>
  <c r="N20" i="9"/>
  <c r="O20" i="9"/>
  <c r="P20" i="9"/>
  <c r="Q20" i="9"/>
  <c r="R20" i="9"/>
  <c r="S20" i="9"/>
  <c r="T20" i="9"/>
  <c r="L10" i="9"/>
  <c r="M10" i="9"/>
  <c r="N10" i="9"/>
  <c r="O10" i="9"/>
  <c r="P10" i="9"/>
  <c r="Q10" i="9"/>
  <c r="R10" i="9"/>
  <c r="S10" i="9"/>
  <c r="T10" i="9"/>
  <c r="L69" i="9"/>
  <c r="M69" i="9"/>
  <c r="N69" i="9"/>
  <c r="O69" i="9"/>
  <c r="P69" i="9"/>
  <c r="Q69" i="9"/>
  <c r="R69" i="9"/>
  <c r="S69" i="9"/>
  <c r="T69" i="9"/>
  <c r="L42" i="9"/>
  <c r="M42" i="9"/>
  <c r="N42" i="9"/>
  <c r="O42" i="9"/>
  <c r="P42" i="9"/>
  <c r="Q42" i="9"/>
  <c r="R42" i="9"/>
  <c r="S42" i="9"/>
  <c r="T42" i="9"/>
  <c r="L11" i="9"/>
  <c r="M11" i="9"/>
  <c r="N11" i="9"/>
  <c r="O11" i="9"/>
  <c r="P11" i="9"/>
  <c r="Q11" i="9"/>
  <c r="R11" i="9"/>
  <c r="S11" i="9"/>
  <c r="T11" i="9"/>
  <c r="L25" i="9"/>
  <c r="M25" i="9"/>
  <c r="N25" i="9"/>
  <c r="O25" i="9"/>
  <c r="P25" i="9"/>
  <c r="Q25" i="9"/>
  <c r="R25" i="9"/>
  <c r="S25" i="9"/>
  <c r="T25" i="9"/>
  <c r="L8" i="9"/>
  <c r="M8" i="9"/>
  <c r="N8" i="9"/>
  <c r="O8" i="9"/>
  <c r="P8" i="9"/>
  <c r="Q8" i="9"/>
  <c r="R8" i="9"/>
  <c r="S8" i="9"/>
  <c r="T8" i="9"/>
  <c r="L68" i="9"/>
  <c r="M68" i="9"/>
  <c r="N68" i="9"/>
  <c r="O68" i="9"/>
  <c r="P68" i="9"/>
  <c r="Q68" i="9"/>
  <c r="R68" i="9"/>
  <c r="S68" i="9"/>
  <c r="T68" i="9"/>
  <c r="L28" i="9"/>
  <c r="M28" i="9"/>
  <c r="N28" i="9"/>
  <c r="O28" i="9"/>
  <c r="P28" i="9"/>
  <c r="Q28" i="9"/>
  <c r="R28" i="9"/>
  <c r="S28" i="9"/>
  <c r="T28" i="9"/>
  <c r="L29" i="9"/>
  <c r="M29" i="9"/>
  <c r="N29" i="9"/>
  <c r="O29" i="9"/>
  <c r="P29" i="9"/>
  <c r="Q29" i="9"/>
  <c r="R29" i="9"/>
  <c r="S29" i="9"/>
  <c r="T29" i="9"/>
  <c r="L59" i="9"/>
  <c r="M59" i="9"/>
  <c r="N59" i="9"/>
  <c r="O59" i="9"/>
  <c r="P59" i="9"/>
  <c r="Q59" i="9"/>
  <c r="R59" i="9"/>
  <c r="S59" i="9"/>
  <c r="T59" i="9"/>
  <c r="L43" i="9"/>
  <c r="M43" i="9"/>
  <c r="N43" i="9"/>
  <c r="O43" i="9"/>
  <c r="P43" i="9"/>
  <c r="Q43" i="9"/>
  <c r="R43" i="9"/>
  <c r="S43" i="9"/>
  <c r="T43" i="9"/>
  <c r="L27" i="9"/>
  <c r="M27" i="9"/>
  <c r="N27" i="9"/>
  <c r="O27" i="9"/>
  <c r="P27" i="9"/>
  <c r="Q27" i="9"/>
  <c r="R27" i="9"/>
  <c r="S27" i="9"/>
  <c r="T27" i="9"/>
  <c r="L33" i="9"/>
  <c r="M33" i="9"/>
  <c r="N33" i="9"/>
  <c r="O33" i="9"/>
  <c r="P33" i="9"/>
  <c r="Q33" i="9"/>
  <c r="R33" i="9"/>
  <c r="S33" i="9"/>
  <c r="T33" i="9"/>
  <c r="L12" i="9"/>
  <c r="M12" i="9"/>
  <c r="N12" i="9"/>
  <c r="O12" i="9"/>
  <c r="P12" i="9"/>
  <c r="Q12" i="9"/>
  <c r="R12" i="9"/>
  <c r="S12" i="9"/>
  <c r="T12" i="9"/>
  <c r="L60" i="9"/>
  <c r="M60" i="9"/>
  <c r="N60" i="9"/>
  <c r="O60" i="9"/>
  <c r="P60" i="9"/>
  <c r="Q60" i="9"/>
  <c r="R60" i="9"/>
  <c r="S60" i="9"/>
  <c r="T60" i="9"/>
  <c r="L63" i="9"/>
  <c r="M63" i="9"/>
  <c r="N63" i="9"/>
  <c r="O63" i="9"/>
  <c r="P63" i="9"/>
  <c r="Q63" i="9"/>
  <c r="R63" i="9"/>
  <c r="S63" i="9"/>
  <c r="T63" i="9"/>
  <c r="L37" i="9"/>
  <c r="M37" i="9"/>
  <c r="N37" i="9"/>
  <c r="O37" i="9"/>
  <c r="P37" i="9"/>
  <c r="Q37" i="9"/>
  <c r="R37" i="9"/>
  <c r="S37" i="9"/>
  <c r="T37" i="9"/>
  <c r="L4" i="9"/>
  <c r="M4" i="9"/>
  <c r="N4" i="9"/>
  <c r="O4" i="9"/>
  <c r="P4" i="9"/>
  <c r="Q4" i="9"/>
  <c r="R4" i="9"/>
  <c r="S4" i="9"/>
  <c r="T4" i="9"/>
  <c r="L47" i="9"/>
  <c r="M47" i="9"/>
  <c r="N47" i="9"/>
  <c r="O47" i="9"/>
  <c r="P47" i="9"/>
  <c r="Q47" i="9"/>
  <c r="R47" i="9"/>
  <c r="S47" i="9"/>
  <c r="T47" i="9"/>
  <c r="L40" i="9"/>
  <c r="M40" i="9"/>
  <c r="N40" i="9"/>
  <c r="O40" i="9"/>
  <c r="P40" i="9"/>
  <c r="Q40" i="9"/>
  <c r="R40" i="9"/>
  <c r="S40" i="9"/>
  <c r="T40" i="9"/>
  <c r="L41" i="9"/>
  <c r="M41" i="9"/>
  <c r="N41" i="9"/>
  <c r="O41" i="9"/>
  <c r="P41" i="9"/>
  <c r="Q41" i="9"/>
  <c r="R41" i="9"/>
  <c r="S41" i="9"/>
  <c r="T41" i="9"/>
  <c r="L17" i="9"/>
  <c r="M17" i="9"/>
  <c r="N17" i="9"/>
  <c r="O17" i="9"/>
  <c r="P17" i="9"/>
  <c r="Q17" i="9"/>
  <c r="R17" i="9"/>
  <c r="S17" i="9"/>
  <c r="T17" i="9"/>
  <c r="L38" i="9"/>
  <c r="M38" i="9"/>
  <c r="N38" i="9"/>
  <c r="O38" i="9"/>
  <c r="P38" i="9"/>
  <c r="Q38" i="9"/>
  <c r="R38" i="9"/>
  <c r="S38" i="9"/>
  <c r="T38" i="9"/>
  <c r="L44" i="9"/>
  <c r="M44" i="9"/>
  <c r="N44" i="9"/>
  <c r="O44" i="9"/>
  <c r="P44" i="9"/>
  <c r="Q44" i="9"/>
  <c r="R44" i="9"/>
  <c r="S44" i="9"/>
  <c r="T44" i="9"/>
  <c r="L3" i="9"/>
  <c r="M3" i="9"/>
  <c r="N3" i="9"/>
  <c r="O3" i="9"/>
  <c r="P3" i="9"/>
  <c r="Q3" i="9"/>
  <c r="R3" i="9"/>
  <c r="S3" i="9"/>
  <c r="T3" i="9"/>
  <c r="L32" i="9"/>
  <c r="M32" i="9"/>
  <c r="N32" i="9"/>
  <c r="O32" i="9"/>
  <c r="P32" i="9"/>
  <c r="Q32" i="9"/>
  <c r="R32" i="9"/>
  <c r="S32" i="9"/>
  <c r="T32" i="9"/>
  <c r="L36" i="9"/>
  <c r="M36" i="9"/>
  <c r="N36" i="9"/>
  <c r="O36" i="9"/>
  <c r="P36" i="9"/>
  <c r="Q36" i="9"/>
  <c r="R36" i="9"/>
  <c r="S36" i="9"/>
  <c r="T36" i="9"/>
  <c r="L19" i="9"/>
  <c r="M19" i="9"/>
  <c r="N19" i="9"/>
  <c r="O19" i="9"/>
  <c r="P19" i="9"/>
  <c r="Q19" i="9"/>
  <c r="R19" i="9"/>
  <c r="S19" i="9"/>
  <c r="T19" i="9"/>
  <c r="L49" i="9"/>
  <c r="M49" i="9"/>
  <c r="N49" i="9"/>
  <c r="O49" i="9"/>
  <c r="P49" i="9"/>
  <c r="Q49" i="9"/>
  <c r="R49" i="9"/>
  <c r="S49" i="9"/>
  <c r="T49" i="9"/>
  <c r="L48" i="9"/>
  <c r="M48" i="9"/>
  <c r="N48" i="9"/>
  <c r="O48" i="9"/>
  <c r="P48" i="9"/>
  <c r="Q48" i="9"/>
  <c r="R48" i="9"/>
  <c r="S48" i="9"/>
  <c r="T48" i="9"/>
  <c r="L51" i="9"/>
  <c r="M51" i="9"/>
  <c r="N51" i="9"/>
  <c r="O51" i="9"/>
  <c r="P51" i="9"/>
  <c r="Q51" i="9"/>
  <c r="R51" i="9"/>
  <c r="S51" i="9"/>
  <c r="T51" i="9"/>
  <c r="L66" i="9"/>
  <c r="M66" i="9"/>
  <c r="N66" i="9"/>
  <c r="O66" i="9"/>
  <c r="P66" i="9"/>
  <c r="Q66" i="9"/>
  <c r="R66" i="9"/>
  <c r="S66" i="9"/>
  <c r="T66" i="9"/>
  <c r="L53" i="9"/>
  <c r="M53" i="9"/>
  <c r="N53" i="9"/>
  <c r="O53" i="9"/>
  <c r="P53" i="9"/>
  <c r="Q53" i="9"/>
  <c r="R53" i="9"/>
  <c r="S53" i="9"/>
  <c r="T53" i="9"/>
  <c r="L57" i="9"/>
  <c r="M57" i="9"/>
  <c r="N57" i="9"/>
  <c r="O57" i="9"/>
  <c r="P57" i="9"/>
  <c r="Q57" i="9"/>
  <c r="R57" i="9"/>
  <c r="S57" i="9"/>
  <c r="T57" i="9"/>
  <c r="L65" i="9"/>
  <c r="M65" i="9"/>
  <c r="N65" i="9"/>
  <c r="O65" i="9"/>
  <c r="P65" i="9"/>
  <c r="Q65" i="9"/>
  <c r="R65" i="9"/>
  <c r="S65" i="9"/>
  <c r="T65" i="9"/>
  <c r="L56" i="9"/>
  <c r="M56" i="9"/>
  <c r="N56" i="9"/>
  <c r="O56" i="9"/>
  <c r="P56" i="9"/>
  <c r="Q56" i="9"/>
  <c r="R56" i="9"/>
  <c r="S56" i="9"/>
  <c r="T56" i="9"/>
  <c r="L39" i="9"/>
  <c r="M39" i="9"/>
  <c r="N39" i="9"/>
  <c r="O39" i="9"/>
  <c r="P39" i="9"/>
  <c r="Q39" i="9"/>
  <c r="R39" i="9"/>
  <c r="S39" i="9"/>
  <c r="T39" i="9"/>
  <c r="L46" i="9"/>
  <c r="M46" i="9"/>
  <c r="N46" i="9"/>
  <c r="O46" i="9"/>
  <c r="P46" i="9"/>
  <c r="Q46" i="9"/>
  <c r="R46" i="9"/>
  <c r="S46" i="9"/>
  <c r="T46" i="9"/>
  <c r="L34" i="9"/>
  <c r="M34" i="9"/>
  <c r="N34" i="9"/>
  <c r="O34" i="9"/>
  <c r="P34" i="9"/>
  <c r="Q34" i="9"/>
  <c r="R34" i="9"/>
  <c r="S34" i="9"/>
  <c r="T34" i="9"/>
  <c r="L35" i="9"/>
  <c r="M35" i="9"/>
  <c r="N35" i="9"/>
  <c r="O35" i="9"/>
  <c r="P35" i="9"/>
  <c r="Q35" i="9"/>
  <c r="R35" i="9"/>
  <c r="S35" i="9"/>
  <c r="T35" i="9"/>
  <c r="L61" i="9"/>
  <c r="M61" i="9"/>
  <c r="N61" i="9"/>
  <c r="O61" i="9"/>
  <c r="P61" i="9"/>
  <c r="Q61" i="9"/>
  <c r="R61" i="9"/>
  <c r="S61" i="9"/>
  <c r="T61" i="9"/>
  <c r="L62" i="9"/>
  <c r="M62" i="9"/>
  <c r="N62" i="9"/>
  <c r="O62" i="9"/>
  <c r="P62" i="9"/>
  <c r="Q62" i="9"/>
  <c r="R62" i="9"/>
  <c r="S62" i="9"/>
  <c r="T62" i="9"/>
  <c r="L16" i="9"/>
  <c r="M16" i="9"/>
  <c r="N16" i="9"/>
  <c r="O16" i="9"/>
  <c r="P16" i="9"/>
  <c r="Q16" i="9"/>
  <c r="R16" i="9"/>
  <c r="S16" i="9"/>
  <c r="T16" i="9"/>
  <c r="L15" i="9"/>
  <c r="M15" i="9"/>
  <c r="N15" i="9"/>
  <c r="O15" i="9"/>
  <c r="P15" i="9"/>
  <c r="Q15" i="9"/>
  <c r="R15" i="9"/>
  <c r="S15" i="9"/>
  <c r="T15" i="9"/>
  <c r="L58" i="9"/>
  <c r="M58" i="9"/>
  <c r="N58" i="9"/>
  <c r="O58" i="9"/>
  <c r="P58" i="9"/>
  <c r="Q58" i="9"/>
  <c r="R58" i="9"/>
  <c r="S58" i="9"/>
  <c r="T58" i="9"/>
  <c r="L30" i="9"/>
  <c r="M30" i="9"/>
  <c r="N30" i="9"/>
  <c r="O30" i="9"/>
  <c r="P30" i="9"/>
  <c r="Q30" i="9"/>
  <c r="R30" i="9"/>
  <c r="S30" i="9"/>
  <c r="T30" i="9"/>
  <c r="L67" i="9"/>
  <c r="M67" i="9"/>
  <c r="N67" i="9"/>
  <c r="O67" i="9"/>
  <c r="P67" i="9"/>
  <c r="Q67" i="9"/>
  <c r="R67" i="9"/>
  <c r="S67" i="9"/>
  <c r="T67" i="9"/>
  <c r="L31" i="9"/>
  <c r="M31" i="9"/>
  <c r="N31" i="9"/>
  <c r="O31" i="9"/>
  <c r="P31" i="9"/>
  <c r="Q31" i="9"/>
  <c r="R31" i="9"/>
  <c r="S31" i="9"/>
  <c r="T31" i="9"/>
  <c r="L45" i="9"/>
  <c r="M45" i="9"/>
  <c r="N45" i="9"/>
  <c r="O45" i="9"/>
  <c r="P45" i="9"/>
  <c r="Q45" i="9"/>
  <c r="R45" i="9"/>
  <c r="S45" i="9"/>
  <c r="T45" i="9"/>
  <c r="L70" i="9"/>
  <c r="M70" i="9"/>
  <c r="N70" i="9"/>
  <c r="O70" i="9"/>
  <c r="P70" i="9"/>
  <c r="Q70" i="9"/>
  <c r="R70" i="9"/>
  <c r="S70" i="9"/>
  <c r="T70" i="9"/>
  <c r="L77" i="9"/>
  <c r="M77" i="9"/>
  <c r="N77" i="9"/>
  <c r="O77" i="9"/>
  <c r="P77" i="9"/>
  <c r="Q77" i="9"/>
  <c r="R77" i="9"/>
  <c r="S77" i="9"/>
  <c r="T77" i="9"/>
  <c r="L78" i="9"/>
  <c r="M78" i="9"/>
  <c r="N78" i="9"/>
  <c r="O78" i="9"/>
  <c r="P78" i="9"/>
  <c r="Q78" i="9"/>
  <c r="R78" i="9"/>
  <c r="S78" i="9"/>
  <c r="T78" i="9"/>
  <c r="L73" i="9"/>
  <c r="M73" i="9"/>
  <c r="N73" i="9"/>
  <c r="O73" i="9"/>
  <c r="P73" i="9"/>
  <c r="Q73" i="9"/>
  <c r="R73" i="9"/>
  <c r="S73" i="9"/>
  <c r="T73" i="9"/>
  <c r="L5" i="9"/>
  <c r="M5" i="9"/>
  <c r="N5" i="9"/>
  <c r="O5" i="9"/>
  <c r="P5" i="9"/>
  <c r="Q5" i="9"/>
  <c r="R5" i="9"/>
  <c r="S5" i="9"/>
  <c r="T5" i="9"/>
  <c r="L7" i="9"/>
  <c r="M7" i="9"/>
  <c r="N7" i="9"/>
  <c r="O7" i="9"/>
  <c r="P7" i="9"/>
  <c r="Q7" i="9"/>
  <c r="R7" i="9"/>
  <c r="S7" i="9"/>
  <c r="T7" i="9"/>
  <c r="L76" i="9"/>
  <c r="M76" i="9"/>
  <c r="N76" i="9"/>
  <c r="O76" i="9"/>
  <c r="P76" i="9"/>
  <c r="Q76" i="9"/>
  <c r="R76" i="9"/>
  <c r="S76" i="9"/>
  <c r="T76" i="9"/>
  <c r="L71" i="9"/>
  <c r="M71" i="9"/>
  <c r="N71" i="9"/>
  <c r="O71" i="9"/>
  <c r="P71" i="9"/>
  <c r="Q71" i="9"/>
  <c r="R71" i="9"/>
  <c r="S71" i="9"/>
  <c r="T71" i="9"/>
  <c r="L72" i="9"/>
  <c r="M72" i="9"/>
  <c r="N72" i="9"/>
  <c r="O72" i="9"/>
  <c r="P72" i="9"/>
  <c r="Q72" i="9"/>
  <c r="R72" i="9"/>
  <c r="S72" i="9"/>
  <c r="T72" i="9"/>
  <c r="L79" i="9"/>
  <c r="M79" i="9"/>
  <c r="N79" i="9"/>
  <c r="O79" i="9"/>
  <c r="P79" i="9"/>
  <c r="Q79" i="9"/>
  <c r="R79" i="9"/>
  <c r="S79" i="9"/>
  <c r="T79" i="9"/>
  <c r="T2" i="9"/>
  <c r="S2" i="9"/>
  <c r="R2" i="9"/>
  <c r="M2" i="9"/>
  <c r="N2" i="9"/>
  <c r="O2" i="9"/>
  <c r="P2" i="9"/>
  <c r="Q2" i="9"/>
  <c r="L2" i="9"/>
  <c r="K22" i="8"/>
  <c r="L22" i="8"/>
  <c r="M22" i="8"/>
  <c r="N22" i="8"/>
  <c r="O22" i="8"/>
  <c r="P22" i="8"/>
  <c r="Q22" i="8"/>
  <c r="R22" i="8"/>
  <c r="K21" i="8"/>
  <c r="L21" i="8"/>
  <c r="M21" i="8"/>
  <c r="N21" i="8"/>
  <c r="O21" i="8"/>
  <c r="P21" i="8"/>
  <c r="Q21" i="8"/>
  <c r="R21" i="8"/>
  <c r="K55" i="8"/>
  <c r="L55" i="8"/>
  <c r="M55" i="8"/>
  <c r="N55" i="8"/>
  <c r="O55" i="8"/>
  <c r="P55" i="8"/>
  <c r="Q55" i="8"/>
  <c r="R55" i="8"/>
  <c r="K6" i="8"/>
  <c r="L6" i="8"/>
  <c r="M6" i="8"/>
  <c r="N6" i="8"/>
  <c r="O6" i="8"/>
  <c r="P6" i="8"/>
  <c r="Q6" i="8"/>
  <c r="R6" i="8"/>
  <c r="K75" i="8"/>
  <c r="L75" i="8"/>
  <c r="M75" i="8"/>
  <c r="N75" i="8"/>
  <c r="O75" i="8"/>
  <c r="P75" i="8"/>
  <c r="Q75" i="8"/>
  <c r="R75" i="8"/>
  <c r="K54" i="8"/>
  <c r="L54" i="8"/>
  <c r="M54" i="8"/>
  <c r="N54" i="8"/>
  <c r="O54" i="8"/>
  <c r="P54" i="8"/>
  <c r="Q54" i="8"/>
  <c r="R54" i="8"/>
  <c r="K9" i="8"/>
  <c r="L9" i="8"/>
  <c r="M9" i="8"/>
  <c r="N9" i="8"/>
  <c r="O9" i="8"/>
  <c r="P9" i="8"/>
  <c r="Q9" i="8"/>
  <c r="R9" i="8"/>
  <c r="K74" i="8"/>
  <c r="L74" i="8"/>
  <c r="M74" i="8"/>
  <c r="N74" i="8"/>
  <c r="O74" i="8"/>
  <c r="P74" i="8"/>
  <c r="Q74" i="8"/>
  <c r="R74" i="8"/>
  <c r="K50" i="8"/>
  <c r="L50" i="8"/>
  <c r="M50" i="8"/>
  <c r="N50" i="8"/>
  <c r="O50" i="8"/>
  <c r="P50" i="8"/>
  <c r="Q50" i="8"/>
  <c r="R50" i="8"/>
  <c r="K52" i="8"/>
  <c r="L52" i="8"/>
  <c r="M52" i="8"/>
  <c r="N52" i="8"/>
  <c r="O52" i="8"/>
  <c r="P52" i="8"/>
  <c r="Q52" i="8"/>
  <c r="R52" i="8"/>
  <c r="K13" i="8"/>
  <c r="L13" i="8"/>
  <c r="M13" i="8"/>
  <c r="N13" i="8"/>
  <c r="O13" i="8"/>
  <c r="P13" i="8"/>
  <c r="Q13" i="8"/>
  <c r="R13" i="8"/>
  <c r="K14" i="8"/>
  <c r="L14" i="8"/>
  <c r="M14" i="8"/>
  <c r="N14" i="8"/>
  <c r="O14" i="8"/>
  <c r="P14" i="8"/>
  <c r="Q14" i="8"/>
  <c r="R14" i="8"/>
  <c r="K24" i="8"/>
  <c r="L24" i="8"/>
  <c r="M24" i="8"/>
  <c r="N24" i="8"/>
  <c r="O24" i="8"/>
  <c r="P24" i="8"/>
  <c r="Q24" i="8"/>
  <c r="R24" i="8"/>
  <c r="K23" i="8"/>
  <c r="L23" i="8"/>
  <c r="M23" i="8"/>
  <c r="N23" i="8"/>
  <c r="O23" i="8"/>
  <c r="P23" i="8"/>
  <c r="Q23" i="8"/>
  <c r="R23" i="8"/>
  <c r="K26" i="8"/>
  <c r="L26" i="8"/>
  <c r="M26" i="8"/>
  <c r="N26" i="8"/>
  <c r="O26" i="8"/>
  <c r="P26" i="8"/>
  <c r="Q26" i="8"/>
  <c r="R26" i="8"/>
  <c r="K18" i="8"/>
  <c r="L18" i="8"/>
  <c r="M18" i="8"/>
  <c r="N18" i="8"/>
  <c r="O18" i="8"/>
  <c r="P18" i="8"/>
  <c r="Q18" i="8"/>
  <c r="R18" i="8"/>
  <c r="K64" i="8"/>
  <c r="L64" i="8"/>
  <c r="M64" i="8"/>
  <c r="N64" i="8"/>
  <c r="O64" i="8"/>
  <c r="P64" i="8"/>
  <c r="Q64" i="8"/>
  <c r="R64" i="8"/>
  <c r="K20" i="8"/>
  <c r="L20" i="8"/>
  <c r="M20" i="8"/>
  <c r="N20" i="8"/>
  <c r="O20" i="8"/>
  <c r="P20" i="8"/>
  <c r="Q20" i="8"/>
  <c r="R20" i="8"/>
  <c r="K10" i="8"/>
  <c r="L10" i="8"/>
  <c r="M10" i="8"/>
  <c r="N10" i="8"/>
  <c r="O10" i="8"/>
  <c r="P10" i="8"/>
  <c r="Q10" i="8"/>
  <c r="R10" i="8"/>
  <c r="K69" i="8"/>
  <c r="L69" i="8"/>
  <c r="M69" i="8"/>
  <c r="N69" i="8"/>
  <c r="O69" i="8"/>
  <c r="P69" i="8"/>
  <c r="Q69" i="8"/>
  <c r="R69" i="8"/>
  <c r="K42" i="8"/>
  <c r="L42" i="8"/>
  <c r="M42" i="8"/>
  <c r="N42" i="8"/>
  <c r="O42" i="8"/>
  <c r="P42" i="8"/>
  <c r="Q42" i="8"/>
  <c r="R42" i="8"/>
  <c r="K11" i="8"/>
  <c r="L11" i="8"/>
  <c r="M11" i="8"/>
  <c r="N11" i="8"/>
  <c r="O11" i="8"/>
  <c r="P11" i="8"/>
  <c r="Q11" i="8"/>
  <c r="R11" i="8"/>
  <c r="K25" i="8"/>
  <c r="L25" i="8"/>
  <c r="M25" i="8"/>
  <c r="N25" i="8"/>
  <c r="O25" i="8"/>
  <c r="P25" i="8"/>
  <c r="Q25" i="8"/>
  <c r="R25" i="8"/>
  <c r="K8" i="8"/>
  <c r="L8" i="8"/>
  <c r="M8" i="8"/>
  <c r="N8" i="8"/>
  <c r="O8" i="8"/>
  <c r="P8" i="8"/>
  <c r="Q8" i="8"/>
  <c r="R8" i="8"/>
  <c r="K68" i="8"/>
  <c r="L68" i="8"/>
  <c r="M68" i="8"/>
  <c r="N68" i="8"/>
  <c r="O68" i="8"/>
  <c r="P68" i="8"/>
  <c r="Q68" i="8"/>
  <c r="R68" i="8"/>
  <c r="K28" i="8"/>
  <c r="L28" i="8"/>
  <c r="M28" i="8"/>
  <c r="N28" i="8"/>
  <c r="O28" i="8"/>
  <c r="P28" i="8"/>
  <c r="Q28" i="8"/>
  <c r="R28" i="8"/>
  <c r="K29" i="8"/>
  <c r="L29" i="8"/>
  <c r="M29" i="8"/>
  <c r="N29" i="8"/>
  <c r="O29" i="8"/>
  <c r="P29" i="8"/>
  <c r="Q29" i="8"/>
  <c r="R29" i="8"/>
  <c r="K59" i="8"/>
  <c r="L59" i="8"/>
  <c r="M59" i="8"/>
  <c r="N59" i="8"/>
  <c r="O59" i="8"/>
  <c r="P59" i="8"/>
  <c r="Q59" i="8"/>
  <c r="R59" i="8"/>
  <c r="K43" i="8"/>
  <c r="L43" i="8"/>
  <c r="M43" i="8"/>
  <c r="N43" i="8"/>
  <c r="O43" i="8"/>
  <c r="P43" i="8"/>
  <c r="Q43" i="8"/>
  <c r="R43" i="8"/>
  <c r="K27" i="8"/>
  <c r="L27" i="8"/>
  <c r="M27" i="8"/>
  <c r="N27" i="8"/>
  <c r="O27" i="8"/>
  <c r="P27" i="8"/>
  <c r="Q27" i="8"/>
  <c r="R27" i="8"/>
  <c r="K33" i="8"/>
  <c r="L33" i="8"/>
  <c r="M33" i="8"/>
  <c r="N33" i="8"/>
  <c r="O33" i="8"/>
  <c r="P33" i="8"/>
  <c r="Q33" i="8"/>
  <c r="R33" i="8"/>
  <c r="K12" i="8"/>
  <c r="L12" i="8"/>
  <c r="M12" i="8"/>
  <c r="N12" i="8"/>
  <c r="O12" i="8"/>
  <c r="P12" i="8"/>
  <c r="Q12" i="8"/>
  <c r="R12" i="8"/>
  <c r="K60" i="8"/>
  <c r="L60" i="8"/>
  <c r="M60" i="8"/>
  <c r="N60" i="8"/>
  <c r="O60" i="8"/>
  <c r="P60" i="8"/>
  <c r="Q60" i="8"/>
  <c r="R60" i="8"/>
  <c r="K63" i="8"/>
  <c r="L63" i="8"/>
  <c r="M63" i="8"/>
  <c r="N63" i="8"/>
  <c r="O63" i="8"/>
  <c r="P63" i="8"/>
  <c r="Q63" i="8"/>
  <c r="R63" i="8"/>
  <c r="K37" i="8"/>
  <c r="L37" i="8"/>
  <c r="M37" i="8"/>
  <c r="N37" i="8"/>
  <c r="O37" i="8"/>
  <c r="P37" i="8"/>
  <c r="Q37" i="8"/>
  <c r="R37" i="8"/>
  <c r="K4" i="8"/>
  <c r="L4" i="8"/>
  <c r="M4" i="8"/>
  <c r="N4" i="8"/>
  <c r="O4" i="8"/>
  <c r="P4" i="8"/>
  <c r="Q4" i="8"/>
  <c r="R4" i="8"/>
  <c r="K47" i="8"/>
  <c r="L47" i="8"/>
  <c r="M47" i="8"/>
  <c r="N47" i="8"/>
  <c r="O47" i="8"/>
  <c r="P47" i="8"/>
  <c r="Q47" i="8"/>
  <c r="R47" i="8"/>
  <c r="K40" i="8"/>
  <c r="L40" i="8"/>
  <c r="M40" i="8"/>
  <c r="N40" i="8"/>
  <c r="O40" i="8"/>
  <c r="P40" i="8"/>
  <c r="Q40" i="8"/>
  <c r="R40" i="8"/>
  <c r="K41" i="8"/>
  <c r="L41" i="8"/>
  <c r="M41" i="8"/>
  <c r="N41" i="8"/>
  <c r="O41" i="8"/>
  <c r="P41" i="8"/>
  <c r="Q41" i="8"/>
  <c r="R41" i="8"/>
  <c r="K17" i="8"/>
  <c r="L17" i="8"/>
  <c r="M17" i="8"/>
  <c r="N17" i="8"/>
  <c r="O17" i="8"/>
  <c r="P17" i="8"/>
  <c r="Q17" i="8"/>
  <c r="R17" i="8"/>
  <c r="K38" i="8"/>
  <c r="L38" i="8"/>
  <c r="M38" i="8"/>
  <c r="N38" i="8"/>
  <c r="O38" i="8"/>
  <c r="P38" i="8"/>
  <c r="Q38" i="8"/>
  <c r="R38" i="8"/>
  <c r="K44" i="8"/>
  <c r="L44" i="8"/>
  <c r="M44" i="8"/>
  <c r="N44" i="8"/>
  <c r="O44" i="8"/>
  <c r="P44" i="8"/>
  <c r="Q44" i="8"/>
  <c r="R44" i="8"/>
  <c r="K3" i="8"/>
  <c r="L3" i="8"/>
  <c r="M3" i="8"/>
  <c r="N3" i="8"/>
  <c r="O3" i="8"/>
  <c r="P3" i="8"/>
  <c r="Q3" i="8"/>
  <c r="R3" i="8"/>
  <c r="K32" i="8"/>
  <c r="L32" i="8"/>
  <c r="M32" i="8"/>
  <c r="N32" i="8"/>
  <c r="O32" i="8"/>
  <c r="P32" i="8"/>
  <c r="Q32" i="8"/>
  <c r="R32" i="8"/>
  <c r="K36" i="8"/>
  <c r="L36" i="8"/>
  <c r="M36" i="8"/>
  <c r="N36" i="8"/>
  <c r="O36" i="8"/>
  <c r="P36" i="8"/>
  <c r="Q36" i="8"/>
  <c r="R36" i="8"/>
  <c r="K19" i="8"/>
  <c r="L19" i="8"/>
  <c r="M19" i="8"/>
  <c r="N19" i="8"/>
  <c r="O19" i="8"/>
  <c r="P19" i="8"/>
  <c r="Q19" i="8"/>
  <c r="R19" i="8"/>
  <c r="K49" i="8"/>
  <c r="L49" i="8"/>
  <c r="M49" i="8"/>
  <c r="N49" i="8"/>
  <c r="O49" i="8"/>
  <c r="P49" i="8"/>
  <c r="Q49" i="8"/>
  <c r="R49" i="8"/>
  <c r="K48" i="8"/>
  <c r="L48" i="8"/>
  <c r="M48" i="8"/>
  <c r="N48" i="8"/>
  <c r="O48" i="8"/>
  <c r="P48" i="8"/>
  <c r="Q48" i="8"/>
  <c r="R48" i="8"/>
  <c r="K51" i="8"/>
  <c r="L51" i="8"/>
  <c r="M51" i="8"/>
  <c r="N51" i="8"/>
  <c r="O51" i="8"/>
  <c r="P51" i="8"/>
  <c r="Q51" i="8"/>
  <c r="R51" i="8"/>
  <c r="K66" i="8"/>
  <c r="L66" i="8"/>
  <c r="M66" i="8"/>
  <c r="N66" i="8"/>
  <c r="O66" i="8"/>
  <c r="P66" i="8"/>
  <c r="Q66" i="8"/>
  <c r="R66" i="8"/>
  <c r="K53" i="8"/>
  <c r="L53" i="8"/>
  <c r="M53" i="8"/>
  <c r="N53" i="8"/>
  <c r="O53" i="8"/>
  <c r="P53" i="8"/>
  <c r="Q53" i="8"/>
  <c r="R53" i="8"/>
  <c r="K57" i="8"/>
  <c r="L57" i="8"/>
  <c r="M57" i="8"/>
  <c r="N57" i="8"/>
  <c r="O57" i="8"/>
  <c r="P57" i="8"/>
  <c r="Q57" i="8"/>
  <c r="R57" i="8"/>
  <c r="K65" i="8"/>
  <c r="L65" i="8"/>
  <c r="M65" i="8"/>
  <c r="N65" i="8"/>
  <c r="O65" i="8"/>
  <c r="P65" i="8"/>
  <c r="Q65" i="8"/>
  <c r="R65" i="8"/>
  <c r="K56" i="8"/>
  <c r="L56" i="8"/>
  <c r="M56" i="8"/>
  <c r="N56" i="8"/>
  <c r="O56" i="8"/>
  <c r="P56" i="8"/>
  <c r="Q56" i="8"/>
  <c r="R56" i="8"/>
  <c r="K39" i="8"/>
  <c r="L39" i="8"/>
  <c r="M39" i="8"/>
  <c r="N39" i="8"/>
  <c r="O39" i="8"/>
  <c r="P39" i="8"/>
  <c r="Q39" i="8"/>
  <c r="R39" i="8"/>
  <c r="K46" i="8"/>
  <c r="L46" i="8"/>
  <c r="M46" i="8"/>
  <c r="N46" i="8"/>
  <c r="O46" i="8"/>
  <c r="P46" i="8"/>
  <c r="Q46" i="8"/>
  <c r="R46" i="8"/>
  <c r="K34" i="8"/>
  <c r="L34" i="8"/>
  <c r="M34" i="8"/>
  <c r="N34" i="8"/>
  <c r="O34" i="8"/>
  <c r="P34" i="8"/>
  <c r="Q34" i="8"/>
  <c r="R34" i="8"/>
  <c r="K35" i="8"/>
  <c r="L35" i="8"/>
  <c r="M35" i="8"/>
  <c r="N35" i="8"/>
  <c r="O35" i="8"/>
  <c r="P35" i="8"/>
  <c r="Q35" i="8"/>
  <c r="R35" i="8"/>
  <c r="K61" i="8"/>
  <c r="L61" i="8"/>
  <c r="M61" i="8"/>
  <c r="N61" i="8"/>
  <c r="O61" i="8"/>
  <c r="P61" i="8"/>
  <c r="Q61" i="8"/>
  <c r="R61" i="8"/>
  <c r="K62" i="8"/>
  <c r="L62" i="8"/>
  <c r="M62" i="8"/>
  <c r="N62" i="8"/>
  <c r="O62" i="8"/>
  <c r="P62" i="8"/>
  <c r="Q62" i="8"/>
  <c r="R62" i="8"/>
  <c r="K16" i="8"/>
  <c r="L16" i="8"/>
  <c r="M16" i="8"/>
  <c r="N16" i="8"/>
  <c r="O16" i="8"/>
  <c r="P16" i="8"/>
  <c r="Q16" i="8"/>
  <c r="R16" i="8"/>
  <c r="K15" i="8"/>
  <c r="L15" i="8"/>
  <c r="M15" i="8"/>
  <c r="N15" i="8"/>
  <c r="O15" i="8"/>
  <c r="P15" i="8"/>
  <c r="Q15" i="8"/>
  <c r="R15" i="8"/>
  <c r="K58" i="8"/>
  <c r="L58" i="8"/>
  <c r="M58" i="8"/>
  <c r="N58" i="8"/>
  <c r="O58" i="8"/>
  <c r="P58" i="8"/>
  <c r="Q58" i="8"/>
  <c r="R58" i="8"/>
  <c r="K30" i="8"/>
  <c r="L30" i="8"/>
  <c r="M30" i="8"/>
  <c r="N30" i="8"/>
  <c r="O30" i="8"/>
  <c r="P30" i="8"/>
  <c r="Q30" i="8"/>
  <c r="R30" i="8"/>
  <c r="K67" i="8"/>
  <c r="L67" i="8"/>
  <c r="M67" i="8"/>
  <c r="N67" i="8"/>
  <c r="O67" i="8"/>
  <c r="P67" i="8"/>
  <c r="Q67" i="8"/>
  <c r="R67" i="8"/>
  <c r="K31" i="8"/>
  <c r="L31" i="8"/>
  <c r="M31" i="8"/>
  <c r="N31" i="8"/>
  <c r="O31" i="8"/>
  <c r="P31" i="8"/>
  <c r="Q31" i="8"/>
  <c r="R31" i="8"/>
  <c r="K45" i="8"/>
  <c r="L45" i="8"/>
  <c r="M45" i="8"/>
  <c r="N45" i="8"/>
  <c r="O45" i="8"/>
  <c r="P45" i="8"/>
  <c r="Q45" i="8"/>
  <c r="R45" i="8"/>
  <c r="K70" i="8"/>
  <c r="L70" i="8"/>
  <c r="M70" i="8"/>
  <c r="N70" i="8"/>
  <c r="O70" i="8"/>
  <c r="P70" i="8"/>
  <c r="Q70" i="8"/>
  <c r="R70" i="8"/>
  <c r="K77" i="8"/>
  <c r="L77" i="8"/>
  <c r="M77" i="8"/>
  <c r="N77" i="8"/>
  <c r="O77" i="8"/>
  <c r="P77" i="8"/>
  <c r="Q77" i="8"/>
  <c r="R77" i="8"/>
  <c r="K78" i="8"/>
  <c r="L78" i="8"/>
  <c r="M78" i="8"/>
  <c r="N78" i="8"/>
  <c r="O78" i="8"/>
  <c r="P78" i="8"/>
  <c r="Q78" i="8"/>
  <c r="R78" i="8"/>
  <c r="K73" i="8"/>
  <c r="L73" i="8"/>
  <c r="M73" i="8"/>
  <c r="N73" i="8"/>
  <c r="O73" i="8"/>
  <c r="P73" i="8"/>
  <c r="Q73" i="8"/>
  <c r="R73" i="8"/>
  <c r="K5" i="8"/>
  <c r="L5" i="8"/>
  <c r="M5" i="8"/>
  <c r="N5" i="8"/>
  <c r="O5" i="8"/>
  <c r="P5" i="8"/>
  <c r="Q5" i="8"/>
  <c r="R5" i="8"/>
  <c r="K7" i="8"/>
  <c r="L7" i="8"/>
  <c r="M7" i="8"/>
  <c r="N7" i="8"/>
  <c r="O7" i="8"/>
  <c r="P7" i="8"/>
  <c r="Q7" i="8"/>
  <c r="R7" i="8"/>
  <c r="K76" i="8"/>
  <c r="L76" i="8"/>
  <c r="M76" i="8"/>
  <c r="N76" i="8"/>
  <c r="O76" i="8"/>
  <c r="P76" i="8"/>
  <c r="Q76" i="8"/>
  <c r="R76" i="8"/>
  <c r="K71" i="8"/>
  <c r="L71" i="8"/>
  <c r="M71" i="8"/>
  <c r="N71" i="8"/>
  <c r="O71" i="8"/>
  <c r="P71" i="8"/>
  <c r="Q71" i="8"/>
  <c r="R71" i="8"/>
  <c r="K72" i="8"/>
  <c r="L72" i="8"/>
  <c r="M72" i="8"/>
  <c r="N72" i="8"/>
  <c r="O72" i="8"/>
  <c r="P72" i="8"/>
  <c r="Q72" i="8"/>
  <c r="R72" i="8"/>
  <c r="K79" i="8"/>
  <c r="L79" i="8"/>
  <c r="M79" i="8"/>
  <c r="N79" i="8"/>
  <c r="O79" i="8"/>
  <c r="P79" i="8"/>
  <c r="Q79" i="8"/>
  <c r="R79" i="8"/>
  <c r="R2" i="8"/>
  <c r="Q2" i="8"/>
  <c r="L2" i="8"/>
  <c r="M2" i="8"/>
  <c r="N2" i="8"/>
  <c r="O2" i="8"/>
  <c r="P2" i="8"/>
  <c r="K2" i="8"/>
  <c r="J29" i="6"/>
  <c r="K29" i="6"/>
  <c r="L29" i="6"/>
  <c r="M29" i="6"/>
  <c r="N29" i="6"/>
  <c r="P3" i="6"/>
  <c r="Q3" i="6"/>
  <c r="J18" i="6"/>
  <c r="K18" i="6"/>
  <c r="L18" i="6"/>
  <c r="M18" i="6"/>
  <c r="N18" i="6"/>
  <c r="P4" i="6"/>
  <c r="Q4" i="6"/>
  <c r="J44" i="6"/>
  <c r="K44" i="6"/>
  <c r="L44" i="6"/>
  <c r="M44" i="6"/>
  <c r="N44" i="6"/>
  <c r="P5" i="6"/>
  <c r="Q5" i="6"/>
  <c r="J60" i="6"/>
  <c r="K60" i="6"/>
  <c r="L60" i="6"/>
  <c r="M60" i="6"/>
  <c r="N60" i="6"/>
  <c r="P6" i="6"/>
  <c r="Q6" i="6"/>
  <c r="J77" i="6"/>
  <c r="K77" i="6"/>
  <c r="L77" i="6"/>
  <c r="M77" i="6"/>
  <c r="N77" i="6"/>
  <c r="P7" i="6"/>
  <c r="Q7" i="6"/>
  <c r="J62" i="6"/>
  <c r="K62" i="6"/>
  <c r="L62" i="6"/>
  <c r="M62" i="6"/>
  <c r="N62" i="6"/>
  <c r="P8" i="6"/>
  <c r="Q8" i="6"/>
  <c r="J45" i="6"/>
  <c r="K45" i="6"/>
  <c r="L45" i="6"/>
  <c r="M45" i="6"/>
  <c r="N45" i="6"/>
  <c r="P9" i="6"/>
  <c r="Q9" i="6"/>
  <c r="J69" i="6"/>
  <c r="K69" i="6"/>
  <c r="L69" i="6"/>
  <c r="M69" i="6"/>
  <c r="N69" i="6"/>
  <c r="P10" i="6"/>
  <c r="Q10" i="6"/>
  <c r="J39" i="6"/>
  <c r="K39" i="6"/>
  <c r="L39" i="6"/>
  <c r="M39" i="6"/>
  <c r="N39" i="6"/>
  <c r="P11" i="6"/>
  <c r="Q11" i="6"/>
  <c r="J57" i="6"/>
  <c r="K57" i="6"/>
  <c r="L57" i="6"/>
  <c r="M57" i="6"/>
  <c r="N57" i="6"/>
  <c r="P12" i="6"/>
  <c r="Q12" i="6"/>
  <c r="J61" i="6"/>
  <c r="K61" i="6"/>
  <c r="L61" i="6"/>
  <c r="M61" i="6"/>
  <c r="N61" i="6"/>
  <c r="P13" i="6"/>
  <c r="Q13" i="6"/>
  <c r="J67" i="6"/>
  <c r="K67" i="6"/>
  <c r="L67" i="6"/>
  <c r="M67" i="6"/>
  <c r="N67" i="6"/>
  <c r="P14" i="6"/>
  <c r="Q14" i="6"/>
  <c r="J19" i="6"/>
  <c r="K19" i="6"/>
  <c r="L19" i="6"/>
  <c r="M19" i="6"/>
  <c r="N19" i="6"/>
  <c r="P15" i="6"/>
  <c r="Q15" i="6"/>
  <c r="J30" i="6"/>
  <c r="K30" i="6"/>
  <c r="L30" i="6"/>
  <c r="M30" i="6"/>
  <c r="N30" i="6"/>
  <c r="P16" i="6"/>
  <c r="Q16" i="6"/>
  <c r="J35" i="6"/>
  <c r="K35" i="6"/>
  <c r="L35" i="6"/>
  <c r="M35" i="6"/>
  <c r="N35" i="6"/>
  <c r="P17" i="6"/>
  <c r="Q17" i="6"/>
  <c r="J72" i="6"/>
  <c r="K72" i="6"/>
  <c r="L72" i="6"/>
  <c r="M72" i="6"/>
  <c r="N72" i="6"/>
  <c r="P18" i="6"/>
  <c r="Q18" i="6"/>
  <c r="J55" i="6"/>
  <c r="K55" i="6"/>
  <c r="L55" i="6"/>
  <c r="M55" i="6"/>
  <c r="N55" i="6"/>
  <c r="P19" i="6"/>
  <c r="Q19" i="6"/>
  <c r="J31" i="6"/>
  <c r="K31" i="6"/>
  <c r="L31" i="6"/>
  <c r="M31" i="6"/>
  <c r="N31" i="6"/>
  <c r="P20" i="6"/>
  <c r="Q20" i="6"/>
  <c r="J6" i="6"/>
  <c r="K6" i="6"/>
  <c r="L6" i="6"/>
  <c r="M6" i="6"/>
  <c r="N6" i="6"/>
  <c r="P21" i="6"/>
  <c r="Q21" i="6"/>
  <c r="J73" i="6"/>
  <c r="K73" i="6"/>
  <c r="L73" i="6"/>
  <c r="M73" i="6"/>
  <c r="N73" i="6"/>
  <c r="P22" i="6"/>
  <c r="Q22" i="6"/>
  <c r="J48" i="6"/>
  <c r="K48" i="6"/>
  <c r="L48" i="6"/>
  <c r="M48" i="6"/>
  <c r="N48" i="6"/>
  <c r="P23" i="6"/>
  <c r="Q23" i="6"/>
  <c r="J9" i="6"/>
  <c r="K9" i="6"/>
  <c r="L9" i="6"/>
  <c r="M9" i="6"/>
  <c r="N9" i="6"/>
  <c r="P24" i="6"/>
  <c r="Q24" i="6"/>
  <c r="J74" i="6"/>
  <c r="K74" i="6"/>
  <c r="L74" i="6"/>
  <c r="M74" i="6"/>
  <c r="N74" i="6"/>
  <c r="P25" i="6"/>
  <c r="Q25" i="6"/>
  <c r="J12" i="6"/>
  <c r="K12" i="6"/>
  <c r="L12" i="6"/>
  <c r="M12" i="6"/>
  <c r="N12" i="6"/>
  <c r="P26" i="6"/>
  <c r="Q26" i="6"/>
  <c r="J66" i="6"/>
  <c r="K66" i="6"/>
  <c r="L66" i="6"/>
  <c r="M66" i="6"/>
  <c r="N66" i="6"/>
  <c r="P27" i="6"/>
  <c r="Q27" i="6"/>
  <c r="J43" i="6"/>
  <c r="K43" i="6"/>
  <c r="L43" i="6"/>
  <c r="M43" i="6"/>
  <c r="N43" i="6"/>
  <c r="P28" i="6"/>
  <c r="Q28" i="6"/>
  <c r="J42" i="6"/>
  <c r="K42" i="6"/>
  <c r="L42" i="6"/>
  <c r="M42" i="6"/>
  <c r="N42" i="6"/>
  <c r="P29" i="6"/>
  <c r="Q29" i="6"/>
  <c r="J64" i="6"/>
  <c r="K64" i="6"/>
  <c r="L64" i="6"/>
  <c r="M64" i="6"/>
  <c r="N64" i="6"/>
  <c r="P30" i="6"/>
  <c r="Q30" i="6"/>
  <c r="J34" i="6"/>
  <c r="K34" i="6"/>
  <c r="L34" i="6"/>
  <c r="M34" i="6"/>
  <c r="N34" i="6"/>
  <c r="P31" i="6"/>
  <c r="Q31" i="6"/>
  <c r="J20" i="6"/>
  <c r="K20" i="6"/>
  <c r="L20" i="6"/>
  <c r="M20" i="6"/>
  <c r="N20" i="6"/>
  <c r="P32" i="6"/>
  <c r="Q32" i="6"/>
  <c r="J24" i="6"/>
  <c r="K24" i="6"/>
  <c r="L24" i="6"/>
  <c r="M24" i="6"/>
  <c r="N24" i="6"/>
  <c r="P33" i="6"/>
  <c r="Q33" i="6"/>
  <c r="J14" i="6"/>
  <c r="K14" i="6"/>
  <c r="L14" i="6"/>
  <c r="M14" i="6"/>
  <c r="N14" i="6"/>
  <c r="P34" i="6"/>
  <c r="Q34" i="6"/>
  <c r="J51" i="6"/>
  <c r="K51" i="6"/>
  <c r="L51" i="6"/>
  <c r="M51" i="6"/>
  <c r="N51" i="6"/>
  <c r="P35" i="6"/>
  <c r="Q35" i="6"/>
  <c r="J65" i="6"/>
  <c r="K65" i="6"/>
  <c r="L65" i="6"/>
  <c r="M65" i="6"/>
  <c r="N65" i="6"/>
  <c r="P36" i="6"/>
  <c r="Q36" i="6"/>
  <c r="J15" i="6"/>
  <c r="K15" i="6"/>
  <c r="L15" i="6"/>
  <c r="M15" i="6"/>
  <c r="N15" i="6"/>
  <c r="P37" i="6"/>
  <c r="Q37" i="6"/>
  <c r="J2" i="6"/>
  <c r="K2" i="6"/>
  <c r="L2" i="6"/>
  <c r="M2" i="6"/>
  <c r="N2" i="6"/>
  <c r="P38" i="6"/>
  <c r="Q38" i="6"/>
  <c r="J53" i="6"/>
  <c r="K53" i="6"/>
  <c r="L53" i="6"/>
  <c r="M53" i="6"/>
  <c r="N53" i="6"/>
  <c r="P39" i="6"/>
  <c r="Q39" i="6"/>
  <c r="J70" i="6"/>
  <c r="K70" i="6"/>
  <c r="L70" i="6"/>
  <c r="M70" i="6"/>
  <c r="N70" i="6"/>
  <c r="P40" i="6"/>
  <c r="Q40" i="6"/>
  <c r="J27" i="6"/>
  <c r="K27" i="6"/>
  <c r="L27" i="6"/>
  <c r="M27" i="6"/>
  <c r="N27" i="6"/>
  <c r="P41" i="6"/>
  <c r="Q41" i="6"/>
  <c r="J28" i="6"/>
  <c r="K28" i="6"/>
  <c r="L28" i="6"/>
  <c r="M28" i="6"/>
  <c r="N28" i="6"/>
  <c r="P42" i="6"/>
  <c r="Q42" i="6"/>
  <c r="J33" i="6"/>
  <c r="K33" i="6"/>
  <c r="L33" i="6"/>
  <c r="M33" i="6"/>
  <c r="N33" i="6"/>
  <c r="P43" i="6"/>
  <c r="Q43" i="6"/>
  <c r="J52" i="6"/>
  <c r="K52" i="6"/>
  <c r="L52" i="6"/>
  <c r="M52" i="6"/>
  <c r="N52" i="6"/>
  <c r="P44" i="6"/>
  <c r="Q44" i="6"/>
  <c r="J4" i="6"/>
  <c r="K4" i="6"/>
  <c r="L4" i="6"/>
  <c r="M4" i="6"/>
  <c r="N4" i="6"/>
  <c r="P45" i="6"/>
  <c r="Q45" i="6"/>
  <c r="J22" i="6"/>
  <c r="K22" i="6"/>
  <c r="L22" i="6"/>
  <c r="M22" i="6"/>
  <c r="N22" i="6"/>
  <c r="P46" i="6"/>
  <c r="Q46" i="6"/>
  <c r="J46" i="6"/>
  <c r="K46" i="6"/>
  <c r="L46" i="6"/>
  <c r="M46" i="6"/>
  <c r="N46" i="6"/>
  <c r="P47" i="6"/>
  <c r="Q47" i="6"/>
  <c r="J17" i="6"/>
  <c r="K17" i="6"/>
  <c r="L17" i="6"/>
  <c r="M17" i="6"/>
  <c r="N17" i="6"/>
  <c r="P48" i="6"/>
  <c r="Q48" i="6"/>
  <c r="J23" i="6"/>
  <c r="K23" i="6"/>
  <c r="L23" i="6"/>
  <c r="M23" i="6"/>
  <c r="N23" i="6"/>
  <c r="P49" i="6"/>
  <c r="Q49" i="6"/>
  <c r="J38" i="6"/>
  <c r="K38" i="6"/>
  <c r="L38" i="6"/>
  <c r="M38" i="6"/>
  <c r="N38" i="6"/>
  <c r="P50" i="6"/>
  <c r="Q50" i="6"/>
  <c r="J7" i="6"/>
  <c r="K7" i="6"/>
  <c r="L7" i="6"/>
  <c r="M7" i="6"/>
  <c r="N7" i="6"/>
  <c r="P51" i="6"/>
  <c r="Q51" i="6"/>
  <c r="J71" i="6"/>
  <c r="K71" i="6"/>
  <c r="L71" i="6"/>
  <c r="M71" i="6"/>
  <c r="N71" i="6"/>
  <c r="P52" i="6"/>
  <c r="Q52" i="6"/>
  <c r="J8" i="6"/>
  <c r="K8" i="6"/>
  <c r="L8" i="6"/>
  <c r="M8" i="6"/>
  <c r="N8" i="6"/>
  <c r="P53" i="6"/>
  <c r="Q53" i="6"/>
  <c r="J63" i="6"/>
  <c r="K63" i="6"/>
  <c r="L63" i="6"/>
  <c r="M63" i="6"/>
  <c r="N63" i="6"/>
  <c r="P54" i="6"/>
  <c r="Q54" i="6"/>
  <c r="J58" i="6"/>
  <c r="K58" i="6"/>
  <c r="L58" i="6"/>
  <c r="M58" i="6"/>
  <c r="N58" i="6"/>
  <c r="P55" i="6"/>
  <c r="Q55" i="6"/>
  <c r="J3" i="6"/>
  <c r="K3" i="6"/>
  <c r="L3" i="6"/>
  <c r="M3" i="6"/>
  <c r="N3" i="6"/>
  <c r="P56" i="6"/>
  <c r="Q56" i="6"/>
  <c r="J47" i="6"/>
  <c r="K47" i="6"/>
  <c r="L47" i="6"/>
  <c r="M47" i="6"/>
  <c r="N47" i="6"/>
  <c r="P57" i="6"/>
  <c r="Q57" i="6"/>
  <c r="J36" i="6"/>
  <c r="K36" i="6"/>
  <c r="L36" i="6"/>
  <c r="M36" i="6"/>
  <c r="N36" i="6"/>
  <c r="P58" i="6"/>
  <c r="Q58" i="6"/>
  <c r="J41" i="6"/>
  <c r="K41" i="6"/>
  <c r="L41" i="6"/>
  <c r="M41" i="6"/>
  <c r="N41" i="6"/>
  <c r="P59" i="6"/>
  <c r="Q59" i="6"/>
  <c r="J32" i="6"/>
  <c r="K32" i="6"/>
  <c r="L32" i="6"/>
  <c r="M32" i="6"/>
  <c r="N32" i="6"/>
  <c r="P60" i="6"/>
  <c r="Q60" i="6"/>
  <c r="J37" i="6"/>
  <c r="K37" i="6"/>
  <c r="L37" i="6"/>
  <c r="M37" i="6"/>
  <c r="N37" i="6"/>
  <c r="P61" i="6"/>
  <c r="Q61" i="6"/>
  <c r="J59" i="6"/>
  <c r="K59" i="6"/>
  <c r="L59" i="6"/>
  <c r="M59" i="6"/>
  <c r="N59" i="6"/>
  <c r="P62" i="6"/>
  <c r="Q62" i="6"/>
  <c r="J16" i="6"/>
  <c r="K16" i="6"/>
  <c r="L16" i="6"/>
  <c r="M16" i="6"/>
  <c r="N16" i="6"/>
  <c r="P63" i="6"/>
  <c r="Q63" i="6"/>
  <c r="J13" i="6"/>
  <c r="K13" i="6"/>
  <c r="L13" i="6"/>
  <c r="M13" i="6"/>
  <c r="N13" i="6"/>
  <c r="P64" i="6"/>
  <c r="Q64" i="6"/>
  <c r="J49" i="6"/>
  <c r="K49" i="6"/>
  <c r="L49" i="6"/>
  <c r="M49" i="6"/>
  <c r="N49" i="6"/>
  <c r="P65" i="6"/>
  <c r="Q65" i="6"/>
  <c r="J40" i="6"/>
  <c r="K40" i="6"/>
  <c r="L40" i="6"/>
  <c r="M40" i="6"/>
  <c r="N40" i="6"/>
  <c r="P66" i="6"/>
  <c r="Q66" i="6"/>
  <c r="J56" i="6"/>
  <c r="K56" i="6"/>
  <c r="L56" i="6"/>
  <c r="M56" i="6"/>
  <c r="N56" i="6"/>
  <c r="P67" i="6"/>
  <c r="Q67" i="6"/>
  <c r="J21" i="6"/>
  <c r="K21" i="6"/>
  <c r="L21" i="6"/>
  <c r="M21" i="6"/>
  <c r="N21" i="6"/>
  <c r="P68" i="6"/>
  <c r="Q68" i="6"/>
  <c r="J50" i="6"/>
  <c r="K50" i="6"/>
  <c r="L50" i="6"/>
  <c r="M50" i="6"/>
  <c r="N50" i="6"/>
  <c r="P69" i="6"/>
  <c r="Q69" i="6"/>
  <c r="J26" i="6"/>
  <c r="K26" i="6"/>
  <c r="L26" i="6"/>
  <c r="M26" i="6"/>
  <c r="N26" i="6"/>
  <c r="P70" i="6"/>
  <c r="Q70" i="6"/>
  <c r="J76" i="6"/>
  <c r="K76" i="6"/>
  <c r="L76" i="6"/>
  <c r="M76" i="6"/>
  <c r="N76" i="6"/>
  <c r="P71" i="6"/>
  <c r="Q71" i="6"/>
  <c r="J79" i="6"/>
  <c r="K79" i="6"/>
  <c r="L79" i="6"/>
  <c r="M79" i="6"/>
  <c r="N79" i="6"/>
  <c r="P72" i="6"/>
  <c r="Q72" i="6"/>
  <c r="J25" i="6"/>
  <c r="K25" i="6"/>
  <c r="L25" i="6"/>
  <c r="M25" i="6"/>
  <c r="N25" i="6"/>
  <c r="P73" i="6"/>
  <c r="Q73" i="6"/>
  <c r="J5" i="6"/>
  <c r="K5" i="6"/>
  <c r="L5" i="6"/>
  <c r="M5" i="6"/>
  <c r="N5" i="6"/>
  <c r="P74" i="6"/>
  <c r="Q74" i="6"/>
  <c r="J10" i="6"/>
  <c r="K10" i="6"/>
  <c r="L10" i="6"/>
  <c r="M10" i="6"/>
  <c r="N10" i="6"/>
  <c r="P75" i="6"/>
  <c r="Q75" i="6"/>
  <c r="J54" i="6"/>
  <c r="K54" i="6"/>
  <c r="L54" i="6"/>
  <c r="M54" i="6"/>
  <c r="N54" i="6"/>
  <c r="P76" i="6"/>
  <c r="Q76" i="6"/>
  <c r="P77" i="6"/>
  <c r="Q77" i="6"/>
  <c r="J75" i="6"/>
  <c r="K75" i="6"/>
  <c r="L75" i="6"/>
  <c r="M75" i="6"/>
  <c r="N75" i="6"/>
  <c r="P78" i="6"/>
  <c r="Q78" i="6"/>
  <c r="J78" i="6"/>
  <c r="K78" i="6"/>
  <c r="L78" i="6"/>
  <c r="M78" i="6"/>
  <c r="N78" i="6"/>
  <c r="P79" i="6"/>
  <c r="Q79" i="6"/>
  <c r="Q2" i="6"/>
  <c r="P2" i="6"/>
  <c r="K11" i="6"/>
  <c r="L11" i="6"/>
  <c r="M11" i="6"/>
  <c r="N11" i="6"/>
  <c r="J11" i="6"/>
  <c r="J68" i="6" l="1"/>
  <c r="K68" i="6"/>
  <c r="L68" i="6"/>
  <c r="N68" i="6"/>
  <c r="M68" i="6"/>
</calcChain>
</file>

<file path=xl/sharedStrings.xml><?xml version="1.0" encoding="utf-8"?>
<sst xmlns="http://schemas.openxmlformats.org/spreadsheetml/2006/main" count="1724" uniqueCount="464">
  <si>
    <t>eFUA_name</t>
  </si>
  <si>
    <t>_GDPperCAP_mean</t>
  </si>
  <si>
    <t>cycle_asphalt</t>
  </si>
  <si>
    <t>cycle_brick</t>
  </si>
  <si>
    <t>cycle_concrete</t>
  </si>
  <si>
    <t>cycle_metal</t>
  </si>
  <si>
    <t>cycle_paved</t>
  </si>
  <si>
    <t>cycle_paving_stone</t>
  </si>
  <si>
    <t>cycle_stone</t>
  </si>
  <si>
    <t>cycle_unpaved - construction</t>
  </si>
  <si>
    <t>cycle_unpaved - unmanaged</t>
  </si>
  <si>
    <t>cycle_wood</t>
  </si>
  <si>
    <t>informal_asphalt</t>
  </si>
  <si>
    <t>informal_brick</t>
  </si>
  <si>
    <t>informal_concrete</t>
  </si>
  <si>
    <t>informal_metal</t>
  </si>
  <si>
    <t>informal_paved</t>
  </si>
  <si>
    <t>informal_paving_stone</t>
  </si>
  <si>
    <t>informal_stone</t>
  </si>
  <si>
    <t>informal_unpaved - construction</t>
  </si>
  <si>
    <t>informal_unpaved - unmanaged</t>
  </si>
  <si>
    <t>informal_wood</t>
  </si>
  <si>
    <t>local_asphalt</t>
  </si>
  <si>
    <t>local_brick</t>
  </si>
  <si>
    <t>local_concrete</t>
  </si>
  <si>
    <t>local_metal</t>
  </si>
  <si>
    <t>local_paving_stone</t>
  </si>
  <si>
    <t>local_stone</t>
  </si>
  <si>
    <t>local_unpaved - construction</t>
  </si>
  <si>
    <t>local_unpaved - unmanaged</t>
  </si>
  <si>
    <t>local_wood</t>
  </si>
  <si>
    <t>motorway_asphalt</t>
  </si>
  <si>
    <t>motorway_concrete</t>
  </si>
  <si>
    <t>motorway_metal</t>
  </si>
  <si>
    <t>motorway_paving_stone</t>
  </si>
  <si>
    <t>motorway_stone</t>
  </si>
  <si>
    <t>motorway_unpaved - construction</t>
  </si>
  <si>
    <t>motorway_unpaved - unmanaged</t>
  </si>
  <si>
    <t>pedestrian_asphalt</t>
  </si>
  <si>
    <t>pedestrian_brick</t>
  </si>
  <si>
    <t>pedestrian_concrete</t>
  </si>
  <si>
    <t>pedestrian_metal</t>
  </si>
  <si>
    <t>pedestrian_paved</t>
  </si>
  <si>
    <t>pedestrian_paving_stone</t>
  </si>
  <si>
    <t>pedestrian_stone</t>
  </si>
  <si>
    <t>pedestrian_unpaved - construction</t>
  </si>
  <si>
    <t>pedestrian_unpaved - unmanaged</t>
  </si>
  <si>
    <t>pedestrian_wood</t>
  </si>
  <si>
    <t>primary_asphalt</t>
  </si>
  <si>
    <t>primary_concrete</t>
  </si>
  <si>
    <t>primary_metal</t>
  </si>
  <si>
    <t>primary_paving_stone</t>
  </si>
  <si>
    <t>primary_stone</t>
  </si>
  <si>
    <t>primary_unpaved - construction</t>
  </si>
  <si>
    <t>primary_unpaved - unmanaged</t>
  </si>
  <si>
    <t>primary_wood</t>
  </si>
  <si>
    <t>secondary_asphalt</t>
  </si>
  <si>
    <t>secondary_brick</t>
  </si>
  <si>
    <t>secondary_concrete</t>
  </si>
  <si>
    <t>secondary_metal</t>
  </si>
  <si>
    <t>secondary_paving_stone</t>
  </si>
  <si>
    <t>secondary_stone</t>
  </si>
  <si>
    <t>secondary_unpaved - construction</t>
  </si>
  <si>
    <t>secondary_unpaved - unmanaged</t>
  </si>
  <si>
    <t>secondary_wood</t>
  </si>
  <si>
    <t>tertiary_asphalt</t>
  </si>
  <si>
    <t>tertiary_brick</t>
  </si>
  <si>
    <t>tertiary_concrete</t>
  </si>
  <si>
    <t>tertiary_metal</t>
  </si>
  <si>
    <t>tertiary_paved</t>
  </si>
  <si>
    <t>tertiary_paving_stone</t>
  </si>
  <si>
    <t>tertiary_stone</t>
  </si>
  <si>
    <t>tertiary_unpaved - construction</t>
  </si>
  <si>
    <t>tertiary_unpaved - unmanaged</t>
  </si>
  <si>
    <t>tertiary_wood</t>
  </si>
  <si>
    <t>_region_Rest of South Asia_IMAGE</t>
  </si>
  <si>
    <t>urban_Eastern Africa_IMAGE</t>
  </si>
  <si>
    <t>rur_Eastern Africa_IMAGE</t>
  </si>
  <si>
    <t>rur_Rest of Southern Africa_IMAGE</t>
  </si>
  <si>
    <t>_region_Central Europe_IMAGE</t>
  </si>
  <si>
    <t>urban_Western Africa_IMAGE</t>
  </si>
  <si>
    <t>urban_Rest of Southern Africa_IMAGE</t>
  </si>
  <si>
    <t>_region_Rest of South America_IMAGE</t>
  </si>
  <si>
    <t>rur_Western Africa_IMAGE</t>
  </si>
  <si>
    <t>rur_Rest of South Asia_IMAGE</t>
  </si>
  <si>
    <t>urban_Rest of South Asia_IMAGE</t>
  </si>
  <si>
    <t>_region_Russia region_IMAGE</t>
  </si>
  <si>
    <t>_region_Oceania_IMAGE</t>
  </si>
  <si>
    <t>rur_India_IMAGE</t>
  </si>
  <si>
    <t>urban_India_IMAGE</t>
  </si>
  <si>
    <t>urban_Indonesia region_IMAGE</t>
  </si>
  <si>
    <t>_region_Western Europe_IMAGE</t>
  </si>
  <si>
    <t>rur_Southeastern Asia_IMAGE</t>
  </si>
  <si>
    <t>_region_Southeastern Asia_IMAGE</t>
  </si>
  <si>
    <t>rur_Central America_IMAGE</t>
  </si>
  <si>
    <t>urban_Ukraine region_IMAGE</t>
  </si>
  <si>
    <t>urban_Northern Africa_IMAGE</t>
  </si>
  <si>
    <t>rur_Central Asia_IMAGE</t>
  </si>
  <si>
    <t>_region_Canada_IMAGE</t>
  </si>
  <si>
    <t>urban_Central America_IMAGE</t>
  </si>
  <si>
    <t>rur_Ukraine region_IMAGE</t>
  </si>
  <si>
    <t>_region_China region_IMAGE</t>
  </si>
  <si>
    <t>_region_Brazil_IMAGE</t>
  </si>
  <si>
    <t>urban_South Africa_IMAGE</t>
  </si>
  <si>
    <t>rur_Northern Africa_IMAGE</t>
  </si>
  <si>
    <t>rur_Indonesia region_IMAGE</t>
  </si>
  <si>
    <t>_region_Central America_IMAGE</t>
  </si>
  <si>
    <t>urban_Central Asia_IMAGE</t>
  </si>
  <si>
    <t>rur_South Africa_IMAGE</t>
  </si>
  <si>
    <t>urban_Southeastern Asia_IMAGE</t>
  </si>
  <si>
    <t>_region_India_IMAGE</t>
  </si>
  <si>
    <t>rur_Brazil_IMAGE</t>
  </si>
  <si>
    <t>urban_Rest of South America_IMAGE</t>
  </si>
  <si>
    <t>_region_Japan_IMAGE</t>
  </si>
  <si>
    <t>_region_Central Asia_IMAGE</t>
  </si>
  <si>
    <t>urban_China region_IMAGE</t>
  </si>
  <si>
    <t>rur_Middle East_IMAGE</t>
  </si>
  <si>
    <t>_region_Mexico_IMAGE</t>
  </si>
  <si>
    <t>urban_Brazil_IMAGE</t>
  </si>
  <si>
    <t>rur_Korea region_IMAGE</t>
  </si>
  <si>
    <t>urban_Mexico_IMAGE</t>
  </si>
  <si>
    <t>rur_China region_IMAGE</t>
  </si>
  <si>
    <t>_region_Ukraine region_IMAGE</t>
  </si>
  <si>
    <t>rur_Rest of South America_IMAGE</t>
  </si>
  <si>
    <t>_region_Rest of Southern Africa_IMAGE</t>
  </si>
  <si>
    <t>urban_Turkey_IMAGE</t>
  </si>
  <si>
    <t>_region_Western Africa_IMAGE</t>
  </si>
  <si>
    <t>urban_Russia region_IMAGE</t>
  </si>
  <si>
    <t>rur_Turkey_IMAGE</t>
  </si>
  <si>
    <t>_region_Eastern Africa_IMAGE</t>
  </si>
  <si>
    <t>urban_Middle East_IMAGE</t>
  </si>
  <si>
    <t>rur_Oceania_IMAGE</t>
  </si>
  <si>
    <t>urban_Korea region_IMAGE</t>
  </si>
  <si>
    <t>rur_Mexico_IMAGE</t>
  </si>
  <si>
    <t>_region_South Africa_IMAGE</t>
  </si>
  <si>
    <t>_region_Korea region_IMAGE</t>
  </si>
  <si>
    <t>urban_Central Europe_IMAGE</t>
  </si>
  <si>
    <t>rur_Central Europe_IMAGE</t>
  </si>
  <si>
    <t>rur_Russia region_IMAGE</t>
  </si>
  <si>
    <t>urban_Japan_IMAGE</t>
  </si>
  <si>
    <t>_region_Middle East_IMAGE</t>
  </si>
  <si>
    <t>rur_Japan_IMAGE</t>
  </si>
  <si>
    <t>urban_Oceania_IMAGE</t>
  </si>
  <si>
    <t>_region_Indonesia region_IMAGE</t>
  </si>
  <si>
    <t>rur_Western Europe_IMAGE</t>
  </si>
  <si>
    <t>urban_Western Europe_IMAGE</t>
  </si>
  <si>
    <t>_region_Northern Africa_IMAGE</t>
  </si>
  <si>
    <t>rur_Canada_IMAGE</t>
  </si>
  <si>
    <t>urban_Canada_IMAGE</t>
  </si>
  <si>
    <t>_region_Turkey_IMAGE</t>
  </si>
  <si>
    <t>rur_USA_IMAGE</t>
  </si>
  <si>
    <t>urban_USA_IMAGE</t>
  </si>
  <si>
    <t>_region_USA_IMAGE</t>
  </si>
  <si>
    <t>asphalt share</t>
  </si>
  <si>
    <t>concrete share</t>
  </si>
  <si>
    <t>metal share</t>
  </si>
  <si>
    <t>paving stone share</t>
  </si>
  <si>
    <t>stone share</t>
  </si>
  <si>
    <t>unpaved construction</t>
  </si>
  <si>
    <t>unpaved unmanaged</t>
  </si>
  <si>
    <t>Motorway-Urban</t>
  </si>
  <si>
    <t>Motorway-Rural</t>
  </si>
  <si>
    <t>primary_asphalt2</t>
  </si>
  <si>
    <t>primary_concrete3</t>
  </si>
  <si>
    <t>primary_metal4</t>
  </si>
  <si>
    <t>primary_paving_stone5</t>
  </si>
  <si>
    <t>primary_stone6</t>
  </si>
  <si>
    <t>primary_wood7</t>
  </si>
  <si>
    <t>primary_unpaved - construction8</t>
  </si>
  <si>
    <t>primary_unpaved - unmanaged9</t>
  </si>
  <si>
    <t>Primary-Urban</t>
  </si>
  <si>
    <t>Primary-Urban Unpaved</t>
  </si>
  <si>
    <t>Primary-Rural</t>
  </si>
  <si>
    <t>Primary-Rural-Unpaved</t>
  </si>
  <si>
    <t>secondary_asphalt2</t>
  </si>
  <si>
    <t>secondary_brick3</t>
  </si>
  <si>
    <t>secondary_concrete4</t>
  </si>
  <si>
    <t>secondary_metal5</t>
  </si>
  <si>
    <t>secondary_paving_stone6</t>
  </si>
  <si>
    <t>secondary_stone7</t>
  </si>
  <si>
    <t>secondary_wood8</t>
  </si>
  <si>
    <t>secondary_unpaved - construction9</t>
  </si>
  <si>
    <t>secondary_unpaved - unmanaged10</t>
  </si>
  <si>
    <t>Secondary-Urban</t>
  </si>
  <si>
    <t>Secondary-Urban-Unpaved</t>
  </si>
  <si>
    <t>Secondary-Rural</t>
  </si>
  <si>
    <t>Secondary-Rural-Unpaved</t>
  </si>
  <si>
    <t>tertiary_asphalt2</t>
  </si>
  <si>
    <t>tertiary_brick3</t>
  </si>
  <si>
    <t>tertiary_concrete4</t>
  </si>
  <si>
    <t>tertiary_metal5</t>
  </si>
  <si>
    <t>tertiary_paved6</t>
  </si>
  <si>
    <t>tertiary_paving_stone7</t>
  </si>
  <si>
    <t>tertiary_stone8</t>
  </si>
  <si>
    <t>tertiary_wood9</t>
  </si>
  <si>
    <t>tertiary_unpaved - construction10</t>
  </si>
  <si>
    <t>tertiary_unpaved - unmanaged11</t>
  </si>
  <si>
    <t>Tertiary-Urban</t>
  </si>
  <si>
    <t>Tertiary-Urban-Unpaved</t>
  </si>
  <si>
    <t>Tertiary-Rural</t>
  </si>
  <si>
    <t>Tertiary-Rural-Unpaved</t>
  </si>
  <si>
    <t>local_asphalt2</t>
  </si>
  <si>
    <t>local_brick3</t>
  </si>
  <si>
    <t>local_concrete4</t>
  </si>
  <si>
    <t>local_metal5</t>
  </si>
  <si>
    <t>local_paving_stone6</t>
  </si>
  <si>
    <t>local_stone7</t>
  </si>
  <si>
    <t>local_wood8</t>
  </si>
  <si>
    <t>local_unpaved - construction9</t>
  </si>
  <si>
    <t>local_unpaved - unmanaged10</t>
  </si>
  <si>
    <t>Local-Urban</t>
  </si>
  <si>
    <t>Local-Urban-Unpaved</t>
  </si>
  <si>
    <t>Local-Rural</t>
  </si>
  <si>
    <t>Local-Rural-Unpaved</t>
  </si>
  <si>
    <t>pedestrian_asphalt2</t>
  </si>
  <si>
    <t>pedestrian_brick3</t>
  </si>
  <si>
    <t>pedestrian_concrete4</t>
  </si>
  <si>
    <t>pedestrian_metal5</t>
  </si>
  <si>
    <t>pedestrian_paved6</t>
  </si>
  <si>
    <t>pedestrian_paving_stone7</t>
  </si>
  <si>
    <t>pedestrian_stone8</t>
  </si>
  <si>
    <t>pedestrian_wood9</t>
  </si>
  <si>
    <t>pedestrian_unpaved - construction10</t>
  </si>
  <si>
    <t>pedestrian_unpaved - unmanaged11</t>
  </si>
  <si>
    <t>Pedestrian-Urban</t>
  </si>
  <si>
    <t>Pedestrian-Urban-Unpaved</t>
  </si>
  <si>
    <t>Pedestrian-Rural</t>
  </si>
  <si>
    <t>Pedestrian-Rural-Unpaved</t>
  </si>
  <si>
    <t>cycle_asphalt2</t>
  </si>
  <si>
    <t>cycle_brick3</t>
  </si>
  <si>
    <t>cycle_concrete4</t>
  </si>
  <si>
    <t>cycle_metal5</t>
  </si>
  <si>
    <t>cycle_paved6</t>
  </si>
  <si>
    <t>cycle_paving_stone7</t>
  </si>
  <si>
    <t>cycle_stone8</t>
  </si>
  <si>
    <t>cycle_wood9</t>
  </si>
  <si>
    <t>cycle_unpaved - construction10</t>
  </si>
  <si>
    <t>cycle_unpaved - unmanaged11</t>
  </si>
  <si>
    <t>Cycling-Urban</t>
  </si>
  <si>
    <t>Cycling-Urban-Unpaved</t>
  </si>
  <si>
    <t>Cycling-Rural</t>
  </si>
  <si>
    <t>Cycling-Rural-Unpaved</t>
  </si>
  <si>
    <t>informal_asphalt2</t>
  </si>
  <si>
    <t>informal_brick3</t>
  </si>
  <si>
    <t>informal_concrete4</t>
  </si>
  <si>
    <t>informal_metal5</t>
  </si>
  <si>
    <t>informal_paved6</t>
  </si>
  <si>
    <t>informal_paving_stone7</t>
  </si>
  <si>
    <t>informal_stone8</t>
  </si>
  <si>
    <t>informal_wood9</t>
  </si>
  <si>
    <t>informal_unpaved - construction10</t>
  </si>
  <si>
    <t>informal_unpaved - unmanaged11</t>
  </si>
  <si>
    <t>Informal-Urban</t>
  </si>
  <si>
    <t>Informal-Urban-Unpaved</t>
  </si>
  <si>
    <t>Informal-Rural</t>
  </si>
  <si>
    <t>Informal-Rural-Unpaved</t>
  </si>
  <si>
    <t>asphalt_mot_urb</t>
  </si>
  <si>
    <t>concrete_mot_urb</t>
  </si>
  <si>
    <t>metal_mot_urb</t>
  </si>
  <si>
    <t>paving stone_mot_urb</t>
  </si>
  <si>
    <t>stone_mot_urb</t>
  </si>
  <si>
    <t>asphalt_mot_rur</t>
  </si>
  <si>
    <t>concrete_mot_rur</t>
  </si>
  <si>
    <t>metal_mot_rur</t>
  </si>
  <si>
    <t>paving stone_mot_rur</t>
  </si>
  <si>
    <t>stone_mot_rur</t>
  </si>
  <si>
    <t>Brazil</t>
  </si>
  <si>
    <t>Canada</t>
  </si>
  <si>
    <t>Central America</t>
  </si>
  <si>
    <t>Central Asia</t>
  </si>
  <si>
    <t>Central Europe</t>
  </si>
  <si>
    <t>Eastern Africa</t>
  </si>
  <si>
    <t>India</t>
  </si>
  <si>
    <t>Japan</t>
  </si>
  <si>
    <t>Mexico</t>
  </si>
  <si>
    <t>Middle East</t>
  </si>
  <si>
    <t>Northern Africa</t>
  </si>
  <si>
    <t>Oceania</t>
  </si>
  <si>
    <t>Rest of South America</t>
  </si>
  <si>
    <t>Rest of South Asia</t>
  </si>
  <si>
    <t>Rest of Southern Africa</t>
  </si>
  <si>
    <t>South Africa</t>
  </si>
  <si>
    <t>Turkey</t>
  </si>
  <si>
    <t>Ukraine region</t>
  </si>
  <si>
    <t>USA</t>
  </si>
  <si>
    <t>Western Africa</t>
  </si>
  <si>
    <t>Western Europe</t>
  </si>
  <si>
    <t>pri_urb_asphalt</t>
  </si>
  <si>
    <t>pri_urb_concrete</t>
  </si>
  <si>
    <t>pri_urb_metal</t>
  </si>
  <si>
    <t>pri_urb_paving_stone</t>
  </si>
  <si>
    <t>pri_urb_stone</t>
  </si>
  <si>
    <t>pri_urb_wood</t>
  </si>
  <si>
    <t>pri_urb_unpaved - construction</t>
  </si>
  <si>
    <t>pri_urb_unpaved - unmanaged</t>
  </si>
  <si>
    <t>pri_rur_asphalt</t>
  </si>
  <si>
    <t>pri_rur_concrete</t>
  </si>
  <si>
    <t>pri_rur_metal</t>
  </si>
  <si>
    <t>pri_rur_paving_stone</t>
  </si>
  <si>
    <t>pri_rur_stone</t>
  </si>
  <si>
    <t>pri_rur_wood</t>
  </si>
  <si>
    <t>pri_rur_unpaved - construction</t>
  </si>
  <si>
    <t>pri_rur_unpaved - unmanaged</t>
  </si>
  <si>
    <t>sec_urb_asphalt</t>
  </si>
  <si>
    <t>sec_urb_brick</t>
  </si>
  <si>
    <t>sec_urb_concrete</t>
  </si>
  <si>
    <t>sec_urb_metal</t>
  </si>
  <si>
    <t>sec_urb_paving_stone</t>
  </si>
  <si>
    <t>sec_urb_stone</t>
  </si>
  <si>
    <t>sec_urb_wood</t>
  </si>
  <si>
    <t>sec_urb_unpaved - construction</t>
  </si>
  <si>
    <t>sec_urb_unpaved - unmanaged</t>
  </si>
  <si>
    <t>sec_rur_asphalt</t>
  </si>
  <si>
    <t>sec_rur_brick</t>
  </si>
  <si>
    <t>sec_rur_concrete</t>
  </si>
  <si>
    <t>sec_rur_metal</t>
  </si>
  <si>
    <t>sec_rur_paving_stone</t>
  </si>
  <si>
    <t>sec_rur_stone</t>
  </si>
  <si>
    <t>sec_rur_wood</t>
  </si>
  <si>
    <t>sec_rur_unpaved - construction</t>
  </si>
  <si>
    <t>sec_rur_unpaved - unmanaged</t>
  </si>
  <si>
    <t>ter_urb_asphalt</t>
  </si>
  <si>
    <t>ter_urb_brick</t>
  </si>
  <si>
    <t>ter_urb_concrete</t>
  </si>
  <si>
    <t>ter_urb_metal</t>
  </si>
  <si>
    <t>ter_urb_paved</t>
  </si>
  <si>
    <t>ter_urb_paving_stone</t>
  </si>
  <si>
    <t>ter_urb_stone</t>
  </si>
  <si>
    <t>ter_urb_wood</t>
  </si>
  <si>
    <t>ter_urb_unpaved - construction</t>
  </si>
  <si>
    <t>ter_urb_unpaved - unmanaged</t>
  </si>
  <si>
    <t>ter_rur_asphalt</t>
  </si>
  <si>
    <t>ter_rur_brick</t>
  </si>
  <si>
    <t>ter_rur_concrete</t>
  </si>
  <si>
    <t>ter_rur_metal</t>
  </si>
  <si>
    <t>ter_rur_paved</t>
  </si>
  <si>
    <t>ter_rur_paving_stone</t>
  </si>
  <si>
    <t>ter_rur_stone</t>
  </si>
  <si>
    <t>ter_rur_wood</t>
  </si>
  <si>
    <t>ter_rur_unpaved - construction</t>
  </si>
  <si>
    <t>ter_rur_unpaved - unmanaged</t>
  </si>
  <si>
    <t>loc_urb_asphalt</t>
  </si>
  <si>
    <t>loc_urb_brick</t>
  </si>
  <si>
    <t>loc_urb_concrete</t>
  </si>
  <si>
    <t>loc_urb_metal</t>
  </si>
  <si>
    <t>loc_urb_paving_stone</t>
  </si>
  <si>
    <t>loc_urb_stone</t>
  </si>
  <si>
    <t>loc_urb_wood</t>
  </si>
  <si>
    <t>loc_urb_unpaved - construction</t>
  </si>
  <si>
    <t>loc_urb_unpaved - unmanaged</t>
  </si>
  <si>
    <t>loc_rur_asphalt</t>
  </si>
  <si>
    <t>loc_rur_brick</t>
  </si>
  <si>
    <t>loc_rur_concrete</t>
  </si>
  <si>
    <t>loc_rur_metal</t>
  </si>
  <si>
    <t>loc_rur_paving_stone</t>
  </si>
  <si>
    <t>loc_rur_stone</t>
  </si>
  <si>
    <t>loc_rur_wood</t>
  </si>
  <si>
    <t>loc_rur_unpaved - construction</t>
  </si>
  <si>
    <t>loc_rur_unpaved - unmanaged</t>
  </si>
  <si>
    <t>ped_urb_asphalt</t>
  </si>
  <si>
    <t>ped_urb_brick</t>
  </si>
  <si>
    <t>ped_urb_concrete</t>
  </si>
  <si>
    <t>ped_urb_metal</t>
  </si>
  <si>
    <t>ped_urb_paved</t>
  </si>
  <si>
    <t>ped_urb_paving_stone</t>
  </si>
  <si>
    <t>ped_urb_stone</t>
  </si>
  <si>
    <t>ped_urb_wood</t>
  </si>
  <si>
    <t>ped_urb_unpaved - construction</t>
  </si>
  <si>
    <t>ped_urb_unpaved - unmanaged</t>
  </si>
  <si>
    <t>ped_rur_asphalt</t>
  </si>
  <si>
    <t>ped_rur_brick</t>
  </si>
  <si>
    <t>ped_rur_concrete</t>
  </si>
  <si>
    <t>ped_rur_metal</t>
  </si>
  <si>
    <t>ped_rur_paved</t>
  </si>
  <si>
    <t>ped_rur_paving_stone</t>
  </si>
  <si>
    <t>ped_rur_stone</t>
  </si>
  <si>
    <t>ped_rur_wood</t>
  </si>
  <si>
    <t>ped_rur_unpaved - construction</t>
  </si>
  <si>
    <t>ped_rur_unpaved - unmanaged</t>
  </si>
  <si>
    <t>cyc_urb_asphalt</t>
  </si>
  <si>
    <t>cyc_urb_brick</t>
  </si>
  <si>
    <t>cyc_urb_concrete</t>
  </si>
  <si>
    <t>cyc_urb_metal</t>
  </si>
  <si>
    <t>cyc_urb_paved</t>
  </si>
  <si>
    <t>cyc_urb_paving_stone</t>
  </si>
  <si>
    <t>cyc_urb_stone</t>
  </si>
  <si>
    <t>cyc_urb_wood</t>
  </si>
  <si>
    <t>cyc_urb_unpaved - construction</t>
  </si>
  <si>
    <t>cyc_urb_unpaved - unmanaged</t>
  </si>
  <si>
    <t>cyc_rur_asphalt</t>
  </si>
  <si>
    <t>cyc_rur_brick</t>
  </si>
  <si>
    <t>cyc_rur_concrete</t>
  </si>
  <si>
    <t>cyc_rur_metal</t>
  </si>
  <si>
    <t>cyc_rur_paved</t>
  </si>
  <si>
    <t>cyc_rur_paving_stone</t>
  </si>
  <si>
    <t>cyc_rur_stone</t>
  </si>
  <si>
    <t>cyc_rur_wood</t>
  </si>
  <si>
    <t>cyc_rur_unpaved - construction</t>
  </si>
  <si>
    <t>cyc_rur_unpaved - unmanaged</t>
  </si>
  <si>
    <t>inf_urb_asphalt</t>
  </si>
  <si>
    <t>inf_urb_brick</t>
  </si>
  <si>
    <t>inf_urb_concrete</t>
  </si>
  <si>
    <t>inf_urb_metal</t>
  </si>
  <si>
    <t>inf_urb_paved</t>
  </si>
  <si>
    <t>inf_urb_paving_stone</t>
  </si>
  <si>
    <t>inf_urb_stone</t>
  </si>
  <si>
    <t>inf_urb_wood</t>
  </si>
  <si>
    <t>inf_urb_unpaved - construction</t>
  </si>
  <si>
    <t>inf_urb_unpaved - unmanaged</t>
  </si>
  <si>
    <t>inf_rur_asphalt</t>
  </si>
  <si>
    <t>inf_rur_brick</t>
  </si>
  <si>
    <t>inf_rur_concrete</t>
  </si>
  <si>
    <t>inf_rur_metal</t>
  </si>
  <si>
    <t>inf_rur_paved</t>
  </si>
  <si>
    <t>inf_rur_paving_stone</t>
  </si>
  <si>
    <t>inf_rur_stone</t>
  </si>
  <si>
    <t>inf_rur_wood</t>
  </si>
  <si>
    <t>inf_rur_unpaved - construction</t>
  </si>
  <si>
    <t>inf_rur_unpaved - unmanaged</t>
  </si>
  <si>
    <t>China</t>
  </si>
  <si>
    <t>Indonesia Region</t>
  </si>
  <si>
    <t>Korea</t>
  </si>
  <si>
    <t>Russia Region</t>
  </si>
  <si>
    <t>South Eastern Asia</t>
  </si>
  <si>
    <t>material_road_type</t>
  </si>
  <si>
    <t>Road_type</t>
  </si>
  <si>
    <t>Region_type</t>
  </si>
  <si>
    <t>motorway</t>
  </si>
  <si>
    <t>primary</t>
  </si>
  <si>
    <t>secondary</t>
  </si>
  <si>
    <t>tertiary</t>
  </si>
  <si>
    <t>local</t>
  </si>
  <si>
    <t>pedestrian</t>
  </si>
  <si>
    <t>cycling</t>
  </si>
  <si>
    <t>informal</t>
  </si>
  <si>
    <t>urban</t>
  </si>
  <si>
    <t>rural</t>
  </si>
  <si>
    <t>Paving_type</t>
  </si>
  <si>
    <t>paved</t>
  </si>
  <si>
    <t>unpaved</t>
  </si>
  <si>
    <t>pri_urb_pavingstone</t>
  </si>
  <si>
    <t>pri_rur_pavingstone</t>
  </si>
  <si>
    <t>sec_urb_pavingstone</t>
  </si>
  <si>
    <t>sec_rur_pavingstone</t>
  </si>
  <si>
    <t>ter_urb_pavingstone</t>
  </si>
  <si>
    <t>ter_rur_pavingstone</t>
  </si>
  <si>
    <t>loc_urb_pavingstone</t>
  </si>
  <si>
    <t>loc_rur_pavingstone</t>
  </si>
  <si>
    <t>ped_urb_pavingstone</t>
  </si>
  <si>
    <t>ped_rur_pavingstone</t>
  </si>
  <si>
    <t>cyc_urb_pavingstone</t>
  </si>
  <si>
    <t>cyc_rur_pavingstone</t>
  </si>
  <si>
    <t>inf_urb_pavingstone</t>
  </si>
  <si>
    <t>inf_rur_pavingstone</t>
  </si>
  <si>
    <t>mot_urb_asphalt</t>
  </si>
  <si>
    <t>mot_urb_concrete</t>
  </si>
  <si>
    <t>mot_urb_metal</t>
  </si>
  <si>
    <t>mot_urb_stone</t>
  </si>
  <si>
    <t>mot_rur_asphalt</t>
  </si>
  <si>
    <t>mot_rur_concrete</t>
  </si>
  <si>
    <t>mot_rur_metal</t>
  </si>
  <si>
    <t>mot_rur_stone</t>
  </si>
  <si>
    <t>mot_urb_pavingstone</t>
  </si>
  <si>
    <t>mot_rur_pavingstone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</si>
</sst>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9"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18C3EC-91B0-4E7F-B5A5-079DC63274F5}" name="Table2" displayName="Table2" ref="A1:N79" totalsRowShown="0" headerRowDxfId="8">
  <autoFilter ref="A1:N79" xr:uid="{2718C3EC-91B0-4E7F-B5A5-079DC63274F5}">
    <filterColumn colId="0">
      <filters>
        <filter val="urban_Brazil_IMAGE"/>
        <filter val="urban_Canada_IMAGE"/>
        <filter val="urban_Central America_IMAGE"/>
        <filter val="urban_Central Asia_IMAGE"/>
        <filter val="urban_Central Europe_IMAGE"/>
        <filter val="urban_China region_IMAGE"/>
        <filter val="urban_Eastern Africa_IMAGE"/>
        <filter val="urban_India_IMAGE"/>
        <filter val="urban_Indonesia region_IMAGE"/>
        <filter val="urban_Japan_IMAGE"/>
        <filter val="urban_Korea region_IMAGE"/>
        <filter val="urban_Mexico_IMAGE"/>
        <filter val="urban_Middle East_IMAGE"/>
        <filter val="urban_Northern Africa_IMAGE"/>
        <filter val="urban_Oceania_IMAGE"/>
        <filter val="urban_Rest of South America_IMAGE"/>
        <filter val="urban_Rest of South Asia_IMAGE"/>
        <filter val="urban_Rest of Southern Africa_IMAGE"/>
        <filter val="urban_Russia region_IMAGE"/>
        <filter val="urban_South Africa_IMAGE"/>
        <filter val="urban_Southeastern Asia_IMAGE"/>
        <filter val="urban_Turkey_IMAGE"/>
        <filter val="urban_Ukraine region_IMAGE"/>
        <filter val="urban_USA_IMAGE"/>
        <filter val="urban_Western Africa_IMAGE"/>
        <filter val="urban_Western Europe_IMAGE"/>
      </filters>
    </filterColumn>
  </autoFilter>
  <sortState xmlns:xlrd2="http://schemas.microsoft.com/office/spreadsheetml/2017/richdata2" ref="A4:N79">
    <sortCondition ref="A1:A79"/>
  </sortState>
  <tableColumns count="14">
    <tableColumn id="1" xr3:uid="{B24B157D-F0C5-4FE7-948C-92509B4A5FE3}" name="eFUA_name"/>
    <tableColumn id="2" xr3:uid="{C594E46E-E15E-4DDC-BFA6-D4DD30C02715}" name="_GDPperCAP_mean"/>
    <tableColumn id="3" xr3:uid="{58047C4C-6C1E-4119-BD57-28ECFE5466DF}" name="motorway_asphalt"/>
    <tableColumn id="4" xr3:uid="{71D62A0A-4548-4617-8387-07525E7FAC4D}" name="motorway_concrete"/>
    <tableColumn id="5" xr3:uid="{820BAB8D-CA94-47A0-8F61-2EF5E56F2DC6}" name="motorway_metal"/>
    <tableColumn id="6" xr3:uid="{B1D48EAD-B889-4B7E-986C-2DFBB1FEC4B4}" name="motorway_paving_stone"/>
    <tableColumn id="7" xr3:uid="{950D50BE-D005-4A69-87DB-81D4243BD262}" name="motorway_stone"/>
    <tableColumn id="8" xr3:uid="{8BB5781A-3F0E-4D44-8CE7-25BF47C18885}" name="motorway_unpaved - construction"/>
    <tableColumn id="9" xr3:uid="{DEC6F4A0-38D9-407C-9B1F-F4ECF45FA03C}" name="motorway_unpaved - unmanaged"/>
    <tableColumn id="10" xr3:uid="{5752F83E-8D31-4C33-8414-7AA3CC7A4CEC}" name="asphalt share">
      <calculatedColumnFormula>C2/SUM($C2:$G2)</calculatedColumnFormula>
    </tableColumn>
    <tableColumn id="11" xr3:uid="{CB250786-8869-4A75-A5E9-CDBFB6E2A8E1}" name="concrete share">
      <calculatedColumnFormula>D2/SUM($C2:$G2)</calculatedColumnFormula>
    </tableColumn>
    <tableColumn id="12" xr3:uid="{5151187A-F89C-4AE0-B199-47284FE9F638}" name="metal share">
      <calculatedColumnFormula>E2/SUM($C2:$G2)</calculatedColumnFormula>
    </tableColumn>
    <tableColumn id="13" xr3:uid="{67460D72-A109-4E02-8130-61C685AF545A}" name="paving stone share">
      <calculatedColumnFormula>F2/SUM($C2:$G2)</calculatedColumnFormula>
    </tableColumn>
    <tableColumn id="14" xr3:uid="{C61EDFF3-3816-483E-9A3C-FF873B8A778B}" name="stone share">
      <calculatedColumnFormula>G2/SUM($C2:$G2)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B5D0B7-368F-4A73-8A61-824438318DC7}" name="Table5" displayName="Table5" ref="A1:R79" totalsRowShown="0" headerRowDxfId="7" headerRowBorderDxfId="6">
  <autoFilter ref="A1:R79" xr:uid="{A6B5D0B7-368F-4A73-8A61-824438318DC7}">
    <filterColumn colId="0">
      <filters>
        <filter val="rur_Brazil_IMAGE"/>
        <filter val="rur_Canada_IMAGE"/>
        <filter val="rur_Central America_IMAGE"/>
        <filter val="rur_Central Asia_IMAGE"/>
        <filter val="rur_Central Europe_IMAGE"/>
        <filter val="rur_China region_IMAGE"/>
        <filter val="rur_Eastern Africa_IMAGE"/>
        <filter val="rur_India_IMAGE"/>
        <filter val="rur_Indonesia region_IMAGE"/>
        <filter val="rur_Japan_IMAGE"/>
        <filter val="rur_Korea region_IMAGE"/>
        <filter val="rur_Mexico_IMAGE"/>
        <filter val="rur_Middle East_IMAGE"/>
        <filter val="rur_Northern Africa_IMAGE"/>
        <filter val="rur_Oceania_IMAGE"/>
        <filter val="rur_Rest of South America_IMAGE"/>
        <filter val="rur_Rest of South Asia_IMAGE"/>
        <filter val="rur_Rest of Southern Africa_IMAGE"/>
        <filter val="rur_Russia region_IMAGE"/>
        <filter val="rur_South Africa_IMAGE"/>
        <filter val="rur_Southeastern Asia_IMAGE"/>
        <filter val="rur_Turkey_IMAGE"/>
        <filter val="rur_Ukraine region_IMAGE"/>
        <filter val="rur_USA_IMAGE"/>
        <filter val="rur_Western Africa_IMAGE"/>
        <filter val="rur_Western Europe_IMAGE"/>
      </filters>
    </filterColumn>
  </autoFilter>
  <sortState xmlns:xlrd2="http://schemas.microsoft.com/office/spreadsheetml/2017/richdata2" ref="A3:R78">
    <sortCondition ref="A1:A79"/>
  </sortState>
  <tableColumns count="18">
    <tableColumn id="1" xr3:uid="{A261241C-D592-46FB-A4F9-8F3B155C2F1A}" name="eFUA_name"/>
    <tableColumn id="2" xr3:uid="{B33C4326-E009-4A22-ACBB-F8C76487155A}" name="_GDPperCAP_mean"/>
    <tableColumn id="3" xr3:uid="{64DE3754-6764-4A9C-B7EE-176F061EE824}" name="primary_asphalt"/>
    <tableColumn id="4" xr3:uid="{30D9C119-B1E6-4EDB-9CB1-8DF21952835E}" name="primary_concrete"/>
    <tableColumn id="5" xr3:uid="{D796771C-2026-4EB4-88B4-339F3E3C4652}" name="primary_metal"/>
    <tableColumn id="6" xr3:uid="{E03A354E-AC03-45E0-B0A3-78B95E5E4B26}" name="primary_paving_stone"/>
    <tableColumn id="7" xr3:uid="{70916C05-EA39-4A44-99DF-4FE71C815222}" name="primary_stone"/>
    <tableColumn id="8" xr3:uid="{004F8DFD-155A-4FEE-A188-3602ED68F385}" name="primary_wood"/>
    <tableColumn id="9" xr3:uid="{7FEA227F-D75E-429D-85FF-831F95E58BF2}" name="primary_unpaved - construction"/>
    <tableColumn id="10" xr3:uid="{6D00D6AE-14CD-490A-B6D0-6D3CC1549703}" name="primary_unpaved - unmanaged"/>
    <tableColumn id="11" xr3:uid="{1CAD560A-0B7A-47CE-B6A9-D6D8A1A3F834}" name="primary_asphalt2">
      <calculatedColumnFormula>C2/SUM($C2:$H2)</calculatedColumnFormula>
    </tableColumn>
    <tableColumn id="12" xr3:uid="{C669CA04-8915-4543-920B-D41FE52EE0CC}" name="primary_concrete3">
      <calculatedColumnFormula>D2/SUM($C2:$H2)</calculatedColumnFormula>
    </tableColumn>
    <tableColumn id="13" xr3:uid="{2EFAA1CA-D6D7-4069-94DC-22A083107BE1}" name="primary_metal4">
      <calculatedColumnFormula>E2/SUM($C2:$H2)</calculatedColumnFormula>
    </tableColumn>
    <tableColumn id="14" xr3:uid="{63A6A97A-7EE1-4EE2-92C9-3D06D426B3C2}" name="primary_paving_stone5">
      <calculatedColumnFormula>F2/SUM($C2:$H2)</calculatedColumnFormula>
    </tableColumn>
    <tableColumn id="15" xr3:uid="{4B965E34-601A-4850-80AB-324B781B5274}" name="primary_stone6">
      <calculatedColumnFormula>G2/SUM($C2:$H2)</calculatedColumnFormula>
    </tableColumn>
    <tableColumn id="16" xr3:uid="{89EC6F1E-60A8-4684-ABE0-261EF38862A7}" name="primary_wood7">
      <calculatedColumnFormula>H2/SUM($C2:$H2)</calculatedColumnFormula>
    </tableColumn>
    <tableColumn id="17" xr3:uid="{C52FF748-CBF1-4CFD-A5C7-99E899BE9BFA}" name="primary_unpaved - construction8">
      <calculatedColumnFormula>I2/($I2+$J2)</calculatedColumnFormula>
    </tableColumn>
    <tableColumn id="18" xr3:uid="{D64F399C-6F4B-40CC-81C1-C3F3254F722A}" name="primary_unpaved - unmanaged9">
      <calculatedColumnFormula>J2/($I2+$J2)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C47F703-B280-4D04-9855-EB4CDC15ED8D}" name="Table6" displayName="Table6" ref="A1:T79" totalsRowShown="0" headerRowDxfId="5" headerRowBorderDxfId="4">
  <autoFilter ref="A1:T79" xr:uid="{6C47F703-B280-4D04-9855-EB4CDC15ED8D}">
    <filterColumn colId="0">
      <filters>
        <filter val="urban_Brazil_IMAGE"/>
        <filter val="urban_Canada_IMAGE"/>
        <filter val="urban_Central America_IMAGE"/>
        <filter val="urban_Central Asia_IMAGE"/>
        <filter val="urban_Central Europe_IMAGE"/>
        <filter val="urban_China region_IMAGE"/>
        <filter val="urban_Eastern Africa_IMAGE"/>
        <filter val="urban_India_IMAGE"/>
        <filter val="urban_Indonesia region_IMAGE"/>
        <filter val="urban_Japan_IMAGE"/>
        <filter val="urban_Korea region_IMAGE"/>
        <filter val="urban_Mexico_IMAGE"/>
        <filter val="urban_Middle East_IMAGE"/>
        <filter val="urban_Northern Africa_IMAGE"/>
        <filter val="urban_Oceania_IMAGE"/>
        <filter val="urban_Rest of South America_IMAGE"/>
        <filter val="urban_Rest of South Asia_IMAGE"/>
        <filter val="urban_Rest of Southern Africa_IMAGE"/>
        <filter val="urban_Russia region_IMAGE"/>
        <filter val="urban_South Africa_IMAGE"/>
        <filter val="urban_Southeastern Asia_IMAGE"/>
        <filter val="urban_Turkey_IMAGE"/>
        <filter val="urban_Ukraine region_IMAGE"/>
        <filter val="urban_USA_IMAGE"/>
        <filter val="urban_Western Africa_IMAGE"/>
        <filter val="urban_Western Europe_IMAGE"/>
      </filters>
    </filterColumn>
  </autoFilter>
  <sortState xmlns:xlrd2="http://schemas.microsoft.com/office/spreadsheetml/2017/richdata2" ref="A3:T78">
    <sortCondition ref="A1:A79"/>
  </sortState>
  <tableColumns count="20">
    <tableColumn id="1" xr3:uid="{B01BCA54-7130-49DB-9E08-7DF687F22E7F}" name="eFUA_name"/>
    <tableColumn id="2" xr3:uid="{4FE79B18-4B28-444F-A9F8-1246BD0A0EAC}" name="_GDPperCAP_mean"/>
    <tableColumn id="3" xr3:uid="{4A74E581-8FBC-424E-8AED-8F3C4BBF1634}" name="secondary_asphalt"/>
    <tableColumn id="4" xr3:uid="{081C580D-BC1B-4F1C-B913-F3EF1805DE9D}" name="secondary_brick"/>
    <tableColumn id="5" xr3:uid="{328AEDC8-9977-46BD-ACD3-D2ECDE6434CD}" name="secondary_concrete"/>
    <tableColumn id="6" xr3:uid="{9DD0B9C3-2FD5-4972-99F9-CE8337E1808B}" name="secondary_metal"/>
    <tableColumn id="7" xr3:uid="{D40B9194-625B-4C34-B4C7-E2A05022474A}" name="secondary_paving_stone"/>
    <tableColumn id="8" xr3:uid="{710CBEDC-645E-4B0C-A040-AFE761AC8CFE}" name="secondary_stone"/>
    <tableColumn id="9" xr3:uid="{729CAD0D-162A-4F78-81AE-E3B7F84825AA}" name="secondary_wood"/>
    <tableColumn id="10" xr3:uid="{DD6E285C-1630-4012-BAFC-73BF1A4AC831}" name="secondary_unpaved - construction"/>
    <tableColumn id="11" xr3:uid="{848325CF-7EB4-407A-A2AD-6E4FB3C263E5}" name="secondary_unpaved - unmanaged"/>
    <tableColumn id="12" xr3:uid="{999CEA9C-DCA3-423B-8304-5C9662A55908}" name="secondary_asphalt2">
      <calculatedColumnFormula>C2/SUM($C2:$I2)</calculatedColumnFormula>
    </tableColumn>
    <tableColumn id="13" xr3:uid="{686E8641-6AA9-4B32-9DA2-3ACD981ECB9F}" name="secondary_brick3">
      <calculatedColumnFormula>D2/SUM($C2:$I2)</calculatedColumnFormula>
    </tableColumn>
    <tableColumn id="14" xr3:uid="{C4FBF697-9ACD-4274-A2B0-68DE086BED2A}" name="secondary_concrete4">
      <calculatedColumnFormula>E2/SUM($C2:$I2)</calculatedColumnFormula>
    </tableColumn>
    <tableColumn id="15" xr3:uid="{F8484E26-6FB7-416B-9B0E-07811C93ECAB}" name="secondary_metal5">
      <calculatedColumnFormula>F2/SUM($C2:$I2)</calculatedColumnFormula>
    </tableColumn>
    <tableColumn id="16" xr3:uid="{F14C7469-D76B-4A6A-ADBA-75924611601C}" name="secondary_paving_stone6">
      <calculatedColumnFormula>G2/SUM($C2:$I2)</calculatedColumnFormula>
    </tableColumn>
    <tableColumn id="17" xr3:uid="{3FB9A4B3-679C-4D60-8112-69E5075086EE}" name="secondary_stone7">
      <calculatedColumnFormula>H2/SUM($C2:$I2)</calculatedColumnFormula>
    </tableColumn>
    <tableColumn id="18" xr3:uid="{8A6D8A8A-48C3-4357-B48C-EE567D08491E}" name="secondary_wood8">
      <calculatedColumnFormula>I2/SUM($C2:$I2)</calculatedColumnFormula>
    </tableColumn>
    <tableColumn id="19" xr3:uid="{8D404BEA-8AC3-403D-958C-27A37DE19552}" name="secondary_unpaved - construction9">
      <calculatedColumnFormula>J2/($J2+$K2)</calculatedColumnFormula>
    </tableColumn>
    <tableColumn id="20" xr3:uid="{BE4F73F8-88A0-453F-8C22-0A4E782B0A75}" name="secondary_unpaved - unmanaged10">
      <calculatedColumnFormula>K2/($J2+$K2)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64C5F94-745B-4D90-84AD-C55D0DAC2626}" name="Table7" displayName="Table7" ref="A1:V79" totalsRowShown="0" headerRowDxfId="3" headerRowBorderDxfId="2">
  <autoFilter ref="A1:V79" xr:uid="{C64C5F94-745B-4D90-84AD-C55D0DAC2626}">
    <filterColumn colId="0">
      <filters>
        <filter val="urban_Brazil_IMAGE"/>
        <filter val="urban_Canada_IMAGE"/>
        <filter val="urban_Central America_IMAGE"/>
        <filter val="urban_Central Asia_IMAGE"/>
        <filter val="urban_Central Europe_IMAGE"/>
        <filter val="urban_China region_IMAGE"/>
        <filter val="urban_Eastern Africa_IMAGE"/>
        <filter val="urban_India_IMAGE"/>
        <filter val="urban_Indonesia region_IMAGE"/>
        <filter val="urban_Japan_IMAGE"/>
        <filter val="urban_Korea region_IMAGE"/>
        <filter val="urban_Mexico_IMAGE"/>
        <filter val="urban_Middle East_IMAGE"/>
        <filter val="urban_Northern Africa_IMAGE"/>
        <filter val="urban_Oceania_IMAGE"/>
        <filter val="urban_Rest of South America_IMAGE"/>
        <filter val="urban_Rest of South Asia_IMAGE"/>
        <filter val="urban_Rest of Southern Africa_IMAGE"/>
        <filter val="urban_Russia region_IMAGE"/>
        <filter val="urban_South Africa_IMAGE"/>
        <filter val="urban_Southeastern Asia_IMAGE"/>
        <filter val="urban_Turkey_IMAGE"/>
        <filter val="urban_Ukraine region_IMAGE"/>
        <filter val="urban_USA_IMAGE"/>
        <filter val="urban_Western Africa_IMAGE"/>
        <filter val="urban_Western Europe_IMAGE"/>
      </filters>
    </filterColumn>
  </autoFilter>
  <sortState xmlns:xlrd2="http://schemas.microsoft.com/office/spreadsheetml/2017/richdata2" ref="A3:V78">
    <sortCondition ref="A1:A79"/>
  </sortState>
  <tableColumns count="22">
    <tableColumn id="1" xr3:uid="{DA095936-7556-4269-B3FB-1625B8253639}" name="eFUA_name"/>
    <tableColumn id="2" xr3:uid="{E1958CAB-FC38-433B-AC34-5102DEDA8463}" name="_GDPperCAP_mean"/>
    <tableColumn id="3" xr3:uid="{4C93FB0A-CBE0-43C1-B770-FDE8E5F61B2C}" name="tertiary_asphalt"/>
    <tableColumn id="4" xr3:uid="{CA863BBC-E92F-480A-920F-08260070FF3F}" name="tertiary_brick"/>
    <tableColumn id="5" xr3:uid="{ECBF27AB-BB71-4CD7-A59E-409B63D83A99}" name="tertiary_concrete"/>
    <tableColumn id="6" xr3:uid="{FDD653E8-E44A-4C02-B6EB-D97ECFB0A915}" name="tertiary_metal"/>
    <tableColumn id="7" xr3:uid="{CB0C7370-2926-49B7-A2DE-71DD7D89D88A}" name="tertiary_paved"/>
    <tableColumn id="8" xr3:uid="{479D4DF6-CC6E-4F94-B75B-95CA66C3C5E7}" name="tertiary_paving_stone"/>
    <tableColumn id="9" xr3:uid="{1C86B079-9E6F-410A-9292-46D2F01082F9}" name="tertiary_stone"/>
    <tableColumn id="10" xr3:uid="{E5342FF9-7C2D-47CC-88D7-7BEB6A3E8FE0}" name="tertiary_wood"/>
    <tableColumn id="11" xr3:uid="{5D75C8D6-D619-4C56-BCD9-750B3701AEF1}" name="tertiary_unpaved - construction"/>
    <tableColumn id="12" xr3:uid="{8B2BF7A9-ECE1-40DC-889A-940405632D04}" name="tertiary_unpaved - unmanaged"/>
    <tableColumn id="13" xr3:uid="{55A10223-1C55-467B-87CF-4C72D639AAE0}" name="tertiary_asphalt2">
      <calculatedColumnFormula>C2/SUM($C2:$J2)</calculatedColumnFormula>
    </tableColumn>
    <tableColumn id="14" xr3:uid="{8EA7C55F-6B87-4C70-B27C-1FAC3ACD2BEC}" name="tertiary_brick3">
      <calculatedColumnFormula>D2/SUM($C2:$J2)</calculatedColumnFormula>
    </tableColumn>
    <tableColumn id="15" xr3:uid="{F556C3E9-E4D3-4450-8F85-B506871ECBB5}" name="tertiary_concrete4">
      <calculatedColumnFormula>E2/SUM($C2:$J2)</calculatedColumnFormula>
    </tableColumn>
    <tableColumn id="16" xr3:uid="{E619C629-B47A-4025-A292-20C926A5C67D}" name="tertiary_metal5">
      <calculatedColumnFormula>F2/SUM($C2:$J2)</calculatedColumnFormula>
    </tableColumn>
    <tableColumn id="17" xr3:uid="{1113A0A0-DED8-43C4-BFE2-04DC8DC59CC6}" name="tertiary_paved6">
      <calculatedColumnFormula>G2/SUM($C2:$J2)</calculatedColumnFormula>
    </tableColumn>
    <tableColumn id="18" xr3:uid="{53B0F439-4CDD-40E8-AD72-A2F823279673}" name="tertiary_paving_stone7">
      <calculatedColumnFormula>H2/SUM($C2:$J2)</calculatedColumnFormula>
    </tableColumn>
    <tableColumn id="19" xr3:uid="{9AE538CD-3484-432D-B160-9A637A69B5D3}" name="tertiary_stone8">
      <calculatedColumnFormula>I2/SUM($C2:$J2)</calculatedColumnFormula>
    </tableColumn>
    <tableColumn id="20" xr3:uid="{813B749F-4350-44FF-8507-0885C6359969}" name="tertiary_wood9">
      <calculatedColumnFormula>J2/SUM($C2:$J2)</calculatedColumnFormula>
    </tableColumn>
    <tableColumn id="21" xr3:uid="{46031C7E-DA45-4B43-A6DD-99C36608B7F5}" name="tertiary_unpaved - construction10">
      <calculatedColumnFormula>K2/($K2+$L2)</calculatedColumnFormula>
    </tableColumn>
    <tableColumn id="22" xr3:uid="{A0212D29-63EB-4979-BA53-2276D929AB6E}" name="tertiary_unpaved - unmanaged11">
      <calculatedColumnFormula>L2/($K2+$L2)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C895172-74A5-40BF-9880-92CB067795E0}" name="Table8" displayName="Table8" ref="A1:T79" totalsRowShown="0">
  <autoFilter ref="A1:T79" xr:uid="{2C895172-74A5-40BF-9880-92CB067795E0}">
    <filterColumn colId="0">
      <filters>
        <filter val="urban_Brazil_IMAGE"/>
        <filter val="urban_Canada_IMAGE"/>
        <filter val="urban_Central America_IMAGE"/>
        <filter val="urban_Central Asia_IMAGE"/>
        <filter val="urban_Central Europe_IMAGE"/>
        <filter val="urban_China region_IMAGE"/>
        <filter val="urban_Eastern Africa_IMAGE"/>
        <filter val="urban_India_IMAGE"/>
        <filter val="urban_Indonesia region_IMAGE"/>
        <filter val="urban_Japan_IMAGE"/>
        <filter val="urban_Korea region_IMAGE"/>
        <filter val="urban_Mexico_IMAGE"/>
        <filter val="urban_Middle East_IMAGE"/>
        <filter val="urban_Northern Africa_IMAGE"/>
        <filter val="urban_Oceania_IMAGE"/>
        <filter val="urban_Rest of South America_IMAGE"/>
        <filter val="urban_Rest of South Asia_IMAGE"/>
        <filter val="urban_Rest of Southern Africa_IMAGE"/>
        <filter val="urban_Russia region_IMAGE"/>
        <filter val="urban_South Africa_IMAGE"/>
        <filter val="urban_Southeastern Asia_IMAGE"/>
        <filter val="urban_Turkey_IMAGE"/>
        <filter val="urban_Ukraine region_IMAGE"/>
        <filter val="urban_USA_IMAGE"/>
        <filter val="urban_Western Africa_IMAGE"/>
        <filter val="urban_Western Europe_IMAGE"/>
      </filters>
    </filterColumn>
  </autoFilter>
  <sortState xmlns:xlrd2="http://schemas.microsoft.com/office/spreadsheetml/2017/richdata2" ref="A54:T79">
    <sortCondition ref="A1:A79"/>
  </sortState>
  <tableColumns count="20">
    <tableColumn id="1" xr3:uid="{2FE42621-CE41-46E3-B63C-7C5266CA89B3}" name="eFUA_name"/>
    <tableColumn id="2" xr3:uid="{4A98F133-4D47-4B8A-B7DA-AA8392AC552C}" name="_GDPperCAP_mean"/>
    <tableColumn id="3" xr3:uid="{7FD6961D-23B5-48FA-80AC-8235A651B578}" name="local_asphalt"/>
    <tableColumn id="4" xr3:uid="{1B4EA844-84C6-45C2-858C-42358A9DA65B}" name="local_brick"/>
    <tableColumn id="5" xr3:uid="{B65AC188-EC27-45C8-B351-47C142EEDAB4}" name="local_concrete"/>
    <tableColumn id="6" xr3:uid="{61918D34-A173-4BD3-AA10-D20B41B57915}" name="local_metal"/>
    <tableColumn id="7" xr3:uid="{D8546003-FE78-4055-9930-972C31F3DE71}" name="local_paving_stone"/>
    <tableColumn id="8" xr3:uid="{9910F0D0-C178-4E0F-AB51-5C56ACA97392}" name="local_stone"/>
    <tableColumn id="9" xr3:uid="{B2EA1C74-ACF7-4BCC-A745-145C9898C92D}" name="local_wood"/>
    <tableColumn id="10" xr3:uid="{5EAFCCCA-1148-4767-9691-422A662324C8}" name="local_unpaved - construction"/>
    <tableColumn id="11" xr3:uid="{1A04B0A2-28BC-48C8-B7EC-3E8B6F5E6302}" name="local_unpaved - unmanaged"/>
    <tableColumn id="12" xr3:uid="{98DD5E40-1E9A-4433-B2E1-2AE1A3BF0C69}" name="local_asphalt2"/>
    <tableColumn id="13" xr3:uid="{AB8F31F6-C8A0-44BC-A432-EBCA2B472F31}" name="local_brick3"/>
    <tableColumn id="14" xr3:uid="{2B1BEC04-52F5-4D59-8314-4AD44DE6678F}" name="local_concrete4"/>
    <tableColumn id="15" xr3:uid="{FB73C716-D564-408E-B1C9-B9B0485AF8E0}" name="local_metal5"/>
    <tableColumn id="16" xr3:uid="{7389F5E2-8594-4DBB-86E1-BFFBC63D877E}" name="local_paving_stone6"/>
    <tableColumn id="17" xr3:uid="{314B06CB-1C45-4F5A-B683-16A2A4409AAA}" name="local_stone7"/>
    <tableColumn id="18" xr3:uid="{F2F1C622-E909-417A-8F2B-CCC1D8EECCCE}" name="local_wood8"/>
    <tableColumn id="19" xr3:uid="{9BC841F9-D1BF-4498-B330-28207CD5063C}" name="local_unpaved - construction9"/>
    <tableColumn id="20" xr3:uid="{349940E2-1284-4ED7-A847-0888EE10A6E4}" name="local_unpaved - unmanaged1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DD9F9CB-7B7E-46E0-86D2-17980BDF4150}" name="Table9" displayName="Table9" ref="A1:V79" totalsRowShown="0">
  <autoFilter ref="A1:V79" xr:uid="{8DD9F9CB-7B7E-46E0-86D2-17980BDF4150}">
    <filterColumn colId="0">
      <filters>
        <filter val="rur_Brazil_IMAGE"/>
        <filter val="rur_Canada_IMAGE"/>
        <filter val="rur_Central America_IMAGE"/>
        <filter val="rur_Central Asia_IMAGE"/>
        <filter val="rur_Central Europe_IMAGE"/>
        <filter val="rur_China region_IMAGE"/>
        <filter val="rur_Eastern Africa_IMAGE"/>
        <filter val="rur_India_IMAGE"/>
        <filter val="rur_Indonesia region_IMAGE"/>
        <filter val="rur_Japan_IMAGE"/>
        <filter val="rur_Korea region_IMAGE"/>
        <filter val="rur_Mexico_IMAGE"/>
        <filter val="rur_Middle East_IMAGE"/>
        <filter val="rur_Northern Africa_IMAGE"/>
        <filter val="rur_Oceania_IMAGE"/>
        <filter val="rur_Rest of South America_IMAGE"/>
        <filter val="rur_Rest of South Asia_IMAGE"/>
        <filter val="rur_Rest of Southern Africa_IMAGE"/>
        <filter val="rur_Russia region_IMAGE"/>
        <filter val="rur_South Africa_IMAGE"/>
        <filter val="rur_Southeastern Asia_IMAGE"/>
        <filter val="rur_Turkey_IMAGE"/>
        <filter val="rur_Ukraine region_IMAGE"/>
        <filter val="rur_USA_IMAGE"/>
        <filter val="rur_Western Africa_IMAGE"/>
        <filter val="rur_Western Europe_IMAGE"/>
      </filters>
    </filterColumn>
  </autoFilter>
  <sortState xmlns:xlrd2="http://schemas.microsoft.com/office/spreadsheetml/2017/richdata2" ref="A4:V77">
    <sortCondition ref="A1:A79"/>
  </sortState>
  <tableColumns count="22">
    <tableColumn id="1" xr3:uid="{23838B15-5878-4B7A-927D-08C616D19DDC}" name="eFUA_name"/>
    <tableColumn id="2" xr3:uid="{BE5D3046-3516-468C-8C55-FEBC4D4C287D}" name="_GDPperCAP_mean"/>
    <tableColumn id="3" xr3:uid="{D4C00EAD-E032-422A-BE55-584771E772CD}" name="pedestrian_asphalt"/>
    <tableColumn id="4" xr3:uid="{1F5BE985-8C88-4B37-B7FA-13D51FC41D7C}" name="pedestrian_brick"/>
    <tableColumn id="5" xr3:uid="{767CF39B-024E-4865-A99A-73042D887928}" name="pedestrian_concrete"/>
    <tableColumn id="6" xr3:uid="{01FA65C9-0D30-4F5D-85FC-CBD7716BB6C3}" name="pedestrian_metal"/>
    <tableColumn id="7" xr3:uid="{8DF9A162-1E58-4E31-9381-5D8942FBFC8F}" name="pedestrian_paved"/>
    <tableColumn id="8" xr3:uid="{A4736FAE-6EBA-47E4-9E12-BD0907042FBD}" name="pedestrian_paving_stone"/>
    <tableColumn id="9" xr3:uid="{8107EEAB-49A1-4E22-B729-FFEDBE90539A}" name="pedestrian_stone"/>
    <tableColumn id="10" xr3:uid="{90659545-452E-4980-AADC-0609B2336099}" name="pedestrian_wood"/>
    <tableColumn id="11" xr3:uid="{83BAB7EF-192F-466D-AAD1-7BAA224AF30D}" name="pedestrian_unpaved - construction"/>
    <tableColumn id="12" xr3:uid="{DA57A22F-C1BD-49D9-B10B-CEB9C83CE88F}" name="pedestrian_unpaved - unmanaged"/>
    <tableColumn id="13" xr3:uid="{33BB09A9-0B59-406D-B0A5-6D3C87878DA9}" name="pedestrian_asphalt2">
      <calculatedColumnFormula>C2/SUM($C2:$J2)</calculatedColumnFormula>
    </tableColumn>
    <tableColumn id="14" xr3:uid="{12D7C360-5EDE-41D7-BCF8-CFCB501179D1}" name="pedestrian_brick3">
      <calculatedColumnFormula>D2/SUM($C2:$J2)</calculatedColumnFormula>
    </tableColumn>
    <tableColumn id="15" xr3:uid="{CC72D447-B694-4ACC-8E51-F64E56825EEC}" name="pedestrian_concrete4">
      <calculatedColumnFormula>E2/SUM($C2:$J2)</calculatedColumnFormula>
    </tableColumn>
    <tableColumn id="16" xr3:uid="{7530938B-989F-4B2A-B6D4-48E5591880E4}" name="pedestrian_metal5">
      <calculatedColumnFormula>F2/SUM($C2:$J2)</calculatedColumnFormula>
    </tableColumn>
    <tableColumn id="17" xr3:uid="{2DD5A41F-8A6E-4B1F-8CA8-9F9F3DBB8004}" name="pedestrian_paved6">
      <calculatedColumnFormula>G2/SUM($C2:$J2)</calculatedColumnFormula>
    </tableColumn>
    <tableColumn id="18" xr3:uid="{7C84ACAA-30E0-4720-BF98-55806830E7D5}" name="pedestrian_paving_stone7">
      <calculatedColumnFormula>H2/SUM($C2:$J2)</calculatedColumnFormula>
    </tableColumn>
    <tableColumn id="19" xr3:uid="{8081FEEA-88DF-450A-9DB1-49D904918502}" name="pedestrian_stone8">
      <calculatedColumnFormula>I2/SUM($C2:$J2)</calculatedColumnFormula>
    </tableColumn>
    <tableColumn id="20" xr3:uid="{7A832705-B668-4BC3-8DDC-160D52C7E4A0}" name="pedestrian_wood9">
      <calculatedColumnFormula>J2/SUM($C2:$J2)</calculatedColumnFormula>
    </tableColumn>
    <tableColumn id="21" xr3:uid="{4541188A-13B9-4980-9F24-61F189BFF5ED}" name="pedestrian_unpaved - construction10">
      <calculatedColumnFormula>K2/($K2+$L2)</calculatedColumnFormula>
    </tableColumn>
    <tableColumn id="22" xr3:uid="{462A0918-153D-489C-A682-A4B5C0BE9F53}" name="pedestrian_unpaved - unmanaged11">
      <calculatedColumnFormula>L2/($K2+$L2)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27CE501-5DC1-4B3D-AF2C-0C70435B8C62}" name="Table10" displayName="Table10" ref="A1:V79" totalsRowShown="0">
  <autoFilter ref="A1:V79" xr:uid="{D27CE501-5DC1-4B3D-AF2C-0C70435B8C62}">
    <filterColumn colId="0">
      <filters>
        <filter val="rur_Brazil_IMAGE"/>
        <filter val="rur_Canada_IMAGE"/>
        <filter val="rur_Central America_IMAGE"/>
        <filter val="rur_Central Asia_IMAGE"/>
        <filter val="rur_Central Europe_IMAGE"/>
        <filter val="rur_China region_IMAGE"/>
        <filter val="rur_Eastern Africa_IMAGE"/>
        <filter val="rur_India_IMAGE"/>
        <filter val="rur_Indonesia region_IMAGE"/>
        <filter val="rur_Japan_IMAGE"/>
        <filter val="rur_Korea region_IMAGE"/>
        <filter val="rur_Mexico_IMAGE"/>
        <filter val="rur_Middle East_IMAGE"/>
        <filter val="rur_Northern Africa_IMAGE"/>
        <filter val="rur_Oceania_IMAGE"/>
        <filter val="rur_Rest of South America_IMAGE"/>
        <filter val="rur_Rest of South Asia_IMAGE"/>
        <filter val="rur_Rest of Southern Africa_IMAGE"/>
        <filter val="rur_Russia region_IMAGE"/>
        <filter val="rur_South Africa_IMAGE"/>
        <filter val="rur_Southeastern Asia_IMAGE"/>
        <filter val="rur_Turkey_IMAGE"/>
        <filter val="rur_Ukraine region_IMAGE"/>
        <filter val="rur_USA_IMAGE"/>
        <filter val="rur_Western Africa_IMAGE"/>
        <filter val="rur_Western Europe_IMAGE"/>
      </filters>
    </filterColumn>
  </autoFilter>
  <sortState xmlns:xlrd2="http://schemas.microsoft.com/office/spreadsheetml/2017/richdata2" ref="A4:V77">
    <sortCondition ref="A1:A79"/>
  </sortState>
  <tableColumns count="22">
    <tableColumn id="1" xr3:uid="{DBDA50A2-7D1F-401D-8099-8C1063B258D3}" name="eFUA_name"/>
    <tableColumn id="2" xr3:uid="{A1174B94-F1AB-4071-B575-964F81AB481A}" name="_GDPperCAP_mean"/>
    <tableColumn id="3" xr3:uid="{BB9748D5-5D09-4694-B496-94F5459B36A7}" name="cycle_asphalt"/>
    <tableColumn id="4" xr3:uid="{137D3CE7-B827-4DCB-8AFC-5E5ED6C83BF0}" name="cycle_brick"/>
    <tableColumn id="5" xr3:uid="{0E397258-2594-429F-BAEC-BE9484B891D4}" name="cycle_concrete"/>
    <tableColumn id="6" xr3:uid="{643B1CDF-737C-4E1B-B5D2-8DE3C6BD6DD4}" name="cycle_metal"/>
    <tableColumn id="7" xr3:uid="{175A73D0-7473-482F-9912-659C451E8ACB}" name="cycle_paved"/>
    <tableColumn id="8" xr3:uid="{BAE96A39-7D8C-4CB2-8CC1-44ED9948F10A}" name="cycle_paving_stone"/>
    <tableColumn id="9" xr3:uid="{336BE8D4-C4C6-48F9-9753-9B264B2BB635}" name="cycle_stone"/>
    <tableColumn id="10" xr3:uid="{ED7F3AC2-5FDD-4852-9510-8CA095C6133B}" name="cycle_wood"/>
    <tableColumn id="11" xr3:uid="{10497644-E520-486C-869C-F7FBBAF4A319}" name="cycle_unpaved - construction"/>
    <tableColumn id="12" xr3:uid="{9EE280DE-E1FE-4E12-BF99-03BFBAD24148}" name="cycle_unpaved - unmanaged"/>
    <tableColumn id="13" xr3:uid="{5307A946-960D-43FD-AF14-93F8516DD0F5}" name="cycle_asphalt2">
      <calculatedColumnFormula>C2/SUM($C2:$J2)</calculatedColumnFormula>
    </tableColumn>
    <tableColumn id="14" xr3:uid="{BE0C88DD-EE46-438D-AFFE-8A51F68C8D2E}" name="cycle_brick3">
      <calculatedColumnFormula>D2/SUM($C2:$J2)</calculatedColumnFormula>
    </tableColumn>
    <tableColumn id="15" xr3:uid="{9C4E25F0-577C-49A2-9D0A-70F20F00739F}" name="cycle_concrete4">
      <calculatedColumnFormula>E2/SUM($C2:$J2)</calculatedColumnFormula>
    </tableColumn>
    <tableColumn id="16" xr3:uid="{BD26D67B-B320-4C3B-9734-1503CA25E1B0}" name="cycle_metal5">
      <calculatedColumnFormula>F2/SUM($C2:$J2)</calculatedColumnFormula>
    </tableColumn>
    <tableColumn id="17" xr3:uid="{F5883253-571A-4D2A-98F0-AE2A6BA4B791}" name="cycle_paved6">
      <calculatedColumnFormula>G2/SUM($C2:$J2)</calculatedColumnFormula>
    </tableColumn>
    <tableColumn id="18" xr3:uid="{E95DD9E3-5617-4C91-9810-461AFDC44528}" name="cycle_paving_stone7">
      <calculatedColumnFormula>H2/SUM($C2:$J2)</calculatedColumnFormula>
    </tableColumn>
    <tableColumn id="19" xr3:uid="{234B503B-2EA6-414D-AFDF-315D6CB00007}" name="cycle_stone8">
      <calculatedColumnFormula>I2/SUM($C2:$J2)</calculatedColumnFormula>
    </tableColumn>
    <tableColumn id="20" xr3:uid="{D7F350E3-A981-4C15-87EC-A99F5F6C2066}" name="cycle_wood9">
      <calculatedColumnFormula>J2/SUM($C2:$J2)</calculatedColumnFormula>
    </tableColumn>
    <tableColumn id="21" xr3:uid="{82BF6813-30B5-48C1-8453-198284F5BB60}" name="cycle_unpaved - construction10">
      <calculatedColumnFormula>K2/($K2+$L2)</calculatedColumnFormula>
    </tableColumn>
    <tableColumn id="22" xr3:uid="{7AD724BD-40AC-4280-A621-0FCBA4D31480}" name="cycle_unpaved - unmanaged11">
      <calculatedColumnFormula>L2/($K2+$L2)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3BEEF3C-A9AB-4968-9752-E17B919CB7A1}" name="Table11" displayName="Table11" ref="A1:V79" totalsRowShown="0" headerRowDxfId="1" headerRowBorderDxfId="0">
  <autoFilter ref="A1:V79" xr:uid="{B3BEEF3C-A9AB-4968-9752-E17B919CB7A1}">
    <filterColumn colId="0">
      <filters>
        <filter val="rur_Brazil_IMAGE"/>
        <filter val="rur_Canada_IMAGE"/>
        <filter val="rur_Central America_IMAGE"/>
        <filter val="rur_Central Asia_IMAGE"/>
        <filter val="rur_Central Europe_IMAGE"/>
        <filter val="rur_China region_IMAGE"/>
        <filter val="rur_Eastern Africa_IMAGE"/>
        <filter val="rur_India_IMAGE"/>
        <filter val="rur_Indonesia region_IMAGE"/>
        <filter val="rur_Japan_IMAGE"/>
        <filter val="rur_Korea region_IMAGE"/>
        <filter val="rur_Mexico_IMAGE"/>
        <filter val="rur_Middle East_IMAGE"/>
        <filter val="rur_Northern Africa_IMAGE"/>
        <filter val="rur_Oceania_IMAGE"/>
        <filter val="rur_Rest of South America_IMAGE"/>
        <filter val="rur_Rest of South Asia_IMAGE"/>
        <filter val="rur_Rest of Southern Africa_IMAGE"/>
        <filter val="rur_Russia region_IMAGE"/>
        <filter val="rur_South Africa_IMAGE"/>
        <filter val="rur_Southeastern Asia_IMAGE"/>
        <filter val="rur_Turkey_IMAGE"/>
        <filter val="rur_Ukraine region_IMAGE"/>
        <filter val="rur_USA_IMAGE"/>
        <filter val="rur_Western Africa_IMAGE"/>
        <filter val="rur_Western Europe_IMAGE"/>
      </filters>
    </filterColumn>
  </autoFilter>
  <sortState xmlns:xlrd2="http://schemas.microsoft.com/office/spreadsheetml/2017/richdata2" ref="A4:V77">
    <sortCondition ref="A1:A79"/>
  </sortState>
  <tableColumns count="22">
    <tableColumn id="1" xr3:uid="{7EE7F94E-0E71-4074-9D44-DA940A69F1AC}" name="eFUA_name"/>
    <tableColumn id="2" xr3:uid="{21C0BE6D-8F66-4BF6-BAE0-E98F5A9CA5BF}" name="_GDPperCAP_mean"/>
    <tableColumn id="3" xr3:uid="{49D6A048-1F9F-486F-9D2D-A31FFA94ACBB}" name="informal_asphalt"/>
    <tableColumn id="4" xr3:uid="{F78FCA9A-5FA0-4A6B-89AE-88A20E9F470E}" name="informal_brick"/>
    <tableColumn id="5" xr3:uid="{9D65513C-93AF-4BE2-A46A-761A000DD1ED}" name="informal_concrete"/>
    <tableColumn id="6" xr3:uid="{1A7C0866-BF35-4015-BD60-9AD81F3C069F}" name="informal_metal"/>
    <tableColumn id="7" xr3:uid="{94F1B200-BABE-4BED-B0A7-2753D54A3B34}" name="informal_paved"/>
    <tableColumn id="8" xr3:uid="{7515A70A-2432-43E0-B01F-DBEDF065D378}" name="informal_paving_stone"/>
    <tableColumn id="9" xr3:uid="{E0393151-2980-4735-8A82-F0085904A1E4}" name="informal_stone"/>
    <tableColumn id="10" xr3:uid="{AA4BADF8-B245-4470-8F9A-A664790491D9}" name="informal_wood"/>
    <tableColumn id="11" xr3:uid="{3E0DA3AA-48F2-4800-A2A3-1411C6375753}" name="informal_unpaved - construction"/>
    <tableColumn id="12" xr3:uid="{20C848F0-4DD5-4FBF-AADD-4909325CDB9E}" name="informal_unpaved - unmanaged"/>
    <tableColumn id="13" xr3:uid="{C080078A-8BD5-4A46-90C4-56BB153FC875}" name="informal_asphalt2">
      <calculatedColumnFormula>C2/SUM($C2:$J2)</calculatedColumnFormula>
    </tableColumn>
    <tableColumn id="14" xr3:uid="{795ED19D-B293-494C-8547-59B711B14D2E}" name="informal_brick3">
      <calculatedColumnFormula>D2/SUM($C2:$J2)</calculatedColumnFormula>
    </tableColumn>
    <tableColumn id="15" xr3:uid="{2355F8EB-611B-4FC5-AF29-97B70AB9F446}" name="informal_concrete4">
      <calculatedColumnFormula>E2/SUM($C2:$J2)</calculatedColumnFormula>
    </tableColumn>
    <tableColumn id="16" xr3:uid="{F7939435-A340-4F8A-9E9E-041F818BFB48}" name="informal_metal5">
      <calculatedColumnFormula>F2/SUM($C2:$J2)</calculatedColumnFormula>
    </tableColumn>
    <tableColumn id="17" xr3:uid="{E8654C0E-946F-471D-849D-08203F659CD6}" name="informal_paved6">
      <calculatedColumnFormula>G2/SUM($C2:$J2)</calculatedColumnFormula>
    </tableColumn>
    <tableColumn id="18" xr3:uid="{6B1206AA-46E5-4248-B491-584AD01B028A}" name="informal_paving_stone7">
      <calculatedColumnFormula>H2/SUM($C2:$J2)</calculatedColumnFormula>
    </tableColumn>
    <tableColumn id="19" xr3:uid="{A4BCDABE-8FBD-4D3A-9754-19EC561042F0}" name="informal_stone8">
      <calculatedColumnFormula>I2/SUM($C2:$J2)</calculatedColumnFormula>
    </tableColumn>
    <tableColumn id="20" xr3:uid="{DBEC7309-145F-4C9C-8AB8-053A0367BE9B}" name="informal_wood9">
      <calculatedColumnFormula>J2/SUM($C2:$J2)</calculatedColumnFormula>
    </tableColumn>
    <tableColumn id="21" xr3:uid="{A7B3B53C-5FCB-4C63-8A0B-2E7F004D7DA8}" name="informal_unpaved - construction10">
      <calculatedColumnFormula>K2/($K2+$L2)</calculatedColumnFormula>
    </tableColumn>
    <tableColumn id="22" xr3:uid="{9E9A5FF0-F884-4D14-B03E-53A9F5C11117}" name="informal_unpaved - unmanaged11">
      <calculatedColumnFormula>L2/($K2+$L2)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31834-C058-4A65-A3C8-FE1BB61DACE7}">
  <dimension ref="A1:AD143"/>
  <sheetViews>
    <sheetView showGridLines="0" tabSelected="1" workbookViewId="0">
      <selection activeCell="AA5" sqref="AA5"/>
    </sheetView>
  </sheetViews>
  <sheetFormatPr defaultRowHeight="15" x14ac:dyDescent="0.25"/>
  <cols>
    <col min="1" max="1" width="33.42578125" customWidth="1"/>
    <col min="2" max="4" width="22.85546875" customWidth="1"/>
  </cols>
  <sheetData>
    <row r="1" spans="1:30" x14ac:dyDescent="0.25">
      <c r="A1" t="s">
        <v>424</v>
      </c>
      <c r="B1" t="s">
        <v>425</v>
      </c>
      <c r="C1" t="s">
        <v>426</v>
      </c>
      <c r="D1" t="s">
        <v>437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419</v>
      </c>
      <c r="K1" t="s">
        <v>271</v>
      </c>
      <c r="L1" t="s">
        <v>272</v>
      </c>
      <c r="M1" t="s">
        <v>420</v>
      </c>
      <c r="N1" t="s">
        <v>273</v>
      </c>
      <c r="O1" t="s">
        <v>421</v>
      </c>
      <c r="P1" t="s">
        <v>274</v>
      </c>
      <c r="Q1" t="s">
        <v>275</v>
      </c>
      <c r="R1" t="s">
        <v>276</v>
      </c>
      <c r="S1" t="s">
        <v>277</v>
      </c>
      <c r="T1" t="s">
        <v>278</v>
      </c>
      <c r="U1" t="s">
        <v>279</v>
      </c>
      <c r="V1" t="s">
        <v>280</v>
      </c>
      <c r="W1" t="s">
        <v>422</v>
      </c>
      <c r="X1" t="s">
        <v>281</v>
      </c>
      <c r="Y1" t="s">
        <v>423</v>
      </c>
      <c r="Z1" t="s">
        <v>282</v>
      </c>
      <c r="AA1" t="s">
        <v>284</v>
      </c>
      <c r="AB1" t="s">
        <v>283</v>
      </c>
      <c r="AC1" t="s">
        <v>285</v>
      </c>
      <c r="AD1" t="s">
        <v>286</v>
      </c>
    </row>
    <row r="2" spans="1:30" x14ac:dyDescent="0.25">
      <c r="A2" t="s">
        <v>454</v>
      </c>
      <c r="B2" t="s">
        <v>427</v>
      </c>
      <c r="C2" t="s">
        <v>435</v>
      </c>
      <c r="D2" t="s">
        <v>438</v>
      </c>
      <c r="E2">
        <v>0.99010621564988888</v>
      </c>
      <c r="F2">
        <v>0.94157620551164367</v>
      </c>
      <c r="G2">
        <v>0.78172629439478691</v>
      </c>
      <c r="H2">
        <v>0.32242995331973362</v>
      </c>
      <c r="I2">
        <v>0.94794418055278007</v>
      </c>
      <c r="J2">
        <v>0.99666468431312194</v>
      </c>
      <c r="K2">
        <v>0.97187985316726666</v>
      </c>
      <c r="L2">
        <v>0.82499965966394628</v>
      </c>
      <c r="M2">
        <v>0.78551090076401064</v>
      </c>
      <c r="N2">
        <v>1</v>
      </c>
      <c r="O2">
        <v>0.86261317922600056</v>
      </c>
      <c r="P2">
        <v>0.8872494504946159</v>
      </c>
      <c r="Q2">
        <v>0.9983729312666545</v>
      </c>
      <c r="R2">
        <v>0.99871124384795451</v>
      </c>
      <c r="S2">
        <v>0.9474805122183837</v>
      </c>
      <c r="T2">
        <v>0.91996298378006913</v>
      </c>
      <c r="U2">
        <v>0.98028932556637727</v>
      </c>
      <c r="V2">
        <v>1</v>
      </c>
      <c r="W2">
        <v>0.96567509084826952</v>
      </c>
      <c r="X2">
        <v>0.96994287441981308</v>
      </c>
      <c r="Y2">
        <v>0.97869494740265417</v>
      </c>
      <c r="Z2">
        <v>0.99885472909196582</v>
      </c>
      <c r="AA2">
        <v>0.73435137285945551</v>
      </c>
      <c r="AB2">
        <v>1</v>
      </c>
      <c r="AC2">
        <v>0.99997960851309142</v>
      </c>
      <c r="AD2">
        <v>0.97105559257008944</v>
      </c>
    </row>
    <row r="3" spans="1:30" x14ac:dyDescent="0.25">
      <c r="A3" t="s">
        <v>455</v>
      </c>
      <c r="B3" t="s">
        <v>427</v>
      </c>
      <c r="C3" t="s">
        <v>435</v>
      </c>
      <c r="D3" t="s">
        <v>438</v>
      </c>
      <c r="E3">
        <v>9.7192367918453731E-3</v>
      </c>
      <c r="F3">
        <v>5.8423794488356315E-2</v>
      </c>
      <c r="G3">
        <v>0.21827370560521314</v>
      </c>
      <c r="H3">
        <v>0.67757004668026644</v>
      </c>
      <c r="I3">
        <v>5.1998950061512138E-2</v>
      </c>
      <c r="J3">
        <v>3.3344425817623323E-3</v>
      </c>
      <c r="K3">
        <v>2.8120146832733398E-2</v>
      </c>
      <c r="L3">
        <v>0.17500034033605372</v>
      </c>
      <c r="M3">
        <v>0.21442710502898779</v>
      </c>
      <c r="N3">
        <v>0</v>
      </c>
      <c r="O3">
        <v>0.13738682077399944</v>
      </c>
      <c r="P3">
        <v>0.11252548504112773</v>
      </c>
      <c r="Q3">
        <v>1.534501525295582E-3</v>
      </c>
      <c r="R3">
        <v>1.2887561520454106E-3</v>
      </c>
      <c r="S3">
        <v>5.2519487781616241E-2</v>
      </c>
      <c r="T3">
        <v>8.0011200818401212E-2</v>
      </c>
      <c r="U3">
        <v>1.9710674433622687E-2</v>
      </c>
      <c r="V3">
        <v>0</v>
      </c>
      <c r="W3">
        <v>3.4324909151730497E-2</v>
      </c>
      <c r="X3">
        <v>3.0018516137328134E-2</v>
      </c>
      <c r="Y3">
        <v>2.0753117170046572E-2</v>
      </c>
      <c r="Z3">
        <v>1.1452709080341412E-3</v>
      </c>
      <c r="AA3">
        <v>0.26564167719832399</v>
      </c>
      <c r="AB3">
        <v>0</v>
      </c>
      <c r="AC3">
        <v>2.0391486908572704E-5</v>
      </c>
      <c r="AD3">
        <v>2.8936415204316602E-2</v>
      </c>
    </row>
    <row r="4" spans="1:30" x14ac:dyDescent="0.25">
      <c r="A4" t="s">
        <v>456</v>
      </c>
      <c r="B4" t="s">
        <v>427</v>
      </c>
      <c r="C4" t="s">
        <v>435</v>
      </c>
      <c r="D4" t="s">
        <v>438</v>
      </c>
      <c r="E4">
        <v>0</v>
      </c>
      <c r="F4">
        <v>0</v>
      </c>
      <c r="G4">
        <v>0</v>
      </c>
      <c r="H4">
        <v>0</v>
      </c>
      <c r="I4">
        <v>0</v>
      </c>
      <c r="J4">
        <v>8.7310511577043319E-7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1.7670281921576093E-5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6.9499422204133322E-6</v>
      </c>
      <c r="AB4">
        <v>0</v>
      </c>
      <c r="AC4">
        <v>0</v>
      </c>
      <c r="AD4">
        <v>0</v>
      </c>
    </row>
    <row r="5" spans="1:30" x14ac:dyDescent="0.25">
      <c r="A5" t="s">
        <v>462</v>
      </c>
      <c r="B5" t="s">
        <v>427</v>
      </c>
      <c r="C5" t="s">
        <v>435</v>
      </c>
      <c r="D5" t="s">
        <v>438</v>
      </c>
      <c r="E5">
        <v>1.5629576997230034E-4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6.1994207001493545E-5</v>
      </c>
      <c r="N5">
        <v>0</v>
      </c>
      <c r="O5">
        <v>0</v>
      </c>
      <c r="P5">
        <v>1.7700805269646165E-5</v>
      </c>
      <c r="Q5">
        <v>9.2567208049979097E-5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3.8609442858742085E-5</v>
      </c>
      <c r="Y5">
        <v>5.5193542729936541E-4</v>
      </c>
      <c r="Z5">
        <v>0</v>
      </c>
      <c r="AA5">
        <v>0</v>
      </c>
      <c r="AB5">
        <v>0</v>
      </c>
      <c r="AC5">
        <v>0</v>
      </c>
      <c r="AD5">
        <v>8.4571224956100218E-7</v>
      </c>
    </row>
    <row r="6" spans="1:30" x14ac:dyDescent="0.25">
      <c r="A6" t="s">
        <v>457</v>
      </c>
      <c r="B6" t="s">
        <v>427</v>
      </c>
      <c r="C6" t="s">
        <v>435</v>
      </c>
      <c r="D6" t="s">
        <v>438</v>
      </c>
      <c r="E6">
        <v>1.8251788293372613E-5</v>
      </c>
      <c r="F6">
        <v>0</v>
      </c>
      <c r="G6">
        <v>0</v>
      </c>
      <c r="H6">
        <v>0</v>
      </c>
      <c r="I6">
        <v>5.6869385707695885E-5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2.0736365898679871E-4</v>
      </c>
      <c r="Q6">
        <v>0</v>
      </c>
      <c r="R6">
        <v>0</v>
      </c>
      <c r="S6">
        <v>0</v>
      </c>
      <c r="T6">
        <v>8.1451196080917745E-6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7.1465133443884233E-6</v>
      </c>
    </row>
    <row r="7" spans="1:30" x14ac:dyDescent="0.25">
      <c r="A7" t="s">
        <v>458</v>
      </c>
      <c r="B7" t="s">
        <v>427</v>
      </c>
      <c r="C7" t="s">
        <v>436</v>
      </c>
      <c r="D7" t="s">
        <v>438</v>
      </c>
      <c r="E7">
        <v>0.96702798511521992</v>
      </c>
      <c r="F7">
        <v>0.98318479672567216</v>
      </c>
      <c r="G7">
        <v>0.99757953315542103</v>
      </c>
      <c r="H7">
        <v>0.58277340536316813</v>
      </c>
      <c r="I7">
        <v>0.98404340964745629</v>
      </c>
      <c r="J7">
        <v>0.99458592460898287</v>
      </c>
      <c r="K7">
        <v>0.99979799886266973</v>
      </c>
      <c r="L7">
        <v>0.70163733083419344</v>
      </c>
      <c r="M7">
        <v>0.8959022113779409</v>
      </c>
      <c r="N7">
        <v>0.97832612794790885</v>
      </c>
      <c r="O7">
        <v>0.57989341553752005</v>
      </c>
      <c r="P7">
        <v>0.92950023933605674</v>
      </c>
      <c r="Q7">
        <v>0.98974027438233447</v>
      </c>
      <c r="R7">
        <v>0.99822865950437023</v>
      </c>
      <c r="S7">
        <v>0.698470857761327</v>
      </c>
      <c r="T7">
        <v>0.89245116507864786</v>
      </c>
      <c r="U7">
        <v>0.96963554238702954</v>
      </c>
      <c r="V7">
        <v>1</v>
      </c>
      <c r="W7">
        <v>0.91172944274729728</v>
      </c>
      <c r="X7">
        <v>0.95773755009280226</v>
      </c>
      <c r="Y7">
        <v>0.82039476958513746</v>
      </c>
      <c r="Z7">
        <v>0.99985478397631788</v>
      </c>
      <c r="AA7">
        <v>0.90782828581064101</v>
      </c>
      <c r="AB7">
        <v>0.99774474584570594</v>
      </c>
      <c r="AC7">
        <v>1</v>
      </c>
      <c r="AD7">
        <v>0.96892782335001015</v>
      </c>
    </row>
    <row r="8" spans="1:30" x14ac:dyDescent="0.25">
      <c r="A8" t="s">
        <v>459</v>
      </c>
      <c r="B8" t="s">
        <v>427</v>
      </c>
      <c r="C8" t="s">
        <v>436</v>
      </c>
      <c r="D8" t="s">
        <v>438</v>
      </c>
      <c r="E8">
        <v>3.2919515307366323E-2</v>
      </c>
      <c r="F8">
        <v>1.6815203274327863E-2</v>
      </c>
      <c r="G8">
        <v>2.420466844579082E-3</v>
      </c>
      <c r="H8">
        <v>0.41722659463683176</v>
      </c>
      <c r="I8">
        <v>1.5951371583281637E-2</v>
      </c>
      <c r="J8">
        <v>5.4134087336705746E-3</v>
      </c>
      <c r="K8">
        <v>2.0200113733016655E-4</v>
      </c>
      <c r="L8">
        <v>0.29836266916580656</v>
      </c>
      <c r="M8">
        <v>0.10399577344972645</v>
      </c>
      <c r="N8">
        <v>2.1673872052091075E-2</v>
      </c>
      <c r="O8">
        <v>0.42010658446247995</v>
      </c>
      <c r="P8">
        <v>7.0464583330902275E-2</v>
      </c>
      <c r="Q8">
        <v>1.0253482637605831E-2</v>
      </c>
      <c r="R8">
        <v>1.767657024075119E-3</v>
      </c>
      <c r="S8">
        <v>0.301529142238673</v>
      </c>
      <c r="T8">
        <v>0.10752976726470834</v>
      </c>
      <c r="U8">
        <v>3.0364457612970432E-2</v>
      </c>
      <c r="V8">
        <v>0</v>
      </c>
      <c r="W8">
        <v>8.8270557252702747E-2</v>
      </c>
      <c r="X8">
        <v>4.2258408716679539E-2</v>
      </c>
      <c r="Y8">
        <v>0.1795734994099164</v>
      </c>
      <c r="Z8">
        <v>1.4521602368220633E-4</v>
      </c>
      <c r="AA8">
        <v>9.2138319541266347E-2</v>
      </c>
      <c r="AB8">
        <v>2.2552541542939283E-3</v>
      </c>
      <c r="AC8">
        <v>0</v>
      </c>
      <c r="AD8">
        <v>3.1043697831064632E-2</v>
      </c>
    </row>
    <row r="9" spans="1:30" x14ac:dyDescent="0.25">
      <c r="A9" t="s">
        <v>460</v>
      </c>
      <c r="B9" t="s">
        <v>427</v>
      </c>
      <c r="C9" t="s">
        <v>436</v>
      </c>
      <c r="D9" t="s">
        <v>438</v>
      </c>
      <c r="E9">
        <v>0</v>
      </c>
      <c r="F9">
        <v>0</v>
      </c>
      <c r="G9">
        <v>0</v>
      </c>
      <c r="H9">
        <v>0</v>
      </c>
      <c r="I9">
        <v>0</v>
      </c>
      <c r="J9">
        <v>2.991714180161299E-7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3.683471554703277E-6</v>
      </c>
      <c r="S9">
        <v>0</v>
      </c>
      <c r="T9">
        <v>7.5925212709327406E-7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5.7065208279552003E-7</v>
      </c>
      <c r="AB9">
        <v>0</v>
      </c>
      <c r="AC9">
        <v>0</v>
      </c>
      <c r="AD9">
        <v>0</v>
      </c>
    </row>
    <row r="10" spans="1:30" x14ac:dyDescent="0.25">
      <c r="A10" t="s">
        <v>463</v>
      </c>
      <c r="B10" t="s">
        <v>427</v>
      </c>
      <c r="C10" t="s">
        <v>436</v>
      </c>
      <c r="D10" t="s">
        <v>438</v>
      </c>
      <c r="E10">
        <v>3.9873046055135972E-5</v>
      </c>
      <c r="F10">
        <v>0</v>
      </c>
      <c r="G10">
        <v>0</v>
      </c>
      <c r="H10">
        <v>0</v>
      </c>
      <c r="I10">
        <v>0</v>
      </c>
      <c r="J10">
        <v>3.6748592848192677E-7</v>
      </c>
      <c r="K10">
        <v>0</v>
      </c>
      <c r="L10">
        <v>0</v>
      </c>
      <c r="M10">
        <v>1.020151723326559E-4</v>
      </c>
      <c r="N10">
        <v>0</v>
      </c>
      <c r="O10">
        <v>0</v>
      </c>
      <c r="P10">
        <v>2.4865411093654725E-6</v>
      </c>
      <c r="Q10">
        <v>6.2429800597561768E-6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4.0411905182635535E-6</v>
      </c>
      <c r="Y10">
        <v>3.1731004946126189E-5</v>
      </c>
      <c r="Z10">
        <v>0</v>
      </c>
      <c r="AA10">
        <v>2.5279109069447396E-5</v>
      </c>
      <c r="AB10">
        <v>0</v>
      </c>
      <c r="AC10">
        <v>0</v>
      </c>
      <c r="AD10">
        <v>9.848620879863291E-6</v>
      </c>
    </row>
    <row r="11" spans="1:30" x14ac:dyDescent="0.25">
      <c r="A11" t="s">
        <v>461</v>
      </c>
      <c r="B11" t="s">
        <v>427</v>
      </c>
      <c r="C11" t="s">
        <v>436</v>
      </c>
      <c r="D11" t="s">
        <v>438</v>
      </c>
      <c r="E11">
        <v>1.2626531358686266E-5</v>
      </c>
      <c r="F11">
        <v>0</v>
      </c>
      <c r="G11">
        <v>0</v>
      </c>
      <c r="H11">
        <v>0</v>
      </c>
      <c r="I11">
        <v>5.2187692620047472E-6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3.2690791931679908E-5</v>
      </c>
      <c r="Q11">
        <v>0</v>
      </c>
      <c r="R11">
        <v>0</v>
      </c>
      <c r="S11">
        <v>0</v>
      </c>
      <c r="T11">
        <v>1.8308404516760076E-5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7.5448869401238015E-6</v>
      </c>
      <c r="AB11">
        <v>0</v>
      </c>
      <c r="AC11">
        <v>0</v>
      </c>
      <c r="AD11">
        <v>1.8630198045395831E-5</v>
      </c>
    </row>
    <row r="12" spans="1:30" x14ac:dyDescent="0.25">
      <c r="A12" t="s">
        <v>287</v>
      </c>
      <c r="B12" t="s">
        <v>428</v>
      </c>
      <c r="C12" t="s">
        <v>435</v>
      </c>
      <c r="D12" t="s">
        <v>438</v>
      </c>
      <c r="E12">
        <v>0.98795870373153394</v>
      </c>
      <c r="F12">
        <v>0.95878417403831839</v>
      </c>
      <c r="G12">
        <v>0.87442387900380614</v>
      </c>
      <c r="H12">
        <v>0.99219133355188527</v>
      </c>
      <c r="I12">
        <v>0.97780824367982744</v>
      </c>
      <c r="J12">
        <v>0.97646070719133826</v>
      </c>
      <c r="K12">
        <v>0.99108081761598354</v>
      </c>
      <c r="L12">
        <v>0.93582649991364186</v>
      </c>
      <c r="M12">
        <v>0.95328382279045942</v>
      </c>
      <c r="N12">
        <v>0.99757277022498569</v>
      </c>
      <c r="O12">
        <v>0.96641918663365156</v>
      </c>
      <c r="P12">
        <v>0.91490240734049788</v>
      </c>
      <c r="Q12">
        <v>0.99863783197347911</v>
      </c>
      <c r="R12">
        <v>0.99695830835449728</v>
      </c>
      <c r="S12">
        <v>0.9934422169857644</v>
      </c>
      <c r="T12">
        <v>0.85121945598102622</v>
      </c>
      <c r="U12">
        <v>0.99404868548919934</v>
      </c>
      <c r="V12">
        <v>0.99894096460487702</v>
      </c>
      <c r="W12">
        <v>0.99645218255817392</v>
      </c>
      <c r="X12">
        <v>0.99929446362535379</v>
      </c>
      <c r="Y12">
        <v>0.89620851643205968</v>
      </c>
      <c r="Z12">
        <v>0.99877920172915746</v>
      </c>
      <c r="AA12">
        <v>0.9297213214939134</v>
      </c>
      <c r="AB12">
        <v>0.98068882818595771</v>
      </c>
      <c r="AC12">
        <v>0.99760012240751916</v>
      </c>
      <c r="AD12">
        <v>0.99414364837834557</v>
      </c>
    </row>
    <row r="13" spans="1:30" x14ac:dyDescent="0.25">
      <c r="A13" t="s">
        <v>288</v>
      </c>
      <c r="B13" t="s">
        <v>428</v>
      </c>
      <c r="C13" t="s">
        <v>435</v>
      </c>
      <c r="D13" t="s">
        <v>438</v>
      </c>
      <c r="E13">
        <v>9.2371645779734408E-3</v>
      </c>
      <c r="F13">
        <v>4.0551163890176649E-2</v>
      </c>
      <c r="G13">
        <v>0.11947241212677463</v>
      </c>
      <c r="H13">
        <v>7.8086664481147386E-3</v>
      </c>
      <c r="I13">
        <v>2.1428054317620609E-2</v>
      </c>
      <c r="J13">
        <v>2.3452719356134709E-2</v>
      </c>
      <c r="K13">
        <v>8.8615474685350745E-3</v>
      </c>
      <c r="L13">
        <v>6.0778767896740644E-2</v>
      </c>
      <c r="M13">
        <v>4.6048664590876039E-2</v>
      </c>
      <c r="N13">
        <v>2.176852151465587E-3</v>
      </c>
      <c r="O13">
        <v>3.3463881484377768E-2</v>
      </c>
      <c r="P13">
        <v>8.3234688117630296E-2</v>
      </c>
      <c r="Q13">
        <v>8.2917698497825569E-4</v>
      </c>
      <c r="R13">
        <v>2.9649894225350954E-3</v>
      </c>
      <c r="S13">
        <v>6.5562408292053368E-3</v>
      </c>
      <c r="T13">
        <v>0.14668795626765632</v>
      </c>
      <c r="U13">
        <v>5.5294152095675467E-3</v>
      </c>
      <c r="V13">
        <v>1.0100488246299302E-3</v>
      </c>
      <c r="W13">
        <v>3.1774086384184909E-3</v>
      </c>
      <c r="X13">
        <v>3.4917571517774441E-4</v>
      </c>
      <c r="Y13">
        <v>0.1030393001060757</v>
      </c>
      <c r="Z13">
        <v>8.5528071536940744E-5</v>
      </c>
      <c r="AA13">
        <v>6.9867909615507554E-2</v>
      </c>
      <c r="AB13">
        <v>1.5572973419053756E-2</v>
      </c>
      <c r="AC13">
        <v>1.1235486039179485E-3</v>
      </c>
      <c r="AD13">
        <v>5.1216404793131528E-3</v>
      </c>
    </row>
    <row r="14" spans="1:30" x14ac:dyDescent="0.25">
      <c r="A14" t="s">
        <v>289</v>
      </c>
      <c r="B14" t="s">
        <v>428</v>
      </c>
      <c r="C14" t="s">
        <v>435</v>
      </c>
      <c r="D14" t="s">
        <v>438</v>
      </c>
      <c r="E14">
        <v>0</v>
      </c>
      <c r="F14">
        <v>6.6466207150499409E-4</v>
      </c>
      <c r="G14">
        <v>4.495807377727033E-5</v>
      </c>
      <c r="H14">
        <v>0</v>
      </c>
      <c r="I14">
        <v>0</v>
      </c>
      <c r="J14">
        <v>0</v>
      </c>
      <c r="K14">
        <v>0</v>
      </c>
      <c r="L14">
        <v>3.3167104242965415E-4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4.2255476612766893E-5</v>
      </c>
      <c r="U14">
        <v>0</v>
      </c>
      <c r="V14">
        <v>0</v>
      </c>
      <c r="W14">
        <v>1.9012095486945679E-5</v>
      </c>
      <c r="X14">
        <v>0</v>
      </c>
      <c r="Y14">
        <v>2.1719149472298152E-5</v>
      </c>
      <c r="Z14">
        <v>0</v>
      </c>
      <c r="AA14">
        <v>1.2943818881382479E-4</v>
      </c>
      <c r="AB14">
        <v>0</v>
      </c>
      <c r="AC14">
        <v>0</v>
      </c>
      <c r="AD14">
        <v>1.1386166241715915E-6</v>
      </c>
    </row>
    <row r="15" spans="1:30" x14ac:dyDescent="0.25">
      <c r="A15" t="s">
        <v>440</v>
      </c>
      <c r="B15" t="s">
        <v>428</v>
      </c>
      <c r="C15" t="s">
        <v>435</v>
      </c>
      <c r="D15" t="s">
        <v>438</v>
      </c>
      <c r="E15">
        <v>1.2134557789162815E-3</v>
      </c>
      <c r="F15">
        <v>0</v>
      </c>
      <c r="G15">
        <v>5.1300058824957674E-3</v>
      </c>
      <c r="H15">
        <v>0</v>
      </c>
      <c r="I15">
        <v>4.6772102070638473E-5</v>
      </c>
      <c r="J15">
        <v>7.6292797914482649E-5</v>
      </c>
      <c r="K15">
        <v>0</v>
      </c>
      <c r="L15">
        <v>2.6564707318889818E-4</v>
      </c>
      <c r="M15">
        <v>5.9370422896115149E-4</v>
      </c>
      <c r="N15">
        <v>1.2579342257460223E-4</v>
      </c>
      <c r="O15">
        <v>1.1693188197065655E-4</v>
      </c>
      <c r="P15">
        <v>1.6726837174557228E-3</v>
      </c>
      <c r="Q15">
        <v>4.7286953693312204E-4</v>
      </c>
      <c r="R15">
        <v>7.67022229676386E-5</v>
      </c>
      <c r="S15">
        <v>0</v>
      </c>
      <c r="T15">
        <v>1.7525010327212884E-3</v>
      </c>
      <c r="U15">
        <v>2.8184689921785993E-4</v>
      </c>
      <c r="V15">
        <v>0</v>
      </c>
      <c r="W15">
        <v>6.7842684846797184E-5</v>
      </c>
      <c r="X15">
        <v>3.5636065946850699E-4</v>
      </c>
      <c r="Y15">
        <v>7.2675318602154952E-4</v>
      </c>
      <c r="Z15">
        <v>1.1352701993056029E-3</v>
      </c>
      <c r="AA15">
        <v>2.1569255825808716E-4</v>
      </c>
      <c r="AB15">
        <v>4.3065631831732385E-4</v>
      </c>
      <c r="AC15">
        <v>1.2610540926093891E-3</v>
      </c>
      <c r="AD15">
        <v>2.142125701222928E-4</v>
      </c>
    </row>
    <row r="16" spans="1:30" x14ac:dyDescent="0.25">
      <c r="A16" t="s">
        <v>291</v>
      </c>
      <c r="B16" t="s">
        <v>428</v>
      </c>
      <c r="C16" t="s">
        <v>435</v>
      </c>
      <c r="D16" t="s">
        <v>438</v>
      </c>
      <c r="E16">
        <v>1.5893208302124476E-3</v>
      </c>
      <c r="F16">
        <v>0</v>
      </c>
      <c r="G16">
        <v>9.2874491314618162E-4</v>
      </c>
      <c r="H16">
        <v>0</v>
      </c>
      <c r="I16">
        <v>7.1692990048132801E-4</v>
      </c>
      <c r="J16">
        <v>1.0280654612606796E-5</v>
      </c>
      <c r="K16">
        <v>5.7634915481448398E-5</v>
      </c>
      <c r="L16">
        <v>2.7974140739988919E-3</v>
      </c>
      <c r="M16">
        <v>7.2663103804611518E-5</v>
      </c>
      <c r="N16">
        <v>1.2458420097393965E-4</v>
      </c>
      <c r="O16">
        <v>0</v>
      </c>
      <c r="P16">
        <v>1.9022082441615197E-4</v>
      </c>
      <c r="Q16">
        <v>6.0121504609466566E-5</v>
      </c>
      <c r="R16">
        <v>0</v>
      </c>
      <c r="S16">
        <v>0</v>
      </c>
      <c r="T16">
        <v>2.9783124198333796E-4</v>
      </c>
      <c r="U16">
        <v>1.4005240201522189E-4</v>
      </c>
      <c r="V16">
        <v>4.8986570492939647E-5</v>
      </c>
      <c r="W16">
        <v>2.835540230738171E-4</v>
      </c>
      <c r="X16">
        <v>0</v>
      </c>
      <c r="Y16">
        <v>3.7111263707665475E-6</v>
      </c>
      <c r="Z16">
        <v>0</v>
      </c>
      <c r="AA16">
        <v>6.5638143507373354E-5</v>
      </c>
      <c r="AB16">
        <v>3.3075420766710702E-3</v>
      </c>
      <c r="AC16">
        <v>6.8732857543299427E-6</v>
      </c>
      <c r="AD16">
        <v>5.1856265192356762E-4</v>
      </c>
    </row>
    <row r="17" spans="1:30" x14ac:dyDescent="0.25">
      <c r="A17" t="s">
        <v>292</v>
      </c>
      <c r="B17" t="s">
        <v>428</v>
      </c>
      <c r="C17" t="s">
        <v>435</v>
      </c>
      <c r="D17" t="s">
        <v>438</v>
      </c>
      <c r="E17">
        <v>1.3550813638413955E-6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1.1452858987507077E-6</v>
      </c>
      <c r="N17">
        <v>0</v>
      </c>
      <c r="O17">
        <v>0</v>
      </c>
      <c r="P17">
        <v>0</v>
      </c>
      <c r="Q17">
        <v>0</v>
      </c>
      <c r="R17">
        <v>0</v>
      </c>
      <c r="S17">
        <v>1.5421850302240762E-6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8.4016101990403556E-6</v>
      </c>
      <c r="AD17">
        <v>7.9730367118199069E-7</v>
      </c>
    </row>
    <row r="18" spans="1:30" x14ac:dyDescent="0.25">
      <c r="A18" t="s">
        <v>293</v>
      </c>
      <c r="B18" t="s">
        <v>428</v>
      </c>
      <c r="C18" t="s">
        <v>435</v>
      </c>
      <c r="D18" t="s">
        <v>439</v>
      </c>
      <c r="E18">
        <v>0.3331137907976755</v>
      </c>
      <c r="F18">
        <v>0.5</v>
      </c>
      <c r="G18">
        <v>0.13209728183621572</v>
      </c>
      <c r="H18">
        <v>1</v>
      </c>
      <c r="I18">
        <v>0</v>
      </c>
      <c r="J18">
        <v>0.53727372545347341</v>
      </c>
      <c r="K18">
        <v>0.22975633861979328</v>
      </c>
      <c r="L18">
        <v>0.13772089969779705</v>
      </c>
      <c r="M18">
        <v>0.41796239579220784</v>
      </c>
      <c r="N18">
        <v>6.1194022413919912E-4</v>
      </c>
      <c r="O18">
        <v>0.78162359711271323</v>
      </c>
      <c r="P18">
        <v>0.28205032421755177</v>
      </c>
      <c r="Q18">
        <v>3.4121439223972108E-2</v>
      </c>
      <c r="R18">
        <v>0.82201839474752003</v>
      </c>
      <c r="S18">
        <v>0.38775510204081637</v>
      </c>
      <c r="T18">
        <v>0.40908805228224582</v>
      </c>
      <c r="U18">
        <v>0.64988898566030495</v>
      </c>
      <c r="V18">
        <v>4.5621551170289557E-2</v>
      </c>
      <c r="W18">
        <v>0.34188553736214311</v>
      </c>
      <c r="X18">
        <v>0</v>
      </c>
      <c r="Y18">
        <v>0.44941346322254122</v>
      </c>
      <c r="Z18">
        <v>0</v>
      </c>
      <c r="AA18">
        <v>0.72458832680456076</v>
      </c>
      <c r="AB18">
        <v>0.50755878598125637</v>
      </c>
      <c r="AC18">
        <v>0.18904363900921736</v>
      </c>
      <c r="AD18">
        <v>0.84764292489840209</v>
      </c>
    </row>
    <row r="19" spans="1:30" x14ac:dyDescent="0.25">
      <c r="A19" t="s">
        <v>294</v>
      </c>
      <c r="B19" t="s">
        <v>428</v>
      </c>
      <c r="C19" t="s">
        <v>435</v>
      </c>
      <c r="D19" t="s">
        <v>439</v>
      </c>
      <c r="E19">
        <v>0.66688620920232455</v>
      </c>
      <c r="F19">
        <v>0.5</v>
      </c>
      <c r="G19">
        <v>0.86790271816378428</v>
      </c>
      <c r="H19">
        <v>0</v>
      </c>
      <c r="I19">
        <v>1</v>
      </c>
      <c r="J19">
        <v>0.46272627454652654</v>
      </c>
      <c r="K19">
        <v>0.77024366138020661</v>
      </c>
      <c r="L19">
        <v>0.86227910030220289</v>
      </c>
      <c r="M19">
        <v>0.58203760420779205</v>
      </c>
      <c r="N19">
        <v>0.99938805977586076</v>
      </c>
      <c r="O19">
        <v>0.21837640288728666</v>
      </c>
      <c r="P19">
        <v>0.71794967578244817</v>
      </c>
      <c r="Q19">
        <v>0.96587856077602796</v>
      </c>
      <c r="R19">
        <v>0.17798160525248008</v>
      </c>
      <c r="S19">
        <v>0.6122448979591838</v>
      </c>
      <c r="T19">
        <v>0.59091194771775424</v>
      </c>
      <c r="U19">
        <v>0.3501110143396951</v>
      </c>
      <c r="V19">
        <v>0.95437844882971046</v>
      </c>
      <c r="W19">
        <v>0.65811446263785689</v>
      </c>
      <c r="X19">
        <v>1</v>
      </c>
      <c r="Y19">
        <v>0.55058653677745872</v>
      </c>
      <c r="Z19">
        <v>1</v>
      </c>
      <c r="AA19">
        <v>0.27541167319543924</v>
      </c>
      <c r="AB19">
        <v>0.49244121401874369</v>
      </c>
      <c r="AC19">
        <v>0.81095636099078261</v>
      </c>
      <c r="AD19">
        <v>0.15235707510159802</v>
      </c>
    </row>
    <row r="20" spans="1:30" x14ac:dyDescent="0.25">
      <c r="A20" t="s">
        <v>295</v>
      </c>
      <c r="B20" t="s">
        <v>428</v>
      </c>
      <c r="C20" t="s">
        <v>436</v>
      </c>
      <c r="D20" t="s">
        <v>438</v>
      </c>
      <c r="E20">
        <v>0.99294778509752435</v>
      </c>
      <c r="F20">
        <v>0.99449768026858942</v>
      </c>
      <c r="G20">
        <v>0.93275158941276581</v>
      </c>
      <c r="H20">
        <v>0.9323938319024081</v>
      </c>
      <c r="I20">
        <v>0.98733828308979221</v>
      </c>
      <c r="J20">
        <v>0.97173244928007907</v>
      </c>
      <c r="K20">
        <v>0.99588395547895892</v>
      </c>
      <c r="L20">
        <v>0.94462312523661474</v>
      </c>
      <c r="M20">
        <v>0.9791279254586005</v>
      </c>
      <c r="N20">
        <v>0.98685468245403007</v>
      </c>
      <c r="O20">
        <v>0.96557555277612661</v>
      </c>
      <c r="P20">
        <v>0.99171380649010099</v>
      </c>
      <c r="Q20">
        <v>0.99988110297006305</v>
      </c>
      <c r="R20">
        <v>1</v>
      </c>
      <c r="S20">
        <v>0.9988895621993884</v>
      </c>
      <c r="T20">
        <v>0.95521147810566109</v>
      </c>
      <c r="U20">
        <v>0.99596212248689586</v>
      </c>
      <c r="V20">
        <v>0.99515239724590088</v>
      </c>
      <c r="W20">
        <v>0.99436858557783969</v>
      </c>
      <c r="X20">
        <v>0.99962081612890308</v>
      </c>
      <c r="Y20">
        <v>0.90021129192449023</v>
      </c>
      <c r="Z20">
        <v>0.99754086337616121</v>
      </c>
      <c r="AA20">
        <v>0.96243527192014577</v>
      </c>
      <c r="AB20">
        <v>0.96939551880928265</v>
      </c>
      <c r="AC20">
        <v>0.99587362915086475</v>
      </c>
      <c r="AD20">
        <v>0.99867459641131273</v>
      </c>
    </row>
    <row r="21" spans="1:30" x14ac:dyDescent="0.25">
      <c r="A21" t="s">
        <v>296</v>
      </c>
      <c r="B21" t="s">
        <v>428</v>
      </c>
      <c r="C21" t="s">
        <v>436</v>
      </c>
      <c r="D21" t="s">
        <v>438</v>
      </c>
      <c r="E21">
        <v>6.4309330548700883E-3</v>
      </c>
      <c r="F21">
        <v>5.3581864095770225E-3</v>
      </c>
      <c r="G21">
        <v>6.1202648189482491E-2</v>
      </c>
      <c r="H21">
        <v>6.758558180432904E-2</v>
      </c>
      <c r="I21">
        <v>1.2405187184106364E-2</v>
      </c>
      <c r="J21">
        <v>2.8258671088911742E-2</v>
      </c>
      <c r="K21">
        <v>3.1730353626893736E-3</v>
      </c>
      <c r="L21">
        <v>5.3402614754550777E-2</v>
      </c>
      <c r="M21">
        <v>2.0290968608076471E-2</v>
      </c>
      <c r="N21">
        <v>1.3004189300295295E-2</v>
      </c>
      <c r="O21">
        <v>3.4406643215568598E-2</v>
      </c>
      <c r="P21">
        <v>8.0545457989083403E-3</v>
      </c>
      <c r="Q21">
        <v>9.1281523944450552E-5</v>
      </c>
      <c r="R21">
        <v>0</v>
      </c>
      <c r="S21">
        <v>1.014291669010216E-3</v>
      </c>
      <c r="T21">
        <v>4.231489508806284E-2</v>
      </c>
      <c r="U21">
        <v>3.7937835905965953E-3</v>
      </c>
      <c r="V21">
        <v>6.7838449868810869E-4</v>
      </c>
      <c r="W21">
        <v>3.8454380885989512E-3</v>
      </c>
      <c r="X21">
        <v>2.9357346635654224E-4</v>
      </c>
      <c r="Y21">
        <v>9.9563676615165617E-2</v>
      </c>
      <c r="Z21">
        <v>1.486393475398067E-3</v>
      </c>
      <c r="AA21">
        <v>3.7499927432827783E-2</v>
      </c>
      <c r="AB21">
        <v>2.9617390840576626E-2</v>
      </c>
      <c r="AC21">
        <v>2.0537791836905484E-3</v>
      </c>
      <c r="AD21">
        <v>9.3085204524565404E-4</v>
      </c>
    </row>
    <row r="22" spans="1:30" x14ac:dyDescent="0.25">
      <c r="A22" t="s">
        <v>297</v>
      </c>
      <c r="B22" t="s">
        <v>428</v>
      </c>
      <c r="C22" t="s">
        <v>436</v>
      </c>
      <c r="D22" t="s">
        <v>438</v>
      </c>
      <c r="E22">
        <v>2.4714737630617667E-6</v>
      </c>
      <c r="F22">
        <v>1.1472154290372817E-4</v>
      </c>
      <c r="G22">
        <v>3.3176125071921057E-5</v>
      </c>
      <c r="H22">
        <v>2.0586293262833457E-5</v>
      </c>
      <c r="I22">
        <v>0</v>
      </c>
      <c r="J22">
        <v>2.3609321887541672E-6</v>
      </c>
      <c r="K22">
        <v>3.4809514162955534E-4</v>
      </c>
      <c r="L22">
        <v>1.329745334055215E-5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7.9613781872789167E-5</v>
      </c>
      <c r="T22">
        <v>1.2663592319376334E-5</v>
      </c>
      <c r="U22">
        <v>1.3781977817473229E-5</v>
      </c>
      <c r="V22">
        <v>0</v>
      </c>
      <c r="W22">
        <v>2.3935113666120482E-6</v>
      </c>
      <c r="X22">
        <v>0</v>
      </c>
      <c r="Y22">
        <v>2.3857136156865275E-5</v>
      </c>
      <c r="Z22">
        <v>0</v>
      </c>
      <c r="AA22">
        <v>6.4800647026294674E-5</v>
      </c>
      <c r="AB22">
        <v>3.1831974023826695E-6</v>
      </c>
      <c r="AC22">
        <v>8.9784133869032987E-7</v>
      </c>
      <c r="AD22">
        <v>3.949891930377212E-6</v>
      </c>
    </row>
    <row r="23" spans="1:30" x14ac:dyDescent="0.25">
      <c r="A23" t="s">
        <v>441</v>
      </c>
      <c r="B23" t="s">
        <v>428</v>
      </c>
      <c r="C23" t="s">
        <v>436</v>
      </c>
      <c r="D23" t="s">
        <v>438</v>
      </c>
      <c r="E23">
        <v>2.0038389789705843E-4</v>
      </c>
      <c r="F23">
        <v>7.9871147909492527E-6</v>
      </c>
      <c r="G23">
        <v>2.9486881224806416E-3</v>
      </c>
      <c r="H23">
        <v>0</v>
      </c>
      <c r="I23">
        <v>8.1136172822187513E-5</v>
      </c>
      <c r="J23">
        <v>0</v>
      </c>
      <c r="K23">
        <v>0</v>
      </c>
      <c r="L23">
        <v>1.3245159774171076E-3</v>
      </c>
      <c r="M23">
        <v>3.5363298944433353E-4</v>
      </c>
      <c r="N23">
        <v>6.8628864823468637E-5</v>
      </c>
      <c r="O23">
        <v>1.7804008304800923E-5</v>
      </c>
      <c r="P23">
        <v>1.2533436875282808E-4</v>
      </c>
      <c r="Q23">
        <v>2.6363244181515743E-6</v>
      </c>
      <c r="R23">
        <v>0</v>
      </c>
      <c r="S23">
        <v>1.6137123294734755E-5</v>
      </c>
      <c r="T23">
        <v>1.4832741703057278E-3</v>
      </c>
      <c r="U23">
        <v>2.303119446900931E-4</v>
      </c>
      <c r="V23">
        <v>4.1692182554109508E-3</v>
      </c>
      <c r="W23">
        <v>3.0320261614885772E-5</v>
      </c>
      <c r="X23">
        <v>7.1047830323432419E-5</v>
      </c>
      <c r="Y23">
        <v>1.9114778809448466E-4</v>
      </c>
      <c r="Z23">
        <v>8.3250992384308747E-4</v>
      </c>
      <c r="AA23">
        <v>0</v>
      </c>
      <c r="AB23">
        <v>1.1218662618801348E-4</v>
      </c>
      <c r="AC23">
        <v>6.5728031660318442E-4</v>
      </c>
      <c r="AD23">
        <v>9.5674861651275455E-5</v>
      </c>
    </row>
    <row r="24" spans="1:30" x14ac:dyDescent="0.25">
      <c r="A24" t="s">
        <v>299</v>
      </c>
      <c r="B24" t="s">
        <v>428</v>
      </c>
      <c r="C24" t="s">
        <v>436</v>
      </c>
      <c r="D24" t="s">
        <v>438</v>
      </c>
      <c r="E24">
        <v>4.1414733999793737E-4</v>
      </c>
      <c r="F24">
        <v>0</v>
      </c>
      <c r="G24">
        <v>3.0638981501991654E-3</v>
      </c>
      <c r="H24">
        <v>0</v>
      </c>
      <c r="I24">
        <v>1.6427037962750293E-4</v>
      </c>
      <c r="J24">
        <v>6.5186988203328877E-6</v>
      </c>
      <c r="K24">
        <v>5.9009636286857278E-4</v>
      </c>
      <c r="L24">
        <v>6.3644657807683438E-4</v>
      </c>
      <c r="M24">
        <v>1.3500733026947367E-4</v>
      </c>
      <c r="N24">
        <v>7.2499380851098622E-5</v>
      </c>
      <c r="O24">
        <v>0</v>
      </c>
      <c r="P24">
        <v>1.0631334223780756E-4</v>
      </c>
      <c r="Q24">
        <v>2.4979181574496289E-5</v>
      </c>
      <c r="R24">
        <v>0</v>
      </c>
      <c r="S24">
        <v>0</v>
      </c>
      <c r="T24">
        <v>9.6181174311400124E-4</v>
      </c>
      <c r="U24">
        <v>0</v>
      </c>
      <c r="V24">
        <v>0</v>
      </c>
      <c r="W24">
        <v>1.7515514959990032E-3</v>
      </c>
      <c r="X24">
        <v>1.4562574416820841E-5</v>
      </c>
      <c r="Y24">
        <v>7.1743215426705355E-6</v>
      </c>
      <c r="Z24">
        <v>1.402332245976665E-4</v>
      </c>
      <c r="AA24">
        <v>0</v>
      </c>
      <c r="AB24">
        <v>8.7172052655033738E-4</v>
      </c>
      <c r="AC24">
        <v>1.3973566491613447E-3</v>
      </c>
      <c r="AD24">
        <v>2.9390957328209743E-4</v>
      </c>
    </row>
    <row r="25" spans="1:30" x14ac:dyDescent="0.25">
      <c r="A25" t="s">
        <v>300</v>
      </c>
      <c r="B25" t="s">
        <v>428</v>
      </c>
      <c r="C25" t="s">
        <v>436</v>
      </c>
      <c r="D25" t="s">
        <v>438</v>
      </c>
      <c r="E25">
        <v>4.2791359477669903E-6</v>
      </c>
      <c r="F25">
        <v>2.1424664138812376E-5</v>
      </c>
      <c r="G25">
        <v>0</v>
      </c>
      <c r="H25">
        <v>0</v>
      </c>
      <c r="I25">
        <v>1.1123173651846497E-5</v>
      </c>
      <c r="J25">
        <v>0</v>
      </c>
      <c r="K25">
        <v>4.817653853597917E-6</v>
      </c>
      <c r="L25">
        <v>0</v>
      </c>
      <c r="M25">
        <v>9.2465613609281214E-5</v>
      </c>
      <c r="N25">
        <v>0</v>
      </c>
      <c r="O25">
        <v>0</v>
      </c>
      <c r="P25">
        <v>0</v>
      </c>
      <c r="Q25">
        <v>0</v>
      </c>
      <c r="R25">
        <v>0</v>
      </c>
      <c r="S25">
        <v>3.9522643370289314E-7</v>
      </c>
      <c r="T25">
        <v>1.5877300536885441E-5</v>
      </c>
      <c r="U25">
        <v>0</v>
      </c>
      <c r="V25">
        <v>0</v>
      </c>
      <c r="W25">
        <v>1.7110645809675874E-6</v>
      </c>
      <c r="X25">
        <v>0</v>
      </c>
      <c r="Y25">
        <v>2.8522145502508853E-6</v>
      </c>
      <c r="Z25">
        <v>0</v>
      </c>
      <c r="AA25">
        <v>0</v>
      </c>
      <c r="AB25">
        <v>0</v>
      </c>
      <c r="AC25">
        <v>1.7056858341370152E-5</v>
      </c>
      <c r="AD25">
        <v>1.0172165779319182E-6</v>
      </c>
    </row>
    <row r="26" spans="1:30" x14ac:dyDescent="0.25">
      <c r="A26" t="s">
        <v>301</v>
      </c>
      <c r="B26" t="s">
        <v>428</v>
      </c>
      <c r="C26" t="s">
        <v>436</v>
      </c>
      <c r="D26" t="s">
        <v>439</v>
      </c>
      <c r="E26">
        <v>6.1355481761735067E-2</v>
      </c>
      <c r="F26">
        <v>0.52024714639392367</v>
      </c>
      <c r="G26">
        <v>0.4489545507208979</v>
      </c>
      <c r="H26">
        <v>0.66152838285128812</v>
      </c>
      <c r="I26">
        <v>0.9715949451737188</v>
      </c>
      <c r="J26">
        <v>0.24696897548157012</v>
      </c>
      <c r="K26">
        <v>0.23502870285159977</v>
      </c>
      <c r="L26">
        <v>0.26862763681862667</v>
      </c>
      <c r="M26">
        <v>5.9558626985172169E-2</v>
      </c>
      <c r="N26">
        <v>1</v>
      </c>
      <c r="O26">
        <v>0.58748900369370238</v>
      </c>
      <c r="P26">
        <v>1.0715607369854694E-2</v>
      </c>
      <c r="Q26">
        <v>4.9151277782904526E-2</v>
      </c>
      <c r="R26">
        <v>6.4207479171894663E-2</v>
      </c>
      <c r="S26">
        <v>0.13522200234909815</v>
      </c>
      <c r="T26">
        <v>0.18088027554426048</v>
      </c>
      <c r="U26">
        <v>0.46017907887140375</v>
      </c>
      <c r="V26">
        <v>0.21988509109509211</v>
      </c>
      <c r="W26">
        <v>0.60367464097223988</v>
      </c>
      <c r="X26">
        <v>0.60447345904982897</v>
      </c>
      <c r="Y26">
        <v>0.20530809698019745</v>
      </c>
      <c r="Z26">
        <v>0.77643304770470156</v>
      </c>
      <c r="AA26">
        <v>4.8075586714913902E-2</v>
      </c>
      <c r="AB26">
        <v>0.76556140443977472</v>
      </c>
      <c r="AC26">
        <v>0.14998374919008398</v>
      </c>
      <c r="AD26">
        <v>0.99211166673913087</v>
      </c>
    </row>
    <row r="27" spans="1:30" x14ac:dyDescent="0.25">
      <c r="A27" t="s">
        <v>302</v>
      </c>
      <c r="B27" t="s">
        <v>428</v>
      </c>
      <c r="C27" t="s">
        <v>436</v>
      </c>
      <c r="D27" t="s">
        <v>439</v>
      </c>
      <c r="E27">
        <v>0.93864451823826489</v>
      </c>
      <c r="F27">
        <v>0.47975285360607645</v>
      </c>
      <c r="G27">
        <v>0.55104544927910215</v>
      </c>
      <c r="H27">
        <v>0.33847161714871177</v>
      </c>
      <c r="I27">
        <v>2.8405054826281174E-2</v>
      </c>
      <c r="J27">
        <v>0.75303102451842974</v>
      </c>
      <c r="K27">
        <v>0.76497129714840018</v>
      </c>
      <c r="L27">
        <v>0.73137236318137333</v>
      </c>
      <c r="M27">
        <v>0.94044137301482789</v>
      </c>
      <c r="N27">
        <v>0</v>
      </c>
      <c r="O27">
        <v>0.41251099630629751</v>
      </c>
      <c r="P27">
        <v>0.98928439263014534</v>
      </c>
      <c r="Q27">
        <v>0.95084872221709549</v>
      </c>
      <c r="R27">
        <v>0.93579252082810538</v>
      </c>
      <c r="S27">
        <v>0.86477799765090191</v>
      </c>
      <c r="T27">
        <v>0.81911972445573955</v>
      </c>
      <c r="U27">
        <v>0.53982092112859625</v>
      </c>
      <c r="V27">
        <v>0.78011490890490798</v>
      </c>
      <c r="W27">
        <v>0.39632535902776012</v>
      </c>
      <c r="X27">
        <v>0.39552654095017092</v>
      </c>
      <c r="Y27">
        <v>0.79469190301980253</v>
      </c>
      <c r="Z27">
        <v>0.22356695229529835</v>
      </c>
      <c r="AA27">
        <v>0.95192441328508615</v>
      </c>
      <c r="AB27">
        <v>0.23443859556022525</v>
      </c>
      <c r="AC27">
        <v>0.85001625080991594</v>
      </c>
      <c r="AD27">
        <v>7.8883332608691379E-3</v>
      </c>
    </row>
    <row r="28" spans="1:30" x14ac:dyDescent="0.25">
      <c r="A28" t="s">
        <v>303</v>
      </c>
      <c r="B28" t="s">
        <v>429</v>
      </c>
      <c r="C28" t="s">
        <v>435</v>
      </c>
      <c r="D28" t="s">
        <v>438</v>
      </c>
      <c r="E28">
        <v>0.98453319861567767</v>
      </c>
      <c r="F28">
        <v>0.98279582986319969</v>
      </c>
      <c r="G28">
        <v>0.94081042473376486</v>
      </c>
      <c r="H28">
        <v>0.99851823707700149</v>
      </c>
      <c r="I28">
        <v>0.99458894672251574</v>
      </c>
      <c r="J28">
        <v>0.97323367865270116</v>
      </c>
      <c r="K28">
        <v>0.98242737200857877</v>
      </c>
      <c r="L28">
        <v>0.9364261114191853</v>
      </c>
      <c r="M28">
        <v>0.93486058209421341</v>
      </c>
      <c r="N28">
        <v>0.99323869508315654</v>
      </c>
      <c r="O28">
        <v>0.99643606473779567</v>
      </c>
      <c r="P28">
        <v>0.86918920168633107</v>
      </c>
      <c r="Q28">
        <v>0.99791794235360765</v>
      </c>
      <c r="R28">
        <v>0.99973042702298798</v>
      </c>
      <c r="S28">
        <v>0.9977526824662486</v>
      </c>
      <c r="T28">
        <v>0.74388168300872992</v>
      </c>
      <c r="U28">
        <v>0.99156724868145618</v>
      </c>
      <c r="V28">
        <v>0.99604697430307876</v>
      </c>
      <c r="W28">
        <v>0.99719990245387147</v>
      </c>
      <c r="X28">
        <v>0.99760928861585696</v>
      </c>
      <c r="Y28">
        <v>0.84056805055688633</v>
      </c>
      <c r="Z28">
        <v>0.98682508058420781</v>
      </c>
      <c r="AA28">
        <v>0.89230293911603431</v>
      </c>
      <c r="AB28">
        <v>0.9839934750107644</v>
      </c>
      <c r="AC28">
        <v>0.98520267582008447</v>
      </c>
      <c r="AD28">
        <v>0.99375541315598914</v>
      </c>
    </row>
    <row r="29" spans="1:30" x14ac:dyDescent="0.25">
      <c r="A29" t="s">
        <v>304</v>
      </c>
      <c r="B29" t="s">
        <v>429</v>
      </c>
      <c r="C29" t="s">
        <v>435</v>
      </c>
      <c r="D29" t="s">
        <v>438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1.3952847128429171E-4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1.8171432523246686E-4</v>
      </c>
      <c r="AB29">
        <v>0</v>
      </c>
      <c r="AC29">
        <v>0</v>
      </c>
      <c r="AD29">
        <v>0</v>
      </c>
    </row>
    <row r="30" spans="1:30" x14ac:dyDescent="0.25">
      <c r="A30" t="s">
        <v>305</v>
      </c>
      <c r="B30" t="s">
        <v>429</v>
      </c>
      <c r="C30" t="s">
        <v>435</v>
      </c>
      <c r="D30" t="s">
        <v>438</v>
      </c>
      <c r="E30">
        <v>2.8017075759669782E-3</v>
      </c>
      <c r="F30">
        <v>1.7019281147164531E-2</v>
      </c>
      <c r="G30">
        <v>4.7254195842578027E-2</v>
      </c>
      <c r="H30">
        <v>0</v>
      </c>
      <c r="I30">
        <v>3.5472663154103648E-3</v>
      </c>
      <c r="J30">
        <v>2.5488453738560773E-2</v>
      </c>
      <c r="K30">
        <v>7.2946688963684662E-3</v>
      </c>
      <c r="L30">
        <v>6.1923706161955541E-2</v>
      </c>
      <c r="M30">
        <v>5.8872649122967413E-2</v>
      </c>
      <c r="N30">
        <v>9.0714957476937023E-4</v>
      </c>
      <c r="O30">
        <v>3.2500435550767612E-3</v>
      </c>
      <c r="P30">
        <v>0.11713307197524865</v>
      </c>
      <c r="Q30">
        <v>4.2694132047539632E-5</v>
      </c>
      <c r="R30">
        <v>8.3129414313408762E-6</v>
      </c>
      <c r="S30">
        <v>2.1749764294245713E-3</v>
      </c>
      <c r="T30">
        <v>0.24241724814450538</v>
      </c>
      <c r="U30">
        <v>7.212999048191099E-3</v>
      </c>
      <c r="V30">
        <v>1.628301527632418E-3</v>
      </c>
      <c r="W30">
        <v>1.5169907345035569E-3</v>
      </c>
      <c r="X30">
        <v>1.6374152985916914E-3</v>
      </c>
      <c r="Y30">
        <v>0.15836418350047712</v>
      </c>
      <c r="Z30">
        <v>2.7912235184194981E-3</v>
      </c>
      <c r="AA30">
        <v>0.10705096082763227</v>
      </c>
      <c r="AB30">
        <v>8.5377943124165991E-3</v>
      </c>
      <c r="AC30">
        <v>2.628429491259735E-3</v>
      </c>
      <c r="AD30">
        <v>3.309770647055065E-3</v>
      </c>
    </row>
    <row r="31" spans="1:30" x14ac:dyDescent="0.25">
      <c r="A31" t="s">
        <v>306</v>
      </c>
      <c r="B31" t="s">
        <v>429</v>
      </c>
      <c r="C31" t="s">
        <v>435</v>
      </c>
      <c r="D31" t="s">
        <v>438</v>
      </c>
      <c r="E31">
        <v>4.0619920329217931E-5</v>
      </c>
      <c r="F31">
        <v>2.1594675215991758E-5</v>
      </c>
      <c r="G31">
        <v>0</v>
      </c>
      <c r="H31">
        <v>0</v>
      </c>
      <c r="I31">
        <v>1.0099529812247876E-6</v>
      </c>
      <c r="J31">
        <v>1.0096248221623067E-5</v>
      </c>
      <c r="K31">
        <v>0</v>
      </c>
      <c r="L31">
        <v>1.2865892663769284E-3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2.4146407921826609E-5</v>
      </c>
      <c r="U31">
        <v>6.2642120951057647E-4</v>
      </c>
      <c r="V31">
        <v>0</v>
      </c>
      <c r="W31">
        <v>1.6080379813129527E-5</v>
      </c>
      <c r="X31">
        <v>0</v>
      </c>
      <c r="Y31">
        <v>1.8632153213364241E-4</v>
      </c>
      <c r="Z31">
        <v>4.3026856434623514E-5</v>
      </c>
      <c r="AA31">
        <v>6.4754101429608077E-5</v>
      </c>
      <c r="AB31">
        <v>0</v>
      </c>
      <c r="AC31">
        <v>1.1500346063435646E-5</v>
      </c>
      <c r="AD31">
        <v>6.7362420308058419E-7</v>
      </c>
    </row>
    <row r="32" spans="1:30" x14ac:dyDescent="0.25">
      <c r="A32" t="s">
        <v>442</v>
      </c>
      <c r="B32" t="s">
        <v>429</v>
      </c>
      <c r="C32" t="s">
        <v>435</v>
      </c>
      <c r="D32" t="s">
        <v>438</v>
      </c>
      <c r="E32">
        <v>6.5368910041882031E-3</v>
      </c>
      <c r="F32">
        <v>1.5818199525619589E-4</v>
      </c>
      <c r="G32">
        <v>9.441736736708126E-3</v>
      </c>
      <c r="H32">
        <v>1.4136765909401466E-3</v>
      </c>
      <c r="I32">
        <v>4.2084179623690934E-4</v>
      </c>
      <c r="J32">
        <v>3.0018929802520084E-4</v>
      </c>
      <c r="K32">
        <v>2.5752836179064034E-3</v>
      </c>
      <c r="L32">
        <v>3.2626630739505616E-4</v>
      </c>
      <c r="M32">
        <v>6.1920253182877827E-3</v>
      </c>
      <c r="N32">
        <v>1.5846606680396662E-3</v>
      </c>
      <c r="O32">
        <v>3.1389170712757471E-4</v>
      </c>
      <c r="P32">
        <v>1.0546998598071258E-2</v>
      </c>
      <c r="Q32">
        <v>1.6178913971020437E-3</v>
      </c>
      <c r="R32">
        <v>2.3691704440784327E-4</v>
      </c>
      <c r="S32">
        <v>6.1200347494143415E-5</v>
      </c>
      <c r="T32">
        <v>7.7019910574298916E-3</v>
      </c>
      <c r="U32">
        <v>4.2669559450778631E-4</v>
      </c>
      <c r="V32">
        <v>7.2299714680186902E-4</v>
      </c>
      <c r="W32">
        <v>3.8293785571559622E-4</v>
      </c>
      <c r="X32">
        <v>7.1302710447499265E-4</v>
      </c>
      <c r="Y32">
        <v>8.6572448523839743E-4</v>
      </c>
      <c r="Z32">
        <v>5.6084032884810781E-3</v>
      </c>
      <c r="AA32">
        <v>3.4830429678413483E-4</v>
      </c>
      <c r="AB32">
        <v>1.2116313726953545E-3</v>
      </c>
      <c r="AC32">
        <v>9.2265254487788849E-3</v>
      </c>
      <c r="AD32">
        <v>1.0697392132863442E-3</v>
      </c>
    </row>
    <row r="33" spans="1:30" x14ac:dyDescent="0.25">
      <c r="A33" t="s">
        <v>308</v>
      </c>
      <c r="B33" t="s">
        <v>429</v>
      </c>
      <c r="C33" t="s">
        <v>435</v>
      </c>
      <c r="D33" t="s">
        <v>438</v>
      </c>
      <c r="E33">
        <v>6.0770641858625251E-3</v>
      </c>
      <c r="F33">
        <v>0</v>
      </c>
      <c r="G33">
        <v>2.4936426869488501E-3</v>
      </c>
      <c r="H33">
        <v>6.8086332058238489E-5</v>
      </c>
      <c r="I33">
        <v>1.4410149211537763E-3</v>
      </c>
      <c r="J33">
        <v>9.6758206249120268E-4</v>
      </c>
      <c r="K33">
        <v>7.7026754771462348E-3</v>
      </c>
      <c r="L33">
        <v>3.7326845087108373E-5</v>
      </c>
      <c r="M33">
        <v>0</v>
      </c>
      <c r="N33">
        <v>4.2694946740344094E-3</v>
      </c>
      <c r="O33">
        <v>0</v>
      </c>
      <c r="P33">
        <v>3.1307277403490111E-3</v>
      </c>
      <c r="Q33">
        <v>4.2147211724275369E-4</v>
      </c>
      <c r="R33">
        <v>2.4342991172973939E-5</v>
      </c>
      <c r="S33">
        <v>5.3711709530606191E-6</v>
      </c>
      <c r="T33">
        <v>5.8354029101287466E-3</v>
      </c>
      <c r="U33">
        <v>1.6319694863835873E-4</v>
      </c>
      <c r="V33">
        <v>1.6017270224869245E-3</v>
      </c>
      <c r="W33">
        <v>8.837871358987453E-4</v>
      </c>
      <c r="X33">
        <v>4.026898107642604E-5</v>
      </c>
      <c r="Y33">
        <v>6.4329670289632936E-6</v>
      </c>
      <c r="Z33">
        <v>4.7322657524569399E-3</v>
      </c>
      <c r="AA33">
        <v>5.0405675898771111E-5</v>
      </c>
      <c r="AB33">
        <v>6.2570993041236389E-3</v>
      </c>
      <c r="AC33">
        <v>2.8786764102572008E-3</v>
      </c>
      <c r="AD33">
        <v>1.8631088373855167E-3</v>
      </c>
    </row>
    <row r="34" spans="1:30" x14ac:dyDescent="0.25">
      <c r="A34" t="s">
        <v>309</v>
      </c>
      <c r="B34" t="s">
        <v>429</v>
      </c>
      <c r="C34" t="s">
        <v>435</v>
      </c>
      <c r="D34" t="s">
        <v>438</v>
      </c>
      <c r="E34">
        <v>1.0518697975522285E-5</v>
      </c>
      <c r="F34">
        <v>5.1123191637176219E-6</v>
      </c>
      <c r="G34">
        <v>0</v>
      </c>
      <c r="H34">
        <v>0</v>
      </c>
      <c r="I34">
        <v>9.2029170188470788E-7</v>
      </c>
      <c r="J34">
        <v>0</v>
      </c>
      <c r="K34">
        <v>0</v>
      </c>
      <c r="L34">
        <v>0</v>
      </c>
      <c r="M34">
        <v>7.4743464531412223E-5</v>
      </c>
      <c r="N34">
        <v>0</v>
      </c>
      <c r="O34">
        <v>0</v>
      </c>
      <c r="P34">
        <v>0</v>
      </c>
      <c r="Q34">
        <v>0</v>
      </c>
      <c r="R34">
        <v>0</v>
      </c>
      <c r="S34">
        <v>5.7695858796707323E-6</v>
      </c>
      <c r="T34">
        <v>0</v>
      </c>
      <c r="U34">
        <v>3.4385176959035242E-6</v>
      </c>
      <c r="V34">
        <v>0</v>
      </c>
      <c r="W34">
        <v>3.0144019733707147E-7</v>
      </c>
      <c r="X34">
        <v>0</v>
      </c>
      <c r="Y34">
        <v>9.2869582358131453E-6</v>
      </c>
      <c r="Z34">
        <v>0</v>
      </c>
      <c r="AA34">
        <v>9.2165698838686371E-7</v>
      </c>
      <c r="AB34">
        <v>0</v>
      </c>
      <c r="AC34">
        <v>5.2192483556329518E-5</v>
      </c>
      <c r="AD34">
        <v>1.2945220810062988E-6</v>
      </c>
    </row>
    <row r="35" spans="1:30" x14ac:dyDescent="0.25">
      <c r="A35" t="s">
        <v>310</v>
      </c>
      <c r="B35" t="s">
        <v>429</v>
      </c>
      <c r="C35" t="s">
        <v>435</v>
      </c>
      <c r="D35" t="s">
        <v>439</v>
      </c>
      <c r="E35">
        <v>0.17657837636300672</v>
      </c>
      <c r="F35">
        <v>0.53413211436630992</v>
      </c>
      <c r="G35">
        <v>0.39932228130665781</v>
      </c>
      <c r="H35">
        <v>0.71071496661113098</v>
      </c>
      <c r="I35">
        <v>0.55003977776741853</v>
      </c>
      <c r="J35">
        <v>0.15970941345639333</v>
      </c>
      <c r="K35">
        <v>0.13015511458917453</v>
      </c>
      <c r="L35">
        <v>0.58333745974198892</v>
      </c>
      <c r="M35">
        <v>0.66558071614488279</v>
      </c>
      <c r="N35">
        <v>0.74068514014906284</v>
      </c>
      <c r="O35">
        <v>0.50694778198165746</v>
      </c>
      <c r="P35">
        <v>0.14833919359285605</v>
      </c>
      <c r="Q35">
        <v>0.39187242317733173</v>
      </c>
      <c r="R35">
        <v>5.7553393427886056E-3</v>
      </c>
      <c r="S35">
        <v>7.7575260699940377E-2</v>
      </c>
      <c r="T35">
        <v>0.12127831891995483</v>
      </c>
      <c r="U35">
        <v>0.34853006596954456</v>
      </c>
      <c r="V35">
        <v>4.8495957814777516E-2</v>
      </c>
      <c r="W35">
        <v>0.15909979713149847</v>
      </c>
      <c r="X35">
        <v>0.16687050964910072</v>
      </c>
      <c r="Y35">
        <v>0.1970555315862357</v>
      </c>
      <c r="Z35">
        <v>0.39945011107563</v>
      </c>
      <c r="AA35">
        <v>0.62898117346273019</v>
      </c>
      <c r="AB35">
        <v>0.3769138787962622</v>
      </c>
      <c r="AC35">
        <v>0.11146937168219866</v>
      </c>
      <c r="AD35">
        <v>0.9008256070023416</v>
      </c>
    </row>
    <row r="36" spans="1:30" x14ac:dyDescent="0.25">
      <c r="A36" t="s">
        <v>311</v>
      </c>
      <c r="B36" t="s">
        <v>429</v>
      </c>
      <c r="C36" t="s">
        <v>435</v>
      </c>
      <c r="D36" t="s">
        <v>439</v>
      </c>
      <c r="E36">
        <v>0.82342162363699334</v>
      </c>
      <c r="F36">
        <v>0.46586788563369008</v>
      </c>
      <c r="G36">
        <v>0.60067771869334219</v>
      </c>
      <c r="H36">
        <v>0.28928503338886902</v>
      </c>
      <c r="I36">
        <v>0.44996022223258147</v>
      </c>
      <c r="J36">
        <v>0.84029058654360667</v>
      </c>
      <c r="K36">
        <v>0.8698448854108255</v>
      </c>
      <c r="L36">
        <v>0.41666254025801108</v>
      </c>
      <c r="M36">
        <v>0.33441928385511727</v>
      </c>
      <c r="N36">
        <v>0.25931485985093711</v>
      </c>
      <c r="O36">
        <v>0.49305221801834265</v>
      </c>
      <c r="P36">
        <v>0.85166080640714403</v>
      </c>
      <c r="Q36">
        <v>0.60812757682266827</v>
      </c>
      <c r="R36">
        <v>0.9942446606572114</v>
      </c>
      <c r="S36">
        <v>0.92242473930005964</v>
      </c>
      <c r="T36">
        <v>0.87872168108004522</v>
      </c>
      <c r="U36">
        <v>0.6514699340304555</v>
      </c>
      <c r="V36">
        <v>0.95150404218522255</v>
      </c>
      <c r="W36">
        <v>0.84090020286850153</v>
      </c>
      <c r="X36">
        <v>0.83312949035089923</v>
      </c>
      <c r="Y36">
        <v>0.80294446841376432</v>
      </c>
      <c r="Z36">
        <v>0.60054988892437</v>
      </c>
      <c r="AA36">
        <v>0.37101882653726975</v>
      </c>
      <c r="AB36">
        <v>0.62308612120373774</v>
      </c>
      <c r="AC36">
        <v>0.88853062831780139</v>
      </c>
      <c r="AD36">
        <v>9.9174392997658387E-2</v>
      </c>
    </row>
    <row r="37" spans="1:30" x14ac:dyDescent="0.25">
      <c r="A37" t="s">
        <v>312</v>
      </c>
      <c r="B37" t="s">
        <v>429</v>
      </c>
      <c r="C37" t="s">
        <v>436</v>
      </c>
      <c r="D37" t="s">
        <v>438</v>
      </c>
      <c r="E37">
        <v>0.9811236381249353</v>
      </c>
      <c r="F37">
        <v>0.99332986435002979</v>
      </c>
      <c r="G37">
        <v>0.92696540516158055</v>
      </c>
      <c r="H37">
        <v>0.99719754695857954</v>
      </c>
      <c r="I37">
        <v>0.99439388801427808</v>
      </c>
      <c r="J37">
        <v>0.96790581543874854</v>
      </c>
      <c r="K37">
        <v>0.99778967553596321</v>
      </c>
      <c r="L37">
        <v>0.97023332339891255</v>
      </c>
      <c r="M37">
        <v>0.95539647055271093</v>
      </c>
      <c r="N37">
        <v>0.99655507328282955</v>
      </c>
      <c r="O37">
        <v>0.99215451079546446</v>
      </c>
      <c r="P37">
        <v>0.97235810786562138</v>
      </c>
      <c r="Q37">
        <v>0.99926081702602043</v>
      </c>
      <c r="R37">
        <v>0.99995220217429703</v>
      </c>
      <c r="S37">
        <v>0.99880654618634901</v>
      </c>
      <c r="T37">
        <v>0.9667908052358265</v>
      </c>
      <c r="U37">
        <v>0.98964077191259148</v>
      </c>
      <c r="V37">
        <v>0.99089988313399346</v>
      </c>
      <c r="W37">
        <v>0.98721889532634088</v>
      </c>
      <c r="X37">
        <v>0.99802815661393296</v>
      </c>
      <c r="Y37">
        <v>0.85746042550519896</v>
      </c>
      <c r="Z37">
        <v>0.99374180937361645</v>
      </c>
      <c r="AA37">
        <v>0.99990152544653832</v>
      </c>
      <c r="AB37">
        <v>0.97782683719202479</v>
      </c>
      <c r="AC37">
        <v>0.98812849621327636</v>
      </c>
      <c r="AD37">
        <v>0.99741320364473207</v>
      </c>
    </row>
    <row r="38" spans="1:30" x14ac:dyDescent="0.25">
      <c r="A38" t="s">
        <v>313</v>
      </c>
      <c r="B38" t="s">
        <v>429</v>
      </c>
      <c r="C38" t="s">
        <v>436</v>
      </c>
      <c r="D38" t="s">
        <v>438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1.0306907090639187E-4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7.229711773151514E-8</v>
      </c>
    </row>
    <row r="39" spans="1:30" x14ac:dyDescent="0.25">
      <c r="A39" t="s">
        <v>314</v>
      </c>
      <c r="B39" t="s">
        <v>429</v>
      </c>
      <c r="C39" t="s">
        <v>436</v>
      </c>
      <c r="D39" t="s">
        <v>438</v>
      </c>
      <c r="E39">
        <v>2.2928987877386588E-3</v>
      </c>
      <c r="F39">
        <v>6.5615873038163183E-3</v>
      </c>
      <c r="G39">
        <v>1.7900551684144665E-2</v>
      </c>
      <c r="H39">
        <v>2.6630249077101566E-3</v>
      </c>
      <c r="I39">
        <v>3.5560589577179726E-3</v>
      </c>
      <c r="J39">
        <v>3.0351414009841114E-2</v>
      </c>
      <c r="K39">
        <v>8.1736400436501204E-4</v>
      </c>
      <c r="L39">
        <v>2.7936731653749648E-2</v>
      </c>
      <c r="M39">
        <v>3.8605806028421737E-2</v>
      </c>
      <c r="N39">
        <v>3.4449267171705218E-3</v>
      </c>
      <c r="O39">
        <v>7.8105999042080571E-3</v>
      </c>
      <c r="P39">
        <v>2.5573212604459234E-2</v>
      </c>
      <c r="Q39">
        <v>5.2056732814706013E-6</v>
      </c>
      <c r="R39">
        <v>3.4359350060503284E-5</v>
      </c>
      <c r="S39">
        <v>1.1572183547254433E-3</v>
      </c>
      <c r="T39">
        <v>2.5663865227917922E-2</v>
      </c>
      <c r="U39">
        <v>8.0939823024413961E-3</v>
      </c>
      <c r="V39">
        <v>8.9160451769255602E-3</v>
      </c>
      <c r="W39">
        <v>1.1198159241488873E-2</v>
      </c>
      <c r="X39">
        <v>1.9263837110615281E-3</v>
      </c>
      <c r="Y39">
        <v>0.14081986818804926</v>
      </c>
      <c r="Z39">
        <v>3.2389468321727109E-3</v>
      </c>
      <c r="AA39">
        <v>0</v>
      </c>
      <c r="AB39">
        <v>4.5352033096837203E-3</v>
      </c>
      <c r="AC39">
        <v>5.486261825923678E-5</v>
      </c>
      <c r="AD39">
        <v>1.1099357564519179E-3</v>
      </c>
    </row>
    <row r="40" spans="1:30" x14ac:dyDescent="0.25">
      <c r="A40" t="s">
        <v>315</v>
      </c>
      <c r="B40" t="s">
        <v>429</v>
      </c>
      <c r="C40" t="s">
        <v>436</v>
      </c>
      <c r="D40" t="s">
        <v>438</v>
      </c>
      <c r="E40">
        <v>2.1170687877885324E-5</v>
      </c>
      <c r="F40">
        <v>9.6466868323977955E-6</v>
      </c>
      <c r="G40">
        <v>2.9909412201118566E-5</v>
      </c>
      <c r="H40">
        <v>0</v>
      </c>
      <c r="I40">
        <v>1.7114401920204594E-6</v>
      </c>
      <c r="J40">
        <v>0</v>
      </c>
      <c r="K40">
        <v>5.3712370723129797E-5</v>
      </c>
      <c r="L40">
        <v>0</v>
      </c>
      <c r="M40">
        <v>0</v>
      </c>
      <c r="N40">
        <v>0</v>
      </c>
      <c r="O40">
        <v>0</v>
      </c>
      <c r="P40">
        <v>0</v>
      </c>
      <c r="Q40">
        <v>1.11258646257204E-5</v>
      </c>
      <c r="R40">
        <v>0</v>
      </c>
      <c r="S40">
        <v>1.1748290539998146E-5</v>
      </c>
      <c r="T40">
        <v>2.9714392337445102E-5</v>
      </c>
      <c r="U40">
        <v>4.016536881667087E-4</v>
      </c>
      <c r="V40">
        <v>6.6535454597394155E-7</v>
      </c>
      <c r="W40">
        <v>2.0474470126462547E-5</v>
      </c>
      <c r="X40">
        <v>0</v>
      </c>
      <c r="Y40">
        <v>1.1594915988735249E-4</v>
      </c>
      <c r="Z40">
        <v>3.1027249927791716E-6</v>
      </c>
      <c r="AA40">
        <v>8.3295038099003005E-5</v>
      </c>
      <c r="AB40">
        <v>8.5997583898143859E-7</v>
      </c>
      <c r="AC40">
        <v>1.0121580954749717E-5</v>
      </c>
      <c r="AD40">
        <v>4.108654269283713E-6</v>
      </c>
    </row>
    <row r="41" spans="1:30" x14ac:dyDescent="0.25">
      <c r="A41" t="s">
        <v>443</v>
      </c>
      <c r="B41" t="s">
        <v>429</v>
      </c>
      <c r="C41" t="s">
        <v>436</v>
      </c>
      <c r="D41" t="s">
        <v>438</v>
      </c>
      <c r="E41">
        <v>7.0883925196353068E-3</v>
      </c>
      <c r="F41">
        <v>2.7549315219339719E-5</v>
      </c>
      <c r="G41">
        <v>5.3279959329798662E-2</v>
      </c>
      <c r="H41">
        <v>1.3304909460235971E-4</v>
      </c>
      <c r="I41">
        <v>4.1258787356214174E-4</v>
      </c>
      <c r="J41">
        <v>1.4835399631452773E-4</v>
      </c>
      <c r="K41">
        <v>0</v>
      </c>
      <c r="L41">
        <v>1.1522489338203893E-3</v>
      </c>
      <c r="M41">
        <v>3.8391928977804259E-3</v>
      </c>
      <c r="N41">
        <v>0</v>
      </c>
      <c r="O41">
        <v>3.4889300327523136E-5</v>
      </c>
      <c r="P41">
        <v>7.7448177668172744E-4</v>
      </c>
      <c r="Q41">
        <v>6.3738899510191018E-4</v>
      </c>
      <c r="R41">
        <v>4.3347777248481261E-6</v>
      </c>
      <c r="S41">
        <v>1.1875259228890037E-6</v>
      </c>
      <c r="T41">
        <v>2.6817228726153802E-3</v>
      </c>
      <c r="U41">
        <v>1.6892326241472466E-3</v>
      </c>
      <c r="V41">
        <v>1.7805088314240317E-4</v>
      </c>
      <c r="W41">
        <v>3.1833401459264464E-5</v>
      </c>
      <c r="X41">
        <v>4.5459675005422135E-5</v>
      </c>
      <c r="Y41">
        <v>0</v>
      </c>
      <c r="Z41">
        <v>3.0161410692180215E-3</v>
      </c>
      <c r="AA41">
        <v>4.9683433698711789E-6</v>
      </c>
      <c r="AB41">
        <v>8.3594408124204201E-3</v>
      </c>
      <c r="AC41">
        <v>4.7708468974026915E-4</v>
      </c>
      <c r="AD41">
        <v>4.2024808408943872E-4</v>
      </c>
    </row>
    <row r="42" spans="1:30" x14ac:dyDescent="0.25">
      <c r="A42" t="s">
        <v>317</v>
      </c>
      <c r="B42" t="s">
        <v>429</v>
      </c>
      <c r="C42" t="s">
        <v>436</v>
      </c>
      <c r="D42" t="s">
        <v>438</v>
      </c>
      <c r="E42">
        <v>9.4486213525762936E-3</v>
      </c>
      <c r="F42">
        <v>0</v>
      </c>
      <c r="G42">
        <v>1.8182236610748692E-3</v>
      </c>
      <c r="H42">
        <v>6.379039107921537E-6</v>
      </c>
      <c r="I42">
        <v>1.6236985086180154E-3</v>
      </c>
      <c r="J42">
        <v>1.5944165550958469E-3</v>
      </c>
      <c r="K42">
        <v>1.2455467920627461E-3</v>
      </c>
      <c r="L42">
        <v>6.7611737272186504E-4</v>
      </c>
      <c r="M42">
        <v>2.1585305210868942E-3</v>
      </c>
      <c r="N42">
        <v>0</v>
      </c>
      <c r="O42">
        <v>0</v>
      </c>
      <c r="P42">
        <v>1.1891671602209093E-3</v>
      </c>
      <c r="Q42">
        <v>8.5462440970211643E-5</v>
      </c>
      <c r="R42">
        <v>9.1036979176571101E-6</v>
      </c>
      <c r="S42">
        <v>0</v>
      </c>
      <c r="T42">
        <v>4.7974381210262717E-3</v>
      </c>
      <c r="U42">
        <v>1.7255296905105486E-4</v>
      </c>
      <c r="V42">
        <v>0</v>
      </c>
      <c r="W42">
        <v>1.5174375927620918E-3</v>
      </c>
      <c r="X42">
        <v>0</v>
      </c>
      <c r="Y42">
        <v>1.5935284549789368E-3</v>
      </c>
      <c r="Z42">
        <v>0</v>
      </c>
      <c r="AA42">
        <v>0</v>
      </c>
      <c r="AB42">
        <v>9.2726813671515362E-3</v>
      </c>
      <c r="AC42">
        <v>1.1239264473569868E-2</v>
      </c>
      <c r="AD42">
        <v>1.049461489319646E-3</v>
      </c>
    </row>
    <row r="43" spans="1:30" x14ac:dyDescent="0.25">
      <c r="A43" t="s">
        <v>318</v>
      </c>
      <c r="B43" t="s">
        <v>429</v>
      </c>
      <c r="C43" t="s">
        <v>436</v>
      </c>
      <c r="D43" t="s">
        <v>438</v>
      </c>
      <c r="E43">
        <v>2.5278527236601394E-5</v>
      </c>
      <c r="F43">
        <v>7.1352344101865942E-5</v>
      </c>
      <c r="G43">
        <v>5.9507512000341006E-6</v>
      </c>
      <c r="H43">
        <v>0</v>
      </c>
      <c r="I43">
        <v>1.205520563176455E-5</v>
      </c>
      <c r="J43">
        <v>0</v>
      </c>
      <c r="K43">
        <v>9.3701296885996977E-5</v>
      </c>
      <c r="L43">
        <v>1.5786407954446479E-6</v>
      </c>
      <c r="M43">
        <v>0</v>
      </c>
      <c r="N43">
        <v>0</v>
      </c>
      <c r="O43">
        <v>0</v>
      </c>
      <c r="P43">
        <v>1.9615221106752777E-6</v>
      </c>
      <c r="Q43">
        <v>0</v>
      </c>
      <c r="R43">
        <v>0</v>
      </c>
      <c r="S43">
        <v>2.329964246269387E-5</v>
      </c>
      <c r="T43">
        <v>3.6454150276650878E-5</v>
      </c>
      <c r="U43">
        <v>1.8065036022231376E-6</v>
      </c>
      <c r="V43">
        <v>5.3554513925856933E-6</v>
      </c>
      <c r="W43">
        <v>1.3199967822508754E-5</v>
      </c>
      <c r="X43">
        <v>0</v>
      </c>
      <c r="Y43">
        <v>1.0228691885531365E-5</v>
      </c>
      <c r="Z43">
        <v>0</v>
      </c>
      <c r="AA43">
        <v>1.0211171992856824E-5</v>
      </c>
      <c r="AB43">
        <v>4.977342880523343E-6</v>
      </c>
      <c r="AC43">
        <v>9.017042419946528E-5</v>
      </c>
      <c r="AD43">
        <v>2.9700740200384235E-6</v>
      </c>
    </row>
    <row r="44" spans="1:30" x14ac:dyDescent="0.25">
      <c r="A44" t="s">
        <v>319</v>
      </c>
      <c r="B44" t="s">
        <v>429</v>
      </c>
      <c r="C44" t="s">
        <v>436</v>
      </c>
      <c r="D44" t="s">
        <v>439</v>
      </c>
      <c r="E44">
        <v>0.19055893512164487</v>
      </c>
      <c r="F44">
        <v>0.47675710345493005</v>
      </c>
      <c r="G44">
        <v>0.34831120958499473</v>
      </c>
      <c r="H44">
        <v>0.82135584542077522</v>
      </c>
      <c r="I44">
        <v>0.72927112668614191</v>
      </c>
      <c r="J44">
        <v>0.28290854480094468</v>
      </c>
      <c r="K44">
        <v>0.18113606939625013</v>
      </c>
      <c r="L44">
        <v>0.14107367201732723</v>
      </c>
      <c r="M44">
        <v>0.12617931838298388</v>
      </c>
      <c r="N44">
        <v>0.61949734223032871</v>
      </c>
      <c r="O44">
        <v>0.34371619126699088</v>
      </c>
      <c r="P44">
        <v>0.1929305333856392</v>
      </c>
      <c r="Q44">
        <v>0.18460054685483351</v>
      </c>
      <c r="R44">
        <v>0.54568316374760661</v>
      </c>
      <c r="S44">
        <v>0.12855098088557018</v>
      </c>
      <c r="T44">
        <v>0.20967578399139444</v>
      </c>
      <c r="U44">
        <v>0.54068371251460323</v>
      </c>
      <c r="V44">
        <v>0.18565787581808324</v>
      </c>
      <c r="W44">
        <v>0.68314155901776641</v>
      </c>
      <c r="X44">
        <v>0.33963243895669143</v>
      </c>
      <c r="Y44">
        <v>6.8561705610590787E-2</v>
      </c>
      <c r="Z44">
        <v>2.1465871432602857E-2</v>
      </c>
      <c r="AA44">
        <v>0.30096125396537471</v>
      </c>
      <c r="AB44">
        <v>0.64493540434481988</v>
      </c>
      <c r="AC44">
        <v>0.11970699182113853</v>
      </c>
      <c r="AD44">
        <v>0.86100142983517136</v>
      </c>
    </row>
    <row r="45" spans="1:30" x14ac:dyDescent="0.25">
      <c r="A45" t="s">
        <v>320</v>
      </c>
      <c r="B45" t="s">
        <v>429</v>
      </c>
      <c r="C45" t="s">
        <v>436</v>
      </c>
      <c r="D45" t="s">
        <v>439</v>
      </c>
      <c r="E45">
        <v>0.8094410648783551</v>
      </c>
      <c r="F45">
        <v>0.52324289654506984</v>
      </c>
      <c r="G45">
        <v>0.65168879041500538</v>
      </c>
      <c r="H45">
        <v>0.17864415457922492</v>
      </c>
      <c r="I45">
        <v>0.27072887331385825</v>
      </c>
      <c r="J45">
        <v>0.71709145519905526</v>
      </c>
      <c r="K45">
        <v>0.81886393060374996</v>
      </c>
      <c r="L45">
        <v>0.85892632798267277</v>
      </c>
      <c r="M45">
        <v>0.87382068161701609</v>
      </c>
      <c r="N45">
        <v>0.38050265776967135</v>
      </c>
      <c r="O45">
        <v>0.65628380873300907</v>
      </c>
      <c r="P45">
        <v>0.80706946661436074</v>
      </c>
      <c r="Q45">
        <v>0.81539945314516649</v>
      </c>
      <c r="R45">
        <v>0.45431683625239339</v>
      </c>
      <c r="S45">
        <v>0.87144901911442973</v>
      </c>
      <c r="T45">
        <v>0.79032421600860547</v>
      </c>
      <c r="U45">
        <v>0.45931628748539671</v>
      </c>
      <c r="V45">
        <v>0.81434212418191676</v>
      </c>
      <c r="W45">
        <v>0.31685844098223365</v>
      </c>
      <c r="X45">
        <v>0.66036756104330863</v>
      </c>
      <c r="Y45">
        <v>0.93143829438940917</v>
      </c>
      <c r="Z45">
        <v>0.97853412856739719</v>
      </c>
      <c r="AA45">
        <v>0.69903874603462524</v>
      </c>
      <c r="AB45">
        <v>0.35506459565518006</v>
      </c>
      <c r="AC45">
        <v>0.88029300817886147</v>
      </c>
      <c r="AD45">
        <v>0.13899857016482867</v>
      </c>
    </row>
    <row r="46" spans="1:30" x14ac:dyDescent="0.25">
      <c r="A46" t="s">
        <v>321</v>
      </c>
      <c r="B46" t="s">
        <v>430</v>
      </c>
      <c r="C46" t="s">
        <v>435</v>
      </c>
      <c r="D46" t="s">
        <v>438</v>
      </c>
      <c r="E46">
        <v>0.81917381469349171</v>
      </c>
      <c r="F46">
        <v>0.83245890092130859</v>
      </c>
      <c r="G46">
        <v>0.75866634924303311</v>
      </c>
      <c r="H46">
        <v>0.97914633401771434</v>
      </c>
      <c r="I46">
        <v>0.984894604768349</v>
      </c>
      <c r="J46">
        <v>0.925031194083205</v>
      </c>
      <c r="K46">
        <v>0.78523560091155509</v>
      </c>
      <c r="L46">
        <v>0.68650053501414621</v>
      </c>
      <c r="M46">
        <v>0.85994314768906943</v>
      </c>
      <c r="N46">
        <v>0.60337626138542588</v>
      </c>
      <c r="O46">
        <v>0.96829495206557159</v>
      </c>
      <c r="P46">
        <v>0.75851981787857481</v>
      </c>
      <c r="Q46">
        <v>0.97637824994508837</v>
      </c>
      <c r="R46">
        <v>0.90090015495427223</v>
      </c>
      <c r="S46">
        <v>0.68907593200833939</v>
      </c>
      <c r="T46">
        <v>0.66600112424926872</v>
      </c>
      <c r="U46">
        <v>0.8703490116192828</v>
      </c>
      <c r="V46">
        <v>0.73770895451799534</v>
      </c>
      <c r="W46">
        <v>0.98242027123907893</v>
      </c>
      <c r="X46">
        <v>0.98124943331822567</v>
      </c>
      <c r="Y46">
        <v>0.67561101888775854</v>
      </c>
      <c r="Z46">
        <v>0.90759586880089294</v>
      </c>
      <c r="AA46">
        <v>0.87325914081756839</v>
      </c>
      <c r="AB46">
        <v>0.93917000897263936</v>
      </c>
      <c r="AC46">
        <v>0.39729657467500368</v>
      </c>
      <c r="AD46">
        <v>0.9580641141525098</v>
      </c>
    </row>
    <row r="47" spans="1:30" x14ac:dyDescent="0.25">
      <c r="A47" t="s">
        <v>322</v>
      </c>
      <c r="B47" t="s">
        <v>430</v>
      </c>
      <c r="C47" t="s">
        <v>435</v>
      </c>
      <c r="D47" t="s">
        <v>438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1.8628551920517344E-5</v>
      </c>
      <c r="U47">
        <v>0</v>
      </c>
      <c r="V47">
        <v>0</v>
      </c>
      <c r="W47">
        <v>0</v>
      </c>
      <c r="X47">
        <v>0</v>
      </c>
      <c r="Y47">
        <v>1.5790182391878469E-5</v>
      </c>
      <c r="Z47">
        <v>0</v>
      </c>
      <c r="AA47">
        <v>3.2840349831068206E-4</v>
      </c>
      <c r="AB47">
        <v>0</v>
      </c>
      <c r="AC47">
        <v>0</v>
      </c>
      <c r="AD47">
        <v>7.8360143980676847E-6</v>
      </c>
    </row>
    <row r="48" spans="1:30" x14ac:dyDescent="0.25">
      <c r="A48" t="s">
        <v>323</v>
      </c>
      <c r="B48" t="s">
        <v>430</v>
      </c>
      <c r="C48" t="s">
        <v>435</v>
      </c>
      <c r="D48" t="s">
        <v>438</v>
      </c>
      <c r="E48">
        <v>1.4379957356267484E-3</v>
      </c>
      <c r="F48">
        <v>1.1532126460407662E-2</v>
      </c>
      <c r="G48">
        <v>9.0921577837387357E-2</v>
      </c>
      <c r="H48">
        <v>9.3781512325682623E-4</v>
      </c>
      <c r="I48">
        <v>2.4553013703677187E-3</v>
      </c>
      <c r="J48">
        <v>3.7984956479962514E-2</v>
      </c>
      <c r="K48">
        <v>2.1192058443599213E-3</v>
      </c>
      <c r="L48">
        <v>3.6084017850956482E-2</v>
      </c>
      <c r="M48">
        <v>8.7104135408568761E-2</v>
      </c>
      <c r="N48">
        <v>4.5124425946725612E-4</v>
      </c>
      <c r="O48">
        <v>7.2414502600744134E-3</v>
      </c>
      <c r="P48">
        <v>0.11970990855057509</v>
      </c>
      <c r="Q48">
        <v>7.7572856223192209E-4</v>
      </c>
      <c r="R48">
        <v>7.916219310832722E-5</v>
      </c>
      <c r="S48">
        <v>1.6733348875146849E-3</v>
      </c>
      <c r="T48">
        <v>0.18967520086885356</v>
      </c>
      <c r="U48">
        <v>2.1445219675587417E-2</v>
      </c>
      <c r="V48">
        <v>5.7994270091461771E-3</v>
      </c>
      <c r="W48">
        <v>4.1959010936401097E-3</v>
      </c>
      <c r="X48">
        <v>4.1875844689648187E-4</v>
      </c>
      <c r="Y48">
        <v>0.23898404488356478</v>
      </c>
      <c r="Z48">
        <v>8.2334344074398678E-3</v>
      </c>
      <c r="AA48">
        <v>4.4401212459547937E-2</v>
      </c>
      <c r="AB48">
        <v>1.2567446123340882E-2</v>
      </c>
      <c r="AC48">
        <v>1.9303361173433618E-3</v>
      </c>
      <c r="AD48">
        <v>1.0239193440734774E-2</v>
      </c>
    </row>
    <row r="49" spans="1:30" x14ac:dyDescent="0.25">
      <c r="A49" t="s">
        <v>324</v>
      </c>
      <c r="B49" t="s">
        <v>430</v>
      </c>
      <c r="C49" t="s">
        <v>435</v>
      </c>
      <c r="D49" t="s">
        <v>438</v>
      </c>
      <c r="E49">
        <v>2.5187085519912991E-6</v>
      </c>
      <c r="F49">
        <v>1.460902866304719E-5</v>
      </c>
      <c r="G49">
        <v>9.4460923651247216E-6</v>
      </c>
      <c r="H49">
        <v>0</v>
      </c>
      <c r="I49">
        <v>1.0593268471613281E-6</v>
      </c>
      <c r="J49">
        <v>2.9706125172700055E-5</v>
      </c>
      <c r="K49">
        <v>0</v>
      </c>
      <c r="L49">
        <v>5.5017280639838332E-4</v>
      </c>
      <c r="M49">
        <v>4.0317353871635811E-5</v>
      </c>
      <c r="N49">
        <v>0</v>
      </c>
      <c r="O49">
        <v>0</v>
      </c>
      <c r="P49">
        <v>0</v>
      </c>
      <c r="Q49">
        <v>3.9649301237381003E-6</v>
      </c>
      <c r="R49">
        <v>0</v>
      </c>
      <c r="S49">
        <v>0</v>
      </c>
      <c r="T49">
        <v>5.8083199940863297E-5</v>
      </c>
      <c r="U49">
        <v>2.2674260061433795E-3</v>
      </c>
      <c r="V49">
        <v>2.2805713783803872E-5</v>
      </c>
      <c r="W49">
        <v>1.2263850622082657E-4</v>
      </c>
      <c r="X49">
        <v>0</v>
      </c>
      <c r="Y49">
        <v>1.7481624205850938E-3</v>
      </c>
      <c r="Z49">
        <v>0</v>
      </c>
      <c r="AA49">
        <v>1.7935938859497999E-5</v>
      </c>
      <c r="AB49">
        <v>9.582029294727667E-7</v>
      </c>
      <c r="AC49">
        <v>3.5010721134610841E-7</v>
      </c>
      <c r="AD49">
        <v>2.0435573856733911E-5</v>
      </c>
    </row>
    <row r="50" spans="1:30" x14ac:dyDescent="0.25">
      <c r="A50" t="s">
        <v>325</v>
      </c>
      <c r="B50" t="s">
        <v>430</v>
      </c>
      <c r="C50" t="s">
        <v>435</v>
      </c>
      <c r="D50" t="s">
        <v>438</v>
      </c>
      <c r="E50">
        <v>0.15047771601711127</v>
      </c>
      <c r="F50">
        <v>0.15566260767400783</v>
      </c>
      <c r="G50">
        <v>0.10193018793172372</v>
      </c>
      <c r="H50">
        <v>1.9915850859028757E-2</v>
      </c>
      <c r="I50">
        <v>3.7063929363560211E-3</v>
      </c>
      <c r="J50">
        <v>3.495168295159435E-2</v>
      </c>
      <c r="K50">
        <v>0.1745488668285371</v>
      </c>
      <c r="L50">
        <v>0.27497435769365253</v>
      </c>
      <c r="M50">
        <v>4.2957232817593109E-2</v>
      </c>
      <c r="N50">
        <v>0.39455501244438657</v>
      </c>
      <c r="O50">
        <v>2.3117255451184648E-2</v>
      </c>
      <c r="P50">
        <v>0.10139007251561402</v>
      </c>
      <c r="Q50">
        <v>1.994197227437854E-2</v>
      </c>
      <c r="R50">
        <v>9.8862102700540438E-2</v>
      </c>
      <c r="S50">
        <v>0.30898042707031065</v>
      </c>
      <c r="T50">
        <v>0.12376264118576824</v>
      </c>
      <c r="U50">
        <v>9.8680147246938646E-2</v>
      </c>
      <c r="V50">
        <v>0.25239013508785085</v>
      </c>
      <c r="W50">
        <v>1.1225650609353289E-2</v>
      </c>
      <c r="X50">
        <v>1.6562905135982096E-2</v>
      </c>
      <c r="Y50">
        <v>8.2143829638654228E-2</v>
      </c>
      <c r="Z50">
        <v>6.1709418610539586E-2</v>
      </c>
      <c r="AA50">
        <v>8.1408894016827382E-2</v>
      </c>
      <c r="AB50">
        <v>3.2002387739493154E-2</v>
      </c>
      <c r="AC50">
        <v>0.59184227955516855</v>
      </c>
      <c r="AD50">
        <v>1.8731709473508169E-2</v>
      </c>
    </row>
    <row r="51" spans="1:30" x14ac:dyDescent="0.25">
      <c r="A51" t="s">
        <v>444</v>
      </c>
      <c r="B51" t="s">
        <v>430</v>
      </c>
      <c r="C51" t="s">
        <v>435</v>
      </c>
      <c r="D51" t="s">
        <v>438</v>
      </c>
      <c r="E51">
        <v>1.0904830693321488E-2</v>
      </c>
      <c r="F51">
        <v>2.7580171059649337E-4</v>
      </c>
      <c r="G51">
        <v>4.2814067001601626E-2</v>
      </c>
      <c r="H51">
        <v>0</v>
      </c>
      <c r="I51">
        <v>1.5032889625473259E-3</v>
      </c>
      <c r="J51">
        <v>1.7161686506144047E-3</v>
      </c>
      <c r="K51">
        <v>3.1891445294444012E-3</v>
      </c>
      <c r="L51">
        <v>1.1245603351022599E-3</v>
      </c>
      <c r="M51">
        <v>8.635300819329875E-3</v>
      </c>
      <c r="N51">
        <v>1.290566577065333E-3</v>
      </c>
      <c r="O51">
        <v>1.3055369614568945E-3</v>
      </c>
      <c r="P51">
        <v>1.3949768215576053E-2</v>
      </c>
      <c r="Q51">
        <v>2.3702783369147487E-3</v>
      </c>
      <c r="R51">
        <v>9.1856858159017083E-5</v>
      </c>
      <c r="S51">
        <v>2.3886820625984172E-4</v>
      </c>
      <c r="T51">
        <v>1.4100006991578347E-2</v>
      </c>
      <c r="U51">
        <v>3.9823690707040018E-4</v>
      </c>
      <c r="V51">
        <v>3.2743584653032952E-3</v>
      </c>
      <c r="W51">
        <v>3.2604976452451446E-4</v>
      </c>
      <c r="X51">
        <v>1.768903098895846E-3</v>
      </c>
      <c r="Y51">
        <v>1.3763300301148967E-3</v>
      </c>
      <c r="Z51">
        <v>1.5002901247815659E-2</v>
      </c>
      <c r="AA51">
        <v>3.8763415224212606E-4</v>
      </c>
      <c r="AB51">
        <v>5.1517387217094816E-3</v>
      </c>
      <c r="AC51">
        <v>8.7139599373435937E-3</v>
      </c>
      <c r="AD51">
        <v>6.974813512660054E-3</v>
      </c>
    </row>
    <row r="52" spans="1:30" x14ac:dyDescent="0.25">
      <c r="A52" t="s">
        <v>327</v>
      </c>
      <c r="B52" t="s">
        <v>430</v>
      </c>
      <c r="C52" t="s">
        <v>435</v>
      </c>
      <c r="D52" t="s">
        <v>438</v>
      </c>
      <c r="E52">
        <v>1.7997125134213834E-2</v>
      </c>
      <c r="F52">
        <v>3.0384792571958705E-5</v>
      </c>
      <c r="G52">
        <v>5.6440744119229504E-3</v>
      </c>
      <c r="H52">
        <v>0</v>
      </c>
      <c r="I52">
        <v>7.4239050535220138E-3</v>
      </c>
      <c r="J52">
        <v>2.8629170945110804E-4</v>
      </c>
      <c r="K52">
        <v>3.4907181886103415E-2</v>
      </c>
      <c r="L52">
        <v>7.6635629974412768E-4</v>
      </c>
      <c r="M52">
        <v>1.2451904822800498E-3</v>
      </c>
      <c r="N52">
        <v>3.2691533365493961E-4</v>
      </c>
      <c r="O52">
        <v>4.0805261712496109E-5</v>
      </c>
      <c r="P52">
        <v>6.4304328396600644E-3</v>
      </c>
      <c r="Q52">
        <v>5.2980595126282302E-4</v>
      </c>
      <c r="R52">
        <v>6.6723293920054573E-5</v>
      </c>
      <c r="S52">
        <v>2.5659160149889667E-5</v>
      </c>
      <c r="T52">
        <v>6.3715042455733941E-3</v>
      </c>
      <c r="U52">
        <v>6.8599585449772432E-3</v>
      </c>
      <c r="V52">
        <v>8.0431920592053763E-4</v>
      </c>
      <c r="W52">
        <v>1.7076941092647323E-3</v>
      </c>
      <c r="X52">
        <v>0</v>
      </c>
      <c r="Y52">
        <v>1.1533636608755499E-4</v>
      </c>
      <c r="Z52">
        <v>7.4583769333119304E-3</v>
      </c>
      <c r="AA52">
        <v>1.4572183208110608E-4</v>
      </c>
      <c r="AB52">
        <v>1.1107460239887663E-2</v>
      </c>
      <c r="AC52">
        <v>2.0926272657985655E-4</v>
      </c>
      <c r="AD52">
        <v>5.9507103556436609E-3</v>
      </c>
    </row>
    <row r="53" spans="1:30" x14ac:dyDescent="0.25">
      <c r="A53" t="s">
        <v>328</v>
      </c>
      <c r="B53" t="s">
        <v>430</v>
      </c>
      <c r="C53" t="s">
        <v>435</v>
      </c>
      <c r="D53" t="s">
        <v>438</v>
      </c>
      <c r="E53">
        <v>5.9990176828229637E-6</v>
      </c>
      <c r="F53">
        <v>2.5569412444534128E-5</v>
      </c>
      <c r="G53">
        <v>1.4297481966133074E-5</v>
      </c>
      <c r="H53">
        <v>0</v>
      </c>
      <c r="I53">
        <v>1.5447582010835921E-5</v>
      </c>
      <c r="J53">
        <v>0</v>
      </c>
      <c r="K53">
        <v>0</v>
      </c>
      <c r="L53">
        <v>0</v>
      </c>
      <c r="M53">
        <v>7.4675429287319613E-5</v>
      </c>
      <c r="N53">
        <v>0</v>
      </c>
      <c r="O53">
        <v>0</v>
      </c>
      <c r="P53">
        <v>0</v>
      </c>
      <c r="Q53">
        <v>0</v>
      </c>
      <c r="R53">
        <v>0</v>
      </c>
      <c r="S53">
        <v>5.7786674255108533E-6</v>
      </c>
      <c r="T53">
        <v>1.2810707096371053E-5</v>
      </c>
      <c r="U53">
        <v>0</v>
      </c>
      <c r="V53">
        <v>0</v>
      </c>
      <c r="W53">
        <v>1.7946779176097032E-6</v>
      </c>
      <c r="X53">
        <v>0</v>
      </c>
      <c r="Y53">
        <v>5.4875908428743551E-6</v>
      </c>
      <c r="Z53">
        <v>0</v>
      </c>
      <c r="AA53">
        <v>5.1057284562940631E-5</v>
      </c>
      <c r="AB53">
        <v>0</v>
      </c>
      <c r="AC53">
        <v>7.2368813493258977E-6</v>
      </c>
      <c r="AD53">
        <v>1.1187476688703413E-5</v>
      </c>
    </row>
    <row r="54" spans="1:30" x14ac:dyDescent="0.25">
      <c r="A54" t="s">
        <v>329</v>
      </c>
      <c r="B54" t="s">
        <v>430</v>
      </c>
      <c r="C54" t="s">
        <v>435</v>
      </c>
      <c r="D54" t="s">
        <v>439</v>
      </c>
      <c r="E54">
        <v>6.8840820894666296E-2</v>
      </c>
      <c r="F54">
        <v>0.18426505927472683</v>
      </c>
      <c r="G54">
        <v>0.46132046020558948</v>
      </c>
      <c r="H54">
        <v>0.33705113560411815</v>
      </c>
      <c r="I54">
        <v>0.6026948045180579</v>
      </c>
      <c r="J54">
        <v>4.8529899426420706E-2</v>
      </c>
      <c r="K54">
        <v>0.10737792758759805</v>
      </c>
      <c r="L54">
        <v>0.13100575155848485</v>
      </c>
      <c r="M54">
        <v>0.26109923101608284</v>
      </c>
      <c r="N54">
        <v>0.60874191981275583</v>
      </c>
      <c r="O54">
        <v>0.64375589262659882</v>
      </c>
      <c r="P54">
        <v>0.16335720681133631</v>
      </c>
      <c r="Q54">
        <v>0.22151373922793227</v>
      </c>
      <c r="R54">
        <v>7.2033170089797927E-2</v>
      </c>
      <c r="S54">
        <v>0.32684861036508273</v>
      </c>
      <c r="T54">
        <v>0.10677926228454571</v>
      </c>
      <c r="U54">
        <v>0.32212046322401927</v>
      </c>
      <c r="V54">
        <v>7.2544458307224877E-2</v>
      </c>
      <c r="W54">
        <v>0.49628007364089766</v>
      </c>
      <c r="X54">
        <v>0.27319300633731708</v>
      </c>
      <c r="Y54">
        <v>0.21536358138309625</v>
      </c>
      <c r="Z54">
        <v>0.21998627828209649</v>
      </c>
      <c r="AA54">
        <v>0.44231295999943887</v>
      </c>
      <c r="AB54">
        <v>0.63820915108256282</v>
      </c>
      <c r="AC54">
        <v>5.2853667648060182E-2</v>
      </c>
      <c r="AD54">
        <v>0.51300686129790618</v>
      </c>
    </row>
    <row r="55" spans="1:30" x14ac:dyDescent="0.25">
      <c r="A55" t="s">
        <v>330</v>
      </c>
      <c r="B55" t="s">
        <v>430</v>
      </c>
      <c r="C55" t="s">
        <v>435</v>
      </c>
      <c r="D55" t="s">
        <v>439</v>
      </c>
      <c r="E55">
        <v>0.93115917910533363</v>
      </c>
      <c r="F55">
        <v>0.81573494072527319</v>
      </c>
      <c r="G55">
        <v>0.53867953979441052</v>
      </c>
      <c r="H55">
        <v>0.66294886439588196</v>
      </c>
      <c r="I55">
        <v>0.39730519548194215</v>
      </c>
      <c r="J55">
        <v>0.95147010057357928</v>
      </c>
      <c r="K55">
        <v>0.89262207241240188</v>
      </c>
      <c r="L55">
        <v>0.86899424844151507</v>
      </c>
      <c r="M55">
        <v>0.73890076898391721</v>
      </c>
      <c r="N55">
        <v>0.39125808018724406</v>
      </c>
      <c r="O55">
        <v>0.35624410737340112</v>
      </c>
      <c r="P55">
        <v>0.83664279318866375</v>
      </c>
      <c r="Q55">
        <v>0.77848626077206784</v>
      </c>
      <c r="R55">
        <v>0.92796682991020207</v>
      </c>
      <c r="S55">
        <v>0.67315138963491727</v>
      </c>
      <c r="T55">
        <v>0.89322073771545429</v>
      </c>
      <c r="U55">
        <v>0.67787953677598067</v>
      </c>
      <c r="V55">
        <v>0.92745554169277511</v>
      </c>
      <c r="W55">
        <v>0.50371992635910234</v>
      </c>
      <c r="X55">
        <v>0.72680699366268298</v>
      </c>
      <c r="Y55">
        <v>0.7846364186169037</v>
      </c>
      <c r="Z55">
        <v>0.78001372171790362</v>
      </c>
      <c r="AA55">
        <v>0.55768704000056113</v>
      </c>
      <c r="AB55">
        <v>0.36179084891743712</v>
      </c>
      <c r="AC55">
        <v>0.9471463323519399</v>
      </c>
      <c r="AD55">
        <v>0.48699313870209388</v>
      </c>
    </row>
    <row r="56" spans="1:30" x14ac:dyDescent="0.25">
      <c r="A56" t="s">
        <v>331</v>
      </c>
      <c r="B56" t="s">
        <v>430</v>
      </c>
      <c r="C56" t="s">
        <v>436</v>
      </c>
      <c r="D56" t="s">
        <v>438</v>
      </c>
      <c r="E56">
        <v>0.56566901263602676</v>
      </c>
      <c r="F56">
        <v>0.33396598204880518</v>
      </c>
      <c r="G56">
        <v>0.82782902165073402</v>
      </c>
      <c r="H56">
        <v>0.91611337406962767</v>
      </c>
      <c r="I56">
        <v>0.97709267213256223</v>
      </c>
      <c r="J56">
        <v>0.76581463184692189</v>
      </c>
      <c r="K56">
        <v>0.74228554711239414</v>
      </c>
      <c r="L56">
        <v>0.66714301068575999</v>
      </c>
      <c r="M56">
        <v>0.80873072825642478</v>
      </c>
      <c r="N56">
        <v>0.35071708730042611</v>
      </c>
      <c r="O56">
        <v>0.9437952726475447</v>
      </c>
      <c r="P56">
        <v>0.70110838952029686</v>
      </c>
      <c r="Q56">
        <v>0.9492987978674009</v>
      </c>
      <c r="R56">
        <v>0.93909058750224994</v>
      </c>
      <c r="S56">
        <v>0.74056605031212486</v>
      </c>
      <c r="T56">
        <v>0.73354925222196876</v>
      </c>
      <c r="U56">
        <v>0.82568973718146177</v>
      </c>
      <c r="V56">
        <v>0.62679947323861751</v>
      </c>
      <c r="W56">
        <v>0.92719813405976981</v>
      </c>
      <c r="X56">
        <v>0.913519687379162</v>
      </c>
      <c r="Y56">
        <v>0.6377874358194151</v>
      </c>
      <c r="Z56">
        <v>0.9332888295882269</v>
      </c>
      <c r="AA56">
        <v>0.78051875353826894</v>
      </c>
      <c r="AB56">
        <v>0.93588069294515053</v>
      </c>
      <c r="AC56">
        <v>0.3000656203128233</v>
      </c>
      <c r="AD56">
        <v>0.95078171531041167</v>
      </c>
    </row>
    <row r="57" spans="1:30" x14ac:dyDescent="0.25">
      <c r="A57" t="s">
        <v>332</v>
      </c>
      <c r="B57" t="s">
        <v>430</v>
      </c>
      <c r="C57" t="s">
        <v>436</v>
      </c>
      <c r="D57" t="s">
        <v>438</v>
      </c>
      <c r="E57">
        <v>0</v>
      </c>
      <c r="F57">
        <v>0</v>
      </c>
      <c r="G57">
        <v>0</v>
      </c>
      <c r="H57">
        <v>0</v>
      </c>
      <c r="I57">
        <v>8.3731784584718644E-6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8.8341327667559654E-6</v>
      </c>
      <c r="Q57">
        <v>0</v>
      </c>
      <c r="R57">
        <v>0</v>
      </c>
      <c r="S57">
        <v>0</v>
      </c>
      <c r="T57">
        <v>2.9082229878450592E-5</v>
      </c>
      <c r="U57">
        <v>0</v>
      </c>
      <c r="V57">
        <v>0</v>
      </c>
      <c r="W57">
        <v>0</v>
      </c>
      <c r="X57">
        <v>1.0069565297947436E-5</v>
      </c>
      <c r="Y57">
        <v>6.2868145323549603E-5</v>
      </c>
      <c r="Z57">
        <v>0</v>
      </c>
      <c r="AA57">
        <v>9.9490251539886926E-5</v>
      </c>
      <c r="AB57">
        <v>0</v>
      </c>
      <c r="AC57">
        <v>0</v>
      </c>
      <c r="AD57">
        <v>2.8806309891672865E-6</v>
      </c>
    </row>
    <row r="58" spans="1:30" x14ac:dyDescent="0.25">
      <c r="A58" t="s">
        <v>333</v>
      </c>
      <c r="B58" t="s">
        <v>430</v>
      </c>
      <c r="C58" t="s">
        <v>436</v>
      </c>
      <c r="D58" t="s">
        <v>438</v>
      </c>
      <c r="E58">
        <v>4.9090830886343046E-3</v>
      </c>
      <c r="F58">
        <v>0</v>
      </c>
      <c r="G58">
        <v>1.156607800905329E-2</v>
      </c>
      <c r="H58">
        <v>1.5089218955861041E-3</v>
      </c>
      <c r="I58">
        <v>3.3827387140591236E-3</v>
      </c>
      <c r="J58">
        <v>7.1413363118108517E-2</v>
      </c>
      <c r="K58">
        <v>4.3429330943953424E-3</v>
      </c>
      <c r="L58">
        <v>9.4429500558070398E-3</v>
      </c>
      <c r="M58">
        <v>6.4587694027811546E-2</v>
      </c>
      <c r="N58">
        <v>1.7223182347477185E-3</v>
      </c>
      <c r="O58">
        <v>1.2794812855756277E-2</v>
      </c>
      <c r="P58">
        <v>4.3063968389053901E-2</v>
      </c>
      <c r="Q58">
        <v>0</v>
      </c>
      <c r="R58">
        <v>2.0540564753977913E-3</v>
      </c>
      <c r="S58">
        <v>8.7149264817954527E-4</v>
      </c>
      <c r="T58">
        <v>3.7630497007136707E-2</v>
      </c>
      <c r="U58">
        <v>1.1922108993120906E-2</v>
      </c>
      <c r="V58">
        <v>2.085658195211853E-3</v>
      </c>
      <c r="W58">
        <v>2.0258987493202579E-2</v>
      </c>
      <c r="X58">
        <v>3.0607887410058158E-3</v>
      </c>
      <c r="Y58">
        <v>0.15379233384102517</v>
      </c>
      <c r="Z58">
        <v>1.2526984465206822E-2</v>
      </c>
      <c r="AA58">
        <v>8.367919290458152E-3</v>
      </c>
      <c r="AB58">
        <v>1.1347964067986865E-2</v>
      </c>
      <c r="AC58">
        <v>7.8450867399495669E-4</v>
      </c>
      <c r="AD58">
        <v>3.8221014514088049E-3</v>
      </c>
    </row>
    <row r="59" spans="1:30" x14ac:dyDescent="0.25">
      <c r="A59" t="s">
        <v>334</v>
      </c>
      <c r="B59" t="s">
        <v>430</v>
      </c>
      <c r="C59" t="s">
        <v>436</v>
      </c>
      <c r="D59" t="s">
        <v>438</v>
      </c>
      <c r="E59">
        <v>8.6837629827859207E-6</v>
      </c>
      <c r="F59">
        <v>2.4613228924306574E-5</v>
      </c>
      <c r="G59">
        <v>2.1893892774580048E-5</v>
      </c>
      <c r="H59">
        <v>8.8198460651535141E-6</v>
      </c>
      <c r="I59">
        <v>1.410184714590649E-5</v>
      </c>
      <c r="J59">
        <v>3.8470317992221484E-6</v>
      </c>
      <c r="K59">
        <v>1.624362350111545E-5</v>
      </c>
      <c r="L59">
        <v>7.9854555374791092E-4</v>
      </c>
      <c r="M59">
        <v>4.8278602117403314E-4</v>
      </c>
      <c r="N59">
        <v>0</v>
      </c>
      <c r="O59">
        <v>0</v>
      </c>
      <c r="P59">
        <v>0</v>
      </c>
      <c r="Q59">
        <v>2.1680168790405141E-5</v>
      </c>
      <c r="R59">
        <v>0</v>
      </c>
      <c r="S59">
        <v>3.9111274128000451E-6</v>
      </c>
      <c r="T59">
        <v>8.5922423006625612E-5</v>
      </c>
      <c r="U59">
        <v>0</v>
      </c>
      <c r="V59">
        <v>1.1786561252823124E-5</v>
      </c>
      <c r="W59">
        <v>2.5464961684819373E-5</v>
      </c>
      <c r="X59">
        <v>7.165665406468656E-5</v>
      </c>
      <c r="Y59">
        <v>0</v>
      </c>
      <c r="Z59">
        <v>0</v>
      </c>
      <c r="AA59">
        <v>7.0021963236782184E-6</v>
      </c>
      <c r="AB59">
        <v>1.5153944346393166E-5</v>
      </c>
      <c r="AC59">
        <v>8.1051631377408605E-7</v>
      </c>
      <c r="AD59">
        <v>3.4655741795417156E-6</v>
      </c>
    </row>
    <row r="60" spans="1:30" x14ac:dyDescent="0.25">
      <c r="A60" t="s">
        <v>335</v>
      </c>
      <c r="B60" t="s">
        <v>430</v>
      </c>
      <c r="C60" t="s">
        <v>436</v>
      </c>
      <c r="D60" t="s">
        <v>438</v>
      </c>
      <c r="E60">
        <v>0.32574063460363167</v>
      </c>
      <c r="F60">
        <v>0.66397456506294417</v>
      </c>
      <c r="G60">
        <v>0.13775771959270913</v>
      </c>
      <c r="H60">
        <v>8.236888418872107E-2</v>
      </c>
      <c r="I60">
        <v>1.4040587195566669E-2</v>
      </c>
      <c r="J60">
        <v>0.15948754274014679</v>
      </c>
      <c r="K60">
        <v>0.25278695506697235</v>
      </c>
      <c r="L60">
        <v>0.32147469084773544</v>
      </c>
      <c r="M60">
        <v>0.10528019319158205</v>
      </c>
      <c r="N60">
        <v>0.64756059446482617</v>
      </c>
      <c r="O60">
        <v>4.3405713582231324E-2</v>
      </c>
      <c r="P60">
        <v>0.2412970103279525</v>
      </c>
      <c r="Q60">
        <v>4.3715549693838666E-2</v>
      </c>
      <c r="R60">
        <v>5.8705263599894385E-2</v>
      </c>
      <c r="S60">
        <v>0.25850070200152581</v>
      </c>
      <c r="T60">
        <v>0.1951418164963763</v>
      </c>
      <c r="U60">
        <v>0.16048848474638081</v>
      </c>
      <c r="V60">
        <v>0.37016876342602933</v>
      </c>
      <c r="W60">
        <v>4.2854273017690445E-2</v>
      </c>
      <c r="X60">
        <v>8.2862496673400607E-2</v>
      </c>
      <c r="Y60">
        <v>0.20479104406505483</v>
      </c>
      <c r="Z60">
        <v>4.6463024301496007E-2</v>
      </c>
      <c r="AA60">
        <v>0.21084245078788733</v>
      </c>
      <c r="AB60">
        <v>1.7661635111267327E-2</v>
      </c>
      <c r="AC60">
        <v>0.68036114686491622</v>
      </c>
      <c r="AD60">
        <v>4.0620907000931364E-2</v>
      </c>
    </row>
    <row r="61" spans="1:30" x14ac:dyDescent="0.25">
      <c r="A61" t="s">
        <v>445</v>
      </c>
      <c r="B61" t="s">
        <v>430</v>
      </c>
      <c r="C61" t="s">
        <v>436</v>
      </c>
      <c r="D61" t="s">
        <v>438</v>
      </c>
      <c r="E61">
        <v>3.5126933310797581E-2</v>
      </c>
      <c r="F61">
        <v>0</v>
      </c>
      <c r="G61">
        <v>1.6857912728772864E-2</v>
      </c>
      <c r="H61">
        <v>0</v>
      </c>
      <c r="I61">
        <v>9.1225416060256807E-4</v>
      </c>
      <c r="J61">
        <v>1.011500013605485E-3</v>
      </c>
      <c r="K61">
        <v>5.5357076270878135E-5</v>
      </c>
      <c r="L61">
        <v>7.4625827315288613E-4</v>
      </c>
      <c r="M61">
        <v>1.3604661592291427E-2</v>
      </c>
      <c r="N61">
        <v>0</v>
      </c>
      <c r="O61">
        <v>0</v>
      </c>
      <c r="P61">
        <v>4.7255688912998875E-3</v>
      </c>
      <c r="Q61">
        <v>6.2324310951179639E-3</v>
      </c>
      <c r="R61">
        <v>0</v>
      </c>
      <c r="S61">
        <v>3.629135590864178E-6</v>
      </c>
      <c r="T61">
        <v>8.0656965106139823E-3</v>
      </c>
      <c r="U61">
        <v>1.8991682534421715E-3</v>
      </c>
      <c r="V61">
        <v>0</v>
      </c>
      <c r="W61">
        <v>3.0302433957406405E-3</v>
      </c>
      <c r="X61">
        <v>4.2942852293381201E-4</v>
      </c>
      <c r="Y61">
        <v>1.3691607268695842E-3</v>
      </c>
      <c r="Z61">
        <v>7.2483303686962297E-3</v>
      </c>
      <c r="AA61">
        <v>8.9123400496865279E-5</v>
      </c>
      <c r="AB61">
        <v>6.8042205568408431E-3</v>
      </c>
      <c r="AC61">
        <v>2.9171563898685524E-4</v>
      </c>
      <c r="AD61">
        <v>1.7702914003620979E-3</v>
      </c>
    </row>
    <row r="62" spans="1:30" x14ac:dyDescent="0.25">
      <c r="A62" t="s">
        <v>337</v>
      </c>
      <c r="B62" t="s">
        <v>430</v>
      </c>
      <c r="C62" t="s">
        <v>436</v>
      </c>
      <c r="D62" t="s">
        <v>438</v>
      </c>
      <c r="E62">
        <v>6.8092890543803408E-2</v>
      </c>
      <c r="F62">
        <v>1.8522807280375224E-3</v>
      </c>
      <c r="G62">
        <v>5.9592246965182102E-3</v>
      </c>
      <c r="H62">
        <v>0</v>
      </c>
      <c r="I62">
        <v>4.5247545841763451E-3</v>
      </c>
      <c r="J62">
        <v>2.2689448153672153E-3</v>
      </c>
      <c r="K62">
        <v>0</v>
      </c>
      <c r="L62">
        <v>3.9230354414733552E-4</v>
      </c>
      <c r="M62">
        <v>6.8590442209595344E-3</v>
      </c>
      <c r="N62">
        <v>0</v>
      </c>
      <c r="O62">
        <v>0</v>
      </c>
      <c r="P62">
        <v>9.79351888195314E-3</v>
      </c>
      <c r="Q62">
        <v>7.3154117485219614E-4</v>
      </c>
      <c r="R62">
        <v>1.5009242245795715E-4</v>
      </c>
      <c r="S62">
        <v>2.3079596643996698E-5</v>
      </c>
      <c r="T62">
        <v>2.5324447309865907E-2</v>
      </c>
      <c r="U62">
        <v>0</v>
      </c>
      <c r="V62">
        <v>8.8960082341921415E-4</v>
      </c>
      <c r="W62">
        <v>6.5766623188641639E-3</v>
      </c>
      <c r="X62">
        <v>4.5872464135093874E-5</v>
      </c>
      <c r="Y62">
        <v>2.1302838226521272E-3</v>
      </c>
      <c r="Z62">
        <v>4.7283127637405792E-4</v>
      </c>
      <c r="AA62">
        <v>6.4858525036495666E-5</v>
      </c>
      <c r="AB62">
        <v>2.8269070242076626E-2</v>
      </c>
      <c r="AC62">
        <v>1.8401391498726917E-2</v>
      </c>
      <c r="AD62">
        <v>2.9831063168976159E-3</v>
      </c>
    </row>
    <row r="63" spans="1:30" x14ac:dyDescent="0.25">
      <c r="A63" t="s">
        <v>338</v>
      </c>
      <c r="B63" t="s">
        <v>430</v>
      </c>
      <c r="C63" t="s">
        <v>436</v>
      </c>
      <c r="D63" t="s">
        <v>438</v>
      </c>
      <c r="E63">
        <v>4.527620541234709E-4</v>
      </c>
      <c r="F63">
        <v>1.8255893128869843E-4</v>
      </c>
      <c r="G63">
        <v>8.1494294379159469E-6</v>
      </c>
      <c r="H63">
        <v>0</v>
      </c>
      <c r="I63">
        <v>2.4518187428801088E-5</v>
      </c>
      <c r="J63">
        <v>1.7043405092011924E-7</v>
      </c>
      <c r="K63">
        <v>5.1296402646602011E-4</v>
      </c>
      <c r="L63">
        <v>2.2410396490600508E-6</v>
      </c>
      <c r="M63">
        <v>4.5489268975660511E-4</v>
      </c>
      <c r="N63">
        <v>0</v>
      </c>
      <c r="O63">
        <v>4.2009144678451694E-6</v>
      </c>
      <c r="P63">
        <v>2.7098566769190071E-6</v>
      </c>
      <c r="Q63">
        <v>0</v>
      </c>
      <c r="R63">
        <v>0</v>
      </c>
      <c r="S63">
        <v>3.1135178522139053E-5</v>
      </c>
      <c r="T63">
        <v>1.7328580115327568E-4</v>
      </c>
      <c r="U63">
        <v>5.0082559437475218E-7</v>
      </c>
      <c r="V63">
        <v>4.4717755469340594E-5</v>
      </c>
      <c r="W63">
        <v>5.6234753047335383E-5</v>
      </c>
      <c r="X63">
        <v>0</v>
      </c>
      <c r="Y63">
        <v>6.6873579659569444E-5</v>
      </c>
      <c r="Z63">
        <v>0</v>
      </c>
      <c r="AA63">
        <v>1.0402009988798218E-5</v>
      </c>
      <c r="AB63">
        <v>2.1263132331424592E-5</v>
      </c>
      <c r="AC63">
        <v>9.4806494238049846E-5</v>
      </c>
      <c r="AD63">
        <v>1.5532314819809381E-5</v>
      </c>
    </row>
    <row r="64" spans="1:30" x14ac:dyDescent="0.25">
      <c r="A64" t="s">
        <v>339</v>
      </c>
      <c r="B64" t="s">
        <v>430</v>
      </c>
      <c r="C64" t="s">
        <v>436</v>
      </c>
      <c r="D64" t="s">
        <v>439</v>
      </c>
      <c r="E64">
        <v>0.12559673713477007</v>
      </c>
      <c r="F64">
        <v>0.14768975896243089</v>
      </c>
      <c r="G64">
        <v>0.33096131668453888</v>
      </c>
      <c r="H64">
        <v>0.58348271248777428</v>
      </c>
      <c r="I64">
        <v>0.4323114428200201</v>
      </c>
      <c r="J64">
        <v>0.14604821502469933</v>
      </c>
      <c r="K64">
        <v>8.5318300424090956E-2</v>
      </c>
      <c r="L64">
        <v>6.1070589310941316E-2</v>
      </c>
      <c r="M64">
        <v>5.636213608797544E-2</v>
      </c>
      <c r="N64">
        <v>0.53141404803519499</v>
      </c>
      <c r="O64">
        <v>0.21290367565068227</v>
      </c>
      <c r="P64">
        <v>0.16361582230174665</v>
      </c>
      <c r="Q64">
        <v>0.13266469676091353</v>
      </c>
      <c r="R64">
        <v>0.27070510566548728</v>
      </c>
      <c r="S64">
        <v>0.10880004800723823</v>
      </c>
      <c r="T64">
        <v>0.15501405556920508</v>
      </c>
      <c r="U64">
        <v>0.16038688452377525</v>
      </c>
      <c r="V64">
        <v>8.6781454669239602E-2</v>
      </c>
      <c r="W64">
        <v>0.54722222788948305</v>
      </c>
      <c r="X64">
        <v>0.30225645604994139</v>
      </c>
      <c r="Y64">
        <v>5.2271197957969188E-2</v>
      </c>
      <c r="Z64">
        <v>1.4371283507674124E-2</v>
      </c>
      <c r="AA64">
        <v>0.44123356831590022</v>
      </c>
      <c r="AB64">
        <v>0.64226000289653418</v>
      </c>
      <c r="AC64">
        <v>6.8816855004613264E-2</v>
      </c>
      <c r="AD64">
        <v>0.5721924635102259</v>
      </c>
    </row>
    <row r="65" spans="1:30" x14ac:dyDescent="0.25">
      <c r="A65" t="s">
        <v>340</v>
      </c>
      <c r="B65" t="s">
        <v>430</v>
      </c>
      <c r="C65" t="s">
        <v>436</v>
      </c>
      <c r="D65" t="s">
        <v>439</v>
      </c>
      <c r="E65">
        <v>0.87440326286522985</v>
      </c>
      <c r="F65">
        <v>0.85231024103756903</v>
      </c>
      <c r="G65">
        <v>0.66903868331546112</v>
      </c>
      <c r="H65">
        <v>0.41651728751222566</v>
      </c>
      <c r="I65">
        <v>0.56768855717998001</v>
      </c>
      <c r="J65">
        <v>0.85395178497530055</v>
      </c>
      <c r="K65">
        <v>0.91468169957590895</v>
      </c>
      <c r="L65">
        <v>0.93892941068905866</v>
      </c>
      <c r="M65">
        <v>0.94363786391202464</v>
      </c>
      <c r="N65">
        <v>0.46858595196480507</v>
      </c>
      <c r="O65">
        <v>0.78709632434931776</v>
      </c>
      <c r="P65">
        <v>0.83638417769825335</v>
      </c>
      <c r="Q65">
        <v>0.86733530323908636</v>
      </c>
      <c r="R65">
        <v>0.72929489433451267</v>
      </c>
      <c r="S65">
        <v>0.8911999519927617</v>
      </c>
      <c r="T65">
        <v>0.844985944430795</v>
      </c>
      <c r="U65">
        <v>0.83961311547622464</v>
      </c>
      <c r="V65">
        <v>0.91321854533076041</v>
      </c>
      <c r="W65">
        <v>0.45277777211051701</v>
      </c>
      <c r="X65">
        <v>0.69774354395005866</v>
      </c>
      <c r="Y65">
        <v>0.9477288020420308</v>
      </c>
      <c r="Z65">
        <v>0.98562871649232586</v>
      </c>
      <c r="AA65">
        <v>0.55876643168409967</v>
      </c>
      <c r="AB65">
        <v>0.35773999710346571</v>
      </c>
      <c r="AC65">
        <v>0.93118314499538679</v>
      </c>
      <c r="AD65">
        <v>0.42780753648977421</v>
      </c>
    </row>
    <row r="66" spans="1:30" x14ac:dyDescent="0.25">
      <c r="A66" t="s">
        <v>341</v>
      </c>
      <c r="B66" t="s">
        <v>431</v>
      </c>
      <c r="C66" t="s">
        <v>435</v>
      </c>
      <c r="D66" t="s">
        <v>438</v>
      </c>
      <c r="E66">
        <v>0.89683277113594084</v>
      </c>
      <c r="F66">
        <v>0.97384559929762549</v>
      </c>
      <c r="G66">
        <v>0.82438094595303613</v>
      </c>
      <c r="H66">
        <v>0.9793545194824439</v>
      </c>
      <c r="I66">
        <v>0.87903603581323619</v>
      </c>
      <c r="J66">
        <v>0.82493726041991489</v>
      </c>
      <c r="K66">
        <v>0.8323816572080065</v>
      </c>
      <c r="L66">
        <v>0.82305050663261092</v>
      </c>
      <c r="M66">
        <v>0.67601443340054379</v>
      </c>
      <c r="N66">
        <v>0.9721613092596183</v>
      </c>
      <c r="O66">
        <v>0.85549452489048505</v>
      </c>
      <c r="P66">
        <v>0.68653737018062255</v>
      </c>
      <c r="Q66">
        <v>0.98288817695572572</v>
      </c>
      <c r="R66">
        <v>0.98283712916056321</v>
      </c>
      <c r="S66">
        <v>0.96735422536346372</v>
      </c>
      <c r="T66">
        <v>0.62757668822843771</v>
      </c>
      <c r="U66">
        <v>0.9055184653477496</v>
      </c>
      <c r="V66">
        <v>0.96235613008301635</v>
      </c>
      <c r="W66">
        <v>0.95543234040690472</v>
      </c>
      <c r="X66">
        <v>0.98085641089570552</v>
      </c>
      <c r="Y66">
        <v>0.63245028011470661</v>
      </c>
      <c r="Z66">
        <v>0.85006815598108088</v>
      </c>
      <c r="AA66">
        <v>0.91867761583200136</v>
      </c>
      <c r="AB66">
        <v>0.93711833409630418</v>
      </c>
      <c r="AC66">
        <v>0.9520061142602172</v>
      </c>
      <c r="AD66">
        <v>0.89514750910705532</v>
      </c>
    </row>
    <row r="67" spans="1:30" x14ac:dyDescent="0.25">
      <c r="A67" t="s">
        <v>342</v>
      </c>
      <c r="B67" t="s">
        <v>431</v>
      </c>
      <c r="C67" t="s">
        <v>435</v>
      </c>
      <c r="D67" t="s">
        <v>438</v>
      </c>
      <c r="E67">
        <v>1.0096300883879389E-6</v>
      </c>
      <c r="F67">
        <v>1.0672501021579019E-5</v>
      </c>
      <c r="G67">
        <v>0</v>
      </c>
      <c r="H67">
        <v>0</v>
      </c>
      <c r="I67">
        <v>6.3483641077119045E-5</v>
      </c>
      <c r="J67">
        <v>8.0569425104495016E-4</v>
      </c>
      <c r="K67">
        <v>5.7019928832121463E-4</v>
      </c>
      <c r="L67">
        <v>7.2523941357714093E-5</v>
      </c>
      <c r="M67">
        <v>0</v>
      </c>
      <c r="N67">
        <v>0</v>
      </c>
      <c r="O67">
        <v>2.5075000112920973E-4</v>
      </c>
      <c r="P67">
        <v>3.9784847104625979E-4</v>
      </c>
      <c r="Q67">
        <v>2.0352878659561136E-6</v>
      </c>
      <c r="R67">
        <v>0</v>
      </c>
      <c r="S67">
        <v>6.9027663627374734E-5</v>
      </c>
      <c r="T67">
        <v>2.2188451154058709E-4</v>
      </c>
      <c r="U67">
        <v>9.6028717815219448E-4</v>
      </c>
      <c r="V67">
        <v>0</v>
      </c>
      <c r="W67">
        <v>7.8385191082668697E-7</v>
      </c>
      <c r="X67">
        <v>1.1777329621025274E-4</v>
      </c>
      <c r="Y67">
        <v>2.170312179567985E-5</v>
      </c>
      <c r="Z67">
        <v>7.1341945984697112E-4</v>
      </c>
      <c r="AA67">
        <v>1.5170261478725114E-3</v>
      </c>
      <c r="AB67">
        <v>0</v>
      </c>
      <c r="AC67">
        <v>0</v>
      </c>
      <c r="AD67">
        <v>1.1861297909703754E-4</v>
      </c>
    </row>
    <row r="68" spans="1:30" x14ac:dyDescent="0.25">
      <c r="A68" t="s">
        <v>343</v>
      </c>
      <c r="B68" t="s">
        <v>431</v>
      </c>
      <c r="C68" t="s">
        <v>435</v>
      </c>
      <c r="D68" t="s">
        <v>438</v>
      </c>
      <c r="E68">
        <v>1.7565260225471307E-2</v>
      </c>
      <c r="F68">
        <v>2.4544194835837967E-2</v>
      </c>
      <c r="G68">
        <v>0.1162350692135497</v>
      </c>
      <c r="H68">
        <v>1.5830519988944136E-2</v>
      </c>
      <c r="I68">
        <v>2.9353161034664101E-2</v>
      </c>
      <c r="J68">
        <v>0.15405221564268573</v>
      </c>
      <c r="K68">
        <v>1.0870401351435086E-2</v>
      </c>
      <c r="L68">
        <v>0.14738662941117134</v>
      </c>
      <c r="M68">
        <v>0.17120386650799746</v>
      </c>
      <c r="N68">
        <v>1.4553775795163154E-2</v>
      </c>
      <c r="O68">
        <v>0.10658138463477608</v>
      </c>
      <c r="P68">
        <v>0.22969161449383299</v>
      </c>
      <c r="Q68">
        <v>3.3323882354374806E-3</v>
      </c>
      <c r="R68">
        <v>6.9153018249696035E-3</v>
      </c>
      <c r="S68">
        <v>2.681403540144708E-2</v>
      </c>
      <c r="T68">
        <v>0.30722344341984353</v>
      </c>
      <c r="U68">
        <v>8.4691295783784162E-2</v>
      </c>
      <c r="V68">
        <v>1.6429793631947003E-2</v>
      </c>
      <c r="W68">
        <v>2.3659854755495546E-2</v>
      </c>
      <c r="X68">
        <v>3.494579939968258E-3</v>
      </c>
      <c r="Y68">
        <v>0.36062634377748914</v>
      </c>
      <c r="Z68">
        <v>2.7132909397565796E-2</v>
      </c>
      <c r="AA68">
        <v>7.7389944698999652E-2</v>
      </c>
      <c r="AB68">
        <v>2.5173220868056369E-2</v>
      </c>
      <c r="AC68">
        <v>2.305145477924947E-2</v>
      </c>
      <c r="AD68">
        <v>2.2922557849999518E-2</v>
      </c>
    </row>
    <row r="69" spans="1:30" x14ac:dyDescent="0.25">
      <c r="A69" t="s">
        <v>344</v>
      </c>
      <c r="B69" t="s">
        <v>431</v>
      </c>
      <c r="C69" t="s">
        <v>435</v>
      </c>
      <c r="D69" t="s">
        <v>438</v>
      </c>
      <c r="E69">
        <v>1.0620193487618217E-5</v>
      </c>
      <c r="F69">
        <v>7.3630415316971201E-5</v>
      </c>
      <c r="G69">
        <v>6.141267933683451E-6</v>
      </c>
      <c r="H69">
        <v>5.6312580283094764E-7</v>
      </c>
      <c r="I69">
        <v>1.9218075936398016E-5</v>
      </c>
      <c r="J69">
        <v>1.9287554455491163E-5</v>
      </c>
      <c r="K69">
        <v>0</v>
      </c>
      <c r="L69">
        <v>1.4357300640908516E-3</v>
      </c>
      <c r="M69">
        <v>7.1007782164310689E-4</v>
      </c>
      <c r="N69">
        <v>4.6482022880232736E-5</v>
      </c>
      <c r="O69">
        <v>0</v>
      </c>
      <c r="P69">
        <v>1.0028448444358312E-5</v>
      </c>
      <c r="Q69">
        <v>1.0984480932400824E-5</v>
      </c>
      <c r="R69">
        <v>0</v>
      </c>
      <c r="S69">
        <v>2.4228588651735197E-6</v>
      </c>
      <c r="T69">
        <v>3.3956172350735573E-6</v>
      </c>
      <c r="U69">
        <v>3.399734719743328E-4</v>
      </c>
      <c r="V69">
        <v>8.2191831963370334E-7</v>
      </c>
      <c r="W69">
        <v>3.0476045916305098E-5</v>
      </c>
      <c r="X69">
        <v>0</v>
      </c>
      <c r="Y69">
        <v>9.6808548213459761E-5</v>
      </c>
      <c r="Z69">
        <v>0</v>
      </c>
      <c r="AA69">
        <v>1.7937040879159159E-5</v>
      </c>
      <c r="AB69">
        <v>2.976117693818157E-5</v>
      </c>
      <c r="AC69">
        <v>1.2316607006005868E-5</v>
      </c>
      <c r="AD69">
        <v>1.7785013532305552E-5</v>
      </c>
    </row>
    <row r="70" spans="1:30" x14ac:dyDescent="0.25">
      <c r="A70" t="s">
        <v>446</v>
      </c>
      <c r="B70" t="s">
        <v>431</v>
      </c>
      <c r="C70" t="s">
        <v>435</v>
      </c>
      <c r="D70" t="s">
        <v>438</v>
      </c>
      <c r="E70">
        <v>3.6909121703592028E-2</v>
      </c>
      <c r="F70">
        <v>1.1043390293477983E-3</v>
      </c>
      <c r="G70">
        <v>5.0052444596511765E-2</v>
      </c>
      <c r="H70">
        <v>3.3714288679157086E-3</v>
      </c>
      <c r="I70">
        <v>7.1267428417967044E-2</v>
      </c>
      <c r="J70">
        <v>1.324595108625418E-2</v>
      </c>
      <c r="K70">
        <v>6.7586294884529149E-2</v>
      </c>
      <c r="L70">
        <v>2.3480819196011467E-2</v>
      </c>
      <c r="M70">
        <v>0.14365994648163283</v>
      </c>
      <c r="N70">
        <v>9.1618611526589483E-3</v>
      </c>
      <c r="O70">
        <v>3.635994914341896E-2</v>
      </c>
      <c r="P70">
        <v>4.8751070637521175E-2</v>
      </c>
      <c r="Q70">
        <v>1.2773182025053361E-2</v>
      </c>
      <c r="R70">
        <v>6.4202781631300335E-3</v>
      </c>
      <c r="S70">
        <v>2.0804153529074489E-3</v>
      </c>
      <c r="T70">
        <v>3.3009904102785606E-2</v>
      </c>
      <c r="U70">
        <v>5.8471634935218109E-3</v>
      </c>
      <c r="V70">
        <v>1.9726183771535996E-2</v>
      </c>
      <c r="W70">
        <v>6.9809276147122859E-3</v>
      </c>
      <c r="X70">
        <v>1.4861566396419444E-2</v>
      </c>
      <c r="Y70">
        <v>5.6882978412161776E-3</v>
      </c>
      <c r="Z70">
        <v>9.2909826424656256E-2</v>
      </c>
      <c r="AA70">
        <v>1.5658048949392033E-3</v>
      </c>
      <c r="AB70">
        <v>1.9445866302012005E-2</v>
      </c>
      <c r="AC70">
        <v>1.6038690498673097E-2</v>
      </c>
      <c r="AD70">
        <v>6.0998939971745714E-2</v>
      </c>
    </row>
    <row r="71" spans="1:30" x14ac:dyDescent="0.25">
      <c r="A71" t="s">
        <v>346</v>
      </c>
      <c r="B71" t="s">
        <v>431</v>
      </c>
      <c r="C71" t="s">
        <v>435</v>
      </c>
      <c r="D71" t="s">
        <v>438</v>
      </c>
      <c r="E71">
        <v>4.8652310057621329E-2</v>
      </c>
      <c r="F71">
        <v>3.7894699891550463E-4</v>
      </c>
      <c r="G71">
        <v>9.1324718648421784E-3</v>
      </c>
      <c r="H71">
        <v>1.442705742851878E-3</v>
      </c>
      <c r="I71">
        <v>2.0218259837008992E-2</v>
      </c>
      <c r="J71">
        <v>6.8951903314969729E-3</v>
      </c>
      <c r="K71">
        <v>8.8572664808790488E-2</v>
      </c>
      <c r="L71">
        <v>4.5522844452850642E-3</v>
      </c>
      <c r="M71">
        <v>5.4615499486117131E-3</v>
      </c>
      <c r="N71">
        <v>4.0225600319237767E-3</v>
      </c>
      <c r="O71">
        <v>1.2195030216673147E-3</v>
      </c>
      <c r="P71">
        <v>3.4569682731261216E-2</v>
      </c>
      <c r="Q71">
        <v>7.0903768405480329E-4</v>
      </c>
      <c r="R71">
        <v>3.8272908513370296E-3</v>
      </c>
      <c r="S71">
        <v>3.6664800628869016E-3</v>
      </c>
      <c r="T71">
        <v>3.1948442294152411E-2</v>
      </c>
      <c r="U71">
        <v>2.3732709654125548E-3</v>
      </c>
      <c r="V71">
        <v>1.4866280237782633E-3</v>
      </c>
      <c r="W71">
        <v>1.3624127433870563E-2</v>
      </c>
      <c r="X71">
        <v>6.6966947169657222E-4</v>
      </c>
      <c r="Y71">
        <v>1.0595176516248728E-3</v>
      </c>
      <c r="Z71">
        <v>2.9064946901208699E-2</v>
      </c>
      <c r="AA71">
        <v>7.8505847256735595E-4</v>
      </c>
      <c r="AB71">
        <v>1.8218613554530767E-2</v>
      </c>
      <c r="AC71">
        <v>8.5672879941423776E-3</v>
      </c>
      <c r="AD71">
        <v>2.0757748687269779E-2</v>
      </c>
    </row>
    <row r="72" spans="1:30" x14ac:dyDescent="0.25">
      <c r="A72" t="s">
        <v>347</v>
      </c>
      <c r="B72" t="s">
        <v>431</v>
      </c>
      <c r="C72" t="s">
        <v>435</v>
      </c>
      <c r="D72" t="s">
        <v>438</v>
      </c>
      <c r="E72">
        <v>2.8907053798425072E-5</v>
      </c>
      <c r="F72">
        <v>4.2616921934583187E-5</v>
      </c>
      <c r="G72">
        <v>1.9292710412651234E-4</v>
      </c>
      <c r="H72">
        <v>2.6279204132110879E-7</v>
      </c>
      <c r="I72">
        <v>4.2413180110008676E-5</v>
      </c>
      <c r="J72">
        <v>4.4400714147816894E-5</v>
      </c>
      <c r="K72">
        <v>1.8782458917453376E-5</v>
      </c>
      <c r="L72">
        <v>2.1506309472681524E-5</v>
      </c>
      <c r="M72">
        <v>2.9501258395710972E-3</v>
      </c>
      <c r="N72">
        <v>5.401173775564961E-5</v>
      </c>
      <c r="O72">
        <v>9.3888308523322158E-5</v>
      </c>
      <c r="P72">
        <v>4.23850372713651E-5</v>
      </c>
      <c r="Q72">
        <v>2.8419533093026865E-4</v>
      </c>
      <c r="R72">
        <v>0</v>
      </c>
      <c r="S72">
        <v>1.339329680214489E-5</v>
      </c>
      <c r="T72">
        <v>1.624182600493052E-5</v>
      </c>
      <c r="U72">
        <v>2.695437594052762E-4</v>
      </c>
      <c r="V72">
        <v>4.4257140287968641E-7</v>
      </c>
      <c r="W72">
        <v>2.7148989118972247E-4</v>
      </c>
      <c r="X72">
        <v>0</v>
      </c>
      <c r="Y72">
        <v>5.7048944953966306E-5</v>
      </c>
      <c r="Z72">
        <v>1.107418356415224E-4</v>
      </c>
      <c r="AA72">
        <v>4.6612912740710697E-5</v>
      </c>
      <c r="AB72">
        <v>1.4204002158391833E-5</v>
      </c>
      <c r="AC72">
        <v>3.2413586071203623E-4</v>
      </c>
      <c r="AD72">
        <v>3.6846391300085297E-5</v>
      </c>
    </row>
    <row r="73" spans="1:30" x14ac:dyDescent="0.25">
      <c r="A73" t="s">
        <v>348</v>
      </c>
      <c r="B73" t="s">
        <v>431</v>
      </c>
      <c r="C73" t="s">
        <v>435</v>
      </c>
      <c r="D73" t="s">
        <v>439</v>
      </c>
      <c r="E73">
        <v>2.6605569565934181E-2</v>
      </c>
      <c r="F73">
        <v>0.23120476287437988</v>
      </c>
      <c r="G73">
        <v>7.481306334206532E-2</v>
      </c>
      <c r="H73">
        <v>0.15653933933741493</v>
      </c>
      <c r="I73">
        <v>0.35834775760224868</v>
      </c>
      <c r="J73">
        <v>0.13374376686220346</v>
      </c>
      <c r="K73">
        <v>3.2944077645140679E-2</v>
      </c>
      <c r="L73">
        <v>3.4508477386217304E-2</v>
      </c>
      <c r="M73">
        <v>7.6529373721397939E-2</v>
      </c>
      <c r="N73">
        <v>0.39490502496712554</v>
      </c>
      <c r="O73">
        <v>4.6121833586138535E-2</v>
      </c>
      <c r="P73">
        <v>6.375145875390624E-2</v>
      </c>
      <c r="Q73">
        <v>6.3159912865880241E-2</v>
      </c>
      <c r="R73">
        <v>0.11218188665191739</v>
      </c>
      <c r="S73">
        <v>0.18793679103714089</v>
      </c>
      <c r="T73">
        <v>5.7045960171528347E-2</v>
      </c>
      <c r="U73">
        <v>0.21276413686676446</v>
      </c>
      <c r="V73">
        <v>1.8826524517163927E-2</v>
      </c>
      <c r="W73">
        <v>0.27904339477236734</v>
      </c>
      <c r="X73">
        <v>8.8317049148510643E-2</v>
      </c>
      <c r="Y73">
        <v>7.3463771449212331E-2</v>
      </c>
      <c r="Z73">
        <v>0.11131898067117725</v>
      </c>
      <c r="AA73">
        <v>0.29278315537899025</v>
      </c>
      <c r="AB73">
        <v>0.30480103204550263</v>
      </c>
      <c r="AC73">
        <v>1.8917207021748123E-2</v>
      </c>
      <c r="AD73">
        <v>0.51367655318308747</v>
      </c>
    </row>
    <row r="74" spans="1:30" x14ac:dyDescent="0.25">
      <c r="A74" t="s">
        <v>349</v>
      </c>
      <c r="B74" t="s">
        <v>431</v>
      </c>
      <c r="C74" t="s">
        <v>435</v>
      </c>
      <c r="D74" t="s">
        <v>439</v>
      </c>
      <c r="E74">
        <v>0.9733944304340657</v>
      </c>
      <c r="F74">
        <v>0.76879523712562015</v>
      </c>
      <c r="G74">
        <v>0.92518693665793461</v>
      </c>
      <c r="H74">
        <v>0.84346066066258507</v>
      </c>
      <c r="I74">
        <v>0.64165224239775143</v>
      </c>
      <c r="J74">
        <v>0.86625623313779654</v>
      </c>
      <c r="K74">
        <v>0.96705592235485927</v>
      </c>
      <c r="L74">
        <v>0.96549152261378268</v>
      </c>
      <c r="M74">
        <v>0.9234706262786021</v>
      </c>
      <c r="N74">
        <v>0.60509497503287446</v>
      </c>
      <c r="O74">
        <v>0.95387816641386158</v>
      </c>
      <c r="P74">
        <v>0.9362485412460938</v>
      </c>
      <c r="Q74">
        <v>0.9368400871341197</v>
      </c>
      <c r="R74">
        <v>0.88781811334808258</v>
      </c>
      <c r="S74">
        <v>0.81206320896285911</v>
      </c>
      <c r="T74">
        <v>0.9429540398284717</v>
      </c>
      <c r="U74">
        <v>0.78723586313323557</v>
      </c>
      <c r="V74">
        <v>0.98117347548283618</v>
      </c>
      <c r="W74">
        <v>0.72095660522763261</v>
      </c>
      <c r="X74">
        <v>0.91168295085148932</v>
      </c>
      <c r="Y74">
        <v>0.92653622855078765</v>
      </c>
      <c r="Z74">
        <v>0.88868101932882271</v>
      </c>
      <c r="AA74">
        <v>0.70721684462100975</v>
      </c>
      <c r="AB74">
        <v>0.69519896795449743</v>
      </c>
      <c r="AC74">
        <v>0.98108279297825185</v>
      </c>
      <c r="AD74">
        <v>0.48632344681691259</v>
      </c>
    </row>
    <row r="75" spans="1:30" x14ac:dyDescent="0.25">
      <c r="A75" t="s">
        <v>350</v>
      </c>
      <c r="B75" t="s">
        <v>431</v>
      </c>
      <c r="C75" t="s">
        <v>436</v>
      </c>
      <c r="D75" t="s">
        <v>438</v>
      </c>
      <c r="E75">
        <v>0</v>
      </c>
      <c r="F75">
        <v>0.72735851232774773</v>
      </c>
      <c r="G75">
        <v>0.96432080437240608</v>
      </c>
      <c r="H75">
        <v>0.89380310122504225</v>
      </c>
      <c r="I75">
        <v>0.93388854272666288</v>
      </c>
      <c r="J75">
        <v>0.77172263469990743</v>
      </c>
      <c r="K75">
        <v>0.90318724304614095</v>
      </c>
      <c r="L75">
        <v>0.99971839000510199</v>
      </c>
      <c r="M75">
        <v>0.57826098547861693</v>
      </c>
      <c r="N75">
        <v>0.97918131669049768</v>
      </c>
      <c r="O75">
        <v>0.75447500543169355</v>
      </c>
      <c r="P75">
        <v>0.75639118926269977</v>
      </c>
      <c r="Q75">
        <v>0.99325813641869609</v>
      </c>
      <c r="R75">
        <v>0.9913960815517816</v>
      </c>
      <c r="S75">
        <v>0.99988401762897328</v>
      </c>
      <c r="T75">
        <v>0</v>
      </c>
      <c r="U75">
        <v>0.76357098297997528</v>
      </c>
      <c r="V75">
        <v>0.97525342727442421</v>
      </c>
      <c r="W75">
        <v>0.9002839360530368</v>
      </c>
      <c r="X75">
        <v>0.97068868428002875</v>
      </c>
      <c r="Y75">
        <v>0.64367313245552105</v>
      </c>
      <c r="Z75">
        <v>0.5964710195405053</v>
      </c>
      <c r="AA75">
        <v>0.99768300664878617</v>
      </c>
      <c r="AB75">
        <v>0.9166382906093844</v>
      </c>
      <c r="AC75">
        <v>0</v>
      </c>
      <c r="AD75">
        <v>0.93612759543317481</v>
      </c>
    </row>
    <row r="76" spans="1:30" x14ac:dyDescent="0.25">
      <c r="A76" t="s">
        <v>351</v>
      </c>
      <c r="B76" t="s">
        <v>431</v>
      </c>
      <c r="C76" t="s">
        <v>436</v>
      </c>
      <c r="D76" t="s">
        <v>438</v>
      </c>
      <c r="E76">
        <v>4.5283471186455437E-6</v>
      </c>
      <c r="F76">
        <v>8.9341440555526237E-4</v>
      </c>
      <c r="G76">
        <v>9.568673048373777E-6</v>
      </c>
      <c r="H76">
        <v>0</v>
      </c>
      <c r="I76">
        <v>2.6620976699934484E-5</v>
      </c>
      <c r="J76">
        <v>0</v>
      </c>
      <c r="K76">
        <v>0</v>
      </c>
      <c r="L76">
        <v>2.313854364327144E-4</v>
      </c>
      <c r="M76">
        <v>0</v>
      </c>
      <c r="N76">
        <v>1.8262116489223425E-6</v>
      </c>
      <c r="O76">
        <v>0</v>
      </c>
      <c r="P76">
        <v>0</v>
      </c>
      <c r="Q76">
        <v>1.3814834666444757E-5</v>
      </c>
      <c r="R76">
        <v>0</v>
      </c>
      <c r="S76">
        <v>0</v>
      </c>
      <c r="T76">
        <v>0.47958853293113862</v>
      </c>
      <c r="U76">
        <v>7.3469781208762241E-2</v>
      </c>
      <c r="V76">
        <v>0</v>
      </c>
      <c r="W76">
        <v>1.5232179996574022E-6</v>
      </c>
      <c r="X76">
        <v>1.8872337733682326E-4</v>
      </c>
      <c r="Y76">
        <v>6.4737186215023067E-6</v>
      </c>
      <c r="Z76">
        <v>0</v>
      </c>
      <c r="AA76">
        <v>0</v>
      </c>
      <c r="AB76">
        <v>4.9079711920400286E-7</v>
      </c>
      <c r="AC76">
        <v>0</v>
      </c>
      <c r="AD76">
        <v>1.112778951441799E-5</v>
      </c>
    </row>
    <row r="77" spans="1:30" x14ac:dyDescent="0.25">
      <c r="A77" t="s">
        <v>352</v>
      </c>
      <c r="B77" t="s">
        <v>431</v>
      </c>
      <c r="C77" t="s">
        <v>436</v>
      </c>
      <c r="D77" t="s">
        <v>438</v>
      </c>
      <c r="E77">
        <v>0</v>
      </c>
      <c r="F77">
        <v>0</v>
      </c>
      <c r="G77">
        <v>0</v>
      </c>
      <c r="H77">
        <v>9.1716079003597545E-2</v>
      </c>
      <c r="I77">
        <v>2.5618011257951157E-2</v>
      </c>
      <c r="J77">
        <v>0.22422742688148964</v>
      </c>
      <c r="K77">
        <v>8.2299934393990373E-2</v>
      </c>
      <c r="L77">
        <v>0</v>
      </c>
      <c r="M77">
        <v>0.18315528096380382</v>
      </c>
      <c r="N77">
        <v>1.6608995766420803E-2</v>
      </c>
      <c r="O77">
        <v>0.24539722892351695</v>
      </c>
      <c r="P77">
        <v>0.19307702302434779</v>
      </c>
      <c r="Q77">
        <v>9.7525849320448822E-4</v>
      </c>
      <c r="R77">
        <v>7.5638359943660319E-3</v>
      </c>
      <c r="S77">
        <v>0</v>
      </c>
      <c r="T77">
        <v>0</v>
      </c>
      <c r="U77">
        <v>1.6668810359068073E-2</v>
      </c>
      <c r="V77">
        <v>2.014547564349338E-2</v>
      </c>
      <c r="W77">
        <v>7.4198718681355066E-2</v>
      </c>
      <c r="X77">
        <v>8.4482275048940389E-3</v>
      </c>
      <c r="Y77">
        <v>0.35082219092263178</v>
      </c>
      <c r="Z77">
        <v>4.4635634952286368E-2</v>
      </c>
      <c r="AA77">
        <v>0</v>
      </c>
      <c r="AB77">
        <v>3.9078645688698371E-2</v>
      </c>
      <c r="AC77">
        <v>0</v>
      </c>
      <c r="AD77">
        <v>2.3207385980494176E-2</v>
      </c>
    </row>
    <row r="78" spans="1:30" x14ac:dyDescent="0.25">
      <c r="A78" t="s">
        <v>353</v>
      </c>
      <c r="B78" t="s">
        <v>431</v>
      </c>
      <c r="C78" t="s">
        <v>436</v>
      </c>
      <c r="D78" t="s">
        <v>438</v>
      </c>
      <c r="E78">
        <v>1.9591359808372837E-3</v>
      </c>
      <c r="F78">
        <v>4.8462387441927969E-3</v>
      </c>
      <c r="G78">
        <v>4.4094373853941743E-5</v>
      </c>
      <c r="H78">
        <v>6.1088388469519275E-4</v>
      </c>
      <c r="I78">
        <v>1.6469419426167304E-5</v>
      </c>
      <c r="J78">
        <v>4.6535156985730399E-5</v>
      </c>
      <c r="K78">
        <v>1.0443461680080555E-4</v>
      </c>
      <c r="L78">
        <v>0</v>
      </c>
      <c r="M78">
        <v>0</v>
      </c>
      <c r="N78">
        <v>0</v>
      </c>
      <c r="O78">
        <v>0</v>
      </c>
      <c r="P78">
        <v>0</v>
      </c>
      <c r="Q78">
        <v>6.5683649260490017E-5</v>
      </c>
      <c r="R78">
        <v>0</v>
      </c>
      <c r="S78">
        <v>2.2612025429010825E-5</v>
      </c>
      <c r="T78">
        <v>6.8621563556359774E-2</v>
      </c>
      <c r="U78">
        <v>9.804481263718013E-3</v>
      </c>
      <c r="V78">
        <v>3.0251773723831801E-4</v>
      </c>
      <c r="W78">
        <v>1.0365063387955755E-4</v>
      </c>
      <c r="X78">
        <v>0</v>
      </c>
      <c r="Y78">
        <v>1.4439063743663453E-4</v>
      </c>
      <c r="Z78">
        <v>1.1617882862358502E-4</v>
      </c>
      <c r="AA78">
        <v>1.1848351735123911E-5</v>
      </c>
      <c r="AB78">
        <v>5.8808779084470131E-5</v>
      </c>
      <c r="AC78">
        <v>7.8989624666479186E-2</v>
      </c>
      <c r="AD78">
        <v>1.8885410211855139E-5</v>
      </c>
    </row>
    <row r="79" spans="1:30" x14ac:dyDescent="0.25">
      <c r="A79" t="s">
        <v>447</v>
      </c>
      <c r="B79" t="s">
        <v>431</v>
      </c>
      <c r="C79" t="s">
        <v>436</v>
      </c>
      <c r="D79" t="s">
        <v>438</v>
      </c>
      <c r="E79">
        <v>0.55074460589500518</v>
      </c>
      <c r="F79">
        <v>0</v>
      </c>
      <c r="G79">
        <v>1.8824680843626162E-2</v>
      </c>
      <c r="H79">
        <v>0</v>
      </c>
      <c r="I79">
        <v>1.950664131854233E-2</v>
      </c>
      <c r="J79">
        <v>1.4820498867741243E-4</v>
      </c>
      <c r="K79">
        <v>0</v>
      </c>
      <c r="L79">
        <v>0</v>
      </c>
      <c r="M79">
        <v>0.23111728957233532</v>
      </c>
      <c r="N79">
        <v>2.3803107468728158E-3</v>
      </c>
      <c r="O79">
        <v>0</v>
      </c>
      <c r="P79">
        <v>1.3946145176880781E-2</v>
      </c>
      <c r="Q79">
        <v>3.4357398159514069E-3</v>
      </c>
      <c r="R79">
        <v>0</v>
      </c>
      <c r="S79">
        <v>0</v>
      </c>
      <c r="T79">
        <v>0</v>
      </c>
      <c r="U79">
        <v>3.6611949693976416E-2</v>
      </c>
      <c r="V79">
        <v>0</v>
      </c>
      <c r="W79">
        <v>4.47109093746748E-3</v>
      </c>
      <c r="X79">
        <v>1.973007394712151E-2</v>
      </c>
      <c r="Y79">
        <v>3.650024225967784E-3</v>
      </c>
      <c r="Z79">
        <v>0.13632907611138528</v>
      </c>
      <c r="AA79">
        <v>1.3280571755614893E-3</v>
      </c>
      <c r="AB79">
        <v>9.5106495078708265E-3</v>
      </c>
      <c r="AC79">
        <v>0</v>
      </c>
      <c r="AD79">
        <v>2.3553198559686024E-2</v>
      </c>
    </row>
    <row r="80" spans="1:30" x14ac:dyDescent="0.25">
      <c r="A80" t="s">
        <v>355</v>
      </c>
      <c r="B80" t="s">
        <v>431</v>
      </c>
      <c r="C80" t="s">
        <v>436</v>
      </c>
      <c r="D80" t="s">
        <v>438</v>
      </c>
      <c r="E80">
        <v>0.44239061691285597</v>
      </c>
      <c r="F80">
        <v>0.23354320391984035</v>
      </c>
      <c r="G80">
        <v>1.6775246649444013E-2</v>
      </c>
      <c r="H80">
        <v>1.3738666855083809E-2</v>
      </c>
      <c r="I80">
        <v>2.0835891445135164E-2</v>
      </c>
      <c r="J80">
        <v>3.8143287523768159E-3</v>
      </c>
      <c r="K80">
        <v>0</v>
      </c>
      <c r="L80">
        <v>0</v>
      </c>
      <c r="M80">
        <v>5.7647829033196348E-3</v>
      </c>
      <c r="N80">
        <v>1.7405305350041806E-3</v>
      </c>
      <c r="O80">
        <v>1.2772415843533892E-4</v>
      </c>
      <c r="P80">
        <v>3.6585642536071716E-2</v>
      </c>
      <c r="Q80">
        <v>2.2513667882209849E-3</v>
      </c>
      <c r="R80">
        <v>9.9149690606719276E-4</v>
      </c>
      <c r="S80">
        <v>0</v>
      </c>
      <c r="T80">
        <v>0</v>
      </c>
      <c r="U80">
        <v>9.9873994494499962E-2</v>
      </c>
      <c r="V80">
        <v>3.1992640833481438E-3</v>
      </c>
      <c r="W80">
        <v>1.9441233065359935E-2</v>
      </c>
      <c r="X80">
        <v>9.4429089061868045E-4</v>
      </c>
      <c r="Y80">
        <v>1.4590483595099532E-3</v>
      </c>
      <c r="Z80">
        <v>0.22212878952597798</v>
      </c>
      <c r="AA80">
        <v>8.6236372777201929E-4</v>
      </c>
      <c r="AB80">
        <v>3.4637652810463222E-2</v>
      </c>
      <c r="AC80">
        <v>0.76640404246073113</v>
      </c>
      <c r="AD80">
        <v>1.700278118362902E-2</v>
      </c>
    </row>
    <row r="81" spans="1:30" x14ac:dyDescent="0.25">
      <c r="A81" t="s">
        <v>356</v>
      </c>
      <c r="B81" t="s">
        <v>431</v>
      </c>
      <c r="C81" t="s">
        <v>436</v>
      </c>
      <c r="D81" t="s">
        <v>438</v>
      </c>
      <c r="E81">
        <v>4.9011128641830853E-3</v>
      </c>
      <c r="F81">
        <v>3.3358630602664023E-2</v>
      </c>
      <c r="G81">
        <v>2.5605087621358783E-5</v>
      </c>
      <c r="H81">
        <v>1.3126903158104739E-4</v>
      </c>
      <c r="I81">
        <v>1.0782285558223536E-4</v>
      </c>
      <c r="J81">
        <v>4.0869520562861776E-5</v>
      </c>
      <c r="K81">
        <v>1.4408387943067978E-2</v>
      </c>
      <c r="L81">
        <v>5.0224558465341902E-5</v>
      </c>
      <c r="M81">
        <v>1.7016610819242011E-3</v>
      </c>
      <c r="N81">
        <v>8.7020049555711711E-5</v>
      </c>
      <c r="O81">
        <v>4.1486354122288223E-8</v>
      </c>
      <c r="P81">
        <v>0</v>
      </c>
      <c r="Q81">
        <v>0</v>
      </c>
      <c r="R81">
        <v>4.8585547785252064E-5</v>
      </c>
      <c r="S81">
        <v>9.3370345597679118E-5</v>
      </c>
      <c r="T81">
        <v>0.45178990351250164</v>
      </c>
      <c r="U81">
        <v>0</v>
      </c>
      <c r="V81">
        <v>1.099315261495977E-3</v>
      </c>
      <c r="W81">
        <v>1.4998474109015074E-3</v>
      </c>
      <c r="X81">
        <v>0</v>
      </c>
      <c r="Y81">
        <v>2.4473968031136774E-4</v>
      </c>
      <c r="Z81">
        <v>3.1930104122149206E-4</v>
      </c>
      <c r="AA81">
        <v>1.1472409614522582E-4</v>
      </c>
      <c r="AB81">
        <v>7.5461807379804358E-5</v>
      </c>
      <c r="AC81">
        <v>0.15460633287278977</v>
      </c>
      <c r="AD81">
        <v>7.9025643289843618E-5</v>
      </c>
    </row>
    <row r="82" spans="1:30" x14ac:dyDescent="0.25">
      <c r="A82" t="s">
        <v>357</v>
      </c>
      <c r="B82" t="s">
        <v>431</v>
      </c>
      <c r="C82" t="s">
        <v>436</v>
      </c>
      <c r="D82" t="s">
        <v>439</v>
      </c>
      <c r="E82">
        <v>2.7902917174476793E-2</v>
      </c>
      <c r="F82">
        <v>0.25018955158090495</v>
      </c>
      <c r="G82">
        <v>0.10110233280250895</v>
      </c>
      <c r="H82">
        <v>0.13353954223579828</v>
      </c>
      <c r="I82">
        <v>0.42013347241834337</v>
      </c>
      <c r="J82">
        <v>0.16978798366656861</v>
      </c>
      <c r="K82">
        <v>1.1217986867379138E-2</v>
      </c>
      <c r="L82">
        <v>1.4197087139636921E-2</v>
      </c>
      <c r="M82">
        <v>4.0276568659753202E-2</v>
      </c>
      <c r="N82">
        <v>0.71959270734867387</v>
      </c>
      <c r="O82">
        <v>1.2480104688617282E-2</v>
      </c>
      <c r="P82">
        <v>3.7874956001537535E-2</v>
      </c>
      <c r="Q82">
        <v>6.6202703239287911E-2</v>
      </c>
      <c r="R82">
        <v>0.14467118525042619</v>
      </c>
      <c r="S82">
        <v>0.12108678846282425</v>
      </c>
      <c r="T82">
        <v>5.8497360926726402E-2</v>
      </c>
      <c r="U82">
        <v>5.6964727169136357E-2</v>
      </c>
      <c r="V82">
        <v>2.5636785772255241E-2</v>
      </c>
      <c r="W82">
        <v>0.20435523681637552</v>
      </c>
      <c r="X82">
        <v>0.21874544282328282</v>
      </c>
      <c r="Y82">
        <v>3.0213036187749419E-2</v>
      </c>
      <c r="Z82">
        <v>5.6790801670897409E-2</v>
      </c>
      <c r="AA82">
        <v>0.2898358506231854</v>
      </c>
      <c r="AB82">
        <v>0.25771570226799717</v>
      </c>
      <c r="AC82">
        <v>3.186356481551105E-3</v>
      </c>
      <c r="AD82">
        <v>0.42627155357821528</v>
      </c>
    </row>
    <row r="83" spans="1:30" x14ac:dyDescent="0.25">
      <c r="A83" t="s">
        <v>358</v>
      </c>
      <c r="B83" t="s">
        <v>431</v>
      </c>
      <c r="C83" t="s">
        <v>436</v>
      </c>
      <c r="D83" t="s">
        <v>439</v>
      </c>
      <c r="E83">
        <v>0.97209708282552321</v>
      </c>
      <c r="F83">
        <v>0.74981044841909505</v>
      </c>
      <c r="G83">
        <v>0.89889766719749109</v>
      </c>
      <c r="H83">
        <v>0.86646045776420177</v>
      </c>
      <c r="I83">
        <v>0.57986652758165669</v>
      </c>
      <c r="J83">
        <v>0.83021201633343134</v>
      </c>
      <c r="K83">
        <v>0.98878201313262093</v>
      </c>
      <c r="L83">
        <v>0.98580291286036315</v>
      </c>
      <c r="M83">
        <v>0.95972343134024674</v>
      </c>
      <c r="N83">
        <v>0.28040729265132608</v>
      </c>
      <c r="O83">
        <v>0.98751989531138273</v>
      </c>
      <c r="P83">
        <v>0.96212504399846244</v>
      </c>
      <c r="Q83">
        <v>0.9337972967607121</v>
      </c>
      <c r="R83">
        <v>0.8553288147495739</v>
      </c>
      <c r="S83">
        <v>0.87891321153717572</v>
      </c>
      <c r="T83">
        <v>0.94150263907327358</v>
      </c>
      <c r="U83">
        <v>0.94303527283086364</v>
      </c>
      <c r="V83">
        <v>0.97436321422774474</v>
      </c>
      <c r="W83">
        <v>0.79564476318362454</v>
      </c>
      <c r="X83">
        <v>0.78125455717671721</v>
      </c>
      <c r="Y83">
        <v>0.9697869638122506</v>
      </c>
      <c r="Z83">
        <v>0.94320919832910255</v>
      </c>
      <c r="AA83">
        <v>0.7101641493768146</v>
      </c>
      <c r="AB83">
        <v>0.74228429773200288</v>
      </c>
      <c r="AC83">
        <v>0.99681364351844881</v>
      </c>
      <c r="AD83">
        <v>0.57372844642178467</v>
      </c>
    </row>
    <row r="84" spans="1:30" x14ac:dyDescent="0.25">
      <c r="A84" t="s">
        <v>359</v>
      </c>
      <c r="B84" t="s">
        <v>432</v>
      </c>
      <c r="C84" t="s">
        <v>435</v>
      </c>
      <c r="D84" t="s">
        <v>438</v>
      </c>
      <c r="E84">
        <v>0.17877240220399154</v>
      </c>
      <c r="F84">
        <v>0.15727409807212425</v>
      </c>
      <c r="G84">
        <v>0.21192454801075675</v>
      </c>
      <c r="H84">
        <v>0.48428738055143672</v>
      </c>
      <c r="I84">
        <v>0.2839634259610308</v>
      </c>
      <c r="J84">
        <v>0.15711854876808634</v>
      </c>
      <c r="K84">
        <v>0.10779114565592571</v>
      </c>
      <c r="L84">
        <v>9.1765162928252875E-2</v>
      </c>
      <c r="M84">
        <v>0.14960789792942575</v>
      </c>
      <c r="N84">
        <v>0.43153230092408229</v>
      </c>
      <c r="O84">
        <v>0.19688605249664826</v>
      </c>
      <c r="P84">
        <v>0.16226505618802206</v>
      </c>
      <c r="Q84">
        <v>0.20087318130157497</v>
      </c>
      <c r="R84">
        <v>0.25233635782064556</v>
      </c>
      <c r="S84">
        <v>0.12037023812213277</v>
      </c>
      <c r="T84">
        <v>0.11230709350626578</v>
      </c>
      <c r="U84">
        <v>0.28421965133519139</v>
      </c>
      <c r="V84">
        <v>0.11260010701592763</v>
      </c>
      <c r="W84">
        <v>0.72078264576660345</v>
      </c>
      <c r="X84">
        <v>0.39258036119980055</v>
      </c>
      <c r="Y84">
        <v>0.13776165102963869</v>
      </c>
      <c r="Z84">
        <v>9.5750555804922602E-2</v>
      </c>
      <c r="AA84">
        <v>0.10298909900400995</v>
      </c>
      <c r="AB84">
        <v>0.59095373817341557</v>
      </c>
      <c r="AC84">
        <v>0.26157298736931905</v>
      </c>
      <c r="AD84">
        <v>0.39739342010955575</v>
      </c>
    </row>
    <row r="85" spans="1:30" x14ac:dyDescent="0.25">
      <c r="A85" t="s">
        <v>360</v>
      </c>
      <c r="B85" t="s">
        <v>432</v>
      </c>
      <c r="C85" t="s">
        <v>435</v>
      </c>
      <c r="D85" t="s">
        <v>438</v>
      </c>
      <c r="E85">
        <v>3.3531846863645389E-4</v>
      </c>
      <c r="F85">
        <v>2.8378670694275803E-4</v>
      </c>
      <c r="G85">
        <v>2.1944558247307772E-4</v>
      </c>
      <c r="H85">
        <v>0</v>
      </c>
      <c r="I85">
        <v>6.3437549384311409E-5</v>
      </c>
      <c r="J85">
        <v>2.5663080001031408E-3</v>
      </c>
      <c r="K85">
        <v>0</v>
      </c>
      <c r="L85">
        <v>1.9779810881521047E-3</v>
      </c>
      <c r="M85">
        <v>0</v>
      </c>
      <c r="N85">
        <v>3.3301201077213876E-4</v>
      </c>
      <c r="O85">
        <v>1.7250012267524234E-2</v>
      </c>
      <c r="P85">
        <v>4.4840695535572605E-4</v>
      </c>
      <c r="Q85">
        <v>1.3104587651758081E-4</v>
      </c>
      <c r="R85">
        <v>0</v>
      </c>
      <c r="S85">
        <v>1.7278221743164459E-4</v>
      </c>
      <c r="T85">
        <v>1.1497189845900012E-3</v>
      </c>
      <c r="U85">
        <v>6.2610024580931527E-3</v>
      </c>
      <c r="V85">
        <v>0</v>
      </c>
      <c r="W85">
        <v>7.1981672770469232E-5</v>
      </c>
      <c r="X85">
        <v>7.7940077883629933E-3</v>
      </c>
      <c r="Y85">
        <v>1.2671648808959188E-3</v>
      </c>
      <c r="Z85">
        <v>0</v>
      </c>
      <c r="AA85">
        <v>1.3853426145126367E-3</v>
      </c>
      <c r="AB85">
        <v>5.8156711447494332E-5</v>
      </c>
      <c r="AC85">
        <v>0</v>
      </c>
      <c r="AD85">
        <v>3.1506160917705873E-4</v>
      </c>
    </row>
    <row r="86" spans="1:30" x14ac:dyDescent="0.25">
      <c r="A86" t="s">
        <v>361</v>
      </c>
      <c r="B86" t="s">
        <v>432</v>
      </c>
      <c r="C86" t="s">
        <v>435</v>
      </c>
      <c r="D86" t="s">
        <v>438</v>
      </c>
      <c r="E86">
        <v>0.38538371551160655</v>
      </c>
      <c r="F86">
        <v>0.7631425083058998</v>
      </c>
      <c r="G86">
        <v>0.46396539425876465</v>
      </c>
      <c r="H86">
        <v>8.5495157143458136E-2</v>
      </c>
      <c r="I86">
        <v>3.5152358592486409E-2</v>
      </c>
      <c r="J86">
        <v>9.4970890026447749E-2</v>
      </c>
      <c r="K86">
        <v>0.17122081413877757</v>
      </c>
      <c r="L86">
        <v>0.16256535994076499</v>
      </c>
      <c r="M86">
        <v>0.25787797503870258</v>
      </c>
      <c r="N86">
        <v>3.5203075726428459E-2</v>
      </c>
      <c r="O86">
        <v>0.17500048661290696</v>
      </c>
      <c r="P86">
        <v>0.46807301977468141</v>
      </c>
      <c r="Q86">
        <v>6.0668293677778866E-2</v>
      </c>
      <c r="R86">
        <v>0.20109156199231665</v>
      </c>
      <c r="S86">
        <v>0.6711152935849013</v>
      </c>
      <c r="T86">
        <v>0.59977960800358887</v>
      </c>
      <c r="U86">
        <v>0.20860376920070123</v>
      </c>
      <c r="V86">
        <v>0.21312668154076797</v>
      </c>
      <c r="W86">
        <v>1.8027764121932969E-2</v>
      </c>
      <c r="X86">
        <v>0.11123260127395448</v>
      </c>
      <c r="Y86">
        <v>0.48535252555496167</v>
      </c>
      <c r="Z86">
        <v>0.19977341599403964</v>
      </c>
      <c r="AA86">
        <v>0.7421095634514524</v>
      </c>
      <c r="AB86">
        <v>3.8264503450684072E-2</v>
      </c>
      <c r="AC86">
        <v>0.19791595882922813</v>
      </c>
      <c r="AD86">
        <v>7.3019903864587482E-2</v>
      </c>
    </row>
    <row r="87" spans="1:30" x14ac:dyDescent="0.25">
      <c r="A87" t="s">
        <v>362</v>
      </c>
      <c r="B87" t="s">
        <v>432</v>
      </c>
      <c r="C87" t="s">
        <v>435</v>
      </c>
      <c r="D87" t="s">
        <v>438</v>
      </c>
      <c r="E87">
        <v>3.2476777247401702E-3</v>
      </c>
      <c r="F87">
        <v>4.3699224174099959E-4</v>
      </c>
      <c r="G87">
        <v>4.8159118297936418E-3</v>
      </c>
      <c r="H87">
        <v>1.8359145676238931E-3</v>
      </c>
      <c r="I87">
        <v>7.2596535640813734E-4</v>
      </c>
      <c r="J87">
        <v>3.261028045244598E-3</v>
      </c>
      <c r="K87">
        <v>5.3421283903742223E-3</v>
      </c>
      <c r="L87">
        <v>4.6845382855490378E-3</v>
      </c>
      <c r="M87">
        <v>8.0104258677173596E-3</v>
      </c>
      <c r="N87">
        <v>8.4555718788444404E-4</v>
      </c>
      <c r="O87">
        <v>2.837655688423691E-4</v>
      </c>
      <c r="P87">
        <v>1.005603894344153E-2</v>
      </c>
      <c r="Q87">
        <v>1.606991522625496E-2</v>
      </c>
      <c r="R87">
        <v>2.6021220264067727E-3</v>
      </c>
      <c r="S87">
        <v>6.2628376871146205E-4</v>
      </c>
      <c r="T87">
        <v>4.589892227724603E-3</v>
      </c>
      <c r="U87">
        <v>2.4495041779847296E-2</v>
      </c>
      <c r="V87">
        <v>5.7699957054991619E-2</v>
      </c>
      <c r="W87">
        <v>1.1527882633035607E-3</v>
      </c>
      <c r="X87">
        <v>9.719525121749163E-4</v>
      </c>
      <c r="Y87">
        <v>4.3020556076528767E-3</v>
      </c>
      <c r="Z87">
        <v>2.3856865940723431E-3</v>
      </c>
      <c r="AA87">
        <v>2.8870218892140359E-4</v>
      </c>
      <c r="AB87">
        <v>1.073837885508246E-3</v>
      </c>
      <c r="AC87">
        <v>7.8046060648708088E-3</v>
      </c>
      <c r="AD87">
        <v>1.5134248600314124E-3</v>
      </c>
    </row>
    <row r="88" spans="1:30" x14ac:dyDescent="0.25">
      <c r="A88" t="s">
        <v>363</v>
      </c>
      <c r="B88" t="s">
        <v>432</v>
      </c>
      <c r="C88" t="s">
        <v>435</v>
      </c>
      <c r="D88" t="s">
        <v>438</v>
      </c>
      <c r="E88">
        <v>0.23221003004302501</v>
      </c>
      <c r="F88">
        <v>4.8977894763599324E-2</v>
      </c>
      <c r="G88">
        <v>0.19555630358339743</v>
      </c>
      <c r="H88">
        <v>0.14289066386596627</v>
      </c>
      <c r="I88">
        <v>9.6101756002835867E-2</v>
      </c>
      <c r="J88">
        <v>0.2173468159136725</v>
      </c>
      <c r="K88">
        <v>0.33068280053840265</v>
      </c>
      <c r="L88">
        <v>0.2502567001424762</v>
      </c>
      <c r="M88">
        <v>0.23563968739829888</v>
      </c>
      <c r="N88">
        <v>0.30972537659880855</v>
      </c>
      <c r="O88">
        <v>0.12784384983109801</v>
      </c>
      <c r="P88">
        <v>0.1699980018578553</v>
      </c>
      <c r="Q88">
        <v>0.17331921239686146</v>
      </c>
      <c r="R88">
        <v>0.15568829965499234</v>
      </c>
      <c r="S88">
        <v>0.16842591162164003</v>
      </c>
      <c r="T88">
        <v>0.1142196218817623</v>
      </c>
      <c r="U88">
        <v>0.29928159831413575</v>
      </c>
      <c r="V88">
        <v>0.45179289653514793</v>
      </c>
      <c r="W88">
        <v>2.5870923354978873E-2</v>
      </c>
      <c r="X88">
        <v>0.3223261805327377</v>
      </c>
      <c r="Y88">
        <v>0.13403324321924637</v>
      </c>
      <c r="Z88">
        <v>0.14925110657350737</v>
      </c>
      <c r="AA88">
        <v>0.13413575661676708</v>
      </c>
      <c r="AB88">
        <v>3.0008246563438729E-2</v>
      </c>
      <c r="AC88">
        <v>0.3348391789023093</v>
      </c>
      <c r="AD88">
        <v>9.8399298227548226E-2</v>
      </c>
    </row>
    <row r="89" spans="1:30" x14ac:dyDescent="0.25">
      <c r="A89" t="s">
        <v>448</v>
      </c>
      <c r="B89" t="s">
        <v>432</v>
      </c>
      <c r="C89" t="s">
        <v>435</v>
      </c>
      <c r="D89" t="s">
        <v>438</v>
      </c>
      <c r="E89">
        <v>0.15040602594180366</v>
      </c>
      <c r="F89">
        <v>2.3751170501793428E-2</v>
      </c>
      <c r="G89">
        <v>0.1012340299312955</v>
      </c>
      <c r="H89">
        <v>0.25687555608493395</v>
      </c>
      <c r="I89">
        <v>0.5560387181432076</v>
      </c>
      <c r="J89">
        <v>0.43638696191099086</v>
      </c>
      <c r="K89">
        <v>0.32387136868532462</v>
      </c>
      <c r="L89">
        <v>0.4506277294661592</v>
      </c>
      <c r="M89">
        <v>0.32296700652740723</v>
      </c>
      <c r="N89">
        <v>0.2020619228776746</v>
      </c>
      <c r="O89">
        <v>0.41413005992032786</v>
      </c>
      <c r="P89">
        <v>0.15913939973610083</v>
      </c>
      <c r="Q89">
        <v>0.48022277717292422</v>
      </c>
      <c r="R89">
        <v>0.34138889277685064</v>
      </c>
      <c r="S89">
        <v>3.4269604846627132E-2</v>
      </c>
      <c r="T89">
        <v>0.14704791567785688</v>
      </c>
      <c r="U89">
        <v>0.16379465235280141</v>
      </c>
      <c r="V89">
        <v>0.14686263713973441</v>
      </c>
      <c r="W89">
        <v>0.22045252544647922</v>
      </c>
      <c r="X89">
        <v>0.15828069193233038</v>
      </c>
      <c r="Y89">
        <v>0.21468082751883144</v>
      </c>
      <c r="Z89">
        <v>0.46061639682168004</v>
      </c>
      <c r="AA89">
        <v>1.3639815232592809E-2</v>
      </c>
      <c r="AB89">
        <v>0.32401329499714177</v>
      </c>
      <c r="AC89">
        <v>0.1517562770519309</v>
      </c>
      <c r="AD89">
        <v>0.36946158347157543</v>
      </c>
    </row>
    <row r="90" spans="1:30" x14ac:dyDescent="0.25">
      <c r="A90" t="s">
        <v>365</v>
      </c>
      <c r="B90" t="s">
        <v>432</v>
      </c>
      <c r="C90" t="s">
        <v>435</v>
      </c>
      <c r="D90" t="s">
        <v>438</v>
      </c>
      <c r="E90">
        <v>4.1262253688257595E-2</v>
      </c>
      <c r="F90">
        <v>9.4429467222927358E-4</v>
      </c>
      <c r="G90">
        <v>2.0597978058537282E-2</v>
      </c>
      <c r="H90">
        <v>2.4694851408749711E-2</v>
      </c>
      <c r="I90">
        <v>2.5415787902988669E-2</v>
      </c>
      <c r="J90">
        <v>4.6691295367373389E-2</v>
      </c>
      <c r="K90">
        <v>3.6295448871770261E-2</v>
      </c>
      <c r="L90">
        <v>3.6885600599420941E-2</v>
      </c>
      <c r="M90">
        <v>1.8803050393499839E-2</v>
      </c>
      <c r="N90">
        <v>1.4576078323927735E-2</v>
      </c>
      <c r="O90">
        <v>1.6510397395433706E-2</v>
      </c>
      <c r="P90">
        <v>2.6442157479877444E-2</v>
      </c>
      <c r="Q90">
        <v>5.9024806254213351E-2</v>
      </c>
      <c r="R90">
        <v>4.228623619312373E-2</v>
      </c>
      <c r="S90">
        <v>9.9535373468319583E-4</v>
      </c>
      <c r="T90">
        <v>1.6613804884870222E-2</v>
      </c>
      <c r="U90">
        <v>1.1239016557259158E-2</v>
      </c>
      <c r="V90">
        <v>1.5449711483121568E-2</v>
      </c>
      <c r="W90">
        <v>7.9304196188346721E-3</v>
      </c>
      <c r="X90">
        <v>2.4348084150266954E-3</v>
      </c>
      <c r="Y90">
        <v>8.6734651939720797E-3</v>
      </c>
      <c r="Z90">
        <v>7.6560531145072164E-2</v>
      </c>
      <c r="AA90">
        <v>1.0082265707011884E-3</v>
      </c>
      <c r="AB90">
        <v>1.4390258966514288E-2</v>
      </c>
      <c r="AC90">
        <v>4.2073082224522926E-2</v>
      </c>
      <c r="AD90">
        <v>5.1446534354585044E-2</v>
      </c>
    </row>
    <row r="91" spans="1:30" x14ac:dyDescent="0.25">
      <c r="A91" t="s">
        <v>366</v>
      </c>
      <c r="B91" t="s">
        <v>432</v>
      </c>
      <c r="C91" t="s">
        <v>435</v>
      </c>
      <c r="D91" t="s">
        <v>438</v>
      </c>
      <c r="E91">
        <v>8.3825764179390611E-3</v>
      </c>
      <c r="F91">
        <v>5.1892547356702876E-3</v>
      </c>
      <c r="G91">
        <v>1.6863887449816446E-3</v>
      </c>
      <c r="H91">
        <v>3.9204763778310356E-3</v>
      </c>
      <c r="I91">
        <v>2.5385504916583474E-3</v>
      </c>
      <c r="J91">
        <v>4.1658151968081411E-2</v>
      </c>
      <c r="K91">
        <v>2.4796293719424923E-2</v>
      </c>
      <c r="L91">
        <v>1.2369275492247645E-3</v>
      </c>
      <c r="M91">
        <v>7.0939568449482392E-3</v>
      </c>
      <c r="N91">
        <v>5.7226763504218195E-3</v>
      </c>
      <c r="O91">
        <v>5.209537590721864E-2</v>
      </c>
      <c r="P91">
        <v>3.5779190646658397E-3</v>
      </c>
      <c r="Q91">
        <v>9.6907680938747142E-3</v>
      </c>
      <c r="R91">
        <v>4.6065295356642966E-3</v>
      </c>
      <c r="S91">
        <v>4.0245321038723716E-3</v>
      </c>
      <c r="T91">
        <v>4.2923448333413447E-3</v>
      </c>
      <c r="U91">
        <v>2.1052680019706211E-3</v>
      </c>
      <c r="V91">
        <v>2.4680092303090246E-3</v>
      </c>
      <c r="W91">
        <v>5.7109517550968953E-3</v>
      </c>
      <c r="X91">
        <v>4.3793963456122851E-3</v>
      </c>
      <c r="Y91">
        <v>1.3929066994800938E-2</v>
      </c>
      <c r="Z91">
        <v>1.566230706670586E-2</v>
      </c>
      <c r="AA91">
        <v>4.4434943210425477E-3</v>
      </c>
      <c r="AB91">
        <v>1.2379632518497877E-3</v>
      </c>
      <c r="AC91">
        <v>4.0379095578190671E-3</v>
      </c>
      <c r="AD91">
        <v>8.4507735029397384E-3</v>
      </c>
    </row>
    <row r="92" spans="1:30" x14ac:dyDescent="0.25">
      <c r="A92" t="s">
        <v>367</v>
      </c>
      <c r="B92" t="s">
        <v>432</v>
      </c>
      <c r="C92" t="s">
        <v>435</v>
      </c>
      <c r="D92" t="s">
        <v>439</v>
      </c>
      <c r="E92">
        <v>9.3536472197938772E-2</v>
      </c>
      <c r="F92">
        <v>0.3684475234075667</v>
      </c>
      <c r="G92">
        <v>0.14358852400668484</v>
      </c>
      <c r="H92">
        <v>0.29525300239701369</v>
      </c>
      <c r="I92">
        <v>0.44445500025912138</v>
      </c>
      <c r="J92">
        <v>0.17096745476857869</v>
      </c>
      <c r="K92">
        <v>6.0034689599321581E-2</v>
      </c>
      <c r="L92">
        <v>0.16054601706911614</v>
      </c>
      <c r="M92">
        <v>7.8532725281451832E-2</v>
      </c>
      <c r="N92">
        <v>0.21450731380509996</v>
      </c>
      <c r="O92">
        <v>0.10931360490684666</v>
      </c>
      <c r="P92">
        <v>0.14552692555885985</v>
      </c>
      <c r="Q92">
        <v>0.10983039165050439</v>
      </c>
      <c r="R92">
        <v>0.21221411081345687</v>
      </c>
      <c r="S92">
        <v>0.37895569452204064</v>
      </c>
      <c r="T92">
        <v>0.12703767577875311</v>
      </c>
      <c r="U92">
        <v>0.18456877356959039</v>
      </c>
      <c r="V92">
        <v>2.7680006682105292E-2</v>
      </c>
      <c r="W92">
        <v>0.58230469083836167</v>
      </c>
      <c r="X92">
        <v>0.11714141371929759</v>
      </c>
      <c r="Y92">
        <v>0.14845807126983168</v>
      </c>
      <c r="Z92">
        <v>0.29692356960558575</v>
      </c>
      <c r="AA92">
        <v>0.16539834379167376</v>
      </c>
      <c r="AB92">
        <v>0.24771308629871394</v>
      </c>
      <c r="AC92">
        <v>2.3114519843044658E-2</v>
      </c>
      <c r="AD92">
        <v>0.38850723614860061</v>
      </c>
    </row>
    <row r="93" spans="1:30" x14ac:dyDescent="0.25">
      <c r="A93" t="s">
        <v>368</v>
      </c>
      <c r="B93" t="s">
        <v>432</v>
      </c>
      <c r="C93" t="s">
        <v>435</v>
      </c>
      <c r="D93" t="s">
        <v>439</v>
      </c>
      <c r="E93">
        <v>0.9064635278020613</v>
      </c>
      <c r="F93">
        <v>0.6315524765924333</v>
      </c>
      <c r="G93">
        <v>0.85641147599331513</v>
      </c>
      <c r="H93">
        <v>0.7047469976029862</v>
      </c>
      <c r="I93">
        <v>0.55554499974087856</v>
      </c>
      <c r="J93">
        <v>0.82903254523142134</v>
      </c>
      <c r="K93">
        <v>0.93996531040067843</v>
      </c>
      <c r="L93">
        <v>0.8394539829308838</v>
      </c>
      <c r="M93">
        <v>0.92146727471854817</v>
      </c>
      <c r="N93">
        <v>0.78549268619489998</v>
      </c>
      <c r="O93">
        <v>0.89068639509315328</v>
      </c>
      <c r="P93">
        <v>0.85447307444114018</v>
      </c>
      <c r="Q93">
        <v>0.89016960834949566</v>
      </c>
      <c r="R93">
        <v>0.78778588918654302</v>
      </c>
      <c r="S93">
        <v>0.6210443054779593</v>
      </c>
      <c r="T93">
        <v>0.87296232422124687</v>
      </c>
      <c r="U93">
        <v>0.81543122643040955</v>
      </c>
      <c r="V93">
        <v>0.97231999331789476</v>
      </c>
      <c r="W93">
        <v>0.41769530916163827</v>
      </c>
      <c r="X93">
        <v>0.88285858628070246</v>
      </c>
      <c r="Y93">
        <v>0.85154192873016832</v>
      </c>
      <c r="Z93">
        <v>0.70307643039441425</v>
      </c>
      <c r="AA93">
        <v>0.83460165620832638</v>
      </c>
      <c r="AB93">
        <v>0.75228691370128609</v>
      </c>
      <c r="AC93">
        <v>0.97688548015695542</v>
      </c>
      <c r="AD93">
        <v>0.61149276385139939</v>
      </c>
    </row>
    <row r="94" spans="1:30" x14ac:dyDescent="0.25">
      <c r="A94" t="s">
        <v>369</v>
      </c>
      <c r="B94" t="s">
        <v>432</v>
      </c>
      <c r="C94" t="s">
        <v>436</v>
      </c>
      <c r="D94" t="s">
        <v>438</v>
      </c>
      <c r="E94">
        <v>0.11609662102987943</v>
      </c>
      <c r="F94">
        <v>0.15908435386071956</v>
      </c>
      <c r="G94">
        <v>0</v>
      </c>
      <c r="H94">
        <v>0.48279650462478046</v>
      </c>
      <c r="I94">
        <v>0.23837865648074805</v>
      </c>
      <c r="J94">
        <v>4.3935768111089131E-2</v>
      </c>
      <c r="K94">
        <v>0.11326932975577304</v>
      </c>
      <c r="L94">
        <v>9.336146145156575E-2</v>
      </c>
      <c r="M94">
        <v>1.0491624694336135E-2</v>
      </c>
      <c r="N94">
        <v>0.26202238221150759</v>
      </c>
      <c r="O94">
        <v>0.15751066416109472</v>
      </c>
      <c r="P94">
        <v>0.15954402015348795</v>
      </c>
      <c r="Q94">
        <v>7.5114722816153265E-3</v>
      </c>
      <c r="R94">
        <v>0.11422995169584765</v>
      </c>
      <c r="S94">
        <v>0</v>
      </c>
      <c r="T94">
        <v>1.6636648919619208E-2</v>
      </c>
      <c r="U94">
        <v>0</v>
      </c>
      <c r="V94">
        <v>0.12422480762846069</v>
      </c>
      <c r="W94">
        <v>0.72965594111741627</v>
      </c>
      <c r="X94">
        <v>0.28977420359097389</v>
      </c>
      <c r="Y94">
        <v>5.5151175877219155E-2</v>
      </c>
      <c r="Z94">
        <v>0.10676324249246127</v>
      </c>
      <c r="AA94">
        <v>0.14512750620665907</v>
      </c>
      <c r="AB94">
        <v>0.5895194249396315</v>
      </c>
      <c r="AC94">
        <v>0.14927920404738274</v>
      </c>
      <c r="AD94">
        <v>0.35600318914463686</v>
      </c>
    </row>
    <row r="95" spans="1:30" x14ac:dyDescent="0.25">
      <c r="A95" t="s">
        <v>370</v>
      </c>
      <c r="B95" t="s">
        <v>432</v>
      </c>
      <c r="C95" t="s">
        <v>436</v>
      </c>
      <c r="D95" t="s">
        <v>438</v>
      </c>
      <c r="E95">
        <v>0</v>
      </c>
      <c r="F95">
        <v>8.7355967785231149E-4</v>
      </c>
      <c r="G95">
        <v>7.3490716857581518E-5</v>
      </c>
      <c r="H95">
        <v>0</v>
      </c>
      <c r="I95">
        <v>2.0690584657671534E-4</v>
      </c>
      <c r="J95">
        <v>0</v>
      </c>
      <c r="K95">
        <v>0</v>
      </c>
      <c r="L95">
        <v>0</v>
      </c>
      <c r="M95">
        <v>0</v>
      </c>
      <c r="N95">
        <v>1.7344337721499421E-3</v>
      </c>
      <c r="O95">
        <v>4.0606231412680036E-2</v>
      </c>
      <c r="P95">
        <v>1.9082446743653473E-3</v>
      </c>
      <c r="Q95">
        <v>7.4526972124808356E-5</v>
      </c>
      <c r="R95">
        <v>0</v>
      </c>
      <c r="S95">
        <v>0</v>
      </c>
      <c r="T95">
        <v>1.5415192518582665E-4</v>
      </c>
      <c r="U95">
        <v>6.2710861121618756E-3</v>
      </c>
      <c r="V95">
        <v>0</v>
      </c>
      <c r="W95">
        <v>1.0132756879224863E-4</v>
      </c>
      <c r="X95">
        <v>1.4724678354198282E-3</v>
      </c>
      <c r="Y95">
        <v>6.3762560594206449E-4</v>
      </c>
      <c r="Z95">
        <v>2.1360741857512944E-4</v>
      </c>
      <c r="AA95">
        <v>3.0463117939132254E-3</v>
      </c>
      <c r="AB95">
        <v>1.3342160456419053E-4</v>
      </c>
      <c r="AC95">
        <v>0</v>
      </c>
      <c r="AD95">
        <v>1.4875676408904366E-4</v>
      </c>
    </row>
    <row r="96" spans="1:30" x14ac:dyDescent="0.25">
      <c r="A96" t="s">
        <v>371</v>
      </c>
      <c r="B96" t="s">
        <v>432</v>
      </c>
      <c r="C96" t="s">
        <v>436</v>
      </c>
      <c r="D96" t="s">
        <v>438</v>
      </c>
      <c r="E96">
        <v>0.24783136680605808</v>
      </c>
      <c r="F96">
        <v>0.76356725224540911</v>
      </c>
      <c r="G96">
        <v>0.76144885948301855</v>
      </c>
      <c r="H96">
        <v>0.2912200002491474</v>
      </c>
      <c r="I96">
        <v>4.5799757614113284E-2</v>
      </c>
      <c r="J96">
        <v>0.10756134092413765</v>
      </c>
      <c r="K96">
        <v>0.17412572224481396</v>
      </c>
      <c r="L96">
        <v>0.15040794000824248</v>
      </c>
      <c r="M96">
        <v>0.27105344410635079</v>
      </c>
      <c r="N96">
        <v>1.8284335164207695E-2</v>
      </c>
      <c r="O96">
        <v>0.16411757087850445</v>
      </c>
      <c r="P96">
        <v>0.46434889276946922</v>
      </c>
      <c r="Q96">
        <v>9.3674394006124262E-2</v>
      </c>
      <c r="R96">
        <v>0.25083415331775333</v>
      </c>
      <c r="S96">
        <v>0.92219547541398728</v>
      </c>
      <c r="T96">
        <v>0.6986397149056085</v>
      </c>
      <c r="U96">
        <v>0.26495128317328237</v>
      </c>
      <c r="V96">
        <v>0.31535485064549529</v>
      </c>
      <c r="W96">
        <v>3.4223569185880667E-2</v>
      </c>
      <c r="X96">
        <v>0.15234204856497591</v>
      </c>
      <c r="Y96">
        <v>0.19364209847638805</v>
      </c>
      <c r="Z96">
        <v>0.11374666033640254</v>
      </c>
      <c r="AA96">
        <v>0.64486790225926549</v>
      </c>
      <c r="AB96">
        <v>4.4804749516807629E-2</v>
      </c>
      <c r="AC96">
        <v>0.3127578892987769</v>
      </c>
      <c r="AD96">
        <v>8.2477600597159292E-2</v>
      </c>
    </row>
    <row r="97" spans="1:30" x14ac:dyDescent="0.25">
      <c r="A97" t="s">
        <v>372</v>
      </c>
      <c r="B97" t="s">
        <v>432</v>
      </c>
      <c r="C97" t="s">
        <v>436</v>
      </c>
      <c r="D97" t="s">
        <v>438</v>
      </c>
      <c r="E97">
        <v>8.2837213746577067E-3</v>
      </c>
      <c r="F97">
        <v>4.2194832940112921E-4</v>
      </c>
      <c r="G97">
        <v>1.3035470322798109E-4</v>
      </c>
      <c r="H97">
        <v>3.9013334378977098E-4</v>
      </c>
      <c r="I97">
        <v>1.128211844389734E-3</v>
      </c>
      <c r="J97">
        <v>1.2586950658332538E-3</v>
      </c>
      <c r="K97">
        <v>5.5947475509671874E-3</v>
      </c>
      <c r="L97">
        <v>6.7337590822502645E-3</v>
      </c>
      <c r="M97">
        <v>5.0138204700444456E-3</v>
      </c>
      <c r="N97">
        <v>0</v>
      </c>
      <c r="O97">
        <v>2.8181655630176799E-3</v>
      </c>
      <c r="P97">
        <v>0</v>
      </c>
      <c r="Q97">
        <v>0</v>
      </c>
      <c r="R97">
        <v>1.4605196049179675E-3</v>
      </c>
      <c r="S97">
        <v>2.8320442903823594E-3</v>
      </c>
      <c r="T97">
        <v>4.2627140812175213E-3</v>
      </c>
      <c r="U97">
        <v>5.015446072349404E-2</v>
      </c>
      <c r="V97">
        <v>2.9983863290237025E-2</v>
      </c>
      <c r="W97">
        <v>1.7222254295176339E-3</v>
      </c>
      <c r="X97">
        <v>1.9987567225087789E-3</v>
      </c>
      <c r="Y97">
        <v>2.9035507242435197E-3</v>
      </c>
      <c r="Z97">
        <v>3.5515241393644843E-3</v>
      </c>
      <c r="AA97">
        <v>4.2817210508533962E-4</v>
      </c>
      <c r="AB97">
        <v>8.870187832186779E-4</v>
      </c>
      <c r="AC97">
        <v>0</v>
      </c>
      <c r="AD97">
        <v>1.9619580134762997E-3</v>
      </c>
    </row>
    <row r="98" spans="1:30" x14ac:dyDescent="0.25">
      <c r="A98" t="s">
        <v>373</v>
      </c>
      <c r="B98" t="s">
        <v>432</v>
      </c>
      <c r="C98" t="s">
        <v>436</v>
      </c>
      <c r="D98" t="s">
        <v>438</v>
      </c>
      <c r="E98">
        <v>0.19023762202232491</v>
      </c>
      <c r="F98">
        <v>4.0690261868577646E-2</v>
      </c>
      <c r="G98">
        <v>7.263964373638224E-3</v>
      </c>
      <c r="H98">
        <v>0</v>
      </c>
      <c r="I98">
        <v>0.11945258543206871</v>
      </c>
      <c r="J98">
        <v>0.30479072001215024</v>
      </c>
      <c r="K98">
        <v>0.38470349192627706</v>
      </c>
      <c r="L98">
        <v>0.34806483749949962</v>
      </c>
      <c r="M98">
        <v>0.24918132366248605</v>
      </c>
      <c r="N98">
        <v>0.6519003763637079</v>
      </c>
      <c r="O98">
        <v>8.7834162805203619E-2</v>
      </c>
      <c r="P98">
        <v>8.1996966071286523E-2</v>
      </c>
      <c r="Q98">
        <v>0</v>
      </c>
      <c r="R98">
        <v>0.23625385464095564</v>
      </c>
      <c r="S98">
        <v>4.9841178954184655E-2</v>
      </c>
      <c r="T98">
        <v>0.17601330087918352</v>
      </c>
      <c r="U98">
        <v>0.16951281020382103</v>
      </c>
      <c r="V98">
        <v>0.26287323086165293</v>
      </c>
      <c r="W98">
        <v>2.4178267156588631E-2</v>
      </c>
      <c r="X98">
        <v>0.26313768714923264</v>
      </c>
      <c r="Y98">
        <v>0.1545277032987859</v>
      </c>
      <c r="Z98">
        <v>7.1122612564090776E-2</v>
      </c>
      <c r="AA98">
        <v>0.17888493731822144</v>
      </c>
      <c r="AB98">
        <v>1.6829259521495436E-2</v>
      </c>
      <c r="AC98">
        <v>0</v>
      </c>
      <c r="AD98">
        <v>9.1694973508802194E-2</v>
      </c>
    </row>
    <row r="99" spans="1:30" x14ac:dyDescent="0.25">
      <c r="A99" t="s">
        <v>449</v>
      </c>
      <c r="B99" t="s">
        <v>432</v>
      </c>
      <c r="C99" t="s">
        <v>436</v>
      </c>
      <c r="D99" t="s">
        <v>438</v>
      </c>
      <c r="E99">
        <v>0.29513813958353319</v>
      </c>
      <c r="F99">
        <v>2.2450942962280569E-2</v>
      </c>
      <c r="G99">
        <v>0.13142401344009913</v>
      </c>
      <c r="H99">
        <v>0.10381721143545497</v>
      </c>
      <c r="I99">
        <v>0.55807877940242823</v>
      </c>
      <c r="J99">
        <v>0.45686054913495783</v>
      </c>
      <c r="K99">
        <v>0.24542265780683786</v>
      </c>
      <c r="L99">
        <v>0.33335478798747048</v>
      </c>
      <c r="M99">
        <v>0.33399447726201753</v>
      </c>
      <c r="N99">
        <v>6.3352297102262756E-2</v>
      </c>
      <c r="O99">
        <v>0.53464965893341976</v>
      </c>
      <c r="P99">
        <v>0.20915031123806319</v>
      </c>
      <c r="Q99">
        <v>0.57877302155716814</v>
      </c>
      <c r="R99">
        <v>0.34066136982752132</v>
      </c>
      <c r="S99">
        <v>0</v>
      </c>
      <c r="T99">
        <v>3.9484051222323895E-2</v>
      </c>
      <c r="U99">
        <v>0.36663864119777739</v>
      </c>
      <c r="V99">
        <v>0.21561169790664964</v>
      </c>
      <c r="W99">
        <v>0.18957817712179656</v>
      </c>
      <c r="X99">
        <v>0.20378966582830632</v>
      </c>
      <c r="Y99">
        <v>0.50312066878780548</v>
      </c>
      <c r="Z99">
        <v>0.64034023379933869</v>
      </c>
      <c r="AA99">
        <v>1.443145979967924E-2</v>
      </c>
      <c r="AB99">
        <v>0.3297986107498172</v>
      </c>
      <c r="AC99">
        <v>0.20865516406294835</v>
      </c>
      <c r="AD99">
        <v>0.35760941111173072</v>
      </c>
    </row>
    <row r="100" spans="1:30" x14ac:dyDescent="0.25">
      <c r="A100" t="s">
        <v>375</v>
      </c>
      <c r="B100" t="s">
        <v>432</v>
      </c>
      <c r="C100" t="s">
        <v>436</v>
      </c>
      <c r="D100" t="s">
        <v>438</v>
      </c>
      <c r="E100">
        <v>0.10167540117254698</v>
      </c>
      <c r="F100">
        <v>1.8184909738842997E-3</v>
      </c>
      <c r="G100">
        <v>4.1925565044093803E-2</v>
      </c>
      <c r="H100">
        <v>0.12177615034682757</v>
      </c>
      <c r="I100">
        <v>2.8428523910156923E-2</v>
      </c>
      <c r="J100">
        <v>3.2204150868116913E-2</v>
      </c>
      <c r="K100">
        <v>6.2470791170341516E-2</v>
      </c>
      <c r="L100">
        <v>6.5833062841052323E-2</v>
      </c>
      <c r="M100">
        <v>2.0094369806191011E-2</v>
      </c>
      <c r="N100">
        <v>0</v>
      </c>
      <c r="O100">
        <v>0</v>
      </c>
      <c r="P100">
        <v>5.6697600047077155E-2</v>
      </c>
      <c r="Q100">
        <v>0.31996658518296739</v>
      </c>
      <c r="R100">
        <v>5.4937279764507997E-2</v>
      </c>
      <c r="S100">
        <v>3.347310864592661E-3</v>
      </c>
      <c r="T100">
        <v>3.7074315593559122E-2</v>
      </c>
      <c r="U100">
        <v>0.13058778498101697</v>
      </c>
      <c r="V100">
        <v>0</v>
      </c>
      <c r="W100">
        <v>6.8371801247249621E-3</v>
      </c>
      <c r="X100">
        <v>5.6463307179878816E-3</v>
      </c>
      <c r="Y100">
        <v>3.6954605384469763E-2</v>
      </c>
      <c r="Z100">
        <v>3.2294134583339171E-2</v>
      </c>
      <c r="AA100">
        <v>2.3232164727904022E-3</v>
      </c>
      <c r="AB100">
        <v>1.207111779567731E-2</v>
      </c>
      <c r="AC100">
        <v>0.30169381009181945</v>
      </c>
      <c r="AD100">
        <v>8.6151358329231598E-2</v>
      </c>
    </row>
    <row r="101" spans="1:30" x14ac:dyDescent="0.25">
      <c r="A101" t="s">
        <v>376</v>
      </c>
      <c r="B101" t="s">
        <v>432</v>
      </c>
      <c r="C101" t="s">
        <v>436</v>
      </c>
      <c r="D101" t="s">
        <v>438</v>
      </c>
      <c r="E101">
        <v>4.0737128010999699E-2</v>
      </c>
      <c r="F101">
        <v>1.1093190081875502E-2</v>
      </c>
      <c r="G101">
        <v>5.7733752239064642E-2</v>
      </c>
      <c r="H101">
        <v>0</v>
      </c>
      <c r="I101">
        <v>8.5265794695185693E-3</v>
      </c>
      <c r="J101">
        <v>5.3388775883715031E-2</v>
      </c>
      <c r="K101">
        <v>1.4413259544989475E-2</v>
      </c>
      <c r="L101">
        <v>2.2441511299190601E-3</v>
      </c>
      <c r="M101">
        <v>0.11017093999857411</v>
      </c>
      <c r="N101">
        <v>2.7061753861640551E-3</v>
      </c>
      <c r="O101">
        <v>1.2463546246079819E-2</v>
      </c>
      <c r="P101">
        <v>2.6353965046250628E-2</v>
      </c>
      <c r="Q101">
        <v>0</v>
      </c>
      <c r="R101">
        <v>1.6228711484962629E-3</v>
      </c>
      <c r="S101">
        <v>2.178399047685315E-2</v>
      </c>
      <c r="T101">
        <v>2.7735102473302416E-2</v>
      </c>
      <c r="U101">
        <v>1.1883933608446258E-2</v>
      </c>
      <c r="V101">
        <v>5.1951549667504329E-2</v>
      </c>
      <c r="W101">
        <v>1.3703312295283021E-2</v>
      </c>
      <c r="X101">
        <v>8.1838839590594598E-2</v>
      </c>
      <c r="Y101">
        <v>5.3062571845145977E-2</v>
      </c>
      <c r="Z101">
        <v>3.1967984666427973E-2</v>
      </c>
      <c r="AA101">
        <v>1.0890494044385768E-2</v>
      </c>
      <c r="AB101">
        <v>5.9563970887880355E-3</v>
      </c>
      <c r="AC101">
        <v>2.7613932499072628E-2</v>
      </c>
      <c r="AD101">
        <v>2.3952752530873866E-2</v>
      </c>
    </row>
    <row r="102" spans="1:30" x14ac:dyDescent="0.25">
      <c r="A102" t="s">
        <v>377</v>
      </c>
      <c r="B102" t="s">
        <v>432</v>
      </c>
      <c r="C102" t="s">
        <v>436</v>
      </c>
      <c r="D102" t="s">
        <v>439</v>
      </c>
      <c r="E102">
        <v>0.10342801433213016</v>
      </c>
      <c r="F102">
        <v>0.16576441624012464</v>
      </c>
      <c r="G102">
        <v>0.11336809626912205</v>
      </c>
      <c r="H102">
        <v>6.327005139840236E-2</v>
      </c>
      <c r="I102">
        <v>0.32213740012507824</v>
      </c>
      <c r="J102">
        <v>0.17018326645463974</v>
      </c>
      <c r="K102">
        <v>1.4653982137548332E-2</v>
      </c>
      <c r="L102">
        <v>5.5622771475595419E-2</v>
      </c>
      <c r="M102">
        <v>1.9251497063580068E-2</v>
      </c>
      <c r="N102">
        <v>1</v>
      </c>
      <c r="O102">
        <v>0</v>
      </c>
      <c r="P102">
        <v>7.569122493980808E-2</v>
      </c>
      <c r="Q102">
        <v>5.0560125304347524E-2</v>
      </c>
      <c r="R102">
        <v>0.10365994433097828</v>
      </c>
      <c r="S102">
        <v>0.10888609112644888</v>
      </c>
      <c r="T102">
        <v>4.7251879825928475E-2</v>
      </c>
      <c r="U102">
        <v>4.1363994875276949E-2</v>
      </c>
      <c r="V102">
        <v>1.4460120378326537E-2</v>
      </c>
      <c r="W102">
        <v>0.53572792384649659</v>
      </c>
      <c r="X102">
        <v>7.8175496570516839E-2</v>
      </c>
      <c r="Y102">
        <v>1.0341874653221254E-2</v>
      </c>
      <c r="Z102">
        <v>0.17098616919576323</v>
      </c>
      <c r="AA102">
        <v>4.5933210738890243E-2</v>
      </c>
      <c r="AB102">
        <v>0.2670403136375093</v>
      </c>
      <c r="AC102">
        <v>6.1497063539957568E-3</v>
      </c>
      <c r="AD102">
        <v>0.31241246524409716</v>
      </c>
    </row>
    <row r="103" spans="1:30" x14ac:dyDescent="0.25">
      <c r="A103" t="s">
        <v>378</v>
      </c>
      <c r="B103" t="s">
        <v>432</v>
      </c>
      <c r="C103" t="s">
        <v>436</v>
      </c>
      <c r="D103" t="s">
        <v>439</v>
      </c>
      <c r="E103">
        <v>0.89657198566786978</v>
      </c>
      <c r="F103">
        <v>0.83423558375987539</v>
      </c>
      <c r="G103">
        <v>0.88663190373087786</v>
      </c>
      <c r="H103">
        <v>0.93672994860159764</v>
      </c>
      <c r="I103">
        <v>0.6778625998749217</v>
      </c>
      <c r="J103">
        <v>0.82981673354536023</v>
      </c>
      <c r="K103">
        <v>0.98534601786245168</v>
      </c>
      <c r="L103">
        <v>0.94437722852440453</v>
      </c>
      <c r="M103">
        <v>0.98074850293641991</v>
      </c>
      <c r="N103">
        <v>0</v>
      </c>
      <c r="O103">
        <v>1</v>
      </c>
      <c r="P103">
        <v>0.92430877506019193</v>
      </c>
      <c r="Q103">
        <v>0.9494398746956525</v>
      </c>
      <c r="R103">
        <v>0.89634005566902164</v>
      </c>
      <c r="S103">
        <v>0.89111390887355113</v>
      </c>
      <c r="T103">
        <v>0.9527481201740714</v>
      </c>
      <c r="U103">
        <v>0.95863600512472302</v>
      </c>
      <c r="V103">
        <v>0.98553987962167344</v>
      </c>
      <c r="W103">
        <v>0.46427207615350341</v>
      </c>
      <c r="X103">
        <v>0.92182450342948319</v>
      </c>
      <c r="Y103">
        <v>0.98965812534677877</v>
      </c>
      <c r="Z103">
        <v>0.82901383080423674</v>
      </c>
      <c r="AA103">
        <v>0.95406678926110977</v>
      </c>
      <c r="AB103">
        <v>0.73295968636249065</v>
      </c>
      <c r="AC103">
        <v>0.9938502936460043</v>
      </c>
      <c r="AD103">
        <v>0.68758753475590284</v>
      </c>
    </row>
    <row r="104" spans="1:30" x14ac:dyDescent="0.25">
      <c r="A104" t="s">
        <v>379</v>
      </c>
      <c r="B104" t="s">
        <v>433</v>
      </c>
      <c r="C104" t="s">
        <v>435</v>
      </c>
      <c r="D104" t="s">
        <v>438</v>
      </c>
      <c r="E104">
        <v>0.52498491554164839</v>
      </c>
      <c r="F104">
        <v>0.83113040480753442</v>
      </c>
      <c r="G104">
        <v>0.37839791862268213</v>
      </c>
      <c r="H104">
        <v>0.60605076703290373</v>
      </c>
      <c r="I104">
        <v>0.81532552168821815</v>
      </c>
      <c r="J104">
        <v>0.78173155068528977</v>
      </c>
      <c r="K104">
        <v>0.40957203774919931</v>
      </c>
      <c r="L104">
        <v>0.41569335788596862</v>
      </c>
      <c r="M104">
        <v>0.39900609216982358</v>
      </c>
      <c r="N104">
        <v>0.59244732384860921</v>
      </c>
      <c r="O104">
        <v>0.67170791405324537</v>
      </c>
      <c r="P104">
        <v>0.54277670321011007</v>
      </c>
      <c r="Q104">
        <v>0.67675899331629774</v>
      </c>
      <c r="R104">
        <v>0.12269850677001906</v>
      </c>
      <c r="S104">
        <v>0.24469135001246303</v>
      </c>
      <c r="T104">
        <v>0.56174513104413359</v>
      </c>
      <c r="U104">
        <v>0.25700638545732563</v>
      </c>
      <c r="V104">
        <v>0.17547371454035818</v>
      </c>
      <c r="W104">
        <v>0.91993896327207625</v>
      </c>
      <c r="X104">
        <v>0.79355970126052089</v>
      </c>
      <c r="Y104">
        <v>0.53533835823002796</v>
      </c>
      <c r="Z104">
        <v>0.61624871600000908</v>
      </c>
      <c r="AA104">
        <v>0.59001442908662316</v>
      </c>
      <c r="AB104">
        <v>0.73702958872333968</v>
      </c>
      <c r="AC104">
        <v>0.91266550060907603</v>
      </c>
      <c r="AD104">
        <v>0.78105004911830711</v>
      </c>
    </row>
    <row r="105" spans="1:30" x14ac:dyDescent="0.25">
      <c r="A105" t="s">
        <v>380</v>
      </c>
      <c r="B105" t="s">
        <v>433</v>
      </c>
      <c r="C105" t="s">
        <v>435</v>
      </c>
      <c r="D105" t="s">
        <v>438</v>
      </c>
      <c r="E105">
        <v>0</v>
      </c>
      <c r="F105">
        <v>3.8145532108076373E-5</v>
      </c>
      <c r="G105">
        <v>0</v>
      </c>
      <c r="H105">
        <v>0</v>
      </c>
      <c r="I105">
        <v>0</v>
      </c>
      <c r="J105">
        <v>3.287781914631487E-5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2.0648959025837399E-4</v>
      </c>
      <c r="Q105">
        <v>0</v>
      </c>
      <c r="R105">
        <v>0</v>
      </c>
      <c r="S105">
        <v>2.1466263768010594E-5</v>
      </c>
      <c r="T105">
        <v>4.1954950535509836E-3</v>
      </c>
      <c r="U105">
        <v>0</v>
      </c>
      <c r="V105">
        <v>0</v>
      </c>
      <c r="W105">
        <v>0</v>
      </c>
      <c r="X105">
        <v>5.6090270459015802E-2</v>
      </c>
      <c r="Y105">
        <v>0</v>
      </c>
      <c r="Z105">
        <v>0</v>
      </c>
      <c r="AA105">
        <v>3.0966765440274208E-4</v>
      </c>
      <c r="AB105">
        <v>0</v>
      </c>
      <c r="AC105">
        <v>0</v>
      </c>
      <c r="AD105">
        <v>7.5706710532546614E-5</v>
      </c>
    </row>
    <row r="106" spans="1:30" x14ac:dyDescent="0.25">
      <c r="A106" t="s">
        <v>381</v>
      </c>
      <c r="B106" t="s">
        <v>433</v>
      </c>
      <c r="C106" t="s">
        <v>435</v>
      </c>
      <c r="D106" t="s">
        <v>438</v>
      </c>
      <c r="E106">
        <v>0.26455949272900947</v>
      </c>
      <c r="F106">
        <v>4.5602574237408364E-2</v>
      </c>
      <c r="G106">
        <v>0.28171044046461169</v>
      </c>
      <c r="H106">
        <v>0.12854147136711996</v>
      </c>
      <c r="I106">
        <v>1.205404704441965E-2</v>
      </c>
      <c r="J106">
        <v>6.3978932134128572E-2</v>
      </c>
      <c r="K106">
        <v>9.2254369101687619E-2</v>
      </c>
      <c r="L106">
        <v>6.8638468911306344E-2</v>
      </c>
      <c r="M106">
        <v>0.22860387001883736</v>
      </c>
      <c r="N106">
        <v>2.7741766191340188E-2</v>
      </c>
      <c r="O106">
        <v>0.12626557398864899</v>
      </c>
      <c r="P106">
        <v>0.29574196373318673</v>
      </c>
      <c r="Q106">
        <v>2.3869723393494132E-2</v>
      </c>
      <c r="R106">
        <v>5.4370694824908583E-2</v>
      </c>
      <c r="S106">
        <v>0.61579678240696167</v>
      </c>
      <c r="T106">
        <v>0.17298582982119168</v>
      </c>
      <c r="U106">
        <v>0.3517171804637203</v>
      </c>
      <c r="V106">
        <v>1.1686689304358437E-3</v>
      </c>
      <c r="W106">
        <v>1.6733263113677403E-2</v>
      </c>
      <c r="X106">
        <v>1.6739835062713499E-2</v>
      </c>
      <c r="Y106">
        <v>0.28709219662964869</v>
      </c>
      <c r="Z106">
        <v>0.31152654206128616</v>
      </c>
      <c r="AA106">
        <v>0.20410186599793476</v>
      </c>
      <c r="AB106">
        <v>5.7672692922695655E-3</v>
      </c>
      <c r="AC106">
        <v>1.9399875416691244E-2</v>
      </c>
      <c r="AD106">
        <v>6.3637626234331571E-2</v>
      </c>
    </row>
    <row r="107" spans="1:30" x14ac:dyDescent="0.25">
      <c r="A107" t="s">
        <v>382</v>
      </c>
      <c r="B107" t="s">
        <v>433</v>
      </c>
      <c r="C107" t="s">
        <v>435</v>
      </c>
      <c r="D107" t="s">
        <v>438</v>
      </c>
      <c r="E107">
        <v>2.2233849130202176E-4</v>
      </c>
      <c r="F107">
        <v>1.0532845828445906E-3</v>
      </c>
      <c r="G107">
        <v>2.2773817320004839E-3</v>
      </c>
      <c r="H107">
        <v>0</v>
      </c>
      <c r="I107">
        <v>3.1015182711532783E-4</v>
      </c>
      <c r="J107">
        <v>1.8826390133209005E-5</v>
      </c>
      <c r="K107">
        <v>0</v>
      </c>
      <c r="L107">
        <v>1.4129221309286157E-3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3.6756266938043177E-4</v>
      </c>
      <c r="T107">
        <v>1.4689710560856437E-4</v>
      </c>
      <c r="U107">
        <v>0</v>
      </c>
      <c r="V107">
        <v>0</v>
      </c>
      <c r="W107">
        <v>2.2808089882652517E-4</v>
      </c>
      <c r="X107">
        <v>0</v>
      </c>
      <c r="Y107">
        <v>3.6631733286954802E-4</v>
      </c>
      <c r="Z107">
        <v>0</v>
      </c>
      <c r="AA107">
        <v>1.3353980502526534E-4</v>
      </c>
      <c r="AB107">
        <v>4.3430399656932509E-4</v>
      </c>
      <c r="AC107">
        <v>0</v>
      </c>
      <c r="AD107">
        <v>2.6284577401914944E-4</v>
      </c>
    </row>
    <row r="108" spans="1:30" x14ac:dyDescent="0.25">
      <c r="A108" t="s">
        <v>383</v>
      </c>
      <c r="B108" t="s">
        <v>433</v>
      </c>
      <c r="C108" t="s">
        <v>435</v>
      </c>
      <c r="D108" t="s">
        <v>438</v>
      </c>
      <c r="E108">
        <v>0.18414609792739084</v>
      </c>
      <c r="F108">
        <v>0.11668766916183643</v>
      </c>
      <c r="G108">
        <v>0.30501288672491944</v>
      </c>
      <c r="H108">
        <v>8.2712319474129894E-2</v>
      </c>
      <c r="I108">
        <v>3.5000722272799899E-2</v>
      </c>
      <c r="J108">
        <v>9.9135727948104657E-2</v>
      </c>
      <c r="K108">
        <v>0.37964845079630777</v>
      </c>
      <c r="L108">
        <v>0.36535548690357894</v>
      </c>
      <c r="M108">
        <v>0.2477893685303966</v>
      </c>
      <c r="N108">
        <v>0.36447353247192582</v>
      </c>
      <c r="O108">
        <v>0.15565603431386213</v>
      </c>
      <c r="P108">
        <v>0.13908741450174941</v>
      </c>
      <c r="Q108">
        <v>0.17563923214324961</v>
      </c>
      <c r="R108">
        <v>0.4945273506589255</v>
      </c>
      <c r="S108">
        <v>0.13050721369770971</v>
      </c>
      <c r="T108">
        <v>0.23626162300144871</v>
      </c>
      <c r="U108">
        <v>8.8987035675381465E-2</v>
      </c>
      <c r="V108">
        <v>0.78435139378608765</v>
      </c>
      <c r="W108">
        <v>1.3153931611329687E-2</v>
      </c>
      <c r="X108">
        <v>0.12877705180762319</v>
      </c>
      <c r="Y108">
        <v>0.12980443995519955</v>
      </c>
      <c r="Z108">
        <v>3.5260441694489053E-2</v>
      </c>
      <c r="AA108">
        <v>0.19981153540464472</v>
      </c>
      <c r="AB108">
        <v>4.2667681008131855E-2</v>
      </c>
      <c r="AC108">
        <v>4.3549548213803043E-3</v>
      </c>
      <c r="AD108">
        <v>8.5079370155223474E-2</v>
      </c>
    </row>
    <row r="109" spans="1:30" x14ac:dyDescent="0.25">
      <c r="A109" t="s">
        <v>450</v>
      </c>
      <c r="B109" t="s">
        <v>433</v>
      </c>
      <c r="C109" t="s">
        <v>435</v>
      </c>
      <c r="D109" t="s">
        <v>438</v>
      </c>
      <c r="E109">
        <v>2.3960277107635014E-2</v>
      </c>
      <c r="F109">
        <v>2.0449215738859404E-3</v>
      </c>
      <c r="G109">
        <v>1.645879224367388E-2</v>
      </c>
      <c r="H109">
        <v>0.18269544212584646</v>
      </c>
      <c r="I109">
        <v>0.13289098918995895</v>
      </c>
      <c r="J109">
        <v>4.9755576452443981E-2</v>
      </c>
      <c r="K109">
        <v>0.1185251423528053</v>
      </c>
      <c r="L109">
        <v>0.12133610545839288</v>
      </c>
      <c r="M109">
        <v>0.1246006692809425</v>
      </c>
      <c r="N109">
        <v>1.2709752899539427E-2</v>
      </c>
      <c r="O109">
        <v>3.8828153163175422E-2</v>
      </c>
      <c r="P109">
        <v>2.0294467709871325E-2</v>
      </c>
      <c r="Q109">
        <v>0.12232216602985017</v>
      </c>
      <c r="R109">
        <v>0.17152298991003423</v>
      </c>
      <c r="S109">
        <v>4.7499424527989191E-3</v>
      </c>
      <c r="T109">
        <v>2.1349742822750057E-2</v>
      </c>
      <c r="U109">
        <v>0.30228939840357261</v>
      </c>
      <c r="V109">
        <v>3.9006222743118407E-2</v>
      </c>
      <c r="W109">
        <v>4.715792438061376E-2</v>
      </c>
      <c r="X109">
        <v>4.8331414101266757E-3</v>
      </c>
      <c r="Y109">
        <v>4.5525350183952817E-2</v>
      </c>
      <c r="Z109">
        <v>3.57443600774901E-2</v>
      </c>
      <c r="AA109">
        <v>1.9658078987464574E-3</v>
      </c>
      <c r="AB109">
        <v>0.19702239645990482</v>
      </c>
      <c r="AC109">
        <v>6.3579669152852375E-2</v>
      </c>
      <c r="AD109">
        <v>6.6313416219226748E-2</v>
      </c>
    </row>
    <row r="110" spans="1:30" x14ac:dyDescent="0.25">
      <c r="A110" t="s">
        <v>385</v>
      </c>
      <c r="B110" t="s">
        <v>433</v>
      </c>
      <c r="C110" t="s">
        <v>435</v>
      </c>
      <c r="D110" t="s">
        <v>438</v>
      </c>
      <c r="E110">
        <v>2.0424436324817542E-3</v>
      </c>
      <c r="F110">
        <v>8.5872672721170077E-4</v>
      </c>
      <c r="G110">
        <v>1.6142580212112515E-2</v>
      </c>
      <c r="H110">
        <v>0</v>
      </c>
      <c r="I110">
        <v>2.6707830372429946E-3</v>
      </c>
      <c r="J110">
        <v>1.1865080168120396E-3</v>
      </c>
      <c r="K110">
        <v>0</v>
      </c>
      <c r="L110">
        <v>2.7563658709824478E-2</v>
      </c>
      <c r="M110">
        <v>0</v>
      </c>
      <c r="N110">
        <v>0</v>
      </c>
      <c r="O110">
        <v>7.720627016329823E-4</v>
      </c>
      <c r="P110">
        <v>1.8929612548242345E-3</v>
      </c>
      <c r="Q110">
        <v>6.6179061551284197E-4</v>
      </c>
      <c r="R110">
        <v>0.15688045783611265</v>
      </c>
      <c r="S110">
        <v>9.4332273711968446E-5</v>
      </c>
      <c r="T110">
        <v>3.2493653976014007E-3</v>
      </c>
      <c r="U110">
        <v>0</v>
      </c>
      <c r="V110">
        <v>0</v>
      </c>
      <c r="W110">
        <v>1.5952727140955635E-3</v>
      </c>
      <c r="X110">
        <v>0</v>
      </c>
      <c r="Y110">
        <v>1.70908817043813E-4</v>
      </c>
      <c r="Z110">
        <v>1.2199401667255148E-3</v>
      </c>
      <c r="AA110">
        <v>3.0027353030269617E-4</v>
      </c>
      <c r="AB110">
        <v>1.6784588673259736E-2</v>
      </c>
      <c r="AC110">
        <v>0</v>
      </c>
      <c r="AD110">
        <v>2.5215413870572851E-3</v>
      </c>
    </row>
    <row r="111" spans="1:30" x14ac:dyDescent="0.25">
      <c r="A111" t="s">
        <v>386</v>
      </c>
      <c r="B111" t="s">
        <v>433</v>
      </c>
      <c r="C111" t="s">
        <v>435</v>
      </c>
      <c r="D111" t="s">
        <v>438</v>
      </c>
      <c r="E111">
        <v>8.4434570532648874E-5</v>
      </c>
      <c r="F111">
        <v>2.5842733771705073E-3</v>
      </c>
      <c r="G111">
        <v>0</v>
      </c>
      <c r="H111">
        <v>0</v>
      </c>
      <c r="I111">
        <v>1.7477849402450702E-3</v>
      </c>
      <c r="J111">
        <v>4.1600005539415112E-3</v>
      </c>
      <c r="K111">
        <v>0</v>
      </c>
      <c r="L111">
        <v>0</v>
      </c>
      <c r="M111">
        <v>0</v>
      </c>
      <c r="N111">
        <v>2.62762458858535E-3</v>
      </c>
      <c r="O111">
        <v>6.7702617794353189E-3</v>
      </c>
      <c r="P111">
        <v>0</v>
      </c>
      <c r="Q111">
        <v>7.4809450159556135E-4</v>
      </c>
      <c r="R111">
        <v>0</v>
      </c>
      <c r="S111">
        <v>3.7713502232061976E-3</v>
      </c>
      <c r="T111">
        <v>6.5915753715000997E-5</v>
      </c>
      <c r="U111">
        <v>0</v>
      </c>
      <c r="V111">
        <v>0</v>
      </c>
      <c r="W111">
        <v>1.1925640093807131E-3</v>
      </c>
      <c r="X111">
        <v>0</v>
      </c>
      <c r="Y111">
        <v>1.7024288512576149E-3</v>
      </c>
      <c r="Z111">
        <v>0</v>
      </c>
      <c r="AA111">
        <v>3.3628806223204425E-3</v>
      </c>
      <c r="AB111">
        <v>2.9417184652497178E-4</v>
      </c>
      <c r="AC111">
        <v>0</v>
      </c>
      <c r="AD111">
        <v>1.059444401302024E-3</v>
      </c>
    </row>
    <row r="112" spans="1:30" x14ac:dyDescent="0.25">
      <c r="A112" t="s">
        <v>387</v>
      </c>
      <c r="B112" t="s">
        <v>433</v>
      </c>
      <c r="C112" t="s">
        <v>435</v>
      </c>
      <c r="D112" t="s">
        <v>439</v>
      </c>
      <c r="E112">
        <v>0.20507174140071388</v>
      </c>
      <c r="F112">
        <v>0.73661197979763149</v>
      </c>
      <c r="G112">
        <v>0</v>
      </c>
      <c r="H112" t="e">
        <v>#DIV/0!</v>
      </c>
      <c r="I112">
        <v>0.66973345834826048</v>
      </c>
      <c r="J112">
        <v>9.5833765644708982E-2</v>
      </c>
      <c r="K112">
        <v>0</v>
      </c>
      <c r="L112">
        <v>0.23368688748019026</v>
      </c>
      <c r="M112">
        <v>5.8569487814800918E-2</v>
      </c>
      <c r="N112">
        <v>0.52912204420157394</v>
      </c>
      <c r="O112">
        <v>0.26154402311904179</v>
      </c>
      <c r="P112">
        <v>0.18029511496943573</v>
      </c>
      <c r="Q112">
        <v>0.13534907561876014</v>
      </c>
      <c r="R112">
        <v>0</v>
      </c>
      <c r="S112">
        <v>0.33733658969195596</v>
      </c>
      <c r="T112">
        <v>0.22514077296796828</v>
      </c>
      <c r="U112">
        <v>9.6633319550085348E-3</v>
      </c>
      <c r="V112">
        <v>0</v>
      </c>
      <c r="W112">
        <v>0.61364529528641198</v>
      </c>
      <c r="X112">
        <v>0.13443770311183936</v>
      </c>
      <c r="Y112">
        <v>0.16032295689351675</v>
      </c>
      <c r="Z112">
        <v>0.95980851003626155</v>
      </c>
      <c r="AA112">
        <v>0.40205961968820814</v>
      </c>
      <c r="AB112">
        <v>0.52397774234537831</v>
      </c>
      <c r="AC112">
        <v>0</v>
      </c>
      <c r="AD112">
        <v>0.72377845631477822</v>
      </c>
    </row>
    <row r="113" spans="1:30" x14ac:dyDescent="0.25">
      <c r="A113" t="s">
        <v>388</v>
      </c>
      <c r="B113" t="s">
        <v>433</v>
      </c>
      <c r="C113" t="s">
        <v>435</v>
      </c>
      <c r="D113" t="s">
        <v>439</v>
      </c>
      <c r="E113">
        <v>0.79492825859928606</v>
      </c>
      <c r="F113">
        <v>0.26338802020236857</v>
      </c>
      <c r="G113">
        <v>1</v>
      </c>
      <c r="H113" t="e">
        <v>#DIV/0!</v>
      </c>
      <c r="I113">
        <v>0.33026654165173952</v>
      </c>
      <c r="J113">
        <v>0.90416623435529109</v>
      </c>
      <c r="K113">
        <v>1</v>
      </c>
      <c r="L113">
        <v>0.76631311251980982</v>
      </c>
      <c r="M113">
        <v>0.94143051218519902</v>
      </c>
      <c r="N113">
        <v>0.47087795579842612</v>
      </c>
      <c r="O113">
        <v>0.73845597688095832</v>
      </c>
      <c r="P113">
        <v>0.81970488503056427</v>
      </c>
      <c r="Q113">
        <v>0.86465092438123992</v>
      </c>
      <c r="R113">
        <v>1</v>
      </c>
      <c r="S113">
        <v>0.6626634103080441</v>
      </c>
      <c r="T113">
        <v>0.77485922703203169</v>
      </c>
      <c r="U113">
        <v>0.99033666804499154</v>
      </c>
      <c r="V113">
        <v>1</v>
      </c>
      <c r="W113">
        <v>0.38635470471358802</v>
      </c>
      <c r="X113">
        <v>0.86556229688816066</v>
      </c>
      <c r="Y113">
        <v>0.83967704310648328</v>
      </c>
      <c r="Z113">
        <v>4.0191489963738454E-2</v>
      </c>
      <c r="AA113">
        <v>0.59794038031179186</v>
      </c>
      <c r="AB113">
        <v>0.47602225765462169</v>
      </c>
      <c r="AC113">
        <v>1</v>
      </c>
      <c r="AD113">
        <v>0.27622154368522173</v>
      </c>
    </row>
    <row r="114" spans="1:30" x14ac:dyDescent="0.25">
      <c r="A114" t="s">
        <v>389</v>
      </c>
      <c r="B114" t="s">
        <v>433</v>
      </c>
      <c r="C114" t="s">
        <v>436</v>
      </c>
      <c r="D114" t="s">
        <v>438</v>
      </c>
      <c r="E114">
        <v>0.84228509797333206</v>
      </c>
      <c r="F114">
        <v>0.78738630677073129</v>
      </c>
      <c r="G114">
        <v>0.56678642012226721</v>
      </c>
      <c r="H114">
        <v>1</v>
      </c>
      <c r="I114">
        <v>0.83436784907169947</v>
      </c>
      <c r="J114">
        <v>0.84703154425192317</v>
      </c>
      <c r="K114">
        <v>0.2863743347693381</v>
      </c>
      <c r="L114">
        <v>3.1657163130326134E-2</v>
      </c>
      <c r="M114">
        <v>0.59130065855632075</v>
      </c>
      <c r="N114">
        <v>0.78283730269175356</v>
      </c>
      <c r="O114">
        <v>0.64662503121392612</v>
      </c>
      <c r="P114">
        <v>0.60164863723656403</v>
      </c>
      <c r="Q114">
        <v>0.85639896019401873</v>
      </c>
      <c r="R114">
        <v>0.56749623812428629</v>
      </c>
      <c r="S114">
        <v>0.41012015703432975</v>
      </c>
      <c r="T114">
        <v>0.55830730314261212</v>
      </c>
      <c r="U114">
        <v>0.23689129412513368</v>
      </c>
      <c r="V114">
        <v>8.2078565566258019E-2</v>
      </c>
      <c r="W114">
        <v>0.86104773711174898</v>
      </c>
      <c r="X114">
        <v>0.73860787161141706</v>
      </c>
      <c r="Y114">
        <v>0.41361659302423953</v>
      </c>
      <c r="Z114">
        <v>0.34655622606953546</v>
      </c>
      <c r="AA114">
        <v>0.59704351739825645</v>
      </c>
      <c r="AB114">
        <v>0.94021409003119449</v>
      </c>
      <c r="AC114">
        <v>0.30644938756112883</v>
      </c>
      <c r="AD114">
        <v>0.79998643964016103</v>
      </c>
    </row>
    <row r="115" spans="1:30" x14ac:dyDescent="0.25">
      <c r="A115" t="s">
        <v>390</v>
      </c>
      <c r="B115" t="s">
        <v>433</v>
      </c>
      <c r="C115" t="s">
        <v>436</v>
      </c>
      <c r="D115" t="s">
        <v>438</v>
      </c>
      <c r="E115">
        <v>0</v>
      </c>
      <c r="F115">
        <v>2.3260759841569497E-5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4.4298020409996706E-4</v>
      </c>
      <c r="Q115">
        <v>0</v>
      </c>
      <c r="R115">
        <v>0</v>
      </c>
      <c r="S115">
        <v>1.0649923683777305E-5</v>
      </c>
      <c r="T115">
        <v>0</v>
      </c>
      <c r="U115">
        <v>0</v>
      </c>
      <c r="V115">
        <v>0</v>
      </c>
      <c r="W115">
        <v>0</v>
      </c>
      <c r="X115">
        <v>1.3492744065392481E-2</v>
      </c>
      <c r="Y115">
        <v>0</v>
      </c>
      <c r="Z115">
        <v>0</v>
      </c>
      <c r="AA115">
        <v>6.1863245453453526E-4</v>
      </c>
      <c r="AB115">
        <v>0</v>
      </c>
      <c r="AC115">
        <v>0</v>
      </c>
      <c r="AD115">
        <v>3.6482146926653025E-6</v>
      </c>
    </row>
    <row r="116" spans="1:30" x14ac:dyDescent="0.25">
      <c r="A116" t="s">
        <v>391</v>
      </c>
      <c r="B116" t="s">
        <v>433</v>
      </c>
      <c r="C116" t="s">
        <v>436</v>
      </c>
      <c r="D116" t="s">
        <v>438</v>
      </c>
      <c r="E116">
        <v>0</v>
      </c>
      <c r="F116">
        <v>2.3672548267110665E-2</v>
      </c>
      <c r="G116">
        <v>0.11312962953145057</v>
      </c>
      <c r="H116">
        <v>0</v>
      </c>
      <c r="I116">
        <v>1.7032464214791515E-2</v>
      </c>
      <c r="J116">
        <v>4.9810321804407753E-2</v>
      </c>
      <c r="K116">
        <v>0.11150401019229078</v>
      </c>
      <c r="L116">
        <v>0.12321692298571697</v>
      </c>
      <c r="M116">
        <v>0.33851329301885758</v>
      </c>
      <c r="N116">
        <v>0</v>
      </c>
      <c r="O116">
        <v>0.31000772856884534</v>
      </c>
      <c r="P116">
        <v>0.18006457417749536</v>
      </c>
      <c r="Q116">
        <v>1.2390388460530567E-2</v>
      </c>
      <c r="R116">
        <v>0.16552116947667267</v>
      </c>
      <c r="S116">
        <v>0.4222841606948507</v>
      </c>
      <c r="T116">
        <v>0.1765404088469176</v>
      </c>
      <c r="U116">
        <v>0.310560723793945</v>
      </c>
      <c r="V116">
        <v>4.3467091222409255E-4</v>
      </c>
      <c r="W116">
        <v>1.780120264463381E-2</v>
      </c>
      <c r="X116">
        <v>7.7661345129975152E-3</v>
      </c>
      <c r="Y116">
        <v>0.37797941676771146</v>
      </c>
      <c r="Z116">
        <v>0.37205313203489493</v>
      </c>
      <c r="AA116">
        <v>9.8563907891710531E-2</v>
      </c>
      <c r="AB116">
        <v>2.249091946140341E-2</v>
      </c>
      <c r="AC116">
        <v>0.16715137797432245</v>
      </c>
      <c r="AD116">
        <v>7.2718916395871983E-2</v>
      </c>
    </row>
    <row r="117" spans="1:30" x14ac:dyDescent="0.25">
      <c r="A117" t="s">
        <v>392</v>
      </c>
      <c r="B117" t="s">
        <v>433</v>
      </c>
      <c r="C117" t="s">
        <v>436</v>
      </c>
      <c r="D117" t="s">
        <v>438</v>
      </c>
      <c r="E117">
        <v>3.5887291566320455E-5</v>
      </c>
      <c r="F117">
        <v>2.8222090905756893E-4</v>
      </c>
      <c r="G117">
        <v>2.5038742738535558E-3</v>
      </c>
      <c r="H117">
        <v>0</v>
      </c>
      <c r="I117">
        <v>2.1990837924717216E-4</v>
      </c>
      <c r="J117">
        <v>1.4632059102963875E-3</v>
      </c>
      <c r="K117">
        <v>0</v>
      </c>
      <c r="L117">
        <v>2.663475994729151E-4</v>
      </c>
      <c r="M117">
        <v>0</v>
      </c>
      <c r="N117">
        <v>0</v>
      </c>
      <c r="O117">
        <v>3.9619978918806209E-4</v>
      </c>
      <c r="P117">
        <v>0</v>
      </c>
      <c r="Q117">
        <v>0</v>
      </c>
      <c r="R117">
        <v>0</v>
      </c>
      <c r="S117">
        <v>7.1623763170148755E-4</v>
      </c>
      <c r="T117">
        <v>1.5729324637700831E-4</v>
      </c>
      <c r="U117">
        <v>0</v>
      </c>
      <c r="V117">
        <v>0</v>
      </c>
      <c r="W117">
        <v>1.9807347383441832E-4</v>
      </c>
      <c r="X117">
        <v>0</v>
      </c>
      <c r="Y117">
        <v>0</v>
      </c>
      <c r="Z117">
        <v>0</v>
      </c>
      <c r="AA117">
        <v>4.420973819294044E-5</v>
      </c>
      <c r="AB117">
        <v>3.7275190843597726E-4</v>
      </c>
      <c r="AC117">
        <v>0</v>
      </c>
      <c r="AD117">
        <v>2.5633069749294874E-4</v>
      </c>
    </row>
    <row r="118" spans="1:30" x14ac:dyDescent="0.25">
      <c r="A118" t="s">
        <v>393</v>
      </c>
      <c r="B118" t="s">
        <v>433</v>
      </c>
      <c r="C118" t="s">
        <v>436</v>
      </c>
      <c r="D118" t="s">
        <v>438</v>
      </c>
      <c r="E118">
        <v>0</v>
      </c>
      <c r="F118">
        <v>0.1802226143446905</v>
      </c>
      <c r="G118">
        <v>0.12672337824791913</v>
      </c>
      <c r="H118">
        <v>0</v>
      </c>
      <c r="I118">
        <v>2.8975750795785668E-2</v>
      </c>
      <c r="J118">
        <v>9.8017197917649679E-2</v>
      </c>
      <c r="K118">
        <v>0.45886525634810921</v>
      </c>
      <c r="L118">
        <v>0.64831190091075286</v>
      </c>
      <c r="M118">
        <v>6.4172164254061789E-2</v>
      </c>
      <c r="N118">
        <v>0.21712162896646103</v>
      </c>
      <c r="O118">
        <v>0</v>
      </c>
      <c r="P118">
        <v>0.2178438083818407</v>
      </c>
      <c r="Q118">
        <v>0.13091617271769326</v>
      </c>
      <c r="R118">
        <v>0.26698259239904104</v>
      </c>
      <c r="S118">
        <v>0.15576703406892248</v>
      </c>
      <c r="T118">
        <v>0.24654541837106692</v>
      </c>
      <c r="U118">
        <v>4.0966045585542475E-2</v>
      </c>
      <c r="V118">
        <v>0.90297891619144088</v>
      </c>
      <c r="W118">
        <v>9.3356849980321566E-2</v>
      </c>
      <c r="X118">
        <v>0.14477170521027949</v>
      </c>
      <c r="Y118">
        <v>0.2075681748732896</v>
      </c>
      <c r="Z118">
        <v>0.13936140779375644</v>
      </c>
      <c r="AA118">
        <v>0.29776788900075357</v>
      </c>
      <c r="AB118">
        <v>3.5381715584805302E-2</v>
      </c>
      <c r="AC118">
        <v>0.37790314421057475</v>
      </c>
      <c r="AD118">
        <v>9.6008667754391305E-2</v>
      </c>
    </row>
    <row r="119" spans="1:30" x14ac:dyDescent="0.25">
      <c r="A119" t="s">
        <v>451</v>
      </c>
      <c r="B119" t="s">
        <v>433</v>
      </c>
      <c r="C119" t="s">
        <v>436</v>
      </c>
      <c r="D119" t="s">
        <v>438</v>
      </c>
      <c r="E119">
        <v>0.15649312468710316</v>
      </c>
      <c r="F119">
        <v>1.1619615174923003E-3</v>
      </c>
      <c r="G119">
        <v>0</v>
      </c>
      <c r="H119">
        <v>0</v>
      </c>
      <c r="I119">
        <v>0.11685220794239513</v>
      </c>
      <c r="J119">
        <v>3.6777301157231647E-3</v>
      </c>
      <c r="K119">
        <v>0.14325639869026188</v>
      </c>
      <c r="L119">
        <v>0.15874755325595333</v>
      </c>
      <c r="M119">
        <v>6.0138841707599849E-3</v>
      </c>
      <c r="N119">
        <v>4.1068341785359957E-5</v>
      </c>
      <c r="O119">
        <v>2.8015656273409358E-2</v>
      </c>
      <c r="P119">
        <v>0</v>
      </c>
      <c r="Q119">
        <v>0</v>
      </c>
      <c r="R119">
        <v>0</v>
      </c>
      <c r="S119">
        <v>6.9328221568822884E-3</v>
      </c>
      <c r="T119">
        <v>1.4582381153363156E-2</v>
      </c>
      <c r="U119">
        <v>0.24906400173118334</v>
      </c>
      <c r="V119">
        <v>1.4507847330076923E-2</v>
      </c>
      <c r="W119">
        <v>2.4097549749904187E-2</v>
      </c>
      <c r="X119">
        <v>4.1375890119338024E-2</v>
      </c>
      <c r="Y119">
        <v>0</v>
      </c>
      <c r="Z119">
        <v>0.14112645202498725</v>
      </c>
      <c r="AA119">
        <v>1.1866542612686338E-3</v>
      </c>
      <c r="AB119">
        <v>0</v>
      </c>
      <c r="AC119">
        <v>0.14849609025397395</v>
      </c>
      <c r="AD119">
        <v>2.560780663696623E-2</v>
      </c>
    </row>
    <row r="120" spans="1:30" x14ac:dyDescent="0.25">
      <c r="A120" t="s">
        <v>395</v>
      </c>
      <c r="B120" t="s">
        <v>433</v>
      </c>
      <c r="C120" t="s">
        <v>436</v>
      </c>
      <c r="D120" t="s">
        <v>438</v>
      </c>
      <c r="E120">
        <v>0</v>
      </c>
      <c r="F120">
        <v>3.2875201353361684E-3</v>
      </c>
      <c r="G120">
        <v>0</v>
      </c>
      <c r="H120">
        <v>0</v>
      </c>
      <c r="I120">
        <v>1.4639928837626443E-3</v>
      </c>
      <c r="J120">
        <v>0</v>
      </c>
      <c r="K120">
        <v>0</v>
      </c>
      <c r="L120">
        <v>3.7800112117777722E-2</v>
      </c>
      <c r="M120">
        <v>0</v>
      </c>
      <c r="N120">
        <v>0</v>
      </c>
      <c r="O120">
        <v>0</v>
      </c>
      <c r="P120">
        <v>0</v>
      </c>
      <c r="Q120">
        <v>2.5770319975370107E-4</v>
      </c>
      <c r="R120">
        <v>0</v>
      </c>
      <c r="S120">
        <v>5.8146802272383055E-4</v>
      </c>
      <c r="T120">
        <v>3.8257324973558359E-3</v>
      </c>
      <c r="U120">
        <v>0</v>
      </c>
      <c r="V120">
        <v>0</v>
      </c>
      <c r="W120">
        <v>8.7099417892214711E-4</v>
      </c>
      <c r="X120">
        <v>5.3030719554621873E-2</v>
      </c>
      <c r="Y120">
        <v>8.3581533475936059E-4</v>
      </c>
      <c r="Z120">
        <v>9.027820768258562E-4</v>
      </c>
      <c r="AA120">
        <v>2.8717854053804761E-4</v>
      </c>
      <c r="AB120">
        <v>1.2463669538879522E-3</v>
      </c>
      <c r="AC120">
        <v>0</v>
      </c>
      <c r="AD120">
        <v>3.916535027967287E-3</v>
      </c>
    </row>
    <row r="121" spans="1:30" x14ac:dyDescent="0.25">
      <c r="A121" t="s">
        <v>396</v>
      </c>
      <c r="B121" t="s">
        <v>433</v>
      </c>
      <c r="C121" t="s">
        <v>436</v>
      </c>
      <c r="D121" t="s">
        <v>438</v>
      </c>
      <c r="E121">
        <v>1.1858900479985086E-3</v>
      </c>
      <c r="F121">
        <v>3.9635672957399571E-3</v>
      </c>
      <c r="G121">
        <v>0.19085669782450967</v>
      </c>
      <c r="H121">
        <v>0</v>
      </c>
      <c r="I121">
        <v>1.0878267123184363E-3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1.4955384154630994E-2</v>
      </c>
      <c r="P121">
        <v>0</v>
      </c>
      <c r="Q121">
        <v>3.6775428003771936E-5</v>
      </c>
      <c r="R121">
        <v>0</v>
      </c>
      <c r="S121">
        <v>3.5874704669057842E-3</v>
      </c>
      <c r="T121">
        <v>4.1462742307190051E-5</v>
      </c>
      <c r="U121">
        <v>0.16251793476419543</v>
      </c>
      <c r="V121">
        <v>0</v>
      </c>
      <c r="W121">
        <v>2.6275928606349563E-3</v>
      </c>
      <c r="X121">
        <v>9.5493492595357505E-4</v>
      </c>
      <c r="Y121">
        <v>0</v>
      </c>
      <c r="Z121">
        <v>0</v>
      </c>
      <c r="AA121">
        <v>4.4880107147453564E-3</v>
      </c>
      <c r="AB121">
        <v>2.9415606027291124E-4</v>
      </c>
      <c r="AC121">
        <v>0</v>
      </c>
      <c r="AD121">
        <v>1.5016556324563878E-3</v>
      </c>
    </row>
    <row r="122" spans="1:30" x14ac:dyDescent="0.25">
      <c r="A122" t="s">
        <v>397</v>
      </c>
      <c r="B122" t="s">
        <v>433</v>
      </c>
      <c r="C122" t="s">
        <v>436</v>
      </c>
      <c r="D122" t="s">
        <v>439</v>
      </c>
      <c r="E122">
        <v>0.24503925749880057</v>
      </c>
      <c r="F122">
        <v>0.67319577648765871</v>
      </c>
      <c r="G122">
        <v>0.11737181705890917</v>
      </c>
      <c r="H122">
        <v>0.5</v>
      </c>
      <c r="I122">
        <v>0.7423811591906323</v>
      </c>
      <c r="J122">
        <v>1</v>
      </c>
      <c r="K122">
        <v>0</v>
      </c>
      <c r="L122">
        <v>0</v>
      </c>
      <c r="M122">
        <v>3.4478120688173762E-2</v>
      </c>
      <c r="N122">
        <v>1</v>
      </c>
      <c r="O122">
        <v>0.3252834380865659</v>
      </c>
      <c r="P122">
        <v>3.1327531587148204E-2</v>
      </c>
      <c r="Q122">
        <v>0.18664593406413932</v>
      </c>
      <c r="R122">
        <v>0</v>
      </c>
      <c r="S122">
        <v>0.35826879665315564</v>
      </c>
      <c r="T122">
        <v>0.41971217487468437</v>
      </c>
      <c r="U122">
        <v>0.27567536490880012</v>
      </c>
      <c r="V122">
        <v>0</v>
      </c>
      <c r="W122">
        <v>0.73620255470800189</v>
      </c>
      <c r="X122">
        <v>0.12457567738721986</v>
      </c>
      <c r="Y122">
        <v>0.10482124767075669</v>
      </c>
      <c r="Z122">
        <v>0.41322711577918486</v>
      </c>
      <c r="AA122">
        <v>0.42148652847023094</v>
      </c>
      <c r="AB122">
        <v>0.20523987882110858</v>
      </c>
      <c r="AC122">
        <v>0</v>
      </c>
      <c r="AD122">
        <v>0.67150668197868835</v>
      </c>
    </row>
    <row r="123" spans="1:30" x14ac:dyDescent="0.25">
      <c r="A123" t="s">
        <v>398</v>
      </c>
      <c r="B123" t="s">
        <v>433</v>
      </c>
      <c r="C123" t="s">
        <v>436</v>
      </c>
      <c r="D123" t="s">
        <v>439</v>
      </c>
      <c r="E123">
        <v>0.75496074250119938</v>
      </c>
      <c r="F123">
        <v>0.32680422351234129</v>
      </c>
      <c r="G123">
        <v>0.88262818294109091</v>
      </c>
      <c r="H123">
        <v>0.5</v>
      </c>
      <c r="I123">
        <v>0.2576188408093677</v>
      </c>
      <c r="J123">
        <v>0</v>
      </c>
      <c r="K123">
        <v>1</v>
      </c>
      <c r="L123">
        <v>1</v>
      </c>
      <c r="M123">
        <v>0.96552187931182631</v>
      </c>
      <c r="N123">
        <v>0</v>
      </c>
      <c r="O123">
        <v>0.67471656191343399</v>
      </c>
      <c r="P123">
        <v>0.96867246841285182</v>
      </c>
      <c r="Q123">
        <v>0.81335406593586068</v>
      </c>
      <c r="R123">
        <v>1</v>
      </c>
      <c r="S123">
        <v>0.6417312033468443</v>
      </c>
      <c r="T123">
        <v>0.58028782512531574</v>
      </c>
      <c r="U123">
        <v>0.72432463509119993</v>
      </c>
      <c r="V123">
        <v>1</v>
      </c>
      <c r="W123">
        <v>0.26379744529199806</v>
      </c>
      <c r="X123">
        <v>0.87542432261278014</v>
      </c>
      <c r="Y123">
        <v>0.89517875232924327</v>
      </c>
      <c r="Z123">
        <v>0.58677288422081519</v>
      </c>
      <c r="AA123">
        <v>0.57851347152976906</v>
      </c>
      <c r="AB123">
        <v>0.79476012117889139</v>
      </c>
      <c r="AC123">
        <v>1</v>
      </c>
      <c r="AD123">
        <v>0.32849331802131154</v>
      </c>
    </row>
    <row r="124" spans="1:30" x14ac:dyDescent="0.25">
      <c r="A124" t="s">
        <v>399</v>
      </c>
      <c r="B124" t="s">
        <v>434</v>
      </c>
      <c r="C124" t="s">
        <v>435</v>
      </c>
      <c r="D124" t="s">
        <v>438</v>
      </c>
      <c r="E124">
        <v>0.31856590313426797</v>
      </c>
      <c r="F124">
        <v>0.73277785669610129</v>
      </c>
      <c r="G124">
        <v>0.28782470604311788</v>
      </c>
      <c r="H124">
        <v>0.70220849280275444</v>
      </c>
      <c r="I124">
        <v>0.49771740035987372</v>
      </c>
      <c r="J124">
        <v>0.19380170267071123</v>
      </c>
      <c r="K124">
        <v>0.27278241355369409</v>
      </c>
      <c r="L124">
        <v>0.3841037088026617</v>
      </c>
      <c r="M124">
        <v>0.30641417896082607</v>
      </c>
      <c r="N124">
        <v>0.60726443777125172</v>
      </c>
      <c r="O124">
        <v>2.8770664774415592E-2</v>
      </c>
      <c r="P124">
        <v>0.34265321555512401</v>
      </c>
      <c r="Q124">
        <v>0.55075265880789503</v>
      </c>
      <c r="R124">
        <v>0.85646440524288647</v>
      </c>
      <c r="S124">
        <v>0.22129936293504718</v>
      </c>
      <c r="T124">
        <v>0.20853343672221486</v>
      </c>
      <c r="U124">
        <v>0.35071031886046911</v>
      </c>
      <c r="V124">
        <v>0.27306675271688907</v>
      </c>
      <c r="W124">
        <v>0.52073937588024011</v>
      </c>
      <c r="X124">
        <v>0.5669318593242676</v>
      </c>
      <c r="Y124">
        <v>0.24725992869393978</v>
      </c>
      <c r="Z124">
        <v>0.37795084852183503</v>
      </c>
      <c r="AA124">
        <v>0.33462978898110141</v>
      </c>
      <c r="AB124">
        <v>0.47586133226969707</v>
      </c>
      <c r="AC124">
        <v>0.40126882795937246</v>
      </c>
      <c r="AD124">
        <v>0.63240395659818949</v>
      </c>
    </row>
    <row r="125" spans="1:30" x14ac:dyDescent="0.25">
      <c r="A125" t="s">
        <v>400</v>
      </c>
      <c r="B125" t="s">
        <v>434</v>
      </c>
      <c r="C125" t="s">
        <v>435</v>
      </c>
      <c r="D125" t="s">
        <v>438</v>
      </c>
      <c r="E125">
        <v>0</v>
      </c>
      <c r="F125">
        <v>4.593169599376235E-5</v>
      </c>
      <c r="G125">
        <v>0</v>
      </c>
      <c r="H125">
        <v>0</v>
      </c>
      <c r="I125">
        <v>8.5673756106097178E-6</v>
      </c>
      <c r="J125">
        <v>2.0369960845687324E-4</v>
      </c>
      <c r="K125">
        <v>1.2112543621953095E-3</v>
      </c>
      <c r="L125">
        <v>3.5698901231529918E-3</v>
      </c>
      <c r="M125">
        <v>1.5641226000582938E-2</v>
      </c>
      <c r="N125">
        <v>4.3192355811855764E-5</v>
      </c>
      <c r="O125">
        <v>7.9784221457572346E-6</v>
      </c>
      <c r="P125">
        <v>0</v>
      </c>
      <c r="Q125">
        <v>0</v>
      </c>
      <c r="R125">
        <v>0</v>
      </c>
      <c r="S125">
        <v>3.3467271042953249E-5</v>
      </c>
      <c r="T125">
        <v>7.0444058857790256E-5</v>
      </c>
      <c r="U125">
        <v>4.7511550048454547E-3</v>
      </c>
      <c r="V125">
        <v>0</v>
      </c>
      <c r="W125">
        <v>1.1085211517087834E-5</v>
      </c>
      <c r="X125">
        <v>1.0497509524285199E-2</v>
      </c>
      <c r="Y125">
        <v>0</v>
      </c>
      <c r="Z125">
        <v>0</v>
      </c>
      <c r="AA125">
        <v>1.7960845228597746E-4</v>
      </c>
      <c r="AB125">
        <v>0</v>
      </c>
      <c r="AC125">
        <v>0</v>
      </c>
      <c r="AD125">
        <v>5.450795131154649E-5</v>
      </c>
    </row>
    <row r="126" spans="1:30" x14ac:dyDescent="0.25">
      <c r="A126" t="s">
        <v>401</v>
      </c>
      <c r="B126" t="s">
        <v>434</v>
      </c>
      <c r="C126" t="s">
        <v>435</v>
      </c>
      <c r="D126" t="s">
        <v>438</v>
      </c>
      <c r="E126">
        <v>0.24321022885116839</v>
      </c>
      <c r="F126">
        <v>8.4721750022364914E-2</v>
      </c>
      <c r="G126">
        <v>0.18285815541663364</v>
      </c>
      <c r="H126">
        <v>0.10313084525489269</v>
      </c>
      <c r="I126">
        <v>8.6255045763995827E-2</v>
      </c>
      <c r="J126">
        <v>0.26147671193267552</v>
      </c>
      <c r="K126">
        <v>0.1968671699582735</v>
      </c>
      <c r="L126">
        <v>0.20232234574751301</v>
      </c>
      <c r="M126">
        <v>0.43636572589481687</v>
      </c>
      <c r="N126">
        <v>6.5940546317050486E-2</v>
      </c>
      <c r="O126">
        <v>0.90992158315930116</v>
      </c>
      <c r="P126">
        <v>0.25571969161584085</v>
      </c>
      <c r="Q126">
        <v>4.8091643242703402E-2</v>
      </c>
      <c r="R126">
        <v>4.7876408515811021E-2</v>
      </c>
      <c r="S126">
        <v>0.51624741615582903</v>
      </c>
      <c r="T126">
        <v>0.23902018284966592</v>
      </c>
      <c r="U126">
        <v>0.30382420689825129</v>
      </c>
      <c r="V126">
        <v>0.13369833838118553</v>
      </c>
      <c r="W126">
        <v>0.10372539698364555</v>
      </c>
      <c r="X126">
        <v>0.14904075195179936</v>
      </c>
      <c r="Y126">
        <v>0.4148874800652238</v>
      </c>
      <c r="Z126">
        <v>7.7989937710468527E-2</v>
      </c>
      <c r="AA126">
        <v>0.34697589956033664</v>
      </c>
      <c r="AB126">
        <v>0.13438091386100556</v>
      </c>
      <c r="AC126">
        <v>0.11880391310660908</v>
      </c>
      <c r="AD126">
        <v>8.4898225933101895E-2</v>
      </c>
    </row>
    <row r="127" spans="1:30" x14ac:dyDescent="0.25">
      <c r="A127" t="s">
        <v>402</v>
      </c>
      <c r="B127" t="s">
        <v>434</v>
      </c>
      <c r="C127" t="s">
        <v>435</v>
      </c>
      <c r="D127" t="s">
        <v>438</v>
      </c>
      <c r="E127">
        <v>2.2806527319825273E-3</v>
      </c>
      <c r="F127">
        <v>4.9019694330003567E-4</v>
      </c>
      <c r="G127">
        <v>1.2590620850705505E-3</v>
      </c>
      <c r="H127">
        <v>1.2302128944243033E-2</v>
      </c>
      <c r="I127">
        <v>7.5549332479370038E-4</v>
      </c>
      <c r="J127">
        <v>2.4093555482673472E-4</v>
      </c>
      <c r="K127">
        <v>4.6513052145229624E-3</v>
      </c>
      <c r="L127">
        <v>3.7808305390260393E-3</v>
      </c>
      <c r="M127">
        <v>1.2937504075218361E-3</v>
      </c>
      <c r="N127">
        <v>7.4211858531365112E-5</v>
      </c>
      <c r="O127">
        <v>3.9726645056029071E-5</v>
      </c>
      <c r="P127">
        <v>4.890604648235477E-6</v>
      </c>
      <c r="Q127">
        <v>4.4919134578995585E-4</v>
      </c>
      <c r="R127">
        <v>0</v>
      </c>
      <c r="S127">
        <v>2.8465979259614041E-3</v>
      </c>
      <c r="T127">
        <v>4.707596173753879E-3</v>
      </c>
      <c r="U127">
        <v>9.3421914156709693E-4</v>
      </c>
      <c r="V127">
        <v>2.9548002401872343E-3</v>
      </c>
      <c r="W127">
        <v>4.7092741459252262E-3</v>
      </c>
      <c r="X127">
        <v>0</v>
      </c>
      <c r="Y127">
        <v>1.1282349230952551E-3</v>
      </c>
      <c r="Z127">
        <v>4.2207419112516489E-3</v>
      </c>
      <c r="AA127">
        <v>3.1648794268154622E-4</v>
      </c>
      <c r="AB127">
        <v>7.8489188940471816E-3</v>
      </c>
      <c r="AC127">
        <v>6.147588443558375E-4</v>
      </c>
      <c r="AD127">
        <v>5.6835000482490915E-4</v>
      </c>
    </row>
    <row r="128" spans="1:30" x14ac:dyDescent="0.25">
      <c r="A128" t="s">
        <v>403</v>
      </c>
      <c r="B128" t="s">
        <v>434</v>
      </c>
      <c r="C128" t="s">
        <v>435</v>
      </c>
      <c r="D128" t="s">
        <v>438</v>
      </c>
      <c r="E128">
        <v>0.19489734172559184</v>
      </c>
      <c r="F128">
        <v>0.13674897564732916</v>
      </c>
      <c r="G128">
        <v>0.44123322025471506</v>
      </c>
      <c r="H128">
        <v>6.406644367476029E-2</v>
      </c>
      <c r="I128">
        <v>0.17486533995636711</v>
      </c>
      <c r="J128">
        <v>0.31523872483926402</v>
      </c>
      <c r="K128">
        <v>0.28285351900307626</v>
      </c>
      <c r="L128">
        <v>0.26332154821280518</v>
      </c>
      <c r="M128">
        <v>6.9346143797381452E-2</v>
      </c>
      <c r="N128">
        <v>0.28460039322045338</v>
      </c>
      <c r="O128">
        <v>5.2037960775565044E-2</v>
      </c>
      <c r="P128">
        <v>0.23194851593234914</v>
      </c>
      <c r="Q128">
        <v>0.18453031039244502</v>
      </c>
      <c r="R128">
        <v>4.9646828297446689E-2</v>
      </c>
      <c r="S128">
        <v>0.21085462240091826</v>
      </c>
      <c r="T128">
        <v>0.28602525342126067</v>
      </c>
      <c r="U128">
        <v>0.15441563926343818</v>
      </c>
      <c r="V128">
        <v>0.57139088077315736</v>
      </c>
      <c r="W128">
        <v>0.21511539884679384</v>
      </c>
      <c r="X128">
        <v>0.20015336813485687</v>
      </c>
      <c r="Y128">
        <v>0.27274074704692353</v>
      </c>
      <c r="Z128">
        <v>0.25607084660133078</v>
      </c>
      <c r="AA128">
        <v>0.28381512328831726</v>
      </c>
      <c r="AB128">
        <v>0.14420732421017013</v>
      </c>
      <c r="AC128">
        <v>0.33504743710537072</v>
      </c>
      <c r="AD128">
        <v>0.12529997451673883</v>
      </c>
    </row>
    <row r="129" spans="1:30" x14ac:dyDescent="0.25">
      <c r="A129" t="s">
        <v>452</v>
      </c>
      <c r="B129" t="s">
        <v>434</v>
      </c>
      <c r="C129" t="s">
        <v>435</v>
      </c>
      <c r="D129" t="s">
        <v>438</v>
      </c>
      <c r="E129">
        <v>0.18241268322885834</v>
      </c>
      <c r="F129">
        <v>7.4439673210087891E-3</v>
      </c>
      <c r="G129">
        <v>4.2669271961698868E-2</v>
      </c>
      <c r="H129">
        <v>4.5723191541721421E-2</v>
      </c>
      <c r="I129">
        <v>0.17699623385263138</v>
      </c>
      <c r="J129">
        <v>8.5517859068255583E-2</v>
      </c>
      <c r="K129">
        <v>8.4530701203121297E-2</v>
      </c>
      <c r="L129">
        <v>0.11917570855762084</v>
      </c>
      <c r="M129">
        <v>0.1388762181888723</v>
      </c>
      <c r="N129">
        <v>2.4225530395790933E-2</v>
      </c>
      <c r="O129">
        <v>2.3082877724092689E-3</v>
      </c>
      <c r="P129">
        <v>2.8694482735741395E-2</v>
      </c>
      <c r="Q129">
        <v>0.18875203364729604</v>
      </c>
      <c r="R129">
        <v>1.6186194235855614E-2</v>
      </c>
      <c r="S129">
        <v>1.0092481046005269E-2</v>
      </c>
      <c r="T129">
        <v>9.4321845075960045E-2</v>
      </c>
      <c r="U129">
        <v>0.1110543131555162</v>
      </c>
      <c r="V129">
        <v>4.384245815109121E-3</v>
      </c>
      <c r="W129">
        <v>4.9551045871609356E-2</v>
      </c>
      <c r="X129">
        <v>4.0152695019772554E-2</v>
      </c>
      <c r="Y129">
        <v>4.6952434035758855E-2</v>
      </c>
      <c r="Z129">
        <v>0.14071174185442756</v>
      </c>
      <c r="AA129">
        <v>2.9023936511779328E-3</v>
      </c>
      <c r="AB129">
        <v>0.12762107639464798</v>
      </c>
      <c r="AC129">
        <v>5.4691601024890943E-2</v>
      </c>
      <c r="AD129">
        <v>8.7241893621811686E-2</v>
      </c>
    </row>
    <row r="130" spans="1:30" x14ac:dyDescent="0.25">
      <c r="A130" t="s">
        <v>405</v>
      </c>
      <c r="B130" t="s">
        <v>434</v>
      </c>
      <c r="C130" t="s">
        <v>435</v>
      </c>
      <c r="D130" t="s">
        <v>438</v>
      </c>
      <c r="E130">
        <v>1.8237716725686606E-2</v>
      </c>
      <c r="F130">
        <v>5.0448133521413339E-3</v>
      </c>
      <c r="G130">
        <v>1.7787658778677527E-2</v>
      </c>
      <c r="H130">
        <v>5.1433598758825382E-2</v>
      </c>
      <c r="I130">
        <v>5.0953604826573726E-2</v>
      </c>
      <c r="J130">
        <v>1.8725257808598478E-2</v>
      </c>
      <c r="K130">
        <v>0.13339045418222839</v>
      </c>
      <c r="L130">
        <v>2.1233285108080674E-2</v>
      </c>
      <c r="M130">
        <v>2.9733307910654642E-2</v>
      </c>
      <c r="N130">
        <v>1.0630657782768079E-2</v>
      </c>
      <c r="O130">
        <v>7.6864518130904068E-4</v>
      </c>
      <c r="P130">
        <v>0.13967780940793492</v>
      </c>
      <c r="Q130">
        <v>7.4699772229455718E-3</v>
      </c>
      <c r="R130">
        <v>1.971641671316595E-2</v>
      </c>
      <c r="S130">
        <v>6.4920918758734391E-3</v>
      </c>
      <c r="T130">
        <v>9.1948721016957058E-2</v>
      </c>
      <c r="U130">
        <v>5.6917262484721343E-2</v>
      </c>
      <c r="V130">
        <v>6.6515923396225978E-3</v>
      </c>
      <c r="W130">
        <v>7.3335547022592359E-2</v>
      </c>
      <c r="X130">
        <v>1.8008319124544682E-2</v>
      </c>
      <c r="Y130">
        <v>5.2881513955768565E-3</v>
      </c>
      <c r="Z130">
        <v>6.1867758570904971E-2</v>
      </c>
      <c r="AA130">
        <v>3.6998892392470428E-3</v>
      </c>
      <c r="AB130">
        <v>6.9449154400085089E-2</v>
      </c>
      <c r="AC130">
        <v>5.7722574148810109E-2</v>
      </c>
      <c r="AD130">
        <v>5.9185527905857904E-2</v>
      </c>
    </row>
    <row r="131" spans="1:30" x14ac:dyDescent="0.25">
      <c r="A131" t="s">
        <v>406</v>
      </c>
      <c r="B131" t="s">
        <v>434</v>
      </c>
      <c r="C131" t="s">
        <v>435</v>
      </c>
      <c r="D131" t="s">
        <v>438</v>
      </c>
      <c r="E131">
        <v>4.039547360244447E-2</v>
      </c>
      <c r="F131">
        <v>3.2726508321760751E-2</v>
      </c>
      <c r="G131">
        <v>2.6367925460086254E-2</v>
      </c>
      <c r="H131">
        <v>2.1135299022802628E-2</v>
      </c>
      <c r="I131">
        <v>1.2448314540153877E-2</v>
      </c>
      <c r="J131">
        <v>0.12479510851721153</v>
      </c>
      <c r="K131">
        <v>2.3713182522888274E-2</v>
      </c>
      <c r="L131">
        <v>2.4926829091397504E-3</v>
      </c>
      <c r="M131">
        <v>2.3294488393436714E-3</v>
      </c>
      <c r="N131">
        <v>7.2210302983419855E-3</v>
      </c>
      <c r="O131">
        <v>6.1451532697981868E-3</v>
      </c>
      <c r="P131">
        <v>1.3013941483615398E-3</v>
      </c>
      <c r="Q131">
        <v>1.9954185340925201E-2</v>
      </c>
      <c r="R131">
        <v>1.0109746994834233E-2</v>
      </c>
      <c r="S131">
        <v>3.2133960389322556E-2</v>
      </c>
      <c r="T131">
        <v>7.5372520681329866E-2</v>
      </c>
      <c r="U131">
        <v>1.739288519119131E-2</v>
      </c>
      <c r="V131">
        <v>7.8533897338492233E-3</v>
      </c>
      <c r="W131">
        <v>3.2812876037676339E-2</v>
      </c>
      <c r="X131">
        <v>1.5215496920473691E-2</v>
      </c>
      <c r="Y131">
        <v>1.1743023839481784E-2</v>
      </c>
      <c r="Z131">
        <v>8.1188124829781716E-2</v>
      </c>
      <c r="AA131">
        <v>2.7480808884852156E-2</v>
      </c>
      <c r="AB131">
        <v>4.0631279970347094E-2</v>
      </c>
      <c r="AC131">
        <v>3.1850887810590867E-2</v>
      </c>
      <c r="AD131">
        <v>1.0347563468163715E-2</v>
      </c>
    </row>
    <row r="132" spans="1:30" x14ac:dyDescent="0.25">
      <c r="A132" t="s">
        <v>407</v>
      </c>
      <c r="B132" t="s">
        <v>434</v>
      </c>
      <c r="C132" t="s">
        <v>435</v>
      </c>
      <c r="D132" t="s">
        <v>439</v>
      </c>
      <c r="E132">
        <v>2.837764743558974E-2</v>
      </c>
      <c r="F132">
        <v>0.19266156809476734</v>
      </c>
      <c r="G132">
        <v>4.8403806390590359E-2</v>
      </c>
      <c r="H132">
        <v>7.1420240319013589E-2</v>
      </c>
      <c r="I132">
        <v>0.16563417528456886</v>
      </c>
      <c r="J132">
        <v>0.14202406242626878</v>
      </c>
      <c r="K132">
        <v>4.0211806794291177E-2</v>
      </c>
      <c r="L132">
        <v>1.4595254561954098E-2</v>
      </c>
      <c r="M132">
        <v>1.7177591709574884E-2</v>
      </c>
      <c r="N132">
        <v>0.24175819187063319</v>
      </c>
      <c r="O132">
        <v>2.652649859583299E-2</v>
      </c>
      <c r="P132">
        <v>8.9319058634448487E-2</v>
      </c>
      <c r="Q132">
        <v>0.15281044667952412</v>
      </c>
      <c r="R132">
        <v>0.12183798402510587</v>
      </c>
      <c r="S132">
        <v>0.19087727862173698</v>
      </c>
      <c r="T132">
        <v>3.3097063788049802E-2</v>
      </c>
      <c r="U132">
        <v>8.6816022169824786E-2</v>
      </c>
      <c r="V132">
        <v>1.5994543153809843E-2</v>
      </c>
      <c r="W132">
        <v>7.8324025870417577E-2</v>
      </c>
      <c r="X132">
        <v>0.20380137562351044</v>
      </c>
      <c r="Y132">
        <v>2.3642360111374796E-2</v>
      </c>
      <c r="Z132">
        <v>0.1395233113407541</v>
      </c>
      <c r="AA132">
        <v>9.6337378294525364E-2</v>
      </c>
      <c r="AB132">
        <v>6.9494025076458743E-2</v>
      </c>
      <c r="AC132">
        <v>1.6398314980272888E-2</v>
      </c>
      <c r="AD132">
        <v>0.30459635535458707</v>
      </c>
    </row>
    <row r="133" spans="1:30" x14ac:dyDescent="0.25">
      <c r="A133" t="s">
        <v>408</v>
      </c>
      <c r="B133" t="s">
        <v>434</v>
      </c>
      <c r="C133" t="s">
        <v>435</v>
      </c>
      <c r="D133" t="s">
        <v>439</v>
      </c>
      <c r="E133">
        <v>0.97162235256441032</v>
      </c>
      <c r="F133">
        <v>0.80733843190523258</v>
      </c>
      <c r="G133">
        <v>0.95159619360940972</v>
      </c>
      <c r="H133">
        <v>0.92857975968098638</v>
      </c>
      <c r="I133">
        <v>0.83436582471543108</v>
      </c>
      <c r="J133">
        <v>0.85797593757373125</v>
      </c>
      <c r="K133">
        <v>0.95978819320570885</v>
      </c>
      <c r="L133">
        <v>0.98540474543804579</v>
      </c>
      <c r="M133">
        <v>0.98282240829042511</v>
      </c>
      <c r="N133">
        <v>0.75824180812936681</v>
      </c>
      <c r="O133">
        <v>0.973473501404167</v>
      </c>
      <c r="P133">
        <v>0.91068094136555156</v>
      </c>
      <c r="Q133">
        <v>0.84718955332047585</v>
      </c>
      <c r="R133">
        <v>0.87816201597489418</v>
      </c>
      <c r="S133">
        <v>0.80912272137826302</v>
      </c>
      <c r="T133">
        <v>0.96690293621195023</v>
      </c>
      <c r="U133">
        <v>0.91318397783017524</v>
      </c>
      <c r="V133">
        <v>0.98400545684619023</v>
      </c>
      <c r="W133">
        <v>0.92167597412958246</v>
      </c>
      <c r="X133">
        <v>0.79619862437648958</v>
      </c>
      <c r="Y133">
        <v>0.97635763988862523</v>
      </c>
      <c r="Z133">
        <v>0.86047668865924598</v>
      </c>
      <c r="AA133">
        <v>0.90366262170547462</v>
      </c>
      <c r="AB133">
        <v>0.93050597492354126</v>
      </c>
      <c r="AC133">
        <v>0.98360168501972711</v>
      </c>
      <c r="AD133">
        <v>0.69540364464541282</v>
      </c>
    </row>
    <row r="134" spans="1:30" x14ac:dyDescent="0.25">
      <c r="A134" t="s">
        <v>409</v>
      </c>
      <c r="B134" t="s">
        <v>434</v>
      </c>
      <c r="C134" t="s">
        <v>436</v>
      </c>
      <c r="D134" t="s">
        <v>438</v>
      </c>
      <c r="E134">
        <v>0.16197992890905755</v>
      </c>
      <c r="F134">
        <v>0.5768681133689989</v>
      </c>
      <c r="G134">
        <v>0.35802956823075394</v>
      </c>
      <c r="H134">
        <v>0.1824079915728026</v>
      </c>
      <c r="I134">
        <v>0.54096426376514972</v>
      </c>
      <c r="J134">
        <v>0.15846014134652991</v>
      </c>
      <c r="K134">
        <v>0.15999533567906662</v>
      </c>
      <c r="L134">
        <v>0.23374667863577386</v>
      </c>
      <c r="M134">
        <v>0.19041452255899521</v>
      </c>
      <c r="N134">
        <v>0.71026078144381866</v>
      </c>
      <c r="O134">
        <v>1.2534831885899964E-2</v>
      </c>
      <c r="P134">
        <v>4.5587895199591851E-4</v>
      </c>
      <c r="Q134">
        <v>0.60734011248953279</v>
      </c>
      <c r="R134">
        <v>0</v>
      </c>
      <c r="S134">
        <v>0.29776624216322517</v>
      </c>
      <c r="T134">
        <v>0.28112690940680668</v>
      </c>
      <c r="U134">
        <v>0.3636538730501378</v>
      </c>
      <c r="V134">
        <v>0.54239941485925769</v>
      </c>
      <c r="W134">
        <v>0.25333134489743447</v>
      </c>
      <c r="X134">
        <v>0.21730078148296603</v>
      </c>
      <c r="Y134">
        <v>0.10922750118763781</v>
      </c>
      <c r="Z134">
        <v>0.3080851656446042</v>
      </c>
      <c r="AA134">
        <v>0.33624317034299012</v>
      </c>
      <c r="AB134">
        <v>0.4179879044684161</v>
      </c>
      <c r="AC134">
        <v>0.50025930472942803</v>
      </c>
      <c r="AD134">
        <v>0.57113917994098473</v>
      </c>
    </row>
    <row r="135" spans="1:30" x14ac:dyDescent="0.25">
      <c r="A135" t="s">
        <v>410</v>
      </c>
      <c r="B135" t="s">
        <v>434</v>
      </c>
      <c r="C135" t="s">
        <v>436</v>
      </c>
      <c r="D135" t="s">
        <v>438</v>
      </c>
      <c r="E135">
        <v>0</v>
      </c>
      <c r="F135">
        <v>1.6358965182379249E-4</v>
      </c>
      <c r="G135">
        <v>0</v>
      </c>
      <c r="H135">
        <v>0</v>
      </c>
      <c r="I135">
        <v>5.1460248130887126E-5</v>
      </c>
      <c r="J135">
        <v>2.1911700710879361E-7</v>
      </c>
      <c r="K135">
        <v>8.6338988139887034E-4</v>
      </c>
      <c r="L135">
        <v>3.8649986577203202E-3</v>
      </c>
      <c r="M135">
        <v>0</v>
      </c>
      <c r="N135">
        <v>1.4679180517588141E-5</v>
      </c>
      <c r="O135">
        <v>1.2238560793040267E-7</v>
      </c>
      <c r="P135">
        <v>1.4874351735486183E-5</v>
      </c>
      <c r="Q135">
        <v>0</v>
      </c>
      <c r="R135">
        <v>0</v>
      </c>
      <c r="S135">
        <v>7.6801879434507204E-6</v>
      </c>
      <c r="T135">
        <v>6.2895399213570323E-5</v>
      </c>
      <c r="U135">
        <v>2.9549945518042249E-2</v>
      </c>
      <c r="V135">
        <v>0</v>
      </c>
      <c r="W135">
        <v>1.2560152987197331E-5</v>
      </c>
      <c r="X135">
        <v>0</v>
      </c>
      <c r="Y135">
        <v>0</v>
      </c>
      <c r="Z135">
        <v>0</v>
      </c>
      <c r="AA135">
        <v>1.014768509263619E-4</v>
      </c>
      <c r="AB135">
        <v>0</v>
      </c>
      <c r="AC135">
        <v>0</v>
      </c>
      <c r="AD135">
        <v>2.0682213329705344E-5</v>
      </c>
    </row>
    <row r="136" spans="1:30" x14ac:dyDescent="0.25">
      <c r="A136" t="s">
        <v>411</v>
      </c>
      <c r="B136" t="s">
        <v>434</v>
      </c>
      <c r="C136" t="s">
        <v>436</v>
      </c>
      <c r="D136" t="s">
        <v>438</v>
      </c>
      <c r="E136">
        <v>0.24114378239583781</v>
      </c>
      <c r="F136">
        <v>4.467155128630456E-2</v>
      </c>
      <c r="G136">
        <v>0.14187139118308378</v>
      </c>
      <c r="H136">
        <v>0</v>
      </c>
      <c r="I136">
        <v>0.10138590250092923</v>
      </c>
      <c r="J136">
        <v>0.47563263161438918</v>
      </c>
      <c r="K136">
        <v>1.3035093414992158E-2</v>
      </c>
      <c r="L136">
        <v>8.5022021068625414E-2</v>
      </c>
      <c r="M136">
        <v>0.46394556051275043</v>
      </c>
      <c r="N136">
        <v>5.7389117174605188E-2</v>
      </c>
      <c r="O136">
        <v>0.90240618883945212</v>
      </c>
      <c r="P136">
        <v>2.0985693619483315E-2</v>
      </c>
      <c r="Q136">
        <v>4.2776218433000092E-2</v>
      </c>
      <c r="R136">
        <v>0</v>
      </c>
      <c r="S136">
        <v>0.40389686974945227</v>
      </c>
      <c r="T136">
        <v>0.13538862837483109</v>
      </c>
      <c r="U136">
        <v>0.15968372621545704</v>
      </c>
      <c r="V136">
        <v>2.8697866364940518E-2</v>
      </c>
      <c r="W136">
        <v>7.0487729418596407E-2</v>
      </c>
      <c r="X136">
        <v>0.13231699050245302</v>
      </c>
      <c r="Y136">
        <v>0.38173178351061987</v>
      </c>
      <c r="Z136">
        <v>6.6076780451473568E-2</v>
      </c>
      <c r="AA136">
        <v>0.29721724928784254</v>
      </c>
      <c r="AB136">
        <v>0.14446233257341007</v>
      </c>
      <c r="AC136">
        <v>8.5663801574406596E-3</v>
      </c>
      <c r="AD136">
        <v>9.690070172670491E-2</v>
      </c>
    </row>
    <row r="137" spans="1:30" x14ac:dyDescent="0.25">
      <c r="A137" t="s">
        <v>412</v>
      </c>
      <c r="B137" t="s">
        <v>434</v>
      </c>
      <c r="C137" t="s">
        <v>436</v>
      </c>
      <c r="D137" t="s">
        <v>438</v>
      </c>
      <c r="E137">
        <v>1.2468589016424338E-2</v>
      </c>
      <c r="F137">
        <v>6.8067322080823456E-4</v>
      </c>
      <c r="G137">
        <v>6.7206160181083549E-4</v>
      </c>
      <c r="H137">
        <v>0</v>
      </c>
      <c r="I137">
        <v>6.9434576561493145E-4</v>
      </c>
      <c r="J137">
        <v>6.9908364480029874E-4</v>
      </c>
      <c r="K137">
        <v>6.8153998851166429E-3</v>
      </c>
      <c r="L137">
        <v>0</v>
      </c>
      <c r="M137">
        <v>0</v>
      </c>
      <c r="N137">
        <v>1.9515166914775859E-4</v>
      </c>
      <c r="O137">
        <v>2.6632347765449289E-5</v>
      </c>
      <c r="P137">
        <v>1.7562799317188718E-4</v>
      </c>
      <c r="Q137">
        <v>1.9783598133367385E-3</v>
      </c>
      <c r="R137">
        <v>6.2669457039600295E-3</v>
      </c>
      <c r="S137">
        <v>1.101792212623557E-2</v>
      </c>
      <c r="T137">
        <v>1.9246621362019787E-3</v>
      </c>
      <c r="U137">
        <v>1.0015499610762073E-2</v>
      </c>
      <c r="V137">
        <v>0.10249970247180659</v>
      </c>
      <c r="W137">
        <v>2.4921263853920372E-3</v>
      </c>
      <c r="X137">
        <v>1.6934354635846441E-4</v>
      </c>
      <c r="Y137">
        <v>1.7290796701799671E-2</v>
      </c>
      <c r="Z137">
        <v>0</v>
      </c>
      <c r="AA137">
        <v>6.1812858000227311E-4</v>
      </c>
      <c r="AB137">
        <v>4.3867612242211237E-3</v>
      </c>
      <c r="AC137">
        <v>1.2118139040903323E-3</v>
      </c>
      <c r="AD137">
        <v>5.030670703013567E-4</v>
      </c>
    </row>
    <row r="138" spans="1:30" x14ac:dyDescent="0.25">
      <c r="A138" t="s">
        <v>413</v>
      </c>
      <c r="B138" t="s">
        <v>434</v>
      </c>
      <c r="C138" t="s">
        <v>436</v>
      </c>
      <c r="D138" t="s">
        <v>438</v>
      </c>
      <c r="E138">
        <v>0.13335896425033272</v>
      </c>
      <c r="F138">
        <v>0.21966134451198671</v>
      </c>
      <c r="G138">
        <v>0.37101602969767844</v>
      </c>
      <c r="H138">
        <v>0.59405235829597236</v>
      </c>
      <c r="I138">
        <v>0.1765791265118927</v>
      </c>
      <c r="J138">
        <v>0.2532296960531108</v>
      </c>
      <c r="K138">
        <v>0.26404648892309207</v>
      </c>
      <c r="L138">
        <v>0.51508349120707708</v>
      </c>
      <c r="M138">
        <v>0.21787575596426734</v>
      </c>
      <c r="N138">
        <v>0.19892945350510163</v>
      </c>
      <c r="O138">
        <v>8.2819345471609823E-2</v>
      </c>
      <c r="P138">
        <v>2.7308734925186134E-2</v>
      </c>
      <c r="Q138">
        <v>0.21485119843264339</v>
      </c>
      <c r="R138">
        <v>0.59161677205538055</v>
      </c>
      <c r="S138">
        <v>0.19447322241909154</v>
      </c>
      <c r="T138">
        <v>0.2591747173286707</v>
      </c>
      <c r="U138">
        <v>0.28188406953033673</v>
      </c>
      <c r="V138">
        <v>0.1854003062017649</v>
      </c>
      <c r="W138">
        <v>0.44324576882815292</v>
      </c>
      <c r="X138">
        <v>0.50580044891093112</v>
      </c>
      <c r="Y138">
        <v>0.35134870783921479</v>
      </c>
      <c r="Z138">
        <v>0.26472307668951389</v>
      </c>
      <c r="AA138">
        <v>0.31096678893255864</v>
      </c>
      <c r="AB138">
        <v>0.17970234298268103</v>
      </c>
      <c r="AC138">
        <v>0.39163180623805005</v>
      </c>
      <c r="AD138">
        <v>0.18845141946501043</v>
      </c>
    </row>
    <row r="139" spans="1:30" x14ac:dyDescent="0.25">
      <c r="A139" t="s">
        <v>453</v>
      </c>
      <c r="B139" t="s">
        <v>434</v>
      </c>
      <c r="C139" t="s">
        <v>436</v>
      </c>
      <c r="D139" t="s">
        <v>438</v>
      </c>
      <c r="E139">
        <v>0.12868659286996018</v>
      </c>
      <c r="F139">
        <v>4.4511863963861203E-3</v>
      </c>
      <c r="G139">
        <v>2.7842932951439137E-2</v>
      </c>
      <c r="H139">
        <v>0.12273537943565639</v>
      </c>
      <c r="I139">
        <v>9.5108123546056328E-2</v>
      </c>
      <c r="J139">
        <v>4.5337064282222138E-2</v>
      </c>
      <c r="K139">
        <v>0.31285336870482283</v>
      </c>
      <c r="L139">
        <v>0</v>
      </c>
      <c r="M139">
        <v>3.1464506668417894E-2</v>
      </c>
      <c r="N139">
        <v>5.59058314642733E-3</v>
      </c>
      <c r="O139">
        <v>9.4432774786965934E-4</v>
      </c>
      <c r="P139">
        <v>1.2291742644154236E-3</v>
      </c>
      <c r="Q139">
        <v>8.8887405995357979E-2</v>
      </c>
      <c r="R139">
        <v>0</v>
      </c>
      <c r="S139">
        <v>2.1094810581184391E-2</v>
      </c>
      <c r="T139">
        <v>7.1495475714521181E-2</v>
      </c>
      <c r="U139">
        <v>4.6716467721153669E-2</v>
      </c>
      <c r="V139">
        <v>3.2698490129827333E-2</v>
      </c>
      <c r="W139">
        <v>2.4416273186468964E-2</v>
      </c>
      <c r="X139">
        <v>6.4608193722863763E-2</v>
      </c>
      <c r="Y139">
        <v>5.9146381438159893E-3</v>
      </c>
      <c r="Z139">
        <v>6.2224853356126757E-2</v>
      </c>
      <c r="AA139">
        <v>2.7561243726119283E-3</v>
      </c>
      <c r="AB139">
        <v>4.8565494714427886E-2</v>
      </c>
      <c r="AC139">
        <v>3.0339916130769241E-3</v>
      </c>
      <c r="AD139">
        <v>3.6125840189250073E-2</v>
      </c>
    </row>
    <row r="140" spans="1:30" x14ac:dyDescent="0.25">
      <c r="A140" t="s">
        <v>415</v>
      </c>
      <c r="B140" t="s">
        <v>434</v>
      </c>
      <c r="C140" t="s">
        <v>436</v>
      </c>
      <c r="D140" t="s">
        <v>438</v>
      </c>
      <c r="E140">
        <v>0.22607725380028529</v>
      </c>
      <c r="F140">
        <v>0.11049164474990325</v>
      </c>
      <c r="G140">
        <v>8.0093237421217336E-2</v>
      </c>
      <c r="H140">
        <v>6.663192453927963E-2</v>
      </c>
      <c r="I140">
        <v>7.1105173379051145E-2</v>
      </c>
      <c r="J140">
        <v>3.0477306257861811E-2</v>
      </c>
      <c r="K140">
        <v>0.17787371903051305</v>
      </c>
      <c r="L140">
        <v>0.15851853506581559</v>
      </c>
      <c r="M140">
        <v>5.0554364211993046E-2</v>
      </c>
      <c r="N140">
        <v>9.052949633224729E-3</v>
      </c>
      <c r="O140">
        <v>7.3780816481759185E-5</v>
      </c>
      <c r="P140">
        <v>0.94813053732498132</v>
      </c>
      <c r="Q140">
        <v>3.3869617064607789E-2</v>
      </c>
      <c r="R140">
        <v>0.40211628224065937</v>
      </c>
      <c r="S140">
        <v>2.4929676363280757E-2</v>
      </c>
      <c r="T140">
        <v>0.11979120975449546</v>
      </c>
      <c r="U140">
        <v>0.10148536649085402</v>
      </c>
      <c r="V140">
        <v>9.7711198973311361E-2</v>
      </c>
      <c r="W140">
        <v>0.14706533322393117</v>
      </c>
      <c r="X140">
        <v>2.5769075391313401E-2</v>
      </c>
      <c r="Y140">
        <v>6.832811597843455E-2</v>
      </c>
      <c r="Z140">
        <v>0.29889012385828156</v>
      </c>
      <c r="AA140">
        <v>3.1160877607066404E-2</v>
      </c>
      <c r="AB140">
        <v>0.16270765801713705</v>
      </c>
      <c r="AC140">
        <v>7.4984273383164532E-2</v>
      </c>
      <c r="AD140">
        <v>9.2106905027774702E-2</v>
      </c>
    </row>
    <row r="141" spans="1:30" x14ac:dyDescent="0.25">
      <c r="A141" t="s">
        <v>416</v>
      </c>
      <c r="B141" t="s">
        <v>434</v>
      </c>
      <c r="C141" t="s">
        <v>436</v>
      </c>
      <c r="D141" t="s">
        <v>438</v>
      </c>
      <c r="E141">
        <v>9.6284888758102066E-2</v>
      </c>
      <c r="F141">
        <v>4.3011896813788322E-2</v>
      </c>
      <c r="G141">
        <v>2.0474778914016542E-2</v>
      </c>
      <c r="H141">
        <v>3.4172346156288801E-2</v>
      </c>
      <c r="I141">
        <v>1.4111604283175216E-2</v>
      </c>
      <c r="J141">
        <v>3.6163857684078628E-2</v>
      </c>
      <c r="K141">
        <v>6.4517204480997833E-2</v>
      </c>
      <c r="L141">
        <v>3.7642753649878239E-3</v>
      </c>
      <c r="M141">
        <v>4.5745290083576105E-2</v>
      </c>
      <c r="N141">
        <v>1.8567284247157097E-2</v>
      </c>
      <c r="O141">
        <v>1.1947705053133638E-3</v>
      </c>
      <c r="P141">
        <v>1.6994785690305253E-3</v>
      </c>
      <c r="Q141">
        <v>1.0297087771521166E-2</v>
      </c>
      <c r="R141">
        <v>0</v>
      </c>
      <c r="S141">
        <v>4.681357640958704E-2</v>
      </c>
      <c r="T141">
        <v>0.1310355018852595</v>
      </c>
      <c r="U141">
        <v>7.0110518632563023E-3</v>
      </c>
      <c r="V141">
        <v>1.0593020999091518E-2</v>
      </c>
      <c r="W141">
        <v>5.89488639070367E-2</v>
      </c>
      <c r="X141">
        <v>5.4035166443114069E-2</v>
      </c>
      <c r="Y141">
        <v>6.6158456638477317E-2</v>
      </c>
      <c r="Z141">
        <v>0</v>
      </c>
      <c r="AA141">
        <v>2.0936184026001749E-2</v>
      </c>
      <c r="AB141">
        <v>4.2187506019706715E-2</v>
      </c>
      <c r="AC141">
        <v>2.0312429974749337E-2</v>
      </c>
      <c r="AD141">
        <v>1.4752204366644209E-2</v>
      </c>
    </row>
    <row r="142" spans="1:30" x14ac:dyDescent="0.25">
      <c r="A142" t="s">
        <v>417</v>
      </c>
      <c r="B142" t="s">
        <v>434</v>
      </c>
      <c r="C142" t="s">
        <v>436</v>
      </c>
      <c r="D142" t="s">
        <v>439</v>
      </c>
      <c r="E142">
        <v>2.0485711060375427E-2</v>
      </c>
      <c r="F142">
        <v>0.11673569749154025</v>
      </c>
      <c r="G142">
        <v>3.2129109191260552E-2</v>
      </c>
      <c r="H142">
        <v>3.9796416819036333E-2</v>
      </c>
      <c r="I142">
        <v>0.18648353578552887</v>
      </c>
      <c r="J142">
        <v>0.1043715502187078</v>
      </c>
      <c r="K142">
        <v>2.3161474268399026E-3</v>
      </c>
      <c r="L142">
        <v>1.4287328245330649E-3</v>
      </c>
      <c r="M142">
        <v>1.1572400361081425E-2</v>
      </c>
      <c r="N142">
        <v>0.31631593786854745</v>
      </c>
      <c r="O142">
        <v>5.9373826012809161E-2</v>
      </c>
      <c r="P142">
        <v>8.5400326563930762E-2</v>
      </c>
      <c r="Q142">
        <v>0.1038555892160231</v>
      </c>
      <c r="R142">
        <v>0.11133766998003133</v>
      </c>
      <c r="S142">
        <v>0.12054938072956588</v>
      </c>
      <c r="T142">
        <v>3.5949529544942627E-2</v>
      </c>
      <c r="U142">
        <v>4.6558029743150577E-2</v>
      </c>
      <c r="V142">
        <v>2.7411215403537578E-2</v>
      </c>
      <c r="W142">
        <v>4.3428219408963332E-2</v>
      </c>
      <c r="X142">
        <v>0.19171960565146171</v>
      </c>
      <c r="Y142">
        <v>7.1733177895600487E-3</v>
      </c>
      <c r="Z142">
        <v>5.6829343140557043E-2</v>
      </c>
      <c r="AA142">
        <v>0.16811895575475763</v>
      </c>
      <c r="AB142">
        <v>4.0121493394705006E-2</v>
      </c>
      <c r="AC142">
        <v>4.0747286668171264E-3</v>
      </c>
      <c r="AD142">
        <v>0.27154599191541767</v>
      </c>
    </row>
    <row r="143" spans="1:30" x14ac:dyDescent="0.25">
      <c r="A143" t="s">
        <v>418</v>
      </c>
      <c r="B143" t="s">
        <v>434</v>
      </c>
      <c r="C143" t="s">
        <v>436</v>
      </c>
      <c r="D143" t="s">
        <v>439</v>
      </c>
      <c r="E143">
        <v>0.97951428893962456</v>
      </c>
      <c r="F143">
        <v>0.88326430250845966</v>
      </c>
      <c r="G143">
        <v>0.96787089080873945</v>
      </c>
      <c r="H143">
        <v>0.96020358318096377</v>
      </c>
      <c r="I143">
        <v>0.8135164642144711</v>
      </c>
      <c r="J143">
        <v>0.8956284497812923</v>
      </c>
      <c r="K143">
        <v>0.99768385257316006</v>
      </c>
      <c r="L143">
        <v>0.99857126717546696</v>
      </c>
      <c r="M143">
        <v>0.98842759963891857</v>
      </c>
      <c r="N143">
        <v>0.6836840621314525</v>
      </c>
      <c r="O143">
        <v>0.94062617398719095</v>
      </c>
      <c r="P143">
        <v>0.91459967343606929</v>
      </c>
      <c r="Q143">
        <v>0.89614441078397689</v>
      </c>
      <c r="R143">
        <v>0.88866233001996864</v>
      </c>
      <c r="S143">
        <v>0.87945061927043411</v>
      </c>
      <c r="T143">
        <v>0.96405047045505732</v>
      </c>
      <c r="U143">
        <v>0.9534419702568494</v>
      </c>
      <c r="V143">
        <v>0.97258878459646236</v>
      </c>
      <c r="W143">
        <v>0.95657178059103665</v>
      </c>
      <c r="X143">
        <v>0.80828039434853827</v>
      </c>
      <c r="Y143">
        <v>0.99282668221044001</v>
      </c>
      <c r="Z143">
        <v>0.9431706568594429</v>
      </c>
      <c r="AA143">
        <v>0.83188104424524234</v>
      </c>
      <c r="AB143">
        <v>0.95987850660529495</v>
      </c>
      <c r="AC143">
        <v>0.99592527133318287</v>
      </c>
      <c r="AD143">
        <v>0.72845400808458238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2059D-78AA-4CA9-A2A2-C9BEAC206D9D}">
  <dimension ref="A1:EM27"/>
  <sheetViews>
    <sheetView showGridLines="0" zoomScale="85" zoomScaleNormal="85" workbookViewId="0">
      <selection activeCell="I22" sqref="A1:EM27"/>
    </sheetView>
  </sheetViews>
  <sheetFormatPr defaultRowHeight="15" x14ac:dyDescent="0.25"/>
  <cols>
    <col min="1" max="1" width="20.42578125" customWidth="1"/>
  </cols>
  <sheetData>
    <row r="1" spans="1:143" x14ac:dyDescent="0.25">
      <c r="B1" t="s">
        <v>256</v>
      </c>
      <c r="C1" t="s">
        <v>257</v>
      </c>
      <c r="D1" t="s">
        <v>258</v>
      </c>
      <c r="E1" t="s">
        <v>259</v>
      </c>
      <c r="F1" t="s">
        <v>260</v>
      </c>
      <c r="G1" t="s">
        <v>261</v>
      </c>
      <c r="H1" t="s">
        <v>262</v>
      </c>
      <c r="I1" t="s">
        <v>263</v>
      </c>
      <c r="J1" t="s">
        <v>264</v>
      </c>
      <c r="K1" t="s">
        <v>265</v>
      </c>
      <c r="L1" t="s">
        <v>287</v>
      </c>
      <c r="M1" t="s">
        <v>288</v>
      </c>
      <c r="N1" t="s">
        <v>289</v>
      </c>
      <c r="O1" t="s">
        <v>290</v>
      </c>
      <c r="P1" t="s">
        <v>291</v>
      </c>
      <c r="Q1" t="s">
        <v>292</v>
      </c>
      <c r="R1" t="s">
        <v>293</v>
      </c>
      <c r="S1" t="s">
        <v>294</v>
      </c>
      <c r="T1" t="s">
        <v>295</v>
      </c>
      <c r="U1" t="s">
        <v>296</v>
      </c>
      <c r="V1" t="s">
        <v>297</v>
      </c>
      <c r="W1" t="s">
        <v>298</v>
      </c>
      <c r="X1" t="s">
        <v>299</v>
      </c>
      <c r="Y1" t="s">
        <v>300</v>
      </c>
      <c r="Z1" t="s">
        <v>301</v>
      </c>
      <c r="AA1" t="s">
        <v>302</v>
      </c>
      <c r="AB1" t="s">
        <v>303</v>
      </c>
      <c r="AC1" t="s">
        <v>304</v>
      </c>
      <c r="AD1" t="s">
        <v>305</v>
      </c>
      <c r="AE1" t="s">
        <v>306</v>
      </c>
      <c r="AF1" t="s">
        <v>307</v>
      </c>
      <c r="AG1" t="s">
        <v>308</v>
      </c>
      <c r="AH1" t="s">
        <v>309</v>
      </c>
      <c r="AI1" t="s">
        <v>310</v>
      </c>
      <c r="AJ1" t="s">
        <v>311</v>
      </c>
      <c r="AK1" t="s">
        <v>312</v>
      </c>
      <c r="AL1" t="s">
        <v>313</v>
      </c>
      <c r="AM1" t="s">
        <v>314</v>
      </c>
      <c r="AN1" t="s">
        <v>315</v>
      </c>
      <c r="AO1" t="s">
        <v>316</v>
      </c>
      <c r="AP1" t="s">
        <v>317</v>
      </c>
      <c r="AQ1" t="s">
        <v>318</v>
      </c>
      <c r="AR1" t="s">
        <v>319</v>
      </c>
      <c r="AS1" t="s">
        <v>320</v>
      </c>
      <c r="AT1" t="s">
        <v>321</v>
      </c>
      <c r="AU1" t="s">
        <v>322</v>
      </c>
      <c r="AV1" t="s">
        <v>323</v>
      </c>
      <c r="AW1" t="s">
        <v>324</v>
      </c>
      <c r="AX1" t="s">
        <v>325</v>
      </c>
      <c r="AY1" t="s">
        <v>326</v>
      </c>
      <c r="AZ1" t="s">
        <v>327</v>
      </c>
      <c r="BA1" t="s">
        <v>328</v>
      </c>
      <c r="BB1" t="s">
        <v>329</v>
      </c>
      <c r="BC1" t="s">
        <v>330</v>
      </c>
      <c r="BD1" t="s">
        <v>331</v>
      </c>
      <c r="BE1" t="s">
        <v>332</v>
      </c>
      <c r="BF1" t="s">
        <v>333</v>
      </c>
      <c r="BG1" t="s">
        <v>334</v>
      </c>
      <c r="BH1" t="s">
        <v>335</v>
      </c>
      <c r="BI1" t="s">
        <v>336</v>
      </c>
      <c r="BJ1" t="s">
        <v>337</v>
      </c>
      <c r="BK1" t="s">
        <v>338</v>
      </c>
      <c r="BL1" t="s">
        <v>339</v>
      </c>
      <c r="BM1" t="s">
        <v>340</v>
      </c>
      <c r="BN1" t="s">
        <v>341</v>
      </c>
      <c r="BO1" t="s">
        <v>342</v>
      </c>
      <c r="BP1" t="s">
        <v>343</v>
      </c>
      <c r="BQ1" t="s">
        <v>344</v>
      </c>
      <c r="BR1" t="s">
        <v>345</v>
      </c>
      <c r="BS1" t="s">
        <v>346</v>
      </c>
      <c r="BT1" t="s">
        <v>347</v>
      </c>
      <c r="BU1" t="s">
        <v>348</v>
      </c>
      <c r="BV1" t="s">
        <v>349</v>
      </c>
      <c r="BW1" t="s">
        <v>350</v>
      </c>
      <c r="BX1" t="s">
        <v>351</v>
      </c>
      <c r="BY1" t="s">
        <v>352</v>
      </c>
      <c r="BZ1" t="s">
        <v>353</v>
      </c>
      <c r="CA1" t="s">
        <v>354</v>
      </c>
      <c r="CB1" t="s">
        <v>355</v>
      </c>
      <c r="CC1" t="s">
        <v>356</v>
      </c>
      <c r="CD1" t="s">
        <v>357</v>
      </c>
      <c r="CE1" t="s">
        <v>358</v>
      </c>
      <c r="CF1" t="s">
        <v>359</v>
      </c>
      <c r="CG1" t="s">
        <v>360</v>
      </c>
      <c r="CH1" t="s">
        <v>361</v>
      </c>
      <c r="CI1" t="s">
        <v>362</v>
      </c>
      <c r="CJ1" t="s">
        <v>363</v>
      </c>
      <c r="CK1" t="s">
        <v>364</v>
      </c>
      <c r="CL1" t="s">
        <v>365</v>
      </c>
      <c r="CM1" t="s">
        <v>366</v>
      </c>
      <c r="CN1" t="s">
        <v>367</v>
      </c>
      <c r="CO1" t="s">
        <v>368</v>
      </c>
      <c r="CP1" t="s">
        <v>369</v>
      </c>
      <c r="CQ1" t="s">
        <v>370</v>
      </c>
      <c r="CR1" t="s">
        <v>371</v>
      </c>
      <c r="CS1" t="s">
        <v>372</v>
      </c>
      <c r="CT1" t="s">
        <v>373</v>
      </c>
      <c r="CU1" t="s">
        <v>374</v>
      </c>
      <c r="CV1" t="s">
        <v>375</v>
      </c>
      <c r="CW1" t="s">
        <v>376</v>
      </c>
      <c r="CX1" t="s">
        <v>377</v>
      </c>
      <c r="CY1" t="s">
        <v>378</v>
      </c>
      <c r="CZ1" t="s">
        <v>379</v>
      </c>
      <c r="DA1" t="s">
        <v>380</v>
      </c>
      <c r="DB1" t="s">
        <v>381</v>
      </c>
      <c r="DC1" t="s">
        <v>382</v>
      </c>
      <c r="DD1" t="s">
        <v>383</v>
      </c>
      <c r="DE1" t="s">
        <v>384</v>
      </c>
      <c r="DF1" t="s">
        <v>385</v>
      </c>
      <c r="DG1" t="s">
        <v>386</v>
      </c>
      <c r="DH1" t="s">
        <v>387</v>
      </c>
      <c r="DI1" t="s">
        <v>388</v>
      </c>
      <c r="DJ1" t="s">
        <v>389</v>
      </c>
      <c r="DK1" t="s">
        <v>390</v>
      </c>
      <c r="DL1" t="s">
        <v>391</v>
      </c>
      <c r="DM1" t="s">
        <v>392</v>
      </c>
      <c r="DN1" t="s">
        <v>393</v>
      </c>
      <c r="DO1" t="s">
        <v>394</v>
      </c>
      <c r="DP1" t="s">
        <v>395</v>
      </c>
      <c r="DQ1" t="s">
        <v>396</v>
      </c>
      <c r="DR1" t="s">
        <v>397</v>
      </c>
      <c r="DS1" t="s">
        <v>398</v>
      </c>
      <c r="DT1" t="s">
        <v>399</v>
      </c>
      <c r="DU1" t="s">
        <v>400</v>
      </c>
      <c r="DV1" t="s">
        <v>401</v>
      </c>
      <c r="DW1" t="s">
        <v>402</v>
      </c>
      <c r="DX1" t="s">
        <v>403</v>
      </c>
      <c r="DY1" t="s">
        <v>404</v>
      </c>
      <c r="DZ1" t="s">
        <v>405</v>
      </c>
      <c r="EA1" t="s">
        <v>406</v>
      </c>
      <c r="EB1" t="s">
        <v>407</v>
      </c>
      <c r="EC1" t="s">
        <v>408</v>
      </c>
      <c r="ED1" t="s">
        <v>409</v>
      </c>
      <c r="EE1" t="s">
        <v>410</v>
      </c>
      <c r="EF1" t="s">
        <v>411</v>
      </c>
      <c r="EG1" t="s">
        <v>412</v>
      </c>
      <c r="EH1" t="s">
        <v>413</v>
      </c>
      <c r="EI1" t="s">
        <v>414</v>
      </c>
      <c r="EJ1" t="s">
        <v>415</v>
      </c>
      <c r="EK1" t="s">
        <v>416</v>
      </c>
      <c r="EL1" t="s">
        <v>417</v>
      </c>
      <c r="EM1" t="s">
        <v>418</v>
      </c>
    </row>
    <row r="2" spans="1:143" x14ac:dyDescent="0.25">
      <c r="A2" t="s">
        <v>266</v>
      </c>
      <c r="B2">
        <v>0.99010621564988888</v>
      </c>
      <c r="C2">
        <v>9.7192367918453731E-3</v>
      </c>
      <c r="D2">
        <v>0</v>
      </c>
      <c r="E2">
        <v>1.5629576997230034E-4</v>
      </c>
      <c r="F2">
        <v>1.8251788293372613E-5</v>
      </c>
      <c r="G2">
        <v>0.96702798511521992</v>
      </c>
      <c r="H2">
        <v>3.2919515307366323E-2</v>
      </c>
      <c r="I2">
        <v>0</v>
      </c>
      <c r="J2">
        <v>3.9873046055135972E-5</v>
      </c>
      <c r="K2">
        <v>1.2626531358686266E-5</v>
      </c>
      <c r="L2">
        <v>0.98795870373153394</v>
      </c>
      <c r="M2">
        <v>9.2371645779734408E-3</v>
      </c>
      <c r="N2">
        <v>0</v>
      </c>
      <c r="O2">
        <v>1.2134557789162815E-3</v>
      </c>
      <c r="P2">
        <v>1.5893208302124476E-3</v>
      </c>
      <c r="Q2">
        <v>1.3550813638413955E-6</v>
      </c>
      <c r="R2">
        <v>0.3331137907976755</v>
      </c>
      <c r="S2">
        <v>0.66688620920232455</v>
      </c>
      <c r="T2">
        <v>0.99294778509752435</v>
      </c>
      <c r="U2">
        <v>6.4309330548700883E-3</v>
      </c>
      <c r="V2">
        <v>2.4714737630617667E-6</v>
      </c>
      <c r="W2">
        <v>2.0038389789705843E-4</v>
      </c>
      <c r="X2">
        <v>4.1414733999793737E-4</v>
      </c>
      <c r="Y2">
        <v>4.2791359477669903E-6</v>
      </c>
      <c r="Z2">
        <v>6.1355481761735067E-2</v>
      </c>
      <c r="AA2">
        <v>0.93864451823826489</v>
      </c>
      <c r="AB2">
        <v>0.98453319861567767</v>
      </c>
      <c r="AC2">
        <v>0</v>
      </c>
      <c r="AD2">
        <v>2.8017075759669782E-3</v>
      </c>
      <c r="AE2">
        <v>4.0619920329217931E-5</v>
      </c>
      <c r="AF2">
        <v>6.5368910041882031E-3</v>
      </c>
      <c r="AG2">
        <v>6.0770641858625251E-3</v>
      </c>
      <c r="AH2">
        <v>1.0518697975522285E-5</v>
      </c>
      <c r="AI2">
        <v>0.17657837636300672</v>
      </c>
      <c r="AJ2">
        <v>0.82342162363699334</v>
      </c>
      <c r="AK2">
        <v>0.9811236381249353</v>
      </c>
      <c r="AL2">
        <v>0</v>
      </c>
      <c r="AM2">
        <v>2.2928987877386588E-3</v>
      </c>
      <c r="AN2">
        <v>2.1170687877885324E-5</v>
      </c>
      <c r="AO2">
        <v>7.0883925196353068E-3</v>
      </c>
      <c r="AP2">
        <v>9.4486213525762936E-3</v>
      </c>
      <c r="AQ2">
        <v>2.5278527236601394E-5</v>
      </c>
      <c r="AR2">
        <v>0.19055893512164487</v>
      </c>
      <c r="AS2">
        <v>0.8094410648783551</v>
      </c>
      <c r="AT2">
        <v>0.81917381469349171</v>
      </c>
      <c r="AU2">
        <v>0</v>
      </c>
      <c r="AV2">
        <v>1.4379957356267484E-3</v>
      </c>
      <c r="AW2">
        <v>2.5187085519912991E-6</v>
      </c>
      <c r="AX2">
        <v>0.15047771601711127</v>
      </c>
      <c r="AY2">
        <v>1.0904830693321488E-2</v>
      </c>
      <c r="AZ2">
        <v>1.7997125134213834E-2</v>
      </c>
      <c r="BA2">
        <v>5.9990176828229637E-6</v>
      </c>
      <c r="BB2">
        <v>6.8840820894666296E-2</v>
      </c>
      <c r="BC2">
        <v>0.93115917910533363</v>
      </c>
      <c r="BD2">
        <v>0.56566901263602676</v>
      </c>
      <c r="BE2">
        <v>0</v>
      </c>
      <c r="BF2">
        <v>4.9090830886343046E-3</v>
      </c>
      <c r="BG2">
        <v>8.6837629827859207E-6</v>
      </c>
      <c r="BH2">
        <v>0.32574063460363167</v>
      </c>
      <c r="BI2">
        <v>3.5126933310797581E-2</v>
      </c>
      <c r="BJ2">
        <v>6.8092890543803408E-2</v>
      </c>
      <c r="BK2">
        <v>4.527620541234709E-4</v>
      </c>
      <c r="BL2">
        <v>0.12559673713477007</v>
      </c>
      <c r="BM2">
        <v>0.87440326286522985</v>
      </c>
      <c r="BN2">
        <v>0.89683277113594084</v>
      </c>
      <c r="BO2">
        <v>1.0096300883879389E-6</v>
      </c>
      <c r="BP2">
        <v>1.7565260225471307E-2</v>
      </c>
      <c r="BQ2">
        <v>1.0620193487618217E-5</v>
      </c>
      <c r="BR2">
        <v>3.6909121703592028E-2</v>
      </c>
      <c r="BS2">
        <v>4.8652310057621329E-2</v>
      </c>
      <c r="BT2">
        <v>2.8907053798425072E-5</v>
      </c>
      <c r="BU2">
        <v>2.6605569565934181E-2</v>
      </c>
      <c r="BV2">
        <v>0.9733944304340657</v>
      </c>
      <c r="BW2">
        <v>0</v>
      </c>
      <c r="BX2">
        <v>4.5283471186455437E-6</v>
      </c>
      <c r="BY2">
        <v>0</v>
      </c>
      <c r="BZ2">
        <v>1.9591359808372837E-3</v>
      </c>
      <c r="CA2">
        <v>0.55074460589500518</v>
      </c>
      <c r="CB2">
        <v>0.44239061691285597</v>
      </c>
      <c r="CC2">
        <v>4.9011128641830853E-3</v>
      </c>
      <c r="CD2">
        <v>2.7902917174476793E-2</v>
      </c>
      <c r="CE2">
        <v>0.97209708282552321</v>
      </c>
      <c r="CF2">
        <v>0.17877240220399154</v>
      </c>
      <c r="CG2">
        <v>3.3531846863645389E-4</v>
      </c>
      <c r="CH2">
        <v>0.38538371551160655</v>
      </c>
      <c r="CI2">
        <v>3.2476777247401702E-3</v>
      </c>
      <c r="CJ2">
        <v>0.23221003004302501</v>
      </c>
      <c r="CK2">
        <v>0.15040602594180366</v>
      </c>
      <c r="CL2">
        <v>4.1262253688257595E-2</v>
      </c>
      <c r="CM2">
        <v>8.3825764179390611E-3</v>
      </c>
      <c r="CN2">
        <v>9.3536472197938772E-2</v>
      </c>
      <c r="CO2">
        <v>0.9064635278020613</v>
      </c>
      <c r="CP2">
        <v>0.11609662102987943</v>
      </c>
      <c r="CQ2">
        <v>0</v>
      </c>
      <c r="CR2">
        <v>0.24783136680605808</v>
      </c>
      <c r="CS2">
        <v>8.2837213746577067E-3</v>
      </c>
      <c r="CT2">
        <v>0.19023762202232491</v>
      </c>
      <c r="CU2">
        <v>0.29513813958353319</v>
      </c>
      <c r="CV2">
        <v>0.10167540117254698</v>
      </c>
      <c r="CW2">
        <v>4.0737128010999699E-2</v>
      </c>
      <c r="CX2">
        <v>0.10342801433213016</v>
      </c>
      <c r="CY2">
        <v>0.89657198566786978</v>
      </c>
      <c r="CZ2">
        <v>0.52498491554164839</v>
      </c>
      <c r="DA2">
        <v>0</v>
      </c>
      <c r="DB2">
        <v>0.26455949272900947</v>
      </c>
      <c r="DC2">
        <v>2.2233849130202176E-4</v>
      </c>
      <c r="DD2">
        <v>0.18414609792739084</v>
      </c>
      <c r="DE2">
        <v>2.3960277107635014E-2</v>
      </c>
      <c r="DF2">
        <v>2.0424436324817542E-3</v>
      </c>
      <c r="DG2">
        <v>8.4434570532648874E-5</v>
      </c>
      <c r="DH2">
        <v>0.20507174140071388</v>
      </c>
      <c r="DI2">
        <v>0.79492825859928606</v>
      </c>
      <c r="DJ2">
        <v>0.84228509797333206</v>
      </c>
      <c r="DK2">
        <v>0</v>
      </c>
      <c r="DL2">
        <v>0</v>
      </c>
      <c r="DM2">
        <v>3.5887291566320455E-5</v>
      </c>
      <c r="DN2">
        <v>0</v>
      </c>
      <c r="DO2">
        <v>0.15649312468710316</v>
      </c>
      <c r="DP2">
        <v>0</v>
      </c>
      <c r="DQ2">
        <v>1.1858900479985086E-3</v>
      </c>
      <c r="DR2">
        <v>0.24503925749880057</v>
      </c>
      <c r="DS2">
        <v>0.75496074250119938</v>
      </c>
      <c r="DT2">
        <v>0.31856590313426797</v>
      </c>
      <c r="DU2">
        <v>0</v>
      </c>
      <c r="DV2">
        <v>0.24321022885116839</v>
      </c>
      <c r="DW2">
        <v>2.2806527319825273E-3</v>
      </c>
      <c r="DX2">
        <v>0.19489734172559184</v>
      </c>
      <c r="DY2">
        <v>0.18241268322885834</v>
      </c>
      <c r="DZ2">
        <v>1.8237716725686606E-2</v>
      </c>
      <c r="EA2">
        <v>4.039547360244447E-2</v>
      </c>
      <c r="EB2">
        <v>2.837764743558974E-2</v>
      </c>
      <c r="EC2">
        <v>0.97162235256441032</v>
      </c>
      <c r="ED2">
        <v>0.16197992890905755</v>
      </c>
      <c r="EE2">
        <v>0</v>
      </c>
      <c r="EF2">
        <v>0.24114378239583781</v>
      </c>
      <c r="EG2">
        <v>1.2468589016424338E-2</v>
      </c>
      <c r="EH2">
        <v>0.13335896425033272</v>
      </c>
      <c r="EI2">
        <v>0.12868659286996018</v>
      </c>
      <c r="EJ2">
        <v>0.22607725380028529</v>
      </c>
      <c r="EK2">
        <v>9.6284888758102066E-2</v>
      </c>
      <c r="EL2">
        <v>2.0485711060375427E-2</v>
      </c>
      <c r="EM2">
        <v>0.97951428893962456</v>
      </c>
    </row>
    <row r="3" spans="1:143" x14ac:dyDescent="0.25">
      <c r="A3" t="s">
        <v>267</v>
      </c>
      <c r="B3">
        <v>0.94157620551164367</v>
      </c>
      <c r="C3">
        <v>5.8423794488356315E-2</v>
      </c>
      <c r="D3">
        <v>0</v>
      </c>
      <c r="E3">
        <v>0</v>
      </c>
      <c r="F3">
        <v>0</v>
      </c>
      <c r="G3">
        <v>0.98318479672567216</v>
      </c>
      <c r="H3">
        <v>1.6815203274327863E-2</v>
      </c>
      <c r="I3">
        <v>0</v>
      </c>
      <c r="J3">
        <v>0</v>
      </c>
      <c r="K3">
        <v>0</v>
      </c>
      <c r="L3">
        <v>0.95878417403831839</v>
      </c>
      <c r="M3">
        <v>4.0551163890176649E-2</v>
      </c>
      <c r="N3">
        <v>6.6466207150499409E-4</v>
      </c>
      <c r="O3">
        <v>0</v>
      </c>
      <c r="P3">
        <v>0</v>
      </c>
      <c r="Q3">
        <v>0</v>
      </c>
      <c r="R3">
        <v>0.5</v>
      </c>
      <c r="S3">
        <v>0.5</v>
      </c>
      <c r="T3">
        <v>0.99449768026858942</v>
      </c>
      <c r="U3">
        <v>5.3581864095770225E-3</v>
      </c>
      <c r="V3">
        <v>1.1472154290372817E-4</v>
      </c>
      <c r="W3">
        <v>7.9871147909492527E-6</v>
      </c>
      <c r="X3">
        <v>0</v>
      </c>
      <c r="Y3">
        <v>2.1424664138812376E-5</v>
      </c>
      <c r="Z3">
        <v>0.52024714639392367</v>
      </c>
      <c r="AA3">
        <v>0.47975285360607645</v>
      </c>
      <c r="AB3">
        <v>0.98279582986319969</v>
      </c>
      <c r="AC3">
        <v>0</v>
      </c>
      <c r="AD3">
        <v>1.7019281147164531E-2</v>
      </c>
      <c r="AE3">
        <v>2.1594675215991758E-5</v>
      </c>
      <c r="AF3">
        <v>1.5818199525619589E-4</v>
      </c>
      <c r="AG3">
        <v>0</v>
      </c>
      <c r="AH3">
        <v>5.1123191637176219E-6</v>
      </c>
      <c r="AI3">
        <v>0.53413211436630992</v>
      </c>
      <c r="AJ3">
        <v>0.46586788563369008</v>
      </c>
      <c r="AK3">
        <v>0.99332986435002979</v>
      </c>
      <c r="AL3">
        <v>0</v>
      </c>
      <c r="AM3">
        <v>6.5615873038163183E-3</v>
      </c>
      <c r="AN3">
        <v>9.6466868323977955E-6</v>
      </c>
      <c r="AO3">
        <v>2.7549315219339719E-5</v>
      </c>
      <c r="AP3">
        <v>0</v>
      </c>
      <c r="AQ3">
        <v>7.1352344101865942E-5</v>
      </c>
      <c r="AR3">
        <v>0.47675710345493005</v>
      </c>
      <c r="AS3">
        <v>0.52324289654506984</v>
      </c>
      <c r="AT3">
        <v>0.83245890092130859</v>
      </c>
      <c r="AU3">
        <v>0</v>
      </c>
      <c r="AV3">
        <v>1.1532126460407662E-2</v>
      </c>
      <c r="AW3">
        <v>1.460902866304719E-5</v>
      </c>
      <c r="AX3">
        <v>0.15566260767400783</v>
      </c>
      <c r="AY3">
        <v>2.7580171059649337E-4</v>
      </c>
      <c r="AZ3">
        <v>3.0384792571958705E-5</v>
      </c>
      <c r="BA3">
        <v>2.5569412444534128E-5</v>
      </c>
      <c r="BB3">
        <v>0.18426505927472683</v>
      </c>
      <c r="BC3">
        <v>0.81573494072527319</v>
      </c>
      <c r="BD3">
        <v>0.33396598204880518</v>
      </c>
      <c r="BE3">
        <v>0</v>
      </c>
      <c r="BF3">
        <v>0</v>
      </c>
      <c r="BG3">
        <v>2.4613228924306574E-5</v>
      </c>
      <c r="BH3">
        <v>0.66397456506294417</v>
      </c>
      <c r="BI3">
        <v>0</v>
      </c>
      <c r="BJ3">
        <v>1.8522807280375224E-3</v>
      </c>
      <c r="BK3">
        <v>1.8255893128869843E-4</v>
      </c>
      <c r="BL3">
        <v>0.14768975896243089</v>
      </c>
      <c r="BM3">
        <v>0.85231024103756903</v>
      </c>
      <c r="BN3">
        <v>0.97384559929762549</v>
      </c>
      <c r="BO3">
        <v>1.0672501021579019E-5</v>
      </c>
      <c r="BP3">
        <v>2.4544194835837967E-2</v>
      </c>
      <c r="BQ3">
        <v>7.3630415316971201E-5</v>
      </c>
      <c r="BR3">
        <v>1.1043390293477983E-3</v>
      </c>
      <c r="BS3">
        <v>3.7894699891550463E-4</v>
      </c>
      <c r="BT3">
        <v>4.2616921934583187E-5</v>
      </c>
      <c r="BU3">
        <v>0.23120476287437988</v>
      </c>
      <c r="BV3">
        <v>0.76879523712562015</v>
      </c>
      <c r="BW3">
        <v>0.72735851232774773</v>
      </c>
      <c r="BX3">
        <v>8.9341440555526237E-4</v>
      </c>
      <c r="BY3">
        <v>0</v>
      </c>
      <c r="BZ3">
        <v>4.8462387441927969E-3</v>
      </c>
      <c r="CA3">
        <v>0</v>
      </c>
      <c r="CB3">
        <v>0.23354320391984035</v>
      </c>
      <c r="CC3">
        <v>3.3358630602664023E-2</v>
      </c>
      <c r="CD3">
        <v>0.25018955158090495</v>
      </c>
      <c r="CE3">
        <v>0.74981044841909505</v>
      </c>
      <c r="CF3">
        <v>0.15727409807212425</v>
      </c>
      <c r="CG3">
        <v>2.8378670694275803E-4</v>
      </c>
      <c r="CH3">
        <v>0.7631425083058998</v>
      </c>
      <c r="CI3">
        <v>4.3699224174099959E-4</v>
      </c>
      <c r="CJ3">
        <v>4.8977894763599324E-2</v>
      </c>
      <c r="CK3">
        <v>2.3751170501793428E-2</v>
      </c>
      <c r="CL3">
        <v>9.4429467222927358E-4</v>
      </c>
      <c r="CM3">
        <v>5.1892547356702876E-3</v>
      </c>
      <c r="CN3">
        <v>0.3684475234075667</v>
      </c>
      <c r="CO3">
        <v>0.6315524765924333</v>
      </c>
      <c r="CP3">
        <v>0.15908435386071956</v>
      </c>
      <c r="CQ3">
        <v>8.7355967785231149E-4</v>
      </c>
      <c r="CR3">
        <v>0.76356725224540911</v>
      </c>
      <c r="CS3">
        <v>4.2194832940112921E-4</v>
      </c>
      <c r="CT3">
        <v>4.0690261868577646E-2</v>
      </c>
      <c r="CU3">
        <v>2.2450942962280569E-2</v>
      </c>
      <c r="CV3">
        <v>1.8184909738842997E-3</v>
      </c>
      <c r="CW3">
        <v>1.1093190081875502E-2</v>
      </c>
      <c r="CX3">
        <v>0.16576441624012464</v>
      </c>
      <c r="CY3">
        <v>0.83423558375987539</v>
      </c>
      <c r="CZ3">
        <v>0.83113040480753442</v>
      </c>
      <c r="DA3">
        <v>3.8145532108076373E-5</v>
      </c>
      <c r="DB3">
        <v>4.5602574237408364E-2</v>
      </c>
      <c r="DC3">
        <v>1.0532845828445906E-3</v>
      </c>
      <c r="DD3">
        <v>0.11668766916183643</v>
      </c>
      <c r="DE3">
        <v>2.0449215738859404E-3</v>
      </c>
      <c r="DF3">
        <v>8.5872672721170077E-4</v>
      </c>
      <c r="DG3">
        <v>2.5842733771705073E-3</v>
      </c>
      <c r="DH3">
        <v>0.73661197979763149</v>
      </c>
      <c r="DI3">
        <v>0.26338802020236857</v>
      </c>
      <c r="DJ3">
        <v>0.78738630677073129</v>
      </c>
      <c r="DK3">
        <v>2.3260759841569497E-5</v>
      </c>
      <c r="DL3">
        <v>2.3672548267110665E-2</v>
      </c>
      <c r="DM3">
        <v>2.8222090905756893E-4</v>
      </c>
      <c r="DN3">
        <v>0.1802226143446905</v>
      </c>
      <c r="DO3">
        <v>1.1619615174923003E-3</v>
      </c>
      <c r="DP3">
        <v>3.2875201353361684E-3</v>
      </c>
      <c r="DQ3">
        <v>3.9635672957399571E-3</v>
      </c>
      <c r="DR3">
        <v>0.67319577648765871</v>
      </c>
      <c r="DS3">
        <v>0.32680422351234129</v>
      </c>
      <c r="DT3">
        <v>0.73277785669610129</v>
      </c>
      <c r="DU3">
        <v>4.593169599376235E-5</v>
      </c>
      <c r="DV3">
        <v>8.4721750022364914E-2</v>
      </c>
      <c r="DW3">
        <v>4.9019694330003567E-4</v>
      </c>
      <c r="DX3">
        <v>0.13674897564732916</v>
      </c>
      <c r="DY3">
        <v>7.4439673210087891E-3</v>
      </c>
      <c r="DZ3">
        <v>5.0448133521413339E-3</v>
      </c>
      <c r="EA3">
        <v>3.2726508321760751E-2</v>
      </c>
      <c r="EB3">
        <v>0.19266156809476734</v>
      </c>
      <c r="EC3">
        <v>0.80733843190523258</v>
      </c>
      <c r="ED3">
        <v>0.5768681133689989</v>
      </c>
      <c r="EE3">
        <v>1.6358965182379249E-4</v>
      </c>
      <c r="EF3">
        <v>4.467155128630456E-2</v>
      </c>
      <c r="EG3">
        <v>6.8067322080823456E-4</v>
      </c>
      <c r="EH3">
        <v>0.21966134451198671</v>
      </c>
      <c r="EI3">
        <v>4.4511863963861203E-3</v>
      </c>
      <c r="EJ3">
        <v>0.11049164474990325</v>
      </c>
      <c r="EK3">
        <v>4.3011896813788322E-2</v>
      </c>
      <c r="EL3">
        <v>0.11673569749154025</v>
      </c>
      <c r="EM3">
        <v>0.88326430250845966</v>
      </c>
    </row>
    <row r="4" spans="1:143" x14ac:dyDescent="0.25">
      <c r="A4" t="s">
        <v>268</v>
      </c>
      <c r="B4">
        <v>0.78172629439478691</v>
      </c>
      <c r="C4">
        <v>0.21827370560521314</v>
      </c>
      <c r="D4">
        <v>0</v>
      </c>
      <c r="E4">
        <v>0</v>
      </c>
      <c r="F4">
        <v>0</v>
      </c>
      <c r="G4">
        <v>0.99757953315542103</v>
      </c>
      <c r="H4">
        <v>2.420466844579082E-3</v>
      </c>
      <c r="I4">
        <v>0</v>
      </c>
      <c r="J4">
        <v>0</v>
      </c>
      <c r="K4">
        <v>0</v>
      </c>
      <c r="L4">
        <v>0.87442387900380614</v>
      </c>
      <c r="M4">
        <v>0.11947241212677463</v>
      </c>
      <c r="N4">
        <v>4.495807377727033E-5</v>
      </c>
      <c r="O4">
        <v>5.1300058824957674E-3</v>
      </c>
      <c r="P4">
        <v>9.2874491314618162E-4</v>
      </c>
      <c r="Q4">
        <v>0</v>
      </c>
      <c r="R4">
        <v>0.13209728183621572</v>
      </c>
      <c r="S4">
        <v>0.86790271816378428</v>
      </c>
      <c r="T4">
        <v>0.93275158941276581</v>
      </c>
      <c r="U4">
        <v>6.1202648189482491E-2</v>
      </c>
      <c r="V4">
        <v>3.3176125071921057E-5</v>
      </c>
      <c r="W4">
        <v>2.9486881224806416E-3</v>
      </c>
      <c r="X4">
        <v>3.0638981501991654E-3</v>
      </c>
      <c r="Y4">
        <v>0</v>
      </c>
      <c r="Z4">
        <v>0.4489545507208979</v>
      </c>
      <c r="AA4">
        <v>0.55104544927910215</v>
      </c>
      <c r="AB4">
        <v>0.94081042473376486</v>
      </c>
      <c r="AC4">
        <v>0</v>
      </c>
      <c r="AD4">
        <v>4.7254195842578027E-2</v>
      </c>
      <c r="AE4">
        <v>0</v>
      </c>
      <c r="AF4">
        <v>9.441736736708126E-3</v>
      </c>
      <c r="AG4">
        <v>2.4936426869488501E-3</v>
      </c>
      <c r="AH4">
        <v>0</v>
      </c>
      <c r="AI4">
        <v>0.39932228130665781</v>
      </c>
      <c r="AJ4">
        <v>0.60067771869334219</v>
      </c>
      <c r="AK4">
        <v>0.92696540516158055</v>
      </c>
      <c r="AL4">
        <v>0</v>
      </c>
      <c r="AM4">
        <v>1.7900551684144665E-2</v>
      </c>
      <c r="AN4">
        <v>2.9909412201118566E-5</v>
      </c>
      <c r="AO4">
        <v>5.3279959329798662E-2</v>
      </c>
      <c r="AP4">
        <v>1.8182236610748692E-3</v>
      </c>
      <c r="AQ4">
        <v>5.9507512000341006E-6</v>
      </c>
      <c r="AR4">
        <v>0.34831120958499473</v>
      </c>
      <c r="AS4">
        <v>0.65168879041500538</v>
      </c>
      <c r="AT4">
        <v>0.75866634924303311</v>
      </c>
      <c r="AU4">
        <v>0</v>
      </c>
      <c r="AV4">
        <v>9.0921577837387357E-2</v>
      </c>
      <c r="AW4">
        <v>9.4460923651247216E-6</v>
      </c>
      <c r="AX4">
        <v>0.10193018793172372</v>
      </c>
      <c r="AY4">
        <v>4.2814067001601626E-2</v>
      </c>
      <c r="AZ4">
        <v>5.6440744119229504E-3</v>
      </c>
      <c r="BA4">
        <v>1.4297481966133074E-5</v>
      </c>
      <c r="BB4">
        <v>0.46132046020558948</v>
      </c>
      <c r="BC4">
        <v>0.53867953979441052</v>
      </c>
      <c r="BD4">
        <v>0.82782902165073402</v>
      </c>
      <c r="BE4">
        <v>0</v>
      </c>
      <c r="BF4">
        <v>1.156607800905329E-2</v>
      </c>
      <c r="BG4">
        <v>2.1893892774580048E-5</v>
      </c>
      <c r="BH4">
        <v>0.13775771959270913</v>
      </c>
      <c r="BI4">
        <v>1.6857912728772864E-2</v>
      </c>
      <c r="BJ4">
        <v>5.9592246965182102E-3</v>
      </c>
      <c r="BK4">
        <v>8.1494294379159469E-6</v>
      </c>
      <c r="BL4">
        <v>0.33096131668453888</v>
      </c>
      <c r="BM4">
        <v>0.66903868331546112</v>
      </c>
      <c r="BN4">
        <v>0.82438094595303613</v>
      </c>
      <c r="BO4">
        <v>0</v>
      </c>
      <c r="BP4">
        <v>0.1162350692135497</v>
      </c>
      <c r="BQ4">
        <v>6.141267933683451E-6</v>
      </c>
      <c r="BR4">
        <v>5.0052444596511765E-2</v>
      </c>
      <c r="BS4">
        <v>9.1324718648421784E-3</v>
      </c>
      <c r="BT4">
        <v>1.9292710412651234E-4</v>
      </c>
      <c r="BU4">
        <v>7.481306334206532E-2</v>
      </c>
      <c r="BV4">
        <v>0.92518693665793461</v>
      </c>
      <c r="BW4">
        <v>0.96432080437240608</v>
      </c>
      <c r="BX4">
        <v>9.568673048373777E-6</v>
      </c>
      <c r="BY4">
        <v>0</v>
      </c>
      <c r="BZ4">
        <v>4.4094373853941743E-5</v>
      </c>
      <c r="CA4">
        <v>1.8824680843626162E-2</v>
      </c>
      <c r="CB4">
        <v>1.6775246649444013E-2</v>
      </c>
      <c r="CC4">
        <v>2.5605087621358783E-5</v>
      </c>
      <c r="CD4">
        <v>0.10110233280250895</v>
      </c>
      <c r="CE4">
        <v>0.89889766719749109</v>
      </c>
      <c r="CF4">
        <v>0.21192454801075675</v>
      </c>
      <c r="CG4">
        <v>2.1944558247307772E-4</v>
      </c>
      <c r="CH4">
        <v>0.46396539425876465</v>
      </c>
      <c r="CI4">
        <v>4.8159118297936418E-3</v>
      </c>
      <c r="CJ4">
        <v>0.19555630358339743</v>
      </c>
      <c r="CK4">
        <v>0.1012340299312955</v>
      </c>
      <c r="CL4">
        <v>2.0597978058537282E-2</v>
      </c>
      <c r="CM4">
        <v>1.6863887449816446E-3</v>
      </c>
      <c r="CN4">
        <v>0.14358852400668484</v>
      </c>
      <c r="CO4">
        <v>0.85641147599331513</v>
      </c>
      <c r="CP4">
        <v>0</v>
      </c>
      <c r="CQ4">
        <v>7.3490716857581518E-5</v>
      </c>
      <c r="CR4">
        <v>0.76144885948301855</v>
      </c>
      <c r="CS4">
        <v>1.3035470322798109E-4</v>
      </c>
      <c r="CT4">
        <v>7.263964373638224E-3</v>
      </c>
      <c r="CU4">
        <v>0.13142401344009913</v>
      </c>
      <c r="CV4">
        <v>4.1925565044093803E-2</v>
      </c>
      <c r="CW4">
        <v>5.7733752239064642E-2</v>
      </c>
      <c r="CX4">
        <v>0.11336809626912205</v>
      </c>
      <c r="CY4">
        <v>0.88663190373087786</v>
      </c>
      <c r="CZ4">
        <v>0.37839791862268213</v>
      </c>
      <c r="DA4">
        <v>0</v>
      </c>
      <c r="DB4">
        <v>0.28171044046461169</v>
      </c>
      <c r="DC4">
        <v>2.2773817320004839E-3</v>
      </c>
      <c r="DD4">
        <v>0.30501288672491944</v>
      </c>
      <c r="DE4">
        <v>1.645879224367388E-2</v>
      </c>
      <c r="DF4">
        <v>1.6142580212112515E-2</v>
      </c>
      <c r="DG4">
        <v>0</v>
      </c>
      <c r="DH4">
        <v>0</v>
      </c>
      <c r="DI4">
        <v>1</v>
      </c>
      <c r="DJ4">
        <v>0.56678642012226721</v>
      </c>
      <c r="DK4">
        <v>0</v>
      </c>
      <c r="DL4">
        <v>0.11312962953145057</v>
      </c>
      <c r="DM4">
        <v>2.5038742738535558E-3</v>
      </c>
      <c r="DN4">
        <v>0.12672337824791913</v>
      </c>
      <c r="DO4">
        <v>0</v>
      </c>
      <c r="DP4">
        <v>0</v>
      </c>
      <c r="DQ4">
        <v>0.19085669782450967</v>
      </c>
      <c r="DR4">
        <v>0.11737181705890917</v>
      </c>
      <c r="DS4">
        <v>0.88262818294109091</v>
      </c>
      <c r="DT4">
        <v>0.28782470604311788</v>
      </c>
      <c r="DU4">
        <v>0</v>
      </c>
      <c r="DV4">
        <v>0.18285815541663364</v>
      </c>
      <c r="DW4">
        <v>1.2590620850705505E-3</v>
      </c>
      <c r="DX4">
        <v>0.44123322025471506</v>
      </c>
      <c r="DY4">
        <v>4.2669271961698868E-2</v>
      </c>
      <c r="DZ4">
        <v>1.7787658778677527E-2</v>
      </c>
      <c r="EA4">
        <v>2.6367925460086254E-2</v>
      </c>
      <c r="EB4">
        <v>4.8403806390590359E-2</v>
      </c>
      <c r="EC4">
        <v>0.95159619360940972</v>
      </c>
      <c r="ED4">
        <v>0.35802956823075394</v>
      </c>
      <c r="EE4">
        <v>0</v>
      </c>
      <c r="EF4">
        <v>0.14187139118308378</v>
      </c>
      <c r="EG4">
        <v>6.7206160181083549E-4</v>
      </c>
      <c r="EH4">
        <v>0.37101602969767844</v>
      </c>
      <c r="EI4">
        <v>2.7842932951439137E-2</v>
      </c>
      <c r="EJ4">
        <v>8.0093237421217336E-2</v>
      </c>
      <c r="EK4">
        <v>2.0474778914016542E-2</v>
      </c>
      <c r="EL4">
        <v>3.2129109191260552E-2</v>
      </c>
      <c r="EM4">
        <v>0.96787089080873945</v>
      </c>
    </row>
    <row r="5" spans="1:143" x14ac:dyDescent="0.25">
      <c r="A5" t="s">
        <v>269</v>
      </c>
      <c r="B5">
        <v>0.32242995331973362</v>
      </c>
      <c r="C5">
        <v>0.67757004668026644</v>
      </c>
      <c r="D5">
        <v>0</v>
      </c>
      <c r="E5">
        <v>0</v>
      </c>
      <c r="F5">
        <v>0</v>
      </c>
      <c r="G5">
        <v>0.58277340536316813</v>
      </c>
      <c r="H5">
        <v>0.41722659463683176</v>
      </c>
      <c r="I5">
        <v>0</v>
      </c>
      <c r="J5">
        <v>0</v>
      </c>
      <c r="K5">
        <v>0</v>
      </c>
      <c r="L5">
        <v>0.99219133355188527</v>
      </c>
      <c r="M5">
        <v>7.8086664481147386E-3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0.9323938319024081</v>
      </c>
      <c r="U5">
        <v>6.758558180432904E-2</v>
      </c>
      <c r="V5">
        <v>2.0586293262833457E-5</v>
      </c>
      <c r="W5">
        <v>0</v>
      </c>
      <c r="X5">
        <v>0</v>
      </c>
      <c r="Y5">
        <v>0</v>
      </c>
      <c r="Z5">
        <v>0.66152838285128812</v>
      </c>
      <c r="AA5">
        <v>0.33847161714871177</v>
      </c>
      <c r="AB5">
        <v>0.99851823707700149</v>
      </c>
      <c r="AC5">
        <v>0</v>
      </c>
      <c r="AD5">
        <v>0</v>
      </c>
      <c r="AE5">
        <v>0</v>
      </c>
      <c r="AF5">
        <v>1.4136765909401466E-3</v>
      </c>
      <c r="AG5">
        <v>6.8086332058238489E-5</v>
      </c>
      <c r="AH5">
        <v>0</v>
      </c>
      <c r="AI5">
        <v>0.71071496661113098</v>
      </c>
      <c r="AJ5">
        <v>0.28928503338886902</v>
      </c>
      <c r="AK5">
        <v>0.99719754695857954</v>
      </c>
      <c r="AL5">
        <v>0</v>
      </c>
      <c r="AM5">
        <v>2.6630249077101566E-3</v>
      </c>
      <c r="AN5">
        <v>0</v>
      </c>
      <c r="AO5">
        <v>1.3304909460235971E-4</v>
      </c>
      <c r="AP5">
        <v>6.379039107921537E-6</v>
      </c>
      <c r="AQ5">
        <v>0</v>
      </c>
      <c r="AR5">
        <v>0.82135584542077522</v>
      </c>
      <c r="AS5">
        <v>0.17864415457922492</v>
      </c>
      <c r="AT5">
        <v>0.97914633401771434</v>
      </c>
      <c r="AU5">
        <v>0</v>
      </c>
      <c r="AV5">
        <v>9.3781512325682623E-4</v>
      </c>
      <c r="AW5">
        <v>0</v>
      </c>
      <c r="AX5">
        <v>1.9915850859028757E-2</v>
      </c>
      <c r="AY5">
        <v>0</v>
      </c>
      <c r="AZ5">
        <v>0</v>
      </c>
      <c r="BA5">
        <v>0</v>
      </c>
      <c r="BB5">
        <v>0.33705113560411815</v>
      </c>
      <c r="BC5">
        <v>0.66294886439588196</v>
      </c>
      <c r="BD5">
        <v>0.91611337406962767</v>
      </c>
      <c r="BE5">
        <v>0</v>
      </c>
      <c r="BF5">
        <v>1.5089218955861041E-3</v>
      </c>
      <c r="BG5">
        <v>8.8198460651535141E-6</v>
      </c>
      <c r="BH5">
        <v>8.236888418872107E-2</v>
      </c>
      <c r="BI5">
        <v>0</v>
      </c>
      <c r="BJ5">
        <v>0</v>
      </c>
      <c r="BK5">
        <v>0</v>
      </c>
      <c r="BL5">
        <v>0.58348271248777428</v>
      </c>
      <c r="BM5">
        <v>0.41651728751222566</v>
      </c>
      <c r="BN5">
        <v>0.9793545194824439</v>
      </c>
      <c r="BO5">
        <v>0</v>
      </c>
      <c r="BP5">
        <v>1.5830519988944136E-2</v>
      </c>
      <c r="BQ5">
        <v>5.6312580283094764E-7</v>
      </c>
      <c r="BR5">
        <v>3.3714288679157086E-3</v>
      </c>
      <c r="BS5">
        <v>1.442705742851878E-3</v>
      </c>
      <c r="BT5">
        <v>2.6279204132110879E-7</v>
      </c>
      <c r="BU5">
        <v>0.15653933933741493</v>
      </c>
      <c r="BV5">
        <v>0.84346066066258507</v>
      </c>
      <c r="BW5">
        <v>0.89380310122504225</v>
      </c>
      <c r="BX5">
        <v>0</v>
      </c>
      <c r="BY5">
        <v>9.1716079003597545E-2</v>
      </c>
      <c r="BZ5">
        <v>6.1088388469519275E-4</v>
      </c>
      <c r="CA5">
        <v>0</v>
      </c>
      <c r="CB5">
        <v>1.3738666855083809E-2</v>
      </c>
      <c r="CC5">
        <v>1.3126903158104739E-4</v>
      </c>
      <c r="CD5">
        <v>0.13353954223579828</v>
      </c>
      <c r="CE5">
        <v>0.86646045776420177</v>
      </c>
      <c r="CF5">
        <v>0.48428738055143672</v>
      </c>
      <c r="CG5">
        <v>0</v>
      </c>
      <c r="CH5">
        <v>8.5495157143458136E-2</v>
      </c>
      <c r="CI5">
        <v>1.8359145676238931E-3</v>
      </c>
      <c r="CJ5">
        <v>0.14289066386596627</v>
      </c>
      <c r="CK5">
        <v>0.25687555608493395</v>
      </c>
      <c r="CL5">
        <v>2.4694851408749711E-2</v>
      </c>
      <c r="CM5">
        <v>3.9204763778310356E-3</v>
      </c>
      <c r="CN5">
        <v>0.29525300239701369</v>
      </c>
      <c r="CO5">
        <v>0.7047469976029862</v>
      </c>
      <c r="CP5">
        <v>0.48279650462478046</v>
      </c>
      <c r="CQ5">
        <v>0</v>
      </c>
      <c r="CR5">
        <v>0.2912200002491474</v>
      </c>
      <c r="CS5">
        <v>3.9013334378977098E-4</v>
      </c>
      <c r="CT5">
        <v>0</v>
      </c>
      <c r="CU5">
        <v>0.10381721143545497</v>
      </c>
      <c r="CV5">
        <v>0.12177615034682757</v>
      </c>
      <c r="CW5">
        <v>0</v>
      </c>
      <c r="CX5">
        <v>6.327005139840236E-2</v>
      </c>
      <c r="CY5">
        <v>0.93672994860159764</v>
      </c>
      <c r="CZ5">
        <v>0.60605076703290373</v>
      </c>
      <c r="DA5">
        <v>0</v>
      </c>
      <c r="DB5">
        <v>0.12854147136711996</v>
      </c>
      <c r="DC5">
        <v>0</v>
      </c>
      <c r="DD5">
        <v>8.2712319474129894E-2</v>
      </c>
      <c r="DE5">
        <v>0.18269544212584646</v>
      </c>
      <c r="DF5">
        <v>0</v>
      </c>
      <c r="DG5">
        <v>0</v>
      </c>
      <c r="DH5" t="e">
        <v>#DIV/0!</v>
      </c>
      <c r="DI5" t="e">
        <v>#DIV/0!</v>
      </c>
      <c r="DJ5">
        <v>1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0.5</v>
      </c>
      <c r="DS5">
        <v>0.5</v>
      </c>
      <c r="DT5">
        <v>0.70220849280275444</v>
      </c>
      <c r="DU5">
        <v>0</v>
      </c>
      <c r="DV5">
        <v>0.10313084525489269</v>
      </c>
      <c r="DW5">
        <v>1.2302128944243033E-2</v>
      </c>
      <c r="DX5">
        <v>6.406644367476029E-2</v>
      </c>
      <c r="DY5">
        <v>4.5723191541721421E-2</v>
      </c>
      <c r="DZ5">
        <v>5.1433598758825382E-2</v>
      </c>
      <c r="EA5">
        <v>2.1135299022802628E-2</v>
      </c>
      <c r="EB5">
        <v>7.1420240319013589E-2</v>
      </c>
      <c r="EC5">
        <v>0.92857975968098638</v>
      </c>
      <c r="ED5">
        <v>0.1824079915728026</v>
      </c>
      <c r="EE5">
        <v>0</v>
      </c>
      <c r="EF5">
        <v>0</v>
      </c>
      <c r="EG5">
        <v>0</v>
      </c>
      <c r="EH5">
        <v>0.59405235829597236</v>
      </c>
      <c r="EI5">
        <v>0.12273537943565639</v>
      </c>
      <c r="EJ5">
        <v>6.663192453927963E-2</v>
      </c>
      <c r="EK5">
        <v>3.4172346156288801E-2</v>
      </c>
      <c r="EL5">
        <v>3.9796416819036333E-2</v>
      </c>
      <c r="EM5">
        <v>0.96020358318096377</v>
      </c>
    </row>
    <row r="6" spans="1:143" x14ac:dyDescent="0.25">
      <c r="A6" t="s">
        <v>270</v>
      </c>
      <c r="B6">
        <v>0.94794418055278007</v>
      </c>
      <c r="C6">
        <v>5.1998950061512138E-2</v>
      </c>
      <c r="D6">
        <v>0</v>
      </c>
      <c r="E6">
        <v>0</v>
      </c>
      <c r="F6">
        <v>5.6869385707695885E-5</v>
      </c>
      <c r="G6">
        <v>0.98404340964745629</v>
      </c>
      <c r="H6">
        <v>1.5951371583281637E-2</v>
      </c>
      <c r="I6">
        <v>0</v>
      </c>
      <c r="J6">
        <v>0</v>
      </c>
      <c r="K6">
        <v>5.2187692620047472E-6</v>
      </c>
      <c r="L6">
        <v>0.97780824367982744</v>
      </c>
      <c r="M6">
        <v>2.1428054317620609E-2</v>
      </c>
      <c r="N6">
        <v>0</v>
      </c>
      <c r="O6">
        <v>4.6772102070638473E-5</v>
      </c>
      <c r="P6">
        <v>7.1692990048132801E-4</v>
      </c>
      <c r="Q6">
        <v>0</v>
      </c>
      <c r="R6">
        <v>0</v>
      </c>
      <c r="S6">
        <v>1</v>
      </c>
      <c r="T6">
        <v>0.98733828308979221</v>
      </c>
      <c r="U6">
        <v>1.2405187184106364E-2</v>
      </c>
      <c r="V6">
        <v>0</v>
      </c>
      <c r="W6">
        <v>8.1136172822187513E-5</v>
      </c>
      <c r="X6">
        <v>1.6427037962750293E-4</v>
      </c>
      <c r="Y6">
        <v>1.1123173651846497E-5</v>
      </c>
      <c r="Z6">
        <v>0.9715949451737188</v>
      </c>
      <c r="AA6">
        <v>2.8405054826281174E-2</v>
      </c>
      <c r="AB6">
        <v>0.99458894672251574</v>
      </c>
      <c r="AC6">
        <v>0</v>
      </c>
      <c r="AD6">
        <v>3.5472663154103648E-3</v>
      </c>
      <c r="AE6">
        <v>1.0099529812247876E-6</v>
      </c>
      <c r="AF6">
        <v>4.2084179623690934E-4</v>
      </c>
      <c r="AG6">
        <v>1.4410149211537763E-3</v>
      </c>
      <c r="AH6">
        <v>9.2029170188470788E-7</v>
      </c>
      <c r="AI6">
        <v>0.55003977776741853</v>
      </c>
      <c r="AJ6">
        <v>0.44996022223258147</v>
      </c>
      <c r="AK6">
        <v>0.99439388801427808</v>
      </c>
      <c r="AL6">
        <v>0</v>
      </c>
      <c r="AM6">
        <v>3.5560589577179726E-3</v>
      </c>
      <c r="AN6">
        <v>1.7114401920204594E-6</v>
      </c>
      <c r="AO6">
        <v>4.1258787356214174E-4</v>
      </c>
      <c r="AP6">
        <v>1.6236985086180154E-3</v>
      </c>
      <c r="AQ6">
        <v>1.205520563176455E-5</v>
      </c>
      <c r="AR6">
        <v>0.72927112668614191</v>
      </c>
      <c r="AS6">
        <v>0.27072887331385825</v>
      </c>
      <c r="AT6">
        <v>0.984894604768349</v>
      </c>
      <c r="AU6">
        <v>0</v>
      </c>
      <c r="AV6">
        <v>2.4553013703677187E-3</v>
      </c>
      <c r="AW6">
        <v>1.0593268471613281E-6</v>
      </c>
      <c r="AX6">
        <v>3.7063929363560211E-3</v>
      </c>
      <c r="AY6">
        <v>1.5032889625473259E-3</v>
      </c>
      <c r="AZ6">
        <v>7.4239050535220138E-3</v>
      </c>
      <c r="BA6">
        <v>1.5447582010835921E-5</v>
      </c>
      <c r="BB6">
        <v>0.6026948045180579</v>
      </c>
      <c r="BC6">
        <v>0.39730519548194215</v>
      </c>
      <c r="BD6">
        <v>0.97709267213256223</v>
      </c>
      <c r="BE6">
        <v>8.3731784584718644E-6</v>
      </c>
      <c r="BF6">
        <v>3.3827387140591236E-3</v>
      </c>
      <c r="BG6">
        <v>1.410184714590649E-5</v>
      </c>
      <c r="BH6">
        <v>1.4040587195566669E-2</v>
      </c>
      <c r="BI6">
        <v>9.1225416060256807E-4</v>
      </c>
      <c r="BJ6">
        <v>4.5247545841763451E-3</v>
      </c>
      <c r="BK6">
        <v>2.4518187428801088E-5</v>
      </c>
      <c r="BL6">
        <v>0.4323114428200201</v>
      </c>
      <c r="BM6">
        <v>0.56768855717998001</v>
      </c>
      <c r="BN6">
        <v>0.87903603581323619</v>
      </c>
      <c r="BO6">
        <v>6.3483641077119045E-5</v>
      </c>
      <c r="BP6">
        <v>2.9353161034664101E-2</v>
      </c>
      <c r="BQ6">
        <v>1.9218075936398016E-5</v>
      </c>
      <c r="BR6">
        <v>7.1267428417967044E-2</v>
      </c>
      <c r="BS6">
        <v>2.0218259837008992E-2</v>
      </c>
      <c r="BT6">
        <v>4.2413180110008676E-5</v>
      </c>
      <c r="BU6">
        <v>0.35834775760224868</v>
      </c>
      <c r="BV6">
        <v>0.64165224239775143</v>
      </c>
      <c r="BW6">
        <v>0.93388854272666288</v>
      </c>
      <c r="BX6">
        <v>2.6620976699934484E-5</v>
      </c>
      <c r="BY6">
        <v>2.5618011257951157E-2</v>
      </c>
      <c r="BZ6">
        <v>1.6469419426167304E-5</v>
      </c>
      <c r="CA6">
        <v>1.950664131854233E-2</v>
      </c>
      <c r="CB6">
        <v>2.0835891445135164E-2</v>
      </c>
      <c r="CC6">
        <v>1.0782285558223536E-4</v>
      </c>
      <c r="CD6">
        <v>0.42013347241834337</v>
      </c>
      <c r="CE6">
        <v>0.57986652758165669</v>
      </c>
      <c r="CF6">
        <v>0.2839634259610308</v>
      </c>
      <c r="CG6">
        <v>6.3437549384311409E-5</v>
      </c>
      <c r="CH6">
        <v>3.5152358592486409E-2</v>
      </c>
      <c r="CI6">
        <v>7.2596535640813734E-4</v>
      </c>
      <c r="CJ6">
        <v>9.6101756002835867E-2</v>
      </c>
      <c r="CK6">
        <v>0.5560387181432076</v>
      </c>
      <c r="CL6">
        <v>2.5415787902988669E-2</v>
      </c>
      <c r="CM6">
        <v>2.5385504916583474E-3</v>
      </c>
      <c r="CN6">
        <v>0.44445500025912138</v>
      </c>
      <c r="CO6">
        <v>0.55554499974087856</v>
      </c>
      <c r="CP6">
        <v>0.23837865648074805</v>
      </c>
      <c r="CQ6">
        <v>2.0690584657671534E-4</v>
      </c>
      <c r="CR6">
        <v>4.5799757614113284E-2</v>
      </c>
      <c r="CS6">
        <v>1.128211844389734E-3</v>
      </c>
      <c r="CT6">
        <v>0.11945258543206871</v>
      </c>
      <c r="CU6">
        <v>0.55807877940242823</v>
      </c>
      <c r="CV6">
        <v>2.8428523910156923E-2</v>
      </c>
      <c r="CW6">
        <v>8.5265794695185693E-3</v>
      </c>
      <c r="CX6">
        <v>0.32213740012507824</v>
      </c>
      <c r="CY6">
        <v>0.6778625998749217</v>
      </c>
      <c r="CZ6">
        <v>0.81532552168821815</v>
      </c>
      <c r="DA6">
        <v>0</v>
      </c>
      <c r="DB6">
        <v>1.205404704441965E-2</v>
      </c>
      <c r="DC6">
        <v>3.1015182711532783E-4</v>
      </c>
      <c r="DD6">
        <v>3.5000722272799899E-2</v>
      </c>
      <c r="DE6">
        <v>0.13289098918995895</v>
      </c>
      <c r="DF6">
        <v>2.6707830372429946E-3</v>
      </c>
      <c r="DG6">
        <v>1.7477849402450702E-3</v>
      </c>
      <c r="DH6">
        <v>0.66973345834826048</v>
      </c>
      <c r="DI6">
        <v>0.33026654165173952</v>
      </c>
      <c r="DJ6">
        <v>0.83436784907169947</v>
      </c>
      <c r="DK6">
        <v>0</v>
      </c>
      <c r="DL6">
        <v>1.7032464214791515E-2</v>
      </c>
      <c r="DM6">
        <v>2.1990837924717216E-4</v>
      </c>
      <c r="DN6">
        <v>2.8975750795785668E-2</v>
      </c>
      <c r="DO6">
        <v>0.11685220794239513</v>
      </c>
      <c r="DP6">
        <v>1.4639928837626443E-3</v>
      </c>
      <c r="DQ6">
        <v>1.0878267123184363E-3</v>
      </c>
      <c r="DR6">
        <v>0.7423811591906323</v>
      </c>
      <c r="DS6">
        <v>0.2576188408093677</v>
      </c>
      <c r="DT6">
        <v>0.49771740035987372</v>
      </c>
      <c r="DU6">
        <v>8.5673756106097178E-6</v>
      </c>
      <c r="DV6">
        <v>8.6255045763995827E-2</v>
      </c>
      <c r="DW6">
        <v>7.5549332479370038E-4</v>
      </c>
      <c r="DX6">
        <v>0.17486533995636711</v>
      </c>
      <c r="DY6">
        <v>0.17699623385263138</v>
      </c>
      <c r="DZ6">
        <v>5.0953604826573726E-2</v>
      </c>
      <c r="EA6">
        <v>1.2448314540153877E-2</v>
      </c>
      <c r="EB6">
        <v>0.16563417528456886</v>
      </c>
      <c r="EC6">
        <v>0.83436582471543108</v>
      </c>
      <c r="ED6">
        <v>0.54096426376514972</v>
      </c>
      <c r="EE6">
        <v>5.1460248130887126E-5</v>
      </c>
      <c r="EF6">
        <v>0.10138590250092923</v>
      </c>
      <c r="EG6">
        <v>6.9434576561493145E-4</v>
      </c>
      <c r="EH6">
        <v>0.1765791265118927</v>
      </c>
      <c r="EI6">
        <v>9.5108123546056328E-2</v>
      </c>
      <c r="EJ6">
        <v>7.1105173379051145E-2</v>
      </c>
      <c r="EK6">
        <v>1.4111604283175216E-2</v>
      </c>
      <c r="EL6">
        <v>0.18648353578552887</v>
      </c>
      <c r="EM6">
        <v>0.8135164642144711</v>
      </c>
    </row>
    <row r="7" spans="1:143" x14ac:dyDescent="0.25">
      <c r="A7" t="s">
        <v>419</v>
      </c>
      <c r="B7">
        <v>0.99666468431312194</v>
      </c>
      <c r="C7">
        <v>3.3344425817623323E-3</v>
      </c>
      <c r="D7">
        <v>8.7310511577043319E-7</v>
      </c>
      <c r="E7">
        <v>0</v>
      </c>
      <c r="F7">
        <v>0</v>
      </c>
      <c r="G7">
        <v>0.99458592460898287</v>
      </c>
      <c r="H7">
        <v>5.4134087336705746E-3</v>
      </c>
      <c r="I7">
        <v>2.991714180161299E-7</v>
      </c>
      <c r="J7">
        <v>3.6748592848192677E-7</v>
      </c>
      <c r="K7">
        <v>0</v>
      </c>
      <c r="L7">
        <v>0.97646070719133826</v>
      </c>
      <c r="M7">
        <v>2.3452719356134709E-2</v>
      </c>
      <c r="N7">
        <v>0</v>
      </c>
      <c r="O7">
        <v>7.6292797914482649E-5</v>
      </c>
      <c r="P7">
        <v>1.0280654612606796E-5</v>
      </c>
      <c r="Q7">
        <v>0</v>
      </c>
      <c r="R7">
        <v>0.53727372545347341</v>
      </c>
      <c r="S7">
        <v>0.46272627454652654</v>
      </c>
      <c r="T7">
        <v>0.97173244928007907</v>
      </c>
      <c r="U7">
        <v>2.8258671088911742E-2</v>
      </c>
      <c r="V7">
        <v>2.3609321887541672E-6</v>
      </c>
      <c r="W7">
        <v>0</v>
      </c>
      <c r="X7">
        <v>6.5186988203328877E-6</v>
      </c>
      <c r="Y7">
        <v>0</v>
      </c>
      <c r="Z7">
        <v>0.24696897548157012</v>
      </c>
      <c r="AA7">
        <v>0.75303102451842974</v>
      </c>
      <c r="AB7">
        <v>0.97323367865270116</v>
      </c>
      <c r="AC7">
        <v>0</v>
      </c>
      <c r="AD7">
        <v>2.5488453738560773E-2</v>
      </c>
      <c r="AE7">
        <v>1.0096248221623067E-5</v>
      </c>
      <c r="AF7">
        <v>3.0018929802520084E-4</v>
      </c>
      <c r="AG7">
        <v>9.6758206249120268E-4</v>
      </c>
      <c r="AH7">
        <v>0</v>
      </c>
      <c r="AI7">
        <v>0.15970941345639333</v>
      </c>
      <c r="AJ7">
        <v>0.84029058654360667</v>
      </c>
      <c r="AK7">
        <v>0.96790581543874854</v>
      </c>
      <c r="AL7">
        <v>0</v>
      </c>
      <c r="AM7">
        <v>3.0351414009841114E-2</v>
      </c>
      <c r="AN7">
        <v>0</v>
      </c>
      <c r="AO7">
        <v>1.4835399631452773E-4</v>
      </c>
      <c r="AP7">
        <v>1.5944165550958469E-3</v>
      </c>
      <c r="AQ7">
        <v>0</v>
      </c>
      <c r="AR7">
        <v>0.28290854480094468</v>
      </c>
      <c r="AS7">
        <v>0.71709145519905526</v>
      </c>
      <c r="AT7">
        <v>0.925031194083205</v>
      </c>
      <c r="AU7">
        <v>0</v>
      </c>
      <c r="AV7">
        <v>3.7984956479962514E-2</v>
      </c>
      <c r="AW7">
        <v>2.9706125172700055E-5</v>
      </c>
      <c r="AX7">
        <v>3.495168295159435E-2</v>
      </c>
      <c r="AY7">
        <v>1.7161686506144047E-3</v>
      </c>
      <c r="AZ7">
        <v>2.8629170945110804E-4</v>
      </c>
      <c r="BA7">
        <v>0</v>
      </c>
      <c r="BB7">
        <v>4.8529899426420706E-2</v>
      </c>
      <c r="BC7">
        <v>0.95147010057357928</v>
      </c>
      <c r="BD7">
        <v>0.76581463184692189</v>
      </c>
      <c r="BE7">
        <v>0</v>
      </c>
      <c r="BF7">
        <v>7.1413363118108517E-2</v>
      </c>
      <c r="BG7">
        <v>3.8470317992221484E-6</v>
      </c>
      <c r="BH7">
        <v>0.15948754274014679</v>
      </c>
      <c r="BI7">
        <v>1.011500013605485E-3</v>
      </c>
      <c r="BJ7">
        <v>2.2689448153672153E-3</v>
      </c>
      <c r="BK7">
        <v>1.7043405092011924E-7</v>
      </c>
      <c r="BL7">
        <v>0.14604821502469933</v>
      </c>
      <c r="BM7">
        <v>0.85395178497530055</v>
      </c>
      <c r="BN7">
        <v>0.82493726041991489</v>
      </c>
      <c r="BO7">
        <v>8.0569425104495016E-4</v>
      </c>
      <c r="BP7">
        <v>0.15405221564268573</v>
      </c>
      <c r="BQ7">
        <v>1.9287554455491163E-5</v>
      </c>
      <c r="BR7">
        <v>1.324595108625418E-2</v>
      </c>
      <c r="BS7">
        <v>6.8951903314969729E-3</v>
      </c>
      <c r="BT7">
        <v>4.4400714147816894E-5</v>
      </c>
      <c r="BU7">
        <v>0.13374376686220346</v>
      </c>
      <c r="BV7">
        <v>0.86625623313779654</v>
      </c>
      <c r="BW7">
        <v>0.77172263469990743</v>
      </c>
      <c r="BX7">
        <v>0</v>
      </c>
      <c r="BY7">
        <v>0.22422742688148964</v>
      </c>
      <c r="BZ7">
        <v>4.6535156985730399E-5</v>
      </c>
      <c r="CA7">
        <v>1.4820498867741243E-4</v>
      </c>
      <c r="CB7">
        <v>3.8143287523768159E-3</v>
      </c>
      <c r="CC7">
        <v>4.0869520562861776E-5</v>
      </c>
      <c r="CD7">
        <v>0.16978798366656861</v>
      </c>
      <c r="CE7">
        <v>0.83021201633343134</v>
      </c>
      <c r="CF7">
        <v>0.15711854876808634</v>
      </c>
      <c r="CG7">
        <v>2.5663080001031408E-3</v>
      </c>
      <c r="CH7">
        <v>9.4970890026447749E-2</v>
      </c>
      <c r="CI7">
        <v>3.261028045244598E-3</v>
      </c>
      <c r="CJ7">
        <v>0.2173468159136725</v>
      </c>
      <c r="CK7">
        <v>0.43638696191099086</v>
      </c>
      <c r="CL7">
        <v>4.6691295367373389E-2</v>
      </c>
      <c r="CM7">
        <v>4.1658151968081411E-2</v>
      </c>
      <c r="CN7">
        <v>0.17096745476857869</v>
      </c>
      <c r="CO7">
        <v>0.82903254523142134</v>
      </c>
      <c r="CP7">
        <v>4.3935768111089131E-2</v>
      </c>
      <c r="CQ7">
        <v>0</v>
      </c>
      <c r="CR7">
        <v>0.10756134092413765</v>
      </c>
      <c r="CS7">
        <v>1.2586950658332538E-3</v>
      </c>
      <c r="CT7">
        <v>0.30479072001215024</v>
      </c>
      <c r="CU7">
        <v>0.45686054913495783</v>
      </c>
      <c r="CV7">
        <v>3.2204150868116913E-2</v>
      </c>
      <c r="CW7">
        <v>5.3388775883715031E-2</v>
      </c>
      <c r="CX7">
        <v>0.17018326645463974</v>
      </c>
      <c r="CY7">
        <v>0.82981673354536023</v>
      </c>
      <c r="CZ7">
        <v>0.78173155068528977</v>
      </c>
      <c r="DA7">
        <v>3.287781914631487E-5</v>
      </c>
      <c r="DB7">
        <v>6.3978932134128572E-2</v>
      </c>
      <c r="DC7">
        <v>1.8826390133209005E-5</v>
      </c>
      <c r="DD7">
        <v>9.9135727948104657E-2</v>
      </c>
      <c r="DE7">
        <v>4.9755576452443981E-2</v>
      </c>
      <c r="DF7">
        <v>1.1865080168120396E-3</v>
      </c>
      <c r="DG7">
        <v>4.1600005539415112E-3</v>
      </c>
      <c r="DH7">
        <v>9.5833765644708982E-2</v>
      </c>
      <c r="DI7">
        <v>0.90416623435529109</v>
      </c>
      <c r="DJ7">
        <v>0.84703154425192317</v>
      </c>
      <c r="DK7">
        <v>0</v>
      </c>
      <c r="DL7">
        <v>4.9810321804407753E-2</v>
      </c>
      <c r="DM7">
        <v>1.4632059102963875E-3</v>
      </c>
      <c r="DN7">
        <v>9.8017197917649679E-2</v>
      </c>
      <c r="DO7">
        <v>3.6777301157231647E-3</v>
      </c>
      <c r="DP7">
        <v>0</v>
      </c>
      <c r="DQ7">
        <v>0</v>
      </c>
      <c r="DR7">
        <v>1</v>
      </c>
      <c r="DS7">
        <v>0</v>
      </c>
      <c r="DT7">
        <v>0.19380170267071123</v>
      </c>
      <c r="DU7">
        <v>2.0369960845687324E-4</v>
      </c>
      <c r="DV7">
        <v>0.26147671193267552</v>
      </c>
      <c r="DW7">
        <v>2.4093555482673472E-4</v>
      </c>
      <c r="DX7">
        <v>0.31523872483926402</v>
      </c>
      <c r="DY7">
        <v>8.5517859068255583E-2</v>
      </c>
      <c r="DZ7">
        <v>1.8725257808598478E-2</v>
      </c>
      <c r="EA7">
        <v>0.12479510851721153</v>
      </c>
      <c r="EB7">
        <v>0.14202406242626878</v>
      </c>
      <c r="EC7">
        <v>0.85797593757373125</v>
      </c>
      <c r="ED7">
        <v>0.15846014134652991</v>
      </c>
      <c r="EE7">
        <v>2.1911700710879361E-7</v>
      </c>
      <c r="EF7">
        <v>0.47563263161438918</v>
      </c>
      <c r="EG7">
        <v>6.9908364480029874E-4</v>
      </c>
      <c r="EH7">
        <v>0.2532296960531108</v>
      </c>
      <c r="EI7">
        <v>4.5337064282222138E-2</v>
      </c>
      <c r="EJ7">
        <v>3.0477306257861811E-2</v>
      </c>
      <c r="EK7">
        <v>3.6163857684078628E-2</v>
      </c>
      <c r="EL7">
        <v>0.1043715502187078</v>
      </c>
      <c r="EM7">
        <v>0.8956284497812923</v>
      </c>
    </row>
    <row r="8" spans="1:143" x14ac:dyDescent="0.25">
      <c r="A8" t="s">
        <v>271</v>
      </c>
      <c r="B8">
        <v>0.97187985316726666</v>
      </c>
      <c r="C8">
        <v>2.8120146832733398E-2</v>
      </c>
      <c r="D8">
        <v>0</v>
      </c>
      <c r="E8">
        <v>0</v>
      </c>
      <c r="F8">
        <v>0</v>
      </c>
      <c r="G8">
        <v>0.99979799886266973</v>
      </c>
      <c r="H8">
        <v>2.0200113733016655E-4</v>
      </c>
      <c r="I8">
        <v>0</v>
      </c>
      <c r="J8">
        <v>0</v>
      </c>
      <c r="K8">
        <v>0</v>
      </c>
      <c r="L8">
        <v>0.99108081761598354</v>
      </c>
      <c r="M8">
        <v>8.8615474685350745E-3</v>
      </c>
      <c r="N8">
        <v>0</v>
      </c>
      <c r="O8">
        <v>0</v>
      </c>
      <c r="P8">
        <v>5.7634915481448398E-5</v>
      </c>
      <c r="Q8">
        <v>0</v>
      </c>
      <c r="R8">
        <v>0.22975633861979328</v>
      </c>
      <c r="S8">
        <v>0.77024366138020661</v>
      </c>
      <c r="T8">
        <v>0.99588395547895892</v>
      </c>
      <c r="U8">
        <v>3.1730353626893736E-3</v>
      </c>
      <c r="V8">
        <v>3.4809514162955534E-4</v>
      </c>
      <c r="W8">
        <v>0</v>
      </c>
      <c r="X8">
        <v>5.9009636286857278E-4</v>
      </c>
      <c r="Y8">
        <v>4.817653853597917E-6</v>
      </c>
      <c r="Z8">
        <v>0.23502870285159977</v>
      </c>
      <c r="AA8">
        <v>0.76497129714840018</v>
      </c>
      <c r="AB8">
        <v>0.98242737200857877</v>
      </c>
      <c r="AC8">
        <v>0</v>
      </c>
      <c r="AD8">
        <v>7.2946688963684662E-3</v>
      </c>
      <c r="AE8">
        <v>0</v>
      </c>
      <c r="AF8">
        <v>2.5752836179064034E-3</v>
      </c>
      <c r="AG8">
        <v>7.7026754771462348E-3</v>
      </c>
      <c r="AH8">
        <v>0</v>
      </c>
      <c r="AI8">
        <v>0.13015511458917453</v>
      </c>
      <c r="AJ8">
        <v>0.8698448854108255</v>
      </c>
      <c r="AK8">
        <v>0.99778967553596321</v>
      </c>
      <c r="AL8">
        <v>0</v>
      </c>
      <c r="AM8">
        <v>8.1736400436501204E-4</v>
      </c>
      <c r="AN8">
        <v>5.3712370723129797E-5</v>
      </c>
      <c r="AO8">
        <v>0</v>
      </c>
      <c r="AP8">
        <v>1.2455467920627461E-3</v>
      </c>
      <c r="AQ8">
        <v>9.3701296885996977E-5</v>
      </c>
      <c r="AR8">
        <v>0.18113606939625013</v>
      </c>
      <c r="AS8">
        <v>0.81886393060374996</v>
      </c>
      <c r="AT8">
        <v>0.78523560091155509</v>
      </c>
      <c r="AU8">
        <v>0</v>
      </c>
      <c r="AV8">
        <v>2.1192058443599213E-3</v>
      </c>
      <c r="AW8">
        <v>0</v>
      </c>
      <c r="AX8">
        <v>0.1745488668285371</v>
      </c>
      <c r="AY8">
        <v>3.1891445294444012E-3</v>
      </c>
      <c r="AZ8">
        <v>3.4907181886103415E-2</v>
      </c>
      <c r="BA8">
        <v>0</v>
      </c>
      <c r="BB8">
        <v>0.10737792758759805</v>
      </c>
      <c r="BC8">
        <v>0.89262207241240188</v>
      </c>
      <c r="BD8">
        <v>0.74228554711239414</v>
      </c>
      <c r="BE8">
        <v>0</v>
      </c>
      <c r="BF8">
        <v>4.3429330943953424E-3</v>
      </c>
      <c r="BG8">
        <v>1.624362350111545E-5</v>
      </c>
      <c r="BH8">
        <v>0.25278695506697235</v>
      </c>
      <c r="BI8">
        <v>5.5357076270878135E-5</v>
      </c>
      <c r="BJ8">
        <v>0</v>
      </c>
      <c r="BK8">
        <v>5.1296402646602011E-4</v>
      </c>
      <c r="BL8">
        <v>8.5318300424090956E-2</v>
      </c>
      <c r="BM8">
        <v>0.91468169957590895</v>
      </c>
      <c r="BN8">
        <v>0.8323816572080065</v>
      </c>
      <c r="BO8">
        <v>5.7019928832121463E-4</v>
      </c>
      <c r="BP8">
        <v>1.0870401351435086E-2</v>
      </c>
      <c r="BQ8">
        <v>0</v>
      </c>
      <c r="BR8">
        <v>6.7586294884529149E-2</v>
      </c>
      <c r="BS8">
        <v>8.8572664808790488E-2</v>
      </c>
      <c r="BT8">
        <v>1.8782458917453376E-5</v>
      </c>
      <c r="BU8">
        <v>3.2944077645140679E-2</v>
      </c>
      <c r="BV8">
        <v>0.96705592235485927</v>
      </c>
      <c r="BW8">
        <v>0.90318724304614095</v>
      </c>
      <c r="BX8">
        <v>0</v>
      </c>
      <c r="BY8">
        <v>8.2299934393990373E-2</v>
      </c>
      <c r="BZ8">
        <v>1.0443461680080555E-4</v>
      </c>
      <c r="CA8">
        <v>0</v>
      </c>
      <c r="CB8">
        <v>0</v>
      </c>
      <c r="CC8">
        <v>1.4408387943067978E-2</v>
      </c>
      <c r="CD8">
        <v>1.1217986867379138E-2</v>
      </c>
      <c r="CE8">
        <v>0.98878201313262093</v>
      </c>
      <c r="CF8">
        <v>0.10779114565592571</v>
      </c>
      <c r="CG8">
        <v>0</v>
      </c>
      <c r="CH8">
        <v>0.17122081413877757</v>
      </c>
      <c r="CI8">
        <v>5.3421283903742223E-3</v>
      </c>
      <c r="CJ8">
        <v>0.33068280053840265</v>
      </c>
      <c r="CK8">
        <v>0.32387136868532462</v>
      </c>
      <c r="CL8">
        <v>3.6295448871770261E-2</v>
      </c>
      <c r="CM8">
        <v>2.4796293719424923E-2</v>
      </c>
      <c r="CN8">
        <v>6.0034689599321581E-2</v>
      </c>
      <c r="CO8">
        <v>0.93996531040067843</v>
      </c>
      <c r="CP8">
        <v>0.11326932975577304</v>
      </c>
      <c r="CQ8">
        <v>0</v>
      </c>
      <c r="CR8">
        <v>0.17412572224481396</v>
      </c>
      <c r="CS8">
        <v>5.5947475509671874E-3</v>
      </c>
      <c r="CT8">
        <v>0.38470349192627706</v>
      </c>
      <c r="CU8">
        <v>0.24542265780683786</v>
      </c>
      <c r="CV8">
        <v>6.2470791170341516E-2</v>
      </c>
      <c r="CW8">
        <v>1.4413259544989475E-2</v>
      </c>
      <c r="CX8">
        <v>1.4653982137548332E-2</v>
      </c>
      <c r="CY8">
        <v>0.98534601786245168</v>
      </c>
      <c r="CZ8">
        <v>0.40957203774919931</v>
      </c>
      <c r="DA8">
        <v>0</v>
      </c>
      <c r="DB8">
        <v>9.2254369101687619E-2</v>
      </c>
      <c r="DC8">
        <v>0</v>
      </c>
      <c r="DD8">
        <v>0.37964845079630777</v>
      </c>
      <c r="DE8">
        <v>0.1185251423528053</v>
      </c>
      <c r="DF8">
        <v>0</v>
      </c>
      <c r="DG8">
        <v>0</v>
      </c>
      <c r="DH8">
        <v>0</v>
      </c>
      <c r="DI8">
        <v>1</v>
      </c>
      <c r="DJ8">
        <v>0.2863743347693381</v>
      </c>
      <c r="DK8">
        <v>0</v>
      </c>
      <c r="DL8">
        <v>0.11150401019229078</v>
      </c>
      <c r="DM8">
        <v>0</v>
      </c>
      <c r="DN8">
        <v>0.45886525634810921</v>
      </c>
      <c r="DO8">
        <v>0.14325639869026188</v>
      </c>
      <c r="DP8">
        <v>0</v>
      </c>
      <c r="DQ8">
        <v>0</v>
      </c>
      <c r="DR8">
        <v>0</v>
      </c>
      <c r="DS8">
        <v>1</v>
      </c>
      <c r="DT8">
        <v>0.27278241355369409</v>
      </c>
      <c r="DU8">
        <v>1.2112543621953095E-3</v>
      </c>
      <c r="DV8">
        <v>0.1968671699582735</v>
      </c>
      <c r="DW8">
        <v>4.6513052145229624E-3</v>
      </c>
      <c r="DX8">
        <v>0.28285351900307626</v>
      </c>
      <c r="DY8">
        <v>8.4530701203121297E-2</v>
      </c>
      <c r="DZ8">
        <v>0.13339045418222839</v>
      </c>
      <c r="EA8">
        <v>2.3713182522888274E-2</v>
      </c>
      <c r="EB8">
        <v>4.0211806794291177E-2</v>
      </c>
      <c r="EC8">
        <v>0.95978819320570885</v>
      </c>
      <c r="ED8">
        <v>0.15999533567906662</v>
      </c>
      <c r="EE8">
        <v>8.6338988139887034E-4</v>
      </c>
      <c r="EF8">
        <v>1.3035093414992158E-2</v>
      </c>
      <c r="EG8">
        <v>6.8153998851166429E-3</v>
      </c>
      <c r="EH8">
        <v>0.26404648892309207</v>
      </c>
      <c r="EI8">
        <v>0.31285336870482283</v>
      </c>
      <c r="EJ8">
        <v>0.17787371903051305</v>
      </c>
      <c r="EK8">
        <v>6.4517204480997833E-2</v>
      </c>
      <c r="EL8">
        <v>2.3161474268399026E-3</v>
      </c>
      <c r="EM8">
        <v>0.99768385257316006</v>
      </c>
    </row>
    <row r="9" spans="1:143" x14ac:dyDescent="0.25">
      <c r="A9" t="s">
        <v>272</v>
      </c>
      <c r="B9">
        <v>0.82499965966394628</v>
      </c>
      <c r="C9">
        <v>0.17500034033605372</v>
      </c>
      <c r="D9">
        <v>0</v>
      </c>
      <c r="E9">
        <v>0</v>
      </c>
      <c r="F9">
        <v>0</v>
      </c>
      <c r="G9">
        <v>0.70163733083419344</v>
      </c>
      <c r="H9">
        <v>0.29836266916580656</v>
      </c>
      <c r="I9">
        <v>0</v>
      </c>
      <c r="J9">
        <v>0</v>
      </c>
      <c r="K9">
        <v>0</v>
      </c>
      <c r="L9">
        <v>0.93582649991364186</v>
      </c>
      <c r="M9">
        <v>6.0778767896740644E-2</v>
      </c>
      <c r="N9">
        <v>3.3167104242965415E-4</v>
      </c>
      <c r="O9">
        <v>2.6564707318889818E-4</v>
      </c>
      <c r="P9">
        <v>2.7974140739988919E-3</v>
      </c>
      <c r="Q9">
        <v>0</v>
      </c>
      <c r="R9">
        <v>0.13772089969779705</v>
      </c>
      <c r="S9">
        <v>0.86227910030220289</v>
      </c>
      <c r="T9">
        <v>0.94462312523661474</v>
      </c>
      <c r="U9">
        <v>5.3402614754550777E-2</v>
      </c>
      <c r="V9">
        <v>1.329745334055215E-5</v>
      </c>
      <c r="W9">
        <v>1.3245159774171076E-3</v>
      </c>
      <c r="X9">
        <v>6.3644657807683438E-4</v>
      </c>
      <c r="Y9">
        <v>0</v>
      </c>
      <c r="Z9">
        <v>0.26862763681862667</v>
      </c>
      <c r="AA9">
        <v>0.73137236318137333</v>
      </c>
      <c r="AB9">
        <v>0.9364261114191853</v>
      </c>
      <c r="AC9">
        <v>0</v>
      </c>
      <c r="AD9">
        <v>6.1923706161955541E-2</v>
      </c>
      <c r="AE9">
        <v>1.2865892663769284E-3</v>
      </c>
      <c r="AF9">
        <v>3.2626630739505616E-4</v>
      </c>
      <c r="AG9">
        <v>3.7326845087108373E-5</v>
      </c>
      <c r="AH9">
        <v>0</v>
      </c>
      <c r="AI9">
        <v>0.58333745974198892</v>
      </c>
      <c r="AJ9">
        <v>0.41666254025801108</v>
      </c>
      <c r="AK9">
        <v>0.97023332339891255</v>
      </c>
      <c r="AL9">
        <v>0</v>
      </c>
      <c r="AM9">
        <v>2.7936731653749648E-2</v>
      </c>
      <c r="AN9">
        <v>0</v>
      </c>
      <c r="AO9">
        <v>1.1522489338203893E-3</v>
      </c>
      <c r="AP9">
        <v>6.7611737272186504E-4</v>
      </c>
      <c r="AQ9">
        <v>1.5786407954446479E-6</v>
      </c>
      <c r="AR9">
        <v>0.14107367201732723</v>
      </c>
      <c r="AS9">
        <v>0.85892632798267277</v>
      </c>
      <c r="AT9">
        <v>0.68650053501414621</v>
      </c>
      <c r="AU9">
        <v>0</v>
      </c>
      <c r="AV9">
        <v>3.6084017850956482E-2</v>
      </c>
      <c r="AW9">
        <v>5.5017280639838332E-4</v>
      </c>
      <c r="AX9">
        <v>0.27497435769365253</v>
      </c>
      <c r="AY9">
        <v>1.1245603351022599E-3</v>
      </c>
      <c r="AZ9">
        <v>7.6635629974412768E-4</v>
      </c>
      <c r="BA9">
        <v>0</v>
      </c>
      <c r="BB9">
        <v>0.13100575155848485</v>
      </c>
      <c r="BC9">
        <v>0.86899424844151507</v>
      </c>
      <c r="BD9">
        <v>0.66714301068575999</v>
      </c>
      <c r="BE9">
        <v>0</v>
      </c>
      <c r="BF9">
        <v>9.4429500558070398E-3</v>
      </c>
      <c r="BG9">
        <v>7.9854555374791092E-4</v>
      </c>
      <c r="BH9">
        <v>0.32147469084773544</v>
      </c>
      <c r="BI9">
        <v>7.4625827315288613E-4</v>
      </c>
      <c r="BJ9">
        <v>3.9230354414733552E-4</v>
      </c>
      <c r="BK9">
        <v>2.2410396490600508E-6</v>
      </c>
      <c r="BL9">
        <v>6.1070589310941316E-2</v>
      </c>
      <c r="BM9">
        <v>0.93892941068905866</v>
      </c>
      <c r="BN9">
        <v>0.82305050663261092</v>
      </c>
      <c r="BO9">
        <v>7.2523941357714093E-5</v>
      </c>
      <c r="BP9">
        <v>0.14738662941117134</v>
      </c>
      <c r="BQ9">
        <v>1.4357300640908516E-3</v>
      </c>
      <c r="BR9">
        <v>2.3480819196011467E-2</v>
      </c>
      <c r="BS9">
        <v>4.5522844452850642E-3</v>
      </c>
      <c r="BT9">
        <v>2.1506309472681524E-5</v>
      </c>
      <c r="BU9">
        <v>3.4508477386217304E-2</v>
      </c>
      <c r="BV9">
        <v>0.96549152261378268</v>
      </c>
      <c r="BW9">
        <v>0.99971839000510199</v>
      </c>
      <c r="BX9">
        <v>2.313854364327144E-4</v>
      </c>
      <c r="BY9">
        <v>0</v>
      </c>
      <c r="BZ9">
        <v>0</v>
      </c>
      <c r="CA9">
        <v>0</v>
      </c>
      <c r="CB9">
        <v>0</v>
      </c>
      <c r="CC9">
        <v>5.0224558465341902E-5</v>
      </c>
      <c r="CD9">
        <v>1.4197087139636921E-2</v>
      </c>
      <c r="CE9">
        <v>0.98580291286036315</v>
      </c>
      <c r="CF9">
        <v>9.1765162928252875E-2</v>
      </c>
      <c r="CG9">
        <v>1.9779810881521047E-3</v>
      </c>
      <c r="CH9">
        <v>0.16256535994076499</v>
      </c>
      <c r="CI9">
        <v>4.6845382855490378E-3</v>
      </c>
      <c r="CJ9">
        <v>0.2502567001424762</v>
      </c>
      <c r="CK9">
        <v>0.4506277294661592</v>
      </c>
      <c r="CL9">
        <v>3.6885600599420941E-2</v>
      </c>
      <c r="CM9">
        <v>1.2369275492247645E-3</v>
      </c>
      <c r="CN9">
        <v>0.16054601706911614</v>
      </c>
      <c r="CO9">
        <v>0.8394539829308838</v>
      </c>
      <c r="CP9">
        <v>9.336146145156575E-2</v>
      </c>
      <c r="CQ9">
        <v>0</v>
      </c>
      <c r="CR9">
        <v>0.15040794000824248</v>
      </c>
      <c r="CS9">
        <v>6.7337590822502645E-3</v>
      </c>
      <c r="CT9">
        <v>0.34806483749949962</v>
      </c>
      <c r="CU9">
        <v>0.33335478798747048</v>
      </c>
      <c r="CV9">
        <v>6.5833062841052323E-2</v>
      </c>
      <c r="CW9">
        <v>2.2441511299190601E-3</v>
      </c>
      <c r="CX9">
        <v>5.5622771475595419E-2</v>
      </c>
      <c r="CY9">
        <v>0.94437722852440453</v>
      </c>
      <c r="CZ9">
        <v>0.41569335788596862</v>
      </c>
      <c r="DA9">
        <v>0</v>
      </c>
      <c r="DB9">
        <v>6.8638468911306344E-2</v>
      </c>
      <c r="DC9">
        <v>1.4129221309286157E-3</v>
      </c>
      <c r="DD9">
        <v>0.36535548690357894</v>
      </c>
      <c r="DE9">
        <v>0.12133610545839288</v>
      </c>
      <c r="DF9">
        <v>2.7563658709824478E-2</v>
      </c>
      <c r="DG9">
        <v>0</v>
      </c>
      <c r="DH9">
        <v>0.23368688748019026</v>
      </c>
      <c r="DI9">
        <v>0.76631311251980982</v>
      </c>
      <c r="DJ9">
        <v>3.1657163130326134E-2</v>
      </c>
      <c r="DK9">
        <v>0</v>
      </c>
      <c r="DL9">
        <v>0.12321692298571697</v>
      </c>
      <c r="DM9">
        <v>2.663475994729151E-4</v>
      </c>
      <c r="DN9">
        <v>0.64831190091075286</v>
      </c>
      <c r="DO9">
        <v>0.15874755325595333</v>
      </c>
      <c r="DP9">
        <v>3.7800112117777722E-2</v>
      </c>
      <c r="DQ9">
        <v>0</v>
      </c>
      <c r="DR9">
        <v>0</v>
      </c>
      <c r="DS9">
        <v>1</v>
      </c>
      <c r="DT9">
        <v>0.3841037088026617</v>
      </c>
      <c r="DU9">
        <v>3.5698901231529918E-3</v>
      </c>
      <c r="DV9">
        <v>0.20232234574751301</v>
      </c>
      <c r="DW9">
        <v>3.7808305390260393E-3</v>
      </c>
      <c r="DX9">
        <v>0.26332154821280518</v>
      </c>
      <c r="DY9">
        <v>0.11917570855762084</v>
      </c>
      <c r="DZ9">
        <v>2.1233285108080674E-2</v>
      </c>
      <c r="EA9">
        <v>2.4926829091397504E-3</v>
      </c>
      <c r="EB9">
        <v>1.4595254561954098E-2</v>
      </c>
      <c r="EC9">
        <v>0.98540474543804579</v>
      </c>
      <c r="ED9">
        <v>0.23374667863577386</v>
      </c>
      <c r="EE9">
        <v>3.8649986577203202E-3</v>
      </c>
      <c r="EF9">
        <v>8.5022021068625414E-2</v>
      </c>
      <c r="EG9">
        <v>0</v>
      </c>
      <c r="EH9">
        <v>0.51508349120707708</v>
      </c>
      <c r="EI9">
        <v>0</v>
      </c>
      <c r="EJ9">
        <v>0.15851853506581559</v>
      </c>
      <c r="EK9">
        <v>3.7642753649878239E-3</v>
      </c>
      <c r="EL9">
        <v>1.4287328245330649E-3</v>
      </c>
      <c r="EM9">
        <v>0.99857126717546696</v>
      </c>
    </row>
    <row r="10" spans="1:143" x14ac:dyDescent="0.25">
      <c r="A10" t="s">
        <v>420</v>
      </c>
      <c r="B10">
        <v>0.78551090076401064</v>
      </c>
      <c r="C10">
        <v>0.21442710502898779</v>
      </c>
      <c r="D10">
        <v>0</v>
      </c>
      <c r="E10">
        <v>6.1994207001493545E-5</v>
      </c>
      <c r="F10">
        <v>0</v>
      </c>
      <c r="G10">
        <v>0.8959022113779409</v>
      </c>
      <c r="H10">
        <v>0.10399577344972645</v>
      </c>
      <c r="I10">
        <v>0</v>
      </c>
      <c r="J10">
        <v>1.020151723326559E-4</v>
      </c>
      <c r="K10">
        <v>0</v>
      </c>
      <c r="L10">
        <v>0.95328382279045942</v>
      </c>
      <c r="M10">
        <v>4.6048664590876039E-2</v>
      </c>
      <c r="N10">
        <v>0</v>
      </c>
      <c r="O10">
        <v>5.9370422896115149E-4</v>
      </c>
      <c r="P10">
        <v>7.2663103804611518E-5</v>
      </c>
      <c r="Q10">
        <v>1.1452858987507077E-6</v>
      </c>
      <c r="R10">
        <v>0.41796239579220784</v>
      </c>
      <c r="S10">
        <v>0.58203760420779205</v>
      </c>
      <c r="T10">
        <v>0.9791279254586005</v>
      </c>
      <c r="U10">
        <v>2.0290968608076471E-2</v>
      </c>
      <c r="V10">
        <v>0</v>
      </c>
      <c r="W10">
        <v>3.5363298944433353E-4</v>
      </c>
      <c r="X10">
        <v>1.3500733026947367E-4</v>
      </c>
      <c r="Y10">
        <v>9.2465613609281214E-5</v>
      </c>
      <c r="Z10">
        <v>5.9558626985172169E-2</v>
      </c>
      <c r="AA10">
        <v>0.94044137301482789</v>
      </c>
      <c r="AB10">
        <v>0.93486058209421341</v>
      </c>
      <c r="AC10">
        <v>0</v>
      </c>
      <c r="AD10">
        <v>5.8872649122967413E-2</v>
      </c>
      <c r="AE10">
        <v>0</v>
      </c>
      <c r="AF10">
        <v>6.1920253182877827E-3</v>
      </c>
      <c r="AG10">
        <v>0</v>
      </c>
      <c r="AH10">
        <v>7.4743464531412223E-5</v>
      </c>
      <c r="AI10">
        <v>0.66558071614488279</v>
      </c>
      <c r="AJ10">
        <v>0.33441928385511727</v>
      </c>
      <c r="AK10">
        <v>0.95539647055271093</v>
      </c>
      <c r="AL10">
        <v>0</v>
      </c>
      <c r="AM10">
        <v>3.8605806028421737E-2</v>
      </c>
      <c r="AN10">
        <v>0</v>
      </c>
      <c r="AO10">
        <v>3.8391928977804259E-3</v>
      </c>
      <c r="AP10">
        <v>2.1585305210868942E-3</v>
      </c>
      <c r="AQ10">
        <v>0</v>
      </c>
      <c r="AR10">
        <v>0.12617931838298388</v>
      </c>
      <c r="AS10">
        <v>0.87382068161701609</v>
      </c>
      <c r="AT10">
        <v>0.85994314768906943</v>
      </c>
      <c r="AU10">
        <v>0</v>
      </c>
      <c r="AV10">
        <v>8.7104135408568761E-2</v>
      </c>
      <c r="AW10">
        <v>4.0317353871635811E-5</v>
      </c>
      <c r="AX10">
        <v>4.2957232817593109E-2</v>
      </c>
      <c r="AY10">
        <v>8.635300819329875E-3</v>
      </c>
      <c r="AZ10">
        <v>1.2451904822800498E-3</v>
      </c>
      <c r="BA10">
        <v>7.4675429287319613E-5</v>
      </c>
      <c r="BB10">
        <v>0.26109923101608284</v>
      </c>
      <c r="BC10">
        <v>0.73890076898391721</v>
      </c>
      <c r="BD10">
        <v>0.80873072825642478</v>
      </c>
      <c r="BE10">
        <v>0</v>
      </c>
      <c r="BF10">
        <v>6.4587694027811546E-2</v>
      </c>
      <c r="BG10">
        <v>4.8278602117403314E-4</v>
      </c>
      <c r="BH10">
        <v>0.10528019319158205</v>
      </c>
      <c r="BI10">
        <v>1.3604661592291427E-2</v>
      </c>
      <c r="BJ10">
        <v>6.8590442209595344E-3</v>
      </c>
      <c r="BK10">
        <v>4.5489268975660511E-4</v>
      </c>
      <c r="BL10">
        <v>5.636213608797544E-2</v>
      </c>
      <c r="BM10">
        <v>0.94363786391202464</v>
      </c>
      <c r="BN10">
        <v>0.67601443340054379</v>
      </c>
      <c r="BO10">
        <v>0</v>
      </c>
      <c r="BP10">
        <v>0.17120386650799746</v>
      </c>
      <c r="BQ10">
        <v>7.1007782164310689E-4</v>
      </c>
      <c r="BR10">
        <v>0.14365994648163283</v>
      </c>
      <c r="BS10">
        <v>5.4615499486117131E-3</v>
      </c>
      <c r="BT10">
        <v>2.9501258395710972E-3</v>
      </c>
      <c r="BU10">
        <v>7.6529373721397939E-2</v>
      </c>
      <c r="BV10">
        <v>0.9234706262786021</v>
      </c>
      <c r="BW10">
        <v>0.57826098547861693</v>
      </c>
      <c r="BX10">
        <v>0</v>
      </c>
      <c r="BY10">
        <v>0.18315528096380382</v>
      </c>
      <c r="BZ10">
        <v>0</v>
      </c>
      <c r="CA10">
        <v>0.23111728957233532</v>
      </c>
      <c r="CB10">
        <v>5.7647829033196348E-3</v>
      </c>
      <c r="CC10">
        <v>1.7016610819242011E-3</v>
      </c>
      <c r="CD10">
        <v>4.0276568659753202E-2</v>
      </c>
      <c r="CE10">
        <v>0.95972343134024674</v>
      </c>
      <c r="CF10">
        <v>0.14960789792942575</v>
      </c>
      <c r="CG10">
        <v>0</v>
      </c>
      <c r="CH10">
        <v>0.25787797503870258</v>
      </c>
      <c r="CI10">
        <v>8.0104258677173596E-3</v>
      </c>
      <c r="CJ10">
        <v>0.23563968739829888</v>
      </c>
      <c r="CK10">
        <v>0.32296700652740723</v>
      </c>
      <c r="CL10">
        <v>1.8803050393499839E-2</v>
      </c>
      <c r="CM10">
        <v>7.0939568449482392E-3</v>
      </c>
      <c r="CN10">
        <v>7.8532725281451832E-2</v>
      </c>
      <c r="CO10">
        <v>0.92146727471854817</v>
      </c>
      <c r="CP10">
        <v>1.0491624694336135E-2</v>
      </c>
      <c r="CQ10">
        <v>0</v>
      </c>
      <c r="CR10">
        <v>0.27105344410635079</v>
      </c>
      <c r="CS10">
        <v>5.0138204700444456E-3</v>
      </c>
      <c r="CT10">
        <v>0.24918132366248605</v>
      </c>
      <c r="CU10">
        <v>0.33399447726201753</v>
      </c>
      <c r="CV10">
        <v>2.0094369806191011E-2</v>
      </c>
      <c r="CW10">
        <v>0.11017093999857411</v>
      </c>
      <c r="CX10">
        <v>1.9251497063580068E-2</v>
      </c>
      <c r="CY10">
        <v>0.98074850293641991</v>
      </c>
      <c r="CZ10">
        <v>0.39900609216982358</v>
      </c>
      <c r="DA10">
        <v>0</v>
      </c>
      <c r="DB10">
        <v>0.22860387001883736</v>
      </c>
      <c r="DC10">
        <v>0</v>
      </c>
      <c r="DD10">
        <v>0.2477893685303966</v>
      </c>
      <c r="DE10">
        <v>0.1246006692809425</v>
      </c>
      <c r="DF10">
        <v>0</v>
      </c>
      <c r="DG10">
        <v>0</v>
      </c>
      <c r="DH10">
        <v>5.8569487814800918E-2</v>
      </c>
      <c r="DI10">
        <v>0.94143051218519902</v>
      </c>
      <c r="DJ10">
        <v>0.59130065855632075</v>
      </c>
      <c r="DK10">
        <v>0</v>
      </c>
      <c r="DL10">
        <v>0.33851329301885758</v>
      </c>
      <c r="DM10">
        <v>0</v>
      </c>
      <c r="DN10">
        <v>6.4172164254061789E-2</v>
      </c>
      <c r="DO10">
        <v>6.0138841707599849E-3</v>
      </c>
      <c r="DP10">
        <v>0</v>
      </c>
      <c r="DQ10">
        <v>0</v>
      </c>
      <c r="DR10">
        <v>3.4478120688173762E-2</v>
      </c>
      <c r="DS10">
        <v>0.96552187931182631</v>
      </c>
      <c r="DT10">
        <v>0.30641417896082607</v>
      </c>
      <c r="DU10">
        <v>1.5641226000582938E-2</v>
      </c>
      <c r="DV10">
        <v>0.43636572589481687</v>
      </c>
      <c r="DW10">
        <v>1.2937504075218361E-3</v>
      </c>
      <c r="DX10">
        <v>6.9346143797381452E-2</v>
      </c>
      <c r="DY10">
        <v>0.1388762181888723</v>
      </c>
      <c r="DZ10">
        <v>2.9733307910654642E-2</v>
      </c>
      <c r="EA10">
        <v>2.3294488393436714E-3</v>
      </c>
      <c r="EB10">
        <v>1.7177591709574884E-2</v>
      </c>
      <c r="EC10">
        <v>0.98282240829042511</v>
      </c>
      <c r="ED10">
        <v>0.19041452255899521</v>
      </c>
      <c r="EE10">
        <v>0</v>
      </c>
      <c r="EF10">
        <v>0.46394556051275043</v>
      </c>
      <c r="EG10">
        <v>0</v>
      </c>
      <c r="EH10">
        <v>0.21787575596426734</v>
      </c>
      <c r="EI10">
        <v>3.1464506668417894E-2</v>
      </c>
      <c r="EJ10">
        <v>5.0554364211993046E-2</v>
      </c>
      <c r="EK10">
        <v>4.5745290083576105E-2</v>
      </c>
      <c r="EL10">
        <v>1.1572400361081425E-2</v>
      </c>
      <c r="EM10">
        <v>0.98842759963891857</v>
      </c>
    </row>
    <row r="11" spans="1:143" x14ac:dyDescent="0.25">
      <c r="A11" t="s">
        <v>273</v>
      </c>
      <c r="B11">
        <v>1</v>
      </c>
      <c r="C11">
        <v>0</v>
      </c>
      <c r="D11">
        <v>0</v>
      </c>
      <c r="E11">
        <v>0</v>
      </c>
      <c r="F11">
        <v>0</v>
      </c>
      <c r="G11">
        <v>0.97832612794790885</v>
      </c>
      <c r="H11">
        <v>2.1673872052091075E-2</v>
      </c>
      <c r="I11">
        <v>0</v>
      </c>
      <c r="J11">
        <v>0</v>
      </c>
      <c r="K11">
        <v>0</v>
      </c>
      <c r="L11">
        <v>0.99757277022498569</v>
      </c>
      <c r="M11">
        <v>2.176852151465587E-3</v>
      </c>
      <c r="N11">
        <v>0</v>
      </c>
      <c r="O11">
        <v>1.2579342257460223E-4</v>
      </c>
      <c r="P11">
        <v>1.2458420097393965E-4</v>
      </c>
      <c r="Q11">
        <v>0</v>
      </c>
      <c r="R11">
        <v>6.1194022413919912E-4</v>
      </c>
      <c r="S11">
        <v>0.99938805977586076</v>
      </c>
      <c r="T11">
        <v>0.98685468245403007</v>
      </c>
      <c r="U11">
        <v>1.3004189300295295E-2</v>
      </c>
      <c r="V11">
        <v>0</v>
      </c>
      <c r="W11">
        <v>6.8628864823468637E-5</v>
      </c>
      <c r="X11">
        <v>7.2499380851098622E-5</v>
      </c>
      <c r="Y11">
        <v>0</v>
      </c>
      <c r="Z11">
        <v>1</v>
      </c>
      <c r="AA11">
        <v>0</v>
      </c>
      <c r="AB11">
        <v>0.99323869508315654</v>
      </c>
      <c r="AC11">
        <v>0</v>
      </c>
      <c r="AD11">
        <v>9.0714957476937023E-4</v>
      </c>
      <c r="AE11">
        <v>0</v>
      </c>
      <c r="AF11">
        <v>1.5846606680396662E-3</v>
      </c>
      <c r="AG11">
        <v>4.2694946740344094E-3</v>
      </c>
      <c r="AH11">
        <v>0</v>
      </c>
      <c r="AI11">
        <v>0.74068514014906284</v>
      </c>
      <c r="AJ11">
        <v>0.25931485985093711</v>
      </c>
      <c r="AK11">
        <v>0.99655507328282955</v>
      </c>
      <c r="AL11">
        <v>0</v>
      </c>
      <c r="AM11">
        <v>3.4449267171705218E-3</v>
      </c>
      <c r="AN11">
        <v>0</v>
      </c>
      <c r="AO11">
        <v>0</v>
      </c>
      <c r="AP11">
        <v>0</v>
      </c>
      <c r="AQ11">
        <v>0</v>
      </c>
      <c r="AR11">
        <v>0.61949734223032871</v>
      </c>
      <c r="AS11">
        <v>0.38050265776967135</v>
      </c>
      <c r="AT11">
        <v>0.60337626138542588</v>
      </c>
      <c r="AU11">
        <v>0</v>
      </c>
      <c r="AV11">
        <v>4.5124425946725612E-4</v>
      </c>
      <c r="AW11">
        <v>0</v>
      </c>
      <c r="AX11">
        <v>0.39455501244438657</v>
      </c>
      <c r="AY11">
        <v>1.290566577065333E-3</v>
      </c>
      <c r="AZ11">
        <v>3.2691533365493961E-4</v>
      </c>
      <c r="BA11">
        <v>0</v>
      </c>
      <c r="BB11">
        <v>0.60874191981275583</v>
      </c>
      <c r="BC11">
        <v>0.39125808018724406</v>
      </c>
      <c r="BD11">
        <v>0.35071708730042611</v>
      </c>
      <c r="BE11">
        <v>0</v>
      </c>
      <c r="BF11">
        <v>1.7223182347477185E-3</v>
      </c>
      <c r="BG11">
        <v>0</v>
      </c>
      <c r="BH11">
        <v>0.64756059446482617</v>
      </c>
      <c r="BI11">
        <v>0</v>
      </c>
      <c r="BJ11">
        <v>0</v>
      </c>
      <c r="BK11">
        <v>0</v>
      </c>
      <c r="BL11">
        <v>0.53141404803519499</v>
      </c>
      <c r="BM11">
        <v>0.46858595196480507</v>
      </c>
      <c r="BN11">
        <v>0.9721613092596183</v>
      </c>
      <c r="BO11">
        <v>0</v>
      </c>
      <c r="BP11">
        <v>1.4553775795163154E-2</v>
      </c>
      <c r="BQ11">
        <v>4.6482022880232736E-5</v>
      </c>
      <c r="BR11">
        <v>9.1618611526589483E-3</v>
      </c>
      <c r="BS11">
        <v>4.0225600319237767E-3</v>
      </c>
      <c r="BT11">
        <v>5.401173775564961E-5</v>
      </c>
      <c r="BU11">
        <v>0.39490502496712554</v>
      </c>
      <c r="BV11">
        <v>0.60509497503287446</v>
      </c>
      <c r="BW11">
        <v>0.97918131669049768</v>
      </c>
      <c r="BX11">
        <v>1.8262116489223425E-6</v>
      </c>
      <c r="BY11">
        <v>1.6608995766420803E-2</v>
      </c>
      <c r="BZ11">
        <v>0</v>
      </c>
      <c r="CA11">
        <v>2.3803107468728158E-3</v>
      </c>
      <c r="CB11">
        <v>1.7405305350041806E-3</v>
      </c>
      <c r="CC11">
        <v>8.7020049555711711E-5</v>
      </c>
      <c r="CD11">
        <v>0.71959270734867387</v>
      </c>
      <c r="CE11">
        <v>0.28040729265132608</v>
      </c>
      <c r="CF11">
        <v>0.43153230092408229</v>
      </c>
      <c r="CG11">
        <v>3.3301201077213876E-4</v>
      </c>
      <c r="CH11">
        <v>3.5203075726428459E-2</v>
      </c>
      <c r="CI11">
        <v>8.4555718788444404E-4</v>
      </c>
      <c r="CJ11">
        <v>0.30972537659880855</v>
      </c>
      <c r="CK11">
        <v>0.2020619228776746</v>
      </c>
      <c r="CL11">
        <v>1.4576078323927735E-2</v>
      </c>
      <c r="CM11">
        <v>5.7226763504218195E-3</v>
      </c>
      <c r="CN11">
        <v>0.21450731380509996</v>
      </c>
      <c r="CO11">
        <v>0.78549268619489998</v>
      </c>
      <c r="CP11">
        <v>0.26202238221150759</v>
      </c>
      <c r="CQ11">
        <v>1.7344337721499421E-3</v>
      </c>
      <c r="CR11">
        <v>1.8284335164207695E-2</v>
      </c>
      <c r="CS11">
        <v>0</v>
      </c>
      <c r="CT11">
        <v>0.6519003763637079</v>
      </c>
      <c r="CU11">
        <v>6.3352297102262756E-2</v>
      </c>
      <c r="CV11">
        <v>0</v>
      </c>
      <c r="CW11">
        <v>2.7061753861640551E-3</v>
      </c>
      <c r="CX11">
        <v>1</v>
      </c>
      <c r="CY11">
        <v>0</v>
      </c>
      <c r="CZ11">
        <v>0.59244732384860921</v>
      </c>
      <c r="DA11">
        <v>0</v>
      </c>
      <c r="DB11">
        <v>2.7741766191340188E-2</v>
      </c>
      <c r="DC11">
        <v>0</v>
      </c>
      <c r="DD11">
        <v>0.36447353247192582</v>
      </c>
      <c r="DE11">
        <v>1.2709752899539427E-2</v>
      </c>
      <c r="DF11">
        <v>0</v>
      </c>
      <c r="DG11">
        <v>2.62762458858535E-3</v>
      </c>
      <c r="DH11">
        <v>0.52912204420157394</v>
      </c>
      <c r="DI11">
        <v>0.47087795579842612</v>
      </c>
      <c r="DJ11">
        <v>0.78283730269175356</v>
      </c>
      <c r="DK11">
        <v>0</v>
      </c>
      <c r="DL11">
        <v>0</v>
      </c>
      <c r="DM11">
        <v>0</v>
      </c>
      <c r="DN11">
        <v>0.21712162896646103</v>
      </c>
      <c r="DO11">
        <v>4.1068341785359957E-5</v>
      </c>
      <c r="DP11">
        <v>0</v>
      </c>
      <c r="DQ11">
        <v>0</v>
      </c>
      <c r="DR11">
        <v>1</v>
      </c>
      <c r="DS11">
        <v>0</v>
      </c>
      <c r="DT11">
        <v>0.60726443777125172</v>
      </c>
      <c r="DU11">
        <v>4.3192355811855764E-5</v>
      </c>
      <c r="DV11">
        <v>6.5940546317050486E-2</v>
      </c>
      <c r="DW11">
        <v>7.4211858531365112E-5</v>
      </c>
      <c r="DX11">
        <v>0.28460039322045338</v>
      </c>
      <c r="DY11">
        <v>2.4225530395790933E-2</v>
      </c>
      <c r="DZ11">
        <v>1.0630657782768079E-2</v>
      </c>
      <c r="EA11">
        <v>7.2210302983419855E-3</v>
      </c>
      <c r="EB11">
        <v>0.24175819187063319</v>
      </c>
      <c r="EC11">
        <v>0.75824180812936681</v>
      </c>
      <c r="ED11">
        <v>0.71026078144381866</v>
      </c>
      <c r="EE11">
        <v>1.4679180517588141E-5</v>
      </c>
      <c r="EF11">
        <v>5.7389117174605188E-2</v>
      </c>
      <c r="EG11">
        <v>1.9515166914775859E-4</v>
      </c>
      <c r="EH11">
        <v>0.19892945350510163</v>
      </c>
      <c r="EI11">
        <v>5.59058314642733E-3</v>
      </c>
      <c r="EJ11">
        <v>9.052949633224729E-3</v>
      </c>
      <c r="EK11">
        <v>1.8567284247157097E-2</v>
      </c>
      <c r="EL11">
        <v>0.31631593786854745</v>
      </c>
      <c r="EM11">
        <v>0.6836840621314525</v>
      </c>
    </row>
    <row r="12" spans="1:143" x14ac:dyDescent="0.25">
      <c r="A12" t="s">
        <v>421</v>
      </c>
      <c r="B12">
        <v>0.86261317922600056</v>
      </c>
      <c r="C12">
        <v>0.13738682077399944</v>
      </c>
      <c r="D12">
        <v>0</v>
      </c>
      <c r="E12">
        <v>0</v>
      </c>
      <c r="F12">
        <v>0</v>
      </c>
      <c r="G12">
        <v>0.57989341553752005</v>
      </c>
      <c r="H12">
        <v>0.42010658446247995</v>
      </c>
      <c r="I12">
        <v>0</v>
      </c>
      <c r="J12">
        <v>0</v>
      </c>
      <c r="K12">
        <v>0</v>
      </c>
      <c r="L12">
        <v>0.96641918663365156</v>
      </c>
      <c r="M12">
        <v>3.3463881484377768E-2</v>
      </c>
      <c r="N12">
        <v>0</v>
      </c>
      <c r="O12">
        <v>1.1693188197065655E-4</v>
      </c>
      <c r="P12">
        <v>0</v>
      </c>
      <c r="Q12">
        <v>0</v>
      </c>
      <c r="R12">
        <v>0.78162359711271323</v>
      </c>
      <c r="S12">
        <v>0.21837640288728666</v>
      </c>
      <c r="T12">
        <v>0.96557555277612661</v>
      </c>
      <c r="U12">
        <v>3.4406643215568598E-2</v>
      </c>
      <c r="V12">
        <v>0</v>
      </c>
      <c r="W12">
        <v>1.7804008304800923E-5</v>
      </c>
      <c r="X12">
        <v>0</v>
      </c>
      <c r="Y12">
        <v>0</v>
      </c>
      <c r="Z12">
        <v>0.58748900369370238</v>
      </c>
      <c r="AA12">
        <v>0.41251099630629751</v>
      </c>
      <c r="AB12">
        <v>0.99643606473779567</v>
      </c>
      <c r="AC12">
        <v>0</v>
      </c>
      <c r="AD12">
        <v>3.2500435550767612E-3</v>
      </c>
      <c r="AE12">
        <v>0</v>
      </c>
      <c r="AF12">
        <v>3.1389170712757471E-4</v>
      </c>
      <c r="AG12">
        <v>0</v>
      </c>
      <c r="AH12">
        <v>0</v>
      </c>
      <c r="AI12">
        <v>0.50694778198165746</v>
      </c>
      <c r="AJ12">
        <v>0.49305221801834265</v>
      </c>
      <c r="AK12">
        <v>0.99215451079546446</v>
      </c>
      <c r="AL12">
        <v>0</v>
      </c>
      <c r="AM12">
        <v>7.8105999042080571E-3</v>
      </c>
      <c r="AN12">
        <v>0</v>
      </c>
      <c r="AO12">
        <v>3.4889300327523136E-5</v>
      </c>
      <c r="AP12">
        <v>0</v>
      </c>
      <c r="AQ12">
        <v>0</v>
      </c>
      <c r="AR12">
        <v>0.34371619126699088</v>
      </c>
      <c r="AS12">
        <v>0.65628380873300907</v>
      </c>
      <c r="AT12">
        <v>0.96829495206557159</v>
      </c>
      <c r="AU12">
        <v>0</v>
      </c>
      <c r="AV12">
        <v>7.2414502600744134E-3</v>
      </c>
      <c r="AW12">
        <v>0</v>
      </c>
      <c r="AX12">
        <v>2.3117255451184648E-2</v>
      </c>
      <c r="AY12">
        <v>1.3055369614568945E-3</v>
      </c>
      <c r="AZ12">
        <v>4.0805261712496109E-5</v>
      </c>
      <c r="BA12">
        <v>0</v>
      </c>
      <c r="BB12">
        <v>0.64375589262659882</v>
      </c>
      <c r="BC12">
        <v>0.35624410737340112</v>
      </c>
      <c r="BD12">
        <v>0.9437952726475447</v>
      </c>
      <c r="BE12">
        <v>0</v>
      </c>
      <c r="BF12">
        <v>1.2794812855756277E-2</v>
      </c>
      <c r="BG12">
        <v>0</v>
      </c>
      <c r="BH12">
        <v>4.3405713582231324E-2</v>
      </c>
      <c r="BI12">
        <v>0</v>
      </c>
      <c r="BJ12">
        <v>0</v>
      </c>
      <c r="BK12">
        <v>4.2009144678451694E-6</v>
      </c>
      <c r="BL12">
        <v>0.21290367565068227</v>
      </c>
      <c r="BM12">
        <v>0.78709632434931776</v>
      </c>
      <c r="BN12">
        <v>0.85549452489048505</v>
      </c>
      <c r="BO12">
        <v>2.5075000112920973E-4</v>
      </c>
      <c r="BP12">
        <v>0.10658138463477608</v>
      </c>
      <c r="BQ12">
        <v>0</v>
      </c>
      <c r="BR12">
        <v>3.635994914341896E-2</v>
      </c>
      <c r="BS12">
        <v>1.2195030216673147E-3</v>
      </c>
      <c r="BT12">
        <v>9.3888308523322158E-5</v>
      </c>
      <c r="BU12">
        <v>4.6121833586138535E-2</v>
      </c>
      <c r="BV12">
        <v>0.95387816641386158</v>
      </c>
      <c r="BW12">
        <v>0.75447500543169355</v>
      </c>
      <c r="BX12">
        <v>0</v>
      </c>
      <c r="BY12">
        <v>0.24539722892351695</v>
      </c>
      <c r="BZ12">
        <v>0</v>
      </c>
      <c r="CA12">
        <v>0</v>
      </c>
      <c r="CB12">
        <v>1.2772415843533892E-4</v>
      </c>
      <c r="CC12">
        <v>4.1486354122288223E-8</v>
      </c>
      <c r="CD12">
        <v>1.2480104688617282E-2</v>
      </c>
      <c r="CE12">
        <v>0.98751989531138273</v>
      </c>
      <c r="CF12">
        <v>0.19688605249664826</v>
      </c>
      <c r="CG12">
        <v>1.7250012267524234E-2</v>
      </c>
      <c r="CH12">
        <v>0.17500048661290696</v>
      </c>
      <c r="CI12">
        <v>2.837655688423691E-4</v>
      </c>
      <c r="CJ12">
        <v>0.12784384983109801</v>
      </c>
      <c r="CK12">
        <v>0.41413005992032786</v>
      </c>
      <c r="CL12">
        <v>1.6510397395433706E-2</v>
      </c>
      <c r="CM12">
        <v>5.209537590721864E-2</v>
      </c>
      <c r="CN12">
        <v>0.10931360490684666</v>
      </c>
      <c r="CO12">
        <v>0.89068639509315328</v>
      </c>
      <c r="CP12">
        <v>0.15751066416109472</v>
      </c>
      <c r="CQ12">
        <v>4.0606231412680036E-2</v>
      </c>
      <c r="CR12">
        <v>0.16411757087850445</v>
      </c>
      <c r="CS12">
        <v>2.8181655630176799E-3</v>
      </c>
      <c r="CT12">
        <v>8.7834162805203619E-2</v>
      </c>
      <c r="CU12">
        <v>0.53464965893341976</v>
      </c>
      <c r="CV12">
        <v>0</v>
      </c>
      <c r="CW12">
        <v>1.2463546246079819E-2</v>
      </c>
      <c r="CX12">
        <v>0</v>
      </c>
      <c r="CY12">
        <v>1</v>
      </c>
      <c r="CZ12">
        <v>0.67170791405324537</v>
      </c>
      <c r="DA12">
        <v>0</v>
      </c>
      <c r="DB12">
        <v>0.12626557398864899</v>
      </c>
      <c r="DC12">
        <v>0</v>
      </c>
      <c r="DD12">
        <v>0.15565603431386213</v>
      </c>
      <c r="DE12">
        <v>3.8828153163175422E-2</v>
      </c>
      <c r="DF12">
        <v>7.720627016329823E-4</v>
      </c>
      <c r="DG12">
        <v>6.7702617794353189E-3</v>
      </c>
      <c r="DH12">
        <v>0.26154402311904179</v>
      </c>
      <c r="DI12">
        <v>0.73845597688095832</v>
      </c>
      <c r="DJ12">
        <v>0.64662503121392612</v>
      </c>
      <c r="DK12">
        <v>0</v>
      </c>
      <c r="DL12">
        <v>0.31000772856884534</v>
      </c>
      <c r="DM12">
        <v>3.9619978918806209E-4</v>
      </c>
      <c r="DN12">
        <v>0</v>
      </c>
      <c r="DO12">
        <v>2.8015656273409358E-2</v>
      </c>
      <c r="DP12">
        <v>0</v>
      </c>
      <c r="DQ12">
        <v>1.4955384154630994E-2</v>
      </c>
      <c r="DR12">
        <v>0.3252834380865659</v>
      </c>
      <c r="DS12">
        <v>0.67471656191343399</v>
      </c>
      <c r="DT12">
        <v>2.8770664774415592E-2</v>
      </c>
      <c r="DU12">
        <v>7.9784221457572346E-6</v>
      </c>
      <c r="DV12">
        <v>0.90992158315930116</v>
      </c>
      <c r="DW12">
        <v>3.9726645056029071E-5</v>
      </c>
      <c r="DX12">
        <v>5.2037960775565044E-2</v>
      </c>
      <c r="DY12">
        <v>2.3082877724092689E-3</v>
      </c>
      <c r="DZ12">
        <v>7.6864518130904068E-4</v>
      </c>
      <c r="EA12">
        <v>6.1451532697981868E-3</v>
      </c>
      <c r="EB12">
        <v>2.652649859583299E-2</v>
      </c>
      <c r="EC12">
        <v>0.973473501404167</v>
      </c>
      <c r="ED12">
        <v>1.2534831885899964E-2</v>
      </c>
      <c r="EE12">
        <v>1.2238560793040267E-7</v>
      </c>
      <c r="EF12">
        <v>0.90240618883945212</v>
      </c>
      <c r="EG12">
        <v>2.6632347765449289E-5</v>
      </c>
      <c r="EH12">
        <v>8.2819345471609823E-2</v>
      </c>
      <c r="EI12">
        <v>9.4432774786965934E-4</v>
      </c>
      <c r="EJ12">
        <v>7.3780816481759185E-5</v>
      </c>
      <c r="EK12">
        <v>1.1947705053133638E-3</v>
      </c>
      <c r="EL12">
        <v>5.9373826012809161E-2</v>
      </c>
      <c r="EM12">
        <v>0.94062617398719095</v>
      </c>
    </row>
    <row r="13" spans="1:143" x14ac:dyDescent="0.25">
      <c r="A13" t="s">
        <v>274</v>
      </c>
      <c r="B13">
        <v>0.8872494504946159</v>
      </c>
      <c r="C13">
        <v>0.11252548504112773</v>
      </c>
      <c r="D13">
        <v>0</v>
      </c>
      <c r="E13">
        <v>1.7700805269646165E-5</v>
      </c>
      <c r="F13">
        <v>2.0736365898679871E-4</v>
      </c>
      <c r="G13">
        <v>0.92950023933605674</v>
      </c>
      <c r="H13">
        <v>7.0464583330902275E-2</v>
      </c>
      <c r="I13">
        <v>0</v>
      </c>
      <c r="J13">
        <v>2.4865411093654725E-6</v>
      </c>
      <c r="K13">
        <v>3.2690791931679908E-5</v>
      </c>
      <c r="L13">
        <v>0.91490240734049788</v>
      </c>
      <c r="M13">
        <v>8.3234688117630296E-2</v>
      </c>
      <c r="N13">
        <v>0</v>
      </c>
      <c r="O13">
        <v>1.6726837174557228E-3</v>
      </c>
      <c r="P13">
        <v>1.9022082441615197E-4</v>
      </c>
      <c r="Q13">
        <v>0</v>
      </c>
      <c r="R13">
        <v>0.28205032421755177</v>
      </c>
      <c r="S13">
        <v>0.71794967578244817</v>
      </c>
      <c r="T13">
        <v>0.99171380649010099</v>
      </c>
      <c r="U13">
        <v>8.0545457989083403E-3</v>
      </c>
      <c r="V13">
        <v>0</v>
      </c>
      <c r="W13">
        <v>1.2533436875282808E-4</v>
      </c>
      <c r="X13">
        <v>1.0631334223780756E-4</v>
      </c>
      <c r="Y13">
        <v>0</v>
      </c>
      <c r="Z13">
        <v>1.0715607369854694E-2</v>
      </c>
      <c r="AA13">
        <v>0.98928439263014534</v>
      </c>
      <c r="AB13">
        <v>0.86918920168633107</v>
      </c>
      <c r="AC13">
        <v>0</v>
      </c>
      <c r="AD13">
        <v>0.11713307197524865</v>
      </c>
      <c r="AE13">
        <v>0</v>
      </c>
      <c r="AF13">
        <v>1.0546998598071258E-2</v>
      </c>
      <c r="AG13">
        <v>3.1307277403490111E-3</v>
      </c>
      <c r="AH13">
        <v>0</v>
      </c>
      <c r="AI13">
        <v>0.14833919359285605</v>
      </c>
      <c r="AJ13">
        <v>0.85166080640714403</v>
      </c>
      <c r="AK13">
        <v>0.97235810786562138</v>
      </c>
      <c r="AL13">
        <v>1.0306907090639187E-4</v>
      </c>
      <c r="AM13">
        <v>2.5573212604459234E-2</v>
      </c>
      <c r="AN13">
        <v>0</v>
      </c>
      <c r="AO13">
        <v>7.7448177668172744E-4</v>
      </c>
      <c r="AP13">
        <v>1.1891671602209093E-3</v>
      </c>
      <c r="AQ13">
        <v>1.9615221106752777E-6</v>
      </c>
      <c r="AR13">
        <v>0.1929305333856392</v>
      </c>
      <c r="AS13">
        <v>0.80706946661436074</v>
      </c>
      <c r="AT13">
        <v>0.75851981787857481</v>
      </c>
      <c r="AU13">
        <v>0</v>
      </c>
      <c r="AV13">
        <v>0.11970990855057509</v>
      </c>
      <c r="AW13">
        <v>0</v>
      </c>
      <c r="AX13">
        <v>0.10139007251561402</v>
      </c>
      <c r="AY13">
        <v>1.3949768215576053E-2</v>
      </c>
      <c r="AZ13">
        <v>6.4304328396600644E-3</v>
      </c>
      <c r="BA13">
        <v>0</v>
      </c>
      <c r="BB13">
        <v>0.16335720681133631</v>
      </c>
      <c r="BC13">
        <v>0.83664279318866375</v>
      </c>
      <c r="BD13">
        <v>0.70110838952029686</v>
      </c>
      <c r="BE13">
        <v>8.8341327667559654E-6</v>
      </c>
      <c r="BF13">
        <v>4.3063968389053901E-2</v>
      </c>
      <c r="BG13">
        <v>0</v>
      </c>
      <c r="BH13">
        <v>0.2412970103279525</v>
      </c>
      <c r="BI13">
        <v>4.7255688912998875E-3</v>
      </c>
      <c r="BJ13">
        <v>9.79351888195314E-3</v>
      </c>
      <c r="BK13">
        <v>2.7098566769190071E-6</v>
      </c>
      <c r="BL13">
        <v>0.16361582230174665</v>
      </c>
      <c r="BM13">
        <v>0.83638417769825335</v>
      </c>
      <c r="BN13">
        <v>0.68653737018062255</v>
      </c>
      <c r="BO13">
        <v>3.9784847104625979E-4</v>
      </c>
      <c r="BP13">
        <v>0.22969161449383299</v>
      </c>
      <c r="BQ13">
        <v>1.0028448444358312E-5</v>
      </c>
      <c r="BR13">
        <v>4.8751070637521175E-2</v>
      </c>
      <c r="BS13">
        <v>3.4569682731261216E-2</v>
      </c>
      <c r="BT13">
        <v>4.23850372713651E-5</v>
      </c>
      <c r="BU13">
        <v>6.375145875390624E-2</v>
      </c>
      <c r="BV13">
        <v>0.9362485412460938</v>
      </c>
      <c r="BW13">
        <v>0.75639118926269977</v>
      </c>
      <c r="BX13">
        <v>0</v>
      </c>
      <c r="BY13">
        <v>0.19307702302434779</v>
      </c>
      <c r="BZ13">
        <v>0</v>
      </c>
      <c r="CA13">
        <v>1.3946145176880781E-2</v>
      </c>
      <c r="CB13">
        <v>3.6585642536071716E-2</v>
      </c>
      <c r="CC13">
        <v>0</v>
      </c>
      <c r="CD13">
        <v>3.7874956001537535E-2</v>
      </c>
      <c r="CE13">
        <v>0.96212504399846244</v>
      </c>
      <c r="CF13">
        <v>0.16226505618802206</v>
      </c>
      <c r="CG13">
        <v>4.4840695535572605E-4</v>
      </c>
      <c r="CH13">
        <v>0.46807301977468141</v>
      </c>
      <c r="CI13">
        <v>1.005603894344153E-2</v>
      </c>
      <c r="CJ13">
        <v>0.1699980018578553</v>
      </c>
      <c r="CK13">
        <v>0.15913939973610083</v>
      </c>
      <c r="CL13">
        <v>2.6442157479877444E-2</v>
      </c>
      <c r="CM13">
        <v>3.5779190646658397E-3</v>
      </c>
      <c r="CN13">
        <v>0.14552692555885985</v>
      </c>
      <c r="CO13">
        <v>0.85447307444114018</v>
      </c>
      <c r="CP13">
        <v>0.15954402015348795</v>
      </c>
      <c r="CQ13">
        <v>1.9082446743653473E-3</v>
      </c>
      <c r="CR13">
        <v>0.46434889276946922</v>
      </c>
      <c r="CS13">
        <v>0</v>
      </c>
      <c r="CT13">
        <v>8.1996966071286523E-2</v>
      </c>
      <c r="CU13">
        <v>0.20915031123806319</v>
      </c>
      <c r="CV13">
        <v>5.6697600047077155E-2</v>
      </c>
      <c r="CW13">
        <v>2.6353965046250628E-2</v>
      </c>
      <c r="CX13">
        <v>7.569122493980808E-2</v>
      </c>
      <c r="CY13">
        <v>0.92430877506019193</v>
      </c>
      <c r="CZ13">
        <v>0.54277670321011007</v>
      </c>
      <c r="DA13">
        <v>2.0648959025837399E-4</v>
      </c>
      <c r="DB13">
        <v>0.29574196373318673</v>
      </c>
      <c r="DC13">
        <v>0</v>
      </c>
      <c r="DD13">
        <v>0.13908741450174941</v>
      </c>
      <c r="DE13">
        <v>2.0294467709871325E-2</v>
      </c>
      <c r="DF13">
        <v>1.8929612548242345E-3</v>
      </c>
      <c r="DG13">
        <v>0</v>
      </c>
      <c r="DH13">
        <v>0.18029511496943573</v>
      </c>
      <c r="DI13">
        <v>0.81970488503056427</v>
      </c>
      <c r="DJ13">
        <v>0.60164863723656403</v>
      </c>
      <c r="DK13">
        <v>4.4298020409996706E-4</v>
      </c>
      <c r="DL13">
        <v>0.18006457417749536</v>
      </c>
      <c r="DM13">
        <v>0</v>
      </c>
      <c r="DN13">
        <v>0.2178438083818407</v>
      </c>
      <c r="DO13">
        <v>0</v>
      </c>
      <c r="DP13">
        <v>0</v>
      </c>
      <c r="DQ13">
        <v>0</v>
      </c>
      <c r="DR13">
        <v>3.1327531587148204E-2</v>
      </c>
      <c r="DS13">
        <v>0.96867246841285182</v>
      </c>
      <c r="DT13">
        <v>0.34265321555512401</v>
      </c>
      <c r="DU13">
        <v>0</v>
      </c>
      <c r="DV13">
        <v>0.25571969161584085</v>
      </c>
      <c r="DW13">
        <v>4.890604648235477E-6</v>
      </c>
      <c r="DX13">
        <v>0.23194851593234914</v>
      </c>
      <c r="DY13">
        <v>2.8694482735741395E-2</v>
      </c>
      <c r="DZ13">
        <v>0.13967780940793492</v>
      </c>
      <c r="EA13">
        <v>1.3013941483615398E-3</v>
      </c>
      <c r="EB13">
        <v>8.9319058634448487E-2</v>
      </c>
      <c r="EC13">
        <v>0.91068094136555156</v>
      </c>
      <c r="ED13">
        <v>4.5587895199591851E-4</v>
      </c>
      <c r="EE13">
        <v>1.4874351735486183E-5</v>
      </c>
      <c r="EF13">
        <v>2.0985693619483315E-2</v>
      </c>
      <c r="EG13">
        <v>1.7562799317188718E-4</v>
      </c>
      <c r="EH13">
        <v>2.7308734925186134E-2</v>
      </c>
      <c r="EI13">
        <v>1.2291742644154236E-3</v>
      </c>
      <c r="EJ13">
        <v>0.94813053732498132</v>
      </c>
      <c r="EK13">
        <v>1.6994785690305253E-3</v>
      </c>
      <c r="EL13">
        <v>8.5400326563930762E-2</v>
      </c>
      <c r="EM13">
        <v>0.91459967343606929</v>
      </c>
    </row>
    <row r="14" spans="1:143" x14ac:dyDescent="0.25">
      <c r="A14" t="s">
        <v>275</v>
      </c>
      <c r="B14">
        <v>0.9983729312666545</v>
      </c>
      <c r="C14">
        <v>1.534501525295582E-3</v>
      </c>
      <c r="D14">
        <v>0</v>
      </c>
      <c r="E14">
        <v>9.2567208049979097E-5</v>
      </c>
      <c r="F14">
        <v>0</v>
      </c>
      <c r="G14">
        <v>0.98974027438233447</v>
      </c>
      <c r="H14">
        <v>1.0253482637605831E-2</v>
      </c>
      <c r="I14">
        <v>0</v>
      </c>
      <c r="J14">
        <v>6.2429800597561768E-6</v>
      </c>
      <c r="K14">
        <v>0</v>
      </c>
      <c r="L14">
        <v>0.99863783197347911</v>
      </c>
      <c r="M14">
        <v>8.2917698497825569E-4</v>
      </c>
      <c r="N14">
        <v>0</v>
      </c>
      <c r="O14">
        <v>4.7286953693312204E-4</v>
      </c>
      <c r="P14">
        <v>6.0121504609466566E-5</v>
      </c>
      <c r="Q14">
        <v>0</v>
      </c>
      <c r="R14">
        <v>3.4121439223972108E-2</v>
      </c>
      <c r="S14">
        <v>0.96587856077602796</v>
      </c>
      <c r="T14">
        <v>0.99988110297006305</v>
      </c>
      <c r="U14">
        <v>9.1281523944450552E-5</v>
      </c>
      <c r="V14">
        <v>0</v>
      </c>
      <c r="W14">
        <v>2.6363244181515743E-6</v>
      </c>
      <c r="X14">
        <v>2.4979181574496289E-5</v>
      </c>
      <c r="Y14">
        <v>0</v>
      </c>
      <c r="Z14">
        <v>4.9151277782904526E-2</v>
      </c>
      <c r="AA14">
        <v>0.95084872221709549</v>
      </c>
      <c r="AB14">
        <v>0.99791794235360765</v>
      </c>
      <c r="AC14">
        <v>0</v>
      </c>
      <c r="AD14">
        <v>4.2694132047539632E-5</v>
      </c>
      <c r="AE14">
        <v>0</v>
      </c>
      <c r="AF14">
        <v>1.6178913971020437E-3</v>
      </c>
      <c r="AG14">
        <v>4.2147211724275369E-4</v>
      </c>
      <c r="AH14">
        <v>0</v>
      </c>
      <c r="AI14">
        <v>0.39187242317733173</v>
      </c>
      <c r="AJ14">
        <v>0.60812757682266827</v>
      </c>
      <c r="AK14">
        <v>0.99926081702602043</v>
      </c>
      <c r="AL14">
        <v>0</v>
      </c>
      <c r="AM14">
        <v>5.2056732814706013E-6</v>
      </c>
      <c r="AN14">
        <v>1.11258646257204E-5</v>
      </c>
      <c r="AO14">
        <v>6.3738899510191018E-4</v>
      </c>
      <c r="AP14">
        <v>8.5462440970211643E-5</v>
      </c>
      <c r="AQ14">
        <v>0</v>
      </c>
      <c r="AR14">
        <v>0.18460054685483351</v>
      </c>
      <c r="AS14">
        <v>0.81539945314516649</v>
      </c>
      <c r="AT14">
        <v>0.97637824994508837</v>
      </c>
      <c r="AU14">
        <v>0</v>
      </c>
      <c r="AV14">
        <v>7.7572856223192209E-4</v>
      </c>
      <c r="AW14">
        <v>3.9649301237381003E-6</v>
      </c>
      <c r="AX14">
        <v>1.994197227437854E-2</v>
      </c>
      <c r="AY14">
        <v>2.3702783369147487E-3</v>
      </c>
      <c r="AZ14">
        <v>5.2980595126282302E-4</v>
      </c>
      <c r="BA14">
        <v>0</v>
      </c>
      <c r="BB14">
        <v>0.22151373922793227</v>
      </c>
      <c r="BC14">
        <v>0.77848626077206784</v>
      </c>
      <c r="BD14">
        <v>0.9492987978674009</v>
      </c>
      <c r="BE14">
        <v>0</v>
      </c>
      <c r="BF14">
        <v>0</v>
      </c>
      <c r="BG14">
        <v>2.1680168790405141E-5</v>
      </c>
      <c r="BH14">
        <v>4.3715549693838666E-2</v>
      </c>
      <c r="BI14">
        <v>6.2324310951179639E-3</v>
      </c>
      <c r="BJ14">
        <v>7.3154117485219614E-4</v>
      </c>
      <c r="BK14">
        <v>0</v>
      </c>
      <c r="BL14">
        <v>0.13266469676091353</v>
      </c>
      <c r="BM14">
        <v>0.86733530323908636</v>
      </c>
      <c r="BN14">
        <v>0.98288817695572572</v>
      </c>
      <c r="BO14">
        <v>2.0352878659561136E-6</v>
      </c>
      <c r="BP14">
        <v>3.3323882354374806E-3</v>
      </c>
      <c r="BQ14">
        <v>1.0984480932400824E-5</v>
      </c>
      <c r="BR14">
        <v>1.2773182025053361E-2</v>
      </c>
      <c r="BS14">
        <v>7.0903768405480329E-4</v>
      </c>
      <c r="BT14">
        <v>2.8419533093026865E-4</v>
      </c>
      <c r="BU14">
        <v>6.3159912865880241E-2</v>
      </c>
      <c r="BV14">
        <v>0.9368400871341197</v>
      </c>
      <c r="BW14">
        <v>0.99325813641869609</v>
      </c>
      <c r="BX14">
        <v>1.3814834666444757E-5</v>
      </c>
      <c r="BY14">
        <v>9.7525849320448822E-4</v>
      </c>
      <c r="BZ14">
        <v>6.5683649260490017E-5</v>
      </c>
      <c r="CA14">
        <v>3.4357398159514069E-3</v>
      </c>
      <c r="CB14">
        <v>2.2513667882209849E-3</v>
      </c>
      <c r="CC14">
        <v>0</v>
      </c>
      <c r="CD14">
        <v>6.6202703239287911E-2</v>
      </c>
      <c r="CE14">
        <v>0.9337972967607121</v>
      </c>
      <c r="CF14">
        <v>0.20087318130157497</v>
      </c>
      <c r="CG14">
        <v>1.3104587651758081E-4</v>
      </c>
      <c r="CH14">
        <v>6.0668293677778866E-2</v>
      </c>
      <c r="CI14">
        <v>1.606991522625496E-2</v>
      </c>
      <c r="CJ14">
        <v>0.17331921239686146</v>
      </c>
      <c r="CK14">
        <v>0.48022277717292422</v>
      </c>
      <c r="CL14">
        <v>5.9024806254213351E-2</v>
      </c>
      <c r="CM14">
        <v>9.6907680938747142E-3</v>
      </c>
      <c r="CN14">
        <v>0.10983039165050439</v>
      </c>
      <c r="CO14">
        <v>0.89016960834949566</v>
      </c>
      <c r="CP14">
        <v>7.5114722816153265E-3</v>
      </c>
      <c r="CQ14">
        <v>7.4526972124808356E-5</v>
      </c>
      <c r="CR14">
        <v>9.3674394006124262E-2</v>
      </c>
      <c r="CS14">
        <v>0</v>
      </c>
      <c r="CT14">
        <v>0</v>
      </c>
      <c r="CU14">
        <v>0.57877302155716814</v>
      </c>
      <c r="CV14">
        <v>0.31996658518296739</v>
      </c>
      <c r="CW14">
        <v>0</v>
      </c>
      <c r="CX14">
        <v>5.0560125304347524E-2</v>
      </c>
      <c r="CY14">
        <v>0.9494398746956525</v>
      </c>
      <c r="CZ14">
        <v>0.67675899331629774</v>
      </c>
      <c r="DA14">
        <v>0</v>
      </c>
      <c r="DB14">
        <v>2.3869723393494132E-2</v>
      </c>
      <c r="DC14">
        <v>0</v>
      </c>
      <c r="DD14">
        <v>0.17563923214324961</v>
      </c>
      <c r="DE14">
        <v>0.12232216602985017</v>
      </c>
      <c r="DF14">
        <v>6.6179061551284197E-4</v>
      </c>
      <c r="DG14">
        <v>7.4809450159556135E-4</v>
      </c>
      <c r="DH14">
        <v>0.13534907561876014</v>
      </c>
      <c r="DI14">
        <v>0.86465092438123992</v>
      </c>
      <c r="DJ14">
        <v>0.85639896019401873</v>
      </c>
      <c r="DK14">
        <v>0</v>
      </c>
      <c r="DL14">
        <v>1.2390388460530567E-2</v>
      </c>
      <c r="DM14">
        <v>0</v>
      </c>
      <c r="DN14">
        <v>0.13091617271769326</v>
      </c>
      <c r="DO14">
        <v>0</v>
      </c>
      <c r="DP14">
        <v>2.5770319975370107E-4</v>
      </c>
      <c r="DQ14">
        <v>3.6775428003771936E-5</v>
      </c>
      <c r="DR14">
        <v>0.18664593406413932</v>
      </c>
      <c r="DS14">
        <v>0.81335406593586068</v>
      </c>
      <c r="DT14">
        <v>0.55075265880789503</v>
      </c>
      <c r="DU14">
        <v>0</v>
      </c>
      <c r="DV14">
        <v>4.8091643242703402E-2</v>
      </c>
      <c r="DW14">
        <v>4.4919134578995585E-4</v>
      </c>
      <c r="DX14">
        <v>0.18453031039244502</v>
      </c>
      <c r="DY14">
        <v>0.18875203364729604</v>
      </c>
      <c r="DZ14">
        <v>7.4699772229455718E-3</v>
      </c>
      <c r="EA14">
        <v>1.9954185340925201E-2</v>
      </c>
      <c r="EB14">
        <v>0.15281044667952412</v>
      </c>
      <c r="EC14">
        <v>0.84718955332047585</v>
      </c>
      <c r="ED14">
        <v>0.60734011248953279</v>
      </c>
      <c r="EE14">
        <v>0</v>
      </c>
      <c r="EF14">
        <v>4.2776218433000092E-2</v>
      </c>
      <c r="EG14">
        <v>1.9783598133367385E-3</v>
      </c>
      <c r="EH14">
        <v>0.21485119843264339</v>
      </c>
      <c r="EI14">
        <v>8.8887405995357979E-2</v>
      </c>
      <c r="EJ14">
        <v>3.3869617064607789E-2</v>
      </c>
      <c r="EK14">
        <v>1.0297087771521166E-2</v>
      </c>
      <c r="EL14">
        <v>0.1038555892160231</v>
      </c>
      <c r="EM14">
        <v>0.89614441078397689</v>
      </c>
    </row>
    <row r="15" spans="1:143" x14ac:dyDescent="0.25">
      <c r="A15" t="s">
        <v>276</v>
      </c>
      <c r="B15">
        <v>0.99871124384795451</v>
      </c>
      <c r="C15">
        <v>1.2887561520454106E-3</v>
      </c>
      <c r="D15">
        <v>0</v>
      </c>
      <c r="E15">
        <v>0</v>
      </c>
      <c r="F15">
        <v>0</v>
      </c>
      <c r="G15">
        <v>0.99822865950437023</v>
      </c>
      <c r="H15">
        <v>1.767657024075119E-3</v>
      </c>
      <c r="I15">
        <v>3.683471554703277E-6</v>
      </c>
      <c r="J15">
        <v>0</v>
      </c>
      <c r="K15">
        <v>0</v>
      </c>
      <c r="L15">
        <v>0.99695830835449728</v>
      </c>
      <c r="M15">
        <v>2.9649894225350954E-3</v>
      </c>
      <c r="N15">
        <v>0</v>
      </c>
      <c r="O15">
        <v>7.67022229676386E-5</v>
      </c>
      <c r="P15">
        <v>0</v>
      </c>
      <c r="Q15">
        <v>0</v>
      </c>
      <c r="R15">
        <v>0.82201839474752003</v>
      </c>
      <c r="S15">
        <v>0.17798160525248008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6.4207479171894663E-2</v>
      </c>
      <c r="AA15">
        <v>0.93579252082810538</v>
      </c>
      <c r="AB15">
        <v>0.99973042702298798</v>
      </c>
      <c r="AC15">
        <v>0</v>
      </c>
      <c r="AD15">
        <v>8.3129414313408762E-6</v>
      </c>
      <c r="AE15">
        <v>0</v>
      </c>
      <c r="AF15">
        <v>2.3691704440784327E-4</v>
      </c>
      <c r="AG15">
        <v>2.4342991172973939E-5</v>
      </c>
      <c r="AH15">
        <v>0</v>
      </c>
      <c r="AI15">
        <v>5.7553393427886056E-3</v>
      </c>
      <c r="AJ15">
        <v>0.9942446606572114</v>
      </c>
      <c r="AK15">
        <v>0.99995220217429703</v>
      </c>
      <c r="AL15">
        <v>0</v>
      </c>
      <c r="AM15">
        <v>3.4359350060503284E-5</v>
      </c>
      <c r="AN15">
        <v>0</v>
      </c>
      <c r="AO15">
        <v>4.3347777248481261E-6</v>
      </c>
      <c r="AP15">
        <v>9.1036979176571101E-6</v>
      </c>
      <c r="AQ15">
        <v>0</v>
      </c>
      <c r="AR15">
        <v>0.54568316374760661</v>
      </c>
      <c r="AS15">
        <v>0.45431683625239339</v>
      </c>
      <c r="AT15">
        <v>0.90090015495427223</v>
      </c>
      <c r="AU15">
        <v>0</v>
      </c>
      <c r="AV15">
        <v>7.916219310832722E-5</v>
      </c>
      <c r="AW15">
        <v>0</v>
      </c>
      <c r="AX15">
        <v>9.8862102700540438E-2</v>
      </c>
      <c r="AY15">
        <v>9.1856858159017083E-5</v>
      </c>
      <c r="AZ15">
        <v>6.6723293920054573E-5</v>
      </c>
      <c r="BA15">
        <v>0</v>
      </c>
      <c r="BB15">
        <v>7.2033170089797927E-2</v>
      </c>
      <c r="BC15">
        <v>0.92796682991020207</v>
      </c>
      <c r="BD15">
        <v>0.93909058750224994</v>
      </c>
      <c r="BE15">
        <v>0</v>
      </c>
      <c r="BF15">
        <v>2.0540564753977913E-3</v>
      </c>
      <c r="BG15">
        <v>0</v>
      </c>
      <c r="BH15">
        <v>5.8705263599894385E-2</v>
      </c>
      <c r="BI15">
        <v>0</v>
      </c>
      <c r="BJ15">
        <v>1.5009242245795715E-4</v>
      </c>
      <c r="BK15">
        <v>0</v>
      </c>
      <c r="BL15">
        <v>0.27070510566548728</v>
      </c>
      <c r="BM15">
        <v>0.72929489433451267</v>
      </c>
      <c r="BN15">
        <v>0.98283712916056321</v>
      </c>
      <c r="BO15">
        <v>0</v>
      </c>
      <c r="BP15">
        <v>6.9153018249696035E-3</v>
      </c>
      <c r="BQ15">
        <v>0</v>
      </c>
      <c r="BR15">
        <v>6.4202781631300335E-3</v>
      </c>
      <c r="BS15">
        <v>3.8272908513370296E-3</v>
      </c>
      <c r="BT15">
        <v>0</v>
      </c>
      <c r="BU15">
        <v>0.11218188665191739</v>
      </c>
      <c r="BV15">
        <v>0.88781811334808258</v>
      </c>
      <c r="BW15">
        <v>0.9913960815517816</v>
      </c>
      <c r="BX15">
        <v>0</v>
      </c>
      <c r="BY15">
        <v>7.5638359943660319E-3</v>
      </c>
      <c r="BZ15">
        <v>0</v>
      </c>
      <c r="CA15">
        <v>0</v>
      </c>
      <c r="CB15">
        <v>9.9149690606719276E-4</v>
      </c>
      <c r="CC15">
        <v>4.8585547785252064E-5</v>
      </c>
      <c r="CD15">
        <v>0.14467118525042619</v>
      </c>
      <c r="CE15">
        <v>0.8553288147495739</v>
      </c>
      <c r="CF15">
        <v>0.25233635782064556</v>
      </c>
      <c r="CG15">
        <v>0</v>
      </c>
      <c r="CH15">
        <v>0.20109156199231665</v>
      </c>
      <c r="CI15">
        <v>2.6021220264067727E-3</v>
      </c>
      <c r="CJ15">
        <v>0.15568829965499234</v>
      </c>
      <c r="CK15">
        <v>0.34138889277685064</v>
      </c>
      <c r="CL15">
        <v>4.228623619312373E-2</v>
      </c>
      <c r="CM15">
        <v>4.6065295356642966E-3</v>
      </c>
      <c r="CN15">
        <v>0.21221411081345687</v>
      </c>
      <c r="CO15">
        <v>0.78778588918654302</v>
      </c>
      <c r="CP15">
        <v>0.11422995169584765</v>
      </c>
      <c r="CQ15">
        <v>0</v>
      </c>
      <c r="CR15">
        <v>0.25083415331775333</v>
      </c>
      <c r="CS15">
        <v>1.4605196049179675E-3</v>
      </c>
      <c r="CT15">
        <v>0.23625385464095564</v>
      </c>
      <c r="CU15">
        <v>0.34066136982752132</v>
      </c>
      <c r="CV15">
        <v>5.4937279764507997E-2</v>
      </c>
      <c r="CW15">
        <v>1.6228711484962629E-3</v>
      </c>
      <c r="CX15">
        <v>0.10365994433097828</v>
      </c>
      <c r="CY15">
        <v>0.89634005566902164</v>
      </c>
      <c r="CZ15">
        <v>0.12269850677001906</v>
      </c>
      <c r="DA15">
        <v>0</v>
      </c>
      <c r="DB15">
        <v>5.4370694824908583E-2</v>
      </c>
      <c r="DC15">
        <v>0</v>
      </c>
      <c r="DD15">
        <v>0.4945273506589255</v>
      </c>
      <c r="DE15">
        <v>0.17152298991003423</v>
      </c>
      <c r="DF15">
        <v>0.15688045783611265</v>
      </c>
      <c r="DG15">
        <v>0</v>
      </c>
      <c r="DH15">
        <v>0</v>
      </c>
      <c r="DI15">
        <v>1</v>
      </c>
      <c r="DJ15">
        <v>0.56749623812428629</v>
      </c>
      <c r="DK15">
        <v>0</v>
      </c>
      <c r="DL15">
        <v>0.16552116947667267</v>
      </c>
      <c r="DM15">
        <v>0</v>
      </c>
      <c r="DN15">
        <v>0.26698259239904104</v>
      </c>
      <c r="DO15">
        <v>0</v>
      </c>
      <c r="DP15">
        <v>0</v>
      </c>
      <c r="DQ15">
        <v>0</v>
      </c>
      <c r="DR15">
        <v>0</v>
      </c>
      <c r="DS15">
        <v>1</v>
      </c>
      <c r="DT15">
        <v>0.85646440524288647</v>
      </c>
      <c r="DU15">
        <v>0</v>
      </c>
      <c r="DV15">
        <v>4.7876408515811021E-2</v>
      </c>
      <c r="DW15">
        <v>0</v>
      </c>
      <c r="DX15">
        <v>4.9646828297446689E-2</v>
      </c>
      <c r="DY15">
        <v>1.6186194235855614E-2</v>
      </c>
      <c r="DZ15">
        <v>1.971641671316595E-2</v>
      </c>
      <c r="EA15">
        <v>1.0109746994834233E-2</v>
      </c>
      <c r="EB15">
        <v>0.12183798402510587</v>
      </c>
      <c r="EC15">
        <v>0.87816201597489418</v>
      </c>
      <c r="ED15">
        <v>0</v>
      </c>
      <c r="EE15">
        <v>0</v>
      </c>
      <c r="EF15">
        <v>0</v>
      </c>
      <c r="EG15">
        <v>6.2669457039600295E-3</v>
      </c>
      <c r="EH15">
        <v>0.59161677205538055</v>
      </c>
      <c r="EI15">
        <v>0</v>
      </c>
      <c r="EJ15">
        <v>0.40211628224065937</v>
      </c>
      <c r="EK15">
        <v>0</v>
      </c>
      <c r="EL15">
        <v>0.11133766998003133</v>
      </c>
      <c r="EM15">
        <v>0.88866233001996864</v>
      </c>
    </row>
    <row r="16" spans="1:143" x14ac:dyDescent="0.25">
      <c r="A16" t="s">
        <v>277</v>
      </c>
      <c r="B16">
        <v>0.9474805122183837</v>
      </c>
      <c r="C16">
        <v>5.2519487781616241E-2</v>
      </c>
      <c r="D16">
        <v>0</v>
      </c>
      <c r="E16">
        <v>0</v>
      </c>
      <c r="F16">
        <v>0</v>
      </c>
      <c r="G16">
        <v>0.698470857761327</v>
      </c>
      <c r="H16">
        <v>0.301529142238673</v>
      </c>
      <c r="I16">
        <v>0</v>
      </c>
      <c r="J16">
        <v>0</v>
      </c>
      <c r="K16">
        <v>0</v>
      </c>
      <c r="L16">
        <v>0.9934422169857644</v>
      </c>
      <c r="M16">
        <v>6.5562408292053368E-3</v>
      </c>
      <c r="N16">
        <v>0</v>
      </c>
      <c r="O16">
        <v>0</v>
      </c>
      <c r="P16">
        <v>0</v>
      </c>
      <c r="Q16">
        <v>1.5421850302240762E-6</v>
      </c>
      <c r="R16">
        <v>0.38775510204081637</v>
      </c>
      <c r="S16">
        <v>0.6122448979591838</v>
      </c>
      <c r="T16">
        <v>0.9988895621993884</v>
      </c>
      <c r="U16">
        <v>1.014291669010216E-3</v>
      </c>
      <c r="V16">
        <v>7.9613781872789167E-5</v>
      </c>
      <c r="W16">
        <v>1.6137123294734755E-5</v>
      </c>
      <c r="X16">
        <v>0</v>
      </c>
      <c r="Y16">
        <v>3.9522643370289314E-7</v>
      </c>
      <c r="Z16">
        <v>0.13522200234909815</v>
      </c>
      <c r="AA16">
        <v>0.86477799765090191</v>
      </c>
      <c r="AB16">
        <v>0.9977526824662486</v>
      </c>
      <c r="AC16">
        <v>0</v>
      </c>
      <c r="AD16">
        <v>2.1749764294245713E-3</v>
      </c>
      <c r="AE16">
        <v>0</v>
      </c>
      <c r="AF16">
        <v>6.1200347494143415E-5</v>
      </c>
      <c r="AG16">
        <v>5.3711709530606191E-6</v>
      </c>
      <c r="AH16">
        <v>5.7695858796707323E-6</v>
      </c>
      <c r="AI16">
        <v>7.7575260699940377E-2</v>
      </c>
      <c r="AJ16">
        <v>0.92242473930005964</v>
      </c>
      <c r="AK16">
        <v>0.99880654618634901</v>
      </c>
      <c r="AL16">
        <v>0</v>
      </c>
      <c r="AM16">
        <v>1.1572183547254433E-3</v>
      </c>
      <c r="AN16">
        <v>1.1748290539998146E-5</v>
      </c>
      <c r="AO16">
        <v>1.1875259228890037E-6</v>
      </c>
      <c r="AP16">
        <v>0</v>
      </c>
      <c r="AQ16">
        <v>2.329964246269387E-5</v>
      </c>
      <c r="AR16">
        <v>0.12855098088557018</v>
      </c>
      <c r="AS16">
        <v>0.87144901911442973</v>
      </c>
      <c r="AT16">
        <v>0.68907593200833939</v>
      </c>
      <c r="AU16">
        <v>0</v>
      </c>
      <c r="AV16">
        <v>1.6733348875146849E-3</v>
      </c>
      <c r="AW16">
        <v>0</v>
      </c>
      <c r="AX16">
        <v>0.30898042707031065</v>
      </c>
      <c r="AY16">
        <v>2.3886820625984172E-4</v>
      </c>
      <c r="AZ16">
        <v>2.5659160149889667E-5</v>
      </c>
      <c r="BA16">
        <v>5.7786674255108533E-6</v>
      </c>
      <c r="BB16">
        <v>0.32684861036508273</v>
      </c>
      <c r="BC16">
        <v>0.67315138963491727</v>
      </c>
      <c r="BD16">
        <v>0.74056605031212486</v>
      </c>
      <c r="BE16">
        <v>0</v>
      </c>
      <c r="BF16">
        <v>8.7149264817954527E-4</v>
      </c>
      <c r="BG16">
        <v>3.9111274128000451E-6</v>
      </c>
      <c r="BH16">
        <v>0.25850070200152581</v>
      </c>
      <c r="BI16">
        <v>3.629135590864178E-6</v>
      </c>
      <c r="BJ16">
        <v>2.3079596643996698E-5</v>
      </c>
      <c r="BK16">
        <v>3.1135178522139053E-5</v>
      </c>
      <c r="BL16">
        <v>0.10880004800723823</v>
      </c>
      <c r="BM16">
        <v>0.8911999519927617</v>
      </c>
      <c r="BN16">
        <v>0.96735422536346372</v>
      </c>
      <c r="BO16">
        <v>6.9027663627374734E-5</v>
      </c>
      <c r="BP16">
        <v>2.681403540144708E-2</v>
      </c>
      <c r="BQ16">
        <v>2.4228588651735197E-6</v>
      </c>
      <c r="BR16">
        <v>2.0804153529074489E-3</v>
      </c>
      <c r="BS16">
        <v>3.6664800628869016E-3</v>
      </c>
      <c r="BT16">
        <v>1.339329680214489E-5</v>
      </c>
      <c r="BU16">
        <v>0.18793679103714089</v>
      </c>
      <c r="BV16">
        <v>0.81206320896285911</v>
      </c>
      <c r="BW16">
        <v>0.99988401762897328</v>
      </c>
      <c r="BX16">
        <v>0</v>
      </c>
      <c r="BY16">
        <v>0</v>
      </c>
      <c r="BZ16">
        <v>2.2612025429010825E-5</v>
      </c>
      <c r="CA16">
        <v>0</v>
      </c>
      <c r="CB16">
        <v>0</v>
      </c>
      <c r="CC16">
        <v>9.3370345597679118E-5</v>
      </c>
      <c r="CD16">
        <v>0.12108678846282425</v>
      </c>
      <c r="CE16">
        <v>0.87891321153717572</v>
      </c>
      <c r="CF16">
        <v>0.12037023812213277</v>
      </c>
      <c r="CG16">
        <v>1.7278221743164459E-4</v>
      </c>
      <c r="CH16">
        <v>0.6711152935849013</v>
      </c>
      <c r="CI16">
        <v>6.2628376871146205E-4</v>
      </c>
      <c r="CJ16">
        <v>0.16842591162164003</v>
      </c>
      <c r="CK16">
        <v>3.4269604846627132E-2</v>
      </c>
      <c r="CL16">
        <v>9.9535373468319583E-4</v>
      </c>
      <c r="CM16">
        <v>4.0245321038723716E-3</v>
      </c>
      <c r="CN16">
        <v>0.37895569452204064</v>
      </c>
      <c r="CO16">
        <v>0.6210443054779593</v>
      </c>
      <c r="CP16">
        <v>0</v>
      </c>
      <c r="CQ16">
        <v>0</v>
      </c>
      <c r="CR16">
        <v>0.92219547541398728</v>
      </c>
      <c r="CS16">
        <v>2.8320442903823594E-3</v>
      </c>
      <c r="CT16">
        <v>4.9841178954184655E-2</v>
      </c>
      <c r="CU16">
        <v>0</v>
      </c>
      <c r="CV16">
        <v>3.347310864592661E-3</v>
      </c>
      <c r="CW16">
        <v>2.178399047685315E-2</v>
      </c>
      <c r="CX16">
        <v>0.10888609112644888</v>
      </c>
      <c r="CY16">
        <v>0.89111390887355113</v>
      </c>
      <c r="CZ16">
        <v>0.24469135001246303</v>
      </c>
      <c r="DA16">
        <v>2.1466263768010594E-5</v>
      </c>
      <c r="DB16">
        <v>0.61579678240696167</v>
      </c>
      <c r="DC16">
        <v>3.6756266938043177E-4</v>
      </c>
      <c r="DD16">
        <v>0.13050721369770971</v>
      </c>
      <c r="DE16">
        <v>4.7499424527989191E-3</v>
      </c>
      <c r="DF16">
        <v>9.4332273711968446E-5</v>
      </c>
      <c r="DG16">
        <v>3.7713502232061976E-3</v>
      </c>
      <c r="DH16">
        <v>0.33733658969195596</v>
      </c>
      <c r="DI16">
        <v>0.6626634103080441</v>
      </c>
      <c r="DJ16">
        <v>0.41012015703432975</v>
      </c>
      <c r="DK16">
        <v>1.0649923683777305E-5</v>
      </c>
      <c r="DL16">
        <v>0.4222841606948507</v>
      </c>
      <c r="DM16">
        <v>7.1623763170148755E-4</v>
      </c>
      <c r="DN16">
        <v>0.15576703406892248</v>
      </c>
      <c r="DO16">
        <v>6.9328221568822884E-3</v>
      </c>
      <c r="DP16">
        <v>5.8146802272383055E-4</v>
      </c>
      <c r="DQ16">
        <v>3.5874704669057842E-3</v>
      </c>
      <c r="DR16">
        <v>0.35826879665315564</v>
      </c>
      <c r="DS16">
        <v>0.6417312033468443</v>
      </c>
      <c r="DT16">
        <v>0.22129936293504718</v>
      </c>
      <c r="DU16">
        <v>3.3467271042953249E-5</v>
      </c>
      <c r="DV16">
        <v>0.51624741615582903</v>
      </c>
      <c r="DW16">
        <v>2.8465979259614041E-3</v>
      </c>
      <c r="DX16">
        <v>0.21085462240091826</v>
      </c>
      <c r="DY16">
        <v>1.0092481046005269E-2</v>
      </c>
      <c r="DZ16">
        <v>6.4920918758734391E-3</v>
      </c>
      <c r="EA16">
        <v>3.2133960389322556E-2</v>
      </c>
      <c r="EB16">
        <v>0.19087727862173698</v>
      </c>
      <c r="EC16">
        <v>0.80912272137826302</v>
      </c>
      <c r="ED16">
        <v>0.29776624216322517</v>
      </c>
      <c r="EE16">
        <v>7.6801879434507204E-6</v>
      </c>
      <c r="EF16">
        <v>0.40389686974945227</v>
      </c>
      <c r="EG16">
        <v>1.101792212623557E-2</v>
      </c>
      <c r="EH16">
        <v>0.19447322241909154</v>
      </c>
      <c r="EI16">
        <v>2.1094810581184391E-2</v>
      </c>
      <c r="EJ16">
        <v>2.4929676363280757E-2</v>
      </c>
      <c r="EK16">
        <v>4.681357640958704E-2</v>
      </c>
      <c r="EL16">
        <v>0.12054938072956588</v>
      </c>
      <c r="EM16">
        <v>0.87945061927043411</v>
      </c>
    </row>
    <row r="17" spans="1:143" x14ac:dyDescent="0.25">
      <c r="A17" t="s">
        <v>278</v>
      </c>
      <c r="B17">
        <v>0.91996298378006913</v>
      </c>
      <c r="C17">
        <v>8.0011200818401212E-2</v>
      </c>
      <c r="D17">
        <v>1.7670281921576093E-5</v>
      </c>
      <c r="E17">
        <v>0</v>
      </c>
      <c r="F17">
        <v>8.1451196080917745E-6</v>
      </c>
      <c r="G17">
        <v>0.89245116507864786</v>
      </c>
      <c r="H17">
        <v>0.10752976726470834</v>
      </c>
      <c r="I17">
        <v>7.5925212709327406E-7</v>
      </c>
      <c r="J17">
        <v>0</v>
      </c>
      <c r="K17">
        <v>1.8308404516760076E-5</v>
      </c>
      <c r="L17">
        <v>0.85121945598102622</v>
      </c>
      <c r="M17">
        <v>0.14668795626765632</v>
      </c>
      <c r="N17">
        <v>4.2255476612766893E-5</v>
      </c>
      <c r="O17">
        <v>1.7525010327212884E-3</v>
      </c>
      <c r="P17">
        <v>2.9783124198333796E-4</v>
      </c>
      <c r="Q17">
        <v>0</v>
      </c>
      <c r="R17">
        <v>0.40908805228224582</v>
      </c>
      <c r="S17">
        <v>0.59091194771775424</v>
      </c>
      <c r="T17">
        <v>0.95521147810566109</v>
      </c>
      <c r="U17">
        <v>4.231489508806284E-2</v>
      </c>
      <c r="V17">
        <v>1.2663592319376334E-5</v>
      </c>
      <c r="W17">
        <v>1.4832741703057278E-3</v>
      </c>
      <c r="X17">
        <v>9.6181174311400124E-4</v>
      </c>
      <c r="Y17">
        <v>1.5877300536885441E-5</v>
      </c>
      <c r="Z17">
        <v>0.18088027554426048</v>
      </c>
      <c r="AA17">
        <v>0.81911972445573955</v>
      </c>
      <c r="AB17">
        <v>0.74388168300872992</v>
      </c>
      <c r="AC17">
        <v>1.3952847128429171E-4</v>
      </c>
      <c r="AD17">
        <v>0.24241724814450538</v>
      </c>
      <c r="AE17">
        <v>2.4146407921826609E-5</v>
      </c>
      <c r="AF17">
        <v>7.7019910574298916E-3</v>
      </c>
      <c r="AG17">
        <v>5.8354029101287466E-3</v>
      </c>
      <c r="AH17">
        <v>0</v>
      </c>
      <c r="AI17">
        <v>0.12127831891995483</v>
      </c>
      <c r="AJ17">
        <v>0.87872168108004522</v>
      </c>
      <c r="AK17">
        <v>0.9667908052358265</v>
      </c>
      <c r="AL17">
        <v>0</v>
      </c>
      <c r="AM17">
        <v>2.5663865227917922E-2</v>
      </c>
      <c r="AN17">
        <v>2.9714392337445102E-5</v>
      </c>
      <c r="AO17">
        <v>2.6817228726153802E-3</v>
      </c>
      <c r="AP17">
        <v>4.7974381210262717E-3</v>
      </c>
      <c r="AQ17">
        <v>3.6454150276650878E-5</v>
      </c>
      <c r="AR17">
        <v>0.20967578399139444</v>
      </c>
      <c r="AS17">
        <v>0.79032421600860547</v>
      </c>
      <c r="AT17">
        <v>0.66600112424926872</v>
      </c>
      <c r="AU17">
        <v>1.8628551920517344E-5</v>
      </c>
      <c r="AV17">
        <v>0.18967520086885356</v>
      </c>
      <c r="AW17">
        <v>5.8083199940863297E-5</v>
      </c>
      <c r="AX17">
        <v>0.12376264118576824</v>
      </c>
      <c r="AY17">
        <v>1.4100006991578347E-2</v>
      </c>
      <c r="AZ17">
        <v>6.3715042455733941E-3</v>
      </c>
      <c r="BA17">
        <v>1.2810707096371053E-5</v>
      </c>
      <c r="BB17">
        <v>0.10677926228454571</v>
      </c>
      <c r="BC17">
        <v>0.89322073771545429</v>
      </c>
      <c r="BD17">
        <v>0.73354925222196876</v>
      </c>
      <c r="BE17">
        <v>2.9082229878450592E-5</v>
      </c>
      <c r="BF17">
        <v>3.7630497007136707E-2</v>
      </c>
      <c r="BG17">
        <v>8.5922423006625612E-5</v>
      </c>
      <c r="BH17">
        <v>0.1951418164963763</v>
      </c>
      <c r="BI17">
        <v>8.0656965106139823E-3</v>
      </c>
      <c r="BJ17">
        <v>2.5324447309865907E-2</v>
      </c>
      <c r="BK17">
        <v>1.7328580115327568E-4</v>
      </c>
      <c r="BL17">
        <v>0.15501405556920508</v>
      </c>
      <c r="BM17">
        <v>0.844985944430795</v>
      </c>
      <c r="BN17">
        <v>0.62757668822843771</v>
      </c>
      <c r="BO17">
        <v>2.2188451154058709E-4</v>
      </c>
      <c r="BP17">
        <v>0.30722344341984353</v>
      </c>
      <c r="BQ17">
        <v>3.3956172350735573E-6</v>
      </c>
      <c r="BR17">
        <v>3.3009904102785606E-2</v>
      </c>
      <c r="BS17">
        <v>3.1948442294152411E-2</v>
      </c>
      <c r="BT17">
        <v>1.624182600493052E-5</v>
      </c>
      <c r="BU17">
        <v>5.7045960171528347E-2</v>
      </c>
      <c r="BV17">
        <v>0.9429540398284717</v>
      </c>
      <c r="BW17">
        <v>0</v>
      </c>
      <c r="BX17">
        <v>0.47958853293113862</v>
      </c>
      <c r="BY17">
        <v>0</v>
      </c>
      <c r="BZ17">
        <v>6.8621563556359774E-2</v>
      </c>
      <c r="CA17">
        <v>0</v>
      </c>
      <c r="CB17">
        <v>0</v>
      </c>
      <c r="CC17">
        <v>0.45178990351250164</v>
      </c>
      <c r="CD17">
        <v>5.8497360926726402E-2</v>
      </c>
      <c r="CE17">
        <v>0.94150263907327358</v>
      </c>
      <c r="CF17">
        <v>0.11230709350626578</v>
      </c>
      <c r="CG17">
        <v>1.1497189845900012E-3</v>
      </c>
      <c r="CH17">
        <v>0.59977960800358887</v>
      </c>
      <c r="CI17">
        <v>4.589892227724603E-3</v>
      </c>
      <c r="CJ17">
        <v>0.1142196218817623</v>
      </c>
      <c r="CK17">
        <v>0.14704791567785688</v>
      </c>
      <c r="CL17">
        <v>1.6613804884870222E-2</v>
      </c>
      <c r="CM17">
        <v>4.2923448333413447E-3</v>
      </c>
      <c r="CN17">
        <v>0.12703767577875311</v>
      </c>
      <c r="CO17">
        <v>0.87296232422124687</v>
      </c>
      <c r="CP17">
        <v>1.6636648919619208E-2</v>
      </c>
      <c r="CQ17">
        <v>1.5415192518582665E-4</v>
      </c>
      <c r="CR17">
        <v>0.6986397149056085</v>
      </c>
      <c r="CS17">
        <v>4.2627140812175213E-3</v>
      </c>
      <c r="CT17">
        <v>0.17601330087918352</v>
      </c>
      <c r="CU17">
        <v>3.9484051222323895E-2</v>
      </c>
      <c r="CV17">
        <v>3.7074315593559122E-2</v>
      </c>
      <c r="CW17">
        <v>2.7735102473302416E-2</v>
      </c>
      <c r="CX17">
        <v>4.7251879825928475E-2</v>
      </c>
      <c r="CY17">
        <v>0.9527481201740714</v>
      </c>
      <c r="CZ17">
        <v>0.56174513104413359</v>
      </c>
      <c r="DA17">
        <v>4.1954950535509836E-3</v>
      </c>
      <c r="DB17">
        <v>0.17298582982119168</v>
      </c>
      <c r="DC17">
        <v>1.4689710560856437E-4</v>
      </c>
      <c r="DD17">
        <v>0.23626162300144871</v>
      </c>
      <c r="DE17">
        <v>2.1349742822750057E-2</v>
      </c>
      <c r="DF17">
        <v>3.2493653976014007E-3</v>
      </c>
      <c r="DG17">
        <v>6.5915753715000997E-5</v>
      </c>
      <c r="DH17">
        <v>0.22514077296796828</v>
      </c>
      <c r="DI17">
        <v>0.77485922703203169</v>
      </c>
      <c r="DJ17">
        <v>0.55830730314261212</v>
      </c>
      <c r="DK17">
        <v>0</v>
      </c>
      <c r="DL17">
        <v>0.1765404088469176</v>
      </c>
      <c r="DM17">
        <v>1.5729324637700831E-4</v>
      </c>
      <c r="DN17">
        <v>0.24654541837106692</v>
      </c>
      <c r="DO17">
        <v>1.4582381153363156E-2</v>
      </c>
      <c r="DP17">
        <v>3.8257324973558359E-3</v>
      </c>
      <c r="DQ17">
        <v>4.1462742307190051E-5</v>
      </c>
      <c r="DR17">
        <v>0.41971217487468437</v>
      </c>
      <c r="DS17">
        <v>0.58028782512531574</v>
      </c>
      <c r="DT17">
        <v>0.20853343672221486</v>
      </c>
      <c r="DU17">
        <v>7.0444058857790256E-5</v>
      </c>
      <c r="DV17">
        <v>0.23902018284966592</v>
      </c>
      <c r="DW17">
        <v>4.707596173753879E-3</v>
      </c>
      <c r="DX17">
        <v>0.28602525342126067</v>
      </c>
      <c r="DY17">
        <v>9.4321845075960045E-2</v>
      </c>
      <c r="DZ17">
        <v>9.1948721016957058E-2</v>
      </c>
      <c r="EA17">
        <v>7.5372520681329866E-2</v>
      </c>
      <c r="EB17">
        <v>3.3097063788049802E-2</v>
      </c>
      <c r="EC17">
        <v>0.96690293621195023</v>
      </c>
      <c r="ED17">
        <v>0.28112690940680668</v>
      </c>
      <c r="EE17">
        <v>6.2895399213570323E-5</v>
      </c>
      <c r="EF17">
        <v>0.13538862837483109</v>
      </c>
      <c r="EG17">
        <v>1.9246621362019787E-3</v>
      </c>
      <c r="EH17">
        <v>0.2591747173286707</v>
      </c>
      <c r="EI17">
        <v>7.1495475714521181E-2</v>
      </c>
      <c r="EJ17">
        <v>0.11979120975449546</v>
      </c>
      <c r="EK17">
        <v>0.1310355018852595</v>
      </c>
      <c r="EL17">
        <v>3.5949529544942627E-2</v>
      </c>
      <c r="EM17">
        <v>0.96405047045505732</v>
      </c>
    </row>
    <row r="18" spans="1:143" x14ac:dyDescent="0.25">
      <c r="A18" t="s">
        <v>279</v>
      </c>
      <c r="B18">
        <v>0.98028932556637727</v>
      </c>
      <c r="C18">
        <v>1.9710674433622687E-2</v>
      </c>
      <c r="D18">
        <v>0</v>
      </c>
      <c r="E18">
        <v>0</v>
      </c>
      <c r="F18">
        <v>0</v>
      </c>
      <c r="G18">
        <v>0.96963554238702954</v>
      </c>
      <c r="H18">
        <v>3.0364457612970432E-2</v>
      </c>
      <c r="I18">
        <v>0</v>
      </c>
      <c r="J18">
        <v>0</v>
      </c>
      <c r="K18">
        <v>0</v>
      </c>
      <c r="L18">
        <v>0.99404868548919934</v>
      </c>
      <c r="M18">
        <v>5.5294152095675467E-3</v>
      </c>
      <c r="N18">
        <v>0</v>
      </c>
      <c r="O18">
        <v>2.8184689921785993E-4</v>
      </c>
      <c r="P18">
        <v>1.4005240201522189E-4</v>
      </c>
      <c r="Q18">
        <v>0</v>
      </c>
      <c r="R18">
        <v>0.64988898566030495</v>
      </c>
      <c r="S18">
        <v>0.3501110143396951</v>
      </c>
      <c r="T18">
        <v>0.99596212248689586</v>
      </c>
      <c r="U18">
        <v>3.7937835905965953E-3</v>
      </c>
      <c r="V18">
        <v>1.3781977817473229E-5</v>
      </c>
      <c r="W18">
        <v>2.303119446900931E-4</v>
      </c>
      <c r="X18">
        <v>0</v>
      </c>
      <c r="Y18">
        <v>0</v>
      </c>
      <c r="Z18">
        <v>0.46017907887140375</v>
      </c>
      <c r="AA18">
        <v>0.53982092112859625</v>
      </c>
      <c r="AB18">
        <v>0.99156724868145618</v>
      </c>
      <c r="AC18">
        <v>0</v>
      </c>
      <c r="AD18">
        <v>7.212999048191099E-3</v>
      </c>
      <c r="AE18">
        <v>6.2642120951057647E-4</v>
      </c>
      <c r="AF18">
        <v>4.2669559450778631E-4</v>
      </c>
      <c r="AG18">
        <v>1.6319694863835873E-4</v>
      </c>
      <c r="AH18">
        <v>3.4385176959035242E-6</v>
      </c>
      <c r="AI18">
        <v>0.34853006596954456</v>
      </c>
      <c r="AJ18">
        <v>0.6514699340304555</v>
      </c>
      <c r="AK18">
        <v>0.98964077191259148</v>
      </c>
      <c r="AL18">
        <v>0</v>
      </c>
      <c r="AM18">
        <v>8.0939823024413961E-3</v>
      </c>
      <c r="AN18">
        <v>4.016536881667087E-4</v>
      </c>
      <c r="AO18">
        <v>1.6892326241472466E-3</v>
      </c>
      <c r="AP18">
        <v>1.7255296905105486E-4</v>
      </c>
      <c r="AQ18">
        <v>1.8065036022231376E-6</v>
      </c>
      <c r="AR18">
        <v>0.54068371251460323</v>
      </c>
      <c r="AS18">
        <v>0.45931628748539671</v>
      </c>
      <c r="AT18">
        <v>0.8703490116192828</v>
      </c>
      <c r="AU18">
        <v>0</v>
      </c>
      <c r="AV18">
        <v>2.1445219675587417E-2</v>
      </c>
      <c r="AW18">
        <v>2.2674260061433795E-3</v>
      </c>
      <c r="AX18">
        <v>9.8680147246938646E-2</v>
      </c>
      <c r="AY18">
        <v>3.9823690707040018E-4</v>
      </c>
      <c r="AZ18">
        <v>6.8599585449772432E-3</v>
      </c>
      <c r="BA18">
        <v>0</v>
      </c>
      <c r="BB18">
        <v>0.32212046322401927</v>
      </c>
      <c r="BC18">
        <v>0.67787953677598067</v>
      </c>
      <c r="BD18">
        <v>0.82568973718146177</v>
      </c>
      <c r="BE18">
        <v>0</v>
      </c>
      <c r="BF18">
        <v>1.1922108993120906E-2</v>
      </c>
      <c r="BG18">
        <v>0</v>
      </c>
      <c r="BH18">
        <v>0.16048848474638081</v>
      </c>
      <c r="BI18">
        <v>1.8991682534421715E-3</v>
      </c>
      <c r="BJ18">
        <v>0</v>
      </c>
      <c r="BK18">
        <v>5.0082559437475218E-7</v>
      </c>
      <c r="BL18">
        <v>0.16038688452377525</v>
      </c>
      <c r="BM18">
        <v>0.83961311547622464</v>
      </c>
      <c r="BN18">
        <v>0.9055184653477496</v>
      </c>
      <c r="BO18">
        <v>9.6028717815219448E-4</v>
      </c>
      <c r="BP18">
        <v>8.4691295783784162E-2</v>
      </c>
      <c r="BQ18">
        <v>3.399734719743328E-4</v>
      </c>
      <c r="BR18">
        <v>5.8471634935218109E-3</v>
      </c>
      <c r="BS18">
        <v>2.3732709654125548E-3</v>
      </c>
      <c r="BT18">
        <v>2.695437594052762E-4</v>
      </c>
      <c r="BU18">
        <v>0.21276413686676446</v>
      </c>
      <c r="BV18">
        <v>0.78723586313323557</v>
      </c>
      <c r="BW18">
        <v>0.76357098297997528</v>
      </c>
      <c r="BX18">
        <v>7.3469781208762241E-2</v>
      </c>
      <c r="BY18">
        <v>1.6668810359068073E-2</v>
      </c>
      <c r="BZ18">
        <v>9.804481263718013E-3</v>
      </c>
      <c r="CA18">
        <v>3.6611949693976416E-2</v>
      </c>
      <c r="CB18">
        <v>9.9873994494499962E-2</v>
      </c>
      <c r="CC18">
        <v>0</v>
      </c>
      <c r="CD18">
        <v>5.6964727169136357E-2</v>
      </c>
      <c r="CE18">
        <v>0.94303527283086364</v>
      </c>
      <c r="CF18">
        <v>0.28421965133519139</v>
      </c>
      <c r="CG18">
        <v>6.2610024580931527E-3</v>
      </c>
      <c r="CH18">
        <v>0.20860376920070123</v>
      </c>
      <c r="CI18">
        <v>2.4495041779847296E-2</v>
      </c>
      <c r="CJ18">
        <v>0.29928159831413575</v>
      </c>
      <c r="CK18">
        <v>0.16379465235280141</v>
      </c>
      <c r="CL18">
        <v>1.1239016557259158E-2</v>
      </c>
      <c r="CM18">
        <v>2.1052680019706211E-3</v>
      </c>
      <c r="CN18">
        <v>0.18456877356959039</v>
      </c>
      <c r="CO18">
        <v>0.81543122643040955</v>
      </c>
      <c r="CP18">
        <v>0</v>
      </c>
      <c r="CQ18">
        <v>6.2710861121618756E-3</v>
      </c>
      <c r="CR18">
        <v>0.26495128317328237</v>
      </c>
      <c r="CS18">
        <v>5.015446072349404E-2</v>
      </c>
      <c r="CT18">
        <v>0.16951281020382103</v>
      </c>
      <c r="CU18">
        <v>0.36663864119777739</v>
      </c>
      <c r="CV18">
        <v>0.13058778498101697</v>
      </c>
      <c r="CW18">
        <v>1.1883933608446258E-2</v>
      </c>
      <c r="CX18">
        <v>4.1363994875276949E-2</v>
      </c>
      <c r="CY18">
        <v>0.95863600512472302</v>
      </c>
      <c r="CZ18">
        <v>0.25700638545732563</v>
      </c>
      <c r="DA18">
        <v>0</v>
      </c>
      <c r="DB18">
        <v>0.3517171804637203</v>
      </c>
      <c r="DC18">
        <v>0</v>
      </c>
      <c r="DD18">
        <v>8.8987035675381465E-2</v>
      </c>
      <c r="DE18">
        <v>0.30228939840357261</v>
      </c>
      <c r="DF18">
        <v>0</v>
      </c>
      <c r="DG18">
        <v>0</v>
      </c>
      <c r="DH18">
        <v>9.6633319550085348E-3</v>
      </c>
      <c r="DI18">
        <v>0.99033666804499154</v>
      </c>
      <c r="DJ18">
        <v>0.23689129412513368</v>
      </c>
      <c r="DK18">
        <v>0</v>
      </c>
      <c r="DL18">
        <v>0.310560723793945</v>
      </c>
      <c r="DM18">
        <v>0</v>
      </c>
      <c r="DN18">
        <v>4.0966045585542475E-2</v>
      </c>
      <c r="DO18">
        <v>0.24906400173118334</v>
      </c>
      <c r="DP18">
        <v>0</v>
      </c>
      <c r="DQ18">
        <v>0.16251793476419543</v>
      </c>
      <c r="DR18">
        <v>0.27567536490880012</v>
      </c>
      <c r="DS18">
        <v>0.72432463509119993</v>
      </c>
      <c r="DT18">
        <v>0.35071031886046911</v>
      </c>
      <c r="DU18">
        <v>4.7511550048454547E-3</v>
      </c>
      <c r="DV18">
        <v>0.30382420689825129</v>
      </c>
      <c r="DW18">
        <v>9.3421914156709693E-4</v>
      </c>
      <c r="DX18">
        <v>0.15441563926343818</v>
      </c>
      <c r="DY18">
        <v>0.1110543131555162</v>
      </c>
      <c r="DZ18">
        <v>5.6917262484721343E-2</v>
      </c>
      <c r="EA18">
        <v>1.739288519119131E-2</v>
      </c>
      <c r="EB18">
        <v>8.6816022169824786E-2</v>
      </c>
      <c r="EC18">
        <v>0.91318397783017524</v>
      </c>
      <c r="ED18">
        <v>0.3636538730501378</v>
      </c>
      <c r="EE18">
        <v>2.9549945518042249E-2</v>
      </c>
      <c r="EF18">
        <v>0.15968372621545704</v>
      </c>
      <c r="EG18">
        <v>1.0015499610762073E-2</v>
      </c>
      <c r="EH18">
        <v>0.28188406953033673</v>
      </c>
      <c r="EI18">
        <v>4.6716467721153669E-2</v>
      </c>
      <c r="EJ18">
        <v>0.10148536649085402</v>
      </c>
      <c r="EK18">
        <v>7.0110518632563023E-3</v>
      </c>
      <c r="EL18">
        <v>4.6558029743150577E-2</v>
      </c>
      <c r="EM18">
        <v>0.9534419702568494</v>
      </c>
    </row>
    <row r="19" spans="1:143" x14ac:dyDescent="0.25">
      <c r="A19" t="s">
        <v>280</v>
      </c>
      <c r="B19">
        <v>1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0.99894096460487702</v>
      </c>
      <c r="M19">
        <v>1.0100488246299302E-3</v>
      </c>
      <c r="N19">
        <v>0</v>
      </c>
      <c r="O19">
        <v>0</v>
      </c>
      <c r="P19">
        <v>4.8986570492939647E-5</v>
      </c>
      <c r="Q19">
        <v>0</v>
      </c>
      <c r="R19">
        <v>4.5621551170289557E-2</v>
      </c>
      <c r="S19">
        <v>0.95437844882971046</v>
      </c>
      <c r="T19">
        <v>0.99515239724590088</v>
      </c>
      <c r="U19">
        <v>6.7838449868810869E-4</v>
      </c>
      <c r="V19">
        <v>0</v>
      </c>
      <c r="W19">
        <v>4.1692182554109508E-3</v>
      </c>
      <c r="X19">
        <v>0</v>
      </c>
      <c r="Y19">
        <v>0</v>
      </c>
      <c r="Z19">
        <v>0.21988509109509211</v>
      </c>
      <c r="AA19">
        <v>0.78011490890490798</v>
      </c>
      <c r="AB19">
        <v>0.99604697430307876</v>
      </c>
      <c r="AC19">
        <v>0</v>
      </c>
      <c r="AD19">
        <v>1.628301527632418E-3</v>
      </c>
      <c r="AE19">
        <v>0</v>
      </c>
      <c r="AF19">
        <v>7.2299714680186902E-4</v>
      </c>
      <c r="AG19">
        <v>1.6017270224869245E-3</v>
      </c>
      <c r="AH19">
        <v>0</v>
      </c>
      <c r="AI19">
        <v>4.8495957814777516E-2</v>
      </c>
      <c r="AJ19">
        <v>0.95150404218522255</v>
      </c>
      <c r="AK19">
        <v>0.99089988313399346</v>
      </c>
      <c r="AL19">
        <v>0</v>
      </c>
      <c r="AM19">
        <v>8.9160451769255602E-3</v>
      </c>
      <c r="AN19">
        <v>6.6535454597394155E-7</v>
      </c>
      <c r="AO19">
        <v>1.7805088314240317E-4</v>
      </c>
      <c r="AP19">
        <v>0</v>
      </c>
      <c r="AQ19">
        <v>5.3554513925856933E-6</v>
      </c>
      <c r="AR19">
        <v>0.18565787581808324</v>
      </c>
      <c r="AS19">
        <v>0.81434212418191676</v>
      </c>
      <c r="AT19">
        <v>0.73770895451799534</v>
      </c>
      <c r="AU19">
        <v>0</v>
      </c>
      <c r="AV19">
        <v>5.7994270091461771E-3</v>
      </c>
      <c r="AW19">
        <v>2.2805713783803872E-5</v>
      </c>
      <c r="AX19">
        <v>0.25239013508785085</v>
      </c>
      <c r="AY19">
        <v>3.2743584653032952E-3</v>
      </c>
      <c r="AZ19">
        <v>8.0431920592053763E-4</v>
      </c>
      <c r="BA19">
        <v>0</v>
      </c>
      <c r="BB19">
        <v>7.2544458307224877E-2</v>
      </c>
      <c r="BC19">
        <v>0.92745554169277511</v>
      </c>
      <c r="BD19">
        <v>0.62679947323861751</v>
      </c>
      <c r="BE19">
        <v>0</v>
      </c>
      <c r="BF19">
        <v>2.085658195211853E-3</v>
      </c>
      <c r="BG19">
        <v>1.1786561252823124E-5</v>
      </c>
      <c r="BH19">
        <v>0.37016876342602933</v>
      </c>
      <c r="BI19">
        <v>0</v>
      </c>
      <c r="BJ19">
        <v>8.8960082341921415E-4</v>
      </c>
      <c r="BK19">
        <v>4.4717755469340594E-5</v>
      </c>
      <c r="BL19">
        <v>8.6781454669239602E-2</v>
      </c>
      <c r="BM19">
        <v>0.91321854533076041</v>
      </c>
      <c r="BN19">
        <v>0.96235613008301635</v>
      </c>
      <c r="BO19">
        <v>0</v>
      </c>
      <c r="BP19">
        <v>1.6429793631947003E-2</v>
      </c>
      <c r="BQ19">
        <v>8.2191831963370334E-7</v>
      </c>
      <c r="BR19">
        <v>1.9726183771535996E-2</v>
      </c>
      <c r="BS19">
        <v>1.4866280237782633E-3</v>
      </c>
      <c r="BT19">
        <v>4.4257140287968641E-7</v>
      </c>
      <c r="BU19">
        <v>1.8826524517163927E-2</v>
      </c>
      <c r="BV19">
        <v>0.98117347548283618</v>
      </c>
      <c r="BW19">
        <v>0.97525342727442421</v>
      </c>
      <c r="BX19">
        <v>0</v>
      </c>
      <c r="BY19">
        <v>2.014547564349338E-2</v>
      </c>
      <c r="BZ19">
        <v>3.0251773723831801E-4</v>
      </c>
      <c r="CA19">
        <v>0</v>
      </c>
      <c r="CB19">
        <v>3.1992640833481438E-3</v>
      </c>
      <c r="CC19">
        <v>1.099315261495977E-3</v>
      </c>
      <c r="CD19">
        <v>2.5636785772255241E-2</v>
      </c>
      <c r="CE19">
        <v>0.97436321422774474</v>
      </c>
      <c r="CF19">
        <v>0.11260010701592763</v>
      </c>
      <c r="CG19">
        <v>0</v>
      </c>
      <c r="CH19">
        <v>0.21312668154076797</v>
      </c>
      <c r="CI19">
        <v>5.7699957054991619E-2</v>
      </c>
      <c r="CJ19">
        <v>0.45179289653514793</v>
      </c>
      <c r="CK19">
        <v>0.14686263713973441</v>
      </c>
      <c r="CL19">
        <v>1.5449711483121568E-2</v>
      </c>
      <c r="CM19">
        <v>2.4680092303090246E-3</v>
      </c>
      <c r="CN19">
        <v>2.7680006682105292E-2</v>
      </c>
      <c r="CO19">
        <v>0.97231999331789476</v>
      </c>
      <c r="CP19">
        <v>0.12422480762846069</v>
      </c>
      <c r="CQ19">
        <v>0</v>
      </c>
      <c r="CR19">
        <v>0.31535485064549529</v>
      </c>
      <c r="CS19">
        <v>2.9983863290237025E-2</v>
      </c>
      <c r="CT19">
        <v>0.26287323086165293</v>
      </c>
      <c r="CU19">
        <v>0.21561169790664964</v>
      </c>
      <c r="CV19">
        <v>0</v>
      </c>
      <c r="CW19">
        <v>5.1951549667504329E-2</v>
      </c>
      <c r="CX19">
        <v>1.4460120378326537E-2</v>
      </c>
      <c r="CY19">
        <v>0.98553987962167344</v>
      </c>
      <c r="CZ19">
        <v>0.17547371454035818</v>
      </c>
      <c r="DA19">
        <v>0</v>
      </c>
      <c r="DB19">
        <v>1.1686689304358437E-3</v>
      </c>
      <c r="DC19">
        <v>0</v>
      </c>
      <c r="DD19">
        <v>0.78435139378608765</v>
      </c>
      <c r="DE19">
        <v>3.9006222743118407E-2</v>
      </c>
      <c r="DF19">
        <v>0</v>
      </c>
      <c r="DG19">
        <v>0</v>
      </c>
      <c r="DH19">
        <v>0</v>
      </c>
      <c r="DI19">
        <v>1</v>
      </c>
      <c r="DJ19">
        <v>8.2078565566258019E-2</v>
      </c>
      <c r="DK19">
        <v>0</v>
      </c>
      <c r="DL19">
        <v>4.3467091222409255E-4</v>
      </c>
      <c r="DM19">
        <v>0</v>
      </c>
      <c r="DN19">
        <v>0.90297891619144088</v>
      </c>
      <c r="DO19">
        <v>1.4507847330076923E-2</v>
      </c>
      <c r="DP19">
        <v>0</v>
      </c>
      <c r="DQ19">
        <v>0</v>
      </c>
      <c r="DR19">
        <v>0</v>
      </c>
      <c r="DS19">
        <v>1</v>
      </c>
      <c r="DT19">
        <v>0.27306675271688907</v>
      </c>
      <c r="DU19">
        <v>0</v>
      </c>
      <c r="DV19">
        <v>0.13369833838118553</v>
      </c>
      <c r="DW19">
        <v>2.9548002401872343E-3</v>
      </c>
      <c r="DX19">
        <v>0.57139088077315736</v>
      </c>
      <c r="DY19">
        <v>4.384245815109121E-3</v>
      </c>
      <c r="DZ19">
        <v>6.6515923396225978E-3</v>
      </c>
      <c r="EA19">
        <v>7.8533897338492233E-3</v>
      </c>
      <c r="EB19">
        <v>1.5994543153809843E-2</v>
      </c>
      <c r="EC19">
        <v>0.98400545684619023</v>
      </c>
      <c r="ED19">
        <v>0.54239941485925769</v>
      </c>
      <c r="EE19">
        <v>0</v>
      </c>
      <c r="EF19">
        <v>2.8697866364940518E-2</v>
      </c>
      <c r="EG19">
        <v>0.10249970247180659</v>
      </c>
      <c r="EH19">
        <v>0.1854003062017649</v>
      </c>
      <c r="EI19">
        <v>3.2698490129827333E-2</v>
      </c>
      <c r="EJ19">
        <v>9.7711198973311361E-2</v>
      </c>
      <c r="EK19">
        <v>1.0593020999091518E-2</v>
      </c>
      <c r="EL19">
        <v>2.7411215403537578E-2</v>
      </c>
      <c r="EM19">
        <v>0.97258878459646236</v>
      </c>
    </row>
    <row r="20" spans="1:143" x14ac:dyDescent="0.25">
      <c r="A20" t="s">
        <v>422</v>
      </c>
      <c r="B20">
        <v>0.96567509084826952</v>
      </c>
      <c r="C20">
        <v>3.4324909151730497E-2</v>
      </c>
      <c r="D20">
        <v>0</v>
      </c>
      <c r="E20">
        <v>0</v>
      </c>
      <c r="F20">
        <v>0</v>
      </c>
      <c r="G20">
        <v>0.91172944274729728</v>
      </c>
      <c r="H20">
        <v>8.8270557252702747E-2</v>
      </c>
      <c r="I20">
        <v>0</v>
      </c>
      <c r="J20">
        <v>0</v>
      </c>
      <c r="K20">
        <v>0</v>
      </c>
      <c r="L20">
        <v>0.99645218255817392</v>
      </c>
      <c r="M20">
        <v>3.1774086384184909E-3</v>
      </c>
      <c r="N20">
        <v>1.9012095486945679E-5</v>
      </c>
      <c r="O20">
        <v>6.7842684846797184E-5</v>
      </c>
      <c r="P20">
        <v>2.835540230738171E-4</v>
      </c>
      <c r="Q20">
        <v>0</v>
      </c>
      <c r="R20">
        <v>0.34188553736214311</v>
      </c>
      <c r="S20">
        <v>0.65811446263785689</v>
      </c>
      <c r="T20">
        <v>0.99436858557783969</v>
      </c>
      <c r="U20">
        <v>3.8454380885989512E-3</v>
      </c>
      <c r="V20">
        <v>2.3935113666120482E-6</v>
      </c>
      <c r="W20">
        <v>3.0320261614885772E-5</v>
      </c>
      <c r="X20">
        <v>1.7515514959990032E-3</v>
      </c>
      <c r="Y20">
        <v>1.7110645809675874E-6</v>
      </c>
      <c r="Z20">
        <v>0.60367464097223988</v>
      </c>
      <c r="AA20">
        <v>0.39632535902776012</v>
      </c>
      <c r="AB20">
        <v>0.99719990245387147</v>
      </c>
      <c r="AC20">
        <v>0</v>
      </c>
      <c r="AD20">
        <v>1.5169907345035569E-3</v>
      </c>
      <c r="AE20">
        <v>1.6080379813129527E-5</v>
      </c>
      <c r="AF20">
        <v>3.8293785571559622E-4</v>
      </c>
      <c r="AG20">
        <v>8.837871358987453E-4</v>
      </c>
      <c r="AH20">
        <v>3.0144019733707147E-7</v>
      </c>
      <c r="AI20">
        <v>0.15909979713149847</v>
      </c>
      <c r="AJ20">
        <v>0.84090020286850153</v>
      </c>
      <c r="AK20">
        <v>0.98721889532634088</v>
      </c>
      <c r="AL20">
        <v>0</v>
      </c>
      <c r="AM20">
        <v>1.1198159241488873E-2</v>
      </c>
      <c r="AN20">
        <v>2.0474470126462547E-5</v>
      </c>
      <c r="AO20">
        <v>3.1833401459264464E-5</v>
      </c>
      <c r="AP20">
        <v>1.5174375927620918E-3</v>
      </c>
      <c r="AQ20">
        <v>1.3199967822508754E-5</v>
      </c>
      <c r="AR20">
        <v>0.68314155901776641</v>
      </c>
      <c r="AS20">
        <v>0.31685844098223365</v>
      </c>
      <c r="AT20">
        <v>0.98242027123907893</v>
      </c>
      <c r="AU20">
        <v>0</v>
      </c>
      <c r="AV20">
        <v>4.1959010936401097E-3</v>
      </c>
      <c r="AW20">
        <v>1.2263850622082657E-4</v>
      </c>
      <c r="AX20">
        <v>1.1225650609353289E-2</v>
      </c>
      <c r="AY20">
        <v>3.2604976452451446E-4</v>
      </c>
      <c r="AZ20">
        <v>1.7076941092647323E-3</v>
      </c>
      <c r="BA20">
        <v>1.7946779176097032E-6</v>
      </c>
      <c r="BB20">
        <v>0.49628007364089766</v>
      </c>
      <c r="BC20">
        <v>0.50371992635910234</v>
      </c>
      <c r="BD20">
        <v>0.92719813405976981</v>
      </c>
      <c r="BE20">
        <v>0</v>
      </c>
      <c r="BF20">
        <v>2.0258987493202579E-2</v>
      </c>
      <c r="BG20">
        <v>2.5464961684819373E-5</v>
      </c>
      <c r="BH20">
        <v>4.2854273017690445E-2</v>
      </c>
      <c r="BI20">
        <v>3.0302433957406405E-3</v>
      </c>
      <c r="BJ20">
        <v>6.5766623188641639E-3</v>
      </c>
      <c r="BK20">
        <v>5.6234753047335383E-5</v>
      </c>
      <c r="BL20">
        <v>0.54722222788948305</v>
      </c>
      <c r="BM20">
        <v>0.45277777211051701</v>
      </c>
      <c r="BN20">
        <v>0.95543234040690472</v>
      </c>
      <c r="BO20">
        <v>7.8385191082668697E-7</v>
      </c>
      <c r="BP20">
        <v>2.3659854755495546E-2</v>
      </c>
      <c r="BQ20">
        <v>3.0476045916305098E-5</v>
      </c>
      <c r="BR20">
        <v>6.9809276147122859E-3</v>
      </c>
      <c r="BS20">
        <v>1.3624127433870563E-2</v>
      </c>
      <c r="BT20">
        <v>2.7148989118972247E-4</v>
      </c>
      <c r="BU20">
        <v>0.27904339477236734</v>
      </c>
      <c r="BV20">
        <v>0.72095660522763261</v>
      </c>
      <c r="BW20">
        <v>0.9002839360530368</v>
      </c>
      <c r="BX20">
        <v>1.5232179996574022E-6</v>
      </c>
      <c r="BY20">
        <v>7.4198718681355066E-2</v>
      </c>
      <c r="BZ20">
        <v>1.0365063387955755E-4</v>
      </c>
      <c r="CA20">
        <v>4.47109093746748E-3</v>
      </c>
      <c r="CB20">
        <v>1.9441233065359935E-2</v>
      </c>
      <c r="CC20">
        <v>1.4998474109015074E-3</v>
      </c>
      <c r="CD20">
        <v>0.20435523681637552</v>
      </c>
      <c r="CE20">
        <v>0.79564476318362454</v>
      </c>
      <c r="CF20">
        <v>0.72078264576660345</v>
      </c>
      <c r="CG20">
        <v>7.1981672770469232E-5</v>
      </c>
      <c r="CH20">
        <v>1.8027764121932969E-2</v>
      </c>
      <c r="CI20">
        <v>1.1527882633035607E-3</v>
      </c>
      <c r="CJ20">
        <v>2.5870923354978873E-2</v>
      </c>
      <c r="CK20">
        <v>0.22045252544647922</v>
      </c>
      <c r="CL20">
        <v>7.9304196188346721E-3</v>
      </c>
      <c r="CM20">
        <v>5.7109517550968953E-3</v>
      </c>
      <c r="CN20">
        <v>0.58230469083836167</v>
      </c>
      <c r="CO20">
        <v>0.41769530916163827</v>
      </c>
      <c r="CP20">
        <v>0.72965594111741627</v>
      </c>
      <c r="CQ20">
        <v>1.0132756879224863E-4</v>
      </c>
      <c r="CR20">
        <v>3.4223569185880667E-2</v>
      </c>
      <c r="CS20">
        <v>1.7222254295176339E-3</v>
      </c>
      <c r="CT20">
        <v>2.4178267156588631E-2</v>
      </c>
      <c r="CU20">
        <v>0.18957817712179656</v>
      </c>
      <c r="CV20">
        <v>6.8371801247249621E-3</v>
      </c>
      <c r="CW20">
        <v>1.3703312295283021E-2</v>
      </c>
      <c r="CX20">
        <v>0.53572792384649659</v>
      </c>
      <c r="CY20">
        <v>0.46427207615350341</v>
      </c>
      <c r="CZ20">
        <v>0.91993896327207625</v>
      </c>
      <c r="DA20">
        <v>0</v>
      </c>
      <c r="DB20">
        <v>1.6733263113677403E-2</v>
      </c>
      <c r="DC20">
        <v>2.2808089882652517E-4</v>
      </c>
      <c r="DD20">
        <v>1.3153931611329687E-2</v>
      </c>
      <c r="DE20">
        <v>4.715792438061376E-2</v>
      </c>
      <c r="DF20">
        <v>1.5952727140955635E-3</v>
      </c>
      <c r="DG20">
        <v>1.1925640093807131E-3</v>
      </c>
      <c r="DH20">
        <v>0.61364529528641198</v>
      </c>
      <c r="DI20">
        <v>0.38635470471358802</v>
      </c>
      <c r="DJ20">
        <v>0.86104773711174898</v>
      </c>
      <c r="DK20">
        <v>0</v>
      </c>
      <c r="DL20">
        <v>1.780120264463381E-2</v>
      </c>
      <c r="DM20">
        <v>1.9807347383441832E-4</v>
      </c>
      <c r="DN20">
        <v>9.3356849980321566E-2</v>
      </c>
      <c r="DO20">
        <v>2.4097549749904187E-2</v>
      </c>
      <c r="DP20">
        <v>8.7099417892214711E-4</v>
      </c>
      <c r="DQ20">
        <v>2.6275928606349563E-3</v>
      </c>
      <c r="DR20">
        <v>0.73620255470800189</v>
      </c>
      <c r="DS20">
        <v>0.26379744529199806</v>
      </c>
      <c r="DT20">
        <v>0.52073937588024011</v>
      </c>
      <c r="DU20">
        <v>1.1085211517087834E-5</v>
      </c>
      <c r="DV20">
        <v>0.10372539698364555</v>
      </c>
      <c r="DW20">
        <v>4.7092741459252262E-3</v>
      </c>
      <c r="DX20">
        <v>0.21511539884679384</v>
      </c>
      <c r="DY20">
        <v>4.9551045871609356E-2</v>
      </c>
      <c r="DZ20">
        <v>7.3335547022592359E-2</v>
      </c>
      <c r="EA20">
        <v>3.2812876037676339E-2</v>
      </c>
      <c r="EB20">
        <v>7.8324025870417577E-2</v>
      </c>
      <c r="EC20">
        <v>0.92167597412958246</v>
      </c>
      <c r="ED20">
        <v>0.25333134489743447</v>
      </c>
      <c r="EE20">
        <v>1.2560152987197331E-5</v>
      </c>
      <c r="EF20">
        <v>7.0487729418596407E-2</v>
      </c>
      <c r="EG20">
        <v>2.4921263853920372E-3</v>
      </c>
      <c r="EH20">
        <v>0.44324576882815292</v>
      </c>
      <c r="EI20">
        <v>2.4416273186468964E-2</v>
      </c>
      <c r="EJ20">
        <v>0.14706533322393117</v>
      </c>
      <c r="EK20">
        <v>5.89488639070367E-2</v>
      </c>
      <c r="EL20">
        <v>4.3428219408963332E-2</v>
      </c>
      <c r="EM20">
        <v>0.95657178059103665</v>
      </c>
    </row>
    <row r="21" spans="1:143" x14ac:dyDescent="0.25">
      <c r="A21" t="s">
        <v>281</v>
      </c>
      <c r="B21">
        <v>0.96994287441981308</v>
      </c>
      <c r="C21">
        <v>3.0018516137328134E-2</v>
      </c>
      <c r="D21">
        <v>0</v>
      </c>
      <c r="E21">
        <v>3.8609442858742085E-5</v>
      </c>
      <c r="F21">
        <v>0</v>
      </c>
      <c r="G21">
        <v>0.95773755009280226</v>
      </c>
      <c r="H21">
        <v>4.2258408716679539E-2</v>
      </c>
      <c r="I21">
        <v>0</v>
      </c>
      <c r="J21">
        <v>4.0411905182635535E-6</v>
      </c>
      <c r="K21">
        <v>0</v>
      </c>
      <c r="L21">
        <v>0.99929446362535379</v>
      </c>
      <c r="M21">
        <v>3.4917571517774441E-4</v>
      </c>
      <c r="N21">
        <v>0</v>
      </c>
      <c r="O21">
        <v>3.5636065946850699E-4</v>
      </c>
      <c r="P21">
        <v>0</v>
      </c>
      <c r="Q21">
        <v>0</v>
      </c>
      <c r="R21">
        <v>0</v>
      </c>
      <c r="S21">
        <v>1</v>
      </c>
      <c r="T21">
        <v>0.99962081612890308</v>
      </c>
      <c r="U21">
        <v>2.9357346635654224E-4</v>
      </c>
      <c r="V21">
        <v>0</v>
      </c>
      <c r="W21">
        <v>7.1047830323432419E-5</v>
      </c>
      <c r="X21">
        <v>1.4562574416820841E-5</v>
      </c>
      <c r="Y21">
        <v>0</v>
      </c>
      <c r="Z21">
        <v>0.60447345904982897</v>
      </c>
      <c r="AA21">
        <v>0.39552654095017092</v>
      </c>
      <c r="AB21">
        <v>0.99760928861585696</v>
      </c>
      <c r="AC21">
        <v>0</v>
      </c>
      <c r="AD21">
        <v>1.6374152985916914E-3</v>
      </c>
      <c r="AE21">
        <v>0</v>
      </c>
      <c r="AF21">
        <v>7.1302710447499265E-4</v>
      </c>
      <c r="AG21">
        <v>4.026898107642604E-5</v>
      </c>
      <c r="AH21">
        <v>0</v>
      </c>
      <c r="AI21">
        <v>0.16687050964910072</v>
      </c>
      <c r="AJ21">
        <v>0.83312949035089923</v>
      </c>
      <c r="AK21">
        <v>0.99802815661393296</v>
      </c>
      <c r="AL21">
        <v>0</v>
      </c>
      <c r="AM21">
        <v>1.9263837110615281E-3</v>
      </c>
      <c r="AN21">
        <v>0</v>
      </c>
      <c r="AO21">
        <v>4.5459675005422135E-5</v>
      </c>
      <c r="AP21">
        <v>0</v>
      </c>
      <c r="AQ21">
        <v>0</v>
      </c>
      <c r="AR21">
        <v>0.33963243895669143</v>
      </c>
      <c r="AS21">
        <v>0.66036756104330863</v>
      </c>
      <c r="AT21">
        <v>0.98124943331822567</v>
      </c>
      <c r="AU21">
        <v>0</v>
      </c>
      <c r="AV21">
        <v>4.1875844689648187E-4</v>
      </c>
      <c r="AW21">
        <v>0</v>
      </c>
      <c r="AX21">
        <v>1.6562905135982096E-2</v>
      </c>
      <c r="AY21">
        <v>1.768903098895846E-3</v>
      </c>
      <c r="AZ21">
        <v>0</v>
      </c>
      <c r="BA21">
        <v>0</v>
      </c>
      <c r="BB21">
        <v>0.27319300633731708</v>
      </c>
      <c r="BC21">
        <v>0.72680699366268298</v>
      </c>
      <c r="BD21">
        <v>0.913519687379162</v>
      </c>
      <c r="BE21">
        <v>1.0069565297947436E-5</v>
      </c>
      <c r="BF21">
        <v>3.0607887410058158E-3</v>
      </c>
      <c r="BG21">
        <v>7.165665406468656E-5</v>
      </c>
      <c r="BH21">
        <v>8.2862496673400607E-2</v>
      </c>
      <c r="BI21">
        <v>4.2942852293381201E-4</v>
      </c>
      <c r="BJ21">
        <v>4.5872464135093874E-5</v>
      </c>
      <c r="BK21">
        <v>0</v>
      </c>
      <c r="BL21">
        <v>0.30225645604994139</v>
      </c>
      <c r="BM21">
        <v>0.69774354395005866</v>
      </c>
      <c r="BN21">
        <v>0.98085641089570552</v>
      </c>
      <c r="BO21">
        <v>1.1777329621025274E-4</v>
      </c>
      <c r="BP21">
        <v>3.494579939968258E-3</v>
      </c>
      <c r="BQ21">
        <v>0</v>
      </c>
      <c r="BR21">
        <v>1.4861566396419444E-2</v>
      </c>
      <c r="BS21">
        <v>6.6966947169657222E-4</v>
      </c>
      <c r="BT21">
        <v>0</v>
      </c>
      <c r="BU21">
        <v>8.8317049148510643E-2</v>
      </c>
      <c r="BV21">
        <v>0.91168295085148932</v>
      </c>
      <c r="BW21">
        <v>0.97068868428002875</v>
      </c>
      <c r="BX21">
        <v>1.8872337733682326E-4</v>
      </c>
      <c r="BY21">
        <v>8.4482275048940389E-3</v>
      </c>
      <c r="BZ21">
        <v>0</v>
      </c>
      <c r="CA21">
        <v>1.973007394712151E-2</v>
      </c>
      <c r="CB21">
        <v>9.4429089061868045E-4</v>
      </c>
      <c r="CC21">
        <v>0</v>
      </c>
      <c r="CD21">
        <v>0.21874544282328282</v>
      </c>
      <c r="CE21">
        <v>0.78125455717671721</v>
      </c>
      <c r="CF21">
        <v>0.39258036119980055</v>
      </c>
      <c r="CG21">
        <v>7.7940077883629933E-3</v>
      </c>
      <c r="CH21">
        <v>0.11123260127395448</v>
      </c>
      <c r="CI21">
        <v>9.719525121749163E-4</v>
      </c>
      <c r="CJ21">
        <v>0.3223261805327377</v>
      </c>
      <c r="CK21">
        <v>0.15828069193233038</v>
      </c>
      <c r="CL21">
        <v>2.4348084150266954E-3</v>
      </c>
      <c r="CM21">
        <v>4.3793963456122851E-3</v>
      </c>
      <c r="CN21">
        <v>0.11714141371929759</v>
      </c>
      <c r="CO21">
        <v>0.88285858628070246</v>
      </c>
      <c r="CP21">
        <v>0.28977420359097389</v>
      </c>
      <c r="CQ21">
        <v>1.4724678354198282E-3</v>
      </c>
      <c r="CR21">
        <v>0.15234204856497591</v>
      </c>
      <c r="CS21">
        <v>1.9987567225087789E-3</v>
      </c>
      <c r="CT21">
        <v>0.26313768714923264</v>
      </c>
      <c r="CU21">
        <v>0.20378966582830632</v>
      </c>
      <c r="CV21">
        <v>5.6463307179878816E-3</v>
      </c>
      <c r="CW21">
        <v>8.1838839590594598E-2</v>
      </c>
      <c r="CX21">
        <v>7.8175496570516839E-2</v>
      </c>
      <c r="CY21">
        <v>0.92182450342948319</v>
      </c>
      <c r="CZ21">
        <v>0.79355970126052089</v>
      </c>
      <c r="DA21">
        <v>5.6090270459015802E-2</v>
      </c>
      <c r="DB21">
        <v>1.6739835062713499E-2</v>
      </c>
      <c r="DC21">
        <v>0</v>
      </c>
      <c r="DD21">
        <v>0.12877705180762319</v>
      </c>
      <c r="DE21">
        <v>4.8331414101266757E-3</v>
      </c>
      <c r="DF21">
        <v>0</v>
      </c>
      <c r="DG21">
        <v>0</v>
      </c>
      <c r="DH21">
        <v>0.13443770311183936</v>
      </c>
      <c r="DI21">
        <v>0.86556229688816066</v>
      </c>
      <c r="DJ21">
        <v>0.73860787161141706</v>
      </c>
      <c r="DK21">
        <v>1.3492744065392481E-2</v>
      </c>
      <c r="DL21">
        <v>7.7661345129975152E-3</v>
      </c>
      <c r="DM21">
        <v>0</v>
      </c>
      <c r="DN21">
        <v>0.14477170521027949</v>
      </c>
      <c r="DO21">
        <v>4.1375890119338024E-2</v>
      </c>
      <c r="DP21">
        <v>5.3030719554621873E-2</v>
      </c>
      <c r="DQ21">
        <v>9.5493492595357505E-4</v>
      </c>
      <c r="DR21">
        <v>0.12457567738721986</v>
      </c>
      <c r="DS21">
        <v>0.87542432261278014</v>
      </c>
      <c r="DT21">
        <v>0.5669318593242676</v>
      </c>
      <c r="DU21">
        <v>1.0497509524285199E-2</v>
      </c>
      <c r="DV21">
        <v>0.14904075195179936</v>
      </c>
      <c r="DW21">
        <v>0</v>
      </c>
      <c r="DX21">
        <v>0.20015336813485687</v>
      </c>
      <c r="DY21">
        <v>4.0152695019772554E-2</v>
      </c>
      <c r="DZ21">
        <v>1.8008319124544682E-2</v>
      </c>
      <c r="EA21">
        <v>1.5215496920473691E-2</v>
      </c>
      <c r="EB21">
        <v>0.20380137562351044</v>
      </c>
      <c r="EC21">
        <v>0.79619862437648958</v>
      </c>
      <c r="ED21">
        <v>0.21730078148296603</v>
      </c>
      <c r="EE21">
        <v>0</v>
      </c>
      <c r="EF21">
        <v>0.13231699050245302</v>
      </c>
      <c r="EG21">
        <v>1.6934354635846441E-4</v>
      </c>
      <c r="EH21">
        <v>0.50580044891093112</v>
      </c>
      <c r="EI21">
        <v>6.4608193722863763E-2</v>
      </c>
      <c r="EJ21">
        <v>2.5769075391313401E-2</v>
      </c>
      <c r="EK21">
        <v>5.4035166443114069E-2</v>
      </c>
      <c r="EL21">
        <v>0.19171960565146171</v>
      </c>
      <c r="EM21">
        <v>0.80828039434853827</v>
      </c>
    </row>
    <row r="22" spans="1:143" x14ac:dyDescent="0.25">
      <c r="A22" t="s">
        <v>423</v>
      </c>
      <c r="B22">
        <v>0.97869494740265417</v>
      </c>
      <c r="C22">
        <v>2.0753117170046572E-2</v>
      </c>
      <c r="D22">
        <v>0</v>
      </c>
      <c r="E22">
        <v>5.5193542729936541E-4</v>
      </c>
      <c r="F22">
        <v>0</v>
      </c>
      <c r="G22">
        <v>0.82039476958513746</v>
      </c>
      <c r="H22">
        <v>0.1795734994099164</v>
      </c>
      <c r="I22">
        <v>0</v>
      </c>
      <c r="J22">
        <v>3.1731004946126189E-5</v>
      </c>
      <c r="K22">
        <v>0</v>
      </c>
      <c r="L22">
        <v>0.89620851643205968</v>
      </c>
      <c r="M22">
        <v>0.1030393001060757</v>
      </c>
      <c r="N22">
        <v>2.1719149472298152E-5</v>
      </c>
      <c r="O22">
        <v>7.2675318602154952E-4</v>
      </c>
      <c r="P22">
        <v>3.7111263707665475E-6</v>
      </c>
      <c r="Q22">
        <v>0</v>
      </c>
      <c r="R22">
        <v>0.44941346322254122</v>
      </c>
      <c r="S22">
        <v>0.55058653677745872</v>
      </c>
      <c r="T22">
        <v>0.90021129192449023</v>
      </c>
      <c r="U22">
        <v>9.9563676615165617E-2</v>
      </c>
      <c r="V22">
        <v>2.3857136156865275E-5</v>
      </c>
      <c r="W22">
        <v>1.9114778809448466E-4</v>
      </c>
      <c r="X22">
        <v>7.1743215426705355E-6</v>
      </c>
      <c r="Y22">
        <v>2.8522145502508853E-6</v>
      </c>
      <c r="Z22">
        <v>0.20530809698019745</v>
      </c>
      <c r="AA22">
        <v>0.79469190301980253</v>
      </c>
      <c r="AB22">
        <v>0.84056805055688633</v>
      </c>
      <c r="AC22">
        <v>0</v>
      </c>
      <c r="AD22">
        <v>0.15836418350047712</v>
      </c>
      <c r="AE22">
        <v>1.8632153213364241E-4</v>
      </c>
      <c r="AF22">
        <v>8.6572448523839743E-4</v>
      </c>
      <c r="AG22">
        <v>6.4329670289632936E-6</v>
      </c>
      <c r="AH22">
        <v>9.2869582358131453E-6</v>
      </c>
      <c r="AI22">
        <v>0.1970555315862357</v>
      </c>
      <c r="AJ22">
        <v>0.80294446841376432</v>
      </c>
      <c r="AK22">
        <v>0.85746042550519896</v>
      </c>
      <c r="AL22">
        <v>0</v>
      </c>
      <c r="AM22">
        <v>0.14081986818804926</v>
      </c>
      <c r="AN22">
        <v>1.1594915988735249E-4</v>
      </c>
      <c r="AO22">
        <v>0</v>
      </c>
      <c r="AP22">
        <v>1.5935284549789368E-3</v>
      </c>
      <c r="AQ22">
        <v>1.0228691885531365E-5</v>
      </c>
      <c r="AR22">
        <v>6.8561705610590787E-2</v>
      </c>
      <c r="AS22">
        <v>0.93143829438940917</v>
      </c>
      <c r="AT22">
        <v>0.67561101888775854</v>
      </c>
      <c r="AU22">
        <v>1.5790182391878469E-5</v>
      </c>
      <c r="AV22">
        <v>0.23898404488356478</v>
      </c>
      <c r="AW22">
        <v>1.7481624205850938E-3</v>
      </c>
      <c r="AX22">
        <v>8.2143829638654228E-2</v>
      </c>
      <c r="AY22">
        <v>1.3763300301148967E-3</v>
      </c>
      <c r="AZ22">
        <v>1.1533636608755499E-4</v>
      </c>
      <c r="BA22">
        <v>5.4875908428743551E-6</v>
      </c>
      <c r="BB22">
        <v>0.21536358138309625</v>
      </c>
      <c r="BC22">
        <v>0.7846364186169037</v>
      </c>
      <c r="BD22">
        <v>0.6377874358194151</v>
      </c>
      <c r="BE22">
        <v>6.2868145323549603E-5</v>
      </c>
      <c r="BF22">
        <v>0.15379233384102517</v>
      </c>
      <c r="BG22">
        <v>0</v>
      </c>
      <c r="BH22">
        <v>0.20479104406505483</v>
      </c>
      <c r="BI22">
        <v>1.3691607268695842E-3</v>
      </c>
      <c r="BJ22">
        <v>2.1302838226521272E-3</v>
      </c>
      <c r="BK22">
        <v>6.6873579659569444E-5</v>
      </c>
      <c r="BL22">
        <v>5.2271197957969188E-2</v>
      </c>
      <c r="BM22">
        <v>0.9477288020420308</v>
      </c>
      <c r="BN22">
        <v>0.63245028011470661</v>
      </c>
      <c r="BO22">
        <v>2.170312179567985E-5</v>
      </c>
      <c r="BP22">
        <v>0.36062634377748914</v>
      </c>
      <c r="BQ22">
        <v>9.6808548213459761E-5</v>
      </c>
      <c r="BR22">
        <v>5.6882978412161776E-3</v>
      </c>
      <c r="BS22">
        <v>1.0595176516248728E-3</v>
      </c>
      <c r="BT22">
        <v>5.7048944953966306E-5</v>
      </c>
      <c r="BU22">
        <v>7.3463771449212331E-2</v>
      </c>
      <c r="BV22">
        <v>0.92653622855078765</v>
      </c>
      <c r="BW22">
        <v>0.64367313245552105</v>
      </c>
      <c r="BX22">
        <v>6.4737186215023067E-6</v>
      </c>
      <c r="BY22">
        <v>0.35082219092263178</v>
      </c>
      <c r="BZ22">
        <v>1.4439063743663453E-4</v>
      </c>
      <c r="CA22">
        <v>3.650024225967784E-3</v>
      </c>
      <c r="CB22">
        <v>1.4590483595099532E-3</v>
      </c>
      <c r="CC22">
        <v>2.4473968031136774E-4</v>
      </c>
      <c r="CD22">
        <v>3.0213036187749419E-2</v>
      </c>
      <c r="CE22">
        <v>0.9697869638122506</v>
      </c>
      <c r="CF22">
        <v>0.13776165102963869</v>
      </c>
      <c r="CG22">
        <v>1.2671648808959188E-3</v>
      </c>
      <c r="CH22">
        <v>0.48535252555496167</v>
      </c>
      <c r="CI22">
        <v>4.3020556076528767E-3</v>
      </c>
      <c r="CJ22">
        <v>0.13403324321924637</v>
      </c>
      <c r="CK22">
        <v>0.21468082751883144</v>
      </c>
      <c r="CL22">
        <v>8.6734651939720797E-3</v>
      </c>
      <c r="CM22">
        <v>1.3929066994800938E-2</v>
      </c>
      <c r="CN22">
        <v>0.14845807126983168</v>
      </c>
      <c r="CO22">
        <v>0.85154192873016832</v>
      </c>
      <c r="CP22">
        <v>5.5151175877219155E-2</v>
      </c>
      <c r="CQ22">
        <v>6.3762560594206449E-4</v>
      </c>
      <c r="CR22">
        <v>0.19364209847638805</v>
      </c>
      <c r="CS22">
        <v>2.9035507242435197E-3</v>
      </c>
      <c r="CT22">
        <v>0.1545277032987859</v>
      </c>
      <c r="CU22">
        <v>0.50312066878780548</v>
      </c>
      <c r="CV22">
        <v>3.6954605384469763E-2</v>
      </c>
      <c r="CW22">
        <v>5.3062571845145977E-2</v>
      </c>
      <c r="CX22">
        <v>1.0341874653221254E-2</v>
      </c>
      <c r="CY22">
        <v>0.98965812534677877</v>
      </c>
      <c r="CZ22">
        <v>0.53533835823002796</v>
      </c>
      <c r="DA22">
        <v>0</v>
      </c>
      <c r="DB22">
        <v>0.28709219662964869</v>
      </c>
      <c r="DC22">
        <v>3.6631733286954802E-4</v>
      </c>
      <c r="DD22">
        <v>0.12980443995519955</v>
      </c>
      <c r="DE22">
        <v>4.5525350183952817E-2</v>
      </c>
      <c r="DF22">
        <v>1.70908817043813E-4</v>
      </c>
      <c r="DG22">
        <v>1.7024288512576149E-3</v>
      </c>
      <c r="DH22">
        <v>0.16032295689351675</v>
      </c>
      <c r="DI22">
        <v>0.83967704310648328</v>
      </c>
      <c r="DJ22">
        <v>0.41361659302423953</v>
      </c>
      <c r="DK22">
        <v>0</v>
      </c>
      <c r="DL22">
        <v>0.37797941676771146</v>
      </c>
      <c r="DM22">
        <v>0</v>
      </c>
      <c r="DN22">
        <v>0.2075681748732896</v>
      </c>
      <c r="DO22">
        <v>0</v>
      </c>
      <c r="DP22">
        <v>8.3581533475936059E-4</v>
      </c>
      <c r="DQ22">
        <v>0</v>
      </c>
      <c r="DR22">
        <v>0.10482124767075669</v>
      </c>
      <c r="DS22">
        <v>0.89517875232924327</v>
      </c>
      <c r="DT22">
        <v>0.24725992869393978</v>
      </c>
      <c r="DU22">
        <v>0</v>
      </c>
      <c r="DV22">
        <v>0.4148874800652238</v>
      </c>
      <c r="DW22">
        <v>1.1282349230952551E-3</v>
      </c>
      <c r="DX22">
        <v>0.27274074704692353</v>
      </c>
      <c r="DY22">
        <v>4.6952434035758855E-2</v>
      </c>
      <c r="DZ22">
        <v>5.2881513955768565E-3</v>
      </c>
      <c r="EA22">
        <v>1.1743023839481784E-2</v>
      </c>
      <c r="EB22">
        <v>2.3642360111374796E-2</v>
      </c>
      <c r="EC22">
        <v>0.97635763988862523</v>
      </c>
      <c r="ED22">
        <v>0.10922750118763781</v>
      </c>
      <c r="EE22">
        <v>0</v>
      </c>
      <c r="EF22">
        <v>0.38173178351061987</v>
      </c>
      <c r="EG22">
        <v>1.7290796701799671E-2</v>
      </c>
      <c r="EH22">
        <v>0.35134870783921479</v>
      </c>
      <c r="EI22">
        <v>5.9146381438159893E-3</v>
      </c>
      <c r="EJ22">
        <v>6.832811597843455E-2</v>
      </c>
      <c r="EK22">
        <v>6.6158456638477317E-2</v>
      </c>
      <c r="EL22">
        <v>7.1733177895600487E-3</v>
      </c>
      <c r="EM22">
        <v>0.99282668221044001</v>
      </c>
    </row>
    <row r="23" spans="1:143" x14ac:dyDescent="0.25">
      <c r="A23" t="s">
        <v>282</v>
      </c>
      <c r="B23">
        <v>0.99885472909196582</v>
      </c>
      <c r="C23">
        <v>1.1452709080341412E-3</v>
      </c>
      <c r="D23">
        <v>0</v>
      </c>
      <c r="E23">
        <v>0</v>
      </c>
      <c r="F23">
        <v>0</v>
      </c>
      <c r="G23">
        <v>0.99985478397631788</v>
      </c>
      <c r="H23">
        <v>1.4521602368220633E-4</v>
      </c>
      <c r="I23">
        <v>0</v>
      </c>
      <c r="J23">
        <v>0</v>
      </c>
      <c r="K23">
        <v>0</v>
      </c>
      <c r="L23">
        <v>0.99877920172915746</v>
      </c>
      <c r="M23">
        <v>8.5528071536940744E-5</v>
      </c>
      <c r="N23">
        <v>0</v>
      </c>
      <c r="O23">
        <v>1.1352701993056029E-3</v>
      </c>
      <c r="P23">
        <v>0</v>
      </c>
      <c r="Q23">
        <v>0</v>
      </c>
      <c r="R23">
        <v>0</v>
      </c>
      <c r="S23">
        <v>1</v>
      </c>
      <c r="T23">
        <v>0.99754086337616121</v>
      </c>
      <c r="U23">
        <v>1.486393475398067E-3</v>
      </c>
      <c r="V23">
        <v>0</v>
      </c>
      <c r="W23">
        <v>8.3250992384308747E-4</v>
      </c>
      <c r="X23">
        <v>1.402332245976665E-4</v>
      </c>
      <c r="Y23">
        <v>0</v>
      </c>
      <c r="Z23">
        <v>0.77643304770470156</v>
      </c>
      <c r="AA23">
        <v>0.22356695229529835</v>
      </c>
      <c r="AB23">
        <v>0.98682508058420781</v>
      </c>
      <c r="AC23">
        <v>0</v>
      </c>
      <c r="AD23">
        <v>2.7912235184194981E-3</v>
      </c>
      <c r="AE23">
        <v>4.3026856434623514E-5</v>
      </c>
      <c r="AF23">
        <v>5.6084032884810781E-3</v>
      </c>
      <c r="AG23">
        <v>4.7322657524569399E-3</v>
      </c>
      <c r="AH23">
        <v>0</v>
      </c>
      <c r="AI23">
        <v>0.39945011107563</v>
      </c>
      <c r="AJ23">
        <v>0.60054988892437</v>
      </c>
      <c r="AK23">
        <v>0.99374180937361645</v>
      </c>
      <c r="AL23">
        <v>0</v>
      </c>
      <c r="AM23">
        <v>3.2389468321727109E-3</v>
      </c>
      <c r="AN23">
        <v>3.1027249927791716E-6</v>
      </c>
      <c r="AO23">
        <v>3.0161410692180215E-3</v>
      </c>
      <c r="AP23">
        <v>0</v>
      </c>
      <c r="AQ23">
        <v>0</v>
      </c>
      <c r="AR23">
        <v>2.1465871432602857E-2</v>
      </c>
      <c r="AS23">
        <v>0.97853412856739719</v>
      </c>
      <c r="AT23">
        <v>0.90759586880089294</v>
      </c>
      <c r="AU23">
        <v>0</v>
      </c>
      <c r="AV23">
        <v>8.2334344074398678E-3</v>
      </c>
      <c r="AW23">
        <v>0</v>
      </c>
      <c r="AX23">
        <v>6.1709418610539586E-2</v>
      </c>
      <c r="AY23">
        <v>1.5002901247815659E-2</v>
      </c>
      <c r="AZ23">
        <v>7.4583769333119304E-3</v>
      </c>
      <c r="BA23">
        <v>0</v>
      </c>
      <c r="BB23">
        <v>0.21998627828209649</v>
      </c>
      <c r="BC23">
        <v>0.78001372171790362</v>
      </c>
      <c r="BD23">
        <v>0.9332888295882269</v>
      </c>
      <c r="BE23">
        <v>0</v>
      </c>
      <c r="BF23">
        <v>1.2526984465206822E-2</v>
      </c>
      <c r="BG23">
        <v>0</v>
      </c>
      <c r="BH23">
        <v>4.6463024301496007E-2</v>
      </c>
      <c r="BI23">
        <v>7.2483303686962297E-3</v>
      </c>
      <c r="BJ23">
        <v>4.7283127637405792E-4</v>
      </c>
      <c r="BK23">
        <v>0</v>
      </c>
      <c r="BL23">
        <v>1.4371283507674124E-2</v>
      </c>
      <c r="BM23">
        <v>0.98562871649232586</v>
      </c>
      <c r="BN23">
        <v>0.85006815598108088</v>
      </c>
      <c r="BO23">
        <v>7.1341945984697112E-4</v>
      </c>
      <c r="BP23">
        <v>2.7132909397565796E-2</v>
      </c>
      <c r="BQ23">
        <v>0</v>
      </c>
      <c r="BR23">
        <v>9.2909826424656256E-2</v>
      </c>
      <c r="BS23">
        <v>2.9064946901208699E-2</v>
      </c>
      <c r="BT23">
        <v>1.107418356415224E-4</v>
      </c>
      <c r="BU23">
        <v>0.11131898067117725</v>
      </c>
      <c r="BV23">
        <v>0.88868101932882271</v>
      </c>
      <c r="BW23">
        <v>0.5964710195405053</v>
      </c>
      <c r="BX23">
        <v>0</v>
      </c>
      <c r="BY23">
        <v>4.4635634952286368E-2</v>
      </c>
      <c r="BZ23">
        <v>1.1617882862358502E-4</v>
      </c>
      <c r="CA23">
        <v>0.13632907611138528</v>
      </c>
      <c r="CB23">
        <v>0.22212878952597798</v>
      </c>
      <c r="CC23">
        <v>3.1930104122149206E-4</v>
      </c>
      <c r="CD23">
        <v>5.6790801670897409E-2</v>
      </c>
      <c r="CE23">
        <v>0.94320919832910255</v>
      </c>
      <c r="CF23">
        <v>9.5750555804922602E-2</v>
      </c>
      <c r="CG23">
        <v>0</v>
      </c>
      <c r="CH23">
        <v>0.19977341599403964</v>
      </c>
      <c r="CI23">
        <v>2.3856865940723431E-3</v>
      </c>
      <c r="CJ23">
        <v>0.14925110657350737</v>
      </c>
      <c r="CK23">
        <v>0.46061639682168004</v>
      </c>
      <c r="CL23">
        <v>7.6560531145072164E-2</v>
      </c>
      <c r="CM23">
        <v>1.566230706670586E-2</v>
      </c>
      <c r="CN23">
        <v>0.29692356960558575</v>
      </c>
      <c r="CO23">
        <v>0.70307643039441425</v>
      </c>
      <c r="CP23">
        <v>0.10676324249246127</v>
      </c>
      <c r="CQ23">
        <v>2.1360741857512944E-4</v>
      </c>
      <c r="CR23">
        <v>0.11374666033640254</v>
      </c>
      <c r="CS23">
        <v>3.5515241393644843E-3</v>
      </c>
      <c r="CT23">
        <v>7.1122612564090776E-2</v>
      </c>
      <c r="CU23">
        <v>0.64034023379933869</v>
      </c>
      <c r="CV23">
        <v>3.2294134583339171E-2</v>
      </c>
      <c r="CW23">
        <v>3.1967984666427973E-2</v>
      </c>
      <c r="CX23">
        <v>0.17098616919576323</v>
      </c>
      <c r="CY23">
        <v>0.82901383080423674</v>
      </c>
      <c r="CZ23">
        <v>0.61624871600000908</v>
      </c>
      <c r="DA23">
        <v>0</v>
      </c>
      <c r="DB23">
        <v>0.31152654206128616</v>
      </c>
      <c r="DC23">
        <v>0</v>
      </c>
      <c r="DD23">
        <v>3.5260441694489053E-2</v>
      </c>
      <c r="DE23">
        <v>3.57443600774901E-2</v>
      </c>
      <c r="DF23">
        <v>1.2199401667255148E-3</v>
      </c>
      <c r="DG23">
        <v>0</v>
      </c>
      <c r="DH23">
        <v>0.95980851003626155</v>
      </c>
      <c r="DI23">
        <v>4.0191489963738454E-2</v>
      </c>
      <c r="DJ23">
        <v>0.34655622606953546</v>
      </c>
      <c r="DK23">
        <v>0</v>
      </c>
      <c r="DL23">
        <v>0.37205313203489493</v>
      </c>
      <c r="DM23">
        <v>0</v>
      </c>
      <c r="DN23">
        <v>0.13936140779375644</v>
      </c>
      <c r="DO23">
        <v>0.14112645202498725</v>
      </c>
      <c r="DP23">
        <v>9.027820768258562E-4</v>
      </c>
      <c r="DQ23">
        <v>0</v>
      </c>
      <c r="DR23">
        <v>0.41322711577918486</v>
      </c>
      <c r="DS23">
        <v>0.58677288422081519</v>
      </c>
      <c r="DT23">
        <v>0.37795084852183503</v>
      </c>
      <c r="DU23">
        <v>0</v>
      </c>
      <c r="DV23">
        <v>7.7989937710468527E-2</v>
      </c>
      <c r="DW23">
        <v>4.2207419112516489E-3</v>
      </c>
      <c r="DX23">
        <v>0.25607084660133078</v>
      </c>
      <c r="DY23">
        <v>0.14071174185442756</v>
      </c>
      <c r="DZ23">
        <v>6.1867758570904971E-2</v>
      </c>
      <c r="EA23">
        <v>8.1188124829781716E-2</v>
      </c>
      <c r="EB23">
        <v>0.1395233113407541</v>
      </c>
      <c r="EC23">
        <v>0.86047668865924598</v>
      </c>
      <c r="ED23">
        <v>0.3080851656446042</v>
      </c>
      <c r="EE23">
        <v>0</v>
      </c>
      <c r="EF23">
        <v>6.6076780451473568E-2</v>
      </c>
      <c r="EG23">
        <v>0</v>
      </c>
      <c r="EH23">
        <v>0.26472307668951389</v>
      </c>
      <c r="EI23">
        <v>6.2224853356126757E-2</v>
      </c>
      <c r="EJ23">
        <v>0.29889012385828156</v>
      </c>
      <c r="EK23">
        <v>0</v>
      </c>
      <c r="EL23">
        <v>5.6829343140557043E-2</v>
      </c>
      <c r="EM23">
        <v>0.9431706568594429</v>
      </c>
    </row>
    <row r="24" spans="1:143" x14ac:dyDescent="0.25">
      <c r="A24" t="s">
        <v>283</v>
      </c>
      <c r="B24">
        <v>1</v>
      </c>
      <c r="C24">
        <v>0</v>
      </c>
      <c r="D24">
        <v>0</v>
      </c>
      <c r="E24">
        <v>0</v>
      </c>
      <c r="F24">
        <v>0</v>
      </c>
      <c r="G24">
        <v>0.99774474584570594</v>
      </c>
      <c r="H24">
        <v>2.2552541542939283E-3</v>
      </c>
      <c r="I24">
        <v>0</v>
      </c>
      <c r="J24">
        <v>0</v>
      </c>
      <c r="K24">
        <v>0</v>
      </c>
      <c r="L24">
        <v>0.98068882818595771</v>
      </c>
      <c r="M24">
        <v>1.5572973419053756E-2</v>
      </c>
      <c r="N24">
        <v>0</v>
      </c>
      <c r="O24">
        <v>4.3065631831732385E-4</v>
      </c>
      <c r="P24">
        <v>3.3075420766710702E-3</v>
      </c>
      <c r="Q24">
        <v>0</v>
      </c>
      <c r="R24">
        <v>0.50755878598125637</v>
      </c>
      <c r="S24">
        <v>0.49244121401874369</v>
      </c>
      <c r="T24">
        <v>0.96939551880928265</v>
      </c>
      <c r="U24">
        <v>2.9617390840576626E-2</v>
      </c>
      <c r="V24">
        <v>3.1831974023826695E-6</v>
      </c>
      <c r="W24">
        <v>1.1218662618801348E-4</v>
      </c>
      <c r="X24">
        <v>8.7172052655033738E-4</v>
      </c>
      <c r="Y24">
        <v>0</v>
      </c>
      <c r="Z24">
        <v>0.76556140443977472</v>
      </c>
      <c r="AA24">
        <v>0.23443859556022525</v>
      </c>
      <c r="AB24">
        <v>0.9839934750107644</v>
      </c>
      <c r="AC24">
        <v>0</v>
      </c>
      <c r="AD24">
        <v>8.5377943124165991E-3</v>
      </c>
      <c r="AE24">
        <v>0</v>
      </c>
      <c r="AF24">
        <v>1.2116313726953545E-3</v>
      </c>
      <c r="AG24">
        <v>6.2570993041236389E-3</v>
      </c>
      <c r="AH24">
        <v>0</v>
      </c>
      <c r="AI24">
        <v>0.3769138787962622</v>
      </c>
      <c r="AJ24">
        <v>0.62308612120373774</v>
      </c>
      <c r="AK24">
        <v>0.97782683719202479</v>
      </c>
      <c r="AL24">
        <v>0</v>
      </c>
      <c r="AM24">
        <v>4.5352033096837203E-3</v>
      </c>
      <c r="AN24">
        <v>8.5997583898143859E-7</v>
      </c>
      <c r="AO24">
        <v>8.3594408124204201E-3</v>
      </c>
      <c r="AP24">
        <v>9.2726813671515362E-3</v>
      </c>
      <c r="AQ24">
        <v>4.977342880523343E-6</v>
      </c>
      <c r="AR24">
        <v>0.64493540434481988</v>
      </c>
      <c r="AS24">
        <v>0.35506459565518006</v>
      </c>
      <c r="AT24">
        <v>0.93917000897263936</v>
      </c>
      <c r="AU24">
        <v>0</v>
      </c>
      <c r="AV24">
        <v>1.2567446123340882E-2</v>
      </c>
      <c r="AW24">
        <v>9.582029294727667E-7</v>
      </c>
      <c r="AX24">
        <v>3.2002387739493154E-2</v>
      </c>
      <c r="AY24">
        <v>5.1517387217094816E-3</v>
      </c>
      <c r="AZ24">
        <v>1.1107460239887663E-2</v>
      </c>
      <c r="BA24">
        <v>0</v>
      </c>
      <c r="BB24">
        <v>0.63820915108256282</v>
      </c>
      <c r="BC24">
        <v>0.36179084891743712</v>
      </c>
      <c r="BD24">
        <v>0.93588069294515053</v>
      </c>
      <c r="BE24">
        <v>0</v>
      </c>
      <c r="BF24">
        <v>1.1347964067986865E-2</v>
      </c>
      <c r="BG24">
        <v>1.5153944346393166E-5</v>
      </c>
      <c r="BH24">
        <v>1.7661635111267327E-2</v>
      </c>
      <c r="BI24">
        <v>6.8042205568408431E-3</v>
      </c>
      <c r="BJ24">
        <v>2.8269070242076626E-2</v>
      </c>
      <c r="BK24">
        <v>2.1263132331424592E-5</v>
      </c>
      <c r="BL24">
        <v>0.64226000289653418</v>
      </c>
      <c r="BM24">
        <v>0.35773999710346571</v>
      </c>
      <c r="BN24">
        <v>0.93711833409630418</v>
      </c>
      <c r="BO24">
        <v>0</v>
      </c>
      <c r="BP24">
        <v>2.5173220868056369E-2</v>
      </c>
      <c r="BQ24">
        <v>2.976117693818157E-5</v>
      </c>
      <c r="BR24">
        <v>1.9445866302012005E-2</v>
      </c>
      <c r="BS24">
        <v>1.8218613554530767E-2</v>
      </c>
      <c r="BT24">
        <v>1.4204002158391833E-5</v>
      </c>
      <c r="BU24">
        <v>0.30480103204550263</v>
      </c>
      <c r="BV24">
        <v>0.69519896795449743</v>
      </c>
      <c r="BW24">
        <v>0.9166382906093844</v>
      </c>
      <c r="BX24">
        <v>4.9079711920400286E-7</v>
      </c>
      <c r="BY24">
        <v>3.9078645688698371E-2</v>
      </c>
      <c r="BZ24">
        <v>5.8808779084470131E-5</v>
      </c>
      <c r="CA24">
        <v>9.5106495078708265E-3</v>
      </c>
      <c r="CB24">
        <v>3.4637652810463222E-2</v>
      </c>
      <c r="CC24">
        <v>7.5461807379804358E-5</v>
      </c>
      <c r="CD24">
        <v>0.25771570226799717</v>
      </c>
      <c r="CE24">
        <v>0.74228429773200288</v>
      </c>
      <c r="CF24">
        <v>0.59095373817341557</v>
      </c>
      <c r="CG24">
        <v>5.8156711447494332E-5</v>
      </c>
      <c r="CH24">
        <v>3.8264503450684072E-2</v>
      </c>
      <c r="CI24">
        <v>1.073837885508246E-3</v>
      </c>
      <c r="CJ24">
        <v>3.0008246563438729E-2</v>
      </c>
      <c r="CK24">
        <v>0.32401329499714177</v>
      </c>
      <c r="CL24">
        <v>1.4390258966514288E-2</v>
      </c>
      <c r="CM24">
        <v>1.2379632518497877E-3</v>
      </c>
      <c r="CN24">
        <v>0.24771308629871394</v>
      </c>
      <c r="CO24">
        <v>0.75228691370128609</v>
      </c>
      <c r="CP24">
        <v>0.5895194249396315</v>
      </c>
      <c r="CQ24">
        <v>1.3342160456419053E-4</v>
      </c>
      <c r="CR24">
        <v>4.4804749516807629E-2</v>
      </c>
      <c r="CS24">
        <v>8.870187832186779E-4</v>
      </c>
      <c r="CT24">
        <v>1.6829259521495436E-2</v>
      </c>
      <c r="CU24">
        <v>0.3297986107498172</v>
      </c>
      <c r="CV24">
        <v>1.207111779567731E-2</v>
      </c>
      <c r="CW24">
        <v>5.9563970887880355E-3</v>
      </c>
      <c r="CX24">
        <v>0.2670403136375093</v>
      </c>
      <c r="CY24">
        <v>0.73295968636249065</v>
      </c>
      <c r="CZ24">
        <v>0.73702958872333968</v>
      </c>
      <c r="DA24">
        <v>0</v>
      </c>
      <c r="DB24">
        <v>5.7672692922695655E-3</v>
      </c>
      <c r="DC24">
        <v>4.3430399656932509E-4</v>
      </c>
      <c r="DD24">
        <v>4.2667681008131855E-2</v>
      </c>
      <c r="DE24">
        <v>0.19702239645990482</v>
      </c>
      <c r="DF24">
        <v>1.6784588673259736E-2</v>
      </c>
      <c r="DG24">
        <v>2.9417184652497178E-4</v>
      </c>
      <c r="DH24">
        <v>0.52397774234537831</v>
      </c>
      <c r="DI24">
        <v>0.47602225765462169</v>
      </c>
      <c r="DJ24">
        <v>0.94021409003119449</v>
      </c>
      <c r="DK24">
        <v>0</v>
      </c>
      <c r="DL24">
        <v>2.249091946140341E-2</v>
      </c>
      <c r="DM24">
        <v>3.7275190843597726E-4</v>
      </c>
      <c r="DN24">
        <v>3.5381715584805302E-2</v>
      </c>
      <c r="DO24">
        <v>0</v>
      </c>
      <c r="DP24">
        <v>1.2463669538879522E-3</v>
      </c>
      <c r="DQ24">
        <v>2.9415606027291124E-4</v>
      </c>
      <c r="DR24">
        <v>0.20523987882110858</v>
      </c>
      <c r="DS24">
        <v>0.79476012117889139</v>
      </c>
      <c r="DT24">
        <v>0.47586133226969707</v>
      </c>
      <c r="DU24">
        <v>0</v>
      </c>
      <c r="DV24">
        <v>0.13438091386100556</v>
      </c>
      <c r="DW24">
        <v>7.8489188940471816E-3</v>
      </c>
      <c r="DX24">
        <v>0.14420732421017013</v>
      </c>
      <c r="DY24">
        <v>0.12762107639464798</v>
      </c>
      <c r="DZ24">
        <v>6.9449154400085089E-2</v>
      </c>
      <c r="EA24">
        <v>4.0631279970347094E-2</v>
      </c>
      <c r="EB24">
        <v>6.9494025076458743E-2</v>
      </c>
      <c r="EC24">
        <v>0.93050597492354126</v>
      </c>
      <c r="ED24">
        <v>0.4179879044684161</v>
      </c>
      <c r="EE24">
        <v>0</v>
      </c>
      <c r="EF24">
        <v>0.14446233257341007</v>
      </c>
      <c r="EG24">
        <v>4.3867612242211237E-3</v>
      </c>
      <c r="EH24">
        <v>0.17970234298268103</v>
      </c>
      <c r="EI24">
        <v>4.8565494714427886E-2</v>
      </c>
      <c r="EJ24">
        <v>0.16270765801713705</v>
      </c>
      <c r="EK24">
        <v>4.2187506019706715E-2</v>
      </c>
      <c r="EL24">
        <v>4.0121493394705006E-2</v>
      </c>
      <c r="EM24">
        <v>0.95987850660529495</v>
      </c>
    </row>
    <row r="25" spans="1:143" x14ac:dyDescent="0.25">
      <c r="A25" t="s">
        <v>284</v>
      </c>
      <c r="B25">
        <v>0.73435137285945551</v>
      </c>
      <c r="C25">
        <v>0.26564167719832399</v>
      </c>
      <c r="D25">
        <v>6.9499422204133322E-6</v>
      </c>
      <c r="E25">
        <v>0</v>
      </c>
      <c r="F25">
        <v>0</v>
      </c>
      <c r="G25">
        <v>0.90782828581064101</v>
      </c>
      <c r="H25">
        <v>9.2138319541266347E-2</v>
      </c>
      <c r="I25">
        <v>5.7065208279552003E-7</v>
      </c>
      <c r="J25">
        <v>2.5279109069447396E-5</v>
      </c>
      <c r="K25">
        <v>7.5448869401238015E-6</v>
      </c>
      <c r="L25">
        <v>0.9297213214939134</v>
      </c>
      <c r="M25">
        <v>6.9867909615507554E-2</v>
      </c>
      <c r="N25">
        <v>1.2943818881382479E-4</v>
      </c>
      <c r="O25">
        <v>2.1569255825808716E-4</v>
      </c>
      <c r="P25">
        <v>6.5638143507373354E-5</v>
      </c>
      <c r="Q25">
        <v>0</v>
      </c>
      <c r="R25">
        <v>0.72458832680456076</v>
      </c>
      <c r="S25">
        <v>0.27541167319543924</v>
      </c>
      <c r="T25">
        <v>0.96243527192014577</v>
      </c>
      <c r="U25">
        <v>3.7499927432827783E-2</v>
      </c>
      <c r="V25">
        <v>6.4800647026294674E-5</v>
      </c>
      <c r="W25">
        <v>0</v>
      </c>
      <c r="X25">
        <v>0</v>
      </c>
      <c r="Y25">
        <v>0</v>
      </c>
      <c r="Z25">
        <v>4.8075586714913902E-2</v>
      </c>
      <c r="AA25">
        <v>0.95192441328508615</v>
      </c>
      <c r="AB25">
        <v>0.89230293911603431</v>
      </c>
      <c r="AC25">
        <v>1.8171432523246686E-4</v>
      </c>
      <c r="AD25">
        <v>0.10705096082763227</v>
      </c>
      <c r="AE25">
        <v>6.4754101429608077E-5</v>
      </c>
      <c r="AF25">
        <v>3.4830429678413483E-4</v>
      </c>
      <c r="AG25">
        <v>5.0405675898771111E-5</v>
      </c>
      <c r="AH25">
        <v>9.2165698838686371E-7</v>
      </c>
      <c r="AI25">
        <v>0.62898117346273019</v>
      </c>
      <c r="AJ25">
        <v>0.37101882653726975</v>
      </c>
      <c r="AK25">
        <v>0.99990152544653832</v>
      </c>
      <c r="AL25">
        <v>0</v>
      </c>
      <c r="AM25">
        <v>0</v>
      </c>
      <c r="AN25">
        <v>8.3295038099003005E-5</v>
      </c>
      <c r="AO25">
        <v>4.9683433698711789E-6</v>
      </c>
      <c r="AP25">
        <v>0</v>
      </c>
      <c r="AQ25">
        <v>1.0211171992856824E-5</v>
      </c>
      <c r="AR25">
        <v>0.30096125396537471</v>
      </c>
      <c r="AS25">
        <v>0.69903874603462524</v>
      </c>
      <c r="AT25">
        <v>0.87325914081756839</v>
      </c>
      <c r="AU25">
        <v>3.2840349831068206E-4</v>
      </c>
      <c r="AV25">
        <v>4.4401212459547937E-2</v>
      </c>
      <c r="AW25">
        <v>1.7935938859497999E-5</v>
      </c>
      <c r="AX25">
        <v>8.1408894016827382E-2</v>
      </c>
      <c r="AY25">
        <v>3.8763415224212606E-4</v>
      </c>
      <c r="AZ25">
        <v>1.4572183208110608E-4</v>
      </c>
      <c r="BA25">
        <v>5.1057284562940631E-5</v>
      </c>
      <c r="BB25">
        <v>0.44231295999943887</v>
      </c>
      <c r="BC25">
        <v>0.55768704000056113</v>
      </c>
      <c r="BD25">
        <v>0.78051875353826894</v>
      </c>
      <c r="BE25">
        <v>9.9490251539886926E-5</v>
      </c>
      <c r="BF25">
        <v>8.367919290458152E-3</v>
      </c>
      <c r="BG25">
        <v>7.0021963236782184E-6</v>
      </c>
      <c r="BH25">
        <v>0.21084245078788733</v>
      </c>
      <c r="BI25">
        <v>8.9123400496865279E-5</v>
      </c>
      <c r="BJ25">
        <v>6.4858525036495666E-5</v>
      </c>
      <c r="BK25">
        <v>1.0402009988798218E-5</v>
      </c>
      <c r="BL25">
        <v>0.44123356831590022</v>
      </c>
      <c r="BM25">
        <v>0.55876643168409967</v>
      </c>
      <c r="BN25">
        <v>0.91867761583200136</v>
      </c>
      <c r="BO25">
        <v>1.5170261478725114E-3</v>
      </c>
      <c r="BP25">
        <v>7.7389944698999652E-2</v>
      </c>
      <c r="BQ25">
        <v>1.7937040879159159E-5</v>
      </c>
      <c r="BR25">
        <v>1.5658048949392033E-3</v>
      </c>
      <c r="BS25">
        <v>7.8505847256735595E-4</v>
      </c>
      <c r="BT25">
        <v>4.6612912740710697E-5</v>
      </c>
      <c r="BU25">
        <v>0.29278315537899025</v>
      </c>
      <c r="BV25">
        <v>0.70721684462100975</v>
      </c>
      <c r="BW25">
        <v>0.99768300664878617</v>
      </c>
      <c r="BX25">
        <v>0</v>
      </c>
      <c r="BY25">
        <v>0</v>
      </c>
      <c r="BZ25">
        <v>1.1848351735123911E-5</v>
      </c>
      <c r="CA25">
        <v>1.3280571755614893E-3</v>
      </c>
      <c r="CB25">
        <v>8.6236372777201929E-4</v>
      </c>
      <c r="CC25">
        <v>1.1472409614522582E-4</v>
      </c>
      <c r="CD25">
        <v>0.2898358506231854</v>
      </c>
      <c r="CE25">
        <v>0.7101641493768146</v>
      </c>
      <c r="CF25">
        <v>0.10298909900400995</v>
      </c>
      <c r="CG25">
        <v>1.3853426145126367E-3</v>
      </c>
      <c r="CH25">
        <v>0.7421095634514524</v>
      </c>
      <c r="CI25">
        <v>2.8870218892140359E-4</v>
      </c>
      <c r="CJ25">
        <v>0.13413575661676708</v>
      </c>
      <c r="CK25">
        <v>1.3639815232592809E-2</v>
      </c>
      <c r="CL25">
        <v>1.0082265707011884E-3</v>
      </c>
      <c r="CM25">
        <v>4.4434943210425477E-3</v>
      </c>
      <c r="CN25">
        <v>0.16539834379167376</v>
      </c>
      <c r="CO25">
        <v>0.83460165620832638</v>
      </c>
      <c r="CP25">
        <v>0.14512750620665907</v>
      </c>
      <c r="CQ25">
        <v>3.0463117939132254E-3</v>
      </c>
      <c r="CR25">
        <v>0.64486790225926549</v>
      </c>
      <c r="CS25">
        <v>4.2817210508533962E-4</v>
      </c>
      <c r="CT25">
        <v>0.17888493731822144</v>
      </c>
      <c r="CU25">
        <v>1.443145979967924E-2</v>
      </c>
      <c r="CV25">
        <v>2.3232164727904022E-3</v>
      </c>
      <c r="CW25">
        <v>1.0890494044385768E-2</v>
      </c>
      <c r="CX25">
        <v>4.5933210738890243E-2</v>
      </c>
      <c r="CY25">
        <v>0.95406678926110977</v>
      </c>
      <c r="CZ25">
        <v>0.59001442908662316</v>
      </c>
      <c r="DA25">
        <v>3.0966765440274208E-4</v>
      </c>
      <c r="DB25">
        <v>0.20410186599793476</v>
      </c>
      <c r="DC25">
        <v>1.3353980502526534E-4</v>
      </c>
      <c r="DD25">
        <v>0.19981153540464472</v>
      </c>
      <c r="DE25">
        <v>1.9658078987464574E-3</v>
      </c>
      <c r="DF25">
        <v>3.0027353030269617E-4</v>
      </c>
      <c r="DG25">
        <v>3.3628806223204425E-3</v>
      </c>
      <c r="DH25">
        <v>0.40205961968820814</v>
      </c>
      <c r="DI25">
        <v>0.59794038031179186</v>
      </c>
      <c r="DJ25">
        <v>0.59704351739825645</v>
      </c>
      <c r="DK25">
        <v>6.1863245453453526E-4</v>
      </c>
      <c r="DL25">
        <v>9.8563907891710531E-2</v>
      </c>
      <c r="DM25">
        <v>4.420973819294044E-5</v>
      </c>
      <c r="DN25">
        <v>0.29776788900075357</v>
      </c>
      <c r="DO25">
        <v>1.1866542612686338E-3</v>
      </c>
      <c r="DP25">
        <v>2.8717854053804761E-4</v>
      </c>
      <c r="DQ25">
        <v>4.4880107147453564E-3</v>
      </c>
      <c r="DR25">
        <v>0.42148652847023094</v>
      </c>
      <c r="DS25">
        <v>0.57851347152976906</v>
      </c>
      <c r="DT25">
        <v>0.33462978898110141</v>
      </c>
      <c r="DU25">
        <v>1.7960845228597746E-4</v>
      </c>
      <c r="DV25">
        <v>0.34697589956033664</v>
      </c>
      <c r="DW25">
        <v>3.1648794268154622E-4</v>
      </c>
      <c r="DX25">
        <v>0.28381512328831726</v>
      </c>
      <c r="DY25">
        <v>2.9023936511779328E-3</v>
      </c>
      <c r="DZ25">
        <v>3.6998892392470428E-3</v>
      </c>
      <c r="EA25">
        <v>2.7480808884852156E-2</v>
      </c>
      <c r="EB25">
        <v>9.6337378294525364E-2</v>
      </c>
      <c r="EC25">
        <v>0.90366262170547462</v>
      </c>
      <c r="ED25">
        <v>0.33624317034299012</v>
      </c>
      <c r="EE25">
        <v>1.014768509263619E-4</v>
      </c>
      <c r="EF25">
        <v>0.29721724928784254</v>
      </c>
      <c r="EG25">
        <v>6.1812858000227311E-4</v>
      </c>
      <c r="EH25">
        <v>0.31096678893255864</v>
      </c>
      <c r="EI25">
        <v>2.7561243726119283E-3</v>
      </c>
      <c r="EJ25">
        <v>3.1160877607066404E-2</v>
      </c>
      <c r="EK25">
        <v>2.0936184026001749E-2</v>
      </c>
      <c r="EL25">
        <v>0.16811895575475763</v>
      </c>
      <c r="EM25">
        <v>0.83188104424524234</v>
      </c>
    </row>
    <row r="26" spans="1:143" x14ac:dyDescent="0.25">
      <c r="A26" t="s">
        <v>285</v>
      </c>
      <c r="B26">
        <v>0.99997960851309142</v>
      </c>
      <c r="C26">
        <v>2.0391486908572704E-5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0.99760012240751916</v>
      </c>
      <c r="M26">
        <v>1.1235486039179485E-3</v>
      </c>
      <c r="N26">
        <v>0</v>
      </c>
      <c r="O26">
        <v>1.2610540926093891E-3</v>
      </c>
      <c r="P26">
        <v>6.8732857543299427E-6</v>
      </c>
      <c r="Q26">
        <v>8.4016101990403556E-6</v>
      </c>
      <c r="R26">
        <v>0.18904363900921736</v>
      </c>
      <c r="S26">
        <v>0.81095636099078261</v>
      </c>
      <c r="T26">
        <v>0.99587362915086475</v>
      </c>
      <c r="U26">
        <v>2.0537791836905484E-3</v>
      </c>
      <c r="V26">
        <v>8.9784133869032987E-7</v>
      </c>
      <c r="W26">
        <v>6.5728031660318442E-4</v>
      </c>
      <c r="X26">
        <v>1.3973566491613447E-3</v>
      </c>
      <c r="Y26">
        <v>1.7056858341370152E-5</v>
      </c>
      <c r="Z26">
        <v>0.14998374919008398</v>
      </c>
      <c r="AA26">
        <v>0.85001625080991594</v>
      </c>
      <c r="AB26">
        <v>0.98520267582008447</v>
      </c>
      <c r="AC26">
        <v>0</v>
      </c>
      <c r="AD26">
        <v>2.628429491259735E-3</v>
      </c>
      <c r="AE26">
        <v>1.1500346063435646E-5</v>
      </c>
      <c r="AF26">
        <v>9.2265254487788849E-3</v>
      </c>
      <c r="AG26">
        <v>2.8786764102572008E-3</v>
      </c>
      <c r="AH26">
        <v>5.2192483556329518E-5</v>
      </c>
      <c r="AI26">
        <v>0.11146937168219866</v>
      </c>
      <c r="AJ26">
        <v>0.88853062831780139</v>
      </c>
      <c r="AK26">
        <v>0.98812849621327636</v>
      </c>
      <c r="AL26">
        <v>0</v>
      </c>
      <c r="AM26">
        <v>5.486261825923678E-5</v>
      </c>
      <c r="AN26">
        <v>1.0121580954749717E-5</v>
      </c>
      <c r="AO26">
        <v>4.7708468974026915E-4</v>
      </c>
      <c r="AP26">
        <v>1.1239264473569868E-2</v>
      </c>
      <c r="AQ26">
        <v>9.017042419946528E-5</v>
      </c>
      <c r="AR26">
        <v>0.11970699182113853</v>
      </c>
      <c r="AS26">
        <v>0.88029300817886147</v>
      </c>
      <c r="AT26">
        <v>0.39729657467500368</v>
      </c>
      <c r="AU26">
        <v>0</v>
      </c>
      <c r="AV26">
        <v>1.9303361173433618E-3</v>
      </c>
      <c r="AW26">
        <v>3.5010721134610841E-7</v>
      </c>
      <c r="AX26">
        <v>0.59184227955516855</v>
      </c>
      <c r="AY26">
        <v>8.7139599373435937E-3</v>
      </c>
      <c r="AZ26">
        <v>2.0926272657985655E-4</v>
      </c>
      <c r="BA26">
        <v>7.2368813493258977E-6</v>
      </c>
      <c r="BB26">
        <v>5.2853667648060182E-2</v>
      </c>
      <c r="BC26">
        <v>0.9471463323519399</v>
      </c>
      <c r="BD26">
        <v>0.3000656203128233</v>
      </c>
      <c r="BE26">
        <v>0</v>
      </c>
      <c r="BF26">
        <v>7.8450867399495669E-4</v>
      </c>
      <c r="BG26">
        <v>8.1051631377408605E-7</v>
      </c>
      <c r="BH26">
        <v>0.68036114686491622</v>
      </c>
      <c r="BI26">
        <v>2.9171563898685524E-4</v>
      </c>
      <c r="BJ26">
        <v>1.8401391498726917E-2</v>
      </c>
      <c r="BK26">
        <v>9.4806494238049846E-5</v>
      </c>
      <c r="BL26">
        <v>6.8816855004613264E-2</v>
      </c>
      <c r="BM26">
        <v>0.93118314499538679</v>
      </c>
      <c r="BN26">
        <v>0.9520061142602172</v>
      </c>
      <c r="BO26">
        <v>0</v>
      </c>
      <c r="BP26">
        <v>2.305145477924947E-2</v>
      </c>
      <c r="BQ26">
        <v>1.2316607006005868E-5</v>
      </c>
      <c r="BR26">
        <v>1.6038690498673097E-2</v>
      </c>
      <c r="BS26">
        <v>8.5672879941423776E-3</v>
      </c>
      <c r="BT26">
        <v>3.2413586071203623E-4</v>
      </c>
      <c r="BU26">
        <v>1.8917207021748123E-2</v>
      </c>
      <c r="BV26">
        <v>0.98108279297825185</v>
      </c>
      <c r="BW26">
        <v>0</v>
      </c>
      <c r="BX26">
        <v>0</v>
      </c>
      <c r="BY26">
        <v>0</v>
      </c>
      <c r="BZ26">
        <v>7.8989624666479186E-2</v>
      </c>
      <c r="CA26">
        <v>0</v>
      </c>
      <c r="CB26">
        <v>0.76640404246073113</v>
      </c>
      <c r="CC26">
        <v>0.15460633287278977</v>
      </c>
      <c r="CD26">
        <v>3.186356481551105E-3</v>
      </c>
      <c r="CE26">
        <v>0.99681364351844881</v>
      </c>
      <c r="CF26">
        <v>0.26157298736931905</v>
      </c>
      <c r="CG26">
        <v>0</v>
      </c>
      <c r="CH26">
        <v>0.19791595882922813</v>
      </c>
      <c r="CI26">
        <v>7.8046060648708088E-3</v>
      </c>
      <c r="CJ26">
        <v>0.3348391789023093</v>
      </c>
      <c r="CK26">
        <v>0.1517562770519309</v>
      </c>
      <c r="CL26">
        <v>4.2073082224522926E-2</v>
      </c>
      <c r="CM26">
        <v>4.0379095578190671E-3</v>
      </c>
      <c r="CN26">
        <v>2.3114519843044658E-2</v>
      </c>
      <c r="CO26">
        <v>0.97688548015695542</v>
      </c>
      <c r="CP26">
        <v>0.14927920404738274</v>
      </c>
      <c r="CQ26">
        <v>0</v>
      </c>
      <c r="CR26">
        <v>0.3127578892987769</v>
      </c>
      <c r="CS26">
        <v>0</v>
      </c>
      <c r="CT26">
        <v>0</v>
      </c>
      <c r="CU26">
        <v>0.20865516406294835</v>
      </c>
      <c r="CV26">
        <v>0.30169381009181945</v>
      </c>
      <c r="CW26">
        <v>2.7613932499072628E-2</v>
      </c>
      <c r="CX26">
        <v>6.1497063539957568E-3</v>
      </c>
      <c r="CY26">
        <v>0.9938502936460043</v>
      </c>
      <c r="CZ26">
        <v>0.91266550060907603</v>
      </c>
      <c r="DA26">
        <v>0</v>
      </c>
      <c r="DB26">
        <v>1.9399875416691244E-2</v>
      </c>
      <c r="DC26">
        <v>0</v>
      </c>
      <c r="DD26">
        <v>4.3549548213803043E-3</v>
      </c>
      <c r="DE26">
        <v>6.3579669152852375E-2</v>
      </c>
      <c r="DF26">
        <v>0</v>
      </c>
      <c r="DG26">
        <v>0</v>
      </c>
      <c r="DH26">
        <v>0</v>
      </c>
      <c r="DI26">
        <v>1</v>
      </c>
      <c r="DJ26">
        <v>0.30644938756112883</v>
      </c>
      <c r="DK26">
        <v>0</v>
      </c>
      <c r="DL26">
        <v>0.16715137797432245</v>
      </c>
      <c r="DM26">
        <v>0</v>
      </c>
      <c r="DN26">
        <v>0.37790314421057475</v>
      </c>
      <c r="DO26">
        <v>0.14849609025397395</v>
      </c>
      <c r="DP26">
        <v>0</v>
      </c>
      <c r="DQ26">
        <v>0</v>
      </c>
      <c r="DR26">
        <v>0</v>
      </c>
      <c r="DS26">
        <v>1</v>
      </c>
      <c r="DT26">
        <v>0.40126882795937246</v>
      </c>
      <c r="DU26">
        <v>0</v>
      </c>
      <c r="DV26">
        <v>0.11880391310660908</v>
      </c>
      <c r="DW26">
        <v>6.147588443558375E-4</v>
      </c>
      <c r="DX26">
        <v>0.33504743710537072</v>
      </c>
      <c r="DY26">
        <v>5.4691601024890943E-2</v>
      </c>
      <c r="DZ26">
        <v>5.7722574148810109E-2</v>
      </c>
      <c r="EA26">
        <v>3.1850887810590867E-2</v>
      </c>
      <c r="EB26">
        <v>1.6398314980272888E-2</v>
      </c>
      <c r="EC26">
        <v>0.98360168501972711</v>
      </c>
      <c r="ED26">
        <v>0.50025930472942803</v>
      </c>
      <c r="EE26">
        <v>0</v>
      </c>
      <c r="EF26">
        <v>8.5663801574406596E-3</v>
      </c>
      <c r="EG26">
        <v>1.2118139040903323E-3</v>
      </c>
      <c r="EH26">
        <v>0.39163180623805005</v>
      </c>
      <c r="EI26">
        <v>3.0339916130769241E-3</v>
      </c>
      <c r="EJ26">
        <v>7.4984273383164532E-2</v>
      </c>
      <c r="EK26">
        <v>2.0312429974749337E-2</v>
      </c>
      <c r="EL26">
        <v>4.0747286668171264E-3</v>
      </c>
      <c r="EM26">
        <v>0.99592527133318287</v>
      </c>
    </row>
    <row r="27" spans="1:143" x14ac:dyDescent="0.25">
      <c r="A27" t="s">
        <v>286</v>
      </c>
      <c r="B27">
        <v>0.97105559257008944</v>
      </c>
      <c r="C27">
        <v>2.8936415204316602E-2</v>
      </c>
      <c r="D27">
        <v>0</v>
      </c>
      <c r="E27">
        <v>8.4571224956100218E-7</v>
      </c>
      <c r="F27">
        <v>7.1465133443884233E-6</v>
      </c>
      <c r="G27">
        <v>0.96892782335001015</v>
      </c>
      <c r="H27">
        <v>3.1043697831064632E-2</v>
      </c>
      <c r="I27">
        <v>0</v>
      </c>
      <c r="J27">
        <v>9.848620879863291E-6</v>
      </c>
      <c r="K27">
        <v>1.8630198045395831E-5</v>
      </c>
      <c r="L27">
        <v>0.99414364837834557</v>
      </c>
      <c r="M27">
        <v>5.1216404793131528E-3</v>
      </c>
      <c r="N27">
        <v>1.1386166241715915E-6</v>
      </c>
      <c r="O27">
        <v>2.142125701222928E-4</v>
      </c>
      <c r="P27">
        <v>5.1856265192356762E-4</v>
      </c>
      <c r="Q27">
        <v>7.9730367118199069E-7</v>
      </c>
      <c r="R27">
        <v>0.84764292489840209</v>
      </c>
      <c r="S27">
        <v>0.15235707510159802</v>
      </c>
      <c r="T27">
        <v>0.99867459641131273</v>
      </c>
      <c r="U27">
        <v>9.3085204524565404E-4</v>
      </c>
      <c r="V27">
        <v>3.949891930377212E-6</v>
      </c>
      <c r="W27">
        <v>9.5674861651275455E-5</v>
      </c>
      <c r="X27">
        <v>2.9390957328209743E-4</v>
      </c>
      <c r="Y27">
        <v>1.0172165779319182E-6</v>
      </c>
      <c r="Z27">
        <v>0.99211166673913087</v>
      </c>
      <c r="AA27">
        <v>7.8883332608691379E-3</v>
      </c>
      <c r="AB27">
        <v>0.99375541315598914</v>
      </c>
      <c r="AC27">
        <v>0</v>
      </c>
      <c r="AD27">
        <v>3.309770647055065E-3</v>
      </c>
      <c r="AE27">
        <v>6.7362420308058419E-7</v>
      </c>
      <c r="AF27">
        <v>1.0697392132863442E-3</v>
      </c>
      <c r="AG27">
        <v>1.8631088373855167E-3</v>
      </c>
      <c r="AH27">
        <v>1.2945220810062988E-6</v>
      </c>
      <c r="AI27">
        <v>0.9008256070023416</v>
      </c>
      <c r="AJ27">
        <v>9.9174392997658387E-2</v>
      </c>
      <c r="AK27">
        <v>0.99741320364473207</v>
      </c>
      <c r="AL27">
        <v>7.229711773151514E-8</v>
      </c>
      <c r="AM27">
        <v>1.1099357564519179E-3</v>
      </c>
      <c r="AN27">
        <v>4.108654269283713E-6</v>
      </c>
      <c r="AO27">
        <v>4.2024808408943872E-4</v>
      </c>
      <c r="AP27">
        <v>1.049461489319646E-3</v>
      </c>
      <c r="AQ27">
        <v>2.9700740200384235E-6</v>
      </c>
      <c r="AR27">
        <v>0.86100142983517136</v>
      </c>
      <c r="AS27">
        <v>0.13899857016482867</v>
      </c>
      <c r="AT27">
        <v>0.9580641141525098</v>
      </c>
      <c r="AU27">
        <v>7.8360143980676847E-6</v>
      </c>
      <c r="AV27">
        <v>1.0239193440734774E-2</v>
      </c>
      <c r="AW27">
        <v>2.0435573856733911E-5</v>
      </c>
      <c r="AX27">
        <v>1.8731709473508169E-2</v>
      </c>
      <c r="AY27">
        <v>6.974813512660054E-3</v>
      </c>
      <c r="AZ27">
        <v>5.9507103556436609E-3</v>
      </c>
      <c r="BA27">
        <v>1.1187476688703413E-5</v>
      </c>
      <c r="BB27">
        <v>0.51300686129790618</v>
      </c>
      <c r="BC27">
        <v>0.48699313870209388</v>
      </c>
      <c r="BD27">
        <v>0.95078171531041167</v>
      </c>
      <c r="BE27">
        <v>2.8806309891672865E-6</v>
      </c>
      <c r="BF27">
        <v>3.8221014514088049E-3</v>
      </c>
      <c r="BG27">
        <v>3.4655741795417156E-6</v>
      </c>
      <c r="BH27">
        <v>4.0620907000931364E-2</v>
      </c>
      <c r="BI27">
        <v>1.7702914003620979E-3</v>
      </c>
      <c r="BJ27">
        <v>2.9831063168976159E-3</v>
      </c>
      <c r="BK27">
        <v>1.5532314819809381E-5</v>
      </c>
      <c r="BL27">
        <v>0.5721924635102259</v>
      </c>
      <c r="BM27">
        <v>0.42780753648977421</v>
      </c>
      <c r="BN27">
        <v>0.89514750910705532</v>
      </c>
      <c r="BO27">
        <v>1.1861297909703754E-4</v>
      </c>
      <c r="BP27">
        <v>2.2922557849999518E-2</v>
      </c>
      <c r="BQ27">
        <v>1.7785013532305552E-5</v>
      </c>
      <c r="BR27">
        <v>6.0998939971745714E-2</v>
      </c>
      <c r="BS27">
        <v>2.0757748687269779E-2</v>
      </c>
      <c r="BT27">
        <v>3.6846391300085297E-5</v>
      </c>
      <c r="BU27">
        <v>0.51367655318308747</v>
      </c>
      <c r="BV27">
        <v>0.48632344681691259</v>
      </c>
      <c r="BW27">
        <v>0.93612759543317481</v>
      </c>
      <c r="BX27">
        <v>1.112778951441799E-5</v>
      </c>
      <c r="BY27">
        <v>2.3207385980494176E-2</v>
      </c>
      <c r="BZ27">
        <v>1.8885410211855139E-5</v>
      </c>
      <c r="CA27">
        <v>2.3553198559686024E-2</v>
      </c>
      <c r="CB27">
        <v>1.700278118362902E-2</v>
      </c>
      <c r="CC27">
        <v>7.9025643289843618E-5</v>
      </c>
      <c r="CD27">
        <v>0.42627155357821528</v>
      </c>
      <c r="CE27">
        <v>0.57372844642178467</v>
      </c>
      <c r="CF27">
        <v>0.39739342010955575</v>
      </c>
      <c r="CG27">
        <v>3.1506160917705873E-4</v>
      </c>
      <c r="CH27">
        <v>7.3019903864587482E-2</v>
      </c>
      <c r="CI27">
        <v>1.5134248600314124E-3</v>
      </c>
      <c r="CJ27">
        <v>9.8399298227548226E-2</v>
      </c>
      <c r="CK27">
        <v>0.36946158347157543</v>
      </c>
      <c r="CL27">
        <v>5.1446534354585044E-2</v>
      </c>
      <c r="CM27">
        <v>8.4507735029397384E-3</v>
      </c>
      <c r="CN27">
        <v>0.38850723614860061</v>
      </c>
      <c r="CO27">
        <v>0.61149276385139939</v>
      </c>
      <c r="CP27">
        <v>0.35600318914463686</v>
      </c>
      <c r="CQ27">
        <v>1.4875676408904366E-4</v>
      </c>
      <c r="CR27">
        <v>8.2477600597159292E-2</v>
      </c>
      <c r="CS27">
        <v>1.9619580134762997E-3</v>
      </c>
      <c r="CT27">
        <v>9.1694973508802194E-2</v>
      </c>
      <c r="CU27">
        <v>0.35760941111173072</v>
      </c>
      <c r="CV27">
        <v>8.6151358329231598E-2</v>
      </c>
      <c r="CW27">
        <v>2.3952752530873866E-2</v>
      </c>
      <c r="CX27">
        <v>0.31241246524409716</v>
      </c>
      <c r="CY27">
        <v>0.68758753475590284</v>
      </c>
      <c r="CZ27">
        <v>0.78105004911830711</v>
      </c>
      <c r="DA27">
        <v>7.5706710532546614E-5</v>
      </c>
      <c r="DB27">
        <v>6.3637626234331571E-2</v>
      </c>
      <c r="DC27">
        <v>2.6284577401914944E-4</v>
      </c>
      <c r="DD27">
        <v>8.5079370155223474E-2</v>
      </c>
      <c r="DE27">
        <v>6.6313416219226748E-2</v>
      </c>
      <c r="DF27">
        <v>2.5215413870572851E-3</v>
      </c>
      <c r="DG27">
        <v>1.059444401302024E-3</v>
      </c>
      <c r="DH27">
        <v>0.72377845631477822</v>
      </c>
      <c r="DI27">
        <v>0.27622154368522173</v>
      </c>
      <c r="DJ27">
        <v>0.79998643964016103</v>
      </c>
      <c r="DK27">
        <v>3.6482146926653025E-6</v>
      </c>
      <c r="DL27">
        <v>7.2718916395871983E-2</v>
      </c>
      <c r="DM27">
        <v>2.5633069749294874E-4</v>
      </c>
      <c r="DN27">
        <v>9.6008667754391305E-2</v>
      </c>
      <c r="DO27">
        <v>2.560780663696623E-2</v>
      </c>
      <c r="DP27">
        <v>3.916535027967287E-3</v>
      </c>
      <c r="DQ27">
        <v>1.5016556324563878E-3</v>
      </c>
      <c r="DR27">
        <v>0.67150668197868835</v>
      </c>
      <c r="DS27">
        <v>0.32849331802131154</v>
      </c>
      <c r="DT27">
        <v>0.63240395659818949</v>
      </c>
      <c r="DU27">
        <v>5.450795131154649E-5</v>
      </c>
      <c r="DV27">
        <v>8.4898225933101895E-2</v>
      </c>
      <c r="DW27">
        <v>5.6835000482490915E-4</v>
      </c>
      <c r="DX27">
        <v>0.12529997451673883</v>
      </c>
      <c r="DY27">
        <v>8.7241893621811686E-2</v>
      </c>
      <c r="DZ27">
        <v>5.9185527905857904E-2</v>
      </c>
      <c r="EA27">
        <v>1.0347563468163715E-2</v>
      </c>
      <c r="EB27">
        <v>0.30459635535458707</v>
      </c>
      <c r="EC27">
        <v>0.69540364464541282</v>
      </c>
      <c r="ED27">
        <v>0.57113917994098473</v>
      </c>
      <c r="EE27">
        <v>2.0682213329705344E-5</v>
      </c>
      <c r="EF27">
        <v>9.690070172670491E-2</v>
      </c>
      <c r="EG27">
        <v>5.030670703013567E-4</v>
      </c>
      <c r="EH27">
        <v>0.18845141946501043</v>
      </c>
      <c r="EI27">
        <v>3.6125840189250073E-2</v>
      </c>
      <c r="EJ27">
        <v>9.2106905027774702E-2</v>
      </c>
      <c r="EK27">
        <v>1.4752204366644209E-2</v>
      </c>
      <c r="EL27">
        <v>0.27154599191541767</v>
      </c>
      <c r="EM27">
        <v>0.72845400808458238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04F6-C4FB-4F3D-8080-7D8D4E41E522}">
  <dimension ref="A1:X234"/>
  <sheetViews>
    <sheetView showGridLines="0" workbookViewId="0">
      <selection activeCell="I2" sqref="I2:M2"/>
    </sheetView>
  </sheetViews>
  <sheetFormatPr defaultRowHeight="15" x14ac:dyDescent="0.25"/>
  <sheetData>
    <row r="1" spans="1:13" x14ac:dyDescent="0.25">
      <c r="A1" t="s">
        <v>160</v>
      </c>
      <c r="H1" t="s">
        <v>161</v>
      </c>
    </row>
    <row r="2" spans="1:13" x14ac:dyDescent="0.25">
      <c r="B2" t="s">
        <v>256</v>
      </c>
      <c r="C2" t="s">
        <v>257</v>
      </c>
      <c r="D2" t="s">
        <v>258</v>
      </c>
      <c r="E2" t="s">
        <v>259</v>
      </c>
      <c r="F2" t="s">
        <v>260</v>
      </c>
      <c r="I2" t="s">
        <v>261</v>
      </c>
      <c r="J2" t="s">
        <v>262</v>
      </c>
      <c r="K2" t="s">
        <v>263</v>
      </c>
      <c r="L2" t="s">
        <v>264</v>
      </c>
      <c r="M2" t="s">
        <v>265</v>
      </c>
    </row>
    <row r="3" spans="1:13" x14ac:dyDescent="0.25">
      <c r="B3">
        <v>0.99010621564988888</v>
      </c>
      <c r="C3">
        <v>9.7192367918453731E-3</v>
      </c>
      <c r="D3">
        <v>0</v>
      </c>
      <c r="E3">
        <v>1.5629576997230034E-4</v>
      </c>
      <c r="F3">
        <v>1.8251788293372613E-5</v>
      </c>
      <c r="I3">
        <v>0.96702798511521992</v>
      </c>
      <c r="J3">
        <v>3.2919515307366323E-2</v>
      </c>
      <c r="K3">
        <v>0</v>
      </c>
      <c r="L3">
        <v>3.9873046055135972E-5</v>
      </c>
      <c r="M3">
        <v>1.2626531358686266E-5</v>
      </c>
    </row>
    <row r="4" spans="1:13" x14ac:dyDescent="0.25">
      <c r="B4">
        <v>0.94157620551164367</v>
      </c>
      <c r="C4">
        <v>5.8423794488356315E-2</v>
      </c>
      <c r="D4">
        <v>0</v>
      </c>
      <c r="E4">
        <v>0</v>
      </c>
      <c r="F4">
        <v>0</v>
      </c>
      <c r="I4">
        <v>0.98318479672567216</v>
      </c>
      <c r="J4">
        <v>1.6815203274327863E-2</v>
      </c>
      <c r="K4">
        <v>0</v>
      </c>
      <c r="L4">
        <v>0</v>
      </c>
      <c r="M4">
        <v>0</v>
      </c>
    </row>
    <row r="5" spans="1:13" x14ac:dyDescent="0.25">
      <c r="B5">
        <v>0.78172629439478691</v>
      </c>
      <c r="C5">
        <v>0.21827370560521314</v>
      </c>
      <c r="D5">
        <v>0</v>
      </c>
      <c r="E5">
        <v>0</v>
      </c>
      <c r="F5">
        <v>0</v>
      </c>
      <c r="I5">
        <v>0.99757953315542103</v>
      </c>
      <c r="J5">
        <v>2.420466844579082E-3</v>
      </c>
      <c r="K5">
        <v>0</v>
      </c>
      <c r="L5">
        <v>0</v>
      </c>
      <c r="M5">
        <v>0</v>
      </c>
    </row>
    <row r="6" spans="1:13" x14ac:dyDescent="0.25">
      <c r="B6">
        <v>0.32242995331973362</v>
      </c>
      <c r="C6">
        <v>0.67757004668026644</v>
      </c>
      <c r="D6">
        <v>0</v>
      </c>
      <c r="E6">
        <v>0</v>
      </c>
      <c r="F6">
        <v>0</v>
      </c>
      <c r="I6">
        <v>0.58277340536316813</v>
      </c>
      <c r="J6">
        <v>0.41722659463683176</v>
      </c>
      <c r="K6">
        <v>0</v>
      </c>
      <c r="L6">
        <v>0</v>
      </c>
      <c r="M6">
        <v>0</v>
      </c>
    </row>
    <row r="7" spans="1:13" x14ac:dyDescent="0.25">
      <c r="B7">
        <v>0.94794418055278007</v>
      </c>
      <c r="C7">
        <v>5.1998950061512138E-2</v>
      </c>
      <c r="D7">
        <v>0</v>
      </c>
      <c r="E7">
        <v>0</v>
      </c>
      <c r="F7">
        <v>5.6869385707695885E-5</v>
      </c>
      <c r="I7">
        <v>0.98404340964745629</v>
      </c>
      <c r="J7">
        <v>1.5951371583281637E-2</v>
      </c>
      <c r="K7">
        <v>0</v>
      </c>
      <c r="L7">
        <v>0</v>
      </c>
      <c r="M7">
        <v>5.2187692620047472E-6</v>
      </c>
    </row>
    <row r="8" spans="1:13" x14ac:dyDescent="0.25">
      <c r="B8">
        <v>0.99666468431312194</v>
      </c>
      <c r="C8">
        <v>3.3344425817623323E-3</v>
      </c>
      <c r="D8">
        <v>8.7310511577043319E-7</v>
      </c>
      <c r="E8">
        <v>0</v>
      </c>
      <c r="F8">
        <v>0</v>
      </c>
      <c r="I8">
        <v>0.99458592460898287</v>
      </c>
      <c r="J8">
        <v>5.4134087336705746E-3</v>
      </c>
      <c r="K8">
        <v>2.991714180161299E-7</v>
      </c>
      <c r="L8">
        <v>3.6748592848192677E-7</v>
      </c>
      <c r="M8">
        <v>0</v>
      </c>
    </row>
    <row r="9" spans="1:13" x14ac:dyDescent="0.25">
      <c r="B9">
        <v>0.97187985316726666</v>
      </c>
      <c r="C9">
        <v>2.8120146832733398E-2</v>
      </c>
      <c r="D9">
        <v>0</v>
      </c>
      <c r="E9">
        <v>0</v>
      </c>
      <c r="F9">
        <v>0</v>
      </c>
      <c r="I9">
        <v>0.99979799886266973</v>
      </c>
      <c r="J9">
        <v>2.0200113733016655E-4</v>
      </c>
      <c r="K9">
        <v>0</v>
      </c>
      <c r="L9">
        <v>0</v>
      </c>
      <c r="M9">
        <v>0</v>
      </c>
    </row>
    <row r="10" spans="1:13" x14ac:dyDescent="0.25">
      <c r="B10">
        <v>0.82499965966394628</v>
      </c>
      <c r="C10">
        <v>0.17500034033605372</v>
      </c>
      <c r="D10">
        <v>0</v>
      </c>
      <c r="E10">
        <v>0</v>
      </c>
      <c r="F10">
        <v>0</v>
      </c>
      <c r="I10">
        <v>0.70163733083419344</v>
      </c>
      <c r="J10">
        <v>0.29836266916580656</v>
      </c>
      <c r="K10">
        <v>0</v>
      </c>
      <c r="L10">
        <v>0</v>
      </c>
      <c r="M10">
        <v>0</v>
      </c>
    </row>
    <row r="11" spans="1:13" x14ac:dyDescent="0.25">
      <c r="B11">
        <v>0.78551090076401064</v>
      </c>
      <c r="C11">
        <v>0.21442710502898779</v>
      </c>
      <c r="D11">
        <v>0</v>
      </c>
      <c r="E11">
        <v>6.1994207001493545E-5</v>
      </c>
      <c r="F11">
        <v>0</v>
      </c>
      <c r="I11">
        <v>0.8959022113779409</v>
      </c>
      <c r="J11">
        <v>0.10399577344972645</v>
      </c>
      <c r="K11">
        <v>0</v>
      </c>
      <c r="L11">
        <v>1.020151723326559E-4</v>
      </c>
      <c r="M11">
        <v>0</v>
      </c>
    </row>
    <row r="12" spans="1:13" x14ac:dyDescent="0.25">
      <c r="B12">
        <v>1</v>
      </c>
      <c r="C12">
        <v>0</v>
      </c>
      <c r="D12">
        <v>0</v>
      </c>
      <c r="E12">
        <v>0</v>
      </c>
      <c r="F12">
        <v>0</v>
      </c>
      <c r="I12">
        <v>0.97832612794790885</v>
      </c>
      <c r="J12">
        <v>2.1673872052091075E-2</v>
      </c>
      <c r="K12">
        <v>0</v>
      </c>
      <c r="L12">
        <v>0</v>
      </c>
      <c r="M12">
        <v>0</v>
      </c>
    </row>
    <row r="13" spans="1:13" x14ac:dyDescent="0.25">
      <c r="B13">
        <v>0.86261317922600056</v>
      </c>
      <c r="C13">
        <v>0.13738682077399944</v>
      </c>
      <c r="D13">
        <v>0</v>
      </c>
      <c r="E13">
        <v>0</v>
      </c>
      <c r="F13">
        <v>0</v>
      </c>
      <c r="I13">
        <v>0.57989341553752005</v>
      </c>
      <c r="J13">
        <v>0.42010658446247995</v>
      </c>
      <c r="K13">
        <v>0</v>
      </c>
      <c r="L13">
        <v>0</v>
      </c>
      <c r="M13">
        <v>0</v>
      </c>
    </row>
    <row r="14" spans="1:13" x14ac:dyDescent="0.25">
      <c r="B14">
        <v>0.8872494504946159</v>
      </c>
      <c r="C14">
        <v>0.11252548504112773</v>
      </c>
      <c r="D14">
        <v>0</v>
      </c>
      <c r="E14">
        <v>1.7700805269646165E-5</v>
      </c>
      <c r="F14">
        <v>2.0736365898679871E-4</v>
      </c>
      <c r="I14">
        <v>0.92950023933605674</v>
      </c>
      <c r="J14">
        <v>7.0464583330902275E-2</v>
      </c>
      <c r="K14">
        <v>0</v>
      </c>
      <c r="L14">
        <v>2.4865411093654725E-6</v>
      </c>
      <c r="M14">
        <v>3.2690791931679908E-5</v>
      </c>
    </row>
    <row r="15" spans="1:13" x14ac:dyDescent="0.25">
      <c r="B15">
        <v>0.9983729312666545</v>
      </c>
      <c r="C15">
        <v>1.534501525295582E-3</v>
      </c>
      <c r="D15">
        <v>0</v>
      </c>
      <c r="E15">
        <v>9.2567208049979097E-5</v>
      </c>
      <c r="F15">
        <v>0</v>
      </c>
      <c r="I15">
        <v>0.98974027438233447</v>
      </c>
      <c r="J15">
        <v>1.0253482637605831E-2</v>
      </c>
      <c r="K15">
        <v>0</v>
      </c>
      <c r="L15">
        <v>6.2429800597561768E-6</v>
      </c>
      <c r="M15">
        <v>0</v>
      </c>
    </row>
    <row r="16" spans="1:13" x14ac:dyDescent="0.25">
      <c r="B16">
        <v>0.99871124384795451</v>
      </c>
      <c r="C16">
        <v>1.2887561520454106E-3</v>
      </c>
      <c r="D16">
        <v>0</v>
      </c>
      <c r="E16">
        <v>0</v>
      </c>
      <c r="F16">
        <v>0</v>
      </c>
      <c r="I16">
        <v>0.99822865950437023</v>
      </c>
      <c r="J16">
        <v>1.767657024075119E-3</v>
      </c>
      <c r="K16">
        <v>3.683471554703277E-6</v>
      </c>
      <c r="L16">
        <v>0</v>
      </c>
      <c r="M16">
        <v>0</v>
      </c>
    </row>
    <row r="17" spans="1:21" x14ac:dyDescent="0.25">
      <c r="B17">
        <v>0.9474805122183837</v>
      </c>
      <c r="C17">
        <v>5.2519487781616241E-2</v>
      </c>
      <c r="D17">
        <v>0</v>
      </c>
      <c r="E17">
        <v>0</v>
      </c>
      <c r="F17">
        <v>0</v>
      </c>
      <c r="I17">
        <v>0.698470857761327</v>
      </c>
      <c r="J17">
        <v>0.301529142238673</v>
      </c>
      <c r="K17">
        <v>0</v>
      </c>
      <c r="L17">
        <v>0</v>
      </c>
      <c r="M17">
        <v>0</v>
      </c>
    </row>
    <row r="18" spans="1:21" x14ac:dyDescent="0.25">
      <c r="B18">
        <v>0.91996298378006913</v>
      </c>
      <c r="C18">
        <v>8.0011200818401212E-2</v>
      </c>
      <c r="D18">
        <v>1.7670281921576093E-5</v>
      </c>
      <c r="E18">
        <v>0</v>
      </c>
      <c r="F18">
        <v>8.1451196080917745E-6</v>
      </c>
      <c r="I18">
        <v>0.89245116507864786</v>
      </c>
      <c r="J18">
        <v>0.10752976726470834</v>
      </c>
      <c r="K18">
        <v>7.5925212709327406E-7</v>
      </c>
      <c r="L18">
        <v>0</v>
      </c>
      <c r="M18">
        <v>1.8308404516760076E-5</v>
      </c>
    </row>
    <row r="19" spans="1:21" x14ac:dyDescent="0.25">
      <c r="B19">
        <v>0.98028932556637727</v>
      </c>
      <c r="C19">
        <v>1.9710674433622687E-2</v>
      </c>
      <c r="D19">
        <v>0</v>
      </c>
      <c r="E19">
        <v>0</v>
      </c>
      <c r="F19">
        <v>0</v>
      </c>
      <c r="I19">
        <v>0.96963554238702954</v>
      </c>
      <c r="J19">
        <v>3.0364457612970432E-2</v>
      </c>
      <c r="K19">
        <v>0</v>
      </c>
      <c r="L19">
        <v>0</v>
      </c>
      <c r="M19">
        <v>0</v>
      </c>
    </row>
    <row r="20" spans="1:21" x14ac:dyDescent="0.25">
      <c r="B20">
        <v>1</v>
      </c>
      <c r="C20">
        <v>0</v>
      </c>
      <c r="D20">
        <v>0</v>
      </c>
      <c r="E20">
        <v>0</v>
      </c>
      <c r="F20">
        <v>0</v>
      </c>
      <c r="I20">
        <v>1</v>
      </c>
      <c r="J20">
        <v>0</v>
      </c>
      <c r="K20">
        <v>0</v>
      </c>
      <c r="L20">
        <v>0</v>
      </c>
      <c r="M20">
        <v>0</v>
      </c>
    </row>
    <row r="21" spans="1:21" x14ac:dyDescent="0.25">
      <c r="B21">
        <v>0.96567509084826952</v>
      </c>
      <c r="C21">
        <v>3.4324909151730497E-2</v>
      </c>
      <c r="D21">
        <v>0</v>
      </c>
      <c r="E21">
        <v>0</v>
      </c>
      <c r="F21">
        <v>0</v>
      </c>
      <c r="I21">
        <v>0.91172944274729728</v>
      </c>
      <c r="J21">
        <v>8.8270557252702747E-2</v>
      </c>
      <c r="K21">
        <v>0</v>
      </c>
      <c r="L21">
        <v>0</v>
      </c>
      <c r="M21">
        <v>0</v>
      </c>
    </row>
    <row r="22" spans="1:21" x14ac:dyDescent="0.25">
      <c r="B22">
        <v>0.96994287441981308</v>
      </c>
      <c r="C22">
        <v>3.0018516137328134E-2</v>
      </c>
      <c r="D22">
        <v>0</v>
      </c>
      <c r="E22">
        <v>3.8609442858742085E-5</v>
      </c>
      <c r="F22">
        <v>0</v>
      </c>
      <c r="I22">
        <v>0.95773755009280226</v>
      </c>
      <c r="J22">
        <v>4.2258408716679539E-2</v>
      </c>
      <c r="K22">
        <v>0</v>
      </c>
      <c r="L22">
        <v>4.0411905182635535E-6</v>
      </c>
      <c r="M22">
        <v>0</v>
      </c>
    </row>
    <row r="23" spans="1:21" x14ac:dyDescent="0.25">
      <c r="B23">
        <v>0.97869494740265417</v>
      </c>
      <c r="C23">
        <v>2.0753117170046572E-2</v>
      </c>
      <c r="D23">
        <v>0</v>
      </c>
      <c r="E23">
        <v>5.5193542729936541E-4</v>
      </c>
      <c r="F23">
        <v>0</v>
      </c>
      <c r="I23">
        <v>0.82039476958513746</v>
      </c>
      <c r="J23">
        <v>0.1795734994099164</v>
      </c>
      <c r="K23">
        <v>0</v>
      </c>
      <c r="L23">
        <v>3.1731004946126189E-5</v>
      </c>
      <c r="M23">
        <v>0</v>
      </c>
    </row>
    <row r="24" spans="1:21" x14ac:dyDescent="0.25">
      <c r="B24">
        <v>0.99885472909196582</v>
      </c>
      <c r="C24">
        <v>1.1452709080341412E-3</v>
      </c>
      <c r="D24">
        <v>0</v>
      </c>
      <c r="E24">
        <v>0</v>
      </c>
      <c r="F24">
        <v>0</v>
      </c>
      <c r="I24">
        <v>0.99985478397631788</v>
      </c>
      <c r="J24">
        <v>1.4521602368220633E-4</v>
      </c>
      <c r="K24">
        <v>0</v>
      </c>
      <c r="L24">
        <v>0</v>
      </c>
      <c r="M24">
        <v>0</v>
      </c>
    </row>
    <row r="25" spans="1:21" x14ac:dyDescent="0.25">
      <c r="B25">
        <v>1</v>
      </c>
      <c r="C25">
        <v>0</v>
      </c>
      <c r="D25">
        <v>0</v>
      </c>
      <c r="E25">
        <v>0</v>
      </c>
      <c r="F25">
        <v>0</v>
      </c>
      <c r="I25">
        <v>0.99774474584570594</v>
      </c>
      <c r="J25">
        <v>2.2552541542939283E-3</v>
      </c>
      <c r="K25">
        <v>0</v>
      </c>
      <c r="L25">
        <v>0</v>
      </c>
      <c r="M25">
        <v>0</v>
      </c>
    </row>
    <row r="26" spans="1:21" x14ac:dyDescent="0.25">
      <c r="B26">
        <v>0.73435137285945551</v>
      </c>
      <c r="C26">
        <v>0.26564167719832399</v>
      </c>
      <c r="D26">
        <v>6.9499422204133322E-6</v>
      </c>
      <c r="E26">
        <v>0</v>
      </c>
      <c r="F26">
        <v>0</v>
      </c>
      <c r="I26">
        <v>0.90782828581064101</v>
      </c>
      <c r="J26">
        <v>9.2138319541266347E-2</v>
      </c>
      <c r="K26">
        <v>5.7065208279552003E-7</v>
      </c>
      <c r="L26">
        <v>2.5279109069447396E-5</v>
      </c>
      <c r="M26">
        <v>7.5448869401238015E-6</v>
      </c>
    </row>
    <row r="27" spans="1:21" x14ac:dyDescent="0.25">
      <c r="B27">
        <v>0.99997960851309142</v>
      </c>
      <c r="C27">
        <v>2.0391486908572704E-5</v>
      </c>
      <c r="D27">
        <v>0</v>
      </c>
      <c r="E27">
        <v>0</v>
      </c>
      <c r="F27">
        <v>0</v>
      </c>
      <c r="I27">
        <v>1</v>
      </c>
      <c r="J27">
        <v>0</v>
      </c>
      <c r="K27">
        <v>0</v>
      </c>
      <c r="L27">
        <v>0</v>
      </c>
      <c r="M27">
        <v>0</v>
      </c>
    </row>
    <row r="28" spans="1:21" x14ac:dyDescent="0.25">
      <c r="B28">
        <v>0.97105559257008944</v>
      </c>
      <c r="C28">
        <v>2.8936415204316602E-2</v>
      </c>
      <c r="D28">
        <v>0</v>
      </c>
      <c r="E28">
        <v>8.4571224956100218E-7</v>
      </c>
      <c r="F28">
        <v>7.1465133443884233E-6</v>
      </c>
      <c r="I28">
        <v>0.96892782335001015</v>
      </c>
      <c r="J28">
        <v>3.1043697831064632E-2</v>
      </c>
      <c r="K28">
        <v>0</v>
      </c>
      <c r="L28">
        <v>9.848620879863291E-6</v>
      </c>
      <c r="M28">
        <v>1.8630198045395831E-5</v>
      </c>
    </row>
    <row r="31" spans="1:21" x14ac:dyDescent="0.25">
      <c r="A31" t="s">
        <v>170</v>
      </c>
      <c r="H31" t="s">
        <v>171</v>
      </c>
      <c r="L31" t="s">
        <v>172</v>
      </c>
      <c r="S31" t="s">
        <v>173</v>
      </c>
    </row>
    <row r="32" spans="1:21" x14ac:dyDescent="0.25">
      <c r="B32" t="s">
        <v>162</v>
      </c>
      <c r="C32" t="s">
        <v>163</v>
      </c>
      <c r="D32" t="s">
        <v>164</v>
      </c>
      <c r="E32" t="s">
        <v>165</v>
      </c>
      <c r="F32" t="s">
        <v>166</v>
      </c>
      <c r="G32" t="s">
        <v>167</v>
      </c>
      <c r="I32" t="s">
        <v>168</v>
      </c>
      <c r="J32" t="s">
        <v>169</v>
      </c>
      <c r="M32" t="s">
        <v>162</v>
      </c>
      <c r="N32" t="s">
        <v>163</v>
      </c>
      <c r="O32" t="s">
        <v>164</v>
      </c>
      <c r="P32" t="s">
        <v>165</v>
      </c>
      <c r="Q32" t="s">
        <v>166</v>
      </c>
      <c r="R32" t="s">
        <v>167</v>
      </c>
      <c r="T32" t="s">
        <v>168</v>
      </c>
      <c r="U32" t="s">
        <v>169</v>
      </c>
    </row>
    <row r="33" spans="2:21" x14ac:dyDescent="0.25">
      <c r="B33">
        <v>0.98795870373153394</v>
      </c>
      <c r="C33">
        <v>9.2371645779734408E-3</v>
      </c>
      <c r="D33">
        <v>0</v>
      </c>
      <c r="E33">
        <v>1.2134557789162815E-3</v>
      </c>
      <c r="F33">
        <v>1.5893208302124476E-3</v>
      </c>
      <c r="G33">
        <v>1.3550813638413955E-6</v>
      </c>
      <c r="I33">
        <v>0.3331137907976755</v>
      </c>
      <c r="J33">
        <v>0.66688620920232455</v>
      </c>
      <c r="M33">
        <v>0.99294778509752435</v>
      </c>
      <c r="N33">
        <v>6.4309330548700883E-3</v>
      </c>
      <c r="O33">
        <v>2.4714737630617667E-6</v>
      </c>
      <c r="P33">
        <v>2.0038389789705843E-4</v>
      </c>
      <c r="Q33">
        <v>4.1414733999793737E-4</v>
      </c>
      <c r="R33">
        <v>4.2791359477669903E-6</v>
      </c>
      <c r="T33">
        <v>6.1355481761735067E-2</v>
      </c>
      <c r="U33">
        <v>0.93864451823826489</v>
      </c>
    </row>
    <row r="34" spans="2:21" x14ac:dyDescent="0.25">
      <c r="B34">
        <v>0.95878417403831839</v>
      </c>
      <c r="C34">
        <v>4.0551163890176649E-2</v>
      </c>
      <c r="D34">
        <v>6.6466207150499409E-4</v>
      </c>
      <c r="E34">
        <v>0</v>
      </c>
      <c r="F34">
        <v>0</v>
      </c>
      <c r="G34">
        <v>0</v>
      </c>
      <c r="I34" t="e">
        <v>#DIV/0!</v>
      </c>
      <c r="J34" t="e">
        <v>#DIV/0!</v>
      </c>
      <c r="M34">
        <v>0.99449768026858942</v>
      </c>
      <c r="N34">
        <v>5.3581864095770225E-3</v>
      </c>
      <c r="O34">
        <v>1.1472154290372817E-4</v>
      </c>
      <c r="P34">
        <v>7.9871147909492527E-6</v>
      </c>
      <c r="Q34">
        <v>0</v>
      </c>
      <c r="R34">
        <v>2.1424664138812376E-5</v>
      </c>
      <c r="T34">
        <v>0.52024714639392367</v>
      </c>
      <c r="U34">
        <v>0.47975285360607645</v>
      </c>
    </row>
    <row r="35" spans="2:21" x14ac:dyDescent="0.25">
      <c r="B35">
        <v>0.87442387900380614</v>
      </c>
      <c r="C35">
        <v>0.11947241212677463</v>
      </c>
      <c r="D35">
        <v>4.495807377727033E-5</v>
      </c>
      <c r="E35">
        <v>5.1300058824957674E-3</v>
      </c>
      <c r="F35">
        <v>9.2874491314618162E-4</v>
      </c>
      <c r="G35">
        <v>0</v>
      </c>
      <c r="I35">
        <v>0.13209728183621572</v>
      </c>
      <c r="J35">
        <v>0.86790271816378428</v>
      </c>
      <c r="M35">
        <v>0.93275158941276581</v>
      </c>
      <c r="N35">
        <v>6.1202648189482491E-2</v>
      </c>
      <c r="O35">
        <v>3.3176125071921057E-5</v>
      </c>
      <c r="P35">
        <v>2.9486881224806416E-3</v>
      </c>
      <c r="Q35">
        <v>3.0638981501991654E-3</v>
      </c>
      <c r="R35">
        <v>0</v>
      </c>
      <c r="T35">
        <v>0.4489545507208979</v>
      </c>
      <c r="U35">
        <v>0.55104544927910215</v>
      </c>
    </row>
    <row r="36" spans="2:21" x14ac:dyDescent="0.25">
      <c r="B36">
        <v>0.99219133355188527</v>
      </c>
      <c r="C36">
        <v>7.8086664481147386E-3</v>
      </c>
      <c r="D36">
        <v>0</v>
      </c>
      <c r="E36">
        <v>0</v>
      </c>
      <c r="F36">
        <v>0</v>
      </c>
      <c r="G36">
        <v>0</v>
      </c>
      <c r="I36">
        <v>1</v>
      </c>
      <c r="J36">
        <v>0</v>
      </c>
      <c r="M36">
        <v>0.9323938319024081</v>
      </c>
      <c r="N36">
        <v>6.758558180432904E-2</v>
      </c>
      <c r="O36">
        <v>2.0586293262833457E-5</v>
      </c>
      <c r="P36">
        <v>0</v>
      </c>
      <c r="Q36">
        <v>0</v>
      </c>
      <c r="R36">
        <v>0</v>
      </c>
      <c r="T36">
        <v>0.66152838285128812</v>
      </c>
      <c r="U36">
        <v>0.33847161714871177</v>
      </c>
    </row>
    <row r="37" spans="2:21" x14ac:dyDescent="0.25">
      <c r="B37">
        <v>0.97780824367982744</v>
      </c>
      <c r="C37">
        <v>2.1428054317620609E-2</v>
      </c>
      <c r="D37">
        <v>0</v>
      </c>
      <c r="E37">
        <v>4.6772102070638473E-5</v>
      </c>
      <c r="F37">
        <v>7.1692990048132801E-4</v>
      </c>
      <c r="G37">
        <v>0</v>
      </c>
      <c r="I37">
        <v>0</v>
      </c>
      <c r="J37">
        <v>1</v>
      </c>
      <c r="M37">
        <v>0.98733828308979221</v>
      </c>
      <c r="N37">
        <v>1.2405187184106364E-2</v>
      </c>
      <c r="O37">
        <v>0</v>
      </c>
      <c r="P37">
        <v>8.1136172822187513E-5</v>
      </c>
      <c r="Q37">
        <v>1.6427037962750293E-4</v>
      </c>
      <c r="R37">
        <v>1.1123173651846497E-5</v>
      </c>
      <c r="T37">
        <v>0.9715949451737188</v>
      </c>
      <c r="U37">
        <v>2.8405054826281174E-2</v>
      </c>
    </row>
    <row r="38" spans="2:21" x14ac:dyDescent="0.25">
      <c r="B38">
        <v>0.97646070719133826</v>
      </c>
      <c r="C38">
        <v>2.3452719356134709E-2</v>
      </c>
      <c r="D38">
        <v>0</v>
      </c>
      <c r="E38">
        <v>7.6292797914482649E-5</v>
      </c>
      <c r="F38">
        <v>1.0280654612606796E-5</v>
      </c>
      <c r="G38">
        <v>0</v>
      </c>
      <c r="I38">
        <v>0.53727372545347341</v>
      </c>
      <c r="J38">
        <v>0.46272627454652654</v>
      </c>
      <c r="M38">
        <v>0.97173244928007907</v>
      </c>
      <c r="N38">
        <v>2.8258671088911742E-2</v>
      </c>
      <c r="O38">
        <v>2.3609321887541672E-6</v>
      </c>
      <c r="P38">
        <v>0</v>
      </c>
      <c r="Q38">
        <v>6.5186988203328877E-6</v>
      </c>
      <c r="R38">
        <v>0</v>
      </c>
      <c r="T38">
        <v>0.24696897548157012</v>
      </c>
      <c r="U38">
        <v>0.75303102451842974</v>
      </c>
    </row>
    <row r="39" spans="2:21" x14ac:dyDescent="0.25">
      <c r="B39">
        <v>0.99108081761598354</v>
      </c>
      <c r="C39">
        <v>8.8615474685350745E-3</v>
      </c>
      <c r="D39">
        <v>0</v>
      </c>
      <c r="E39">
        <v>0</v>
      </c>
      <c r="F39">
        <v>5.7634915481448398E-5</v>
      </c>
      <c r="G39">
        <v>0</v>
      </c>
      <c r="I39">
        <v>0.22975633861979328</v>
      </c>
      <c r="J39">
        <v>0.77024366138020661</v>
      </c>
      <c r="M39">
        <v>0.99588395547895892</v>
      </c>
      <c r="N39">
        <v>3.1730353626893736E-3</v>
      </c>
      <c r="O39">
        <v>3.4809514162955534E-4</v>
      </c>
      <c r="P39">
        <v>0</v>
      </c>
      <c r="Q39">
        <v>5.9009636286857278E-4</v>
      </c>
      <c r="R39">
        <v>4.817653853597917E-6</v>
      </c>
      <c r="T39">
        <v>0.23502870285159977</v>
      </c>
      <c r="U39">
        <v>0.76497129714840018</v>
      </c>
    </row>
    <row r="40" spans="2:21" x14ac:dyDescent="0.25">
      <c r="B40">
        <v>0.93582649991364186</v>
      </c>
      <c r="C40">
        <v>6.0778767896740644E-2</v>
      </c>
      <c r="D40">
        <v>3.3167104242965415E-4</v>
      </c>
      <c r="E40">
        <v>2.6564707318889818E-4</v>
      </c>
      <c r="F40">
        <v>2.7974140739988919E-3</v>
      </c>
      <c r="G40">
        <v>0</v>
      </c>
      <c r="I40">
        <v>0.13772089969779705</v>
      </c>
      <c r="J40">
        <v>0.86227910030220289</v>
      </c>
      <c r="M40">
        <v>0.94462312523661474</v>
      </c>
      <c r="N40">
        <v>5.3402614754550777E-2</v>
      </c>
      <c r="O40">
        <v>1.329745334055215E-5</v>
      </c>
      <c r="P40">
        <v>1.3245159774171076E-3</v>
      </c>
      <c r="Q40">
        <v>6.3644657807683438E-4</v>
      </c>
      <c r="R40">
        <v>0</v>
      </c>
      <c r="T40">
        <v>0.26862763681862667</v>
      </c>
      <c r="U40">
        <v>0.73137236318137333</v>
      </c>
    </row>
    <row r="41" spans="2:21" x14ac:dyDescent="0.25">
      <c r="B41">
        <v>0.95328382279045942</v>
      </c>
      <c r="C41">
        <v>4.6048664590876039E-2</v>
      </c>
      <c r="D41">
        <v>0</v>
      </c>
      <c r="E41">
        <v>5.9370422896115149E-4</v>
      </c>
      <c r="F41">
        <v>7.2663103804611518E-5</v>
      </c>
      <c r="G41">
        <v>1.1452858987507077E-6</v>
      </c>
      <c r="I41">
        <v>0.41796239579220784</v>
      </c>
      <c r="J41">
        <v>0.58203760420779205</v>
      </c>
      <c r="M41">
        <v>0.9791279254586005</v>
      </c>
      <c r="N41">
        <v>2.0290968608076471E-2</v>
      </c>
      <c r="O41">
        <v>0</v>
      </c>
      <c r="P41">
        <v>3.5363298944433353E-4</v>
      </c>
      <c r="Q41">
        <v>1.3500733026947367E-4</v>
      </c>
      <c r="R41">
        <v>9.2465613609281214E-5</v>
      </c>
      <c r="T41">
        <v>5.9558626985172169E-2</v>
      </c>
      <c r="U41">
        <v>0.94044137301482789</v>
      </c>
    </row>
    <row r="42" spans="2:21" x14ac:dyDescent="0.25">
      <c r="B42">
        <v>0.99757277022498569</v>
      </c>
      <c r="C42">
        <v>2.176852151465587E-3</v>
      </c>
      <c r="D42">
        <v>0</v>
      </c>
      <c r="E42">
        <v>1.2579342257460223E-4</v>
      </c>
      <c r="F42">
        <v>1.2458420097393965E-4</v>
      </c>
      <c r="G42">
        <v>0</v>
      </c>
      <c r="I42">
        <v>6.1194022413919912E-4</v>
      </c>
      <c r="J42">
        <v>0.99938805977586076</v>
      </c>
      <c r="M42">
        <v>0.98685468245403007</v>
      </c>
      <c r="N42">
        <v>1.3004189300295295E-2</v>
      </c>
      <c r="O42">
        <v>0</v>
      </c>
      <c r="P42">
        <v>6.8628864823468637E-5</v>
      </c>
      <c r="Q42">
        <v>7.2499380851098622E-5</v>
      </c>
      <c r="R42">
        <v>0</v>
      </c>
      <c r="T42">
        <v>1</v>
      </c>
      <c r="U42">
        <v>0</v>
      </c>
    </row>
    <row r="43" spans="2:21" x14ac:dyDescent="0.25">
      <c r="B43">
        <v>0.96641918663365156</v>
      </c>
      <c r="C43">
        <v>3.3463881484377768E-2</v>
      </c>
      <c r="D43">
        <v>0</v>
      </c>
      <c r="E43">
        <v>1.1693188197065655E-4</v>
      </c>
      <c r="F43">
        <v>0</v>
      </c>
      <c r="G43">
        <v>0</v>
      </c>
      <c r="I43">
        <v>0.78162359711271323</v>
      </c>
      <c r="J43">
        <v>0.21837640288728666</v>
      </c>
      <c r="M43">
        <v>0.96557555277612661</v>
      </c>
      <c r="N43">
        <v>3.4406643215568598E-2</v>
      </c>
      <c r="O43">
        <v>0</v>
      </c>
      <c r="P43">
        <v>1.7804008304800923E-5</v>
      </c>
      <c r="Q43">
        <v>0</v>
      </c>
      <c r="R43">
        <v>0</v>
      </c>
      <c r="T43">
        <v>0.58748900369370238</v>
      </c>
      <c r="U43">
        <v>0.41251099630629751</v>
      </c>
    </row>
    <row r="44" spans="2:21" x14ac:dyDescent="0.25">
      <c r="B44">
        <v>0.91490240734049788</v>
      </c>
      <c r="C44">
        <v>8.3234688117630296E-2</v>
      </c>
      <c r="D44">
        <v>0</v>
      </c>
      <c r="E44">
        <v>1.6726837174557228E-3</v>
      </c>
      <c r="F44">
        <v>1.9022082441615197E-4</v>
      </c>
      <c r="G44">
        <v>0</v>
      </c>
      <c r="I44">
        <v>0.28205032421755177</v>
      </c>
      <c r="J44">
        <v>0.71794967578244817</v>
      </c>
      <c r="M44">
        <v>0.99171380649010099</v>
      </c>
      <c r="N44">
        <v>8.0545457989083403E-3</v>
      </c>
      <c r="O44">
        <v>0</v>
      </c>
      <c r="P44">
        <v>1.2533436875282808E-4</v>
      </c>
      <c r="Q44">
        <v>1.0631334223780756E-4</v>
      </c>
      <c r="R44">
        <v>0</v>
      </c>
      <c r="T44">
        <v>1.0715607369854694E-2</v>
      </c>
      <c r="U44">
        <v>0.98928439263014534</v>
      </c>
    </row>
    <row r="45" spans="2:21" x14ac:dyDescent="0.25">
      <c r="B45">
        <v>0.99863783197347911</v>
      </c>
      <c r="C45">
        <v>8.2917698497825569E-4</v>
      </c>
      <c r="D45">
        <v>0</v>
      </c>
      <c r="E45">
        <v>4.7286953693312204E-4</v>
      </c>
      <c r="F45">
        <v>6.0121504609466566E-5</v>
      </c>
      <c r="G45">
        <v>0</v>
      </c>
      <c r="I45">
        <v>3.4121439223972108E-2</v>
      </c>
      <c r="J45">
        <v>0.96587856077602796</v>
      </c>
      <c r="M45">
        <v>0.99988110297006305</v>
      </c>
      <c r="N45">
        <v>9.1281523944450552E-5</v>
      </c>
      <c r="O45">
        <v>0</v>
      </c>
      <c r="P45">
        <v>2.6363244181515743E-6</v>
      </c>
      <c r="Q45">
        <v>2.4979181574496289E-5</v>
      </c>
      <c r="R45">
        <v>0</v>
      </c>
      <c r="T45">
        <v>4.9151277782904526E-2</v>
      </c>
      <c r="U45">
        <v>0.95084872221709549</v>
      </c>
    </row>
    <row r="46" spans="2:21" x14ac:dyDescent="0.25">
      <c r="B46">
        <v>0.99695830835449728</v>
      </c>
      <c r="C46">
        <v>2.9649894225350954E-3</v>
      </c>
      <c r="D46">
        <v>0</v>
      </c>
      <c r="E46">
        <v>7.67022229676386E-5</v>
      </c>
      <c r="F46">
        <v>0</v>
      </c>
      <c r="G46">
        <v>0</v>
      </c>
      <c r="I46">
        <v>0.82201839474752003</v>
      </c>
      <c r="J46">
        <v>0.17798160525248008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T46">
        <v>6.4207479171894663E-2</v>
      </c>
      <c r="U46">
        <v>0.93579252082810538</v>
      </c>
    </row>
    <row r="47" spans="2:21" x14ac:dyDescent="0.25">
      <c r="B47">
        <v>0.9934422169857644</v>
      </c>
      <c r="C47">
        <v>6.5562408292053368E-3</v>
      </c>
      <c r="D47">
        <v>0</v>
      </c>
      <c r="E47">
        <v>0</v>
      </c>
      <c r="F47">
        <v>0</v>
      </c>
      <c r="G47">
        <v>1.5421850302240762E-6</v>
      </c>
      <c r="I47">
        <v>0.38775510204081637</v>
      </c>
      <c r="J47">
        <v>0.6122448979591838</v>
      </c>
      <c r="M47">
        <v>0.9988895621993884</v>
      </c>
      <c r="N47">
        <v>1.014291669010216E-3</v>
      </c>
      <c r="O47">
        <v>7.9613781872789167E-5</v>
      </c>
      <c r="P47">
        <v>1.6137123294734755E-5</v>
      </c>
      <c r="Q47">
        <v>0</v>
      </c>
      <c r="R47">
        <v>3.9522643370289314E-7</v>
      </c>
      <c r="T47">
        <v>0.13522200234909815</v>
      </c>
      <c r="U47">
        <v>0.86477799765090191</v>
      </c>
    </row>
    <row r="48" spans="2:21" x14ac:dyDescent="0.25">
      <c r="B48">
        <v>0.85121945598102622</v>
      </c>
      <c r="C48">
        <v>0.14668795626765632</v>
      </c>
      <c r="D48">
        <v>4.2255476612766893E-5</v>
      </c>
      <c r="E48">
        <v>1.7525010327212884E-3</v>
      </c>
      <c r="F48">
        <v>2.9783124198333796E-4</v>
      </c>
      <c r="G48">
        <v>0</v>
      </c>
      <c r="I48">
        <v>0.40908805228224582</v>
      </c>
      <c r="J48">
        <v>0.59091194771775424</v>
      </c>
      <c r="M48">
        <v>0.95521147810566109</v>
      </c>
      <c r="N48">
        <v>4.231489508806284E-2</v>
      </c>
      <c r="O48">
        <v>1.2663592319376334E-5</v>
      </c>
      <c r="P48">
        <v>1.4832741703057278E-3</v>
      </c>
      <c r="Q48">
        <v>9.6181174311400124E-4</v>
      </c>
      <c r="R48">
        <v>1.5877300536885441E-5</v>
      </c>
      <c r="T48">
        <v>0.18088027554426048</v>
      </c>
      <c r="U48">
        <v>0.81911972445573955</v>
      </c>
    </row>
    <row r="49" spans="1:22" x14ac:dyDescent="0.25">
      <c r="B49">
        <v>0.99404868548919934</v>
      </c>
      <c r="C49">
        <v>5.5294152095675467E-3</v>
      </c>
      <c r="D49">
        <v>0</v>
      </c>
      <c r="E49">
        <v>2.8184689921785993E-4</v>
      </c>
      <c r="F49">
        <v>1.4005240201522189E-4</v>
      </c>
      <c r="G49">
        <v>0</v>
      </c>
      <c r="I49">
        <v>0.64988898566030495</v>
      </c>
      <c r="J49">
        <v>0.3501110143396951</v>
      </c>
      <c r="M49">
        <v>0.99596212248689586</v>
      </c>
      <c r="N49">
        <v>3.7937835905965953E-3</v>
      </c>
      <c r="O49">
        <v>1.3781977817473229E-5</v>
      </c>
      <c r="P49">
        <v>2.303119446900931E-4</v>
      </c>
      <c r="Q49">
        <v>0</v>
      </c>
      <c r="R49">
        <v>0</v>
      </c>
      <c r="T49">
        <v>0.46017907887140375</v>
      </c>
      <c r="U49">
        <v>0.53982092112859625</v>
      </c>
    </row>
    <row r="50" spans="1:22" x14ac:dyDescent="0.25">
      <c r="B50">
        <v>0.99894096460487702</v>
      </c>
      <c r="C50">
        <v>1.0100488246299302E-3</v>
      </c>
      <c r="D50">
        <v>0</v>
      </c>
      <c r="E50">
        <v>0</v>
      </c>
      <c r="F50">
        <v>4.8986570492939647E-5</v>
      </c>
      <c r="G50">
        <v>0</v>
      </c>
      <c r="I50">
        <v>4.5621551170289557E-2</v>
      </c>
      <c r="J50">
        <v>0.95437844882971046</v>
      </c>
      <c r="M50">
        <v>0.99515239724590088</v>
      </c>
      <c r="N50">
        <v>6.7838449868810869E-4</v>
      </c>
      <c r="O50">
        <v>0</v>
      </c>
      <c r="P50">
        <v>4.1692182554109508E-3</v>
      </c>
      <c r="Q50">
        <v>0</v>
      </c>
      <c r="R50">
        <v>0</v>
      </c>
      <c r="T50">
        <v>0.21988509109509211</v>
      </c>
      <c r="U50">
        <v>0.78011490890490798</v>
      </c>
    </row>
    <row r="51" spans="1:22" x14ac:dyDescent="0.25">
      <c r="B51">
        <v>0.99645218255817392</v>
      </c>
      <c r="C51">
        <v>3.1774086384184909E-3</v>
      </c>
      <c r="D51">
        <v>1.9012095486945679E-5</v>
      </c>
      <c r="E51">
        <v>6.7842684846797184E-5</v>
      </c>
      <c r="F51">
        <v>2.835540230738171E-4</v>
      </c>
      <c r="G51">
        <v>0</v>
      </c>
      <c r="I51">
        <v>0.34188553736214311</v>
      </c>
      <c r="J51">
        <v>0.65811446263785689</v>
      </c>
      <c r="M51">
        <v>0.99436858557783969</v>
      </c>
      <c r="N51">
        <v>3.8454380885989512E-3</v>
      </c>
      <c r="O51">
        <v>2.3935113666120482E-6</v>
      </c>
      <c r="P51">
        <v>3.0320261614885772E-5</v>
      </c>
      <c r="Q51">
        <v>1.7515514959990032E-3</v>
      </c>
      <c r="R51">
        <v>1.7110645809675874E-6</v>
      </c>
      <c r="T51">
        <v>0.60367464097223988</v>
      </c>
      <c r="U51">
        <v>0.39632535902776012</v>
      </c>
    </row>
    <row r="52" spans="1:22" x14ac:dyDescent="0.25">
      <c r="B52">
        <v>0.99929446362535379</v>
      </c>
      <c r="C52">
        <v>3.4917571517774441E-4</v>
      </c>
      <c r="D52">
        <v>0</v>
      </c>
      <c r="E52">
        <v>3.5636065946850699E-4</v>
      </c>
      <c r="F52">
        <v>0</v>
      </c>
      <c r="G52">
        <v>0</v>
      </c>
      <c r="I52">
        <v>0</v>
      </c>
      <c r="J52">
        <v>1</v>
      </c>
      <c r="M52">
        <v>0.99962081612890308</v>
      </c>
      <c r="N52">
        <v>2.9357346635654224E-4</v>
      </c>
      <c r="O52">
        <v>0</v>
      </c>
      <c r="P52">
        <v>7.1047830323432419E-5</v>
      </c>
      <c r="Q52">
        <v>1.4562574416820841E-5</v>
      </c>
      <c r="R52">
        <v>0</v>
      </c>
      <c r="T52">
        <v>0.60447345904982897</v>
      </c>
      <c r="U52">
        <v>0.39552654095017092</v>
      </c>
    </row>
    <row r="53" spans="1:22" x14ac:dyDescent="0.25">
      <c r="B53">
        <v>0.89620851643205968</v>
      </c>
      <c r="C53">
        <v>0.1030393001060757</v>
      </c>
      <c r="D53">
        <v>2.1719149472298152E-5</v>
      </c>
      <c r="E53">
        <v>7.2675318602154952E-4</v>
      </c>
      <c r="F53">
        <v>3.7111263707665475E-6</v>
      </c>
      <c r="G53">
        <v>0</v>
      </c>
      <c r="I53">
        <v>0.44941346322254122</v>
      </c>
      <c r="J53">
        <v>0.55058653677745872</v>
      </c>
      <c r="M53">
        <v>0.90021129192449023</v>
      </c>
      <c r="N53">
        <v>9.9563676615165617E-2</v>
      </c>
      <c r="O53">
        <v>2.3857136156865275E-5</v>
      </c>
      <c r="P53">
        <v>1.9114778809448466E-4</v>
      </c>
      <c r="Q53">
        <v>7.1743215426705355E-6</v>
      </c>
      <c r="R53">
        <v>2.8522145502508853E-6</v>
      </c>
      <c r="T53">
        <v>0.20530809698019745</v>
      </c>
      <c r="U53">
        <v>0.79469190301980253</v>
      </c>
    </row>
    <row r="54" spans="1:22" x14ac:dyDescent="0.25">
      <c r="B54">
        <v>0.99877920172915746</v>
      </c>
      <c r="C54">
        <v>8.5528071536940744E-5</v>
      </c>
      <c r="D54">
        <v>0</v>
      </c>
      <c r="E54">
        <v>1.1352701993056029E-3</v>
      </c>
      <c r="F54">
        <v>0</v>
      </c>
      <c r="G54">
        <v>0</v>
      </c>
      <c r="I54">
        <v>0</v>
      </c>
      <c r="J54">
        <v>1</v>
      </c>
      <c r="M54">
        <v>0.99754086337616121</v>
      </c>
      <c r="N54">
        <v>1.486393475398067E-3</v>
      </c>
      <c r="O54">
        <v>0</v>
      </c>
      <c r="P54">
        <v>8.3250992384308747E-4</v>
      </c>
      <c r="Q54">
        <v>1.402332245976665E-4</v>
      </c>
      <c r="R54">
        <v>0</v>
      </c>
      <c r="T54">
        <v>0.77643304770470156</v>
      </c>
      <c r="U54">
        <v>0.22356695229529835</v>
      </c>
    </row>
    <row r="55" spans="1:22" x14ac:dyDescent="0.25">
      <c r="B55">
        <v>0.98068882818595771</v>
      </c>
      <c r="C55">
        <v>1.5572973419053756E-2</v>
      </c>
      <c r="D55">
        <v>0</v>
      </c>
      <c r="E55">
        <v>4.3065631831732385E-4</v>
      </c>
      <c r="F55">
        <v>3.3075420766710702E-3</v>
      </c>
      <c r="G55">
        <v>0</v>
      </c>
      <c r="I55">
        <v>0.50755878598125637</v>
      </c>
      <c r="J55">
        <v>0.49244121401874369</v>
      </c>
      <c r="M55">
        <v>0.96939551880928265</v>
      </c>
      <c r="N55">
        <v>2.9617390840576626E-2</v>
      </c>
      <c r="O55">
        <v>3.1831974023826695E-6</v>
      </c>
      <c r="P55">
        <v>1.1218662618801348E-4</v>
      </c>
      <c r="Q55">
        <v>8.7172052655033738E-4</v>
      </c>
      <c r="R55">
        <v>0</v>
      </c>
      <c r="T55">
        <v>0.76556140443977472</v>
      </c>
      <c r="U55">
        <v>0.23443859556022525</v>
      </c>
    </row>
    <row r="56" spans="1:22" x14ac:dyDescent="0.25">
      <c r="B56">
        <v>0.9297213214939134</v>
      </c>
      <c r="C56">
        <v>6.9867909615507554E-2</v>
      </c>
      <c r="D56">
        <v>1.2943818881382479E-4</v>
      </c>
      <c r="E56">
        <v>2.1569255825808716E-4</v>
      </c>
      <c r="F56">
        <v>6.5638143507373354E-5</v>
      </c>
      <c r="G56">
        <v>0</v>
      </c>
      <c r="I56">
        <v>0.72458832680456076</v>
      </c>
      <c r="J56">
        <v>0.27541167319543924</v>
      </c>
      <c r="M56">
        <v>0.96243527192014577</v>
      </c>
      <c r="N56">
        <v>3.7499927432827783E-2</v>
      </c>
      <c r="O56">
        <v>6.4800647026294674E-5</v>
      </c>
      <c r="P56">
        <v>0</v>
      </c>
      <c r="Q56">
        <v>0</v>
      </c>
      <c r="R56">
        <v>0</v>
      </c>
      <c r="T56">
        <v>4.8075586714913902E-2</v>
      </c>
      <c r="U56">
        <v>0.95192441328508615</v>
      </c>
    </row>
    <row r="57" spans="1:22" x14ac:dyDescent="0.25">
      <c r="B57">
        <v>0.99760012240751916</v>
      </c>
      <c r="C57">
        <v>1.1235486039179485E-3</v>
      </c>
      <c r="D57">
        <v>0</v>
      </c>
      <c r="E57">
        <v>1.2610540926093891E-3</v>
      </c>
      <c r="F57">
        <v>6.8732857543299427E-6</v>
      </c>
      <c r="G57">
        <v>8.4016101990403556E-6</v>
      </c>
      <c r="I57">
        <v>0.18904363900921736</v>
      </c>
      <c r="J57">
        <v>0.81095636099078261</v>
      </c>
      <c r="M57">
        <v>0.99587362915086475</v>
      </c>
      <c r="N57">
        <v>2.0537791836905484E-3</v>
      </c>
      <c r="O57">
        <v>8.9784133869032987E-7</v>
      </c>
      <c r="P57">
        <v>6.5728031660318442E-4</v>
      </c>
      <c r="Q57">
        <v>1.3973566491613447E-3</v>
      </c>
      <c r="R57">
        <v>1.7056858341370152E-5</v>
      </c>
      <c r="T57">
        <v>0.14998374919008398</v>
      </c>
      <c r="U57">
        <v>0.85001625080991594</v>
      </c>
    </row>
    <row r="58" spans="1:22" x14ac:dyDescent="0.25">
      <c r="B58">
        <v>0.99414364837834557</v>
      </c>
      <c r="C58">
        <v>5.1216404793131528E-3</v>
      </c>
      <c r="D58">
        <v>1.1386166241715915E-6</v>
      </c>
      <c r="E58">
        <v>2.142125701222928E-4</v>
      </c>
      <c r="F58">
        <v>5.1856265192356762E-4</v>
      </c>
      <c r="G58">
        <v>7.9730367118199069E-7</v>
      </c>
      <c r="I58">
        <v>0.84764292489840209</v>
      </c>
      <c r="J58">
        <v>0.15235707510159802</v>
      </c>
      <c r="M58">
        <v>0.99867459641131273</v>
      </c>
      <c r="N58">
        <v>9.3085204524565404E-4</v>
      </c>
      <c r="O58">
        <v>3.949891930377212E-6</v>
      </c>
      <c r="P58">
        <v>9.5674861651275455E-5</v>
      </c>
      <c r="Q58">
        <v>2.9390957328209743E-4</v>
      </c>
      <c r="R58">
        <v>1.0172165779319182E-6</v>
      </c>
      <c r="T58">
        <v>0.99211166673913087</v>
      </c>
      <c r="U58">
        <v>7.8883332608691379E-3</v>
      </c>
    </row>
    <row r="60" spans="1:22" x14ac:dyDescent="0.25">
      <c r="A60" t="s">
        <v>183</v>
      </c>
      <c r="I60" t="s">
        <v>184</v>
      </c>
      <c r="L60" t="s">
        <v>185</v>
      </c>
      <c r="T60" t="s">
        <v>186</v>
      </c>
    </row>
    <row r="61" spans="1:22" x14ac:dyDescent="0.25">
      <c r="B61" t="s">
        <v>174</v>
      </c>
      <c r="C61" t="s">
        <v>175</v>
      </c>
      <c r="D61" t="s">
        <v>176</v>
      </c>
      <c r="E61" t="s">
        <v>177</v>
      </c>
      <c r="F61" t="s">
        <v>178</v>
      </c>
      <c r="G61" t="s">
        <v>179</v>
      </c>
      <c r="H61" t="s">
        <v>180</v>
      </c>
      <c r="J61" t="s">
        <v>181</v>
      </c>
      <c r="K61" t="s">
        <v>182</v>
      </c>
      <c r="M61" t="s">
        <v>174</v>
      </c>
      <c r="N61" t="s">
        <v>175</v>
      </c>
      <c r="O61" t="s">
        <v>176</v>
      </c>
      <c r="P61" t="s">
        <v>177</v>
      </c>
      <c r="Q61" t="s">
        <v>178</v>
      </c>
      <c r="R61" t="s">
        <v>179</v>
      </c>
      <c r="S61" t="s">
        <v>180</v>
      </c>
      <c r="U61" t="s">
        <v>181</v>
      </c>
      <c r="V61" t="s">
        <v>182</v>
      </c>
    </row>
    <row r="62" spans="1:22" x14ac:dyDescent="0.25">
      <c r="B62">
        <v>0.98453319861567767</v>
      </c>
      <c r="C62">
        <v>0</v>
      </c>
      <c r="D62">
        <v>2.8017075759669782E-3</v>
      </c>
      <c r="E62">
        <v>4.0619920329217931E-5</v>
      </c>
      <c r="F62">
        <v>6.5368910041882031E-3</v>
      </c>
      <c r="G62">
        <v>6.0770641858625251E-3</v>
      </c>
      <c r="H62">
        <v>1.0518697975522285E-5</v>
      </c>
      <c r="J62">
        <v>0.17657837636300672</v>
      </c>
      <c r="K62">
        <v>0.82342162363699334</v>
      </c>
      <c r="M62">
        <v>0.9811236381249353</v>
      </c>
      <c r="N62">
        <v>0</v>
      </c>
      <c r="O62">
        <v>2.2928987877386588E-3</v>
      </c>
      <c r="P62">
        <v>2.1170687877885324E-5</v>
      </c>
      <c r="Q62">
        <v>7.0883925196353068E-3</v>
      </c>
      <c r="R62">
        <v>9.4486213525762936E-3</v>
      </c>
      <c r="S62">
        <v>2.5278527236601394E-5</v>
      </c>
      <c r="U62">
        <v>0.19055893512164487</v>
      </c>
      <c r="V62">
        <v>0.8094410648783551</v>
      </c>
    </row>
    <row r="63" spans="1:22" x14ac:dyDescent="0.25">
      <c r="B63">
        <v>0.98279582986319969</v>
      </c>
      <c r="C63">
        <v>0</v>
      </c>
      <c r="D63">
        <v>1.7019281147164531E-2</v>
      </c>
      <c r="E63">
        <v>2.1594675215991758E-5</v>
      </c>
      <c r="F63">
        <v>1.5818199525619589E-4</v>
      </c>
      <c r="G63">
        <v>0</v>
      </c>
      <c r="H63">
        <v>5.1123191637176219E-6</v>
      </c>
      <c r="J63">
        <v>0.53413211436630992</v>
      </c>
      <c r="K63">
        <v>0.46586788563369008</v>
      </c>
      <c r="M63">
        <v>0.99332986435002979</v>
      </c>
      <c r="N63">
        <v>0</v>
      </c>
      <c r="O63">
        <v>6.5615873038163183E-3</v>
      </c>
      <c r="P63">
        <v>9.6466868323977955E-6</v>
      </c>
      <c r="Q63">
        <v>2.7549315219339719E-5</v>
      </c>
      <c r="R63">
        <v>0</v>
      </c>
      <c r="S63">
        <v>7.1352344101865942E-5</v>
      </c>
      <c r="U63">
        <v>0.47675710345493005</v>
      </c>
      <c r="V63">
        <v>0.52324289654506984</v>
      </c>
    </row>
    <row r="64" spans="1:22" x14ac:dyDescent="0.25">
      <c r="B64">
        <v>0.94081042473376486</v>
      </c>
      <c r="C64">
        <v>0</v>
      </c>
      <c r="D64">
        <v>4.7254195842578027E-2</v>
      </c>
      <c r="E64">
        <v>0</v>
      </c>
      <c r="F64">
        <v>9.441736736708126E-3</v>
      </c>
      <c r="G64">
        <v>2.4936426869488501E-3</v>
      </c>
      <c r="H64">
        <v>0</v>
      </c>
      <c r="J64">
        <v>0.39932228130665781</v>
      </c>
      <c r="K64">
        <v>0.60067771869334219</v>
      </c>
      <c r="M64">
        <v>0.92696540516158055</v>
      </c>
      <c r="N64">
        <v>0</v>
      </c>
      <c r="O64">
        <v>1.7900551684144665E-2</v>
      </c>
      <c r="P64">
        <v>2.9909412201118566E-5</v>
      </c>
      <c r="Q64">
        <v>5.3279959329798662E-2</v>
      </c>
      <c r="R64">
        <v>1.8182236610748692E-3</v>
      </c>
      <c r="S64">
        <v>5.9507512000341006E-6</v>
      </c>
      <c r="U64">
        <v>0.34831120958499473</v>
      </c>
      <c r="V64">
        <v>0.65168879041500538</v>
      </c>
    </row>
    <row r="65" spans="2:22" x14ac:dyDescent="0.25">
      <c r="B65">
        <v>0.99851823707700149</v>
      </c>
      <c r="C65">
        <v>0</v>
      </c>
      <c r="D65">
        <v>0</v>
      </c>
      <c r="E65">
        <v>0</v>
      </c>
      <c r="F65">
        <v>1.4136765909401466E-3</v>
      </c>
      <c r="G65">
        <v>6.8086332058238489E-5</v>
      </c>
      <c r="H65">
        <v>0</v>
      </c>
      <c r="J65">
        <v>0.71071496661113098</v>
      </c>
      <c r="K65">
        <v>0.28928503338886902</v>
      </c>
      <c r="M65">
        <v>0.99719754695857954</v>
      </c>
      <c r="N65">
        <v>0</v>
      </c>
      <c r="O65">
        <v>2.6630249077101566E-3</v>
      </c>
      <c r="P65">
        <v>0</v>
      </c>
      <c r="Q65">
        <v>1.3304909460235971E-4</v>
      </c>
      <c r="R65">
        <v>6.379039107921537E-6</v>
      </c>
      <c r="S65">
        <v>0</v>
      </c>
      <c r="U65">
        <v>0.82135584542077522</v>
      </c>
      <c r="V65">
        <v>0.17864415457922492</v>
      </c>
    </row>
    <row r="66" spans="2:22" x14ac:dyDescent="0.25">
      <c r="B66">
        <v>0.99458894672251574</v>
      </c>
      <c r="C66">
        <v>0</v>
      </c>
      <c r="D66">
        <v>3.5472663154103648E-3</v>
      </c>
      <c r="E66">
        <v>1.0099529812247876E-6</v>
      </c>
      <c r="F66">
        <v>4.2084179623690934E-4</v>
      </c>
      <c r="G66">
        <v>1.4410149211537763E-3</v>
      </c>
      <c r="H66">
        <v>9.2029170188470788E-7</v>
      </c>
      <c r="J66">
        <v>0.55003977776741853</v>
      </c>
      <c r="K66">
        <v>0.44996022223258147</v>
      </c>
      <c r="M66">
        <v>0.99439388801427808</v>
      </c>
      <c r="N66">
        <v>0</v>
      </c>
      <c r="O66">
        <v>3.5560589577179726E-3</v>
      </c>
      <c r="P66">
        <v>1.7114401920204594E-6</v>
      </c>
      <c r="Q66">
        <v>4.1258787356214174E-4</v>
      </c>
      <c r="R66">
        <v>1.6236985086180154E-3</v>
      </c>
      <c r="S66">
        <v>1.205520563176455E-5</v>
      </c>
      <c r="U66">
        <v>0.72927112668614191</v>
      </c>
      <c r="V66">
        <v>0.27072887331385825</v>
      </c>
    </row>
    <row r="67" spans="2:22" x14ac:dyDescent="0.25">
      <c r="B67">
        <v>0.97323367865270116</v>
      </c>
      <c r="C67">
        <v>0</v>
      </c>
      <c r="D67">
        <v>2.5488453738560773E-2</v>
      </c>
      <c r="E67">
        <v>1.0096248221623067E-5</v>
      </c>
      <c r="F67">
        <v>3.0018929802520084E-4</v>
      </c>
      <c r="G67">
        <v>9.6758206249120268E-4</v>
      </c>
      <c r="H67">
        <v>0</v>
      </c>
      <c r="J67">
        <v>0.15970941345639333</v>
      </c>
      <c r="K67">
        <v>0.84029058654360667</v>
      </c>
      <c r="M67">
        <v>0.96790581543874854</v>
      </c>
      <c r="N67">
        <v>0</v>
      </c>
      <c r="O67">
        <v>3.0351414009841114E-2</v>
      </c>
      <c r="P67">
        <v>0</v>
      </c>
      <c r="Q67">
        <v>1.4835399631452773E-4</v>
      </c>
      <c r="R67">
        <v>1.5944165550958469E-3</v>
      </c>
      <c r="S67">
        <v>0</v>
      </c>
      <c r="U67">
        <v>0.28290854480094468</v>
      </c>
      <c r="V67">
        <v>0.71709145519905526</v>
      </c>
    </row>
    <row r="68" spans="2:22" x14ac:dyDescent="0.25">
      <c r="B68">
        <v>0.98242737200857877</v>
      </c>
      <c r="C68">
        <v>0</v>
      </c>
      <c r="D68">
        <v>7.2946688963684662E-3</v>
      </c>
      <c r="E68">
        <v>0</v>
      </c>
      <c r="F68">
        <v>2.5752836179064034E-3</v>
      </c>
      <c r="G68">
        <v>7.7026754771462348E-3</v>
      </c>
      <c r="H68">
        <v>0</v>
      </c>
      <c r="J68">
        <v>0.13015511458917453</v>
      </c>
      <c r="K68">
        <v>0.8698448854108255</v>
      </c>
      <c r="M68">
        <v>0.99778967553596321</v>
      </c>
      <c r="N68">
        <v>0</v>
      </c>
      <c r="O68">
        <v>8.1736400436501204E-4</v>
      </c>
      <c r="P68">
        <v>5.3712370723129797E-5</v>
      </c>
      <c r="Q68">
        <v>0</v>
      </c>
      <c r="R68">
        <v>1.2455467920627461E-3</v>
      </c>
      <c r="S68">
        <v>9.3701296885996977E-5</v>
      </c>
      <c r="U68">
        <v>0.18113606939625013</v>
      </c>
      <c r="V68">
        <v>0.81886393060374996</v>
      </c>
    </row>
    <row r="69" spans="2:22" x14ac:dyDescent="0.25">
      <c r="B69">
        <v>0.9364261114191853</v>
      </c>
      <c r="C69">
        <v>0</v>
      </c>
      <c r="D69">
        <v>6.1923706161955541E-2</v>
      </c>
      <c r="E69">
        <v>1.2865892663769284E-3</v>
      </c>
      <c r="F69">
        <v>3.2626630739505616E-4</v>
      </c>
      <c r="G69">
        <v>3.7326845087108373E-5</v>
      </c>
      <c r="H69">
        <v>0</v>
      </c>
      <c r="J69">
        <v>0.58333745974198892</v>
      </c>
      <c r="K69">
        <v>0.41666254025801108</v>
      </c>
      <c r="M69">
        <v>0.97023332339891255</v>
      </c>
      <c r="N69">
        <v>0</v>
      </c>
      <c r="O69">
        <v>2.7936731653749648E-2</v>
      </c>
      <c r="P69">
        <v>0</v>
      </c>
      <c r="Q69">
        <v>1.1522489338203893E-3</v>
      </c>
      <c r="R69">
        <v>6.7611737272186504E-4</v>
      </c>
      <c r="S69">
        <v>1.5786407954446479E-6</v>
      </c>
      <c r="U69">
        <v>0.14107367201732723</v>
      </c>
      <c r="V69">
        <v>0.85892632798267277</v>
      </c>
    </row>
    <row r="70" spans="2:22" x14ac:dyDescent="0.25">
      <c r="B70">
        <v>0.93486058209421341</v>
      </c>
      <c r="C70">
        <v>0</v>
      </c>
      <c r="D70">
        <v>5.8872649122967413E-2</v>
      </c>
      <c r="E70">
        <v>0</v>
      </c>
      <c r="F70">
        <v>6.1920253182877827E-3</v>
      </c>
      <c r="G70">
        <v>0</v>
      </c>
      <c r="H70">
        <v>7.4743464531412223E-5</v>
      </c>
      <c r="J70">
        <v>0.66558071614488279</v>
      </c>
      <c r="K70">
        <v>0.33441928385511727</v>
      </c>
      <c r="M70">
        <v>0.95539647055271093</v>
      </c>
      <c r="N70">
        <v>0</v>
      </c>
      <c r="O70">
        <v>3.8605806028421737E-2</v>
      </c>
      <c r="P70">
        <v>0</v>
      </c>
      <c r="Q70">
        <v>3.8391928977804259E-3</v>
      </c>
      <c r="R70">
        <v>2.1585305210868942E-3</v>
      </c>
      <c r="S70">
        <v>0</v>
      </c>
      <c r="U70">
        <v>0.12617931838298388</v>
      </c>
      <c r="V70">
        <v>0.87382068161701609</v>
      </c>
    </row>
    <row r="71" spans="2:22" x14ac:dyDescent="0.25">
      <c r="B71">
        <v>0.99323869508315654</v>
      </c>
      <c r="C71">
        <v>0</v>
      </c>
      <c r="D71">
        <v>9.0714957476937023E-4</v>
      </c>
      <c r="E71">
        <v>0</v>
      </c>
      <c r="F71">
        <v>1.5846606680396662E-3</v>
      </c>
      <c r="G71">
        <v>4.2694946740344094E-3</v>
      </c>
      <c r="H71">
        <v>0</v>
      </c>
      <c r="J71">
        <v>0.74068514014906284</v>
      </c>
      <c r="K71">
        <v>0.25931485985093711</v>
      </c>
      <c r="M71">
        <v>0.99655507328282955</v>
      </c>
      <c r="N71">
        <v>0</v>
      </c>
      <c r="O71">
        <v>3.4449267171705218E-3</v>
      </c>
      <c r="P71">
        <v>0</v>
      </c>
      <c r="Q71">
        <v>0</v>
      </c>
      <c r="R71">
        <v>0</v>
      </c>
      <c r="S71">
        <v>0</v>
      </c>
      <c r="U71">
        <v>0.61949734223032871</v>
      </c>
      <c r="V71">
        <v>0.38050265776967135</v>
      </c>
    </row>
    <row r="72" spans="2:22" x14ac:dyDescent="0.25">
      <c r="B72">
        <v>0.99643606473779567</v>
      </c>
      <c r="C72">
        <v>0</v>
      </c>
      <c r="D72">
        <v>3.2500435550767612E-3</v>
      </c>
      <c r="E72">
        <v>0</v>
      </c>
      <c r="F72">
        <v>3.1389170712757471E-4</v>
      </c>
      <c r="G72">
        <v>0</v>
      </c>
      <c r="H72">
        <v>0</v>
      </c>
      <c r="J72">
        <v>0.50694778198165746</v>
      </c>
      <c r="K72">
        <v>0.49305221801834265</v>
      </c>
      <c r="M72">
        <v>0.99215451079546446</v>
      </c>
      <c r="N72">
        <v>0</v>
      </c>
      <c r="O72">
        <v>7.8105999042080571E-3</v>
      </c>
      <c r="P72">
        <v>0</v>
      </c>
      <c r="Q72">
        <v>3.4889300327523136E-5</v>
      </c>
      <c r="R72">
        <v>0</v>
      </c>
      <c r="S72">
        <v>0</v>
      </c>
      <c r="U72">
        <v>0.34371619126699088</v>
      </c>
      <c r="V72">
        <v>0.65628380873300907</v>
      </c>
    </row>
    <row r="73" spans="2:22" x14ac:dyDescent="0.25">
      <c r="B73">
        <v>0.86918920168633107</v>
      </c>
      <c r="C73">
        <v>0</v>
      </c>
      <c r="D73">
        <v>0.11713307197524865</v>
      </c>
      <c r="E73">
        <v>0</v>
      </c>
      <c r="F73">
        <v>1.0546998598071258E-2</v>
      </c>
      <c r="G73">
        <v>3.1307277403490111E-3</v>
      </c>
      <c r="H73">
        <v>0</v>
      </c>
      <c r="J73">
        <v>0.14833919359285605</v>
      </c>
      <c r="K73">
        <v>0.85166080640714403</v>
      </c>
      <c r="M73">
        <v>0.97235810786562138</v>
      </c>
      <c r="N73">
        <v>1.0306907090639187E-4</v>
      </c>
      <c r="O73">
        <v>2.5573212604459234E-2</v>
      </c>
      <c r="P73">
        <v>0</v>
      </c>
      <c r="Q73">
        <v>7.7448177668172744E-4</v>
      </c>
      <c r="R73">
        <v>1.1891671602209093E-3</v>
      </c>
      <c r="S73">
        <v>1.9615221106752777E-6</v>
      </c>
      <c r="U73">
        <v>0.1929305333856392</v>
      </c>
      <c r="V73">
        <v>0.80706946661436074</v>
      </c>
    </row>
    <row r="74" spans="2:22" x14ac:dyDescent="0.25">
      <c r="B74">
        <v>0.99791794235360765</v>
      </c>
      <c r="C74">
        <v>0</v>
      </c>
      <c r="D74">
        <v>4.2694132047539632E-5</v>
      </c>
      <c r="E74">
        <v>0</v>
      </c>
      <c r="F74">
        <v>1.6178913971020437E-3</v>
      </c>
      <c r="G74">
        <v>4.2147211724275369E-4</v>
      </c>
      <c r="H74">
        <v>0</v>
      </c>
      <c r="J74">
        <v>0.39187242317733173</v>
      </c>
      <c r="K74">
        <v>0.60812757682266827</v>
      </c>
      <c r="M74">
        <v>0.99926081702602043</v>
      </c>
      <c r="N74">
        <v>0</v>
      </c>
      <c r="O74">
        <v>5.2056732814706013E-6</v>
      </c>
      <c r="P74">
        <v>1.11258646257204E-5</v>
      </c>
      <c r="Q74">
        <v>6.3738899510191018E-4</v>
      </c>
      <c r="R74">
        <v>8.5462440970211643E-5</v>
      </c>
      <c r="S74">
        <v>0</v>
      </c>
      <c r="U74">
        <v>0.18460054685483351</v>
      </c>
      <c r="V74">
        <v>0.81539945314516649</v>
      </c>
    </row>
    <row r="75" spans="2:22" x14ac:dyDescent="0.25">
      <c r="B75">
        <v>0.99973042702298798</v>
      </c>
      <c r="C75">
        <v>0</v>
      </c>
      <c r="D75">
        <v>8.3129414313408762E-6</v>
      </c>
      <c r="E75">
        <v>0</v>
      </c>
      <c r="F75">
        <v>2.3691704440784327E-4</v>
      </c>
      <c r="G75">
        <v>2.4342991172973939E-5</v>
      </c>
      <c r="H75">
        <v>0</v>
      </c>
      <c r="J75">
        <v>5.7553393427886056E-3</v>
      </c>
      <c r="K75">
        <v>0.9942446606572114</v>
      </c>
      <c r="M75">
        <v>0.99995220217429703</v>
      </c>
      <c r="N75">
        <v>0</v>
      </c>
      <c r="O75">
        <v>3.4359350060503284E-5</v>
      </c>
      <c r="P75">
        <v>0</v>
      </c>
      <c r="Q75">
        <v>4.3347777248481261E-6</v>
      </c>
      <c r="R75">
        <v>9.1036979176571101E-6</v>
      </c>
      <c r="S75">
        <v>0</v>
      </c>
      <c r="U75">
        <v>0.54568316374760661</v>
      </c>
      <c r="V75">
        <v>0.45431683625239339</v>
      </c>
    </row>
    <row r="76" spans="2:22" x14ac:dyDescent="0.25">
      <c r="B76">
        <v>0.9977526824662486</v>
      </c>
      <c r="C76">
        <v>0</v>
      </c>
      <c r="D76">
        <v>2.1749764294245713E-3</v>
      </c>
      <c r="E76">
        <v>0</v>
      </c>
      <c r="F76">
        <v>6.1200347494143415E-5</v>
      </c>
      <c r="G76">
        <v>5.3711709530606191E-6</v>
      </c>
      <c r="H76">
        <v>5.7695858796707323E-6</v>
      </c>
      <c r="J76">
        <v>7.7575260699940377E-2</v>
      </c>
      <c r="K76">
        <v>0.92242473930005964</v>
      </c>
      <c r="M76">
        <v>0.99880654618634901</v>
      </c>
      <c r="N76">
        <v>0</v>
      </c>
      <c r="O76">
        <v>1.1572183547254433E-3</v>
      </c>
      <c r="P76">
        <v>1.1748290539998146E-5</v>
      </c>
      <c r="Q76">
        <v>1.1875259228890037E-6</v>
      </c>
      <c r="R76">
        <v>0</v>
      </c>
      <c r="S76">
        <v>2.329964246269387E-5</v>
      </c>
      <c r="U76">
        <v>0.12855098088557018</v>
      </c>
      <c r="V76">
        <v>0.87144901911442973</v>
      </c>
    </row>
    <row r="77" spans="2:22" x14ac:dyDescent="0.25">
      <c r="B77">
        <v>0.74388168300872992</v>
      </c>
      <c r="C77">
        <v>1.3952847128429171E-4</v>
      </c>
      <c r="D77">
        <v>0.24241724814450538</v>
      </c>
      <c r="E77">
        <v>2.4146407921826609E-5</v>
      </c>
      <c r="F77">
        <v>7.7019910574298916E-3</v>
      </c>
      <c r="G77">
        <v>5.8354029101287466E-3</v>
      </c>
      <c r="H77">
        <v>0</v>
      </c>
      <c r="J77">
        <v>0.12127831891995483</v>
      </c>
      <c r="K77">
        <v>0.87872168108004522</v>
      </c>
      <c r="M77">
        <v>0.9667908052358265</v>
      </c>
      <c r="N77">
        <v>0</v>
      </c>
      <c r="O77">
        <v>2.5663865227917922E-2</v>
      </c>
      <c r="P77">
        <v>2.9714392337445102E-5</v>
      </c>
      <c r="Q77">
        <v>2.6817228726153802E-3</v>
      </c>
      <c r="R77">
        <v>4.7974381210262717E-3</v>
      </c>
      <c r="S77">
        <v>3.6454150276650878E-5</v>
      </c>
      <c r="U77">
        <v>0.20967578399139444</v>
      </c>
      <c r="V77">
        <v>0.79032421600860547</v>
      </c>
    </row>
    <row r="78" spans="2:22" x14ac:dyDescent="0.25">
      <c r="B78">
        <v>0.99156724868145618</v>
      </c>
      <c r="C78">
        <v>0</v>
      </c>
      <c r="D78">
        <v>7.212999048191099E-3</v>
      </c>
      <c r="E78">
        <v>6.2642120951057647E-4</v>
      </c>
      <c r="F78">
        <v>4.2669559450778631E-4</v>
      </c>
      <c r="G78">
        <v>1.6319694863835873E-4</v>
      </c>
      <c r="H78">
        <v>3.4385176959035242E-6</v>
      </c>
      <c r="J78">
        <v>0.34853006596954456</v>
      </c>
      <c r="K78">
        <v>0.6514699340304555</v>
      </c>
      <c r="M78">
        <v>0.98964077191259148</v>
      </c>
      <c r="N78">
        <v>0</v>
      </c>
      <c r="O78">
        <v>8.0939823024413961E-3</v>
      </c>
      <c r="P78">
        <v>4.016536881667087E-4</v>
      </c>
      <c r="Q78">
        <v>1.6892326241472466E-3</v>
      </c>
      <c r="R78">
        <v>1.7255296905105486E-4</v>
      </c>
      <c r="S78">
        <v>1.8065036022231376E-6</v>
      </c>
      <c r="U78">
        <v>0.54068371251460323</v>
      </c>
      <c r="V78">
        <v>0.45931628748539671</v>
      </c>
    </row>
    <row r="79" spans="2:22" x14ac:dyDescent="0.25">
      <c r="B79">
        <v>0.99604697430307876</v>
      </c>
      <c r="C79">
        <v>0</v>
      </c>
      <c r="D79">
        <v>1.628301527632418E-3</v>
      </c>
      <c r="E79">
        <v>0</v>
      </c>
      <c r="F79">
        <v>7.2299714680186902E-4</v>
      </c>
      <c r="G79">
        <v>1.6017270224869245E-3</v>
      </c>
      <c r="H79">
        <v>0</v>
      </c>
      <c r="J79">
        <v>4.8495957814777516E-2</v>
      </c>
      <c r="K79">
        <v>0.95150404218522255</v>
      </c>
      <c r="M79">
        <v>0.99089988313399346</v>
      </c>
      <c r="N79">
        <v>0</v>
      </c>
      <c r="O79">
        <v>8.9160451769255602E-3</v>
      </c>
      <c r="P79">
        <v>6.6535454597394155E-7</v>
      </c>
      <c r="Q79">
        <v>1.7805088314240317E-4</v>
      </c>
      <c r="R79">
        <v>0</v>
      </c>
      <c r="S79">
        <v>5.3554513925856933E-6</v>
      </c>
      <c r="U79">
        <v>0.18565787581808324</v>
      </c>
      <c r="V79">
        <v>0.81434212418191676</v>
      </c>
    </row>
    <row r="80" spans="2:22" x14ac:dyDescent="0.25">
      <c r="B80">
        <v>0.99719990245387147</v>
      </c>
      <c r="C80">
        <v>0</v>
      </c>
      <c r="D80">
        <v>1.5169907345035569E-3</v>
      </c>
      <c r="E80">
        <v>1.6080379813129527E-5</v>
      </c>
      <c r="F80">
        <v>3.8293785571559622E-4</v>
      </c>
      <c r="G80">
        <v>8.837871358987453E-4</v>
      </c>
      <c r="H80">
        <v>3.0144019733707147E-7</v>
      </c>
      <c r="J80">
        <v>0.15909979713149847</v>
      </c>
      <c r="K80">
        <v>0.84090020286850153</v>
      </c>
      <c r="M80">
        <v>0.98721889532634088</v>
      </c>
      <c r="N80">
        <v>0</v>
      </c>
      <c r="O80">
        <v>1.1198159241488873E-2</v>
      </c>
      <c r="P80">
        <v>2.0474470126462547E-5</v>
      </c>
      <c r="Q80">
        <v>3.1833401459264464E-5</v>
      </c>
      <c r="R80">
        <v>1.5174375927620918E-3</v>
      </c>
      <c r="S80">
        <v>1.3199967822508754E-5</v>
      </c>
      <c r="U80">
        <v>0.68314155901776641</v>
      </c>
      <c r="V80">
        <v>0.31685844098223365</v>
      </c>
    </row>
    <row r="81" spans="1:24" x14ac:dyDescent="0.25">
      <c r="B81">
        <v>0.99760928861585696</v>
      </c>
      <c r="C81">
        <v>0</v>
      </c>
      <c r="D81">
        <v>1.6374152985916914E-3</v>
      </c>
      <c r="E81">
        <v>0</v>
      </c>
      <c r="F81">
        <v>7.1302710447499265E-4</v>
      </c>
      <c r="G81">
        <v>4.026898107642604E-5</v>
      </c>
      <c r="H81">
        <v>0</v>
      </c>
      <c r="J81">
        <v>0.16687050964910072</v>
      </c>
      <c r="K81">
        <v>0.83312949035089923</v>
      </c>
      <c r="M81">
        <v>0.99802815661393296</v>
      </c>
      <c r="N81">
        <v>0</v>
      </c>
      <c r="O81">
        <v>1.9263837110615281E-3</v>
      </c>
      <c r="P81">
        <v>0</v>
      </c>
      <c r="Q81">
        <v>4.5459675005422135E-5</v>
      </c>
      <c r="R81">
        <v>0</v>
      </c>
      <c r="S81">
        <v>0</v>
      </c>
      <c r="U81">
        <v>0.33963243895669143</v>
      </c>
      <c r="V81">
        <v>0.66036756104330863</v>
      </c>
    </row>
    <row r="82" spans="1:24" x14ac:dyDescent="0.25">
      <c r="B82">
        <v>0.84056805055688633</v>
      </c>
      <c r="C82">
        <v>0</v>
      </c>
      <c r="D82">
        <v>0.15836418350047712</v>
      </c>
      <c r="E82">
        <v>1.8632153213364241E-4</v>
      </c>
      <c r="F82">
        <v>8.6572448523839743E-4</v>
      </c>
      <c r="G82">
        <v>6.4329670289632936E-6</v>
      </c>
      <c r="H82">
        <v>9.2869582358131453E-6</v>
      </c>
      <c r="J82">
        <v>0.1970555315862357</v>
      </c>
      <c r="K82">
        <v>0.80294446841376432</v>
      </c>
      <c r="M82">
        <v>0.85746042550519896</v>
      </c>
      <c r="N82">
        <v>0</v>
      </c>
      <c r="O82">
        <v>0.14081986818804926</v>
      </c>
      <c r="P82">
        <v>1.1594915988735249E-4</v>
      </c>
      <c r="Q82">
        <v>0</v>
      </c>
      <c r="R82">
        <v>1.5935284549789368E-3</v>
      </c>
      <c r="S82">
        <v>1.0228691885531365E-5</v>
      </c>
      <c r="U82">
        <v>6.8561705610590787E-2</v>
      </c>
      <c r="V82">
        <v>0.93143829438940917</v>
      </c>
    </row>
    <row r="83" spans="1:24" x14ac:dyDescent="0.25">
      <c r="B83">
        <v>0.98682508058420781</v>
      </c>
      <c r="C83">
        <v>0</v>
      </c>
      <c r="D83">
        <v>2.7912235184194981E-3</v>
      </c>
      <c r="E83">
        <v>4.3026856434623514E-5</v>
      </c>
      <c r="F83">
        <v>5.6084032884810781E-3</v>
      </c>
      <c r="G83">
        <v>4.7322657524569399E-3</v>
      </c>
      <c r="H83">
        <v>0</v>
      </c>
      <c r="J83">
        <v>0.39945011107563</v>
      </c>
      <c r="K83">
        <v>0.60054988892437</v>
      </c>
      <c r="M83">
        <v>0.99374180937361645</v>
      </c>
      <c r="N83">
        <v>0</v>
      </c>
      <c r="O83">
        <v>3.2389468321727109E-3</v>
      </c>
      <c r="P83">
        <v>3.1027249927791716E-6</v>
      </c>
      <c r="Q83">
        <v>3.0161410692180215E-3</v>
      </c>
      <c r="R83">
        <v>0</v>
      </c>
      <c r="S83">
        <v>0</v>
      </c>
      <c r="U83">
        <v>2.1465871432602857E-2</v>
      </c>
      <c r="V83">
        <v>0.97853412856739719</v>
      </c>
    </row>
    <row r="84" spans="1:24" x14ac:dyDescent="0.25">
      <c r="B84">
        <v>0.9839934750107644</v>
      </c>
      <c r="C84">
        <v>0</v>
      </c>
      <c r="D84">
        <v>8.5377943124165991E-3</v>
      </c>
      <c r="E84">
        <v>0</v>
      </c>
      <c r="F84">
        <v>1.2116313726953545E-3</v>
      </c>
      <c r="G84">
        <v>6.2570993041236389E-3</v>
      </c>
      <c r="H84">
        <v>0</v>
      </c>
      <c r="J84">
        <v>0.3769138787962622</v>
      </c>
      <c r="K84">
        <v>0.62308612120373774</v>
      </c>
      <c r="M84">
        <v>0.97782683719202479</v>
      </c>
      <c r="N84">
        <v>0</v>
      </c>
      <c r="O84">
        <v>4.5352033096837203E-3</v>
      </c>
      <c r="P84">
        <v>8.5997583898143859E-7</v>
      </c>
      <c r="Q84">
        <v>8.3594408124204201E-3</v>
      </c>
      <c r="R84">
        <v>9.2726813671515362E-3</v>
      </c>
      <c r="S84">
        <v>4.977342880523343E-6</v>
      </c>
      <c r="U84">
        <v>0.64493540434481988</v>
      </c>
      <c r="V84">
        <v>0.35506459565518006</v>
      </c>
    </row>
    <row r="85" spans="1:24" x14ac:dyDescent="0.25">
      <c r="B85">
        <v>0.89230293911603431</v>
      </c>
      <c r="C85">
        <v>1.8171432523246686E-4</v>
      </c>
      <c r="D85">
        <v>0.10705096082763227</v>
      </c>
      <c r="E85">
        <v>6.4754101429608077E-5</v>
      </c>
      <c r="F85">
        <v>3.4830429678413483E-4</v>
      </c>
      <c r="G85">
        <v>5.0405675898771111E-5</v>
      </c>
      <c r="H85">
        <v>9.2165698838686371E-7</v>
      </c>
      <c r="J85">
        <v>0.62898117346273019</v>
      </c>
      <c r="K85">
        <v>0.37101882653726975</v>
      </c>
      <c r="M85">
        <v>0.99990152544653832</v>
      </c>
      <c r="N85">
        <v>0</v>
      </c>
      <c r="O85">
        <v>0</v>
      </c>
      <c r="P85">
        <v>8.3295038099003005E-5</v>
      </c>
      <c r="Q85">
        <v>4.9683433698711789E-6</v>
      </c>
      <c r="R85">
        <v>0</v>
      </c>
      <c r="S85">
        <v>1.0211171992856824E-5</v>
      </c>
      <c r="U85">
        <v>0.30096125396537471</v>
      </c>
      <c r="V85">
        <v>0.69903874603462524</v>
      </c>
    </row>
    <row r="86" spans="1:24" x14ac:dyDescent="0.25">
      <c r="B86">
        <v>0.98520267582008447</v>
      </c>
      <c r="C86">
        <v>0</v>
      </c>
      <c r="D86">
        <v>2.628429491259735E-3</v>
      </c>
      <c r="E86">
        <v>1.1500346063435646E-5</v>
      </c>
      <c r="F86">
        <v>9.2265254487788849E-3</v>
      </c>
      <c r="G86">
        <v>2.8786764102572008E-3</v>
      </c>
      <c r="H86">
        <v>5.2192483556329518E-5</v>
      </c>
      <c r="J86">
        <v>0.11146937168219866</v>
      </c>
      <c r="K86">
        <v>0.88853062831780139</v>
      </c>
      <c r="M86">
        <v>0.98812849621327636</v>
      </c>
      <c r="N86">
        <v>0</v>
      </c>
      <c r="O86">
        <v>5.486261825923678E-5</v>
      </c>
      <c r="P86">
        <v>1.0121580954749717E-5</v>
      </c>
      <c r="Q86">
        <v>4.7708468974026915E-4</v>
      </c>
      <c r="R86">
        <v>1.1239264473569868E-2</v>
      </c>
      <c r="S86">
        <v>9.017042419946528E-5</v>
      </c>
      <c r="U86">
        <v>0.11970699182113853</v>
      </c>
      <c r="V86">
        <v>0.88029300817886147</v>
      </c>
    </row>
    <row r="87" spans="1:24" x14ac:dyDescent="0.25">
      <c r="B87">
        <v>0.99375541315598914</v>
      </c>
      <c r="C87">
        <v>0</v>
      </c>
      <c r="D87">
        <v>3.309770647055065E-3</v>
      </c>
      <c r="E87">
        <v>6.7362420308058419E-7</v>
      </c>
      <c r="F87">
        <v>1.0697392132863442E-3</v>
      </c>
      <c r="G87">
        <v>1.8631088373855167E-3</v>
      </c>
      <c r="H87">
        <v>1.2945220810062988E-6</v>
      </c>
      <c r="J87">
        <v>0.9008256070023416</v>
      </c>
      <c r="K87">
        <v>9.9174392997658387E-2</v>
      </c>
      <c r="M87">
        <v>0.99741320364473207</v>
      </c>
      <c r="N87">
        <v>7.229711773151514E-8</v>
      </c>
      <c r="O87">
        <v>1.1099357564519179E-3</v>
      </c>
      <c r="P87">
        <v>4.108654269283713E-6</v>
      </c>
      <c r="Q87">
        <v>4.2024808408943872E-4</v>
      </c>
      <c r="R87">
        <v>1.049461489319646E-3</v>
      </c>
      <c r="S87">
        <v>2.9700740200384235E-6</v>
      </c>
      <c r="U87">
        <v>0.86100142983517136</v>
      </c>
      <c r="V87">
        <v>0.13899857016482867</v>
      </c>
    </row>
    <row r="89" spans="1:24" x14ac:dyDescent="0.25">
      <c r="A89" t="s">
        <v>197</v>
      </c>
      <c r="J89" t="s">
        <v>198</v>
      </c>
      <c r="M89" t="s">
        <v>199</v>
      </c>
      <c r="V89" t="s">
        <v>200</v>
      </c>
    </row>
    <row r="90" spans="1:24" x14ac:dyDescent="0.25">
      <c r="B90" t="s">
        <v>187</v>
      </c>
      <c r="C90" t="s">
        <v>188</v>
      </c>
      <c r="D90" t="s">
        <v>189</v>
      </c>
      <c r="E90" t="s">
        <v>190</v>
      </c>
      <c r="F90" t="s">
        <v>191</v>
      </c>
      <c r="G90" t="s">
        <v>192</v>
      </c>
      <c r="H90" t="s">
        <v>193</v>
      </c>
      <c r="I90" t="s">
        <v>194</v>
      </c>
      <c r="K90" t="s">
        <v>195</v>
      </c>
      <c r="L90" t="s">
        <v>196</v>
      </c>
      <c r="N90" t="s">
        <v>187</v>
      </c>
      <c r="O90" t="s">
        <v>188</v>
      </c>
      <c r="P90" t="s">
        <v>189</v>
      </c>
      <c r="Q90" t="s">
        <v>190</v>
      </c>
      <c r="R90" t="s">
        <v>191</v>
      </c>
      <c r="S90" t="s">
        <v>192</v>
      </c>
      <c r="T90" t="s">
        <v>193</v>
      </c>
      <c r="U90" t="s">
        <v>194</v>
      </c>
      <c r="W90" t="s">
        <v>195</v>
      </c>
      <c r="X90" t="s">
        <v>196</v>
      </c>
    </row>
    <row r="91" spans="1:24" x14ac:dyDescent="0.25">
      <c r="B91">
        <v>0.81917381469349171</v>
      </c>
      <c r="C91">
        <v>0</v>
      </c>
      <c r="D91">
        <v>1.4379957356267484E-3</v>
      </c>
      <c r="E91">
        <v>2.5187085519912991E-6</v>
      </c>
      <c r="F91">
        <v>0.15047771601711127</v>
      </c>
      <c r="G91">
        <v>1.0904830693321488E-2</v>
      </c>
      <c r="H91">
        <v>1.7997125134213834E-2</v>
      </c>
      <c r="I91">
        <v>5.9990176828229637E-6</v>
      </c>
      <c r="K91">
        <v>6.8840820894666296E-2</v>
      </c>
      <c r="L91">
        <v>0.93115917910533363</v>
      </c>
      <c r="N91">
        <v>0.56566901263602676</v>
      </c>
      <c r="O91">
        <v>0</v>
      </c>
      <c r="P91">
        <v>4.9090830886343046E-3</v>
      </c>
      <c r="Q91">
        <v>8.6837629827859207E-6</v>
      </c>
      <c r="R91">
        <v>0.32574063460363167</v>
      </c>
      <c r="S91">
        <v>3.5126933310797581E-2</v>
      </c>
      <c r="T91">
        <v>6.8092890543803408E-2</v>
      </c>
      <c r="U91">
        <v>4.527620541234709E-4</v>
      </c>
      <c r="W91">
        <v>0.12559673713477007</v>
      </c>
      <c r="X91">
        <v>0.87440326286522985</v>
      </c>
    </row>
    <row r="92" spans="1:24" x14ac:dyDescent="0.25">
      <c r="B92">
        <v>0.83245890092130859</v>
      </c>
      <c r="C92">
        <v>0</v>
      </c>
      <c r="D92">
        <v>1.1532126460407662E-2</v>
      </c>
      <c r="E92">
        <v>1.460902866304719E-5</v>
      </c>
      <c r="F92">
        <v>0.15566260767400783</v>
      </c>
      <c r="G92">
        <v>2.7580171059649337E-4</v>
      </c>
      <c r="H92">
        <v>3.0384792571958705E-5</v>
      </c>
      <c r="I92">
        <v>2.5569412444534128E-5</v>
      </c>
      <c r="K92">
        <v>0.18426505927472683</v>
      </c>
      <c r="L92">
        <v>0.81573494072527319</v>
      </c>
      <c r="N92">
        <v>0.33396598204880518</v>
      </c>
      <c r="O92">
        <v>0</v>
      </c>
      <c r="P92">
        <v>0</v>
      </c>
      <c r="Q92">
        <v>2.4613228924306574E-5</v>
      </c>
      <c r="R92">
        <v>0.66397456506294417</v>
      </c>
      <c r="S92">
        <v>0</v>
      </c>
      <c r="T92">
        <v>1.8522807280375224E-3</v>
      </c>
      <c r="U92">
        <v>1.8255893128869843E-4</v>
      </c>
      <c r="W92">
        <v>0.14768975896243089</v>
      </c>
      <c r="X92">
        <v>0.85231024103756903</v>
      </c>
    </row>
    <row r="93" spans="1:24" x14ac:dyDescent="0.25">
      <c r="B93">
        <v>0.75866634924303311</v>
      </c>
      <c r="C93">
        <v>0</v>
      </c>
      <c r="D93">
        <v>9.0921577837387357E-2</v>
      </c>
      <c r="E93">
        <v>9.4460923651247216E-6</v>
      </c>
      <c r="F93">
        <v>0.10193018793172372</v>
      </c>
      <c r="G93">
        <v>4.2814067001601626E-2</v>
      </c>
      <c r="H93">
        <v>5.6440744119229504E-3</v>
      </c>
      <c r="I93">
        <v>1.4297481966133074E-5</v>
      </c>
      <c r="K93">
        <v>0.46132046020558948</v>
      </c>
      <c r="L93">
        <v>0.53867953979441052</v>
      </c>
      <c r="N93">
        <v>0.82782902165073402</v>
      </c>
      <c r="O93">
        <v>0</v>
      </c>
      <c r="P93">
        <v>1.156607800905329E-2</v>
      </c>
      <c r="Q93">
        <v>2.1893892774580048E-5</v>
      </c>
      <c r="R93">
        <v>0.13775771959270913</v>
      </c>
      <c r="S93">
        <v>1.6857912728772864E-2</v>
      </c>
      <c r="T93">
        <v>5.9592246965182102E-3</v>
      </c>
      <c r="U93">
        <v>8.1494294379159469E-6</v>
      </c>
      <c r="W93">
        <v>0.33096131668453888</v>
      </c>
      <c r="X93">
        <v>0.66903868331546112</v>
      </c>
    </row>
    <row r="94" spans="1:24" x14ac:dyDescent="0.25">
      <c r="B94">
        <v>0.97914633401771434</v>
      </c>
      <c r="C94">
        <v>0</v>
      </c>
      <c r="D94">
        <v>9.3781512325682623E-4</v>
      </c>
      <c r="E94">
        <v>0</v>
      </c>
      <c r="F94">
        <v>1.9915850859028757E-2</v>
      </c>
      <c r="G94">
        <v>0</v>
      </c>
      <c r="H94">
        <v>0</v>
      </c>
      <c r="I94">
        <v>0</v>
      </c>
      <c r="K94">
        <v>0.33705113560411815</v>
      </c>
      <c r="L94">
        <v>0.66294886439588196</v>
      </c>
      <c r="N94">
        <v>0.91611337406962767</v>
      </c>
      <c r="O94">
        <v>0</v>
      </c>
      <c r="P94">
        <v>1.5089218955861041E-3</v>
      </c>
      <c r="Q94">
        <v>8.8198460651535141E-6</v>
      </c>
      <c r="R94">
        <v>8.236888418872107E-2</v>
      </c>
      <c r="S94">
        <v>0</v>
      </c>
      <c r="T94">
        <v>0</v>
      </c>
      <c r="U94">
        <v>0</v>
      </c>
      <c r="W94">
        <v>0.58348271248777428</v>
      </c>
      <c r="X94">
        <v>0.41651728751222566</v>
      </c>
    </row>
    <row r="95" spans="1:24" x14ac:dyDescent="0.25">
      <c r="B95">
        <v>0.984894604768349</v>
      </c>
      <c r="C95">
        <v>0</v>
      </c>
      <c r="D95">
        <v>2.4553013703677187E-3</v>
      </c>
      <c r="E95">
        <v>1.0593268471613281E-6</v>
      </c>
      <c r="F95">
        <v>3.7063929363560211E-3</v>
      </c>
      <c r="G95">
        <v>1.5032889625473259E-3</v>
      </c>
      <c r="H95">
        <v>7.4239050535220138E-3</v>
      </c>
      <c r="I95">
        <v>1.5447582010835921E-5</v>
      </c>
      <c r="K95">
        <v>0.6026948045180579</v>
      </c>
      <c r="L95">
        <v>0.39730519548194215</v>
      </c>
      <c r="N95">
        <v>0.97709267213256223</v>
      </c>
      <c r="O95">
        <v>8.3731784584718644E-6</v>
      </c>
      <c r="P95">
        <v>3.3827387140591236E-3</v>
      </c>
      <c r="Q95">
        <v>1.410184714590649E-5</v>
      </c>
      <c r="R95">
        <v>1.4040587195566669E-2</v>
      </c>
      <c r="S95">
        <v>9.1225416060256807E-4</v>
      </c>
      <c r="T95">
        <v>4.5247545841763451E-3</v>
      </c>
      <c r="U95">
        <v>2.4518187428801088E-5</v>
      </c>
      <c r="W95">
        <v>0.4323114428200201</v>
      </c>
      <c r="X95">
        <v>0.56768855717998001</v>
      </c>
    </row>
    <row r="96" spans="1:24" x14ac:dyDescent="0.25">
      <c r="B96">
        <v>0.925031194083205</v>
      </c>
      <c r="C96">
        <v>0</v>
      </c>
      <c r="D96">
        <v>3.7984956479962514E-2</v>
      </c>
      <c r="E96">
        <v>2.9706125172700055E-5</v>
      </c>
      <c r="F96">
        <v>3.495168295159435E-2</v>
      </c>
      <c r="G96">
        <v>1.7161686506144047E-3</v>
      </c>
      <c r="H96">
        <v>2.8629170945110804E-4</v>
      </c>
      <c r="I96">
        <v>0</v>
      </c>
      <c r="K96">
        <v>4.8529899426420706E-2</v>
      </c>
      <c r="L96">
        <v>0.95147010057357928</v>
      </c>
      <c r="N96">
        <v>0.76581463184692189</v>
      </c>
      <c r="O96">
        <v>0</v>
      </c>
      <c r="P96">
        <v>7.1413363118108517E-2</v>
      </c>
      <c r="Q96">
        <v>3.8470317992221484E-6</v>
      </c>
      <c r="R96">
        <v>0.15948754274014679</v>
      </c>
      <c r="S96">
        <v>1.011500013605485E-3</v>
      </c>
      <c r="T96">
        <v>2.2689448153672153E-3</v>
      </c>
      <c r="U96">
        <v>1.7043405092011924E-7</v>
      </c>
      <c r="W96">
        <v>0.14604821502469933</v>
      </c>
      <c r="X96">
        <v>0.85395178497530055</v>
      </c>
    </row>
    <row r="97" spans="2:24" x14ac:dyDescent="0.25">
      <c r="B97">
        <v>0.78523560091155509</v>
      </c>
      <c r="C97">
        <v>0</v>
      </c>
      <c r="D97">
        <v>2.1192058443599213E-3</v>
      </c>
      <c r="E97">
        <v>0</v>
      </c>
      <c r="F97">
        <v>0.1745488668285371</v>
      </c>
      <c r="G97">
        <v>3.1891445294444012E-3</v>
      </c>
      <c r="H97">
        <v>3.4907181886103415E-2</v>
      </c>
      <c r="I97">
        <v>0</v>
      </c>
      <c r="K97">
        <v>0.10737792758759805</v>
      </c>
      <c r="L97">
        <v>0.89262207241240188</v>
      </c>
      <c r="N97">
        <v>0.74228554711239414</v>
      </c>
      <c r="O97">
        <v>0</v>
      </c>
      <c r="P97">
        <v>4.3429330943953424E-3</v>
      </c>
      <c r="Q97">
        <v>1.624362350111545E-5</v>
      </c>
      <c r="R97">
        <v>0.25278695506697235</v>
      </c>
      <c r="S97">
        <v>5.5357076270878135E-5</v>
      </c>
      <c r="T97">
        <v>0</v>
      </c>
      <c r="U97">
        <v>5.1296402646602011E-4</v>
      </c>
      <c r="W97">
        <v>8.5318300424090956E-2</v>
      </c>
      <c r="X97">
        <v>0.91468169957590895</v>
      </c>
    </row>
    <row r="98" spans="2:24" x14ac:dyDescent="0.25">
      <c r="B98">
        <v>0.68650053501414621</v>
      </c>
      <c r="C98">
        <v>0</v>
      </c>
      <c r="D98">
        <v>3.6084017850956482E-2</v>
      </c>
      <c r="E98">
        <v>5.5017280639838332E-4</v>
      </c>
      <c r="F98">
        <v>0.27497435769365253</v>
      </c>
      <c r="G98">
        <v>1.1245603351022599E-3</v>
      </c>
      <c r="H98">
        <v>7.6635629974412768E-4</v>
      </c>
      <c r="I98">
        <v>0</v>
      </c>
      <c r="K98">
        <v>0.13100575155848485</v>
      </c>
      <c r="L98">
        <v>0.86899424844151507</v>
      </c>
      <c r="N98">
        <v>0.66714301068575999</v>
      </c>
      <c r="O98">
        <v>0</v>
      </c>
      <c r="P98">
        <v>9.4429500558070398E-3</v>
      </c>
      <c r="Q98">
        <v>7.9854555374791092E-4</v>
      </c>
      <c r="R98">
        <v>0.32147469084773544</v>
      </c>
      <c r="S98">
        <v>7.4625827315288613E-4</v>
      </c>
      <c r="T98">
        <v>3.9230354414733552E-4</v>
      </c>
      <c r="U98">
        <v>2.2410396490600508E-6</v>
      </c>
      <c r="W98">
        <v>6.1070589310941316E-2</v>
      </c>
      <c r="X98">
        <v>0.93892941068905866</v>
      </c>
    </row>
    <row r="99" spans="2:24" x14ac:dyDescent="0.25">
      <c r="B99">
        <v>0.85994314768906943</v>
      </c>
      <c r="C99">
        <v>0</v>
      </c>
      <c r="D99">
        <v>8.7104135408568761E-2</v>
      </c>
      <c r="E99">
        <v>4.0317353871635811E-5</v>
      </c>
      <c r="F99">
        <v>4.2957232817593109E-2</v>
      </c>
      <c r="G99">
        <v>8.635300819329875E-3</v>
      </c>
      <c r="H99">
        <v>1.2451904822800498E-3</v>
      </c>
      <c r="I99">
        <v>7.4675429287319613E-5</v>
      </c>
      <c r="K99">
        <v>0.26109923101608284</v>
      </c>
      <c r="L99">
        <v>0.73890076898391721</v>
      </c>
      <c r="N99">
        <v>0.80873072825642478</v>
      </c>
      <c r="O99">
        <v>0</v>
      </c>
      <c r="P99">
        <v>6.4587694027811546E-2</v>
      </c>
      <c r="Q99">
        <v>4.8278602117403314E-4</v>
      </c>
      <c r="R99">
        <v>0.10528019319158205</v>
      </c>
      <c r="S99">
        <v>1.3604661592291427E-2</v>
      </c>
      <c r="T99">
        <v>6.8590442209595344E-3</v>
      </c>
      <c r="U99">
        <v>4.5489268975660511E-4</v>
      </c>
      <c r="W99">
        <v>5.636213608797544E-2</v>
      </c>
      <c r="X99">
        <v>0.94363786391202464</v>
      </c>
    </row>
    <row r="100" spans="2:24" x14ac:dyDescent="0.25">
      <c r="B100">
        <v>0.60337626138542588</v>
      </c>
      <c r="C100">
        <v>0</v>
      </c>
      <c r="D100">
        <v>4.5124425946725612E-4</v>
      </c>
      <c r="E100">
        <v>0</v>
      </c>
      <c r="F100">
        <v>0.39455501244438657</v>
      </c>
      <c r="G100">
        <v>1.290566577065333E-3</v>
      </c>
      <c r="H100">
        <v>3.2691533365493961E-4</v>
      </c>
      <c r="I100">
        <v>0</v>
      </c>
      <c r="K100">
        <v>0.60874191981275583</v>
      </c>
      <c r="L100">
        <v>0.39125808018724406</v>
      </c>
      <c r="N100">
        <v>0.35071708730042611</v>
      </c>
      <c r="O100">
        <v>0</v>
      </c>
      <c r="P100">
        <v>1.7223182347477185E-3</v>
      </c>
      <c r="Q100">
        <v>0</v>
      </c>
      <c r="R100">
        <v>0.64756059446482617</v>
      </c>
      <c r="S100">
        <v>0</v>
      </c>
      <c r="T100">
        <v>0</v>
      </c>
      <c r="U100">
        <v>0</v>
      </c>
      <c r="W100">
        <v>0.53141404803519499</v>
      </c>
      <c r="X100">
        <v>0.46858595196480507</v>
      </c>
    </row>
    <row r="101" spans="2:24" x14ac:dyDescent="0.25">
      <c r="B101">
        <v>0.96829495206557159</v>
      </c>
      <c r="C101">
        <v>0</v>
      </c>
      <c r="D101">
        <v>7.2414502600744134E-3</v>
      </c>
      <c r="E101">
        <v>0</v>
      </c>
      <c r="F101">
        <v>2.3117255451184648E-2</v>
      </c>
      <c r="G101">
        <v>1.3055369614568945E-3</v>
      </c>
      <c r="H101">
        <v>4.0805261712496109E-5</v>
      </c>
      <c r="I101">
        <v>0</v>
      </c>
      <c r="K101">
        <v>0.64375589262659882</v>
      </c>
      <c r="L101">
        <v>0.35624410737340112</v>
      </c>
      <c r="N101">
        <v>0.9437952726475447</v>
      </c>
      <c r="O101">
        <v>0</v>
      </c>
      <c r="P101">
        <v>1.2794812855756277E-2</v>
      </c>
      <c r="Q101">
        <v>0</v>
      </c>
      <c r="R101">
        <v>4.3405713582231324E-2</v>
      </c>
      <c r="S101">
        <v>0</v>
      </c>
      <c r="T101">
        <v>0</v>
      </c>
      <c r="U101">
        <v>4.2009144678451694E-6</v>
      </c>
      <c r="W101">
        <v>0.21290367565068227</v>
      </c>
      <c r="X101">
        <v>0.78709632434931776</v>
      </c>
    </row>
    <row r="102" spans="2:24" x14ac:dyDescent="0.25">
      <c r="B102">
        <v>0.75851981787857481</v>
      </c>
      <c r="C102">
        <v>0</v>
      </c>
      <c r="D102">
        <v>0.11970990855057509</v>
      </c>
      <c r="E102">
        <v>0</v>
      </c>
      <c r="F102">
        <v>0.10139007251561402</v>
      </c>
      <c r="G102">
        <v>1.3949768215576053E-2</v>
      </c>
      <c r="H102">
        <v>6.4304328396600644E-3</v>
      </c>
      <c r="I102">
        <v>0</v>
      </c>
      <c r="K102">
        <v>0.16335720681133631</v>
      </c>
      <c r="L102">
        <v>0.83664279318866375</v>
      </c>
      <c r="N102">
        <v>0.70110838952029686</v>
      </c>
      <c r="O102">
        <v>8.8341327667559654E-6</v>
      </c>
      <c r="P102">
        <v>4.3063968389053901E-2</v>
      </c>
      <c r="Q102">
        <v>0</v>
      </c>
      <c r="R102">
        <v>0.2412970103279525</v>
      </c>
      <c r="S102">
        <v>4.7255688912998875E-3</v>
      </c>
      <c r="T102">
        <v>9.79351888195314E-3</v>
      </c>
      <c r="U102">
        <v>2.7098566769190071E-6</v>
      </c>
      <c r="W102">
        <v>0.16361582230174665</v>
      </c>
      <c r="X102">
        <v>0.83638417769825335</v>
      </c>
    </row>
    <row r="103" spans="2:24" x14ac:dyDescent="0.25">
      <c r="B103">
        <v>0.97637824994508837</v>
      </c>
      <c r="C103">
        <v>0</v>
      </c>
      <c r="D103">
        <v>7.7572856223192209E-4</v>
      </c>
      <c r="E103">
        <v>3.9649301237381003E-6</v>
      </c>
      <c r="F103">
        <v>1.994197227437854E-2</v>
      </c>
      <c r="G103">
        <v>2.3702783369147487E-3</v>
      </c>
      <c r="H103">
        <v>5.2980595126282302E-4</v>
      </c>
      <c r="I103">
        <v>0</v>
      </c>
      <c r="K103">
        <v>0.22151373922793227</v>
      </c>
      <c r="L103">
        <v>0.77848626077206784</v>
      </c>
      <c r="N103">
        <v>0.9492987978674009</v>
      </c>
      <c r="O103">
        <v>0</v>
      </c>
      <c r="P103">
        <v>0</v>
      </c>
      <c r="Q103">
        <v>2.1680168790405141E-5</v>
      </c>
      <c r="R103">
        <v>4.3715549693838666E-2</v>
      </c>
      <c r="S103">
        <v>6.2324310951179639E-3</v>
      </c>
      <c r="T103">
        <v>7.3154117485219614E-4</v>
      </c>
      <c r="U103">
        <v>0</v>
      </c>
      <c r="W103">
        <v>0.13266469676091353</v>
      </c>
      <c r="X103">
        <v>0.86733530323908636</v>
      </c>
    </row>
    <row r="104" spans="2:24" x14ac:dyDescent="0.25">
      <c r="B104">
        <v>0.90090015495427223</v>
      </c>
      <c r="C104">
        <v>0</v>
      </c>
      <c r="D104">
        <v>7.916219310832722E-5</v>
      </c>
      <c r="E104">
        <v>0</v>
      </c>
      <c r="F104">
        <v>9.8862102700540438E-2</v>
      </c>
      <c r="G104">
        <v>9.1856858159017083E-5</v>
      </c>
      <c r="H104">
        <v>6.6723293920054573E-5</v>
      </c>
      <c r="I104">
        <v>0</v>
      </c>
      <c r="K104">
        <v>7.2033170089797927E-2</v>
      </c>
      <c r="L104">
        <v>0.92796682991020207</v>
      </c>
      <c r="N104">
        <v>0.93909058750224994</v>
      </c>
      <c r="O104">
        <v>0</v>
      </c>
      <c r="P104">
        <v>2.0540564753977913E-3</v>
      </c>
      <c r="Q104">
        <v>0</v>
      </c>
      <c r="R104">
        <v>5.8705263599894385E-2</v>
      </c>
      <c r="S104">
        <v>0</v>
      </c>
      <c r="T104">
        <v>1.5009242245795715E-4</v>
      </c>
      <c r="U104">
        <v>0</v>
      </c>
      <c r="W104">
        <v>0.27070510566548728</v>
      </c>
      <c r="X104">
        <v>0.72929489433451267</v>
      </c>
    </row>
    <row r="105" spans="2:24" x14ac:dyDescent="0.25">
      <c r="B105">
        <v>0.68907593200833939</v>
      </c>
      <c r="C105">
        <v>0</v>
      </c>
      <c r="D105">
        <v>1.6733348875146849E-3</v>
      </c>
      <c r="E105">
        <v>0</v>
      </c>
      <c r="F105">
        <v>0.30898042707031065</v>
      </c>
      <c r="G105">
        <v>2.3886820625984172E-4</v>
      </c>
      <c r="H105">
        <v>2.5659160149889667E-5</v>
      </c>
      <c r="I105">
        <v>5.7786674255108533E-6</v>
      </c>
      <c r="K105">
        <v>0.32684861036508273</v>
      </c>
      <c r="L105">
        <v>0.67315138963491727</v>
      </c>
      <c r="N105">
        <v>0.74056605031212486</v>
      </c>
      <c r="O105">
        <v>0</v>
      </c>
      <c r="P105">
        <v>8.7149264817954527E-4</v>
      </c>
      <c r="Q105">
        <v>3.9111274128000451E-6</v>
      </c>
      <c r="R105">
        <v>0.25850070200152581</v>
      </c>
      <c r="S105">
        <v>3.629135590864178E-6</v>
      </c>
      <c r="T105">
        <v>2.3079596643996698E-5</v>
      </c>
      <c r="U105">
        <v>3.1135178522139053E-5</v>
      </c>
      <c r="W105">
        <v>0.10880004800723823</v>
      </c>
      <c r="X105">
        <v>0.8911999519927617</v>
      </c>
    </row>
    <row r="106" spans="2:24" x14ac:dyDescent="0.25">
      <c r="B106">
        <v>0.66600112424926872</v>
      </c>
      <c r="C106">
        <v>1.8628551920517344E-5</v>
      </c>
      <c r="D106">
        <v>0.18967520086885356</v>
      </c>
      <c r="E106">
        <v>5.8083199940863297E-5</v>
      </c>
      <c r="F106">
        <v>0.12376264118576824</v>
      </c>
      <c r="G106">
        <v>1.4100006991578347E-2</v>
      </c>
      <c r="H106">
        <v>6.3715042455733941E-3</v>
      </c>
      <c r="I106">
        <v>1.2810707096371053E-5</v>
      </c>
      <c r="K106">
        <v>0.10677926228454571</v>
      </c>
      <c r="L106">
        <v>0.89322073771545429</v>
      </c>
      <c r="N106">
        <v>0.73354925222196876</v>
      </c>
      <c r="O106">
        <v>2.9082229878450592E-5</v>
      </c>
      <c r="P106">
        <v>3.7630497007136707E-2</v>
      </c>
      <c r="Q106">
        <v>8.5922423006625612E-5</v>
      </c>
      <c r="R106">
        <v>0.1951418164963763</v>
      </c>
      <c r="S106">
        <v>8.0656965106139823E-3</v>
      </c>
      <c r="T106">
        <v>2.5324447309865907E-2</v>
      </c>
      <c r="U106">
        <v>1.7328580115327568E-4</v>
      </c>
      <c r="W106">
        <v>0.15501405556920508</v>
      </c>
      <c r="X106">
        <v>0.844985944430795</v>
      </c>
    </row>
    <row r="107" spans="2:24" x14ac:dyDescent="0.25">
      <c r="B107">
        <v>0.8703490116192828</v>
      </c>
      <c r="C107">
        <v>0</v>
      </c>
      <c r="D107">
        <v>2.1445219675587417E-2</v>
      </c>
      <c r="E107">
        <v>2.2674260061433795E-3</v>
      </c>
      <c r="F107">
        <v>9.8680147246938646E-2</v>
      </c>
      <c r="G107">
        <v>3.9823690707040018E-4</v>
      </c>
      <c r="H107">
        <v>6.8599585449772432E-3</v>
      </c>
      <c r="I107">
        <v>0</v>
      </c>
      <c r="K107">
        <v>0.32212046322401927</v>
      </c>
      <c r="L107">
        <v>0.67787953677598067</v>
      </c>
      <c r="N107">
        <v>0.82568973718146177</v>
      </c>
      <c r="O107">
        <v>0</v>
      </c>
      <c r="P107">
        <v>1.1922108993120906E-2</v>
      </c>
      <c r="Q107">
        <v>0</v>
      </c>
      <c r="R107">
        <v>0.16048848474638081</v>
      </c>
      <c r="S107">
        <v>1.8991682534421715E-3</v>
      </c>
      <c r="T107">
        <v>0</v>
      </c>
      <c r="U107">
        <v>5.0082559437475218E-7</v>
      </c>
      <c r="W107">
        <v>0.16038688452377525</v>
      </c>
      <c r="X107">
        <v>0.83961311547622464</v>
      </c>
    </row>
    <row r="108" spans="2:24" x14ac:dyDescent="0.25">
      <c r="B108">
        <v>0.73770895451799534</v>
      </c>
      <c r="C108">
        <v>0</v>
      </c>
      <c r="D108">
        <v>5.7994270091461771E-3</v>
      </c>
      <c r="E108">
        <v>2.2805713783803872E-5</v>
      </c>
      <c r="F108">
        <v>0.25239013508785085</v>
      </c>
      <c r="G108">
        <v>3.2743584653032952E-3</v>
      </c>
      <c r="H108">
        <v>8.0431920592053763E-4</v>
      </c>
      <c r="I108">
        <v>0</v>
      </c>
      <c r="K108">
        <v>7.2544458307224877E-2</v>
      </c>
      <c r="L108">
        <v>0.92745554169277511</v>
      </c>
      <c r="N108">
        <v>0.62679947323861751</v>
      </c>
      <c r="O108">
        <v>0</v>
      </c>
      <c r="P108">
        <v>2.085658195211853E-3</v>
      </c>
      <c r="Q108">
        <v>1.1786561252823124E-5</v>
      </c>
      <c r="R108">
        <v>0.37016876342602933</v>
      </c>
      <c r="S108">
        <v>0</v>
      </c>
      <c r="T108">
        <v>8.8960082341921415E-4</v>
      </c>
      <c r="U108">
        <v>4.4717755469340594E-5</v>
      </c>
      <c r="W108">
        <v>8.6781454669239602E-2</v>
      </c>
      <c r="X108">
        <v>0.91321854533076041</v>
      </c>
    </row>
    <row r="109" spans="2:24" x14ac:dyDescent="0.25">
      <c r="B109">
        <v>0.98242027123907893</v>
      </c>
      <c r="C109">
        <v>0</v>
      </c>
      <c r="D109">
        <v>4.1959010936401097E-3</v>
      </c>
      <c r="E109">
        <v>1.2263850622082657E-4</v>
      </c>
      <c r="F109">
        <v>1.1225650609353289E-2</v>
      </c>
      <c r="G109">
        <v>3.2604976452451446E-4</v>
      </c>
      <c r="H109">
        <v>1.7076941092647323E-3</v>
      </c>
      <c r="I109">
        <v>1.7946779176097032E-6</v>
      </c>
      <c r="K109">
        <v>0.49628007364089766</v>
      </c>
      <c r="L109">
        <v>0.50371992635910234</v>
      </c>
      <c r="N109">
        <v>0.92719813405976981</v>
      </c>
      <c r="O109">
        <v>0</v>
      </c>
      <c r="P109">
        <v>2.0258987493202579E-2</v>
      </c>
      <c r="Q109">
        <v>2.5464961684819373E-5</v>
      </c>
      <c r="R109">
        <v>4.2854273017690445E-2</v>
      </c>
      <c r="S109">
        <v>3.0302433957406405E-3</v>
      </c>
      <c r="T109">
        <v>6.5766623188641639E-3</v>
      </c>
      <c r="U109">
        <v>5.6234753047335383E-5</v>
      </c>
      <c r="W109">
        <v>0.54722222788948305</v>
      </c>
      <c r="X109">
        <v>0.45277777211051701</v>
      </c>
    </row>
    <row r="110" spans="2:24" x14ac:dyDescent="0.25">
      <c r="B110">
        <v>0.98124943331822567</v>
      </c>
      <c r="C110">
        <v>0</v>
      </c>
      <c r="D110">
        <v>4.1875844689648187E-4</v>
      </c>
      <c r="E110">
        <v>0</v>
      </c>
      <c r="F110">
        <v>1.6562905135982096E-2</v>
      </c>
      <c r="G110">
        <v>1.768903098895846E-3</v>
      </c>
      <c r="H110">
        <v>0</v>
      </c>
      <c r="I110">
        <v>0</v>
      </c>
      <c r="K110">
        <v>0.27319300633731708</v>
      </c>
      <c r="L110">
        <v>0.72680699366268298</v>
      </c>
      <c r="N110">
        <v>0.913519687379162</v>
      </c>
      <c r="O110">
        <v>1.0069565297947436E-5</v>
      </c>
      <c r="P110">
        <v>3.0607887410058158E-3</v>
      </c>
      <c r="Q110">
        <v>7.165665406468656E-5</v>
      </c>
      <c r="R110">
        <v>8.2862496673400607E-2</v>
      </c>
      <c r="S110">
        <v>4.2942852293381201E-4</v>
      </c>
      <c r="T110">
        <v>4.5872464135093874E-5</v>
      </c>
      <c r="U110">
        <v>0</v>
      </c>
      <c r="W110">
        <v>0.30225645604994139</v>
      </c>
      <c r="X110">
        <v>0.69774354395005866</v>
      </c>
    </row>
    <row r="111" spans="2:24" x14ac:dyDescent="0.25">
      <c r="B111">
        <v>0.67561101888775854</v>
      </c>
      <c r="C111">
        <v>1.5790182391878469E-5</v>
      </c>
      <c r="D111">
        <v>0.23898404488356478</v>
      </c>
      <c r="E111">
        <v>1.7481624205850938E-3</v>
      </c>
      <c r="F111">
        <v>8.2143829638654228E-2</v>
      </c>
      <c r="G111">
        <v>1.3763300301148967E-3</v>
      </c>
      <c r="H111">
        <v>1.1533636608755499E-4</v>
      </c>
      <c r="I111">
        <v>5.4875908428743551E-6</v>
      </c>
      <c r="K111">
        <v>0.21536358138309625</v>
      </c>
      <c r="L111">
        <v>0.7846364186169037</v>
      </c>
      <c r="N111">
        <v>0.6377874358194151</v>
      </c>
      <c r="O111">
        <v>6.2868145323549603E-5</v>
      </c>
      <c r="P111">
        <v>0.15379233384102517</v>
      </c>
      <c r="Q111">
        <v>0</v>
      </c>
      <c r="R111">
        <v>0.20479104406505483</v>
      </c>
      <c r="S111">
        <v>1.3691607268695842E-3</v>
      </c>
      <c r="T111">
        <v>2.1302838226521272E-3</v>
      </c>
      <c r="U111">
        <v>6.6873579659569444E-5</v>
      </c>
      <c r="W111">
        <v>5.2271197957969188E-2</v>
      </c>
      <c r="X111">
        <v>0.9477288020420308</v>
      </c>
    </row>
    <row r="112" spans="2:24" x14ac:dyDescent="0.25">
      <c r="B112">
        <v>0.90759586880089294</v>
      </c>
      <c r="C112">
        <v>0</v>
      </c>
      <c r="D112">
        <v>8.2334344074398678E-3</v>
      </c>
      <c r="E112">
        <v>0</v>
      </c>
      <c r="F112">
        <v>6.1709418610539586E-2</v>
      </c>
      <c r="G112">
        <v>1.5002901247815659E-2</v>
      </c>
      <c r="H112">
        <v>7.4583769333119304E-3</v>
      </c>
      <c r="I112">
        <v>0</v>
      </c>
      <c r="K112">
        <v>0.21998627828209649</v>
      </c>
      <c r="L112">
        <v>0.78001372171790362</v>
      </c>
      <c r="N112">
        <v>0.9332888295882269</v>
      </c>
      <c r="O112">
        <v>0</v>
      </c>
      <c r="P112">
        <v>1.2526984465206822E-2</v>
      </c>
      <c r="Q112">
        <v>0</v>
      </c>
      <c r="R112">
        <v>4.6463024301496007E-2</v>
      </c>
      <c r="S112">
        <v>7.2483303686962297E-3</v>
      </c>
      <c r="T112">
        <v>4.7283127637405792E-4</v>
      </c>
      <c r="U112">
        <v>0</v>
      </c>
      <c r="W112">
        <v>1.4371283507674124E-2</v>
      </c>
      <c r="X112">
        <v>0.98562871649232586</v>
      </c>
    </row>
    <row r="113" spans="1:24" x14ac:dyDescent="0.25">
      <c r="B113">
        <v>0.93917000897263936</v>
      </c>
      <c r="C113">
        <v>0</v>
      </c>
      <c r="D113">
        <v>1.2567446123340882E-2</v>
      </c>
      <c r="E113">
        <v>9.582029294727667E-7</v>
      </c>
      <c r="F113">
        <v>3.2002387739493154E-2</v>
      </c>
      <c r="G113">
        <v>5.1517387217094816E-3</v>
      </c>
      <c r="H113">
        <v>1.1107460239887663E-2</v>
      </c>
      <c r="I113">
        <v>0</v>
      </c>
      <c r="K113">
        <v>0.63820915108256282</v>
      </c>
      <c r="L113">
        <v>0.36179084891743712</v>
      </c>
      <c r="N113">
        <v>0.93588069294515053</v>
      </c>
      <c r="O113">
        <v>0</v>
      </c>
      <c r="P113">
        <v>1.1347964067986865E-2</v>
      </c>
      <c r="Q113">
        <v>1.5153944346393166E-5</v>
      </c>
      <c r="R113">
        <v>1.7661635111267327E-2</v>
      </c>
      <c r="S113">
        <v>6.8042205568408431E-3</v>
      </c>
      <c r="T113">
        <v>2.8269070242076626E-2</v>
      </c>
      <c r="U113">
        <v>2.1263132331424592E-5</v>
      </c>
      <c r="W113">
        <v>0.64226000289653418</v>
      </c>
      <c r="X113">
        <v>0.35773999710346571</v>
      </c>
    </row>
    <row r="114" spans="1:24" x14ac:dyDescent="0.25">
      <c r="B114">
        <v>0.87325914081756839</v>
      </c>
      <c r="C114">
        <v>3.2840349831068206E-4</v>
      </c>
      <c r="D114">
        <v>4.4401212459547937E-2</v>
      </c>
      <c r="E114">
        <v>1.7935938859497999E-5</v>
      </c>
      <c r="F114">
        <v>8.1408894016827382E-2</v>
      </c>
      <c r="G114">
        <v>3.8763415224212606E-4</v>
      </c>
      <c r="H114">
        <v>1.4572183208110608E-4</v>
      </c>
      <c r="I114">
        <v>5.1057284562940631E-5</v>
      </c>
      <c r="K114">
        <v>0.44231295999943887</v>
      </c>
      <c r="L114">
        <v>0.55768704000056113</v>
      </c>
      <c r="N114">
        <v>0.78051875353826894</v>
      </c>
      <c r="O114">
        <v>9.9490251539886926E-5</v>
      </c>
      <c r="P114">
        <v>8.367919290458152E-3</v>
      </c>
      <c r="Q114">
        <v>7.0021963236782184E-6</v>
      </c>
      <c r="R114">
        <v>0.21084245078788733</v>
      </c>
      <c r="S114">
        <v>8.9123400496865279E-5</v>
      </c>
      <c r="T114">
        <v>6.4858525036495666E-5</v>
      </c>
      <c r="U114">
        <v>1.0402009988798218E-5</v>
      </c>
      <c r="W114">
        <v>0.44123356831590022</v>
      </c>
      <c r="X114">
        <v>0.55876643168409967</v>
      </c>
    </row>
    <row r="115" spans="1:24" x14ac:dyDescent="0.25">
      <c r="B115">
        <v>0.39729657467500368</v>
      </c>
      <c r="C115">
        <v>0</v>
      </c>
      <c r="D115">
        <v>1.9303361173433618E-3</v>
      </c>
      <c r="E115">
        <v>3.5010721134610841E-7</v>
      </c>
      <c r="F115">
        <v>0.59184227955516855</v>
      </c>
      <c r="G115">
        <v>8.7139599373435937E-3</v>
      </c>
      <c r="H115">
        <v>2.0926272657985655E-4</v>
      </c>
      <c r="I115">
        <v>7.2368813493258977E-6</v>
      </c>
      <c r="K115">
        <v>5.2853667648060182E-2</v>
      </c>
      <c r="L115">
        <v>0.9471463323519399</v>
      </c>
      <c r="N115">
        <v>0.3000656203128233</v>
      </c>
      <c r="O115">
        <v>0</v>
      </c>
      <c r="P115">
        <v>7.8450867399495669E-4</v>
      </c>
      <c r="Q115">
        <v>8.1051631377408605E-7</v>
      </c>
      <c r="R115">
        <v>0.68036114686491622</v>
      </c>
      <c r="S115">
        <v>2.9171563898685524E-4</v>
      </c>
      <c r="T115">
        <v>1.8401391498726917E-2</v>
      </c>
      <c r="U115">
        <v>9.4806494238049846E-5</v>
      </c>
      <c r="W115">
        <v>6.8816855004613264E-2</v>
      </c>
      <c r="X115">
        <v>0.93118314499538679</v>
      </c>
    </row>
    <row r="116" spans="1:24" x14ac:dyDescent="0.25">
      <c r="B116">
        <v>0.9580641141525098</v>
      </c>
      <c r="C116">
        <v>7.8360143980676847E-6</v>
      </c>
      <c r="D116">
        <v>1.0239193440734774E-2</v>
      </c>
      <c r="E116">
        <v>2.0435573856733911E-5</v>
      </c>
      <c r="F116">
        <v>1.8731709473508169E-2</v>
      </c>
      <c r="G116">
        <v>6.974813512660054E-3</v>
      </c>
      <c r="H116">
        <v>5.9507103556436609E-3</v>
      </c>
      <c r="I116">
        <v>1.1187476688703413E-5</v>
      </c>
      <c r="K116">
        <v>0.51300686129790618</v>
      </c>
      <c r="L116">
        <v>0.48699313870209388</v>
      </c>
      <c r="N116">
        <v>0.95078171531041167</v>
      </c>
      <c r="O116">
        <v>2.8806309891672865E-6</v>
      </c>
      <c r="P116">
        <v>3.8221014514088049E-3</v>
      </c>
      <c r="Q116">
        <v>3.4655741795417156E-6</v>
      </c>
      <c r="R116">
        <v>4.0620907000931364E-2</v>
      </c>
      <c r="S116">
        <v>1.7702914003620979E-3</v>
      </c>
      <c r="T116">
        <v>2.9831063168976159E-3</v>
      </c>
      <c r="U116">
        <v>1.5532314819809381E-5</v>
      </c>
      <c r="W116">
        <v>0.5721924635102259</v>
      </c>
      <c r="X116">
        <v>0.42780753648977421</v>
      </c>
    </row>
    <row r="118" spans="1:24" x14ac:dyDescent="0.25">
      <c r="A118" t="s">
        <v>210</v>
      </c>
      <c r="I118" t="s">
        <v>211</v>
      </c>
      <c r="L118" t="s">
        <v>212</v>
      </c>
      <c r="T118" t="s">
        <v>213</v>
      </c>
    </row>
    <row r="119" spans="1:24" x14ac:dyDescent="0.25">
      <c r="B119" t="s">
        <v>201</v>
      </c>
      <c r="C119" t="s">
        <v>202</v>
      </c>
      <c r="D119" t="s">
        <v>203</v>
      </c>
      <c r="E119" t="s">
        <v>204</v>
      </c>
      <c r="F119" t="s">
        <v>205</v>
      </c>
      <c r="G119" t="s">
        <v>206</v>
      </c>
      <c r="H119" t="s">
        <v>207</v>
      </c>
      <c r="J119" t="s">
        <v>208</v>
      </c>
      <c r="K119" t="s">
        <v>209</v>
      </c>
      <c r="M119" t="s">
        <v>201</v>
      </c>
      <c r="N119" t="s">
        <v>202</v>
      </c>
      <c r="O119" t="s">
        <v>203</v>
      </c>
      <c r="P119" t="s">
        <v>204</v>
      </c>
      <c r="Q119" t="s">
        <v>205</v>
      </c>
      <c r="R119" t="s">
        <v>206</v>
      </c>
      <c r="S119" t="s">
        <v>207</v>
      </c>
      <c r="U119" t="s">
        <v>208</v>
      </c>
      <c r="V119" t="s">
        <v>209</v>
      </c>
    </row>
    <row r="120" spans="1:24" x14ac:dyDescent="0.25">
      <c r="B120">
        <v>0.89683277113594084</v>
      </c>
      <c r="C120">
        <v>1.0096300883879389E-6</v>
      </c>
      <c r="D120">
        <v>1.7565260225471307E-2</v>
      </c>
      <c r="E120">
        <v>1.0620193487618217E-5</v>
      </c>
      <c r="F120">
        <v>3.6909121703592028E-2</v>
      </c>
      <c r="G120">
        <v>4.8652310057621329E-2</v>
      </c>
      <c r="H120">
        <v>2.8907053798425072E-5</v>
      </c>
      <c r="J120">
        <v>2.6605569565934181E-2</v>
      </c>
      <c r="K120">
        <v>0.9733944304340657</v>
      </c>
      <c r="M120">
        <v>0</v>
      </c>
      <c r="N120">
        <v>4.5283471186455437E-6</v>
      </c>
      <c r="O120">
        <v>0</v>
      </c>
      <c r="P120">
        <v>1.9591359808372837E-3</v>
      </c>
      <c r="Q120">
        <v>0.55074460589500518</v>
      </c>
      <c r="R120">
        <v>0.44239061691285597</v>
      </c>
      <c r="S120">
        <v>4.9011128641830853E-3</v>
      </c>
      <c r="U120">
        <v>2.7902917174476793E-2</v>
      </c>
      <c r="V120">
        <v>0.97209708282552321</v>
      </c>
    </row>
    <row r="121" spans="1:24" x14ac:dyDescent="0.25">
      <c r="B121">
        <v>0.97384559929762549</v>
      </c>
      <c r="C121">
        <v>1.0672501021579019E-5</v>
      </c>
      <c r="D121">
        <v>2.4544194835837967E-2</v>
      </c>
      <c r="E121">
        <v>7.3630415316971201E-5</v>
      </c>
      <c r="F121">
        <v>1.1043390293477983E-3</v>
      </c>
      <c r="G121">
        <v>3.7894699891550463E-4</v>
      </c>
      <c r="H121">
        <v>4.2616921934583187E-5</v>
      </c>
      <c r="J121">
        <v>0.23120476287437988</v>
      </c>
      <c r="K121">
        <v>0.76879523712562015</v>
      </c>
      <c r="M121">
        <v>0.72735851232774773</v>
      </c>
      <c r="N121">
        <v>8.9341440555526237E-4</v>
      </c>
      <c r="O121">
        <v>0</v>
      </c>
      <c r="P121">
        <v>4.8462387441927969E-3</v>
      </c>
      <c r="Q121">
        <v>0</v>
      </c>
      <c r="R121">
        <v>0.23354320391984035</v>
      </c>
      <c r="S121">
        <v>3.3358630602664023E-2</v>
      </c>
      <c r="U121">
        <v>0.25018955158090495</v>
      </c>
      <c r="V121">
        <v>0.74981044841909505</v>
      </c>
    </row>
    <row r="122" spans="1:24" x14ac:dyDescent="0.25">
      <c r="B122">
        <v>0.82438094595303613</v>
      </c>
      <c r="C122">
        <v>0</v>
      </c>
      <c r="D122">
        <v>0.1162350692135497</v>
      </c>
      <c r="E122">
        <v>6.141267933683451E-6</v>
      </c>
      <c r="F122">
        <v>5.0052444596511765E-2</v>
      </c>
      <c r="G122">
        <v>9.1324718648421784E-3</v>
      </c>
      <c r="H122">
        <v>1.9292710412651234E-4</v>
      </c>
      <c r="J122">
        <v>7.481306334206532E-2</v>
      </c>
      <c r="K122">
        <v>0.92518693665793461</v>
      </c>
      <c r="M122">
        <v>0.96432080437240608</v>
      </c>
      <c r="N122">
        <v>9.568673048373777E-6</v>
      </c>
      <c r="O122">
        <v>0</v>
      </c>
      <c r="P122">
        <v>4.4094373853941743E-5</v>
      </c>
      <c r="Q122">
        <v>1.8824680843626162E-2</v>
      </c>
      <c r="R122">
        <v>1.6775246649444013E-2</v>
      </c>
      <c r="S122">
        <v>2.5605087621358783E-5</v>
      </c>
      <c r="U122">
        <v>0.10110233280250895</v>
      </c>
      <c r="V122">
        <v>0.89889766719749109</v>
      </c>
    </row>
    <row r="123" spans="1:24" x14ac:dyDescent="0.25">
      <c r="B123">
        <v>0.9793545194824439</v>
      </c>
      <c r="C123">
        <v>0</v>
      </c>
      <c r="D123">
        <v>1.5830519988944136E-2</v>
      </c>
      <c r="E123">
        <v>5.6312580283094764E-7</v>
      </c>
      <c r="F123">
        <v>3.3714288679157086E-3</v>
      </c>
      <c r="G123">
        <v>1.442705742851878E-3</v>
      </c>
      <c r="H123">
        <v>2.6279204132110879E-7</v>
      </c>
      <c r="J123">
        <v>0.15653933933741493</v>
      </c>
      <c r="K123">
        <v>0.84346066066258507</v>
      </c>
      <c r="M123">
        <v>0.89380310122504225</v>
      </c>
      <c r="N123">
        <v>0</v>
      </c>
      <c r="O123">
        <v>9.1716079003597545E-2</v>
      </c>
      <c r="P123">
        <v>6.1088388469519275E-4</v>
      </c>
      <c r="Q123">
        <v>0</v>
      </c>
      <c r="R123">
        <v>1.3738666855083809E-2</v>
      </c>
      <c r="S123">
        <v>1.3126903158104739E-4</v>
      </c>
      <c r="U123">
        <v>0.13353954223579828</v>
      </c>
      <c r="V123">
        <v>0.86646045776420177</v>
      </c>
    </row>
    <row r="124" spans="1:24" x14ac:dyDescent="0.25">
      <c r="B124">
        <v>0.87903603581323619</v>
      </c>
      <c r="C124">
        <v>6.3483641077119045E-5</v>
      </c>
      <c r="D124">
        <v>2.9353161034664101E-2</v>
      </c>
      <c r="E124">
        <v>1.9218075936398016E-5</v>
      </c>
      <c r="F124">
        <v>7.1267428417967044E-2</v>
      </c>
      <c r="G124">
        <v>2.0218259837008992E-2</v>
      </c>
      <c r="H124">
        <v>4.2413180110008676E-5</v>
      </c>
      <c r="J124">
        <v>0.35834775760224868</v>
      </c>
      <c r="K124">
        <v>0.64165224239775143</v>
      </c>
      <c r="M124">
        <v>0.93388854272666288</v>
      </c>
      <c r="N124">
        <v>2.6620976699934484E-5</v>
      </c>
      <c r="O124">
        <v>2.5618011257951157E-2</v>
      </c>
      <c r="P124">
        <v>1.6469419426167304E-5</v>
      </c>
      <c r="Q124">
        <v>1.950664131854233E-2</v>
      </c>
      <c r="R124">
        <v>2.0835891445135164E-2</v>
      </c>
      <c r="S124">
        <v>1.0782285558223536E-4</v>
      </c>
      <c r="U124">
        <v>0.42013347241834337</v>
      </c>
      <c r="V124">
        <v>0.57986652758165669</v>
      </c>
    </row>
    <row r="125" spans="1:24" x14ac:dyDescent="0.25">
      <c r="B125">
        <v>0.82493726041991489</v>
      </c>
      <c r="C125">
        <v>8.0569425104495016E-4</v>
      </c>
      <c r="D125">
        <v>0.15405221564268573</v>
      </c>
      <c r="E125">
        <v>1.9287554455491163E-5</v>
      </c>
      <c r="F125">
        <v>1.324595108625418E-2</v>
      </c>
      <c r="G125">
        <v>6.8951903314969729E-3</v>
      </c>
      <c r="H125">
        <v>4.4400714147816894E-5</v>
      </c>
      <c r="J125">
        <v>0.13374376686220346</v>
      </c>
      <c r="K125">
        <v>0.86625623313779654</v>
      </c>
      <c r="M125">
        <v>0.77172263469990743</v>
      </c>
      <c r="N125">
        <v>0</v>
      </c>
      <c r="O125">
        <v>0.22422742688148964</v>
      </c>
      <c r="P125">
        <v>4.6535156985730399E-5</v>
      </c>
      <c r="Q125">
        <v>1.4820498867741243E-4</v>
      </c>
      <c r="R125">
        <v>3.8143287523768159E-3</v>
      </c>
      <c r="S125">
        <v>4.0869520562861776E-5</v>
      </c>
      <c r="U125">
        <v>0.16978798366656861</v>
      </c>
      <c r="V125">
        <v>0.83021201633343134</v>
      </c>
    </row>
    <row r="126" spans="1:24" x14ac:dyDescent="0.25">
      <c r="B126">
        <v>0.8323816572080065</v>
      </c>
      <c r="C126">
        <v>5.7019928832121463E-4</v>
      </c>
      <c r="D126">
        <v>1.0870401351435086E-2</v>
      </c>
      <c r="E126">
        <v>0</v>
      </c>
      <c r="F126">
        <v>6.7586294884529149E-2</v>
      </c>
      <c r="G126">
        <v>8.8572664808790488E-2</v>
      </c>
      <c r="H126">
        <v>1.8782458917453376E-5</v>
      </c>
      <c r="J126">
        <v>3.2944077645140679E-2</v>
      </c>
      <c r="K126">
        <v>0.96705592235485927</v>
      </c>
      <c r="M126">
        <v>0.90318724304614095</v>
      </c>
      <c r="N126">
        <v>0</v>
      </c>
      <c r="O126">
        <v>8.2299934393990373E-2</v>
      </c>
      <c r="P126">
        <v>1.0443461680080555E-4</v>
      </c>
      <c r="Q126">
        <v>0</v>
      </c>
      <c r="R126">
        <v>0</v>
      </c>
      <c r="S126">
        <v>1.4408387943067978E-2</v>
      </c>
      <c r="U126">
        <v>1.1217986867379138E-2</v>
      </c>
      <c r="V126">
        <v>0.98878201313262093</v>
      </c>
    </row>
    <row r="127" spans="1:24" x14ac:dyDescent="0.25">
      <c r="B127">
        <v>0.82305050663261092</v>
      </c>
      <c r="C127">
        <v>7.2523941357714093E-5</v>
      </c>
      <c r="D127">
        <v>0.14738662941117134</v>
      </c>
      <c r="E127">
        <v>1.4357300640908516E-3</v>
      </c>
      <c r="F127">
        <v>2.3480819196011467E-2</v>
      </c>
      <c r="G127">
        <v>4.5522844452850642E-3</v>
      </c>
      <c r="H127">
        <v>2.1506309472681524E-5</v>
      </c>
      <c r="J127">
        <v>3.4508477386217304E-2</v>
      </c>
      <c r="K127">
        <v>0.96549152261378268</v>
      </c>
      <c r="M127">
        <v>0.99971839000510199</v>
      </c>
      <c r="N127">
        <v>2.313854364327144E-4</v>
      </c>
      <c r="O127">
        <v>0</v>
      </c>
      <c r="P127">
        <v>0</v>
      </c>
      <c r="Q127">
        <v>0</v>
      </c>
      <c r="R127">
        <v>0</v>
      </c>
      <c r="S127">
        <v>5.0224558465341902E-5</v>
      </c>
      <c r="U127">
        <v>1.4197087139636921E-2</v>
      </c>
      <c r="V127">
        <v>0.98580291286036315</v>
      </c>
    </row>
    <row r="128" spans="1:24" x14ac:dyDescent="0.25">
      <c r="B128">
        <v>0.67601443340054379</v>
      </c>
      <c r="C128">
        <v>0</v>
      </c>
      <c r="D128">
        <v>0.17120386650799746</v>
      </c>
      <c r="E128">
        <v>7.1007782164310689E-4</v>
      </c>
      <c r="F128">
        <v>0.14365994648163283</v>
      </c>
      <c r="G128">
        <v>5.4615499486117131E-3</v>
      </c>
      <c r="H128">
        <v>2.9501258395710972E-3</v>
      </c>
      <c r="J128">
        <v>7.6529373721397939E-2</v>
      </c>
      <c r="K128">
        <v>0.9234706262786021</v>
      </c>
      <c r="M128">
        <v>0.57826098547861693</v>
      </c>
      <c r="N128">
        <v>0</v>
      </c>
      <c r="O128">
        <v>0.18315528096380382</v>
      </c>
      <c r="P128">
        <v>0</v>
      </c>
      <c r="Q128">
        <v>0.23111728957233532</v>
      </c>
      <c r="R128">
        <v>5.7647829033196348E-3</v>
      </c>
      <c r="S128">
        <v>1.7016610819242011E-3</v>
      </c>
      <c r="U128">
        <v>4.0276568659753202E-2</v>
      </c>
      <c r="V128">
        <v>0.95972343134024674</v>
      </c>
    </row>
    <row r="129" spans="2:22" x14ac:dyDescent="0.25">
      <c r="B129">
        <v>0.9721613092596183</v>
      </c>
      <c r="C129">
        <v>0</v>
      </c>
      <c r="D129">
        <v>1.4553775795163154E-2</v>
      </c>
      <c r="E129">
        <v>4.6482022880232736E-5</v>
      </c>
      <c r="F129">
        <v>9.1618611526589483E-3</v>
      </c>
      <c r="G129">
        <v>4.0225600319237767E-3</v>
      </c>
      <c r="H129">
        <v>5.401173775564961E-5</v>
      </c>
      <c r="J129">
        <v>0.39490502496712554</v>
      </c>
      <c r="K129">
        <v>0.60509497503287446</v>
      </c>
      <c r="M129">
        <v>0.97918131669049768</v>
      </c>
      <c r="N129">
        <v>1.8262116489223425E-6</v>
      </c>
      <c r="O129">
        <v>1.6608995766420803E-2</v>
      </c>
      <c r="P129">
        <v>0</v>
      </c>
      <c r="Q129">
        <v>2.3803107468728158E-3</v>
      </c>
      <c r="R129">
        <v>1.7405305350041806E-3</v>
      </c>
      <c r="S129">
        <v>8.7020049555711711E-5</v>
      </c>
      <c r="U129">
        <v>0.71959270734867387</v>
      </c>
      <c r="V129">
        <v>0.28040729265132608</v>
      </c>
    </row>
    <row r="130" spans="2:22" x14ac:dyDescent="0.25">
      <c r="B130">
        <v>0.85549452489048505</v>
      </c>
      <c r="C130">
        <v>2.5075000112920973E-4</v>
      </c>
      <c r="D130">
        <v>0.10658138463477608</v>
      </c>
      <c r="E130">
        <v>0</v>
      </c>
      <c r="F130">
        <v>3.635994914341896E-2</v>
      </c>
      <c r="G130">
        <v>1.2195030216673147E-3</v>
      </c>
      <c r="H130">
        <v>9.3888308523322158E-5</v>
      </c>
      <c r="J130">
        <v>4.6121833586138535E-2</v>
      </c>
      <c r="K130">
        <v>0.95387816641386158</v>
      </c>
      <c r="M130">
        <v>0.75447500543169355</v>
      </c>
      <c r="N130">
        <v>0</v>
      </c>
      <c r="O130">
        <v>0.24539722892351695</v>
      </c>
      <c r="P130">
        <v>0</v>
      </c>
      <c r="Q130">
        <v>0</v>
      </c>
      <c r="R130">
        <v>1.2772415843533892E-4</v>
      </c>
      <c r="S130">
        <v>4.1486354122288223E-8</v>
      </c>
      <c r="U130">
        <v>1.2480104688617282E-2</v>
      </c>
      <c r="V130">
        <v>0.98751989531138273</v>
      </c>
    </row>
    <row r="131" spans="2:22" x14ac:dyDescent="0.25">
      <c r="B131">
        <v>0.68653737018062255</v>
      </c>
      <c r="C131">
        <v>3.9784847104625979E-4</v>
      </c>
      <c r="D131">
        <v>0.22969161449383299</v>
      </c>
      <c r="E131">
        <v>1.0028448444358312E-5</v>
      </c>
      <c r="F131">
        <v>4.8751070637521175E-2</v>
      </c>
      <c r="G131">
        <v>3.4569682731261216E-2</v>
      </c>
      <c r="H131">
        <v>4.23850372713651E-5</v>
      </c>
      <c r="J131">
        <v>6.375145875390624E-2</v>
      </c>
      <c r="K131">
        <v>0.9362485412460938</v>
      </c>
      <c r="M131">
        <v>0.75639118926269977</v>
      </c>
      <c r="N131">
        <v>0</v>
      </c>
      <c r="O131">
        <v>0.19307702302434779</v>
      </c>
      <c r="P131">
        <v>0</v>
      </c>
      <c r="Q131">
        <v>1.3946145176880781E-2</v>
      </c>
      <c r="R131">
        <v>3.6585642536071716E-2</v>
      </c>
      <c r="S131">
        <v>0</v>
      </c>
      <c r="U131">
        <v>3.7874956001537535E-2</v>
      </c>
      <c r="V131">
        <v>0.96212504399846244</v>
      </c>
    </row>
    <row r="132" spans="2:22" x14ac:dyDescent="0.25">
      <c r="B132">
        <v>0.98288817695572572</v>
      </c>
      <c r="C132">
        <v>2.0352878659561136E-6</v>
      </c>
      <c r="D132">
        <v>3.3323882354374806E-3</v>
      </c>
      <c r="E132">
        <v>1.0984480932400824E-5</v>
      </c>
      <c r="F132">
        <v>1.2773182025053361E-2</v>
      </c>
      <c r="G132">
        <v>7.0903768405480329E-4</v>
      </c>
      <c r="H132">
        <v>2.8419533093026865E-4</v>
      </c>
      <c r="J132">
        <v>6.3159912865880241E-2</v>
      </c>
      <c r="K132">
        <v>0.9368400871341197</v>
      </c>
      <c r="M132">
        <v>0.99325813641869609</v>
      </c>
      <c r="N132">
        <v>1.3814834666444757E-5</v>
      </c>
      <c r="O132">
        <v>9.7525849320448822E-4</v>
      </c>
      <c r="P132">
        <v>6.5683649260490017E-5</v>
      </c>
      <c r="Q132">
        <v>3.4357398159514069E-3</v>
      </c>
      <c r="R132">
        <v>2.2513667882209849E-3</v>
      </c>
      <c r="S132">
        <v>0</v>
      </c>
      <c r="U132">
        <v>6.6202703239287911E-2</v>
      </c>
      <c r="V132">
        <v>0.9337972967607121</v>
      </c>
    </row>
    <row r="133" spans="2:22" x14ac:dyDescent="0.25">
      <c r="B133">
        <v>0.98283712916056321</v>
      </c>
      <c r="C133">
        <v>0</v>
      </c>
      <c r="D133">
        <v>6.9153018249696035E-3</v>
      </c>
      <c r="E133">
        <v>0</v>
      </c>
      <c r="F133">
        <v>6.4202781631300335E-3</v>
      </c>
      <c r="G133">
        <v>3.8272908513370296E-3</v>
      </c>
      <c r="H133">
        <v>0</v>
      </c>
      <c r="J133">
        <v>0.11218188665191739</v>
      </c>
      <c r="K133">
        <v>0.88781811334808258</v>
      </c>
      <c r="M133">
        <v>0.9913960815517816</v>
      </c>
      <c r="N133">
        <v>0</v>
      </c>
      <c r="O133">
        <v>7.5638359943660319E-3</v>
      </c>
      <c r="P133">
        <v>0</v>
      </c>
      <c r="Q133">
        <v>0</v>
      </c>
      <c r="R133">
        <v>9.9149690606719276E-4</v>
      </c>
      <c r="S133">
        <v>4.8585547785252064E-5</v>
      </c>
      <c r="U133">
        <v>0.14467118525042619</v>
      </c>
      <c r="V133">
        <v>0.8553288147495739</v>
      </c>
    </row>
    <row r="134" spans="2:22" x14ac:dyDescent="0.25">
      <c r="B134">
        <v>0.96735422536346372</v>
      </c>
      <c r="C134">
        <v>6.9027663627374734E-5</v>
      </c>
      <c r="D134">
        <v>2.681403540144708E-2</v>
      </c>
      <c r="E134">
        <v>2.4228588651735197E-6</v>
      </c>
      <c r="F134">
        <v>2.0804153529074489E-3</v>
      </c>
      <c r="G134">
        <v>3.6664800628869016E-3</v>
      </c>
      <c r="H134">
        <v>1.339329680214489E-5</v>
      </c>
      <c r="J134">
        <v>0.18793679103714089</v>
      </c>
      <c r="K134">
        <v>0.81206320896285911</v>
      </c>
      <c r="M134">
        <v>0.99988401762897328</v>
      </c>
      <c r="N134">
        <v>0</v>
      </c>
      <c r="O134">
        <v>0</v>
      </c>
      <c r="P134">
        <v>2.2612025429010825E-5</v>
      </c>
      <c r="Q134">
        <v>0</v>
      </c>
      <c r="R134">
        <v>0</v>
      </c>
      <c r="S134">
        <v>9.3370345597679118E-5</v>
      </c>
      <c r="U134">
        <v>0.12108678846282425</v>
      </c>
      <c r="V134">
        <v>0.87891321153717572</v>
      </c>
    </row>
    <row r="135" spans="2:22" x14ac:dyDescent="0.25">
      <c r="B135">
        <v>0.62757668822843771</v>
      </c>
      <c r="C135">
        <v>2.2188451154058709E-4</v>
      </c>
      <c r="D135">
        <v>0.30722344341984353</v>
      </c>
      <c r="E135">
        <v>3.3956172350735573E-6</v>
      </c>
      <c r="F135">
        <v>3.3009904102785606E-2</v>
      </c>
      <c r="G135">
        <v>3.1948442294152411E-2</v>
      </c>
      <c r="H135">
        <v>1.624182600493052E-5</v>
      </c>
      <c r="J135">
        <v>5.7045960171528347E-2</v>
      </c>
      <c r="K135">
        <v>0.9429540398284717</v>
      </c>
      <c r="M135">
        <v>0</v>
      </c>
      <c r="N135">
        <v>0.47958853293113862</v>
      </c>
      <c r="O135">
        <v>0</v>
      </c>
      <c r="P135">
        <v>6.8621563556359774E-2</v>
      </c>
      <c r="Q135">
        <v>0</v>
      </c>
      <c r="R135">
        <v>0</v>
      </c>
      <c r="S135">
        <v>0.45178990351250164</v>
      </c>
      <c r="U135">
        <v>5.8497360926726402E-2</v>
      </c>
      <c r="V135">
        <v>0.94150263907327358</v>
      </c>
    </row>
    <row r="136" spans="2:22" x14ac:dyDescent="0.25">
      <c r="B136">
        <v>0.9055184653477496</v>
      </c>
      <c r="C136">
        <v>9.6028717815219448E-4</v>
      </c>
      <c r="D136">
        <v>8.4691295783784162E-2</v>
      </c>
      <c r="E136">
        <v>3.399734719743328E-4</v>
      </c>
      <c r="F136">
        <v>5.8471634935218109E-3</v>
      </c>
      <c r="G136">
        <v>2.3732709654125548E-3</v>
      </c>
      <c r="H136">
        <v>2.695437594052762E-4</v>
      </c>
      <c r="J136">
        <v>0.21276413686676446</v>
      </c>
      <c r="K136">
        <v>0.78723586313323557</v>
      </c>
      <c r="M136">
        <v>0.76357098297997528</v>
      </c>
      <c r="N136">
        <v>7.3469781208762241E-2</v>
      </c>
      <c r="O136">
        <v>1.6668810359068073E-2</v>
      </c>
      <c r="P136">
        <v>9.804481263718013E-3</v>
      </c>
      <c r="Q136">
        <v>3.6611949693976416E-2</v>
      </c>
      <c r="R136">
        <v>9.9873994494499962E-2</v>
      </c>
      <c r="S136">
        <v>0</v>
      </c>
      <c r="U136">
        <v>5.6964727169136357E-2</v>
      </c>
      <c r="V136">
        <v>0.94303527283086364</v>
      </c>
    </row>
    <row r="137" spans="2:22" x14ac:dyDescent="0.25">
      <c r="B137">
        <v>0.96235613008301635</v>
      </c>
      <c r="C137">
        <v>0</v>
      </c>
      <c r="D137">
        <v>1.6429793631947003E-2</v>
      </c>
      <c r="E137">
        <v>8.2191831963370334E-7</v>
      </c>
      <c r="F137">
        <v>1.9726183771535996E-2</v>
      </c>
      <c r="G137">
        <v>1.4866280237782633E-3</v>
      </c>
      <c r="H137">
        <v>4.4257140287968641E-7</v>
      </c>
      <c r="J137">
        <v>1.8826524517163927E-2</v>
      </c>
      <c r="K137">
        <v>0.98117347548283618</v>
      </c>
      <c r="M137">
        <v>0.97525342727442421</v>
      </c>
      <c r="N137">
        <v>0</v>
      </c>
      <c r="O137">
        <v>2.014547564349338E-2</v>
      </c>
      <c r="P137">
        <v>3.0251773723831801E-4</v>
      </c>
      <c r="Q137">
        <v>0</v>
      </c>
      <c r="R137">
        <v>3.1992640833481438E-3</v>
      </c>
      <c r="S137">
        <v>1.099315261495977E-3</v>
      </c>
      <c r="U137">
        <v>2.5636785772255241E-2</v>
      </c>
      <c r="V137">
        <v>0.97436321422774474</v>
      </c>
    </row>
    <row r="138" spans="2:22" x14ac:dyDescent="0.25">
      <c r="B138">
        <v>0.95543234040690472</v>
      </c>
      <c r="C138">
        <v>7.8385191082668697E-7</v>
      </c>
      <c r="D138">
        <v>2.3659854755495546E-2</v>
      </c>
      <c r="E138">
        <v>3.0476045916305098E-5</v>
      </c>
      <c r="F138">
        <v>6.9809276147122859E-3</v>
      </c>
      <c r="G138">
        <v>1.3624127433870563E-2</v>
      </c>
      <c r="H138">
        <v>2.7148989118972247E-4</v>
      </c>
      <c r="J138">
        <v>0.27904339477236734</v>
      </c>
      <c r="K138">
        <v>0.72095660522763261</v>
      </c>
      <c r="M138">
        <v>0.9002839360530368</v>
      </c>
      <c r="N138">
        <v>1.5232179996574022E-6</v>
      </c>
      <c r="O138">
        <v>7.4198718681355066E-2</v>
      </c>
      <c r="P138">
        <v>1.0365063387955755E-4</v>
      </c>
      <c r="Q138">
        <v>4.47109093746748E-3</v>
      </c>
      <c r="R138">
        <v>1.9441233065359935E-2</v>
      </c>
      <c r="S138">
        <v>1.4998474109015074E-3</v>
      </c>
      <c r="U138">
        <v>0.20435523681637552</v>
      </c>
      <c r="V138">
        <v>0.79564476318362454</v>
      </c>
    </row>
    <row r="139" spans="2:22" x14ac:dyDescent="0.25">
      <c r="B139">
        <v>0.98085641089570552</v>
      </c>
      <c r="C139">
        <v>1.1777329621025274E-4</v>
      </c>
      <c r="D139">
        <v>3.494579939968258E-3</v>
      </c>
      <c r="E139">
        <v>0</v>
      </c>
      <c r="F139">
        <v>1.4861566396419444E-2</v>
      </c>
      <c r="G139">
        <v>6.6966947169657222E-4</v>
      </c>
      <c r="H139">
        <v>0</v>
      </c>
      <c r="J139">
        <v>8.8317049148510643E-2</v>
      </c>
      <c r="K139">
        <v>0.91168295085148932</v>
      </c>
      <c r="M139">
        <v>0.97068868428002875</v>
      </c>
      <c r="N139">
        <v>1.8872337733682326E-4</v>
      </c>
      <c r="O139">
        <v>8.4482275048940389E-3</v>
      </c>
      <c r="P139">
        <v>0</v>
      </c>
      <c r="Q139">
        <v>1.973007394712151E-2</v>
      </c>
      <c r="R139">
        <v>9.4429089061868045E-4</v>
      </c>
      <c r="S139">
        <v>0</v>
      </c>
      <c r="U139">
        <v>0.21874544282328282</v>
      </c>
      <c r="V139">
        <v>0.78125455717671721</v>
      </c>
    </row>
    <row r="140" spans="2:22" x14ac:dyDescent="0.25">
      <c r="B140">
        <v>0.63245028011470661</v>
      </c>
      <c r="C140">
        <v>2.170312179567985E-5</v>
      </c>
      <c r="D140">
        <v>0.36062634377748914</v>
      </c>
      <c r="E140">
        <v>9.6808548213459761E-5</v>
      </c>
      <c r="F140">
        <v>5.6882978412161776E-3</v>
      </c>
      <c r="G140">
        <v>1.0595176516248728E-3</v>
      </c>
      <c r="H140">
        <v>5.7048944953966306E-5</v>
      </c>
      <c r="J140">
        <v>7.3463771449212331E-2</v>
      </c>
      <c r="K140">
        <v>0.92653622855078765</v>
      </c>
      <c r="M140">
        <v>0.64367313245552105</v>
      </c>
      <c r="N140">
        <v>6.4737186215023067E-6</v>
      </c>
      <c r="O140">
        <v>0.35082219092263178</v>
      </c>
      <c r="P140">
        <v>1.4439063743663453E-4</v>
      </c>
      <c r="Q140">
        <v>3.650024225967784E-3</v>
      </c>
      <c r="R140">
        <v>1.4590483595099532E-3</v>
      </c>
      <c r="S140">
        <v>2.4473968031136774E-4</v>
      </c>
      <c r="U140">
        <v>3.0213036187749419E-2</v>
      </c>
      <c r="V140">
        <v>0.9697869638122506</v>
      </c>
    </row>
    <row r="141" spans="2:22" x14ac:dyDescent="0.25">
      <c r="B141">
        <v>0.85006815598108088</v>
      </c>
      <c r="C141">
        <v>7.1341945984697112E-4</v>
      </c>
      <c r="D141">
        <v>2.7132909397565796E-2</v>
      </c>
      <c r="E141">
        <v>0</v>
      </c>
      <c r="F141">
        <v>9.2909826424656256E-2</v>
      </c>
      <c r="G141">
        <v>2.9064946901208699E-2</v>
      </c>
      <c r="H141">
        <v>1.107418356415224E-4</v>
      </c>
      <c r="J141">
        <v>0.11131898067117725</v>
      </c>
      <c r="K141">
        <v>0.88868101932882271</v>
      </c>
      <c r="M141">
        <v>0.5964710195405053</v>
      </c>
      <c r="N141">
        <v>0</v>
      </c>
      <c r="O141">
        <v>4.4635634952286368E-2</v>
      </c>
      <c r="P141">
        <v>1.1617882862358502E-4</v>
      </c>
      <c r="Q141">
        <v>0.13632907611138528</v>
      </c>
      <c r="R141">
        <v>0.22212878952597798</v>
      </c>
      <c r="S141">
        <v>3.1930104122149206E-4</v>
      </c>
      <c r="U141">
        <v>5.6790801670897409E-2</v>
      </c>
      <c r="V141">
        <v>0.94320919832910255</v>
      </c>
    </row>
    <row r="142" spans="2:22" x14ac:dyDescent="0.25">
      <c r="B142">
        <v>0.93711833409630418</v>
      </c>
      <c r="C142">
        <v>0</v>
      </c>
      <c r="D142">
        <v>2.5173220868056369E-2</v>
      </c>
      <c r="E142">
        <v>2.976117693818157E-5</v>
      </c>
      <c r="F142">
        <v>1.9445866302012005E-2</v>
      </c>
      <c r="G142">
        <v>1.8218613554530767E-2</v>
      </c>
      <c r="H142">
        <v>1.4204002158391833E-5</v>
      </c>
      <c r="J142">
        <v>0.30480103204550263</v>
      </c>
      <c r="K142">
        <v>0.69519896795449743</v>
      </c>
      <c r="M142">
        <v>0.9166382906093844</v>
      </c>
      <c r="N142">
        <v>4.9079711920400286E-7</v>
      </c>
      <c r="O142">
        <v>3.9078645688698371E-2</v>
      </c>
      <c r="P142">
        <v>5.8808779084470131E-5</v>
      </c>
      <c r="Q142">
        <v>9.5106495078708265E-3</v>
      </c>
      <c r="R142">
        <v>3.4637652810463222E-2</v>
      </c>
      <c r="S142">
        <v>7.5461807379804358E-5</v>
      </c>
      <c r="U142">
        <v>0.25771570226799717</v>
      </c>
      <c r="V142">
        <v>0.74228429773200288</v>
      </c>
    </row>
    <row r="143" spans="2:22" x14ac:dyDescent="0.25">
      <c r="B143">
        <v>0.91867761583200136</v>
      </c>
      <c r="C143">
        <v>1.5170261478725114E-3</v>
      </c>
      <c r="D143">
        <v>7.7389944698999652E-2</v>
      </c>
      <c r="E143">
        <v>1.7937040879159159E-5</v>
      </c>
      <c r="F143">
        <v>1.5658048949392033E-3</v>
      </c>
      <c r="G143">
        <v>7.8505847256735595E-4</v>
      </c>
      <c r="H143">
        <v>4.6612912740710697E-5</v>
      </c>
      <c r="J143">
        <v>0.29278315537899025</v>
      </c>
      <c r="K143">
        <v>0.70721684462100975</v>
      </c>
      <c r="M143">
        <v>0.99768300664878617</v>
      </c>
      <c r="N143">
        <v>0</v>
      </c>
      <c r="O143">
        <v>0</v>
      </c>
      <c r="P143">
        <v>1.1848351735123911E-5</v>
      </c>
      <c r="Q143">
        <v>1.3280571755614893E-3</v>
      </c>
      <c r="R143">
        <v>8.6236372777201929E-4</v>
      </c>
      <c r="S143">
        <v>1.1472409614522582E-4</v>
      </c>
      <c r="U143">
        <v>0.2898358506231854</v>
      </c>
      <c r="V143">
        <v>0.7101641493768146</v>
      </c>
    </row>
    <row r="144" spans="2:22" x14ac:dyDescent="0.25">
      <c r="B144">
        <v>0.9520061142602172</v>
      </c>
      <c r="C144">
        <v>0</v>
      </c>
      <c r="D144">
        <v>2.305145477924947E-2</v>
      </c>
      <c r="E144">
        <v>1.2316607006005868E-5</v>
      </c>
      <c r="F144">
        <v>1.6038690498673097E-2</v>
      </c>
      <c r="G144">
        <v>8.5672879941423776E-3</v>
      </c>
      <c r="H144">
        <v>3.2413586071203623E-4</v>
      </c>
      <c r="J144">
        <v>1.8917207021748123E-2</v>
      </c>
      <c r="K144">
        <v>0.98108279297825185</v>
      </c>
      <c r="M144">
        <v>0</v>
      </c>
      <c r="N144">
        <v>0</v>
      </c>
      <c r="O144">
        <v>0</v>
      </c>
      <c r="P144">
        <v>7.8989624666479186E-2</v>
      </c>
      <c r="Q144">
        <v>0</v>
      </c>
      <c r="R144">
        <v>0.76640404246073113</v>
      </c>
      <c r="S144">
        <v>0.15460633287278977</v>
      </c>
      <c r="U144">
        <v>3.186356481551105E-3</v>
      </c>
      <c r="V144">
        <v>0.99681364351844881</v>
      </c>
    </row>
    <row r="145" spans="1:24" x14ac:dyDescent="0.25">
      <c r="B145">
        <v>0.89514750910705532</v>
      </c>
      <c r="C145">
        <v>1.1861297909703754E-4</v>
      </c>
      <c r="D145">
        <v>2.2922557849999518E-2</v>
      </c>
      <c r="E145">
        <v>1.7785013532305552E-5</v>
      </c>
      <c r="F145">
        <v>6.0998939971745714E-2</v>
      </c>
      <c r="G145">
        <v>2.0757748687269779E-2</v>
      </c>
      <c r="H145">
        <v>3.6846391300085297E-5</v>
      </c>
      <c r="J145">
        <v>0.51367655318308747</v>
      </c>
      <c r="K145">
        <v>0.48632344681691259</v>
      </c>
      <c r="M145">
        <v>0.93612759543317481</v>
      </c>
      <c r="N145">
        <v>1.112778951441799E-5</v>
      </c>
      <c r="O145">
        <v>2.3207385980494176E-2</v>
      </c>
      <c r="P145">
        <v>1.8885410211855139E-5</v>
      </c>
      <c r="Q145">
        <v>2.3553198559686024E-2</v>
      </c>
      <c r="R145">
        <v>1.700278118362902E-2</v>
      </c>
      <c r="S145">
        <v>7.9025643289843618E-5</v>
      </c>
      <c r="U145">
        <v>0.42627155357821528</v>
      </c>
      <c r="V145">
        <v>0.57372844642178467</v>
      </c>
    </row>
    <row r="148" spans="1:24" x14ac:dyDescent="0.25">
      <c r="A148" t="s">
        <v>224</v>
      </c>
      <c r="J148" t="s">
        <v>225</v>
      </c>
      <c r="M148" t="s">
        <v>226</v>
      </c>
      <c r="V148" t="s">
        <v>227</v>
      </c>
    </row>
    <row r="149" spans="1:24" x14ac:dyDescent="0.25">
      <c r="B149" t="s">
        <v>214</v>
      </c>
      <c r="C149" t="s">
        <v>215</v>
      </c>
      <c r="D149" t="s">
        <v>216</v>
      </c>
      <c r="E149" t="s">
        <v>217</v>
      </c>
      <c r="F149" t="s">
        <v>218</v>
      </c>
      <c r="G149" t="s">
        <v>219</v>
      </c>
      <c r="H149" t="s">
        <v>220</v>
      </c>
      <c r="I149" t="s">
        <v>221</v>
      </c>
      <c r="K149" t="s">
        <v>222</v>
      </c>
      <c r="L149" t="s">
        <v>223</v>
      </c>
      <c r="N149" t="s">
        <v>214</v>
      </c>
      <c r="O149" t="s">
        <v>215</v>
      </c>
      <c r="P149" t="s">
        <v>216</v>
      </c>
      <c r="Q149" t="s">
        <v>217</v>
      </c>
      <c r="R149" t="s">
        <v>218</v>
      </c>
      <c r="S149" t="s">
        <v>219</v>
      </c>
      <c r="T149" t="s">
        <v>220</v>
      </c>
      <c r="U149" t="s">
        <v>221</v>
      </c>
      <c r="W149" t="s">
        <v>222</v>
      </c>
      <c r="X149" t="s">
        <v>223</v>
      </c>
    </row>
    <row r="150" spans="1:24" x14ac:dyDescent="0.25">
      <c r="B150">
        <v>0.17877240220399154</v>
      </c>
      <c r="C150">
        <v>3.3531846863645389E-4</v>
      </c>
      <c r="D150">
        <v>0.38538371551160655</v>
      </c>
      <c r="E150">
        <v>3.2476777247401702E-3</v>
      </c>
      <c r="F150">
        <v>0.23221003004302501</v>
      </c>
      <c r="G150">
        <v>0.15040602594180366</v>
      </c>
      <c r="H150">
        <v>4.1262253688257595E-2</v>
      </c>
      <c r="I150">
        <v>8.3825764179390611E-3</v>
      </c>
      <c r="K150">
        <v>9.3536472197938772E-2</v>
      </c>
      <c r="L150">
        <v>0.9064635278020613</v>
      </c>
      <c r="N150">
        <v>0.11609662102987943</v>
      </c>
      <c r="O150">
        <v>0</v>
      </c>
      <c r="P150">
        <v>0.24783136680605808</v>
      </c>
      <c r="Q150">
        <v>8.2837213746577067E-3</v>
      </c>
      <c r="R150">
        <v>0.19023762202232491</v>
      </c>
      <c r="S150">
        <v>0.29513813958353319</v>
      </c>
      <c r="T150">
        <v>0.10167540117254698</v>
      </c>
      <c r="U150">
        <v>4.0737128010999699E-2</v>
      </c>
      <c r="W150">
        <v>0.10342801433213016</v>
      </c>
      <c r="X150">
        <v>0.89657198566786978</v>
      </c>
    </row>
    <row r="151" spans="1:24" x14ac:dyDescent="0.25">
      <c r="B151">
        <v>0.15727409807212425</v>
      </c>
      <c r="C151">
        <v>2.8378670694275803E-4</v>
      </c>
      <c r="D151">
        <v>0.7631425083058998</v>
      </c>
      <c r="E151">
        <v>4.3699224174099959E-4</v>
      </c>
      <c r="F151">
        <v>4.8977894763599324E-2</v>
      </c>
      <c r="G151">
        <v>2.3751170501793428E-2</v>
      </c>
      <c r="H151">
        <v>9.4429467222927358E-4</v>
      </c>
      <c r="I151">
        <v>5.1892547356702876E-3</v>
      </c>
      <c r="K151">
        <v>0.3684475234075667</v>
      </c>
      <c r="L151">
        <v>0.6315524765924333</v>
      </c>
      <c r="N151">
        <v>0.15908435386071956</v>
      </c>
      <c r="O151">
        <v>8.7355967785231149E-4</v>
      </c>
      <c r="P151">
        <v>0.76356725224540911</v>
      </c>
      <c r="Q151">
        <v>4.2194832940112921E-4</v>
      </c>
      <c r="R151">
        <v>4.0690261868577646E-2</v>
      </c>
      <c r="S151">
        <v>2.2450942962280569E-2</v>
      </c>
      <c r="T151">
        <v>1.8184909738842997E-3</v>
      </c>
      <c r="U151">
        <v>1.1093190081875502E-2</v>
      </c>
      <c r="W151">
        <v>0.16576441624012464</v>
      </c>
      <c r="X151">
        <v>0.83423558375987539</v>
      </c>
    </row>
    <row r="152" spans="1:24" x14ac:dyDescent="0.25">
      <c r="B152">
        <v>0.21192454801075675</v>
      </c>
      <c r="C152">
        <v>2.1944558247307772E-4</v>
      </c>
      <c r="D152">
        <v>0.46396539425876465</v>
      </c>
      <c r="E152">
        <v>4.8159118297936418E-3</v>
      </c>
      <c r="F152">
        <v>0.19555630358339743</v>
      </c>
      <c r="G152">
        <v>0.1012340299312955</v>
      </c>
      <c r="H152">
        <v>2.0597978058537282E-2</v>
      </c>
      <c r="I152">
        <v>1.6863887449816446E-3</v>
      </c>
      <c r="K152">
        <v>0.14358852400668484</v>
      </c>
      <c r="L152">
        <v>0.85641147599331513</v>
      </c>
      <c r="N152">
        <v>0</v>
      </c>
      <c r="O152">
        <v>7.3490716857581518E-5</v>
      </c>
      <c r="P152">
        <v>0.76144885948301855</v>
      </c>
      <c r="Q152">
        <v>1.3035470322798109E-4</v>
      </c>
      <c r="R152">
        <v>7.263964373638224E-3</v>
      </c>
      <c r="S152">
        <v>0.13142401344009913</v>
      </c>
      <c r="T152">
        <v>4.1925565044093803E-2</v>
      </c>
      <c r="U152">
        <v>5.7733752239064642E-2</v>
      </c>
      <c r="W152">
        <v>0.11336809626912205</v>
      </c>
      <c r="X152">
        <v>0.88663190373087786</v>
      </c>
    </row>
    <row r="153" spans="1:24" x14ac:dyDescent="0.25">
      <c r="B153">
        <v>0.48428738055143672</v>
      </c>
      <c r="C153">
        <v>0</v>
      </c>
      <c r="D153">
        <v>8.5495157143458136E-2</v>
      </c>
      <c r="E153">
        <v>1.8359145676238931E-3</v>
      </c>
      <c r="F153">
        <v>0.14289066386596627</v>
      </c>
      <c r="G153">
        <v>0.25687555608493395</v>
      </c>
      <c r="H153">
        <v>2.4694851408749711E-2</v>
      </c>
      <c r="I153">
        <v>3.9204763778310356E-3</v>
      </c>
      <c r="K153">
        <v>0.29525300239701369</v>
      </c>
      <c r="L153">
        <v>0.7047469976029862</v>
      </c>
      <c r="N153">
        <v>0.48279650462478046</v>
      </c>
      <c r="O153">
        <v>0</v>
      </c>
      <c r="P153">
        <v>0.2912200002491474</v>
      </c>
      <c r="Q153">
        <v>3.9013334378977098E-4</v>
      </c>
      <c r="R153">
        <v>0</v>
      </c>
      <c r="S153">
        <v>0.10381721143545497</v>
      </c>
      <c r="T153">
        <v>0.12177615034682757</v>
      </c>
      <c r="U153">
        <v>0</v>
      </c>
      <c r="W153">
        <v>6.327005139840236E-2</v>
      </c>
      <c r="X153">
        <v>0.93672994860159764</v>
      </c>
    </row>
    <row r="154" spans="1:24" x14ac:dyDescent="0.25">
      <c r="B154">
        <v>0.2839634259610308</v>
      </c>
      <c r="C154">
        <v>6.3437549384311409E-5</v>
      </c>
      <c r="D154">
        <v>3.5152358592486409E-2</v>
      </c>
      <c r="E154">
        <v>7.2596535640813734E-4</v>
      </c>
      <c r="F154">
        <v>9.6101756002835867E-2</v>
      </c>
      <c r="G154">
        <v>0.5560387181432076</v>
      </c>
      <c r="H154">
        <v>2.5415787902988669E-2</v>
      </c>
      <c r="I154">
        <v>2.5385504916583474E-3</v>
      </c>
      <c r="K154">
        <v>0.44445500025912138</v>
      </c>
      <c r="L154">
        <v>0.55554499974087856</v>
      </c>
      <c r="N154">
        <v>0.23837865648074805</v>
      </c>
      <c r="O154">
        <v>2.0690584657671534E-4</v>
      </c>
      <c r="P154">
        <v>4.5799757614113284E-2</v>
      </c>
      <c r="Q154">
        <v>1.128211844389734E-3</v>
      </c>
      <c r="R154">
        <v>0.11945258543206871</v>
      </c>
      <c r="S154">
        <v>0.55807877940242823</v>
      </c>
      <c r="T154">
        <v>2.8428523910156923E-2</v>
      </c>
      <c r="U154">
        <v>8.5265794695185693E-3</v>
      </c>
      <c r="W154">
        <v>0.32213740012507824</v>
      </c>
      <c r="X154">
        <v>0.6778625998749217</v>
      </c>
    </row>
    <row r="155" spans="1:24" x14ac:dyDescent="0.25">
      <c r="B155">
        <v>0.15711854876808634</v>
      </c>
      <c r="C155">
        <v>2.5663080001031408E-3</v>
      </c>
      <c r="D155">
        <v>9.4970890026447749E-2</v>
      </c>
      <c r="E155">
        <v>3.261028045244598E-3</v>
      </c>
      <c r="F155">
        <v>0.2173468159136725</v>
      </c>
      <c r="G155">
        <v>0.43638696191099086</v>
      </c>
      <c r="H155">
        <v>4.6691295367373389E-2</v>
      </c>
      <c r="I155">
        <v>4.1658151968081411E-2</v>
      </c>
      <c r="K155">
        <v>0.17096745476857869</v>
      </c>
      <c r="L155">
        <v>0.82903254523142134</v>
      </c>
      <c r="N155">
        <v>4.3935768111089131E-2</v>
      </c>
      <c r="O155">
        <v>0</v>
      </c>
      <c r="P155">
        <v>0.10756134092413765</v>
      </c>
      <c r="Q155">
        <v>1.2586950658332538E-3</v>
      </c>
      <c r="R155">
        <v>0.30479072001215024</v>
      </c>
      <c r="S155">
        <v>0.45686054913495783</v>
      </c>
      <c r="T155">
        <v>3.2204150868116913E-2</v>
      </c>
      <c r="U155">
        <v>5.3388775883715031E-2</v>
      </c>
      <c r="W155">
        <v>0.17018326645463974</v>
      </c>
      <c r="X155">
        <v>0.82981673354536023</v>
      </c>
    </row>
    <row r="156" spans="1:24" x14ac:dyDescent="0.25">
      <c r="B156">
        <v>0.10779114565592571</v>
      </c>
      <c r="C156">
        <v>0</v>
      </c>
      <c r="D156">
        <v>0.17122081413877757</v>
      </c>
      <c r="E156">
        <v>5.3421283903742223E-3</v>
      </c>
      <c r="F156">
        <v>0.33068280053840265</v>
      </c>
      <c r="G156">
        <v>0.32387136868532462</v>
      </c>
      <c r="H156">
        <v>3.6295448871770261E-2</v>
      </c>
      <c r="I156">
        <v>2.4796293719424923E-2</v>
      </c>
      <c r="K156">
        <v>6.0034689599321581E-2</v>
      </c>
      <c r="L156">
        <v>0.93996531040067843</v>
      </c>
      <c r="N156">
        <v>0.11326932975577304</v>
      </c>
      <c r="O156">
        <v>0</v>
      </c>
      <c r="P156">
        <v>0.17412572224481396</v>
      </c>
      <c r="Q156">
        <v>5.5947475509671874E-3</v>
      </c>
      <c r="R156">
        <v>0.38470349192627706</v>
      </c>
      <c r="S156">
        <v>0.24542265780683786</v>
      </c>
      <c r="T156">
        <v>6.2470791170341516E-2</v>
      </c>
      <c r="U156">
        <v>1.4413259544989475E-2</v>
      </c>
      <c r="W156">
        <v>1.4653982137548332E-2</v>
      </c>
      <c r="X156">
        <v>0.98534601786245168</v>
      </c>
    </row>
    <row r="157" spans="1:24" x14ac:dyDescent="0.25">
      <c r="B157">
        <v>9.1765162928252875E-2</v>
      </c>
      <c r="C157">
        <v>1.9779810881521047E-3</v>
      </c>
      <c r="D157">
        <v>0.16256535994076499</v>
      </c>
      <c r="E157">
        <v>4.6845382855490378E-3</v>
      </c>
      <c r="F157">
        <v>0.2502567001424762</v>
      </c>
      <c r="G157">
        <v>0.4506277294661592</v>
      </c>
      <c r="H157">
        <v>3.6885600599420941E-2</v>
      </c>
      <c r="I157">
        <v>1.2369275492247645E-3</v>
      </c>
      <c r="K157">
        <v>0.16054601706911614</v>
      </c>
      <c r="L157">
        <v>0.8394539829308838</v>
      </c>
      <c r="N157">
        <v>9.336146145156575E-2</v>
      </c>
      <c r="O157">
        <v>0</v>
      </c>
      <c r="P157">
        <v>0.15040794000824248</v>
      </c>
      <c r="Q157">
        <v>6.7337590822502645E-3</v>
      </c>
      <c r="R157">
        <v>0.34806483749949962</v>
      </c>
      <c r="S157">
        <v>0.33335478798747048</v>
      </c>
      <c r="T157">
        <v>6.5833062841052323E-2</v>
      </c>
      <c r="U157">
        <v>2.2441511299190601E-3</v>
      </c>
      <c r="W157">
        <v>5.5622771475595419E-2</v>
      </c>
      <c r="X157">
        <v>0.94437722852440453</v>
      </c>
    </row>
    <row r="158" spans="1:24" x14ac:dyDescent="0.25">
      <c r="B158">
        <v>0.14960789792942575</v>
      </c>
      <c r="C158">
        <v>0</v>
      </c>
      <c r="D158">
        <v>0.25787797503870258</v>
      </c>
      <c r="E158">
        <v>8.0104258677173596E-3</v>
      </c>
      <c r="F158">
        <v>0.23563968739829888</v>
      </c>
      <c r="G158">
        <v>0.32296700652740723</v>
      </c>
      <c r="H158">
        <v>1.8803050393499839E-2</v>
      </c>
      <c r="I158">
        <v>7.0939568449482392E-3</v>
      </c>
      <c r="K158">
        <v>7.8532725281451832E-2</v>
      </c>
      <c r="L158">
        <v>0.92146727471854817</v>
      </c>
      <c r="N158">
        <v>1.0491624694336135E-2</v>
      </c>
      <c r="O158">
        <v>0</v>
      </c>
      <c r="P158">
        <v>0.27105344410635079</v>
      </c>
      <c r="Q158">
        <v>5.0138204700444456E-3</v>
      </c>
      <c r="R158">
        <v>0.24918132366248605</v>
      </c>
      <c r="S158">
        <v>0.33399447726201753</v>
      </c>
      <c r="T158">
        <v>2.0094369806191011E-2</v>
      </c>
      <c r="U158">
        <v>0.11017093999857411</v>
      </c>
      <c r="W158">
        <v>1.9251497063580068E-2</v>
      </c>
      <c r="X158">
        <v>0.98074850293641991</v>
      </c>
    </row>
    <row r="159" spans="1:24" x14ac:dyDescent="0.25">
      <c r="B159">
        <v>0.43153230092408229</v>
      </c>
      <c r="C159">
        <v>3.3301201077213876E-4</v>
      </c>
      <c r="D159">
        <v>3.5203075726428459E-2</v>
      </c>
      <c r="E159">
        <v>8.4555718788444404E-4</v>
      </c>
      <c r="F159">
        <v>0.30972537659880855</v>
      </c>
      <c r="G159">
        <v>0.2020619228776746</v>
      </c>
      <c r="H159">
        <v>1.4576078323927735E-2</v>
      </c>
      <c r="I159">
        <v>5.7226763504218195E-3</v>
      </c>
      <c r="K159">
        <v>0.21450731380509996</v>
      </c>
      <c r="L159">
        <v>0.78549268619489998</v>
      </c>
      <c r="N159">
        <v>0.26202238221150759</v>
      </c>
      <c r="O159">
        <v>1.7344337721499421E-3</v>
      </c>
      <c r="P159">
        <v>1.8284335164207695E-2</v>
      </c>
      <c r="Q159">
        <v>0</v>
      </c>
      <c r="R159">
        <v>0.6519003763637079</v>
      </c>
      <c r="S159">
        <v>6.3352297102262756E-2</v>
      </c>
      <c r="T159">
        <v>0</v>
      </c>
      <c r="U159">
        <v>2.7061753861640551E-3</v>
      </c>
      <c r="W159">
        <v>1</v>
      </c>
      <c r="X159">
        <v>0</v>
      </c>
    </row>
    <row r="160" spans="1:24" x14ac:dyDescent="0.25">
      <c r="B160">
        <v>0.19688605249664826</v>
      </c>
      <c r="C160">
        <v>1.7250012267524234E-2</v>
      </c>
      <c r="D160">
        <v>0.17500048661290696</v>
      </c>
      <c r="E160">
        <v>2.837655688423691E-4</v>
      </c>
      <c r="F160">
        <v>0.12784384983109801</v>
      </c>
      <c r="G160">
        <v>0.41413005992032786</v>
      </c>
      <c r="H160">
        <v>1.6510397395433706E-2</v>
      </c>
      <c r="I160">
        <v>5.209537590721864E-2</v>
      </c>
      <c r="K160">
        <v>0.10931360490684666</v>
      </c>
      <c r="L160">
        <v>0.89068639509315328</v>
      </c>
      <c r="N160">
        <v>0.15751066416109472</v>
      </c>
      <c r="O160">
        <v>4.0606231412680036E-2</v>
      </c>
      <c r="P160">
        <v>0.16411757087850445</v>
      </c>
      <c r="Q160">
        <v>2.8181655630176799E-3</v>
      </c>
      <c r="R160">
        <v>8.7834162805203619E-2</v>
      </c>
      <c r="S160">
        <v>0.53464965893341976</v>
      </c>
      <c r="T160">
        <v>0</v>
      </c>
      <c r="U160">
        <v>1.2463546246079819E-2</v>
      </c>
      <c r="W160">
        <v>0</v>
      </c>
      <c r="X160">
        <v>1</v>
      </c>
    </row>
    <row r="161" spans="2:24" x14ac:dyDescent="0.25">
      <c r="B161">
        <v>0.16226505618802206</v>
      </c>
      <c r="C161">
        <v>4.4840695535572605E-4</v>
      </c>
      <c r="D161">
        <v>0.46807301977468141</v>
      </c>
      <c r="E161">
        <v>1.005603894344153E-2</v>
      </c>
      <c r="F161">
        <v>0.1699980018578553</v>
      </c>
      <c r="G161">
        <v>0.15913939973610083</v>
      </c>
      <c r="H161">
        <v>2.6442157479877444E-2</v>
      </c>
      <c r="I161">
        <v>3.5779190646658397E-3</v>
      </c>
      <c r="K161">
        <v>0.14552692555885985</v>
      </c>
      <c r="L161">
        <v>0.85447307444114018</v>
      </c>
      <c r="N161">
        <v>0.15954402015348795</v>
      </c>
      <c r="O161">
        <v>1.9082446743653473E-3</v>
      </c>
      <c r="P161">
        <v>0.46434889276946922</v>
      </c>
      <c r="Q161">
        <v>0</v>
      </c>
      <c r="R161">
        <v>8.1996966071286523E-2</v>
      </c>
      <c r="S161">
        <v>0.20915031123806319</v>
      </c>
      <c r="T161">
        <v>5.6697600047077155E-2</v>
      </c>
      <c r="U161">
        <v>2.6353965046250628E-2</v>
      </c>
      <c r="W161">
        <v>7.569122493980808E-2</v>
      </c>
      <c r="X161">
        <v>0.92430877506019193</v>
      </c>
    </row>
    <row r="162" spans="2:24" x14ac:dyDescent="0.25">
      <c r="B162">
        <v>0.20087318130157497</v>
      </c>
      <c r="C162">
        <v>1.3104587651758081E-4</v>
      </c>
      <c r="D162">
        <v>6.0668293677778866E-2</v>
      </c>
      <c r="E162">
        <v>1.606991522625496E-2</v>
      </c>
      <c r="F162">
        <v>0.17331921239686146</v>
      </c>
      <c r="G162">
        <v>0.48022277717292422</v>
      </c>
      <c r="H162">
        <v>5.9024806254213351E-2</v>
      </c>
      <c r="I162">
        <v>9.6907680938747142E-3</v>
      </c>
      <c r="K162">
        <v>0.10983039165050439</v>
      </c>
      <c r="L162">
        <v>0.89016960834949566</v>
      </c>
      <c r="N162">
        <v>7.5114722816153265E-3</v>
      </c>
      <c r="O162">
        <v>7.4526972124808356E-5</v>
      </c>
      <c r="P162">
        <v>9.3674394006124262E-2</v>
      </c>
      <c r="Q162">
        <v>0</v>
      </c>
      <c r="R162">
        <v>0</v>
      </c>
      <c r="S162">
        <v>0.57877302155716814</v>
      </c>
      <c r="T162">
        <v>0.31996658518296739</v>
      </c>
      <c r="U162">
        <v>0</v>
      </c>
      <c r="W162">
        <v>5.0560125304347524E-2</v>
      </c>
      <c r="X162">
        <v>0.9494398746956525</v>
      </c>
    </row>
    <row r="163" spans="2:24" x14ac:dyDescent="0.25">
      <c r="B163">
        <v>0.25233635782064556</v>
      </c>
      <c r="C163">
        <v>0</v>
      </c>
      <c r="D163">
        <v>0.20109156199231665</v>
      </c>
      <c r="E163">
        <v>2.6021220264067727E-3</v>
      </c>
      <c r="F163">
        <v>0.15568829965499234</v>
      </c>
      <c r="G163">
        <v>0.34138889277685064</v>
      </c>
      <c r="H163">
        <v>4.228623619312373E-2</v>
      </c>
      <c r="I163">
        <v>4.6065295356642966E-3</v>
      </c>
      <c r="K163">
        <v>0.21221411081345687</v>
      </c>
      <c r="L163">
        <v>0.78778588918654302</v>
      </c>
      <c r="N163">
        <v>0.11422995169584765</v>
      </c>
      <c r="O163">
        <v>0</v>
      </c>
      <c r="P163">
        <v>0.25083415331775333</v>
      </c>
      <c r="Q163">
        <v>1.4605196049179675E-3</v>
      </c>
      <c r="R163">
        <v>0.23625385464095564</v>
      </c>
      <c r="S163">
        <v>0.34066136982752132</v>
      </c>
      <c r="T163">
        <v>5.4937279764507997E-2</v>
      </c>
      <c r="U163">
        <v>1.6228711484962629E-3</v>
      </c>
      <c r="W163">
        <v>0.10365994433097828</v>
      </c>
      <c r="X163">
        <v>0.89634005566902164</v>
      </c>
    </row>
    <row r="164" spans="2:24" x14ac:dyDescent="0.25">
      <c r="B164">
        <v>0.12037023812213277</v>
      </c>
      <c r="C164">
        <v>1.7278221743164459E-4</v>
      </c>
      <c r="D164">
        <v>0.6711152935849013</v>
      </c>
      <c r="E164">
        <v>6.2628376871146205E-4</v>
      </c>
      <c r="F164">
        <v>0.16842591162164003</v>
      </c>
      <c r="G164">
        <v>3.4269604846627132E-2</v>
      </c>
      <c r="H164">
        <v>9.9535373468319583E-4</v>
      </c>
      <c r="I164">
        <v>4.0245321038723716E-3</v>
      </c>
      <c r="K164">
        <v>0.37895569452204064</v>
      </c>
      <c r="L164">
        <v>0.6210443054779593</v>
      </c>
      <c r="N164">
        <v>0</v>
      </c>
      <c r="O164">
        <v>0</v>
      </c>
      <c r="P164">
        <v>0.92219547541398728</v>
      </c>
      <c r="Q164">
        <v>2.8320442903823594E-3</v>
      </c>
      <c r="R164">
        <v>4.9841178954184655E-2</v>
      </c>
      <c r="S164">
        <v>0</v>
      </c>
      <c r="T164">
        <v>3.347310864592661E-3</v>
      </c>
      <c r="U164">
        <v>2.178399047685315E-2</v>
      </c>
      <c r="W164">
        <v>0.10888609112644888</v>
      </c>
      <c r="X164">
        <v>0.89111390887355113</v>
      </c>
    </row>
    <row r="165" spans="2:24" x14ac:dyDescent="0.25">
      <c r="B165">
        <v>0.11230709350626578</v>
      </c>
      <c r="C165">
        <v>1.1497189845900012E-3</v>
      </c>
      <c r="D165">
        <v>0.59977960800358887</v>
      </c>
      <c r="E165">
        <v>4.589892227724603E-3</v>
      </c>
      <c r="F165">
        <v>0.1142196218817623</v>
      </c>
      <c r="G165">
        <v>0.14704791567785688</v>
      </c>
      <c r="H165">
        <v>1.6613804884870222E-2</v>
      </c>
      <c r="I165">
        <v>4.2923448333413447E-3</v>
      </c>
      <c r="K165">
        <v>0.12703767577875311</v>
      </c>
      <c r="L165">
        <v>0.87296232422124687</v>
      </c>
      <c r="N165">
        <v>1.6636648919619208E-2</v>
      </c>
      <c r="O165">
        <v>1.5415192518582665E-4</v>
      </c>
      <c r="P165">
        <v>0.6986397149056085</v>
      </c>
      <c r="Q165">
        <v>4.2627140812175213E-3</v>
      </c>
      <c r="R165">
        <v>0.17601330087918352</v>
      </c>
      <c r="S165">
        <v>3.9484051222323895E-2</v>
      </c>
      <c r="T165">
        <v>3.7074315593559122E-2</v>
      </c>
      <c r="U165">
        <v>2.7735102473302416E-2</v>
      </c>
      <c r="W165">
        <v>4.7251879825928475E-2</v>
      </c>
      <c r="X165">
        <v>0.9527481201740714</v>
      </c>
    </row>
    <row r="166" spans="2:24" x14ac:dyDescent="0.25">
      <c r="B166">
        <v>0.28421965133519139</v>
      </c>
      <c r="C166">
        <v>6.2610024580931527E-3</v>
      </c>
      <c r="D166">
        <v>0.20860376920070123</v>
      </c>
      <c r="E166">
        <v>2.4495041779847296E-2</v>
      </c>
      <c r="F166">
        <v>0.29928159831413575</v>
      </c>
      <c r="G166">
        <v>0.16379465235280141</v>
      </c>
      <c r="H166">
        <v>1.1239016557259158E-2</v>
      </c>
      <c r="I166">
        <v>2.1052680019706211E-3</v>
      </c>
      <c r="K166">
        <v>0.18456877356959039</v>
      </c>
      <c r="L166">
        <v>0.81543122643040955</v>
      </c>
      <c r="N166">
        <v>0</v>
      </c>
      <c r="O166">
        <v>6.2710861121618756E-3</v>
      </c>
      <c r="P166">
        <v>0.26495128317328237</v>
      </c>
      <c r="Q166">
        <v>5.015446072349404E-2</v>
      </c>
      <c r="R166">
        <v>0.16951281020382103</v>
      </c>
      <c r="S166">
        <v>0.36663864119777739</v>
      </c>
      <c r="T166">
        <v>0.13058778498101697</v>
      </c>
      <c r="U166">
        <v>1.1883933608446258E-2</v>
      </c>
      <c r="W166">
        <v>4.1363994875276949E-2</v>
      </c>
      <c r="X166">
        <v>0.95863600512472302</v>
      </c>
    </row>
    <row r="167" spans="2:24" x14ac:dyDescent="0.25">
      <c r="B167">
        <v>0.11260010701592763</v>
      </c>
      <c r="C167">
        <v>0</v>
      </c>
      <c r="D167">
        <v>0.21312668154076797</v>
      </c>
      <c r="E167">
        <v>5.7699957054991619E-2</v>
      </c>
      <c r="F167">
        <v>0.45179289653514793</v>
      </c>
      <c r="G167">
        <v>0.14686263713973441</v>
      </c>
      <c r="H167">
        <v>1.5449711483121568E-2</v>
      </c>
      <c r="I167">
        <v>2.4680092303090246E-3</v>
      </c>
      <c r="K167">
        <v>2.7680006682105292E-2</v>
      </c>
      <c r="L167">
        <v>0.97231999331789476</v>
      </c>
      <c r="N167">
        <v>0.12422480762846069</v>
      </c>
      <c r="O167">
        <v>0</v>
      </c>
      <c r="P167">
        <v>0.31535485064549529</v>
      </c>
      <c r="Q167">
        <v>2.9983863290237025E-2</v>
      </c>
      <c r="R167">
        <v>0.26287323086165293</v>
      </c>
      <c r="S167">
        <v>0.21561169790664964</v>
      </c>
      <c r="T167">
        <v>0</v>
      </c>
      <c r="U167">
        <v>5.1951549667504329E-2</v>
      </c>
      <c r="W167">
        <v>1.4460120378326537E-2</v>
      </c>
      <c r="X167">
        <v>0.98553987962167344</v>
      </c>
    </row>
    <row r="168" spans="2:24" x14ac:dyDescent="0.25">
      <c r="B168">
        <v>0.72078264576660345</v>
      </c>
      <c r="C168">
        <v>7.1981672770469232E-5</v>
      </c>
      <c r="D168">
        <v>1.8027764121932969E-2</v>
      </c>
      <c r="E168">
        <v>1.1527882633035607E-3</v>
      </c>
      <c r="F168">
        <v>2.5870923354978873E-2</v>
      </c>
      <c r="G168">
        <v>0.22045252544647922</v>
      </c>
      <c r="H168">
        <v>7.9304196188346721E-3</v>
      </c>
      <c r="I168">
        <v>5.7109517550968953E-3</v>
      </c>
      <c r="K168">
        <v>0.58230469083836167</v>
      </c>
      <c r="L168">
        <v>0.41769530916163827</v>
      </c>
      <c r="N168">
        <v>0.72965594111741627</v>
      </c>
      <c r="O168">
        <v>1.0132756879224863E-4</v>
      </c>
      <c r="P168">
        <v>3.4223569185880667E-2</v>
      </c>
      <c r="Q168">
        <v>1.7222254295176339E-3</v>
      </c>
      <c r="R168">
        <v>2.4178267156588631E-2</v>
      </c>
      <c r="S168">
        <v>0.18957817712179656</v>
      </c>
      <c r="T168">
        <v>6.8371801247249621E-3</v>
      </c>
      <c r="U168">
        <v>1.3703312295283021E-2</v>
      </c>
      <c r="W168">
        <v>0.53572792384649659</v>
      </c>
      <c r="X168">
        <v>0.46427207615350341</v>
      </c>
    </row>
    <row r="169" spans="2:24" x14ac:dyDescent="0.25">
      <c r="B169">
        <v>0.39258036119980055</v>
      </c>
      <c r="C169">
        <v>7.7940077883629933E-3</v>
      </c>
      <c r="D169">
        <v>0.11123260127395448</v>
      </c>
      <c r="E169">
        <v>9.719525121749163E-4</v>
      </c>
      <c r="F169">
        <v>0.3223261805327377</v>
      </c>
      <c r="G169">
        <v>0.15828069193233038</v>
      </c>
      <c r="H169">
        <v>2.4348084150266954E-3</v>
      </c>
      <c r="I169">
        <v>4.3793963456122851E-3</v>
      </c>
      <c r="K169">
        <v>0.11714141371929759</v>
      </c>
      <c r="L169">
        <v>0.88285858628070246</v>
      </c>
      <c r="N169">
        <v>0.28977420359097389</v>
      </c>
      <c r="O169">
        <v>1.4724678354198282E-3</v>
      </c>
      <c r="P169">
        <v>0.15234204856497591</v>
      </c>
      <c r="Q169">
        <v>1.9987567225087789E-3</v>
      </c>
      <c r="R169">
        <v>0.26313768714923264</v>
      </c>
      <c r="S169">
        <v>0.20378966582830632</v>
      </c>
      <c r="T169">
        <v>5.6463307179878816E-3</v>
      </c>
      <c r="U169">
        <v>8.1838839590594598E-2</v>
      </c>
      <c r="W169">
        <v>7.8175496570516839E-2</v>
      </c>
      <c r="X169">
        <v>0.92182450342948319</v>
      </c>
    </row>
    <row r="170" spans="2:24" x14ac:dyDescent="0.25">
      <c r="B170">
        <v>0.13776165102963869</v>
      </c>
      <c r="C170">
        <v>1.2671648808959188E-3</v>
      </c>
      <c r="D170">
        <v>0.48535252555496167</v>
      </c>
      <c r="E170">
        <v>4.3020556076528767E-3</v>
      </c>
      <c r="F170">
        <v>0.13403324321924637</v>
      </c>
      <c r="G170">
        <v>0.21468082751883144</v>
      </c>
      <c r="H170">
        <v>8.6734651939720797E-3</v>
      </c>
      <c r="I170">
        <v>1.3929066994800938E-2</v>
      </c>
      <c r="K170">
        <v>0.14845807126983168</v>
      </c>
      <c r="L170">
        <v>0.85154192873016832</v>
      </c>
      <c r="N170">
        <v>5.5151175877219155E-2</v>
      </c>
      <c r="O170">
        <v>6.3762560594206449E-4</v>
      </c>
      <c r="P170">
        <v>0.19364209847638805</v>
      </c>
      <c r="Q170">
        <v>2.9035507242435197E-3</v>
      </c>
      <c r="R170">
        <v>0.1545277032987859</v>
      </c>
      <c r="S170">
        <v>0.50312066878780548</v>
      </c>
      <c r="T170">
        <v>3.6954605384469763E-2</v>
      </c>
      <c r="U170">
        <v>5.3062571845145977E-2</v>
      </c>
      <c r="W170">
        <v>1.0341874653221254E-2</v>
      </c>
      <c r="X170">
        <v>0.98965812534677877</v>
      </c>
    </row>
    <row r="171" spans="2:24" x14ac:dyDescent="0.25">
      <c r="B171">
        <v>9.5750555804922602E-2</v>
      </c>
      <c r="C171">
        <v>0</v>
      </c>
      <c r="D171">
        <v>0.19977341599403964</v>
      </c>
      <c r="E171">
        <v>2.3856865940723431E-3</v>
      </c>
      <c r="F171">
        <v>0.14925110657350737</v>
      </c>
      <c r="G171">
        <v>0.46061639682168004</v>
      </c>
      <c r="H171">
        <v>7.6560531145072164E-2</v>
      </c>
      <c r="I171">
        <v>1.566230706670586E-2</v>
      </c>
      <c r="K171">
        <v>0.29692356960558575</v>
      </c>
      <c r="L171">
        <v>0.70307643039441425</v>
      </c>
      <c r="N171">
        <v>0.10676324249246127</v>
      </c>
      <c r="O171">
        <v>2.1360741857512944E-4</v>
      </c>
      <c r="P171">
        <v>0.11374666033640254</v>
      </c>
      <c r="Q171">
        <v>3.5515241393644843E-3</v>
      </c>
      <c r="R171">
        <v>7.1122612564090776E-2</v>
      </c>
      <c r="S171">
        <v>0.64034023379933869</v>
      </c>
      <c r="T171">
        <v>3.2294134583339171E-2</v>
      </c>
      <c r="U171">
        <v>3.1967984666427973E-2</v>
      </c>
      <c r="W171">
        <v>0.17098616919576323</v>
      </c>
      <c r="X171">
        <v>0.82901383080423674</v>
      </c>
    </row>
    <row r="172" spans="2:24" x14ac:dyDescent="0.25">
      <c r="B172">
        <v>0.59095373817341557</v>
      </c>
      <c r="C172">
        <v>5.8156711447494332E-5</v>
      </c>
      <c r="D172">
        <v>3.8264503450684072E-2</v>
      </c>
      <c r="E172">
        <v>1.073837885508246E-3</v>
      </c>
      <c r="F172">
        <v>3.0008246563438729E-2</v>
      </c>
      <c r="G172">
        <v>0.32401329499714177</v>
      </c>
      <c r="H172">
        <v>1.4390258966514288E-2</v>
      </c>
      <c r="I172">
        <v>1.2379632518497877E-3</v>
      </c>
      <c r="K172">
        <v>0.24771308629871394</v>
      </c>
      <c r="L172">
        <v>0.75228691370128609</v>
      </c>
      <c r="N172">
        <v>0.5895194249396315</v>
      </c>
      <c r="O172">
        <v>1.3342160456419053E-4</v>
      </c>
      <c r="P172">
        <v>4.4804749516807629E-2</v>
      </c>
      <c r="Q172">
        <v>8.870187832186779E-4</v>
      </c>
      <c r="R172">
        <v>1.6829259521495436E-2</v>
      </c>
      <c r="S172">
        <v>0.3297986107498172</v>
      </c>
      <c r="T172">
        <v>1.207111779567731E-2</v>
      </c>
      <c r="U172">
        <v>5.9563970887880355E-3</v>
      </c>
      <c r="W172">
        <v>0.2670403136375093</v>
      </c>
      <c r="X172">
        <v>0.73295968636249065</v>
      </c>
    </row>
    <row r="173" spans="2:24" x14ac:dyDescent="0.25">
      <c r="B173">
        <v>0.10298909900400995</v>
      </c>
      <c r="C173">
        <v>1.3853426145126367E-3</v>
      </c>
      <c r="D173">
        <v>0.7421095634514524</v>
      </c>
      <c r="E173">
        <v>2.8870218892140359E-4</v>
      </c>
      <c r="F173">
        <v>0.13413575661676708</v>
      </c>
      <c r="G173">
        <v>1.3639815232592809E-2</v>
      </c>
      <c r="H173">
        <v>1.0082265707011884E-3</v>
      </c>
      <c r="I173">
        <v>4.4434943210425477E-3</v>
      </c>
      <c r="K173">
        <v>0.16539834379167376</v>
      </c>
      <c r="L173">
        <v>0.83460165620832638</v>
      </c>
      <c r="N173">
        <v>0.14512750620665907</v>
      </c>
      <c r="O173">
        <v>3.0463117939132254E-3</v>
      </c>
      <c r="P173">
        <v>0.64486790225926549</v>
      </c>
      <c r="Q173">
        <v>4.2817210508533962E-4</v>
      </c>
      <c r="R173">
        <v>0.17888493731822144</v>
      </c>
      <c r="S173">
        <v>1.443145979967924E-2</v>
      </c>
      <c r="T173">
        <v>2.3232164727904022E-3</v>
      </c>
      <c r="U173">
        <v>1.0890494044385768E-2</v>
      </c>
      <c r="W173">
        <v>4.5933210738890243E-2</v>
      </c>
      <c r="X173">
        <v>0.95406678926110977</v>
      </c>
    </row>
    <row r="174" spans="2:24" x14ac:dyDescent="0.25">
      <c r="B174">
        <v>0.26157298736931905</v>
      </c>
      <c r="C174">
        <v>0</v>
      </c>
      <c r="D174">
        <v>0.19791595882922813</v>
      </c>
      <c r="E174">
        <v>7.8046060648708088E-3</v>
      </c>
      <c r="F174">
        <v>0.3348391789023093</v>
      </c>
      <c r="G174">
        <v>0.1517562770519309</v>
      </c>
      <c r="H174">
        <v>4.2073082224522926E-2</v>
      </c>
      <c r="I174">
        <v>4.0379095578190671E-3</v>
      </c>
      <c r="K174">
        <v>2.3114519843044658E-2</v>
      </c>
      <c r="L174">
        <v>0.97688548015695542</v>
      </c>
      <c r="N174">
        <v>0.14927920404738274</v>
      </c>
      <c r="O174">
        <v>0</v>
      </c>
      <c r="P174">
        <v>0.3127578892987769</v>
      </c>
      <c r="Q174">
        <v>0</v>
      </c>
      <c r="R174">
        <v>0</v>
      </c>
      <c r="S174">
        <v>0.20865516406294835</v>
      </c>
      <c r="T174">
        <v>0.30169381009181945</v>
      </c>
      <c r="U174">
        <v>2.7613932499072628E-2</v>
      </c>
      <c r="W174">
        <v>6.1497063539957568E-3</v>
      </c>
      <c r="X174">
        <v>0.9938502936460043</v>
      </c>
    </row>
    <row r="175" spans="2:24" x14ac:dyDescent="0.25">
      <c r="B175">
        <v>0.39739342010955575</v>
      </c>
      <c r="C175">
        <v>3.1506160917705873E-4</v>
      </c>
      <c r="D175">
        <v>7.3019903864587482E-2</v>
      </c>
      <c r="E175">
        <v>1.5134248600314124E-3</v>
      </c>
      <c r="F175">
        <v>9.8399298227548226E-2</v>
      </c>
      <c r="G175">
        <v>0.36946158347157543</v>
      </c>
      <c r="H175">
        <v>5.1446534354585044E-2</v>
      </c>
      <c r="I175">
        <v>8.4507735029397384E-3</v>
      </c>
      <c r="K175">
        <v>0.38850723614860061</v>
      </c>
      <c r="L175">
        <v>0.61149276385139939</v>
      </c>
      <c r="N175">
        <v>0.35600318914463686</v>
      </c>
      <c r="O175">
        <v>1.4875676408904366E-4</v>
      </c>
      <c r="P175">
        <v>8.2477600597159292E-2</v>
      </c>
      <c r="Q175">
        <v>1.9619580134762997E-3</v>
      </c>
      <c r="R175">
        <v>9.1694973508802194E-2</v>
      </c>
      <c r="S175">
        <v>0.35760941111173072</v>
      </c>
      <c r="T175">
        <v>8.6151358329231598E-2</v>
      </c>
      <c r="U175">
        <v>2.3952752530873866E-2</v>
      </c>
      <c r="W175">
        <v>0.31241246524409716</v>
      </c>
      <c r="X175">
        <v>0.68758753475590284</v>
      </c>
    </row>
    <row r="177" spans="1:24" x14ac:dyDescent="0.25">
      <c r="A177" t="s">
        <v>238</v>
      </c>
      <c r="J177" t="s">
        <v>239</v>
      </c>
      <c r="M177" t="s">
        <v>240</v>
      </c>
      <c r="V177" t="s">
        <v>241</v>
      </c>
    </row>
    <row r="178" spans="1:24" x14ac:dyDescent="0.25">
      <c r="B178" t="s">
        <v>228</v>
      </c>
      <c r="C178" t="s">
        <v>229</v>
      </c>
      <c r="D178" t="s">
        <v>230</v>
      </c>
      <c r="E178" t="s">
        <v>231</v>
      </c>
      <c r="F178" t="s">
        <v>232</v>
      </c>
      <c r="G178" t="s">
        <v>233</v>
      </c>
      <c r="H178" t="s">
        <v>234</v>
      </c>
      <c r="I178" t="s">
        <v>235</v>
      </c>
      <c r="K178" t="s">
        <v>236</v>
      </c>
      <c r="L178" t="s">
        <v>237</v>
      </c>
      <c r="N178" t="s">
        <v>228</v>
      </c>
      <c r="O178" t="s">
        <v>229</v>
      </c>
      <c r="P178" t="s">
        <v>230</v>
      </c>
      <c r="Q178" t="s">
        <v>231</v>
      </c>
      <c r="R178" t="s">
        <v>232</v>
      </c>
      <c r="S178" t="s">
        <v>233</v>
      </c>
      <c r="T178" t="s">
        <v>234</v>
      </c>
      <c r="U178" t="s">
        <v>235</v>
      </c>
      <c r="W178" t="s">
        <v>236</v>
      </c>
      <c r="X178" t="s">
        <v>237</v>
      </c>
    </row>
    <row r="179" spans="1:24" x14ac:dyDescent="0.25">
      <c r="B179">
        <v>0.52498491554164839</v>
      </c>
      <c r="C179">
        <v>0</v>
      </c>
      <c r="D179">
        <v>0.26455949272900947</v>
      </c>
      <c r="E179">
        <v>2.2233849130202176E-4</v>
      </c>
      <c r="F179">
        <v>0.18414609792739084</v>
      </c>
      <c r="G179">
        <v>2.3960277107635014E-2</v>
      </c>
      <c r="H179">
        <v>2.0424436324817542E-3</v>
      </c>
      <c r="I179">
        <v>8.4434570532648874E-5</v>
      </c>
      <c r="K179">
        <v>0.20507174140071388</v>
      </c>
      <c r="L179">
        <v>0.79492825859928606</v>
      </c>
      <c r="N179">
        <v>0.84228509797333206</v>
      </c>
      <c r="O179">
        <v>0</v>
      </c>
      <c r="P179">
        <v>0</v>
      </c>
      <c r="Q179">
        <v>3.5887291566320455E-5</v>
      </c>
      <c r="R179">
        <v>0</v>
      </c>
      <c r="S179">
        <v>0.15649312468710316</v>
      </c>
      <c r="T179">
        <v>0</v>
      </c>
      <c r="U179">
        <v>1.1858900479985086E-3</v>
      </c>
      <c r="W179">
        <v>0.24503925749880057</v>
      </c>
      <c r="X179">
        <v>0.75496074250119938</v>
      </c>
    </row>
    <row r="180" spans="1:24" x14ac:dyDescent="0.25">
      <c r="B180">
        <v>0.83113040480753442</v>
      </c>
      <c r="C180">
        <v>3.8145532108076373E-5</v>
      </c>
      <c r="D180">
        <v>4.5602574237408364E-2</v>
      </c>
      <c r="E180">
        <v>1.0532845828445906E-3</v>
      </c>
      <c r="F180">
        <v>0.11668766916183643</v>
      </c>
      <c r="G180">
        <v>2.0449215738859404E-3</v>
      </c>
      <c r="H180">
        <v>8.5872672721170077E-4</v>
      </c>
      <c r="I180">
        <v>2.5842733771705073E-3</v>
      </c>
      <c r="K180">
        <v>0.73661197979763149</v>
      </c>
      <c r="L180">
        <v>0.26338802020236857</v>
      </c>
      <c r="N180">
        <v>0.78738630677073129</v>
      </c>
      <c r="O180">
        <v>2.3260759841569497E-5</v>
      </c>
      <c r="P180">
        <v>2.3672548267110665E-2</v>
      </c>
      <c r="Q180">
        <v>2.8222090905756893E-4</v>
      </c>
      <c r="R180">
        <v>0.1802226143446905</v>
      </c>
      <c r="S180">
        <v>1.1619615174923003E-3</v>
      </c>
      <c r="T180">
        <v>3.2875201353361684E-3</v>
      </c>
      <c r="U180">
        <v>3.9635672957399571E-3</v>
      </c>
      <c r="W180">
        <v>0.67319577648765871</v>
      </c>
      <c r="X180">
        <v>0.32680422351234129</v>
      </c>
    </row>
    <row r="181" spans="1:24" x14ac:dyDescent="0.25">
      <c r="B181">
        <v>0.37839791862268213</v>
      </c>
      <c r="C181">
        <v>0</v>
      </c>
      <c r="D181">
        <v>0.28171044046461169</v>
      </c>
      <c r="E181">
        <v>2.2773817320004839E-3</v>
      </c>
      <c r="F181">
        <v>0.30501288672491944</v>
      </c>
      <c r="G181">
        <v>1.645879224367388E-2</v>
      </c>
      <c r="H181">
        <v>1.6142580212112515E-2</v>
      </c>
      <c r="I181">
        <v>0</v>
      </c>
      <c r="K181">
        <v>0</v>
      </c>
      <c r="L181">
        <v>1</v>
      </c>
      <c r="N181">
        <v>0.56678642012226721</v>
      </c>
      <c r="O181">
        <v>0</v>
      </c>
      <c r="P181">
        <v>0.11312962953145057</v>
      </c>
      <c r="Q181">
        <v>2.5038742738535558E-3</v>
      </c>
      <c r="R181">
        <v>0.12672337824791913</v>
      </c>
      <c r="S181">
        <v>0</v>
      </c>
      <c r="T181">
        <v>0</v>
      </c>
      <c r="U181">
        <v>0.19085669782450967</v>
      </c>
      <c r="W181">
        <v>0.11737181705890917</v>
      </c>
      <c r="X181">
        <v>0.88262818294109091</v>
      </c>
    </row>
    <row r="182" spans="1:24" x14ac:dyDescent="0.25">
      <c r="B182">
        <v>0.60605076703290373</v>
      </c>
      <c r="C182">
        <v>0</v>
      </c>
      <c r="D182">
        <v>0.12854147136711996</v>
      </c>
      <c r="E182">
        <v>0</v>
      </c>
      <c r="F182">
        <v>8.2712319474129894E-2</v>
      </c>
      <c r="G182">
        <v>0.18269544212584646</v>
      </c>
      <c r="H182">
        <v>0</v>
      </c>
      <c r="I182">
        <v>0</v>
      </c>
      <c r="K182" t="e">
        <v>#DIV/0!</v>
      </c>
      <c r="L182" t="e">
        <v>#DIV/0!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W182" t="e">
        <v>#DIV/0!</v>
      </c>
      <c r="X182" t="e">
        <v>#DIV/0!</v>
      </c>
    </row>
    <row r="183" spans="1:24" x14ac:dyDescent="0.25">
      <c r="B183">
        <v>0.81532552168821815</v>
      </c>
      <c r="C183">
        <v>0</v>
      </c>
      <c r="D183">
        <v>1.205404704441965E-2</v>
      </c>
      <c r="E183">
        <v>3.1015182711532783E-4</v>
      </c>
      <c r="F183">
        <v>3.5000722272799899E-2</v>
      </c>
      <c r="G183">
        <v>0.13289098918995895</v>
      </c>
      <c r="H183">
        <v>2.6707830372429946E-3</v>
      </c>
      <c r="I183">
        <v>1.7477849402450702E-3</v>
      </c>
      <c r="K183">
        <v>0.66973345834826048</v>
      </c>
      <c r="L183">
        <v>0.33026654165173952</v>
      </c>
      <c r="N183">
        <v>0.83436784907169947</v>
      </c>
      <c r="O183">
        <v>0</v>
      </c>
      <c r="P183">
        <v>1.7032464214791515E-2</v>
      </c>
      <c r="Q183">
        <v>2.1990837924717216E-4</v>
      </c>
      <c r="R183">
        <v>2.8975750795785668E-2</v>
      </c>
      <c r="S183">
        <v>0.11685220794239513</v>
      </c>
      <c r="T183">
        <v>1.4639928837626443E-3</v>
      </c>
      <c r="U183">
        <v>1.0878267123184363E-3</v>
      </c>
      <c r="W183">
        <v>0.7423811591906323</v>
      </c>
      <c r="X183">
        <v>0.2576188408093677</v>
      </c>
    </row>
    <row r="184" spans="1:24" x14ac:dyDescent="0.25">
      <c r="B184">
        <v>0.78173155068528977</v>
      </c>
      <c r="C184">
        <v>3.287781914631487E-5</v>
      </c>
      <c r="D184">
        <v>6.3978932134128572E-2</v>
      </c>
      <c r="E184">
        <v>1.8826390133209005E-5</v>
      </c>
      <c r="F184">
        <v>9.9135727948104657E-2</v>
      </c>
      <c r="G184">
        <v>4.9755576452443981E-2</v>
      </c>
      <c r="H184">
        <v>1.1865080168120396E-3</v>
      </c>
      <c r="I184">
        <v>4.1600005539415112E-3</v>
      </c>
      <c r="K184">
        <v>9.5833765644708982E-2</v>
      </c>
      <c r="L184">
        <v>0.90416623435529109</v>
      </c>
      <c r="N184">
        <v>0.84703154425192317</v>
      </c>
      <c r="O184">
        <v>0</v>
      </c>
      <c r="P184">
        <v>4.9810321804407753E-2</v>
      </c>
      <c r="Q184">
        <v>1.4632059102963875E-3</v>
      </c>
      <c r="R184">
        <v>9.8017197917649679E-2</v>
      </c>
      <c r="S184">
        <v>3.6777301157231647E-3</v>
      </c>
      <c r="T184">
        <v>0</v>
      </c>
      <c r="U184">
        <v>0</v>
      </c>
      <c r="W184">
        <v>1</v>
      </c>
      <c r="X184">
        <v>0</v>
      </c>
    </row>
    <row r="185" spans="1:24" x14ac:dyDescent="0.25">
      <c r="B185">
        <v>0.40957203774919931</v>
      </c>
      <c r="C185">
        <v>0</v>
      </c>
      <c r="D185">
        <v>9.2254369101687619E-2</v>
      </c>
      <c r="E185">
        <v>0</v>
      </c>
      <c r="F185">
        <v>0.37964845079630777</v>
      </c>
      <c r="G185">
        <v>0.1185251423528053</v>
      </c>
      <c r="H185">
        <v>0</v>
      </c>
      <c r="I185">
        <v>0</v>
      </c>
      <c r="K185">
        <v>0</v>
      </c>
      <c r="L185">
        <v>1</v>
      </c>
      <c r="N185">
        <v>0.2863743347693381</v>
      </c>
      <c r="O185">
        <v>0</v>
      </c>
      <c r="P185">
        <v>0.11150401019229078</v>
      </c>
      <c r="Q185">
        <v>0</v>
      </c>
      <c r="R185">
        <v>0.45886525634810921</v>
      </c>
      <c r="S185">
        <v>0.14325639869026188</v>
      </c>
      <c r="T185">
        <v>0</v>
      </c>
      <c r="U185">
        <v>0</v>
      </c>
      <c r="W185">
        <v>0</v>
      </c>
      <c r="X185">
        <v>1</v>
      </c>
    </row>
    <row r="186" spans="1:24" x14ac:dyDescent="0.25">
      <c r="B186">
        <v>0.41569335788596862</v>
      </c>
      <c r="C186">
        <v>0</v>
      </c>
      <c r="D186">
        <v>6.8638468911306344E-2</v>
      </c>
      <c r="E186">
        <v>1.4129221309286157E-3</v>
      </c>
      <c r="F186">
        <v>0.36535548690357894</v>
      </c>
      <c r="G186">
        <v>0.12133610545839288</v>
      </c>
      <c r="H186">
        <v>2.7563658709824478E-2</v>
      </c>
      <c r="I186">
        <v>0</v>
      </c>
      <c r="K186">
        <v>0.23368688748019026</v>
      </c>
      <c r="L186">
        <v>0.76631311251980982</v>
      </c>
      <c r="N186">
        <v>3.1657163130326134E-2</v>
      </c>
      <c r="O186">
        <v>0</v>
      </c>
      <c r="P186">
        <v>0.12321692298571697</v>
      </c>
      <c r="Q186">
        <v>2.663475994729151E-4</v>
      </c>
      <c r="R186">
        <v>0.64831190091075286</v>
      </c>
      <c r="S186">
        <v>0.15874755325595333</v>
      </c>
      <c r="T186">
        <v>3.7800112117777722E-2</v>
      </c>
      <c r="U186">
        <v>0</v>
      </c>
      <c r="W186">
        <v>0</v>
      </c>
      <c r="X186">
        <v>1</v>
      </c>
    </row>
    <row r="187" spans="1:24" x14ac:dyDescent="0.25">
      <c r="B187">
        <v>0.39900609216982358</v>
      </c>
      <c r="C187">
        <v>0</v>
      </c>
      <c r="D187">
        <v>0.22860387001883736</v>
      </c>
      <c r="E187">
        <v>0</v>
      </c>
      <c r="F187">
        <v>0.2477893685303966</v>
      </c>
      <c r="G187">
        <v>0.1246006692809425</v>
      </c>
      <c r="H187">
        <v>0</v>
      </c>
      <c r="I187">
        <v>0</v>
      </c>
      <c r="K187">
        <v>5.8569487814800918E-2</v>
      </c>
      <c r="L187">
        <v>0.94143051218519902</v>
      </c>
      <c r="N187">
        <v>0.59130065855632075</v>
      </c>
      <c r="O187">
        <v>0</v>
      </c>
      <c r="P187">
        <v>0.33851329301885758</v>
      </c>
      <c r="Q187">
        <v>0</v>
      </c>
      <c r="R187">
        <v>6.4172164254061789E-2</v>
      </c>
      <c r="S187">
        <v>6.0138841707599849E-3</v>
      </c>
      <c r="T187">
        <v>0</v>
      </c>
      <c r="U187">
        <v>0</v>
      </c>
      <c r="W187">
        <v>3.4478120688173762E-2</v>
      </c>
      <c r="X187">
        <v>0.96552187931182631</v>
      </c>
    </row>
    <row r="188" spans="1:24" x14ac:dyDescent="0.25">
      <c r="B188">
        <v>0.59244732384860921</v>
      </c>
      <c r="C188">
        <v>0</v>
      </c>
      <c r="D188">
        <v>2.7741766191340188E-2</v>
      </c>
      <c r="E188">
        <v>0</v>
      </c>
      <c r="F188">
        <v>0.36447353247192582</v>
      </c>
      <c r="G188">
        <v>1.2709752899539427E-2</v>
      </c>
      <c r="H188">
        <v>0</v>
      </c>
      <c r="I188">
        <v>2.62762458858535E-3</v>
      </c>
      <c r="K188">
        <v>0.52912204420157394</v>
      </c>
      <c r="L188">
        <v>0.47087795579842612</v>
      </c>
      <c r="N188">
        <v>0.78283730269175356</v>
      </c>
      <c r="O188">
        <v>0</v>
      </c>
      <c r="P188">
        <v>0</v>
      </c>
      <c r="Q188">
        <v>0</v>
      </c>
      <c r="R188">
        <v>0.21712162896646103</v>
      </c>
      <c r="S188">
        <v>4.1068341785359957E-5</v>
      </c>
      <c r="T188">
        <v>0</v>
      </c>
      <c r="U188">
        <v>0</v>
      </c>
      <c r="W188">
        <v>1</v>
      </c>
      <c r="X188">
        <v>0</v>
      </c>
    </row>
    <row r="189" spans="1:24" x14ac:dyDescent="0.25">
      <c r="B189">
        <v>0.67170791405324537</v>
      </c>
      <c r="C189">
        <v>0</v>
      </c>
      <c r="D189">
        <v>0.12626557398864899</v>
      </c>
      <c r="E189">
        <v>0</v>
      </c>
      <c r="F189">
        <v>0.15565603431386213</v>
      </c>
      <c r="G189">
        <v>3.8828153163175422E-2</v>
      </c>
      <c r="H189">
        <v>7.720627016329823E-4</v>
      </c>
      <c r="I189">
        <v>6.7702617794353189E-3</v>
      </c>
      <c r="K189">
        <v>0.26154402311904179</v>
      </c>
      <c r="L189">
        <v>0.73845597688095832</v>
      </c>
      <c r="N189">
        <v>0.64662503121392612</v>
      </c>
      <c r="O189">
        <v>0</v>
      </c>
      <c r="P189">
        <v>0.31000772856884534</v>
      </c>
      <c r="Q189">
        <v>3.9619978918806209E-4</v>
      </c>
      <c r="R189">
        <v>0</v>
      </c>
      <c r="S189">
        <v>2.8015656273409358E-2</v>
      </c>
      <c r="T189">
        <v>0</v>
      </c>
      <c r="U189">
        <v>1.4955384154630994E-2</v>
      </c>
      <c r="W189">
        <v>0.3252834380865659</v>
      </c>
      <c r="X189">
        <v>0.67471656191343399</v>
      </c>
    </row>
    <row r="190" spans="1:24" x14ac:dyDescent="0.25">
      <c r="B190">
        <v>0.54277670321011007</v>
      </c>
      <c r="C190">
        <v>2.0648959025837399E-4</v>
      </c>
      <c r="D190">
        <v>0.29574196373318673</v>
      </c>
      <c r="E190">
        <v>0</v>
      </c>
      <c r="F190">
        <v>0.13908741450174941</v>
      </c>
      <c r="G190">
        <v>2.0294467709871325E-2</v>
      </c>
      <c r="H190">
        <v>1.8929612548242345E-3</v>
      </c>
      <c r="I190">
        <v>0</v>
      </c>
      <c r="K190">
        <v>0.18029511496943573</v>
      </c>
      <c r="L190">
        <v>0.81970488503056427</v>
      </c>
      <c r="N190">
        <v>0.60164863723656403</v>
      </c>
      <c r="O190">
        <v>4.4298020409996706E-4</v>
      </c>
      <c r="P190">
        <v>0.18006457417749536</v>
      </c>
      <c r="Q190">
        <v>0</v>
      </c>
      <c r="R190">
        <v>0.2178438083818407</v>
      </c>
      <c r="S190">
        <v>0</v>
      </c>
      <c r="T190">
        <v>0</v>
      </c>
      <c r="U190">
        <v>0</v>
      </c>
      <c r="W190">
        <v>3.1327531587148204E-2</v>
      </c>
      <c r="X190">
        <v>0.96867246841285182</v>
      </c>
    </row>
    <row r="191" spans="1:24" x14ac:dyDescent="0.25">
      <c r="B191">
        <v>0.67675899331629774</v>
      </c>
      <c r="C191">
        <v>0</v>
      </c>
      <c r="D191">
        <v>2.3869723393494132E-2</v>
      </c>
      <c r="E191">
        <v>0</v>
      </c>
      <c r="F191">
        <v>0.17563923214324961</v>
      </c>
      <c r="G191">
        <v>0.12232216602985017</v>
      </c>
      <c r="H191">
        <v>6.6179061551284197E-4</v>
      </c>
      <c r="I191">
        <v>7.4809450159556135E-4</v>
      </c>
      <c r="K191">
        <v>0.13534907561876014</v>
      </c>
      <c r="L191">
        <v>0.86465092438123992</v>
      </c>
      <c r="N191">
        <v>0.85639896019401873</v>
      </c>
      <c r="O191">
        <v>0</v>
      </c>
      <c r="P191">
        <v>1.2390388460530567E-2</v>
      </c>
      <c r="Q191">
        <v>0</v>
      </c>
      <c r="R191">
        <v>0.13091617271769326</v>
      </c>
      <c r="S191">
        <v>0</v>
      </c>
      <c r="T191">
        <v>2.5770319975370107E-4</v>
      </c>
      <c r="U191">
        <v>3.6775428003771936E-5</v>
      </c>
      <c r="W191">
        <v>0.18664593406413932</v>
      </c>
      <c r="X191">
        <v>0.81335406593586068</v>
      </c>
    </row>
    <row r="192" spans="1:24" x14ac:dyDescent="0.25">
      <c r="B192">
        <v>0.12269850677001906</v>
      </c>
      <c r="C192">
        <v>0</v>
      </c>
      <c r="D192">
        <v>5.4370694824908583E-2</v>
      </c>
      <c r="E192">
        <v>0</v>
      </c>
      <c r="F192">
        <v>0.4945273506589255</v>
      </c>
      <c r="G192">
        <v>0.17152298991003423</v>
      </c>
      <c r="H192">
        <v>0.15688045783611265</v>
      </c>
      <c r="I192">
        <v>0</v>
      </c>
      <c r="K192">
        <v>0</v>
      </c>
      <c r="L192">
        <v>1</v>
      </c>
      <c r="N192">
        <v>0.56749623812428629</v>
      </c>
      <c r="O192">
        <v>0</v>
      </c>
      <c r="P192">
        <v>0.16552116947667267</v>
      </c>
      <c r="Q192">
        <v>0</v>
      </c>
      <c r="R192">
        <v>0.26698259239904104</v>
      </c>
      <c r="S192">
        <v>0</v>
      </c>
      <c r="T192">
        <v>0</v>
      </c>
      <c r="U192">
        <v>0</v>
      </c>
      <c r="W192">
        <v>0</v>
      </c>
      <c r="X192">
        <v>1</v>
      </c>
    </row>
    <row r="193" spans="1:24" x14ac:dyDescent="0.25">
      <c r="B193">
        <v>0.24469135001246303</v>
      </c>
      <c r="C193">
        <v>2.1466263768010594E-5</v>
      </c>
      <c r="D193">
        <v>0.61579678240696167</v>
      </c>
      <c r="E193">
        <v>3.6756266938043177E-4</v>
      </c>
      <c r="F193">
        <v>0.13050721369770971</v>
      </c>
      <c r="G193">
        <v>4.7499424527989191E-3</v>
      </c>
      <c r="H193">
        <v>9.4332273711968446E-5</v>
      </c>
      <c r="I193">
        <v>3.7713502232061976E-3</v>
      </c>
      <c r="K193">
        <v>0.33733658969195596</v>
      </c>
      <c r="L193">
        <v>0.6626634103080441</v>
      </c>
      <c r="N193">
        <v>0.41012015703432975</v>
      </c>
      <c r="O193">
        <v>1.0649923683777305E-5</v>
      </c>
      <c r="P193">
        <v>0.4222841606948507</v>
      </c>
      <c r="Q193">
        <v>7.1623763170148755E-4</v>
      </c>
      <c r="R193">
        <v>0.15576703406892248</v>
      </c>
      <c r="S193">
        <v>6.9328221568822884E-3</v>
      </c>
      <c r="T193">
        <v>5.8146802272383055E-4</v>
      </c>
      <c r="U193">
        <v>3.5874704669057842E-3</v>
      </c>
      <c r="W193">
        <v>0.35826879665315564</v>
      </c>
      <c r="X193">
        <v>0.6417312033468443</v>
      </c>
    </row>
    <row r="194" spans="1:24" x14ac:dyDescent="0.25">
      <c r="B194">
        <v>0.56174513104413359</v>
      </c>
      <c r="C194">
        <v>4.1954950535509836E-3</v>
      </c>
      <c r="D194">
        <v>0.17298582982119168</v>
      </c>
      <c r="E194">
        <v>1.4689710560856437E-4</v>
      </c>
      <c r="F194">
        <v>0.23626162300144871</v>
      </c>
      <c r="G194">
        <v>2.1349742822750057E-2</v>
      </c>
      <c r="H194">
        <v>3.2493653976014007E-3</v>
      </c>
      <c r="I194">
        <v>6.5915753715000997E-5</v>
      </c>
      <c r="K194">
        <v>0.22514077296796828</v>
      </c>
      <c r="L194">
        <v>0.77485922703203169</v>
      </c>
      <c r="N194">
        <v>0.55830730314261212</v>
      </c>
      <c r="O194">
        <v>0</v>
      </c>
      <c r="P194">
        <v>0.1765404088469176</v>
      </c>
      <c r="Q194">
        <v>1.5729324637700831E-4</v>
      </c>
      <c r="R194">
        <v>0.24654541837106692</v>
      </c>
      <c r="S194">
        <v>1.4582381153363156E-2</v>
      </c>
      <c r="T194">
        <v>3.8257324973558359E-3</v>
      </c>
      <c r="U194">
        <v>4.1462742307190051E-5</v>
      </c>
      <c r="W194">
        <v>0.41971217487468437</v>
      </c>
      <c r="X194">
        <v>0.58028782512531574</v>
      </c>
    </row>
    <row r="195" spans="1:24" x14ac:dyDescent="0.25">
      <c r="B195">
        <v>0.25700638545732563</v>
      </c>
      <c r="C195">
        <v>0</v>
      </c>
      <c r="D195">
        <v>0.3517171804637203</v>
      </c>
      <c r="E195">
        <v>0</v>
      </c>
      <c r="F195">
        <v>8.8987035675381465E-2</v>
      </c>
      <c r="G195">
        <v>0.30228939840357261</v>
      </c>
      <c r="H195">
        <v>0</v>
      </c>
      <c r="I195">
        <v>0</v>
      </c>
      <c r="K195">
        <v>9.6633319550085348E-3</v>
      </c>
      <c r="L195">
        <v>0.99033666804499154</v>
      </c>
      <c r="N195">
        <v>0.23689129412513368</v>
      </c>
      <c r="O195">
        <v>0</v>
      </c>
      <c r="P195">
        <v>0.310560723793945</v>
      </c>
      <c r="Q195">
        <v>0</v>
      </c>
      <c r="R195">
        <v>4.0966045585542475E-2</v>
      </c>
      <c r="S195">
        <v>0.24906400173118334</v>
      </c>
      <c r="T195">
        <v>0</v>
      </c>
      <c r="U195">
        <v>0.16251793476419543</v>
      </c>
      <c r="W195">
        <v>0.27567536490880012</v>
      </c>
      <c r="X195">
        <v>0.72432463509119993</v>
      </c>
    </row>
    <row r="196" spans="1:24" x14ac:dyDescent="0.25">
      <c r="B196">
        <v>0.17547371454035818</v>
      </c>
      <c r="C196">
        <v>0</v>
      </c>
      <c r="D196">
        <v>1.1686689304358437E-3</v>
      </c>
      <c r="E196">
        <v>0</v>
      </c>
      <c r="F196">
        <v>0.78435139378608765</v>
      </c>
      <c r="G196">
        <v>3.9006222743118407E-2</v>
      </c>
      <c r="H196">
        <v>0</v>
      </c>
      <c r="I196">
        <v>0</v>
      </c>
      <c r="K196">
        <v>0</v>
      </c>
      <c r="L196">
        <v>1</v>
      </c>
      <c r="N196">
        <v>8.2078565566258019E-2</v>
      </c>
      <c r="O196">
        <v>0</v>
      </c>
      <c r="P196">
        <v>4.3467091222409255E-4</v>
      </c>
      <c r="Q196">
        <v>0</v>
      </c>
      <c r="R196">
        <v>0.90297891619144088</v>
      </c>
      <c r="S196">
        <v>1.4507847330076923E-2</v>
      </c>
      <c r="T196">
        <v>0</v>
      </c>
      <c r="U196">
        <v>0</v>
      </c>
      <c r="W196">
        <v>0</v>
      </c>
      <c r="X196">
        <v>1</v>
      </c>
    </row>
    <row r="197" spans="1:24" x14ac:dyDescent="0.25">
      <c r="B197">
        <v>0.91993896327207625</v>
      </c>
      <c r="C197">
        <v>0</v>
      </c>
      <c r="D197">
        <v>1.6733263113677403E-2</v>
      </c>
      <c r="E197">
        <v>2.2808089882652517E-4</v>
      </c>
      <c r="F197">
        <v>1.3153931611329687E-2</v>
      </c>
      <c r="G197">
        <v>4.715792438061376E-2</v>
      </c>
      <c r="H197">
        <v>1.5952727140955635E-3</v>
      </c>
      <c r="I197">
        <v>1.1925640093807131E-3</v>
      </c>
      <c r="K197">
        <v>0.61364529528641198</v>
      </c>
      <c r="L197">
        <v>0.38635470471358802</v>
      </c>
      <c r="N197">
        <v>0.86104773711174898</v>
      </c>
      <c r="O197">
        <v>0</v>
      </c>
      <c r="P197">
        <v>1.780120264463381E-2</v>
      </c>
      <c r="Q197">
        <v>1.9807347383441832E-4</v>
      </c>
      <c r="R197">
        <v>9.3356849980321566E-2</v>
      </c>
      <c r="S197">
        <v>2.4097549749904187E-2</v>
      </c>
      <c r="T197">
        <v>8.7099417892214711E-4</v>
      </c>
      <c r="U197">
        <v>2.6275928606349563E-3</v>
      </c>
      <c r="W197">
        <v>0.73620255470800189</v>
      </c>
      <c r="X197">
        <v>0.26379744529199806</v>
      </c>
    </row>
    <row r="198" spans="1:24" x14ac:dyDescent="0.25">
      <c r="B198">
        <v>0.79355970126052089</v>
      </c>
      <c r="C198">
        <v>5.6090270459015802E-2</v>
      </c>
      <c r="D198">
        <v>1.6739835062713499E-2</v>
      </c>
      <c r="E198">
        <v>0</v>
      </c>
      <c r="F198">
        <v>0.12877705180762319</v>
      </c>
      <c r="G198">
        <v>4.8331414101266757E-3</v>
      </c>
      <c r="H198">
        <v>0</v>
      </c>
      <c r="I198">
        <v>0</v>
      </c>
      <c r="K198">
        <v>0.13443770311183936</v>
      </c>
      <c r="L198">
        <v>0.86556229688816066</v>
      </c>
      <c r="N198">
        <v>0.73860787161141706</v>
      </c>
      <c r="O198">
        <v>1.3492744065392481E-2</v>
      </c>
      <c r="P198">
        <v>7.7661345129975152E-3</v>
      </c>
      <c r="Q198">
        <v>0</v>
      </c>
      <c r="R198">
        <v>0.14477170521027949</v>
      </c>
      <c r="S198">
        <v>4.1375890119338024E-2</v>
      </c>
      <c r="T198">
        <v>5.3030719554621873E-2</v>
      </c>
      <c r="U198">
        <v>9.5493492595357505E-4</v>
      </c>
      <c r="W198">
        <v>0.12457567738721986</v>
      </c>
      <c r="X198">
        <v>0.87542432261278014</v>
      </c>
    </row>
    <row r="199" spans="1:24" x14ac:dyDescent="0.25">
      <c r="B199">
        <v>0.53533835823002796</v>
      </c>
      <c r="C199">
        <v>0</v>
      </c>
      <c r="D199">
        <v>0.28709219662964869</v>
      </c>
      <c r="E199">
        <v>3.6631733286954802E-4</v>
      </c>
      <c r="F199">
        <v>0.12980443995519955</v>
      </c>
      <c r="G199">
        <v>4.5525350183952817E-2</v>
      </c>
      <c r="H199">
        <v>1.70908817043813E-4</v>
      </c>
      <c r="I199">
        <v>1.7024288512576149E-3</v>
      </c>
      <c r="K199">
        <v>0.16032295689351675</v>
      </c>
      <c r="L199">
        <v>0.83967704310648328</v>
      </c>
      <c r="N199">
        <v>0.41361659302423953</v>
      </c>
      <c r="O199">
        <v>0</v>
      </c>
      <c r="P199">
        <v>0.37797941676771146</v>
      </c>
      <c r="Q199">
        <v>0</v>
      </c>
      <c r="R199">
        <v>0.2075681748732896</v>
      </c>
      <c r="S199">
        <v>0</v>
      </c>
      <c r="T199">
        <v>8.3581533475936059E-4</v>
      </c>
      <c r="U199">
        <v>0</v>
      </c>
      <c r="W199">
        <v>0.10482124767075669</v>
      </c>
      <c r="X199">
        <v>0.89517875232924327</v>
      </c>
    </row>
    <row r="200" spans="1:24" x14ac:dyDescent="0.25">
      <c r="B200">
        <v>0.61624871600000908</v>
      </c>
      <c r="C200">
        <v>0</v>
      </c>
      <c r="D200">
        <v>0.31152654206128616</v>
      </c>
      <c r="E200">
        <v>0</v>
      </c>
      <c r="F200">
        <v>3.5260441694489053E-2</v>
      </c>
      <c r="G200">
        <v>3.57443600774901E-2</v>
      </c>
      <c r="H200">
        <v>1.2199401667255148E-3</v>
      </c>
      <c r="I200">
        <v>0</v>
      </c>
      <c r="K200">
        <v>0.95980851003626155</v>
      </c>
      <c r="L200">
        <v>4.0191489963738454E-2</v>
      </c>
      <c r="N200">
        <v>0.34655622606953546</v>
      </c>
      <c r="O200">
        <v>0</v>
      </c>
      <c r="P200">
        <v>0.37205313203489493</v>
      </c>
      <c r="Q200">
        <v>0</v>
      </c>
      <c r="R200">
        <v>0.13936140779375644</v>
      </c>
      <c r="S200">
        <v>0.14112645202498725</v>
      </c>
      <c r="T200">
        <v>9.027820768258562E-4</v>
      </c>
      <c r="U200">
        <v>0</v>
      </c>
      <c r="W200">
        <v>0.41322711577918486</v>
      </c>
      <c r="X200">
        <v>0.58677288422081519</v>
      </c>
    </row>
    <row r="201" spans="1:24" x14ac:dyDescent="0.25">
      <c r="B201">
        <v>0.73702958872333968</v>
      </c>
      <c r="C201">
        <v>0</v>
      </c>
      <c r="D201">
        <v>5.7672692922695655E-3</v>
      </c>
      <c r="E201">
        <v>4.3430399656932509E-4</v>
      </c>
      <c r="F201">
        <v>4.2667681008131855E-2</v>
      </c>
      <c r="G201">
        <v>0.19702239645990482</v>
      </c>
      <c r="H201">
        <v>1.6784588673259736E-2</v>
      </c>
      <c r="I201">
        <v>2.9417184652497178E-4</v>
      </c>
      <c r="K201">
        <v>0.52397774234537831</v>
      </c>
      <c r="L201">
        <v>0.47602225765462169</v>
      </c>
      <c r="N201">
        <v>0.94021409003119449</v>
      </c>
      <c r="O201">
        <v>0</v>
      </c>
      <c r="P201">
        <v>2.249091946140341E-2</v>
      </c>
      <c r="Q201">
        <v>3.7275190843597726E-4</v>
      </c>
      <c r="R201">
        <v>3.5381715584805302E-2</v>
      </c>
      <c r="S201">
        <v>0</v>
      </c>
      <c r="T201">
        <v>1.2463669538879522E-3</v>
      </c>
      <c r="U201">
        <v>2.9415606027291124E-4</v>
      </c>
      <c r="W201">
        <v>0.20523987882110858</v>
      </c>
      <c r="X201">
        <v>0.79476012117889139</v>
      </c>
    </row>
    <row r="202" spans="1:24" x14ac:dyDescent="0.25">
      <c r="B202">
        <v>0.59001442908662316</v>
      </c>
      <c r="C202">
        <v>3.0966765440274208E-4</v>
      </c>
      <c r="D202">
        <v>0.20410186599793476</v>
      </c>
      <c r="E202">
        <v>1.3353980502526534E-4</v>
      </c>
      <c r="F202">
        <v>0.19981153540464472</v>
      </c>
      <c r="G202">
        <v>1.9658078987464574E-3</v>
      </c>
      <c r="H202">
        <v>3.0027353030269617E-4</v>
      </c>
      <c r="I202">
        <v>3.3628806223204425E-3</v>
      </c>
      <c r="K202">
        <v>0.40205961968820814</v>
      </c>
      <c r="L202">
        <v>0.59794038031179186</v>
      </c>
      <c r="N202">
        <v>0.59704351739825645</v>
      </c>
      <c r="O202">
        <v>6.1863245453453526E-4</v>
      </c>
      <c r="P202">
        <v>9.8563907891710531E-2</v>
      </c>
      <c r="Q202">
        <v>4.420973819294044E-5</v>
      </c>
      <c r="R202">
        <v>0.29776788900075357</v>
      </c>
      <c r="S202">
        <v>1.1866542612686338E-3</v>
      </c>
      <c r="T202">
        <v>2.8717854053804761E-4</v>
      </c>
      <c r="U202">
        <v>4.4880107147453564E-3</v>
      </c>
      <c r="W202">
        <v>0.42148652847023094</v>
      </c>
      <c r="X202">
        <v>0.57851347152976906</v>
      </c>
    </row>
    <row r="203" spans="1:24" x14ac:dyDescent="0.25">
      <c r="B203">
        <v>0.91266550060907603</v>
      </c>
      <c r="C203">
        <v>0</v>
      </c>
      <c r="D203">
        <v>1.9399875416691244E-2</v>
      </c>
      <c r="E203">
        <v>0</v>
      </c>
      <c r="F203">
        <v>4.3549548213803043E-3</v>
      </c>
      <c r="G203">
        <v>6.3579669152852375E-2</v>
      </c>
      <c r="H203">
        <v>0</v>
      </c>
      <c r="I203">
        <v>0</v>
      </c>
      <c r="K203">
        <v>0</v>
      </c>
      <c r="L203">
        <v>1</v>
      </c>
      <c r="N203">
        <v>0.30644938756112883</v>
      </c>
      <c r="O203">
        <v>0</v>
      </c>
      <c r="P203">
        <v>0.16715137797432245</v>
      </c>
      <c r="Q203">
        <v>0</v>
      </c>
      <c r="R203">
        <v>0.37790314421057475</v>
      </c>
      <c r="S203">
        <v>0.14849609025397395</v>
      </c>
      <c r="T203">
        <v>0</v>
      </c>
      <c r="U203">
        <v>0</v>
      </c>
      <c r="W203">
        <v>0</v>
      </c>
      <c r="X203">
        <v>1</v>
      </c>
    </row>
    <row r="204" spans="1:24" x14ac:dyDescent="0.25">
      <c r="B204">
        <v>0.78105004911830711</v>
      </c>
      <c r="C204">
        <v>7.5706710532546614E-5</v>
      </c>
      <c r="D204">
        <v>6.3637626234331571E-2</v>
      </c>
      <c r="E204">
        <v>2.6284577401914944E-4</v>
      </c>
      <c r="F204">
        <v>8.5079370155223474E-2</v>
      </c>
      <c r="G204">
        <v>6.6313416219226748E-2</v>
      </c>
      <c r="H204">
        <v>2.5215413870572851E-3</v>
      </c>
      <c r="I204">
        <v>1.059444401302024E-3</v>
      </c>
      <c r="K204">
        <v>0.72377845631477822</v>
      </c>
      <c r="L204">
        <v>0.27622154368522173</v>
      </c>
      <c r="N204">
        <v>0.79998643964016103</v>
      </c>
      <c r="O204">
        <v>3.6482146926653025E-6</v>
      </c>
      <c r="P204">
        <v>7.2718916395871983E-2</v>
      </c>
      <c r="Q204">
        <v>2.5633069749294874E-4</v>
      </c>
      <c r="R204">
        <v>9.6008667754391305E-2</v>
      </c>
      <c r="S204">
        <v>2.560780663696623E-2</v>
      </c>
      <c r="T204">
        <v>3.916535027967287E-3</v>
      </c>
      <c r="U204">
        <v>1.5016556324563878E-3</v>
      </c>
      <c r="W204">
        <v>0.67150668197868835</v>
      </c>
      <c r="X204">
        <v>0.32849331802131154</v>
      </c>
    </row>
    <row r="207" spans="1:24" x14ac:dyDescent="0.25">
      <c r="A207" t="s">
        <v>252</v>
      </c>
      <c r="J207" t="s">
        <v>253</v>
      </c>
      <c r="M207" t="s">
        <v>254</v>
      </c>
      <c r="V207" t="s">
        <v>255</v>
      </c>
    </row>
    <row r="208" spans="1:24" x14ac:dyDescent="0.25">
      <c r="B208" t="s">
        <v>242</v>
      </c>
      <c r="C208" t="s">
        <v>243</v>
      </c>
      <c r="D208" t="s">
        <v>244</v>
      </c>
      <c r="E208" t="s">
        <v>245</v>
      </c>
      <c r="F208" t="s">
        <v>246</v>
      </c>
      <c r="G208" t="s">
        <v>247</v>
      </c>
      <c r="H208" t="s">
        <v>248</v>
      </c>
      <c r="I208" t="s">
        <v>249</v>
      </c>
      <c r="K208" t="s">
        <v>250</v>
      </c>
      <c r="L208" t="s">
        <v>251</v>
      </c>
      <c r="N208" t="s">
        <v>242</v>
      </c>
      <c r="O208" t="s">
        <v>243</v>
      </c>
      <c r="P208" t="s">
        <v>244</v>
      </c>
      <c r="Q208" t="s">
        <v>245</v>
      </c>
      <c r="R208" t="s">
        <v>246</v>
      </c>
      <c r="S208" t="s">
        <v>247</v>
      </c>
      <c r="T208" t="s">
        <v>248</v>
      </c>
      <c r="U208" t="s">
        <v>249</v>
      </c>
      <c r="W208" t="s">
        <v>250</v>
      </c>
      <c r="X208" t="s">
        <v>251</v>
      </c>
    </row>
    <row r="209" spans="2:24" x14ac:dyDescent="0.25">
      <c r="B209">
        <v>0.31856590313426797</v>
      </c>
      <c r="C209">
        <v>0</v>
      </c>
      <c r="D209">
        <v>0.24321022885116839</v>
      </c>
      <c r="E209">
        <v>2.2806527319825273E-3</v>
      </c>
      <c r="F209">
        <v>0.19489734172559184</v>
      </c>
      <c r="G209">
        <v>0.18241268322885834</v>
      </c>
      <c r="H209">
        <v>1.8237716725686606E-2</v>
      </c>
      <c r="I209">
        <v>4.039547360244447E-2</v>
      </c>
      <c r="K209">
        <v>2.837764743558974E-2</v>
      </c>
      <c r="L209">
        <v>0.97162235256441032</v>
      </c>
      <c r="N209">
        <v>0.16197992890905755</v>
      </c>
      <c r="O209">
        <v>0</v>
      </c>
      <c r="P209">
        <v>0.24114378239583781</v>
      </c>
      <c r="Q209">
        <v>1.2468589016424338E-2</v>
      </c>
      <c r="R209">
        <v>0.13335896425033272</v>
      </c>
      <c r="S209">
        <v>0.12868659286996018</v>
      </c>
      <c r="T209">
        <v>0.22607725380028529</v>
      </c>
      <c r="U209">
        <v>9.6284888758102066E-2</v>
      </c>
      <c r="W209">
        <v>2.0485711060375427E-2</v>
      </c>
      <c r="X209">
        <v>0.97951428893962456</v>
      </c>
    </row>
    <row r="210" spans="2:24" x14ac:dyDescent="0.25">
      <c r="B210">
        <v>0.73277785669610129</v>
      </c>
      <c r="C210">
        <v>4.593169599376235E-5</v>
      </c>
      <c r="D210">
        <v>8.4721750022364914E-2</v>
      </c>
      <c r="E210">
        <v>4.9019694330003567E-4</v>
      </c>
      <c r="F210">
        <v>0.13674897564732916</v>
      </c>
      <c r="G210">
        <v>7.4439673210087891E-3</v>
      </c>
      <c r="H210">
        <v>5.0448133521413339E-3</v>
      </c>
      <c r="I210">
        <v>3.2726508321760751E-2</v>
      </c>
      <c r="K210">
        <v>0.19266156809476734</v>
      </c>
      <c r="L210">
        <v>0.80733843190523258</v>
      </c>
      <c r="N210">
        <v>0.5768681133689989</v>
      </c>
      <c r="O210">
        <v>1.6358965182379249E-4</v>
      </c>
      <c r="P210">
        <v>4.467155128630456E-2</v>
      </c>
      <c r="Q210">
        <v>6.8067322080823456E-4</v>
      </c>
      <c r="R210">
        <v>0.21966134451198671</v>
      </c>
      <c r="S210">
        <v>4.4511863963861203E-3</v>
      </c>
      <c r="T210">
        <v>0.11049164474990325</v>
      </c>
      <c r="U210">
        <v>4.3011896813788322E-2</v>
      </c>
      <c r="W210">
        <v>0.11673569749154025</v>
      </c>
      <c r="X210">
        <v>0.88326430250845966</v>
      </c>
    </row>
    <row r="211" spans="2:24" x14ac:dyDescent="0.25">
      <c r="B211">
        <v>0.28782470604311788</v>
      </c>
      <c r="C211">
        <v>0</v>
      </c>
      <c r="D211">
        <v>0.18285815541663364</v>
      </c>
      <c r="E211">
        <v>1.2590620850705505E-3</v>
      </c>
      <c r="F211">
        <v>0.44123322025471506</v>
      </c>
      <c r="G211">
        <v>4.2669271961698868E-2</v>
      </c>
      <c r="H211">
        <v>1.7787658778677527E-2</v>
      </c>
      <c r="I211">
        <v>2.6367925460086254E-2</v>
      </c>
      <c r="K211">
        <v>4.8403806390590359E-2</v>
      </c>
      <c r="L211">
        <v>0.95159619360940972</v>
      </c>
      <c r="N211">
        <v>0.35802956823075394</v>
      </c>
      <c r="O211">
        <v>0</v>
      </c>
      <c r="P211">
        <v>0.14187139118308378</v>
      </c>
      <c r="Q211">
        <v>6.7206160181083549E-4</v>
      </c>
      <c r="R211">
        <v>0.37101602969767844</v>
      </c>
      <c r="S211">
        <v>2.7842932951439137E-2</v>
      </c>
      <c r="T211">
        <v>8.0093237421217336E-2</v>
      </c>
      <c r="U211">
        <v>2.0474778914016542E-2</v>
      </c>
      <c r="W211">
        <v>3.2129109191260552E-2</v>
      </c>
      <c r="X211">
        <v>0.96787089080873945</v>
      </c>
    </row>
    <row r="212" spans="2:24" x14ac:dyDescent="0.25">
      <c r="B212">
        <v>0.70220849280275444</v>
      </c>
      <c r="C212">
        <v>0</v>
      </c>
      <c r="D212">
        <v>0.10313084525489269</v>
      </c>
      <c r="E212">
        <v>1.2302128944243033E-2</v>
      </c>
      <c r="F212">
        <v>6.406644367476029E-2</v>
      </c>
      <c r="G212">
        <v>4.5723191541721421E-2</v>
      </c>
      <c r="H212">
        <v>5.1433598758825382E-2</v>
      </c>
      <c r="I212">
        <v>2.1135299022802628E-2</v>
      </c>
      <c r="K212">
        <v>7.1420240319013589E-2</v>
      </c>
      <c r="L212">
        <v>0.92857975968098638</v>
      </c>
      <c r="N212">
        <v>0.1824079915728026</v>
      </c>
      <c r="O212">
        <v>0</v>
      </c>
      <c r="P212">
        <v>0</v>
      </c>
      <c r="Q212">
        <v>0</v>
      </c>
      <c r="R212">
        <v>0.59405235829597236</v>
      </c>
      <c r="S212">
        <v>0.12273537943565639</v>
      </c>
      <c r="T212">
        <v>6.663192453927963E-2</v>
      </c>
      <c r="U212">
        <v>3.4172346156288801E-2</v>
      </c>
      <c r="W212">
        <v>3.9796416819036333E-2</v>
      </c>
      <c r="X212">
        <v>0.96020358318096377</v>
      </c>
    </row>
    <row r="213" spans="2:24" x14ac:dyDescent="0.25">
      <c r="B213">
        <v>0.49771740035987372</v>
      </c>
      <c r="C213">
        <v>8.5673756106097178E-6</v>
      </c>
      <c r="D213">
        <v>8.6255045763995827E-2</v>
      </c>
      <c r="E213">
        <v>7.5549332479370038E-4</v>
      </c>
      <c r="F213">
        <v>0.17486533995636711</v>
      </c>
      <c r="G213">
        <v>0.17699623385263138</v>
      </c>
      <c r="H213">
        <v>5.0953604826573726E-2</v>
      </c>
      <c r="I213">
        <v>1.2448314540153877E-2</v>
      </c>
      <c r="K213">
        <v>0.16563417528456886</v>
      </c>
      <c r="L213">
        <v>0.83436582471543108</v>
      </c>
      <c r="N213">
        <v>0.54096426376514972</v>
      </c>
      <c r="O213">
        <v>5.1460248130887126E-5</v>
      </c>
      <c r="P213">
        <v>0.10138590250092923</v>
      </c>
      <c r="Q213">
        <v>6.9434576561493145E-4</v>
      </c>
      <c r="R213">
        <v>0.1765791265118927</v>
      </c>
      <c r="S213">
        <v>9.5108123546056328E-2</v>
      </c>
      <c r="T213">
        <v>7.1105173379051145E-2</v>
      </c>
      <c r="U213">
        <v>1.4111604283175216E-2</v>
      </c>
      <c r="W213">
        <v>0.18648353578552887</v>
      </c>
      <c r="X213">
        <v>0.8135164642144711</v>
      </c>
    </row>
    <row r="214" spans="2:24" x14ac:dyDescent="0.25">
      <c r="B214">
        <v>0.19380170267071123</v>
      </c>
      <c r="C214">
        <v>2.0369960845687324E-4</v>
      </c>
      <c r="D214">
        <v>0.26147671193267552</v>
      </c>
      <c r="E214">
        <v>2.4093555482673472E-4</v>
      </c>
      <c r="F214">
        <v>0.31523872483926402</v>
      </c>
      <c r="G214">
        <v>8.5517859068255583E-2</v>
      </c>
      <c r="H214">
        <v>1.8725257808598478E-2</v>
      </c>
      <c r="I214">
        <v>0.12479510851721153</v>
      </c>
      <c r="K214">
        <v>0.14202406242626878</v>
      </c>
      <c r="L214">
        <v>0.85797593757373125</v>
      </c>
      <c r="N214">
        <v>0.15846014134652991</v>
      </c>
      <c r="O214">
        <v>2.1911700710879361E-7</v>
      </c>
      <c r="P214">
        <v>0.47563263161438918</v>
      </c>
      <c r="Q214">
        <v>6.9908364480029874E-4</v>
      </c>
      <c r="R214">
        <v>0.2532296960531108</v>
      </c>
      <c r="S214">
        <v>4.5337064282222138E-2</v>
      </c>
      <c r="T214">
        <v>3.0477306257861811E-2</v>
      </c>
      <c r="U214">
        <v>3.6163857684078628E-2</v>
      </c>
      <c r="W214">
        <v>0.1043715502187078</v>
      </c>
      <c r="X214">
        <v>0.8956284497812923</v>
      </c>
    </row>
    <row r="215" spans="2:24" x14ac:dyDescent="0.25">
      <c r="B215">
        <v>0.27278241355369409</v>
      </c>
      <c r="C215">
        <v>1.2112543621953095E-3</v>
      </c>
      <c r="D215">
        <v>0.1968671699582735</v>
      </c>
      <c r="E215">
        <v>4.6513052145229624E-3</v>
      </c>
      <c r="F215">
        <v>0.28285351900307626</v>
      </c>
      <c r="G215">
        <v>8.4530701203121297E-2</v>
      </c>
      <c r="H215">
        <v>0.13339045418222839</v>
      </c>
      <c r="I215">
        <v>2.3713182522888274E-2</v>
      </c>
      <c r="K215">
        <v>4.0211806794291177E-2</v>
      </c>
      <c r="L215">
        <v>0.95978819320570885</v>
      </c>
      <c r="N215">
        <v>0.15999533567906662</v>
      </c>
      <c r="O215">
        <v>8.6338988139887034E-4</v>
      </c>
      <c r="P215">
        <v>1.3035093414992158E-2</v>
      </c>
      <c r="Q215">
        <v>6.8153998851166429E-3</v>
      </c>
      <c r="R215">
        <v>0.26404648892309207</v>
      </c>
      <c r="S215">
        <v>0.31285336870482283</v>
      </c>
      <c r="T215">
        <v>0.17787371903051305</v>
      </c>
      <c r="U215">
        <v>6.4517204480997833E-2</v>
      </c>
      <c r="W215">
        <v>2.3161474268399026E-3</v>
      </c>
      <c r="X215">
        <v>0.99768385257316006</v>
      </c>
    </row>
    <row r="216" spans="2:24" x14ac:dyDescent="0.25">
      <c r="B216">
        <v>0.3841037088026617</v>
      </c>
      <c r="C216">
        <v>3.5698901231529918E-3</v>
      </c>
      <c r="D216">
        <v>0.20232234574751301</v>
      </c>
      <c r="E216">
        <v>3.7808305390260393E-3</v>
      </c>
      <c r="F216">
        <v>0.26332154821280518</v>
      </c>
      <c r="G216">
        <v>0.11917570855762084</v>
      </c>
      <c r="H216">
        <v>2.1233285108080674E-2</v>
      </c>
      <c r="I216">
        <v>2.4926829091397504E-3</v>
      </c>
      <c r="K216">
        <v>1.4595254561954098E-2</v>
      </c>
      <c r="L216">
        <v>0.98540474543804579</v>
      </c>
      <c r="N216">
        <v>0.23374667863577386</v>
      </c>
      <c r="O216">
        <v>3.8649986577203202E-3</v>
      </c>
      <c r="P216">
        <v>8.5022021068625414E-2</v>
      </c>
      <c r="Q216">
        <v>0</v>
      </c>
      <c r="R216">
        <v>0.51508349120707708</v>
      </c>
      <c r="S216">
        <v>0</v>
      </c>
      <c r="T216">
        <v>0.15851853506581559</v>
      </c>
      <c r="U216">
        <v>3.7642753649878239E-3</v>
      </c>
      <c r="W216">
        <v>1.4287328245330649E-3</v>
      </c>
      <c r="X216">
        <v>0.99857126717546696</v>
      </c>
    </row>
    <row r="217" spans="2:24" x14ac:dyDescent="0.25">
      <c r="B217">
        <v>0.30641417896082607</v>
      </c>
      <c r="C217">
        <v>1.5641226000582938E-2</v>
      </c>
      <c r="D217">
        <v>0.43636572589481687</v>
      </c>
      <c r="E217">
        <v>1.2937504075218361E-3</v>
      </c>
      <c r="F217">
        <v>6.9346143797381452E-2</v>
      </c>
      <c r="G217">
        <v>0.1388762181888723</v>
      </c>
      <c r="H217">
        <v>2.9733307910654642E-2</v>
      </c>
      <c r="I217">
        <v>2.3294488393436714E-3</v>
      </c>
      <c r="K217">
        <v>1.7177591709574884E-2</v>
      </c>
      <c r="L217">
        <v>0.98282240829042511</v>
      </c>
      <c r="N217">
        <v>0.19041452255899521</v>
      </c>
      <c r="O217">
        <v>0</v>
      </c>
      <c r="P217">
        <v>0.46394556051275043</v>
      </c>
      <c r="Q217">
        <v>0</v>
      </c>
      <c r="R217">
        <v>0.21787575596426734</v>
      </c>
      <c r="S217">
        <v>3.1464506668417894E-2</v>
      </c>
      <c r="T217">
        <v>5.0554364211993046E-2</v>
      </c>
      <c r="U217">
        <v>4.5745290083576105E-2</v>
      </c>
      <c r="W217">
        <v>1.1572400361081425E-2</v>
      </c>
      <c r="X217">
        <v>0.98842759963891857</v>
      </c>
    </row>
    <row r="218" spans="2:24" x14ac:dyDescent="0.25">
      <c r="B218">
        <v>0.60726443777125172</v>
      </c>
      <c r="C218">
        <v>4.3192355811855764E-5</v>
      </c>
      <c r="D218">
        <v>6.5940546317050486E-2</v>
      </c>
      <c r="E218">
        <v>7.4211858531365112E-5</v>
      </c>
      <c r="F218">
        <v>0.28460039322045338</v>
      </c>
      <c r="G218">
        <v>2.4225530395790933E-2</v>
      </c>
      <c r="H218">
        <v>1.0630657782768079E-2</v>
      </c>
      <c r="I218">
        <v>7.2210302983419855E-3</v>
      </c>
      <c r="K218">
        <v>0.24175819187063319</v>
      </c>
      <c r="L218">
        <v>0.75824180812936681</v>
      </c>
      <c r="N218">
        <v>0.71026078144381866</v>
      </c>
      <c r="O218">
        <v>1.4679180517588141E-5</v>
      </c>
      <c r="P218">
        <v>5.7389117174605188E-2</v>
      </c>
      <c r="Q218">
        <v>1.9515166914775859E-4</v>
      </c>
      <c r="R218">
        <v>0.19892945350510163</v>
      </c>
      <c r="S218">
        <v>5.59058314642733E-3</v>
      </c>
      <c r="T218">
        <v>9.052949633224729E-3</v>
      </c>
      <c r="U218">
        <v>1.8567284247157097E-2</v>
      </c>
      <c r="W218">
        <v>0.31631593786854745</v>
      </c>
      <c r="X218">
        <v>0.6836840621314525</v>
      </c>
    </row>
    <row r="219" spans="2:24" x14ac:dyDescent="0.25">
      <c r="B219">
        <v>2.8770664774415592E-2</v>
      </c>
      <c r="C219">
        <v>7.9784221457572346E-6</v>
      </c>
      <c r="D219">
        <v>0.90992158315930116</v>
      </c>
      <c r="E219">
        <v>3.9726645056029071E-5</v>
      </c>
      <c r="F219">
        <v>5.2037960775565044E-2</v>
      </c>
      <c r="G219">
        <v>2.3082877724092689E-3</v>
      </c>
      <c r="H219">
        <v>7.6864518130904068E-4</v>
      </c>
      <c r="I219">
        <v>6.1451532697981868E-3</v>
      </c>
      <c r="K219">
        <v>2.652649859583299E-2</v>
      </c>
      <c r="L219">
        <v>0.973473501404167</v>
      </c>
      <c r="N219">
        <v>1.2534831885899964E-2</v>
      </c>
      <c r="O219">
        <v>1.2238560793040267E-7</v>
      </c>
      <c r="P219">
        <v>0.90240618883945212</v>
      </c>
      <c r="Q219">
        <v>2.6632347765449289E-5</v>
      </c>
      <c r="R219">
        <v>8.2819345471609823E-2</v>
      </c>
      <c r="S219">
        <v>9.4432774786965934E-4</v>
      </c>
      <c r="T219">
        <v>7.3780816481759185E-5</v>
      </c>
      <c r="U219">
        <v>1.1947705053133638E-3</v>
      </c>
      <c r="W219">
        <v>5.9373826012809161E-2</v>
      </c>
      <c r="X219">
        <v>0.94062617398719095</v>
      </c>
    </row>
    <row r="220" spans="2:24" x14ac:dyDescent="0.25">
      <c r="B220">
        <v>0.34265321555512401</v>
      </c>
      <c r="C220">
        <v>0</v>
      </c>
      <c r="D220">
        <v>0.25571969161584085</v>
      </c>
      <c r="E220">
        <v>4.890604648235477E-6</v>
      </c>
      <c r="F220">
        <v>0.23194851593234914</v>
      </c>
      <c r="G220">
        <v>2.8694482735741395E-2</v>
      </c>
      <c r="H220">
        <v>0.13967780940793492</v>
      </c>
      <c r="I220">
        <v>1.3013941483615398E-3</v>
      </c>
      <c r="K220">
        <v>8.9319058634448487E-2</v>
      </c>
      <c r="L220">
        <v>0.91068094136555156</v>
      </c>
      <c r="N220">
        <v>4.5587895199591851E-4</v>
      </c>
      <c r="O220">
        <v>1.4874351735486183E-5</v>
      </c>
      <c r="P220">
        <v>2.0985693619483315E-2</v>
      </c>
      <c r="Q220">
        <v>1.7562799317188718E-4</v>
      </c>
      <c r="R220">
        <v>2.7308734925186134E-2</v>
      </c>
      <c r="S220">
        <v>1.2291742644154236E-3</v>
      </c>
      <c r="T220">
        <v>0.94813053732498132</v>
      </c>
      <c r="U220">
        <v>1.6994785690305253E-3</v>
      </c>
      <c r="W220">
        <v>8.5400326563930762E-2</v>
      </c>
      <c r="X220">
        <v>0.91459967343606929</v>
      </c>
    </row>
    <row r="221" spans="2:24" x14ac:dyDescent="0.25">
      <c r="B221">
        <v>0.55075265880789503</v>
      </c>
      <c r="C221">
        <v>0</v>
      </c>
      <c r="D221">
        <v>4.8091643242703402E-2</v>
      </c>
      <c r="E221">
        <v>4.4919134578995585E-4</v>
      </c>
      <c r="F221">
        <v>0.18453031039244502</v>
      </c>
      <c r="G221">
        <v>0.18875203364729604</v>
      </c>
      <c r="H221">
        <v>7.4699772229455718E-3</v>
      </c>
      <c r="I221">
        <v>1.9954185340925201E-2</v>
      </c>
      <c r="K221">
        <v>0.15281044667952412</v>
      </c>
      <c r="L221">
        <v>0.84718955332047585</v>
      </c>
      <c r="N221">
        <v>0.60734011248953279</v>
      </c>
      <c r="O221">
        <v>0</v>
      </c>
      <c r="P221">
        <v>4.2776218433000092E-2</v>
      </c>
      <c r="Q221">
        <v>1.9783598133367385E-3</v>
      </c>
      <c r="R221">
        <v>0.21485119843264339</v>
      </c>
      <c r="S221">
        <v>8.8887405995357979E-2</v>
      </c>
      <c r="T221">
        <v>3.3869617064607789E-2</v>
      </c>
      <c r="U221">
        <v>1.0297087771521166E-2</v>
      </c>
      <c r="W221">
        <v>0.1038555892160231</v>
      </c>
      <c r="X221">
        <v>0.89614441078397689</v>
      </c>
    </row>
    <row r="222" spans="2:24" x14ac:dyDescent="0.25">
      <c r="B222">
        <v>0.85646440524288647</v>
      </c>
      <c r="C222">
        <v>0</v>
      </c>
      <c r="D222">
        <v>4.7876408515811021E-2</v>
      </c>
      <c r="E222">
        <v>0</v>
      </c>
      <c r="F222">
        <v>4.9646828297446689E-2</v>
      </c>
      <c r="G222">
        <v>1.6186194235855614E-2</v>
      </c>
      <c r="H222">
        <v>1.971641671316595E-2</v>
      </c>
      <c r="I222">
        <v>1.0109746994834233E-2</v>
      </c>
      <c r="K222">
        <v>0.12183798402510587</v>
      </c>
      <c r="L222">
        <v>0.87816201597489418</v>
      </c>
      <c r="N222">
        <v>0</v>
      </c>
      <c r="O222">
        <v>0</v>
      </c>
      <c r="P222">
        <v>0</v>
      </c>
      <c r="Q222">
        <v>6.2669457039600295E-3</v>
      </c>
      <c r="R222">
        <v>0.59161677205538055</v>
      </c>
      <c r="S222">
        <v>0</v>
      </c>
      <c r="T222">
        <v>0.40211628224065937</v>
      </c>
      <c r="U222">
        <v>0</v>
      </c>
      <c r="W222">
        <v>0.11133766998003133</v>
      </c>
      <c r="X222">
        <v>0.88866233001996864</v>
      </c>
    </row>
    <row r="223" spans="2:24" x14ac:dyDescent="0.25">
      <c r="B223">
        <v>0.22129936293504718</v>
      </c>
      <c r="C223">
        <v>3.3467271042953249E-5</v>
      </c>
      <c r="D223">
        <v>0.51624741615582903</v>
      </c>
      <c r="E223">
        <v>2.8465979259614041E-3</v>
      </c>
      <c r="F223">
        <v>0.21085462240091826</v>
      </c>
      <c r="G223">
        <v>1.0092481046005269E-2</v>
      </c>
      <c r="H223">
        <v>6.4920918758734391E-3</v>
      </c>
      <c r="I223">
        <v>3.2133960389322556E-2</v>
      </c>
      <c r="K223">
        <v>0.19087727862173698</v>
      </c>
      <c r="L223">
        <v>0.80912272137826302</v>
      </c>
      <c r="N223">
        <v>0.29776624216322517</v>
      </c>
      <c r="O223">
        <v>7.6801879434507204E-6</v>
      </c>
      <c r="P223">
        <v>0.40389686974945227</v>
      </c>
      <c r="Q223">
        <v>1.101792212623557E-2</v>
      </c>
      <c r="R223">
        <v>0.19447322241909154</v>
      </c>
      <c r="S223">
        <v>2.1094810581184391E-2</v>
      </c>
      <c r="T223">
        <v>2.4929676363280757E-2</v>
      </c>
      <c r="U223">
        <v>4.681357640958704E-2</v>
      </c>
      <c r="W223">
        <v>0.12054938072956588</v>
      </c>
      <c r="X223">
        <v>0.87945061927043411</v>
      </c>
    </row>
    <row r="224" spans="2:24" x14ac:dyDescent="0.25">
      <c r="B224">
        <v>0.20853343672221486</v>
      </c>
      <c r="C224">
        <v>7.0444058857790256E-5</v>
      </c>
      <c r="D224">
        <v>0.23902018284966592</v>
      </c>
      <c r="E224">
        <v>4.707596173753879E-3</v>
      </c>
      <c r="F224">
        <v>0.28602525342126067</v>
      </c>
      <c r="G224">
        <v>9.4321845075960045E-2</v>
      </c>
      <c r="H224">
        <v>9.1948721016957058E-2</v>
      </c>
      <c r="I224">
        <v>7.5372520681329866E-2</v>
      </c>
      <c r="K224">
        <v>3.3097063788049802E-2</v>
      </c>
      <c r="L224">
        <v>0.96690293621195023</v>
      </c>
      <c r="N224">
        <v>0.28112690940680668</v>
      </c>
      <c r="O224">
        <v>6.2895399213570323E-5</v>
      </c>
      <c r="P224">
        <v>0.13538862837483109</v>
      </c>
      <c r="Q224">
        <v>1.9246621362019787E-3</v>
      </c>
      <c r="R224">
        <v>0.2591747173286707</v>
      </c>
      <c r="S224">
        <v>7.1495475714521181E-2</v>
      </c>
      <c r="T224">
        <v>0.11979120975449546</v>
      </c>
      <c r="U224">
        <v>0.1310355018852595</v>
      </c>
      <c r="W224">
        <v>3.5949529544942627E-2</v>
      </c>
      <c r="X224">
        <v>0.96405047045505732</v>
      </c>
    </row>
    <row r="225" spans="2:24" x14ac:dyDescent="0.25">
      <c r="B225">
        <v>0.35071031886046911</v>
      </c>
      <c r="C225">
        <v>4.7511550048454547E-3</v>
      </c>
      <c r="D225">
        <v>0.30382420689825129</v>
      </c>
      <c r="E225">
        <v>9.3421914156709693E-4</v>
      </c>
      <c r="F225">
        <v>0.15441563926343818</v>
      </c>
      <c r="G225">
        <v>0.1110543131555162</v>
      </c>
      <c r="H225">
        <v>5.6917262484721343E-2</v>
      </c>
      <c r="I225">
        <v>1.739288519119131E-2</v>
      </c>
      <c r="K225">
        <v>8.6816022169824786E-2</v>
      </c>
      <c r="L225">
        <v>0.91318397783017524</v>
      </c>
      <c r="N225">
        <v>0.3636538730501378</v>
      </c>
      <c r="O225">
        <v>2.9549945518042249E-2</v>
      </c>
      <c r="P225">
        <v>0.15968372621545704</v>
      </c>
      <c r="Q225">
        <v>1.0015499610762073E-2</v>
      </c>
      <c r="R225">
        <v>0.28188406953033673</v>
      </c>
      <c r="S225">
        <v>4.6716467721153669E-2</v>
      </c>
      <c r="T225">
        <v>0.10148536649085402</v>
      </c>
      <c r="U225">
        <v>7.0110518632563023E-3</v>
      </c>
      <c r="W225">
        <v>4.6558029743150577E-2</v>
      </c>
      <c r="X225">
        <v>0.9534419702568494</v>
      </c>
    </row>
    <row r="226" spans="2:24" x14ac:dyDescent="0.25">
      <c r="B226">
        <v>0.27306675271688907</v>
      </c>
      <c r="C226">
        <v>0</v>
      </c>
      <c r="D226">
        <v>0.13369833838118553</v>
      </c>
      <c r="E226">
        <v>2.9548002401872343E-3</v>
      </c>
      <c r="F226">
        <v>0.57139088077315736</v>
      </c>
      <c r="G226">
        <v>4.384245815109121E-3</v>
      </c>
      <c r="H226">
        <v>6.6515923396225978E-3</v>
      </c>
      <c r="I226">
        <v>7.8533897338492233E-3</v>
      </c>
      <c r="K226">
        <v>1.5994543153809843E-2</v>
      </c>
      <c r="L226">
        <v>0.98400545684619023</v>
      </c>
      <c r="N226">
        <v>0.54239941485925769</v>
      </c>
      <c r="O226">
        <v>0</v>
      </c>
      <c r="P226">
        <v>2.8697866364940518E-2</v>
      </c>
      <c r="Q226">
        <v>0.10249970247180659</v>
      </c>
      <c r="R226">
        <v>0.1854003062017649</v>
      </c>
      <c r="S226">
        <v>3.2698490129827333E-2</v>
      </c>
      <c r="T226">
        <v>9.7711198973311361E-2</v>
      </c>
      <c r="U226">
        <v>1.0593020999091518E-2</v>
      </c>
      <c r="W226">
        <v>2.7411215403537578E-2</v>
      </c>
      <c r="X226">
        <v>0.97258878459646236</v>
      </c>
    </row>
    <row r="227" spans="2:24" x14ac:dyDescent="0.25">
      <c r="B227">
        <v>0.52073937588024011</v>
      </c>
      <c r="C227">
        <v>1.1085211517087834E-5</v>
      </c>
      <c r="D227">
        <v>0.10372539698364555</v>
      </c>
      <c r="E227">
        <v>4.7092741459252262E-3</v>
      </c>
      <c r="F227">
        <v>0.21511539884679384</v>
      </c>
      <c r="G227">
        <v>4.9551045871609356E-2</v>
      </c>
      <c r="H227">
        <v>7.3335547022592359E-2</v>
      </c>
      <c r="I227">
        <v>3.2812876037676339E-2</v>
      </c>
      <c r="K227">
        <v>7.8324025870417577E-2</v>
      </c>
      <c r="L227">
        <v>0.92167597412958246</v>
      </c>
      <c r="N227">
        <v>0.25333134489743447</v>
      </c>
      <c r="O227">
        <v>1.2560152987197331E-5</v>
      </c>
      <c r="P227">
        <v>7.0487729418596407E-2</v>
      </c>
      <c r="Q227">
        <v>2.4921263853920372E-3</v>
      </c>
      <c r="R227">
        <v>0.44324576882815292</v>
      </c>
      <c r="S227">
        <v>2.4416273186468964E-2</v>
      </c>
      <c r="T227">
        <v>0.14706533322393117</v>
      </c>
      <c r="U227">
        <v>5.89488639070367E-2</v>
      </c>
      <c r="W227">
        <v>4.3428219408963332E-2</v>
      </c>
      <c r="X227">
        <v>0.95657178059103665</v>
      </c>
    </row>
    <row r="228" spans="2:24" x14ac:dyDescent="0.25">
      <c r="B228">
        <v>0.5669318593242676</v>
      </c>
      <c r="C228">
        <v>1.0497509524285199E-2</v>
      </c>
      <c r="D228">
        <v>0.14904075195179936</v>
      </c>
      <c r="E228">
        <v>0</v>
      </c>
      <c r="F228">
        <v>0.20015336813485687</v>
      </c>
      <c r="G228">
        <v>4.0152695019772554E-2</v>
      </c>
      <c r="H228">
        <v>1.8008319124544682E-2</v>
      </c>
      <c r="I228">
        <v>1.5215496920473691E-2</v>
      </c>
      <c r="K228">
        <v>0.20380137562351044</v>
      </c>
      <c r="L228">
        <v>0.79619862437648958</v>
      </c>
      <c r="N228">
        <v>0.21730078148296603</v>
      </c>
      <c r="O228">
        <v>0</v>
      </c>
      <c r="P228">
        <v>0.13231699050245302</v>
      </c>
      <c r="Q228">
        <v>1.6934354635846441E-4</v>
      </c>
      <c r="R228">
        <v>0.50580044891093112</v>
      </c>
      <c r="S228">
        <v>6.4608193722863763E-2</v>
      </c>
      <c r="T228">
        <v>2.5769075391313401E-2</v>
      </c>
      <c r="U228">
        <v>5.4035166443114069E-2</v>
      </c>
      <c r="W228">
        <v>0.19171960565146171</v>
      </c>
      <c r="X228">
        <v>0.80828039434853827</v>
      </c>
    </row>
    <row r="229" spans="2:24" x14ac:dyDescent="0.25">
      <c r="B229">
        <v>0.24725992869393978</v>
      </c>
      <c r="C229">
        <v>0</v>
      </c>
      <c r="D229">
        <v>0.4148874800652238</v>
      </c>
      <c r="E229">
        <v>1.1282349230952551E-3</v>
      </c>
      <c r="F229">
        <v>0.27274074704692353</v>
      </c>
      <c r="G229">
        <v>4.6952434035758855E-2</v>
      </c>
      <c r="H229">
        <v>5.2881513955768565E-3</v>
      </c>
      <c r="I229">
        <v>1.1743023839481784E-2</v>
      </c>
      <c r="K229">
        <v>2.3642360111374796E-2</v>
      </c>
      <c r="L229">
        <v>0.97635763988862523</v>
      </c>
      <c r="N229">
        <v>0.10922750118763781</v>
      </c>
      <c r="O229">
        <v>0</v>
      </c>
      <c r="P229">
        <v>0.38173178351061987</v>
      </c>
      <c r="Q229">
        <v>1.7290796701799671E-2</v>
      </c>
      <c r="R229">
        <v>0.35134870783921479</v>
      </c>
      <c r="S229">
        <v>5.9146381438159893E-3</v>
      </c>
      <c r="T229">
        <v>6.832811597843455E-2</v>
      </c>
      <c r="U229">
        <v>6.6158456638477317E-2</v>
      </c>
      <c r="W229">
        <v>7.1733177895600487E-3</v>
      </c>
      <c r="X229">
        <v>0.99282668221044001</v>
      </c>
    </row>
    <row r="230" spans="2:24" x14ac:dyDescent="0.25">
      <c r="B230">
        <v>0.37795084852183503</v>
      </c>
      <c r="C230">
        <v>0</v>
      </c>
      <c r="D230">
        <v>7.7989937710468527E-2</v>
      </c>
      <c r="E230">
        <v>4.2207419112516489E-3</v>
      </c>
      <c r="F230">
        <v>0.25607084660133078</v>
      </c>
      <c r="G230">
        <v>0.14071174185442756</v>
      </c>
      <c r="H230">
        <v>6.1867758570904971E-2</v>
      </c>
      <c r="I230">
        <v>8.1188124829781716E-2</v>
      </c>
      <c r="K230">
        <v>0.1395233113407541</v>
      </c>
      <c r="L230">
        <v>0.86047668865924598</v>
      </c>
      <c r="N230">
        <v>0.3080851656446042</v>
      </c>
      <c r="O230">
        <v>0</v>
      </c>
      <c r="P230">
        <v>6.6076780451473568E-2</v>
      </c>
      <c r="Q230">
        <v>0</v>
      </c>
      <c r="R230">
        <v>0.26472307668951389</v>
      </c>
      <c r="S230">
        <v>6.2224853356126757E-2</v>
      </c>
      <c r="T230">
        <v>0.29889012385828156</v>
      </c>
      <c r="U230">
        <v>0</v>
      </c>
      <c r="W230">
        <v>5.6829343140557043E-2</v>
      </c>
      <c r="X230">
        <v>0.9431706568594429</v>
      </c>
    </row>
    <row r="231" spans="2:24" x14ac:dyDescent="0.25">
      <c r="B231">
        <v>0.47586133226969707</v>
      </c>
      <c r="C231">
        <v>0</v>
      </c>
      <c r="D231">
        <v>0.13438091386100556</v>
      </c>
      <c r="E231">
        <v>7.8489188940471816E-3</v>
      </c>
      <c r="F231">
        <v>0.14420732421017013</v>
      </c>
      <c r="G231">
        <v>0.12762107639464798</v>
      </c>
      <c r="H231">
        <v>6.9449154400085089E-2</v>
      </c>
      <c r="I231">
        <v>4.0631279970347094E-2</v>
      </c>
      <c r="K231">
        <v>6.9494025076458743E-2</v>
      </c>
      <c r="L231">
        <v>0.93050597492354126</v>
      </c>
      <c r="N231">
        <v>0.4179879044684161</v>
      </c>
      <c r="O231">
        <v>0</v>
      </c>
      <c r="P231">
        <v>0.14446233257341007</v>
      </c>
      <c r="Q231">
        <v>4.3867612242211237E-3</v>
      </c>
      <c r="R231">
        <v>0.17970234298268103</v>
      </c>
      <c r="S231">
        <v>4.8565494714427886E-2</v>
      </c>
      <c r="T231">
        <v>0.16270765801713705</v>
      </c>
      <c r="U231">
        <v>4.2187506019706715E-2</v>
      </c>
      <c r="W231">
        <v>4.0121493394705006E-2</v>
      </c>
      <c r="X231">
        <v>0.95987850660529495</v>
      </c>
    </row>
    <row r="232" spans="2:24" x14ac:dyDescent="0.25">
      <c r="B232">
        <v>0.33462978898110141</v>
      </c>
      <c r="C232">
        <v>1.7960845228597746E-4</v>
      </c>
      <c r="D232">
        <v>0.34697589956033664</v>
      </c>
      <c r="E232">
        <v>3.1648794268154622E-4</v>
      </c>
      <c r="F232">
        <v>0.28381512328831726</v>
      </c>
      <c r="G232">
        <v>2.9023936511779328E-3</v>
      </c>
      <c r="H232">
        <v>3.6998892392470428E-3</v>
      </c>
      <c r="I232">
        <v>2.7480808884852156E-2</v>
      </c>
      <c r="K232">
        <v>9.6337378294525364E-2</v>
      </c>
      <c r="L232">
        <v>0.90366262170547462</v>
      </c>
      <c r="N232">
        <v>0.33624317034299012</v>
      </c>
      <c r="O232">
        <v>1.014768509263619E-4</v>
      </c>
      <c r="P232">
        <v>0.29721724928784254</v>
      </c>
      <c r="Q232">
        <v>6.1812858000227311E-4</v>
      </c>
      <c r="R232">
        <v>0.31096678893255864</v>
      </c>
      <c r="S232">
        <v>2.7561243726119283E-3</v>
      </c>
      <c r="T232">
        <v>3.1160877607066404E-2</v>
      </c>
      <c r="U232">
        <v>2.0936184026001749E-2</v>
      </c>
      <c r="W232">
        <v>0.16811895575475763</v>
      </c>
      <c r="X232">
        <v>0.83188104424524234</v>
      </c>
    </row>
    <row r="233" spans="2:24" x14ac:dyDescent="0.25">
      <c r="B233">
        <v>0.40126882795937246</v>
      </c>
      <c r="C233">
        <v>0</v>
      </c>
      <c r="D233">
        <v>0.11880391310660908</v>
      </c>
      <c r="E233">
        <v>6.147588443558375E-4</v>
      </c>
      <c r="F233">
        <v>0.33504743710537072</v>
      </c>
      <c r="G233">
        <v>5.4691601024890943E-2</v>
      </c>
      <c r="H233">
        <v>5.7722574148810109E-2</v>
      </c>
      <c r="I233">
        <v>3.1850887810590867E-2</v>
      </c>
      <c r="K233">
        <v>1.6398314980272888E-2</v>
      </c>
      <c r="L233">
        <v>0.98360168501972711</v>
      </c>
      <c r="N233">
        <v>0.50025930472942803</v>
      </c>
      <c r="O233">
        <v>0</v>
      </c>
      <c r="P233">
        <v>8.5663801574406596E-3</v>
      </c>
      <c r="Q233">
        <v>1.2118139040903323E-3</v>
      </c>
      <c r="R233">
        <v>0.39163180623805005</v>
      </c>
      <c r="S233">
        <v>3.0339916130769241E-3</v>
      </c>
      <c r="T233">
        <v>7.4984273383164532E-2</v>
      </c>
      <c r="U233">
        <v>2.0312429974749337E-2</v>
      </c>
      <c r="W233">
        <v>4.0747286668171264E-3</v>
      </c>
      <c r="X233">
        <v>0.99592527133318287</v>
      </c>
    </row>
    <row r="234" spans="2:24" x14ac:dyDescent="0.25">
      <c r="B234">
        <v>0.63240395659818949</v>
      </c>
      <c r="C234">
        <v>5.450795131154649E-5</v>
      </c>
      <c r="D234">
        <v>8.4898225933101895E-2</v>
      </c>
      <c r="E234">
        <v>5.6835000482490915E-4</v>
      </c>
      <c r="F234">
        <v>0.12529997451673883</v>
      </c>
      <c r="G234">
        <v>8.7241893621811686E-2</v>
      </c>
      <c r="H234">
        <v>5.9185527905857904E-2</v>
      </c>
      <c r="I234">
        <v>1.0347563468163715E-2</v>
      </c>
      <c r="K234">
        <v>0.30459635535458707</v>
      </c>
      <c r="L234">
        <v>0.69540364464541282</v>
      </c>
      <c r="N234">
        <v>0.57113917994098473</v>
      </c>
      <c r="O234">
        <v>2.0682213329705344E-5</v>
      </c>
      <c r="P234">
        <v>9.690070172670491E-2</v>
      </c>
      <c r="Q234">
        <v>5.030670703013567E-4</v>
      </c>
      <c r="R234">
        <v>0.18845141946501043</v>
      </c>
      <c r="S234">
        <v>3.6125840189250073E-2</v>
      </c>
      <c r="T234">
        <v>9.2106905027774702E-2</v>
      </c>
      <c r="U234">
        <v>1.4752204366644209E-2</v>
      </c>
      <c r="W234">
        <v>0.27154599191541767</v>
      </c>
      <c r="X234">
        <v>0.72845400808458238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4F265-1ADE-49AF-87B1-CB6A793868E9}">
  <dimension ref="A1:Q79"/>
  <sheetViews>
    <sheetView showGridLines="0" workbookViewId="0">
      <selection activeCell="A4" sqref="A4:A79"/>
    </sheetView>
  </sheetViews>
  <sheetFormatPr defaultRowHeight="15" x14ac:dyDescent="0.25"/>
  <cols>
    <col min="1" max="1" width="13.42578125" customWidth="1"/>
    <col min="2" max="2" width="20" customWidth="1"/>
    <col min="3" max="3" width="19" customWidth="1"/>
    <col min="4" max="4" width="20.140625" customWidth="1"/>
    <col min="5" max="5" width="17.5703125" customWidth="1"/>
    <col min="6" max="6" width="24" customWidth="1"/>
    <col min="7" max="7" width="17.28515625" customWidth="1"/>
    <col min="8" max="8" width="32.7109375" customWidth="1"/>
    <col min="9" max="9" width="31.85546875" customWidth="1"/>
    <col min="10" max="10" width="14.85546875" customWidth="1"/>
    <col min="11" max="11" width="16" customWidth="1"/>
    <col min="12" max="12" width="13.28515625" customWidth="1"/>
    <col min="13" max="13" width="19.28515625" customWidth="1"/>
    <col min="14" max="14" width="13.140625" customWidth="1"/>
  </cols>
  <sheetData>
    <row r="1" spans="1:17" x14ac:dyDescent="0.2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2" t="s">
        <v>153</v>
      </c>
      <c r="K1" s="2" t="s">
        <v>154</v>
      </c>
      <c r="L1" s="2" t="s">
        <v>155</v>
      </c>
      <c r="M1" s="2" t="s">
        <v>156</v>
      </c>
      <c r="N1" s="2" t="s">
        <v>157</v>
      </c>
      <c r="P1" s="3" t="s">
        <v>158</v>
      </c>
      <c r="Q1" s="3" t="s">
        <v>159</v>
      </c>
    </row>
    <row r="2" spans="1:17" hidden="1" x14ac:dyDescent="0.25">
      <c r="A2" t="s">
        <v>111</v>
      </c>
      <c r="B2">
        <v>10790.9096823325</v>
      </c>
      <c r="C2">
        <v>78.436724510913081</v>
      </c>
      <c r="D2">
        <v>2.6701388097770771</v>
      </c>
      <c r="E2">
        <v>0</v>
      </c>
      <c r="F2">
        <v>3.2341474879499081E-3</v>
      </c>
      <c r="G2">
        <v>1.0241521206769181E-3</v>
      </c>
      <c r="H2">
        <v>3.3292545324665572E-3</v>
      </c>
      <c r="I2">
        <v>4.3087915304012098E-2</v>
      </c>
      <c r="J2">
        <f t="shared" ref="J2:J33" si="0">C2/SUM($C2:$G2)</f>
        <v>0.96702798511521992</v>
      </c>
      <c r="K2">
        <f t="shared" ref="K2:K33" si="1">D2/SUM($C2:$G2)</f>
        <v>3.2919515307366323E-2</v>
      </c>
      <c r="L2">
        <f t="shared" ref="L2:L33" si="2">E2/SUM($C2:$G2)</f>
        <v>0</v>
      </c>
      <c r="M2">
        <f t="shared" ref="M2:M33" si="3">F2/SUM($C2:$G2)</f>
        <v>3.9873046055135972E-5</v>
      </c>
      <c r="N2">
        <f t="shared" ref="N2:N33" si="4">G2/SUM($C2:$G2)</f>
        <v>1.2626531358686266E-5</v>
      </c>
      <c r="P2">
        <f>H2/SUM($H2:$I2)</f>
        <v>7.1724634315169705E-2</v>
      </c>
      <c r="Q2">
        <f>I2/SUM($H2:$I2)</f>
        <v>0.92827536568483027</v>
      </c>
    </row>
    <row r="3" spans="1:17" hidden="1" x14ac:dyDescent="0.25">
      <c r="A3" t="s">
        <v>129</v>
      </c>
      <c r="B3">
        <v>1904.82324488873</v>
      </c>
      <c r="C3">
        <v>10.96156945421451</v>
      </c>
      <c r="D3">
        <v>0.1018860095036269</v>
      </c>
      <c r="E3">
        <v>0</v>
      </c>
      <c r="F3">
        <v>0</v>
      </c>
      <c r="G3">
        <v>0</v>
      </c>
      <c r="H3">
        <v>0</v>
      </c>
      <c r="I3">
        <v>0</v>
      </c>
      <c r="J3">
        <f t="shared" si="0"/>
        <v>0.99079076064094485</v>
      </c>
      <c r="K3">
        <f t="shared" si="1"/>
        <v>9.2092393590551581E-3</v>
      </c>
      <c r="L3">
        <f t="shared" si="2"/>
        <v>0</v>
      </c>
      <c r="M3">
        <f t="shared" si="3"/>
        <v>0</v>
      </c>
      <c r="N3">
        <f t="shared" si="4"/>
        <v>0</v>
      </c>
      <c r="P3" t="e">
        <f t="shared" ref="P3:P66" si="5">H3/SUM($H3:$I3)</f>
        <v>#DIV/0!</v>
      </c>
      <c r="Q3" t="e">
        <f t="shared" ref="Q3:Q66" si="6">I3/SUM($H3:$I3)</f>
        <v>#DIV/0!</v>
      </c>
    </row>
    <row r="4" spans="1:17" x14ac:dyDescent="0.25">
      <c r="A4" t="s">
        <v>118</v>
      </c>
      <c r="B4">
        <v>16147.6051454102</v>
      </c>
      <c r="C4">
        <v>91.28899167235474</v>
      </c>
      <c r="D4">
        <v>0.89612539799079449</v>
      </c>
      <c r="E4">
        <v>0</v>
      </c>
      <c r="F4">
        <v>1.4410659197872291E-2</v>
      </c>
      <c r="G4">
        <v>1.6828369756527761E-3</v>
      </c>
      <c r="H4">
        <v>1.3860945048468211E-3</v>
      </c>
      <c r="I4">
        <v>2.717129104461485E-2</v>
      </c>
      <c r="J4">
        <f t="shared" si="0"/>
        <v>0.99010621564988888</v>
      </c>
      <c r="K4">
        <f t="shared" si="1"/>
        <v>9.7192367918453731E-3</v>
      </c>
      <c r="L4">
        <f t="shared" si="2"/>
        <v>0</v>
      </c>
      <c r="M4">
        <f t="shared" si="3"/>
        <v>1.5629576997230034E-4</v>
      </c>
      <c r="N4">
        <f t="shared" si="4"/>
        <v>1.8251788293372613E-5</v>
      </c>
      <c r="P4">
        <f t="shared" si="5"/>
        <v>4.85371639657311E-2</v>
      </c>
      <c r="Q4">
        <f t="shared" si="6"/>
        <v>0.95146283603426884</v>
      </c>
    </row>
    <row r="5" spans="1:17" hidden="1" x14ac:dyDescent="0.25">
      <c r="A5" t="s">
        <v>147</v>
      </c>
      <c r="B5">
        <v>34742.352483479037</v>
      </c>
      <c r="C5">
        <v>79.980173168539636</v>
      </c>
      <c r="D5">
        <v>1.367884119266122</v>
      </c>
      <c r="E5">
        <v>0</v>
      </c>
      <c r="F5">
        <v>0</v>
      </c>
      <c r="G5">
        <v>0</v>
      </c>
      <c r="H5">
        <v>2.0892339071222018E-3</v>
      </c>
      <c r="I5">
        <v>2.5855866953482411E-4</v>
      </c>
      <c r="J5">
        <f t="shared" si="0"/>
        <v>0.98318479672567216</v>
      </c>
      <c r="K5">
        <f t="shared" si="1"/>
        <v>1.6815203274327863E-2</v>
      </c>
      <c r="L5">
        <f t="shared" si="2"/>
        <v>0</v>
      </c>
      <c r="M5">
        <f t="shared" si="3"/>
        <v>0</v>
      </c>
      <c r="N5">
        <f t="shared" si="4"/>
        <v>0</v>
      </c>
      <c r="P5">
        <f t="shared" si="5"/>
        <v>0.88987158741979644</v>
      </c>
      <c r="Q5">
        <f t="shared" si="6"/>
        <v>0.11012841258020355</v>
      </c>
    </row>
    <row r="6" spans="1:17" hidden="1" x14ac:dyDescent="0.25">
      <c r="A6" t="s">
        <v>94</v>
      </c>
      <c r="B6">
        <v>7445.7497357088878</v>
      </c>
      <c r="C6">
        <v>43.789810627809011</v>
      </c>
      <c r="D6">
        <v>0.1062489568322921</v>
      </c>
      <c r="E6">
        <v>0</v>
      </c>
      <c r="F6">
        <v>0</v>
      </c>
      <c r="G6">
        <v>0</v>
      </c>
      <c r="H6">
        <v>0</v>
      </c>
      <c r="I6">
        <v>7.9344268560742649E-3</v>
      </c>
      <c r="J6">
        <f t="shared" si="0"/>
        <v>0.99757953315542103</v>
      </c>
      <c r="K6">
        <f t="shared" si="1"/>
        <v>2.420466844579082E-3</v>
      </c>
      <c r="L6">
        <f t="shared" si="2"/>
        <v>0</v>
      </c>
      <c r="M6">
        <f t="shared" si="3"/>
        <v>0</v>
      </c>
      <c r="N6">
        <f t="shared" si="4"/>
        <v>0</v>
      </c>
      <c r="P6">
        <f t="shared" si="5"/>
        <v>0</v>
      </c>
      <c r="Q6">
        <f t="shared" si="6"/>
        <v>1</v>
      </c>
    </row>
    <row r="7" spans="1:17" hidden="1" x14ac:dyDescent="0.25">
      <c r="A7" t="s">
        <v>124</v>
      </c>
      <c r="B7">
        <v>2755.553044210043</v>
      </c>
      <c r="C7">
        <v>15.43987513967541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f t="shared" si="0"/>
        <v>1</v>
      </c>
      <c r="K7">
        <f t="shared" si="1"/>
        <v>0</v>
      </c>
      <c r="L7">
        <f t="shared" si="2"/>
        <v>0</v>
      </c>
      <c r="M7">
        <f t="shared" si="3"/>
        <v>0</v>
      </c>
      <c r="N7">
        <f t="shared" si="4"/>
        <v>0</v>
      </c>
      <c r="P7" t="e">
        <f t="shared" si="5"/>
        <v>#DIV/0!</v>
      </c>
      <c r="Q7" t="e">
        <f t="shared" si="6"/>
        <v>#DIV/0!</v>
      </c>
    </row>
    <row r="8" spans="1:17" hidden="1" x14ac:dyDescent="0.25">
      <c r="A8" t="s">
        <v>126</v>
      </c>
      <c r="B8">
        <v>2956.8933866055172</v>
      </c>
      <c r="C8">
        <v>65.792546378847263</v>
      </c>
      <c r="D8">
        <v>2.6901528727830298E-4</v>
      </c>
      <c r="E8">
        <v>0</v>
      </c>
      <c r="F8">
        <v>0</v>
      </c>
      <c r="G8">
        <v>0</v>
      </c>
      <c r="H8">
        <v>2.86165259457099E-2</v>
      </c>
      <c r="I8">
        <v>0.1643693110363679</v>
      </c>
      <c r="J8">
        <f t="shared" si="0"/>
        <v>0.99999591117532116</v>
      </c>
      <c r="K8">
        <f t="shared" si="1"/>
        <v>4.0888246789068984E-6</v>
      </c>
      <c r="L8">
        <f t="shared" si="2"/>
        <v>0</v>
      </c>
      <c r="M8">
        <f t="shared" si="3"/>
        <v>0</v>
      </c>
      <c r="N8">
        <f t="shared" si="4"/>
        <v>0</v>
      </c>
      <c r="P8">
        <f t="shared" si="5"/>
        <v>0.14828303668920254</v>
      </c>
      <c r="Q8">
        <f t="shared" si="6"/>
        <v>0.85171696331079749</v>
      </c>
    </row>
    <row r="9" spans="1:17" hidden="1" x14ac:dyDescent="0.25">
      <c r="A9" t="s">
        <v>97</v>
      </c>
      <c r="B9">
        <v>7572.2333109786059</v>
      </c>
      <c r="C9">
        <v>63.609857442565911</v>
      </c>
      <c r="D9">
        <v>45.54038321216337</v>
      </c>
      <c r="E9">
        <v>0</v>
      </c>
      <c r="F9">
        <v>0</v>
      </c>
      <c r="G9">
        <v>0</v>
      </c>
      <c r="H9">
        <v>1.026562225279317E-2</v>
      </c>
      <c r="I9">
        <v>0</v>
      </c>
      <c r="J9">
        <f t="shared" si="0"/>
        <v>0.58277340536316813</v>
      </c>
      <c r="K9">
        <f t="shared" si="1"/>
        <v>0.41722659463683176</v>
      </c>
      <c r="L9">
        <f t="shared" si="2"/>
        <v>0</v>
      </c>
      <c r="M9">
        <f t="shared" si="3"/>
        <v>0</v>
      </c>
      <c r="N9">
        <f t="shared" si="4"/>
        <v>0</v>
      </c>
      <c r="P9">
        <f t="shared" si="5"/>
        <v>1</v>
      </c>
      <c r="Q9">
        <f t="shared" si="6"/>
        <v>0</v>
      </c>
    </row>
    <row r="10" spans="1:17" x14ac:dyDescent="0.25">
      <c r="A10" t="s">
        <v>148</v>
      </c>
      <c r="B10">
        <v>43252.206084732803</v>
      </c>
      <c r="C10">
        <v>73.886715539512267</v>
      </c>
      <c r="D10">
        <v>4.5845915166839104</v>
      </c>
      <c r="E10">
        <v>0</v>
      </c>
      <c r="F10">
        <v>0</v>
      </c>
      <c r="G10">
        <v>0</v>
      </c>
      <c r="H10">
        <v>2.6882115903539372E-4</v>
      </c>
      <c r="I10">
        <v>0</v>
      </c>
      <c r="J10">
        <f t="shared" si="0"/>
        <v>0.94157620551164367</v>
      </c>
      <c r="K10">
        <f t="shared" si="1"/>
        <v>5.8423794488356315E-2</v>
      </c>
      <c r="L10">
        <f t="shared" si="2"/>
        <v>0</v>
      </c>
      <c r="M10">
        <f t="shared" si="3"/>
        <v>0</v>
      </c>
      <c r="N10">
        <f t="shared" si="4"/>
        <v>0</v>
      </c>
      <c r="P10">
        <f t="shared" si="5"/>
        <v>1</v>
      </c>
      <c r="Q10">
        <f t="shared" si="6"/>
        <v>0</v>
      </c>
    </row>
    <row r="11" spans="1:17" hidden="1" x14ac:dyDescent="0.25">
      <c r="A11" t="s">
        <v>75</v>
      </c>
      <c r="B11">
        <v>3626.6186625782998</v>
      </c>
      <c r="C11">
        <v>49.709975168624133</v>
      </c>
      <c r="D11">
        <v>1.32383477826106</v>
      </c>
      <c r="E11">
        <v>0</v>
      </c>
      <c r="F11">
        <v>0</v>
      </c>
      <c r="G11">
        <v>0</v>
      </c>
      <c r="H11">
        <v>0</v>
      </c>
      <c r="I11">
        <v>0</v>
      </c>
      <c r="J11">
        <f t="shared" si="0"/>
        <v>0.97405965222586999</v>
      </c>
      <c r="K11">
        <f t="shared" si="1"/>
        <v>2.5940347774130065E-2</v>
      </c>
      <c r="L11">
        <f t="shared" si="2"/>
        <v>0</v>
      </c>
      <c r="M11">
        <f t="shared" si="3"/>
        <v>0</v>
      </c>
      <c r="N11">
        <f t="shared" si="4"/>
        <v>0</v>
      </c>
      <c r="P11" t="e">
        <f t="shared" si="5"/>
        <v>#DIV/0!</v>
      </c>
      <c r="Q11" t="e">
        <f t="shared" si="6"/>
        <v>#DIV/0!</v>
      </c>
    </row>
    <row r="12" spans="1:17" x14ac:dyDescent="0.25">
      <c r="A12" t="s">
        <v>99</v>
      </c>
      <c r="B12">
        <v>10905.17892109573</v>
      </c>
      <c r="C12">
        <v>33.074247284420252</v>
      </c>
      <c r="D12">
        <v>9.2349951212306429</v>
      </c>
      <c r="E12">
        <v>0</v>
      </c>
      <c r="F12">
        <v>0</v>
      </c>
      <c r="G12">
        <v>0</v>
      </c>
      <c r="H12">
        <v>0</v>
      </c>
      <c r="I12">
        <v>3.3410753240558463E-2</v>
      </c>
      <c r="J12">
        <f t="shared" si="0"/>
        <v>0.78172629439478691</v>
      </c>
      <c r="K12">
        <f t="shared" si="1"/>
        <v>0.21827370560521314</v>
      </c>
      <c r="L12">
        <f t="shared" si="2"/>
        <v>0</v>
      </c>
      <c r="M12">
        <f t="shared" si="3"/>
        <v>0</v>
      </c>
      <c r="N12">
        <f t="shared" si="4"/>
        <v>0</v>
      </c>
      <c r="P12">
        <f t="shared" si="5"/>
        <v>0</v>
      </c>
      <c r="Q12">
        <f t="shared" si="6"/>
        <v>1</v>
      </c>
    </row>
    <row r="13" spans="1:17" hidden="1" x14ac:dyDescent="0.25">
      <c r="A13" t="s">
        <v>137</v>
      </c>
      <c r="B13">
        <v>19178.337422847078</v>
      </c>
      <c r="C13">
        <v>321.22646803003357</v>
      </c>
      <c r="D13">
        <v>5.2070901585204776</v>
      </c>
      <c r="E13">
        <v>0</v>
      </c>
      <c r="F13">
        <v>0</v>
      </c>
      <c r="G13">
        <v>1.70359031020601E-3</v>
      </c>
      <c r="H13">
        <v>6.8590201036447807E-3</v>
      </c>
      <c r="I13">
        <v>7.7010008195374617E-3</v>
      </c>
      <c r="J13">
        <f t="shared" si="0"/>
        <v>0.98404340964745629</v>
      </c>
      <c r="K13">
        <f t="shared" si="1"/>
        <v>1.5951371583281637E-2</v>
      </c>
      <c r="L13">
        <f t="shared" si="2"/>
        <v>0</v>
      </c>
      <c r="M13">
        <f t="shared" si="3"/>
        <v>0</v>
      </c>
      <c r="N13">
        <f t="shared" si="4"/>
        <v>5.2187692620047472E-6</v>
      </c>
      <c r="P13">
        <f t="shared" si="5"/>
        <v>0.47108586861464974</v>
      </c>
      <c r="Q13">
        <f t="shared" si="6"/>
        <v>0.52891413138535026</v>
      </c>
    </row>
    <row r="14" spans="1:17" x14ac:dyDescent="0.25">
      <c r="A14" t="s">
        <v>107</v>
      </c>
      <c r="B14">
        <v>13203.51181056138</v>
      </c>
      <c r="C14">
        <v>1.1980642443550931</v>
      </c>
      <c r="D14">
        <v>2.5176706990639128</v>
      </c>
      <c r="E14">
        <v>0</v>
      </c>
      <c r="F14">
        <v>0</v>
      </c>
      <c r="G14">
        <v>0</v>
      </c>
      <c r="H14">
        <v>0</v>
      </c>
      <c r="I14">
        <v>0</v>
      </c>
      <c r="J14">
        <f t="shared" si="0"/>
        <v>0.32242995331973362</v>
      </c>
      <c r="K14">
        <f t="shared" si="1"/>
        <v>0.67757004668026644</v>
      </c>
      <c r="L14">
        <f t="shared" si="2"/>
        <v>0</v>
      </c>
      <c r="M14">
        <f t="shared" si="3"/>
        <v>0</v>
      </c>
      <c r="N14">
        <f t="shared" si="4"/>
        <v>0</v>
      </c>
      <c r="P14" t="e">
        <f t="shared" si="5"/>
        <v>#DIV/0!</v>
      </c>
      <c r="Q14" t="e">
        <f t="shared" si="6"/>
        <v>#DIV/0!</v>
      </c>
    </row>
    <row r="15" spans="1:17" hidden="1" x14ac:dyDescent="0.25">
      <c r="A15" t="s">
        <v>110</v>
      </c>
      <c r="B15">
        <v>5166.8535909133188</v>
      </c>
      <c r="C15">
        <v>200.909706386605</v>
      </c>
      <c r="D15">
        <v>75.05888669139685</v>
      </c>
      <c r="E15">
        <v>0</v>
      </c>
      <c r="F15">
        <v>0</v>
      </c>
      <c r="G15">
        <v>0</v>
      </c>
      <c r="H15">
        <v>0</v>
      </c>
      <c r="I15">
        <v>7.5777282259869444E-4</v>
      </c>
      <c r="J15">
        <f t="shared" si="0"/>
        <v>0.72801656212313393</v>
      </c>
      <c r="K15">
        <f t="shared" si="1"/>
        <v>0.27198343787686607</v>
      </c>
      <c r="L15">
        <f t="shared" si="2"/>
        <v>0</v>
      </c>
      <c r="M15">
        <f t="shared" si="3"/>
        <v>0</v>
      </c>
      <c r="N15">
        <f t="shared" si="4"/>
        <v>0</v>
      </c>
      <c r="P15">
        <f t="shared" si="5"/>
        <v>0</v>
      </c>
      <c r="Q15">
        <f t="shared" si="6"/>
        <v>1</v>
      </c>
    </row>
    <row r="16" spans="1:17" x14ac:dyDescent="0.25">
      <c r="A16" t="s">
        <v>136</v>
      </c>
      <c r="B16">
        <v>26826.379427587261</v>
      </c>
      <c r="C16">
        <v>126.3575964280767</v>
      </c>
      <c r="D16">
        <v>6.931275576505775</v>
      </c>
      <c r="E16">
        <v>0</v>
      </c>
      <c r="F16">
        <v>0</v>
      </c>
      <c r="G16">
        <v>7.5804873702324197E-3</v>
      </c>
      <c r="H16">
        <v>0</v>
      </c>
      <c r="I16">
        <v>0</v>
      </c>
      <c r="J16">
        <f t="shared" si="0"/>
        <v>0.94794418055278007</v>
      </c>
      <c r="K16">
        <f t="shared" si="1"/>
        <v>5.1998950061512138E-2</v>
      </c>
      <c r="L16">
        <f t="shared" si="2"/>
        <v>0</v>
      </c>
      <c r="M16">
        <f t="shared" si="3"/>
        <v>0</v>
      </c>
      <c r="N16">
        <f t="shared" si="4"/>
        <v>5.6869385707695885E-5</v>
      </c>
      <c r="P16" t="e">
        <f t="shared" si="5"/>
        <v>#DIV/0!</v>
      </c>
      <c r="Q16" t="e">
        <f t="shared" si="6"/>
        <v>#DIV/0!</v>
      </c>
    </row>
    <row r="17" spans="1:17" hidden="1" x14ac:dyDescent="0.25">
      <c r="A17" t="s">
        <v>121</v>
      </c>
      <c r="B17">
        <v>11915.494142950891</v>
      </c>
      <c r="C17">
        <v>12161.543428431791</v>
      </c>
      <c r="D17">
        <v>66.193783544915476</v>
      </c>
      <c r="E17">
        <v>3.6581919195961881E-3</v>
      </c>
      <c r="F17">
        <v>4.4935243582172914E-3</v>
      </c>
      <c r="G17">
        <v>0</v>
      </c>
      <c r="H17">
        <v>0</v>
      </c>
      <c r="I17">
        <v>6.2979287104853379</v>
      </c>
      <c r="J17">
        <f t="shared" si="0"/>
        <v>0.99458592460898287</v>
      </c>
      <c r="K17">
        <f t="shared" si="1"/>
        <v>5.4134087336705746E-3</v>
      </c>
      <c r="L17">
        <f t="shared" si="2"/>
        <v>2.991714180161299E-7</v>
      </c>
      <c r="M17">
        <f t="shared" si="3"/>
        <v>3.6748592848192677E-7</v>
      </c>
      <c r="N17">
        <f t="shared" si="4"/>
        <v>0</v>
      </c>
      <c r="P17">
        <f t="shared" si="5"/>
        <v>0</v>
      </c>
      <c r="Q17">
        <f t="shared" si="6"/>
        <v>1</v>
      </c>
    </row>
    <row r="18" spans="1:17" hidden="1" x14ac:dyDescent="0.25">
      <c r="A18" t="s">
        <v>77</v>
      </c>
      <c r="B18">
        <v>1855.1152679937879</v>
      </c>
      <c r="C18">
        <v>7.4925362959737978</v>
      </c>
      <c r="D18">
        <v>1.5138066439380341E-3</v>
      </c>
      <c r="E18">
        <v>0</v>
      </c>
      <c r="F18">
        <v>0</v>
      </c>
      <c r="G18">
        <v>0</v>
      </c>
      <c r="H18">
        <v>0</v>
      </c>
      <c r="I18">
        <v>0</v>
      </c>
      <c r="J18">
        <f t="shared" si="0"/>
        <v>0.99979799886266973</v>
      </c>
      <c r="K18">
        <f t="shared" si="1"/>
        <v>2.0200113733016655E-4</v>
      </c>
      <c r="L18">
        <f t="shared" si="2"/>
        <v>0</v>
      </c>
      <c r="M18">
        <f t="shared" si="3"/>
        <v>0</v>
      </c>
      <c r="N18">
        <f t="shared" si="4"/>
        <v>0</v>
      </c>
      <c r="P18" t="e">
        <f t="shared" si="5"/>
        <v>#DIV/0!</v>
      </c>
      <c r="Q18" t="e">
        <f t="shared" si="6"/>
        <v>#DIV/0!</v>
      </c>
    </row>
    <row r="19" spans="1:17" hidden="1" x14ac:dyDescent="0.25">
      <c r="A19" t="s">
        <v>88</v>
      </c>
      <c r="B19">
        <v>4547.6334844615012</v>
      </c>
      <c r="C19">
        <v>152.2249495467812</v>
      </c>
      <c r="D19">
        <v>64.731792714633698</v>
      </c>
      <c r="E19">
        <v>0</v>
      </c>
      <c r="F19">
        <v>0</v>
      </c>
      <c r="G19">
        <v>0</v>
      </c>
      <c r="H19">
        <v>0</v>
      </c>
      <c r="I19">
        <v>7.5777282259869444E-4</v>
      </c>
      <c r="J19">
        <f t="shared" si="0"/>
        <v>0.70163733083419344</v>
      </c>
      <c r="K19">
        <f t="shared" si="1"/>
        <v>0.29836266916580656</v>
      </c>
      <c r="L19">
        <f t="shared" si="2"/>
        <v>0</v>
      </c>
      <c r="M19">
        <f t="shared" si="3"/>
        <v>0</v>
      </c>
      <c r="N19">
        <f t="shared" si="4"/>
        <v>0</v>
      </c>
      <c r="P19">
        <f t="shared" si="5"/>
        <v>0</v>
      </c>
      <c r="Q19">
        <f t="shared" si="6"/>
        <v>1</v>
      </c>
    </row>
    <row r="20" spans="1:17" hidden="1" x14ac:dyDescent="0.25">
      <c r="A20" t="s">
        <v>105</v>
      </c>
      <c r="B20">
        <v>8331.1072302104858</v>
      </c>
      <c r="C20">
        <v>23.200698318270671</v>
      </c>
      <c r="D20">
        <v>2.693122681850916</v>
      </c>
      <c r="E20">
        <v>0</v>
      </c>
      <c r="F20">
        <v>2.6418321186372049E-3</v>
      </c>
      <c r="G20">
        <v>0</v>
      </c>
      <c r="H20">
        <v>0</v>
      </c>
      <c r="I20">
        <v>0</v>
      </c>
      <c r="J20">
        <f t="shared" si="0"/>
        <v>0.8959022113779409</v>
      </c>
      <c r="K20">
        <f t="shared" si="1"/>
        <v>0.10399577344972645</v>
      </c>
      <c r="L20">
        <f t="shared" si="2"/>
        <v>0</v>
      </c>
      <c r="M20">
        <f t="shared" si="3"/>
        <v>1.020151723326559E-4</v>
      </c>
      <c r="N20">
        <f t="shared" si="4"/>
        <v>0</v>
      </c>
      <c r="P20" t="e">
        <f t="shared" si="5"/>
        <v>#DIV/0!</v>
      </c>
      <c r="Q20" t="e">
        <f t="shared" si="6"/>
        <v>#DIV/0!</v>
      </c>
    </row>
    <row r="21" spans="1:17" hidden="1" x14ac:dyDescent="0.25">
      <c r="A21" t="s">
        <v>141</v>
      </c>
      <c r="B21">
        <v>26929.051965073821</v>
      </c>
      <c r="C21">
        <v>6.8088497105207857</v>
      </c>
      <c r="D21">
        <v>0.15084350017032611</v>
      </c>
      <c r="E21">
        <v>0</v>
      </c>
      <c r="F21">
        <v>0</v>
      </c>
      <c r="G21">
        <v>0</v>
      </c>
      <c r="H21">
        <v>0</v>
      </c>
      <c r="I21">
        <v>0</v>
      </c>
      <c r="J21">
        <f t="shared" si="0"/>
        <v>0.97832612794790885</v>
      </c>
      <c r="K21">
        <f t="shared" si="1"/>
        <v>2.1673872052091075E-2</v>
      </c>
      <c r="L21">
        <f t="shared" si="2"/>
        <v>0</v>
      </c>
      <c r="M21">
        <f t="shared" si="3"/>
        <v>0</v>
      </c>
      <c r="N21">
        <f t="shared" si="4"/>
        <v>0</v>
      </c>
      <c r="P21" t="e">
        <f t="shared" si="5"/>
        <v>#DIV/0!</v>
      </c>
      <c r="Q21" t="e">
        <f t="shared" si="6"/>
        <v>#DIV/0!</v>
      </c>
    </row>
    <row r="22" spans="1:17" hidden="1" x14ac:dyDescent="0.25">
      <c r="A22" t="s">
        <v>119</v>
      </c>
      <c r="B22">
        <v>10974.599498306419</v>
      </c>
      <c r="C22">
        <v>61.641934468842173</v>
      </c>
      <c r="D22">
        <v>44.656797017364603</v>
      </c>
      <c r="E22">
        <v>0</v>
      </c>
      <c r="F22">
        <v>0</v>
      </c>
      <c r="G22">
        <v>0</v>
      </c>
      <c r="H22">
        <v>0</v>
      </c>
      <c r="I22">
        <v>0</v>
      </c>
      <c r="J22">
        <f t="shared" si="0"/>
        <v>0.57989341553752005</v>
      </c>
      <c r="K22">
        <f t="shared" si="1"/>
        <v>0.42010658446247995</v>
      </c>
      <c r="L22">
        <f t="shared" si="2"/>
        <v>0</v>
      </c>
      <c r="M22">
        <f t="shared" si="3"/>
        <v>0</v>
      </c>
      <c r="N22">
        <f t="shared" si="4"/>
        <v>0</v>
      </c>
      <c r="P22" t="e">
        <f t="shared" si="5"/>
        <v>#DIV/0!</v>
      </c>
      <c r="Q22" t="e">
        <f t="shared" si="6"/>
        <v>#DIV/0!</v>
      </c>
    </row>
    <row r="23" spans="1:17" hidden="1" x14ac:dyDescent="0.25">
      <c r="A23" t="s">
        <v>122</v>
      </c>
      <c r="B23">
        <v>9093.5321077155022</v>
      </c>
      <c r="C23">
        <v>43.12694053488525</v>
      </c>
      <c r="D23">
        <v>8.0045501444519968E-2</v>
      </c>
      <c r="E23">
        <v>0</v>
      </c>
      <c r="F23">
        <v>0</v>
      </c>
      <c r="G23">
        <v>0</v>
      </c>
      <c r="H23">
        <v>1.058452911663074E-2</v>
      </c>
      <c r="I23">
        <v>0</v>
      </c>
      <c r="J23">
        <f t="shared" si="0"/>
        <v>0.99814739446585743</v>
      </c>
      <c r="K23">
        <f t="shared" si="1"/>
        <v>1.8526055341424469E-3</v>
      </c>
      <c r="L23">
        <f t="shared" si="2"/>
        <v>0</v>
      </c>
      <c r="M23">
        <f t="shared" si="3"/>
        <v>0</v>
      </c>
      <c r="N23">
        <f t="shared" si="4"/>
        <v>0</v>
      </c>
      <c r="P23">
        <f t="shared" si="5"/>
        <v>1</v>
      </c>
      <c r="Q23">
        <f t="shared" si="6"/>
        <v>0</v>
      </c>
    </row>
    <row r="24" spans="1:17" hidden="1" x14ac:dyDescent="0.25">
      <c r="A24" t="s">
        <v>106</v>
      </c>
      <c r="B24">
        <v>9130.9997121729793</v>
      </c>
      <c r="C24">
        <v>76.864057912229256</v>
      </c>
      <c r="D24">
        <v>9.3412440780629353</v>
      </c>
      <c r="E24">
        <v>0</v>
      </c>
      <c r="F24">
        <v>0</v>
      </c>
      <c r="G24">
        <v>0</v>
      </c>
      <c r="H24">
        <v>0</v>
      </c>
      <c r="I24">
        <v>4.1345180096632732E-2</v>
      </c>
      <c r="J24">
        <f t="shared" si="0"/>
        <v>0.89163956436096159</v>
      </c>
      <c r="K24">
        <f t="shared" si="1"/>
        <v>0.10836043563903852</v>
      </c>
      <c r="L24">
        <f t="shared" si="2"/>
        <v>0</v>
      </c>
      <c r="M24">
        <f t="shared" si="3"/>
        <v>0</v>
      </c>
      <c r="N24">
        <f t="shared" si="4"/>
        <v>0</v>
      </c>
      <c r="P24">
        <f t="shared" si="5"/>
        <v>0</v>
      </c>
      <c r="Q24">
        <f t="shared" si="6"/>
        <v>1</v>
      </c>
    </row>
    <row r="25" spans="1:17" hidden="1" x14ac:dyDescent="0.25">
      <c r="A25" t="s">
        <v>146</v>
      </c>
      <c r="B25">
        <v>9297.3326132160164</v>
      </c>
      <c r="C25">
        <v>386.30356182366711</v>
      </c>
      <c r="D25">
        <v>0.63194670584174484</v>
      </c>
      <c r="E25">
        <v>1.0251236319632599E-3</v>
      </c>
      <c r="F25">
        <v>0</v>
      </c>
      <c r="G25">
        <v>0</v>
      </c>
      <c r="H25">
        <v>1.0940253842755449E-2</v>
      </c>
      <c r="I25">
        <v>0.160884526064664</v>
      </c>
      <c r="J25">
        <f t="shared" si="0"/>
        <v>0.99836414560419584</v>
      </c>
      <c r="K25">
        <f t="shared" si="1"/>
        <v>1.6332050630510817E-3</v>
      </c>
      <c r="L25">
        <f t="shared" si="2"/>
        <v>2.6493327530612688E-6</v>
      </c>
      <c r="M25">
        <f t="shared" si="3"/>
        <v>0</v>
      </c>
      <c r="N25">
        <f t="shared" si="4"/>
        <v>0</v>
      </c>
      <c r="P25">
        <f t="shared" si="5"/>
        <v>6.3670989997194491E-2</v>
      </c>
      <c r="Q25">
        <f t="shared" si="6"/>
        <v>0.93632901000280544</v>
      </c>
    </row>
    <row r="26" spans="1:17" hidden="1" x14ac:dyDescent="0.25">
      <c r="A26" t="s">
        <v>143</v>
      </c>
      <c r="B26">
        <v>9330.8849054874718</v>
      </c>
      <c r="C26">
        <v>54.202177981598062</v>
      </c>
      <c r="D26">
        <v>11.155841059605731</v>
      </c>
      <c r="E26">
        <v>0</v>
      </c>
      <c r="F26">
        <v>5.0885354625775656E-3</v>
      </c>
      <c r="G26">
        <v>0</v>
      </c>
      <c r="H26">
        <v>0</v>
      </c>
      <c r="I26">
        <v>0</v>
      </c>
      <c r="J26">
        <f t="shared" si="0"/>
        <v>0.82924726181390152</v>
      </c>
      <c r="K26">
        <f t="shared" si="1"/>
        <v>0.17067488791778615</v>
      </c>
      <c r="L26">
        <f t="shared" si="2"/>
        <v>0</v>
      </c>
      <c r="M26">
        <f t="shared" si="3"/>
        <v>7.7850268312427894E-5</v>
      </c>
      <c r="N26">
        <f t="shared" si="4"/>
        <v>0</v>
      </c>
      <c r="P26" t="e">
        <f t="shared" si="5"/>
        <v>#DIV/0!</v>
      </c>
      <c r="Q26" t="e">
        <f t="shared" si="6"/>
        <v>#DIV/0!</v>
      </c>
    </row>
    <row r="27" spans="1:17" hidden="1" x14ac:dyDescent="0.25">
      <c r="A27" t="s">
        <v>114</v>
      </c>
      <c r="B27">
        <v>9848.8843294309481</v>
      </c>
      <c r="C27">
        <v>64.807921686921006</v>
      </c>
      <c r="D27">
        <v>48.058053911227283</v>
      </c>
      <c r="E27">
        <v>0</v>
      </c>
      <c r="F27">
        <v>0</v>
      </c>
      <c r="G27">
        <v>0</v>
      </c>
      <c r="H27">
        <v>1.026562225279317E-2</v>
      </c>
      <c r="I27">
        <v>0</v>
      </c>
      <c r="J27">
        <f t="shared" si="0"/>
        <v>0.57420246751479165</v>
      </c>
      <c r="K27">
        <f t="shared" si="1"/>
        <v>0.42579753248520841</v>
      </c>
      <c r="L27">
        <f t="shared" si="2"/>
        <v>0</v>
      </c>
      <c r="M27">
        <f t="shared" si="3"/>
        <v>0</v>
      </c>
      <c r="N27">
        <f t="shared" si="4"/>
        <v>0</v>
      </c>
      <c r="P27">
        <f t="shared" si="5"/>
        <v>1</v>
      </c>
      <c r="Q27">
        <f t="shared" si="6"/>
        <v>0</v>
      </c>
    </row>
    <row r="28" spans="1:17" x14ac:dyDescent="0.25">
      <c r="A28" t="s">
        <v>115</v>
      </c>
      <c r="B28">
        <v>16016.226284857339</v>
      </c>
      <c r="C28">
        <v>3211.6865408989238</v>
      </c>
      <c r="D28">
        <v>10.745022403023</v>
      </c>
      <c r="E28">
        <v>2.8135239396411891E-3</v>
      </c>
      <c r="F28">
        <v>0</v>
      </c>
      <c r="G28">
        <v>0</v>
      </c>
      <c r="H28">
        <v>0</v>
      </c>
      <c r="I28">
        <v>5.6094264504315046</v>
      </c>
      <c r="J28">
        <f t="shared" si="0"/>
        <v>0.99666468431312194</v>
      </c>
      <c r="K28">
        <f t="shared" si="1"/>
        <v>3.3344425817623323E-3</v>
      </c>
      <c r="L28">
        <f t="shared" si="2"/>
        <v>8.7310511577043319E-7</v>
      </c>
      <c r="M28">
        <f t="shared" si="3"/>
        <v>0</v>
      </c>
      <c r="N28">
        <f t="shared" si="4"/>
        <v>0</v>
      </c>
      <c r="P28">
        <f t="shared" si="5"/>
        <v>0</v>
      </c>
      <c r="Q28">
        <f t="shared" si="6"/>
        <v>1</v>
      </c>
    </row>
    <row r="29" spans="1:17" x14ac:dyDescent="0.25">
      <c r="A29" t="s">
        <v>76</v>
      </c>
      <c r="B29">
        <v>2031.864623916309</v>
      </c>
      <c r="C29">
        <v>3.4690331582407068</v>
      </c>
      <c r="D29">
        <v>0.1003722028596889</v>
      </c>
      <c r="E29">
        <v>0</v>
      </c>
      <c r="F29">
        <v>0</v>
      </c>
      <c r="G29">
        <v>0</v>
      </c>
      <c r="H29">
        <v>0</v>
      </c>
      <c r="I29">
        <v>0</v>
      </c>
      <c r="J29">
        <f t="shared" si="0"/>
        <v>0.97187985316726666</v>
      </c>
      <c r="K29">
        <f t="shared" si="1"/>
        <v>2.8120146832733398E-2</v>
      </c>
      <c r="L29">
        <f t="shared" si="2"/>
        <v>0</v>
      </c>
      <c r="M29">
        <f t="shared" si="3"/>
        <v>0</v>
      </c>
      <c r="N29">
        <f t="shared" si="4"/>
        <v>0</v>
      </c>
      <c r="P29" t="e">
        <f t="shared" si="5"/>
        <v>#DIV/0!</v>
      </c>
      <c r="Q29" t="e">
        <f t="shared" si="6"/>
        <v>#DIV/0!</v>
      </c>
    </row>
    <row r="30" spans="1:17" x14ac:dyDescent="0.25">
      <c r="A30" t="s">
        <v>89</v>
      </c>
      <c r="B30">
        <v>5947.5328235082943</v>
      </c>
      <c r="C30">
        <v>48.684756839823827</v>
      </c>
      <c r="D30">
        <v>10.32709397676315</v>
      </c>
      <c r="E30">
        <v>0</v>
      </c>
      <c r="F30">
        <v>0</v>
      </c>
      <c r="G30">
        <v>0</v>
      </c>
      <c r="H30">
        <v>0</v>
      </c>
      <c r="I30">
        <v>0</v>
      </c>
      <c r="J30">
        <f t="shared" si="0"/>
        <v>0.82499965966394628</v>
      </c>
      <c r="K30">
        <f t="shared" si="1"/>
        <v>0.17500034033605372</v>
      </c>
      <c r="L30">
        <f t="shared" si="2"/>
        <v>0</v>
      </c>
      <c r="M30">
        <f t="shared" si="3"/>
        <v>0</v>
      </c>
      <c r="N30">
        <f t="shared" si="4"/>
        <v>0</v>
      </c>
      <c r="P30" t="e">
        <f t="shared" si="5"/>
        <v>#DIV/0!</v>
      </c>
      <c r="Q30" t="e">
        <f t="shared" si="6"/>
        <v>#DIV/0!</v>
      </c>
    </row>
    <row r="31" spans="1:17" hidden="1" x14ac:dyDescent="0.25">
      <c r="A31" t="s">
        <v>93</v>
      </c>
      <c r="B31">
        <v>10262.470825353759</v>
      </c>
      <c r="C31">
        <v>358.70174327850953</v>
      </c>
      <c r="D31">
        <v>44.337189764100088</v>
      </c>
      <c r="E31">
        <v>0</v>
      </c>
      <c r="F31">
        <v>0.1046898692354428</v>
      </c>
      <c r="G31">
        <v>0</v>
      </c>
      <c r="H31">
        <v>0</v>
      </c>
      <c r="I31">
        <v>1.2819887299277851E-3</v>
      </c>
      <c r="J31">
        <f t="shared" si="0"/>
        <v>0.88976167026446162</v>
      </c>
      <c r="K31">
        <f t="shared" si="1"/>
        <v>0.10997864593233377</v>
      </c>
      <c r="L31">
        <f t="shared" si="2"/>
        <v>0</v>
      </c>
      <c r="M31">
        <f t="shared" si="3"/>
        <v>2.5968380320463412E-4</v>
      </c>
      <c r="N31">
        <f t="shared" si="4"/>
        <v>0</v>
      </c>
      <c r="P31">
        <f t="shared" si="5"/>
        <v>0</v>
      </c>
      <c r="Q31">
        <f t="shared" si="6"/>
        <v>1</v>
      </c>
    </row>
    <row r="32" spans="1:17" hidden="1" x14ac:dyDescent="0.25">
      <c r="A32" t="s">
        <v>133</v>
      </c>
      <c r="B32">
        <v>16686.589257831722</v>
      </c>
      <c r="C32">
        <v>125.9034271619982</v>
      </c>
      <c r="D32">
        <v>9.5446264126192126</v>
      </c>
      <c r="E32">
        <v>0</v>
      </c>
      <c r="F32">
        <v>3.3680900143923798E-4</v>
      </c>
      <c r="G32">
        <v>4.4280599042968299E-3</v>
      </c>
      <c r="H32">
        <v>1.3348719348427169E-2</v>
      </c>
      <c r="I32">
        <v>4.3526024521413111E-3</v>
      </c>
      <c r="J32">
        <f t="shared" si="0"/>
        <v>0.92950023933605674</v>
      </c>
      <c r="K32">
        <f t="shared" si="1"/>
        <v>7.0464583330902275E-2</v>
      </c>
      <c r="L32">
        <f t="shared" si="2"/>
        <v>0</v>
      </c>
      <c r="M32">
        <f t="shared" si="3"/>
        <v>2.4865411093654725E-6</v>
      </c>
      <c r="N32">
        <f t="shared" si="4"/>
        <v>3.2690791931679908E-5</v>
      </c>
      <c r="P32">
        <f t="shared" si="5"/>
        <v>0.7541086196172353</v>
      </c>
      <c r="Q32">
        <f t="shared" si="6"/>
        <v>0.24589138038276481</v>
      </c>
    </row>
    <row r="33" spans="1:17" hidden="1" x14ac:dyDescent="0.25">
      <c r="A33" t="s">
        <v>116</v>
      </c>
      <c r="B33">
        <v>10821.216556128329</v>
      </c>
      <c r="C33">
        <v>744.85678233556928</v>
      </c>
      <c r="D33">
        <v>7.7165457270564746</v>
      </c>
      <c r="E33">
        <v>0</v>
      </c>
      <c r="F33">
        <v>4.6983296121773993E-3</v>
      </c>
      <c r="G33">
        <v>0</v>
      </c>
      <c r="H33">
        <v>3.5434066333734021E-3</v>
      </c>
      <c r="I33">
        <v>0.19109042238583271</v>
      </c>
      <c r="J33">
        <f t="shared" si="0"/>
        <v>0.98974027438233447</v>
      </c>
      <c r="K33">
        <f t="shared" si="1"/>
        <v>1.0253482637605831E-2</v>
      </c>
      <c r="L33">
        <f t="shared" si="2"/>
        <v>0</v>
      </c>
      <c r="M33">
        <f t="shared" si="3"/>
        <v>6.2429800597561768E-6</v>
      </c>
      <c r="N33">
        <f t="shared" si="4"/>
        <v>0</v>
      </c>
      <c r="P33">
        <f t="shared" si="5"/>
        <v>1.820550235911839E-2</v>
      </c>
      <c r="Q33">
        <f t="shared" si="6"/>
        <v>0.98179449764088156</v>
      </c>
    </row>
    <row r="34" spans="1:17" hidden="1" x14ac:dyDescent="0.25">
      <c r="A34" t="s">
        <v>104</v>
      </c>
      <c r="B34">
        <v>8203.8802989377782</v>
      </c>
      <c r="C34">
        <v>277.81069400531021</v>
      </c>
      <c r="D34">
        <v>0.49194542747900361</v>
      </c>
      <c r="E34">
        <v>1.0251236319632599E-3</v>
      </c>
      <c r="F34">
        <v>0</v>
      </c>
      <c r="G34">
        <v>0</v>
      </c>
      <c r="H34">
        <v>2.7154163472060781E-4</v>
      </c>
      <c r="I34">
        <v>8.4317014865480377E-2</v>
      </c>
      <c r="J34">
        <f t="shared" ref="J34:J67" si="7">C34/SUM($C34:$G34)</f>
        <v>0.99822865950437023</v>
      </c>
      <c r="K34">
        <f t="shared" ref="K34:K67" si="8">D34/SUM($C34:$G34)</f>
        <v>1.767657024075119E-3</v>
      </c>
      <c r="L34">
        <f t="shared" ref="L34:L67" si="9">E34/SUM($C34:$G34)</f>
        <v>3.683471554703277E-6</v>
      </c>
      <c r="M34">
        <f t="shared" ref="M34:M67" si="10">F34/SUM($C34:$G34)</f>
        <v>0</v>
      </c>
      <c r="N34">
        <f t="shared" ref="N34:N67" si="11">G34/SUM($C34:$G34)</f>
        <v>0</v>
      </c>
      <c r="P34">
        <f t="shared" si="5"/>
        <v>3.2101462178274979E-3</v>
      </c>
      <c r="Q34">
        <f t="shared" si="6"/>
        <v>0.99678985378217244</v>
      </c>
    </row>
    <row r="35" spans="1:17" x14ac:dyDescent="0.25">
      <c r="A35" t="s">
        <v>90</v>
      </c>
      <c r="B35">
        <v>9977.4163604595724</v>
      </c>
      <c r="C35">
        <v>31.001479663327391</v>
      </c>
      <c r="D35">
        <v>8.4627183777548147</v>
      </c>
      <c r="E35">
        <v>0</v>
      </c>
      <c r="F35">
        <v>2.446703343940362E-3</v>
      </c>
      <c r="G35">
        <v>0</v>
      </c>
      <c r="H35">
        <v>0</v>
      </c>
      <c r="I35">
        <v>0</v>
      </c>
      <c r="J35">
        <f t="shared" si="7"/>
        <v>0.78551090076401064</v>
      </c>
      <c r="K35">
        <f t="shared" si="8"/>
        <v>0.21442710502898779</v>
      </c>
      <c r="L35">
        <f t="shared" si="9"/>
        <v>0</v>
      </c>
      <c r="M35">
        <f t="shared" si="10"/>
        <v>6.1994207001493545E-5</v>
      </c>
      <c r="N35">
        <f t="shared" si="11"/>
        <v>0</v>
      </c>
      <c r="P35" t="e">
        <f t="shared" si="5"/>
        <v>#DIV/0!</v>
      </c>
      <c r="Q35" t="e">
        <f t="shared" si="6"/>
        <v>#DIV/0!</v>
      </c>
    </row>
    <row r="36" spans="1:17" hidden="1" x14ac:dyDescent="0.25">
      <c r="A36" t="s">
        <v>131</v>
      </c>
      <c r="B36">
        <v>16073.64651043119</v>
      </c>
      <c r="C36">
        <v>41.590056718594788</v>
      </c>
      <c r="D36">
        <v>17.95438419322123</v>
      </c>
      <c r="E36">
        <v>0</v>
      </c>
      <c r="F36">
        <v>0</v>
      </c>
      <c r="G36">
        <v>0</v>
      </c>
      <c r="H36">
        <v>0</v>
      </c>
      <c r="I36">
        <v>0.23323289459625501</v>
      </c>
      <c r="J36">
        <f t="shared" si="7"/>
        <v>0.698470857761327</v>
      </c>
      <c r="K36">
        <f t="shared" si="8"/>
        <v>0.301529142238673</v>
      </c>
      <c r="L36">
        <f t="shared" si="9"/>
        <v>0</v>
      </c>
      <c r="M36">
        <f t="shared" si="10"/>
        <v>0</v>
      </c>
      <c r="N36">
        <f t="shared" si="11"/>
        <v>0</v>
      </c>
      <c r="P36">
        <f t="shared" si="5"/>
        <v>0</v>
      </c>
      <c r="Q36">
        <f t="shared" si="6"/>
        <v>1</v>
      </c>
    </row>
    <row r="37" spans="1:17" hidden="1" x14ac:dyDescent="0.25">
      <c r="A37" t="s">
        <v>134</v>
      </c>
      <c r="B37">
        <v>11713.313624382359</v>
      </c>
      <c r="C37">
        <v>121.8716630938421</v>
      </c>
      <c r="D37">
        <v>4.384195499000505</v>
      </c>
      <c r="E37">
        <v>0</v>
      </c>
      <c r="F37">
        <v>3.1969572253001512E-3</v>
      </c>
      <c r="G37">
        <v>0</v>
      </c>
      <c r="H37">
        <v>1.95369608212787E-3</v>
      </c>
      <c r="I37">
        <v>4.8208085143414971E-4</v>
      </c>
      <c r="J37">
        <f t="shared" si="7"/>
        <v>0.96525086903975788</v>
      </c>
      <c r="K37">
        <f t="shared" si="8"/>
        <v>3.4723810342949669E-2</v>
      </c>
      <c r="L37">
        <f t="shared" si="9"/>
        <v>0</v>
      </c>
      <c r="M37">
        <f t="shared" si="10"/>
        <v>2.532061729253472E-5</v>
      </c>
      <c r="N37">
        <f t="shared" si="11"/>
        <v>0</v>
      </c>
      <c r="P37">
        <f t="shared" si="5"/>
        <v>0.80208333333333326</v>
      </c>
      <c r="Q37">
        <f t="shared" si="6"/>
        <v>0.19791666666666663</v>
      </c>
    </row>
    <row r="38" spans="1:17" hidden="1" x14ac:dyDescent="0.25">
      <c r="A38" t="s">
        <v>123</v>
      </c>
      <c r="B38">
        <v>12047.36614825924</v>
      </c>
      <c r="C38">
        <v>91.425394918601199</v>
      </c>
      <c r="D38">
        <v>11.015674383499601</v>
      </c>
      <c r="E38">
        <v>7.7780082853243096E-5</v>
      </c>
      <c r="F38">
        <v>0</v>
      </c>
      <c r="G38">
        <v>1.875568298604644E-3</v>
      </c>
      <c r="H38">
        <v>1.5163949131624339E-2</v>
      </c>
      <c r="I38">
        <v>6.3719722185563238E-2</v>
      </c>
      <c r="J38">
        <f t="shared" si="7"/>
        <v>0.89245116507864786</v>
      </c>
      <c r="K38">
        <f t="shared" si="8"/>
        <v>0.10752976726470834</v>
      </c>
      <c r="L38">
        <f t="shared" si="9"/>
        <v>7.5925212709327406E-7</v>
      </c>
      <c r="M38">
        <f t="shared" si="10"/>
        <v>0</v>
      </c>
      <c r="N38">
        <f t="shared" si="11"/>
        <v>1.8308404516760076E-5</v>
      </c>
      <c r="P38">
        <f t="shared" si="5"/>
        <v>0.19223178737017457</v>
      </c>
      <c r="Q38">
        <f t="shared" si="6"/>
        <v>0.80776821262982557</v>
      </c>
    </row>
    <row r="39" spans="1:17" hidden="1" x14ac:dyDescent="0.25">
      <c r="A39" t="s">
        <v>84</v>
      </c>
      <c r="B39">
        <v>3005.6584499286578</v>
      </c>
      <c r="C39">
        <v>28.93529662965123</v>
      </c>
      <c r="D39">
        <v>0.9061183812083039</v>
      </c>
      <c r="E39">
        <v>0</v>
      </c>
      <c r="F39">
        <v>0</v>
      </c>
      <c r="G39">
        <v>0</v>
      </c>
      <c r="H39">
        <v>0</v>
      </c>
      <c r="I39">
        <v>0</v>
      </c>
      <c r="J39">
        <f t="shared" si="7"/>
        <v>0.96963554238702954</v>
      </c>
      <c r="K39">
        <f t="shared" si="8"/>
        <v>3.0364457612970432E-2</v>
      </c>
      <c r="L39">
        <f t="shared" si="9"/>
        <v>0</v>
      </c>
      <c r="M39">
        <f t="shared" si="10"/>
        <v>0</v>
      </c>
      <c r="N39">
        <f t="shared" si="11"/>
        <v>0</v>
      </c>
      <c r="P39" t="e">
        <f t="shared" si="5"/>
        <v>#DIV/0!</v>
      </c>
      <c r="Q39" t="e">
        <f t="shared" si="6"/>
        <v>#DIV/0!</v>
      </c>
    </row>
    <row r="40" spans="1:17" x14ac:dyDescent="0.25">
      <c r="A40" t="s">
        <v>139</v>
      </c>
      <c r="B40">
        <v>36606.477069982058</v>
      </c>
      <c r="C40">
        <v>11.52981337879743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f t="shared" si="7"/>
        <v>1</v>
      </c>
      <c r="K40">
        <f t="shared" si="8"/>
        <v>0</v>
      </c>
      <c r="L40">
        <f t="shared" si="9"/>
        <v>0</v>
      </c>
      <c r="M40">
        <f t="shared" si="10"/>
        <v>0</v>
      </c>
      <c r="N40">
        <f t="shared" si="11"/>
        <v>0</v>
      </c>
      <c r="P40" t="e">
        <f t="shared" si="5"/>
        <v>#DIV/0!</v>
      </c>
      <c r="Q40" t="e">
        <f t="shared" si="6"/>
        <v>#DIV/0!</v>
      </c>
    </row>
    <row r="41" spans="1:17" x14ac:dyDescent="0.25">
      <c r="A41" t="s">
        <v>132</v>
      </c>
      <c r="B41">
        <v>26498.15265802302</v>
      </c>
      <c r="C41">
        <v>72.820244956170029</v>
      </c>
      <c r="D41">
        <v>11.59794700967689</v>
      </c>
      <c r="E41">
        <v>0</v>
      </c>
      <c r="F41">
        <v>0</v>
      </c>
      <c r="G41">
        <v>0</v>
      </c>
      <c r="H41">
        <v>0</v>
      </c>
      <c r="I41">
        <v>0</v>
      </c>
      <c r="J41">
        <f t="shared" si="7"/>
        <v>0.86261317922600056</v>
      </c>
      <c r="K41">
        <f t="shared" si="8"/>
        <v>0.13738682077399944</v>
      </c>
      <c r="L41">
        <f t="shared" si="9"/>
        <v>0</v>
      </c>
      <c r="M41">
        <f t="shared" si="10"/>
        <v>0</v>
      </c>
      <c r="N41">
        <f t="shared" si="11"/>
        <v>0</v>
      </c>
      <c r="P41" t="e">
        <f t="shared" si="5"/>
        <v>#DIV/0!</v>
      </c>
      <c r="Q41" t="e">
        <f t="shared" si="6"/>
        <v>#DIV/0!</v>
      </c>
    </row>
    <row r="42" spans="1:17" hidden="1" x14ac:dyDescent="0.25">
      <c r="A42" t="s">
        <v>102</v>
      </c>
      <c r="B42">
        <v>13978.92747603566</v>
      </c>
      <c r="C42">
        <v>169.72571618326779</v>
      </c>
      <c r="D42">
        <v>3.5662642077678708</v>
      </c>
      <c r="E42">
        <v>0</v>
      </c>
      <c r="F42">
        <v>1.76448066858222E-2</v>
      </c>
      <c r="G42">
        <v>2.7069890963296941E-3</v>
      </c>
      <c r="H42">
        <v>4.7153490373133778E-3</v>
      </c>
      <c r="I42">
        <v>7.0259206348626951E-2</v>
      </c>
      <c r="J42">
        <f t="shared" si="7"/>
        <v>0.97930547723699257</v>
      </c>
      <c r="K42">
        <f t="shared" si="8"/>
        <v>2.0577094328888861E-2</v>
      </c>
      <c r="L42">
        <f t="shared" si="9"/>
        <v>0</v>
      </c>
      <c r="M42">
        <f t="shared" si="10"/>
        <v>1.0180929691028802E-4</v>
      </c>
      <c r="N42">
        <f t="shared" si="11"/>
        <v>1.5619137208376846E-5</v>
      </c>
      <c r="P42">
        <f t="shared" si="5"/>
        <v>6.289265755616108E-2</v>
      </c>
      <c r="Q42">
        <f t="shared" si="6"/>
        <v>0.93710734244383886</v>
      </c>
    </row>
    <row r="43" spans="1:17" hidden="1" x14ac:dyDescent="0.25">
      <c r="A43" t="s">
        <v>101</v>
      </c>
      <c r="B43">
        <v>13987.612022866409</v>
      </c>
      <c r="C43">
        <v>15373.22996933071</v>
      </c>
      <c r="D43">
        <v>76.938805947938462</v>
      </c>
      <c r="E43">
        <v>6.4717158592373768E-3</v>
      </c>
      <c r="F43">
        <v>4.4935243582172914E-3</v>
      </c>
      <c r="G43">
        <v>0</v>
      </c>
      <c r="H43">
        <v>0</v>
      </c>
      <c r="I43">
        <v>11.90735516091684</v>
      </c>
      <c r="J43">
        <f t="shared" si="7"/>
        <v>0.99501949022726566</v>
      </c>
      <c r="K43">
        <f t="shared" si="8"/>
        <v>4.9798000567050109E-3</v>
      </c>
      <c r="L43">
        <f t="shared" si="9"/>
        <v>4.1887641230897656E-7</v>
      </c>
      <c r="M43">
        <f t="shared" si="10"/>
        <v>2.908396169937622E-7</v>
      </c>
      <c r="N43">
        <f t="shared" si="11"/>
        <v>0</v>
      </c>
      <c r="P43">
        <f t="shared" si="5"/>
        <v>0</v>
      </c>
      <c r="Q43">
        <f t="shared" si="6"/>
        <v>1</v>
      </c>
    </row>
    <row r="44" spans="1:17" hidden="1" x14ac:dyDescent="0.25">
      <c r="A44" t="s">
        <v>78</v>
      </c>
      <c r="B44">
        <v>2305.0061703805159</v>
      </c>
      <c r="C44">
        <v>10.56936809631633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f t="shared" si="7"/>
        <v>1</v>
      </c>
      <c r="K44">
        <f t="shared" si="8"/>
        <v>0</v>
      </c>
      <c r="L44">
        <f t="shared" si="9"/>
        <v>0</v>
      </c>
      <c r="M44">
        <f t="shared" si="10"/>
        <v>0</v>
      </c>
      <c r="N44">
        <f t="shared" si="11"/>
        <v>0</v>
      </c>
      <c r="P44" t="e">
        <f t="shared" si="5"/>
        <v>#DIV/0!</v>
      </c>
      <c r="Q44" t="e">
        <f t="shared" si="6"/>
        <v>#DIV/0!</v>
      </c>
    </row>
    <row r="45" spans="1:17" hidden="1" x14ac:dyDescent="0.25">
      <c r="A45" t="s">
        <v>82</v>
      </c>
      <c r="B45">
        <v>14578.073876580789</v>
      </c>
      <c r="C45">
        <v>160.06528660210549</v>
      </c>
      <c r="D45">
        <v>16.98543648748781</v>
      </c>
      <c r="E45">
        <v>1.3961877345723319E-3</v>
      </c>
      <c r="F45">
        <v>0</v>
      </c>
      <c r="G45">
        <v>2.483288541164167E-3</v>
      </c>
      <c r="H45">
        <v>3.1434392985828223E-2</v>
      </c>
      <c r="I45">
        <v>7.7485921767540641E-2</v>
      </c>
      <c r="J45">
        <f t="shared" si="7"/>
        <v>0.90404476518794219</v>
      </c>
      <c r="K45">
        <f t="shared" si="8"/>
        <v>9.5933323626358563E-2</v>
      </c>
      <c r="L45">
        <f t="shared" si="9"/>
        <v>7.8856336652017446E-6</v>
      </c>
      <c r="M45">
        <f t="shared" si="10"/>
        <v>0</v>
      </c>
      <c r="N45">
        <f t="shared" si="11"/>
        <v>1.4025552034098167E-5</v>
      </c>
      <c r="P45">
        <f t="shared" si="5"/>
        <v>0.28859990954860854</v>
      </c>
      <c r="Q45">
        <f t="shared" si="6"/>
        <v>0.71140009045139152</v>
      </c>
    </row>
    <row r="46" spans="1:17" x14ac:dyDescent="0.25">
      <c r="A46" t="s">
        <v>120</v>
      </c>
      <c r="B46">
        <v>17814.618629574288</v>
      </c>
      <c r="C46">
        <v>75.79874733100813</v>
      </c>
      <c r="D46">
        <v>9.6131824079200534</v>
      </c>
      <c r="E46">
        <v>0</v>
      </c>
      <c r="F46">
        <v>1.5122002785590101E-3</v>
      </c>
      <c r="G46">
        <v>1.771531736019832E-2</v>
      </c>
      <c r="H46">
        <v>2.6809981999447361E-3</v>
      </c>
      <c r="I46">
        <v>2.2592234394284771E-2</v>
      </c>
      <c r="J46">
        <f t="shared" si="7"/>
        <v>0.8872494504946159</v>
      </c>
      <c r="K46">
        <f t="shared" si="8"/>
        <v>0.11252548504112773</v>
      </c>
      <c r="L46">
        <f t="shared" si="9"/>
        <v>0</v>
      </c>
      <c r="M46">
        <f t="shared" si="10"/>
        <v>1.7700805269646165E-5</v>
      </c>
      <c r="N46">
        <f t="shared" si="11"/>
        <v>2.0736365898679871E-4</v>
      </c>
      <c r="P46">
        <f t="shared" si="5"/>
        <v>0.10608054153535046</v>
      </c>
      <c r="Q46">
        <f t="shared" si="6"/>
        <v>0.8939194584646496</v>
      </c>
    </row>
    <row r="47" spans="1:17" x14ac:dyDescent="0.25">
      <c r="A47" t="s">
        <v>130</v>
      </c>
      <c r="B47">
        <v>25611.025428395471</v>
      </c>
      <c r="C47">
        <v>287.41195852771489</v>
      </c>
      <c r="D47">
        <v>0.4417528510006985</v>
      </c>
      <c r="E47">
        <v>0</v>
      </c>
      <c r="F47">
        <v>2.664828114613723E-2</v>
      </c>
      <c r="G47">
        <v>0</v>
      </c>
      <c r="H47">
        <v>7.1695966577759963E-3</v>
      </c>
      <c r="I47">
        <v>9.5445005525120682E-2</v>
      </c>
      <c r="J47">
        <f t="shared" si="7"/>
        <v>0.9983729312666545</v>
      </c>
      <c r="K47">
        <f t="shared" si="8"/>
        <v>1.534501525295582E-3</v>
      </c>
      <c r="L47">
        <f t="shared" si="9"/>
        <v>0</v>
      </c>
      <c r="M47">
        <f t="shared" si="10"/>
        <v>9.2567208049979097E-5</v>
      </c>
      <c r="N47">
        <f t="shared" si="11"/>
        <v>0</v>
      </c>
      <c r="P47">
        <f t="shared" si="5"/>
        <v>6.9869165842471007E-2</v>
      </c>
      <c r="Q47">
        <f t="shared" si="6"/>
        <v>0.93013083415752895</v>
      </c>
    </row>
    <row r="48" spans="1:17" x14ac:dyDescent="0.25">
      <c r="A48" t="s">
        <v>96</v>
      </c>
      <c r="B48">
        <v>10122.60920547274</v>
      </c>
      <c r="C48">
        <v>108.4928678183569</v>
      </c>
      <c r="D48">
        <v>0.1400012783627412</v>
      </c>
      <c r="E48">
        <v>0</v>
      </c>
      <c r="F48">
        <v>0</v>
      </c>
      <c r="G48">
        <v>0</v>
      </c>
      <c r="H48">
        <v>1.066871220803484E-2</v>
      </c>
      <c r="I48">
        <v>7.6567511199183619E-2</v>
      </c>
      <c r="J48">
        <f t="shared" si="7"/>
        <v>0.99871124384795451</v>
      </c>
      <c r="K48">
        <f t="shared" si="8"/>
        <v>1.2887561520454106E-3</v>
      </c>
      <c r="L48">
        <f t="shared" si="9"/>
        <v>0</v>
      </c>
      <c r="M48">
        <f t="shared" si="10"/>
        <v>0</v>
      </c>
      <c r="N48">
        <f t="shared" si="11"/>
        <v>0</v>
      </c>
      <c r="P48">
        <f t="shared" si="5"/>
        <v>0.12229681422857246</v>
      </c>
      <c r="Q48">
        <f t="shared" si="6"/>
        <v>0.87770318577142759</v>
      </c>
    </row>
    <row r="49" spans="1:17" hidden="1" x14ac:dyDescent="0.25">
      <c r="A49" t="s">
        <v>138</v>
      </c>
      <c r="B49">
        <v>22271.396045750789</v>
      </c>
      <c r="C49">
        <v>84.717219610338134</v>
      </c>
      <c r="D49">
        <v>8.2020343243174398</v>
      </c>
      <c r="E49">
        <v>0</v>
      </c>
      <c r="F49">
        <v>0</v>
      </c>
      <c r="G49">
        <v>0</v>
      </c>
      <c r="H49">
        <v>1.004395457508012E-2</v>
      </c>
      <c r="I49">
        <v>1.373753787043216E-2</v>
      </c>
      <c r="J49">
        <f t="shared" si="7"/>
        <v>0.91172944274729728</v>
      </c>
      <c r="K49">
        <f t="shared" si="8"/>
        <v>8.8270557252702747E-2</v>
      </c>
      <c r="L49">
        <f t="shared" si="9"/>
        <v>0</v>
      </c>
      <c r="M49">
        <f t="shared" si="10"/>
        <v>0</v>
      </c>
      <c r="N49">
        <f t="shared" si="11"/>
        <v>0</v>
      </c>
      <c r="P49">
        <f t="shared" si="5"/>
        <v>0.42234332425068122</v>
      </c>
      <c r="Q49">
        <f t="shared" si="6"/>
        <v>0.57765667574931867</v>
      </c>
    </row>
    <row r="50" spans="1:17" x14ac:dyDescent="0.25">
      <c r="A50" t="s">
        <v>142</v>
      </c>
      <c r="B50">
        <v>39341.58044996141</v>
      </c>
      <c r="C50">
        <v>70.563337010308715</v>
      </c>
      <c r="D50">
        <v>3.911373656927307</v>
      </c>
      <c r="E50">
        <v>0</v>
      </c>
      <c r="F50">
        <v>0</v>
      </c>
      <c r="G50">
        <v>0</v>
      </c>
      <c r="H50">
        <v>0</v>
      </c>
      <c r="I50">
        <v>0</v>
      </c>
      <c r="J50">
        <f t="shared" si="7"/>
        <v>0.9474805122183837</v>
      </c>
      <c r="K50">
        <f t="shared" si="8"/>
        <v>5.2519487781616241E-2</v>
      </c>
      <c r="L50">
        <f t="shared" si="9"/>
        <v>0</v>
      </c>
      <c r="M50">
        <f t="shared" si="10"/>
        <v>0</v>
      </c>
      <c r="N50">
        <f t="shared" si="11"/>
        <v>0</v>
      </c>
      <c r="P50" t="e">
        <f t="shared" si="5"/>
        <v>#DIV/0!</v>
      </c>
      <c r="Q50" t="e">
        <f t="shared" si="6"/>
        <v>#DIV/0!</v>
      </c>
    </row>
    <row r="51" spans="1:17" hidden="1" x14ac:dyDescent="0.25">
      <c r="A51" t="s">
        <v>108</v>
      </c>
      <c r="B51">
        <v>10768.623112774279</v>
      </c>
      <c r="C51">
        <v>46.485577293886607</v>
      </c>
      <c r="D51">
        <v>2.0510906401503339</v>
      </c>
      <c r="E51">
        <v>0</v>
      </c>
      <c r="F51">
        <v>1.9614671490938119E-4</v>
      </c>
      <c r="G51">
        <v>0</v>
      </c>
      <c r="H51">
        <v>1.95369608212787E-3</v>
      </c>
      <c r="I51">
        <v>1.8397376928439111E-5</v>
      </c>
      <c r="J51">
        <f t="shared" si="7"/>
        <v>0.95773755009280226</v>
      </c>
      <c r="K51">
        <f t="shared" si="8"/>
        <v>4.2258408716679539E-2</v>
      </c>
      <c r="L51">
        <f t="shared" si="9"/>
        <v>0</v>
      </c>
      <c r="M51">
        <f t="shared" si="10"/>
        <v>4.0411905182635535E-6</v>
      </c>
      <c r="N51">
        <f t="shared" si="11"/>
        <v>0</v>
      </c>
      <c r="P51">
        <f t="shared" si="5"/>
        <v>0.99067114347752927</v>
      </c>
      <c r="Q51">
        <f t="shared" si="6"/>
        <v>9.3288565224706275E-3</v>
      </c>
    </row>
    <row r="52" spans="1:17" hidden="1" x14ac:dyDescent="0.25">
      <c r="A52" t="s">
        <v>117</v>
      </c>
      <c r="B52">
        <v>17486.732998120438</v>
      </c>
      <c r="C52">
        <v>201.70217449300631</v>
      </c>
      <c r="D52">
        <v>19.15780882053927</v>
      </c>
      <c r="E52">
        <v>0</v>
      </c>
      <c r="F52">
        <v>1.8490092799982481E-3</v>
      </c>
      <c r="G52">
        <v>2.214337726449515E-2</v>
      </c>
      <c r="H52">
        <v>1.6029717548371909E-2</v>
      </c>
      <c r="I52">
        <v>2.6944836846426078E-2</v>
      </c>
      <c r="J52">
        <f t="shared" si="7"/>
        <v>0.91315892813733013</v>
      </c>
      <c r="K52">
        <f t="shared" si="8"/>
        <v>8.6732452002544522E-2</v>
      </c>
      <c r="L52">
        <f t="shared" si="9"/>
        <v>0</v>
      </c>
      <c r="M52">
        <f t="shared" si="10"/>
        <v>8.3709525516182302E-6</v>
      </c>
      <c r="N52">
        <f t="shared" si="11"/>
        <v>1.0024890757381511E-4</v>
      </c>
      <c r="P52">
        <f t="shared" si="5"/>
        <v>0.37300485773768222</v>
      </c>
      <c r="Q52">
        <f t="shared" si="6"/>
        <v>0.62699514226231778</v>
      </c>
    </row>
    <row r="53" spans="1:17" x14ac:dyDescent="0.25">
      <c r="A53" t="s">
        <v>112</v>
      </c>
      <c r="B53">
        <v>15929.2255907207</v>
      </c>
      <c r="C53">
        <v>68.639891683504302</v>
      </c>
      <c r="D53">
        <v>5.9697621039882023</v>
      </c>
      <c r="E53">
        <v>1.318407651719089E-3</v>
      </c>
      <c r="F53">
        <v>0</v>
      </c>
      <c r="G53">
        <v>6.0772024255952332E-4</v>
      </c>
      <c r="H53">
        <v>1.627044385420387E-2</v>
      </c>
      <c r="I53">
        <v>1.37661995819774E-2</v>
      </c>
      <c r="J53">
        <f t="shared" si="7"/>
        <v>0.91996298378006913</v>
      </c>
      <c r="K53">
        <f t="shared" si="8"/>
        <v>8.0011200818401212E-2</v>
      </c>
      <c r="L53">
        <f t="shared" si="9"/>
        <v>1.7670281921576093E-5</v>
      </c>
      <c r="M53">
        <f t="shared" si="10"/>
        <v>0</v>
      </c>
      <c r="N53">
        <f t="shared" si="11"/>
        <v>8.1451196080917745E-6</v>
      </c>
      <c r="P53">
        <f t="shared" si="5"/>
        <v>0.54168648666664809</v>
      </c>
      <c r="Q53">
        <f t="shared" si="6"/>
        <v>0.45831351333335185</v>
      </c>
    </row>
    <row r="54" spans="1:17" hidden="1" x14ac:dyDescent="0.25">
      <c r="A54" t="s">
        <v>149</v>
      </c>
      <c r="B54">
        <v>18656.29543171874</v>
      </c>
      <c r="C54">
        <v>218.04100520384159</v>
      </c>
      <c r="D54">
        <v>0.1160719561414487</v>
      </c>
      <c r="E54">
        <v>0</v>
      </c>
      <c r="F54">
        <v>0</v>
      </c>
      <c r="G54">
        <v>0</v>
      </c>
      <c r="H54">
        <v>0</v>
      </c>
      <c r="I54">
        <v>0</v>
      </c>
      <c r="J54">
        <f t="shared" si="7"/>
        <v>0.9994679432010527</v>
      </c>
      <c r="K54">
        <f t="shared" si="8"/>
        <v>5.3205679894734127E-4</v>
      </c>
      <c r="L54">
        <f t="shared" si="9"/>
        <v>0</v>
      </c>
      <c r="M54">
        <f t="shared" si="10"/>
        <v>0</v>
      </c>
      <c r="N54">
        <f t="shared" si="11"/>
        <v>0</v>
      </c>
      <c r="P54" t="e">
        <f t="shared" si="5"/>
        <v>#DIV/0!</v>
      </c>
      <c r="Q54" t="e">
        <f t="shared" si="6"/>
        <v>#DIV/0!</v>
      </c>
    </row>
    <row r="55" spans="1:17" hidden="1" x14ac:dyDescent="0.25">
      <c r="A55" t="s">
        <v>92</v>
      </c>
      <c r="B55">
        <v>6313.2011097215418</v>
      </c>
      <c r="C55">
        <v>185.80849711400029</v>
      </c>
      <c r="D55">
        <v>40.671007768286067</v>
      </c>
      <c r="E55">
        <v>0</v>
      </c>
      <c r="F55">
        <v>7.186650329253183E-3</v>
      </c>
      <c r="G55">
        <v>0</v>
      </c>
      <c r="H55">
        <v>0</v>
      </c>
      <c r="I55">
        <v>2.606078158109528E-4</v>
      </c>
      <c r="J55">
        <f t="shared" si="7"/>
        <v>0.82039476958513746</v>
      </c>
      <c r="K55">
        <f t="shared" si="8"/>
        <v>0.1795734994099164</v>
      </c>
      <c r="L55">
        <f t="shared" si="9"/>
        <v>0</v>
      </c>
      <c r="M55">
        <f t="shared" si="10"/>
        <v>3.1731004946126189E-5</v>
      </c>
      <c r="N55">
        <f t="shared" si="11"/>
        <v>0</v>
      </c>
      <c r="P55">
        <f t="shared" si="5"/>
        <v>0</v>
      </c>
      <c r="Q55">
        <f t="shared" si="6"/>
        <v>1</v>
      </c>
    </row>
    <row r="56" spans="1:17" hidden="1" x14ac:dyDescent="0.25">
      <c r="A56" t="s">
        <v>140</v>
      </c>
      <c r="B56">
        <v>19403.888664424201</v>
      </c>
      <c r="C56">
        <v>1032.2687408632839</v>
      </c>
      <c r="D56">
        <v>8.1582985780571722</v>
      </c>
      <c r="E56">
        <v>0</v>
      </c>
      <c r="F56">
        <v>3.134661075831463E-2</v>
      </c>
      <c r="G56">
        <v>0</v>
      </c>
      <c r="H56">
        <v>1.07130032911494E-2</v>
      </c>
      <c r="I56">
        <v>0.28653542791095338</v>
      </c>
      <c r="J56">
        <f t="shared" si="7"/>
        <v>0.99212881043720524</v>
      </c>
      <c r="K56">
        <f t="shared" si="8"/>
        <v>7.8410618698676691E-3</v>
      </c>
      <c r="L56">
        <f t="shared" si="9"/>
        <v>0</v>
      </c>
      <c r="M56">
        <f t="shared" si="10"/>
        <v>3.0127692927014373E-5</v>
      </c>
      <c r="N56">
        <f t="shared" si="11"/>
        <v>0</v>
      </c>
      <c r="P56">
        <f t="shared" si="5"/>
        <v>3.6040571342378258E-2</v>
      </c>
      <c r="Q56">
        <f t="shared" si="6"/>
        <v>0.96395942865762185</v>
      </c>
    </row>
    <row r="57" spans="1:17" x14ac:dyDescent="0.25">
      <c r="A57" t="s">
        <v>85</v>
      </c>
      <c r="B57">
        <v>4606.0606412742409</v>
      </c>
      <c r="C57">
        <v>20.7746785389729</v>
      </c>
      <c r="D57">
        <v>0.41771639705275582</v>
      </c>
      <c r="E57">
        <v>0</v>
      </c>
      <c r="F57">
        <v>0</v>
      </c>
      <c r="G57">
        <v>0</v>
      </c>
      <c r="H57">
        <v>0</v>
      </c>
      <c r="I57">
        <v>0</v>
      </c>
      <c r="J57">
        <f t="shared" si="7"/>
        <v>0.98028932556637727</v>
      </c>
      <c r="K57">
        <f t="shared" si="8"/>
        <v>1.9710674433622687E-2</v>
      </c>
      <c r="L57">
        <f t="shared" si="9"/>
        <v>0</v>
      </c>
      <c r="M57">
        <f t="shared" si="10"/>
        <v>0</v>
      </c>
      <c r="N57">
        <f t="shared" si="11"/>
        <v>0</v>
      </c>
      <c r="P57" t="e">
        <f t="shared" si="5"/>
        <v>#DIV/0!</v>
      </c>
      <c r="Q57" t="e">
        <f t="shared" si="6"/>
        <v>#DIV/0!</v>
      </c>
    </row>
    <row r="58" spans="1:17" hidden="1" x14ac:dyDescent="0.25">
      <c r="A58" t="s">
        <v>128</v>
      </c>
      <c r="B58">
        <v>14119.95213515897</v>
      </c>
      <c r="C58">
        <v>133.75023035325731</v>
      </c>
      <c r="D58">
        <v>1.9425497511985901E-2</v>
      </c>
      <c r="E58">
        <v>0</v>
      </c>
      <c r="F58">
        <v>0</v>
      </c>
      <c r="G58">
        <v>0</v>
      </c>
      <c r="H58">
        <v>0</v>
      </c>
      <c r="I58">
        <v>0</v>
      </c>
      <c r="J58">
        <f t="shared" si="7"/>
        <v>0.99985478397631788</v>
      </c>
      <c r="K58">
        <f t="shared" si="8"/>
        <v>1.4521602368220633E-4</v>
      </c>
      <c r="L58">
        <f t="shared" si="9"/>
        <v>0</v>
      </c>
      <c r="M58">
        <f t="shared" si="10"/>
        <v>0</v>
      </c>
      <c r="N58">
        <f t="shared" si="11"/>
        <v>0</v>
      </c>
      <c r="P58" t="e">
        <f t="shared" si="5"/>
        <v>#DIV/0!</v>
      </c>
      <c r="Q58" t="e">
        <f t="shared" si="6"/>
        <v>#DIV/0!</v>
      </c>
    </row>
    <row r="59" spans="1:17" hidden="1" x14ac:dyDescent="0.25">
      <c r="A59" t="s">
        <v>135</v>
      </c>
      <c r="B59">
        <v>22519.574366022131</v>
      </c>
      <c r="C59">
        <v>134.46217942501221</v>
      </c>
      <c r="D59">
        <v>56.254744027041497</v>
      </c>
      <c r="E59">
        <v>0</v>
      </c>
      <c r="F59">
        <v>0</v>
      </c>
      <c r="G59">
        <v>0</v>
      </c>
      <c r="H59">
        <v>0</v>
      </c>
      <c r="I59">
        <v>0</v>
      </c>
      <c r="J59">
        <f t="shared" si="7"/>
        <v>0.70503538433397617</v>
      </c>
      <c r="K59">
        <f t="shared" si="8"/>
        <v>0.29496461566602372</v>
      </c>
      <c r="L59">
        <f t="shared" si="9"/>
        <v>0</v>
      </c>
      <c r="M59">
        <f t="shared" si="10"/>
        <v>0</v>
      </c>
      <c r="N59">
        <f t="shared" si="11"/>
        <v>0</v>
      </c>
      <c r="P59" t="e">
        <f t="shared" si="5"/>
        <v>#DIV/0!</v>
      </c>
      <c r="Q59" t="e">
        <f t="shared" si="6"/>
        <v>#DIV/0!</v>
      </c>
    </row>
    <row r="60" spans="1:17" hidden="1" x14ac:dyDescent="0.25">
      <c r="A60" t="s">
        <v>79</v>
      </c>
      <c r="B60">
        <v>22528.75337972062</v>
      </c>
      <c r="C60">
        <v>447.58406445811028</v>
      </c>
      <c r="D60">
        <v>12.13836573502625</v>
      </c>
      <c r="E60">
        <v>0</v>
      </c>
      <c r="F60">
        <v>0</v>
      </c>
      <c r="G60">
        <v>9.2840776804384295E-3</v>
      </c>
      <c r="H60">
        <v>6.8590201036447807E-3</v>
      </c>
      <c r="I60">
        <v>7.7010008195374617E-3</v>
      </c>
      <c r="J60">
        <f t="shared" si="7"/>
        <v>0.97357665474096311</v>
      </c>
      <c r="K60">
        <f t="shared" si="8"/>
        <v>2.6403150703403135E-2</v>
      </c>
      <c r="L60">
        <f t="shared" si="9"/>
        <v>0</v>
      </c>
      <c r="M60">
        <f t="shared" si="10"/>
        <v>0</v>
      </c>
      <c r="N60">
        <f t="shared" si="11"/>
        <v>2.0194555633743819E-5</v>
      </c>
      <c r="P60">
        <f t="shared" si="5"/>
        <v>0.47108586861464974</v>
      </c>
      <c r="Q60">
        <f t="shared" si="6"/>
        <v>0.52891413138535026</v>
      </c>
    </row>
    <row r="61" spans="1:17" hidden="1" x14ac:dyDescent="0.25">
      <c r="A61" t="s">
        <v>86</v>
      </c>
      <c r="B61">
        <v>23668.89966630729</v>
      </c>
      <c r="C61">
        <v>126.918690070333</v>
      </c>
      <c r="D61">
        <v>9.7020850694767837</v>
      </c>
      <c r="E61">
        <v>0</v>
      </c>
      <c r="F61">
        <v>0</v>
      </c>
      <c r="G61">
        <v>0</v>
      </c>
      <c r="H61">
        <v>1.004395457508012E-2</v>
      </c>
      <c r="I61">
        <v>1.373753787043216E-2</v>
      </c>
      <c r="J61">
        <f t="shared" si="7"/>
        <v>0.9289852874897816</v>
      </c>
      <c r="K61">
        <f t="shared" si="8"/>
        <v>7.1014712510218389E-2</v>
      </c>
      <c r="L61">
        <f t="shared" si="9"/>
        <v>0</v>
      </c>
      <c r="M61">
        <f t="shared" si="10"/>
        <v>0</v>
      </c>
      <c r="N61">
        <f t="shared" si="11"/>
        <v>0</v>
      </c>
      <c r="P61">
        <f t="shared" si="5"/>
        <v>0.42234332425068122</v>
      </c>
      <c r="Q61">
        <f t="shared" si="6"/>
        <v>0.57765667574931867</v>
      </c>
    </row>
    <row r="62" spans="1:17" x14ac:dyDescent="0.25">
      <c r="A62" t="s">
        <v>81</v>
      </c>
      <c r="B62">
        <v>3794.7797889383742</v>
      </c>
      <c r="C62">
        <v>4.8705070433590789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f t="shared" si="7"/>
        <v>1</v>
      </c>
      <c r="K62">
        <f t="shared" si="8"/>
        <v>0</v>
      </c>
      <c r="L62">
        <f t="shared" si="9"/>
        <v>0</v>
      </c>
      <c r="M62">
        <f t="shared" si="10"/>
        <v>0</v>
      </c>
      <c r="N62">
        <f t="shared" si="11"/>
        <v>0</v>
      </c>
      <c r="P62" t="e">
        <f t="shared" si="5"/>
        <v>#DIV/0!</v>
      </c>
      <c r="Q62" t="e">
        <f t="shared" si="6"/>
        <v>#DIV/0!</v>
      </c>
    </row>
    <row r="63" spans="1:17" x14ac:dyDescent="0.25">
      <c r="A63" t="s">
        <v>127</v>
      </c>
      <c r="B63">
        <v>24900.766932380109</v>
      </c>
      <c r="C63">
        <v>42.201470459994859</v>
      </c>
      <c r="D63">
        <v>1.5000507451593419</v>
      </c>
      <c r="E63">
        <v>0</v>
      </c>
      <c r="F63">
        <v>0</v>
      </c>
      <c r="G63">
        <v>0</v>
      </c>
      <c r="H63">
        <v>0</v>
      </c>
      <c r="I63">
        <v>0</v>
      </c>
      <c r="J63">
        <f t="shared" si="7"/>
        <v>0.96567509084826952</v>
      </c>
      <c r="K63">
        <f t="shared" si="8"/>
        <v>3.4324909151730497E-2</v>
      </c>
      <c r="L63">
        <f t="shared" si="9"/>
        <v>0</v>
      </c>
      <c r="M63">
        <f t="shared" si="10"/>
        <v>0</v>
      </c>
      <c r="N63">
        <f t="shared" si="11"/>
        <v>0</v>
      </c>
      <c r="P63" t="e">
        <f t="shared" si="5"/>
        <v>#DIV/0!</v>
      </c>
      <c r="Q63" t="e">
        <f t="shared" si="6"/>
        <v>#DIV/0!</v>
      </c>
    </row>
    <row r="64" spans="1:17" x14ac:dyDescent="0.25">
      <c r="A64" t="s">
        <v>103</v>
      </c>
      <c r="B64">
        <v>12703.28984250529</v>
      </c>
      <c r="C64">
        <v>75.386085799955495</v>
      </c>
      <c r="D64">
        <v>2.333104858850171</v>
      </c>
      <c r="E64">
        <v>0</v>
      </c>
      <c r="F64">
        <v>3.00081051039077E-3</v>
      </c>
      <c r="G64">
        <v>0</v>
      </c>
      <c r="H64">
        <v>0</v>
      </c>
      <c r="I64">
        <v>4.636834745057106E-4</v>
      </c>
      <c r="J64">
        <f t="shared" si="7"/>
        <v>0.96994287441981308</v>
      </c>
      <c r="K64">
        <f t="shared" si="8"/>
        <v>3.0018516137328134E-2</v>
      </c>
      <c r="L64">
        <f t="shared" si="9"/>
        <v>0</v>
      </c>
      <c r="M64">
        <f t="shared" si="10"/>
        <v>3.8609442858742085E-5</v>
      </c>
      <c r="N64">
        <f t="shared" si="11"/>
        <v>0</v>
      </c>
      <c r="P64">
        <f t="shared" si="5"/>
        <v>0</v>
      </c>
      <c r="Q64">
        <f t="shared" si="6"/>
        <v>1</v>
      </c>
    </row>
    <row r="65" spans="1:17" x14ac:dyDescent="0.25">
      <c r="A65" t="s">
        <v>109</v>
      </c>
      <c r="B65">
        <v>15853.96203319802</v>
      </c>
      <c r="C65">
        <v>172.89324616450921</v>
      </c>
      <c r="D65">
        <v>3.6661819958140249</v>
      </c>
      <c r="E65">
        <v>0</v>
      </c>
      <c r="F65">
        <v>9.7503218906189654E-2</v>
      </c>
      <c r="G65">
        <v>0</v>
      </c>
      <c r="H65">
        <v>0</v>
      </c>
      <c r="I65">
        <v>1.021380914116832E-3</v>
      </c>
      <c r="J65">
        <f t="shared" si="7"/>
        <v>0.97869494740265417</v>
      </c>
      <c r="K65">
        <f t="shared" si="8"/>
        <v>2.0753117170046572E-2</v>
      </c>
      <c r="L65">
        <f t="shared" si="9"/>
        <v>0</v>
      </c>
      <c r="M65">
        <f t="shared" si="10"/>
        <v>5.5193542729936541E-4</v>
      </c>
      <c r="N65">
        <f t="shared" si="11"/>
        <v>0</v>
      </c>
      <c r="P65">
        <f t="shared" si="5"/>
        <v>0</v>
      </c>
      <c r="Q65">
        <f t="shared" si="6"/>
        <v>1</v>
      </c>
    </row>
    <row r="66" spans="1:17" hidden="1" x14ac:dyDescent="0.25">
      <c r="A66" t="s">
        <v>100</v>
      </c>
      <c r="B66">
        <v>8033.7996285452773</v>
      </c>
      <c r="C66">
        <v>35.412850628295892</v>
      </c>
      <c r="D66">
        <v>8.0045501444519968E-2</v>
      </c>
      <c r="E66">
        <v>0</v>
      </c>
      <c r="F66">
        <v>0</v>
      </c>
      <c r="G66">
        <v>0</v>
      </c>
      <c r="H66">
        <v>1.058452911663074E-2</v>
      </c>
      <c r="I66">
        <v>0</v>
      </c>
      <c r="J66">
        <f t="shared" si="7"/>
        <v>0.99774474584570594</v>
      </c>
      <c r="K66">
        <f t="shared" si="8"/>
        <v>2.2552541542939283E-3</v>
      </c>
      <c r="L66">
        <f t="shared" si="9"/>
        <v>0</v>
      </c>
      <c r="M66">
        <f t="shared" si="10"/>
        <v>0</v>
      </c>
      <c r="N66">
        <f t="shared" si="11"/>
        <v>0</v>
      </c>
      <c r="P66">
        <f t="shared" si="5"/>
        <v>1</v>
      </c>
      <c r="Q66">
        <f t="shared" si="6"/>
        <v>0</v>
      </c>
    </row>
    <row r="67" spans="1:17" hidden="1" x14ac:dyDescent="0.25">
      <c r="A67" t="s">
        <v>87</v>
      </c>
      <c r="B67">
        <v>28339.340053158608</v>
      </c>
      <c r="C67">
        <v>112.1533937289035</v>
      </c>
      <c r="D67">
        <v>21.86575785014854</v>
      </c>
      <c r="E67">
        <v>0</v>
      </c>
      <c r="F67">
        <v>0</v>
      </c>
      <c r="G67">
        <v>0</v>
      </c>
      <c r="H67">
        <v>0</v>
      </c>
      <c r="I67">
        <v>0.23323289459625501</v>
      </c>
      <c r="J67">
        <f t="shared" si="7"/>
        <v>0.83684602094163463</v>
      </c>
      <c r="K67">
        <f t="shared" si="8"/>
        <v>0.16315397905836529</v>
      </c>
      <c r="L67">
        <f t="shared" si="9"/>
        <v>0</v>
      </c>
      <c r="M67">
        <f t="shared" si="10"/>
        <v>0</v>
      </c>
      <c r="N67">
        <f t="shared" si="11"/>
        <v>0</v>
      </c>
      <c r="P67">
        <f t="shared" ref="P67:P79" si="12">H67/SUM($H67:$I67)</f>
        <v>0</v>
      </c>
      <c r="Q67">
        <f t="shared" ref="Q67:Q79" si="13">I67/SUM($H67:$I67)</f>
        <v>1</v>
      </c>
    </row>
    <row r="68" spans="1:17" hidden="1" x14ac:dyDescent="0.25">
      <c r="A68" t="s">
        <v>150</v>
      </c>
      <c r="B68">
        <v>42702.525904684662</v>
      </c>
      <c r="C68">
        <v>0</v>
      </c>
      <c r="D68">
        <v>0</v>
      </c>
      <c r="E68">
        <v>0</v>
      </c>
      <c r="F68">
        <v>0</v>
      </c>
      <c r="G68">
        <v>0</v>
      </c>
      <c r="H68">
        <v>4.631123994888614E-2</v>
      </c>
      <c r="I68">
        <v>3.6161328617932677E-2</v>
      </c>
      <c r="J68">
        <f>AVERAGE(J1:J61)</f>
        <v>0.90367019996643982</v>
      </c>
      <c r="K68">
        <f>AVERAGE(K1:K61)</f>
        <v>9.6303757190074057E-2</v>
      </c>
      <c r="L68">
        <f>AVERAGE(L1:L61)</f>
        <v>5.7065208279552003E-7</v>
      </c>
      <c r="M68">
        <f>AVERAGE(M1:M61)</f>
        <v>1.6979481367645259E-5</v>
      </c>
      <c r="N68">
        <f>AVERAGE(N1:N61)</f>
        <v>8.4927100352520644E-6</v>
      </c>
      <c r="P68">
        <f t="shared" si="12"/>
        <v>0.56153507467595165</v>
      </c>
      <c r="Q68">
        <f t="shared" si="13"/>
        <v>0.43846492532404846</v>
      </c>
    </row>
    <row r="69" spans="1:17" hidden="1" x14ac:dyDescent="0.25">
      <c r="A69" t="s">
        <v>83</v>
      </c>
      <c r="B69">
        <v>2641.734459797955</v>
      </c>
      <c r="C69">
        <v>52.549531018606423</v>
      </c>
      <c r="D69">
        <v>0</v>
      </c>
      <c r="E69">
        <v>0</v>
      </c>
      <c r="F69">
        <v>0</v>
      </c>
      <c r="G69">
        <v>0</v>
      </c>
      <c r="H69">
        <v>0</v>
      </c>
      <c r="I69">
        <v>8.0379946106513098E-2</v>
      </c>
      <c r="J69">
        <f t="shared" ref="J69:J79" si="14">C69/SUM($C69:$G69)</f>
        <v>1</v>
      </c>
      <c r="K69">
        <f t="shared" ref="K69:K79" si="15">D69/SUM($C69:$G69)</f>
        <v>0</v>
      </c>
      <c r="L69">
        <f t="shared" ref="L69:L79" si="16">E69/SUM($C69:$G69)</f>
        <v>0</v>
      </c>
      <c r="M69">
        <f t="shared" ref="M69:M79" si="17">F69/SUM($C69:$G69)</f>
        <v>0</v>
      </c>
      <c r="N69">
        <f t="shared" ref="N69:N79" si="18">G69/SUM($C69:$G69)</f>
        <v>0</v>
      </c>
      <c r="P69">
        <f t="shared" si="12"/>
        <v>0</v>
      </c>
      <c r="Q69">
        <f t="shared" si="13"/>
        <v>1</v>
      </c>
    </row>
    <row r="70" spans="1:17" hidden="1" x14ac:dyDescent="0.25">
      <c r="A70" t="s">
        <v>113</v>
      </c>
      <c r="B70">
        <v>35167.658047196557</v>
      </c>
      <c r="C70">
        <v>18.33866308931821</v>
      </c>
      <c r="D70">
        <v>0.15084350017032611</v>
      </c>
      <c r="E70">
        <v>0</v>
      </c>
      <c r="F70">
        <v>0</v>
      </c>
      <c r="G70">
        <v>0</v>
      </c>
      <c r="H70">
        <v>0</v>
      </c>
      <c r="I70">
        <v>0</v>
      </c>
      <c r="J70">
        <f t="shared" si="14"/>
        <v>0.99184166979036203</v>
      </c>
      <c r="K70">
        <f t="shared" si="15"/>
        <v>8.1583302096380501E-3</v>
      </c>
      <c r="L70">
        <f t="shared" si="16"/>
        <v>0</v>
      </c>
      <c r="M70">
        <f t="shared" si="17"/>
        <v>0</v>
      </c>
      <c r="N70">
        <f t="shared" si="18"/>
        <v>0</v>
      </c>
      <c r="P70" t="e">
        <f t="shared" si="12"/>
        <v>#DIV/0!</v>
      </c>
      <c r="Q70" t="e">
        <f t="shared" si="13"/>
        <v>#DIV/0!</v>
      </c>
    </row>
    <row r="71" spans="1:17" x14ac:dyDescent="0.25">
      <c r="A71" t="s">
        <v>125</v>
      </c>
      <c r="B71">
        <v>21466.147579956469</v>
      </c>
      <c r="C71">
        <v>84.290774850584242</v>
      </c>
      <c r="D71">
        <v>9.664645862946282E-2</v>
      </c>
      <c r="E71">
        <v>0</v>
      </c>
      <c r="F71">
        <v>0</v>
      </c>
      <c r="G71">
        <v>0</v>
      </c>
      <c r="H71">
        <v>0</v>
      </c>
      <c r="I71">
        <v>0</v>
      </c>
      <c r="J71">
        <f t="shared" si="14"/>
        <v>0.99885472909196582</v>
      </c>
      <c r="K71">
        <f t="shared" si="15"/>
        <v>1.1452709080341412E-3</v>
      </c>
      <c r="L71">
        <f t="shared" si="16"/>
        <v>0</v>
      </c>
      <c r="M71">
        <f t="shared" si="17"/>
        <v>0</v>
      </c>
      <c r="N71">
        <f t="shared" si="18"/>
        <v>0</v>
      </c>
      <c r="P71" t="e">
        <f t="shared" si="12"/>
        <v>#DIV/0!</v>
      </c>
      <c r="Q71" t="e">
        <f t="shared" si="13"/>
        <v>#DIV/0!</v>
      </c>
    </row>
    <row r="72" spans="1:17" hidden="1" x14ac:dyDescent="0.25">
      <c r="A72" t="s">
        <v>91</v>
      </c>
      <c r="B72">
        <v>37955.941978508054</v>
      </c>
      <c r="C72">
        <v>1759.0178299361839</v>
      </c>
      <c r="D72">
        <v>54.36786223462601</v>
      </c>
      <c r="E72">
        <v>0</v>
      </c>
      <c r="F72">
        <v>9.6254578245871837E-3</v>
      </c>
      <c r="G72">
        <v>2.3281172893853851E-2</v>
      </c>
      <c r="H72">
        <v>6.8253584786404932E-4</v>
      </c>
      <c r="I72">
        <v>0</v>
      </c>
      <c r="J72">
        <f t="shared" si="14"/>
        <v>0.97000098658892253</v>
      </c>
      <c r="K72">
        <f t="shared" si="15"/>
        <v>2.9980867225337399E-2</v>
      </c>
      <c r="L72">
        <f t="shared" si="16"/>
        <v>0</v>
      </c>
      <c r="M72">
        <f t="shared" si="17"/>
        <v>5.3079073033377734E-6</v>
      </c>
      <c r="N72">
        <f t="shared" si="18"/>
        <v>1.2838278436782419E-5</v>
      </c>
      <c r="P72">
        <f t="shared" si="12"/>
        <v>1</v>
      </c>
      <c r="Q72">
        <f t="shared" si="13"/>
        <v>0</v>
      </c>
    </row>
    <row r="73" spans="1:17" x14ac:dyDescent="0.25">
      <c r="A73" t="s">
        <v>95</v>
      </c>
      <c r="B73">
        <v>9994.5499615667923</v>
      </c>
      <c r="C73">
        <v>7.714089906589356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f t="shared" si="14"/>
        <v>1</v>
      </c>
      <c r="K73">
        <f t="shared" si="15"/>
        <v>0</v>
      </c>
      <c r="L73">
        <f t="shared" si="16"/>
        <v>0</v>
      </c>
      <c r="M73">
        <f t="shared" si="17"/>
        <v>0</v>
      </c>
      <c r="N73">
        <f t="shared" si="18"/>
        <v>0</v>
      </c>
      <c r="P73" t="e">
        <f t="shared" si="12"/>
        <v>#DIV/0!</v>
      </c>
      <c r="Q73" t="e">
        <f t="shared" si="13"/>
        <v>#DIV/0!</v>
      </c>
    </row>
    <row r="74" spans="1:17" hidden="1" x14ac:dyDescent="0.25">
      <c r="A74" t="s">
        <v>98</v>
      </c>
      <c r="B74">
        <v>40401.591638855447</v>
      </c>
      <c r="C74">
        <v>153.8668887080519</v>
      </c>
      <c r="D74">
        <v>5.9524756359500319</v>
      </c>
      <c r="E74">
        <v>0</v>
      </c>
      <c r="F74">
        <v>0</v>
      </c>
      <c r="G74">
        <v>0</v>
      </c>
      <c r="H74">
        <v>2.358055066157595E-3</v>
      </c>
      <c r="I74">
        <v>2.5855866953482411E-4</v>
      </c>
      <c r="J74">
        <f t="shared" si="14"/>
        <v>0.96275497865741932</v>
      </c>
      <c r="K74">
        <f t="shared" si="15"/>
        <v>3.7245021342580689E-2</v>
      </c>
      <c r="L74">
        <f t="shared" si="16"/>
        <v>0</v>
      </c>
      <c r="M74">
        <f t="shared" si="17"/>
        <v>0</v>
      </c>
      <c r="N74">
        <f t="shared" si="18"/>
        <v>0</v>
      </c>
      <c r="P74">
        <f t="shared" si="12"/>
        <v>0.90118577075098805</v>
      </c>
      <c r="Q74">
        <f t="shared" si="13"/>
        <v>9.8814229249011884E-2</v>
      </c>
    </row>
    <row r="75" spans="1:17" x14ac:dyDescent="0.25">
      <c r="A75" t="s">
        <v>151</v>
      </c>
      <c r="B75">
        <v>53129.184166744817</v>
      </c>
      <c r="C75">
        <v>3016.2231486210489</v>
      </c>
      <c r="D75">
        <v>1091.0779302886251</v>
      </c>
      <c r="E75">
        <v>2.8545703571254039E-2</v>
      </c>
      <c r="F75">
        <v>0</v>
      </c>
      <c r="G75">
        <v>0</v>
      </c>
      <c r="H75">
        <v>0</v>
      </c>
      <c r="I75">
        <v>0</v>
      </c>
      <c r="J75">
        <f t="shared" si="14"/>
        <v>0.73435137285945551</v>
      </c>
      <c r="K75">
        <f t="shared" si="15"/>
        <v>0.26564167719832399</v>
      </c>
      <c r="L75">
        <f t="shared" si="16"/>
        <v>6.9499422204133322E-6</v>
      </c>
      <c r="M75">
        <f t="shared" si="17"/>
        <v>0</v>
      </c>
      <c r="N75">
        <f t="shared" si="18"/>
        <v>0</v>
      </c>
      <c r="P75" t="e">
        <f t="shared" si="12"/>
        <v>#DIV/0!</v>
      </c>
      <c r="Q75" t="e">
        <f t="shared" si="13"/>
        <v>#DIV/0!</v>
      </c>
    </row>
    <row r="76" spans="1:17" hidden="1" x14ac:dyDescent="0.25">
      <c r="A76" t="s">
        <v>144</v>
      </c>
      <c r="B76">
        <v>33182.204031909663</v>
      </c>
      <c r="C76">
        <v>870.87375096156745</v>
      </c>
      <c r="D76">
        <v>27.902121213099591</v>
      </c>
      <c r="E76">
        <v>0</v>
      </c>
      <c r="F76">
        <v>8.8519549142379028E-3</v>
      </c>
      <c r="G76">
        <v>1.674484937057057E-2</v>
      </c>
      <c r="H76">
        <v>6.8253584786404932E-4</v>
      </c>
      <c r="I76">
        <v>0</v>
      </c>
      <c r="J76">
        <f t="shared" si="14"/>
        <v>0.96892782335001015</v>
      </c>
      <c r="K76">
        <f t="shared" si="15"/>
        <v>3.1043697831064632E-2</v>
      </c>
      <c r="L76">
        <f t="shared" si="16"/>
        <v>0</v>
      </c>
      <c r="M76">
        <f t="shared" si="17"/>
        <v>9.848620879863291E-6</v>
      </c>
      <c r="N76">
        <f t="shared" si="18"/>
        <v>1.8630198045395831E-5</v>
      </c>
      <c r="P76">
        <f t="shared" si="12"/>
        <v>1</v>
      </c>
      <c r="Q76">
        <f t="shared" si="13"/>
        <v>0</v>
      </c>
    </row>
    <row r="77" spans="1:17" x14ac:dyDescent="0.25">
      <c r="A77" t="s">
        <v>80</v>
      </c>
      <c r="B77">
        <v>3394.532603624647</v>
      </c>
      <c r="C77">
        <v>13.24301536024084</v>
      </c>
      <c r="D77">
        <v>2.7005028107514952E-4</v>
      </c>
      <c r="E77">
        <v>0</v>
      </c>
      <c r="F77">
        <v>0</v>
      </c>
      <c r="G77">
        <v>0</v>
      </c>
      <c r="H77">
        <v>2.86165259457099E-2</v>
      </c>
      <c r="I77">
        <v>8.3989364929854829E-2</v>
      </c>
      <c r="J77">
        <f t="shared" si="14"/>
        <v>0.99997960851309142</v>
      </c>
      <c r="K77">
        <f t="shared" si="15"/>
        <v>2.0391486908572704E-5</v>
      </c>
      <c r="L77">
        <f t="shared" si="16"/>
        <v>0</v>
      </c>
      <c r="M77">
        <f t="shared" si="17"/>
        <v>0</v>
      </c>
      <c r="N77">
        <f t="shared" si="18"/>
        <v>0</v>
      </c>
      <c r="P77">
        <f t="shared" si="12"/>
        <v>0.25412991916499844</v>
      </c>
      <c r="Q77">
        <f t="shared" si="13"/>
        <v>0.7458700808350015</v>
      </c>
    </row>
    <row r="78" spans="1:17" hidden="1" x14ac:dyDescent="0.25">
      <c r="A78" t="s">
        <v>152</v>
      </c>
      <c r="B78">
        <v>49923.685627894141</v>
      </c>
      <c r="C78">
        <v>2281.2866415179892</v>
      </c>
      <c r="D78">
        <v>711.0458146977486</v>
      </c>
      <c r="E78">
        <v>3.1360016551433439E-3</v>
      </c>
      <c r="F78">
        <v>0</v>
      </c>
      <c r="G78">
        <v>0</v>
      </c>
      <c r="H78">
        <v>4.631123994888614E-2</v>
      </c>
      <c r="I78">
        <v>3.6161328617932677E-2</v>
      </c>
      <c r="J78">
        <f t="shared" si="14"/>
        <v>0.76237660222712544</v>
      </c>
      <c r="K78">
        <f t="shared" si="15"/>
        <v>0.23762234976152741</v>
      </c>
      <c r="L78">
        <f t="shared" si="16"/>
        <v>1.0480113471562496E-6</v>
      </c>
      <c r="M78">
        <f t="shared" si="17"/>
        <v>0</v>
      </c>
      <c r="N78">
        <f t="shared" si="18"/>
        <v>0</v>
      </c>
      <c r="P78">
        <f t="shared" si="12"/>
        <v>0.56153507467595165</v>
      </c>
      <c r="Q78">
        <f t="shared" si="13"/>
        <v>0.43846492532404846</v>
      </c>
    </row>
    <row r="79" spans="1:17" x14ac:dyDescent="0.25">
      <c r="A79" t="s">
        <v>145</v>
      </c>
      <c r="B79">
        <v>40848.104684907797</v>
      </c>
      <c r="C79">
        <v>888.1440789746166</v>
      </c>
      <c r="D79">
        <v>26.465741021526419</v>
      </c>
      <c r="E79">
        <v>0</v>
      </c>
      <c r="F79">
        <v>7.7350291034927851E-4</v>
      </c>
      <c r="G79">
        <v>6.5363235232832832E-3</v>
      </c>
      <c r="H79">
        <v>0</v>
      </c>
      <c r="I79">
        <v>0</v>
      </c>
      <c r="J79">
        <f t="shared" si="14"/>
        <v>0.97105559257008944</v>
      </c>
      <c r="K79">
        <f t="shared" si="15"/>
        <v>2.8936415204316602E-2</v>
      </c>
      <c r="L79">
        <f t="shared" si="16"/>
        <v>0</v>
      </c>
      <c r="M79">
        <f t="shared" si="17"/>
        <v>8.4571224956100218E-7</v>
      </c>
      <c r="N79">
        <f t="shared" si="18"/>
        <v>7.1465133443884233E-6</v>
      </c>
      <c r="P79" t="e">
        <f t="shared" si="12"/>
        <v>#DIV/0!</v>
      </c>
      <c r="Q79" t="e">
        <f t="shared" si="13"/>
        <v>#DIV/0!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D1BA8-162B-4A44-8E1D-DB3AF2425FD0}">
  <dimension ref="A1:R79"/>
  <sheetViews>
    <sheetView showGridLines="0" topLeftCell="I1" workbookViewId="0">
      <selection activeCell="K4" sqref="K4"/>
    </sheetView>
  </sheetViews>
  <sheetFormatPr defaultRowHeight="15" x14ac:dyDescent="0.25"/>
  <cols>
    <col min="1" max="1" width="13.42578125" customWidth="1"/>
    <col min="2" max="2" width="20" customWidth="1"/>
    <col min="3" max="3" width="17.28515625" customWidth="1"/>
    <col min="4" max="4" width="18.42578125" customWidth="1"/>
    <col min="5" max="5" width="15.7109375" customWidth="1"/>
    <col min="6" max="6" width="22.140625" customWidth="1"/>
    <col min="7" max="7" width="15.5703125" customWidth="1"/>
    <col min="8" max="8" width="15.28515625" customWidth="1"/>
    <col min="9" max="9" width="30.85546875" customWidth="1"/>
    <col min="10" max="10" width="30.140625" customWidth="1"/>
    <col min="11" max="11" width="18.28515625" customWidth="1"/>
    <col min="12" max="12" width="19.42578125" customWidth="1"/>
    <col min="13" max="13" width="16.7109375" customWidth="1"/>
    <col min="14" max="14" width="23.28515625" customWidth="1"/>
    <col min="15" max="15" width="16.5703125" customWidth="1"/>
    <col min="16" max="16" width="16.42578125" customWidth="1"/>
    <col min="17" max="17" width="31.85546875" customWidth="1"/>
    <col min="18" max="18" width="31.140625" customWidth="1"/>
  </cols>
  <sheetData>
    <row r="1" spans="1:18" x14ac:dyDescent="0.25">
      <c r="A1" s="1" t="s">
        <v>0</v>
      </c>
      <c r="B1" s="1" t="s">
        <v>1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55</v>
      </c>
      <c r="I1" s="1" t="s">
        <v>53</v>
      </c>
      <c r="J1" s="1" t="s">
        <v>54</v>
      </c>
      <c r="K1" s="1" t="s">
        <v>162</v>
      </c>
      <c r="L1" s="1" t="s">
        <v>163</v>
      </c>
      <c r="M1" s="1" t="s">
        <v>164</v>
      </c>
      <c r="N1" s="1" t="s">
        <v>165</v>
      </c>
      <c r="O1" s="1" t="s">
        <v>166</v>
      </c>
      <c r="P1" s="1" t="s">
        <v>167</v>
      </c>
      <c r="Q1" s="1" t="s">
        <v>168</v>
      </c>
      <c r="R1" s="1" t="s">
        <v>169</v>
      </c>
    </row>
    <row r="2" spans="1:18" hidden="1" x14ac:dyDescent="0.25">
      <c r="A2" t="s">
        <v>75</v>
      </c>
      <c r="B2">
        <v>3626.6186625782998</v>
      </c>
      <c r="C2">
        <v>447.01641536615949</v>
      </c>
      <c r="D2">
        <v>1.9474630715432311</v>
      </c>
      <c r="E2">
        <v>4.2544912070674994E-3</v>
      </c>
      <c r="F2">
        <v>0.1106681891350889</v>
      </c>
      <c r="G2">
        <v>1.757265995361617E-2</v>
      </c>
      <c r="H2">
        <v>0</v>
      </c>
      <c r="I2">
        <v>6.8228331497609149</v>
      </c>
      <c r="J2">
        <v>7.9509967591660278</v>
      </c>
      <c r="K2">
        <f t="shared" ref="K2:K33" si="0">C2/SUM($C2:$H2)</f>
        <v>0.9953685700146242</v>
      </c>
      <c r="L2">
        <f t="shared" ref="L2:L33" si="1">D2/SUM($C2:$H2)</f>
        <v>4.3364034653860717E-3</v>
      </c>
      <c r="M2">
        <f t="shared" ref="M2:M33" si="2">E2/SUM($C2:$H2)</f>
        <v>9.4734481404889264E-6</v>
      </c>
      <c r="N2">
        <f t="shared" ref="N2:N33" si="3">F2/SUM($C2:$H2)</f>
        <v>2.4642414322809792E-4</v>
      </c>
      <c r="O2">
        <f t="shared" ref="O2:O33" si="4">G2/SUM($C2:$H2)</f>
        <v>3.9128928621238108E-5</v>
      </c>
      <c r="P2">
        <f t="shared" ref="P2:P33" si="5">H2/SUM($C2:$H2)</f>
        <v>0</v>
      </c>
      <c r="Q2">
        <f t="shared" ref="Q2:Q33" si="6">I2/($I2+$J2)</f>
        <v>0.46181885075299839</v>
      </c>
      <c r="R2">
        <f t="shared" ref="R2:R33" si="7">J2/($I2+$J2)</f>
        <v>0.53818114924700167</v>
      </c>
    </row>
    <row r="3" spans="1:18" hidden="1" x14ac:dyDescent="0.25">
      <c r="A3" t="s">
        <v>118</v>
      </c>
      <c r="B3">
        <v>16147.6051454102</v>
      </c>
      <c r="C3">
        <v>253.96226936014199</v>
      </c>
      <c r="D3">
        <v>2.3744831335710579</v>
      </c>
      <c r="E3">
        <v>0</v>
      </c>
      <c r="F3">
        <v>0.31192800085447669</v>
      </c>
      <c r="G3">
        <v>0.40854695976419991</v>
      </c>
      <c r="H3">
        <v>3.4833393038492111E-4</v>
      </c>
      <c r="I3">
        <v>2.2220448030742249E-2</v>
      </c>
      <c r="J3">
        <v>4.4484829999125813E-2</v>
      </c>
      <c r="K3">
        <f t="shared" si="0"/>
        <v>0.98795870373153394</v>
      </c>
      <c r="L3">
        <f t="shared" si="1"/>
        <v>9.2371645779734408E-3</v>
      </c>
      <c r="M3">
        <f t="shared" si="2"/>
        <v>0</v>
      </c>
      <c r="N3">
        <f t="shared" si="3"/>
        <v>1.2134557789162815E-3</v>
      </c>
      <c r="O3">
        <f t="shared" si="4"/>
        <v>1.5893208302124476E-3</v>
      </c>
      <c r="P3">
        <f t="shared" si="5"/>
        <v>1.3550813638413955E-6</v>
      </c>
      <c r="Q3">
        <f t="shared" si="6"/>
        <v>0.3331137907976755</v>
      </c>
      <c r="R3">
        <f t="shared" si="7"/>
        <v>0.66688620920232455</v>
      </c>
    </row>
    <row r="4" spans="1:18" x14ac:dyDescent="0.25">
      <c r="A4" t="s">
        <v>111</v>
      </c>
      <c r="B4">
        <v>10790.9096823325</v>
      </c>
      <c r="C4">
        <v>1209.9035994716151</v>
      </c>
      <c r="D4">
        <v>7.8360707056555867</v>
      </c>
      <c r="E4">
        <v>3.0114826245716399E-3</v>
      </c>
      <c r="F4">
        <v>0.2441671183324019</v>
      </c>
      <c r="G4">
        <v>0.50463716712544437</v>
      </c>
      <c r="H4">
        <v>5.2141130314552839E-3</v>
      </c>
      <c r="I4">
        <v>1.4804573483938761</v>
      </c>
      <c r="J4">
        <v>22.648720776928538</v>
      </c>
      <c r="K4">
        <f t="shared" si="0"/>
        <v>0.99294778509752435</v>
      </c>
      <c r="L4">
        <f t="shared" si="1"/>
        <v>6.4309330548700883E-3</v>
      </c>
      <c r="M4">
        <f t="shared" si="2"/>
        <v>2.4714737630617667E-6</v>
      </c>
      <c r="N4">
        <f t="shared" si="3"/>
        <v>2.0038389789705843E-4</v>
      </c>
      <c r="O4">
        <f t="shared" si="4"/>
        <v>4.1414733999793737E-4</v>
      </c>
      <c r="P4">
        <f t="shared" si="5"/>
        <v>4.2791359477669903E-6</v>
      </c>
      <c r="Q4">
        <f t="shared" si="6"/>
        <v>6.1355481761735067E-2</v>
      </c>
      <c r="R4">
        <f t="shared" si="7"/>
        <v>0.93864451823826489</v>
      </c>
    </row>
    <row r="5" spans="1:18" x14ac:dyDescent="0.25">
      <c r="A5" t="s">
        <v>147</v>
      </c>
      <c r="B5">
        <v>34742.352483479037</v>
      </c>
      <c r="C5">
        <v>397.3621050667324</v>
      </c>
      <c r="D5">
        <v>2.1409202588330358</v>
      </c>
      <c r="E5">
        <v>4.5838210273569692E-2</v>
      </c>
      <c r="F5">
        <v>3.1913365005377088E-3</v>
      </c>
      <c r="G5">
        <v>0</v>
      </c>
      <c r="H5">
        <v>8.5604519864208931E-3</v>
      </c>
      <c r="I5">
        <v>38.602351523611418</v>
      </c>
      <c r="J5">
        <v>35.597673966547212</v>
      </c>
      <c r="K5">
        <f t="shared" si="0"/>
        <v>0.99449768026858942</v>
      </c>
      <c r="L5">
        <f t="shared" si="1"/>
        <v>5.3581864095770225E-3</v>
      </c>
      <c r="M5">
        <f t="shared" si="2"/>
        <v>1.1472154290372817E-4</v>
      </c>
      <c r="N5">
        <f t="shared" si="3"/>
        <v>7.9871147909492527E-6</v>
      </c>
      <c r="O5">
        <f t="shared" si="4"/>
        <v>0</v>
      </c>
      <c r="P5">
        <f t="shared" si="5"/>
        <v>2.1424664138812376E-5</v>
      </c>
      <c r="Q5">
        <f t="shared" si="6"/>
        <v>0.52024714639392367</v>
      </c>
      <c r="R5">
        <f t="shared" si="7"/>
        <v>0.47975285360607645</v>
      </c>
    </row>
    <row r="6" spans="1:18" hidden="1" x14ac:dyDescent="0.25">
      <c r="A6" t="s">
        <v>79</v>
      </c>
      <c r="B6">
        <v>22528.75337972062</v>
      </c>
      <c r="C6">
        <v>818.19055817893866</v>
      </c>
      <c r="D6">
        <v>12.1679467300842</v>
      </c>
      <c r="E6">
        <v>0</v>
      </c>
      <c r="F6">
        <v>6.0301606157307751E-2</v>
      </c>
      <c r="G6">
        <v>0.25058150155145742</v>
      </c>
      <c r="H6">
        <v>6.942785603943142E-3</v>
      </c>
      <c r="I6">
        <v>4.4849597821532639</v>
      </c>
      <c r="J6">
        <v>0.13341075207815981</v>
      </c>
      <c r="K6">
        <f t="shared" si="0"/>
        <v>0.98496914843915551</v>
      </c>
      <c r="L6">
        <f t="shared" si="1"/>
        <v>1.4648240570826662E-2</v>
      </c>
      <c r="M6">
        <f t="shared" si="2"/>
        <v>0</v>
      </c>
      <c r="N6">
        <f t="shared" si="3"/>
        <v>7.2593384355930181E-5</v>
      </c>
      <c r="O6">
        <f t="shared" si="4"/>
        <v>3.016596142921578E-4</v>
      </c>
      <c r="P6">
        <f t="shared" si="5"/>
        <v>8.3579913698001096E-6</v>
      </c>
      <c r="Q6">
        <f t="shared" si="6"/>
        <v>0.97111302545144051</v>
      </c>
      <c r="R6">
        <f t="shared" si="7"/>
        <v>2.8886974548559395E-2</v>
      </c>
    </row>
    <row r="7" spans="1:18" hidden="1" x14ac:dyDescent="0.25">
      <c r="A7" t="s">
        <v>148</v>
      </c>
      <c r="B7">
        <v>43252.206084732803</v>
      </c>
      <c r="C7">
        <v>65.938294947754045</v>
      </c>
      <c r="D7">
        <v>2.7888180442143158</v>
      </c>
      <c r="E7">
        <v>4.5710687450009918E-2</v>
      </c>
      <c r="F7">
        <v>0</v>
      </c>
      <c r="G7">
        <v>0</v>
      </c>
      <c r="H7">
        <v>0</v>
      </c>
      <c r="I7">
        <v>0</v>
      </c>
      <c r="J7">
        <v>0</v>
      </c>
      <c r="K7">
        <f t="shared" si="0"/>
        <v>0.95878417403831839</v>
      </c>
      <c r="L7">
        <f t="shared" si="1"/>
        <v>4.0551163890176649E-2</v>
      </c>
      <c r="M7">
        <f t="shared" si="2"/>
        <v>6.6466207150499409E-4</v>
      </c>
      <c r="N7">
        <f t="shared" si="3"/>
        <v>0</v>
      </c>
      <c r="O7">
        <f t="shared" si="4"/>
        <v>0</v>
      </c>
      <c r="P7">
        <f t="shared" si="5"/>
        <v>0</v>
      </c>
      <c r="Q7" t="e">
        <f t="shared" si="6"/>
        <v>#DIV/0!</v>
      </c>
      <c r="R7" t="e">
        <f t="shared" si="7"/>
        <v>#DIV/0!</v>
      </c>
    </row>
    <row r="8" spans="1:18" hidden="1" x14ac:dyDescent="0.25">
      <c r="A8" t="s">
        <v>99</v>
      </c>
      <c r="B8">
        <v>10905.17892109573</v>
      </c>
      <c r="C8">
        <v>53.061940221495007</v>
      </c>
      <c r="D8">
        <v>7.2498454612321233</v>
      </c>
      <c r="E8">
        <v>2.7281535654777068E-3</v>
      </c>
      <c r="F8">
        <v>0.31129989929257562</v>
      </c>
      <c r="G8">
        <v>5.6358258558222372E-2</v>
      </c>
      <c r="H8">
        <v>0</v>
      </c>
      <c r="I8">
        <v>4.5176295992905777E-2</v>
      </c>
      <c r="J8">
        <v>0.29681632766243021</v>
      </c>
      <c r="K8">
        <f t="shared" si="0"/>
        <v>0.87442387900380614</v>
      </c>
      <c r="L8">
        <f t="shared" si="1"/>
        <v>0.11947241212677463</v>
      </c>
      <c r="M8">
        <f t="shared" si="2"/>
        <v>4.495807377727033E-5</v>
      </c>
      <c r="N8">
        <f t="shared" si="3"/>
        <v>5.1300058824957674E-3</v>
      </c>
      <c r="O8">
        <f t="shared" si="4"/>
        <v>9.2874491314618162E-4</v>
      </c>
      <c r="P8">
        <f t="shared" si="5"/>
        <v>0</v>
      </c>
      <c r="Q8">
        <f t="shared" si="6"/>
        <v>0.13209728183621572</v>
      </c>
      <c r="R8">
        <f t="shared" si="7"/>
        <v>0.86790271816378428</v>
      </c>
    </row>
    <row r="9" spans="1:18" hidden="1" x14ac:dyDescent="0.25">
      <c r="A9" t="s">
        <v>82</v>
      </c>
      <c r="B9">
        <v>14578.073876580789</v>
      </c>
      <c r="C9">
        <v>1220.267006464768</v>
      </c>
      <c r="D9">
        <v>80.007536618680902</v>
      </c>
      <c r="E9">
        <v>2.3552431427963691E-2</v>
      </c>
      <c r="F9">
        <v>1.997421333000321</v>
      </c>
      <c r="G9">
        <v>1.0955218867938841</v>
      </c>
      <c r="H9">
        <v>1.6913797718556191E-2</v>
      </c>
      <c r="I9">
        <v>44.716335929984297</v>
      </c>
      <c r="J9">
        <v>201.6152709193035</v>
      </c>
      <c r="K9">
        <f t="shared" si="0"/>
        <v>0.93621264477780164</v>
      </c>
      <c r="L9">
        <f t="shared" si="1"/>
        <v>6.1383342385808184E-2</v>
      </c>
      <c r="M9">
        <f t="shared" si="2"/>
        <v>1.8069884706629034E-5</v>
      </c>
      <c r="N9">
        <f t="shared" si="3"/>
        <v>1.5324606000136284E-3</v>
      </c>
      <c r="O9">
        <f t="shared" si="4"/>
        <v>8.4050575621039895E-4</v>
      </c>
      <c r="P9">
        <f t="shared" si="5"/>
        <v>1.2976595459383528E-5</v>
      </c>
      <c r="Q9">
        <f t="shared" si="6"/>
        <v>0.1815290230187267</v>
      </c>
      <c r="R9">
        <f t="shared" si="7"/>
        <v>0.81847097698127336</v>
      </c>
    </row>
    <row r="10" spans="1:18" x14ac:dyDescent="0.25">
      <c r="A10" t="s">
        <v>94</v>
      </c>
      <c r="B10">
        <v>7445.7497357088878</v>
      </c>
      <c r="C10">
        <v>164.9178487316243</v>
      </c>
      <c r="D10">
        <v>10.821111634280269</v>
      </c>
      <c r="E10">
        <v>5.8658009680338623E-3</v>
      </c>
      <c r="F10">
        <v>0.52135135148486322</v>
      </c>
      <c r="G10">
        <v>0.54172139441945821</v>
      </c>
      <c r="H10">
        <v>0</v>
      </c>
      <c r="I10">
        <v>3.505153147065561</v>
      </c>
      <c r="J10">
        <v>4.3022143056916198</v>
      </c>
      <c r="K10">
        <f t="shared" si="0"/>
        <v>0.93275158941276581</v>
      </c>
      <c r="L10">
        <f t="shared" si="1"/>
        <v>6.1202648189482491E-2</v>
      </c>
      <c r="M10">
        <f t="shared" si="2"/>
        <v>3.3176125071921057E-5</v>
      </c>
      <c r="N10">
        <f t="shared" si="3"/>
        <v>2.9486881224806416E-3</v>
      </c>
      <c r="O10">
        <f t="shared" si="4"/>
        <v>3.0638981501991654E-3</v>
      </c>
      <c r="P10">
        <f t="shared" si="5"/>
        <v>0</v>
      </c>
      <c r="Q10">
        <f t="shared" si="6"/>
        <v>0.4489545507208979</v>
      </c>
      <c r="R10">
        <f t="shared" si="7"/>
        <v>0.55104544927910215</v>
      </c>
    </row>
    <row r="11" spans="1:18" x14ac:dyDescent="0.25">
      <c r="A11" t="s">
        <v>97</v>
      </c>
      <c r="B11">
        <v>7572.2333109786059</v>
      </c>
      <c r="C11">
        <v>363.16788361663629</v>
      </c>
      <c r="D11">
        <v>26.32461934759591</v>
      </c>
      <c r="E11">
        <v>8.0183719582533359E-3</v>
      </c>
      <c r="F11">
        <v>0</v>
      </c>
      <c r="G11">
        <v>0</v>
      </c>
      <c r="H11">
        <v>0</v>
      </c>
      <c r="I11">
        <v>25.225357361524981</v>
      </c>
      <c r="J11">
        <v>12.906577738220619</v>
      </c>
      <c r="K11">
        <f t="shared" si="0"/>
        <v>0.9323938319024081</v>
      </c>
      <c r="L11">
        <f t="shared" si="1"/>
        <v>6.758558180432904E-2</v>
      </c>
      <c r="M11">
        <f t="shared" si="2"/>
        <v>2.0586293262833457E-5</v>
      </c>
      <c r="N11">
        <f t="shared" si="3"/>
        <v>0</v>
      </c>
      <c r="O11">
        <f t="shared" si="4"/>
        <v>0</v>
      </c>
      <c r="P11">
        <f t="shared" si="5"/>
        <v>0</v>
      </c>
      <c r="Q11">
        <f t="shared" si="6"/>
        <v>0.66152838285128812</v>
      </c>
      <c r="R11">
        <f t="shared" si="7"/>
        <v>0.33847161714871177</v>
      </c>
    </row>
    <row r="12" spans="1:18" hidden="1" x14ac:dyDescent="0.25">
      <c r="A12" t="s">
        <v>107</v>
      </c>
      <c r="B12">
        <v>13203.51181056138</v>
      </c>
      <c r="C12">
        <v>76.17875316792049</v>
      </c>
      <c r="D12">
        <v>0.59953605096717766</v>
      </c>
      <c r="E12">
        <v>0</v>
      </c>
      <c r="F12">
        <v>0</v>
      </c>
      <c r="G12">
        <v>0</v>
      </c>
      <c r="H12">
        <v>0</v>
      </c>
      <c r="I12">
        <v>9.4608295076714297E-2</v>
      </c>
      <c r="J12">
        <v>0</v>
      </c>
      <c r="K12">
        <f t="shared" si="0"/>
        <v>0.99219133355188527</v>
      </c>
      <c r="L12">
        <f t="shared" si="1"/>
        <v>7.8086664481147386E-3</v>
      </c>
      <c r="M12">
        <f t="shared" si="2"/>
        <v>0</v>
      </c>
      <c r="N12">
        <f t="shared" si="3"/>
        <v>0</v>
      </c>
      <c r="O12">
        <f t="shared" si="4"/>
        <v>0</v>
      </c>
      <c r="P12">
        <f t="shared" si="5"/>
        <v>0</v>
      </c>
      <c r="Q12">
        <f t="shared" si="6"/>
        <v>1</v>
      </c>
      <c r="R12">
        <f t="shared" si="7"/>
        <v>0</v>
      </c>
    </row>
    <row r="13" spans="1:18" hidden="1" x14ac:dyDescent="0.25">
      <c r="A13" t="s">
        <v>86</v>
      </c>
      <c r="B13">
        <v>23668.89966630729</v>
      </c>
      <c r="C13">
        <v>1458.823046996825</v>
      </c>
      <c r="D13">
        <v>5.473319101162951</v>
      </c>
      <c r="E13">
        <v>7.6462723531851018E-3</v>
      </c>
      <c r="F13">
        <v>5.3805171037866258E-2</v>
      </c>
      <c r="G13">
        <v>2.203405660796379</v>
      </c>
      <c r="H13">
        <v>2.083534448260347E-3</v>
      </c>
      <c r="I13">
        <v>72.488593405395918</v>
      </c>
      <c r="J13">
        <v>47.600448240524003</v>
      </c>
      <c r="K13">
        <f t="shared" si="0"/>
        <v>0.99472217823516795</v>
      </c>
      <c r="L13">
        <f t="shared" si="1"/>
        <v>3.7320714871437121E-3</v>
      </c>
      <c r="M13">
        <f t="shared" si="2"/>
        <v>5.2137349394070692E-6</v>
      </c>
      <c r="N13">
        <f t="shared" si="3"/>
        <v>3.6687929386146157E-5</v>
      </c>
      <c r="O13">
        <f t="shared" si="4"/>
        <v>1.5024279215735778E-3</v>
      </c>
      <c r="P13">
        <f t="shared" si="5"/>
        <v>1.4206917892256551E-6</v>
      </c>
      <c r="Q13">
        <f t="shared" si="6"/>
        <v>0.60362371463607023</v>
      </c>
      <c r="R13">
        <f t="shared" si="7"/>
        <v>0.39637628536392977</v>
      </c>
    </row>
    <row r="14" spans="1:18" hidden="1" x14ac:dyDescent="0.25">
      <c r="A14" t="s">
        <v>87</v>
      </c>
      <c r="B14">
        <v>28339.340053158608</v>
      </c>
      <c r="C14">
        <v>698.47097465379147</v>
      </c>
      <c r="D14">
        <v>1.240128761583517</v>
      </c>
      <c r="E14">
        <v>4.8092329708306687E-2</v>
      </c>
      <c r="F14">
        <v>9.7479586546212072E-3</v>
      </c>
      <c r="G14">
        <v>0</v>
      </c>
      <c r="H14">
        <v>3.863300378844704E-4</v>
      </c>
      <c r="I14">
        <v>6.5336292203599076</v>
      </c>
      <c r="J14">
        <v>41.78307778898899</v>
      </c>
      <c r="K14">
        <f t="shared" si="0"/>
        <v>0.99814459519121579</v>
      </c>
      <c r="L14">
        <f t="shared" si="1"/>
        <v>1.7721965058452326E-3</v>
      </c>
      <c r="M14">
        <f t="shared" si="2"/>
        <v>6.8725975323876231E-5</v>
      </c>
      <c r="N14">
        <f t="shared" si="3"/>
        <v>1.393024563415876E-5</v>
      </c>
      <c r="O14">
        <f t="shared" si="4"/>
        <v>0</v>
      </c>
      <c r="P14">
        <f t="shared" si="5"/>
        <v>5.5208198088050434E-7</v>
      </c>
      <c r="Q14">
        <f t="shared" si="6"/>
        <v>0.1352250520528169</v>
      </c>
      <c r="R14">
        <f t="shared" si="7"/>
        <v>0.86477494794718313</v>
      </c>
    </row>
    <row r="15" spans="1:18" x14ac:dyDescent="0.25">
      <c r="A15" t="s">
        <v>137</v>
      </c>
      <c r="B15">
        <v>19178.337422847078</v>
      </c>
      <c r="C15">
        <v>616.26998126742421</v>
      </c>
      <c r="D15">
        <v>7.7429839443112733</v>
      </c>
      <c r="E15">
        <v>0</v>
      </c>
      <c r="F15">
        <v>5.0643015227530327E-2</v>
      </c>
      <c r="G15">
        <v>0.1025331494885702</v>
      </c>
      <c r="H15">
        <v>6.942785603943142E-3</v>
      </c>
      <c r="I15">
        <v>4.4849597821532639</v>
      </c>
      <c r="J15">
        <v>0.1311199992739274</v>
      </c>
      <c r="K15">
        <f t="shared" si="0"/>
        <v>0.98733828308979221</v>
      </c>
      <c r="L15">
        <f t="shared" si="1"/>
        <v>1.2405187184106364E-2</v>
      </c>
      <c r="M15">
        <f t="shared" si="2"/>
        <v>0</v>
      </c>
      <c r="N15">
        <f t="shared" si="3"/>
        <v>8.1136172822187513E-5</v>
      </c>
      <c r="O15">
        <f t="shared" si="4"/>
        <v>1.6427037962750293E-4</v>
      </c>
      <c r="P15">
        <f t="shared" si="5"/>
        <v>1.1123173651846497E-5</v>
      </c>
      <c r="Q15">
        <f t="shared" si="6"/>
        <v>0.9715949451737188</v>
      </c>
      <c r="R15">
        <f t="shared" si="7"/>
        <v>2.8405054826281174E-2</v>
      </c>
    </row>
    <row r="16" spans="1:18" hidden="1" x14ac:dyDescent="0.25">
      <c r="A16" t="s">
        <v>136</v>
      </c>
      <c r="B16">
        <v>26826.379427587261</v>
      </c>
      <c r="C16">
        <v>201.92057691151459</v>
      </c>
      <c r="D16">
        <v>4.4249627857729292</v>
      </c>
      <c r="E16">
        <v>0</v>
      </c>
      <c r="F16">
        <v>9.6585909297774147E-3</v>
      </c>
      <c r="G16">
        <v>0.14804835206288719</v>
      </c>
      <c r="H16">
        <v>0</v>
      </c>
      <c r="I16">
        <v>0</v>
      </c>
      <c r="J16">
        <v>2.2907528042323891E-3</v>
      </c>
      <c r="K16">
        <f t="shared" si="0"/>
        <v>0.97780824367982744</v>
      </c>
      <c r="L16">
        <f t="shared" si="1"/>
        <v>2.1428054317620609E-2</v>
      </c>
      <c r="M16">
        <f t="shared" si="2"/>
        <v>0</v>
      </c>
      <c r="N16">
        <f t="shared" si="3"/>
        <v>4.6772102070638473E-5</v>
      </c>
      <c r="O16">
        <f t="shared" si="4"/>
        <v>7.1692990048132801E-4</v>
      </c>
      <c r="P16">
        <f t="shared" si="5"/>
        <v>0</v>
      </c>
      <c r="Q16">
        <f t="shared" si="6"/>
        <v>0</v>
      </c>
      <c r="R16">
        <f t="shared" si="7"/>
        <v>1</v>
      </c>
    </row>
    <row r="17" spans="1:18" hidden="1" x14ac:dyDescent="0.25">
      <c r="A17" t="s">
        <v>115</v>
      </c>
      <c r="B17">
        <v>16016.226284857339</v>
      </c>
      <c r="C17">
        <v>2573.1676474057072</v>
      </c>
      <c r="D17">
        <v>61.802567421759292</v>
      </c>
      <c r="E17">
        <v>0</v>
      </c>
      <c r="F17">
        <v>0.20104665541359101</v>
      </c>
      <c r="G17">
        <v>2.7091564103386302E-2</v>
      </c>
      <c r="H17">
        <v>0</v>
      </c>
      <c r="I17">
        <v>7.727143576215996E-2</v>
      </c>
      <c r="J17">
        <v>6.6549920283011973E-2</v>
      </c>
      <c r="K17">
        <f t="shared" si="0"/>
        <v>0.97646070719133826</v>
      </c>
      <c r="L17">
        <f t="shared" si="1"/>
        <v>2.3452719356134709E-2</v>
      </c>
      <c r="M17">
        <f t="shared" si="2"/>
        <v>0</v>
      </c>
      <c r="N17">
        <f t="shared" si="3"/>
        <v>7.6292797914482649E-5</v>
      </c>
      <c r="O17">
        <f t="shared" si="4"/>
        <v>1.0280654612606796E-5</v>
      </c>
      <c r="P17">
        <f t="shared" si="5"/>
        <v>0</v>
      </c>
      <c r="Q17">
        <f t="shared" si="6"/>
        <v>0.53727372545347341</v>
      </c>
      <c r="R17">
        <f t="shared" si="7"/>
        <v>0.46272627454652654</v>
      </c>
    </row>
    <row r="18" spans="1:18" hidden="1" x14ac:dyDescent="0.25">
      <c r="A18" t="s">
        <v>91</v>
      </c>
      <c r="B18">
        <v>37955.941978508054</v>
      </c>
      <c r="C18">
        <v>2984.2595885131891</v>
      </c>
      <c r="D18">
        <v>6.6456441144060676</v>
      </c>
      <c r="E18">
        <v>9.2301690567741252E-3</v>
      </c>
      <c r="F18">
        <v>0.39548325474881041</v>
      </c>
      <c r="G18">
        <v>1.0864242250294409</v>
      </c>
      <c r="H18">
        <v>2.8413548401688212E-3</v>
      </c>
      <c r="I18">
        <v>2.2109786750489291</v>
      </c>
      <c r="J18">
        <v>2.2701607363314971E-2</v>
      </c>
      <c r="K18">
        <f t="shared" si="0"/>
        <v>0.99727990066083316</v>
      </c>
      <c r="L18">
        <f t="shared" si="1"/>
        <v>2.220841420013366E-3</v>
      </c>
      <c r="M18">
        <f t="shared" si="2"/>
        <v>3.0845379924232798E-6</v>
      </c>
      <c r="N18">
        <f t="shared" si="3"/>
        <v>1.321625982294045E-4</v>
      </c>
      <c r="O18">
        <f t="shared" si="4"/>
        <v>3.6306125894117907E-4</v>
      </c>
      <c r="P18">
        <f t="shared" si="5"/>
        <v>9.4952399035685166E-7</v>
      </c>
      <c r="Q18">
        <f t="shared" si="6"/>
        <v>0.98983668005575154</v>
      </c>
      <c r="R18">
        <f t="shared" si="7"/>
        <v>1.0163319944248496E-2</v>
      </c>
    </row>
    <row r="19" spans="1:18" x14ac:dyDescent="0.25">
      <c r="A19" t="s">
        <v>121</v>
      </c>
      <c r="B19">
        <v>11915.494142950891</v>
      </c>
      <c r="C19">
        <v>4060.2955742212889</v>
      </c>
      <c r="D19">
        <v>118.0762845170901</v>
      </c>
      <c r="E19">
        <v>9.864940214909055E-3</v>
      </c>
      <c r="F19">
        <v>0</v>
      </c>
      <c r="G19">
        <v>2.7237789567990878E-2</v>
      </c>
      <c r="H19">
        <v>0</v>
      </c>
      <c r="I19">
        <v>33.163900698091979</v>
      </c>
      <c r="J19">
        <v>101.1197704935019</v>
      </c>
      <c r="K19">
        <f t="shared" si="0"/>
        <v>0.97173244928007907</v>
      </c>
      <c r="L19">
        <f t="shared" si="1"/>
        <v>2.8258671088911742E-2</v>
      </c>
      <c r="M19">
        <f t="shared" si="2"/>
        <v>2.3609321887541672E-6</v>
      </c>
      <c r="N19">
        <f t="shared" si="3"/>
        <v>0</v>
      </c>
      <c r="O19">
        <f t="shared" si="4"/>
        <v>6.5186988203328877E-6</v>
      </c>
      <c r="P19">
        <f t="shared" si="5"/>
        <v>0</v>
      </c>
      <c r="Q19">
        <f t="shared" si="6"/>
        <v>0.24696897548157012</v>
      </c>
      <c r="R19">
        <f t="shared" si="7"/>
        <v>0.75303102451842974</v>
      </c>
    </row>
    <row r="20" spans="1:18" hidden="1" x14ac:dyDescent="0.25">
      <c r="A20" t="s">
        <v>93</v>
      </c>
      <c r="B20">
        <v>10262.470825353759</v>
      </c>
      <c r="C20">
        <v>1376.0746996795399</v>
      </c>
      <c r="D20">
        <v>153.50780489094149</v>
      </c>
      <c r="E20">
        <v>3.5787209078152672E-2</v>
      </c>
      <c r="F20">
        <v>0.47201738023442208</v>
      </c>
      <c r="G20">
        <v>9.8165494050292488E-3</v>
      </c>
      <c r="H20">
        <v>3.4080863927166351E-3</v>
      </c>
      <c r="I20">
        <v>8.1330062855230523</v>
      </c>
      <c r="J20">
        <v>30.35062471831051</v>
      </c>
      <c r="K20">
        <f t="shared" si="0"/>
        <v>0.89933437135854066</v>
      </c>
      <c r="L20">
        <f t="shared" si="1"/>
        <v>0.10032510970688914</v>
      </c>
      <c r="M20">
        <f t="shared" si="2"/>
        <v>2.338875003404412E-5</v>
      </c>
      <c r="N20">
        <f t="shared" si="3"/>
        <v>3.0848721658954055E-4</v>
      </c>
      <c r="O20">
        <f t="shared" si="4"/>
        <v>6.415611223822357E-6</v>
      </c>
      <c r="P20">
        <f t="shared" si="5"/>
        <v>2.2273567228895281E-6</v>
      </c>
      <c r="Q20">
        <f t="shared" si="6"/>
        <v>0.21133677029365755</v>
      </c>
      <c r="R20">
        <f t="shared" si="7"/>
        <v>0.78866322970634239</v>
      </c>
    </row>
    <row r="21" spans="1:18" x14ac:dyDescent="0.25">
      <c r="A21" t="s">
        <v>77</v>
      </c>
      <c r="B21">
        <v>1855.1152679937879</v>
      </c>
      <c r="C21">
        <v>243.41107008796851</v>
      </c>
      <c r="D21">
        <v>0.77554410713217281</v>
      </c>
      <c r="E21">
        <v>8.5080405654013175E-2</v>
      </c>
      <c r="F21">
        <v>0</v>
      </c>
      <c r="G21">
        <v>0.1442296427717599</v>
      </c>
      <c r="H21">
        <v>1.177516992181797E-3</v>
      </c>
      <c r="I21">
        <v>38.361069176522378</v>
      </c>
      <c r="J21">
        <v>124.8575875708795</v>
      </c>
      <c r="K21">
        <f t="shared" si="0"/>
        <v>0.99588395547895892</v>
      </c>
      <c r="L21">
        <f t="shared" si="1"/>
        <v>3.1730353626893736E-3</v>
      </c>
      <c r="M21">
        <f t="shared" si="2"/>
        <v>3.4809514162955534E-4</v>
      </c>
      <c r="N21">
        <f t="shared" si="3"/>
        <v>0</v>
      </c>
      <c r="O21">
        <f t="shared" si="4"/>
        <v>5.9009636286857278E-4</v>
      </c>
      <c r="P21">
        <f t="shared" si="5"/>
        <v>4.817653853597917E-6</v>
      </c>
      <c r="Q21">
        <f t="shared" si="6"/>
        <v>0.23502870285159977</v>
      </c>
      <c r="R21">
        <f t="shared" si="7"/>
        <v>0.76497129714840018</v>
      </c>
    </row>
    <row r="22" spans="1:18" hidden="1" x14ac:dyDescent="0.25">
      <c r="A22" t="s">
        <v>76</v>
      </c>
      <c r="B22">
        <v>2031.864623916309</v>
      </c>
      <c r="C22">
        <v>38.681123419992467</v>
      </c>
      <c r="D22">
        <v>0.34585939433986979</v>
      </c>
      <c r="E22">
        <v>0</v>
      </c>
      <c r="F22">
        <v>0</v>
      </c>
      <c r="G22">
        <v>2.2494465026590442E-3</v>
      </c>
      <c r="H22">
        <v>0</v>
      </c>
      <c r="I22">
        <v>0.50392827945867225</v>
      </c>
      <c r="J22">
        <v>1.6893878331060641</v>
      </c>
      <c r="K22">
        <f t="shared" si="0"/>
        <v>0.99108081761598354</v>
      </c>
      <c r="L22">
        <f t="shared" si="1"/>
        <v>8.8615474685350745E-3</v>
      </c>
      <c r="M22">
        <f t="shared" si="2"/>
        <v>0</v>
      </c>
      <c r="N22">
        <f t="shared" si="3"/>
        <v>0</v>
      </c>
      <c r="O22">
        <f t="shared" si="4"/>
        <v>5.7634915481448398E-5</v>
      </c>
      <c r="P22">
        <f t="shared" si="5"/>
        <v>0</v>
      </c>
      <c r="Q22">
        <f t="shared" si="6"/>
        <v>0.22975633861979328</v>
      </c>
      <c r="R22">
        <f t="shared" si="7"/>
        <v>0.77024366138020661</v>
      </c>
    </row>
    <row r="23" spans="1:18" hidden="1" x14ac:dyDescent="0.25">
      <c r="A23" t="s">
        <v>89</v>
      </c>
      <c r="B23">
        <v>5947.5328235082943</v>
      </c>
      <c r="C23">
        <v>340.32610419920161</v>
      </c>
      <c r="D23">
        <v>22.10303010038081</v>
      </c>
      <c r="E23">
        <v>0.1206167102087711</v>
      </c>
      <c r="F23">
        <v>9.6606190911072337E-2</v>
      </c>
      <c r="G23">
        <v>1.0173178828809759</v>
      </c>
      <c r="H23">
        <v>0</v>
      </c>
      <c r="I23">
        <v>0.16930103257915841</v>
      </c>
      <c r="J23">
        <v>1.06000427221233</v>
      </c>
      <c r="K23">
        <f t="shared" si="0"/>
        <v>0.93582649991364186</v>
      </c>
      <c r="L23">
        <f t="shared" si="1"/>
        <v>6.0778767896740644E-2</v>
      </c>
      <c r="M23">
        <f t="shared" si="2"/>
        <v>3.3167104242965415E-4</v>
      </c>
      <c r="N23">
        <f t="shared" si="3"/>
        <v>2.6564707318889818E-4</v>
      </c>
      <c r="O23">
        <f t="shared" si="4"/>
        <v>2.7974140739988919E-3</v>
      </c>
      <c r="P23">
        <f t="shared" si="5"/>
        <v>0</v>
      </c>
      <c r="Q23">
        <f t="shared" si="6"/>
        <v>0.13772089969779705</v>
      </c>
      <c r="R23">
        <f t="shared" si="7"/>
        <v>0.86227910030220289</v>
      </c>
    </row>
    <row r="24" spans="1:18" x14ac:dyDescent="0.25">
      <c r="A24" t="s">
        <v>88</v>
      </c>
      <c r="B24">
        <v>4547.6334844615012</v>
      </c>
      <c r="C24">
        <v>1771.7269996132279</v>
      </c>
      <c r="D24">
        <v>100.1614843876299</v>
      </c>
      <c r="E24">
        <v>2.494058898214253E-2</v>
      </c>
      <c r="F24">
        <v>2.484250761933426</v>
      </c>
      <c r="G24">
        <v>1.1937137214460269</v>
      </c>
      <c r="H24">
        <v>0</v>
      </c>
      <c r="I24">
        <v>8.1608069098070875</v>
      </c>
      <c r="J24">
        <v>22.21881823396448</v>
      </c>
      <c r="K24">
        <f t="shared" si="0"/>
        <v>0.94462312523661474</v>
      </c>
      <c r="L24">
        <f t="shared" si="1"/>
        <v>5.3402614754550777E-2</v>
      </c>
      <c r="M24">
        <f t="shared" si="2"/>
        <v>1.329745334055215E-5</v>
      </c>
      <c r="N24">
        <f t="shared" si="3"/>
        <v>1.3245159774171076E-3</v>
      </c>
      <c r="O24">
        <f t="shared" si="4"/>
        <v>6.3644657807683438E-4</v>
      </c>
      <c r="P24">
        <f t="shared" si="5"/>
        <v>0</v>
      </c>
      <c r="Q24">
        <f t="shared" si="6"/>
        <v>0.26862763681862667</v>
      </c>
      <c r="R24">
        <f t="shared" si="7"/>
        <v>0.73137236318137333</v>
      </c>
    </row>
    <row r="25" spans="1:18" hidden="1" x14ac:dyDescent="0.25">
      <c r="A25" t="s">
        <v>98</v>
      </c>
      <c r="B25">
        <v>40401.591638855447</v>
      </c>
      <c r="C25">
        <v>463.30040001448651</v>
      </c>
      <c r="D25">
        <v>4.9297383030473521</v>
      </c>
      <c r="E25">
        <v>9.1548897723579603E-2</v>
      </c>
      <c r="F25">
        <v>3.1913365005377088E-3</v>
      </c>
      <c r="G25">
        <v>0</v>
      </c>
      <c r="H25">
        <v>8.5604519864208931E-3</v>
      </c>
      <c r="I25">
        <v>38.602351523611418</v>
      </c>
      <c r="J25">
        <v>35.597673966547212</v>
      </c>
      <c r="K25">
        <f t="shared" si="0"/>
        <v>0.98925329995661992</v>
      </c>
      <c r="L25">
        <f t="shared" si="1"/>
        <v>1.0526129232911635E-2</v>
      </c>
      <c r="M25">
        <f t="shared" si="2"/>
        <v>1.9547802932527237E-4</v>
      </c>
      <c r="N25">
        <f t="shared" si="3"/>
        <v>6.8142401006565616E-6</v>
      </c>
      <c r="O25">
        <f t="shared" si="4"/>
        <v>0</v>
      </c>
      <c r="P25">
        <f t="shared" si="5"/>
        <v>1.8278541042533695E-5</v>
      </c>
      <c r="Q25">
        <f t="shared" si="6"/>
        <v>0.52024714639392367</v>
      </c>
      <c r="R25">
        <f t="shared" si="7"/>
        <v>0.47975285360607645</v>
      </c>
    </row>
    <row r="26" spans="1:18" hidden="1" x14ac:dyDescent="0.25">
      <c r="A26" t="s">
        <v>90</v>
      </c>
      <c r="B26">
        <v>9977.4163604595724</v>
      </c>
      <c r="C26">
        <v>117.1596629160212</v>
      </c>
      <c r="D26">
        <v>5.6594331008445522</v>
      </c>
      <c r="E26">
        <v>0</v>
      </c>
      <c r="F26">
        <v>7.29669230442761E-2</v>
      </c>
      <c r="G26">
        <v>8.9303778629750436E-3</v>
      </c>
      <c r="H26">
        <v>1.4075693579623409E-4</v>
      </c>
      <c r="I26">
        <v>8.7895962766889088E-2</v>
      </c>
      <c r="J26">
        <v>0.1224003788460703</v>
      </c>
      <c r="K26">
        <f t="shared" si="0"/>
        <v>0.95328382279045942</v>
      </c>
      <c r="L26">
        <f t="shared" si="1"/>
        <v>4.6048664590876039E-2</v>
      </c>
      <c r="M26">
        <f t="shared" si="2"/>
        <v>0</v>
      </c>
      <c r="N26">
        <f t="shared" si="3"/>
        <v>5.9370422896115149E-4</v>
      </c>
      <c r="O26">
        <f t="shared" si="4"/>
        <v>7.2663103804611518E-5</v>
      </c>
      <c r="P26">
        <f t="shared" si="5"/>
        <v>1.1452858987507077E-6</v>
      </c>
      <c r="Q26">
        <f t="shared" si="6"/>
        <v>0.41796239579220784</v>
      </c>
      <c r="R26">
        <f t="shared" si="7"/>
        <v>0.58203760420779205</v>
      </c>
    </row>
    <row r="27" spans="1:18" x14ac:dyDescent="0.25">
      <c r="A27" t="s">
        <v>105</v>
      </c>
      <c r="B27">
        <v>8331.1072302104858</v>
      </c>
      <c r="C27">
        <v>282.34739934255822</v>
      </c>
      <c r="D27">
        <v>5.851229515232653</v>
      </c>
      <c r="E27">
        <v>0</v>
      </c>
      <c r="F27">
        <v>0.1019758014199991</v>
      </c>
      <c r="G27">
        <v>3.893155082459087E-2</v>
      </c>
      <c r="H27">
        <v>2.6663957642681171E-2</v>
      </c>
      <c r="I27">
        <v>3.7420672356826121</v>
      </c>
      <c r="J27">
        <v>59.087910974094527</v>
      </c>
      <c r="K27">
        <f t="shared" si="0"/>
        <v>0.9791279254586005</v>
      </c>
      <c r="L27">
        <f t="shared" si="1"/>
        <v>2.0290968608076471E-2</v>
      </c>
      <c r="M27">
        <f t="shared" si="2"/>
        <v>0</v>
      </c>
      <c r="N27">
        <f t="shared" si="3"/>
        <v>3.5363298944433353E-4</v>
      </c>
      <c r="O27">
        <f t="shared" si="4"/>
        <v>1.3500733026947367E-4</v>
      </c>
      <c r="P27">
        <f t="shared" si="5"/>
        <v>9.2465613609281214E-5</v>
      </c>
      <c r="Q27">
        <f t="shared" si="6"/>
        <v>5.9558626985172169E-2</v>
      </c>
      <c r="R27">
        <f t="shared" si="7"/>
        <v>0.94044137301482789</v>
      </c>
    </row>
    <row r="28" spans="1:18" hidden="1" x14ac:dyDescent="0.25">
      <c r="A28" t="s">
        <v>101</v>
      </c>
      <c r="B28">
        <v>13987.612022866409</v>
      </c>
      <c r="C28">
        <v>6633.4632216269956</v>
      </c>
      <c r="D28">
        <v>179.87885193884941</v>
      </c>
      <c r="E28">
        <v>9.864940214909055E-3</v>
      </c>
      <c r="F28">
        <v>5.1008959160017561E-2</v>
      </c>
      <c r="G28">
        <v>5.4329353671377187E-2</v>
      </c>
      <c r="H28">
        <v>0</v>
      </c>
      <c r="I28">
        <v>33.241172133854143</v>
      </c>
      <c r="J28">
        <v>101.1863204137849</v>
      </c>
      <c r="K28">
        <f t="shared" si="0"/>
        <v>0.97358256640071983</v>
      </c>
      <c r="L28">
        <f t="shared" si="1"/>
        <v>2.6400525405926131E-2</v>
      </c>
      <c r="M28">
        <f t="shared" si="2"/>
        <v>1.4478611685835446E-6</v>
      </c>
      <c r="N28">
        <f t="shared" si="3"/>
        <v>7.4865016521880852E-6</v>
      </c>
      <c r="O28">
        <f t="shared" si="4"/>
        <v>7.9738305333210817E-6</v>
      </c>
      <c r="P28">
        <f t="shared" si="5"/>
        <v>0</v>
      </c>
      <c r="Q28">
        <f t="shared" si="6"/>
        <v>0.24727956687932701</v>
      </c>
      <c r="R28">
        <f t="shared" si="7"/>
        <v>0.75272043312067294</v>
      </c>
    </row>
    <row r="29" spans="1:18" hidden="1" x14ac:dyDescent="0.25">
      <c r="A29" t="s">
        <v>102</v>
      </c>
      <c r="B29">
        <v>13978.92747603566</v>
      </c>
      <c r="C29">
        <v>1463.8658688317571</v>
      </c>
      <c r="D29">
        <v>10.210553839226639</v>
      </c>
      <c r="E29">
        <v>3.0114826245716399E-3</v>
      </c>
      <c r="F29">
        <v>0.55609511918687859</v>
      </c>
      <c r="G29">
        <v>0.91318412688964423</v>
      </c>
      <c r="H29">
        <v>5.5624469618402051E-3</v>
      </c>
      <c r="I29">
        <v>1.5026777964246181</v>
      </c>
      <c r="J29">
        <v>22.69320560692767</v>
      </c>
      <c r="K29">
        <f t="shared" si="0"/>
        <v>0.9920786329542618</v>
      </c>
      <c r="L29">
        <f t="shared" si="1"/>
        <v>6.9198090550535701E-3</v>
      </c>
      <c r="M29">
        <f t="shared" si="2"/>
        <v>2.0409161993337757E-6</v>
      </c>
      <c r="N29">
        <f t="shared" si="3"/>
        <v>3.7687201907080043E-4</v>
      </c>
      <c r="O29">
        <f t="shared" si="4"/>
        <v>6.1887532152328007E-4</v>
      </c>
      <c r="P29">
        <f t="shared" si="5"/>
        <v>3.7697338911159824E-6</v>
      </c>
      <c r="Q29">
        <f t="shared" si="6"/>
        <v>6.2104688280008216E-2</v>
      </c>
      <c r="R29">
        <f t="shared" si="7"/>
        <v>0.93789531171999185</v>
      </c>
    </row>
    <row r="30" spans="1:18" hidden="1" x14ac:dyDescent="0.25">
      <c r="A30" t="s">
        <v>139</v>
      </c>
      <c r="B30">
        <v>36606.477069982058</v>
      </c>
      <c r="C30">
        <v>144.27454267620931</v>
      </c>
      <c r="D30">
        <v>0.31482850975933108</v>
      </c>
      <c r="E30">
        <v>0</v>
      </c>
      <c r="F30">
        <v>1.819294697622182E-2</v>
      </c>
      <c r="G30">
        <v>1.801806259822257E-2</v>
      </c>
      <c r="H30">
        <v>0</v>
      </c>
      <c r="I30">
        <v>7.3088579057602947E-4</v>
      </c>
      <c r="J30">
        <v>1.1936436000575279</v>
      </c>
      <c r="K30">
        <f t="shared" si="0"/>
        <v>0.99757277022498569</v>
      </c>
      <c r="L30">
        <f t="shared" si="1"/>
        <v>2.176852151465587E-3</v>
      </c>
      <c r="M30">
        <f t="shared" si="2"/>
        <v>0</v>
      </c>
      <c r="N30">
        <f t="shared" si="3"/>
        <v>1.2579342257460223E-4</v>
      </c>
      <c r="O30">
        <f t="shared" si="4"/>
        <v>1.2458420097393965E-4</v>
      </c>
      <c r="P30">
        <f t="shared" si="5"/>
        <v>0</v>
      </c>
      <c r="Q30">
        <f t="shared" si="6"/>
        <v>6.1194022413919912E-4</v>
      </c>
      <c r="R30">
        <f t="shared" si="7"/>
        <v>0.99938805977586076</v>
      </c>
    </row>
    <row r="31" spans="1:18" x14ac:dyDescent="0.25">
      <c r="A31" t="s">
        <v>141</v>
      </c>
      <c r="B31">
        <v>26929.051965073821</v>
      </c>
      <c r="C31">
        <v>194.28411668648261</v>
      </c>
      <c r="D31">
        <v>2.560161568214852</v>
      </c>
      <c r="E31">
        <v>0</v>
      </c>
      <c r="F31">
        <v>1.351110616232469E-2</v>
      </c>
      <c r="G31">
        <v>1.427310263548222E-2</v>
      </c>
      <c r="H31">
        <v>0</v>
      </c>
      <c r="I31">
        <v>2.2569108241246871</v>
      </c>
      <c r="J31">
        <v>0</v>
      </c>
      <c r="K31">
        <f t="shared" si="0"/>
        <v>0.98685468245403007</v>
      </c>
      <c r="L31">
        <f t="shared" si="1"/>
        <v>1.3004189300295295E-2</v>
      </c>
      <c r="M31">
        <f t="shared" si="2"/>
        <v>0</v>
      </c>
      <c r="N31">
        <f t="shared" si="3"/>
        <v>6.8628864823468637E-5</v>
      </c>
      <c r="O31">
        <f t="shared" si="4"/>
        <v>7.2499380851098622E-5</v>
      </c>
      <c r="P31">
        <f t="shared" si="5"/>
        <v>0</v>
      </c>
      <c r="Q31">
        <f t="shared" si="6"/>
        <v>1</v>
      </c>
      <c r="R31">
        <f t="shared" si="7"/>
        <v>0</v>
      </c>
    </row>
    <row r="32" spans="1:18" x14ac:dyDescent="0.25">
      <c r="A32" t="s">
        <v>119</v>
      </c>
      <c r="B32">
        <v>10974.599498306419</v>
      </c>
      <c r="C32">
        <v>170.26286287022739</v>
      </c>
      <c r="D32">
        <v>6.0670276487369206</v>
      </c>
      <c r="E32">
        <v>0</v>
      </c>
      <c r="F32">
        <v>3.139434729706278E-3</v>
      </c>
      <c r="G32">
        <v>0</v>
      </c>
      <c r="H32">
        <v>0</v>
      </c>
      <c r="I32">
        <v>12.500437026949911</v>
      </c>
      <c r="J32">
        <v>8.7773008513019004</v>
      </c>
      <c r="K32">
        <f t="shared" si="0"/>
        <v>0.96557555277612661</v>
      </c>
      <c r="L32">
        <f t="shared" si="1"/>
        <v>3.4406643215568598E-2</v>
      </c>
      <c r="M32">
        <f t="shared" si="2"/>
        <v>0</v>
      </c>
      <c r="N32">
        <f t="shared" si="3"/>
        <v>1.7804008304800923E-5</v>
      </c>
      <c r="O32">
        <f t="shared" si="4"/>
        <v>0</v>
      </c>
      <c r="P32">
        <f t="shared" si="5"/>
        <v>0</v>
      </c>
      <c r="Q32">
        <f t="shared" si="6"/>
        <v>0.58748900369370238</v>
      </c>
      <c r="R32">
        <f t="shared" si="7"/>
        <v>0.41251099630629751</v>
      </c>
    </row>
    <row r="33" spans="1:18" hidden="1" x14ac:dyDescent="0.25">
      <c r="A33" t="s">
        <v>106</v>
      </c>
      <c r="B33">
        <v>9130.9997121729793</v>
      </c>
      <c r="C33">
        <v>217.97978895311931</v>
      </c>
      <c r="D33">
        <v>18.070957095512391</v>
      </c>
      <c r="E33">
        <v>8.5939545335115691E-3</v>
      </c>
      <c r="F33">
        <v>0.83265125077743896</v>
      </c>
      <c r="G33">
        <v>0.59807965297768062</v>
      </c>
      <c r="H33">
        <v>0</v>
      </c>
      <c r="I33">
        <v>3.5503294430584669</v>
      </c>
      <c r="J33">
        <v>4.59903063335405</v>
      </c>
      <c r="K33">
        <f t="shared" si="0"/>
        <v>0.91784800990081084</v>
      </c>
      <c r="L33">
        <f t="shared" si="1"/>
        <v>7.6091421533976272E-2</v>
      </c>
      <c r="M33">
        <f t="shared" si="2"/>
        <v>3.6186584562012296E-5</v>
      </c>
      <c r="N33">
        <f t="shared" si="3"/>
        <v>3.5060465795379737E-3</v>
      </c>
      <c r="O33">
        <f t="shared" si="4"/>
        <v>2.518335401112775E-3</v>
      </c>
      <c r="P33">
        <f t="shared" si="5"/>
        <v>0</v>
      </c>
      <c r="Q33">
        <f t="shared" si="6"/>
        <v>0.43565745159973107</v>
      </c>
      <c r="R33">
        <f t="shared" si="7"/>
        <v>0.56434254840026887</v>
      </c>
    </row>
    <row r="34" spans="1:18" hidden="1" x14ac:dyDescent="0.25">
      <c r="A34" t="s">
        <v>132</v>
      </c>
      <c r="B34">
        <v>26498.15265802302</v>
      </c>
      <c r="C34">
        <v>126.8543752485803</v>
      </c>
      <c r="D34">
        <v>4.3925450133912518</v>
      </c>
      <c r="E34">
        <v>0</v>
      </c>
      <c r="F34">
        <v>1.534874414662398E-2</v>
      </c>
      <c r="G34">
        <v>0</v>
      </c>
      <c r="H34">
        <v>0</v>
      </c>
      <c r="I34">
        <v>0.17994927611343631</v>
      </c>
      <c r="J34">
        <v>5.0275702735925229E-2</v>
      </c>
      <c r="K34">
        <f t="shared" ref="K34:K65" si="8">C34/SUM($C34:$H34)</f>
        <v>0.96641918663365156</v>
      </c>
      <c r="L34">
        <f t="shared" ref="L34:L65" si="9">D34/SUM($C34:$H34)</f>
        <v>3.3463881484377768E-2</v>
      </c>
      <c r="M34">
        <f t="shared" ref="M34:M65" si="10">E34/SUM($C34:$H34)</f>
        <v>0</v>
      </c>
      <c r="N34">
        <f t="shared" ref="N34:N65" si="11">F34/SUM($C34:$H34)</f>
        <v>1.1693188197065655E-4</v>
      </c>
      <c r="O34">
        <f t="shared" ref="O34:O65" si="12">G34/SUM($C34:$H34)</f>
        <v>0</v>
      </c>
      <c r="P34">
        <f t="shared" ref="P34:P65" si="13">H34/SUM($C34:$H34)</f>
        <v>0</v>
      </c>
      <c r="Q34">
        <f t="shared" ref="Q34:Q65" si="14">I34/($I34+$J34)</f>
        <v>0.78162359711271323</v>
      </c>
      <c r="R34">
        <f t="shared" ref="R34:R65" si="15">J34/($I34+$J34)</f>
        <v>0.21837640288728666</v>
      </c>
    </row>
    <row r="35" spans="1:18" x14ac:dyDescent="0.25">
      <c r="A35" t="s">
        <v>133</v>
      </c>
      <c r="B35">
        <v>16686.589257831722</v>
      </c>
      <c r="C35">
        <v>451.93307277282969</v>
      </c>
      <c r="D35">
        <v>3.6705303575164732</v>
      </c>
      <c r="E35">
        <v>0</v>
      </c>
      <c r="F35">
        <v>5.7116020795334073E-2</v>
      </c>
      <c r="G35">
        <v>4.8447964644486793E-2</v>
      </c>
      <c r="H35">
        <v>0</v>
      </c>
      <c r="I35">
        <v>5.6826111875455318E-3</v>
      </c>
      <c r="J35">
        <v>0.52462901664718997</v>
      </c>
      <c r="K35">
        <f t="shared" si="8"/>
        <v>0.99171380649010099</v>
      </c>
      <c r="L35">
        <f t="shared" si="9"/>
        <v>8.0545457989083403E-3</v>
      </c>
      <c r="M35">
        <f t="shared" si="10"/>
        <v>0</v>
      </c>
      <c r="N35">
        <f t="shared" si="11"/>
        <v>1.2533436875282808E-4</v>
      </c>
      <c r="O35">
        <f t="shared" si="12"/>
        <v>1.0631334223780756E-4</v>
      </c>
      <c r="P35">
        <f t="shared" si="13"/>
        <v>0</v>
      </c>
      <c r="Q35">
        <f t="shared" si="14"/>
        <v>1.0715607369854694E-2</v>
      </c>
      <c r="R35">
        <f t="shared" si="15"/>
        <v>0.98928439263014534</v>
      </c>
    </row>
    <row r="36" spans="1:18" hidden="1" x14ac:dyDescent="0.25">
      <c r="A36" t="s">
        <v>120</v>
      </c>
      <c r="B36">
        <v>17814.618629574288</v>
      </c>
      <c r="C36">
        <v>194.02879048341549</v>
      </c>
      <c r="D36">
        <v>17.652074944992059</v>
      </c>
      <c r="E36">
        <v>0</v>
      </c>
      <c r="F36">
        <v>0.35473597616018748</v>
      </c>
      <c r="G36">
        <v>4.0341260652610789E-2</v>
      </c>
      <c r="H36">
        <v>0</v>
      </c>
      <c r="I36">
        <v>1.562734685205501E-2</v>
      </c>
      <c r="J36">
        <v>3.9778889235095469E-2</v>
      </c>
      <c r="K36">
        <f t="shared" si="8"/>
        <v>0.91490240734049788</v>
      </c>
      <c r="L36">
        <f t="shared" si="9"/>
        <v>8.3234688117630296E-2</v>
      </c>
      <c r="M36">
        <f t="shared" si="10"/>
        <v>0</v>
      </c>
      <c r="N36">
        <f t="shared" si="11"/>
        <v>1.6726837174557228E-3</v>
      </c>
      <c r="O36">
        <f t="shared" si="12"/>
        <v>1.9022082441615197E-4</v>
      </c>
      <c r="P36">
        <f t="shared" si="13"/>
        <v>0</v>
      </c>
      <c r="Q36">
        <f t="shared" si="14"/>
        <v>0.28205032421755177</v>
      </c>
      <c r="R36">
        <f t="shared" si="15"/>
        <v>0.71794967578244817</v>
      </c>
    </row>
    <row r="37" spans="1:18" hidden="1" x14ac:dyDescent="0.25">
      <c r="A37" t="s">
        <v>110</v>
      </c>
      <c r="B37">
        <v>5166.8535909133188</v>
      </c>
      <c r="C37">
        <v>2112.05310381243</v>
      </c>
      <c r="D37">
        <v>122.2645144880107</v>
      </c>
      <c r="E37">
        <v>0.1455572991909137</v>
      </c>
      <c r="F37">
        <v>2.5808569528444991</v>
      </c>
      <c r="G37">
        <v>2.2110316043270029</v>
      </c>
      <c r="H37">
        <v>0</v>
      </c>
      <c r="I37">
        <v>8.3301079423862454</v>
      </c>
      <c r="J37">
        <v>23.278822506176809</v>
      </c>
      <c r="K37">
        <f t="shared" si="8"/>
        <v>0.94319451929328502</v>
      </c>
      <c r="L37">
        <f t="shared" si="9"/>
        <v>5.4600530526900781E-2</v>
      </c>
      <c r="M37">
        <f t="shared" si="10"/>
        <v>6.5002554430182183E-5</v>
      </c>
      <c r="N37">
        <f t="shared" si="11"/>
        <v>1.1525515758144893E-3</v>
      </c>
      <c r="O37">
        <f t="shared" si="12"/>
        <v>9.8739604956953487E-4</v>
      </c>
      <c r="P37">
        <f t="shared" si="13"/>
        <v>0</v>
      </c>
      <c r="Q37">
        <f t="shared" si="14"/>
        <v>0.26353653300423308</v>
      </c>
      <c r="R37">
        <f t="shared" si="15"/>
        <v>0.73646346699576692</v>
      </c>
    </row>
    <row r="38" spans="1:18" x14ac:dyDescent="0.25">
      <c r="A38" t="s">
        <v>116</v>
      </c>
      <c r="B38">
        <v>10821.216556128329</v>
      </c>
      <c r="C38">
        <v>1989.9422498066249</v>
      </c>
      <c r="D38">
        <v>0.18166656073830789</v>
      </c>
      <c r="E38">
        <v>0</v>
      </c>
      <c r="F38">
        <v>5.2467571677207274E-3</v>
      </c>
      <c r="G38">
        <v>4.9713039513428627E-2</v>
      </c>
      <c r="H38">
        <v>0</v>
      </c>
      <c r="I38">
        <v>0.75557344778909796</v>
      </c>
      <c r="J38">
        <v>14.61683357540932</v>
      </c>
      <c r="K38">
        <f t="shared" si="8"/>
        <v>0.99988110297006305</v>
      </c>
      <c r="L38">
        <f t="shared" si="9"/>
        <v>9.1281523944450552E-5</v>
      </c>
      <c r="M38">
        <f t="shared" si="10"/>
        <v>0</v>
      </c>
      <c r="N38">
        <f t="shared" si="11"/>
        <v>2.6363244181515743E-6</v>
      </c>
      <c r="O38">
        <f t="shared" si="12"/>
        <v>2.4979181574496289E-5</v>
      </c>
      <c r="P38">
        <f t="shared" si="13"/>
        <v>0</v>
      </c>
      <c r="Q38">
        <f t="shared" si="14"/>
        <v>4.9151277782904526E-2</v>
      </c>
      <c r="R38">
        <f t="shared" si="15"/>
        <v>0.95084872221709549</v>
      </c>
    </row>
    <row r="39" spans="1:18" hidden="1" x14ac:dyDescent="0.25">
      <c r="A39" t="s">
        <v>130</v>
      </c>
      <c r="B39">
        <v>25611.025428395471</v>
      </c>
      <c r="C39">
        <v>614.66487111362505</v>
      </c>
      <c r="D39">
        <v>0.51036116225925132</v>
      </c>
      <c r="E39">
        <v>0</v>
      </c>
      <c r="F39">
        <v>0.29105275573044381</v>
      </c>
      <c r="G39">
        <v>3.7004983887808873E-2</v>
      </c>
      <c r="H39">
        <v>0</v>
      </c>
      <c r="I39">
        <v>1.358418186185619E-2</v>
      </c>
      <c r="J39">
        <v>0.38452862260368892</v>
      </c>
      <c r="K39">
        <f t="shared" si="8"/>
        <v>0.99863783197347911</v>
      </c>
      <c r="L39">
        <f t="shared" si="9"/>
        <v>8.2917698497825569E-4</v>
      </c>
      <c r="M39">
        <f t="shared" si="10"/>
        <v>0</v>
      </c>
      <c r="N39">
        <f t="shared" si="11"/>
        <v>4.7286953693312204E-4</v>
      </c>
      <c r="O39">
        <f t="shared" si="12"/>
        <v>6.0121504609466566E-5</v>
      </c>
      <c r="P39">
        <f t="shared" si="13"/>
        <v>0</v>
      </c>
      <c r="Q39">
        <f t="shared" si="14"/>
        <v>3.4121439223972108E-2</v>
      </c>
      <c r="R39">
        <f t="shared" si="15"/>
        <v>0.96587856077602796</v>
      </c>
    </row>
    <row r="40" spans="1:18" hidden="1" x14ac:dyDescent="0.25">
      <c r="A40" t="s">
        <v>113</v>
      </c>
      <c r="B40">
        <v>35167.658047196557</v>
      </c>
      <c r="C40">
        <v>338.55865936269191</v>
      </c>
      <c r="D40">
        <v>2.874990077974183</v>
      </c>
      <c r="E40">
        <v>0</v>
      </c>
      <c r="F40">
        <v>3.1704053138546517E-2</v>
      </c>
      <c r="G40">
        <v>3.2291165233704788E-2</v>
      </c>
      <c r="H40">
        <v>0</v>
      </c>
      <c r="I40">
        <v>2.257641709915263</v>
      </c>
      <c r="J40">
        <v>0.7473936971364763</v>
      </c>
      <c r="K40">
        <f t="shared" si="8"/>
        <v>0.99139383435783057</v>
      </c>
      <c r="L40">
        <f t="shared" si="9"/>
        <v>8.4187698595832514E-3</v>
      </c>
      <c r="M40">
        <f t="shared" si="10"/>
        <v>0</v>
      </c>
      <c r="N40">
        <f t="shared" si="11"/>
        <v>9.2838277611550767E-5</v>
      </c>
      <c r="O40">
        <f t="shared" si="12"/>
        <v>9.4557504974727638E-5</v>
      </c>
      <c r="P40">
        <f t="shared" si="13"/>
        <v>0</v>
      </c>
      <c r="Q40">
        <f t="shared" si="14"/>
        <v>0.75128622598502115</v>
      </c>
      <c r="R40">
        <f t="shared" si="15"/>
        <v>0.24871377401497885</v>
      </c>
    </row>
    <row r="41" spans="1:18" hidden="1" x14ac:dyDescent="0.25">
      <c r="A41" t="s">
        <v>114</v>
      </c>
      <c r="B41">
        <v>9848.8843294309481</v>
      </c>
      <c r="C41">
        <v>439.34663678455678</v>
      </c>
      <c r="D41">
        <v>26.924155398563091</v>
      </c>
      <c r="E41">
        <v>8.0183719582533359E-3</v>
      </c>
      <c r="F41">
        <v>0</v>
      </c>
      <c r="G41">
        <v>0</v>
      </c>
      <c r="H41">
        <v>0</v>
      </c>
      <c r="I41">
        <v>25.319965656601699</v>
      </c>
      <c r="J41">
        <v>12.906577738220619</v>
      </c>
      <c r="K41">
        <f t="shared" si="8"/>
        <v>0.94224019371916101</v>
      </c>
      <c r="L41">
        <f t="shared" si="9"/>
        <v>5.7742609762840034E-2</v>
      </c>
      <c r="M41">
        <f t="shared" si="10"/>
        <v>1.7196517998979891E-5</v>
      </c>
      <c r="N41">
        <f t="shared" si="11"/>
        <v>0</v>
      </c>
      <c r="O41">
        <f t="shared" si="12"/>
        <v>0</v>
      </c>
      <c r="P41">
        <f t="shared" si="13"/>
        <v>0</v>
      </c>
      <c r="Q41">
        <f t="shared" si="14"/>
        <v>0.66236607885481014</v>
      </c>
      <c r="R41">
        <f t="shared" si="15"/>
        <v>0.33763392114518997</v>
      </c>
    </row>
    <row r="42" spans="1:18" hidden="1" x14ac:dyDescent="0.25">
      <c r="A42" t="s">
        <v>96</v>
      </c>
      <c r="B42">
        <v>10122.60920547274</v>
      </c>
      <c r="C42">
        <v>189.76247713747381</v>
      </c>
      <c r="D42">
        <v>0.5643603476612018</v>
      </c>
      <c r="E42">
        <v>0</v>
      </c>
      <c r="F42">
        <v>1.459961134815521E-2</v>
      </c>
      <c r="G42">
        <v>0</v>
      </c>
      <c r="H42">
        <v>0</v>
      </c>
      <c r="I42">
        <v>0.50136325959628114</v>
      </c>
      <c r="J42">
        <v>0.1085540643953226</v>
      </c>
      <c r="K42">
        <f t="shared" si="8"/>
        <v>0.99695830835449728</v>
      </c>
      <c r="L42">
        <f t="shared" si="9"/>
        <v>2.9649894225350954E-3</v>
      </c>
      <c r="M42">
        <f t="shared" si="10"/>
        <v>0</v>
      </c>
      <c r="N42">
        <f t="shared" si="11"/>
        <v>7.67022229676386E-5</v>
      </c>
      <c r="O42">
        <f t="shared" si="12"/>
        <v>0</v>
      </c>
      <c r="P42">
        <f t="shared" si="13"/>
        <v>0</v>
      </c>
      <c r="Q42">
        <f t="shared" si="14"/>
        <v>0.82201839474752003</v>
      </c>
      <c r="R42">
        <f t="shared" si="15"/>
        <v>0.17798160525248008</v>
      </c>
    </row>
    <row r="43" spans="1:18" x14ac:dyDescent="0.25">
      <c r="A43" t="s">
        <v>104</v>
      </c>
      <c r="B43">
        <v>8203.8802989377782</v>
      </c>
      <c r="C43">
        <v>681.75767521715409</v>
      </c>
      <c r="D43">
        <v>0</v>
      </c>
      <c r="E43">
        <v>0</v>
      </c>
      <c r="F43">
        <v>0</v>
      </c>
      <c r="G43">
        <v>0</v>
      </c>
      <c r="H43">
        <v>0</v>
      </c>
      <c r="I43">
        <v>1.283738922573769</v>
      </c>
      <c r="J43">
        <v>18.709865235860409</v>
      </c>
      <c r="K43">
        <f t="shared" si="8"/>
        <v>1</v>
      </c>
      <c r="L43">
        <f t="shared" si="9"/>
        <v>0</v>
      </c>
      <c r="M43">
        <f t="shared" si="10"/>
        <v>0</v>
      </c>
      <c r="N43">
        <f t="shared" si="11"/>
        <v>0</v>
      </c>
      <c r="O43">
        <f t="shared" si="12"/>
        <v>0</v>
      </c>
      <c r="P43">
        <f t="shared" si="13"/>
        <v>0</v>
      </c>
      <c r="Q43">
        <f t="shared" si="14"/>
        <v>6.4207479171894663E-2</v>
      </c>
      <c r="R43">
        <f t="shared" si="15"/>
        <v>0.93579252082810538</v>
      </c>
    </row>
    <row r="44" spans="1:18" hidden="1" x14ac:dyDescent="0.25">
      <c r="A44" t="s">
        <v>117</v>
      </c>
      <c r="B44">
        <v>17486.732998120438</v>
      </c>
      <c r="C44">
        <v>645.96186325624524</v>
      </c>
      <c r="D44">
        <v>21.322605302508531</v>
      </c>
      <c r="E44">
        <v>0</v>
      </c>
      <c r="F44">
        <v>0.41185199695552149</v>
      </c>
      <c r="G44">
        <v>8.8789225297097582E-2</v>
      </c>
      <c r="H44">
        <v>0</v>
      </c>
      <c r="I44">
        <v>2.1309958039600538E-2</v>
      </c>
      <c r="J44">
        <v>0.5644079058822854</v>
      </c>
      <c r="K44">
        <f t="shared" si="8"/>
        <v>0.96731995636752377</v>
      </c>
      <c r="L44">
        <f t="shared" si="9"/>
        <v>3.1930339551148525E-2</v>
      </c>
      <c r="M44">
        <f t="shared" si="10"/>
        <v>0</v>
      </c>
      <c r="N44">
        <f t="shared" si="11"/>
        <v>6.1674330697577889E-4</v>
      </c>
      <c r="O44">
        <f t="shared" si="12"/>
        <v>1.3296077435181975E-4</v>
      </c>
      <c r="P44">
        <f t="shared" si="13"/>
        <v>0</v>
      </c>
      <c r="Q44">
        <f t="shared" si="14"/>
        <v>3.6382632923148361E-2</v>
      </c>
      <c r="R44">
        <f t="shared" si="15"/>
        <v>0.96361736707685164</v>
      </c>
    </row>
    <row r="45" spans="1:18" hidden="1" x14ac:dyDescent="0.25">
      <c r="A45" t="s">
        <v>142</v>
      </c>
      <c r="B45">
        <v>39341.58044996141</v>
      </c>
      <c r="C45">
        <v>95.071349143750012</v>
      </c>
      <c r="D45">
        <v>0.62742517912626761</v>
      </c>
      <c r="E45">
        <v>0</v>
      </c>
      <c r="F45">
        <v>0</v>
      </c>
      <c r="G45">
        <v>0</v>
      </c>
      <c r="H45">
        <v>1.475854447755956E-4</v>
      </c>
      <c r="I45">
        <v>2.2625291765128019E-4</v>
      </c>
      <c r="J45">
        <v>3.5724144892307401E-4</v>
      </c>
      <c r="K45">
        <f t="shared" si="8"/>
        <v>0.9934422169857644</v>
      </c>
      <c r="L45">
        <f t="shared" si="9"/>
        <v>6.5562408292053368E-3</v>
      </c>
      <c r="M45">
        <f t="shared" si="10"/>
        <v>0</v>
      </c>
      <c r="N45">
        <f t="shared" si="11"/>
        <v>0</v>
      </c>
      <c r="O45">
        <f t="shared" si="12"/>
        <v>0</v>
      </c>
      <c r="P45">
        <f t="shared" si="13"/>
        <v>1.5421850302240762E-6</v>
      </c>
      <c r="Q45">
        <f t="shared" si="14"/>
        <v>0.38775510204081637</v>
      </c>
      <c r="R45">
        <f t="shared" si="15"/>
        <v>0.6122448979591838</v>
      </c>
    </row>
    <row r="46" spans="1:18" x14ac:dyDescent="0.25">
      <c r="A46" t="s">
        <v>131</v>
      </c>
      <c r="B46">
        <v>16073.64651043119</v>
      </c>
      <c r="C46">
        <v>603.39962551004146</v>
      </c>
      <c r="D46">
        <v>0.61270358245724987</v>
      </c>
      <c r="E46">
        <v>4.8092329708306687E-2</v>
      </c>
      <c r="F46">
        <v>9.7479586546212072E-3</v>
      </c>
      <c r="G46">
        <v>0</v>
      </c>
      <c r="H46">
        <v>2.3874459310887469E-4</v>
      </c>
      <c r="I46">
        <v>6.5334029674422567</v>
      </c>
      <c r="J46">
        <v>41.782720547540073</v>
      </c>
      <c r="K46">
        <f t="shared" si="8"/>
        <v>0.9988895621993884</v>
      </c>
      <c r="L46">
        <f t="shared" si="9"/>
        <v>1.014291669010216E-3</v>
      </c>
      <c r="M46">
        <f t="shared" si="10"/>
        <v>7.9613781872789167E-5</v>
      </c>
      <c r="N46">
        <f t="shared" si="11"/>
        <v>1.6137123294734755E-5</v>
      </c>
      <c r="O46">
        <f t="shared" si="12"/>
        <v>0</v>
      </c>
      <c r="P46">
        <f t="shared" si="13"/>
        <v>3.9522643370289314E-7</v>
      </c>
      <c r="Q46">
        <f t="shared" si="14"/>
        <v>0.13522200234909815</v>
      </c>
      <c r="R46">
        <f t="shared" si="15"/>
        <v>0.86477799765090191</v>
      </c>
    </row>
    <row r="47" spans="1:18" hidden="1" x14ac:dyDescent="0.25">
      <c r="A47" t="s">
        <v>112</v>
      </c>
      <c r="B47">
        <v>15929.2255907207</v>
      </c>
      <c r="C47">
        <v>202.69769853432169</v>
      </c>
      <c r="D47">
        <v>34.930253214066482</v>
      </c>
      <c r="E47">
        <v>1.0062138264928969E-2</v>
      </c>
      <c r="F47">
        <v>0.41731650224351219</v>
      </c>
      <c r="G47">
        <v>7.0921437330242254E-2</v>
      </c>
      <c r="H47">
        <v>0</v>
      </c>
      <c r="I47">
        <v>0.28647199717085847</v>
      </c>
      <c r="J47">
        <v>0.41379777500330001</v>
      </c>
      <c r="K47">
        <f t="shared" si="8"/>
        <v>0.85121945598102622</v>
      </c>
      <c r="L47">
        <f t="shared" si="9"/>
        <v>0.14668795626765632</v>
      </c>
      <c r="M47">
        <f t="shared" si="10"/>
        <v>4.2255476612766893E-5</v>
      </c>
      <c r="N47">
        <f t="shared" si="11"/>
        <v>1.7525010327212884E-3</v>
      </c>
      <c r="O47">
        <f t="shared" si="12"/>
        <v>2.9783124198333796E-4</v>
      </c>
      <c r="P47">
        <f t="shared" si="13"/>
        <v>0</v>
      </c>
      <c r="Q47">
        <f t="shared" si="14"/>
        <v>0.40908805228224582</v>
      </c>
      <c r="R47">
        <f t="shared" si="15"/>
        <v>0.59091194771775424</v>
      </c>
    </row>
    <row r="48" spans="1:18" x14ac:dyDescent="0.25">
      <c r="A48" t="s">
        <v>123</v>
      </c>
      <c r="B48">
        <v>12047.36614825924</v>
      </c>
      <c r="C48">
        <v>1017.569307930446</v>
      </c>
      <c r="D48">
        <v>45.077283404614427</v>
      </c>
      <c r="E48">
        <v>1.349029316303472E-2</v>
      </c>
      <c r="F48">
        <v>1.580104830756808</v>
      </c>
      <c r="G48">
        <v>1.024600449463642</v>
      </c>
      <c r="H48">
        <v>1.6913797718556191E-2</v>
      </c>
      <c r="I48">
        <v>44.42986393281344</v>
      </c>
      <c r="J48">
        <v>201.20147314430019</v>
      </c>
      <c r="K48">
        <f t="shared" si="8"/>
        <v>0.95521147810566109</v>
      </c>
      <c r="L48">
        <f t="shared" si="9"/>
        <v>4.231489508806284E-2</v>
      </c>
      <c r="M48">
        <f t="shared" si="10"/>
        <v>1.2663592319376334E-5</v>
      </c>
      <c r="N48">
        <f t="shared" si="11"/>
        <v>1.4832741703057278E-3</v>
      </c>
      <c r="O48">
        <f t="shared" si="12"/>
        <v>9.6181174311400124E-4</v>
      </c>
      <c r="P48">
        <f t="shared" si="13"/>
        <v>1.5877300536885441E-5</v>
      </c>
      <c r="Q48">
        <f t="shared" si="14"/>
        <v>0.18088027554426048</v>
      </c>
      <c r="R48">
        <f t="shared" si="15"/>
        <v>0.81911972445573955</v>
      </c>
    </row>
    <row r="49" spans="1:18" hidden="1" x14ac:dyDescent="0.25">
      <c r="A49" t="s">
        <v>122</v>
      </c>
      <c r="B49">
        <v>9093.5321077155022</v>
      </c>
      <c r="C49">
        <v>466.96035659996591</v>
      </c>
      <c r="D49">
        <v>12.876111172377779</v>
      </c>
      <c r="E49">
        <v>1.2221316654229891E-3</v>
      </c>
      <c r="F49">
        <v>8.4692663106007121E-2</v>
      </c>
      <c r="G49">
        <v>0.65433763864667793</v>
      </c>
      <c r="H49">
        <v>0</v>
      </c>
      <c r="I49">
        <v>1.5266527961773519</v>
      </c>
      <c r="J49">
        <v>0.46842892517706769</v>
      </c>
      <c r="K49">
        <f t="shared" si="8"/>
        <v>0.971666618391407</v>
      </c>
      <c r="L49">
        <f t="shared" si="9"/>
        <v>2.6793039760362916E-2</v>
      </c>
      <c r="M49">
        <f t="shared" si="10"/>
        <v>2.543052158039878E-6</v>
      </c>
      <c r="N49">
        <f t="shared" si="11"/>
        <v>1.7623130614763331E-4</v>
      </c>
      <c r="O49">
        <f t="shared" si="12"/>
        <v>1.3615674899244378E-3</v>
      </c>
      <c r="P49">
        <f t="shared" si="13"/>
        <v>0</v>
      </c>
      <c r="Q49">
        <f t="shared" si="14"/>
        <v>0.76520815154425803</v>
      </c>
      <c r="R49">
        <f t="shared" si="15"/>
        <v>0.23479184845574194</v>
      </c>
    </row>
    <row r="50" spans="1:18" x14ac:dyDescent="0.25">
      <c r="A50" t="s">
        <v>84</v>
      </c>
      <c r="B50">
        <v>3005.6584499286578</v>
      </c>
      <c r="C50">
        <v>307.45312093889629</v>
      </c>
      <c r="D50">
        <v>1.171139523040488</v>
      </c>
      <c r="E50">
        <v>4.2544912070674994E-3</v>
      </c>
      <c r="F50">
        <v>7.1097208001910994E-2</v>
      </c>
      <c r="G50">
        <v>0</v>
      </c>
      <c r="H50">
        <v>0</v>
      </c>
      <c r="I50">
        <v>6.7398431629464586</v>
      </c>
      <c r="J50">
        <v>7.9062880333609176</v>
      </c>
      <c r="K50">
        <f t="shared" si="8"/>
        <v>0.99596212248689586</v>
      </c>
      <c r="L50">
        <f t="shared" si="9"/>
        <v>3.7937835905965953E-3</v>
      </c>
      <c r="M50">
        <f t="shared" si="10"/>
        <v>1.3781977817473229E-5</v>
      </c>
      <c r="N50">
        <f t="shared" si="11"/>
        <v>2.303119446900931E-4</v>
      </c>
      <c r="O50">
        <f t="shared" si="12"/>
        <v>0</v>
      </c>
      <c r="P50">
        <f t="shared" si="13"/>
        <v>0</v>
      </c>
      <c r="Q50">
        <f t="shared" si="14"/>
        <v>0.46017907887140375</v>
      </c>
      <c r="R50">
        <f t="shared" si="15"/>
        <v>0.53982092112859625</v>
      </c>
    </row>
    <row r="51" spans="1:18" hidden="1" x14ac:dyDescent="0.25">
      <c r="A51" t="s">
        <v>124</v>
      </c>
      <c r="B51">
        <v>2755.553044210043</v>
      </c>
      <c r="C51">
        <v>364.83642422092021</v>
      </c>
      <c r="D51">
        <v>0.25927791771734737</v>
      </c>
      <c r="E51">
        <v>0</v>
      </c>
      <c r="F51">
        <v>1.3940312856453101</v>
      </c>
      <c r="G51">
        <v>1.329478734316132E-3</v>
      </c>
      <c r="H51">
        <v>0</v>
      </c>
      <c r="I51">
        <v>29.824427285021809</v>
      </c>
      <c r="J51">
        <v>106.6736763423454</v>
      </c>
      <c r="K51">
        <f t="shared" si="8"/>
        <v>0.99548518681740727</v>
      </c>
      <c r="L51">
        <f t="shared" si="9"/>
        <v>7.0746041025824115E-4</v>
      </c>
      <c r="M51">
        <f t="shared" si="10"/>
        <v>0</v>
      </c>
      <c r="N51">
        <f t="shared" si="11"/>
        <v>3.8037251839186216E-3</v>
      </c>
      <c r="O51">
        <f t="shared" si="12"/>
        <v>3.6275884158952759E-6</v>
      </c>
      <c r="P51">
        <f t="shared" si="13"/>
        <v>0</v>
      </c>
      <c r="Q51">
        <f t="shared" si="14"/>
        <v>0.21849700832797617</v>
      </c>
      <c r="R51">
        <f t="shared" si="15"/>
        <v>0.78150299167202375</v>
      </c>
    </row>
    <row r="52" spans="1:18" hidden="1" x14ac:dyDescent="0.25">
      <c r="A52" t="s">
        <v>85</v>
      </c>
      <c r="B52">
        <v>4606.0606412742409</v>
      </c>
      <c r="C52">
        <v>139.5632944272632</v>
      </c>
      <c r="D52">
        <v>0.77632354850274343</v>
      </c>
      <c r="E52">
        <v>0</v>
      </c>
      <c r="F52">
        <v>3.9570981133177863E-2</v>
      </c>
      <c r="G52">
        <v>1.9663196484261351E-2</v>
      </c>
      <c r="H52">
        <v>0</v>
      </c>
      <c r="I52">
        <v>8.2989986814455935E-2</v>
      </c>
      <c r="J52">
        <v>4.4708725805109158E-2</v>
      </c>
      <c r="K52">
        <f t="shared" si="8"/>
        <v>0.99404868548919934</v>
      </c>
      <c r="L52">
        <f t="shared" si="9"/>
        <v>5.5294152095675467E-3</v>
      </c>
      <c r="M52">
        <f t="shared" si="10"/>
        <v>0</v>
      </c>
      <c r="N52">
        <f t="shared" si="11"/>
        <v>2.8184689921785993E-4</v>
      </c>
      <c r="O52">
        <f t="shared" si="12"/>
        <v>1.4005240201522189E-4</v>
      </c>
      <c r="P52">
        <f t="shared" si="13"/>
        <v>0</v>
      </c>
      <c r="Q52">
        <f t="shared" si="14"/>
        <v>0.64988898566030495</v>
      </c>
      <c r="R52">
        <f t="shared" si="15"/>
        <v>0.3501110143396951</v>
      </c>
    </row>
    <row r="53" spans="1:18" hidden="1" x14ac:dyDescent="0.25">
      <c r="A53" t="s">
        <v>126</v>
      </c>
      <c r="B53">
        <v>2956.8933866055172</v>
      </c>
      <c r="C53">
        <v>535.45917367189588</v>
      </c>
      <c r="D53">
        <v>1.0359607267833519</v>
      </c>
      <c r="E53">
        <v>4.1695458433749639E-4</v>
      </c>
      <c r="F53">
        <v>0.39749032979522703</v>
      </c>
      <c r="G53">
        <v>0.64943067278444122</v>
      </c>
      <c r="H53">
        <v>8.5357629919284566E-3</v>
      </c>
      <c r="I53">
        <v>67.391390105956077</v>
      </c>
      <c r="J53">
        <v>380.17443601164592</v>
      </c>
      <c r="K53">
        <f t="shared" si="8"/>
        <v>0.99610858427322124</v>
      </c>
      <c r="L53">
        <f t="shared" si="9"/>
        <v>1.9271859063360445E-3</v>
      </c>
      <c r="M53">
        <f t="shared" si="10"/>
        <v>7.7565585040316977E-7</v>
      </c>
      <c r="N53">
        <f t="shared" si="11"/>
        <v>7.3944672001685586E-4</v>
      </c>
      <c r="O53">
        <f t="shared" si="12"/>
        <v>1.2081284621846954E-3</v>
      </c>
      <c r="P53">
        <f t="shared" si="13"/>
        <v>1.5878982390525949E-5</v>
      </c>
      <c r="Q53">
        <f t="shared" si="14"/>
        <v>0.15057313622566074</v>
      </c>
      <c r="R53">
        <f t="shared" si="15"/>
        <v>0.84942686377433929</v>
      </c>
    </row>
    <row r="54" spans="1:18" hidden="1" x14ac:dyDescent="0.25">
      <c r="A54" t="s">
        <v>81</v>
      </c>
      <c r="B54">
        <v>3794.7797889383742</v>
      </c>
      <c r="C54">
        <v>32.094530954654843</v>
      </c>
      <c r="D54">
        <v>3.2451410460096947E-2</v>
      </c>
      <c r="E54">
        <v>0</v>
      </c>
      <c r="F54">
        <v>0</v>
      </c>
      <c r="G54">
        <v>1.5738677847393159E-3</v>
      </c>
      <c r="H54">
        <v>0</v>
      </c>
      <c r="I54">
        <v>4.9602720454604822E-2</v>
      </c>
      <c r="J54">
        <v>1.037662380844887</v>
      </c>
      <c r="K54">
        <f t="shared" si="8"/>
        <v>0.99894096460487702</v>
      </c>
      <c r="L54">
        <f t="shared" si="9"/>
        <v>1.0100488246299302E-3</v>
      </c>
      <c r="M54">
        <f t="shared" si="10"/>
        <v>0</v>
      </c>
      <c r="N54">
        <f t="shared" si="11"/>
        <v>0</v>
      </c>
      <c r="O54">
        <f t="shared" si="12"/>
        <v>4.8986570492939647E-5</v>
      </c>
      <c r="P54">
        <f t="shared" si="13"/>
        <v>0</v>
      </c>
      <c r="Q54">
        <f t="shared" si="14"/>
        <v>4.5621551170289557E-2</v>
      </c>
      <c r="R54">
        <f t="shared" si="15"/>
        <v>0.95437844882971046</v>
      </c>
    </row>
    <row r="55" spans="1:18" x14ac:dyDescent="0.25">
      <c r="A55" t="s">
        <v>78</v>
      </c>
      <c r="B55">
        <v>2305.0061703805159</v>
      </c>
      <c r="C55">
        <v>332.74189326626532</v>
      </c>
      <c r="D55">
        <v>0.22682650725725051</v>
      </c>
      <c r="E55">
        <v>0</v>
      </c>
      <c r="F55">
        <v>1.3940312856453101</v>
      </c>
      <c r="G55">
        <v>0</v>
      </c>
      <c r="H55">
        <v>0</v>
      </c>
      <c r="I55">
        <v>29.774824564567201</v>
      </c>
      <c r="J55">
        <v>105.6360139615005</v>
      </c>
      <c r="K55">
        <f t="shared" si="8"/>
        <v>0.99515239724590088</v>
      </c>
      <c r="L55">
        <f t="shared" si="9"/>
        <v>6.7838449868810869E-4</v>
      </c>
      <c r="M55">
        <f t="shared" si="10"/>
        <v>0</v>
      </c>
      <c r="N55">
        <f t="shared" si="11"/>
        <v>4.1692182554109508E-3</v>
      </c>
      <c r="O55">
        <f t="shared" si="12"/>
        <v>0</v>
      </c>
      <c r="P55">
        <f t="shared" si="13"/>
        <v>0</v>
      </c>
      <c r="Q55">
        <f t="shared" si="14"/>
        <v>0.21988509109509211</v>
      </c>
      <c r="R55">
        <f t="shared" si="15"/>
        <v>0.78011490890490798</v>
      </c>
    </row>
    <row r="56" spans="1:18" hidden="1" x14ac:dyDescent="0.25">
      <c r="A56" t="s">
        <v>129</v>
      </c>
      <c r="B56">
        <v>1904.82324488873</v>
      </c>
      <c r="C56">
        <v>282.09219350796099</v>
      </c>
      <c r="D56">
        <v>1.1214035014720429</v>
      </c>
      <c r="E56">
        <v>8.5080405654013175E-2</v>
      </c>
      <c r="F56">
        <v>0</v>
      </c>
      <c r="G56">
        <v>0.14647908927441891</v>
      </c>
      <c r="H56">
        <v>1.177516992181797E-3</v>
      </c>
      <c r="I56">
        <v>38.864997455981047</v>
      </c>
      <c r="J56">
        <v>126.5469754039856</v>
      </c>
      <c r="K56">
        <f t="shared" si="8"/>
        <v>0.99522258589772172</v>
      </c>
      <c r="L56">
        <f t="shared" si="9"/>
        <v>3.956316829229342E-3</v>
      </c>
      <c r="M56">
        <f t="shared" si="10"/>
        <v>3.0016407143795896E-4</v>
      </c>
      <c r="N56">
        <f t="shared" si="11"/>
        <v>0</v>
      </c>
      <c r="O56">
        <f t="shared" si="12"/>
        <v>5.1677891612238592E-4</v>
      </c>
      <c r="P56">
        <f t="shared" si="13"/>
        <v>4.1542854884589471E-6</v>
      </c>
      <c r="Q56">
        <f t="shared" si="14"/>
        <v>0.23495879278873671</v>
      </c>
      <c r="R56">
        <f t="shared" si="15"/>
        <v>0.76504120721126323</v>
      </c>
    </row>
    <row r="57" spans="1:18" hidden="1" x14ac:dyDescent="0.25">
      <c r="A57" t="s">
        <v>127</v>
      </c>
      <c r="B57">
        <v>24900.766932380109</v>
      </c>
      <c r="C57">
        <v>247.9972106349002</v>
      </c>
      <c r="D57">
        <v>0.79079407237789689</v>
      </c>
      <c r="E57">
        <v>4.7317339774220826E-3</v>
      </c>
      <c r="F57">
        <v>1.6884700438704759E-2</v>
      </c>
      <c r="G57">
        <v>7.0570979739417034E-2</v>
      </c>
      <c r="H57">
        <v>0</v>
      </c>
      <c r="I57">
        <v>7.9868398270133822E-3</v>
      </c>
      <c r="J57">
        <v>1.537431165262146E-2</v>
      </c>
      <c r="K57">
        <f t="shared" si="8"/>
        <v>0.99645218255817392</v>
      </c>
      <c r="L57">
        <f t="shared" si="9"/>
        <v>3.1774086384184909E-3</v>
      </c>
      <c r="M57">
        <f t="shared" si="10"/>
        <v>1.9012095486945679E-5</v>
      </c>
      <c r="N57">
        <f t="shared" si="11"/>
        <v>6.7842684846797184E-5</v>
      </c>
      <c r="O57">
        <f t="shared" si="12"/>
        <v>2.835540230738171E-4</v>
      </c>
      <c r="P57">
        <f t="shared" si="13"/>
        <v>0</v>
      </c>
      <c r="Q57">
        <f t="shared" si="14"/>
        <v>0.34188553736214311</v>
      </c>
      <c r="R57">
        <f t="shared" si="15"/>
        <v>0.65811446263785689</v>
      </c>
    </row>
    <row r="58" spans="1:18" x14ac:dyDescent="0.25">
      <c r="A58" t="s">
        <v>138</v>
      </c>
      <c r="B58">
        <v>22271.396045750789</v>
      </c>
      <c r="C58">
        <v>1210.825836361925</v>
      </c>
      <c r="D58">
        <v>4.6825250287850544</v>
      </c>
      <c r="E58">
        <v>2.9145383757630192E-3</v>
      </c>
      <c r="F58">
        <v>3.6920470599161502E-2</v>
      </c>
      <c r="G58">
        <v>2.1328346810569618</v>
      </c>
      <c r="H58">
        <v>2.083534448260347E-3</v>
      </c>
      <c r="I58">
        <v>72.480606565568905</v>
      </c>
      <c r="J58">
        <v>47.585073928871381</v>
      </c>
      <c r="K58">
        <f t="shared" si="8"/>
        <v>0.99436858557783969</v>
      </c>
      <c r="L58">
        <f t="shared" si="9"/>
        <v>3.8454380885989512E-3</v>
      </c>
      <c r="M58">
        <f t="shared" si="10"/>
        <v>2.3935113666120482E-6</v>
      </c>
      <c r="N58">
        <f t="shared" si="11"/>
        <v>3.0320261614885772E-5</v>
      </c>
      <c r="O58">
        <f t="shared" si="12"/>
        <v>1.7515514959990032E-3</v>
      </c>
      <c r="P58">
        <f t="shared" si="13"/>
        <v>1.7110645809675874E-6</v>
      </c>
      <c r="Q58">
        <f t="shared" si="14"/>
        <v>0.60367464097223988</v>
      </c>
      <c r="R58">
        <f t="shared" si="15"/>
        <v>0.39632535902776012</v>
      </c>
    </row>
    <row r="59" spans="1:18" hidden="1" x14ac:dyDescent="0.25">
      <c r="A59" t="s">
        <v>103</v>
      </c>
      <c r="B59">
        <v>12703.28984250529</v>
      </c>
      <c r="C59">
        <v>106.4211196504876</v>
      </c>
      <c r="D59">
        <v>3.7185906573687248E-2</v>
      </c>
      <c r="E59">
        <v>0</v>
      </c>
      <c r="F59">
        <v>3.7951076244772307E-2</v>
      </c>
      <c r="G59">
        <v>0</v>
      </c>
      <c r="H59">
        <v>0</v>
      </c>
      <c r="I59">
        <v>0</v>
      </c>
      <c r="J59">
        <v>4.5036369642198239E-3</v>
      </c>
      <c r="K59">
        <f t="shared" si="8"/>
        <v>0.99929446362535379</v>
      </c>
      <c r="L59">
        <f t="shared" si="9"/>
        <v>3.4917571517774441E-4</v>
      </c>
      <c r="M59">
        <f t="shared" si="10"/>
        <v>0</v>
      </c>
      <c r="N59">
        <f t="shared" si="11"/>
        <v>3.5636065946850699E-4</v>
      </c>
      <c r="O59">
        <f t="shared" si="12"/>
        <v>0</v>
      </c>
      <c r="P59">
        <f t="shared" si="13"/>
        <v>0</v>
      </c>
      <c r="Q59">
        <f t="shared" si="14"/>
        <v>0</v>
      </c>
      <c r="R59">
        <f t="shared" si="15"/>
        <v>1</v>
      </c>
    </row>
    <row r="60" spans="1:18" x14ac:dyDescent="0.25">
      <c r="A60" t="s">
        <v>108</v>
      </c>
      <c r="B60">
        <v>10768.623112774279</v>
      </c>
      <c r="C60">
        <v>541.59919090407277</v>
      </c>
      <c r="D60">
        <v>0.1590594646331415</v>
      </c>
      <c r="E60">
        <v>0</v>
      </c>
      <c r="F60">
        <v>3.8494043739180042E-2</v>
      </c>
      <c r="G60">
        <v>7.8900703090335235E-3</v>
      </c>
      <c r="H60">
        <v>0</v>
      </c>
      <c r="I60">
        <v>7.3902383805023266</v>
      </c>
      <c r="J60">
        <v>4.8356720707506229</v>
      </c>
      <c r="K60">
        <f t="shared" si="8"/>
        <v>0.99962081612890308</v>
      </c>
      <c r="L60">
        <f t="shared" si="9"/>
        <v>2.9357346635654224E-4</v>
      </c>
      <c r="M60">
        <f t="shared" si="10"/>
        <v>0</v>
      </c>
      <c r="N60">
        <f t="shared" si="11"/>
        <v>7.1047830323432419E-5</v>
      </c>
      <c r="O60">
        <f t="shared" si="12"/>
        <v>1.4562574416820841E-5</v>
      </c>
      <c r="P60">
        <f t="shared" si="13"/>
        <v>0</v>
      </c>
      <c r="Q60">
        <f t="shared" si="14"/>
        <v>0.60447345904982897</v>
      </c>
      <c r="R60">
        <f t="shared" si="15"/>
        <v>0.39552654095017092</v>
      </c>
    </row>
    <row r="61" spans="1:18" hidden="1" x14ac:dyDescent="0.25">
      <c r="A61" t="s">
        <v>134</v>
      </c>
      <c r="B61">
        <v>11713.313624382359</v>
      </c>
      <c r="C61">
        <v>648.0203105545603</v>
      </c>
      <c r="D61">
        <v>0.19624537120682869</v>
      </c>
      <c r="E61">
        <v>0</v>
      </c>
      <c r="F61">
        <v>7.6445119983952356E-2</v>
      </c>
      <c r="G61">
        <v>7.8900703090335235E-3</v>
      </c>
      <c r="H61">
        <v>0</v>
      </c>
      <c r="I61">
        <v>7.3902383805023266</v>
      </c>
      <c r="J61">
        <v>4.8401757077148426</v>
      </c>
      <c r="K61">
        <f t="shared" si="8"/>
        <v>0.99956720626896434</v>
      </c>
      <c r="L61">
        <f t="shared" si="9"/>
        <v>3.0270723655645329E-4</v>
      </c>
      <c r="M61">
        <f t="shared" si="10"/>
        <v>0</v>
      </c>
      <c r="N61">
        <f t="shared" si="11"/>
        <v>1.1791611122475998E-4</v>
      </c>
      <c r="O61">
        <f t="shared" si="12"/>
        <v>1.2170383254372278E-5</v>
      </c>
      <c r="P61">
        <f t="shared" si="13"/>
        <v>0</v>
      </c>
      <c r="Q61">
        <f t="shared" si="14"/>
        <v>0.60425087222697649</v>
      </c>
      <c r="R61">
        <f t="shared" si="15"/>
        <v>0.3957491277730234</v>
      </c>
    </row>
    <row r="62" spans="1:18" hidden="1" x14ac:dyDescent="0.25">
      <c r="A62" t="s">
        <v>135</v>
      </c>
      <c r="B62">
        <v>22519.574366022131</v>
      </c>
      <c r="C62">
        <v>297.11723811880768</v>
      </c>
      <c r="D62">
        <v>10.459572662128171</v>
      </c>
      <c r="E62">
        <v>0</v>
      </c>
      <c r="F62">
        <v>1.8488178876330259E-2</v>
      </c>
      <c r="G62">
        <v>0</v>
      </c>
      <c r="H62">
        <v>0</v>
      </c>
      <c r="I62">
        <v>12.680386303063351</v>
      </c>
      <c r="J62">
        <v>8.8275765540378259</v>
      </c>
      <c r="K62">
        <f t="shared" si="8"/>
        <v>0.96593556248603962</v>
      </c>
      <c r="L62">
        <f t="shared" si="9"/>
        <v>3.4004331982637782E-2</v>
      </c>
      <c r="M62">
        <f t="shared" si="10"/>
        <v>0</v>
      </c>
      <c r="N62">
        <f t="shared" si="11"/>
        <v>6.0105531322654481E-5</v>
      </c>
      <c r="O62">
        <f t="shared" si="12"/>
        <v>0</v>
      </c>
      <c r="P62">
        <f t="shared" si="13"/>
        <v>0</v>
      </c>
      <c r="Q62">
        <f t="shared" si="14"/>
        <v>0.58956705417950506</v>
      </c>
      <c r="R62">
        <f t="shared" si="15"/>
        <v>0.410432945820495</v>
      </c>
    </row>
    <row r="63" spans="1:18" hidden="1" x14ac:dyDescent="0.25">
      <c r="A63" t="s">
        <v>109</v>
      </c>
      <c r="B63">
        <v>15853.96203319802</v>
      </c>
      <c r="C63">
        <v>300.42004589206459</v>
      </c>
      <c r="D63">
        <v>34.54003248015345</v>
      </c>
      <c r="E63">
        <v>7.280524299390613E-3</v>
      </c>
      <c r="F63">
        <v>0.24361654848584499</v>
      </c>
      <c r="G63">
        <v>1.244014907440858E-3</v>
      </c>
      <c r="H63">
        <v>0</v>
      </c>
      <c r="I63">
        <v>0.42713636187803727</v>
      </c>
      <c r="J63">
        <v>0.52329435912269795</v>
      </c>
      <c r="K63">
        <f t="shared" si="8"/>
        <v>0.89620851643205968</v>
      </c>
      <c r="L63">
        <f t="shared" si="9"/>
        <v>0.1030393001060757</v>
      </c>
      <c r="M63">
        <f t="shared" si="10"/>
        <v>2.1719149472298152E-5</v>
      </c>
      <c r="N63">
        <f t="shared" si="11"/>
        <v>7.2675318602154952E-4</v>
      </c>
      <c r="O63">
        <f t="shared" si="12"/>
        <v>3.7111263707665475E-6</v>
      </c>
      <c r="P63">
        <f t="shared" si="13"/>
        <v>0</v>
      </c>
      <c r="Q63">
        <f t="shared" si="14"/>
        <v>0.44941346322254122</v>
      </c>
      <c r="R63">
        <f t="shared" si="15"/>
        <v>0.55058653677745872</v>
      </c>
    </row>
    <row r="64" spans="1:18" x14ac:dyDescent="0.25">
      <c r="A64" t="s">
        <v>92</v>
      </c>
      <c r="B64">
        <v>6313.2011097215418</v>
      </c>
      <c r="C64">
        <v>1075.654653787476</v>
      </c>
      <c r="D64">
        <v>118.967772410788</v>
      </c>
      <c r="E64">
        <v>2.8506684778762059E-2</v>
      </c>
      <c r="F64">
        <v>0.22840083174857709</v>
      </c>
      <c r="G64">
        <v>8.5725344975883903E-3</v>
      </c>
      <c r="H64">
        <v>3.4080863927166351E-3</v>
      </c>
      <c r="I64">
        <v>7.7058699236450154</v>
      </c>
      <c r="J64">
        <v>29.827330359187808</v>
      </c>
      <c r="K64">
        <f t="shared" si="8"/>
        <v>0.90021129192449023</v>
      </c>
      <c r="L64">
        <f t="shared" si="9"/>
        <v>9.9563676615165617E-2</v>
      </c>
      <c r="M64">
        <f t="shared" si="10"/>
        <v>2.3857136156865275E-5</v>
      </c>
      <c r="N64">
        <f t="shared" si="11"/>
        <v>1.9114778809448466E-4</v>
      </c>
      <c r="O64">
        <f t="shared" si="12"/>
        <v>7.1743215426705355E-6</v>
      </c>
      <c r="P64">
        <f t="shared" si="13"/>
        <v>2.8522145502508853E-6</v>
      </c>
      <c r="Q64">
        <f t="shared" si="14"/>
        <v>0.20530809698019745</v>
      </c>
      <c r="R64">
        <f t="shared" si="15"/>
        <v>0.79469190301980253</v>
      </c>
    </row>
    <row r="65" spans="1:18" x14ac:dyDescent="0.25">
      <c r="A65" t="s">
        <v>128</v>
      </c>
      <c r="B65">
        <v>14119.95213515897</v>
      </c>
      <c r="C65">
        <v>403.94876376706787</v>
      </c>
      <c r="D65">
        <v>0.60190697835309703</v>
      </c>
      <c r="E65">
        <v>0</v>
      </c>
      <c r="F65">
        <v>0.33712037963242758</v>
      </c>
      <c r="G65">
        <v>5.6786683929494333E-2</v>
      </c>
      <c r="H65">
        <v>0</v>
      </c>
      <c r="I65">
        <v>0.61615399786405767</v>
      </c>
      <c r="J65">
        <v>0.17741603330030051</v>
      </c>
      <c r="K65">
        <f t="shared" si="8"/>
        <v>0.99754086337616121</v>
      </c>
      <c r="L65">
        <f t="shared" si="9"/>
        <v>1.486393475398067E-3</v>
      </c>
      <c r="M65">
        <f t="shared" si="10"/>
        <v>0</v>
      </c>
      <c r="N65">
        <f t="shared" si="11"/>
        <v>8.3250992384308747E-4</v>
      </c>
      <c r="O65">
        <f t="shared" si="12"/>
        <v>1.402332245976665E-4</v>
      </c>
      <c r="P65">
        <f t="shared" si="13"/>
        <v>0</v>
      </c>
      <c r="Q65">
        <f t="shared" si="14"/>
        <v>0.77643304770470156</v>
      </c>
      <c r="R65">
        <f t="shared" si="15"/>
        <v>0.22356695229529835</v>
      </c>
    </row>
    <row r="66" spans="1:18" hidden="1" x14ac:dyDescent="0.25">
      <c r="A66" t="s">
        <v>125</v>
      </c>
      <c r="B66">
        <v>21466.147579956469</v>
      </c>
      <c r="C66">
        <v>126.99513651247869</v>
      </c>
      <c r="D66">
        <v>1.08749252103752E-2</v>
      </c>
      <c r="E66">
        <v>0</v>
      </c>
      <c r="F66">
        <v>0.1443500161895242</v>
      </c>
      <c r="G66">
        <v>0</v>
      </c>
      <c r="H66">
        <v>0</v>
      </c>
      <c r="I66">
        <v>0</v>
      </c>
      <c r="J66">
        <v>5.6587546895784052E-4</v>
      </c>
      <c r="K66">
        <f t="shared" ref="K66:K79" si="16">C66/SUM($C66:$H66)</f>
        <v>0.99877920172915746</v>
      </c>
      <c r="L66">
        <f t="shared" ref="L66:L79" si="17">D66/SUM($C66:$H66)</f>
        <v>8.5528071536940744E-5</v>
      </c>
      <c r="M66">
        <f t="shared" ref="M66:M79" si="18">E66/SUM($C66:$H66)</f>
        <v>0</v>
      </c>
      <c r="N66">
        <f t="shared" ref="N66:N79" si="19">F66/SUM($C66:$H66)</f>
        <v>1.1352701993056029E-3</v>
      </c>
      <c r="O66">
        <f t="shared" ref="O66:O79" si="20">G66/SUM($C66:$H66)</f>
        <v>0</v>
      </c>
      <c r="P66">
        <f t="shared" ref="P66:P79" si="21">H66/SUM($C66:$H66)</f>
        <v>0</v>
      </c>
      <c r="Q66">
        <f t="shared" ref="Q66:Q78" si="22">I66/($I66+$J66)</f>
        <v>0</v>
      </c>
      <c r="R66">
        <f t="shared" ref="R66:R78" si="23">J66/($I66+$J66)</f>
        <v>1</v>
      </c>
    </row>
    <row r="67" spans="1:18" hidden="1" x14ac:dyDescent="0.25">
      <c r="A67" t="s">
        <v>140</v>
      </c>
      <c r="B67">
        <v>19403.888664424201</v>
      </c>
      <c r="C67">
        <v>2604.6071209202501</v>
      </c>
      <c r="D67">
        <v>0.69202772299755921</v>
      </c>
      <c r="E67">
        <v>0</v>
      </c>
      <c r="F67">
        <v>0.29629951289816442</v>
      </c>
      <c r="G67">
        <v>8.6718023401237479E-2</v>
      </c>
      <c r="H67">
        <v>0</v>
      </c>
      <c r="I67">
        <v>0.76915762965095424</v>
      </c>
      <c r="J67">
        <v>15.001362198013011</v>
      </c>
      <c r="K67">
        <f t="shared" si="16"/>
        <v>0.9995874227205257</v>
      </c>
      <c r="L67">
        <f t="shared" si="17"/>
        <v>2.655840884892768E-4</v>
      </c>
      <c r="M67">
        <f t="shared" si="18"/>
        <v>0</v>
      </c>
      <c r="N67">
        <f t="shared" si="19"/>
        <v>1.1371283756092132E-4</v>
      </c>
      <c r="O67">
        <f t="shared" si="20"/>
        <v>3.3280353424064571E-5</v>
      </c>
      <c r="P67">
        <f t="shared" si="21"/>
        <v>0</v>
      </c>
      <c r="Q67">
        <f t="shared" si="22"/>
        <v>4.877186282101692E-2</v>
      </c>
      <c r="R67">
        <f t="shared" si="23"/>
        <v>0.95122813717898314</v>
      </c>
    </row>
    <row r="68" spans="1:18" x14ac:dyDescent="0.25">
      <c r="A68" t="s">
        <v>100</v>
      </c>
      <c r="B68">
        <v>8033.7996285452773</v>
      </c>
      <c r="C68">
        <v>372.18205787966031</v>
      </c>
      <c r="D68">
        <v>11.37106708066047</v>
      </c>
      <c r="E68">
        <v>1.2221316654229891E-3</v>
      </c>
      <c r="F68">
        <v>4.3072047055176907E-2</v>
      </c>
      <c r="G68">
        <v>0.33468149292247268</v>
      </c>
      <c r="H68">
        <v>0</v>
      </c>
      <c r="I68">
        <v>1.525266331989388</v>
      </c>
      <c r="J68">
        <v>0.46708375664334922</v>
      </c>
      <c r="K68">
        <f t="shared" si="16"/>
        <v>0.96939551880928265</v>
      </c>
      <c r="L68">
        <f t="shared" si="17"/>
        <v>2.9617390840576626E-2</v>
      </c>
      <c r="M68">
        <f t="shared" si="18"/>
        <v>3.1831974023826695E-6</v>
      </c>
      <c r="N68">
        <f t="shared" si="19"/>
        <v>1.1218662618801348E-4</v>
      </c>
      <c r="O68">
        <f t="shared" si="20"/>
        <v>8.7172052655033738E-4</v>
      </c>
      <c r="P68">
        <f t="shared" si="21"/>
        <v>0</v>
      </c>
      <c r="Q68">
        <f t="shared" si="22"/>
        <v>0.76556140443977472</v>
      </c>
      <c r="R68">
        <f t="shared" si="23"/>
        <v>0.23443859556022525</v>
      </c>
    </row>
    <row r="69" spans="1:18" hidden="1" x14ac:dyDescent="0.25">
      <c r="A69" t="s">
        <v>95</v>
      </c>
      <c r="B69">
        <v>9994.5499615667923</v>
      </c>
      <c r="C69">
        <v>94.7782987203056</v>
      </c>
      <c r="D69">
        <v>1.505044091717318</v>
      </c>
      <c r="E69">
        <v>0</v>
      </c>
      <c r="F69">
        <v>4.1620616050830207E-2</v>
      </c>
      <c r="G69">
        <v>0.31965614572420531</v>
      </c>
      <c r="H69">
        <v>0</v>
      </c>
      <c r="I69">
        <v>1.386464187963662E-3</v>
      </c>
      <c r="J69">
        <v>1.3451685337184779E-3</v>
      </c>
      <c r="K69">
        <f t="shared" si="16"/>
        <v>0.98068882818595771</v>
      </c>
      <c r="L69">
        <f t="shared" si="17"/>
        <v>1.5572973419053756E-2</v>
      </c>
      <c r="M69">
        <f t="shared" si="18"/>
        <v>0</v>
      </c>
      <c r="N69">
        <f t="shared" si="19"/>
        <v>4.3065631831732385E-4</v>
      </c>
      <c r="O69">
        <f t="shared" si="20"/>
        <v>3.3075420766710702E-3</v>
      </c>
      <c r="P69">
        <f t="shared" si="21"/>
        <v>0</v>
      </c>
      <c r="Q69">
        <f t="shared" si="22"/>
        <v>0.50755878598125637</v>
      </c>
      <c r="R69">
        <f t="shared" si="23"/>
        <v>0.49244121401874369</v>
      </c>
    </row>
    <row r="70" spans="1:18" hidden="1" x14ac:dyDescent="0.25">
      <c r="A70" t="s">
        <v>143</v>
      </c>
      <c r="B70">
        <v>9330.8849054874718</v>
      </c>
      <c r="C70">
        <v>399.50706225857948</v>
      </c>
      <c r="D70">
        <v>11.510662616077211</v>
      </c>
      <c r="E70">
        <v>0</v>
      </c>
      <c r="F70">
        <v>0.1749427244642752</v>
      </c>
      <c r="G70">
        <v>4.7861928687565912E-2</v>
      </c>
      <c r="H70">
        <v>2.6804714578477402E-2</v>
      </c>
      <c r="I70">
        <v>3.8299631984495019</v>
      </c>
      <c r="J70">
        <v>59.210311352940607</v>
      </c>
      <c r="K70">
        <f t="shared" si="16"/>
        <v>0.9714047992518744</v>
      </c>
      <c r="L70">
        <f t="shared" si="17"/>
        <v>2.7988273460330833E-2</v>
      </c>
      <c r="M70">
        <f t="shared" si="18"/>
        <v>0</v>
      </c>
      <c r="N70">
        <f t="shared" si="19"/>
        <v>4.2537471347328036E-4</v>
      </c>
      <c r="O70">
        <f t="shared" si="20"/>
        <v>1.1637668422106609E-4</v>
      </c>
      <c r="P70">
        <f t="shared" si="21"/>
        <v>6.5175890100427025E-5</v>
      </c>
      <c r="Q70">
        <f t="shared" si="22"/>
        <v>6.0754227764781316E-2</v>
      </c>
      <c r="R70">
        <f t="shared" si="23"/>
        <v>0.93924577223521866</v>
      </c>
    </row>
    <row r="71" spans="1:18" x14ac:dyDescent="0.25">
      <c r="A71" t="s">
        <v>150</v>
      </c>
      <c r="B71">
        <v>42702.525904684662</v>
      </c>
      <c r="C71">
        <v>2738.9708216337731</v>
      </c>
      <c r="D71">
        <v>106.7201193146018</v>
      </c>
      <c r="E71">
        <v>0.1844145643934138</v>
      </c>
      <c r="F71">
        <v>0</v>
      </c>
      <c r="G71">
        <v>0</v>
      </c>
      <c r="H71">
        <v>0</v>
      </c>
      <c r="I71">
        <v>1.6721818434414851E-3</v>
      </c>
      <c r="J71">
        <v>3.3110167321789702E-2</v>
      </c>
      <c r="K71">
        <f t="shared" si="16"/>
        <v>0.96243527192014577</v>
      </c>
      <c r="L71">
        <f t="shared" si="17"/>
        <v>3.7499927432827783E-2</v>
      </c>
      <c r="M71">
        <f t="shared" si="18"/>
        <v>6.4800647026294674E-5</v>
      </c>
      <c r="N71">
        <f t="shared" si="19"/>
        <v>0</v>
      </c>
      <c r="O71">
        <f t="shared" si="20"/>
        <v>0</v>
      </c>
      <c r="P71">
        <f t="shared" si="21"/>
        <v>0</v>
      </c>
      <c r="Q71">
        <f t="shared" si="22"/>
        <v>4.8075586714913902E-2</v>
      </c>
      <c r="R71">
        <f t="shared" si="23"/>
        <v>0.95192441328508615</v>
      </c>
    </row>
    <row r="72" spans="1:18" hidden="1" x14ac:dyDescent="0.25">
      <c r="A72" t="s">
        <v>151</v>
      </c>
      <c r="B72">
        <v>53129.184166744817</v>
      </c>
      <c r="C72">
        <v>2043.3300972579341</v>
      </c>
      <c r="D72">
        <v>153.5548333133481</v>
      </c>
      <c r="E72">
        <v>0.28447766101874322</v>
      </c>
      <c r="F72">
        <v>0.47404645440972087</v>
      </c>
      <c r="G72">
        <v>0.14425870533036869</v>
      </c>
      <c r="H72">
        <v>0</v>
      </c>
      <c r="I72">
        <v>1.8869521200544619E-2</v>
      </c>
      <c r="J72">
        <v>7.1721917314858073E-3</v>
      </c>
      <c r="K72">
        <f t="shared" si="16"/>
        <v>0.9297213214939134</v>
      </c>
      <c r="L72">
        <f t="shared" si="17"/>
        <v>6.9867909615507554E-2</v>
      </c>
      <c r="M72">
        <f t="shared" si="18"/>
        <v>1.2943818881382479E-4</v>
      </c>
      <c r="N72">
        <f t="shared" si="19"/>
        <v>2.1569255825808716E-4</v>
      </c>
      <c r="O72">
        <f t="shared" si="20"/>
        <v>6.5638143507373354E-5</v>
      </c>
      <c r="P72">
        <f t="shared" si="21"/>
        <v>0</v>
      </c>
      <c r="Q72">
        <f t="shared" si="22"/>
        <v>0.72458832680456076</v>
      </c>
      <c r="R72">
        <f t="shared" si="23"/>
        <v>0.27541167319543924</v>
      </c>
    </row>
    <row r="73" spans="1:18" hidden="1" x14ac:dyDescent="0.25">
      <c r="A73" t="s">
        <v>146</v>
      </c>
      <c r="B73">
        <v>9297.3326132160164</v>
      </c>
      <c r="C73">
        <v>871.52015235462795</v>
      </c>
      <c r="D73">
        <v>0.25654617260241191</v>
      </c>
      <c r="E73">
        <v>0</v>
      </c>
      <c r="F73">
        <v>1.3164127715401069E-2</v>
      </c>
      <c r="G73">
        <v>0</v>
      </c>
      <c r="H73">
        <v>0</v>
      </c>
      <c r="I73">
        <v>1.7851021821700499</v>
      </c>
      <c r="J73">
        <v>18.818419300255741</v>
      </c>
      <c r="K73">
        <f t="shared" si="16"/>
        <v>0.99969062464262148</v>
      </c>
      <c r="L73">
        <f t="shared" si="17"/>
        <v>2.9427524176655039E-4</v>
      </c>
      <c r="M73">
        <f t="shared" si="18"/>
        <v>0</v>
      </c>
      <c r="N73">
        <f t="shared" si="19"/>
        <v>1.5100115611933226E-5</v>
      </c>
      <c r="O73">
        <f t="shared" si="20"/>
        <v>0</v>
      </c>
      <c r="P73">
        <f t="shared" si="21"/>
        <v>0</v>
      </c>
      <c r="Q73">
        <f t="shared" si="22"/>
        <v>8.6640634888200577E-2</v>
      </c>
      <c r="R73">
        <f t="shared" si="23"/>
        <v>0.91335936511179938</v>
      </c>
    </row>
    <row r="74" spans="1:18" x14ac:dyDescent="0.25">
      <c r="A74" t="s">
        <v>83</v>
      </c>
      <c r="B74">
        <v>2641.734459797955</v>
      </c>
      <c r="C74">
        <v>462.48045974466902</v>
      </c>
      <c r="D74">
        <v>0.95376834297451396</v>
      </c>
      <c r="E74">
        <v>4.1695458433749639E-4</v>
      </c>
      <c r="F74">
        <v>0.30523883162058563</v>
      </c>
      <c r="G74">
        <v>0.64892786254661283</v>
      </c>
      <c r="H74">
        <v>7.9211492870261933E-3</v>
      </c>
      <c r="I74">
        <v>66.114691006469727</v>
      </c>
      <c r="J74">
        <v>374.69767275620939</v>
      </c>
      <c r="K74">
        <f t="shared" si="16"/>
        <v>0.99587362915086475</v>
      </c>
      <c r="L74">
        <f t="shared" si="17"/>
        <v>2.0537791836905484E-3</v>
      </c>
      <c r="M74">
        <f t="shared" si="18"/>
        <v>8.9784133869032987E-7</v>
      </c>
      <c r="N74">
        <f t="shared" si="19"/>
        <v>6.5728031660318442E-4</v>
      </c>
      <c r="O74">
        <f t="shared" si="20"/>
        <v>1.3973566491613447E-3</v>
      </c>
      <c r="P74">
        <f t="shared" si="21"/>
        <v>1.7056858341370152E-5</v>
      </c>
      <c r="Q74">
        <f t="shared" si="22"/>
        <v>0.14998374919008398</v>
      </c>
      <c r="R74">
        <f t="shared" si="23"/>
        <v>0.85001625080991594</v>
      </c>
    </row>
    <row r="75" spans="1:18" hidden="1" x14ac:dyDescent="0.25">
      <c r="A75" t="s">
        <v>80</v>
      </c>
      <c r="B75">
        <v>3394.532603624647</v>
      </c>
      <c r="C75">
        <v>72.978713927226892</v>
      </c>
      <c r="D75">
        <v>8.2192383808838532E-2</v>
      </c>
      <c r="E75">
        <v>0</v>
      </c>
      <c r="F75">
        <v>9.22514981746414E-2</v>
      </c>
      <c r="G75">
        <v>5.0281023782836303E-4</v>
      </c>
      <c r="H75">
        <v>6.1461370490226445E-4</v>
      </c>
      <c r="I75">
        <v>1.276699099486347</v>
      </c>
      <c r="J75">
        <v>5.4767632554363583</v>
      </c>
      <c r="K75">
        <f t="shared" si="16"/>
        <v>0.99760012240751916</v>
      </c>
      <c r="L75">
        <f t="shared" si="17"/>
        <v>1.1235486039179485E-3</v>
      </c>
      <c r="M75">
        <f t="shared" si="18"/>
        <v>0</v>
      </c>
      <c r="N75">
        <f t="shared" si="19"/>
        <v>1.2610540926093891E-3</v>
      </c>
      <c r="O75">
        <f t="shared" si="20"/>
        <v>6.8732857543299427E-6</v>
      </c>
      <c r="P75">
        <f t="shared" si="21"/>
        <v>8.4016101990403556E-6</v>
      </c>
      <c r="Q75">
        <f t="shared" si="22"/>
        <v>0.18904363900921736</v>
      </c>
      <c r="R75">
        <f t="shared" si="23"/>
        <v>0.81095636099078261</v>
      </c>
    </row>
    <row r="76" spans="1:18" hidden="1" x14ac:dyDescent="0.25">
      <c r="A76" t="s">
        <v>149</v>
      </c>
      <c r="B76">
        <v>18656.29543171874</v>
      </c>
      <c r="C76">
        <v>530.9439002795466</v>
      </c>
      <c r="D76">
        <v>0.61278190356347217</v>
      </c>
      <c r="E76">
        <v>0</v>
      </c>
      <c r="F76">
        <v>0.48147039582195172</v>
      </c>
      <c r="G76">
        <v>5.6786683929494333E-2</v>
      </c>
      <c r="H76">
        <v>0</v>
      </c>
      <c r="I76">
        <v>0.61615399786405767</v>
      </c>
      <c r="J76">
        <v>0.1779819087692584</v>
      </c>
      <c r="K76">
        <f t="shared" si="16"/>
        <v>0.99783677893101264</v>
      </c>
      <c r="L76">
        <f t="shared" si="17"/>
        <v>1.1516401648404896E-3</v>
      </c>
      <c r="M76">
        <f t="shared" si="18"/>
        <v>0</v>
      </c>
      <c r="N76">
        <f t="shared" si="19"/>
        <v>9.048580625272576E-4</v>
      </c>
      <c r="O76">
        <f t="shared" si="20"/>
        <v>1.067228416195122E-4</v>
      </c>
      <c r="P76">
        <f t="shared" si="21"/>
        <v>0</v>
      </c>
      <c r="Q76">
        <f t="shared" si="22"/>
        <v>0.77587978671837132</v>
      </c>
      <c r="R76">
        <f t="shared" si="23"/>
        <v>0.22412021328162876</v>
      </c>
    </row>
    <row r="77" spans="1:18" x14ac:dyDescent="0.25">
      <c r="A77" t="s">
        <v>144</v>
      </c>
      <c r="B77">
        <v>33182.204031909663</v>
      </c>
      <c r="C77">
        <v>2068.5472409450558</v>
      </c>
      <c r="D77">
        <v>1.928066896705082</v>
      </c>
      <c r="E77">
        <v>8.1813816872616397E-3</v>
      </c>
      <c r="F77">
        <v>0.198170627156952</v>
      </c>
      <c r="G77">
        <v>0.60877270642981829</v>
      </c>
      <c r="H77">
        <v>2.106953108936421E-3</v>
      </c>
      <c r="I77">
        <v>2.1811633931282461</v>
      </c>
      <c r="J77">
        <v>1.7342547535959849E-2</v>
      </c>
      <c r="K77">
        <f t="shared" si="16"/>
        <v>0.99867459641131273</v>
      </c>
      <c r="L77">
        <f t="shared" si="17"/>
        <v>9.3085204524565404E-4</v>
      </c>
      <c r="M77">
        <f t="shared" si="18"/>
        <v>3.949891930377212E-6</v>
      </c>
      <c r="N77">
        <f t="shared" si="19"/>
        <v>9.5674861651275455E-5</v>
      </c>
      <c r="O77">
        <f t="shared" si="20"/>
        <v>2.9390957328209743E-4</v>
      </c>
      <c r="P77">
        <f t="shared" si="21"/>
        <v>1.0172165779319182E-6</v>
      </c>
      <c r="Q77">
        <f t="shared" si="22"/>
        <v>0.99211166673913087</v>
      </c>
      <c r="R77">
        <f t="shared" si="23"/>
        <v>7.8883332608691379E-3</v>
      </c>
    </row>
    <row r="78" spans="1:18" hidden="1" x14ac:dyDescent="0.25">
      <c r="A78" t="s">
        <v>145</v>
      </c>
      <c r="B78">
        <v>40848.104684907797</v>
      </c>
      <c r="C78">
        <v>915.71234756813249</v>
      </c>
      <c r="D78">
        <v>4.7175772177009856</v>
      </c>
      <c r="E78">
        <v>1.0487873695124851E-3</v>
      </c>
      <c r="F78">
        <v>0.19731262759185841</v>
      </c>
      <c r="G78">
        <v>0.47765151859962302</v>
      </c>
      <c r="H78">
        <v>7.344017312323997E-4</v>
      </c>
      <c r="I78">
        <v>2.9815281920683001E-2</v>
      </c>
      <c r="J78">
        <v>5.3590598273551178E-3</v>
      </c>
      <c r="K78">
        <f t="shared" si="16"/>
        <v>0.99414364837834557</v>
      </c>
      <c r="L78">
        <f t="shared" si="17"/>
        <v>5.1216404793131528E-3</v>
      </c>
      <c r="M78">
        <f t="shared" si="18"/>
        <v>1.1386166241715915E-6</v>
      </c>
      <c r="N78">
        <f t="shared" si="19"/>
        <v>2.142125701222928E-4</v>
      </c>
      <c r="O78">
        <f t="shared" si="20"/>
        <v>5.1856265192356762E-4</v>
      </c>
      <c r="P78">
        <f t="shared" si="21"/>
        <v>7.9730367118199069E-7</v>
      </c>
      <c r="Q78">
        <f t="shared" si="22"/>
        <v>0.84764292489840209</v>
      </c>
      <c r="R78">
        <f t="shared" si="23"/>
        <v>0.15235707510159802</v>
      </c>
    </row>
    <row r="79" spans="1:18" hidden="1" x14ac:dyDescent="0.25">
      <c r="A79" t="s">
        <v>152</v>
      </c>
      <c r="B79">
        <v>49923.685627894141</v>
      </c>
      <c r="C79">
        <v>4782.3009188917067</v>
      </c>
      <c r="D79">
        <v>260.27495262794992</v>
      </c>
      <c r="E79">
        <v>0.46889222541215703</v>
      </c>
      <c r="F79">
        <v>0.30212492105238398</v>
      </c>
      <c r="G79">
        <v>6.512964616832112E-2</v>
      </c>
      <c r="H79">
        <v>0</v>
      </c>
      <c r="I79">
        <v>2.0541703043986111E-2</v>
      </c>
      <c r="J79">
        <v>4.0282359053275513E-2</v>
      </c>
      <c r="K79">
        <f t="shared" si="16"/>
        <v>0.94822729166831776</v>
      </c>
      <c r="L79">
        <f t="shared" si="17"/>
        <v>5.1606918428022355E-2</v>
      </c>
      <c r="M79">
        <f t="shared" si="18"/>
        <v>9.2971231323088602E-5</v>
      </c>
      <c r="N79">
        <f t="shared" si="19"/>
        <v>5.9904865982669811E-5</v>
      </c>
      <c r="O79">
        <f t="shared" si="20"/>
        <v>1.2913806354079294E-5</v>
      </c>
      <c r="P79">
        <f t="shared" si="21"/>
        <v>0</v>
      </c>
      <c r="Q79">
        <f t="shared" ref="Q79" si="24">I79/($I79+$J79)</f>
        <v>0.33772330120172822</v>
      </c>
      <c r="R79">
        <f t="shared" ref="R79" si="25">J79/($I79+$J79)</f>
        <v>0.66227669879827167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8A1B6-548F-4400-AC47-4B5BCA2B1DB6}">
  <dimension ref="A1:T79"/>
  <sheetViews>
    <sheetView showGridLines="0" topLeftCell="K1" workbookViewId="0">
      <selection activeCell="S3" sqref="S3:T78"/>
    </sheetView>
  </sheetViews>
  <sheetFormatPr defaultRowHeight="15" x14ac:dyDescent="0.25"/>
  <cols>
    <col min="1" max="1" width="13.42578125" customWidth="1"/>
    <col min="2" max="2" width="20" customWidth="1"/>
    <col min="3" max="3" width="19.5703125" customWidth="1"/>
    <col min="4" max="4" width="17.42578125" customWidth="1"/>
    <col min="5" max="5" width="20.7109375" customWidth="1"/>
    <col min="6" max="6" width="18" customWidth="1"/>
    <col min="7" max="7" width="24.42578125" customWidth="1"/>
    <col min="8" max="8" width="17.85546875" customWidth="1"/>
    <col min="9" max="9" width="17.5703125" customWidth="1"/>
    <col min="10" max="10" width="33.140625" customWidth="1"/>
    <col min="11" max="11" width="32.42578125" customWidth="1"/>
    <col min="12" max="12" width="20.5703125" customWidth="1"/>
    <col min="13" max="13" width="18.42578125" customWidth="1"/>
    <col min="14" max="14" width="21.7109375" customWidth="1"/>
    <col min="15" max="15" width="19" customWidth="1"/>
    <col min="16" max="16" width="25.5703125" customWidth="1"/>
    <col min="17" max="17" width="18.85546875" customWidth="1"/>
    <col min="18" max="18" width="18.7109375" customWidth="1"/>
    <col min="19" max="19" width="34.140625" customWidth="1"/>
    <col min="20" max="20" width="34.42578125" customWidth="1"/>
  </cols>
  <sheetData>
    <row r="1" spans="1:20" x14ac:dyDescent="0.25">
      <c r="A1" s="1" t="s">
        <v>0</v>
      </c>
      <c r="B1" s="1" t="s">
        <v>1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64</v>
      </c>
      <c r="J1" s="1" t="s">
        <v>62</v>
      </c>
      <c r="K1" s="1" t="s">
        <v>63</v>
      </c>
      <c r="L1" s="1" t="s">
        <v>174</v>
      </c>
      <c r="M1" s="1" t="s">
        <v>175</v>
      </c>
      <c r="N1" s="1" t="s">
        <v>176</v>
      </c>
      <c r="O1" s="1" t="s">
        <v>177</v>
      </c>
      <c r="P1" s="1" t="s">
        <v>178</v>
      </c>
      <c r="Q1" s="1" t="s">
        <v>179</v>
      </c>
      <c r="R1" s="1" t="s">
        <v>180</v>
      </c>
      <c r="S1" s="1" t="s">
        <v>181</v>
      </c>
      <c r="T1" s="1" t="s">
        <v>182</v>
      </c>
    </row>
    <row r="2" spans="1:20" hidden="1" x14ac:dyDescent="0.25">
      <c r="A2" t="s">
        <v>75</v>
      </c>
      <c r="B2">
        <v>3626.6186625782998</v>
      </c>
      <c r="C2">
        <v>256.80046639802651</v>
      </c>
      <c r="D2">
        <v>0</v>
      </c>
      <c r="E2">
        <v>2.0431790644149168</v>
      </c>
      <c r="F2">
        <v>0.1184910554714908</v>
      </c>
      <c r="G2">
        <v>0.3577112229788037</v>
      </c>
      <c r="H2">
        <v>4.4158206817213531E-2</v>
      </c>
      <c r="I2">
        <v>5.7249235819616638E-4</v>
      </c>
      <c r="J2">
        <v>41.470639809577989</v>
      </c>
      <c r="K2">
        <v>35.53031283619049</v>
      </c>
      <c r="L2">
        <f t="shared" ref="L2:L33" si="0">C2/SUM($C2:$I2)</f>
        <v>0.99011386960601055</v>
      </c>
      <c r="M2">
        <f t="shared" ref="M2:Q2" si="1">D2/SUM($C2:$I2)</f>
        <v>0</v>
      </c>
      <c r="N2">
        <f t="shared" si="1"/>
        <v>7.8776333942880555E-3</v>
      </c>
      <c r="O2">
        <f t="shared" si="1"/>
        <v>4.5685134101251692E-4</v>
      </c>
      <c r="P2">
        <f t="shared" si="1"/>
        <v>1.3791830215607568E-3</v>
      </c>
      <c r="Q2">
        <f t="shared" si="1"/>
        <v>1.7025534898713017E-4</v>
      </c>
      <c r="R2">
        <f t="shared" ref="R2:R33" si="2">I2/SUM($C2:$I2)</f>
        <v>2.2072881410383317E-6</v>
      </c>
      <c r="S2">
        <f t="shared" ref="S2:S33" si="3">J2/($J2+$K2)</f>
        <v>0.5385730745482793</v>
      </c>
      <c r="T2">
        <f t="shared" ref="T2:T33" si="4">K2/($J2+$K2)</f>
        <v>0.4614269254517207</v>
      </c>
    </row>
    <row r="3" spans="1:20" x14ac:dyDescent="0.25">
      <c r="A3" t="s">
        <v>118</v>
      </c>
      <c r="B3">
        <v>16147.6051454102</v>
      </c>
      <c r="C3">
        <v>182.0374532713152</v>
      </c>
      <c r="D3">
        <v>0</v>
      </c>
      <c r="E3">
        <v>0.51802794731259061</v>
      </c>
      <c r="F3">
        <v>7.510510421803473E-3</v>
      </c>
      <c r="G3">
        <v>1.2086529863977731</v>
      </c>
      <c r="H3">
        <v>1.1236322851440681</v>
      </c>
      <c r="I3">
        <v>1.9448780334543861E-3</v>
      </c>
      <c r="J3">
        <v>0.52826529175952708</v>
      </c>
      <c r="K3">
        <v>2.463410714330418</v>
      </c>
      <c r="L3">
        <f t="shared" si="0"/>
        <v>0.98453319861567767</v>
      </c>
      <c r="M3">
        <f t="shared" ref="M3:M34" si="5">D3/SUM($C3:$I3)</f>
        <v>0</v>
      </c>
      <c r="N3">
        <f t="shared" ref="N3:N34" si="6">E3/SUM($C3:$I3)</f>
        <v>2.8017075759669782E-3</v>
      </c>
      <c r="O3">
        <f t="shared" ref="O3:O34" si="7">F3/SUM($C3:$I3)</f>
        <v>4.0619920329217931E-5</v>
      </c>
      <c r="P3">
        <f t="shared" ref="P3:P34" si="8">G3/SUM($C3:$I3)</f>
        <v>6.5368910041882031E-3</v>
      </c>
      <c r="Q3">
        <f t="shared" ref="Q3:Q34" si="9">H3/SUM($C3:$I3)</f>
        <v>6.0770641858625251E-3</v>
      </c>
      <c r="R3">
        <f t="shared" si="2"/>
        <v>1.0518697975522285E-5</v>
      </c>
      <c r="S3">
        <f t="shared" si="3"/>
        <v>0.17657837636300672</v>
      </c>
      <c r="T3">
        <f t="shared" si="4"/>
        <v>0.82342162363699334</v>
      </c>
    </row>
    <row r="4" spans="1:20" hidden="1" x14ac:dyDescent="0.25">
      <c r="A4" t="s">
        <v>111</v>
      </c>
      <c r="B4">
        <v>10790.9096823325</v>
      </c>
      <c r="C4">
        <v>498.69212318169292</v>
      </c>
      <c r="D4">
        <v>0</v>
      </c>
      <c r="E4">
        <v>1.165450021042624</v>
      </c>
      <c r="F4">
        <v>1.07607796579203E-2</v>
      </c>
      <c r="G4">
        <v>3.6029358362192752</v>
      </c>
      <c r="H4">
        <v>4.8026088255924133</v>
      </c>
      <c r="I4">
        <v>1.284873988218164E-2</v>
      </c>
      <c r="J4">
        <v>73.228882145072674</v>
      </c>
      <c r="K4">
        <v>311.05581223741012</v>
      </c>
      <c r="L4">
        <f t="shared" si="0"/>
        <v>0.9811236381249353</v>
      </c>
      <c r="M4">
        <f t="shared" si="5"/>
        <v>0</v>
      </c>
      <c r="N4">
        <f t="shared" si="6"/>
        <v>2.2928987877386588E-3</v>
      </c>
      <c r="O4">
        <f t="shared" si="7"/>
        <v>2.1170687877885324E-5</v>
      </c>
      <c r="P4">
        <f t="shared" si="8"/>
        <v>7.0883925196353068E-3</v>
      </c>
      <c r="Q4">
        <f t="shared" si="9"/>
        <v>9.4486213525762936E-3</v>
      </c>
      <c r="R4">
        <f t="shared" si="2"/>
        <v>2.5278527236601394E-5</v>
      </c>
      <c r="S4">
        <f t="shared" si="3"/>
        <v>0.19055893512164487</v>
      </c>
      <c r="T4">
        <f t="shared" si="4"/>
        <v>0.8094410648783551</v>
      </c>
    </row>
    <row r="5" spans="1:20" hidden="1" x14ac:dyDescent="0.25">
      <c r="A5" t="s">
        <v>147</v>
      </c>
      <c r="B5">
        <v>34742.352483479037</v>
      </c>
      <c r="C5">
        <v>283.29877903945271</v>
      </c>
      <c r="D5">
        <v>0</v>
      </c>
      <c r="E5">
        <v>1.8713719766678649</v>
      </c>
      <c r="F5">
        <v>2.7512457839798149E-3</v>
      </c>
      <c r="G5">
        <v>7.8570952561854493E-3</v>
      </c>
      <c r="H5">
        <v>0</v>
      </c>
      <c r="I5">
        <v>2.0349767676509211E-2</v>
      </c>
      <c r="J5">
        <v>165.02569389235089</v>
      </c>
      <c r="K5">
        <v>181.1163828516645</v>
      </c>
      <c r="L5">
        <f t="shared" si="0"/>
        <v>0.99332986435002979</v>
      </c>
      <c r="M5">
        <f t="shared" si="5"/>
        <v>0</v>
      </c>
      <c r="N5">
        <f t="shared" si="6"/>
        <v>6.5615873038163183E-3</v>
      </c>
      <c r="O5">
        <f t="shared" si="7"/>
        <v>9.6466868323977955E-6</v>
      </c>
      <c r="P5">
        <f t="shared" si="8"/>
        <v>2.7549315219339719E-5</v>
      </c>
      <c r="Q5">
        <f t="shared" si="9"/>
        <v>0</v>
      </c>
      <c r="R5">
        <f t="shared" si="2"/>
        <v>7.1352344101865942E-5</v>
      </c>
      <c r="S5">
        <f t="shared" si="3"/>
        <v>0.47675710345493005</v>
      </c>
      <c r="T5">
        <f t="shared" si="4"/>
        <v>0.52324289654506984</v>
      </c>
    </row>
    <row r="6" spans="1:20" hidden="1" x14ac:dyDescent="0.25">
      <c r="A6" t="s">
        <v>79</v>
      </c>
      <c r="B6">
        <v>22528.75337972062</v>
      </c>
      <c r="C6">
        <v>881.01325555464621</v>
      </c>
      <c r="D6">
        <v>0</v>
      </c>
      <c r="E6">
        <v>3.149280187548865</v>
      </c>
      <c r="F6">
        <v>1.4188700740314501E-3</v>
      </c>
      <c r="G6">
        <v>0.36667930184982728</v>
      </c>
      <c r="H6">
        <v>1.4131590302197159</v>
      </c>
      <c r="I6">
        <v>9.1345178776106144E-3</v>
      </c>
      <c r="J6">
        <v>48.718947226114253</v>
      </c>
      <c r="K6">
        <v>18.198467483584029</v>
      </c>
      <c r="L6">
        <f t="shared" si="0"/>
        <v>0.99442445331523488</v>
      </c>
      <c r="M6">
        <f t="shared" si="5"/>
        <v>0</v>
      </c>
      <c r="N6">
        <f t="shared" si="6"/>
        <v>3.5546811686371165E-3</v>
      </c>
      <c r="O6">
        <f t="shared" si="7"/>
        <v>1.6015185796560975E-6</v>
      </c>
      <c r="P6">
        <f t="shared" si="8"/>
        <v>4.1388124637746661E-4</v>
      </c>
      <c r="Q6">
        <f t="shared" si="9"/>
        <v>1.5950723637966463E-3</v>
      </c>
      <c r="R6">
        <f t="shared" si="2"/>
        <v>1.0310387374390363E-5</v>
      </c>
      <c r="S6">
        <f t="shared" si="3"/>
        <v>0.72804586724497977</v>
      </c>
      <c r="T6">
        <f t="shared" si="4"/>
        <v>0.27195413275502023</v>
      </c>
    </row>
    <row r="7" spans="1:20" x14ac:dyDescent="0.25">
      <c r="A7" t="s">
        <v>148</v>
      </c>
      <c r="B7">
        <v>43252.206084732803</v>
      </c>
      <c r="C7">
        <v>190.4174574980112</v>
      </c>
      <c r="D7">
        <v>0</v>
      </c>
      <c r="E7">
        <v>3.2974989779291231</v>
      </c>
      <c r="F7">
        <v>4.1839851423635336E-3</v>
      </c>
      <c r="G7">
        <v>3.0647884782783349E-2</v>
      </c>
      <c r="H7">
        <v>0</v>
      </c>
      <c r="I7">
        <v>9.905158197598084E-4</v>
      </c>
      <c r="J7">
        <v>1.7664220570357541</v>
      </c>
      <c r="K7">
        <v>1.5406662260408459</v>
      </c>
      <c r="L7">
        <f t="shared" si="0"/>
        <v>0.98279582986319969</v>
      </c>
      <c r="M7">
        <f t="shared" si="5"/>
        <v>0</v>
      </c>
      <c r="N7">
        <f t="shared" si="6"/>
        <v>1.7019281147164531E-2</v>
      </c>
      <c r="O7">
        <f t="shared" si="7"/>
        <v>2.1594675215991758E-5</v>
      </c>
      <c r="P7">
        <f t="shared" si="8"/>
        <v>1.5818199525619589E-4</v>
      </c>
      <c r="Q7">
        <f t="shared" si="9"/>
        <v>0</v>
      </c>
      <c r="R7">
        <f t="shared" si="2"/>
        <v>5.1123191637176219E-6</v>
      </c>
      <c r="S7">
        <f t="shared" si="3"/>
        <v>0.53413211436630992</v>
      </c>
      <c r="T7">
        <f t="shared" si="4"/>
        <v>0.46586788563369008</v>
      </c>
    </row>
    <row r="8" spans="1:20" x14ac:dyDescent="0.25">
      <c r="A8" t="s">
        <v>99</v>
      </c>
      <c r="B8">
        <v>10905.17892109573</v>
      </c>
      <c r="C8">
        <v>51.356238045662252</v>
      </c>
      <c r="D8">
        <v>0</v>
      </c>
      <c r="E8">
        <v>2.5794758078223121</v>
      </c>
      <c r="F8">
        <v>0</v>
      </c>
      <c r="G8">
        <v>0.5153982849967611</v>
      </c>
      <c r="H8">
        <v>0.13612105485333051</v>
      </c>
      <c r="I8">
        <v>0</v>
      </c>
      <c r="J8">
        <v>0.67499957898866381</v>
      </c>
      <c r="K8">
        <v>1.015363344863063</v>
      </c>
      <c r="L8">
        <f t="shared" si="0"/>
        <v>0.94081042473376486</v>
      </c>
      <c r="M8">
        <f t="shared" si="5"/>
        <v>0</v>
      </c>
      <c r="N8">
        <f t="shared" si="6"/>
        <v>4.7254195842578027E-2</v>
      </c>
      <c r="O8">
        <f t="shared" si="7"/>
        <v>0</v>
      </c>
      <c r="P8">
        <f t="shared" si="8"/>
        <v>9.441736736708126E-3</v>
      </c>
      <c r="Q8">
        <f t="shared" si="9"/>
        <v>2.4936426869488501E-3</v>
      </c>
      <c r="R8">
        <f t="shared" si="2"/>
        <v>0</v>
      </c>
      <c r="S8">
        <f t="shared" si="3"/>
        <v>0.39932228130665781</v>
      </c>
      <c r="T8">
        <f t="shared" si="4"/>
        <v>0.60067771869334219</v>
      </c>
    </row>
    <row r="9" spans="1:20" hidden="1" x14ac:dyDescent="0.25">
      <c r="A9" t="s">
        <v>82</v>
      </c>
      <c r="B9">
        <v>14578.073876580789</v>
      </c>
      <c r="C9">
        <v>407.59003424701251</v>
      </c>
      <c r="D9">
        <v>1.9167753039281449E-2</v>
      </c>
      <c r="E9">
        <v>42.134332288516013</v>
      </c>
      <c r="F9">
        <v>1.270776383600364E-2</v>
      </c>
      <c r="G9">
        <v>1.9235564562284559</v>
      </c>
      <c r="H9">
        <v>2.3240839248362231</v>
      </c>
      <c r="I9">
        <v>1.1424126737192701E-2</v>
      </c>
      <c r="J9">
        <v>50.45321063240381</v>
      </c>
      <c r="K9">
        <v>191.5468625616505</v>
      </c>
      <c r="L9">
        <f t="shared" si="0"/>
        <v>0.89774513845154513</v>
      </c>
      <c r="M9">
        <f t="shared" si="5"/>
        <v>4.2218296965588467E-5</v>
      </c>
      <c r="N9">
        <f t="shared" si="6"/>
        <v>9.2803770444970013E-2</v>
      </c>
      <c r="O9">
        <f t="shared" si="7"/>
        <v>2.7989725571771003E-5</v>
      </c>
      <c r="P9">
        <f t="shared" si="8"/>
        <v>4.2367656518060119E-3</v>
      </c>
      <c r="Q9">
        <f t="shared" si="9"/>
        <v>5.1189550027385105E-3</v>
      </c>
      <c r="R9">
        <f t="shared" si="2"/>
        <v>2.5162426403079387E-5</v>
      </c>
      <c r="S9">
        <f t="shared" si="3"/>
        <v>0.20848427839914963</v>
      </c>
      <c r="T9">
        <f t="shared" si="4"/>
        <v>0.79151572160085026</v>
      </c>
    </row>
    <row r="10" spans="1:20" hidden="1" x14ac:dyDescent="0.25">
      <c r="A10" t="s">
        <v>94</v>
      </c>
      <c r="B10">
        <v>7445.7497357088878</v>
      </c>
      <c r="C10">
        <v>141.28662615350061</v>
      </c>
      <c r="D10">
        <v>0</v>
      </c>
      <c r="E10">
        <v>2.728374262573813</v>
      </c>
      <c r="F10">
        <v>4.5587461156587437E-3</v>
      </c>
      <c r="G10">
        <v>8.1208485811731119</v>
      </c>
      <c r="H10">
        <v>0.27713082412277867</v>
      </c>
      <c r="I10">
        <v>9.070042478933276E-4</v>
      </c>
      <c r="J10">
        <v>18.963316950335429</v>
      </c>
      <c r="K10">
        <v>35.480285289540262</v>
      </c>
      <c r="L10">
        <f t="shared" si="0"/>
        <v>0.92696540516158055</v>
      </c>
      <c r="M10">
        <f t="shared" si="5"/>
        <v>0</v>
      </c>
      <c r="N10">
        <f t="shared" si="6"/>
        <v>1.7900551684144665E-2</v>
      </c>
      <c r="O10">
        <f t="shared" si="7"/>
        <v>2.9909412201118566E-5</v>
      </c>
      <c r="P10">
        <f t="shared" si="8"/>
        <v>5.3279959329798662E-2</v>
      </c>
      <c r="Q10">
        <f t="shared" si="9"/>
        <v>1.8182236610748692E-3</v>
      </c>
      <c r="R10">
        <f t="shared" si="2"/>
        <v>5.9507512000341006E-6</v>
      </c>
      <c r="S10">
        <f t="shared" si="3"/>
        <v>0.34831120958499473</v>
      </c>
      <c r="T10">
        <f t="shared" si="4"/>
        <v>0.65168879041500538</v>
      </c>
    </row>
    <row r="11" spans="1:20" hidden="1" x14ac:dyDescent="0.25">
      <c r="A11" t="s">
        <v>97</v>
      </c>
      <c r="B11">
        <v>7572.2333109786059</v>
      </c>
      <c r="C11">
        <v>195.04011746530111</v>
      </c>
      <c r="D11">
        <v>0</v>
      </c>
      <c r="E11">
        <v>0.52085636632075039</v>
      </c>
      <c r="F11">
        <v>0</v>
      </c>
      <c r="G11">
        <v>2.602283882370408E-2</v>
      </c>
      <c r="H11">
        <v>1.2476650596659009E-3</v>
      </c>
      <c r="I11">
        <v>0</v>
      </c>
      <c r="J11">
        <v>57.486908109354509</v>
      </c>
      <c r="K11">
        <v>12.50335059502514</v>
      </c>
      <c r="L11">
        <f t="shared" si="0"/>
        <v>0.99719754695857954</v>
      </c>
      <c r="M11">
        <f t="shared" si="5"/>
        <v>0</v>
      </c>
      <c r="N11">
        <f t="shared" si="6"/>
        <v>2.6630249077101566E-3</v>
      </c>
      <c r="O11">
        <f t="shared" si="7"/>
        <v>0</v>
      </c>
      <c r="P11">
        <f t="shared" si="8"/>
        <v>1.3304909460235971E-4</v>
      </c>
      <c r="Q11">
        <f t="shared" si="9"/>
        <v>6.379039107921537E-6</v>
      </c>
      <c r="R11">
        <f t="shared" si="2"/>
        <v>0</v>
      </c>
      <c r="S11">
        <f t="shared" si="3"/>
        <v>0.82135584542077522</v>
      </c>
      <c r="T11">
        <f t="shared" si="4"/>
        <v>0.17864415457922492</v>
      </c>
    </row>
    <row r="12" spans="1:20" x14ac:dyDescent="0.25">
      <c r="A12" t="s">
        <v>107</v>
      </c>
      <c r="B12">
        <v>13203.51181056138</v>
      </c>
      <c r="C12">
        <v>37.352750766827889</v>
      </c>
      <c r="D12">
        <v>0</v>
      </c>
      <c r="E12">
        <v>0</v>
      </c>
      <c r="F12">
        <v>0</v>
      </c>
      <c r="G12">
        <v>5.2883069537981928E-2</v>
      </c>
      <c r="H12">
        <v>2.5469858211540548E-3</v>
      </c>
      <c r="I12">
        <v>0</v>
      </c>
      <c r="J12">
        <v>0.1959837551768433</v>
      </c>
      <c r="K12">
        <v>7.9772018071247272E-2</v>
      </c>
      <c r="L12">
        <f t="shared" si="0"/>
        <v>0.99851823707700149</v>
      </c>
      <c r="M12">
        <f t="shared" si="5"/>
        <v>0</v>
      </c>
      <c r="N12">
        <f t="shared" si="6"/>
        <v>0</v>
      </c>
      <c r="O12">
        <f t="shared" si="7"/>
        <v>0</v>
      </c>
      <c r="P12">
        <f t="shared" si="8"/>
        <v>1.4136765909401466E-3</v>
      </c>
      <c r="Q12">
        <f t="shared" si="9"/>
        <v>6.8086332058238489E-5</v>
      </c>
      <c r="R12">
        <f t="shared" si="2"/>
        <v>0</v>
      </c>
      <c r="S12">
        <f t="shared" si="3"/>
        <v>0.71071496661113098</v>
      </c>
      <c r="T12">
        <f t="shared" si="4"/>
        <v>0.28928503338886902</v>
      </c>
    </row>
    <row r="13" spans="1:20" hidden="1" x14ac:dyDescent="0.25">
      <c r="A13" t="s">
        <v>86</v>
      </c>
      <c r="B13">
        <v>23668.89966630729</v>
      </c>
      <c r="C13">
        <v>977.72767652522202</v>
      </c>
      <c r="D13">
        <v>0</v>
      </c>
      <c r="E13">
        <v>9.5720383796815067</v>
      </c>
      <c r="F13">
        <v>1.956430180524877E-2</v>
      </c>
      <c r="G13">
        <v>8.5910514237867941E-2</v>
      </c>
      <c r="H13">
        <v>1.402233087099847</v>
      </c>
      <c r="I13">
        <v>1.105266426975496E-2</v>
      </c>
      <c r="J13">
        <v>91.666572066564996</v>
      </c>
      <c r="K13">
        <v>42.742790826409852</v>
      </c>
      <c r="L13">
        <f t="shared" si="0"/>
        <v>0.98878378668865718</v>
      </c>
      <c r="M13">
        <f t="shared" si="5"/>
        <v>0</v>
      </c>
      <c r="N13">
        <f t="shared" si="6"/>
        <v>9.6802786528734242E-3</v>
      </c>
      <c r="O13">
        <f t="shared" si="7"/>
        <v>1.9785534241665275E-5</v>
      </c>
      <c r="P13">
        <f t="shared" si="8"/>
        <v>8.6881987309988482E-5</v>
      </c>
      <c r="Q13">
        <f t="shared" si="9"/>
        <v>1.418089489509245E-3</v>
      </c>
      <c r="R13">
        <f t="shared" si="2"/>
        <v>1.117764740841394E-5</v>
      </c>
      <c r="S13">
        <f t="shared" si="3"/>
        <v>0.68199543613308888</v>
      </c>
      <c r="T13">
        <f t="shared" si="4"/>
        <v>0.31800456386691112</v>
      </c>
    </row>
    <row r="14" spans="1:20" hidden="1" x14ac:dyDescent="0.25">
      <c r="A14" t="s">
        <v>87</v>
      </c>
      <c r="B14">
        <v>28339.340053158608</v>
      </c>
      <c r="C14">
        <v>405.78801823063748</v>
      </c>
      <c r="D14">
        <v>0</v>
      </c>
      <c r="E14">
        <v>0.53861352002267182</v>
      </c>
      <c r="F14">
        <v>3.9844555533714021E-3</v>
      </c>
      <c r="G14">
        <v>4.5149156600714701E-3</v>
      </c>
      <c r="H14">
        <v>3.2791665399479618E-4</v>
      </c>
      <c r="I14">
        <v>8.2897880816323218E-3</v>
      </c>
      <c r="J14">
        <v>19.57762293169516</v>
      </c>
      <c r="K14">
        <v>132.80444413750939</v>
      </c>
      <c r="L14">
        <f t="shared" si="0"/>
        <v>0.998632363368265</v>
      </c>
      <c r="M14">
        <f t="shared" si="5"/>
        <v>0</v>
      </c>
      <c r="N14">
        <f t="shared" si="6"/>
        <v>1.3255120118816036E-3</v>
      </c>
      <c r="O14">
        <f t="shared" si="7"/>
        <v>9.8056277840553347E-6</v>
      </c>
      <c r="P14">
        <f t="shared" si="8"/>
        <v>1.1111074485848747E-5</v>
      </c>
      <c r="Q14">
        <f t="shared" si="9"/>
        <v>8.0699322911134858E-7</v>
      </c>
      <c r="R14">
        <f t="shared" si="2"/>
        <v>2.0400924354245827E-5</v>
      </c>
      <c r="S14">
        <f t="shared" si="3"/>
        <v>0.12847721066025411</v>
      </c>
      <c r="T14">
        <f t="shared" si="4"/>
        <v>0.87152278933974603</v>
      </c>
    </row>
    <row r="15" spans="1:20" hidden="1" x14ac:dyDescent="0.25">
      <c r="A15" t="s">
        <v>137</v>
      </c>
      <c r="B15">
        <v>19178.337422847078</v>
      </c>
      <c r="C15">
        <v>742.93744272961771</v>
      </c>
      <c r="D15">
        <v>0</v>
      </c>
      <c r="E15">
        <v>2.6568237999918258</v>
      </c>
      <c r="F15">
        <v>1.278661318185927E-3</v>
      </c>
      <c r="G15">
        <v>0.30825509225284692</v>
      </c>
      <c r="H15">
        <v>1.2131072327540711</v>
      </c>
      <c r="I15">
        <v>9.006756529374646E-3</v>
      </c>
      <c r="J15">
        <v>48.467325964086811</v>
      </c>
      <c r="K15">
        <v>17.992628626911021</v>
      </c>
      <c r="L15">
        <f t="shared" si="0"/>
        <v>0.99439388801427808</v>
      </c>
      <c r="M15">
        <f t="shared" si="5"/>
        <v>0</v>
      </c>
      <c r="N15">
        <f t="shared" si="6"/>
        <v>3.5560589577179726E-3</v>
      </c>
      <c r="O15">
        <f t="shared" si="7"/>
        <v>1.7114401920204594E-6</v>
      </c>
      <c r="P15">
        <f t="shared" si="8"/>
        <v>4.1258787356214174E-4</v>
      </c>
      <c r="Q15">
        <f t="shared" si="9"/>
        <v>1.6236985086180154E-3</v>
      </c>
      <c r="R15">
        <f t="shared" si="2"/>
        <v>1.205520563176455E-5</v>
      </c>
      <c r="S15">
        <f t="shared" si="3"/>
        <v>0.72927112668614191</v>
      </c>
      <c r="T15">
        <f t="shared" si="4"/>
        <v>0.27072887331385825</v>
      </c>
    </row>
    <row r="16" spans="1:20" x14ac:dyDescent="0.25">
      <c r="A16" t="s">
        <v>136</v>
      </c>
      <c r="B16">
        <v>26826.379427587261</v>
      </c>
      <c r="C16">
        <v>138.07581282502849</v>
      </c>
      <c r="D16">
        <v>0</v>
      </c>
      <c r="E16">
        <v>0.49245638755703858</v>
      </c>
      <c r="F16">
        <v>1.402087558455232E-4</v>
      </c>
      <c r="G16">
        <v>5.8424209596980442E-2</v>
      </c>
      <c r="H16">
        <v>0.20005179746564511</v>
      </c>
      <c r="I16">
        <v>1.2776134823596789E-4</v>
      </c>
      <c r="J16">
        <v>0.25162126202745549</v>
      </c>
      <c r="K16">
        <v>0.20583885667300009</v>
      </c>
      <c r="L16">
        <f t="shared" si="0"/>
        <v>0.99458894672251574</v>
      </c>
      <c r="M16">
        <f t="shared" si="5"/>
        <v>0</v>
      </c>
      <c r="N16">
        <f t="shared" si="6"/>
        <v>3.5472663154103648E-3</v>
      </c>
      <c r="O16">
        <f t="shared" si="7"/>
        <v>1.0099529812247876E-6</v>
      </c>
      <c r="P16">
        <f t="shared" si="8"/>
        <v>4.2084179623690934E-4</v>
      </c>
      <c r="Q16">
        <f t="shared" si="9"/>
        <v>1.4410149211537763E-3</v>
      </c>
      <c r="R16">
        <f t="shared" si="2"/>
        <v>9.2029170188470788E-7</v>
      </c>
      <c r="S16">
        <f t="shared" si="3"/>
        <v>0.55003977776741853</v>
      </c>
      <c r="T16">
        <f t="shared" si="4"/>
        <v>0.44996022223258147</v>
      </c>
    </row>
    <row r="17" spans="1:20" x14ac:dyDescent="0.25">
      <c r="A17" t="s">
        <v>115</v>
      </c>
      <c r="B17">
        <v>16016.226284857339</v>
      </c>
      <c r="C17">
        <v>1319.164065325207</v>
      </c>
      <c r="D17">
        <v>0</v>
      </c>
      <c r="E17">
        <v>34.548179938820063</v>
      </c>
      <c r="F17">
        <v>1.368490234226823E-2</v>
      </c>
      <c r="G17">
        <v>0.40688988003194299</v>
      </c>
      <c r="H17">
        <v>1.3115036142795951</v>
      </c>
      <c r="I17">
        <v>0</v>
      </c>
      <c r="J17">
        <v>5.1636518056207933E-2</v>
      </c>
      <c r="K17">
        <v>0.27167891425740859</v>
      </c>
      <c r="L17">
        <f t="shared" si="0"/>
        <v>0.97323367865270116</v>
      </c>
      <c r="M17">
        <f t="shared" si="5"/>
        <v>0</v>
      </c>
      <c r="N17">
        <f t="shared" si="6"/>
        <v>2.5488453738560773E-2</v>
      </c>
      <c r="O17">
        <f t="shared" si="7"/>
        <v>1.0096248221623067E-5</v>
      </c>
      <c r="P17">
        <f t="shared" si="8"/>
        <v>3.0018929802520084E-4</v>
      </c>
      <c r="Q17">
        <f t="shared" si="9"/>
        <v>9.6758206249120268E-4</v>
      </c>
      <c r="R17">
        <f t="shared" si="2"/>
        <v>0</v>
      </c>
      <c r="S17">
        <f t="shared" si="3"/>
        <v>0.15970941345639333</v>
      </c>
      <c r="T17">
        <f t="shared" si="4"/>
        <v>0.84029058654360667</v>
      </c>
    </row>
    <row r="18" spans="1:20" hidden="1" x14ac:dyDescent="0.25">
      <c r="A18" t="s">
        <v>91</v>
      </c>
      <c r="B18">
        <v>37955.941978508054</v>
      </c>
      <c r="C18">
        <v>2988.6434231521039</v>
      </c>
      <c r="D18">
        <v>1.63800168111216E-4</v>
      </c>
      <c r="E18">
        <v>4.9422186853300838</v>
      </c>
      <c r="F18">
        <v>9.8028412216183761E-3</v>
      </c>
      <c r="G18">
        <v>1.7367165494197121</v>
      </c>
      <c r="H18">
        <v>3.7441778401721169</v>
      </c>
      <c r="I18">
        <v>7.6785996585676261E-3</v>
      </c>
      <c r="J18">
        <v>34.97455340981903</v>
      </c>
      <c r="K18">
        <v>5.6078858801028204</v>
      </c>
      <c r="L18">
        <f t="shared" si="0"/>
        <v>0.99651868447691949</v>
      </c>
      <c r="M18">
        <f t="shared" si="5"/>
        <v>5.4616729041275063E-8</v>
      </c>
      <c r="N18">
        <f t="shared" si="6"/>
        <v>1.6479092903990548E-3</v>
      </c>
      <c r="O18">
        <f t="shared" si="7"/>
        <v>3.2686115588858907E-6</v>
      </c>
      <c r="P18">
        <f t="shared" si="8"/>
        <v>5.7908229457219722E-4</v>
      </c>
      <c r="Q18">
        <f t="shared" si="9"/>
        <v>1.2484403950072899E-3</v>
      </c>
      <c r="R18">
        <f t="shared" si="2"/>
        <v>2.560314814107317E-6</v>
      </c>
      <c r="S18">
        <f t="shared" si="3"/>
        <v>0.86181496287002468</v>
      </c>
      <c r="T18">
        <f t="shared" si="4"/>
        <v>0.13818503712997532</v>
      </c>
    </row>
    <row r="19" spans="1:20" hidden="1" x14ac:dyDescent="0.25">
      <c r="A19" t="s">
        <v>121</v>
      </c>
      <c r="B19">
        <v>11915.494142950891</v>
      </c>
      <c r="C19">
        <v>2186.2444924029141</v>
      </c>
      <c r="D19">
        <v>0</v>
      </c>
      <c r="E19">
        <v>68.555856011234937</v>
      </c>
      <c r="F19">
        <v>0</v>
      </c>
      <c r="G19">
        <v>0.33509263214993401</v>
      </c>
      <c r="H19">
        <v>3.6013673609288399</v>
      </c>
      <c r="I19">
        <v>0</v>
      </c>
      <c r="J19">
        <v>47.905538778037553</v>
      </c>
      <c r="K19">
        <v>121.4267053637717</v>
      </c>
      <c r="L19">
        <f t="shared" si="0"/>
        <v>0.96790581543874854</v>
      </c>
      <c r="M19">
        <f t="shared" si="5"/>
        <v>0</v>
      </c>
      <c r="N19">
        <f t="shared" si="6"/>
        <v>3.0351414009841114E-2</v>
      </c>
      <c r="O19">
        <f t="shared" si="7"/>
        <v>0</v>
      </c>
      <c r="P19">
        <f t="shared" si="8"/>
        <v>1.4835399631452773E-4</v>
      </c>
      <c r="Q19">
        <f t="shared" si="9"/>
        <v>1.5944165550958469E-3</v>
      </c>
      <c r="R19">
        <f t="shared" si="2"/>
        <v>0</v>
      </c>
      <c r="S19">
        <f t="shared" si="3"/>
        <v>0.28290854480094468</v>
      </c>
      <c r="T19">
        <f t="shared" si="4"/>
        <v>0.71709145519905526</v>
      </c>
    </row>
    <row r="20" spans="1:20" hidden="1" x14ac:dyDescent="0.25">
      <c r="A20" t="s">
        <v>93</v>
      </c>
      <c r="B20">
        <v>10262.470825353759</v>
      </c>
      <c r="C20">
        <v>860.33046259323555</v>
      </c>
      <c r="D20">
        <v>0</v>
      </c>
      <c r="E20">
        <v>145.22577277707191</v>
      </c>
      <c r="F20">
        <v>0.13040677438130141</v>
      </c>
      <c r="G20">
        <v>0.14758046191986421</v>
      </c>
      <c r="H20">
        <v>1.2976098691615321</v>
      </c>
      <c r="I20">
        <v>1.011958888388201E-2</v>
      </c>
      <c r="J20">
        <v>5.1297734479743742</v>
      </c>
      <c r="K20">
        <v>68.871521229601626</v>
      </c>
      <c r="L20">
        <f t="shared" si="0"/>
        <v>0.85422959576805124</v>
      </c>
      <c r="M20">
        <f t="shared" si="5"/>
        <v>0</v>
      </c>
      <c r="N20">
        <f t="shared" si="6"/>
        <v>0.14419593234037881</v>
      </c>
      <c r="O20">
        <f t="shared" si="7"/>
        <v>1.2948202000121812E-4</v>
      </c>
      <c r="P20">
        <f t="shared" si="8"/>
        <v>1.4653392366123001E-4</v>
      </c>
      <c r="Q20">
        <f t="shared" si="9"/>
        <v>1.2884081201278677E-3</v>
      </c>
      <c r="R20">
        <f t="shared" si="2"/>
        <v>1.004782777952673E-5</v>
      </c>
      <c r="S20">
        <f t="shared" si="3"/>
        <v>6.9320050011622392E-2</v>
      </c>
      <c r="T20">
        <f t="shared" si="4"/>
        <v>0.93067994998837766</v>
      </c>
    </row>
    <row r="21" spans="1:20" hidden="1" x14ac:dyDescent="0.25">
      <c r="A21" t="s">
        <v>77</v>
      </c>
      <c r="B21">
        <v>1855.1152679937879</v>
      </c>
      <c r="C21">
        <v>69.666821368112821</v>
      </c>
      <c r="D21">
        <v>0</v>
      </c>
      <c r="E21">
        <v>5.7069293740923552E-2</v>
      </c>
      <c r="F21">
        <v>3.7502594265831982E-3</v>
      </c>
      <c r="G21">
        <v>0</v>
      </c>
      <c r="H21">
        <v>8.6965507857806795E-2</v>
      </c>
      <c r="I21">
        <v>6.5423321890064742E-3</v>
      </c>
      <c r="J21">
        <v>63.442219061488579</v>
      </c>
      <c r="K21">
        <v>286.80397581813799</v>
      </c>
      <c r="L21">
        <f t="shared" si="0"/>
        <v>0.99778967553596321</v>
      </c>
      <c r="M21">
        <f t="shared" si="5"/>
        <v>0</v>
      </c>
      <c r="N21">
        <f t="shared" si="6"/>
        <v>8.1736400436501204E-4</v>
      </c>
      <c r="O21">
        <f t="shared" si="7"/>
        <v>5.3712370723129797E-5</v>
      </c>
      <c r="P21">
        <f t="shared" si="8"/>
        <v>0</v>
      </c>
      <c r="Q21">
        <f t="shared" si="9"/>
        <v>1.2455467920627461E-3</v>
      </c>
      <c r="R21">
        <f t="shared" si="2"/>
        <v>9.3701296885996977E-5</v>
      </c>
      <c r="S21">
        <f t="shared" si="3"/>
        <v>0.18113606939625013</v>
      </c>
      <c r="T21">
        <f t="shared" si="4"/>
        <v>0.81886393060374996</v>
      </c>
    </row>
    <row r="22" spans="1:20" x14ac:dyDescent="0.25">
      <c r="A22" t="s">
        <v>76</v>
      </c>
      <c r="B22">
        <v>2031.864623916309</v>
      </c>
      <c r="C22">
        <v>16.935907388198</v>
      </c>
      <c r="D22">
        <v>0</v>
      </c>
      <c r="E22">
        <v>0.1257516233529638</v>
      </c>
      <c r="F22">
        <v>0</v>
      </c>
      <c r="G22">
        <v>4.4394899912077651E-2</v>
      </c>
      <c r="H22">
        <v>0.13278518314853441</v>
      </c>
      <c r="I22">
        <v>0</v>
      </c>
      <c r="J22">
        <v>0.7891764367766464</v>
      </c>
      <c r="K22">
        <v>5.2741768111354803</v>
      </c>
      <c r="L22">
        <f t="shared" si="0"/>
        <v>0.98242737200857877</v>
      </c>
      <c r="M22">
        <f t="shared" si="5"/>
        <v>0</v>
      </c>
      <c r="N22">
        <f t="shared" si="6"/>
        <v>7.2946688963684662E-3</v>
      </c>
      <c r="O22">
        <f t="shared" si="7"/>
        <v>0</v>
      </c>
      <c r="P22">
        <f t="shared" si="8"/>
        <v>2.5752836179064034E-3</v>
      </c>
      <c r="Q22">
        <f t="shared" si="9"/>
        <v>7.7026754771462348E-3</v>
      </c>
      <c r="R22">
        <f t="shared" si="2"/>
        <v>0</v>
      </c>
      <c r="S22">
        <f t="shared" si="3"/>
        <v>0.13015511458917453</v>
      </c>
      <c r="T22">
        <f t="shared" si="4"/>
        <v>0.8698448854108255</v>
      </c>
    </row>
    <row r="23" spans="1:20" x14ac:dyDescent="0.25">
      <c r="A23" t="s">
        <v>89</v>
      </c>
      <c r="B23">
        <v>5947.5328235082943</v>
      </c>
      <c r="C23">
        <v>101.9526527668164</v>
      </c>
      <c r="D23">
        <v>0</v>
      </c>
      <c r="E23">
        <v>6.7418945663488863</v>
      </c>
      <c r="F23">
        <v>0.14007638950781251</v>
      </c>
      <c r="G23">
        <v>3.552198634972626E-2</v>
      </c>
      <c r="H23">
        <v>4.0639307572054306E-3</v>
      </c>
      <c r="I23">
        <v>0</v>
      </c>
      <c r="J23">
        <v>0.55835896049284817</v>
      </c>
      <c r="K23">
        <v>0.39882105798189749</v>
      </c>
      <c r="L23">
        <f t="shared" si="0"/>
        <v>0.9364261114191853</v>
      </c>
      <c r="M23">
        <f t="shared" si="5"/>
        <v>0</v>
      </c>
      <c r="N23">
        <f t="shared" si="6"/>
        <v>6.1923706161955541E-2</v>
      </c>
      <c r="O23">
        <f t="shared" si="7"/>
        <v>1.2865892663769284E-3</v>
      </c>
      <c r="P23">
        <f t="shared" si="8"/>
        <v>3.2626630739505616E-4</v>
      </c>
      <c r="Q23">
        <f t="shared" si="9"/>
        <v>3.7326845087108373E-5</v>
      </c>
      <c r="R23">
        <f t="shared" si="2"/>
        <v>0</v>
      </c>
      <c r="S23">
        <f t="shared" si="3"/>
        <v>0.58333745974198892</v>
      </c>
      <c r="T23">
        <f t="shared" si="4"/>
        <v>0.41666254025801108</v>
      </c>
    </row>
    <row r="24" spans="1:20" hidden="1" x14ac:dyDescent="0.25">
      <c r="A24" t="s">
        <v>88</v>
      </c>
      <c r="B24">
        <v>4547.6334844615012</v>
      </c>
      <c r="C24">
        <v>574.88137533918234</v>
      </c>
      <c r="D24">
        <v>0</v>
      </c>
      <c r="E24">
        <v>16.553035572234261</v>
      </c>
      <c r="F24">
        <v>0</v>
      </c>
      <c r="G24">
        <v>0.68272902592876905</v>
      </c>
      <c r="H24">
        <v>0.40061217827420581</v>
      </c>
      <c r="I24">
        <v>9.3537417213470362E-4</v>
      </c>
      <c r="J24">
        <v>4.1941567446481498</v>
      </c>
      <c r="K24">
        <v>25.536101812263919</v>
      </c>
      <c r="L24">
        <f t="shared" si="0"/>
        <v>0.97023332339891255</v>
      </c>
      <c r="M24">
        <f t="shared" si="5"/>
        <v>0</v>
      </c>
      <c r="N24">
        <f t="shared" si="6"/>
        <v>2.7936731653749648E-2</v>
      </c>
      <c r="O24">
        <f t="shared" si="7"/>
        <v>0</v>
      </c>
      <c r="P24">
        <f t="shared" si="8"/>
        <v>1.1522489338203893E-3</v>
      </c>
      <c r="Q24">
        <f t="shared" si="9"/>
        <v>6.7611737272186504E-4</v>
      </c>
      <c r="R24">
        <f t="shared" si="2"/>
        <v>1.5786407954446479E-6</v>
      </c>
      <c r="S24">
        <f t="shared" si="3"/>
        <v>0.14107367201732723</v>
      </c>
      <c r="T24">
        <f t="shared" si="4"/>
        <v>0.85892632798267277</v>
      </c>
    </row>
    <row r="25" spans="1:20" hidden="1" x14ac:dyDescent="0.25">
      <c r="A25" t="s">
        <v>98</v>
      </c>
      <c r="B25">
        <v>40401.591638855447</v>
      </c>
      <c r="C25">
        <v>473.71623653746389</v>
      </c>
      <c r="D25">
        <v>0</v>
      </c>
      <c r="E25">
        <v>5.1688709545969882</v>
      </c>
      <c r="F25">
        <v>6.9352309263433489E-3</v>
      </c>
      <c r="G25">
        <v>3.8504980038968802E-2</v>
      </c>
      <c r="H25">
        <v>0</v>
      </c>
      <c r="I25">
        <v>2.134028349626902E-2</v>
      </c>
      <c r="J25">
        <v>166.7921159493867</v>
      </c>
      <c r="K25">
        <v>182.65704907770541</v>
      </c>
      <c r="L25">
        <f t="shared" si="0"/>
        <v>0.98906852320580918</v>
      </c>
      <c r="M25">
        <f t="shared" si="5"/>
        <v>0</v>
      </c>
      <c r="N25">
        <f t="shared" si="6"/>
        <v>1.0792046308297335E-2</v>
      </c>
      <c r="O25">
        <f t="shared" si="7"/>
        <v>1.4480015843550667E-5</v>
      </c>
      <c r="P25">
        <f t="shared" si="8"/>
        <v>8.0394254631380261E-5</v>
      </c>
      <c r="Q25">
        <f t="shared" si="9"/>
        <v>0</v>
      </c>
      <c r="R25">
        <f t="shared" si="2"/>
        <v>4.4556215418592379E-5</v>
      </c>
      <c r="S25">
        <f t="shared" si="3"/>
        <v>0.47730008436693683</v>
      </c>
      <c r="T25">
        <f t="shared" si="4"/>
        <v>0.52269991563306306</v>
      </c>
    </row>
    <row r="26" spans="1:20" x14ac:dyDescent="0.25">
      <c r="A26" t="s">
        <v>90</v>
      </c>
      <c r="B26">
        <v>9977.4163604595724</v>
      </c>
      <c r="C26">
        <v>50.27579972799542</v>
      </c>
      <c r="D26">
        <v>0</v>
      </c>
      <c r="E26">
        <v>3.1661079453498289</v>
      </c>
      <c r="F26">
        <v>0</v>
      </c>
      <c r="G26">
        <v>0.33300048239871188</v>
      </c>
      <c r="H26">
        <v>0</v>
      </c>
      <c r="I26">
        <v>4.0196233809964054E-3</v>
      </c>
      <c r="J26">
        <v>0.54316006085292601</v>
      </c>
      <c r="K26">
        <v>0.27290934692524588</v>
      </c>
      <c r="L26">
        <f t="shared" si="0"/>
        <v>0.93486058209421341</v>
      </c>
      <c r="M26">
        <f t="shared" si="5"/>
        <v>0</v>
      </c>
      <c r="N26">
        <f t="shared" si="6"/>
        <v>5.8872649122967413E-2</v>
      </c>
      <c r="O26">
        <f t="shared" si="7"/>
        <v>0</v>
      </c>
      <c r="P26">
        <f t="shared" si="8"/>
        <v>6.1920253182877827E-3</v>
      </c>
      <c r="Q26">
        <f t="shared" si="9"/>
        <v>0</v>
      </c>
      <c r="R26">
        <f t="shared" si="2"/>
        <v>7.4743464531412223E-5</v>
      </c>
      <c r="S26">
        <f t="shared" si="3"/>
        <v>0.66558071614488279</v>
      </c>
      <c r="T26">
        <f t="shared" si="4"/>
        <v>0.33441928385511727</v>
      </c>
    </row>
    <row r="27" spans="1:20" hidden="1" x14ac:dyDescent="0.25">
      <c r="A27" t="s">
        <v>105</v>
      </c>
      <c r="B27">
        <v>8331.1072302104858</v>
      </c>
      <c r="C27">
        <v>97.670214393092934</v>
      </c>
      <c r="D27">
        <v>0</v>
      </c>
      <c r="E27">
        <v>3.9466728921792451</v>
      </c>
      <c r="F27">
        <v>0</v>
      </c>
      <c r="G27">
        <v>0.39248082338604989</v>
      </c>
      <c r="H27">
        <v>0.22066665019876691</v>
      </c>
      <c r="I27">
        <v>0</v>
      </c>
      <c r="J27">
        <v>6.3093722898284987</v>
      </c>
      <c r="K27">
        <v>43.693848290885612</v>
      </c>
      <c r="L27">
        <f t="shared" si="0"/>
        <v>0.95539647055271093</v>
      </c>
      <c r="M27">
        <f t="shared" si="5"/>
        <v>0</v>
      </c>
      <c r="N27">
        <f t="shared" si="6"/>
        <v>3.8605806028421737E-2</v>
      </c>
      <c r="O27">
        <f t="shared" si="7"/>
        <v>0</v>
      </c>
      <c r="P27">
        <f t="shared" si="8"/>
        <v>3.8391928977804259E-3</v>
      </c>
      <c r="Q27">
        <f t="shared" si="9"/>
        <v>2.1585305210868942E-3</v>
      </c>
      <c r="R27">
        <f t="shared" si="2"/>
        <v>0</v>
      </c>
      <c r="S27">
        <f t="shared" si="3"/>
        <v>0.12617931838298388</v>
      </c>
      <c r="T27">
        <f t="shared" si="4"/>
        <v>0.87382068161701609</v>
      </c>
    </row>
    <row r="28" spans="1:20" hidden="1" x14ac:dyDescent="0.25">
      <c r="A28" t="s">
        <v>101</v>
      </c>
      <c r="B28">
        <v>13987.612022866409</v>
      </c>
      <c r="C28">
        <v>3505.4085577281212</v>
      </c>
      <c r="D28">
        <v>0</v>
      </c>
      <c r="E28">
        <v>103.10403595005501</v>
      </c>
      <c r="F28">
        <v>3.8436318073069861E-3</v>
      </c>
      <c r="G28">
        <v>0.74198251218187694</v>
      </c>
      <c r="H28">
        <v>4.9128709752084356</v>
      </c>
      <c r="I28">
        <v>0</v>
      </c>
      <c r="J28">
        <v>47.957175296093737</v>
      </c>
      <c r="K28">
        <v>121.6983842780291</v>
      </c>
      <c r="L28">
        <f t="shared" si="0"/>
        <v>0.96990659149271896</v>
      </c>
      <c r="M28">
        <f t="shared" si="5"/>
        <v>0</v>
      </c>
      <c r="N28">
        <f t="shared" si="6"/>
        <v>2.8527711515108561E-2</v>
      </c>
      <c r="O28">
        <f t="shared" si="7"/>
        <v>1.0634891094104695E-6</v>
      </c>
      <c r="P28">
        <f t="shared" si="8"/>
        <v>2.0529810362645475E-4</v>
      </c>
      <c r="Q28">
        <f t="shared" si="9"/>
        <v>1.3593353994366263E-3</v>
      </c>
      <c r="R28">
        <f t="shared" si="2"/>
        <v>0</v>
      </c>
      <c r="S28">
        <f t="shared" si="3"/>
        <v>0.2826737621595074</v>
      </c>
      <c r="T28">
        <f t="shared" si="4"/>
        <v>0.71732623784049254</v>
      </c>
    </row>
    <row r="29" spans="1:20" hidden="1" x14ac:dyDescent="0.25">
      <c r="A29" t="s">
        <v>102</v>
      </c>
      <c r="B29">
        <v>13978.92747603566</v>
      </c>
      <c r="C29">
        <v>680.72957645300812</v>
      </c>
      <c r="D29">
        <v>0</v>
      </c>
      <c r="E29">
        <v>1.683477968355215</v>
      </c>
      <c r="F29">
        <v>1.8271290079723768E-2</v>
      </c>
      <c r="G29">
        <v>4.8115888226170478</v>
      </c>
      <c r="H29">
        <v>5.9262411107364814</v>
      </c>
      <c r="I29">
        <v>1.4793617915636031E-2</v>
      </c>
      <c r="J29">
        <v>73.757147436832199</v>
      </c>
      <c r="K29">
        <v>313.51922295174057</v>
      </c>
      <c r="L29">
        <f t="shared" si="0"/>
        <v>0.98203309118315441</v>
      </c>
      <c r="M29">
        <f t="shared" si="5"/>
        <v>0</v>
      </c>
      <c r="N29">
        <f t="shared" si="6"/>
        <v>2.4286164879406169E-3</v>
      </c>
      <c r="O29">
        <f t="shared" si="7"/>
        <v>2.6358501374934561E-5</v>
      </c>
      <c r="P29">
        <f t="shared" si="8"/>
        <v>6.9412871254950067E-3</v>
      </c>
      <c r="Q29">
        <f t="shared" si="9"/>
        <v>8.5493051549156325E-3</v>
      </c>
      <c r="R29">
        <f t="shared" si="2"/>
        <v>2.1341547119449163E-5</v>
      </c>
      <c r="S29">
        <f t="shared" si="3"/>
        <v>0.19045093653100537</v>
      </c>
      <c r="T29">
        <f t="shared" si="4"/>
        <v>0.80954906346899458</v>
      </c>
    </row>
    <row r="30" spans="1:20" x14ac:dyDescent="0.25">
      <c r="A30" t="s">
        <v>139</v>
      </c>
      <c r="B30">
        <v>36606.477069982058</v>
      </c>
      <c r="C30">
        <v>86.641865139672802</v>
      </c>
      <c r="D30">
        <v>0</v>
      </c>
      <c r="E30">
        <v>7.9132167834136735E-2</v>
      </c>
      <c r="F30">
        <v>0</v>
      </c>
      <c r="G30">
        <v>0.13823258857322471</v>
      </c>
      <c r="H30">
        <v>0.37243512923272709</v>
      </c>
      <c r="I30">
        <v>0</v>
      </c>
      <c r="J30">
        <v>0.16157828326864901</v>
      </c>
      <c r="K30">
        <v>5.6568773436351687E-2</v>
      </c>
      <c r="L30">
        <f t="shared" si="0"/>
        <v>0.99323869508315654</v>
      </c>
      <c r="M30">
        <f t="shared" si="5"/>
        <v>0</v>
      </c>
      <c r="N30">
        <f t="shared" si="6"/>
        <v>9.0714957476937023E-4</v>
      </c>
      <c r="O30">
        <f t="shared" si="7"/>
        <v>0</v>
      </c>
      <c r="P30">
        <f t="shared" si="8"/>
        <v>1.5846606680396662E-3</v>
      </c>
      <c r="Q30">
        <f t="shared" si="9"/>
        <v>4.2694946740344094E-3</v>
      </c>
      <c r="R30">
        <f t="shared" si="2"/>
        <v>0</v>
      </c>
      <c r="S30">
        <f t="shared" si="3"/>
        <v>0.74068514014906284</v>
      </c>
      <c r="T30">
        <f t="shared" si="4"/>
        <v>0.25931485985093711</v>
      </c>
    </row>
    <row r="31" spans="1:20" hidden="1" x14ac:dyDescent="0.25">
      <c r="A31" t="s">
        <v>141</v>
      </c>
      <c r="B31">
        <v>26929.051965073821</v>
      </c>
      <c r="C31">
        <v>152.1533949095178</v>
      </c>
      <c r="D31">
        <v>0</v>
      </c>
      <c r="E31">
        <v>0.52596922065263074</v>
      </c>
      <c r="F31">
        <v>0</v>
      </c>
      <c r="G31">
        <v>0</v>
      </c>
      <c r="H31">
        <v>0</v>
      </c>
      <c r="I31">
        <v>0</v>
      </c>
      <c r="J31">
        <v>5.9674149326927148</v>
      </c>
      <c r="K31">
        <v>3.665257438763617</v>
      </c>
      <c r="L31">
        <f t="shared" si="0"/>
        <v>0.99655507328282955</v>
      </c>
      <c r="M31">
        <f t="shared" si="5"/>
        <v>0</v>
      </c>
      <c r="N31">
        <f t="shared" si="6"/>
        <v>3.4449267171705218E-3</v>
      </c>
      <c r="O31">
        <f t="shared" si="7"/>
        <v>0</v>
      </c>
      <c r="P31">
        <f t="shared" si="8"/>
        <v>0</v>
      </c>
      <c r="Q31">
        <f t="shared" si="9"/>
        <v>0</v>
      </c>
      <c r="R31">
        <f t="shared" si="2"/>
        <v>0</v>
      </c>
      <c r="S31">
        <f t="shared" si="3"/>
        <v>0.61949734223032871</v>
      </c>
      <c r="T31">
        <f t="shared" si="4"/>
        <v>0.38050265776967135</v>
      </c>
    </row>
    <row r="32" spans="1:20" hidden="1" x14ac:dyDescent="0.25">
      <c r="A32" t="s">
        <v>119</v>
      </c>
      <c r="B32">
        <v>10974.599498306419</v>
      </c>
      <c r="C32">
        <v>128.59493711405671</v>
      </c>
      <c r="D32">
        <v>0</v>
      </c>
      <c r="E32">
        <v>1.0123459527482339</v>
      </c>
      <c r="F32">
        <v>0</v>
      </c>
      <c r="G32">
        <v>4.5220651952427582E-3</v>
      </c>
      <c r="H32">
        <v>0</v>
      </c>
      <c r="I32">
        <v>0</v>
      </c>
      <c r="J32">
        <v>20.0448628192716</v>
      </c>
      <c r="K32">
        <v>38.273201120000927</v>
      </c>
      <c r="L32">
        <f t="shared" si="0"/>
        <v>0.99215451079546446</v>
      </c>
      <c r="M32">
        <f t="shared" si="5"/>
        <v>0</v>
      </c>
      <c r="N32">
        <f t="shared" si="6"/>
        <v>7.8105999042080571E-3</v>
      </c>
      <c r="O32">
        <f t="shared" si="7"/>
        <v>0</v>
      </c>
      <c r="P32">
        <f t="shared" si="8"/>
        <v>3.4889300327523136E-5</v>
      </c>
      <c r="Q32">
        <f t="shared" si="9"/>
        <v>0</v>
      </c>
      <c r="R32">
        <f t="shared" si="2"/>
        <v>0</v>
      </c>
      <c r="S32">
        <f t="shared" si="3"/>
        <v>0.34371619126699088</v>
      </c>
      <c r="T32">
        <f t="shared" si="4"/>
        <v>0.65628380873300907</v>
      </c>
    </row>
    <row r="33" spans="1:20" hidden="1" x14ac:dyDescent="0.25">
      <c r="A33" t="s">
        <v>106</v>
      </c>
      <c r="B33">
        <v>9130.9997121729793</v>
      </c>
      <c r="C33">
        <v>192.64286419916289</v>
      </c>
      <c r="D33">
        <v>0</v>
      </c>
      <c r="E33">
        <v>5.3078500703961247</v>
      </c>
      <c r="F33">
        <v>4.5587461156587437E-3</v>
      </c>
      <c r="G33">
        <v>8.6362468661698735</v>
      </c>
      <c r="H33">
        <v>0.41325187897610932</v>
      </c>
      <c r="I33">
        <v>9.070042478933276E-4</v>
      </c>
      <c r="J33">
        <v>19.638316529324101</v>
      </c>
      <c r="K33">
        <v>36.495648634403317</v>
      </c>
      <c r="L33">
        <f t="shared" si="0"/>
        <v>0.93061632583420073</v>
      </c>
      <c r="M33">
        <f t="shared" si="5"/>
        <v>0</v>
      </c>
      <c r="N33">
        <f t="shared" si="6"/>
        <v>2.5641084351217352E-2</v>
      </c>
      <c r="O33">
        <f t="shared" si="7"/>
        <v>2.202232394229378E-5</v>
      </c>
      <c r="P33">
        <f t="shared" si="8"/>
        <v>4.1719854825679352E-2</v>
      </c>
      <c r="Q33">
        <f t="shared" si="9"/>
        <v>1.9963311221288297E-3</v>
      </c>
      <c r="R33">
        <f t="shared" si="2"/>
        <v>4.3815428315987891E-6</v>
      </c>
      <c r="S33">
        <f t="shared" si="3"/>
        <v>0.34984730674279829</v>
      </c>
      <c r="T33">
        <f t="shared" si="4"/>
        <v>0.65015269325720171</v>
      </c>
    </row>
    <row r="34" spans="1:20" x14ac:dyDescent="0.25">
      <c r="A34" t="s">
        <v>132</v>
      </c>
      <c r="B34">
        <v>26498.15265802302</v>
      </c>
      <c r="C34">
        <v>89.369313773050777</v>
      </c>
      <c r="D34">
        <v>0</v>
      </c>
      <c r="E34">
        <v>0.29149302451850462</v>
      </c>
      <c r="F34">
        <v>0</v>
      </c>
      <c r="G34">
        <v>2.8152620582259359E-2</v>
      </c>
      <c r="H34">
        <v>0</v>
      </c>
      <c r="I34">
        <v>0</v>
      </c>
      <c r="J34">
        <v>0.18193500000000001</v>
      </c>
      <c r="K34">
        <v>0.1769481166965888</v>
      </c>
      <c r="L34">
        <f t="shared" ref="L34:L65" si="10">C34/SUM($C34:$I34)</f>
        <v>0.99643606473779567</v>
      </c>
      <c r="M34">
        <f t="shared" si="5"/>
        <v>0</v>
      </c>
      <c r="N34">
        <f t="shared" si="6"/>
        <v>3.2500435550767612E-3</v>
      </c>
      <c r="O34">
        <f t="shared" si="7"/>
        <v>0</v>
      </c>
      <c r="P34">
        <f t="shared" si="8"/>
        <v>3.1389170712757471E-4</v>
      </c>
      <c r="Q34">
        <f t="shared" si="9"/>
        <v>0</v>
      </c>
      <c r="R34">
        <f t="shared" ref="R34:R65" si="11">I34/SUM($C34:$I34)</f>
        <v>0</v>
      </c>
      <c r="S34">
        <f t="shared" ref="S34:S65" si="12">J34/($J34+$K34)</f>
        <v>0.50694778198165746</v>
      </c>
      <c r="T34">
        <f t="shared" ref="T34:T65" si="13">K34/($J34+$K34)</f>
        <v>0.49305221801834265</v>
      </c>
    </row>
    <row r="35" spans="1:20" hidden="1" x14ac:dyDescent="0.25">
      <c r="A35" t="s">
        <v>133</v>
      </c>
      <c r="B35">
        <v>16686.589257831722</v>
      </c>
      <c r="C35">
        <v>257.75591342492942</v>
      </c>
      <c r="D35">
        <v>2.7321891289260821E-2</v>
      </c>
      <c r="E35">
        <v>6.7790320466821932</v>
      </c>
      <c r="F35">
        <v>0</v>
      </c>
      <c r="G35">
        <v>0.20530219901981739</v>
      </c>
      <c r="H35">
        <v>0.31522837637512641</v>
      </c>
      <c r="I35">
        <v>5.1996678924198791E-4</v>
      </c>
      <c r="J35">
        <v>5.1657434507834834</v>
      </c>
      <c r="K35">
        <v>21.609403852924721</v>
      </c>
      <c r="L35">
        <f t="shared" si="10"/>
        <v>0.97235810786562138</v>
      </c>
      <c r="M35">
        <f t="shared" ref="M35:M66" si="14">D35/SUM($C35:$I35)</f>
        <v>1.0306907090639187E-4</v>
      </c>
      <c r="N35">
        <f t="shared" ref="N35:N66" si="15">E35/SUM($C35:$I35)</f>
        <v>2.5573212604459234E-2</v>
      </c>
      <c r="O35">
        <f t="shared" ref="O35:O66" si="16">F35/SUM($C35:$I35)</f>
        <v>0</v>
      </c>
      <c r="P35">
        <f t="shared" ref="P35:P66" si="17">G35/SUM($C35:$I35)</f>
        <v>7.7448177668172744E-4</v>
      </c>
      <c r="Q35">
        <f t="shared" ref="Q35:Q66" si="18">H35/SUM($C35:$I35)</f>
        <v>1.1891671602209093E-3</v>
      </c>
      <c r="R35">
        <f t="shared" si="11"/>
        <v>1.9615221106752777E-6</v>
      </c>
      <c r="S35">
        <f t="shared" si="12"/>
        <v>0.1929305333856392</v>
      </c>
      <c r="T35">
        <f t="shared" si="13"/>
        <v>0.80706946661436074</v>
      </c>
    </row>
    <row r="36" spans="1:20" x14ac:dyDescent="0.25">
      <c r="A36" t="s">
        <v>120</v>
      </c>
      <c r="B36">
        <v>17814.618629574288</v>
      </c>
      <c r="C36">
        <v>100.16276900928121</v>
      </c>
      <c r="D36">
        <v>0</v>
      </c>
      <c r="E36">
        <v>13.4980655636795</v>
      </c>
      <c r="F36">
        <v>0</v>
      </c>
      <c r="G36">
        <v>1.215404634883003</v>
      </c>
      <c r="H36">
        <v>0.3607757193475708</v>
      </c>
      <c r="I36">
        <v>0</v>
      </c>
      <c r="J36">
        <v>6.2175970518544198E-2</v>
      </c>
      <c r="K36">
        <v>0.35697131626796408</v>
      </c>
      <c r="L36">
        <f t="shared" si="10"/>
        <v>0.86918920168633107</v>
      </c>
      <c r="M36">
        <f t="shared" si="14"/>
        <v>0</v>
      </c>
      <c r="N36">
        <f t="shared" si="15"/>
        <v>0.11713307197524865</v>
      </c>
      <c r="O36">
        <f t="shared" si="16"/>
        <v>0</v>
      </c>
      <c r="P36">
        <f t="shared" si="17"/>
        <v>1.0546998598071258E-2</v>
      </c>
      <c r="Q36">
        <f t="shared" si="18"/>
        <v>3.1307277403490111E-3</v>
      </c>
      <c r="R36">
        <f t="shared" si="11"/>
        <v>0</v>
      </c>
      <c r="S36">
        <f t="shared" si="12"/>
        <v>0.14833919359285605</v>
      </c>
      <c r="T36">
        <f t="shared" si="13"/>
        <v>0.85166080640714403</v>
      </c>
    </row>
    <row r="37" spans="1:20" hidden="1" x14ac:dyDescent="0.25">
      <c r="A37" t="s">
        <v>110</v>
      </c>
      <c r="B37">
        <v>5166.8535909133188</v>
      </c>
      <c r="C37">
        <v>676.83402810599875</v>
      </c>
      <c r="D37">
        <v>0</v>
      </c>
      <c r="E37">
        <v>23.29493013858314</v>
      </c>
      <c r="F37">
        <v>8.6491746576912151E-2</v>
      </c>
      <c r="G37">
        <v>0.7182510122784953</v>
      </c>
      <c r="H37">
        <v>0.40467610903141132</v>
      </c>
      <c r="I37">
        <v>9.3537417213470362E-4</v>
      </c>
      <c r="J37">
        <v>4.7525157051409979</v>
      </c>
      <c r="K37">
        <v>25.934922870245821</v>
      </c>
      <c r="L37">
        <f t="shared" si="10"/>
        <v>0.96505930304440346</v>
      </c>
      <c r="M37">
        <f t="shared" si="14"/>
        <v>0</v>
      </c>
      <c r="N37">
        <f t="shared" si="15"/>
        <v>3.3214921399442959E-2</v>
      </c>
      <c r="O37">
        <f t="shared" si="16"/>
        <v>1.2332368232753193E-4</v>
      </c>
      <c r="P37">
        <f t="shared" si="17"/>
        <v>1.0241134348107381E-3</v>
      </c>
      <c r="Q37">
        <f t="shared" si="18"/>
        <v>5.7700474196520899E-4</v>
      </c>
      <c r="R37">
        <f t="shared" si="11"/>
        <v>1.3336970500317143E-6</v>
      </c>
      <c r="S37">
        <f t="shared" si="12"/>
        <v>0.1548684388716888</v>
      </c>
      <c r="T37">
        <f t="shared" si="13"/>
        <v>0.84513156112831123</v>
      </c>
    </row>
    <row r="38" spans="1:20" hidden="1" x14ac:dyDescent="0.25">
      <c r="A38" t="s">
        <v>116</v>
      </c>
      <c r="B38">
        <v>10821.216556128329</v>
      </c>
      <c r="C38">
        <v>1142.877233100618</v>
      </c>
      <c r="D38">
        <v>0</v>
      </c>
      <c r="E38">
        <v>5.9538464582845878E-3</v>
      </c>
      <c r="F38">
        <v>1.2724903411242499E-2</v>
      </c>
      <c r="G38">
        <v>0.7289962327341869</v>
      </c>
      <c r="H38">
        <v>9.7745329753600257E-2</v>
      </c>
      <c r="I38">
        <v>0</v>
      </c>
      <c r="J38">
        <v>7.6206794306296706</v>
      </c>
      <c r="K38">
        <v>33.661318702465962</v>
      </c>
      <c r="L38">
        <f t="shared" si="10"/>
        <v>0.99926081702602043</v>
      </c>
      <c r="M38">
        <f t="shared" si="14"/>
        <v>0</v>
      </c>
      <c r="N38">
        <f t="shared" si="15"/>
        <v>5.2056732814706013E-6</v>
      </c>
      <c r="O38">
        <f t="shared" si="16"/>
        <v>1.11258646257204E-5</v>
      </c>
      <c r="P38">
        <f t="shared" si="17"/>
        <v>6.3738899510191018E-4</v>
      </c>
      <c r="Q38">
        <f t="shared" si="18"/>
        <v>8.5462440970211643E-5</v>
      </c>
      <c r="R38">
        <f t="shared" si="11"/>
        <v>0</v>
      </c>
      <c r="S38">
        <f t="shared" si="12"/>
        <v>0.18460054685483351</v>
      </c>
      <c r="T38">
        <f t="shared" si="13"/>
        <v>0.81539945314516649</v>
      </c>
    </row>
    <row r="39" spans="1:20" x14ac:dyDescent="0.25">
      <c r="A39" t="s">
        <v>130</v>
      </c>
      <c r="B39">
        <v>25611.025428395471</v>
      </c>
      <c r="C39">
        <v>402.34618554996121</v>
      </c>
      <c r="D39">
        <v>0</v>
      </c>
      <c r="E39">
        <v>1.7213661009220581E-2</v>
      </c>
      <c r="F39">
        <v>0</v>
      </c>
      <c r="G39">
        <v>0.65231058049003676</v>
      </c>
      <c r="H39">
        <v>0.16993150587946729</v>
      </c>
      <c r="I39">
        <v>0</v>
      </c>
      <c r="J39">
        <v>0.78014739767922903</v>
      </c>
      <c r="K39">
        <v>1.21067244964183</v>
      </c>
      <c r="L39">
        <f t="shared" si="10"/>
        <v>0.99791794235360765</v>
      </c>
      <c r="M39">
        <f t="shared" si="14"/>
        <v>0</v>
      </c>
      <c r="N39">
        <f t="shared" si="15"/>
        <v>4.2694132047539632E-5</v>
      </c>
      <c r="O39">
        <f t="shared" si="16"/>
        <v>0</v>
      </c>
      <c r="P39">
        <f t="shared" si="17"/>
        <v>1.6178913971020437E-3</v>
      </c>
      <c r="Q39">
        <f t="shared" si="18"/>
        <v>4.2147211724275369E-4</v>
      </c>
      <c r="R39">
        <f t="shared" si="11"/>
        <v>0</v>
      </c>
      <c r="S39">
        <f t="shared" si="12"/>
        <v>0.39187242317733173</v>
      </c>
      <c r="T39">
        <f t="shared" si="13"/>
        <v>0.60812757682266827</v>
      </c>
    </row>
    <row r="40" spans="1:20" hidden="1" x14ac:dyDescent="0.25">
      <c r="A40" t="s">
        <v>113</v>
      </c>
      <c r="B40">
        <v>35167.658047196557</v>
      </c>
      <c r="C40">
        <v>238.7952600491906</v>
      </c>
      <c r="D40">
        <v>0</v>
      </c>
      <c r="E40">
        <v>0.60510138848676753</v>
      </c>
      <c r="F40">
        <v>0</v>
      </c>
      <c r="G40">
        <v>6.4399140903221422E-2</v>
      </c>
      <c r="H40">
        <v>2.5993110364562848E-2</v>
      </c>
      <c r="I40">
        <v>0</v>
      </c>
      <c r="J40">
        <v>6.1289932159613638</v>
      </c>
      <c r="K40">
        <v>3.7218262121999688</v>
      </c>
      <c r="L40">
        <f t="shared" si="10"/>
        <v>0.99709594784332312</v>
      </c>
      <c r="M40">
        <f t="shared" si="14"/>
        <v>0</v>
      </c>
      <c r="N40">
        <f t="shared" si="15"/>
        <v>2.5266169117855964E-3</v>
      </c>
      <c r="O40">
        <f t="shared" si="16"/>
        <v>0</v>
      </c>
      <c r="P40">
        <f t="shared" si="17"/>
        <v>2.6890032250207109E-4</v>
      </c>
      <c r="Q40">
        <f t="shared" si="18"/>
        <v>1.0853492238920907E-4</v>
      </c>
      <c r="R40">
        <f t="shared" si="11"/>
        <v>0</v>
      </c>
      <c r="S40">
        <f t="shared" si="12"/>
        <v>0.62218105414052316</v>
      </c>
      <c r="T40">
        <f t="shared" si="13"/>
        <v>0.37781894585947678</v>
      </c>
    </row>
    <row r="41" spans="1:20" hidden="1" x14ac:dyDescent="0.25">
      <c r="A41" t="s">
        <v>114</v>
      </c>
      <c r="B41">
        <v>9848.8843294309481</v>
      </c>
      <c r="C41">
        <v>232.39286823212899</v>
      </c>
      <c r="D41">
        <v>0</v>
      </c>
      <c r="E41">
        <v>0.52085636632075039</v>
      </c>
      <c r="F41">
        <v>0</v>
      </c>
      <c r="G41">
        <v>7.8905908361686011E-2</v>
      </c>
      <c r="H41">
        <v>3.7946508808199548E-3</v>
      </c>
      <c r="I41">
        <v>0</v>
      </c>
      <c r="J41">
        <v>57.682891864531342</v>
      </c>
      <c r="K41">
        <v>12.583122613096389</v>
      </c>
      <c r="L41">
        <f t="shared" si="10"/>
        <v>0.9974095871850619</v>
      </c>
      <c r="M41">
        <f t="shared" si="14"/>
        <v>0</v>
      </c>
      <c r="N41">
        <f t="shared" si="15"/>
        <v>2.2354693466572896E-3</v>
      </c>
      <c r="O41">
        <f t="shared" si="16"/>
        <v>0</v>
      </c>
      <c r="P41">
        <f t="shared" si="17"/>
        <v>3.386571631229209E-4</v>
      </c>
      <c r="Q41">
        <f t="shared" si="18"/>
        <v>1.6286305157908457E-5</v>
      </c>
      <c r="R41">
        <f t="shared" si="11"/>
        <v>0</v>
      </c>
      <c r="S41">
        <f t="shared" si="12"/>
        <v>0.82092164033150361</v>
      </c>
      <c r="T41">
        <f t="shared" si="13"/>
        <v>0.17907835966849633</v>
      </c>
    </row>
    <row r="42" spans="1:20" x14ac:dyDescent="0.25">
      <c r="A42" t="s">
        <v>96</v>
      </c>
      <c r="B42">
        <v>10122.60920547274</v>
      </c>
      <c r="C42">
        <v>111.7619413522946</v>
      </c>
      <c r="D42">
        <v>0</v>
      </c>
      <c r="E42">
        <v>9.2932099254113812E-4</v>
      </c>
      <c r="F42">
        <v>0</v>
      </c>
      <c r="G42">
        <v>2.6485448583690559E-2</v>
      </c>
      <c r="H42">
        <v>2.721353555192714E-3</v>
      </c>
      <c r="I42">
        <v>0</v>
      </c>
      <c r="J42">
        <v>2.5222352936536312E-3</v>
      </c>
      <c r="K42">
        <v>0.4357204370196604</v>
      </c>
      <c r="L42">
        <f t="shared" si="10"/>
        <v>0.99973042702298798</v>
      </c>
      <c r="M42">
        <f t="shared" si="14"/>
        <v>0</v>
      </c>
      <c r="N42">
        <f t="shared" si="15"/>
        <v>8.3129414313408762E-6</v>
      </c>
      <c r="O42">
        <f t="shared" si="16"/>
        <v>0</v>
      </c>
      <c r="P42">
        <f t="shared" si="17"/>
        <v>2.3691704440784327E-4</v>
      </c>
      <c r="Q42">
        <f t="shared" si="18"/>
        <v>2.4342991172973939E-5</v>
      </c>
      <c r="R42">
        <f t="shared" si="11"/>
        <v>0</v>
      </c>
      <c r="S42">
        <f t="shared" si="12"/>
        <v>5.7553393427886056E-3</v>
      </c>
      <c r="T42">
        <f t="shared" si="13"/>
        <v>0.9942446606572114</v>
      </c>
    </row>
    <row r="43" spans="1:20" hidden="1" x14ac:dyDescent="0.25">
      <c r="A43" t="s">
        <v>104</v>
      </c>
      <c r="B43">
        <v>8203.8802989377782</v>
      </c>
      <c r="C43">
        <v>464.80007014336297</v>
      </c>
      <c r="D43">
        <v>0</v>
      </c>
      <c r="E43">
        <v>1.5970991696879721E-2</v>
      </c>
      <c r="F43">
        <v>0</v>
      </c>
      <c r="G43">
        <v>2.0149012984663692E-3</v>
      </c>
      <c r="H43">
        <v>4.2316016920511332E-3</v>
      </c>
      <c r="I43">
        <v>0</v>
      </c>
      <c r="J43">
        <v>25.512164541185118</v>
      </c>
      <c r="K43">
        <v>21.24054149059781</v>
      </c>
      <c r="L43">
        <f t="shared" si="10"/>
        <v>0.99995220217429703</v>
      </c>
      <c r="M43">
        <f t="shared" si="14"/>
        <v>0</v>
      </c>
      <c r="N43">
        <f t="shared" si="15"/>
        <v>3.4359350060503284E-5</v>
      </c>
      <c r="O43">
        <f t="shared" si="16"/>
        <v>0</v>
      </c>
      <c r="P43">
        <f t="shared" si="17"/>
        <v>4.3347777248481261E-6</v>
      </c>
      <c r="Q43">
        <f t="shared" si="18"/>
        <v>9.1036979176571101E-6</v>
      </c>
      <c r="R43">
        <f t="shared" si="11"/>
        <v>0</v>
      </c>
      <c r="S43">
        <f t="shared" si="12"/>
        <v>0.54568316374760661</v>
      </c>
      <c r="T43">
        <f t="shared" si="13"/>
        <v>0.45431683625239339</v>
      </c>
    </row>
    <row r="44" spans="1:20" hidden="1" x14ac:dyDescent="0.25">
      <c r="A44" t="s">
        <v>117</v>
      </c>
      <c r="B44">
        <v>17486.732998120438</v>
      </c>
      <c r="C44">
        <v>357.91868243421061</v>
      </c>
      <c r="D44">
        <v>2.7321891289260821E-2</v>
      </c>
      <c r="E44">
        <v>20.27709761036169</v>
      </c>
      <c r="F44">
        <v>0</v>
      </c>
      <c r="G44">
        <v>1.420706833902821</v>
      </c>
      <c r="H44">
        <v>0.67600409572269715</v>
      </c>
      <c r="I44">
        <v>5.1996678924198791E-4</v>
      </c>
      <c r="J44">
        <v>5.227919421302027</v>
      </c>
      <c r="K44">
        <v>21.966375169192681</v>
      </c>
      <c r="L44">
        <f t="shared" si="10"/>
        <v>0.94109794175021144</v>
      </c>
      <c r="M44">
        <f t="shared" si="14"/>
        <v>7.1839154866615952E-5</v>
      </c>
      <c r="N44">
        <f t="shared" si="15"/>
        <v>5.3315838938603415E-2</v>
      </c>
      <c r="O44">
        <f t="shared" si="16"/>
        <v>0</v>
      </c>
      <c r="P44">
        <f t="shared" si="17"/>
        <v>3.7355531936005158E-3</v>
      </c>
      <c r="Q44">
        <f t="shared" si="18"/>
        <v>1.7774597815700252E-3</v>
      </c>
      <c r="R44">
        <f t="shared" si="11"/>
        <v>1.3671811479805803E-6</v>
      </c>
      <c r="S44">
        <f t="shared" si="12"/>
        <v>0.19224324440205762</v>
      </c>
      <c r="T44">
        <f t="shared" si="13"/>
        <v>0.80775675559794247</v>
      </c>
    </row>
    <row r="45" spans="1:20" x14ac:dyDescent="0.25">
      <c r="A45" t="s">
        <v>142</v>
      </c>
      <c r="B45">
        <v>39341.58044996141</v>
      </c>
      <c r="C45">
        <v>67.040838277379635</v>
      </c>
      <c r="D45">
        <v>0</v>
      </c>
      <c r="E45">
        <v>0.14614066754673721</v>
      </c>
      <c r="F45">
        <v>0</v>
      </c>
      <c r="G45">
        <v>4.1121639369915662E-3</v>
      </c>
      <c r="H45">
        <v>3.6089885755478973E-4</v>
      </c>
      <c r="I45">
        <v>3.8766908942842462E-4</v>
      </c>
      <c r="J45">
        <v>1.7107038940672201E-2</v>
      </c>
      <c r="K45">
        <v>0.20341479735507551</v>
      </c>
      <c r="L45">
        <f t="shared" si="10"/>
        <v>0.9977526824662486</v>
      </c>
      <c r="M45">
        <f t="shared" si="14"/>
        <v>0</v>
      </c>
      <c r="N45">
        <f t="shared" si="15"/>
        <v>2.1749764294245713E-3</v>
      </c>
      <c r="O45">
        <f t="shared" si="16"/>
        <v>0</v>
      </c>
      <c r="P45">
        <f t="shared" si="17"/>
        <v>6.1200347494143415E-5</v>
      </c>
      <c r="Q45">
        <f t="shared" si="18"/>
        <v>5.3711709530606191E-6</v>
      </c>
      <c r="R45">
        <f t="shared" si="11"/>
        <v>5.7695858796707323E-6</v>
      </c>
      <c r="S45">
        <f t="shared" si="12"/>
        <v>7.7575260699940377E-2</v>
      </c>
      <c r="T45">
        <f t="shared" si="13"/>
        <v>0.92242473930005964</v>
      </c>
    </row>
    <row r="46" spans="1:20" hidden="1" x14ac:dyDescent="0.25">
      <c r="A46" t="s">
        <v>131</v>
      </c>
      <c r="B46">
        <v>16073.64651043119</v>
      </c>
      <c r="C46">
        <v>338.74717995325778</v>
      </c>
      <c r="D46">
        <v>0</v>
      </c>
      <c r="E46">
        <v>0.3924728524759345</v>
      </c>
      <c r="F46">
        <v>3.9844555533714021E-3</v>
      </c>
      <c r="G46">
        <v>4.0275172307990408E-4</v>
      </c>
      <c r="H46">
        <v>0</v>
      </c>
      <c r="I46">
        <v>7.9021189922038968E-3</v>
      </c>
      <c r="J46">
        <v>19.560515892754481</v>
      </c>
      <c r="K46">
        <v>132.6010293401543</v>
      </c>
      <c r="L46">
        <f t="shared" si="10"/>
        <v>0.99880654618634901</v>
      </c>
      <c r="M46">
        <f t="shared" si="14"/>
        <v>0</v>
      </c>
      <c r="N46">
        <f t="shared" si="15"/>
        <v>1.1572183547254433E-3</v>
      </c>
      <c r="O46">
        <f t="shared" si="16"/>
        <v>1.1748290539998146E-5</v>
      </c>
      <c r="P46">
        <f t="shared" si="17"/>
        <v>1.1875259228890037E-6</v>
      </c>
      <c r="Q46">
        <f t="shared" si="18"/>
        <v>0</v>
      </c>
      <c r="R46">
        <f t="shared" si="11"/>
        <v>2.329964246269387E-5</v>
      </c>
      <c r="S46">
        <f t="shared" si="12"/>
        <v>0.12855098088557018</v>
      </c>
      <c r="T46">
        <f t="shared" si="13"/>
        <v>0.87144901911442973</v>
      </c>
    </row>
    <row r="47" spans="1:20" x14ac:dyDescent="0.25">
      <c r="A47" t="s">
        <v>112</v>
      </c>
      <c r="B47">
        <v>15929.2255907207</v>
      </c>
      <c r="C47">
        <v>104.6138133353186</v>
      </c>
      <c r="D47">
        <v>1.9622213832257991E-2</v>
      </c>
      <c r="E47">
        <v>34.091702115957702</v>
      </c>
      <c r="F47">
        <v>3.3957655750246271E-3</v>
      </c>
      <c r="G47">
        <v>1.0831489377898931</v>
      </c>
      <c r="H47">
        <v>0.82064629997001748</v>
      </c>
      <c r="I47">
        <v>0</v>
      </c>
      <c r="J47">
        <v>0.39559877638641239</v>
      </c>
      <c r="K47">
        <v>2.8663096991714689</v>
      </c>
      <c r="L47">
        <f t="shared" si="10"/>
        <v>0.74388168300872992</v>
      </c>
      <c r="M47">
        <f t="shared" si="14"/>
        <v>1.3952847128429171E-4</v>
      </c>
      <c r="N47">
        <f t="shared" si="15"/>
        <v>0.24241724814450538</v>
      </c>
      <c r="O47">
        <f t="shared" si="16"/>
        <v>2.4146407921826609E-5</v>
      </c>
      <c r="P47">
        <f t="shared" si="17"/>
        <v>7.7019910574298916E-3</v>
      </c>
      <c r="Q47">
        <f t="shared" si="18"/>
        <v>5.8354029101287466E-3</v>
      </c>
      <c r="R47">
        <f t="shared" si="11"/>
        <v>0</v>
      </c>
      <c r="S47">
        <f t="shared" si="12"/>
        <v>0.12127831891995483</v>
      </c>
      <c r="T47">
        <f t="shared" si="13"/>
        <v>0.87872168108004522</v>
      </c>
    </row>
    <row r="48" spans="1:20" hidden="1" x14ac:dyDescent="0.25">
      <c r="A48" t="s">
        <v>123</v>
      </c>
      <c r="B48">
        <v>12047.36614825924</v>
      </c>
      <c r="C48">
        <v>302.97622091169399</v>
      </c>
      <c r="D48">
        <v>0</v>
      </c>
      <c r="E48">
        <v>8.0426301725583098</v>
      </c>
      <c r="F48">
        <v>9.3119982609790111E-3</v>
      </c>
      <c r="G48">
        <v>0.84040751843856198</v>
      </c>
      <c r="H48">
        <v>1.503437624866206</v>
      </c>
      <c r="I48">
        <v>1.1424126737192701E-2</v>
      </c>
      <c r="J48">
        <v>50.057611856017402</v>
      </c>
      <c r="K48">
        <v>188.680552862479</v>
      </c>
      <c r="L48">
        <f t="shared" si="10"/>
        <v>0.9667908052358265</v>
      </c>
      <c r="M48">
        <f t="shared" si="14"/>
        <v>0</v>
      </c>
      <c r="N48">
        <f t="shared" si="15"/>
        <v>2.5663865227917922E-2</v>
      </c>
      <c r="O48">
        <f t="shared" si="16"/>
        <v>2.9714392337445102E-5</v>
      </c>
      <c r="P48">
        <f t="shared" si="17"/>
        <v>2.6817228726153802E-3</v>
      </c>
      <c r="Q48">
        <f t="shared" si="18"/>
        <v>4.7974381210262717E-3</v>
      </c>
      <c r="R48">
        <f t="shared" si="11"/>
        <v>3.6454150276650878E-5</v>
      </c>
      <c r="S48">
        <f t="shared" si="12"/>
        <v>0.20967578399139444</v>
      </c>
      <c r="T48">
        <f t="shared" si="13"/>
        <v>0.79032421600860547</v>
      </c>
    </row>
    <row r="49" spans="1:20" hidden="1" x14ac:dyDescent="0.25">
      <c r="A49" t="s">
        <v>122</v>
      </c>
      <c r="B49">
        <v>9093.5321077155022</v>
      </c>
      <c r="C49">
        <v>267.47731352828077</v>
      </c>
      <c r="D49">
        <v>0</v>
      </c>
      <c r="E49">
        <v>1.3952835290804739</v>
      </c>
      <c r="F49">
        <v>2.0154902330799229E-4</v>
      </c>
      <c r="G49">
        <v>2.0063382312151719</v>
      </c>
      <c r="H49">
        <v>2.4167967405373139</v>
      </c>
      <c r="I49">
        <v>1.166519512253554E-3</v>
      </c>
      <c r="J49">
        <v>12.3712960493569</v>
      </c>
      <c r="K49">
        <v>6.9273818210635056</v>
      </c>
      <c r="L49">
        <f t="shared" si="10"/>
        <v>0.97870527507504057</v>
      </c>
      <c r="M49">
        <f t="shared" si="14"/>
        <v>0</v>
      </c>
      <c r="N49">
        <f t="shared" si="15"/>
        <v>5.1053726094493421E-3</v>
      </c>
      <c r="O49">
        <f t="shared" si="16"/>
        <v>7.3747223529257577E-7</v>
      </c>
      <c r="P49">
        <f t="shared" si="17"/>
        <v>7.3412349801673903E-3</v>
      </c>
      <c r="Q49">
        <f t="shared" si="18"/>
        <v>8.8431115429830395E-3</v>
      </c>
      <c r="R49">
        <f t="shared" si="11"/>
        <v>4.2683201242777752E-6</v>
      </c>
      <c r="S49">
        <f t="shared" si="12"/>
        <v>0.64104370944077538</v>
      </c>
      <c r="T49">
        <f t="shared" si="13"/>
        <v>0.35895629055922462</v>
      </c>
    </row>
    <row r="50" spans="1:20" hidden="1" x14ac:dyDescent="0.25">
      <c r="A50" t="s">
        <v>84</v>
      </c>
      <c r="B50">
        <v>3005.6584499286578</v>
      </c>
      <c r="C50">
        <v>193.64369915665171</v>
      </c>
      <c r="D50">
        <v>0</v>
      </c>
      <c r="E50">
        <v>1.5837551548367881</v>
      </c>
      <c r="F50">
        <v>7.8591856928246426E-2</v>
      </c>
      <c r="G50">
        <v>0.33053332417155318</v>
      </c>
      <c r="H50">
        <v>3.376355964289305E-2</v>
      </c>
      <c r="I50">
        <v>3.5347981813465748E-4</v>
      </c>
      <c r="J50">
        <v>41.17585746947244</v>
      </c>
      <c r="K50">
        <v>34.979307771167811</v>
      </c>
      <c r="L50">
        <f t="shared" si="10"/>
        <v>0.98964077191259148</v>
      </c>
      <c r="M50">
        <f t="shared" si="14"/>
        <v>0</v>
      </c>
      <c r="N50">
        <f t="shared" si="15"/>
        <v>8.0939823024413961E-3</v>
      </c>
      <c r="O50">
        <f t="shared" si="16"/>
        <v>4.016536881667087E-4</v>
      </c>
      <c r="P50">
        <f t="shared" si="17"/>
        <v>1.6892326241472466E-3</v>
      </c>
      <c r="Q50">
        <f t="shared" si="18"/>
        <v>1.7255296905105486E-4</v>
      </c>
      <c r="R50">
        <f t="shared" si="11"/>
        <v>1.8065036022231376E-6</v>
      </c>
      <c r="S50">
        <f t="shared" si="12"/>
        <v>0.54068371251460323</v>
      </c>
      <c r="T50">
        <f t="shared" si="13"/>
        <v>0.45931628748539671</v>
      </c>
    </row>
    <row r="51" spans="1:20" hidden="1" x14ac:dyDescent="0.25">
      <c r="A51" t="s">
        <v>124</v>
      </c>
      <c r="B51">
        <v>2755.553044210043</v>
      </c>
      <c r="C51">
        <v>104.46750721513681</v>
      </c>
      <c r="D51">
        <v>0</v>
      </c>
      <c r="E51">
        <v>0.85537635521847055</v>
      </c>
      <c r="F51">
        <v>6.2430049140949634E-5</v>
      </c>
      <c r="G51">
        <v>2.504785250474419E-2</v>
      </c>
      <c r="H51">
        <v>1.7440244699874392E-2</v>
      </c>
      <c r="I51">
        <v>5.0250065267335884E-4</v>
      </c>
      <c r="J51">
        <v>62.82390676526866</v>
      </c>
      <c r="K51">
        <v>277.15081592200801</v>
      </c>
      <c r="L51">
        <f t="shared" si="10"/>
        <v>0.99147324636281253</v>
      </c>
      <c r="M51">
        <f t="shared" si="14"/>
        <v>0</v>
      </c>
      <c r="N51">
        <f t="shared" si="15"/>
        <v>8.1181488328608692E-3</v>
      </c>
      <c r="O51">
        <f t="shared" si="16"/>
        <v>5.9250694443102958E-7</v>
      </c>
      <c r="P51">
        <f t="shared" si="17"/>
        <v>2.3772248710934369E-4</v>
      </c>
      <c r="Q51">
        <f t="shared" si="18"/>
        <v>1.6552071061039776E-4</v>
      </c>
      <c r="R51">
        <f t="shared" si="11"/>
        <v>4.7690996625340962E-6</v>
      </c>
      <c r="S51">
        <f t="shared" si="12"/>
        <v>0.18478993458303894</v>
      </c>
      <c r="T51">
        <f t="shared" si="13"/>
        <v>0.81521006541696106</v>
      </c>
    </row>
    <row r="52" spans="1:20" x14ac:dyDescent="0.25">
      <c r="A52" t="s">
        <v>85</v>
      </c>
      <c r="B52">
        <v>4606.0606412742409</v>
      </c>
      <c r="C52">
        <v>63.156767241374858</v>
      </c>
      <c r="D52">
        <v>0</v>
      </c>
      <c r="E52">
        <v>0.45942390957812917</v>
      </c>
      <c r="F52">
        <v>3.9899198543244377E-2</v>
      </c>
      <c r="G52">
        <v>2.7177898807250422E-2</v>
      </c>
      <c r="H52">
        <v>1.039464717432048E-2</v>
      </c>
      <c r="I52">
        <v>2.1901254006150879E-4</v>
      </c>
      <c r="J52">
        <v>0.29478234010555349</v>
      </c>
      <c r="K52">
        <v>0.5510050650226811</v>
      </c>
      <c r="L52">
        <f t="shared" si="10"/>
        <v>0.99156724868145618</v>
      </c>
      <c r="M52">
        <f t="shared" si="14"/>
        <v>0</v>
      </c>
      <c r="N52">
        <f t="shared" si="15"/>
        <v>7.212999048191099E-3</v>
      </c>
      <c r="O52">
        <f t="shared" si="16"/>
        <v>6.2642120951057647E-4</v>
      </c>
      <c r="P52">
        <f t="shared" si="17"/>
        <v>4.2669559450778631E-4</v>
      </c>
      <c r="Q52">
        <f t="shared" si="18"/>
        <v>1.6319694863835873E-4</v>
      </c>
      <c r="R52">
        <f t="shared" si="11"/>
        <v>3.4385176959035242E-6</v>
      </c>
      <c r="S52">
        <f t="shared" si="12"/>
        <v>0.34853006596954456</v>
      </c>
      <c r="T52">
        <f t="shared" si="13"/>
        <v>0.6514699340304555</v>
      </c>
    </row>
    <row r="53" spans="1:20" hidden="1" x14ac:dyDescent="0.25">
      <c r="A53" t="s">
        <v>126</v>
      </c>
      <c r="B53">
        <v>2956.8933866055172</v>
      </c>
      <c r="C53">
        <v>108.7580126981719</v>
      </c>
      <c r="D53">
        <v>0</v>
      </c>
      <c r="E53">
        <v>7.5767793689991536E-2</v>
      </c>
      <c r="F53">
        <v>1.152194695431436E-3</v>
      </c>
      <c r="G53">
        <v>0.28959468425148571</v>
      </c>
      <c r="H53">
        <v>1.011436110548263</v>
      </c>
      <c r="I53">
        <v>8.9028831504248587E-3</v>
      </c>
      <c r="J53">
        <v>67.238547808348017</v>
      </c>
      <c r="K53">
        <v>495.31120910455292</v>
      </c>
      <c r="L53">
        <f t="shared" si="10"/>
        <v>0.98740882156281329</v>
      </c>
      <c r="M53">
        <f t="shared" si="14"/>
        <v>0</v>
      </c>
      <c r="N53">
        <f t="shared" si="15"/>
        <v>6.8789219317085264E-4</v>
      </c>
      <c r="O53">
        <f t="shared" si="16"/>
        <v>1.0460720807617351E-5</v>
      </c>
      <c r="P53">
        <f t="shared" si="17"/>
        <v>2.6292163566944342E-3</v>
      </c>
      <c r="Q53">
        <f t="shared" si="18"/>
        <v>9.1827803140735655E-3</v>
      </c>
      <c r="R53">
        <f t="shared" si="11"/>
        <v>8.0828852440223002E-5</v>
      </c>
      <c r="S53">
        <f t="shared" si="12"/>
        <v>0.11952462334591055</v>
      </c>
      <c r="T53">
        <f t="shared" si="13"/>
        <v>0.88047537665408959</v>
      </c>
    </row>
    <row r="54" spans="1:20" x14ac:dyDescent="0.25">
      <c r="A54" t="s">
        <v>81</v>
      </c>
      <c r="B54">
        <v>3794.7797889383742</v>
      </c>
      <c r="C54">
        <v>11.491621242548449</v>
      </c>
      <c r="D54">
        <v>0</v>
      </c>
      <c r="E54">
        <v>1.8786086306127488E-2</v>
      </c>
      <c r="F54">
        <v>0</v>
      </c>
      <c r="G54">
        <v>8.3413830721222413E-3</v>
      </c>
      <c r="H54">
        <v>1.8479490175905978E-2</v>
      </c>
      <c r="I54">
        <v>0</v>
      </c>
      <c r="J54">
        <v>0.10432993619270969</v>
      </c>
      <c r="K54">
        <v>2.0469820678135018</v>
      </c>
      <c r="L54">
        <f t="shared" si="10"/>
        <v>0.99604697430307876</v>
      </c>
      <c r="M54">
        <f t="shared" si="14"/>
        <v>0</v>
      </c>
      <c r="N54">
        <f t="shared" si="15"/>
        <v>1.628301527632418E-3</v>
      </c>
      <c r="O54">
        <f t="shared" si="16"/>
        <v>0</v>
      </c>
      <c r="P54">
        <f t="shared" si="17"/>
        <v>7.2299714680186902E-4</v>
      </c>
      <c r="Q54">
        <f t="shared" si="18"/>
        <v>1.6017270224869245E-3</v>
      </c>
      <c r="R54">
        <f t="shared" si="11"/>
        <v>0</v>
      </c>
      <c r="S54">
        <f t="shared" si="12"/>
        <v>4.8495957814777516E-2</v>
      </c>
      <c r="T54">
        <f t="shared" si="13"/>
        <v>0.95150404218522255</v>
      </c>
    </row>
    <row r="55" spans="1:20" hidden="1" x14ac:dyDescent="0.25">
      <c r="A55" t="s">
        <v>78</v>
      </c>
      <c r="B55">
        <v>2305.0061703805159</v>
      </c>
      <c r="C55">
        <v>92.975885972588316</v>
      </c>
      <c r="D55">
        <v>0</v>
      </c>
      <c r="E55">
        <v>0.83659026891234312</v>
      </c>
      <c r="F55">
        <v>6.2430049140949634E-5</v>
      </c>
      <c r="G55">
        <v>1.670646943262195E-2</v>
      </c>
      <c r="H55">
        <v>0</v>
      </c>
      <c r="I55">
        <v>5.0250065267335884E-4</v>
      </c>
      <c r="J55">
        <v>62.719576829075947</v>
      </c>
      <c r="K55">
        <v>275.10383385419442</v>
      </c>
      <c r="L55">
        <f t="shared" si="10"/>
        <v>0.99089988313399346</v>
      </c>
      <c r="M55">
        <f t="shared" si="14"/>
        <v>0</v>
      </c>
      <c r="N55">
        <f t="shared" si="15"/>
        <v>8.9160451769255602E-3</v>
      </c>
      <c r="O55">
        <f t="shared" si="16"/>
        <v>6.6535454597394155E-7</v>
      </c>
      <c r="P55">
        <f t="shared" si="17"/>
        <v>1.7805088314240317E-4</v>
      </c>
      <c r="Q55">
        <f t="shared" si="18"/>
        <v>0</v>
      </c>
      <c r="R55">
        <f t="shared" si="11"/>
        <v>5.3554513925856933E-6</v>
      </c>
      <c r="S55">
        <f t="shared" si="12"/>
        <v>0.18565787581808324</v>
      </c>
      <c r="T55">
        <f t="shared" si="13"/>
        <v>0.81434212418191676</v>
      </c>
    </row>
    <row r="56" spans="1:20" hidden="1" x14ac:dyDescent="0.25">
      <c r="A56" t="s">
        <v>129</v>
      </c>
      <c r="B56">
        <v>1904.82324488873</v>
      </c>
      <c r="C56">
        <v>86.60272875631081</v>
      </c>
      <c r="D56">
        <v>0</v>
      </c>
      <c r="E56">
        <v>0.18282091709388729</v>
      </c>
      <c r="F56">
        <v>3.7502594265831982E-3</v>
      </c>
      <c r="G56">
        <v>3.3853355111474089E-2</v>
      </c>
      <c r="H56">
        <v>0.2197506910063412</v>
      </c>
      <c r="I56">
        <v>6.5423321890064742E-3</v>
      </c>
      <c r="J56">
        <v>64.231395498265215</v>
      </c>
      <c r="K56">
        <v>292.07815262927357</v>
      </c>
      <c r="L56">
        <f t="shared" si="10"/>
        <v>0.99486823209385389</v>
      </c>
      <c r="M56">
        <f t="shared" si="14"/>
        <v>0</v>
      </c>
      <c r="N56">
        <f t="shared" si="15"/>
        <v>2.1001962084909332E-3</v>
      </c>
      <c r="O56">
        <f t="shared" si="16"/>
        <v>4.308194463614121E-5</v>
      </c>
      <c r="P56">
        <f t="shared" si="17"/>
        <v>3.8889799471524618E-4</v>
      </c>
      <c r="Q56">
        <f t="shared" si="18"/>
        <v>2.5244352528204857E-3</v>
      </c>
      <c r="R56">
        <f t="shared" si="11"/>
        <v>7.5156505483359675E-5</v>
      </c>
      <c r="S56">
        <f t="shared" si="12"/>
        <v>0.18026852167114529</v>
      </c>
      <c r="T56">
        <f t="shared" si="13"/>
        <v>0.81973147832885473</v>
      </c>
    </row>
    <row r="57" spans="1:20" x14ac:dyDescent="0.25">
      <c r="A57" t="s">
        <v>127</v>
      </c>
      <c r="B57">
        <v>24900.766932380109</v>
      </c>
      <c r="C57">
        <v>154.5996930702309</v>
      </c>
      <c r="D57">
        <v>0</v>
      </c>
      <c r="E57">
        <v>0.23518484244485049</v>
      </c>
      <c r="F57">
        <v>2.4930024335592638E-3</v>
      </c>
      <c r="G57">
        <v>5.9368312023418107E-2</v>
      </c>
      <c r="H57">
        <v>0.137016880580456</v>
      </c>
      <c r="I57">
        <v>4.6733420122347862E-5</v>
      </c>
      <c r="J57">
        <v>4.6769683878158913E-2</v>
      </c>
      <c r="K57">
        <v>0.24719476310038149</v>
      </c>
      <c r="L57">
        <f t="shared" si="10"/>
        <v>0.99719990245387147</v>
      </c>
      <c r="M57">
        <f t="shared" si="14"/>
        <v>0</v>
      </c>
      <c r="N57">
        <f t="shared" si="15"/>
        <v>1.5169907345035569E-3</v>
      </c>
      <c r="O57">
        <f t="shared" si="16"/>
        <v>1.6080379813129527E-5</v>
      </c>
      <c r="P57">
        <f t="shared" si="17"/>
        <v>3.8293785571559622E-4</v>
      </c>
      <c r="Q57">
        <f t="shared" si="18"/>
        <v>8.837871358987453E-4</v>
      </c>
      <c r="R57">
        <f t="shared" si="11"/>
        <v>3.0144019733707147E-7</v>
      </c>
      <c r="S57">
        <f t="shared" si="12"/>
        <v>0.15909979713149847</v>
      </c>
      <c r="T57">
        <f t="shared" si="13"/>
        <v>0.84090020286850153</v>
      </c>
    </row>
    <row r="58" spans="1:20" hidden="1" x14ac:dyDescent="0.25">
      <c r="A58" t="s">
        <v>138</v>
      </c>
      <c r="B58">
        <v>22271.396045750789</v>
      </c>
      <c r="C58">
        <v>823.12798345499118</v>
      </c>
      <c r="D58">
        <v>0</v>
      </c>
      <c r="E58">
        <v>9.3368535372366566</v>
      </c>
      <c r="F58">
        <v>1.7071299371689511E-2</v>
      </c>
      <c r="G58">
        <v>2.6542202214449841E-2</v>
      </c>
      <c r="H58">
        <v>1.265216206519391</v>
      </c>
      <c r="I58">
        <v>1.100593084963261E-2</v>
      </c>
      <c r="J58">
        <v>91.619802382686842</v>
      </c>
      <c r="K58">
        <v>42.49559606330947</v>
      </c>
      <c r="L58">
        <f t="shared" si="10"/>
        <v>0.98721889532634088</v>
      </c>
      <c r="M58">
        <f t="shared" si="14"/>
        <v>0</v>
      </c>
      <c r="N58">
        <f t="shared" si="15"/>
        <v>1.1198159241488873E-2</v>
      </c>
      <c r="O58">
        <f t="shared" si="16"/>
        <v>2.0474470126462547E-5</v>
      </c>
      <c r="P58">
        <f t="shared" si="17"/>
        <v>3.1833401459264464E-5</v>
      </c>
      <c r="Q58">
        <f t="shared" si="18"/>
        <v>1.5174375927620918E-3</v>
      </c>
      <c r="R58">
        <f t="shared" si="11"/>
        <v>1.3199967822508754E-5</v>
      </c>
      <c r="S58">
        <f t="shared" si="12"/>
        <v>0.68314155901776641</v>
      </c>
      <c r="T58">
        <f t="shared" si="13"/>
        <v>0.31685844098223365</v>
      </c>
    </row>
    <row r="59" spans="1:20" x14ac:dyDescent="0.25">
      <c r="A59" t="s">
        <v>103</v>
      </c>
      <c r="B59">
        <v>12703.28984250529</v>
      </c>
      <c r="C59">
        <v>47.945892426957023</v>
      </c>
      <c r="D59">
        <v>0</v>
      </c>
      <c r="E59">
        <v>7.8695475934728656E-2</v>
      </c>
      <c r="F59">
        <v>0</v>
      </c>
      <c r="G59">
        <v>3.4268647293867277E-2</v>
      </c>
      <c r="H59">
        <v>1.935359119913874E-3</v>
      </c>
      <c r="I59">
        <v>0</v>
      </c>
      <c r="J59">
        <v>3.7023792687492313E-2</v>
      </c>
      <c r="K59">
        <v>0.18484760187675289</v>
      </c>
      <c r="L59">
        <f t="shared" si="10"/>
        <v>0.99760928861585696</v>
      </c>
      <c r="M59">
        <f t="shared" si="14"/>
        <v>0</v>
      </c>
      <c r="N59">
        <f t="shared" si="15"/>
        <v>1.6374152985916914E-3</v>
      </c>
      <c r="O59">
        <f t="shared" si="16"/>
        <v>0</v>
      </c>
      <c r="P59">
        <f t="shared" si="17"/>
        <v>7.1302710447499265E-4</v>
      </c>
      <c r="Q59">
        <f t="shared" si="18"/>
        <v>4.026898107642604E-5</v>
      </c>
      <c r="R59">
        <f t="shared" si="11"/>
        <v>0</v>
      </c>
      <c r="S59">
        <f t="shared" si="12"/>
        <v>0.16687050964910072</v>
      </c>
      <c r="T59">
        <f t="shared" si="13"/>
        <v>0.83312949035089923</v>
      </c>
    </row>
    <row r="60" spans="1:20" hidden="1" x14ac:dyDescent="0.25">
      <c r="A60" t="s">
        <v>108</v>
      </c>
      <c r="B60">
        <v>10768.623112774279</v>
      </c>
      <c r="C60">
        <v>169.38832742898609</v>
      </c>
      <c r="D60">
        <v>0</v>
      </c>
      <c r="E60">
        <v>0.32695161217719099</v>
      </c>
      <c r="F60">
        <v>0</v>
      </c>
      <c r="G60">
        <v>7.7155521751601846E-3</v>
      </c>
      <c r="H60">
        <v>0</v>
      </c>
      <c r="I60">
        <v>0</v>
      </c>
      <c r="J60">
        <v>31.350447281003149</v>
      </c>
      <c r="K60">
        <v>60.956540170807472</v>
      </c>
      <c r="L60">
        <f t="shared" si="10"/>
        <v>0.99802815661393296</v>
      </c>
      <c r="M60">
        <f t="shared" si="14"/>
        <v>0</v>
      </c>
      <c r="N60">
        <f t="shared" si="15"/>
        <v>1.9263837110615281E-3</v>
      </c>
      <c r="O60">
        <f t="shared" si="16"/>
        <v>0</v>
      </c>
      <c r="P60">
        <f t="shared" si="17"/>
        <v>4.5459675005422135E-5</v>
      </c>
      <c r="Q60">
        <f t="shared" si="18"/>
        <v>0</v>
      </c>
      <c r="R60">
        <f t="shared" si="11"/>
        <v>0</v>
      </c>
      <c r="S60">
        <f t="shared" si="12"/>
        <v>0.33963243895669143</v>
      </c>
      <c r="T60">
        <f t="shared" si="13"/>
        <v>0.66036756104330863</v>
      </c>
    </row>
    <row r="61" spans="1:20" hidden="1" x14ac:dyDescent="0.25">
      <c r="A61" t="s">
        <v>134</v>
      </c>
      <c r="B61">
        <v>11713.313624382359</v>
      </c>
      <c r="C61">
        <v>217.3342198559431</v>
      </c>
      <c r="D61">
        <v>0</v>
      </c>
      <c r="E61">
        <v>0.40564708811191968</v>
      </c>
      <c r="F61">
        <v>0</v>
      </c>
      <c r="G61">
        <v>4.1984199469027463E-2</v>
      </c>
      <c r="H61">
        <v>1.932108682032358E-3</v>
      </c>
      <c r="I61">
        <v>0</v>
      </c>
      <c r="J61">
        <v>31.387471073690641</v>
      </c>
      <c r="K61">
        <v>61.141387772684233</v>
      </c>
      <c r="L61">
        <f t="shared" si="10"/>
        <v>0.99793573520695811</v>
      </c>
      <c r="M61">
        <f t="shared" si="14"/>
        <v>0</v>
      </c>
      <c r="N61">
        <f t="shared" si="15"/>
        <v>1.8626138367802947E-3</v>
      </c>
      <c r="O61">
        <f t="shared" si="16"/>
        <v>0</v>
      </c>
      <c r="P61">
        <f t="shared" si="17"/>
        <v>1.9277927328687901E-4</v>
      </c>
      <c r="Q61">
        <f t="shared" si="18"/>
        <v>8.8716829746449279E-6</v>
      </c>
      <c r="R61">
        <f t="shared" si="11"/>
        <v>0</v>
      </c>
      <c r="S61">
        <f t="shared" si="12"/>
        <v>0.33921817976598068</v>
      </c>
      <c r="T61">
        <f t="shared" si="13"/>
        <v>0.66078182023401932</v>
      </c>
    </row>
    <row r="62" spans="1:20" hidden="1" x14ac:dyDescent="0.25">
      <c r="A62" t="s">
        <v>135</v>
      </c>
      <c r="B62">
        <v>22519.574366022131</v>
      </c>
      <c r="C62">
        <v>217.96425088710751</v>
      </c>
      <c r="D62">
        <v>0</v>
      </c>
      <c r="E62">
        <v>1.3038389772667389</v>
      </c>
      <c r="F62">
        <v>0</v>
      </c>
      <c r="G62">
        <v>3.267468577750212E-2</v>
      </c>
      <c r="H62">
        <v>0</v>
      </c>
      <c r="I62">
        <v>0</v>
      </c>
      <c r="J62">
        <v>20.226797819271599</v>
      </c>
      <c r="K62">
        <v>38.45014923669752</v>
      </c>
      <c r="L62">
        <f t="shared" si="10"/>
        <v>0.99390556769929284</v>
      </c>
      <c r="M62">
        <f t="shared" si="14"/>
        <v>0</v>
      </c>
      <c r="N62">
        <f t="shared" si="15"/>
        <v>5.9454374449687108E-3</v>
      </c>
      <c r="O62">
        <f t="shared" si="16"/>
        <v>0</v>
      </c>
      <c r="P62">
        <f t="shared" si="17"/>
        <v>1.4899485573854334E-4</v>
      </c>
      <c r="Q62">
        <f t="shared" si="18"/>
        <v>0</v>
      </c>
      <c r="R62">
        <f t="shared" si="11"/>
        <v>0</v>
      </c>
      <c r="S62">
        <f t="shared" si="12"/>
        <v>0.34471455714930477</v>
      </c>
      <c r="T62">
        <f t="shared" si="13"/>
        <v>0.65528544285069512</v>
      </c>
    </row>
    <row r="63" spans="1:20" x14ac:dyDescent="0.25">
      <c r="A63" t="s">
        <v>109</v>
      </c>
      <c r="B63">
        <v>15853.96203319802</v>
      </c>
      <c r="C63">
        <v>162.77092787273591</v>
      </c>
      <c r="D63">
        <v>0</v>
      </c>
      <c r="E63">
        <v>30.666267975690069</v>
      </c>
      <c r="F63">
        <v>3.6080039739757271E-2</v>
      </c>
      <c r="G63">
        <v>0.1676423195612097</v>
      </c>
      <c r="H63">
        <v>1.245705224681519E-3</v>
      </c>
      <c r="I63">
        <v>1.7983633902777631E-3</v>
      </c>
      <c r="J63">
        <v>8.6062146244405613E-2</v>
      </c>
      <c r="K63">
        <v>0.35067842912352298</v>
      </c>
      <c r="L63">
        <f t="shared" si="10"/>
        <v>0.84056805055688633</v>
      </c>
      <c r="M63">
        <f t="shared" si="14"/>
        <v>0</v>
      </c>
      <c r="N63">
        <f t="shared" si="15"/>
        <v>0.15836418350047712</v>
      </c>
      <c r="O63">
        <f t="shared" si="16"/>
        <v>1.8632153213364241E-4</v>
      </c>
      <c r="P63">
        <f t="shared" si="17"/>
        <v>8.6572448523839743E-4</v>
      </c>
      <c r="Q63">
        <f t="shared" si="18"/>
        <v>6.4329670289632936E-6</v>
      </c>
      <c r="R63">
        <f t="shared" si="11"/>
        <v>9.2869582358131453E-6</v>
      </c>
      <c r="S63">
        <f t="shared" si="12"/>
        <v>0.1970555315862357</v>
      </c>
      <c r="T63">
        <f t="shared" si="13"/>
        <v>0.80294446841376432</v>
      </c>
    </row>
    <row r="64" spans="1:20" hidden="1" x14ac:dyDescent="0.25">
      <c r="A64" t="s">
        <v>92</v>
      </c>
      <c r="B64">
        <v>6313.2011097215418</v>
      </c>
      <c r="C64">
        <v>697.55953472049964</v>
      </c>
      <c r="D64">
        <v>0</v>
      </c>
      <c r="E64">
        <v>114.55950480138181</v>
      </c>
      <c r="F64">
        <v>9.4326734641544133E-2</v>
      </c>
      <c r="G64">
        <v>0</v>
      </c>
      <c r="H64">
        <v>1.2963641639368511</v>
      </c>
      <c r="I64">
        <v>8.3212254936042493E-3</v>
      </c>
      <c r="J64">
        <v>5.0437113017299691</v>
      </c>
      <c r="K64">
        <v>68.520842800478107</v>
      </c>
      <c r="L64">
        <f t="shared" si="10"/>
        <v>0.85746042550519896</v>
      </c>
      <c r="M64">
        <f t="shared" si="14"/>
        <v>0</v>
      </c>
      <c r="N64">
        <f t="shared" si="15"/>
        <v>0.14081986818804926</v>
      </c>
      <c r="O64">
        <f t="shared" si="16"/>
        <v>1.1594915988735249E-4</v>
      </c>
      <c r="P64">
        <f t="shared" si="17"/>
        <v>0</v>
      </c>
      <c r="Q64">
        <f t="shared" si="18"/>
        <v>1.5935284549789368E-3</v>
      </c>
      <c r="R64">
        <f t="shared" si="11"/>
        <v>1.0228691885531365E-5</v>
      </c>
      <c r="S64">
        <f t="shared" si="12"/>
        <v>6.8561705610590787E-2</v>
      </c>
      <c r="T64">
        <f t="shared" si="13"/>
        <v>0.93143829438940917</v>
      </c>
    </row>
    <row r="65" spans="1:20" hidden="1" x14ac:dyDescent="0.25">
      <c r="A65" t="s">
        <v>128</v>
      </c>
      <c r="B65">
        <v>14119.95213515897</v>
      </c>
      <c r="C65">
        <v>206.62665661366589</v>
      </c>
      <c r="D65">
        <v>0</v>
      </c>
      <c r="E65">
        <v>0.67346744251720736</v>
      </c>
      <c r="F65">
        <v>6.4514312027761809E-4</v>
      </c>
      <c r="G65">
        <v>0.62713990608940695</v>
      </c>
      <c r="H65">
        <v>0</v>
      </c>
      <c r="I65">
        <v>0</v>
      </c>
      <c r="J65">
        <v>0.21553335453671779</v>
      </c>
      <c r="K65">
        <v>9.8252122640809745</v>
      </c>
      <c r="L65">
        <f t="shared" si="10"/>
        <v>0.99374180937361645</v>
      </c>
      <c r="M65">
        <f t="shared" si="14"/>
        <v>0</v>
      </c>
      <c r="N65">
        <f t="shared" si="15"/>
        <v>3.2389468321727109E-3</v>
      </c>
      <c r="O65">
        <f t="shared" si="16"/>
        <v>3.1027249927791716E-6</v>
      </c>
      <c r="P65">
        <f t="shared" si="17"/>
        <v>3.0161410692180215E-3</v>
      </c>
      <c r="Q65">
        <f t="shared" si="18"/>
        <v>0</v>
      </c>
      <c r="R65">
        <f t="shared" si="11"/>
        <v>0</v>
      </c>
      <c r="S65">
        <f t="shared" si="12"/>
        <v>2.1465871432602857E-2</v>
      </c>
      <c r="T65">
        <f t="shared" si="13"/>
        <v>0.97853412856739719</v>
      </c>
    </row>
    <row r="66" spans="1:20" x14ac:dyDescent="0.25">
      <c r="A66" t="s">
        <v>125</v>
      </c>
      <c r="B66">
        <v>21466.147579956469</v>
      </c>
      <c r="C66">
        <v>60.01669771431169</v>
      </c>
      <c r="D66">
        <v>0</v>
      </c>
      <c r="E66">
        <v>0.16975654698488959</v>
      </c>
      <c r="F66">
        <v>2.6168060450035661E-3</v>
      </c>
      <c r="G66">
        <v>0.34109170049209941</v>
      </c>
      <c r="H66">
        <v>0.28780679449377078</v>
      </c>
      <c r="I66">
        <v>0</v>
      </c>
      <c r="J66">
        <v>6.8823518349750618E-2</v>
      </c>
      <c r="K66">
        <v>0.1034721362050178</v>
      </c>
      <c r="L66">
        <f t="shared" ref="L66:L78" si="19">C66/SUM($C66:$I66)</f>
        <v>0.98682508058420781</v>
      </c>
      <c r="M66">
        <f t="shared" si="14"/>
        <v>0</v>
      </c>
      <c r="N66">
        <f t="shared" si="15"/>
        <v>2.7912235184194981E-3</v>
      </c>
      <c r="O66">
        <f t="shared" si="16"/>
        <v>4.3026856434623514E-5</v>
      </c>
      <c r="P66">
        <f t="shared" si="17"/>
        <v>5.6084032884810781E-3</v>
      </c>
      <c r="Q66">
        <f t="shared" si="18"/>
        <v>4.7322657524569399E-3</v>
      </c>
      <c r="R66">
        <f t="shared" ref="R66:R78" si="20">I66/SUM($C66:$I66)</f>
        <v>0</v>
      </c>
      <c r="S66">
        <f t="shared" ref="S66:S78" si="21">J66/($J66+$K66)</f>
        <v>0.39945011107563</v>
      </c>
      <c r="T66">
        <f t="shared" ref="T66:T78" si="22">K66/($J66+$K66)</f>
        <v>0.60054988892437</v>
      </c>
    </row>
    <row r="67" spans="1:20" hidden="1" x14ac:dyDescent="0.25">
      <c r="A67" t="s">
        <v>140</v>
      </c>
      <c r="B67">
        <v>19403.888664424201</v>
      </c>
      <c r="C67">
        <v>1545.2234186505791</v>
      </c>
      <c r="D67">
        <v>0</v>
      </c>
      <c r="E67">
        <v>2.316750746750516E-2</v>
      </c>
      <c r="F67">
        <v>1.2724903411242499E-2</v>
      </c>
      <c r="G67">
        <v>1.381306813224223</v>
      </c>
      <c r="H67">
        <v>0.26767683563306749</v>
      </c>
      <c r="I67">
        <v>0</v>
      </c>
      <c r="J67">
        <v>8.4008268283088974</v>
      </c>
      <c r="K67">
        <v>34.871991152107789</v>
      </c>
      <c r="L67">
        <f t="shared" si="19"/>
        <v>0.99891081063725795</v>
      </c>
      <c r="M67">
        <f t="shared" ref="M67:M78" si="23">D67/SUM($C67:$I67)</f>
        <v>0</v>
      </c>
      <c r="N67">
        <f t="shared" ref="N67:N78" si="24">E67/SUM($C67:$I67)</f>
        <v>1.4976652169186068E-5</v>
      </c>
      <c r="O67">
        <f t="shared" ref="O67:O78" si="25">F67/SUM($C67:$I67)</f>
        <v>8.2260231293319531E-6</v>
      </c>
      <c r="P67">
        <f t="shared" ref="P67:P78" si="26">G67/SUM($C67:$I67)</f>
        <v>8.9294680101440426E-4</v>
      </c>
      <c r="Q67">
        <f t="shared" ref="Q67:Q78" si="27">H67/SUM($C67:$I67)</f>
        <v>1.7303988642920461E-4</v>
      </c>
      <c r="R67">
        <f t="shared" si="20"/>
        <v>0</v>
      </c>
      <c r="S67">
        <f t="shared" si="21"/>
        <v>0.19413634748979672</v>
      </c>
      <c r="T67">
        <f t="shared" si="22"/>
        <v>0.8058636525102032</v>
      </c>
    </row>
    <row r="68" spans="1:20" hidden="1" x14ac:dyDescent="0.25">
      <c r="A68" t="s">
        <v>100</v>
      </c>
      <c r="B68">
        <v>8033.7996285452773</v>
      </c>
      <c r="C68">
        <v>229.16928019026531</v>
      </c>
      <c r="D68">
        <v>0</v>
      </c>
      <c r="E68">
        <v>1.06289706772757</v>
      </c>
      <c r="F68">
        <v>2.0154902330799229E-4</v>
      </c>
      <c r="G68">
        <v>1.9591679844631891</v>
      </c>
      <c r="H68">
        <v>2.1732004415486239</v>
      </c>
      <c r="I68">
        <v>1.166519512253554E-3</v>
      </c>
      <c r="J68">
        <v>12.265677840706619</v>
      </c>
      <c r="K68">
        <v>6.7527816175194877</v>
      </c>
      <c r="L68">
        <f t="shared" si="19"/>
        <v>0.97782683719202479</v>
      </c>
      <c r="M68">
        <f t="shared" si="23"/>
        <v>0</v>
      </c>
      <c r="N68">
        <f t="shared" si="24"/>
        <v>4.5352033096837203E-3</v>
      </c>
      <c r="O68">
        <f t="shared" si="25"/>
        <v>8.5997583898143859E-7</v>
      </c>
      <c r="P68">
        <f t="shared" si="26"/>
        <v>8.3594408124204201E-3</v>
      </c>
      <c r="Q68">
        <f t="shared" si="27"/>
        <v>9.2726813671515362E-3</v>
      </c>
      <c r="R68">
        <f t="shared" si="20"/>
        <v>4.977342880523343E-6</v>
      </c>
      <c r="S68">
        <f t="shared" si="21"/>
        <v>0.64493540434481988</v>
      </c>
      <c r="T68">
        <f t="shared" si="22"/>
        <v>0.35506459565518006</v>
      </c>
    </row>
    <row r="69" spans="1:20" x14ac:dyDescent="0.25">
      <c r="A69" t="s">
        <v>95</v>
      </c>
      <c r="B69">
        <v>9994.5499615667923</v>
      </c>
      <c r="C69">
        <v>38.308033338015512</v>
      </c>
      <c r="D69">
        <v>0</v>
      </c>
      <c r="E69">
        <v>0.33238646135290317</v>
      </c>
      <c r="F69">
        <v>0</v>
      </c>
      <c r="G69">
        <v>4.7170246751983169E-2</v>
      </c>
      <c r="H69">
        <v>0.24359629898868981</v>
      </c>
      <c r="I69">
        <v>0</v>
      </c>
      <c r="J69">
        <v>0.1056182086502843</v>
      </c>
      <c r="K69">
        <v>0.17460020354401801</v>
      </c>
      <c r="L69">
        <f t="shared" si="19"/>
        <v>0.9839934750107644</v>
      </c>
      <c r="M69">
        <f t="shared" si="23"/>
        <v>0</v>
      </c>
      <c r="N69">
        <f t="shared" si="24"/>
        <v>8.5377943124165991E-3</v>
      </c>
      <c r="O69">
        <f t="shared" si="25"/>
        <v>0</v>
      </c>
      <c r="P69">
        <f t="shared" si="26"/>
        <v>1.2116313726953545E-3</v>
      </c>
      <c r="Q69">
        <f t="shared" si="27"/>
        <v>6.2570993041236389E-3</v>
      </c>
      <c r="R69">
        <f t="shared" si="20"/>
        <v>0</v>
      </c>
      <c r="S69">
        <f t="shared" si="21"/>
        <v>0.3769138787962622</v>
      </c>
      <c r="T69">
        <f t="shared" si="22"/>
        <v>0.62308612120373774</v>
      </c>
    </row>
    <row r="70" spans="1:20" hidden="1" x14ac:dyDescent="0.25">
      <c r="A70" t="s">
        <v>143</v>
      </c>
      <c r="B70">
        <v>9330.8849054874718</v>
      </c>
      <c r="C70">
        <v>147.94601412108841</v>
      </c>
      <c r="D70">
        <v>0</v>
      </c>
      <c r="E70">
        <v>7.1127808375290744</v>
      </c>
      <c r="F70">
        <v>0</v>
      </c>
      <c r="G70">
        <v>0.72548130578476189</v>
      </c>
      <c r="H70">
        <v>0.22066665019876691</v>
      </c>
      <c r="I70">
        <v>2.952621171556335E-3</v>
      </c>
      <c r="J70">
        <v>6.8525323506814244</v>
      </c>
      <c r="K70">
        <v>43.966757637810858</v>
      </c>
      <c r="L70">
        <f t="shared" si="19"/>
        <v>0.94832388843527748</v>
      </c>
      <c r="M70">
        <f t="shared" si="23"/>
        <v>0</v>
      </c>
      <c r="N70">
        <f t="shared" si="24"/>
        <v>4.5592441415236676E-2</v>
      </c>
      <c r="O70">
        <f t="shared" si="25"/>
        <v>0</v>
      </c>
      <c r="P70">
        <f t="shared" si="26"/>
        <v>4.650285828760565E-3</v>
      </c>
      <c r="Q70">
        <f t="shared" si="27"/>
        <v>1.4144582198288042E-3</v>
      </c>
      <c r="R70">
        <f t="shared" si="20"/>
        <v>1.8926100896472253E-5</v>
      </c>
      <c r="S70">
        <f t="shared" si="21"/>
        <v>0.13484116665606974</v>
      </c>
      <c r="T70">
        <f t="shared" si="22"/>
        <v>0.86515883334393029</v>
      </c>
    </row>
    <row r="71" spans="1:20" hidden="1" x14ac:dyDescent="0.25">
      <c r="A71" t="s">
        <v>150</v>
      </c>
      <c r="B71">
        <v>42702.525904684662</v>
      </c>
      <c r="C71">
        <v>2180.661511006163</v>
      </c>
      <c r="D71">
        <v>0</v>
      </c>
      <c r="E71">
        <v>0</v>
      </c>
      <c r="F71">
        <v>0.18165617215072391</v>
      </c>
      <c r="G71">
        <v>1.0835342165622101E-2</v>
      </c>
      <c r="H71">
        <v>0</v>
      </c>
      <c r="I71">
        <v>2.2269302706726921E-2</v>
      </c>
      <c r="J71">
        <v>3.8616539310283229</v>
      </c>
      <c r="K71">
        <v>8.9694127931706742</v>
      </c>
      <c r="L71">
        <f t="shared" si="19"/>
        <v>0.99990152544653832</v>
      </c>
      <c r="M71">
        <f t="shared" si="23"/>
        <v>0</v>
      </c>
      <c r="N71">
        <f t="shared" si="24"/>
        <v>0</v>
      </c>
      <c r="O71">
        <f t="shared" si="25"/>
        <v>8.3295038099003005E-5</v>
      </c>
      <c r="P71">
        <f t="shared" si="26"/>
        <v>4.9683433698711789E-6</v>
      </c>
      <c r="Q71">
        <f t="shared" si="27"/>
        <v>0</v>
      </c>
      <c r="R71">
        <f t="shared" si="20"/>
        <v>1.0211171992856824E-5</v>
      </c>
      <c r="S71">
        <f t="shared" si="21"/>
        <v>0.30096125396537471</v>
      </c>
      <c r="T71">
        <f t="shared" si="22"/>
        <v>0.69903874603462524</v>
      </c>
    </row>
    <row r="72" spans="1:20" x14ac:dyDescent="0.25">
      <c r="A72" t="s">
        <v>151</v>
      </c>
      <c r="B72">
        <v>53129.184166744817</v>
      </c>
      <c r="C72">
        <v>1803.6838398843261</v>
      </c>
      <c r="D72">
        <v>0.36731380961490262</v>
      </c>
      <c r="E72">
        <v>216.3907341604997</v>
      </c>
      <c r="F72">
        <v>0.13089268363334011</v>
      </c>
      <c r="G72">
        <v>0.70405554429102202</v>
      </c>
      <c r="H72">
        <v>0.10188905479469421</v>
      </c>
      <c r="I72">
        <v>1.8630195452641761E-3</v>
      </c>
      <c r="J72">
        <v>0.33480554784668543</v>
      </c>
      <c r="K72">
        <v>0.19749265434509139</v>
      </c>
      <c r="L72">
        <f t="shared" si="19"/>
        <v>0.89230293911603431</v>
      </c>
      <c r="M72">
        <f t="shared" si="23"/>
        <v>1.8171432523246686E-4</v>
      </c>
      <c r="N72">
        <f t="shared" si="24"/>
        <v>0.10705096082763227</v>
      </c>
      <c r="O72">
        <f t="shared" si="25"/>
        <v>6.4754101429608077E-5</v>
      </c>
      <c r="P72">
        <f t="shared" si="26"/>
        <v>3.4830429678413483E-4</v>
      </c>
      <c r="Q72">
        <f t="shared" si="27"/>
        <v>5.0405675898771111E-5</v>
      </c>
      <c r="R72">
        <f t="shared" si="20"/>
        <v>9.2165698838686371E-7</v>
      </c>
      <c r="S72">
        <f t="shared" si="21"/>
        <v>0.62898117346273019</v>
      </c>
      <c r="T72">
        <f t="shared" si="22"/>
        <v>0.37101882653726975</v>
      </c>
    </row>
    <row r="73" spans="1:20" hidden="1" x14ac:dyDescent="0.25">
      <c r="A73" t="s">
        <v>146</v>
      </c>
      <c r="B73">
        <v>9297.3326132160164</v>
      </c>
      <c r="C73">
        <v>576.56201149565743</v>
      </c>
      <c r="D73">
        <v>0</v>
      </c>
      <c r="E73">
        <v>1.6900312689420851E-2</v>
      </c>
      <c r="F73">
        <v>0</v>
      </c>
      <c r="G73">
        <v>2.8500349882156929E-2</v>
      </c>
      <c r="H73">
        <v>6.9529552472438472E-3</v>
      </c>
      <c r="I73">
        <v>0</v>
      </c>
      <c r="J73">
        <v>25.514686776478779</v>
      </c>
      <c r="K73">
        <v>21.676261927617471</v>
      </c>
      <c r="L73">
        <f t="shared" si="19"/>
        <v>0.99990920514474424</v>
      </c>
      <c r="M73">
        <f t="shared" si="23"/>
        <v>0</v>
      </c>
      <c r="N73">
        <f t="shared" si="24"/>
        <v>2.9309558887064686E-5</v>
      </c>
      <c r="O73">
        <f t="shared" si="25"/>
        <v>0</v>
      </c>
      <c r="P73">
        <f t="shared" si="26"/>
        <v>4.9427054902713235E-5</v>
      </c>
      <c r="Q73">
        <f t="shared" si="27"/>
        <v>1.2058241465898134E-5</v>
      </c>
      <c r="R73">
        <f t="shared" si="20"/>
        <v>0</v>
      </c>
      <c r="S73">
        <f t="shared" si="21"/>
        <v>0.54066907907414163</v>
      </c>
      <c r="T73">
        <f t="shared" si="22"/>
        <v>0.45933092092585831</v>
      </c>
    </row>
    <row r="74" spans="1:20" hidden="1" x14ac:dyDescent="0.25">
      <c r="A74" t="s">
        <v>83</v>
      </c>
      <c r="B74">
        <v>2641.734459797955</v>
      </c>
      <c r="C74">
        <v>82.066180499010727</v>
      </c>
      <c r="D74">
        <v>0</v>
      </c>
      <c r="E74">
        <v>4.5564575355987536E-3</v>
      </c>
      <c r="F74">
        <v>8.4061890002265006E-4</v>
      </c>
      <c r="G74">
        <v>3.962290168898118E-2</v>
      </c>
      <c r="H74">
        <v>0.93344490164872429</v>
      </c>
      <c r="I74">
        <v>7.4888461737353728E-3</v>
      </c>
      <c r="J74">
        <v>65.850307980107516</v>
      </c>
      <c r="K74">
        <v>484.24544648090551</v>
      </c>
      <c r="L74">
        <f t="shared" si="19"/>
        <v>0.98812849621327636</v>
      </c>
      <c r="M74">
        <f t="shared" si="23"/>
        <v>0</v>
      </c>
      <c r="N74">
        <f t="shared" si="24"/>
        <v>5.486261825923678E-5</v>
      </c>
      <c r="O74">
        <f t="shared" si="25"/>
        <v>1.0121580954749717E-5</v>
      </c>
      <c r="P74">
        <f t="shared" si="26"/>
        <v>4.7708468974026915E-4</v>
      </c>
      <c r="Q74">
        <f t="shared" si="27"/>
        <v>1.1239264473569868E-2</v>
      </c>
      <c r="R74">
        <f t="shared" si="20"/>
        <v>9.017042419946528E-5</v>
      </c>
      <c r="S74">
        <f t="shared" si="21"/>
        <v>0.11970699182113853</v>
      </c>
      <c r="T74">
        <f t="shared" si="22"/>
        <v>0.88029300817886147</v>
      </c>
    </row>
    <row r="75" spans="1:20" x14ac:dyDescent="0.25">
      <c r="A75" t="s">
        <v>80</v>
      </c>
      <c r="B75">
        <v>3394.532603624647</v>
      </c>
      <c r="C75">
        <v>26.69183219916113</v>
      </c>
      <c r="D75">
        <v>0</v>
      </c>
      <c r="E75">
        <v>7.121133615439279E-2</v>
      </c>
      <c r="F75">
        <v>3.1157579540878639E-4</v>
      </c>
      <c r="G75">
        <v>0.2499717825625046</v>
      </c>
      <c r="H75">
        <v>7.7991208899538714E-2</v>
      </c>
      <c r="I75">
        <v>1.414036976689486E-3</v>
      </c>
      <c r="J75">
        <v>1.388239828240514</v>
      </c>
      <c r="K75">
        <v>11.06576262364746</v>
      </c>
      <c r="L75">
        <f t="shared" si="19"/>
        <v>0.98520267582008447</v>
      </c>
      <c r="M75">
        <f t="shared" si="23"/>
        <v>0</v>
      </c>
      <c r="N75">
        <f t="shared" si="24"/>
        <v>2.628429491259735E-3</v>
      </c>
      <c r="O75">
        <f t="shared" si="25"/>
        <v>1.1500346063435646E-5</v>
      </c>
      <c r="P75">
        <f t="shared" si="26"/>
        <v>9.2265254487788849E-3</v>
      </c>
      <c r="Q75">
        <f t="shared" si="27"/>
        <v>2.8786764102572008E-3</v>
      </c>
      <c r="R75">
        <f t="shared" si="20"/>
        <v>5.2192483556329518E-5</v>
      </c>
      <c r="S75">
        <f t="shared" si="21"/>
        <v>0.11146937168219866</v>
      </c>
      <c r="T75">
        <f t="shared" si="22"/>
        <v>0.88853062831780139</v>
      </c>
    </row>
    <row r="76" spans="1:20" hidden="1" x14ac:dyDescent="0.25">
      <c r="A76" t="s">
        <v>149</v>
      </c>
      <c r="B76">
        <v>18656.29543171874</v>
      </c>
      <c r="C76">
        <v>266.64335432797759</v>
      </c>
      <c r="D76">
        <v>0</v>
      </c>
      <c r="E76">
        <v>0.84322398950209698</v>
      </c>
      <c r="F76">
        <v>3.2619491652811838E-3</v>
      </c>
      <c r="G76">
        <v>0.96823160658150631</v>
      </c>
      <c r="H76">
        <v>0.27011370354986802</v>
      </c>
      <c r="I76">
        <v>0</v>
      </c>
      <c r="J76">
        <v>0.28435687288646838</v>
      </c>
      <c r="K76">
        <v>9.9286844002859915</v>
      </c>
      <c r="L76">
        <f t="shared" si="19"/>
        <v>0.99224185864864112</v>
      </c>
      <c r="M76">
        <f t="shared" si="23"/>
        <v>0</v>
      </c>
      <c r="N76">
        <f t="shared" si="24"/>
        <v>3.1378323330404265E-3</v>
      </c>
      <c r="O76">
        <f t="shared" si="25"/>
        <v>1.2138470545171883E-5</v>
      </c>
      <c r="P76">
        <f t="shared" si="26"/>
        <v>3.6030147135603673E-3</v>
      </c>
      <c r="Q76">
        <f t="shared" si="27"/>
        <v>1.0051558342126185E-3</v>
      </c>
      <c r="R76">
        <f t="shared" si="20"/>
        <v>0</v>
      </c>
      <c r="S76">
        <f t="shared" si="21"/>
        <v>2.7842526558020959E-2</v>
      </c>
      <c r="T76">
        <f t="shared" si="22"/>
        <v>0.97215747344197911</v>
      </c>
    </row>
    <row r="77" spans="1:20" hidden="1" x14ac:dyDescent="0.25">
      <c r="A77" t="s">
        <v>144</v>
      </c>
      <c r="B77">
        <v>33182.204031909663</v>
      </c>
      <c r="C77">
        <v>2259.7920298852518</v>
      </c>
      <c r="D77">
        <v>1.63800168111216E-4</v>
      </c>
      <c r="E77">
        <v>2.514729068102556</v>
      </c>
      <c r="F77">
        <v>9.3087841000633678E-3</v>
      </c>
      <c r="G77">
        <v>0.9521362535903668</v>
      </c>
      <c r="H77">
        <v>2.3777153747011841</v>
      </c>
      <c r="I77">
        <v>6.7291565563059588E-3</v>
      </c>
      <c r="J77">
        <v>34.227748349268509</v>
      </c>
      <c r="K77">
        <v>5.5256680368355324</v>
      </c>
      <c r="L77">
        <f t="shared" si="19"/>
        <v>0.99741320364473207</v>
      </c>
      <c r="M77">
        <f t="shared" si="23"/>
        <v>7.229711773151514E-8</v>
      </c>
      <c r="N77">
        <f t="shared" si="24"/>
        <v>1.1099357564519179E-3</v>
      </c>
      <c r="O77">
        <f t="shared" si="25"/>
        <v>4.108654269283713E-6</v>
      </c>
      <c r="P77">
        <f t="shared" si="26"/>
        <v>4.2024808408943872E-4</v>
      </c>
      <c r="Q77">
        <f t="shared" si="27"/>
        <v>1.049461489319646E-3</v>
      </c>
      <c r="R77">
        <f t="shared" si="20"/>
        <v>2.9700740200384235E-6</v>
      </c>
      <c r="S77">
        <f t="shared" si="21"/>
        <v>0.86100142983517136</v>
      </c>
      <c r="T77">
        <f t="shared" si="22"/>
        <v>0.13899857016482867</v>
      </c>
    </row>
    <row r="78" spans="1:20" x14ac:dyDescent="0.25">
      <c r="A78" t="s">
        <v>145</v>
      </c>
      <c r="B78">
        <v>40848.104684907797</v>
      </c>
      <c r="C78">
        <v>728.8513932668526</v>
      </c>
      <c r="D78">
        <v>0</v>
      </c>
      <c r="E78">
        <v>2.4274896172275282</v>
      </c>
      <c r="F78">
        <v>4.9405712155500933E-4</v>
      </c>
      <c r="G78">
        <v>0.78458029582934485</v>
      </c>
      <c r="H78">
        <v>1.3664624654709341</v>
      </c>
      <c r="I78">
        <v>9.4944310226166638E-4</v>
      </c>
      <c r="J78">
        <v>0.74680506055053153</v>
      </c>
      <c r="K78">
        <v>8.2217843267288426E-2</v>
      </c>
      <c r="L78">
        <f t="shared" si="19"/>
        <v>0.99375541315598914</v>
      </c>
      <c r="M78">
        <f t="shared" si="23"/>
        <v>0</v>
      </c>
      <c r="N78">
        <f t="shared" si="24"/>
        <v>3.309770647055065E-3</v>
      </c>
      <c r="O78">
        <f t="shared" si="25"/>
        <v>6.7362420308058419E-7</v>
      </c>
      <c r="P78">
        <f t="shared" si="26"/>
        <v>1.0697392132863442E-3</v>
      </c>
      <c r="Q78">
        <f t="shared" si="27"/>
        <v>1.8631088373855167E-3</v>
      </c>
      <c r="R78">
        <f t="shared" si="20"/>
        <v>1.2945220810062988E-6</v>
      </c>
      <c r="S78">
        <f t="shared" si="21"/>
        <v>0.9008256070023416</v>
      </c>
      <c r="T78">
        <f t="shared" si="22"/>
        <v>9.9174392997658387E-2</v>
      </c>
    </row>
    <row r="79" spans="1:20" hidden="1" x14ac:dyDescent="0.25">
      <c r="A79" t="s">
        <v>152</v>
      </c>
      <c r="B79">
        <v>49923.685627894141</v>
      </c>
      <c r="C79">
        <v>3984.345350890489</v>
      </c>
      <c r="D79">
        <v>0.32931003127969671</v>
      </c>
      <c r="E79">
        <v>202.13940184274259</v>
      </c>
      <c r="F79">
        <v>0.31254885578406388</v>
      </c>
      <c r="G79">
        <v>0.71489088645664411</v>
      </c>
      <c r="H79">
        <v>8.3586553308386907E-2</v>
      </c>
      <c r="I79">
        <v>2.4132322251991099E-2</v>
      </c>
      <c r="J79">
        <v>4.1964594788750089</v>
      </c>
      <c r="K79">
        <v>9.1669054475157647</v>
      </c>
      <c r="L79">
        <f t="shared" ref="L79" si="28">C79/SUM($C79:$I79)</f>
        <v>0.95138339561227536</v>
      </c>
      <c r="M79">
        <f t="shared" ref="M79" si="29">D79/SUM($C79:$I79)</f>
        <v>7.8632766032201717E-5</v>
      </c>
      <c r="N79">
        <f t="shared" ref="N79" si="30">E79/SUM($C79:$I79)</f>
        <v>4.8266918044441484E-2</v>
      </c>
      <c r="O79">
        <f t="shared" ref="O79" si="31">F79/SUM($C79:$I79)</f>
        <v>7.463052660435582E-5</v>
      </c>
      <c r="P79">
        <f t="shared" ref="P79" si="32">G79/SUM($C79:$I79)</f>
        <v>1.7070189934649703E-4</v>
      </c>
      <c r="Q79">
        <f t="shared" ref="Q79" si="33">H79/SUM($C79:$I79)</f>
        <v>1.9958826836204468E-5</v>
      </c>
      <c r="R79">
        <f t="shared" ref="R79" si="34">I79/SUM($C79:$I79)</f>
        <v>5.7623244639116626E-6</v>
      </c>
      <c r="S79">
        <f t="shared" ref="S79" si="35">J79/($J79+$K79)</f>
        <v>0.31402715573437567</v>
      </c>
      <c r="T79">
        <f t="shared" ref="T79" si="36">K79/($J79+$K79)</f>
        <v>0.68597284426562444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A6CBE-92FE-4F77-A6A8-BE16DBBD1304}">
  <dimension ref="A1:V79"/>
  <sheetViews>
    <sheetView showGridLines="0" topLeftCell="K1" workbookViewId="0">
      <selection activeCell="U3" sqref="U3:V78"/>
    </sheetView>
  </sheetViews>
  <sheetFormatPr defaultRowHeight="15" x14ac:dyDescent="0.25"/>
  <cols>
    <col min="1" max="1" width="13.42578125" customWidth="1"/>
    <col min="2" max="2" width="20" customWidth="1"/>
    <col min="3" max="3" width="16.7109375" customWidth="1"/>
    <col min="4" max="4" width="14.7109375" customWidth="1"/>
    <col min="5" max="5" width="17.85546875" customWidth="1"/>
    <col min="6" max="6" width="15.28515625" customWidth="1"/>
    <col min="7" max="7" width="15.5703125" customWidth="1"/>
    <col min="8" max="8" width="21.7109375" customWidth="1"/>
    <col min="9" max="9" width="15" customWidth="1"/>
    <col min="10" max="10" width="14.85546875" customWidth="1"/>
    <col min="11" max="11" width="30.42578125" customWidth="1"/>
    <col min="12" max="12" width="29.5703125" customWidth="1"/>
    <col min="13" max="13" width="17.85546875" customWidth="1"/>
    <col min="14" max="14" width="15.7109375" customWidth="1"/>
    <col min="15" max="15" width="19" customWidth="1"/>
    <col min="16" max="16" width="16.28515625" customWidth="1"/>
    <col min="17" max="17" width="16.5703125" customWidth="1"/>
    <col min="18" max="18" width="22.7109375" customWidth="1"/>
    <col min="19" max="19" width="16.140625" customWidth="1"/>
    <col min="20" max="20" width="15.85546875" customWidth="1"/>
    <col min="21" max="21" width="32.42578125" customWidth="1"/>
    <col min="22" max="22" width="31.7109375" customWidth="1"/>
  </cols>
  <sheetData>
    <row r="1" spans="1:22" x14ac:dyDescent="0.25">
      <c r="A1" s="1" t="s">
        <v>0</v>
      </c>
      <c r="B1" s="1" t="s">
        <v>1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74</v>
      </c>
      <c r="K1" s="1" t="s">
        <v>72</v>
      </c>
      <c r="L1" s="1" t="s">
        <v>73</v>
      </c>
      <c r="M1" s="1" t="s">
        <v>187</v>
      </c>
      <c r="N1" s="1" t="s">
        <v>188</v>
      </c>
      <c r="O1" s="1" t="s">
        <v>189</v>
      </c>
      <c r="P1" s="1" t="s">
        <v>190</v>
      </c>
      <c r="Q1" s="1" t="s">
        <v>191</v>
      </c>
      <c r="R1" s="1" t="s">
        <v>192</v>
      </c>
      <c r="S1" s="1" t="s">
        <v>193</v>
      </c>
      <c r="T1" s="1" t="s">
        <v>194</v>
      </c>
      <c r="U1" s="1" t="s">
        <v>195</v>
      </c>
      <c r="V1" s="1" t="s">
        <v>196</v>
      </c>
    </row>
    <row r="2" spans="1:22" hidden="1" x14ac:dyDescent="0.25">
      <c r="A2" t="s">
        <v>75</v>
      </c>
      <c r="B2">
        <v>3626.6186625782998</v>
      </c>
      <c r="C2">
        <v>386.57058001876908</v>
      </c>
      <c r="D2">
        <v>0</v>
      </c>
      <c r="E2">
        <v>6.56067258813263</v>
      </c>
      <c r="F2">
        <v>5.3037842549529778E-2</v>
      </c>
      <c r="G2">
        <v>67.364670330498171</v>
      </c>
      <c r="H2">
        <v>0.71231880087539445</v>
      </c>
      <c r="I2">
        <v>0.62980702117625831</v>
      </c>
      <c r="J2">
        <v>1.7626389619971531E-4</v>
      </c>
      <c r="K2">
        <v>116.62363827950171</v>
      </c>
      <c r="L2">
        <v>597.3260801866785</v>
      </c>
      <c r="M2">
        <f t="shared" ref="M2:M33" si="0">C2/SUM($C2:$J2)</f>
        <v>0.83692983846504077</v>
      </c>
      <c r="N2">
        <f t="shared" ref="N2:Q2" si="1">D2/SUM($C2:$J2)</f>
        <v>0</v>
      </c>
      <c r="O2">
        <f t="shared" si="1"/>
        <v>1.4203933080322017E-2</v>
      </c>
      <c r="P2">
        <f t="shared" si="1"/>
        <v>1.1482755101372953E-4</v>
      </c>
      <c r="Q2">
        <f t="shared" si="1"/>
        <v>0.14584530114841429</v>
      </c>
      <c r="R2">
        <f t="shared" ref="R2:R33" si="2">H2/SUM($C2:$J2)</f>
        <v>1.5421785561728731E-3</v>
      </c>
      <c r="S2">
        <f t="shared" ref="S2" si="3">I2/SUM($C2:$J2)</f>
        <v>1.3635395856342767E-3</v>
      </c>
      <c r="T2">
        <f t="shared" ref="T2:T33" si="4">J2/SUM($C2:$J2)</f>
        <v>3.8161340205062662E-7</v>
      </c>
      <c r="U2">
        <f t="shared" ref="U2:U33" si="5">K2/($K2+$L2)</f>
        <v>0.16334993244349344</v>
      </c>
      <c r="V2">
        <f t="shared" ref="V2:V33" si="6">L2/($K2+$L2)</f>
        <v>0.8366500675565065</v>
      </c>
    </row>
    <row r="3" spans="1:22" x14ac:dyDescent="0.25">
      <c r="A3" t="s">
        <v>118</v>
      </c>
      <c r="B3">
        <v>16147.6051454102</v>
      </c>
      <c r="C3">
        <v>288.01252479416269</v>
      </c>
      <c r="D3">
        <v>0</v>
      </c>
      <c r="E3">
        <v>0.50558352211986246</v>
      </c>
      <c r="F3">
        <v>8.8555029014335881E-4</v>
      </c>
      <c r="G3">
        <v>52.906313822498653</v>
      </c>
      <c r="H3">
        <v>3.8340188176199939</v>
      </c>
      <c r="I3">
        <v>6.32759172225356</v>
      </c>
      <c r="J3">
        <v>2.109188792565535E-3</v>
      </c>
      <c r="K3">
        <v>6.0970689137227918</v>
      </c>
      <c r="L3">
        <v>82.470569218482936</v>
      </c>
      <c r="M3">
        <f t="shared" si="0"/>
        <v>0.81917381469349171</v>
      </c>
      <c r="N3">
        <f t="shared" ref="N3:N34" si="7">D3/SUM($C3:$J3)</f>
        <v>0</v>
      </c>
      <c r="O3">
        <f t="shared" ref="O3:O34" si="8">E3/SUM($C3:$J3)</f>
        <v>1.4379957356267484E-3</v>
      </c>
      <c r="P3">
        <f t="shared" ref="P3:P34" si="9">F3/SUM($C3:$J3)</f>
        <v>2.5187085519912991E-6</v>
      </c>
      <c r="Q3">
        <f t="shared" ref="Q3:Q34" si="10">G3/SUM($C3:$J3)</f>
        <v>0.15047771601711127</v>
      </c>
      <c r="R3">
        <f t="shared" si="2"/>
        <v>1.0904830693321488E-2</v>
      </c>
      <c r="S3">
        <f t="shared" ref="S3:S34" si="11">I3/SUM($C3:$J3)</f>
        <v>1.7997125134213834E-2</v>
      </c>
      <c r="T3">
        <f t="shared" si="4"/>
        <v>5.9990176828229637E-6</v>
      </c>
      <c r="U3">
        <f t="shared" si="5"/>
        <v>6.8840820894666296E-2</v>
      </c>
      <c r="V3">
        <f t="shared" si="6"/>
        <v>0.93115917910533363</v>
      </c>
    </row>
    <row r="4" spans="1:22" hidden="1" x14ac:dyDescent="0.25">
      <c r="A4" t="s">
        <v>111</v>
      </c>
      <c r="B4">
        <v>10790.9096823325</v>
      </c>
      <c r="C4">
        <v>148.6123574182933</v>
      </c>
      <c r="D4">
        <v>0</v>
      </c>
      <c r="E4">
        <v>1.289712524934862</v>
      </c>
      <c r="F4">
        <v>2.2813950548920959E-3</v>
      </c>
      <c r="G4">
        <v>85.578461138943211</v>
      </c>
      <c r="H4">
        <v>9.2285351532093607</v>
      </c>
      <c r="I4">
        <v>17.889339456626161</v>
      </c>
      <c r="J4">
        <v>0.1189494823117213</v>
      </c>
      <c r="K4">
        <v>365.94063226466221</v>
      </c>
      <c r="L4">
        <v>2547.675124106413</v>
      </c>
      <c r="M4">
        <f t="shared" si="0"/>
        <v>0.56566901263602676</v>
      </c>
      <c r="N4">
        <f t="shared" si="7"/>
        <v>0</v>
      </c>
      <c r="O4">
        <f t="shared" si="8"/>
        <v>4.9090830886343046E-3</v>
      </c>
      <c r="P4">
        <f t="shared" si="9"/>
        <v>8.6837629827859207E-6</v>
      </c>
      <c r="Q4">
        <f t="shared" si="10"/>
        <v>0.32574063460363167</v>
      </c>
      <c r="R4">
        <f t="shared" si="2"/>
        <v>3.5126933310797581E-2</v>
      </c>
      <c r="S4">
        <f t="shared" si="11"/>
        <v>6.8092890543803408E-2</v>
      </c>
      <c r="T4">
        <f t="shared" si="4"/>
        <v>4.527620541234709E-4</v>
      </c>
      <c r="U4">
        <f t="shared" si="5"/>
        <v>0.12559673713477007</v>
      </c>
      <c r="V4">
        <f t="shared" si="6"/>
        <v>0.87440326286522985</v>
      </c>
    </row>
    <row r="5" spans="1:22" hidden="1" x14ac:dyDescent="0.25">
      <c r="A5" t="s">
        <v>147</v>
      </c>
      <c r="B5">
        <v>34742.352483479037</v>
      </c>
      <c r="C5">
        <v>93.973102589131656</v>
      </c>
      <c r="D5">
        <v>0</v>
      </c>
      <c r="E5">
        <v>0</v>
      </c>
      <c r="F5">
        <v>6.9257996654749979E-3</v>
      </c>
      <c r="G5">
        <v>186.83265144686419</v>
      </c>
      <c r="H5">
        <v>0</v>
      </c>
      <c r="I5">
        <v>0.52120448259997953</v>
      </c>
      <c r="J5">
        <v>5.1369391197598091E-2</v>
      </c>
      <c r="K5">
        <v>89.163497933318979</v>
      </c>
      <c r="L5">
        <v>514.55810442910513</v>
      </c>
      <c r="M5">
        <f t="shared" si="0"/>
        <v>0.33396598204880518</v>
      </c>
      <c r="N5">
        <f t="shared" si="7"/>
        <v>0</v>
      </c>
      <c r="O5">
        <f t="shared" si="8"/>
        <v>0</v>
      </c>
      <c r="P5">
        <f t="shared" si="9"/>
        <v>2.4613228924306574E-5</v>
      </c>
      <c r="Q5">
        <f t="shared" si="10"/>
        <v>0.66397456506294417</v>
      </c>
      <c r="R5">
        <f t="shared" si="2"/>
        <v>0</v>
      </c>
      <c r="S5">
        <f t="shared" si="11"/>
        <v>1.8522807280375224E-3</v>
      </c>
      <c r="T5">
        <f t="shared" si="4"/>
        <v>1.8255893128869843E-4</v>
      </c>
      <c r="U5">
        <f t="shared" si="5"/>
        <v>0.14768975896243089</v>
      </c>
      <c r="V5">
        <f t="shared" si="6"/>
        <v>0.85231024103756903</v>
      </c>
    </row>
    <row r="6" spans="1:22" hidden="1" x14ac:dyDescent="0.25">
      <c r="A6" t="s">
        <v>79</v>
      </c>
      <c r="B6">
        <v>22528.75337972062</v>
      </c>
      <c r="C6">
        <v>1141.370267799701</v>
      </c>
      <c r="D6">
        <v>7.9846015484119973E-3</v>
      </c>
      <c r="E6">
        <v>3.7483334268529358</v>
      </c>
      <c r="F6">
        <v>1.367288176851991E-2</v>
      </c>
      <c r="G6">
        <v>14.177857934264519</v>
      </c>
      <c r="H6">
        <v>1.189874160429562</v>
      </c>
      <c r="I6">
        <v>5.8948533330267328</v>
      </c>
      <c r="J6">
        <v>2.666817833169122E-2</v>
      </c>
      <c r="K6">
        <v>58.197970322222858</v>
      </c>
      <c r="L6">
        <v>75.667567828943803</v>
      </c>
      <c r="M6">
        <f t="shared" si="0"/>
        <v>0.97851628045104266</v>
      </c>
      <c r="N6">
        <f t="shared" si="7"/>
        <v>6.8453356710417281E-6</v>
      </c>
      <c r="O6">
        <f t="shared" si="8"/>
        <v>3.2135104498605253E-3</v>
      </c>
      <c r="P6">
        <f t="shared" si="9"/>
        <v>1.1721995734978161E-5</v>
      </c>
      <c r="Q6">
        <f t="shared" si="10"/>
        <v>1.2154920451313561E-2</v>
      </c>
      <c r="R6">
        <f t="shared" si="2"/>
        <v>1.0200994983975411E-3</v>
      </c>
      <c r="S6">
        <f t="shared" si="11"/>
        <v>5.0537587319122394E-3</v>
      </c>
      <c r="T6">
        <f t="shared" si="4"/>
        <v>2.2863086067448742E-5</v>
      </c>
      <c r="U6">
        <f t="shared" si="5"/>
        <v>0.43474945924098274</v>
      </c>
      <c r="V6">
        <f t="shared" si="6"/>
        <v>0.56525054075901715</v>
      </c>
    </row>
    <row r="7" spans="1:22" x14ac:dyDescent="0.25">
      <c r="A7" t="s">
        <v>148</v>
      </c>
      <c r="B7">
        <v>43252.206084732803</v>
      </c>
      <c r="C7">
        <v>164.4907538969403</v>
      </c>
      <c r="D7">
        <v>0</v>
      </c>
      <c r="E7">
        <v>2.2787048987138219</v>
      </c>
      <c r="F7">
        <v>2.886689223728776E-3</v>
      </c>
      <c r="G7">
        <v>30.758346942441559</v>
      </c>
      <c r="H7">
        <v>5.449738269585927E-2</v>
      </c>
      <c r="I7">
        <v>6.0039209522922696E-3</v>
      </c>
      <c r="J7">
        <v>5.0524199153236136E-3</v>
      </c>
      <c r="K7">
        <v>1.5734079115119739</v>
      </c>
      <c r="L7">
        <v>6.9654215209640347</v>
      </c>
      <c r="M7">
        <f t="shared" si="0"/>
        <v>0.83245890092130859</v>
      </c>
      <c r="N7">
        <f t="shared" si="7"/>
        <v>0</v>
      </c>
      <c r="O7">
        <f t="shared" si="8"/>
        <v>1.1532126460407662E-2</v>
      </c>
      <c r="P7">
        <f t="shared" si="9"/>
        <v>1.460902866304719E-5</v>
      </c>
      <c r="Q7">
        <f t="shared" si="10"/>
        <v>0.15566260767400783</v>
      </c>
      <c r="R7">
        <f t="shared" si="2"/>
        <v>2.7580171059649337E-4</v>
      </c>
      <c r="S7">
        <f t="shared" si="11"/>
        <v>3.0384792571958705E-5</v>
      </c>
      <c r="T7">
        <f t="shared" si="4"/>
        <v>2.5569412444534128E-5</v>
      </c>
      <c r="U7">
        <f t="shared" si="5"/>
        <v>0.18426505927472683</v>
      </c>
      <c r="V7">
        <f t="shared" si="6"/>
        <v>0.81573494072527319</v>
      </c>
    </row>
    <row r="8" spans="1:22" x14ac:dyDescent="0.25">
      <c r="A8" t="s">
        <v>99</v>
      </c>
      <c r="B8">
        <v>10905.17892109573</v>
      </c>
      <c r="C8">
        <v>41.418208471040693</v>
      </c>
      <c r="D8">
        <v>0</v>
      </c>
      <c r="E8">
        <v>4.9637220223913134</v>
      </c>
      <c r="F8">
        <v>5.1569470980992549E-4</v>
      </c>
      <c r="G8">
        <v>5.564719955565181</v>
      </c>
      <c r="H8">
        <v>2.337367347760646</v>
      </c>
      <c r="I8">
        <v>0.30812945750438908</v>
      </c>
      <c r="J8">
        <v>7.805487738781271E-4</v>
      </c>
      <c r="K8">
        <v>6.6715418521964081</v>
      </c>
      <c r="L8">
        <v>7.7902963442347799</v>
      </c>
      <c r="M8">
        <f t="shared" si="0"/>
        <v>0.75866634924303311</v>
      </c>
      <c r="N8">
        <f t="shared" si="7"/>
        <v>0</v>
      </c>
      <c r="O8">
        <f t="shared" si="8"/>
        <v>9.0921577837387357E-2</v>
      </c>
      <c r="P8">
        <f t="shared" si="9"/>
        <v>9.4460923651247216E-6</v>
      </c>
      <c r="Q8">
        <f t="shared" si="10"/>
        <v>0.10193018793172372</v>
      </c>
      <c r="R8">
        <f t="shared" si="2"/>
        <v>4.2814067001601626E-2</v>
      </c>
      <c r="S8">
        <f t="shared" si="11"/>
        <v>5.6440744119229504E-3</v>
      </c>
      <c r="T8">
        <f t="shared" si="4"/>
        <v>1.4297481966133074E-5</v>
      </c>
      <c r="U8">
        <f t="shared" si="5"/>
        <v>0.46132046020558948</v>
      </c>
      <c r="V8">
        <f t="shared" si="6"/>
        <v>0.53867953979441052</v>
      </c>
    </row>
    <row r="9" spans="1:22" hidden="1" x14ac:dyDescent="0.25">
      <c r="A9" t="s">
        <v>82</v>
      </c>
      <c r="B9">
        <v>14578.073876580789</v>
      </c>
      <c r="C9">
        <v>299.64298680379147</v>
      </c>
      <c r="D9">
        <v>1.055175430246792E-2</v>
      </c>
      <c r="E9">
        <v>41.928153001376792</v>
      </c>
      <c r="F9">
        <v>3.1694922954393953E-2</v>
      </c>
      <c r="G9">
        <v>70.591391722117521</v>
      </c>
      <c r="H9">
        <v>4.4520324794286079</v>
      </c>
      <c r="I9">
        <v>7.5062335251213588</v>
      </c>
      <c r="J9">
        <v>4.6104797215462581E-2</v>
      </c>
      <c r="K9">
        <v>273.54123632883119</v>
      </c>
      <c r="L9">
        <v>1500.378950331856</v>
      </c>
      <c r="M9">
        <f t="shared" si="0"/>
        <v>0.70635672876384792</v>
      </c>
      <c r="N9">
        <f t="shared" si="7"/>
        <v>2.4873943259321393E-5</v>
      </c>
      <c r="O9">
        <f t="shared" si="8"/>
        <v>9.8838398699301305E-2</v>
      </c>
      <c r="P9">
        <f t="shared" si="9"/>
        <v>7.4715321507416724E-5</v>
      </c>
      <c r="Q9">
        <f t="shared" si="10"/>
        <v>0.16640704682460258</v>
      </c>
      <c r="R9">
        <f t="shared" si="2"/>
        <v>1.0494899720709243E-2</v>
      </c>
      <c r="S9">
        <f t="shared" si="11"/>
        <v>1.7694652608753001E-2</v>
      </c>
      <c r="T9">
        <f t="shared" si="4"/>
        <v>1.0868411801928627E-4</v>
      </c>
      <c r="U9">
        <f t="shared" si="5"/>
        <v>0.15420154660044677</v>
      </c>
      <c r="V9">
        <f t="shared" si="6"/>
        <v>0.84579845339955317</v>
      </c>
    </row>
    <row r="10" spans="1:22" hidden="1" x14ac:dyDescent="0.25">
      <c r="A10" t="s">
        <v>94</v>
      </c>
      <c r="B10">
        <v>7445.7497357088878</v>
      </c>
      <c r="C10">
        <v>89.834940711534472</v>
      </c>
      <c r="D10">
        <v>0</v>
      </c>
      <c r="E10">
        <v>1.255135909751496</v>
      </c>
      <c r="F10">
        <v>2.3758970849163002E-3</v>
      </c>
      <c r="G10">
        <v>14.949290552160051</v>
      </c>
      <c r="H10">
        <v>1.829399007405758</v>
      </c>
      <c r="I10">
        <v>0.6466873995682304</v>
      </c>
      <c r="J10">
        <v>8.8436560115778546E-4</v>
      </c>
      <c r="K10">
        <v>80.614833295062311</v>
      </c>
      <c r="L10">
        <v>162.96297846443599</v>
      </c>
      <c r="M10">
        <f t="shared" si="0"/>
        <v>0.82782902165073402</v>
      </c>
      <c r="N10">
        <f t="shared" si="7"/>
        <v>0</v>
      </c>
      <c r="O10">
        <f t="shared" si="8"/>
        <v>1.156607800905329E-2</v>
      </c>
      <c r="P10">
        <f t="shared" si="9"/>
        <v>2.1893892774580048E-5</v>
      </c>
      <c r="Q10">
        <f t="shared" si="10"/>
        <v>0.13775771959270913</v>
      </c>
      <c r="R10">
        <f t="shared" si="2"/>
        <v>1.6857912728772864E-2</v>
      </c>
      <c r="S10">
        <f t="shared" si="11"/>
        <v>5.9592246965182102E-3</v>
      </c>
      <c r="T10">
        <f t="shared" si="4"/>
        <v>8.1494294379159469E-6</v>
      </c>
      <c r="U10">
        <f t="shared" si="5"/>
        <v>0.33096131668453888</v>
      </c>
      <c r="V10">
        <f t="shared" si="6"/>
        <v>0.66903868331546112</v>
      </c>
    </row>
    <row r="11" spans="1:22" hidden="1" x14ac:dyDescent="0.25">
      <c r="A11" t="s">
        <v>97</v>
      </c>
      <c r="B11">
        <v>7572.2333109786059</v>
      </c>
      <c r="C11">
        <v>284.99154990597651</v>
      </c>
      <c r="D11">
        <v>0</v>
      </c>
      <c r="E11">
        <v>0.46940695538570332</v>
      </c>
      <c r="F11">
        <v>2.7437451206221422E-3</v>
      </c>
      <c r="G11">
        <v>25.62394200696972</v>
      </c>
      <c r="H11">
        <v>0</v>
      </c>
      <c r="I11">
        <v>0</v>
      </c>
      <c r="J11">
        <v>0</v>
      </c>
      <c r="K11">
        <v>218.0579197029991</v>
      </c>
      <c r="L11">
        <v>155.6599557988703</v>
      </c>
      <c r="M11">
        <f t="shared" si="0"/>
        <v>0.91611337406962767</v>
      </c>
      <c r="N11">
        <f t="shared" si="7"/>
        <v>0</v>
      </c>
      <c r="O11">
        <f t="shared" si="8"/>
        <v>1.5089218955861041E-3</v>
      </c>
      <c r="P11">
        <f t="shared" si="9"/>
        <v>8.8198460651535141E-6</v>
      </c>
      <c r="Q11">
        <f t="shared" si="10"/>
        <v>8.236888418872107E-2</v>
      </c>
      <c r="R11">
        <f t="shared" si="2"/>
        <v>0</v>
      </c>
      <c r="S11">
        <f t="shared" si="11"/>
        <v>0</v>
      </c>
      <c r="T11">
        <f t="shared" si="4"/>
        <v>0</v>
      </c>
      <c r="U11">
        <f t="shared" si="5"/>
        <v>0.58348271248777428</v>
      </c>
      <c r="V11">
        <f t="shared" si="6"/>
        <v>0.41651728751222566</v>
      </c>
    </row>
    <row r="12" spans="1:22" x14ac:dyDescent="0.25">
      <c r="A12" t="s">
        <v>107</v>
      </c>
      <c r="B12">
        <v>13203.51181056138</v>
      </c>
      <c r="C12">
        <v>46.166136796240338</v>
      </c>
      <c r="D12">
        <v>0</v>
      </c>
      <c r="E12">
        <v>4.421739607828052E-2</v>
      </c>
      <c r="F12">
        <v>0</v>
      </c>
      <c r="G12">
        <v>0.93901990257036305</v>
      </c>
      <c r="H12">
        <v>0</v>
      </c>
      <c r="I12">
        <v>0</v>
      </c>
      <c r="J12">
        <v>0</v>
      </c>
      <c r="K12">
        <v>0.7436944990011447</v>
      </c>
      <c r="L12">
        <v>1.462779298122173</v>
      </c>
      <c r="M12">
        <f t="shared" si="0"/>
        <v>0.97914633401771434</v>
      </c>
      <c r="N12">
        <f t="shared" si="7"/>
        <v>0</v>
      </c>
      <c r="O12">
        <f t="shared" si="8"/>
        <v>9.3781512325682623E-4</v>
      </c>
      <c r="P12">
        <f t="shared" si="9"/>
        <v>0</v>
      </c>
      <c r="Q12">
        <f t="shared" si="10"/>
        <v>1.9915850859028757E-2</v>
      </c>
      <c r="R12">
        <f t="shared" si="2"/>
        <v>0</v>
      </c>
      <c r="S12">
        <f t="shared" si="11"/>
        <v>0</v>
      </c>
      <c r="T12">
        <f t="shared" si="4"/>
        <v>0</v>
      </c>
      <c r="U12">
        <f t="shared" si="5"/>
        <v>0.33705113560411815</v>
      </c>
      <c r="V12">
        <f t="shared" si="6"/>
        <v>0.66294886439588196</v>
      </c>
    </row>
    <row r="13" spans="1:22" hidden="1" x14ac:dyDescent="0.25">
      <c r="A13" t="s">
        <v>86</v>
      </c>
      <c r="B13">
        <v>23668.89966630729</v>
      </c>
      <c r="C13">
        <v>1799.622471247126</v>
      </c>
      <c r="D13">
        <v>0</v>
      </c>
      <c r="E13">
        <v>36.133894072221153</v>
      </c>
      <c r="F13">
        <v>6.7080029572433392E-2</v>
      </c>
      <c r="G13">
        <v>76.868515711390557</v>
      </c>
      <c r="H13">
        <v>5.3490820673579194</v>
      </c>
      <c r="I13">
        <v>11.793903717025589</v>
      </c>
      <c r="J13">
        <v>9.8481869844979988E-2</v>
      </c>
      <c r="K13">
        <v>587.23033979787203</v>
      </c>
      <c r="L13">
        <v>486.43456812610651</v>
      </c>
      <c r="M13">
        <f t="shared" si="0"/>
        <v>0.9324790401945583</v>
      </c>
      <c r="N13">
        <f t="shared" si="7"/>
        <v>0</v>
      </c>
      <c r="O13">
        <f t="shared" si="8"/>
        <v>1.8722870713881918E-2</v>
      </c>
      <c r="P13">
        <f t="shared" si="9"/>
        <v>3.4757690899790808E-5</v>
      </c>
      <c r="Q13">
        <f t="shared" si="10"/>
        <v>3.9829620321458439E-2</v>
      </c>
      <c r="R13">
        <f t="shared" si="2"/>
        <v>2.7716407145301153E-3</v>
      </c>
      <c r="S13">
        <f t="shared" si="11"/>
        <v>6.1110417289787543E-3</v>
      </c>
      <c r="T13">
        <f t="shared" si="4"/>
        <v>5.1028635692670148E-5</v>
      </c>
      <c r="U13">
        <f t="shared" si="5"/>
        <v>0.54694005128036771</v>
      </c>
      <c r="V13">
        <f t="shared" si="6"/>
        <v>0.4530599487196324</v>
      </c>
    </row>
    <row r="14" spans="1:22" hidden="1" x14ac:dyDescent="0.25">
      <c r="A14" t="s">
        <v>87</v>
      </c>
      <c r="B14">
        <v>28339.340053158608</v>
      </c>
      <c r="C14">
        <v>410.77180817838342</v>
      </c>
      <c r="D14">
        <v>0</v>
      </c>
      <c r="E14">
        <v>0.58018791398994463</v>
      </c>
      <c r="F14">
        <v>1.760953993393917E-3</v>
      </c>
      <c r="G14">
        <v>151.0660332099865</v>
      </c>
      <c r="H14">
        <v>2.8443154600818529E-2</v>
      </c>
      <c r="I14">
        <v>1.3271238226335511E-2</v>
      </c>
      <c r="J14">
        <v>1.466693006792584E-2</v>
      </c>
      <c r="K14">
        <v>50.402179926202777</v>
      </c>
      <c r="L14">
        <v>410.0836553495206</v>
      </c>
      <c r="M14">
        <f t="shared" si="0"/>
        <v>0.73029192867863368</v>
      </c>
      <c r="N14">
        <f t="shared" si="7"/>
        <v>0</v>
      </c>
      <c r="O14">
        <f t="shared" si="8"/>
        <v>1.0314888759837904E-3</v>
      </c>
      <c r="P14">
        <f t="shared" si="9"/>
        <v>3.1307174994626638E-6</v>
      </c>
      <c r="Q14">
        <f t="shared" si="10"/>
        <v>0.26857321401872486</v>
      </c>
      <c r="R14">
        <f t="shared" si="2"/>
        <v>5.0567750311910081E-5</v>
      </c>
      <c r="S14">
        <f t="shared" si="11"/>
        <v>2.359431189604749E-5</v>
      </c>
      <c r="T14">
        <f t="shared" si="4"/>
        <v>2.6075646950067086E-5</v>
      </c>
      <c r="U14">
        <f t="shared" si="5"/>
        <v>0.10945435465137304</v>
      </c>
      <c r="V14">
        <f t="shared" si="6"/>
        <v>0.8905456453486269</v>
      </c>
    </row>
    <row r="15" spans="1:22" hidden="1" x14ac:dyDescent="0.25">
      <c r="A15" t="s">
        <v>137</v>
      </c>
      <c r="B15">
        <v>19178.337422847078</v>
      </c>
      <c r="C15">
        <v>931.74840373287714</v>
      </c>
      <c r="D15">
        <v>7.9846015484119973E-3</v>
      </c>
      <c r="E15">
        <v>3.2257548203599469</v>
      </c>
      <c r="F15">
        <v>1.344741798053397E-2</v>
      </c>
      <c r="G15">
        <v>13.389000941321809</v>
      </c>
      <c r="H15">
        <v>0.86991887482377939</v>
      </c>
      <c r="I15">
        <v>4.3147727757366212</v>
      </c>
      <c r="J15">
        <v>2.3380363655116591E-2</v>
      </c>
      <c r="K15">
        <v>57.043518856048138</v>
      </c>
      <c r="L15">
        <v>74.906536603845169</v>
      </c>
      <c r="M15">
        <f t="shared" si="0"/>
        <v>0.97709267213256223</v>
      </c>
      <c r="N15">
        <f t="shared" si="7"/>
        <v>8.3731784584718644E-6</v>
      </c>
      <c r="O15">
        <f t="shared" si="8"/>
        <v>3.3827387140591236E-3</v>
      </c>
      <c r="P15">
        <f t="shared" si="9"/>
        <v>1.410184714590649E-5</v>
      </c>
      <c r="Q15">
        <f t="shared" si="10"/>
        <v>1.4040587195566669E-2</v>
      </c>
      <c r="R15">
        <f t="shared" si="2"/>
        <v>9.1225416060256807E-4</v>
      </c>
      <c r="S15">
        <f t="shared" si="11"/>
        <v>4.5247545841763451E-3</v>
      </c>
      <c r="T15">
        <f t="shared" si="4"/>
        <v>2.4518187428801088E-5</v>
      </c>
      <c r="U15">
        <f t="shared" si="5"/>
        <v>0.4323114428200201</v>
      </c>
      <c r="V15">
        <f t="shared" si="6"/>
        <v>0.56768855717998001</v>
      </c>
    </row>
    <row r="16" spans="1:22" x14ac:dyDescent="0.25">
      <c r="A16" t="s">
        <v>136</v>
      </c>
      <c r="B16">
        <v>26826.379427587261</v>
      </c>
      <c r="C16">
        <v>209.62186406682349</v>
      </c>
      <c r="D16">
        <v>0</v>
      </c>
      <c r="E16">
        <v>0.52257860649298937</v>
      </c>
      <c r="F16">
        <v>2.2546378798594141E-4</v>
      </c>
      <c r="G16">
        <v>0.78885699294270795</v>
      </c>
      <c r="H16">
        <v>0.31995528560578279</v>
      </c>
      <c r="I16">
        <v>1.58008055729011</v>
      </c>
      <c r="J16">
        <v>3.2878146765746379E-3</v>
      </c>
      <c r="K16">
        <v>1.1544514661747141</v>
      </c>
      <c r="L16">
        <v>0.7610312250986343</v>
      </c>
      <c r="M16">
        <f t="shared" si="0"/>
        <v>0.984894604768349</v>
      </c>
      <c r="N16">
        <f t="shared" si="7"/>
        <v>0</v>
      </c>
      <c r="O16">
        <f t="shared" si="8"/>
        <v>2.4553013703677187E-3</v>
      </c>
      <c r="P16">
        <f t="shared" si="9"/>
        <v>1.0593268471613281E-6</v>
      </c>
      <c r="Q16">
        <f t="shared" si="10"/>
        <v>3.7063929363560211E-3</v>
      </c>
      <c r="R16">
        <f t="shared" si="2"/>
        <v>1.5032889625473259E-3</v>
      </c>
      <c r="S16">
        <f t="shared" si="11"/>
        <v>7.4239050535220138E-3</v>
      </c>
      <c r="T16">
        <f t="shared" si="4"/>
        <v>1.5447582010835921E-5</v>
      </c>
      <c r="U16">
        <f t="shared" si="5"/>
        <v>0.6026948045180579</v>
      </c>
      <c r="V16">
        <f t="shared" si="6"/>
        <v>0.39730519548194215</v>
      </c>
    </row>
    <row r="17" spans="1:22" x14ac:dyDescent="0.25">
      <c r="A17" t="s">
        <v>115</v>
      </c>
      <c r="B17">
        <v>16016.226284857339</v>
      </c>
      <c r="C17">
        <v>1752.2913862414141</v>
      </c>
      <c r="D17">
        <v>0</v>
      </c>
      <c r="E17">
        <v>71.955099971046252</v>
      </c>
      <c r="F17">
        <v>5.6272466908882858E-2</v>
      </c>
      <c r="G17">
        <v>66.209154202004925</v>
      </c>
      <c r="H17">
        <v>3.2509471713433671</v>
      </c>
      <c r="I17">
        <v>0.54232386932713772</v>
      </c>
      <c r="J17">
        <v>0</v>
      </c>
      <c r="K17">
        <v>0.3011666273048394</v>
      </c>
      <c r="L17">
        <v>5.9046287867461924</v>
      </c>
      <c r="M17">
        <f t="shared" si="0"/>
        <v>0.925031194083205</v>
      </c>
      <c r="N17">
        <f t="shared" si="7"/>
        <v>0</v>
      </c>
      <c r="O17">
        <f t="shared" si="8"/>
        <v>3.7984956479962514E-2</v>
      </c>
      <c r="P17">
        <f t="shared" si="9"/>
        <v>2.9706125172700055E-5</v>
      </c>
      <c r="Q17">
        <f t="shared" si="10"/>
        <v>3.495168295159435E-2</v>
      </c>
      <c r="R17">
        <f t="shared" si="2"/>
        <v>1.7161686506144047E-3</v>
      </c>
      <c r="S17">
        <f t="shared" si="11"/>
        <v>2.8629170945110804E-4</v>
      </c>
      <c r="T17">
        <f t="shared" si="4"/>
        <v>0</v>
      </c>
      <c r="U17">
        <f t="shared" si="5"/>
        <v>4.8529899426420706E-2</v>
      </c>
      <c r="V17">
        <f t="shared" si="6"/>
        <v>0.95147010057357928</v>
      </c>
    </row>
    <row r="18" spans="1:22" hidden="1" x14ac:dyDescent="0.25">
      <c r="A18" t="s">
        <v>91</v>
      </c>
      <c r="B18">
        <v>37955.941978508054</v>
      </c>
      <c r="C18">
        <v>4088.722163427271</v>
      </c>
      <c r="D18">
        <v>1.7190281138325079E-2</v>
      </c>
      <c r="E18">
        <v>22.65488173340044</v>
      </c>
      <c r="F18">
        <v>3.1397354000191217E-2</v>
      </c>
      <c r="G18">
        <v>153.07379760528701</v>
      </c>
      <c r="H18">
        <v>12.66620940487962</v>
      </c>
      <c r="I18">
        <v>15.69514168533486</v>
      </c>
      <c r="J18">
        <v>6.24494336659999E-2</v>
      </c>
      <c r="K18">
        <v>175.45828642339421</v>
      </c>
      <c r="L18">
        <v>131.58145022054961</v>
      </c>
      <c r="M18">
        <f t="shared" si="0"/>
        <v>0.95243309593176484</v>
      </c>
      <c r="N18">
        <f t="shared" si="7"/>
        <v>4.0043299666975795E-6</v>
      </c>
      <c r="O18">
        <f t="shared" si="8"/>
        <v>5.2772622557517978E-3</v>
      </c>
      <c r="P18">
        <f t="shared" si="9"/>
        <v>7.3137469065399908E-6</v>
      </c>
      <c r="Q18">
        <f t="shared" si="10"/>
        <v>3.5657240852244372E-2</v>
      </c>
      <c r="R18">
        <f t="shared" si="2"/>
        <v>2.950485886548334E-3</v>
      </c>
      <c r="S18">
        <f t="shared" si="11"/>
        <v>3.656049931727546E-3</v>
      </c>
      <c r="T18">
        <f t="shared" si="4"/>
        <v>1.4547065089851186E-5</v>
      </c>
      <c r="U18">
        <f t="shared" si="5"/>
        <v>0.57145139694691383</v>
      </c>
      <c r="V18">
        <f t="shared" si="6"/>
        <v>0.42854860305308623</v>
      </c>
    </row>
    <row r="19" spans="1:22" hidden="1" x14ac:dyDescent="0.25">
      <c r="A19" t="s">
        <v>121</v>
      </c>
      <c r="B19">
        <v>11915.494142950891</v>
      </c>
      <c r="C19">
        <v>2977.927090349403</v>
      </c>
      <c r="D19">
        <v>0</v>
      </c>
      <c r="E19">
        <v>277.69616797408418</v>
      </c>
      <c r="F19">
        <v>1.4959468957533849E-2</v>
      </c>
      <c r="G19">
        <v>620.17915870021818</v>
      </c>
      <c r="H19">
        <v>3.9332929499402209</v>
      </c>
      <c r="I19">
        <v>8.8229604805206403</v>
      </c>
      <c r="J19">
        <v>6.6274546900334556E-4</v>
      </c>
      <c r="K19">
        <v>237.38084338146939</v>
      </c>
      <c r="L19">
        <v>1387.978585635339</v>
      </c>
      <c r="M19">
        <f t="shared" si="0"/>
        <v>0.76581463184692189</v>
      </c>
      <c r="N19">
        <f t="shared" si="7"/>
        <v>0</v>
      </c>
      <c r="O19">
        <f t="shared" si="8"/>
        <v>7.1413363118108517E-2</v>
      </c>
      <c r="P19">
        <f t="shared" si="9"/>
        <v>3.8470317992221484E-6</v>
      </c>
      <c r="Q19">
        <f t="shared" si="10"/>
        <v>0.15948754274014679</v>
      </c>
      <c r="R19">
        <f t="shared" si="2"/>
        <v>1.011500013605485E-3</v>
      </c>
      <c r="S19">
        <f t="shared" si="11"/>
        <v>2.2689448153672153E-3</v>
      </c>
      <c r="T19">
        <f t="shared" si="4"/>
        <v>1.7043405092011924E-7</v>
      </c>
      <c r="U19">
        <f t="shared" si="5"/>
        <v>0.14604821502469933</v>
      </c>
      <c r="V19">
        <f t="shared" si="6"/>
        <v>0.85395178497530055</v>
      </c>
    </row>
    <row r="20" spans="1:22" hidden="1" x14ac:dyDescent="0.25">
      <c r="A20" t="s">
        <v>93</v>
      </c>
      <c r="B20">
        <v>10262.470825353759</v>
      </c>
      <c r="C20">
        <v>779.1694371080938</v>
      </c>
      <c r="D20">
        <v>6.6903451190556407E-2</v>
      </c>
      <c r="E20">
        <v>202.7089617327662</v>
      </c>
      <c r="F20">
        <v>0.14590475868067121</v>
      </c>
      <c r="G20">
        <v>223.9202043953884</v>
      </c>
      <c r="H20">
        <v>1.6582440271441889</v>
      </c>
      <c r="I20">
        <v>2.1852270698226639</v>
      </c>
      <c r="J20">
        <v>6.8962181562489067E-2</v>
      </c>
      <c r="K20">
        <v>27.984449910451641</v>
      </c>
      <c r="L20">
        <v>481.33695378022622</v>
      </c>
      <c r="M20">
        <f t="shared" si="0"/>
        <v>0.64398221467022565</v>
      </c>
      <c r="N20">
        <f t="shared" si="7"/>
        <v>5.5295588629201776E-5</v>
      </c>
      <c r="O20">
        <f t="shared" si="8"/>
        <v>0.16753861213380591</v>
      </c>
      <c r="P20">
        <f t="shared" si="9"/>
        <v>1.2059003491568991E-4</v>
      </c>
      <c r="Q20">
        <f t="shared" si="10"/>
        <v>0.1850696681214242</v>
      </c>
      <c r="R20">
        <f t="shared" si="2"/>
        <v>1.3705358683310908E-3</v>
      </c>
      <c r="S20">
        <f t="shared" si="11"/>
        <v>1.8060864568876824E-3</v>
      </c>
      <c r="T20">
        <f t="shared" si="4"/>
        <v>5.6997125780410809E-5</v>
      </c>
      <c r="U20">
        <f t="shared" si="5"/>
        <v>5.4944578624948608E-2</v>
      </c>
      <c r="V20">
        <f t="shared" si="6"/>
        <v>0.94505542137505139</v>
      </c>
    </row>
    <row r="21" spans="1:22" hidden="1" x14ac:dyDescent="0.25">
      <c r="A21" t="s">
        <v>77</v>
      </c>
      <c r="B21">
        <v>1855.1152679937879</v>
      </c>
      <c r="C21">
        <v>20.60279704248909</v>
      </c>
      <c r="D21">
        <v>0</v>
      </c>
      <c r="E21">
        <v>0.12054197937844011</v>
      </c>
      <c r="F21">
        <v>4.5085625003744552E-4</v>
      </c>
      <c r="G21">
        <v>7.0163272752568444</v>
      </c>
      <c r="H21">
        <v>1.5364849978707709E-3</v>
      </c>
      <c r="I21">
        <v>0</v>
      </c>
      <c r="J21">
        <v>1.423777381695022E-2</v>
      </c>
      <c r="K21">
        <v>69.227769301430229</v>
      </c>
      <c r="L21">
        <v>742.17809505967796</v>
      </c>
      <c r="M21">
        <f t="shared" si="0"/>
        <v>0.74228554711239414</v>
      </c>
      <c r="N21">
        <f t="shared" si="7"/>
        <v>0</v>
      </c>
      <c r="O21">
        <f t="shared" si="8"/>
        <v>4.3429330943953424E-3</v>
      </c>
      <c r="P21">
        <f t="shared" si="9"/>
        <v>1.624362350111545E-5</v>
      </c>
      <c r="Q21">
        <f t="shared" si="10"/>
        <v>0.25278695506697235</v>
      </c>
      <c r="R21">
        <f t="shared" si="2"/>
        <v>5.5357076270878135E-5</v>
      </c>
      <c r="S21">
        <f t="shared" si="11"/>
        <v>0</v>
      </c>
      <c r="T21">
        <f t="shared" si="4"/>
        <v>5.1296402646602011E-4</v>
      </c>
      <c r="U21">
        <f t="shared" si="5"/>
        <v>8.5318300424090956E-2</v>
      </c>
      <c r="V21">
        <f t="shared" si="6"/>
        <v>0.91468169957590895</v>
      </c>
    </row>
    <row r="22" spans="1:22" x14ac:dyDescent="0.25">
      <c r="A22" t="s">
        <v>76</v>
      </c>
      <c r="B22">
        <v>2031.864623916309</v>
      </c>
      <c r="C22">
        <v>13.45321664851625</v>
      </c>
      <c r="D22">
        <v>0</v>
      </c>
      <c r="E22">
        <v>3.6307746762728688E-2</v>
      </c>
      <c r="F22">
        <v>0</v>
      </c>
      <c r="G22">
        <v>2.9904957422604368</v>
      </c>
      <c r="H22">
        <v>5.463869980963644E-2</v>
      </c>
      <c r="I22">
        <v>0.59805474937426617</v>
      </c>
      <c r="J22">
        <v>0</v>
      </c>
      <c r="K22">
        <v>1.5404726774251569</v>
      </c>
      <c r="L22">
        <v>12.80579672853308</v>
      </c>
      <c r="M22">
        <f t="shared" si="0"/>
        <v>0.78523560091155509</v>
      </c>
      <c r="N22">
        <f t="shared" si="7"/>
        <v>0</v>
      </c>
      <c r="O22">
        <f t="shared" si="8"/>
        <v>2.1192058443599213E-3</v>
      </c>
      <c r="P22">
        <f t="shared" si="9"/>
        <v>0</v>
      </c>
      <c r="Q22">
        <f t="shared" si="10"/>
        <v>0.1745488668285371</v>
      </c>
      <c r="R22">
        <f t="shared" si="2"/>
        <v>3.1891445294444012E-3</v>
      </c>
      <c r="S22">
        <f t="shared" si="11"/>
        <v>3.4907181886103415E-2</v>
      </c>
      <c r="T22">
        <f t="shared" si="4"/>
        <v>0</v>
      </c>
      <c r="U22">
        <f t="shared" si="5"/>
        <v>0.10737792758759805</v>
      </c>
      <c r="V22">
        <f t="shared" si="6"/>
        <v>0.89262207241240188</v>
      </c>
    </row>
    <row r="23" spans="1:22" x14ac:dyDescent="0.25">
      <c r="A23" t="s">
        <v>89</v>
      </c>
      <c r="B23">
        <v>5947.5328235082943</v>
      </c>
      <c r="C23">
        <v>283.63213763788201</v>
      </c>
      <c r="D23">
        <v>0</v>
      </c>
      <c r="E23">
        <v>14.90834543547644</v>
      </c>
      <c r="F23">
        <v>0.22730745453212289</v>
      </c>
      <c r="G23">
        <v>113.6074349405236</v>
      </c>
      <c r="H23">
        <v>0.46461937825183819</v>
      </c>
      <c r="I23">
        <v>0.31662506349569758</v>
      </c>
      <c r="J23">
        <v>0</v>
      </c>
      <c r="K23">
        <v>1.7608500993263061</v>
      </c>
      <c r="L23">
        <v>11.68016358426155</v>
      </c>
      <c r="M23">
        <f t="shared" si="0"/>
        <v>0.68650053501414621</v>
      </c>
      <c r="N23">
        <f t="shared" si="7"/>
        <v>0</v>
      </c>
      <c r="O23">
        <f t="shared" si="8"/>
        <v>3.6084017850956482E-2</v>
      </c>
      <c r="P23">
        <f t="shared" si="9"/>
        <v>5.5017280639838332E-4</v>
      </c>
      <c r="Q23">
        <f t="shared" si="10"/>
        <v>0.27497435769365253</v>
      </c>
      <c r="R23">
        <f t="shared" si="2"/>
        <v>1.1245603351022599E-3</v>
      </c>
      <c r="S23">
        <f t="shared" si="11"/>
        <v>7.6635629974412768E-4</v>
      </c>
      <c r="T23">
        <f t="shared" si="4"/>
        <v>0</v>
      </c>
      <c r="U23">
        <f t="shared" si="5"/>
        <v>0.13100575155848485</v>
      </c>
      <c r="V23">
        <f t="shared" si="6"/>
        <v>0.86899424844151507</v>
      </c>
    </row>
    <row r="24" spans="1:22" hidden="1" x14ac:dyDescent="0.25">
      <c r="A24" t="s">
        <v>88</v>
      </c>
      <c r="B24">
        <v>4547.6334844615012</v>
      </c>
      <c r="C24">
        <v>1870.716879721921</v>
      </c>
      <c r="D24">
        <v>0</v>
      </c>
      <c r="E24">
        <v>26.478709633203302</v>
      </c>
      <c r="F24">
        <v>2.239179040619141</v>
      </c>
      <c r="G24">
        <v>901.43810388431507</v>
      </c>
      <c r="H24">
        <v>2.09256175341512</v>
      </c>
      <c r="I24">
        <v>1.1000472915946251</v>
      </c>
      <c r="J24">
        <v>6.2840360049839783E-3</v>
      </c>
      <c r="K24">
        <v>27.147678109052659</v>
      </c>
      <c r="L24">
        <v>417.38181498016701</v>
      </c>
      <c r="M24">
        <f t="shared" si="0"/>
        <v>0.66714301068575999</v>
      </c>
      <c r="N24">
        <f t="shared" si="7"/>
        <v>0</v>
      </c>
      <c r="O24">
        <f t="shared" si="8"/>
        <v>9.4429500558070398E-3</v>
      </c>
      <c r="P24">
        <f t="shared" si="9"/>
        <v>7.9854555374791092E-4</v>
      </c>
      <c r="Q24">
        <f t="shared" si="10"/>
        <v>0.32147469084773544</v>
      </c>
      <c r="R24">
        <f t="shared" si="2"/>
        <v>7.4625827315288613E-4</v>
      </c>
      <c r="S24">
        <f t="shared" si="11"/>
        <v>3.9230354414733552E-4</v>
      </c>
      <c r="T24">
        <f t="shared" si="4"/>
        <v>2.2410396490600508E-6</v>
      </c>
      <c r="U24">
        <f t="shared" si="5"/>
        <v>6.1070589310941316E-2</v>
      </c>
      <c r="V24">
        <f t="shared" si="6"/>
        <v>0.93892941068905866</v>
      </c>
    </row>
    <row r="25" spans="1:22" hidden="1" x14ac:dyDescent="0.25">
      <c r="A25" t="s">
        <v>98</v>
      </c>
      <c r="B25">
        <v>40401.591638855447</v>
      </c>
      <c r="C25">
        <v>258.46385648607202</v>
      </c>
      <c r="D25">
        <v>0</v>
      </c>
      <c r="E25">
        <v>2.0025789566299199</v>
      </c>
      <c r="F25">
        <v>9.8124888892037743E-3</v>
      </c>
      <c r="G25">
        <v>217.59099838930581</v>
      </c>
      <c r="H25">
        <v>4.624439495097895E-2</v>
      </c>
      <c r="I25">
        <v>0.52720840355227183</v>
      </c>
      <c r="J25">
        <v>5.6421811112921702E-2</v>
      </c>
      <c r="K25">
        <v>90.736905844830957</v>
      </c>
      <c r="L25">
        <v>521.52352595006914</v>
      </c>
      <c r="M25">
        <f t="shared" si="0"/>
        <v>0.53993192184581829</v>
      </c>
      <c r="N25">
        <f t="shared" si="7"/>
        <v>0</v>
      </c>
      <c r="O25">
        <f t="shared" si="8"/>
        <v>4.1833946123118861E-3</v>
      </c>
      <c r="P25">
        <f t="shared" si="9"/>
        <v>2.0498324431385371E-5</v>
      </c>
      <c r="Q25">
        <f t="shared" si="10"/>
        <v>0.45454837490215649</v>
      </c>
      <c r="R25">
        <f t="shared" si="2"/>
        <v>9.6604706669400906E-5</v>
      </c>
      <c r="S25">
        <f t="shared" si="11"/>
        <v>1.1013402431321506E-3</v>
      </c>
      <c r="T25">
        <f t="shared" si="4"/>
        <v>1.1786536548046589E-4</v>
      </c>
      <c r="U25">
        <f t="shared" si="5"/>
        <v>0.14819985276335271</v>
      </c>
      <c r="V25">
        <f t="shared" si="6"/>
        <v>0.85180014723664721</v>
      </c>
    </row>
    <row r="26" spans="1:22" x14ac:dyDescent="0.25">
      <c r="A26" t="s">
        <v>90</v>
      </c>
      <c r="B26">
        <v>9977.4163604595724</v>
      </c>
      <c r="C26">
        <v>119.89479836451061</v>
      </c>
      <c r="D26">
        <v>0</v>
      </c>
      <c r="E26">
        <v>12.14421299778923</v>
      </c>
      <c r="F26">
        <v>5.6211169610693541E-3</v>
      </c>
      <c r="G26">
        <v>5.9891735643260002</v>
      </c>
      <c r="H26">
        <v>1.2039489509657599</v>
      </c>
      <c r="I26">
        <v>0.17360666481216491</v>
      </c>
      <c r="J26">
        <v>1.04113807537701E-2</v>
      </c>
      <c r="K26">
        <v>1.680522467494344</v>
      </c>
      <c r="L26">
        <v>4.7558138669885004</v>
      </c>
      <c r="M26">
        <f t="shared" si="0"/>
        <v>0.85994314768906943</v>
      </c>
      <c r="N26">
        <f t="shared" si="7"/>
        <v>0</v>
      </c>
      <c r="O26">
        <f t="shared" si="8"/>
        <v>8.7104135408568761E-2</v>
      </c>
      <c r="P26">
        <f t="shared" si="9"/>
        <v>4.0317353871635811E-5</v>
      </c>
      <c r="Q26">
        <f t="shared" si="10"/>
        <v>4.2957232817593109E-2</v>
      </c>
      <c r="R26">
        <f t="shared" si="2"/>
        <v>8.635300819329875E-3</v>
      </c>
      <c r="S26">
        <f t="shared" si="11"/>
        <v>1.2451904822800498E-3</v>
      </c>
      <c r="T26">
        <f t="shared" si="4"/>
        <v>7.4675429287319613E-5</v>
      </c>
      <c r="U26">
        <f t="shared" si="5"/>
        <v>0.26109923101608284</v>
      </c>
      <c r="V26">
        <f t="shared" si="6"/>
        <v>0.73890076898391721</v>
      </c>
    </row>
    <row r="27" spans="1:22" hidden="1" x14ac:dyDescent="0.25">
      <c r="A27" t="s">
        <v>105</v>
      </c>
      <c r="B27">
        <v>8331.1072302104858</v>
      </c>
      <c r="C27">
        <v>206.4849558847765</v>
      </c>
      <c r="D27">
        <v>0</v>
      </c>
      <c r="E27">
        <v>16.49051617067224</v>
      </c>
      <c r="F27">
        <v>0.1232648232605536</v>
      </c>
      <c r="G27">
        <v>26.880116319522159</v>
      </c>
      <c r="H27">
        <v>3.473539276500579</v>
      </c>
      <c r="I27">
        <v>1.7512496976960381</v>
      </c>
      <c r="J27">
        <v>0.11614310387241519</v>
      </c>
      <c r="K27">
        <v>8.3089073849235806</v>
      </c>
      <c r="L27">
        <v>139.1111153756446</v>
      </c>
      <c r="M27">
        <f t="shared" si="0"/>
        <v>0.80873072825642478</v>
      </c>
      <c r="N27">
        <f t="shared" si="7"/>
        <v>0</v>
      </c>
      <c r="O27">
        <f t="shared" si="8"/>
        <v>6.4587694027811546E-2</v>
      </c>
      <c r="P27">
        <f t="shared" si="9"/>
        <v>4.8278602117403314E-4</v>
      </c>
      <c r="Q27">
        <f t="shared" si="10"/>
        <v>0.10528019319158205</v>
      </c>
      <c r="R27">
        <f t="shared" si="2"/>
        <v>1.3604661592291427E-2</v>
      </c>
      <c r="S27">
        <f t="shared" si="11"/>
        <v>6.8590442209595344E-3</v>
      </c>
      <c r="T27">
        <f t="shared" si="4"/>
        <v>4.5489268975660511E-4</v>
      </c>
      <c r="U27">
        <f t="shared" si="5"/>
        <v>5.636213608797544E-2</v>
      </c>
      <c r="V27">
        <f t="shared" si="6"/>
        <v>0.94363786391202464</v>
      </c>
    </row>
    <row r="28" spans="1:22" hidden="1" x14ac:dyDescent="0.25">
      <c r="A28" t="s">
        <v>101</v>
      </c>
      <c r="B28">
        <v>13987.612022866409</v>
      </c>
      <c r="C28">
        <v>4730.2184765908169</v>
      </c>
      <c r="D28">
        <v>0</v>
      </c>
      <c r="E28">
        <v>349.65126794513043</v>
      </c>
      <c r="F28">
        <v>7.1231935866416712E-2</v>
      </c>
      <c r="G28">
        <v>686.38831290222322</v>
      </c>
      <c r="H28">
        <v>7.1842401212835876</v>
      </c>
      <c r="I28">
        <v>9.3652843498477782</v>
      </c>
      <c r="J28">
        <v>6.6274546900334556E-4</v>
      </c>
      <c r="K28">
        <v>237.68201000877431</v>
      </c>
      <c r="L28">
        <v>1393.8832144220851</v>
      </c>
      <c r="M28">
        <f t="shared" si="0"/>
        <v>0.81796940360575721</v>
      </c>
      <c r="N28">
        <f t="shared" si="7"/>
        <v>0</v>
      </c>
      <c r="O28">
        <f t="shared" si="8"/>
        <v>6.0463177446553211E-2</v>
      </c>
      <c r="P28">
        <f t="shared" si="9"/>
        <v>1.2317727899183595E-5</v>
      </c>
      <c r="Q28">
        <f t="shared" si="10"/>
        <v>0.11869317278368931</v>
      </c>
      <c r="R28">
        <f t="shared" si="2"/>
        <v>1.2423292151195133E-3</v>
      </c>
      <c r="S28">
        <f t="shared" si="11"/>
        <v>1.6194846162294893E-3</v>
      </c>
      <c r="T28">
        <f t="shared" si="4"/>
        <v>1.1460475212844566E-7</v>
      </c>
      <c r="U28">
        <f t="shared" si="5"/>
        <v>0.14567729591790313</v>
      </c>
      <c r="V28">
        <f t="shared" si="6"/>
        <v>0.85432270408209687</v>
      </c>
    </row>
    <row r="29" spans="1:22" hidden="1" x14ac:dyDescent="0.25">
      <c r="A29" t="s">
        <v>102</v>
      </c>
      <c r="B29">
        <v>13978.92747603566</v>
      </c>
      <c r="C29">
        <v>436.6248822124561</v>
      </c>
      <c r="D29">
        <v>0</v>
      </c>
      <c r="E29">
        <v>1.795296047054725</v>
      </c>
      <c r="F29">
        <v>3.1669453450354542E-3</v>
      </c>
      <c r="G29">
        <v>138.4847749614419</v>
      </c>
      <c r="H29">
        <v>13.062553970829351</v>
      </c>
      <c r="I29">
        <v>24.216931178879719</v>
      </c>
      <c r="J29">
        <v>0.12105867110428679</v>
      </c>
      <c r="K29">
        <v>372.03770117838502</v>
      </c>
      <c r="L29">
        <v>2630.145693324896</v>
      </c>
      <c r="M29">
        <f t="shared" si="0"/>
        <v>0.71075813806464083</v>
      </c>
      <c r="N29">
        <f t="shared" si="7"/>
        <v>0</v>
      </c>
      <c r="O29">
        <f t="shared" si="8"/>
        <v>2.9224657770615336E-3</v>
      </c>
      <c r="P29">
        <f t="shared" si="9"/>
        <v>5.1552998202576236E-6</v>
      </c>
      <c r="Q29">
        <f t="shared" si="10"/>
        <v>0.22543190920118211</v>
      </c>
      <c r="R29">
        <f t="shared" si="2"/>
        <v>2.1263828327030432E-2</v>
      </c>
      <c r="S29">
        <f t="shared" si="11"/>
        <v>3.9421438437319226E-2</v>
      </c>
      <c r="T29">
        <f t="shared" si="4"/>
        <v>1.9706489294578266E-4</v>
      </c>
      <c r="U29">
        <f t="shared" si="5"/>
        <v>0.12392237658084164</v>
      </c>
      <c r="V29">
        <f t="shared" si="6"/>
        <v>0.8760776234191584</v>
      </c>
    </row>
    <row r="30" spans="1:22" x14ac:dyDescent="0.25">
      <c r="A30" t="s">
        <v>139</v>
      </c>
      <c r="B30">
        <v>36606.477069982058</v>
      </c>
      <c r="C30">
        <v>294.70134606118319</v>
      </c>
      <c r="D30">
        <v>0</v>
      </c>
      <c r="E30">
        <v>0.22039695489848829</v>
      </c>
      <c r="F30">
        <v>0</v>
      </c>
      <c r="G30">
        <v>192.70876350946239</v>
      </c>
      <c r="H30">
        <v>0.63033919592633469</v>
      </c>
      <c r="I30">
        <v>0.15967215656601669</v>
      </c>
      <c r="J30">
        <v>0</v>
      </c>
      <c r="K30">
        <v>8.9092799881533305E-2</v>
      </c>
      <c r="L30">
        <v>5.7262818126402687E-2</v>
      </c>
      <c r="M30">
        <f t="shared" si="0"/>
        <v>0.60337626138542588</v>
      </c>
      <c r="N30">
        <f t="shared" si="7"/>
        <v>0</v>
      </c>
      <c r="O30">
        <f t="shared" si="8"/>
        <v>4.5124425946725612E-4</v>
      </c>
      <c r="P30">
        <f t="shared" si="9"/>
        <v>0</v>
      </c>
      <c r="Q30">
        <f t="shared" si="10"/>
        <v>0.39455501244438657</v>
      </c>
      <c r="R30">
        <f t="shared" si="2"/>
        <v>1.290566577065333E-3</v>
      </c>
      <c r="S30">
        <f t="shared" si="11"/>
        <v>3.2691533365493961E-4</v>
      </c>
      <c r="T30">
        <f t="shared" si="4"/>
        <v>0</v>
      </c>
      <c r="U30">
        <f t="shared" si="5"/>
        <v>0.60874191981275583</v>
      </c>
      <c r="V30">
        <f t="shared" si="6"/>
        <v>0.39125808018724406</v>
      </c>
    </row>
    <row r="31" spans="1:22" hidden="1" x14ac:dyDescent="0.25">
      <c r="A31" t="s">
        <v>141</v>
      </c>
      <c r="B31">
        <v>26929.051965073821</v>
      </c>
      <c r="C31">
        <v>110.47805075245211</v>
      </c>
      <c r="D31">
        <v>0</v>
      </c>
      <c r="E31">
        <v>0.54254089190510046</v>
      </c>
      <c r="F31">
        <v>0</v>
      </c>
      <c r="G31">
        <v>203.9855906971836</v>
      </c>
      <c r="H31">
        <v>0</v>
      </c>
      <c r="I31">
        <v>0</v>
      </c>
      <c r="J31">
        <v>0</v>
      </c>
      <c r="K31">
        <v>0.66789245493051108</v>
      </c>
      <c r="L31">
        <v>0.58892877025147228</v>
      </c>
      <c r="M31">
        <f t="shared" si="0"/>
        <v>0.35071708730042611</v>
      </c>
      <c r="N31">
        <f t="shared" si="7"/>
        <v>0</v>
      </c>
      <c r="O31">
        <f t="shared" si="8"/>
        <v>1.7223182347477185E-3</v>
      </c>
      <c r="P31">
        <f t="shared" si="9"/>
        <v>0</v>
      </c>
      <c r="Q31">
        <f t="shared" si="10"/>
        <v>0.64756059446482617</v>
      </c>
      <c r="R31">
        <f t="shared" si="2"/>
        <v>0</v>
      </c>
      <c r="S31">
        <f t="shared" si="11"/>
        <v>0</v>
      </c>
      <c r="T31">
        <f t="shared" si="4"/>
        <v>0</v>
      </c>
      <c r="U31">
        <f t="shared" si="5"/>
        <v>0.53141404803519499</v>
      </c>
      <c r="V31">
        <f t="shared" si="6"/>
        <v>0.46858595196480507</v>
      </c>
    </row>
    <row r="32" spans="1:22" hidden="1" x14ac:dyDescent="0.25">
      <c r="A32" t="s">
        <v>119</v>
      </c>
      <c r="B32">
        <v>10974.599498306419</v>
      </c>
      <c r="C32">
        <v>141.8460654102295</v>
      </c>
      <c r="D32">
        <v>0</v>
      </c>
      <c r="E32">
        <v>1.922974096022001</v>
      </c>
      <c r="F32">
        <v>0</v>
      </c>
      <c r="G32">
        <v>6.5235860640532621</v>
      </c>
      <c r="H32">
        <v>0</v>
      </c>
      <c r="I32">
        <v>0</v>
      </c>
      <c r="J32">
        <v>6.3136911749639023E-4</v>
      </c>
      <c r="K32">
        <v>21.309157150835581</v>
      </c>
      <c r="L32">
        <v>78.779096777660158</v>
      </c>
      <c r="M32">
        <f t="shared" si="0"/>
        <v>0.9437952726475447</v>
      </c>
      <c r="N32">
        <f t="shared" si="7"/>
        <v>0</v>
      </c>
      <c r="O32">
        <f t="shared" si="8"/>
        <v>1.2794812855756277E-2</v>
      </c>
      <c r="P32">
        <f t="shared" si="9"/>
        <v>0</v>
      </c>
      <c r="Q32">
        <f t="shared" si="10"/>
        <v>4.3405713582231324E-2</v>
      </c>
      <c r="R32">
        <f t="shared" si="2"/>
        <v>0</v>
      </c>
      <c r="S32">
        <f t="shared" si="11"/>
        <v>0</v>
      </c>
      <c r="T32">
        <f t="shared" si="4"/>
        <v>4.2009144678451694E-6</v>
      </c>
      <c r="U32">
        <f t="shared" si="5"/>
        <v>0.21290367565068227</v>
      </c>
      <c r="V32">
        <f t="shared" si="6"/>
        <v>0.78709632434931776</v>
      </c>
    </row>
    <row r="33" spans="1:22" hidden="1" x14ac:dyDescent="0.25">
      <c r="A33" t="s">
        <v>106</v>
      </c>
      <c r="B33">
        <v>9130.9997121729793</v>
      </c>
      <c r="C33">
        <v>131.25314918257521</v>
      </c>
      <c r="D33">
        <v>0</v>
      </c>
      <c r="E33">
        <v>6.218857932142809</v>
      </c>
      <c r="F33">
        <v>2.891591794726226E-3</v>
      </c>
      <c r="G33">
        <v>20.514010507725231</v>
      </c>
      <c r="H33">
        <v>4.1667663551664056</v>
      </c>
      <c r="I33">
        <v>0.95481685707261943</v>
      </c>
      <c r="J33">
        <v>1.664914375035912E-3</v>
      </c>
      <c r="K33">
        <v>87.286375147258724</v>
      </c>
      <c r="L33">
        <v>170.75327480867091</v>
      </c>
      <c r="M33">
        <f t="shared" si="0"/>
        <v>0.80468035811885119</v>
      </c>
      <c r="N33">
        <f t="shared" si="7"/>
        <v>0</v>
      </c>
      <c r="O33">
        <f t="shared" si="8"/>
        <v>3.8126268657874426E-2</v>
      </c>
      <c r="P33">
        <f t="shared" si="9"/>
        <v>1.7727628901895569E-5</v>
      </c>
      <c r="Q33">
        <f t="shared" si="10"/>
        <v>0.12576628770139761</v>
      </c>
      <c r="R33">
        <f t="shared" si="2"/>
        <v>2.5545406443611692E-2</v>
      </c>
      <c r="S33">
        <f t="shared" si="11"/>
        <v>5.853744274115379E-3</v>
      </c>
      <c r="T33">
        <f t="shared" si="4"/>
        <v>1.0207175247868101E-5</v>
      </c>
      <c r="U33">
        <f t="shared" si="5"/>
        <v>0.33826729792171972</v>
      </c>
      <c r="V33">
        <f t="shared" si="6"/>
        <v>0.66173270207828028</v>
      </c>
    </row>
    <row r="34" spans="1:22" x14ac:dyDescent="0.25">
      <c r="A34" t="s">
        <v>132</v>
      </c>
      <c r="B34">
        <v>26498.15265802302</v>
      </c>
      <c r="C34">
        <v>139.62872521189789</v>
      </c>
      <c r="D34">
        <v>0</v>
      </c>
      <c r="E34">
        <v>1.044221563215467</v>
      </c>
      <c r="F34">
        <v>0</v>
      </c>
      <c r="G34">
        <v>3.3335223964155558</v>
      </c>
      <c r="H34">
        <v>0.1882592295419675</v>
      </c>
      <c r="I34">
        <v>5.8841437339930119E-3</v>
      </c>
      <c r="J34">
        <v>0</v>
      </c>
      <c r="K34">
        <v>1.2145200676614829</v>
      </c>
      <c r="L34">
        <v>0.67209577783563534</v>
      </c>
      <c r="M34">
        <f t="shared" ref="M34:M65" si="12">C34/SUM($C34:$J34)</f>
        <v>0.96829495206557159</v>
      </c>
      <c r="N34">
        <f t="shared" si="7"/>
        <v>0</v>
      </c>
      <c r="O34">
        <f t="shared" si="8"/>
        <v>7.2414502600744134E-3</v>
      </c>
      <c r="P34">
        <f t="shared" si="9"/>
        <v>0</v>
      </c>
      <c r="Q34">
        <f t="shared" si="10"/>
        <v>2.3117255451184648E-2</v>
      </c>
      <c r="R34">
        <f t="shared" ref="R34:R65" si="13">H34/SUM($C34:$J34)</f>
        <v>1.3055369614568945E-3</v>
      </c>
      <c r="S34">
        <f t="shared" si="11"/>
        <v>4.0805261712496109E-5</v>
      </c>
      <c r="T34">
        <f t="shared" ref="T34:T65" si="14">J34/SUM($C34:$J34)</f>
        <v>0</v>
      </c>
      <c r="U34">
        <f t="shared" ref="U34:U65" si="15">K34/($K34+$L34)</f>
        <v>0.64375589262659882</v>
      </c>
      <c r="V34">
        <f t="shared" ref="V34:V65" si="16">L34/($K34+$L34)</f>
        <v>0.35624410737340112</v>
      </c>
    </row>
    <row r="35" spans="1:22" hidden="1" x14ac:dyDescent="0.25">
      <c r="A35" t="s">
        <v>133</v>
      </c>
      <c r="B35">
        <v>16686.589257831722</v>
      </c>
      <c r="C35">
        <v>298.53026724092501</v>
      </c>
      <c r="D35">
        <v>3.7615525004712881E-3</v>
      </c>
      <c r="E35">
        <v>18.336534241781219</v>
      </c>
      <c r="F35">
        <v>0</v>
      </c>
      <c r="G35">
        <v>102.7436870737296</v>
      </c>
      <c r="H35">
        <v>2.012135876665782</v>
      </c>
      <c r="I35">
        <v>4.1700568025707199</v>
      </c>
      <c r="J35">
        <v>1.153850460267266E-3</v>
      </c>
      <c r="K35">
        <v>85.700878677339432</v>
      </c>
      <c r="L35">
        <v>438.0924652163003</v>
      </c>
      <c r="M35">
        <f t="shared" si="12"/>
        <v>0.70110838952029686</v>
      </c>
      <c r="N35">
        <f t="shared" ref="N35:N66" si="17">D35/SUM($C35:$J35)</f>
        <v>8.8341327667559654E-6</v>
      </c>
      <c r="O35">
        <f t="shared" ref="O35:O66" si="18">E35/SUM($C35:$J35)</f>
        <v>4.3063968389053901E-2</v>
      </c>
      <c r="P35">
        <f t="shared" ref="P35:P66" si="19">F35/SUM($C35:$J35)</f>
        <v>0</v>
      </c>
      <c r="Q35">
        <f t="shared" ref="Q35:Q66" si="20">G35/SUM($C35:$J35)</f>
        <v>0.2412970103279525</v>
      </c>
      <c r="R35">
        <f t="shared" si="13"/>
        <v>4.7255688912998875E-3</v>
      </c>
      <c r="S35">
        <f t="shared" ref="S35:S66" si="21">I35/SUM($C35:$J35)</f>
        <v>9.79351888195314E-3</v>
      </c>
      <c r="T35">
        <f t="shared" si="14"/>
        <v>2.7098566769190071E-6</v>
      </c>
      <c r="U35">
        <f t="shared" si="15"/>
        <v>0.16361582230174665</v>
      </c>
      <c r="V35">
        <f t="shared" si="16"/>
        <v>0.83638417769825335</v>
      </c>
    </row>
    <row r="36" spans="1:22" x14ac:dyDescent="0.25">
      <c r="A36" t="s">
        <v>120</v>
      </c>
      <c r="B36">
        <v>17814.618629574288</v>
      </c>
      <c r="C36">
        <v>151.93262936928679</v>
      </c>
      <c r="D36">
        <v>0</v>
      </c>
      <c r="E36">
        <v>23.978069839379309</v>
      </c>
      <c r="F36">
        <v>0</v>
      </c>
      <c r="G36">
        <v>20.308579876427</v>
      </c>
      <c r="H36">
        <v>2.7941589845499002</v>
      </c>
      <c r="I36">
        <v>1.288025106640736</v>
      </c>
      <c r="J36">
        <v>0</v>
      </c>
      <c r="K36">
        <v>3.468823354170127</v>
      </c>
      <c r="L36">
        <v>17.765766915093739</v>
      </c>
      <c r="M36">
        <f t="shared" si="12"/>
        <v>0.75851981787857481</v>
      </c>
      <c r="N36">
        <f t="shared" si="17"/>
        <v>0</v>
      </c>
      <c r="O36">
        <f t="shared" si="18"/>
        <v>0.11970990855057509</v>
      </c>
      <c r="P36">
        <f t="shared" si="19"/>
        <v>0</v>
      </c>
      <c r="Q36">
        <f t="shared" si="20"/>
        <v>0.10139007251561402</v>
      </c>
      <c r="R36">
        <f t="shared" si="13"/>
        <v>1.3949768215576053E-2</v>
      </c>
      <c r="S36">
        <f t="shared" si="21"/>
        <v>6.4304328396600644E-3</v>
      </c>
      <c r="T36">
        <f t="shared" si="14"/>
        <v>0</v>
      </c>
      <c r="U36">
        <f t="shared" si="15"/>
        <v>0.16335720681133631</v>
      </c>
      <c r="V36">
        <f t="shared" si="16"/>
        <v>0.83664279318866375</v>
      </c>
    </row>
    <row r="37" spans="1:22" hidden="1" x14ac:dyDescent="0.25">
      <c r="A37" t="s">
        <v>110</v>
      </c>
      <c r="B37">
        <v>5166.8535909133188</v>
      </c>
      <c r="C37">
        <v>2154.3490173598029</v>
      </c>
      <c r="D37">
        <v>0</v>
      </c>
      <c r="E37">
        <v>41.387055068679743</v>
      </c>
      <c r="F37">
        <v>2.4664864951512642</v>
      </c>
      <c r="G37">
        <v>1015.045538824839</v>
      </c>
      <c r="H37">
        <v>2.557181131666959</v>
      </c>
      <c r="I37">
        <v>1.416672355090322</v>
      </c>
      <c r="J37">
        <v>6.2840360049839783E-3</v>
      </c>
      <c r="K37">
        <v>28.908528208378961</v>
      </c>
      <c r="L37">
        <v>429.0619785644285</v>
      </c>
      <c r="M37">
        <f t="shared" si="12"/>
        <v>0.66962890407996689</v>
      </c>
      <c r="N37">
        <f t="shared" si="17"/>
        <v>0</v>
      </c>
      <c r="O37">
        <f t="shared" si="18"/>
        <v>1.2864196147150413E-2</v>
      </c>
      <c r="P37">
        <f t="shared" si="19"/>
        <v>7.6664952399416013E-4</v>
      </c>
      <c r="Q37">
        <f t="shared" si="20"/>
        <v>0.31550311777593348</v>
      </c>
      <c r="R37">
        <f t="shared" si="13"/>
        <v>7.9483982629270026E-4</v>
      </c>
      <c r="S37">
        <f t="shared" si="21"/>
        <v>4.4033940133901832E-4</v>
      </c>
      <c r="T37">
        <f t="shared" si="14"/>
        <v>1.9532453234404084E-6</v>
      </c>
      <c r="U37">
        <f t="shared" si="15"/>
        <v>6.3123122080697786E-2</v>
      </c>
      <c r="V37">
        <f t="shared" si="16"/>
        <v>0.93687687791930219</v>
      </c>
    </row>
    <row r="38" spans="1:22" hidden="1" x14ac:dyDescent="0.25">
      <c r="A38" t="s">
        <v>116</v>
      </c>
      <c r="B38">
        <v>10821.216556128329</v>
      </c>
      <c r="C38">
        <v>1541.5337739089291</v>
      </c>
      <c r="D38">
        <v>0</v>
      </c>
      <c r="E38">
        <v>0</v>
      </c>
      <c r="F38">
        <v>3.5205682857215689E-2</v>
      </c>
      <c r="G38">
        <v>70.988182487364128</v>
      </c>
      <c r="H38">
        <v>10.120631194591001</v>
      </c>
      <c r="I38">
        <v>1.1879246350812249</v>
      </c>
      <c r="J38">
        <v>0</v>
      </c>
      <c r="K38">
        <v>54.896139124623431</v>
      </c>
      <c r="L38">
        <v>358.8999985438362</v>
      </c>
      <c r="M38">
        <f t="shared" si="12"/>
        <v>0.9492987978674009</v>
      </c>
      <c r="N38">
        <f t="shared" si="17"/>
        <v>0</v>
      </c>
      <c r="O38">
        <f t="shared" si="18"/>
        <v>0</v>
      </c>
      <c r="P38">
        <f t="shared" si="19"/>
        <v>2.1680168790405141E-5</v>
      </c>
      <c r="Q38">
        <f t="shared" si="20"/>
        <v>4.3715549693838666E-2</v>
      </c>
      <c r="R38">
        <f t="shared" si="13"/>
        <v>6.2324310951179639E-3</v>
      </c>
      <c r="S38">
        <f t="shared" si="21"/>
        <v>7.3154117485219614E-4</v>
      </c>
      <c r="T38">
        <f t="shared" si="14"/>
        <v>0</v>
      </c>
      <c r="U38">
        <f t="shared" si="15"/>
        <v>0.13266469676091353</v>
      </c>
      <c r="V38">
        <f t="shared" si="16"/>
        <v>0.86733530323908636</v>
      </c>
    </row>
    <row r="39" spans="1:22" x14ac:dyDescent="0.25">
      <c r="A39" t="s">
        <v>130</v>
      </c>
      <c r="B39">
        <v>25611.025428395471</v>
      </c>
      <c r="C39">
        <v>559.80554201340192</v>
      </c>
      <c r="D39">
        <v>0</v>
      </c>
      <c r="E39">
        <v>0.4447632341870999</v>
      </c>
      <c r="F39">
        <v>2.2732889196264892E-3</v>
      </c>
      <c r="G39">
        <v>11.433710857961611</v>
      </c>
      <c r="H39">
        <v>1.3589968326248669</v>
      </c>
      <c r="I39">
        <v>0.30376373882282898</v>
      </c>
      <c r="J39">
        <v>0</v>
      </c>
      <c r="K39">
        <v>7.4159113483283923</v>
      </c>
      <c r="L39">
        <v>26.062424461341632</v>
      </c>
      <c r="M39">
        <f t="shared" si="12"/>
        <v>0.97637824994508837</v>
      </c>
      <c r="N39">
        <f t="shared" si="17"/>
        <v>0</v>
      </c>
      <c r="O39">
        <f t="shared" si="18"/>
        <v>7.7572856223192209E-4</v>
      </c>
      <c r="P39">
        <f t="shared" si="19"/>
        <v>3.9649301237381003E-6</v>
      </c>
      <c r="Q39">
        <f t="shared" si="20"/>
        <v>1.994197227437854E-2</v>
      </c>
      <c r="R39">
        <f t="shared" si="13"/>
        <v>2.3702783369147487E-3</v>
      </c>
      <c r="S39">
        <f t="shared" si="21"/>
        <v>5.2980595126282302E-4</v>
      </c>
      <c r="T39">
        <f t="shared" si="14"/>
        <v>0</v>
      </c>
      <c r="U39">
        <f t="shared" si="15"/>
        <v>0.22151373922793227</v>
      </c>
      <c r="V39">
        <f t="shared" si="16"/>
        <v>0.77848626077206784</v>
      </c>
    </row>
    <row r="40" spans="1:22" hidden="1" x14ac:dyDescent="0.25">
      <c r="A40" t="s">
        <v>113</v>
      </c>
      <c r="B40">
        <v>35167.658047196557</v>
      </c>
      <c r="C40">
        <v>405.17939681363538</v>
      </c>
      <c r="D40">
        <v>0</v>
      </c>
      <c r="E40">
        <v>0.76293784680358878</v>
      </c>
      <c r="F40">
        <v>0</v>
      </c>
      <c r="G40">
        <v>396.69435420664593</v>
      </c>
      <c r="H40">
        <v>0.26229132458516791</v>
      </c>
      <c r="I40">
        <v>5.5166275076567191E-2</v>
      </c>
      <c r="J40">
        <v>0</v>
      </c>
      <c r="K40">
        <v>0.75698525481204437</v>
      </c>
      <c r="L40">
        <v>0.64619158837787494</v>
      </c>
      <c r="M40">
        <f t="shared" si="12"/>
        <v>0.50461087796426918</v>
      </c>
      <c r="N40">
        <f t="shared" si="17"/>
        <v>0</v>
      </c>
      <c r="O40">
        <f t="shared" si="18"/>
        <v>9.5016365524825763E-4</v>
      </c>
      <c r="P40">
        <f t="shared" si="19"/>
        <v>0</v>
      </c>
      <c r="Q40">
        <f t="shared" si="20"/>
        <v>0.4940435963276697</v>
      </c>
      <c r="R40">
        <f t="shared" si="13"/>
        <v>3.2665791158727192E-4</v>
      </c>
      <c r="S40">
        <f t="shared" si="21"/>
        <v>6.8704141225643252E-5</v>
      </c>
      <c r="T40">
        <f t="shared" si="14"/>
        <v>0</v>
      </c>
      <c r="U40">
        <f t="shared" si="15"/>
        <v>0.53947958055746414</v>
      </c>
      <c r="V40">
        <f t="shared" si="16"/>
        <v>0.4605204194425358</v>
      </c>
    </row>
    <row r="41" spans="1:22" hidden="1" x14ac:dyDescent="0.25">
      <c r="A41" t="s">
        <v>114</v>
      </c>
      <c r="B41">
        <v>9848.8843294309481</v>
      </c>
      <c r="C41">
        <v>331.15768670221678</v>
      </c>
      <c r="D41">
        <v>0</v>
      </c>
      <c r="E41">
        <v>0.51362435146398389</v>
      </c>
      <c r="F41">
        <v>2.7437451206221422E-3</v>
      </c>
      <c r="G41">
        <v>26.562961909540089</v>
      </c>
      <c r="H41">
        <v>0</v>
      </c>
      <c r="I41">
        <v>0</v>
      </c>
      <c r="J41">
        <v>0</v>
      </c>
      <c r="K41">
        <v>218.80161420200031</v>
      </c>
      <c r="L41">
        <v>157.1227350969925</v>
      </c>
      <c r="M41">
        <f t="shared" si="12"/>
        <v>0.924409458701552</v>
      </c>
      <c r="N41">
        <f t="shared" si="17"/>
        <v>0</v>
      </c>
      <c r="O41">
        <f t="shared" si="18"/>
        <v>1.4337556631735546E-3</v>
      </c>
      <c r="P41">
        <f t="shared" si="19"/>
        <v>7.6590218002400383E-6</v>
      </c>
      <c r="Q41">
        <f t="shared" si="20"/>
        <v>7.4149126613474212E-2</v>
      </c>
      <c r="R41">
        <f t="shared" si="13"/>
        <v>0</v>
      </c>
      <c r="S41">
        <f t="shared" si="21"/>
        <v>0</v>
      </c>
      <c r="T41">
        <f t="shared" si="14"/>
        <v>0</v>
      </c>
      <c r="U41">
        <f t="shared" si="15"/>
        <v>0.58203629163689963</v>
      </c>
      <c r="V41">
        <f t="shared" si="16"/>
        <v>0.41796370836310037</v>
      </c>
    </row>
    <row r="42" spans="1:22" x14ac:dyDescent="0.25">
      <c r="A42" t="s">
        <v>96</v>
      </c>
      <c r="B42">
        <v>10122.60920547274</v>
      </c>
      <c r="C42">
        <v>156.4229817562655</v>
      </c>
      <c r="D42">
        <v>0</v>
      </c>
      <c r="E42">
        <v>1.3744904160881579E-2</v>
      </c>
      <c r="F42">
        <v>0</v>
      </c>
      <c r="G42">
        <v>17.165392637653191</v>
      </c>
      <c r="H42">
        <v>1.594907445512107E-2</v>
      </c>
      <c r="I42">
        <v>1.1585142404714539E-2</v>
      </c>
      <c r="J42">
        <v>0</v>
      </c>
      <c r="K42">
        <v>0.3047128902207768</v>
      </c>
      <c r="L42">
        <v>3.9254617618307139</v>
      </c>
      <c r="M42">
        <f t="shared" si="12"/>
        <v>0.90090015495427223</v>
      </c>
      <c r="N42">
        <f t="shared" si="17"/>
        <v>0</v>
      </c>
      <c r="O42">
        <f t="shared" si="18"/>
        <v>7.916219310832722E-5</v>
      </c>
      <c r="P42">
        <f t="shared" si="19"/>
        <v>0</v>
      </c>
      <c r="Q42">
        <f t="shared" si="20"/>
        <v>9.8862102700540438E-2</v>
      </c>
      <c r="R42">
        <f t="shared" si="13"/>
        <v>9.1856858159017083E-5</v>
      </c>
      <c r="S42">
        <f t="shared" si="21"/>
        <v>6.6723293920054573E-5</v>
      </c>
      <c r="T42">
        <f t="shared" si="14"/>
        <v>0</v>
      </c>
      <c r="U42">
        <f t="shared" si="15"/>
        <v>7.2033170089797927E-2</v>
      </c>
      <c r="V42">
        <f t="shared" si="16"/>
        <v>0.92796682991020207</v>
      </c>
    </row>
    <row r="43" spans="1:22" hidden="1" x14ac:dyDescent="0.25">
      <c r="A43" t="s">
        <v>104</v>
      </c>
      <c r="B43">
        <v>8203.8802989377782</v>
      </c>
      <c r="C43">
        <v>385.88137395622988</v>
      </c>
      <c r="D43">
        <v>0</v>
      </c>
      <c r="E43">
        <v>0.84403160404191746</v>
      </c>
      <c r="F43">
        <v>0</v>
      </c>
      <c r="G43">
        <v>24.12255865181443</v>
      </c>
      <c r="H43">
        <v>0</v>
      </c>
      <c r="I43">
        <v>6.1674423074074981E-2</v>
      </c>
      <c r="J43">
        <v>0</v>
      </c>
      <c r="K43">
        <v>44.717771603767787</v>
      </c>
      <c r="L43">
        <v>120.47221066064481</v>
      </c>
      <c r="M43">
        <f t="shared" si="12"/>
        <v>0.93909058750224994</v>
      </c>
      <c r="N43">
        <f t="shared" si="17"/>
        <v>0</v>
      </c>
      <c r="O43">
        <f t="shared" si="18"/>
        <v>2.0540564753977913E-3</v>
      </c>
      <c r="P43">
        <f t="shared" si="19"/>
        <v>0</v>
      </c>
      <c r="Q43">
        <f t="shared" si="20"/>
        <v>5.8705263599894385E-2</v>
      </c>
      <c r="R43">
        <f t="shared" si="13"/>
        <v>0</v>
      </c>
      <c r="S43">
        <f t="shared" si="21"/>
        <v>1.5009242245795715E-4</v>
      </c>
      <c r="T43">
        <f t="shared" si="14"/>
        <v>0</v>
      </c>
      <c r="U43">
        <f t="shared" si="15"/>
        <v>0.27070510566548728</v>
      </c>
      <c r="V43">
        <f t="shared" si="16"/>
        <v>0.72929489433451267</v>
      </c>
    </row>
    <row r="44" spans="1:22" hidden="1" x14ac:dyDescent="0.25">
      <c r="A44" t="s">
        <v>117</v>
      </c>
      <c r="B44">
        <v>17486.732998120438</v>
      </c>
      <c r="C44">
        <v>450.46289661021189</v>
      </c>
      <c r="D44">
        <v>3.7615525004712881E-3</v>
      </c>
      <c r="E44">
        <v>42.314604081160518</v>
      </c>
      <c r="F44">
        <v>0</v>
      </c>
      <c r="G44">
        <v>123.05226695015661</v>
      </c>
      <c r="H44">
        <v>4.8062948612156822</v>
      </c>
      <c r="I44">
        <v>5.4580819092114554</v>
      </c>
      <c r="J44">
        <v>1.153850460267266E-3</v>
      </c>
      <c r="K44">
        <v>89.169702031509559</v>
      </c>
      <c r="L44">
        <v>455.858232131394</v>
      </c>
      <c r="M44">
        <f t="shared" si="12"/>
        <v>0.71947544010587505</v>
      </c>
      <c r="N44">
        <f t="shared" si="17"/>
        <v>6.0079191008260781E-6</v>
      </c>
      <c r="O44">
        <f t="shared" si="18"/>
        <v>6.7584519442768803E-2</v>
      </c>
      <c r="P44">
        <f t="shared" si="19"/>
        <v>0</v>
      </c>
      <c r="Q44">
        <f t="shared" si="20"/>
        <v>0.19653801586370773</v>
      </c>
      <c r="R44">
        <f t="shared" si="13"/>
        <v>7.676572558081283E-3</v>
      </c>
      <c r="S44">
        <f t="shared" si="21"/>
        <v>8.7176011904968147E-3</v>
      </c>
      <c r="T44">
        <f t="shared" si="14"/>
        <v>1.8429199695785513E-6</v>
      </c>
      <c r="U44">
        <f t="shared" si="15"/>
        <v>0.16360574649896312</v>
      </c>
      <c r="V44">
        <f t="shared" si="16"/>
        <v>0.83639425350103691</v>
      </c>
    </row>
    <row r="45" spans="1:22" x14ac:dyDescent="0.25">
      <c r="A45" t="s">
        <v>142</v>
      </c>
      <c r="B45">
        <v>39341.58044996141</v>
      </c>
      <c r="C45">
        <v>77.337837349121429</v>
      </c>
      <c r="D45">
        <v>0</v>
      </c>
      <c r="E45">
        <v>0.18780528436691199</v>
      </c>
      <c r="F45">
        <v>0</v>
      </c>
      <c r="G45">
        <v>34.678149247181317</v>
      </c>
      <c r="H45">
        <v>2.6809165181198719E-2</v>
      </c>
      <c r="I45">
        <v>2.879833501662933E-3</v>
      </c>
      <c r="J45">
        <v>6.4856370784318153E-4</v>
      </c>
      <c r="K45">
        <v>0.45163856750751741</v>
      </c>
      <c r="L45">
        <v>0.93015885547386534</v>
      </c>
      <c r="M45">
        <f t="shared" si="12"/>
        <v>0.68907593200833939</v>
      </c>
      <c r="N45">
        <f t="shared" si="17"/>
        <v>0</v>
      </c>
      <c r="O45">
        <f t="shared" si="18"/>
        <v>1.6733348875146849E-3</v>
      </c>
      <c r="P45">
        <f t="shared" si="19"/>
        <v>0</v>
      </c>
      <c r="Q45">
        <f t="shared" si="20"/>
        <v>0.30898042707031065</v>
      </c>
      <c r="R45">
        <f t="shared" si="13"/>
        <v>2.3886820625984172E-4</v>
      </c>
      <c r="S45">
        <f t="shared" si="21"/>
        <v>2.5659160149889667E-5</v>
      </c>
      <c r="T45">
        <f t="shared" si="14"/>
        <v>5.7786674255108533E-6</v>
      </c>
      <c r="U45">
        <f t="shared" si="15"/>
        <v>0.32684861036508273</v>
      </c>
      <c r="V45">
        <f t="shared" si="16"/>
        <v>0.67315138963491727</v>
      </c>
    </row>
    <row r="46" spans="1:22" hidden="1" x14ac:dyDescent="0.25">
      <c r="A46" t="s">
        <v>131</v>
      </c>
      <c r="B46">
        <v>16073.64651043119</v>
      </c>
      <c r="C46">
        <v>333.43397082926191</v>
      </c>
      <c r="D46">
        <v>0</v>
      </c>
      <c r="E46">
        <v>0.39238262962303272</v>
      </c>
      <c r="F46">
        <v>1.760953993393917E-3</v>
      </c>
      <c r="G46">
        <v>116.38788396280511</v>
      </c>
      <c r="H46">
        <v>1.6339894196198081E-3</v>
      </c>
      <c r="I46">
        <v>1.0391404724672581E-2</v>
      </c>
      <c r="J46">
        <v>1.4018366360082661E-2</v>
      </c>
      <c r="K46">
        <v>49.950541358695247</v>
      </c>
      <c r="L46">
        <v>409.15349649404669</v>
      </c>
      <c r="M46">
        <f t="shared" si="12"/>
        <v>0.74056605031212486</v>
      </c>
      <c r="N46">
        <f t="shared" si="17"/>
        <v>0</v>
      </c>
      <c r="O46">
        <f t="shared" si="18"/>
        <v>8.7149264817954527E-4</v>
      </c>
      <c r="P46">
        <f t="shared" si="19"/>
        <v>3.9111274128000451E-6</v>
      </c>
      <c r="Q46">
        <f t="shared" si="20"/>
        <v>0.25850070200152581</v>
      </c>
      <c r="R46">
        <f t="shared" si="13"/>
        <v>3.629135590864178E-6</v>
      </c>
      <c r="S46">
        <f t="shared" si="21"/>
        <v>2.3079596643996698E-5</v>
      </c>
      <c r="T46">
        <f t="shared" si="14"/>
        <v>3.1135178522139053E-5</v>
      </c>
      <c r="U46">
        <f t="shared" si="15"/>
        <v>0.10880004800723823</v>
      </c>
      <c r="V46">
        <f t="shared" si="16"/>
        <v>0.8911999519927617</v>
      </c>
    </row>
    <row r="47" spans="1:22" x14ac:dyDescent="0.25">
      <c r="A47" t="s">
        <v>112</v>
      </c>
      <c r="B47">
        <v>15929.2255907207</v>
      </c>
      <c r="C47">
        <v>113.73422888229049</v>
      </c>
      <c r="D47">
        <v>3.1812318489131712E-3</v>
      </c>
      <c r="E47">
        <v>32.391180620347583</v>
      </c>
      <c r="F47">
        <v>9.9189741815172948E-3</v>
      </c>
      <c r="G47">
        <v>21.135172370115431</v>
      </c>
      <c r="H47">
        <v>2.4078839569974329</v>
      </c>
      <c r="I47">
        <v>1.0880734218089809</v>
      </c>
      <c r="J47">
        <v>2.187707858128662E-3</v>
      </c>
      <c r="K47">
        <v>3.190720288830911</v>
      </c>
      <c r="L47">
        <v>26.69074003001143</v>
      </c>
      <c r="M47">
        <f t="shared" si="12"/>
        <v>0.66600112424926872</v>
      </c>
      <c r="N47">
        <f t="shared" si="17"/>
        <v>1.8628551920517344E-5</v>
      </c>
      <c r="O47">
        <f t="shared" si="18"/>
        <v>0.18967520086885356</v>
      </c>
      <c r="P47">
        <f t="shared" si="19"/>
        <v>5.8083199940863297E-5</v>
      </c>
      <c r="Q47">
        <f t="shared" si="20"/>
        <v>0.12376264118576824</v>
      </c>
      <c r="R47">
        <f t="shared" si="13"/>
        <v>1.4100006991578347E-2</v>
      </c>
      <c r="S47">
        <f t="shared" si="21"/>
        <v>6.3715042455733941E-3</v>
      </c>
      <c r="T47">
        <f t="shared" si="14"/>
        <v>1.2810707096371053E-5</v>
      </c>
      <c r="U47">
        <f t="shared" si="15"/>
        <v>0.10677926228454571</v>
      </c>
      <c r="V47">
        <f t="shared" si="16"/>
        <v>0.89322073771545429</v>
      </c>
    </row>
    <row r="48" spans="1:22" hidden="1" x14ac:dyDescent="0.25">
      <c r="A48" t="s">
        <v>123</v>
      </c>
      <c r="B48">
        <v>12047.36614825924</v>
      </c>
      <c r="C48">
        <v>185.90875792150101</v>
      </c>
      <c r="D48">
        <v>7.3705224535547467E-3</v>
      </c>
      <c r="E48">
        <v>9.5369723810292104</v>
      </c>
      <c r="F48">
        <v>2.1775948772876658E-2</v>
      </c>
      <c r="G48">
        <v>49.456219352002087</v>
      </c>
      <c r="H48">
        <v>2.0441485224311742</v>
      </c>
      <c r="I48">
        <v>6.4181601033123776</v>
      </c>
      <c r="J48">
        <v>4.3917089357333933E-2</v>
      </c>
      <c r="K48">
        <v>270.35051604000029</v>
      </c>
      <c r="L48">
        <v>1473.688210301844</v>
      </c>
      <c r="M48">
        <f t="shared" si="12"/>
        <v>0.73354925222196876</v>
      </c>
      <c r="N48">
        <f t="shared" si="17"/>
        <v>2.9082229878450592E-5</v>
      </c>
      <c r="O48">
        <f t="shared" si="18"/>
        <v>3.7630497007136707E-2</v>
      </c>
      <c r="P48">
        <f t="shared" si="19"/>
        <v>8.5922423006625612E-5</v>
      </c>
      <c r="Q48">
        <f t="shared" si="20"/>
        <v>0.1951418164963763</v>
      </c>
      <c r="R48">
        <f t="shared" si="13"/>
        <v>8.0656965106139823E-3</v>
      </c>
      <c r="S48">
        <f t="shared" si="21"/>
        <v>2.5324447309865907E-2</v>
      </c>
      <c r="T48">
        <f t="shared" si="14"/>
        <v>1.7328580115327568E-4</v>
      </c>
      <c r="U48">
        <f t="shared" si="15"/>
        <v>0.15501405556920508</v>
      </c>
      <c r="V48">
        <f t="shared" si="16"/>
        <v>0.844985944430795</v>
      </c>
    </row>
    <row r="49" spans="1:22" hidden="1" x14ac:dyDescent="0.25">
      <c r="A49" t="s">
        <v>122</v>
      </c>
      <c r="B49">
        <v>9093.5321077155022</v>
      </c>
      <c r="C49">
        <v>635.43811927201205</v>
      </c>
      <c r="D49">
        <v>0</v>
      </c>
      <c r="E49">
        <v>7.786107154778378</v>
      </c>
      <c r="F49">
        <v>9.3089776180027319E-3</v>
      </c>
      <c r="G49">
        <v>12.973970019211221</v>
      </c>
      <c r="H49">
        <v>4.5045704476491721</v>
      </c>
      <c r="I49">
        <v>18.006615231100561</v>
      </c>
      <c r="J49">
        <v>1.2969331445103951E-2</v>
      </c>
      <c r="K49">
        <v>147.73683071688731</v>
      </c>
      <c r="L49">
        <v>82.322846691174874</v>
      </c>
      <c r="M49">
        <f t="shared" si="12"/>
        <v>0.93621405382190181</v>
      </c>
      <c r="N49">
        <f t="shared" si="17"/>
        <v>0</v>
      </c>
      <c r="O49">
        <f t="shared" si="18"/>
        <v>1.14715543839547E-2</v>
      </c>
      <c r="P49">
        <f t="shared" si="19"/>
        <v>1.3715254732706671E-5</v>
      </c>
      <c r="Q49">
        <f t="shared" si="20"/>
        <v>1.91150211129371E-2</v>
      </c>
      <c r="R49">
        <f t="shared" si="13"/>
        <v>6.6367472010515237E-3</v>
      </c>
      <c r="S49">
        <f t="shared" si="21"/>
        <v>2.652980003848877E-2</v>
      </c>
      <c r="T49">
        <f t="shared" si="14"/>
        <v>1.9108186933278672E-5</v>
      </c>
      <c r="U49">
        <f t="shared" si="15"/>
        <v>0.64216742534522064</v>
      </c>
      <c r="V49">
        <f t="shared" si="16"/>
        <v>0.35783257465477936</v>
      </c>
    </row>
    <row r="50" spans="1:22" hidden="1" x14ac:dyDescent="0.25">
      <c r="A50" t="s">
        <v>84</v>
      </c>
      <c r="B50">
        <v>3005.6584499286578</v>
      </c>
      <c r="C50">
        <v>290.59874687398838</v>
      </c>
      <c r="D50">
        <v>0</v>
      </c>
      <c r="E50">
        <v>4.1959464644946154</v>
      </c>
      <c r="F50">
        <v>0</v>
      </c>
      <c r="G50">
        <v>56.483386500847217</v>
      </c>
      <c r="H50">
        <v>0.66840592743357075</v>
      </c>
      <c r="I50">
        <v>0</v>
      </c>
      <c r="J50">
        <v>1.7626389619971531E-4</v>
      </c>
      <c r="K50">
        <v>112.4103185167033</v>
      </c>
      <c r="L50">
        <v>588.45944929800805</v>
      </c>
      <c r="M50">
        <f t="shared" si="12"/>
        <v>0.82568973718146177</v>
      </c>
      <c r="N50">
        <f t="shared" si="17"/>
        <v>0</v>
      </c>
      <c r="O50">
        <f t="shared" si="18"/>
        <v>1.1922108993120906E-2</v>
      </c>
      <c r="P50">
        <f t="shared" si="19"/>
        <v>0</v>
      </c>
      <c r="Q50">
        <f t="shared" si="20"/>
        <v>0.16048848474638081</v>
      </c>
      <c r="R50">
        <f t="shared" si="13"/>
        <v>1.8991682534421715E-3</v>
      </c>
      <c r="S50">
        <f t="shared" si="21"/>
        <v>0</v>
      </c>
      <c r="T50">
        <f t="shared" si="14"/>
        <v>5.0082559437475218E-7</v>
      </c>
      <c r="U50">
        <f t="shared" si="15"/>
        <v>0.16038688452377525</v>
      </c>
      <c r="V50">
        <f t="shared" si="16"/>
        <v>0.83961311547622464</v>
      </c>
    </row>
    <row r="51" spans="1:22" hidden="1" x14ac:dyDescent="0.25">
      <c r="A51" t="s">
        <v>124</v>
      </c>
      <c r="B51">
        <v>2755.553044210043</v>
      </c>
      <c r="C51">
        <v>52.542517299547008</v>
      </c>
      <c r="D51">
        <v>0</v>
      </c>
      <c r="E51">
        <v>0.25455627698760741</v>
      </c>
      <c r="F51">
        <v>1.2009627819000029E-3</v>
      </c>
      <c r="G51">
        <v>26.661518343781079</v>
      </c>
      <c r="H51">
        <v>3.7236812949293298E-2</v>
      </c>
      <c r="I51">
        <v>6.8787624133495456E-2</v>
      </c>
      <c r="J51">
        <v>2.4940792033699222E-3</v>
      </c>
      <c r="K51">
        <v>76.9835688236018</v>
      </c>
      <c r="L51">
        <v>812.50495046453943</v>
      </c>
      <c r="M51">
        <f t="shared" si="12"/>
        <v>0.66034475754821598</v>
      </c>
      <c r="N51">
        <f t="shared" si="17"/>
        <v>0</v>
      </c>
      <c r="O51">
        <f t="shared" si="18"/>
        <v>3.1992167800305856E-3</v>
      </c>
      <c r="P51">
        <f t="shared" si="19"/>
        <v>1.5093480818914354E-5</v>
      </c>
      <c r="Q51">
        <f t="shared" si="20"/>
        <v>0.33507709130531543</v>
      </c>
      <c r="R51">
        <f t="shared" si="13"/>
        <v>4.6798546172970181E-4</v>
      </c>
      <c r="S51">
        <f t="shared" si="21"/>
        <v>8.6451029214663227E-4</v>
      </c>
      <c r="T51">
        <f t="shared" si="14"/>
        <v>3.1345131742851571E-5</v>
      </c>
      <c r="U51">
        <f t="shared" si="15"/>
        <v>8.6548130924963315E-2</v>
      </c>
      <c r="V51">
        <f t="shared" si="16"/>
        <v>0.91345186907503673</v>
      </c>
    </row>
    <row r="52" spans="1:22" x14ac:dyDescent="0.25">
      <c r="A52" t="s">
        <v>85</v>
      </c>
      <c r="B52">
        <v>4606.0606412742409</v>
      </c>
      <c r="C52">
        <v>95.971833144780732</v>
      </c>
      <c r="D52">
        <v>0</v>
      </c>
      <c r="E52">
        <v>2.364726123638015</v>
      </c>
      <c r="F52">
        <v>0.25002502148519451</v>
      </c>
      <c r="G52">
        <v>10.88128382965095</v>
      </c>
      <c r="H52">
        <v>4.3912873441823798E-2</v>
      </c>
      <c r="I52">
        <v>0.75643539323815168</v>
      </c>
      <c r="J52">
        <v>0</v>
      </c>
      <c r="K52">
        <v>4.213319762798486</v>
      </c>
      <c r="L52">
        <v>8.8666308886704481</v>
      </c>
      <c r="M52">
        <f t="shared" si="12"/>
        <v>0.8703490116192828</v>
      </c>
      <c r="N52">
        <f t="shared" si="17"/>
        <v>0</v>
      </c>
      <c r="O52">
        <f t="shared" si="18"/>
        <v>2.1445219675587417E-2</v>
      </c>
      <c r="P52">
        <f t="shared" si="19"/>
        <v>2.2674260061433795E-3</v>
      </c>
      <c r="Q52">
        <f t="shared" si="20"/>
        <v>9.8680147246938646E-2</v>
      </c>
      <c r="R52">
        <f t="shared" si="13"/>
        <v>3.9823690707040018E-4</v>
      </c>
      <c r="S52">
        <f t="shared" si="21"/>
        <v>6.8599585449772432E-3</v>
      </c>
      <c r="T52">
        <f t="shared" si="14"/>
        <v>0</v>
      </c>
      <c r="U52">
        <f t="shared" si="15"/>
        <v>0.32212046322401927</v>
      </c>
      <c r="V52">
        <f t="shared" si="16"/>
        <v>0.67787953677598067</v>
      </c>
    </row>
    <row r="53" spans="1:22" hidden="1" x14ac:dyDescent="0.25">
      <c r="A53" t="s">
        <v>126</v>
      </c>
      <c r="B53">
        <v>2956.8933866055172</v>
      </c>
      <c r="C53">
        <v>69.290123711471779</v>
      </c>
      <c r="D53">
        <v>0</v>
      </c>
      <c r="E53">
        <v>0.25995194708026348</v>
      </c>
      <c r="F53">
        <v>1.2326368103888371E-4</v>
      </c>
      <c r="G53">
        <v>129.8011377675283</v>
      </c>
      <c r="H53">
        <v>0.80331352910539966</v>
      </c>
      <c r="I53">
        <v>2.1145388269562599</v>
      </c>
      <c r="J53">
        <v>1.143866422535221E-2</v>
      </c>
      <c r="K53">
        <v>93.413226104376577</v>
      </c>
      <c r="L53">
        <v>1279.6358116301999</v>
      </c>
      <c r="M53">
        <f t="shared" si="12"/>
        <v>0.34254453575649924</v>
      </c>
      <c r="N53">
        <f t="shared" si="17"/>
        <v>0</v>
      </c>
      <c r="O53">
        <f t="shared" si="18"/>
        <v>1.2851054993406582E-3</v>
      </c>
      <c r="P53">
        <f t="shared" si="19"/>
        <v>6.0936967832417164E-7</v>
      </c>
      <c r="Q53">
        <f t="shared" si="20"/>
        <v>0.64168842680074589</v>
      </c>
      <c r="R53">
        <f t="shared" si="13"/>
        <v>3.9712825602700791E-3</v>
      </c>
      <c r="S53">
        <f t="shared" si="21"/>
        <v>1.0453491522615141E-2</v>
      </c>
      <c r="T53">
        <f t="shared" si="14"/>
        <v>5.6548490850782493E-5</v>
      </c>
      <c r="U53">
        <f t="shared" si="15"/>
        <v>6.8033423087715136E-2</v>
      </c>
      <c r="V53">
        <f t="shared" si="16"/>
        <v>0.93196657691228491</v>
      </c>
    </row>
    <row r="54" spans="1:22" x14ac:dyDescent="0.25">
      <c r="A54" t="s">
        <v>81</v>
      </c>
      <c r="B54">
        <v>3794.7797889383742</v>
      </c>
      <c r="C54">
        <v>17.58352809089855</v>
      </c>
      <c r="D54">
        <v>0</v>
      </c>
      <c r="E54">
        <v>0.13823119145011009</v>
      </c>
      <c r="F54">
        <v>5.4358145782914678E-4</v>
      </c>
      <c r="G54">
        <v>6.0157993243860632</v>
      </c>
      <c r="H54">
        <v>7.804537778987676E-2</v>
      </c>
      <c r="I54">
        <v>1.9171204666471209E-2</v>
      </c>
      <c r="J54">
        <v>0</v>
      </c>
      <c r="K54">
        <v>1.0575116300402869</v>
      </c>
      <c r="L54">
        <v>13.51991653906587</v>
      </c>
      <c r="M54">
        <f t="shared" si="12"/>
        <v>0.73770895451799534</v>
      </c>
      <c r="N54">
        <f t="shared" si="17"/>
        <v>0</v>
      </c>
      <c r="O54">
        <f t="shared" si="18"/>
        <v>5.7994270091461771E-3</v>
      </c>
      <c r="P54">
        <f t="shared" si="19"/>
        <v>2.2805713783803872E-5</v>
      </c>
      <c r="Q54">
        <f t="shared" si="20"/>
        <v>0.25239013508785085</v>
      </c>
      <c r="R54">
        <f t="shared" si="13"/>
        <v>3.2743584653032952E-3</v>
      </c>
      <c r="S54">
        <f t="shared" si="21"/>
        <v>8.0431920592053763E-4</v>
      </c>
      <c r="T54">
        <f t="shared" si="14"/>
        <v>0</v>
      </c>
      <c r="U54">
        <f t="shared" si="15"/>
        <v>7.2544458307224877E-2</v>
      </c>
      <c r="V54">
        <f t="shared" si="16"/>
        <v>0.92745554169277511</v>
      </c>
    </row>
    <row r="55" spans="1:22" hidden="1" x14ac:dyDescent="0.25">
      <c r="A55" t="s">
        <v>78</v>
      </c>
      <c r="B55">
        <v>2305.0061703805159</v>
      </c>
      <c r="C55">
        <v>34.958989208648447</v>
      </c>
      <c r="D55">
        <v>0</v>
      </c>
      <c r="E55">
        <v>0.11632508553749719</v>
      </c>
      <c r="F55">
        <v>6.5738132407085616E-4</v>
      </c>
      <c r="G55">
        <v>20.64571901939501</v>
      </c>
      <c r="H55">
        <v>0</v>
      </c>
      <c r="I55">
        <v>4.9616419467024241E-2</v>
      </c>
      <c r="J55">
        <v>2.4940792033699222E-3</v>
      </c>
      <c r="K55">
        <v>75.926057193561505</v>
      </c>
      <c r="L55">
        <v>798.98503392547366</v>
      </c>
      <c r="M55">
        <f t="shared" si="12"/>
        <v>0.62679947323861751</v>
      </c>
      <c r="N55">
        <f t="shared" si="17"/>
        <v>0</v>
      </c>
      <c r="O55">
        <f t="shared" si="18"/>
        <v>2.085658195211853E-3</v>
      </c>
      <c r="P55">
        <f t="shared" si="19"/>
        <v>1.1786561252823124E-5</v>
      </c>
      <c r="Q55">
        <f t="shared" si="20"/>
        <v>0.37016876342602933</v>
      </c>
      <c r="R55">
        <f t="shared" si="13"/>
        <v>0</v>
      </c>
      <c r="S55">
        <f t="shared" si="21"/>
        <v>8.8960082341921415E-4</v>
      </c>
      <c r="T55">
        <f t="shared" si="14"/>
        <v>4.4717755469340594E-5</v>
      </c>
      <c r="U55">
        <f t="shared" si="15"/>
        <v>8.6781454669239602E-2</v>
      </c>
      <c r="V55">
        <f t="shared" si="16"/>
        <v>0.91321854533076041</v>
      </c>
    </row>
    <row r="56" spans="1:22" hidden="1" x14ac:dyDescent="0.25">
      <c r="A56" t="s">
        <v>129</v>
      </c>
      <c r="B56">
        <v>1904.82324488873</v>
      </c>
      <c r="C56">
        <v>34.05601369100534</v>
      </c>
      <c r="D56">
        <v>0</v>
      </c>
      <c r="E56">
        <v>0.15684972614116879</v>
      </c>
      <c r="F56">
        <v>4.5085625003744552E-4</v>
      </c>
      <c r="G56">
        <v>10.006823017517281</v>
      </c>
      <c r="H56">
        <v>5.617518480750721E-2</v>
      </c>
      <c r="I56">
        <v>0.55974969651708328</v>
      </c>
      <c r="J56">
        <v>1.423777381695022E-2</v>
      </c>
      <c r="K56">
        <v>70.768241978855372</v>
      </c>
      <c r="L56">
        <v>754.98389178821105</v>
      </c>
      <c r="M56">
        <f t="shared" si="12"/>
        <v>0.75932633074844369</v>
      </c>
      <c r="N56">
        <f t="shared" si="17"/>
        <v>0</v>
      </c>
      <c r="O56">
        <f t="shared" si="18"/>
        <v>3.4971834375650346E-3</v>
      </c>
      <c r="P56">
        <f t="shared" si="19"/>
        <v>1.0052469004214515E-5</v>
      </c>
      <c r="Q56">
        <f t="shared" si="20"/>
        <v>0.22311607792039731</v>
      </c>
      <c r="R56">
        <f t="shared" si="13"/>
        <v>1.2525041053253398E-3</v>
      </c>
      <c r="S56">
        <f t="shared" si="21"/>
        <v>1.2480400291421327E-2</v>
      </c>
      <c r="T56">
        <f t="shared" si="14"/>
        <v>3.1745102784318051E-4</v>
      </c>
      <c r="U56">
        <f t="shared" si="15"/>
        <v>8.5701555085315878E-2</v>
      </c>
      <c r="V56">
        <f t="shared" si="16"/>
        <v>0.91429844491468415</v>
      </c>
    </row>
    <row r="57" spans="1:22" x14ac:dyDescent="0.25">
      <c r="A57" t="s">
        <v>127</v>
      </c>
      <c r="B57">
        <v>24900.766932380109</v>
      </c>
      <c r="C57">
        <v>181.31547895531671</v>
      </c>
      <c r="D57">
        <v>0</v>
      </c>
      <c r="E57">
        <v>0.77439547891551197</v>
      </c>
      <c r="F57">
        <v>2.263416192109742E-2</v>
      </c>
      <c r="G57">
        <v>2.0718060044229372</v>
      </c>
      <c r="H57">
        <v>6.0175742448257991E-2</v>
      </c>
      <c r="I57">
        <v>0.31517201384697091</v>
      </c>
      <c r="J57">
        <v>3.3122574495691027E-4</v>
      </c>
      <c r="K57">
        <v>2.9514763015544738</v>
      </c>
      <c r="L57">
        <v>2.9957225853589811</v>
      </c>
      <c r="M57">
        <f t="shared" si="12"/>
        <v>0.98242027123907893</v>
      </c>
      <c r="N57">
        <f t="shared" si="17"/>
        <v>0</v>
      </c>
      <c r="O57">
        <f t="shared" si="18"/>
        <v>4.1959010936401097E-3</v>
      </c>
      <c r="P57">
        <f t="shared" si="19"/>
        <v>1.2263850622082657E-4</v>
      </c>
      <c r="Q57">
        <f t="shared" si="20"/>
        <v>1.1225650609353289E-2</v>
      </c>
      <c r="R57">
        <f t="shared" si="13"/>
        <v>3.2604976452451446E-4</v>
      </c>
      <c r="S57">
        <f t="shared" si="21"/>
        <v>1.7076941092647323E-3</v>
      </c>
      <c r="T57">
        <f t="shared" si="14"/>
        <v>1.7946779176097032E-6</v>
      </c>
      <c r="U57">
        <f t="shared" si="15"/>
        <v>0.49628007364089766</v>
      </c>
      <c r="V57">
        <f t="shared" si="16"/>
        <v>0.50371992635910234</v>
      </c>
    </row>
    <row r="58" spans="1:22" hidden="1" x14ac:dyDescent="0.25">
      <c r="A58" t="s">
        <v>138</v>
      </c>
      <c r="B58">
        <v>22271.396045750789</v>
      </c>
      <c r="C58">
        <v>1618.3069922918089</v>
      </c>
      <c r="D58">
        <v>0</v>
      </c>
      <c r="E58">
        <v>35.359498593305631</v>
      </c>
      <c r="F58">
        <v>4.4445867651335971E-2</v>
      </c>
      <c r="G58">
        <v>74.796709706967619</v>
      </c>
      <c r="H58">
        <v>5.2889063249096626</v>
      </c>
      <c r="I58">
        <v>11.478731703178619</v>
      </c>
      <c r="J58">
        <v>9.8150644100023082E-2</v>
      </c>
      <c r="K58">
        <v>584.27886349631763</v>
      </c>
      <c r="L58">
        <v>483.43884554074759</v>
      </c>
      <c r="M58">
        <f t="shared" si="12"/>
        <v>0.92719813405976981</v>
      </c>
      <c r="N58">
        <f t="shared" si="17"/>
        <v>0</v>
      </c>
      <c r="O58">
        <f t="shared" si="18"/>
        <v>2.0258987493202579E-2</v>
      </c>
      <c r="P58">
        <f t="shared" si="19"/>
        <v>2.5464961684819373E-5</v>
      </c>
      <c r="Q58">
        <f t="shared" si="20"/>
        <v>4.2854273017690445E-2</v>
      </c>
      <c r="R58">
        <f t="shared" si="13"/>
        <v>3.0302433957406405E-3</v>
      </c>
      <c r="S58">
        <f t="shared" si="21"/>
        <v>6.5766623188641639E-3</v>
      </c>
      <c r="T58">
        <f t="shared" si="14"/>
        <v>5.6234753047335383E-5</v>
      </c>
      <c r="U58">
        <f t="shared" si="15"/>
        <v>0.54722222788948305</v>
      </c>
      <c r="V58">
        <f t="shared" si="16"/>
        <v>0.45277777211051701</v>
      </c>
    </row>
    <row r="59" spans="1:22" x14ac:dyDescent="0.25">
      <c r="A59" t="s">
        <v>103</v>
      </c>
      <c r="B59">
        <v>12703.28984250529</v>
      </c>
      <c r="C59">
        <v>75.979681616533981</v>
      </c>
      <c r="D59">
        <v>0</v>
      </c>
      <c r="E59">
        <v>3.2425122898502037E-2</v>
      </c>
      <c r="F59">
        <v>0</v>
      </c>
      <c r="G59">
        <v>1.2824917051123059</v>
      </c>
      <c r="H59">
        <v>0.1369689394979958</v>
      </c>
      <c r="I59">
        <v>0</v>
      </c>
      <c r="J59">
        <v>0</v>
      </c>
      <c r="K59">
        <v>1.529315140238825</v>
      </c>
      <c r="L59">
        <v>4.0686141799230091</v>
      </c>
      <c r="M59">
        <f t="shared" si="12"/>
        <v>0.98124943331822567</v>
      </c>
      <c r="N59">
        <f t="shared" si="17"/>
        <v>0</v>
      </c>
      <c r="O59">
        <f t="shared" si="18"/>
        <v>4.1875844689648187E-4</v>
      </c>
      <c r="P59">
        <f t="shared" si="19"/>
        <v>0</v>
      </c>
      <c r="Q59">
        <f t="shared" si="20"/>
        <v>1.6562905135982096E-2</v>
      </c>
      <c r="R59">
        <f t="shared" si="13"/>
        <v>1.768903098895846E-3</v>
      </c>
      <c r="S59">
        <f t="shared" si="21"/>
        <v>0</v>
      </c>
      <c r="T59">
        <f t="shared" si="14"/>
        <v>0</v>
      </c>
      <c r="U59">
        <f t="shared" si="15"/>
        <v>0.27319300633731708</v>
      </c>
      <c r="V59">
        <f t="shared" si="16"/>
        <v>0.72680699366268298</v>
      </c>
    </row>
    <row r="60" spans="1:22" hidden="1" x14ac:dyDescent="0.25">
      <c r="A60" t="s">
        <v>108</v>
      </c>
      <c r="B60">
        <v>10768.623112774279</v>
      </c>
      <c r="C60">
        <v>184.19750027683401</v>
      </c>
      <c r="D60">
        <v>2.0303763371291518E-3</v>
      </c>
      <c r="E60">
        <v>0.61716199744554034</v>
      </c>
      <c r="F60">
        <v>1.444848615664129E-2</v>
      </c>
      <c r="G60">
        <v>16.707975717224841</v>
      </c>
      <c r="H60">
        <v>8.6587800531057912E-2</v>
      </c>
      <c r="I60">
        <v>9.2494922024772483E-3</v>
      </c>
      <c r="J60">
        <v>0</v>
      </c>
      <c r="K60">
        <v>250.84867852091901</v>
      </c>
      <c r="L60">
        <v>579.07132318608058</v>
      </c>
      <c r="M60">
        <f t="shared" si="12"/>
        <v>0.913519687379162</v>
      </c>
      <c r="N60">
        <f t="shared" si="17"/>
        <v>1.0069565297947436E-5</v>
      </c>
      <c r="O60">
        <f t="shared" si="18"/>
        <v>3.0607887410058158E-3</v>
      </c>
      <c r="P60">
        <f t="shared" si="19"/>
        <v>7.165665406468656E-5</v>
      </c>
      <c r="Q60">
        <f t="shared" si="20"/>
        <v>8.2862496673400607E-2</v>
      </c>
      <c r="R60">
        <f t="shared" si="13"/>
        <v>4.2942852293381201E-4</v>
      </c>
      <c r="S60">
        <f t="shared" si="21"/>
        <v>4.5872464135093874E-5</v>
      </c>
      <c r="T60">
        <f t="shared" si="14"/>
        <v>0</v>
      </c>
      <c r="U60">
        <f t="shared" si="15"/>
        <v>0.30225645604994139</v>
      </c>
      <c r="V60">
        <f t="shared" si="16"/>
        <v>0.69774354395005866</v>
      </c>
    </row>
    <row r="61" spans="1:22" hidden="1" x14ac:dyDescent="0.25">
      <c r="A61" t="s">
        <v>134</v>
      </c>
      <c r="B61">
        <v>11713.313624382359</v>
      </c>
      <c r="C61">
        <v>260.17718189336802</v>
      </c>
      <c r="D61">
        <v>2.0303763371291518E-3</v>
      </c>
      <c r="E61">
        <v>0.64958712034404242</v>
      </c>
      <c r="F61">
        <v>1.444848615664129E-2</v>
      </c>
      <c r="G61">
        <v>17.990467422337151</v>
      </c>
      <c r="H61">
        <v>0.22355674002905371</v>
      </c>
      <c r="I61">
        <v>9.2494922024772483E-3</v>
      </c>
      <c r="J61">
        <v>0</v>
      </c>
      <c r="K61">
        <v>252.3779936611578</v>
      </c>
      <c r="L61">
        <v>583.13993736600355</v>
      </c>
      <c r="M61">
        <f t="shared" si="12"/>
        <v>0.93231241234601692</v>
      </c>
      <c r="N61">
        <f t="shared" si="17"/>
        <v>7.2755998318675034E-6</v>
      </c>
      <c r="O61">
        <f t="shared" si="18"/>
        <v>2.3277142552995496E-3</v>
      </c>
      <c r="P61">
        <f t="shared" si="19"/>
        <v>5.1774344258087446E-5</v>
      </c>
      <c r="Q61">
        <f t="shared" si="20"/>
        <v>6.4466591419326605E-2</v>
      </c>
      <c r="R61">
        <f t="shared" si="13"/>
        <v>8.0108763603304765E-4</v>
      </c>
      <c r="S61">
        <f t="shared" si="21"/>
        <v>3.3144399234063072E-5</v>
      </c>
      <c r="T61">
        <f t="shared" si="14"/>
        <v>0</v>
      </c>
      <c r="U61">
        <f t="shared" si="15"/>
        <v>0.30206173235670919</v>
      </c>
      <c r="V61">
        <f t="shared" si="16"/>
        <v>0.69793826764329081</v>
      </c>
    </row>
    <row r="62" spans="1:22" hidden="1" x14ac:dyDescent="0.25">
      <c r="A62" t="s">
        <v>135</v>
      </c>
      <c r="B62">
        <v>22519.574366022131</v>
      </c>
      <c r="C62">
        <v>281.47479062212739</v>
      </c>
      <c r="D62">
        <v>0</v>
      </c>
      <c r="E62">
        <v>2.967195659237468</v>
      </c>
      <c r="F62">
        <v>0</v>
      </c>
      <c r="G62">
        <v>9.8571084604688188</v>
      </c>
      <c r="H62">
        <v>0.15792984764545839</v>
      </c>
      <c r="I62">
        <v>5.4554687663711044E-3</v>
      </c>
      <c r="J62">
        <v>6.3136911749639023E-4</v>
      </c>
      <c r="K62">
        <v>22.52367721849707</v>
      </c>
      <c r="L62">
        <v>79.451192555495794</v>
      </c>
      <c r="M62">
        <f t="shared" si="12"/>
        <v>0.95589151815221673</v>
      </c>
      <c r="N62">
        <f t="shared" si="17"/>
        <v>0</v>
      </c>
      <c r="O62">
        <f t="shared" si="18"/>
        <v>1.0076629445550786E-2</v>
      </c>
      <c r="P62">
        <f t="shared" si="19"/>
        <v>0</v>
      </c>
      <c r="Q62">
        <f t="shared" si="20"/>
        <v>3.3474849914775597E-2</v>
      </c>
      <c r="R62">
        <f t="shared" si="13"/>
        <v>5.363315183349066E-4</v>
      </c>
      <c r="S62">
        <f t="shared" si="21"/>
        <v>1.8526832579899699E-5</v>
      </c>
      <c r="T62">
        <f t="shared" si="14"/>
        <v>2.14413654204742E-6</v>
      </c>
      <c r="U62">
        <f t="shared" si="15"/>
        <v>0.2208747828598982</v>
      </c>
      <c r="V62">
        <f t="shared" si="16"/>
        <v>0.77912521714010174</v>
      </c>
    </row>
    <row r="63" spans="1:22" x14ac:dyDescent="0.25">
      <c r="A63" t="s">
        <v>109</v>
      </c>
      <c r="B63">
        <v>15853.96203319802</v>
      </c>
      <c r="C63">
        <v>131.66176308005271</v>
      </c>
      <c r="D63">
        <v>3.077160074287817E-3</v>
      </c>
      <c r="E63">
        <v>46.572746473514783</v>
      </c>
      <c r="F63">
        <v>0.34067849696034092</v>
      </c>
      <c r="G63">
        <v>16.008029966973449</v>
      </c>
      <c r="H63">
        <v>0.26821652293840748</v>
      </c>
      <c r="I63">
        <v>2.247652699823223E-2</v>
      </c>
      <c r="J63">
        <v>1.0694110445744851E-3</v>
      </c>
      <c r="K63">
        <v>1.798006740573034</v>
      </c>
      <c r="L63">
        <v>6.5506970143792804</v>
      </c>
      <c r="M63">
        <f t="shared" si="12"/>
        <v>0.67561101888775854</v>
      </c>
      <c r="N63">
        <f t="shared" si="17"/>
        <v>1.5790182391878469E-5</v>
      </c>
      <c r="O63">
        <f t="shared" si="18"/>
        <v>0.23898404488356478</v>
      </c>
      <c r="P63">
        <f t="shared" si="19"/>
        <v>1.7481624205850938E-3</v>
      </c>
      <c r="Q63">
        <f t="shared" si="20"/>
        <v>8.2143829638654228E-2</v>
      </c>
      <c r="R63">
        <f t="shared" si="13"/>
        <v>1.3763300301148967E-3</v>
      </c>
      <c r="S63">
        <f t="shared" si="21"/>
        <v>1.1533636608755499E-4</v>
      </c>
      <c r="T63">
        <f t="shared" si="14"/>
        <v>5.4875908428743551E-6</v>
      </c>
      <c r="U63">
        <f t="shared" si="15"/>
        <v>0.21536358138309625</v>
      </c>
      <c r="V63">
        <f t="shared" si="16"/>
        <v>0.7846364186169037</v>
      </c>
    </row>
    <row r="64" spans="1:22" hidden="1" x14ac:dyDescent="0.25">
      <c r="A64" t="s">
        <v>92</v>
      </c>
      <c r="B64">
        <v>6313.2011097215418</v>
      </c>
      <c r="C64">
        <v>647.50767402804104</v>
      </c>
      <c r="D64">
        <v>6.3826291116268599E-2</v>
      </c>
      <c r="E64">
        <v>156.1362152592514</v>
      </c>
      <c r="F64">
        <v>0</v>
      </c>
      <c r="G64">
        <v>207.91217442841489</v>
      </c>
      <c r="H64">
        <v>1.390027504205781</v>
      </c>
      <c r="I64">
        <v>2.162750542824432</v>
      </c>
      <c r="J64">
        <v>6.7892770517914577E-2</v>
      </c>
      <c r="K64">
        <v>26.186443169878611</v>
      </c>
      <c r="L64">
        <v>474.78625676584699</v>
      </c>
      <c r="M64">
        <f t="shared" si="12"/>
        <v>0.6377874358194151</v>
      </c>
      <c r="N64">
        <f t="shared" si="17"/>
        <v>6.2868145323549603E-5</v>
      </c>
      <c r="O64">
        <f t="shared" si="18"/>
        <v>0.15379233384102517</v>
      </c>
      <c r="P64">
        <f t="shared" si="19"/>
        <v>0</v>
      </c>
      <c r="Q64">
        <f t="shared" si="20"/>
        <v>0.20479104406505483</v>
      </c>
      <c r="R64">
        <f t="shared" si="13"/>
        <v>1.3691607268695842E-3</v>
      </c>
      <c r="S64">
        <f t="shared" si="21"/>
        <v>2.1302838226521272E-3</v>
      </c>
      <c r="T64">
        <f t="shared" si="14"/>
        <v>6.6873579659569444E-5</v>
      </c>
      <c r="U64">
        <f t="shared" si="15"/>
        <v>5.2271197957969188E-2</v>
      </c>
      <c r="V64">
        <f t="shared" si="16"/>
        <v>0.9477288020420308</v>
      </c>
    </row>
    <row r="65" spans="1:22" hidden="1" x14ac:dyDescent="0.25">
      <c r="A65" t="s">
        <v>128</v>
      </c>
      <c r="B65">
        <v>14119.95213515897</v>
      </c>
      <c r="C65">
        <v>467.6822407916394</v>
      </c>
      <c r="D65">
        <v>0</v>
      </c>
      <c r="E65">
        <v>6.2774223577012673</v>
      </c>
      <c r="F65">
        <v>0</v>
      </c>
      <c r="G65">
        <v>23.283179472819189</v>
      </c>
      <c r="H65">
        <v>3.632225396210512</v>
      </c>
      <c r="I65">
        <v>0.23694143103433099</v>
      </c>
      <c r="J65">
        <v>0</v>
      </c>
      <c r="K65">
        <v>11.101354620191691</v>
      </c>
      <c r="L65">
        <v>761.36650562789794</v>
      </c>
      <c r="M65">
        <f t="shared" si="12"/>
        <v>0.9332888295882269</v>
      </c>
      <c r="N65">
        <f t="shared" si="17"/>
        <v>0</v>
      </c>
      <c r="O65">
        <f t="shared" si="18"/>
        <v>1.2526984465206822E-2</v>
      </c>
      <c r="P65">
        <f t="shared" si="19"/>
        <v>0</v>
      </c>
      <c r="Q65">
        <f t="shared" si="20"/>
        <v>4.6463024301496007E-2</v>
      </c>
      <c r="R65">
        <f t="shared" si="13"/>
        <v>7.2483303686962297E-3</v>
      </c>
      <c r="S65">
        <f t="shared" si="21"/>
        <v>4.7283127637405792E-4</v>
      </c>
      <c r="T65">
        <f t="shared" si="14"/>
        <v>0</v>
      </c>
      <c r="U65">
        <f t="shared" si="15"/>
        <v>1.4371283507674124E-2</v>
      </c>
      <c r="V65">
        <f t="shared" si="16"/>
        <v>0.98562871649232586</v>
      </c>
    </row>
    <row r="66" spans="1:22" x14ac:dyDescent="0.25">
      <c r="A66" t="s">
        <v>125</v>
      </c>
      <c r="B66">
        <v>21466.147579956469</v>
      </c>
      <c r="C66">
        <v>107.2129761753754</v>
      </c>
      <c r="D66">
        <v>0</v>
      </c>
      <c r="E66">
        <v>0.97260359738373703</v>
      </c>
      <c r="F66">
        <v>0</v>
      </c>
      <c r="G66">
        <v>7.2896436120066426</v>
      </c>
      <c r="H66">
        <v>1.7722708413918991</v>
      </c>
      <c r="I66">
        <v>0.88104718845251173</v>
      </c>
      <c r="J66">
        <v>0</v>
      </c>
      <c r="K66">
        <v>1.775906325812814</v>
      </c>
      <c r="L66">
        <v>6.2968986676672989</v>
      </c>
      <c r="M66">
        <f t="shared" ref="M66:M78" si="22">C66/SUM($C66:$J66)</f>
        <v>0.90759586880089294</v>
      </c>
      <c r="N66">
        <f t="shared" si="17"/>
        <v>0</v>
      </c>
      <c r="O66">
        <f t="shared" si="18"/>
        <v>8.2334344074398678E-3</v>
      </c>
      <c r="P66">
        <f t="shared" si="19"/>
        <v>0</v>
      </c>
      <c r="Q66">
        <f t="shared" si="20"/>
        <v>6.1709418610539586E-2</v>
      </c>
      <c r="R66">
        <f t="shared" ref="R66:R78" si="23">H66/SUM($C66:$J66)</f>
        <v>1.5002901247815659E-2</v>
      </c>
      <c r="S66">
        <f t="shared" si="21"/>
        <v>7.4583769333119304E-3</v>
      </c>
      <c r="T66">
        <f t="shared" ref="T66:T78" si="24">J66/SUM($C66:$J66)</f>
        <v>0</v>
      </c>
      <c r="U66">
        <f t="shared" ref="U66:U78" si="25">K66/($K66+$L66)</f>
        <v>0.21998627828209649</v>
      </c>
      <c r="V66">
        <f t="shared" ref="V66:V78" si="26">L66/($K66+$L66)</f>
        <v>0.78001372171790362</v>
      </c>
    </row>
    <row r="67" spans="1:22" hidden="1" x14ac:dyDescent="0.25">
      <c r="A67" t="s">
        <v>140</v>
      </c>
      <c r="B67">
        <v>19403.888664424201</v>
      </c>
      <c r="C67">
        <v>2101.339315922331</v>
      </c>
      <c r="D67">
        <v>0</v>
      </c>
      <c r="E67">
        <v>0.21958675797194241</v>
      </c>
      <c r="F67">
        <v>3.7478971776842181E-2</v>
      </c>
      <c r="G67">
        <v>82.421893345325756</v>
      </c>
      <c r="H67">
        <v>11.47962802721587</v>
      </c>
      <c r="I67">
        <v>1.4916883739040541</v>
      </c>
      <c r="J67">
        <v>0</v>
      </c>
      <c r="K67">
        <v>62.312050472951817</v>
      </c>
      <c r="L67">
        <v>384.96242300517793</v>
      </c>
      <c r="M67">
        <f t="shared" si="22"/>
        <v>0.95646302747601686</v>
      </c>
      <c r="N67">
        <f t="shared" ref="N67:N78" si="27">D67/SUM($C67:$J67)</f>
        <v>0</v>
      </c>
      <c r="O67">
        <f t="shared" ref="O67:O78" si="28">E67/SUM($C67:$J67)</f>
        <v>9.9948929586034707E-5</v>
      </c>
      <c r="P67">
        <f t="shared" ref="P67:P78" si="29">F67/SUM($C67:$J67)</f>
        <v>1.7059239571992873E-5</v>
      </c>
      <c r="Q67">
        <f t="shared" ref="Q67:Q78" si="30">G67/SUM($C67:$J67)</f>
        <v>3.7515832422701151E-2</v>
      </c>
      <c r="R67">
        <f t="shared" si="23"/>
        <v>5.2251626826817811E-3</v>
      </c>
      <c r="S67">
        <f t="shared" ref="S67:S78" si="31">I67/SUM($C67:$J67)</f>
        <v>6.789692494421415E-4</v>
      </c>
      <c r="T67">
        <f t="shared" si="24"/>
        <v>0</v>
      </c>
      <c r="U67">
        <f t="shared" si="25"/>
        <v>0.1393150160982721</v>
      </c>
      <c r="V67">
        <f t="shared" si="26"/>
        <v>0.86068498390172798</v>
      </c>
    </row>
    <row r="68" spans="1:22" hidden="1" x14ac:dyDescent="0.25">
      <c r="A68" t="s">
        <v>100</v>
      </c>
      <c r="B68">
        <v>8033.7996285452773</v>
      </c>
      <c r="C68">
        <v>570.83531770815102</v>
      </c>
      <c r="D68">
        <v>0</v>
      </c>
      <c r="E68">
        <v>6.9216287107117527</v>
      </c>
      <c r="F68">
        <v>9.2430655966229663E-3</v>
      </c>
      <c r="G68">
        <v>10.77261788386588</v>
      </c>
      <c r="H68">
        <v>4.1501971700021079</v>
      </c>
      <c r="I68">
        <v>17.242565013461171</v>
      </c>
      <c r="J68">
        <v>1.2969331445103951E-2</v>
      </c>
      <c r="K68">
        <v>144.3812872671852</v>
      </c>
      <c r="L68">
        <v>80.420641260262741</v>
      </c>
      <c r="M68">
        <f t="shared" si="22"/>
        <v>0.93588069294515053</v>
      </c>
      <c r="N68">
        <f t="shared" si="27"/>
        <v>0</v>
      </c>
      <c r="O68">
        <f t="shared" si="28"/>
        <v>1.1347964067986865E-2</v>
      </c>
      <c r="P68">
        <f t="shared" si="29"/>
        <v>1.5153944346393166E-5</v>
      </c>
      <c r="Q68">
        <f t="shared" si="30"/>
        <v>1.7661635111267327E-2</v>
      </c>
      <c r="R68">
        <f t="shared" si="23"/>
        <v>6.8042205568408431E-3</v>
      </c>
      <c r="S68">
        <f t="shared" si="31"/>
        <v>2.8269070242076626E-2</v>
      </c>
      <c r="T68">
        <f t="shared" si="24"/>
        <v>2.1263132331424592E-5</v>
      </c>
      <c r="U68">
        <f t="shared" si="25"/>
        <v>0.64226000289653418</v>
      </c>
      <c r="V68">
        <f t="shared" si="26"/>
        <v>0.35773999710346571</v>
      </c>
    </row>
    <row r="69" spans="1:22" x14ac:dyDescent="0.25">
      <c r="A69" t="s">
        <v>95</v>
      </c>
      <c r="B69">
        <v>9994.5499615667923</v>
      </c>
      <c r="C69">
        <v>64.60280156386105</v>
      </c>
      <c r="D69">
        <v>0</v>
      </c>
      <c r="E69">
        <v>0.86447844406662533</v>
      </c>
      <c r="F69">
        <v>6.5912021379765852E-5</v>
      </c>
      <c r="G69">
        <v>2.201352135345334</v>
      </c>
      <c r="H69">
        <v>0.35437327764706411</v>
      </c>
      <c r="I69">
        <v>0.76405021763939662</v>
      </c>
      <c r="J69">
        <v>0</v>
      </c>
      <c r="K69">
        <v>3.3555434497021079</v>
      </c>
      <c r="L69">
        <v>1.9022054309121299</v>
      </c>
      <c r="M69">
        <f t="shared" si="22"/>
        <v>0.93917000897263936</v>
      </c>
      <c r="N69">
        <f t="shared" si="27"/>
        <v>0</v>
      </c>
      <c r="O69">
        <f t="shared" si="28"/>
        <v>1.2567446123340882E-2</v>
      </c>
      <c r="P69">
        <f t="shared" si="29"/>
        <v>9.582029294727667E-7</v>
      </c>
      <c r="Q69">
        <f t="shared" si="30"/>
        <v>3.2002387739493154E-2</v>
      </c>
      <c r="R69">
        <f t="shared" si="23"/>
        <v>5.1517387217094816E-3</v>
      </c>
      <c r="S69">
        <f t="shared" si="31"/>
        <v>1.1107460239887663E-2</v>
      </c>
      <c r="T69">
        <f t="shared" si="24"/>
        <v>0</v>
      </c>
      <c r="U69">
        <f t="shared" si="25"/>
        <v>0.63820915108256282</v>
      </c>
      <c r="V69">
        <f t="shared" si="26"/>
        <v>0.36179084891743712</v>
      </c>
    </row>
    <row r="70" spans="1:22" hidden="1" x14ac:dyDescent="0.25">
      <c r="A70" t="s">
        <v>143</v>
      </c>
      <c r="B70">
        <v>9330.8849054874718</v>
      </c>
      <c r="C70">
        <v>326.37975424928709</v>
      </c>
      <c r="D70">
        <v>0</v>
      </c>
      <c r="E70">
        <v>28.634729168461469</v>
      </c>
      <c r="F70">
        <v>0.12888594022162289</v>
      </c>
      <c r="G70">
        <v>32.869289883848147</v>
      </c>
      <c r="H70">
        <v>4.6774882274663394</v>
      </c>
      <c r="I70">
        <v>1.9248563625082029</v>
      </c>
      <c r="J70">
        <v>0.12655448462618529</v>
      </c>
      <c r="K70">
        <v>9.9894298524179241</v>
      </c>
      <c r="L70">
        <v>143.86692924263309</v>
      </c>
      <c r="M70">
        <f t="shared" si="22"/>
        <v>0.82681883215262042</v>
      </c>
      <c r="N70">
        <f t="shared" si="27"/>
        <v>0</v>
      </c>
      <c r="O70">
        <f t="shared" si="28"/>
        <v>7.2540447199401017E-2</v>
      </c>
      <c r="P70">
        <f t="shared" si="29"/>
        <v>3.265071475405937E-4</v>
      </c>
      <c r="Q70">
        <f t="shared" si="30"/>
        <v>8.3267872843275872E-2</v>
      </c>
      <c r="R70">
        <f t="shared" si="23"/>
        <v>1.1849495268286228E-2</v>
      </c>
      <c r="S70">
        <f t="shared" si="31"/>
        <v>4.8762445249437517E-3</v>
      </c>
      <c r="T70">
        <f t="shared" si="24"/>
        <v>3.2060086393219606E-4</v>
      </c>
      <c r="U70">
        <f t="shared" si="25"/>
        <v>6.4926987166299369E-2</v>
      </c>
      <c r="V70">
        <f t="shared" si="26"/>
        <v>0.9350730128337007</v>
      </c>
    </row>
    <row r="71" spans="1:22" hidden="1" x14ac:dyDescent="0.25">
      <c r="A71" t="s">
        <v>150</v>
      </c>
      <c r="B71">
        <v>42702.525904684662</v>
      </c>
      <c r="C71">
        <v>3460.5134850209211</v>
      </c>
      <c r="D71">
        <v>0.44110068530854551</v>
      </c>
      <c r="E71">
        <v>37.100066353213322</v>
      </c>
      <c r="F71">
        <v>3.1044987315175809E-2</v>
      </c>
      <c r="G71">
        <v>934.79258615990511</v>
      </c>
      <c r="H71">
        <v>0.39513814095076838</v>
      </c>
      <c r="I71">
        <v>0.2875572169020994</v>
      </c>
      <c r="J71">
        <v>4.611842530929483E-2</v>
      </c>
      <c r="K71">
        <v>1098.6709023125011</v>
      </c>
      <c r="L71">
        <v>1391.3275502211691</v>
      </c>
      <c r="M71">
        <f t="shared" si="22"/>
        <v>0.78051875353826894</v>
      </c>
      <c r="N71">
        <f t="shared" si="27"/>
        <v>9.9490251539886926E-5</v>
      </c>
      <c r="O71">
        <f t="shared" si="28"/>
        <v>8.367919290458152E-3</v>
      </c>
      <c r="P71">
        <f t="shared" si="29"/>
        <v>7.0021963236782184E-6</v>
      </c>
      <c r="Q71">
        <f t="shared" si="30"/>
        <v>0.21084245078788733</v>
      </c>
      <c r="R71">
        <f t="shared" si="23"/>
        <v>8.9123400496865279E-5</v>
      </c>
      <c r="S71">
        <f t="shared" si="31"/>
        <v>6.4858525036495666E-5</v>
      </c>
      <c r="T71">
        <f t="shared" si="24"/>
        <v>1.0402009988798218E-5</v>
      </c>
      <c r="U71">
        <f t="shared" si="25"/>
        <v>0.44123356831590022</v>
      </c>
      <c r="V71">
        <f t="shared" si="26"/>
        <v>0.55876643168409967</v>
      </c>
    </row>
    <row r="72" spans="1:22" x14ac:dyDescent="0.25">
      <c r="A72" t="s">
        <v>151</v>
      </c>
      <c r="B72">
        <v>53129.184166744817</v>
      </c>
      <c r="C72">
        <v>2267.1579563659911</v>
      </c>
      <c r="D72">
        <v>0.85260213067615598</v>
      </c>
      <c r="E72">
        <v>115.2745587131399</v>
      </c>
      <c r="F72">
        <v>4.6565337354653402E-2</v>
      </c>
      <c r="G72">
        <v>211.35401069653801</v>
      </c>
      <c r="H72">
        <v>1.006376929066142</v>
      </c>
      <c r="I72">
        <v>0.37832345013829838</v>
      </c>
      <c r="J72">
        <v>0.1325550727346988</v>
      </c>
      <c r="K72">
        <v>13.976764618542569</v>
      </c>
      <c r="L72">
        <v>17.622500794255419</v>
      </c>
      <c r="M72">
        <f t="shared" si="22"/>
        <v>0.87325914081756839</v>
      </c>
      <c r="N72">
        <f t="shared" si="27"/>
        <v>3.2840349831068206E-4</v>
      </c>
      <c r="O72">
        <f t="shared" si="28"/>
        <v>4.4401212459547937E-2</v>
      </c>
      <c r="P72">
        <f t="shared" si="29"/>
        <v>1.7935938859497999E-5</v>
      </c>
      <c r="Q72">
        <f t="shared" si="30"/>
        <v>8.1408894016827382E-2</v>
      </c>
      <c r="R72">
        <f t="shared" si="23"/>
        <v>3.8763415224212606E-4</v>
      </c>
      <c r="S72">
        <f t="shared" si="31"/>
        <v>1.4572183208110608E-4</v>
      </c>
      <c r="T72">
        <f t="shared" si="24"/>
        <v>5.1057284562940631E-5</v>
      </c>
      <c r="U72">
        <f t="shared" si="25"/>
        <v>0.44231295999943887</v>
      </c>
      <c r="V72">
        <f t="shared" si="26"/>
        <v>0.55768704000056113</v>
      </c>
    </row>
    <row r="73" spans="1:22" hidden="1" x14ac:dyDescent="0.25">
      <c r="A73" t="s">
        <v>146</v>
      </c>
      <c r="B73">
        <v>9297.3326132160164</v>
      </c>
      <c r="C73">
        <v>542.30435571249541</v>
      </c>
      <c r="D73">
        <v>0</v>
      </c>
      <c r="E73">
        <v>0.85777650820279905</v>
      </c>
      <c r="F73">
        <v>0</v>
      </c>
      <c r="G73">
        <v>41.287951289467628</v>
      </c>
      <c r="H73">
        <v>1.335108437971802E-2</v>
      </c>
      <c r="I73">
        <v>7.3259565478789521E-2</v>
      </c>
      <c r="J73">
        <v>0</v>
      </c>
      <c r="K73">
        <v>45.022484493988557</v>
      </c>
      <c r="L73">
        <v>124.39767242247549</v>
      </c>
      <c r="M73">
        <f t="shared" si="22"/>
        <v>0.92775074880762354</v>
      </c>
      <c r="N73">
        <f t="shared" si="27"/>
        <v>0</v>
      </c>
      <c r="O73">
        <f t="shared" si="28"/>
        <v>1.46744681176161E-3</v>
      </c>
      <c r="P73">
        <f t="shared" si="29"/>
        <v>0</v>
      </c>
      <c r="Q73">
        <f t="shared" si="30"/>
        <v>7.0633634640846904E-2</v>
      </c>
      <c r="R73">
        <f t="shared" si="23"/>
        <v>2.2840455548994142E-5</v>
      </c>
      <c r="S73">
        <f t="shared" si="31"/>
        <v>1.2532928421895407E-4</v>
      </c>
      <c r="T73">
        <f t="shared" si="24"/>
        <v>0</v>
      </c>
      <c r="U73">
        <f t="shared" si="25"/>
        <v>0.2657445566892479</v>
      </c>
      <c r="V73">
        <f t="shared" si="26"/>
        <v>0.73425544331075199</v>
      </c>
    </row>
    <row r="74" spans="1:22" hidden="1" x14ac:dyDescent="0.25">
      <c r="A74" t="s">
        <v>83</v>
      </c>
      <c r="B74">
        <v>2641.734459797955</v>
      </c>
      <c r="C74">
        <v>34.17954524030629</v>
      </c>
      <c r="D74">
        <v>0</v>
      </c>
      <c r="E74">
        <v>8.9360952735168836E-2</v>
      </c>
      <c r="F74">
        <v>9.2323402413667889E-5</v>
      </c>
      <c r="G74">
        <v>77.497830557105971</v>
      </c>
      <c r="H74">
        <v>3.322842473476785E-2</v>
      </c>
      <c r="I74">
        <v>2.0960455001797018</v>
      </c>
      <c r="J74">
        <v>1.0799114058805031E-2</v>
      </c>
      <c r="K74">
        <v>89.851645091864697</v>
      </c>
      <c r="L74">
        <v>1215.811699823292</v>
      </c>
      <c r="M74">
        <f t="shared" si="22"/>
        <v>0.3000656203128233</v>
      </c>
      <c r="N74">
        <f t="shared" si="27"/>
        <v>0</v>
      </c>
      <c r="O74">
        <f t="shared" si="28"/>
        <v>7.8450867399495669E-4</v>
      </c>
      <c r="P74">
        <f t="shared" si="29"/>
        <v>8.1051631377408605E-7</v>
      </c>
      <c r="Q74">
        <f t="shared" si="30"/>
        <v>0.68036114686491622</v>
      </c>
      <c r="R74">
        <f t="shared" si="23"/>
        <v>2.9171563898685524E-4</v>
      </c>
      <c r="S74">
        <f t="shared" si="31"/>
        <v>1.8401391498726917E-2</v>
      </c>
      <c r="T74">
        <f t="shared" si="24"/>
        <v>9.4806494238049846E-5</v>
      </c>
      <c r="U74">
        <f t="shared" si="25"/>
        <v>6.8816855004613264E-2</v>
      </c>
      <c r="V74">
        <f t="shared" si="26"/>
        <v>0.93118314499538679</v>
      </c>
    </row>
    <row r="75" spans="1:22" x14ac:dyDescent="0.25">
      <c r="A75" t="s">
        <v>80</v>
      </c>
      <c r="B75">
        <v>3394.532603624647</v>
      </c>
      <c r="C75">
        <v>35.110578471165503</v>
      </c>
      <c r="D75">
        <v>0</v>
      </c>
      <c r="E75">
        <v>0.1705909943450947</v>
      </c>
      <c r="F75">
        <v>3.0940278625215787E-5</v>
      </c>
      <c r="G75">
        <v>52.303307210422332</v>
      </c>
      <c r="H75">
        <v>0.77008510437063171</v>
      </c>
      <c r="I75">
        <v>1.8493326776558211E-2</v>
      </c>
      <c r="J75">
        <v>6.395501665471757E-4</v>
      </c>
      <c r="K75">
        <v>3.5615810125118852</v>
      </c>
      <c r="L75">
        <v>63.824111806907837</v>
      </c>
      <c r="M75">
        <f t="shared" si="22"/>
        <v>0.39729657467500368</v>
      </c>
      <c r="N75">
        <f t="shared" si="27"/>
        <v>0</v>
      </c>
      <c r="O75">
        <f t="shared" si="28"/>
        <v>1.9303361173433618E-3</v>
      </c>
      <c r="P75">
        <f t="shared" si="29"/>
        <v>3.5010721134610841E-7</v>
      </c>
      <c r="Q75">
        <f t="shared" si="30"/>
        <v>0.59184227955516855</v>
      </c>
      <c r="R75">
        <f t="shared" si="23"/>
        <v>8.7139599373435937E-3</v>
      </c>
      <c r="S75">
        <f t="shared" si="31"/>
        <v>2.0926272657985655E-4</v>
      </c>
      <c r="T75">
        <f t="shared" si="24"/>
        <v>7.2368813493258977E-6</v>
      </c>
      <c r="U75">
        <f t="shared" si="25"/>
        <v>5.2853667648060182E-2</v>
      </c>
      <c r="V75">
        <f t="shared" si="26"/>
        <v>0.9471463323519399</v>
      </c>
    </row>
    <row r="76" spans="1:22" hidden="1" x14ac:dyDescent="0.25">
      <c r="A76" t="s">
        <v>149</v>
      </c>
      <c r="B76">
        <v>18656.29543171874</v>
      </c>
      <c r="C76">
        <v>574.89521696701479</v>
      </c>
      <c r="D76">
        <v>0</v>
      </c>
      <c r="E76">
        <v>7.2500259550850039</v>
      </c>
      <c r="F76">
        <v>0</v>
      </c>
      <c r="G76">
        <v>30.572823084825831</v>
      </c>
      <c r="H76">
        <v>5.4044962376024106</v>
      </c>
      <c r="I76">
        <v>1.1179886194868429</v>
      </c>
      <c r="J76">
        <v>0</v>
      </c>
      <c r="K76">
        <v>12.877260946004499</v>
      </c>
      <c r="L76">
        <v>767.66340429556521</v>
      </c>
      <c r="M76">
        <f t="shared" si="22"/>
        <v>0.92838754853000849</v>
      </c>
      <c r="N76">
        <f t="shared" si="27"/>
        <v>0</v>
      </c>
      <c r="O76">
        <f t="shared" si="28"/>
        <v>1.1707931505727746E-2</v>
      </c>
      <c r="P76">
        <f t="shared" si="29"/>
        <v>0</v>
      </c>
      <c r="Q76">
        <f t="shared" si="30"/>
        <v>4.9371480989363725E-2</v>
      </c>
      <c r="R76">
        <f t="shared" si="23"/>
        <v>8.7276200340265474E-3</v>
      </c>
      <c r="S76">
        <f t="shared" si="31"/>
        <v>1.8054189408735169E-3</v>
      </c>
      <c r="T76">
        <f t="shared" si="24"/>
        <v>0</v>
      </c>
      <c r="U76">
        <f t="shared" si="25"/>
        <v>1.6497873229986183E-2</v>
      </c>
      <c r="V76">
        <f t="shared" si="26"/>
        <v>0.98350212677001381</v>
      </c>
    </row>
    <row r="77" spans="1:22" hidden="1" x14ac:dyDescent="0.25">
      <c r="A77" t="s">
        <v>144</v>
      </c>
      <c r="B77">
        <v>33182.204031909663</v>
      </c>
      <c r="C77">
        <v>3156.0684608109068</v>
      </c>
      <c r="D77">
        <v>9.5620987086160059E-3</v>
      </c>
      <c r="E77">
        <v>12.687258968661011</v>
      </c>
      <c r="F77">
        <v>1.150378598002522E-2</v>
      </c>
      <c r="G77">
        <v>134.83890294768329</v>
      </c>
      <c r="H77">
        <v>5.8763865198054344</v>
      </c>
      <c r="I77">
        <v>9.9022600144688049</v>
      </c>
      <c r="J77">
        <v>5.1558678650211333E-2</v>
      </c>
      <c r="K77">
        <v>173.4860503131876</v>
      </c>
      <c r="L77">
        <v>129.7092229151659</v>
      </c>
      <c r="M77">
        <f t="shared" si="22"/>
        <v>0.95078171531041167</v>
      </c>
      <c r="N77">
        <f t="shared" si="27"/>
        <v>2.8806309891672865E-6</v>
      </c>
      <c r="O77">
        <f t="shared" si="28"/>
        <v>3.8221014514088049E-3</v>
      </c>
      <c r="P77">
        <f t="shared" si="29"/>
        <v>3.4655741795417156E-6</v>
      </c>
      <c r="Q77">
        <f t="shared" si="30"/>
        <v>4.0620907000931364E-2</v>
      </c>
      <c r="R77">
        <f t="shared" si="23"/>
        <v>1.7702914003620979E-3</v>
      </c>
      <c r="S77">
        <f t="shared" si="31"/>
        <v>2.9831063168976159E-3</v>
      </c>
      <c r="T77">
        <f t="shared" si="24"/>
        <v>1.5532314819809381E-5</v>
      </c>
      <c r="U77">
        <f t="shared" si="25"/>
        <v>0.5721924635102259</v>
      </c>
      <c r="V77">
        <f t="shared" si="26"/>
        <v>0.42780753648977421</v>
      </c>
    </row>
    <row r="78" spans="1:22" x14ac:dyDescent="0.25">
      <c r="A78" t="s">
        <v>145</v>
      </c>
      <c r="B78">
        <v>40848.104684907797</v>
      </c>
      <c r="C78">
        <v>932.65370261636326</v>
      </c>
      <c r="D78">
        <v>7.6281824297090694E-3</v>
      </c>
      <c r="E78">
        <v>9.9676227647394242</v>
      </c>
      <c r="F78">
        <v>1.9893568020166001E-2</v>
      </c>
      <c r="G78">
        <v>18.234894657603679</v>
      </c>
      <c r="H78">
        <v>6.78982288507419</v>
      </c>
      <c r="I78">
        <v>5.7928816708660538</v>
      </c>
      <c r="J78">
        <v>1.0890755015788581E-2</v>
      </c>
      <c r="K78">
        <v>1.972236110206586</v>
      </c>
      <c r="L78">
        <v>1.872227305383672</v>
      </c>
      <c r="M78">
        <f t="shared" si="22"/>
        <v>0.9580641141525098</v>
      </c>
      <c r="N78">
        <f t="shared" si="27"/>
        <v>7.8360143980676847E-6</v>
      </c>
      <c r="O78">
        <f t="shared" si="28"/>
        <v>1.0239193440734774E-2</v>
      </c>
      <c r="P78">
        <f t="shared" si="29"/>
        <v>2.0435573856733911E-5</v>
      </c>
      <c r="Q78">
        <f t="shared" si="30"/>
        <v>1.8731709473508169E-2</v>
      </c>
      <c r="R78">
        <f t="shared" si="23"/>
        <v>6.974813512660054E-3</v>
      </c>
      <c r="S78">
        <f t="shared" si="31"/>
        <v>5.9507103556436609E-3</v>
      </c>
      <c r="T78">
        <f t="shared" si="24"/>
        <v>1.1187476688703413E-5</v>
      </c>
      <c r="U78">
        <f t="shared" si="25"/>
        <v>0.51300686129790618</v>
      </c>
      <c r="V78">
        <f t="shared" si="26"/>
        <v>0.48699313870209388</v>
      </c>
    </row>
    <row r="79" spans="1:22" hidden="1" x14ac:dyDescent="0.25">
      <c r="A79" t="s">
        <v>152</v>
      </c>
      <c r="B79">
        <v>49923.685627894141</v>
      </c>
      <c r="C79">
        <v>5727.6714413869122</v>
      </c>
      <c r="D79">
        <v>1.293702815984701</v>
      </c>
      <c r="E79">
        <v>152.37462506635319</v>
      </c>
      <c r="F79">
        <v>7.7610324669829214E-2</v>
      </c>
      <c r="G79">
        <v>1146.146596856443</v>
      </c>
      <c r="H79">
        <v>1.401515070016911</v>
      </c>
      <c r="I79">
        <v>0.66588066704039783</v>
      </c>
      <c r="J79">
        <v>0.1786734980439936</v>
      </c>
      <c r="K79">
        <v>1112.647666931043</v>
      </c>
      <c r="L79">
        <v>1408.9500510154239</v>
      </c>
      <c r="M79">
        <f t="shared" ref="M79" si="32">C79/SUM($C79:$J79)</f>
        <v>0.81476901995413975</v>
      </c>
      <c r="N79">
        <f t="shared" ref="N79" si="33">D79/SUM($C79:$J79)</f>
        <v>1.8403097773299142E-4</v>
      </c>
      <c r="O79">
        <f t="shared" ref="O79" si="34">E79/SUM($C79:$J79)</f>
        <v>2.1675496788120596E-2</v>
      </c>
      <c r="P79">
        <f t="shared" ref="P79" si="35">F79/SUM($C79:$J79)</f>
        <v>1.1040173797791653E-5</v>
      </c>
      <c r="Q79">
        <f t="shared" ref="Q79" si="36">G79/SUM($C79:$J79)</f>
        <v>0.16304090571549495</v>
      </c>
      <c r="R79">
        <f t="shared" ref="R79" si="37">H79/SUM($C79:$J79)</f>
        <v>1.9936741688732953E-4</v>
      </c>
      <c r="S79">
        <f t="shared" ref="S79" si="38">I79/SUM($C79:$J79)</f>
        <v>9.4722426738839285E-5</v>
      </c>
      <c r="T79">
        <f t="shared" ref="T79" si="39">J79/SUM($C79:$J79)</f>
        <v>2.5416547087734495E-5</v>
      </c>
      <c r="U79">
        <f t="shared" ref="U79" si="40">K79/($K79+$L79)</f>
        <v>0.44124709465439965</v>
      </c>
      <c r="V79">
        <f t="shared" ref="V79" si="41">L79/($K79+$L79)</f>
        <v>0.55875290534560029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2D3E7-E13E-464C-8E26-C0C9D1D882FA}">
  <dimension ref="A1:T79"/>
  <sheetViews>
    <sheetView showGridLines="0" workbookViewId="0">
      <selection activeCell="G33" sqref="G33"/>
    </sheetView>
  </sheetViews>
  <sheetFormatPr defaultRowHeight="15" x14ac:dyDescent="0.25"/>
  <cols>
    <col min="1" max="1" width="13.42578125" customWidth="1"/>
    <col min="2" max="2" width="20" customWidth="1"/>
    <col min="3" max="3" width="14.7109375" customWidth="1"/>
    <col min="4" max="4" width="12.7109375" customWidth="1"/>
    <col min="5" max="5" width="15.85546875" customWidth="1"/>
    <col min="6" max="6" width="13.28515625" customWidth="1"/>
    <col min="7" max="7" width="19.7109375" customWidth="1"/>
    <col min="8" max="8" width="13" customWidth="1"/>
    <col min="9" max="9" width="12.85546875" customWidth="1"/>
    <col min="10" max="10" width="28.42578125" customWidth="1"/>
    <col min="11" max="11" width="27.5703125" customWidth="1"/>
    <col min="12" max="12" width="15.85546875" customWidth="1"/>
    <col min="13" max="13" width="13.7109375" customWidth="1"/>
    <col min="14" max="14" width="17" customWidth="1"/>
    <col min="15" max="15" width="14.28515625" customWidth="1"/>
    <col min="16" max="16" width="20.7109375" customWidth="1"/>
    <col min="17" max="17" width="14.140625" customWidth="1"/>
    <col min="18" max="18" width="13.85546875" customWidth="1"/>
    <col min="19" max="19" width="29.42578125" customWidth="1"/>
    <col min="20" max="20" width="29.7109375" customWidth="1"/>
  </cols>
  <sheetData>
    <row r="1" spans="1:20" x14ac:dyDescent="0.25">
      <c r="A1" t="s">
        <v>0</v>
      </c>
      <c r="B1" t="s">
        <v>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30</v>
      </c>
      <c r="J1" t="s">
        <v>28</v>
      </c>
      <c r="K1" t="s">
        <v>29</v>
      </c>
      <c r="L1" t="s">
        <v>201</v>
      </c>
      <c r="M1" t="s">
        <v>202</v>
      </c>
      <c r="N1" t="s">
        <v>203</v>
      </c>
      <c r="O1" t="s">
        <v>204</v>
      </c>
      <c r="P1" t="s">
        <v>205</v>
      </c>
      <c r="Q1" t="s">
        <v>206</v>
      </c>
      <c r="R1" t="s">
        <v>207</v>
      </c>
      <c r="S1" t="s">
        <v>208</v>
      </c>
      <c r="T1" t="s">
        <v>209</v>
      </c>
    </row>
    <row r="2" spans="1:20" hidden="1" x14ac:dyDescent="0.25">
      <c r="A2" t="s">
        <v>102</v>
      </c>
      <c r="B2">
        <v>13978.92747603566</v>
      </c>
      <c r="C2">
        <v>785.17618822499094</v>
      </c>
      <c r="D2">
        <v>1.6721498414817399E-3</v>
      </c>
      <c r="E2">
        <v>14.516722604318581</v>
      </c>
      <c r="F2">
        <v>0.15422472269552939</v>
      </c>
      <c r="G2">
        <v>88.66337649567366</v>
      </c>
      <c r="H2">
        <v>96.602342377274809</v>
      </c>
      <c r="I2">
        <v>0.3889431882325407</v>
      </c>
      <c r="J2">
        <v>471.91086719515567</v>
      </c>
      <c r="K2">
        <v>16494.563633051039</v>
      </c>
      <c r="L2">
        <v>0.79672595005047819</v>
      </c>
      <c r="M2">
        <v>1.6967467825190123E-6</v>
      </c>
      <c r="N2">
        <v>1.4730260267687586E-2</v>
      </c>
      <c r="O2">
        <v>1.5649333302967871E-4</v>
      </c>
      <c r="P2">
        <v>8.9967594448950541E-2</v>
      </c>
      <c r="Q2">
        <v>9.8023340699656417E-2</v>
      </c>
      <c r="R2">
        <v>3.9466445341492841E-4</v>
      </c>
      <c r="S2">
        <v>2.7814315059284E-2</v>
      </c>
      <c r="T2">
        <v>0.97218568494071611</v>
      </c>
    </row>
    <row r="3" spans="1:20" hidden="1" x14ac:dyDescent="0.25">
      <c r="A3" t="s">
        <v>98</v>
      </c>
      <c r="B3">
        <v>40401.591638855447</v>
      </c>
      <c r="C3">
        <v>711.97716779570908</v>
      </c>
      <c r="D3">
        <v>1.1572489514326149E-2</v>
      </c>
      <c r="E3">
        <v>12.924242147059131</v>
      </c>
      <c r="F3">
        <v>7.4230167547694209E-2</v>
      </c>
      <c r="G3">
        <v>0.66004292207045345</v>
      </c>
      <c r="H3">
        <v>1.2701697784772981</v>
      </c>
      <c r="I3">
        <v>0.17304845014871589</v>
      </c>
      <c r="J3">
        <v>1387.973465395243</v>
      </c>
      <c r="K3">
        <v>4175.6653495887749</v>
      </c>
      <c r="L3">
        <v>0.97921399536861031</v>
      </c>
      <c r="M3">
        <v>1.5916161649914291E-5</v>
      </c>
      <c r="N3">
        <v>1.7775287414222934E-2</v>
      </c>
      <c r="O3">
        <v>1.0209206450580377E-4</v>
      </c>
      <c r="P3">
        <v>9.0778650786851303E-4</v>
      </c>
      <c r="Q3">
        <v>1.7469212214064958E-3</v>
      </c>
      <c r="R3">
        <v>2.3800126173581366E-4</v>
      </c>
      <c r="S3">
        <v>0.24947224497340598</v>
      </c>
      <c r="T3">
        <v>0.75052775502659408</v>
      </c>
    </row>
    <row r="4" spans="1:20" hidden="1" x14ac:dyDescent="0.25">
      <c r="A4" t="s">
        <v>106</v>
      </c>
      <c r="B4">
        <v>9130.9997121729793</v>
      </c>
      <c r="C4">
        <v>359.12004235513803</v>
      </c>
      <c r="D4">
        <v>1.26595925290806E-3</v>
      </c>
      <c r="E4">
        <v>32.070003420106602</v>
      </c>
      <c r="F4">
        <v>7.558649528503698E-3</v>
      </c>
      <c r="G4">
        <v>16.548425480826818</v>
      </c>
      <c r="H4">
        <v>4.7843791527596888</v>
      </c>
      <c r="I4">
        <v>5.7573677454161663E-2</v>
      </c>
      <c r="J4">
        <v>170.96474171566371</v>
      </c>
      <c r="K4">
        <v>1572.1592038075751</v>
      </c>
      <c r="L4">
        <v>0.87040572067973021</v>
      </c>
      <c r="M4">
        <v>3.0683282633079355E-6</v>
      </c>
      <c r="N4">
        <v>7.772864543013977E-2</v>
      </c>
      <c r="O4">
        <v>1.8320035125515561E-5</v>
      </c>
      <c r="P4">
        <v>4.0108717164022124E-2</v>
      </c>
      <c r="Q4">
        <v>1.1595986002765889E-2</v>
      </c>
      <c r="R4">
        <v>1.3954235995304078E-4</v>
      </c>
      <c r="S4">
        <v>9.807950958091205E-2</v>
      </c>
      <c r="T4">
        <v>0.90192049041908795</v>
      </c>
    </row>
    <row r="5" spans="1:20" hidden="1" x14ac:dyDescent="0.25">
      <c r="A5" t="s">
        <v>114</v>
      </c>
      <c r="B5">
        <v>9848.8843294309481</v>
      </c>
      <c r="C5">
        <v>331.06245554916552</v>
      </c>
      <c r="D5">
        <v>0</v>
      </c>
      <c r="E5">
        <v>11.11521692279689</v>
      </c>
      <c r="F5">
        <v>4.5720951547271217E-2</v>
      </c>
      <c r="G5">
        <v>0.63632376663917489</v>
      </c>
      <c r="H5">
        <v>1.4143135451515489</v>
      </c>
      <c r="I5">
        <v>9.8629671676245326E-3</v>
      </c>
      <c r="J5">
        <v>273.72111395602991</v>
      </c>
      <c r="K5">
        <v>1744.0970172578191</v>
      </c>
      <c r="L5">
        <v>0.96159727946864526</v>
      </c>
      <c r="M5">
        <v>0</v>
      </c>
      <c r="N5">
        <v>3.2285033154652067E-2</v>
      </c>
      <c r="O5">
        <v>1.3280014657549884E-4</v>
      </c>
      <c r="P5">
        <v>1.8482530791553357E-3</v>
      </c>
      <c r="Q5">
        <v>4.107986377003759E-3</v>
      </c>
      <c r="R5">
        <v>2.86477739680386E-5</v>
      </c>
      <c r="S5">
        <v>0.13565202419475181</v>
      </c>
      <c r="T5">
        <v>0.86434797580524814</v>
      </c>
    </row>
    <row r="6" spans="1:20" hidden="1" x14ac:dyDescent="0.25">
      <c r="A6" t="s">
        <v>79</v>
      </c>
      <c r="B6">
        <v>22528.75337972062</v>
      </c>
      <c r="C6">
        <v>2622.8754760782681</v>
      </c>
      <c r="D6">
        <v>0.1103830012179621</v>
      </c>
      <c r="E6">
        <v>76.806250384631738</v>
      </c>
      <c r="F6">
        <v>4.9699525563255929E-2</v>
      </c>
      <c r="G6">
        <v>103.82349045443389</v>
      </c>
      <c r="H6">
        <v>59.080559639024237</v>
      </c>
      <c r="I6">
        <v>0.24806918952166909</v>
      </c>
      <c r="J6">
        <v>963.52427754456278</v>
      </c>
      <c r="K6">
        <v>1373.5757708828801</v>
      </c>
      <c r="L6">
        <v>0.91613029639246768</v>
      </c>
      <c r="M6">
        <v>3.8555094416340529E-5</v>
      </c>
      <c r="N6">
        <v>2.6827248785320161E-2</v>
      </c>
      <c r="O6">
        <v>1.7359284304609512E-5</v>
      </c>
      <c r="P6">
        <v>3.6263957610652021E-2</v>
      </c>
      <c r="Q6">
        <v>2.0635936058261046E-2</v>
      </c>
      <c r="R6">
        <v>8.6646774578155478E-5</v>
      </c>
      <c r="S6">
        <v>0.41227344040871777</v>
      </c>
      <c r="T6">
        <v>0.58772655959128228</v>
      </c>
    </row>
    <row r="7" spans="1:20" hidden="1" x14ac:dyDescent="0.25">
      <c r="A7" t="s">
        <v>101</v>
      </c>
      <c r="B7">
        <v>13987.612022866409</v>
      </c>
      <c r="C7">
        <v>3896.2161910533569</v>
      </c>
      <c r="D7">
        <v>1.1644420242933859</v>
      </c>
      <c r="E7">
        <v>908.35397566210463</v>
      </c>
      <c r="F7">
        <v>0.15538203160767031</v>
      </c>
      <c r="G7">
        <v>34.936709583046508</v>
      </c>
      <c r="H7">
        <v>26.61853225773179</v>
      </c>
      <c r="I7">
        <v>0.20820160520559611</v>
      </c>
      <c r="J7">
        <v>872.96697153214666</v>
      </c>
      <c r="K7">
        <v>4318.4953489123072</v>
      </c>
      <c r="L7">
        <v>0.80043007245847941</v>
      </c>
      <c r="M7">
        <v>2.392204046631378E-4</v>
      </c>
      <c r="N7">
        <v>0.18661024001355508</v>
      </c>
      <c r="O7">
        <v>3.192134232799046E-5</v>
      </c>
      <c r="P7">
        <v>7.177320664913743E-3</v>
      </c>
      <c r="Q7">
        <v>5.4684526368734164E-3</v>
      </c>
      <c r="R7">
        <v>4.2772479187206587E-5</v>
      </c>
      <c r="S7">
        <v>0.16815434990143774</v>
      </c>
      <c r="T7">
        <v>0.83184565009856215</v>
      </c>
    </row>
    <row r="8" spans="1:20" hidden="1" x14ac:dyDescent="0.25">
      <c r="A8" t="s">
        <v>129</v>
      </c>
      <c r="B8">
        <v>1904.82324488873</v>
      </c>
      <c r="C8">
        <v>52.711002147210927</v>
      </c>
      <c r="D8">
        <v>1.0075825633502559E-2</v>
      </c>
      <c r="E8">
        <v>0.94815755697771464</v>
      </c>
      <c r="F8">
        <v>3.8480206893675871E-4</v>
      </c>
      <c r="G8">
        <v>2.5549577943507842</v>
      </c>
      <c r="H8">
        <v>4.7182863925746679</v>
      </c>
      <c r="I8">
        <v>5.4203776547741847E-2</v>
      </c>
      <c r="J8">
        <v>65.461603858828838</v>
      </c>
      <c r="K8">
        <v>5003.0909748367731</v>
      </c>
      <c r="L8">
        <v>0.86415632128367259</v>
      </c>
      <c r="M8">
        <v>1.6518540833327747E-4</v>
      </c>
      <c r="N8">
        <v>1.5544313578916282E-2</v>
      </c>
      <c r="O8">
        <v>6.3085338310596043E-6</v>
      </c>
      <c r="P8">
        <v>4.1886567104815413E-2</v>
      </c>
      <c r="Q8">
        <v>7.7352674881478747E-2</v>
      </c>
      <c r="R8">
        <v>8.8862920895267498E-4</v>
      </c>
      <c r="S8">
        <v>1.2915246087015133E-2</v>
      </c>
      <c r="T8">
        <v>0.98708475391298478</v>
      </c>
    </row>
    <row r="9" spans="1:20" hidden="1" x14ac:dyDescent="0.25">
      <c r="A9" t="s">
        <v>110</v>
      </c>
      <c r="B9">
        <v>5166.8535909133188</v>
      </c>
      <c r="C9">
        <v>3939.7156893557631</v>
      </c>
      <c r="D9">
        <v>0.70404588150389669</v>
      </c>
      <c r="E9">
        <v>202.9137150653487</v>
      </c>
      <c r="F9">
        <v>2.1287952883371162</v>
      </c>
      <c r="G9">
        <v>35.980530727293967</v>
      </c>
      <c r="H9">
        <v>4.7045336426730042</v>
      </c>
      <c r="I9">
        <v>0.16297387817841691</v>
      </c>
      <c r="J9">
        <v>93.314690660138993</v>
      </c>
      <c r="K9">
        <v>4860.4759888056115</v>
      </c>
      <c r="L9">
        <v>0.94109500305429039</v>
      </c>
      <c r="M9">
        <v>1.6817814107611832E-4</v>
      </c>
      <c r="N9">
        <v>4.8470777679495043E-2</v>
      </c>
      <c r="O9">
        <v>5.0851349852282885E-4</v>
      </c>
      <c r="P9">
        <v>8.5948074289174912E-3</v>
      </c>
      <c r="Q9">
        <v>1.1237900021014841E-3</v>
      </c>
      <c r="R9">
        <v>3.8930195596720097E-5</v>
      </c>
      <c r="S9">
        <v>1.8837027379243781E-2</v>
      </c>
      <c r="T9">
        <v>0.98116297262075625</v>
      </c>
    </row>
    <row r="10" spans="1:20" hidden="1" x14ac:dyDescent="0.25">
      <c r="A10" t="s">
        <v>143</v>
      </c>
      <c r="B10">
        <v>9330.8849054874718</v>
      </c>
      <c r="C10">
        <v>1261.0549241656449</v>
      </c>
      <c r="D10">
        <v>0</v>
      </c>
      <c r="E10">
        <v>358.12944054867398</v>
      </c>
      <c r="F10">
        <v>0.48768613910618958</v>
      </c>
      <c r="G10">
        <v>382.27212077305091</v>
      </c>
      <c r="H10">
        <v>11.34224377028152</v>
      </c>
      <c r="I10">
        <v>4.6353993629991788</v>
      </c>
      <c r="J10">
        <v>114.952170821148</v>
      </c>
      <c r="K10">
        <v>2334.0880013740029</v>
      </c>
      <c r="L10">
        <v>0.62492754423975516</v>
      </c>
      <c r="M10">
        <v>0</v>
      </c>
      <c r="N10">
        <v>0.17747438871476348</v>
      </c>
      <c r="O10">
        <v>2.4167742057154527E-4</v>
      </c>
      <c r="P10">
        <v>0.18943851936035602</v>
      </c>
      <c r="Q10">
        <v>5.620754821777805E-3</v>
      </c>
      <c r="R10">
        <v>2.2971154427759858E-3</v>
      </c>
      <c r="S10">
        <v>4.6937641989805656E-2</v>
      </c>
      <c r="T10">
        <v>0.95306235801019423</v>
      </c>
    </row>
    <row r="11" spans="1:20" hidden="1" x14ac:dyDescent="0.25">
      <c r="A11" t="s">
        <v>113</v>
      </c>
      <c r="B11">
        <v>35167.658047196557</v>
      </c>
      <c r="C11">
        <v>2322.3824255941859</v>
      </c>
      <c r="D11">
        <v>1.9578296016160499E-3</v>
      </c>
      <c r="E11">
        <v>36.857984913576608</v>
      </c>
      <c r="F11">
        <v>6.0577551202943683E-2</v>
      </c>
      <c r="G11">
        <v>14.545407109088559</v>
      </c>
      <c r="H11">
        <v>7.1317974064515024</v>
      </c>
      <c r="I11">
        <v>0.16399702074713271</v>
      </c>
      <c r="J11">
        <v>346.05997172640099</v>
      </c>
      <c r="K11">
        <v>208.72766882170171</v>
      </c>
      <c r="L11">
        <v>0.97532206443939251</v>
      </c>
      <c r="M11">
        <v>8.2222220932461906E-7</v>
      </c>
      <c r="N11">
        <v>1.5479106946732967E-2</v>
      </c>
      <c r="O11">
        <v>2.5440522476749985E-5</v>
      </c>
      <c r="P11">
        <v>6.1085789891464747E-3</v>
      </c>
      <c r="Q11">
        <v>2.9951136785080221E-3</v>
      </c>
      <c r="R11">
        <v>6.8873201534015173E-5</v>
      </c>
      <c r="S11">
        <v>0.62377015353930898</v>
      </c>
      <c r="T11">
        <v>0.37622984646069102</v>
      </c>
    </row>
    <row r="12" spans="1:20" hidden="1" x14ac:dyDescent="0.25">
      <c r="A12" t="s">
        <v>135</v>
      </c>
      <c r="B12">
        <v>22519.574366022131</v>
      </c>
      <c r="C12">
        <v>470.60288114369001</v>
      </c>
      <c r="D12">
        <v>3.6312028566753973E-2</v>
      </c>
      <c r="E12">
        <v>98.633678127503927</v>
      </c>
      <c r="F12">
        <v>0</v>
      </c>
      <c r="G12">
        <v>10.00960808285056</v>
      </c>
      <c r="H12">
        <v>0.42041693025010801</v>
      </c>
      <c r="I12">
        <v>2.9780230662323111E-2</v>
      </c>
      <c r="J12">
        <v>5.9320983567466303</v>
      </c>
      <c r="K12">
        <v>343.51419602983572</v>
      </c>
      <c r="L12">
        <v>0.81175841932787662</v>
      </c>
      <c r="M12">
        <v>6.2635814809082658E-5</v>
      </c>
      <c r="N12">
        <v>0.17013648206890222</v>
      </c>
      <c r="O12">
        <v>0</v>
      </c>
      <c r="P12">
        <v>1.7265902868421602E-2</v>
      </c>
      <c r="Q12">
        <v>7.2519101865486262E-4</v>
      </c>
      <c r="R12">
        <v>5.136890133548879E-5</v>
      </c>
      <c r="S12">
        <v>1.6975708290625401E-2</v>
      </c>
      <c r="T12">
        <v>0.98302429170937466</v>
      </c>
    </row>
    <row r="13" spans="1:20" hidden="1" x14ac:dyDescent="0.25">
      <c r="A13" t="s">
        <v>117</v>
      </c>
      <c r="B13">
        <v>17486.732998120438</v>
      </c>
      <c r="C13">
        <v>1254.828840680254</v>
      </c>
      <c r="D13">
        <v>0.45830086397108971</v>
      </c>
      <c r="E13">
        <v>384.56447390639562</v>
      </c>
      <c r="F13">
        <v>7.9707721852276554E-3</v>
      </c>
      <c r="G13">
        <v>65.732511369878395</v>
      </c>
      <c r="H13">
        <v>62.302743708613427</v>
      </c>
      <c r="I13">
        <v>3.0437227739869319E-2</v>
      </c>
      <c r="J13">
        <v>203.82421166427949</v>
      </c>
      <c r="K13">
        <v>4644.8848544242028</v>
      </c>
      <c r="L13">
        <v>0.70977481679786036</v>
      </c>
      <c r="M13">
        <v>2.5923090163200148E-4</v>
      </c>
      <c r="N13">
        <v>0.21752303594321806</v>
      </c>
      <c r="O13">
        <v>4.5085458543019179E-6</v>
      </c>
      <c r="P13">
        <v>3.7180593641700545E-2</v>
      </c>
      <c r="Q13">
        <v>3.5240597815565503E-2</v>
      </c>
      <c r="R13">
        <v>1.7216354169218017E-5</v>
      </c>
      <c r="S13">
        <v>4.2036799668969865E-2</v>
      </c>
      <c r="T13">
        <v>0.95796320033103011</v>
      </c>
    </row>
    <row r="14" spans="1:20" hidden="1" x14ac:dyDescent="0.25">
      <c r="A14" t="s">
        <v>140</v>
      </c>
      <c r="B14">
        <v>19403.888664424201</v>
      </c>
      <c r="C14">
        <v>3253.5133526735458</v>
      </c>
      <c r="D14">
        <v>2.4264266871187171E-2</v>
      </c>
      <c r="E14">
        <v>7.4646664923959296</v>
      </c>
      <c r="F14">
        <v>0.1177247874940424</v>
      </c>
      <c r="G14">
        <v>28.161504810839709</v>
      </c>
      <c r="H14">
        <v>4.6349438284746487</v>
      </c>
      <c r="I14">
        <v>0.32168324343272708</v>
      </c>
      <c r="J14">
        <v>255.62326576351049</v>
      </c>
      <c r="K14">
        <v>3648.657037522466</v>
      </c>
      <c r="L14">
        <v>0.98763757029774601</v>
      </c>
      <c r="M14">
        <v>7.3656687340849345E-6</v>
      </c>
      <c r="N14">
        <v>2.2659765854579086E-3</v>
      </c>
      <c r="O14">
        <v>3.5736574736627754E-5</v>
      </c>
      <c r="P14">
        <v>8.5487155491311053E-3</v>
      </c>
      <c r="Q14">
        <v>1.4069850543135456E-3</v>
      </c>
      <c r="R14">
        <v>9.7650269880811914E-5</v>
      </c>
      <c r="S14">
        <v>6.5472570078631179E-2</v>
      </c>
      <c r="T14">
        <v>0.93452742992136884</v>
      </c>
    </row>
    <row r="15" spans="1:20" hidden="1" x14ac:dyDescent="0.25">
      <c r="A15" t="s">
        <v>146</v>
      </c>
      <c r="B15">
        <v>9297.3326132160164</v>
      </c>
      <c r="C15">
        <v>2009.8924486662179</v>
      </c>
      <c r="D15">
        <v>0</v>
      </c>
      <c r="E15">
        <v>14.66637355813168</v>
      </c>
      <c r="F15">
        <v>0</v>
      </c>
      <c r="G15">
        <v>7.12444508497153</v>
      </c>
      <c r="H15">
        <v>5.268134197244315</v>
      </c>
      <c r="I15">
        <v>4.3327817110600991E-2</v>
      </c>
      <c r="J15">
        <v>436.05450295194072</v>
      </c>
      <c r="K15">
        <v>2728.5864370633658</v>
      </c>
      <c r="L15">
        <v>0.98669496770546061</v>
      </c>
      <c r="M15">
        <v>0</v>
      </c>
      <c r="N15">
        <v>7.20000564900883E-3</v>
      </c>
      <c r="O15">
        <v>0</v>
      </c>
      <c r="P15">
        <v>3.4975275008870504E-3</v>
      </c>
      <c r="Q15">
        <v>2.5862286835633803E-3</v>
      </c>
      <c r="R15">
        <v>2.1270461080175066E-5</v>
      </c>
      <c r="S15">
        <v>0.13778956640491152</v>
      </c>
      <c r="T15">
        <v>0.86221043359508842</v>
      </c>
    </row>
    <row r="16" spans="1:20" hidden="1" x14ac:dyDescent="0.25">
      <c r="A16" t="s">
        <v>87</v>
      </c>
      <c r="B16">
        <v>28339.340053158608</v>
      </c>
      <c r="C16">
        <v>782.27890039962483</v>
      </c>
      <c r="D16">
        <v>1.9682187917571821E-2</v>
      </c>
      <c r="E16">
        <v>10.740607738492891</v>
      </c>
      <c r="F16">
        <v>9.4734184088347637E-3</v>
      </c>
      <c r="G16">
        <v>0.76636888004331172</v>
      </c>
      <c r="H16">
        <v>1.124251936277898</v>
      </c>
      <c r="I16">
        <v>4.0549433955714892E-2</v>
      </c>
      <c r="J16">
        <v>389.61420495383749</v>
      </c>
      <c r="K16">
        <v>2775.6023882241761</v>
      </c>
      <c r="L16">
        <v>0.98402357764061155</v>
      </c>
      <c r="M16">
        <v>2.4758097093696238E-5</v>
      </c>
      <c r="N16">
        <v>1.3510541122184255E-2</v>
      </c>
      <c r="O16">
        <v>1.1916551846644289E-5</v>
      </c>
      <c r="P16">
        <v>9.6401046576535007E-4</v>
      </c>
      <c r="Q16">
        <v>1.4141892513532153E-3</v>
      </c>
      <c r="R16">
        <v>5.1006871145342982E-5</v>
      </c>
      <c r="S16">
        <v>0.12309243095514297</v>
      </c>
      <c r="T16">
        <v>0.876907569044857</v>
      </c>
    </row>
    <row r="17" spans="1:20" hidden="1" x14ac:dyDescent="0.25">
      <c r="A17" t="s">
        <v>82</v>
      </c>
      <c r="B17">
        <v>14578.073876580789</v>
      </c>
      <c r="C17">
        <v>650.53514661651059</v>
      </c>
      <c r="D17">
        <v>0.3442326864215538</v>
      </c>
      <c r="E17">
        <v>302.2600475586791</v>
      </c>
      <c r="F17">
        <v>1.962432786133074E-2</v>
      </c>
      <c r="G17">
        <v>33.584626510782989</v>
      </c>
      <c r="H17">
        <v>32.979071714908393</v>
      </c>
      <c r="I17">
        <v>0.1228127674814382</v>
      </c>
      <c r="J17">
        <v>617.05517290432533</v>
      </c>
      <c r="K17">
        <v>9961.1828663945234</v>
      </c>
      <c r="L17">
        <v>0.6378761360928541</v>
      </c>
      <c r="M17">
        <v>3.3753413181975949E-4</v>
      </c>
      <c r="N17">
        <v>0.29637825447981597</v>
      </c>
      <c r="O17">
        <v>1.924245061118008E-5</v>
      </c>
      <c r="P17">
        <v>3.2931090506395977E-2</v>
      </c>
      <c r="Q17">
        <v>3.2337319431314175E-2</v>
      </c>
      <c r="R17">
        <v>1.2042290718861165E-4</v>
      </c>
      <c r="S17">
        <v>5.8332509687523085E-2</v>
      </c>
      <c r="T17">
        <v>0.94166749031247687</v>
      </c>
    </row>
    <row r="18" spans="1:20" hidden="1" x14ac:dyDescent="0.25">
      <c r="A18" t="s">
        <v>75</v>
      </c>
      <c r="B18">
        <v>3626.6186625782998</v>
      </c>
      <c r="C18">
        <v>570.4699750537975</v>
      </c>
      <c r="D18">
        <v>1.706754894669176</v>
      </c>
      <c r="E18">
        <v>52.524745642469718</v>
      </c>
      <c r="F18">
        <v>0.35850406323105638</v>
      </c>
      <c r="G18">
        <v>4.1640708834892344</v>
      </c>
      <c r="H18">
        <v>2.979237715179559</v>
      </c>
      <c r="I18">
        <v>6.3612193382152751E-2</v>
      </c>
      <c r="J18">
        <v>244.07678532582909</v>
      </c>
      <c r="K18">
        <v>3053.7337291735539</v>
      </c>
      <c r="L18">
        <v>0.90226133085757276</v>
      </c>
      <c r="M18">
        <v>2.6994215472368461E-3</v>
      </c>
      <c r="N18">
        <v>8.3073691830777008E-2</v>
      </c>
      <c r="O18">
        <v>5.6701380853251113E-4</v>
      </c>
      <c r="P18">
        <v>6.5859384392105095E-3</v>
      </c>
      <c r="Q18">
        <v>4.7119938005247162E-3</v>
      </c>
      <c r="R18">
        <v>1.0060971614560061E-4</v>
      </c>
      <c r="S18">
        <v>7.4011767581158516E-2</v>
      </c>
      <c r="T18">
        <v>0.92598823241884154</v>
      </c>
    </row>
    <row r="19" spans="1:20" hidden="1" x14ac:dyDescent="0.25">
      <c r="A19" t="s">
        <v>124</v>
      </c>
      <c r="B19">
        <v>2755.553044210043</v>
      </c>
      <c r="C19">
        <v>118.48533398660879</v>
      </c>
      <c r="D19">
        <v>0</v>
      </c>
      <c r="E19">
        <v>2.1351675802469399</v>
      </c>
      <c r="F19">
        <v>9.796086389123557E-3</v>
      </c>
      <c r="G19">
        <v>1.2795479146864579</v>
      </c>
      <c r="H19">
        <v>0.23743044007949149</v>
      </c>
      <c r="I19">
        <v>3.5367485491382987E-2</v>
      </c>
      <c r="J19">
        <v>148.8230867155944</v>
      </c>
      <c r="K19">
        <v>5810.4678853985624</v>
      </c>
      <c r="L19">
        <v>0.96973948671285681</v>
      </c>
      <c r="M19">
        <v>0</v>
      </c>
      <c r="N19">
        <v>1.7475211856588211E-2</v>
      </c>
      <c r="O19">
        <v>8.017576072205807E-5</v>
      </c>
      <c r="P19">
        <v>1.0472419634254399E-2</v>
      </c>
      <c r="Q19">
        <v>1.9432419637582837E-3</v>
      </c>
      <c r="R19">
        <v>2.8946407182018345E-4</v>
      </c>
      <c r="S19">
        <v>2.4973287495441251E-2</v>
      </c>
      <c r="T19">
        <v>0.97502671250455875</v>
      </c>
    </row>
    <row r="20" spans="1:20" hidden="1" x14ac:dyDescent="0.25">
      <c r="A20" t="s">
        <v>86</v>
      </c>
      <c r="B20">
        <v>23668.89966630729</v>
      </c>
      <c r="C20">
        <v>1842.6451616776731</v>
      </c>
      <c r="D20">
        <v>2.357306139521678E-3</v>
      </c>
      <c r="E20">
        <v>101.5675862511319</v>
      </c>
      <c r="F20">
        <v>0.13953168177093811</v>
      </c>
      <c r="G20">
        <v>11.192819632507319</v>
      </c>
      <c r="H20">
        <v>33.392027195449273</v>
      </c>
      <c r="I20">
        <v>1.864277305819636</v>
      </c>
      <c r="J20">
        <v>1273.6890532046459</v>
      </c>
      <c r="K20">
        <v>4743.886943590689</v>
      </c>
      <c r="L20">
        <v>0.92557850137140618</v>
      </c>
      <c r="M20">
        <v>1.1840976924203686E-6</v>
      </c>
      <c r="N20">
        <v>5.1018381740216077E-2</v>
      </c>
      <c r="O20">
        <v>7.0088114409283178E-5</v>
      </c>
      <c r="P20">
        <v>5.622261647025009E-3</v>
      </c>
      <c r="Q20">
        <v>1.6773138492479658E-2</v>
      </c>
      <c r="R20">
        <v>9.3644453677137359E-4</v>
      </c>
      <c r="S20">
        <v>0.21166148194604442</v>
      </c>
      <c r="T20">
        <v>0.78833851805395561</v>
      </c>
    </row>
    <row r="21" spans="1:20" hidden="1" x14ac:dyDescent="0.25">
      <c r="A21" t="s">
        <v>134</v>
      </c>
      <c r="B21">
        <v>11713.313624382359</v>
      </c>
      <c r="C21">
        <v>737.14212062497143</v>
      </c>
      <c r="D21">
        <v>0.11262365988412849</v>
      </c>
      <c r="E21">
        <v>4.2934843230752726</v>
      </c>
      <c r="F21">
        <v>0</v>
      </c>
      <c r="G21">
        <v>12.847028274126551</v>
      </c>
      <c r="H21">
        <v>0.59735143168245197</v>
      </c>
      <c r="I21">
        <v>0</v>
      </c>
      <c r="J21">
        <v>422.48765820482117</v>
      </c>
      <c r="K21">
        <v>1611.216630911463</v>
      </c>
      <c r="L21">
        <v>0.97635673847372229</v>
      </c>
      <c r="M21">
        <v>1.4917187088185019E-4</v>
      </c>
      <c r="N21">
        <v>5.6867898782011657E-3</v>
      </c>
      <c r="O21">
        <v>0</v>
      </c>
      <c r="P21">
        <v>1.7016098081834363E-2</v>
      </c>
      <c r="Q21">
        <v>7.9120169536046707E-4</v>
      </c>
      <c r="R21">
        <v>0</v>
      </c>
      <c r="S21">
        <v>0.20774291546014631</v>
      </c>
      <c r="T21">
        <v>0.79225708453985366</v>
      </c>
    </row>
    <row r="22" spans="1:20" hidden="1" x14ac:dyDescent="0.25">
      <c r="A22" t="s">
        <v>93</v>
      </c>
      <c r="B22">
        <v>10262.470825353759</v>
      </c>
      <c r="C22">
        <v>1578.4839339306541</v>
      </c>
      <c r="D22">
        <v>3.5231857510258507E-2</v>
      </c>
      <c r="E22">
        <v>880.41001069374727</v>
      </c>
      <c r="F22">
        <v>0.29723523355724302</v>
      </c>
      <c r="G22">
        <v>11.602821912599341</v>
      </c>
      <c r="H22">
        <v>3.1060683829953879</v>
      </c>
      <c r="I22">
        <v>0.36876366414976403</v>
      </c>
      <c r="J22">
        <v>165.69919045964821</v>
      </c>
      <c r="K22">
        <v>4690.7831482157026</v>
      </c>
      <c r="L22">
        <v>0.63795066896917585</v>
      </c>
      <c r="M22">
        <v>1.4239097772586844E-5</v>
      </c>
      <c r="N22">
        <v>0.35582126825366223</v>
      </c>
      <c r="O22">
        <v>1.201288223547943E-4</v>
      </c>
      <c r="P22">
        <v>4.6893274248543263E-3</v>
      </c>
      <c r="Q22">
        <v>1.2553301051735418E-3</v>
      </c>
      <c r="R22">
        <v>1.490373270065868E-4</v>
      </c>
      <c r="S22">
        <v>3.4119179048604169E-2</v>
      </c>
      <c r="T22">
        <v>0.96588082095139582</v>
      </c>
    </row>
    <row r="23" spans="1:20" hidden="1" x14ac:dyDescent="0.25">
      <c r="A23" t="s">
        <v>149</v>
      </c>
      <c r="B23">
        <v>18656.29543171874</v>
      </c>
      <c r="C23">
        <v>358.39944393159868</v>
      </c>
      <c r="D23">
        <v>0.15270027785421</v>
      </c>
      <c r="E23">
        <v>14.033575593683249</v>
      </c>
      <c r="F23">
        <v>1.177348132235094E-2</v>
      </c>
      <c r="G23">
        <v>46.380890129117468</v>
      </c>
      <c r="H23">
        <v>32.697797466859392</v>
      </c>
      <c r="I23">
        <v>7.1173356938634094E-2</v>
      </c>
      <c r="J23">
        <v>88.398906724797143</v>
      </c>
      <c r="K23">
        <v>1328.5501606370069</v>
      </c>
      <c r="L23">
        <v>0.79336257438992119</v>
      </c>
      <c r="M23">
        <v>3.3802141046734835E-4</v>
      </c>
      <c r="N23">
        <v>3.10650974755E-2</v>
      </c>
      <c r="O23">
        <v>2.6062092476947807E-5</v>
      </c>
      <c r="P23">
        <v>0.10266997624682554</v>
      </c>
      <c r="Q23">
        <v>7.2380717142347881E-2</v>
      </c>
      <c r="R23">
        <v>1.5755124246114683E-4</v>
      </c>
      <c r="S23">
        <v>6.2386791989203765E-2</v>
      </c>
      <c r="T23">
        <v>0.93761320801079628</v>
      </c>
    </row>
    <row r="24" spans="1:20" hidden="1" x14ac:dyDescent="0.25">
      <c r="A24" t="s">
        <v>122</v>
      </c>
      <c r="B24">
        <v>9093.5321077155022</v>
      </c>
      <c r="C24">
        <v>784.94046454973136</v>
      </c>
      <c r="D24">
        <v>2.9333473338134873E-4</v>
      </c>
      <c r="E24">
        <v>29.725021902792751</v>
      </c>
      <c r="F24">
        <v>4.2677895562592237E-2</v>
      </c>
      <c r="G24">
        <v>10.60408181305873</v>
      </c>
      <c r="H24">
        <v>25.31124092207212</v>
      </c>
      <c r="I24">
        <v>4.8694908512057183E-2</v>
      </c>
      <c r="J24">
        <v>414.53672808848268</v>
      </c>
      <c r="K24">
        <v>1147.796193110587</v>
      </c>
      <c r="L24">
        <v>0.92272935508874243</v>
      </c>
      <c r="M24">
        <v>3.4482687742867845E-7</v>
      </c>
      <c r="N24">
        <v>3.4942968962743466E-2</v>
      </c>
      <c r="O24">
        <v>5.0169597348513861E-5</v>
      </c>
      <c r="P24">
        <v>1.2465528297467479E-2</v>
      </c>
      <c r="Q24">
        <v>2.9754390386686033E-2</v>
      </c>
      <c r="R24">
        <v>5.7242840134647023E-5</v>
      </c>
      <c r="S24">
        <v>0.26533187802912794</v>
      </c>
      <c r="T24">
        <v>0.73466812197087206</v>
      </c>
    </row>
    <row r="25" spans="1:20" hidden="1" x14ac:dyDescent="0.25">
      <c r="A25" t="s">
        <v>152</v>
      </c>
      <c r="B25">
        <v>49923.685627894141</v>
      </c>
      <c r="C25">
        <v>18046.071247362339</v>
      </c>
      <c r="D25">
        <v>21.09130315085363</v>
      </c>
      <c r="E25">
        <v>1052.629492005761</v>
      </c>
      <c r="F25">
        <v>0.31452074863915752</v>
      </c>
      <c r="G25">
        <v>28.912023687391891</v>
      </c>
      <c r="H25">
        <v>15.469850820879859</v>
      </c>
      <c r="I25">
        <v>1.2333807537659791</v>
      </c>
      <c r="J25">
        <v>7816.3393401104213</v>
      </c>
      <c r="K25">
        <v>19124.891530540939</v>
      </c>
      <c r="L25">
        <v>0.94158056859174488</v>
      </c>
      <c r="M25">
        <v>1.1004700658058351E-3</v>
      </c>
      <c r="N25">
        <v>5.4922507066134461E-2</v>
      </c>
      <c r="O25">
        <v>1.6410587173141344E-5</v>
      </c>
      <c r="P25">
        <v>1.5085277748025868E-3</v>
      </c>
      <c r="Q25">
        <v>8.0716244174656852E-4</v>
      </c>
      <c r="R25">
        <v>6.4353472592591483E-5</v>
      </c>
      <c r="S25">
        <v>0.29012554688528397</v>
      </c>
      <c r="T25">
        <v>0.70987445311471598</v>
      </c>
    </row>
    <row r="26" spans="1:20" hidden="1" x14ac:dyDescent="0.25">
      <c r="A26" t="s">
        <v>126</v>
      </c>
      <c r="B26">
        <v>2956.8933866055172</v>
      </c>
      <c r="C26">
        <v>86.480523339407526</v>
      </c>
      <c r="D26">
        <v>0</v>
      </c>
      <c r="E26">
        <v>1.916392825802091</v>
      </c>
      <c r="F26">
        <v>3.6801589908181838E-2</v>
      </c>
      <c r="G26">
        <v>1.140768927993089</v>
      </c>
      <c r="H26">
        <v>1.7734818687575411</v>
      </c>
      <c r="I26">
        <v>0.12233648454013871</v>
      </c>
      <c r="J26">
        <v>63.393863841900597</v>
      </c>
      <c r="K26">
        <v>10400.78600385788</v>
      </c>
      <c r="L26">
        <v>0.9454491630369557</v>
      </c>
      <c r="M26">
        <v>0</v>
      </c>
      <c r="N26">
        <v>2.0950983218425867E-2</v>
      </c>
      <c r="O26">
        <v>4.0233373982445387E-4</v>
      </c>
      <c r="P26">
        <v>1.2471467407253323E-2</v>
      </c>
      <c r="Q26">
        <v>1.9388607789726179E-2</v>
      </c>
      <c r="R26">
        <v>1.337444807814342E-3</v>
      </c>
      <c r="S26">
        <v>6.0581779598018071E-3</v>
      </c>
      <c r="T26">
        <v>0.99394182204019821</v>
      </c>
    </row>
    <row r="27" spans="1:20" hidden="1" x14ac:dyDescent="0.25">
      <c r="A27" t="s">
        <v>91</v>
      </c>
      <c r="B27">
        <v>37955.941978508054</v>
      </c>
      <c r="C27">
        <v>13193.899819196809</v>
      </c>
      <c r="D27">
        <v>0.7582564895111118</v>
      </c>
      <c r="E27">
        <v>331.16014760851402</v>
      </c>
      <c r="F27">
        <v>0.26464898815712451</v>
      </c>
      <c r="G27">
        <v>546.28262916952008</v>
      </c>
      <c r="H27">
        <v>264.70093673805002</v>
      </c>
      <c r="I27">
        <v>0.89812289372034604</v>
      </c>
      <c r="J27">
        <v>1881.491763114147</v>
      </c>
      <c r="K27">
        <v>2438.025745958907</v>
      </c>
      <c r="L27">
        <v>0.92020731136463652</v>
      </c>
      <c r="M27">
        <v>5.2884528084910399E-5</v>
      </c>
      <c r="N27">
        <v>2.3096733584301078E-2</v>
      </c>
      <c r="O27">
        <v>1.8457918976548988E-5</v>
      </c>
      <c r="P27">
        <v>3.8100430981132818E-2</v>
      </c>
      <c r="Q27">
        <v>1.8461542125476734E-2</v>
      </c>
      <c r="R27">
        <v>6.2639497391282927E-5</v>
      </c>
      <c r="S27">
        <v>0.43557914956059657</v>
      </c>
      <c r="T27">
        <v>0.5644208504394036</v>
      </c>
    </row>
    <row r="28" spans="1:20" hidden="1" x14ac:dyDescent="0.25">
      <c r="A28" t="s">
        <v>111</v>
      </c>
      <c r="B28">
        <v>10790.9096823325</v>
      </c>
      <c r="C28">
        <v>0</v>
      </c>
      <c r="D28">
        <v>3.2368941483511992E-4</v>
      </c>
      <c r="E28">
        <v>0</v>
      </c>
      <c r="F28">
        <v>0.14004040825592179</v>
      </c>
      <c r="G28">
        <v>39.367609093331758</v>
      </c>
      <c r="H28">
        <v>31.622390281754988</v>
      </c>
      <c r="I28">
        <v>0.35033497068193281</v>
      </c>
      <c r="J28">
        <v>441.08240200955709</v>
      </c>
      <c r="K28">
        <v>15366.669857421641</v>
      </c>
      <c r="L28">
        <v>0</v>
      </c>
      <c r="M28">
        <v>4.5283471186455437E-6</v>
      </c>
      <c r="N28">
        <v>0</v>
      </c>
      <c r="O28">
        <v>1.9591359808372837E-3</v>
      </c>
      <c r="P28">
        <v>0.55074460589500518</v>
      </c>
      <c r="Q28">
        <v>0.44239061691285597</v>
      </c>
      <c r="R28">
        <v>4.9011128641830853E-3</v>
      </c>
      <c r="S28">
        <v>2.7902917174476793E-2</v>
      </c>
      <c r="T28">
        <v>0.97209708282552321</v>
      </c>
    </row>
    <row r="29" spans="1:20" hidden="1" x14ac:dyDescent="0.25">
      <c r="A29" t="s">
        <v>147</v>
      </c>
      <c r="B29">
        <v>34742.352483479037</v>
      </c>
      <c r="C29">
        <v>3.0967817970135911</v>
      </c>
      <c r="D29">
        <v>3.8037768465223869E-3</v>
      </c>
      <c r="E29">
        <v>0</v>
      </c>
      <c r="F29">
        <v>2.0633214120185851E-2</v>
      </c>
      <c r="G29">
        <v>0</v>
      </c>
      <c r="H29">
        <v>0.99432718591640856</v>
      </c>
      <c r="I29">
        <v>0.14202679733963369</v>
      </c>
      <c r="J29">
        <v>1339.3713952207329</v>
      </c>
      <c r="K29">
        <v>4014.0551837769681</v>
      </c>
      <c r="L29">
        <v>0.72735851232774773</v>
      </c>
      <c r="M29">
        <v>8.9341440555526237E-4</v>
      </c>
      <c r="N29">
        <v>0</v>
      </c>
      <c r="O29">
        <v>4.8462387441927969E-3</v>
      </c>
      <c r="P29">
        <v>0</v>
      </c>
      <c r="Q29">
        <v>0.23354320391984035</v>
      </c>
      <c r="R29">
        <v>3.3358630602664023E-2</v>
      </c>
      <c r="S29">
        <v>0.25018955158090495</v>
      </c>
      <c r="T29">
        <v>0.74981044841909505</v>
      </c>
    </row>
    <row r="30" spans="1:20" hidden="1" x14ac:dyDescent="0.25">
      <c r="A30" t="s">
        <v>94</v>
      </c>
      <c r="B30">
        <v>7445.7497357088878</v>
      </c>
      <c r="C30">
        <v>127.58204182496</v>
      </c>
      <c r="D30">
        <v>1.26595925290806E-3</v>
      </c>
      <c r="E30">
        <v>0</v>
      </c>
      <c r="F30">
        <v>5.8337953757414502E-3</v>
      </c>
      <c r="G30">
        <v>2.4905521148598382</v>
      </c>
      <c r="H30">
        <v>2.2194068716025188</v>
      </c>
      <c r="I30">
        <v>3.3876168024457478E-3</v>
      </c>
      <c r="J30">
        <v>155.96996721974509</v>
      </c>
      <c r="K30">
        <v>1386.724082426106</v>
      </c>
      <c r="L30">
        <v>0.96432080437240608</v>
      </c>
      <c r="M30">
        <v>9.568673048373777E-6</v>
      </c>
      <c r="N30">
        <v>0</v>
      </c>
      <c r="O30">
        <v>4.4094373853941743E-5</v>
      </c>
      <c r="P30">
        <v>1.8824680843626162E-2</v>
      </c>
      <c r="Q30">
        <v>1.6775246649444013E-2</v>
      </c>
      <c r="R30">
        <v>2.5605087621358783E-5</v>
      </c>
      <c r="S30">
        <v>0.10110233280250895</v>
      </c>
      <c r="T30">
        <v>0.89889766719749109</v>
      </c>
    </row>
    <row r="31" spans="1:20" hidden="1" x14ac:dyDescent="0.25">
      <c r="A31" t="s">
        <v>97</v>
      </c>
      <c r="B31">
        <v>7572.2333109786059</v>
      </c>
      <c r="C31">
        <v>66.673308514991177</v>
      </c>
      <c r="D31">
        <v>0</v>
      </c>
      <c r="E31">
        <v>6.8415677041296394</v>
      </c>
      <c r="F31">
        <v>4.556892860999813E-2</v>
      </c>
      <c r="G31">
        <v>0</v>
      </c>
      <c r="H31">
        <v>1.0248368712954989</v>
      </c>
      <c r="I31">
        <v>9.7920231302304171E-3</v>
      </c>
      <c r="J31">
        <v>244.70932426625319</v>
      </c>
      <c r="K31">
        <v>1587.7765459800009</v>
      </c>
      <c r="L31">
        <v>0.89380310122504225</v>
      </c>
      <c r="M31">
        <v>0</v>
      </c>
      <c r="N31">
        <v>9.1716079003597545E-2</v>
      </c>
      <c r="O31">
        <v>6.1088388469519275E-4</v>
      </c>
      <c r="P31">
        <v>0</v>
      </c>
      <c r="Q31">
        <v>1.3738666855083809E-2</v>
      </c>
      <c r="R31">
        <v>1.3126903158104739E-4</v>
      </c>
      <c r="S31">
        <v>0.13353954223579828</v>
      </c>
      <c r="T31">
        <v>0.86646045776420177</v>
      </c>
    </row>
    <row r="32" spans="1:20" hidden="1" x14ac:dyDescent="0.25">
      <c r="A32" t="s">
        <v>137</v>
      </c>
      <c r="B32">
        <v>19178.337422847078</v>
      </c>
      <c r="C32">
        <v>1808.1135965027891</v>
      </c>
      <c r="D32">
        <v>5.1541214739394881E-2</v>
      </c>
      <c r="E32">
        <v>49.599360471456549</v>
      </c>
      <c r="F32">
        <v>3.1886654379564512E-2</v>
      </c>
      <c r="G32">
        <v>37.767058676168617</v>
      </c>
      <c r="H32">
        <v>40.340636910706408</v>
      </c>
      <c r="I32">
        <v>0.20875721488432211</v>
      </c>
      <c r="J32">
        <v>856.98291791120641</v>
      </c>
      <c r="K32">
        <v>1182.80437391846</v>
      </c>
      <c r="L32">
        <v>0.93388854272666288</v>
      </c>
      <c r="M32">
        <v>2.6620976699934484E-5</v>
      </c>
      <c r="N32">
        <v>2.5618011257951157E-2</v>
      </c>
      <c r="O32">
        <v>1.6469419426167304E-5</v>
      </c>
      <c r="P32">
        <v>1.950664131854233E-2</v>
      </c>
      <c r="Q32">
        <v>2.0835891445135164E-2</v>
      </c>
      <c r="R32">
        <v>1.0782285558223536E-4</v>
      </c>
      <c r="S32">
        <v>0.42013347241834337</v>
      </c>
      <c r="T32">
        <v>0.57986652758165669</v>
      </c>
    </row>
    <row r="33" spans="1:20" hidden="1" x14ac:dyDescent="0.25">
      <c r="A33" t="s">
        <v>121</v>
      </c>
      <c r="B33">
        <v>11915.494142950891</v>
      </c>
      <c r="C33">
        <v>1741.2377768656979</v>
      </c>
      <c r="D33">
        <v>0</v>
      </c>
      <c r="E33">
        <v>505.92434216636002</v>
      </c>
      <c r="F33">
        <v>0.10499727447729761</v>
      </c>
      <c r="G33">
        <v>0.3343949152215977</v>
      </c>
      <c r="H33">
        <v>8.606269945167794</v>
      </c>
      <c r="I33">
        <v>9.2213899044333553E-2</v>
      </c>
      <c r="J33">
        <v>841.49801337520114</v>
      </c>
      <c r="K33">
        <v>4114.6714115927252</v>
      </c>
      <c r="L33">
        <v>0.77172263469990743</v>
      </c>
      <c r="M33">
        <v>0</v>
      </c>
      <c r="N33">
        <v>0.22422742688148964</v>
      </c>
      <c r="O33">
        <v>4.6535156985730399E-5</v>
      </c>
      <c r="P33">
        <v>1.4820498867741243E-4</v>
      </c>
      <c r="Q33">
        <v>3.8143287523768159E-3</v>
      </c>
      <c r="R33">
        <v>4.0869520562861776E-5</v>
      </c>
      <c r="S33">
        <v>0.16978798366656861</v>
      </c>
      <c r="T33">
        <v>0.83021201633343134</v>
      </c>
    </row>
    <row r="34" spans="1:20" hidden="1" x14ac:dyDescent="0.25">
      <c r="A34" t="s">
        <v>77</v>
      </c>
      <c r="B34">
        <v>1855.1152679937879</v>
      </c>
      <c r="C34">
        <v>3.3279034328659631</v>
      </c>
      <c r="D34">
        <v>0</v>
      </c>
      <c r="E34">
        <v>0.3032441349267509</v>
      </c>
      <c r="F34">
        <v>3.8480206893675871E-4</v>
      </c>
      <c r="G34">
        <v>0</v>
      </c>
      <c r="H34">
        <v>0</v>
      </c>
      <c r="I34">
        <v>5.3089460759080803E-2</v>
      </c>
      <c r="J34">
        <v>52.417090089521743</v>
      </c>
      <c r="K34">
        <v>4620.1761932869958</v>
      </c>
      <c r="L34">
        <v>0.90318724304614095</v>
      </c>
      <c r="M34">
        <v>0</v>
      </c>
      <c r="N34">
        <v>8.2299934393990373E-2</v>
      </c>
      <c r="O34">
        <v>1.0443461680080555E-4</v>
      </c>
      <c r="P34">
        <v>0</v>
      </c>
      <c r="Q34">
        <v>0</v>
      </c>
      <c r="R34">
        <v>1.4408387943067978E-2</v>
      </c>
      <c r="S34">
        <v>1.1217986867379138E-2</v>
      </c>
      <c r="T34">
        <v>0.98878201313262093</v>
      </c>
    </row>
    <row r="35" spans="1:20" hidden="1" x14ac:dyDescent="0.25">
      <c r="A35" t="s">
        <v>88</v>
      </c>
      <c r="B35">
        <v>4547.6334844615012</v>
      </c>
      <c r="C35">
        <v>2489.934848328006</v>
      </c>
      <c r="D35">
        <v>0.57629695255126789</v>
      </c>
      <c r="E35">
        <v>0</v>
      </c>
      <c r="F35">
        <v>0</v>
      </c>
      <c r="G35">
        <v>0</v>
      </c>
      <c r="H35">
        <v>0</v>
      </c>
      <c r="I35">
        <v>0.1250911052702591</v>
      </c>
      <c r="J35">
        <v>54.263328633871552</v>
      </c>
      <c r="K35">
        <v>3767.8818832788938</v>
      </c>
      <c r="L35">
        <v>0.99971839000510199</v>
      </c>
      <c r="M35">
        <v>2.313854364327144E-4</v>
      </c>
      <c r="N35">
        <v>0</v>
      </c>
      <c r="O35">
        <v>0</v>
      </c>
      <c r="P35">
        <v>0</v>
      </c>
      <c r="Q35">
        <v>0</v>
      </c>
      <c r="R35">
        <v>5.0224558465341902E-5</v>
      </c>
      <c r="S35">
        <v>1.4197087139636921E-2</v>
      </c>
      <c r="T35">
        <v>0.98580291286036315</v>
      </c>
    </row>
    <row r="36" spans="1:20" hidden="1" x14ac:dyDescent="0.25">
      <c r="A36" t="s">
        <v>105</v>
      </c>
      <c r="B36">
        <v>8331.1072302104858</v>
      </c>
      <c r="C36">
        <v>610.60747184584</v>
      </c>
      <c r="D36">
        <v>0</v>
      </c>
      <c r="E36">
        <v>193.4005334493697</v>
      </c>
      <c r="F36">
        <v>0</v>
      </c>
      <c r="G36">
        <v>244.04541795055101</v>
      </c>
      <c r="H36">
        <v>6.0872505715090952</v>
      </c>
      <c r="I36">
        <v>1.7968477854548519</v>
      </c>
      <c r="J36">
        <v>80.515063244583587</v>
      </c>
      <c r="K36">
        <v>1918.5396210001329</v>
      </c>
      <c r="L36">
        <v>0.57826098547861693</v>
      </c>
      <c r="M36">
        <v>0</v>
      </c>
      <c r="N36">
        <v>0.18315528096380382</v>
      </c>
      <c r="O36">
        <v>0</v>
      </c>
      <c r="P36">
        <v>0.23111728957233532</v>
      </c>
      <c r="Q36">
        <v>5.7647829033196348E-3</v>
      </c>
      <c r="R36">
        <v>1.7016610819242011E-3</v>
      </c>
      <c r="S36">
        <v>4.0276568659753202E-2</v>
      </c>
      <c r="T36">
        <v>0.95972343134024674</v>
      </c>
    </row>
    <row r="37" spans="1:20" hidden="1" x14ac:dyDescent="0.25">
      <c r="A37" t="s">
        <v>141</v>
      </c>
      <c r="B37">
        <v>26929.051965073821</v>
      </c>
      <c r="C37">
        <v>1049.7524579351521</v>
      </c>
      <c r="D37">
        <v>1.9578296016160499E-3</v>
      </c>
      <c r="E37">
        <v>17.806032276600089</v>
      </c>
      <c r="F37">
        <v>0</v>
      </c>
      <c r="G37">
        <v>2.5518634951334591</v>
      </c>
      <c r="H37">
        <v>1.8659733147352799</v>
      </c>
      <c r="I37">
        <v>9.329172172064748E-2</v>
      </c>
      <c r="J37">
        <v>281.40210594207252</v>
      </c>
      <c r="K37">
        <v>109.65536735958641</v>
      </c>
      <c r="L37">
        <v>0.97918131669049768</v>
      </c>
      <c r="M37">
        <v>1.8262116489223425E-6</v>
      </c>
      <c r="N37">
        <v>1.6608995766420803E-2</v>
      </c>
      <c r="O37">
        <v>0</v>
      </c>
      <c r="P37">
        <v>2.3803107468728158E-3</v>
      </c>
      <c r="Q37">
        <v>1.7405305350041806E-3</v>
      </c>
      <c r="R37">
        <v>8.7020049555711711E-5</v>
      </c>
      <c r="S37">
        <v>0.71959270734867387</v>
      </c>
      <c r="T37">
        <v>0.28040729265132608</v>
      </c>
    </row>
    <row r="38" spans="1:20" hidden="1" x14ac:dyDescent="0.25">
      <c r="A38" t="s">
        <v>119</v>
      </c>
      <c r="B38">
        <v>10974.599498306419</v>
      </c>
      <c r="C38">
        <v>199.3502936684182</v>
      </c>
      <c r="D38">
        <v>0</v>
      </c>
      <c r="E38">
        <v>64.839801582728683</v>
      </c>
      <c r="F38">
        <v>0</v>
      </c>
      <c r="G38">
        <v>0</v>
      </c>
      <c r="H38">
        <v>3.3747769388420883E-2</v>
      </c>
      <c r="I38">
        <v>1.096168437386214E-5</v>
      </c>
      <c r="J38">
        <v>3.7783413282589229</v>
      </c>
      <c r="K38">
        <v>298.97082805210943</v>
      </c>
      <c r="L38">
        <v>0.75447500543169355</v>
      </c>
      <c r="M38">
        <v>0</v>
      </c>
      <c r="N38">
        <v>0.24539722892351695</v>
      </c>
      <c r="O38">
        <v>0</v>
      </c>
      <c r="P38">
        <v>0</v>
      </c>
      <c r="Q38">
        <v>1.2772415843533892E-4</v>
      </c>
      <c r="R38">
        <v>4.1486354122288223E-8</v>
      </c>
      <c r="S38">
        <v>1.2480104688617282E-2</v>
      </c>
      <c r="T38">
        <v>0.98751989531138273</v>
      </c>
    </row>
    <row r="39" spans="1:20" hidden="1" x14ac:dyDescent="0.25">
      <c r="A39" t="s">
        <v>133</v>
      </c>
      <c r="B39">
        <v>16686.589257831722</v>
      </c>
      <c r="C39">
        <v>444.58706160451641</v>
      </c>
      <c r="D39">
        <v>0</v>
      </c>
      <c r="E39">
        <v>113.485650742991</v>
      </c>
      <c r="F39">
        <v>0</v>
      </c>
      <c r="G39">
        <v>8.1971812904685066</v>
      </c>
      <c r="H39">
        <v>21.504088813990951</v>
      </c>
      <c r="I39">
        <v>0</v>
      </c>
      <c r="J39">
        <v>154.10818238246119</v>
      </c>
      <c r="K39">
        <v>3914.759445508781</v>
      </c>
      <c r="L39">
        <v>0.75639118926269977</v>
      </c>
      <c r="M39">
        <v>0</v>
      </c>
      <c r="N39">
        <v>0.19307702302434779</v>
      </c>
      <c r="O39">
        <v>0</v>
      </c>
      <c r="P39">
        <v>1.3946145176880781E-2</v>
      </c>
      <c r="Q39">
        <v>3.6585642536071716E-2</v>
      </c>
      <c r="R39">
        <v>0</v>
      </c>
      <c r="S39">
        <v>3.7874956001537535E-2</v>
      </c>
      <c r="T39">
        <v>0.96212504399846244</v>
      </c>
    </row>
    <row r="40" spans="1:20" hidden="1" x14ac:dyDescent="0.25">
      <c r="A40" t="s">
        <v>116</v>
      </c>
      <c r="B40">
        <v>10821.216556128329</v>
      </c>
      <c r="C40">
        <v>1480.598039862896</v>
      </c>
      <c r="D40">
        <v>2.0593052680059658E-2</v>
      </c>
      <c r="E40">
        <v>1.453766911595195</v>
      </c>
      <c r="F40">
        <v>9.79111862066121E-2</v>
      </c>
      <c r="G40">
        <v>5.1214779426002277</v>
      </c>
      <c r="H40">
        <v>3.3559949135390439</v>
      </c>
      <c r="I40">
        <v>0</v>
      </c>
      <c r="J40">
        <v>196.45176944965391</v>
      </c>
      <c r="K40">
        <v>2770.976444766678</v>
      </c>
      <c r="L40">
        <v>0.99325813641869609</v>
      </c>
      <c r="M40">
        <v>1.3814834666444757E-5</v>
      </c>
      <c r="N40">
        <v>9.7525849320448822E-4</v>
      </c>
      <c r="O40">
        <v>6.5683649260490017E-5</v>
      </c>
      <c r="P40">
        <v>3.4357398159514069E-3</v>
      </c>
      <c r="Q40">
        <v>2.2513667882209849E-3</v>
      </c>
      <c r="R40">
        <v>0</v>
      </c>
      <c r="S40">
        <v>6.6202703239287911E-2</v>
      </c>
      <c r="T40">
        <v>0.9337972967607121</v>
      </c>
    </row>
    <row r="41" spans="1:20" hidden="1" x14ac:dyDescent="0.25">
      <c r="A41" t="s">
        <v>104</v>
      </c>
      <c r="B41">
        <v>8203.8802989377782</v>
      </c>
      <c r="C41">
        <v>884.11122368122972</v>
      </c>
      <c r="D41">
        <v>0</v>
      </c>
      <c r="E41">
        <v>6.7453083799119291</v>
      </c>
      <c r="F41">
        <v>0</v>
      </c>
      <c r="G41">
        <v>0</v>
      </c>
      <c r="H41">
        <v>0.88420113737703288</v>
      </c>
      <c r="I41">
        <v>4.3327817110600991E-2</v>
      </c>
      <c r="J41">
        <v>360.85803174137641</v>
      </c>
      <c r="K41">
        <v>2133.4744168158832</v>
      </c>
      <c r="L41">
        <v>0.9913960815517816</v>
      </c>
      <c r="M41">
        <v>0</v>
      </c>
      <c r="N41">
        <v>7.5638359943660319E-3</v>
      </c>
      <c r="O41">
        <v>0</v>
      </c>
      <c r="P41">
        <v>0</v>
      </c>
      <c r="Q41">
        <v>9.9149690606719276E-4</v>
      </c>
      <c r="R41">
        <v>4.8585547785252064E-5</v>
      </c>
      <c r="S41">
        <v>0.14467118525042619</v>
      </c>
      <c r="T41">
        <v>0.8553288147495739</v>
      </c>
    </row>
    <row r="42" spans="1:20" hidden="1" x14ac:dyDescent="0.25">
      <c r="A42" t="s">
        <v>131</v>
      </c>
      <c r="B42">
        <v>16073.64651043119</v>
      </c>
      <c r="C42">
        <v>373.64966192979358</v>
      </c>
      <c r="D42">
        <v>0</v>
      </c>
      <c r="E42">
        <v>0</v>
      </c>
      <c r="F42">
        <v>8.4499557029952942E-3</v>
      </c>
      <c r="G42">
        <v>0</v>
      </c>
      <c r="H42">
        <v>0</v>
      </c>
      <c r="I42">
        <v>3.4891844905742458E-2</v>
      </c>
      <c r="J42">
        <v>371.76711819811533</v>
      </c>
      <c r="K42">
        <v>2698.4862341092198</v>
      </c>
      <c r="L42">
        <v>0.99988401762897328</v>
      </c>
      <c r="M42">
        <v>0</v>
      </c>
      <c r="N42">
        <v>0</v>
      </c>
      <c r="O42">
        <v>2.2612025429010825E-5</v>
      </c>
      <c r="P42">
        <v>0</v>
      </c>
      <c r="Q42">
        <v>0</v>
      </c>
      <c r="R42">
        <v>9.3370345597679118E-5</v>
      </c>
      <c r="S42">
        <v>0.12108678846282425</v>
      </c>
      <c r="T42">
        <v>0.87891321153717572</v>
      </c>
    </row>
    <row r="43" spans="1:20" hidden="1" x14ac:dyDescent="0.25">
      <c r="A43" t="s">
        <v>123</v>
      </c>
      <c r="B43">
        <v>12047.36614825924</v>
      </c>
      <c r="C43">
        <v>0</v>
      </c>
      <c r="D43">
        <v>0.112351472771926</v>
      </c>
      <c r="E43">
        <v>0</v>
      </c>
      <c r="F43">
        <v>1.607572575255118E-2</v>
      </c>
      <c r="G43">
        <v>0</v>
      </c>
      <c r="H43">
        <v>0</v>
      </c>
      <c r="I43">
        <v>0.10583918829936689</v>
      </c>
      <c r="J43">
        <v>548.51533051885781</v>
      </c>
      <c r="K43">
        <v>8828.2381132121554</v>
      </c>
      <c r="L43">
        <v>0</v>
      </c>
      <c r="M43">
        <v>0.47958853293113862</v>
      </c>
      <c r="N43">
        <v>0</v>
      </c>
      <c r="O43">
        <v>6.8621563556359774E-2</v>
      </c>
      <c r="P43">
        <v>0</v>
      </c>
      <c r="Q43">
        <v>0</v>
      </c>
      <c r="R43">
        <v>0.45178990351250164</v>
      </c>
      <c r="S43">
        <v>5.8497360926726402E-2</v>
      </c>
      <c r="T43">
        <v>0.94150263907327358</v>
      </c>
    </row>
    <row r="44" spans="1:20" hidden="1" x14ac:dyDescent="0.25">
      <c r="A44" t="s">
        <v>84</v>
      </c>
      <c r="B44">
        <v>3005.6584499286578</v>
      </c>
      <c r="C44">
        <v>11.57841610837626</v>
      </c>
      <c r="D44">
        <v>1.114059749764903</v>
      </c>
      <c r="E44">
        <v>0.25275766977903119</v>
      </c>
      <c r="F44">
        <v>0.14867034804684681</v>
      </c>
      <c r="G44">
        <v>0.55516565917868943</v>
      </c>
      <c r="H44">
        <v>1.514440297547722</v>
      </c>
      <c r="I44">
        <v>0</v>
      </c>
      <c r="J44">
        <v>167.30399824111819</v>
      </c>
      <c r="K44">
        <v>2769.6713293922239</v>
      </c>
      <c r="L44">
        <v>0.76357098297997528</v>
      </c>
      <c r="M44">
        <v>7.3469781208762241E-2</v>
      </c>
      <c r="N44">
        <v>1.6668810359068073E-2</v>
      </c>
      <c r="O44">
        <v>9.804481263718013E-3</v>
      </c>
      <c r="P44">
        <v>3.6611949693976416E-2</v>
      </c>
      <c r="Q44">
        <v>9.9873994494499962E-2</v>
      </c>
      <c r="R44">
        <v>0</v>
      </c>
      <c r="S44">
        <v>5.6964727169136357E-2</v>
      </c>
      <c r="T44">
        <v>0.94303527283086364</v>
      </c>
    </row>
    <row r="45" spans="1:20" hidden="1" x14ac:dyDescent="0.25">
      <c r="A45" t="s">
        <v>78</v>
      </c>
      <c r="B45">
        <v>2305.0061703805159</v>
      </c>
      <c r="C45">
        <v>31.34057898809953</v>
      </c>
      <c r="D45">
        <v>0</v>
      </c>
      <c r="E45">
        <v>0.64739159381603439</v>
      </c>
      <c r="F45">
        <v>9.7216587751101386E-3</v>
      </c>
      <c r="G45">
        <v>0</v>
      </c>
      <c r="H45">
        <v>0.1028110088145822</v>
      </c>
      <c r="I45">
        <v>3.5327409083837302E-2</v>
      </c>
      <c r="J45">
        <v>137.89256800644759</v>
      </c>
      <c r="K45">
        <v>5240.8069784740755</v>
      </c>
      <c r="L45">
        <v>0.97525342727442421</v>
      </c>
      <c r="M45">
        <v>0</v>
      </c>
      <c r="N45">
        <v>2.014547564349338E-2</v>
      </c>
      <c r="O45">
        <v>3.0251773723831801E-4</v>
      </c>
      <c r="P45">
        <v>0</v>
      </c>
      <c r="Q45">
        <v>3.1992640833481438E-3</v>
      </c>
      <c r="R45">
        <v>1.099315261495977E-3</v>
      </c>
      <c r="S45">
        <v>2.5636785772255241E-2</v>
      </c>
      <c r="T45">
        <v>0.97436321422774474</v>
      </c>
    </row>
    <row r="46" spans="1:20" hidden="1" x14ac:dyDescent="0.25">
      <c r="A46" t="s">
        <v>138</v>
      </c>
      <c r="B46">
        <v>22271.396045750789</v>
      </c>
      <c r="C46">
        <v>970.23109493335903</v>
      </c>
      <c r="D46">
        <v>1.641563742777633E-3</v>
      </c>
      <c r="E46">
        <v>79.963555036288454</v>
      </c>
      <c r="F46">
        <v>0.1117037236501079</v>
      </c>
      <c r="G46">
        <v>4.8184703537242006</v>
      </c>
      <c r="H46">
        <v>20.951710997481999</v>
      </c>
      <c r="I46">
        <v>1.616377386551753</v>
      </c>
      <c r="J46">
        <v>1109.4275393403641</v>
      </c>
      <c r="K46">
        <v>4319.4890699131884</v>
      </c>
      <c r="L46">
        <v>0.9002839360530368</v>
      </c>
      <c r="M46">
        <v>1.5232179996574022E-6</v>
      </c>
      <c r="N46">
        <v>7.4198718681355066E-2</v>
      </c>
      <c r="O46">
        <v>1.0365063387955755E-4</v>
      </c>
      <c r="P46">
        <v>4.47109093746748E-3</v>
      </c>
      <c r="Q46">
        <v>1.9441233065359935E-2</v>
      </c>
      <c r="R46">
        <v>1.4998474109015074E-3</v>
      </c>
      <c r="S46">
        <v>0.20435523681637552</v>
      </c>
      <c r="T46">
        <v>0.79564476318362454</v>
      </c>
    </row>
    <row r="47" spans="1:20" hidden="1" x14ac:dyDescent="0.25">
      <c r="A47" t="s">
        <v>108</v>
      </c>
      <c r="B47">
        <v>10768.623112774279</v>
      </c>
      <c r="C47">
        <v>324.32446033734487</v>
      </c>
      <c r="D47">
        <v>6.3055857659662234E-2</v>
      </c>
      <c r="E47">
        <v>2.8227039942926071</v>
      </c>
      <c r="F47">
        <v>0</v>
      </c>
      <c r="G47">
        <v>6.5921707844593502</v>
      </c>
      <c r="H47">
        <v>0.31550448507445872</v>
      </c>
      <c r="I47">
        <v>0</v>
      </c>
      <c r="J47">
        <v>407.33626160972722</v>
      </c>
      <c r="K47">
        <v>1454.8111566512359</v>
      </c>
      <c r="L47">
        <v>0.97068868428002875</v>
      </c>
      <c r="M47">
        <v>1.8872337733682326E-4</v>
      </c>
      <c r="N47">
        <v>8.4482275048940389E-3</v>
      </c>
      <c r="O47">
        <v>0</v>
      </c>
      <c r="P47">
        <v>1.973007394712151E-2</v>
      </c>
      <c r="Q47">
        <v>9.4429089061868045E-4</v>
      </c>
      <c r="R47">
        <v>0</v>
      </c>
      <c r="S47">
        <v>0.21874544282328282</v>
      </c>
      <c r="T47">
        <v>0.78125455717671721</v>
      </c>
    </row>
    <row r="48" spans="1:20" hidden="1" x14ac:dyDescent="0.25">
      <c r="A48" t="s">
        <v>92</v>
      </c>
      <c r="B48">
        <v>6313.2011097215418</v>
      </c>
      <c r="C48">
        <v>780.56413892325133</v>
      </c>
      <c r="D48">
        <v>7.8504948344625021E-3</v>
      </c>
      <c r="E48">
        <v>425.43211385573147</v>
      </c>
      <c r="F48">
        <v>0.17509842790757499</v>
      </c>
      <c r="G48">
        <v>4.4262807834198776</v>
      </c>
      <c r="H48">
        <v>1.769346534697823</v>
      </c>
      <c r="I48">
        <v>0.29678886408358113</v>
      </c>
      <c r="J48">
        <v>133.47740053340689</v>
      </c>
      <c r="K48">
        <v>4284.3970462435918</v>
      </c>
      <c r="L48">
        <v>0.64367313245552105</v>
      </c>
      <c r="M48">
        <v>6.4737186215023067E-6</v>
      </c>
      <c r="N48">
        <v>0.35082219092263178</v>
      </c>
      <c r="O48">
        <v>1.4439063743663453E-4</v>
      </c>
      <c r="P48">
        <v>3.650024225967784E-3</v>
      </c>
      <c r="Q48">
        <v>1.4590483595099532E-3</v>
      </c>
      <c r="R48">
        <v>2.4473968031136774E-4</v>
      </c>
      <c r="S48">
        <v>3.0213036187749419E-2</v>
      </c>
      <c r="T48">
        <v>0.9697869638122506</v>
      </c>
    </row>
    <row r="49" spans="1:20" hidden="1" x14ac:dyDescent="0.25">
      <c r="A49" t="s">
        <v>128</v>
      </c>
      <c r="B49">
        <v>14119.95213515897</v>
      </c>
      <c r="C49">
        <v>60.44595638536282</v>
      </c>
      <c r="D49">
        <v>0</v>
      </c>
      <c r="E49">
        <v>4.5233440606005146</v>
      </c>
      <c r="F49">
        <v>1.177348132235094E-2</v>
      </c>
      <c r="G49">
        <v>13.81549332444307</v>
      </c>
      <c r="H49">
        <v>22.510376336412961</v>
      </c>
      <c r="I49">
        <v>3.2357744432149373E-2</v>
      </c>
      <c r="J49">
        <v>72.211420172571863</v>
      </c>
      <c r="K49">
        <v>1199.322315009349</v>
      </c>
      <c r="L49">
        <v>0.5964710195405053</v>
      </c>
      <c r="M49">
        <v>0</v>
      </c>
      <c r="N49">
        <v>4.4635634952286368E-2</v>
      </c>
      <c r="O49">
        <v>1.1617882862358502E-4</v>
      </c>
      <c r="P49">
        <v>0.13632907611138528</v>
      </c>
      <c r="Q49">
        <v>0.22212878952597798</v>
      </c>
      <c r="R49">
        <v>3.1930104122149206E-4</v>
      </c>
      <c r="S49">
        <v>5.6790801670897409E-2</v>
      </c>
      <c r="T49">
        <v>0.94320919832910255</v>
      </c>
    </row>
    <row r="50" spans="1:20" hidden="1" x14ac:dyDescent="0.25">
      <c r="A50" t="s">
        <v>100</v>
      </c>
      <c r="B50">
        <v>8033.7996285452773</v>
      </c>
      <c r="C50">
        <v>547.84724290787176</v>
      </c>
      <c r="D50">
        <v>2.9333473338134873E-4</v>
      </c>
      <c r="E50">
        <v>23.3561356932778</v>
      </c>
      <c r="F50">
        <v>3.5148245289629218E-2</v>
      </c>
      <c r="G50">
        <v>5.6842302623930951</v>
      </c>
      <c r="H50">
        <v>20.70188730649356</v>
      </c>
      <c r="I50">
        <v>4.5101261360559898E-2</v>
      </c>
      <c r="J50">
        <v>337.51001626068552</v>
      </c>
      <c r="K50">
        <v>972.1114514669996</v>
      </c>
      <c r="L50">
        <v>0.9166382906093844</v>
      </c>
      <c r="M50">
        <v>4.9079711920400286E-7</v>
      </c>
      <c r="N50">
        <v>3.9078645688698371E-2</v>
      </c>
      <c r="O50">
        <v>5.8808779084470131E-5</v>
      </c>
      <c r="P50">
        <v>9.5106495078708265E-3</v>
      </c>
      <c r="Q50">
        <v>3.4637652810463222E-2</v>
      </c>
      <c r="R50">
        <v>7.5461807379804358E-5</v>
      </c>
      <c r="S50">
        <v>0.25771570226799717</v>
      </c>
      <c r="T50">
        <v>0.74228429773200288</v>
      </c>
    </row>
    <row r="51" spans="1:20" hidden="1" x14ac:dyDescent="0.25">
      <c r="A51" t="s">
        <v>150</v>
      </c>
      <c r="B51">
        <v>42702.525904684662</v>
      </c>
      <c r="C51">
        <v>4945.2411507199085</v>
      </c>
      <c r="D51">
        <v>0</v>
      </c>
      <c r="E51">
        <v>0</v>
      </c>
      <c r="F51">
        <v>5.8729031343885407E-2</v>
      </c>
      <c r="G51">
        <v>6.582815334457738</v>
      </c>
      <c r="H51">
        <v>4.2745005828967422</v>
      </c>
      <c r="I51">
        <v>0.56865589316009846</v>
      </c>
      <c r="J51">
        <v>7041.0186614542145</v>
      </c>
      <c r="K51">
        <v>17252.106727675851</v>
      </c>
      <c r="L51">
        <v>0.99768300664878617</v>
      </c>
      <c r="M51">
        <v>0</v>
      </c>
      <c r="N51">
        <v>0</v>
      </c>
      <c r="O51">
        <v>1.1848351735123911E-5</v>
      </c>
      <c r="P51">
        <v>1.3280571755614893E-3</v>
      </c>
      <c r="Q51">
        <v>8.6236372777201929E-4</v>
      </c>
      <c r="R51">
        <v>1.1472409614522582E-4</v>
      </c>
      <c r="S51">
        <v>0.2898358506231854</v>
      </c>
      <c r="T51">
        <v>0.7101641493768146</v>
      </c>
    </row>
    <row r="52" spans="1:20" hidden="1" x14ac:dyDescent="0.25">
      <c r="A52" t="s">
        <v>83</v>
      </c>
      <c r="B52">
        <v>2641.734459797955</v>
      </c>
      <c r="C52">
        <v>0</v>
      </c>
      <c r="D52">
        <v>0</v>
      </c>
      <c r="E52">
        <v>0</v>
      </c>
      <c r="F52">
        <v>3.4736506729700758E-2</v>
      </c>
      <c r="G52">
        <v>0</v>
      </c>
      <c r="H52">
        <v>0.33703412683646677</v>
      </c>
      <c r="I52">
        <v>6.798973846205765E-2</v>
      </c>
      <c r="J52">
        <v>27.255586451733819</v>
      </c>
      <c r="K52">
        <v>8526.5853317075271</v>
      </c>
      <c r="L52">
        <v>0</v>
      </c>
      <c r="M52">
        <v>0</v>
      </c>
      <c r="N52">
        <v>0</v>
      </c>
      <c r="O52">
        <v>7.8989624666479186E-2</v>
      </c>
      <c r="P52">
        <v>0</v>
      </c>
      <c r="Q52">
        <v>0.76640404246073113</v>
      </c>
      <c r="R52">
        <v>0.15460633287278977</v>
      </c>
      <c r="S52">
        <v>3.186356481551105E-3</v>
      </c>
      <c r="T52">
        <v>0.99681364351844881</v>
      </c>
    </row>
    <row r="53" spans="1:20" hidden="1" x14ac:dyDescent="0.25">
      <c r="A53" t="s">
        <v>144</v>
      </c>
      <c r="B53">
        <v>33182.204031909663</v>
      </c>
      <c r="C53">
        <v>8207.8105021221527</v>
      </c>
      <c r="D53">
        <v>9.756660105675162E-2</v>
      </c>
      <c r="E53">
        <v>203.47848659387159</v>
      </c>
      <c r="F53">
        <v>0.1655841244611774</v>
      </c>
      <c r="G53">
        <v>206.51051356658721</v>
      </c>
      <c r="H53">
        <v>149.07754738252169</v>
      </c>
      <c r="I53">
        <v>0.69288364972426408</v>
      </c>
      <c r="J53">
        <v>1645.2121615716731</v>
      </c>
      <c r="K53">
        <v>2214.327954960635</v>
      </c>
      <c r="L53">
        <v>0.93612759543317481</v>
      </c>
      <c r="M53">
        <v>1.112778951441799E-5</v>
      </c>
      <c r="N53">
        <v>2.3207385980494176E-2</v>
      </c>
      <c r="O53">
        <v>1.8885410211855139E-5</v>
      </c>
      <c r="P53">
        <v>2.3553198559686024E-2</v>
      </c>
      <c r="Q53">
        <v>1.700278118362902E-2</v>
      </c>
      <c r="R53">
        <v>7.9025643289843618E-5</v>
      </c>
      <c r="S53">
        <v>0.42627155357821528</v>
      </c>
      <c r="T53">
        <v>0.57372844642178467</v>
      </c>
    </row>
    <row r="54" spans="1:20" x14ac:dyDescent="0.25">
      <c r="A54" t="s">
        <v>118</v>
      </c>
      <c r="B54">
        <v>16147.6051454102</v>
      </c>
      <c r="C54">
        <v>1197.808499474874</v>
      </c>
      <c r="D54">
        <v>1.3484604266466201E-3</v>
      </c>
      <c r="E54">
        <v>23.460135122970751</v>
      </c>
      <c r="F54">
        <v>1.4184314439607579E-2</v>
      </c>
      <c r="G54">
        <v>49.295767402341902</v>
      </c>
      <c r="H54">
        <v>64.97995209551982</v>
      </c>
      <c r="I54">
        <v>3.8608217550607948E-2</v>
      </c>
      <c r="J54">
        <v>30.8284651855985</v>
      </c>
      <c r="K54">
        <v>1127.8937756293969</v>
      </c>
      <c r="L54">
        <v>0.89683277113594084</v>
      </c>
      <c r="M54">
        <v>1.0096300883879389E-6</v>
      </c>
      <c r="N54">
        <v>1.7565260225471307E-2</v>
      </c>
      <c r="O54">
        <v>1.0620193487618217E-5</v>
      </c>
      <c r="P54">
        <v>3.6909121703592028E-2</v>
      </c>
      <c r="Q54">
        <v>4.8652310057621329E-2</v>
      </c>
      <c r="R54">
        <v>2.8907053798425072E-5</v>
      </c>
      <c r="S54">
        <v>2.6605569565934181E-2</v>
      </c>
      <c r="T54">
        <v>0.9733944304340657</v>
      </c>
    </row>
    <row r="55" spans="1:20" x14ac:dyDescent="0.25">
      <c r="A55" t="s">
        <v>148</v>
      </c>
      <c r="B55">
        <v>43252.206084732803</v>
      </c>
      <c r="C55">
        <v>708.88038599869549</v>
      </c>
      <c r="D55">
        <v>7.768712667803759E-3</v>
      </c>
      <c r="E55">
        <v>17.866177473928879</v>
      </c>
      <c r="F55">
        <v>5.3596953427508358E-2</v>
      </c>
      <c r="G55">
        <v>0.80386898904930004</v>
      </c>
      <c r="H55">
        <v>0.2758425925608895</v>
      </c>
      <c r="I55">
        <v>3.1021652809082281E-2</v>
      </c>
      <c r="J55">
        <v>48.602070174509457</v>
      </c>
      <c r="K55">
        <v>161.61016581180689</v>
      </c>
      <c r="L55">
        <v>0.97384559929762549</v>
      </c>
      <c r="M55">
        <v>1.0672501021579019E-5</v>
      </c>
      <c r="N55">
        <v>2.4544194835837967E-2</v>
      </c>
      <c r="O55">
        <v>7.3630415316971201E-5</v>
      </c>
      <c r="P55">
        <v>1.1043390293477983E-3</v>
      </c>
      <c r="Q55">
        <v>3.7894699891550463E-4</v>
      </c>
      <c r="R55">
        <v>4.2616921934583187E-5</v>
      </c>
      <c r="S55">
        <v>0.23120476287437988</v>
      </c>
      <c r="T55">
        <v>0.76879523712562015</v>
      </c>
    </row>
    <row r="56" spans="1:20" x14ac:dyDescent="0.25">
      <c r="A56" t="s">
        <v>99</v>
      </c>
      <c r="B56">
        <v>10905.17892109573</v>
      </c>
      <c r="C56">
        <v>231.5380005301781</v>
      </c>
      <c r="D56">
        <v>0</v>
      </c>
      <c r="E56">
        <v>32.646115426745133</v>
      </c>
      <c r="F56">
        <v>1.724854152762248E-3</v>
      </c>
      <c r="G56">
        <v>14.05787336596698</v>
      </c>
      <c r="H56">
        <v>2.56497228115717</v>
      </c>
      <c r="I56">
        <v>5.4186060651715898E-2</v>
      </c>
      <c r="J56">
        <v>14.994774495918559</v>
      </c>
      <c r="K56">
        <v>185.43512138146909</v>
      </c>
      <c r="L56">
        <v>0.82438094595303613</v>
      </c>
      <c r="M56">
        <v>0</v>
      </c>
      <c r="N56">
        <v>0.1162350692135497</v>
      </c>
      <c r="O56">
        <v>6.141267933683451E-6</v>
      </c>
      <c r="P56">
        <v>5.0052444596511765E-2</v>
      </c>
      <c r="Q56">
        <v>9.1324718648421784E-3</v>
      </c>
      <c r="R56">
        <v>1.9292710412651234E-4</v>
      </c>
      <c r="S56">
        <v>7.481306334206532E-2</v>
      </c>
      <c r="T56">
        <v>0.92518693665793461</v>
      </c>
    </row>
    <row r="57" spans="1:20" x14ac:dyDescent="0.25">
      <c r="A57" t="s">
        <v>107</v>
      </c>
      <c r="B57">
        <v>13203.51181056138</v>
      </c>
      <c r="C57">
        <v>264.38914703417441</v>
      </c>
      <c r="D57">
        <v>0</v>
      </c>
      <c r="E57">
        <v>4.2736492186672521</v>
      </c>
      <c r="F57">
        <v>1.5202293727310239E-4</v>
      </c>
      <c r="G57">
        <v>0.91015989097154038</v>
      </c>
      <c r="H57">
        <v>0.38947667385605061</v>
      </c>
      <c r="I57">
        <v>7.0944037394114434E-5</v>
      </c>
      <c r="J57">
        <v>29.01178968977667</v>
      </c>
      <c r="K57">
        <v>156.3204712778182</v>
      </c>
      <c r="L57">
        <v>0.9793545194824439</v>
      </c>
      <c r="M57">
        <v>0</v>
      </c>
      <c r="N57">
        <v>1.5830519988944136E-2</v>
      </c>
      <c r="O57">
        <v>5.6312580283094764E-7</v>
      </c>
      <c r="P57">
        <v>3.3714288679157086E-3</v>
      </c>
      <c r="Q57">
        <v>1.442705742851878E-3</v>
      </c>
      <c r="R57">
        <v>2.6279204132110879E-7</v>
      </c>
      <c r="S57">
        <v>0.15653933933741493</v>
      </c>
      <c r="T57">
        <v>0.84346066066258507</v>
      </c>
    </row>
    <row r="58" spans="1:20" x14ac:dyDescent="0.25">
      <c r="A58" t="s">
        <v>136</v>
      </c>
      <c r="B58">
        <v>26826.379427587261</v>
      </c>
      <c r="C58">
        <v>814.76187957547927</v>
      </c>
      <c r="D58">
        <v>5.8841786478567228E-2</v>
      </c>
      <c r="E58">
        <v>27.206889913175189</v>
      </c>
      <c r="F58">
        <v>1.7812871183691421E-2</v>
      </c>
      <c r="G58">
        <v>66.056431778265235</v>
      </c>
      <c r="H58">
        <v>18.739922728317829</v>
      </c>
      <c r="I58">
        <v>3.9311974637347008E-2</v>
      </c>
      <c r="J58">
        <v>106.54135963335629</v>
      </c>
      <c r="K58">
        <v>190.77139696442001</v>
      </c>
      <c r="L58">
        <v>0.87903603581323619</v>
      </c>
      <c r="M58">
        <v>6.3483641077119045E-5</v>
      </c>
      <c r="N58">
        <v>2.9353161034664101E-2</v>
      </c>
      <c r="O58">
        <v>1.9218075936398016E-5</v>
      </c>
      <c r="P58">
        <v>7.1267428417967044E-2</v>
      </c>
      <c r="Q58">
        <v>2.0218259837008992E-2</v>
      </c>
      <c r="R58">
        <v>4.2413180110008676E-5</v>
      </c>
      <c r="S58">
        <v>0.35834775760224868</v>
      </c>
      <c r="T58">
        <v>0.64165224239775143</v>
      </c>
    </row>
    <row r="59" spans="1:20" x14ac:dyDescent="0.25">
      <c r="A59" t="s">
        <v>115</v>
      </c>
      <c r="B59">
        <v>16016.226284857339</v>
      </c>
      <c r="C59">
        <v>2154.978414187658</v>
      </c>
      <c r="D59">
        <v>2.104710021890829</v>
      </c>
      <c r="E59">
        <v>402.42963349574472</v>
      </c>
      <c r="F59">
        <v>5.0384757130372729E-2</v>
      </c>
      <c r="G59">
        <v>34.602314667824913</v>
      </c>
      <c r="H59">
        <v>18.01226231256399</v>
      </c>
      <c r="I59">
        <v>0.1159877061612625</v>
      </c>
      <c r="J59">
        <v>31.468958156945551</v>
      </c>
      <c r="K59">
        <v>203.82393731958231</v>
      </c>
      <c r="L59">
        <v>0.82493726041991489</v>
      </c>
      <c r="M59">
        <v>8.0569425104495016E-4</v>
      </c>
      <c r="N59">
        <v>0.15405221564268573</v>
      </c>
      <c r="O59">
        <v>1.9287554455491163E-5</v>
      </c>
      <c r="P59">
        <v>1.324595108625418E-2</v>
      </c>
      <c r="Q59">
        <v>6.8951903314969729E-3</v>
      </c>
      <c r="R59">
        <v>4.4400714147816894E-5</v>
      </c>
      <c r="S59">
        <v>0.13374376686220346</v>
      </c>
      <c r="T59">
        <v>0.86625623313779654</v>
      </c>
    </row>
    <row r="60" spans="1:20" x14ac:dyDescent="0.25">
      <c r="A60" t="s">
        <v>76</v>
      </c>
      <c r="B60">
        <v>2031.864623916309</v>
      </c>
      <c r="C60">
        <v>49.383098714344968</v>
      </c>
      <c r="D60">
        <v>3.3828481800601773E-2</v>
      </c>
      <c r="E60">
        <v>0.6449134220509638</v>
      </c>
      <c r="F60">
        <v>0</v>
      </c>
      <c r="G60">
        <v>4.0097239566939216</v>
      </c>
      <c r="H60">
        <v>5.2547922119240766</v>
      </c>
      <c r="I60">
        <v>1.1143157886610469E-3</v>
      </c>
      <c r="J60">
        <v>13.044513769307089</v>
      </c>
      <c r="K60">
        <v>382.91478154977682</v>
      </c>
      <c r="L60">
        <v>0.8323816572080065</v>
      </c>
      <c r="M60">
        <v>5.7019928832121463E-4</v>
      </c>
      <c r="N60">
        <v>1.0870401351435086E-2</v>
      </c>
      <c r="O60">
        <v>0</v>
      </c>
      <c r="P60">
        <v>6.7586294884529149E-2</v>
      </c>
      <c r="Q60">
        <v>8.8572664808790488E-2</v>
      </c>
      <c r="R60">
        <v>1.8782458917453376E-5</v>
      </c>
      <c r="S60">
        <v>3.2944077645140679E-2</v>
      </c>
      <c r="T60">
        <v>0.96705592235485927</v>
      </c>
    </row>
    <row r="61" spans="1:20" x14ac:dyDescent="0.25">
      <c r="A61" t="s">
        <v>89</v>
      </c>
      <c r="B61">
        <v>5947.5328235082943</v>
      </c>
      <c r="C61">
        <v>1449.780841027758</v>
      </c>
      <c r="D61">
        <v>0.12774892895262879</v>
      </c>
      <c r="E61">
        <v>259.61749591553939</v>
      </c>
      <c r="F61">
        <v>2.5289990383732288</v>
      </c>
      <c r="G61">
        <v>41.360817504738797</v>
      </c>
      <c r="H61">
        <v>8.0187239039377118</v>
      </c>
      <c r="I61">
        <v>3.7882772908157843E-2</v>
      </c>
      <c r="J61">
        <v>39.051362026267441</v>
      </c>
      <c r="K61">
        <v>1092.594105526716</v>
      </c>
      <c r="L61">
        <v>0.82305050663261092</v>
      </c>
      <c r="M61">
        <v>7.2523941357714093E-5</v>
      </c>
      <c r="N61">
        <v>0.14738662941117134</v>
      </c>
      <c r="O61">
        <v>1.4357300640908516E-3</v>
      </c>
      <c r="P61">
        <v>2.3480819196011467E-2</v>
      </c>
      <c r="Q61">
        <v>4.5522844452850642E-3</v>
      </c>
      <c r="R61">
        <v>2.1506309472681524E-5</v>
      </c>
      <c r="S61">
        <v>3.4508477386217304E-2</v>
      </c>
      <c r="T61">
        <v>0.96549152261378268</v>
      </c>
    </row>
    <row r="62" spans="1:20" x14ac:dyDescent="0.25">
      <c r="A62" t="s">
        <v>90</v>
      </c>
      <c r="B62">
        <v>9977.4163604595724</v>
      </c>
      <c r="C62">
        <v>650.44745231980551</v>
      </c>
      <c r="D62">
        <v>0</v>
      </c>
      <c r="E62">
        <v>164.72890709930431</v>
      </c>
      <c r="F62">
        <v>0.68322255741379356</v>
      </c>
      <c r="G62">
        <v>138.22670282249999</v>
      </c>
      <c r="H62">
        <v>5.2549931987724268</v>
      </c>
      <c r="I62">
        <v>2.838551577544326</v>
      </c>
      <c r="J62">
        <v>34.437107576564429</v>
      </c>
      <c r="K62">
        <v>415.54838037387032</v>
      </c>
      <c r="L62">
        <v>0.67601443340054379</v>
      </c>
      <c r="M62">
        <v>0</v>
      </c>
      <c r="N62">
        <v>0.17120386650799746</v>
      </c>
      <c r="O62">
        <v>7.1007782164310689E-4</v>
      </c>
      <c r="P62">
        <v>0.14365994648163283</v>
      </c>
      <c r="Q62">
        <v>5.4615499486117131E-3</v>
      </c>
      <c r="R62">
        <v>2.9501258395710972E-3</v>
      </c>
      <c r="S62">
        <v>7.6529373721397939E-2</v>
      </c>
      <c r="T62">
        <v>0.9234706262786021</v>
      </c>
    </row>
    <row r="63" spans="1:20" x14ac:dyDescent="0.25">
      <c r="A63" t="s">
        <v>139</v>
      </c>
      <c r="B63">
        <v>36606.477069982058</v>
      </c>
      <c r="C63">
        <v>1272.6299676590349</v>
      </c>
      <c r="D63">
        <v>0</v>
      </c>
      <c r="E63">
        <v>19.05195263697652</v>
      </c>
      <c r="F63">
        <v>6.0848353777675147E-2</v>
      </c>
      <c r="G63">
        <v>11.993543613955101</v>
      </c>
      <c r="H63">
        <v>5.2658240917162216</v>
      </c>
      <c r="I63">
        <v>7.0705299026485174E-2</v>
      </c>
      <c r="J63">
        <v>64.65786578432855</v>
      </c>
      <c r="K63">
        <v>99.072301462115291</v>
      </c>
      <c r="L63">
        <v>0.9721613092596183</v>
      </c>
      <c r="M63">
        <v>0</v>
      </c>
      <c r="N63">
        <v>1.4553775795163154E-2</v>
      </c>
      <c r="O63">
        <v>4.6482022880232736E-5</v>
      </c>
      <c r="P63">
        <v>9.1618611526589483E-3</v>
      </c>
      <c r="Q63">
        <v>4.0225600319237767E-3</v>
      </c>
      <c r="R63">
        <v>5.401173775564961E-5</v>
      </c>
      <c r="S63">
        <v>0.39490502496712554</v>
      </c>
      <c r="T63">
        <v>0.60509497503287446</v>
      </c>
    </row>
    <row r="64" spans="1:20" x14ac:dyDescent="0.25">
      <c r="A64" t="s">
        <v>132</v>
      </c>
      <c r="B64">
        <v>26498.15265802302</v>
      </c>
      <c r="C64">
        <v>271.25258747527181</v>
      </c>
      <c r="D64">
        <v>7.9505577928079094E-2</v>
      </c>
      <c r="E64">
        <v>33.793876544775223</v>
      </c>
      <c r="F64">
        <v>0</v>
      </c>
      <c r="G64">
        <v>11.528688961375</v>
      </c>
      <c r="H64">
        <v>0.38666916086168712</v>
      </c>
      <c r="I64">
        <v>2.9769268977949251E-2</v>
      </c>
      <c r="J64">
        <v>2.153757028487707</v>
      </c>
      <c r="K64">
        <v>44.54336797772622</v>
      </c>
      <c r="L64">
        <v>0.85549452489048505</v>
      </c>
      <c r="M64">
        <v>2.5075000112920973E-4</v>
      </c>
      <c r="N64">
        <v>0.10658138463477608</v>
      </c>
      <c r="O64">
        <v>0</v>
      </c>
      <c r="P64">
        <v>3.635994914341896E-2</v>
      </c>
      <c r="Q64">
        <v>1.2195030216673147E-3</v>
      </c>
      <c r="R64">
        <v>9.3888308523322158E-5</v>
      </c>
      <c r="S64">
        <v>4.6121833586138535E-2</v>
      </c>
      <c r="T64">
        <v>0.95387816641386158</v>
      </c>
    </row>
    <row r="65" spans="1:20" x14ac:dyDescent="0.25">
      <c r="A65" t="s">
        <v>120</v>
      </c>
      <c r="B65">
        <v>17814.618629574288</v>
      </c>
      <c r="C65">
        <v>810.24177907573801</v>
      </c>
      <c r="D65">
        <v>0.4695351877178589</v>
      </c>
      <c r="E65">
        <v>271.07882316340459</v>
      </c>
      <c r="F65">
        <v>1.1835434255805259E-2</v>
      </c>
      <c r="G65">
        <v>57.535330079409889</v>
      </c>
      <c r="H65">
        <v>40.798654894622487</v>
      </c>
      <c r="I65">
        <v>5.0022226752066218E-2</v>
      </c>
      <c r="J65">
        <v>49.716029281818237</v>
      </c>
      <c r="K65">
        <v>730.1254089154213</v>
      </c>
      <c r="L65">
        <v>0.68653737018062255</v>
      </c>
      <c r="M65">
        <v>3.9784847104625979E-4</v>
      </c>
      <c r="N65">
        <v>0.22969161449383299</v>
      </c>
      <c r="O65">
        <v>1.0028448444358312E-5</v>
      </c>
      <c r="P65">
        <v>4.8751070637521175E-2</v>
      </c>
      <c r="Q65">
        <v>3.4569682731261216E-2</v>
      </c>
      <c r="R65">
        <v>4.23850372713651E-5</v>
      </c>
      <c r="S65">
        <v>6.375145875390624E-2</v>
      </c>
      <c r="T65">
        <v>0.9362485412460938</v>
      </c>
    </row>
    <row r="66" spans="1:20" x14ac:dyDescent="0.25">
      <c r="A66" t="s">
        <v>130</v>
      </c>
      <c r="B66">
        <v>25611.025428395471</v>
      </c>
      <c r="C66">
        <v>1772.91531281065</v>
      </c>
      <c r="D66">
        <v>3.6712141911275061E-3</v>
      </c>
      <c r="E66">
        <v>6.0108995808007357</v>
      </c>
      <c r="F66">
        <v>1.981360128743034E-2</v>
      </c>
      <c r="G66">
        <v>23.04002686823949</v>
      </c>
      <c r="H66">
        <v>1.278948914935605</v>
      </c>
      <c r="I66">
        <v>0.51262622325577079</v>
      </c>
      <c r="J66">
        <v>59.171496313856608</v>
      </c>
      <c r="K66">
        <v>877.68059275578764</v>
      </c>
      <c r="L66">
        <v>0.98288817695572572</v>
      </c>
      <c r="M66">
        <v>2.0352878659561136E-6</v>
      </c>
      <c r="N66">
        <v>3.3323882354374806E-3</v>
      </c>
      <c r="O66">
        <v>1.0984480932400824E-5</v>
      </c>
      <c r="P66">
        <v>1.2773182025053361E-2</v>
      </c>
      <c r="Q66">
        <v>7.0903768405480329E-4</v>
      </c>
      <c r="R66">
        <v>2.8419533093026865E-4</v>
      </c>
      <c r="S66">
        <v>6.3159912865880241E-2</v>
      </c>
      <c r="T66">
        <v>0.9368400871341197</v>
      </c>
    </row>
    <row r="67" spans="1:20" x14ac:dyDescent="0.25">
      <c r="A67" t="s">
        <v>96</v>
      </c>
      <c r="B67">
        <v>10122.60920547274</v>
      </c>
      <c r="C67">
        <v>1125.781224984989</v>
      </c>
      <c r="D67">
        <v>0</v>
      </c>
      <c r="E67">
        <v>7.9210651782197568</v>
      </c>
      <c r="F67">
        <v>0</v>
      </c>
      <c r="G67">
        <v>7.3540451421550994</v>
      </c>
      <c r="H67">
        <v>4.3839330598672817</v>
      </c>
      <c r="I67">
        <v>0</v>
      </c>
      <c r="J67">
        <v>75.196471210564354</v>
      </c>
      <c r="K67">
        <v>595.11202024748252</v>
      </c>
      <c r="L67">
        <v>0.98283712916056321</v>
      </c>
      <c r="M67">
        <v>0</v>
      </c>
      <c r="N67">
        <v>6.9153018249696035E-3</v>
      </c>
      <c r="O67">
        <v>0</v>
      </c>
      <c r="P67">
        <v>6.4202781631300335E-3</v>
      </c>
      <c r="Q67">
        <v>3.8272908513370296E-3</v>
      </c>
      <c r="R67">
        <v>0</v>
      </c>
      <c r="S67">
        <v>0.11218188665191739</v>
      </c>
      <c r="T67">
        <v>0.88781811334808258</v>
      </c>
    </row>
    <row r="68" spans="1:20" x14ac:dyDescent="0.25">
      <c r="A68" t="s">
        <v>142</v>
      </c>
      <c r="B68">
        <v>39341.58044996141</v>
      </c>
      <c r="C68">
        <v>408.62923846983131</v>
      </c>
      <c r="D68">
        <v>2.9158627606973759E-2</v>
      </c>
      <c r="E68">
        <v>11.326770048768379</v>
      </c>
      <c r="F68">
        <v>1.0234627058394699E-3</v>
      </c>
      <c r="G68">
        <v>0.87880790621460447</v>
      </c>
      <c r="H68">
        <v>1.548792486433151</v>
      </c>
      <c r="I68">
        <v>5.6575890499724283E-3</v>
      </c>
      <c r="J68">
        <v>17.84708675572222</v>
      </c>
      <c r="K68">
        <v>77.116154114955421</v>
      </c>
      <c r="L68">
        <v>0.96735422536346372</v>
      </c>
      <c r="M68">
        <v>6.9027663627374734E-5</v>
      </c>
      <c r="N68">
        <v>2.681403540144708E-2</v>
      </c>
      <c r="O68">
        <v>2.4228588651735197E-6</v>
      </c>
      <c r="P68">
        <v>2.0804153529074489E-3</v>
      </c>
      <c r="Q68">
        <v>3.6664800628869016E-3</v>
      </c>
      <c r="R68">
        <v>1.339329680214489E-5</v>
      </c>
      <c r="S68">
        <v>0.18793679103714089</v>
      </c>
      <c r="T68">
        <v>0.81206320896285911</v>
      </c>
    </row>
    <row r="69" spans="1:20" x14ac:dyDescent="0.25">
      <c r="A69" t="s">
        <v>112</v>
      </c>
      <c r="B69">
        <v>15929.2255907207</v>
      </c>
      <c r="C69">
        <v>655.85129450554336</v>
      </c>
      <c r="D69">
        <v>0.2318812136496278</v>
      </c>
      <c r="E69">
        <v>321.06497396858629</v>
      </c>
      <c r="F69">
        <v>3.5486021087795601E-3</v>
      </c>
      <c r="G69">
        <v>34.497120022780933</v>
      </c>
      <c r="H69">
        <v>33.387835509321008</v>
      </c>
      <c r="I69">
        <v>1.6973579182071329E-2</v>
      </c>
      <c r="J69">
        <v>68.539842385467466</v>
      </c>
      <c r="K69">
        <v>1132.944753182366</v>
      </c>
      <c r="L69">
        <v>0.62757668822843771</v>
      </c>
      <c r="M69">
        <v>2.2188451154058709E-4</v>
      </c>
      <c r="N69">
        <v>0.30722344341984353</v>
      </c>
      <c r="O69">
        <v>3.3956172350735573E-6</v>
      </c>
      <c r="P69">
        <v>3.3009904102785606E-2</v>
      </c>
      <c r="Q69">
        <v>3.1948442294152411E-2</v>
      </c>
      <c r="R69">
        <v>1.624182600493052E-5</v>
      </c>
      <c r="S69">
        <v>5.7045960171528347E-2</v>
      </c>
      <c r="T69">
        <v>0.9429540398284717</v>
      </c>
    </row>
    <row r="70" spans="1:20" x14ac:dyDescent="0.25">
      <c r="A70" t="s">
        <v>85</v>
      </c>
      <c r="B70">
        <v>4606.0606412742409</v>
      </c>
      <c r="C70">
        <v>558.89155894542125</v>
      </c>
      <c r="D70">
        <v>0.59269514490427311</v>
      </c>
      <c r="E70">
        <v>52.271987972690702</v>
      </c>
      <c r="F70">
        <v>0.20983371518420971</v>
      </c>
      <c r="G70">
        <v>3.6089052243105448</v>
      </c>
      <c r="H70">
        <v>1.464797417631837</v>
      </c>
      <c r="I70">
        <v>0.1663640639731972</v>
      </c>
      <c r="J70">
        <v>76.772787084710899</v>
      </c>
      <c r="K70">
        <v>284.06239978133021</v>
      </c>
      <c r="L70">
        <v>0.9055184653477496</v>
      </c>
      <c r="M70">
        <v>9.6028717815219448E-4</v>
      </c>
      <c r="N70">
        <v>8.4691295783784162E-2</v>
      </c>
      <c r="O70">
        <v>3.399734719743328E-4</v>
      </c>
      <c r="P70">
        <v>5.8471634935218109E-3</v>
      </c>
      <c r="Q70">
        <v>2.3732709654125548E-3</v>
      </c>
      <c r="R70">
        <v>2.695437594052762E-4</v>
      </c>
      <c r="S70">
        <v>0.21276413686676446</v>
      </c>
      <c r="T70">
        <v>0.78723586313323557</v>
      </c>
    </row>
    <row r="71" spans="1:20" x14ac:dyDescent="0.25">
      <c r="A71" t="s">
        <v>81</v>
      </c>
      <c r="B71">
        <v>3794.7797889383742</v>
      </c>
      <c r="C71">
        <v>87.144754998509242</v>
      </c>
      <c r="D71">
        <v>0</v>
      </c>
      <c r="E71">
        <v>1.4877759864309059</v>
      </c>
      <c r="F71">
        <v>7.442761401341807E-5</v>
      </c>
      <c r="G71">
        <v>1.7862757851168709</v>
      </c>
      <c r="H71">
        <v>0.1346194312649093</v>
      </c>
      <c r="I71">
        <v>4.0076407545686652E-5</v>
      </c>
      <c r="J71">
        <v>10.9305187091467</v>
      </c>
      <c r="K71">
        <v>569.6609069244837</v>
      </c>
      <c r="L71">
        <v>0.96235613008301635</v>
      </c>
      <c r="M71">
        <v>0</v>
      </c>
      <c r="N71">
        <v>1.6429793631947003E-2</v>
      </c>
      <c r="O71">
        <v>8.2191831963370334E-7</v>
      </c>
      <c r="P71">
        <v>1.9726183771535996E-2</v>
      </c>
      <c r="Q71">
        <v>1.4866280237782633E-3</v>
      </c>
      <c r="R71">
        <v>4.4257140287968641E-7</v>
      </c>
      <c r="S71">
        <v>1.8826524517163927E-2</v>
      </c>
      <c r="T71">
        <v>0.98117347548283618</v>
      </c>
    </row>
    <row r="72" spans="1:20" x14ac:dyDescent="0.25">
      <c r="A72" t="s">
        <v>127</v>
      </c>
      <c r="B72">
        <v>24900.766932380109</v>
      </c>
      <c r="C72">
        <v>872.41406674431346</v>
      </c>
      <c r="D72">
        <v>7.1574239674404572E-4</v>
      </c>
      <c r="E72">
        <v>21.604031214843399</v>
      </c>
      <c r="F72">
        <v>2.7827958120830231E-2</v>
      </c>
      <c r="G72">
        <v>6.3743492787831242</v>
      </c>
      <c r="H72">
        <v>12.44031619796726</v>
      </c>
      <c r="I72">
        <v>0.24789991926788379</v>
      </c>
      <c r="J72">
        <v>164.26151386428151</v>
      </c>
      <c r="K72">
        <v>424.39787367750063</v>
      </c>
      <c r="L72">
        <v>0.95543234040690472</v>
      </c>
      <c r="M72">
        <v>7.8385191082668697E-7</v>
      </c>
      <c r="N72">
        <v>2.3659854755495546E-2</v>
      </c>
      <c r="O72">
        <v>3.0476045916305098E-5</v>
      </c>
      <c r="P72">
        <v>6.9809276147122859E-3</v>
      </c>
      <c r="Q72">
        <v>1.3624127433870563E-2</v>
      </c>
      <c r="R72">
        <v>2.7148989118972247E-4</v>
      </c>
      <c r="S72">
        <v>0.27904339477236734</v>
      </c>
      <c r="T72">
        <v>0.72095660522763261</v>
      </c>
    </row>
    <row r="73" spans="1:20" x14ac:dyDescent="0.25">
      <c r="A73" t="s">
        <v>103</v>
      </c>
      <c r="B73">
        <v>12703.28984250529</v>
      </c>
      <c r="C73">
        <v>412.8176602876265</v>
      </c>
      <c r="D73">
        <v>4.9567802224466238E-2</v>
      </c>
      <c r="E73">
        <v>1.4707803287826651</v>
      </c>
      <c r="F73">
        <v>0</v>
      </c>
      <c r="G73">
        <v>6.2548574896671951</v>
      </c>
      <c r="H73">
        <v>0.28184694660799331</v>
      </c>
      <c r="I73">
        <v>0</v>
      </c>
      <c r="J73">
        <v>15.151396595094029</v>
      </c>
      <c r="K73">
        <v>156.40547426022641</v>
      </c>
      <c r="L73">
        <v>0.98085641089570552</v>
      </c>
      <c r="M73">
        <v>1.1777329621025274E-4</v>
      </c>
      <c r="N73">
        <v>3.494579939968258E-3</v>
      </c>
      <c r="O73">
        <v>0</v>
      </c>
      <c r="P73">
        <v>1.4861566396419444E-2</v>
      </c>
      <c r="Q73">
        <v>6.6966947169657222E-4</v>
      </c>
      <c r="R73">
        <v>0</v>
      </c>
      <c r="S73">
        <v>8.8317049148510643E-2</v>
      </c>
      <c r="T73">
        <v>0.91168295085148932</v>
      </c>
    </row>
    <row r="74" spans="1:20" x14ac:dyDescent="0.25">
      <c r="A74" t="s">
        <v>109</v>
      </c>
      <c r="B74">
        <v>15853.96203319802</v>
      </c>
      <c r="C74">
        <v>797.91979500740274</v>
      </c>
      <c r="D74">
        <v>2.7381362675796009E-2</v>
      </c>
      <c r="E74">
        <v>454.97789683801591</v>
      </c>
      <c r="F74">
        <v>0.1221368056496681</v>
      </c>
      <c r="G74">
        <v>7.1765411291794621</v>
      </c>
      <c r="H74">
        <v>1.3367218482975649</v>
      </c>
      <c r="I74">
        <v>7.1974800066182926E-2</v>
      </c>
      <c r="J74">
        <v>32.221789926241392</v>
      </c>
      <c r="K74">
        <v>406.38610197211102</v>
      </c>
      <c r="L74">
        <v>0.63245028011470661</v>
      </c>
      <c r="M74">
        <v>2.170312179567985E-5</v>
      </c>
      <c r="N74">
        <v>0.36062634377748914</v>
      </c>
      <c r="O74">
        <v>9.6808548213459761E-5</v>
      </c>
      <c r="P74">
        <v>5.6882978412161776E-3</v>
      </c>
      <c r="Q74">
        <v>1.0595176516248728E-3</v>
      </c>
      <c r="R74">
        <v>5.7048944953966306E-5</v>
      </c>
      <c r="S74">
        <v>7.3463771449212331E-2</v>
      </c>
      <c r="T74">
        <v>0.92653622855078765</v>
      </c>
    </row>
    <row r="75" spans="1:20" x14ac:dyDescent="0.25">
      <c r="A75" t="s">
        <v>125</v>
      </c>
      <c r="B75">
        <v>21466.147579956469</v>
      </c>
      <c r="C75">
        <v>297.95348754623592</v>
      </c>
      <c r="D75">
        <v>0.25005738028079683</v>
      </c>
      <c r="E75">
        <v>9.5102315330827345</v>
      </c>
      <c r="F75">
        <v>0</v>
      </c>
      <c r="G75">
        <v>32.565396804674407</v>
      </c>
      <c r="H75">
        <v>10.187421130446429</v>
      </c>
      <c r="I75">
        <v>3.8815612506484722E-2</v>
      </c>
      <c r="J75">
        <v>16.18748655222528</v>
      </c>
      <c r="K75">
        <v>129.2278456276583</v>
      </c>
      <c r="L75">
        <v>0.85006815598108088</v>
      </c>
      <c r="M75">
        <v>7.1341945984697112E-4</v>
      </c>
      <c r="N75">
        <v>2.7132909397565796E-2</v>
      </c>
      <c r="O75">
        <v>0</v>
      </c>
      <c r="P75">
        <v>9.2909826424656256E-2</v>
      </c>
      <c r="Q75">
        <v>2.9064946901208699E-2</v>
      </c>
      <c r="R75">
        <v>1.107418356415224E-4</v>
      </c>
      <c r="S75">
        <v>0.11131898067117725</v>
      </c>
      <c r="T75">
        <v>0.88868101932882271</v>
      </c>
    </row>
    <row r="76" spans="1:20" x14ac:dyDescent="0.25">
      <c r="A76" t="s">
        <v>95</v>
      </c>
      <c r="B76">
        <v>9994.5499615667923</v>
      </c>
      <c r="C76">
        <v>237.0932216418596</v>
      </c>
      <c r="D76">
        <v>0</v>
      </c>
      <c r="E76">
        <v>6.3688862095149483</v>
      </c>
      <c r="F76">
        <v>7.5296502729630156E-3</v>
      </c>
      <c r="G76">
        <v>4.9198515506656371</v>
      </c>
      <c r="H76">
        <v>4.6093536155785531</v>
      </c>
      <c r="I76">
        <v>3.5936471514972658E-3</v>
      </c>
      <c r="J76">
        <v>77.026711827797243</v>
      </c>
      <c r="K76">
        <v>175.68474164358801</v>
      </c>
      <c r="L76">
        <v>0.93711833409630418</v>
      </c>
      <c r="M76">
        <v>0</v>
      </c>
      <c r="N76">
        <v>2.5173220868056369E-2</v>
      </c>
      <c r="O76">
        <v>2.976117693818157E-5</v>
      </c>
      <c r="P76">
        <v>1.9445866302012005E-2</v>
      </c>
      <c r="Q76">
        <v>1.8218613554530767E-2</v>
      </c>
      <c r="R76">
        <v>1.4204002158391833E-5</v>
      </c>
      <c r="S76">
        <v>0.30480103204550263</v>
      </c>
      <c r="T76">
        <v>0.69519896795449743</v>
      </c>
    </row>
    <row r="77" spans="1:20" x14ac:dyDescent="0.25">
      <c r="A77" t="s">
        <v>151</v>
      </c>
      <c r="B77">
        <v>53129.184166744817</v>
      </c>
      <c r="C77">
        <v>13100.83009664243</v>
      </c>
      <c r="D77">
        <v>21.633597546014599</v>
      </c>
      <c r="E77">
        <v>1103.62166141594</v>
      </c>
      <c r="F77">
        <v>0.25579171729527211</v>
      </c>
      <c r="G77">
        <v>22.329208352934149</v>
      </c>
      <c r="H77">
        <v>11.19535023798311</v>
      </c>
      <c r="I77">
        <v>0.66472486060588087</v>
      </c>
      <c r="J77">
        <v>775.32067865620706</v>
      </c>
      <c r="K77">
        <v>1872.7848028650949</v>
      </c>
      <c r="L77">
        <v>0.91867761583200136</v>
      </c>
      <c r="M77">
        <v>1.5170261478725114E-3</v>
      </c>
      <c r="N77">
        <v>7.7389944698999652E-2</v>
      </c>
      <c r="O77">
        <v>1.7937040879159159E-5</v>
      </c>
      <c r="P77">
        <v>1.5658048949392033E-3</v>
      </c>
      <c r="Q77">
        <v>7.8505847256735595E-4</v>
      </c>
      <c r="R77">
        <v>4.6612912740710697E-5</v>
      </c>
      <c r="S77">
        <v>0.29278315537899025</v>
      </c>
      <c r="T77">
        <v>0.70721684462100975</v>
      </c>
    </row>
    <row r="78" spans="1:20" x14ac:dyDescent="0.25">
      <c r="A78" t="s">
        <v>80</v>
      </c>
      <c r="B78">
        <v>3394.532603624647</v>
      </c>
      <c r="C78">
        <v>159.61959421220999</v>
      </c>
      <c r="D78">
        <v>0</v>
      </c>
      <c r="E78">
        <v>3.8649582211182949</v>
      </c>
      <c r="F78">
        <v>2.0650831784810881E-3</v>
      </c>
      <c r="G78">
        <v>2.6891521291150702</v>
      </c>
      <c r="H78">
        <v>1.4364477419210739</v>
      </c>
      <c r="I78">
        <v>5.4346746078081057E-2</v>
      </c>
      <c r="J78">
        <v>36.138277390166778</v>
      </c>
      <c r="K78">
        <v>1874.200672150349</v>
      </c>
      <c r="L78">
        <v>0.9520061142602172</v>
      </c>
      <c r="M78">
        <v>0</v>
      </c>
      <c r="N78">
        <v>2.305145477924947E-2</v>
      </c>
      <c r="O78">
        <v>1.2316607006005868E-5</v>
      </c>
      <c r="P78">
        <v>1.6038690498673097E-2</v>
      </c>
      <c r="Q78">
        <v>8.5672879941423776E-3</v>
      </c>
      <c r="R78">
        <v>3.2413586071203623E-4</v>
      </c>
      <c r="S78">
        <v>1.8917207021748123E-2</v>
      </c>
      <c r="T78">
        <v>0.98108279297825185</v>
      </c>
    </row>
    <row r="79" spans="1:20" x14ac:dyDescent="0.25">
      <c r="A79" t="s">
        <v>145</v>
      </c>
      <c r="B79">
        <v>40848.104684907797</v>
      </c>
      <c r="C79">
        <v>4986.0893170746594</v>
      </c>
      <c r="D79">
        <v>0.66068988845436016</v>
      </c>
      <c r="E79">
        <v>127.6816610146423</v>
      </c>
      <c r="F79">
        <v>9.9064863695947053E-2</v>
      </c>
      <c r="G79">
        <v>339.77211560293279</v>
      </c>
      <c r="H79">
        <v>115.6233893555283</v>
      </c>
      <c r="I79">
        <v>0.20523924399608201</v>
      </c>
      <c r="J79">
        <v>236.27960154247441</v>
      </c>
      <c r="K79">
        <v>223.69779099827161</v>
      </c>
      <c r="L79">
        <v>0.89514750910705532</v>
      </c>
      <c r="M79">
        <v>1.1861297909703754E-4</v>
      </c>
      <c r="N79">
        <v>2.2922557849999518E-2</v>
      </c>
      <c r="O79">
        <v>1.7785013532305552E-5</v>
      </c>
      <c r="P79">
        <v>6.0998939971745714E-2</v>
      </c>
      <c r="Q79">
        <v>2.0757748687269779E-2</v>
      </c>
      <c r="R79">
        <v>3.6846391300085297E-5</v>
      </c>
      <c r="S79">
        <v>0.51367655318308747</v>
      </c>
      <c r="T79">
        <v>0.48632344681691259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6C36A-DBA1-4EE5-9879-31FA3CAB0047}">
  <dimension ref="A1:V79"/>
  <sheetViews>
    <sheetView showGridLines="0" workbookViewId="0">
      <selection activeCell="A10" sqref="A10"/>
    </sheetView>
  </sheetViews>
  <sheetFormatPr defaultRowHeight="15" x14ac:dyDescent="0.25"/>
  <cols>
    <col min="1" max="1" width="13.42578125" customWidth="1"/>
    <col min="2" max="2" width="20" customWidth="1"/>
    <col min="3" max="3" width="19.85546875" customWidth="1"/>
    <col min="4" max="4" width="17.85546875" customWidth="1"/>
    <col min="5" max="5" width="21" customWidth="1"/>
    <col min="6" max="6" width="18.42578125" customWidth="1"/>
    <col min="7" max="7" width="18.7109375" customWidth="1"/>
    <col min="8" max="8" width="24.85546875" customWidth="1"/>
    <col min="9" max="9" width="18.140625" customWidth="1"/>
    <col min="10" max="10" width="18" customWidth="1"/>
    <col min="11" max="11" width="33.5703125" customWidth="1"/>
    <col min="12" max="12" width="32.7109375" customWidth="1"/>
    <col min="13" max="13" width="21" customWidth="1"/>
    <col min="14" max="14" width="18.85546875" customWidth="1"/>
    <col min="15" max="15" width="22.140625" customWidth="1"/>
    <col min="16" max="16" width="19.42578125" customWidth="1"/>
    <col min="17" max="17" width="19.7109375" customWidth="1"/>
    <col min="18" max="18" width="25.85546875" customWidth="1"/>
    <col min="19" max="19" width="19.28515625" customWidth="1"/>
    <col min="20" max="20" width="19" customWidth="1"/>
    <col min="21" max="21" width="35.5703125" customWidth="1"/>
    <col min="22" max="22" width="34.85546875" customWidth="1"/>
  </cols>
  <sheetData>
    <row r="1" spans="1:22" x14ac:dyDescent="0.25">
      <c r="A1" s="1" t="s">
        <v>0</v>
      </c>
      <c r="B1" s="1" t="s">
        <v>1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47</v>
      </c>
      <c r="K1" t="s">
        <v>45</v>
      </c>
      <c r="L1" t="s">
        <v>46</v>
      </c>
      <c r="M1" t="s">
        <v>214</v>
      </c>
      <c r="N1" t="s">
        <v>215</v>
      </c>
      <c r="O1" t="s">
        <v>216</v>
      </c>
      <c r="P1" t="s">
        <v>217</v>
      </c>
      <c r="Q1" t="s">
        <v>218</v>
      </c>
      <c r="R1" t="s">
        <v>219</v>
      </c>
      <c r="S1" t="s">
        <v>220</v>
      </c>
      <c r="T1" t="s">
        <v>221</v>
      </c>
      <c r="U1" t="s">
        <v>222</v>
      </c>
      <c r="V1" t="s">
        <v>223</v>
      </c>
    </row>
    <row r="2" spans="1:22" hidden="1" x14ac:dyDescent="0.25">
      <c r="A2" t="s">
        <v>75</v>
      </c>
      <c r="B2">
        <v>3626.6186625782998</v>
      </c>
      <c r="C2">
        <v>0.74525989401195591</v>
      </c>
      <c r="D2">
        <v>2.7307626145962161E-2</v>
      </c>
      <c r="E2">
        <v>0.99188875515582287</v>
      </c>
      <c r="F2">
        <v>0.14436836160366059</v>
      </c>
      <c r="G2">
        <v>1.1145172263978651</v>
      </c>
      <c r="H2">
        <v>1.0111689599686839</v>
      </c>
      <c r="I2">
        <v>0.22383398407014909</v>
      </c>
      <c r="J2">
        <v>2.350259253485544E-2</v>
      </c>
      <c r="K2">
        <v>0.79816149615357834</v>
      </c>
      <c r="L2">
        <v>12.47090615621712</v>
      </c>
      <c r="M2">
        <f t="shared" ref="M2:M33" si="0">C2/SUM($C2:$J2)</f>
        <v>0.17405101686512309</v>
      </c>
      <c r="N2">
        <f t="shared" ref="N2:T2" si="1">D2/SUM($C2:$J2)</f>
        <v>6.3775337128245992E-3</v>
      </c>
      <c r="O2">
        <f t="shared" si="1"/>
        <v>0.23164972090821043</v>
      </c>
      <c r="P2">
        <f t="shared" si="1"/>
        <v>3.3716372425463978E-2</v>
      </c>
      <c r="Q2">
        <f t="shared" si="1"/>
        <v>0.26028887120703298</v>
      </c>
      <c r="R2">
        <f t="shared" si="1"/>
        <v>0.23615249810044783</v>
      </c>
      <c r="S2">
        <f t="shared" si="1"/>
        <v>5.2275096042879526E-2</v>
      </c>
      <c r="T2">
        <f t="shared" si="1"/>
        <v>5.4888907380176502E-3</v>
      </c>
      <c r="U2">
        <f t="shared" ref="U2:U33" si="2">K2/($K2+$L2)</f>
        <v>6.0152040600303665E-2</v>
      </c>
      <c r="V2">
        <f t="shared" ref="V2:V33" si="3">L2/($K2+$L2)</f>
        <v>0.93984795939969623</v>
      </c>
    </row>
    <row r="3" spans="1:22" hidden="1" x14ac:dyDescent="0.25">
      <c r="A3" t="s">
        <v>118</v>
      </c>
      <c r="B3">
        <v>16147.6051454102</v>
      </c>
      <c r="C3">
        <v>6.4986727576744796</v>
      </c>
      <c r="D3">
        <v>1.2189381416860511E-2</v>
      </c>
      <c r="E3">
        <v>14.009336018144809</v>
      </c>
      <c r="F3">
        <v>0.11805846145867779</v>
      </c>
      <c r="G3">
        <v>8.4412189895923753</v>
      </c>
      <c r="H3">
        <v>5.4675080232057018</v>
      </c>
      <c r="I3">
        <v>1.4999512265777779</v>
      </c>
      <c r="J3">
        <v>0.30472052920240278</v>
      </c>
      <c r="K3">
        <v>0.43406558010319712</v>
      </c>
      <c r="L3">
        <v>4.2065368491250723</v>
      </c>
      <c r="M3">
        <f t="shared" si="0"/>
        <v>0.17877240220399154</v>
      </c>
      <c r="N3">
        <f t="shared" ref="N3:N34" si="4">D3/SUM($C3:$J3)</f>
        <v>3.3531846863645389E-4</v>
      </c>
      <c r="O3">
        <f t="shared" ref="O3:O34" si="5">E3/SUM($C3:$J3)</f>
        <v>0.38538371551160655</v>
      </c>
      <c r="P3">
        <f t="shared" ref="P3:P34" si="6">F3/SUM($C3:$J3)</f>
        <v>3.2476777247401702E-3</v>
      </c>
      <c r="Q3">
        <f t="shared" ref="Q3:Q34" si="7">G3/SUM($C3:$J3)</f>
        <v>0.23221003004302501</v>
      </c>
      <c r="R3">
        <f t="shared" ref="R3:R34" si="8">H3/SUM($C3:$J3)</f>
        <v>0.15040602594180366</v>
      </c>
      <c r="S3">
        <f t="shared" ref="S3:S34" si="9">I3/SUM($C3:$J3)</f>
        <v>4.1262253688257595E-2</v>
      </c>
      <c r="T3">
        <f t="shared" ref="T3:T34" si="10">J3/SUM($C3:$J3)</f>
        <v>8.3825764179390611E-3</v>
      </c>
      <c r="U3">
        <f t="shared" si="2"/>
        <v>9.3536472197938772E-2</v>
      </c>
      <c r="V3">
        <f t="shared" si="3"/>
        <v>0.9064635278020613</v>
      </c>
    </row>
    <row r="4" spans="1:22" x14ac:dyDescent="0.25">
      <c r="A4" t="s">
        <v>111</v>
      </c>
      <c r="B4">
        <v>10790.9096823325</v>
      </c>
      <c r="C4">
        <v>1.6380609711471139</v>
      </c>
      <c r="D4">
        <v>0</v>
      </c>
      <c r="E4">
        <v>3.4967674837544731</v>
      </c>
      <c r="F4">
        <v>0.1168788596887039</v>
      </c>
      <c r="G4">
        <v>2.6841506765162979</v>
      </c>
      <c r="H4">
        <v>4.1642406407704984</v>
      </c>
      <c r="I4">
        <v>1.434585304111565</v>
      </c>
      <c r="J4">
        <v>0.57477899769596563</v>
      </c>
      <c r="K4">
        <v>1.0336972723400419</v>
      </c>
      <c r="L4">
        <v>8.9606672043926547</v>
      </c>
      <c r="M4">
        <f t="shared" si="0"/>
        <v>0.11609662102987943</v>
      </c>
      <c r="N4">
        <f t="shared" si="4"/>
        <v>0</v>
      </c>
      <c r="O4">
        <f t="shared" si="5"/>
        <v>0.24783136680605808</v>
      </c>
      <c r="P4">
        <f t="shared" si="6"/>
        <v>8.2837213746577067E-3</v>
      </c>
      <c r="Q4">
        <f t="shared" si="7"/>
        <v>0.19023762202232491</v>
      </c>
      <c r="R4">
        <f t="shared" si="8"/>
        <v>0.29513813958353319</v>
      </c>
      <c r="S4">
        <f t="shared" si="9"/>
        <v>0.10167540117254698</v>
      </c>
      <c r="T4">
        <f t="shared" si="10"/>
        <v>4.0737128010999699E-2</v>
      </c>
      <c r="U4">
        <f t="shared" si="2"/>
        <v>0.10342801433213016</v>
      </c>
      <c r="V4">
        <f t="shared" si="3"/>
        <v>0.89657198566786978</v>
      </c>
    </row>
    <row r="5" spans="1:22" x14ac:dyDescent="0.25">
      <c r="A5" t="s">
        <v>147</v>
      </c>
      <c r="B5">
        <v>34742.352483479037</v>
      </c>
      <c r="C5">
        <v>14.714118249943141</v>
      </c>
      <c r="D5">
        <v>8.0797766005038407E-2</v>
      </c>
      <c r="E5">
        <v>70.624285598567994</v>
      </c>
      <c r="F5">
        <v>3.9027078801287293E-2</v>
      </c>
      <c r="G5">
        <v>3.763546258481159</v>
      </c>
      <c r="H5">
        <v>2.076545062746693</v>
      </c>
      <c r="I5">
        <v>0.16819687528551289</v>
      </c>
      <c r="J5">
        <v>1.026037486858824</v>
      </c>
      <c r="K5">
        <v>7.0222256799800391</v>
      </c>
      <c r="L5">
        <v>35.340458901297737</v>
      </c>
      <c r="M5">
        <f t="shared" si="0"/>
        <v>0.15908435386071956</v>
      </c>
      <c r="N5">
        <f t="shared" si="4"/>
        <v>8.7355967785231149E-4</v>
      </c>
      <c r="O5">
        <f t="shared" si="5"/>
        <v>0.76356725224540911</v>
      </c>
      <c r="P5">
        <f t="shared" si="6"/>
        <v>4.2194832940112921E-4</v>
      </c>
      <c r="Q5">
        <f t="shared" si="7"/>
        <v>4.0690261868577646E-2</v>
      </c>
      <c r="R5">
        <f t="shared" si="8"/>
        <v>2.2450942962280569E-2</v>
      </c>
      <c r="S5">
        <f t="shared" si="9"/>
        <v>1.8184909738842997E-3</v>
      </c>
      <c r="T5">
        <f t="shared" si="10"/>
        <v>1.1093190081875502E-2</v>
      </c>
      <c r="U5">
        <f t="shared" si="2"/>
        <v>0.16576441624012464</v>
      </c>
      <c r="V5">
        <f t="shared" si="3"/>
        <v>0.83423558375987539</v>
      </c>
    </row>
    <row r="6" spans="1:22" hidden="1" x14ac:dyDescent="0.25">
      <c r="A6" t="s">
        <v>79</v>
      </c>
      <c r="B6">
        <v>22528.75337972062</v>
      </c>
      <c r="C6">
        <v>92.598132172657699</v>
      </c>
      <c r="D6">
        <v>4.4431877408746982E-2</v>
      </c>
      <c r="E6">
        <v>13.98042067996534</v>
      </c>
      <c r="F6">
        <v>0.31690465231967219</v>
      </c>
      <c r="G6">
        <v>37.330766384529198</v>
      </c>
      <c r="H6">
        <v>195.4293536011098</v>
      </c>
      <c r="I6">
        <v>9.3839934101643774</v>
      </c>
      <c r="J6">
        <v>1.816169462289549</v>
      </c>
      <c r="K6">
        <v>13.70417159501101</v>
      </c>
      <c r="L6">
        <v>23.65706492597338</v>
      </c>
      <c r="M6">
        <f t="shared" si="0"/>
        <v>0.26388739447299975</v>
      </c>
      <c r="N6">
        <f t="shared" si="4"/>
        <v>1.2662255799151132E-4</v>
      </c>
      <c r="O6">
        <f t="shared" si="5"/>
        <v>3.9841589676922855E-2</v>
      </c>
      <c r="P6">
        <f t="shared" si="6"/>
        <v>9.0311911304085161E-4</v>
      </c>
      <c r="Q6">
        <f t="shared" si="7"/>
        <v>0.10638571690112866</v>
      </c>
      <c r="R6">
        <f t="shared" si="8"/>
        <v>0.55693718345398069</v>
      </c>
      <c r="S6">
        <f t="shared" si="9"/>
        <v>2.6742629820467181E-2</v>
      </c>
      <c r="T6">
        <f t="shared" si="10"/>
        <v>5.1757440034685149E-3</v>
      </c>
      <c r="U6">
        <f t="shared" si="2"/>
        <v>0.36680187464657105</v>
      </c>
      <c r="V6">
        <f t="shared" si="3"/>
        <v>0.6331981253534289</v>
      </c>
    </row>
    <row r="7" spans="1:22" hidden="1" x14ac:dyDescent="0.25">
      <c r="A7" t="s">
        <v>148</v>
      </c>
      <c r="B7">
        <v>43252.206084732803</v>
      </c>
      <c r="C7">
        <v>12.871638195110661</v>
      </c>
      <c r="D7">
        <v>2.3225692349378119E-2</v>
      </c>
      <c r="E7">
        <v>62.457164775588787</v>
      </c>
      <c r="F7">
        <v>3.5764350892548147E-2</v>
      </c>
      <c r="G7">
        <v>4.008452432301655</v>
      </c>
      <c r="H7">
        <v>1.9438450269749541</v>
      </c>
      <c r="I7">
        <v>7.728303337611156E-2</v>
      </c>
      <c r="J7">
        <v>0.42469936422195492</v>
      </c>
      <c r="K7">
        <v>4.2564032497177049</v>
      </c>
      <c r="L7">
        <v>7.2958612636995461</v>
      </c>
      <c r="M7">
        <f t="shared" si="0"/>
        <v>0.15727409807212425</v>
      </c>
      <c r="N7">
        <f t="shared" si="4"/>
        <v>2.8378670694275803E-4</v>
      </c>
      <c r="O7">
        <f t="shared" si="5"/>
        <v>0.7631425083058998</v>
      </c>
      <c r="P7">
        <f t="shared" si="6"/>
        <v>4.3699224174099959E-4</v>
      </c>
      <c r="Q7">
        <f t="shared" si="7"/>
        <v>4.8977894763599324E-2</v>
      </c>
      <c r="R7">
        <f t="shared" si="8"/>
        <v>2.3751170501793428E-2</v>
      </c>
      <c r="S7">
        <f t="shared" si="9"/>
        <v>9.4429467222927358E-4</v>
      </c>
      <c r="T7">
        <f t="shared" si="10"/>
        <v>5.1892547356702876E-3</v>
      </c>
      <c r="U7">
        <f t="shared" si="2"/>
        <v>0.3684475234075667</v>
      </c>
      <c r="V7">
        <f t="shared" si="3"/>
        <v>0.6315524765924333</v>
      </c>
    </row>
    <row r="8" spans="1:22" hidden="1" x14ac:dyDescent="0.25">
      <c r="A8" t="s">
        <v>99</v>
      </c>
      <c r="B8">
        <v>10905.17892109573</v>
      </c>
      <c r="C8">
        <v>1.821097993471255</v>
      </c>
      <c r="D8">
        <v>1.8857273197891559E-3</v>
      </c>
      <c r="E8">
        <v>3.9869210832614339</v>
      </c>
      <c r="F8">
        <v>4.1383820101513327E-2</v>
      </c>
      <c r="G8">
        <v>1.6804433248021109</v>
      </c>
      <c r="H8">
        <v>0.86991851821495314</v>
      </c>
      <c r="I8">
        <v>0.17700137555590409</v>
      </c>
      <c r="J8">
        <v>1.449138001484708E-2</v>
      </c>
      <c r="K8">
        <v>0.2495107583129765</v>
      </c>
      <c r="L8">
        <v>1.4881682103862239</v>
      </c>
      <c r="M8">
        <f t="shared" si="0"/>
        <v>0.21192454801075675</v>
      </c>
      <c r="N8">
        <f t="shared" si="4"/>
        <v>2.1944558247307772E-4</v>
      </c>
      <c r="O8">
        <f t="shared" si="5"/>
        <v>0.46396539425876465</v>
      </c>
      <c r="P8">
        <f t="shared" si="6"/>
        <v>4.8159118297936418E-3</v>
      </c>
      <c r="Q8">
        <f t="shared" si="7"/>
        <v>0.19555630358339743</v>
      </c>
      <c r="R8">
        <f t="shared" si="8"/>
        <v>0.1012340299312955</v>
      </c>
      <c r="S8">
        <f t="shared" si="9"/>
        <v>2.0597978058537282E-2</v>
      </c>
      <c r="T8">
        <f t="shared" si="10"/>
        <v>1.6863887449816446E-3</v>
      </c>
      <c r="U8">
        <f t="shared" si="2"/>
        <v>0.14358852400668484</v>
      </c>
      <c r="V8">
        <f t="shared" si="3"/>
        <v>0.85641147599331513</v>
      </c>
    </row>
    <row r="9" spans="1:22" hidden="1" x14ac:dyDescent="0.25">
      <c r="A9" t="s">
        <v>82</v>
      </c>
      <c r="B9">
        <v>14578.073876580789</v>
      </c>
      <c r="C9">
        <v>7.9041603533248344</v>
      </c>
      <c r="D9">
        <v>8.0666441586125778E-2</v>
      </c>
      <c r="E9">
        <v>51.669327355142272</v>
      </c>
      <c r="F9">
        <v>0.37859954096504578</v>
      </c>
      <c r="G9">
        <v>10.506052788870599</v>
      </c>
      <c r="H9">
        <v>10.62373117612864</v>
      </c>
      <c r="I9">
        <v>1.7060746604903081</v>
      </c>
      <c r="J9">
        <v>0.72236179873972683</v>
      </c>
      <c r="K9">
        <v>2.1708231670199152</v>
      </c>
      <c r="L9">
        <v>26.402189369572749</v>
      </c>
      <c r="M9">
        <f t="shared" si="0"/>
        <v>9.4557581568882124E-2</v>
      </c>
      <c r="N9">
        <f t="shared" si="4"/>
        <v>9.6501377618725089E-4</v>
      </c>
      <c r="O9">
        <f t="shared" si="5"/>
        <v>0.61812089046725738</v>
      </c>
      <c r="P9">
        <f t="shared" si="6"/>
        <v>4.5291916378802756E-3</v>
      </c>
      <c r="Q9">
        <f t="shared" si="7"/>
        <v>0.12568405740057317</v>
      </c>
      <c r="R9">
        <f t="shared" si="8"/>
        <v>0.12709184560382819</v>
      </c>
      <c r="S9">
        <f t="shared" si="9"/>
        <v>2.0409795178820734E-2</v>
      </c>
      <c r="T9">
        <f t="shared" si="10"/>
        <v>8.6416243665709755E-3</v>
      </c>
      <c r="U9">
        <f t="shared" si="2"/>
        <v>7.5974598906566201E-2</v>
      </c>
      <c r="V9">
        <f t="shared" si="3"/>
        <v>0.92402540109343378</v>
      </c>
    </row>
    <row r="10" spans="1:22" x14ac:dyDescent="0.25">
      <c r="A10" t="s">
        <v>94</v>
      </c>
      <c r="B10">
        <v>7445.7497357088878</v>
      </c>
      <c r="C10">
        <v>0</v>
      </c>
      <c r="D10">
        <v>1.8182507017842599E-4</v>
      </c>
      <c r="E10">
        <v>1.88391810874681</v>
      </c>
      <c r="F10">
        <v>3.2251356465126668E-4</v>
      </c>
      <c r="G10">
        <v>1.797194106256839E-2</v>
      </c>
      <c r="H10">
        <v>0.32515916960212948</v>
      </c>
      <c r="I10">
        <v>0.10372900323159789</v>
      </c>
      <c r="J10">
        <v>0.14284040218133809</v>
      </c>
      <c r="K10">
        <v>0.66940800292191294</v>
      </c>
      <c r="L10">
        <v>5.235322030938935</v>
      </c>
      <c r="M10">
        <f t="shared" si="0"/>
        <v>0</v>
      </c>
      <c r="N10">
        <f t="shared" si="4"/>
        <v>7.3490716857581518E-5</v>
      </c>
      <c r="O10">
        <f t="shared" si="5"/>
        <v>0.76144885948301855</v>
      </c>
      <c r="P10">
        <f t="shared" si="6"/>
        <v>1.3035470322798109E-4</v>
      </c>
      <c r="Q10">
        <f t="shared" si="7"/>
        <v>7.263964373638224E-3</v>
      </c>
      <c r="R10">
        <f t="shared" si="8"/>
        <v>0.13142401344009913</v>
      </c>
      <c r="S10">
        <f t="shared" si="9"/>
        <v>4.1925565044093803E-2</v>
      </c>
      <c r="T10">
        <f t="shared" si="10"/>
        <v>5.7733752239064642E-2</v>
      </c>
      <c r="U10">
        <f t="shared" si="2"/>
        <v>0.11336809626912205</v>
      </c>
      <c r="V10">
        <f t="shared" si="3"/>
        <v>0.88663190373087786</v>
      </c>
    </row>
    <row r="11" spans="1:22" x14ac:dyDescent="0.25">
      <c r="A11" t="s">
        <v>97</v>
      </c>
      <c r="B11">
        <v>7572.2333109786059</v>
      </c>
      <c r="C11">
        <v>2.9173348627394771</v>
      </c>
      <c r="D11">
        <v>0</v>
      </c>
      <c r="E11">
        <v>1.759719159760939</v>
      </c>
      <c r="F11">
        <v>2.357410615140164E-3</v>
      </c>
      <c r="G11">
        <v>0</v>
      </c>
      <c r="H11">
        <v>0.62732345278355384</v>
      </c>
      <c r="I11">
        <v>0.73584171685979027</v>
      </c>
      <c r="J11">
        <v>0</v>
      </c>
      <c r="K11">
        <v>8.0780558056646357E-2</v>
      </c>
      <c r="L11">
        <v>1.19597765963442</v>
      </c>
      <c r="M11">
        <f t="shared" si="0"/>
        <v>0.48279650462478046</v>
      </c>
      <c r="N11">
        <f t="shared" si="4"/>
        <v>0</v>
      </c>
      <c r="O11">
        <f t="shared" si="5"/>
        <v>0.2912200002491474</v>
      </c>
      <c r="P11">
        <f t="shared" si="6"/>
        <v>3.9013334378977098E-4</v>
      </c>
      <c r="Q11">
        <f t="shared" si="7"/>
        <v>0</v>
      </c>
      <c r="R11">
        <f t="shared" si="8"/>
        <v>0.10381721143545497</v>
      </c>
      <c r="S11">
        <f t="shared" si="9"/>
        <v>0.12177615034682757</v>
      </c>
      <c r="T11">
        <f t="shared" si="10"/>
        <v>0</v>
      </c>
      <c r="U11">
        <f t="shared" si="2"/>
        <v>6.327005139840236E-2</v>
      </c>
      <c r="V11">
        <f t="shared" si="3"/>
        <v>0.93672994860159764</v>
      </c>
    </row>
    <row r="12" spans="1:22" hidden="1" x14ac:dyDescent="0.25">
      <c r="A12" t="s">
        <v>107</v>
      </c>
      <c r="B12">
        <v>13203.51181056138</v>
      </c>
      <c r="C12">
        <v>7.8892943616510589</v>
      </c>
      <c r="D12">
        <v>0</v>
      </c>
      <c r="E12">
        <v>1.3927607620754769</v>
      </c>
      <c r="F12">
        <v>2.9908007163713099E-2</v>
      </c>
      <c r="G12">
        <v>2.3277635429746901</v>
      </c>
      <c r="H12">
        <v>4.1846369689816969</v>
      </c>
      <c r="I12">
        <v>0.40229202701714262</v>
      </c>
      <c r="J12">
        <v>6.386660777200133E-2</v>
      </c>
      <c r="K12">
        <v>0.31876478687951348</v>
      </c>
      <c r="L12">
        <v>0.7608678816847998</v>
      </c>
      <c r="M12">
        <f t="shared" si="0"/>
        <v>0.48428738055143672</v>
      </c>
      <c r="N12">
        <f t="shared" si="4"/>
        <v>0</v>
      </c>
      <c r="O12">
        <f t="shared" si="5"/>
        <v>8.5495157143458136E-2</v>
      </c>
      <c r="P12">
        <f t="shared" si="6"/>
        <v>1.8359145676238931E-3</v>
      </c>
      <c r="Q12">
        <f t="shared" si="7"/>
        <v>0.14289066386596627</v>
      </c>
      <c r="R12">
        <f t="shared" si="8"/>
        <v>0.25687555608493395</v>
      </c>
      <c r="S12">
        <f t="shared" si="9"/>
        <v>2.4694851408749711E-2</v>
      </c>
      <c r="T12">
        <f t="shared" si="10"/>
        <v>3.9204763778310356E-3</v>
      </c>
      <c r="U12">
        <f t="shared" si="2"/>
        <v>0.29525300239701369</v>
      </c>
      <c r="V12">
        <f t="shared" si="3"/>
        <v>0.7047469976029862</v>
      </c>
    </row>
    <row r="13" spans="1:22" hidden="1" x14ac:dyDescent="0.25">
      <c r="A13" t="s">
        <v>86</v>
      </c>
      <c r="B13">
        <v>23668.89966630729</v>
      </c>
      <c r="C13">
        <v>179.83567993317311</v>
      </c>
      <c r="D13">
        <v>2.028151495293385E-2</v>
      </c>
      <c r="E13">
        <v>5.8012541329513274</v>
      </c>
      <c r="F13">
        <v>0.33292411284980722</v>
      </c>
      <c r="G13">
        <v>6.2907197880133152</v>
      </c>
      <c r="H13">
        <v>52.262546363248887</v>
      </c>
      <c r="I13">
        <v>1.8814806446907359</v>
      </c>
      <c r="J13">
        <v>2.0712504174723332</v>
      </c>
      <c r="K13">
        <v>14.6633439805689</v>
      </c>
      <c r="L13">
        <v>11.54091697883112</v>
      </c>
      <c r="M13">
        <f t="shared" si="0"/>
        <v>0.72369607902686139</v>
      </c>
      <c r="N13">
        <f t="shared" si="4"/>
        <v>8.1617023126985137E-5</v>
      </c>
      <c r="O13">
        <f t="shared" si="5"/>
        <v>2.3345449974195076E-2</v>
      </c>
      <c r="P13">
        <f t="shared" si="6"/>
        <v>1.3397556879281881E-3</v>
      </c>
      <c r="Q13">
        <f t="shared" si="7"/>
        <v>2.5315161299101815E-2</v>
      </c>
      <c r="R13">
        <f t="shared" si="8"/>
        <v>0.21031532728709618</v>
      </c>
      <c r="S13">
        <f t="shared" si="9"/>
        <v>7.5714683862156537E-3</v>
      </c>
      <c r="T13">
        <f t="shared" si="10"/>
        <v>8.3351413154747096E-3</v>
      </c>
      <c r="U13">
        <f t="shared" si="2"/>
        <v>0.55957861216875304</v>
      </c>
      <c r="V13">
        <f t="shared" si="3"/>
        <v>0.44042138783124696</v>
      </c>
    </row>
    <row r="14" spans="1:22" hidden="1" x14ac:dyDescent="0.25">
      <c r="A14" t="s">
        <v>87</v>
      </c>
      <c r="B14">
        <v>28339.340053158608</v>
      </c>
      <c r="C14">
        <v>11.102788051371711</v>
      </c>
      <c r="D14">
        <v>1.561447759518554E-2</v>
      </c>
      <c r="E14">
        <v>74.650492657972478</v>
      </c>
      <c r="F14">
        <v>9.3395114457492628E-2</v>
      </c>
      <c r="G14">
        <v>16.54862647263052</v>
      </c>
      <c r="H14">
        <v>2.9225775295485339</v>
      </c>
      <c r="I14">
        <v>0.1345457825262317</v>
      </c>
      <c r="J14">
        <v>0.64331787178878874</v>
      </c>
      <c r="K14">
        <v>4.7572773786392286</v>
      </c>
      <c r="L14">
        <v>15.730041632479081</v>
      </c>
      <c r="M14">
        <f t="shared" si="0"/>
        <v>0.10463336126352961</v>
      </c>
      <c r="N14">
        <f t="shared" si="4"/>
        <v>1.4715180255615956E-4</v>
      </c>
      <c r="O14">
        <f t="shared" si="5"/>
        <v>0.70351085967250226</v>
      </c>
      <c r="P14">
        <f t="shared" si="6"/>
        <v>8.8016133479844251E-4</v>
      </c>
      <c r="Q14">
        <f t="shared" si="7"/>
        <v>0.15595527935094045</v>
      </c>
      <c r="R14">
        <f t="shared" si="8"/>
        <v>2.7542551389346321E-2</v>
      </c>
      <c r="S14">
        <f t="shared" si="9"/>
        <v>1.267967775698664E-3</v>
      </c>
      <c r="T14">
        <f t="shared" si="10"/>
        <v>6.0626674106280115E-3</v>
      </c>
      <c r="U14">
        <f t="shared" si="2"/>
        <v>0.23220595022987103</v>
      </c>
      <c r="V14">
        <f t="shared" si="3"/>
        <v>0.76779404977012899</v>
      </c>
    </row>
    <row r="15" spans="1:22" x14ac:dyDescent="0.25">
      <c r="A15" t="s">
        <v>137</v>
      </c>
      <c r="B15">
        <v>19178.337422847078</v>
      </c>
      <c r="C15">
        <v>36.839103627428578</v>
      </c>
      <c r="D15">
        <v>3.1975286863721551E-2</v>
      </c>
      <c r="E15">
        <v>7.0779072328301922</v>
      </c>
      <c r="F15">
        <v>0.174354171060287</v>
      </c>
      <c r="G15">
        <v>18.460235653067539</v>
      </c>
      <c r="H15">
        <v>86.245649212874483</v>
      </c>
      <c r="I15">
        <v>4.3933519626396693</v>
      </c>
      <c r="J15">
        <v>1.317699953940582</v>
      </c>
      <c r="K15">
        <v>7.6406864894712951</v>
      </c>
      <c r="L15">
        <v>16.07803256179254</v>
      </c>
      <c r="M15">
        <f t="shared" si="0"/>
        <v>0.23837865648074805</v>
      </c>
      <c r="N15">
        <f t="shared" si="4"/>
        <v>2.0690584657671534E-4</v>
      </c>
      <c r="O15">
        <f t="shared" si="5"/>
        <v>4.5799757614113284E-2</v>
      </c>
      <c r="P15">
        <f t="shared" si="6"/>
        <v>1.128211844389734E-3</v>
      </c>
      <c r="Q15">
        <f t="shared" si="7"/>
        <v>0.11945258543206871</v>
      </c>
      <c r="R15">
        <f t="shared" si="8"/>
        <v>0.55807877940242823</v>
      </c>
      <c r="S15">
        <f t="shared" si="9"/>
        <v>2.8428523910156923E-2</v>
      </c>
      <c r="T15">
        <f t="shared" si="10"/>
        <v>8.5265794695185693E-3</v>
      </c>
      <c r="U15">
        <f t="shared" si="2"/>
        <v>0.32213740012507824</v>
      </c>
      <c r="V15">
        <f t="shared" si="3"/>
        <v>0.6778625998749217</v>
      </c>
    </row>
    <row r="16" spans="1:22" hidden="1" x14ac:dyDescent="0.25">
      <c r="A16" t="s">
        <v>136</v>
      </c>
      <c r="B16">
        <v>26826.379427587261</v>
      </c>
      <c r="C16">
        <v>55.759028545229128</v>
      </c>
      <c r="D16">
        <v>1.2456590545025421E-2</v>
      </c>
      <c r="E16">
        <v>6.9025134471351439</v>
      </c>
      <c r="F16">
        <v>0.1425504812593853</v>
      </c>
      <c r="G16">
        <v>18.87053073146166</v>
      </c>
      <c r="H16">
        <v>109.1837043882353</v>
      </c>
      <c r="I16">
        <v>4.990641447524709</v>
      </c>
      <c r="J16">
        <v>0.49846950834896669</v>
      </c>
      <c r="K16">
        <v>6.0634851055397121</v>
      </c>
      <c r="L16">
        <v>7.579032364180831</v>
      </c>
      <c r="M16">
        <f t="shared" si="0"/>
        <v>0.2839634259610308</v>
      </c>
      <c r="N16">
        <f t="shared" si="4"/>
        <v>6.3437549384311409E-5</v>
      </c>
      <c r="O16">
        <f t="shared" si="5"/>
        <v>3.5152358592486409E-2</v>
      </c>
      <c r="P16">
        <f t="shared" si="6"/>
        <v>7.2596535640813734E-4</v>
      </c>
      <c r="Q16">
        <f t="shared" si="7"/>
        <v>9.6101756002835867E-2</v>
      </c>
      <c r="R16">
        <f t="shared" si="8"/>
        <v>0.5560387181432076</v>
      </c>
      <c r="S16">
        <f t="shared" si="9"/>
        <v>2.5415787902988669E-2</v>
      </c>
      <c r="T16">
        <f t="shared" si="10"/>
        <v>2.5385504916583474E-3</v>
      </c>
      <c r="U16">
        <f t="shared" si="2"/>
        <v>0.44445500025912138</v>
      </c>
      <c r="V16">
        <f t="shared" si="3"/>
        <v>0.55554499974087856</v>
      </c>
    </row>
    <row r="17" spans="1:22" hidden="1" x14ac:dyDescent="0.25">
      <c r="A17" t="s">
        <v>115</v>
      </c>
      <c r="B17">
        <v>16016.226284857339</v>
      </c>
      <c r="C17">
        <v>18.28888621525719</v>
      </c>
      <c r="D17">
        <v>0.29872294121344328</v>
      </c>
      <c r="E17">
        <v>11.05478516110254</v>
      </c>
      <c r="F17">
        <v>0.37958962408870672</v>
      </c>
      <c r="G17">
        <v>25.299566579888172</v>
      </c>
      <c r="H17">
        <v>50.796239876121987</v>
      </c>
      <c r="I17">
        <v>5.4349521104430307</v>
      </c>
      <c r="J17">
        <v>4.8490850205515983</v>
      </c>
      <c r="K17">
        <v>1.6880352377756549</v>
      </c>
      <c r="L17">
        <v>8.185395001099792</v>
      </c>
      <c r="M17">
        <f t="shared" si="0"/>
        <v>0.15711854876808634</v>
      </c>
      <c r="N17">
        <f t="shared" si="4"/>
        <v>2.5663080001031408E-3</v>
      </c>
      <c r="O17">
        <f t="shared" si="5"/>
        <v>9.4970890026447749E-2</v>
      </c>
      <c r="P17">
        <f t="shared" si="6"/>
        <v>3.261028045244598E-3</v>
      </c>
      <c r="Q17">
        <f t="shared" si="7"/>
        <v>0.2173468159136725</v>
      </c>
      <c r="R17">
        <f t="shared" si="8"/>
        <v>0.43638696191099086</v>
      </c>
      <c r="S17">
        <f t="shared" si="9"/>
        <v>4.6691295367373389E-2</v>
      </c>
      <c r="T17">
        <f t="shared" si="10"/>
        <v>4.1658151968081411E-2</v>
      </c>
      <c r="U17">
        <f t="shared" si="2"/>
        <v>0.17096745476857869</v>
      </c>
      <c r="V17">
        <f t="shared" si="3"/>
        <v>0.82903254523142134</v>
      </c>
    </row>
    <row r="18" spans="1:22" hidden="1" x14ac:dyDescent="0.25">
      <c r="A18" t="s">
        <v>91</v>
      </c>
      <c r="B18">
        <v>37955.941978508054</v>
      </c>
      <c r="C18">
        <v>376.08483217291177</v>
      </c>
      <c r="D18">
        <v>0.25310039915528232</v>
      </c>
      <c r="E18">
        <v>74.865140316447182</v>
      </c>
      <c r="F18">
        <v>1.636919529190997</v>
      </c>
      <c r="G18">
        <v>94.319655625230766</v>
      </c>
      <c r="H18">
        <v>358.64085282004248</v>
      </c>
      <c r="I18">
        <v>62.213610966970379</v>
      </c>
      <c r="J18">
        <v>13.528396447573989</v>
      </c>
      <c r="K18">
        <v>161.63211239670571</v>
      </c>
      <c r="L18">
        <v>293.43130926803133</v>
      </c>
      <c r="M18">
        <f t="shared" si="0"/>
        <v>0.38315694837597086</v>
      </c>
      <c r="N18">
        <f t="shared" si="4"/>
        <v>2.5785984511199621E-4</v>
      </c>
      <c r="O18">
        <f t="shared" si="5"/>
        <v>7.6272947615713141E-2</v>
      </c>
      <c r="P18">
        <f t="shared" si="6"/>
        <v>1.6677011085985201E-3</v>
      </c>
      <c r="Q18">
        <f t="shared" si="7"/>
        <v>9.6093296856545996E-2</v>
      </c>
      <c r="R18">
        <f t="shared" si="8"/>
        <v>0.36538494236934238</v>
      </c>
      <c r="S18">
        <f t="shared" si="9"/>
        <v>6.3383511607813123E-2</v>
      </c>
      <c r="T18">
        <f t="shared" si="10"/>
        <v>1.3782792220903946E-2</v>
      </c>
      <c r="U18">
        <f t="shared" si="2"/>
        <v>0.35518590311085563</v>
      </c>
      <c r="V18">
        <f t="shared" si="3"/>
        <v>0.64481409688914448</v>
      </c>
    </row>
    <row r="19" spans="1:22" x14ac:dyDescent="0.25">
      <c r="A19" t="s">
        <v>121</v>
      </c>
      <c r="B19">
        <v>11915.494142950891</v>
      </c>
      <c r="C19">
        <v>3.4155203140258359</v>
      </c>
      <c r="D19">
        <v>0</v>
      </c>
      <c r="E19">
        <v>8.3617052967267131</v>
      </c>
      <c r="F19">
        <v>9.7849628021696E-2</v>
      </c>
      <c r="G19">
        <v>23.694109389322659</v>
      </c>
      <c r="H19">
        <v>35.5158576561589</v>
      </c>
      <c r="I19">
        <v>2.5035167521799679</v>
      </c>
      <c r="J19">
        <v>4.1503871768154461</v>
      </c>
      <c r="K19">
        <v>3.0310893119436311</v>
      </c>
      <c r="L19">
        <v>14.779647166965891</v>
      </c>
      <c r="M19">
        <f t="shared" si="0"/>
        <v>4.3935768111089131E-2</v>
      </c>
      <c r="N19">
        <f t="shared" si="4"/>
        <v>0</v>
      </c>
      <c r="O19">
        <f t="shared" si="5"/>
        <v>0.10756134092413765</v>
      </c>
      <c r="P19">
        <f t="shared" si="6"/>
        <v>1.2586950658332538E-3</v>
      </c>
      <c r="Q19">
        <f t="shared" si="7"/>
        <v>0.30479072001215024</v>
      </c>
      <c r="R19">
        <f t="shared" si="8"/>
        <v>0.45686054913495783</v>
      </c>
      <c r="S19">
        <f t="shared" si="9"/>
        <v>3.2204150868116913E-2</v>
      </c>
      <c r="T19">
        <f t="shared" si="10"/>
        <v>5.3388775883715031E-2</v>
      </c>
      <c r="U19">
        <f t="shared" si="2"/>
        <v>0.17018326645463974</v>
      </c>
      <c r="V19">
        <f t="shared" si="3"/>
        <v>0.82981673354536023</v>
      </c>
    </row>
    <row r="20" spans="1:22" hidden="1" x14ac:dyDescent="0.25">
      <c r="A20" t="s">
        <v>93</v>
      </c>
      <c r="B20">
        <v>10262.470825353759</v>
      </c>
      <c r="C20">
        <v>4.2147160760103803</v>
      </c>
      <c r="D20">
        <v>3.9935973187995882E-2</v>
      </c>
      <c r="E20">
        <v>14.843062674963409</v>
      </c>
      <c r="F20">
        <v>0.1422044947122317</v>
      </c>
      <c r="G20">
        <v>5.0046104276461953</v>
      </c>
      <c r="H20">
        <v>10.30661950730714</v>
      </c>
      <c r="I20">
        <v>0.56541756904135632</v>
      </c>
      <c r="J20">
        <v>0.8517084796059432</v>
      </c>
      <c r="K20">
        <v>0.47479822476867889</v>
      </c>
      <c r="L20">
        <v>14.910213953581771</v>
      </c>
      <c r="M20">
        <f t="shared" si="0"/>
        <v>0.11717870963466169</v>
      </c>
      <c r="N20">
        <f t="shared" si="4"/>
        <v>1.1103110439181761E-3</v>
      </c>
      <c r="O20">
        <f t="shared" si="5"/>
        <v>0.41267096048970925</v>
      </c>
      <c r="P20">
        <f t="shared" si="6"/>
        <v>3.9536089487673814E-3</v>
      </c>
      <c r="Q20">
        <f t="shared" si="7"/>
        <v>0.13913957228902299</v>
      </c>
      <c r="R20">
        <f t="shared" si="8"/>
        <v>0.28654750469096812</v>
      </c>
      <c r="S20">
        <f t="shared" si="9"/>
        <v>1.5719896654995982E-2</v>
      </c>
      <c r="T20">
        <f t="shared" si="10"/>
        <v>2.367943624795622E-2</v>
      </c>
      <c r="U20">
        <f t="shared" si="2"/>
        <v>3.0861088653332858E-2</v>
      </c>
      <c r="V20">
        <f t="shared" si="3"/>
        <v>0.96913891134666719</v>
      </c>
    </row>
    <row r="21" spans="1:22" x14ac:dyDescent="0.25">
      <c r="A21" t="s">
        <v>77</v>
      </c>
      <c r="B21">
        <v>1855.1152679937879</v>
      </c>
      <c r="C21">
        <v>0.64059058097120292</v>
      </c>
      <c r="D21">
        <v>0</v>
      </c>
      <c r="E21">
        <v>0.98476169864641239</v>
      </c>
      <c r="F21">
        <v>3.1640891596947239E-2</v>
      </c>
      <c r="G21">
        <v>2.1756766277867379</v>
      </c>
      <c r="H21">
        <v>1.387978928514549</v>
      </c>
      <c r="I21">
        <v>0.35330129078917888</v>
      </c>
      <c r="J21">
        <v>8.1513665928114681E-2</v>
      </c>
      <c r="K21">
        <v>1.0448170248313791</v>
      </c>
      <c r="L21">
        <v>70.25437080167849</v>
      </c>
      <c r="M21">
        <f t="shared" si="0"/>
        <v>0.11326932975577304</v>
      </c>
      <c r="N21">
        <f t="shared" si="4"/>
        <v>0</v>
      </c>
      <c r="O21">
        <f t="shared" si="5"/>
        <v>0.17412572224481396</v>
      </c>
      <c r="P21">
        <f t="shared" si="6"/>
        <v>5.5947475509671874E-3</v>
      </c>
      <c r="Q21">
        <f t="shared" si="7"/>
        <v>0.38470349192627706</v>
      </c>
      <c r="R21">
        <f t="shared" si="8"/>
        <v>0.24542265780683786</v>
      </c>
      <c r="S21">
        <f t="shared" si="9"/>
        <v>6.2470791170341516E-2</v>
      </c>
      <c r="T21">
        <f t="shared" si="10"/>
        <v>1.4413259544989475E-2</v>
      </c>
      <c r="U21">
        <f t="shared" si="2"/>
        <v>1.4653982137548332E-2</v>
      </c>
      <c r="V21">
        <f t="shared" si="3"/>
        <v>0.98534601786245168</v>
      </c>
    </row>
    <row r="22" spans="1:22" hidden="1" x14ac:dyDescent="0.25">
      <c r="A22" t="s">
        <v>76</v>
      </c>
      <c r="B22">
        <v>2031.864623916309</v>
      </c>
      <c r="C22">
        <v>0.1208367676726594</v>
      </c>
      <c r="D22">
        <v>0</v>
      </c>
      <c r="E22">
        <v>0.19194312865783761</v>
      </c>
      <c r="F22">
        <v>5.9886693221140354E-3</v>
      </c>
      <c r="G22">
        <v>0.3707042957828201</v>
      </c>
      <c r="H22">
        <v>0.36306849783912049</v>
      </c>
      <c r="I22">
        <v>4.0688172448716191E-2</v>
      </c>
      <c r="J22">
        <v>2.7797310855953911E-2</v>
      </c>
      <c r="K22">
        <v>9.6115085916033793E-2</v>
      </c>
      <c r="L22">
        <v>1.5048773828968629</v>
      </c>
      <c r="M22">
        <f t="shared" si="0"/>
        <v>0.10779114565592571</v>
      </c>
      <c r="N22">
        <f t="shared" si="4"/>
        <v>0</v>
      </c>
      <c r="O22">
        <f t="shared" si="5"/>
        <v>0.17122081413877757</v>
      </c>
      <c r="P22">
        <f t="shared" si="6"/>
        <v>5.3421283903742223E-3</v>
      </c>
      <c r="Q22">
        <f t="shared" si="7"/>
        <v>0.33068280053840265</v>
      </c>
      <c r="R22">
        <f t="shared" si="8"/>
        <v>0.32387136868532462</v>
      </c>
      <c r="S22">
        <f t="shared" si="9"/>
        <v>3.6295448871770261E-2</v>
      </c>
      <c r="T22">
        <f t="shared" si="10"/>
        <v>2.4796293719424923E-2</v>
      </c>
      <c r="U22">
        <f t="shared" si="2"/>
        <v>6.0034689599321581E-2</v>
      </c>
      <c r="V22">
        <f t="shared" si="3"/>
        <v>0.93996531040067843</v>
      </c>
    </row>
    <row r="23" spans="1:22" hidden="1" x14ac:dyDescent="0.25">
      <c r="A23" t="s">
        <v>89</v>
      </c>
      <c r="B23">
        <v>5947.5328235082943</v>
      </c>
      <c r="C23">
        <v>1.243341096617846</v>
      </c>
      <c r="D23">
        <v>2.679998701855104E-2</v>
      </c>
      <c r="E23">
        <v>2.202624465003757</v>
      </c>
      <c r="F23">
        <v>6.3471570073457259E-2</v>
      </c>
      <c r="G23">
        <v>3.39076867584693</v>
      </c>
      <c r="H23">
        <v>6.1056282955540073</v>
      </c>
      <c r="I23">
        <v>0.49976899332210523</v>
      </c>
      <c r="J23">
        <v>1.6759332260897059E-2</v>
      </c>
      <c r="K23">
        <v>0.60000505529902826</v>
      </c>
      <c r="L23">
        <v>3.1372726813434322</v>
      </c>
      <c r="M23">
        <f t="shared" si="0"/>
        <v>9.1765162928252875E-2</v>
      </c>
      <c r="N23">
        <f t="shared" si="4"/>
        <v>1.9779810881521047E-3</v>
      </c>
      <c r="O23">
        <f t="shared" si="5"/>
        <v>0.16256535994076499</v>
      </c>
      <c r="P23">
        <f t="shared" si="6"/>
        <v>4.6845382855490378E-3</v>
      </c>
      <c r="Q23">
        <f t="shared" si="7"/>
        <v>0.2502567001424762</v>
      </c>
      <c r="R23">
        <f t="shared" si="8"/>
        <v>0.4506277294661592</v>
      </c>
      <c r="S23">
        <f t="shared" si="9"/>
        <v>3.6885600599420941E-2</v>
      </c>
      <c r="T23">
        <f t="shared" si="10"/>
        <v>1.2369275492247645E-3</v>
      </c>
      <c r="U23">
        <f t="shared" si="2"/>
        <v>0.16054601706911614</v>
      </c>
      <c r="V23">
        <f t="shared" si="3"/>
        <v>0.8394539829308838</v>
      </c>
    </row>
    <row r="24" spans="1:22" x14ac:dyDescent="0.25">
      <c r="A24" t="s">
        <v>88</v>
      </c>
      <c r="B24">
        <v>4547.6334844615012</v>
      </c>
      <c r="C24">
        <v>0.6778469319171232</v>
      </c>
      <c r="D24">
        <v>0</v>
      </c>
      <c r="E24">
        <v>1.0920304704468831</v>
      </c>
      <c r="F24">
        <v>4.8890172274567101E-2</v>
      </c>
      <c r="G24">
        <v>2.527109993127802</v>
      </c>
      <c r="H24">
        <v>2.4203083024189351</v>
      </c>
      <c r="I24">
        <v>0.47797816113520247</v>
      </c>
      <c r="J24">
        <v>1.629356411652946E-2</v>
      </c>
      <c r="K24">
        <v>0.41569508442498349</v>
      </c>
      <c r="L24">
        <v>7.0577743849517871</v>
      </c>
      <c r="M24">
        <f t="shared" si="0"/>
        <v>9.336146145156575E-2</v>
      </c>
      <c r="N24">
        <f t="shared" si="4"/>
        <v>0</v>
      </c>
      <c r="O24">
        <f t="shared" si="5"/>
        <v>0.15040794000824248</v>
      </c>
      <c r="P24">
        <f t="shared" si="6"/>
        <v>6.7337590822502645E-3</v>
      </c>
      <c r="Q24">
        <f t="shared" si="7"/>
        <v>0.34806483749949962</v>
      </c>
      <c r="R24">
        <f t="shared" si="8"/>
        <v>0.33335478798747048</v>
      </c>
      <c r="S24">
        <f t="shared" si="9"/>
        <v>6.5833062841052323E-2</v>
      </c>
      <c r="T24">
        <f t="shared" si="10"/>
        <v>2.2441511299190601E-3</v>
      </c>
      <c r="U24">
        <f t="shared" si="2"/>
        <v>5.5622771475595419E-2</v>
      </c>
      <c r="V24">
        <f t="shared" si="3"/>
        <v>0.94437722852440453</v>
      </c>
    </row>
    <row r="25" spans="1:22" hidden="1" x14ac:dyDescent="0.25">
      <c r="A25" t="s">
        <v>98</v>
      </c>
      <c r="B25">
        <v>40401.591638855447</v>
      </c>
      <c r="C25">
        <v>27.5857564450538</v>
      </c>
      <c r="D25">
        <v>0.1040234583544165</v>
      </c>
      <c r="E25">
        <v>133.08145037415679</v>
      </c>
      <c r="F25">
        <v>7.479142969383544E-2</v>
      </c>
      <c r="G25">
        <v>7.771998690782814</v>
      </c>
      <c r="H25">
        <v>4.0203900897216478</v>
      </c>
      <c r="I25">
        <v>0.24547990866162439</v>
      </c>
      <c r="J25">
        <v>1.450736851080779</v>
      </c>
      <c r="K25">
        <v>11.27862892969774</v>
      </c>
      <c r="L25">
        <v>42.636320164997286</v>
      </c>
      <c r="M25">
        <f t="shared" si="0"/>
        <v>0.15823452219787554</v>
      </c>
      <c r="N25">
        <f t="shared" si="4"/>
        <v>5.9668844908666765E-4</v>
      </c>
      <c r="O25">
        <f t="shared" si="5"/>
        <v>0.76336785454113409</v>
      </c>
      <c r="P25">
        <f t="shared" si="6"/>
        <v>4.2901075291056681E-4</v>
      </c>
      <c r="Q25">
        <f t="shared" si="7"/>
        <v>4.4580923557709394E-2</v>
      </c>
      <c r="R25">
        <f t="shared" si="8"/>
        <v>2.3061339868033413E-2</v>
      </c>
      <c r="S25">
        <f t="shared" si="9"/>
        <v>1.4080960996527244E-3</v>
      </c>
      <c r="T25">
        <f t="shared" si="10"/>
        <v>8.3215645335974718E-3</v>
      </c>
      <c r="U25">
        <f t="shared" si="2"/>
        <v>0.20919298115051924</v>
      </c>
      <c r="V25">
        <f t="shared" si="3"/>
        <v>0.79080701884948079</v>
      </c>
    </row>
    <row r="26" spans="1:22" hidden="1" x14ac:dyDescent="0.25">
      <c r="A26" t="s">
        <v>90</v>
      </c>
      <c r="B26">
        <v>9977.4163604595724</v>
      </c>
      <c r="C26">
        <v>0.5968335535619046</v>
      </c>
      <c r="D26">
        <v>0</v>
      </c>
      <c r="E26">
        <v>1.028757374161495</v>
      </c>
      <c r="F26">
        <v>3.1956140032321258E-2</v>
      </c>
      <c r="G26">
        <v>0.94004176207653034</v>
      </c>
      <c r="H26">
        <v>1.2884182510199591</v>
      </c>
      <c r="I26">
        <v>7.5011356616011993E-2</v>
      </c>
      <c r="J26">
        <v>2.8300053213651259E-2</v>
      </c>
      <c r="K26">
        <v>0.11460831143820489</v>
      </c>
      <c r="L26">
        <v>1.344761792266493</v>
      </c>
      <c r="M26">
        <f t="shared" si="0"/>
        <v>0.14960789792942575</v>
      </c>
      <c r="N26">
        <f t="shared" si="4"/>
        <v>0</v>
      </c>
      <c r="O26">
        <f t="shared" si="5"/>
        <v>0.25787797503870258</v>
      </c>
      <c r="P26">
        <f t="shared" si="6"/>
        <v>8.0104258677173596E-3</v>
      </c>
      <c r="Q26">
        <f t="shared" si="7"/>
        <v>0.23563968739829888</v>
      </c>
      <c r="R26">
        <f t="shared" si="8"/>
        <v>0.32296700652740723</v>
      </c>
      <c r="S26">
        <f t="shared" si="9"/>
        <v>1.8803050393499839E-2</v>
      </c>
      <c r="T26">
        <f t="shared" si="10"/>
        <v>7.0939568449482392E-3</v>
      </c>
      <c r="U26">
        <f t="shared" si="2"/>
        <v>7.8532725281451832E-2</v>
      </c>
      <c r="V26">
        <f t="shared" si="3"/>
        <v>0.92146727471854817</v>
      </c>
    </row>
    <row r="27" spans="1:22" x14ac:dyDescent="0.25">
      <c r="A27" t="s">
        <v>105</v>
      </c>
      <c r="B27">
        <v>8331.1072302104858</v>
      </c>
      <c r="C27">
        <v>3.3658951689362122E-2</v>
      </c>
      <c r="D27">
        <v>0</v>
      </c>
      <c r="E27">
        <v>0.86958646026826492</v>
      </c>
      <c r="F27">
        <v>1.608520566614104E-2</v>
      </c>
      <c r="G27">
        <v>0.79941690437847179</v>
      </c>
      <c r="H27">
        <v>1.0715122111397011</v>
      </c>
      <c r="I27">
        <v>6.4466223510633969E-2</v>
      </c>
      <c r="J27">
        <v>0.35344748358998179</v>
      </c>
      <c r="K27">
        <v>0.17602170098203171</v>
      </c>
      <c r="L27">
        <v>8.9672516974815668</v>
      </c>
      <c r="M27">
        <f t="shared" si="0"/>
        <v>1.0491624694336135E-2</v>
      </c>
      <c r="N27">
        <f t="shared" si="4"/>
        <v>0</v>
      </c>
      <c r="O27">
        <f t="shared" si="5"/>
        <v>0.27105344410635079</v>
      </c>
      <c r="P27">
        <f t="shared" si="6"/>
        <v>5.0138204700444456E-3</v>
      </c>
      <c r="Q27">
        <f t="shared" si="7"/>
        <v>0.24918132366248605</v>
      </c>
      <c r="R27">
        <f t="shared" si="8"/>
        <v>0.33399447726201753</v>
      </c>
      <c r="S27">
        <f t="shared" si="9"/>
        <v>2.0094369806191011E-2</v>
      </c>
      <c r="T27">
        <f t="shared" si="10"/>
        <v>0.11017093999857411</v>
      </c>
      <c r="U27">
        <f t="shared" si="2"/>
        <v>1.9251497063580068E-2</v>
      </c>
      <c r="V27">
        <f t="shared" si="3"/>
        <v>0.98074850293641991</v>
      </c>
    </row>
    <row r="28" spans="1:22" hidden="1" x14ac:dyDescent="0.25">
      <c r="A28" t="s">
        <v>101</v>
      </c>
      <c r="B28">
        <v>13987.612022866409</v>
      </c>
      <c r="C28">
        <v>21.70440652928303</v>
      </c>
      <c r="D28">
        <v>0.25049991097970542</v>
      </c>
      <c r="E28">
        <v>19.416490457829251</v>
      </c>
      <c r="F28">
        <v>0.47743925211040272</v>
      </c>
      <c r="G28">
        <v>48.99367596921082</v>
      </c>
      <c r="H28">
        <v>86.312097532280902</v>
      </c>
      <c r="I28">
        <v>7.9384688626229991</v>
      </c>
      <c r="J28">
        <v>8.9994721973670444</v>
      </c>
      <c r="K28">
        <v>4.7191245497192851</v>
      </c>
      <c r="L28">
        <v>22.965042168065679</v>
      </c>
      <c r="M28">
        <f t="shared" si="0"/>
        <v>0.11182503630200603</v>
      </c>
      <c r="N28">
        <f t="shared" si="4"/>
        <v>1.290620943777548E-3</v>
      </c>
      <c r="O28">
        <f t="shared" si="5"/>
        <v>0.10003727802347027</v>
      </c>
      <c r="P28">
        <f t="shared" si="6"/>
        <v>2.4598535614054422E-3</v>
      </c>
      <c r="Q28">
        <f t="shared" si="7"/>
        <v>0.25242429856047766</v>
      </c>
      <c r="R28">
        <f t="shared" si="8"/>
        <v>0.44469557031322482</v>
      </c>
      <c r="S28">
        <f t="shared" si="9"/>
        <v>4.0900430405571002E-2</v>
      </c>
      <c r="T28">
        <f t="shared" si="10"/>
        <v>4.6366911890067121E-2</v>
      </c>
      <c r="U28">
        <f t="shared" si="2"/>
        <v>0.17046294359611724</v>
      </c>
      <c r="V28">
        <f t="shared" si="3"/>
        <v>0.82953705640388276</v>
      </c>
    </row>
    <row r="29" spans="1:22" hidden="1" x14ac:dyDescent="0.25">
      <c r="A29" t="s">
        <v>102</v>
      </c>
      <c r="B29">
        <v>13978.92747603566</v>
      </c>
      <c r="C29">
        <v>8.1367337288215946</v>
      </c>
      <c r="D29">
        <v>0</v>
      </c>
      <c r="E29">
        <v>17.50610350189929</v>
      </c>
      <c r="F29">
        <v>0.23493732114738161</v>
      </c>
      <c r="G29">
        <v>11.12536966610867</v>
      </c>
      <c r="H29">
        <v>9.6317486639762002</v>
      </c>
      <c r="I29">
        <v>2.9345365306893432</v>
      </c>
      <c r="J29">
        <v>0.87949952689836863</v>
      </c>
      <c r="K29">
        <v>1.4677628524432389</v>
      </c>
      <c r="L29">
        <v>13.167204053517731</v>
      </c>
      <c r="M29">
        <f t="shared" si="0"/>
        <v>0.16128655057420233</v>
      </c>
      <c r="N29">
        <f t="shared" si="4"/>
        <v>0</v>
      </c>
      <c r="O29">
        <f t="shared" si="5"/>
        <v>0.34700644532768982</v>
      </c>
      <c r="P29">
        <f t="shared" si="6"/>
        <v>4.6569337761151654E-3</v>
      </c>
      <c r="Q29">
        <f t="shared" si="7"/>
        <v>0.22052737094659763</v>
      </c>
      <c r="R29">
        <f t="shared" si="8"/>
        <v>0.19092077604896446</v>
      </c>
      <c r="S29">
        <f t="shared" si="9"/>
        <v>5.8168460507975479E-2</v>
      </c>
      <c r="T29">
        <f t="shared" si="10"/>
        <v>1.7433462818455096E-2</v>
      </c>
      <c r="U29">
        <f t="shared" si="2"/>
        <v>0.10029150471432938</v>
      </c>
      <c r="V29">
        <f t="shared" si="3"/>
        <v>0.89970849528567065</v>
      </c>
    </row>
    <row r="30" spans="1:22" hidden="1" x14ac:dyDescent="0.25">
      <c r="A30" t="s">
        <v>139</v>
      </c>
      <c r="B30">
        <v>36606.477069982058</v>
      </c>
      <c r="C30">
        <v>63.794515805162497</v>
      </c>
      <c r="D30">
        <v>4.9230011146372051E-2</v>
      </c>
      <c r="E30">
        <v>5.2041600733268414</v>
      </c>
      <c r="F30">
        <v>0.12500086614872591</v>
      </c>
      <c r="G30">
        <v>45.787488886419837</v>
      </c>
      <c r="H30">
        <v>29.871327140605171</v>
      </c>
      <c r="I30">
        <v>2.1548186706345378</v>
      </c>
      <c r="J30">
        <v>0.84599777607155435</v>
      </c>
      <c r="K30">
        <v>3.4546982721039901</v>
      </c>
      <c r="L30">
        <v>12.650572036967651</v>
      </c>
      <c r="M30">
        <f t="shared" si="0"/>
        <v>0.43153230092408229</v>
      </c>
      <c r="N30">
        <f t="shared" si="4"/>
        <v>3.3301201077213876E-4</v>
      </c>
      <c r="O30">
        <f t="shared" si="5"/>
        <v>3.5203075726428459E-2</v>
      </c>
      <c r="P30">
        <f t="shared" si="6"/>
        <v>8.4555718788444404E-4</v>
      </c>
      <c r="Q30">
        <f t="shared" si="7"/>
        <v>0.30972537659880855</v>
      </c>
      <c r="R30">
        <f t="shared" si="8"/>
        <v>0.2020619228776746</v>
      </c>
      <c r="S30">
        <f t="shared" si="9"/>
        <v>1.4576078323927735E-2</v>
      </c>
      <c r="T30">
        <f t="shared" si="10"/>
        <v>5.7226763504218195E-3</v>
      </c>
      <c r="U30">
        <f t="shared" si="2"/>
        <v>0.21450731380509996</v>
      </c>
      <c r="V30">
        <f t="shared" si="3"/>
        <v>0.78549268619489998</v>
      </c>
    </row>
    <row r="31" spans="1:22" x14ac:dyDescent="0.25">
      <c r="A31" t="s">
        <v>141</v>
      </c>
      <c r="B31">
        <v>26929.051965073821</v>
      </c>
      <c r="C31">
        <v>7.53779691668597</v>
      </c>
      <c r="D31">
        <v>4.9895773901309372E-2</v>
      </c>
      <c r="E31">
        <v>0.5259993595248087</v>
      </c>
      <c r="F31">
        <v>0</v>
      </c>
      <c r="G31">
        <v>18.753713348710139</v>
      </c>
      <c r="H31">
        <v>1.8225036568705659</v>
      </c>
      <c r="I31">
        <v>0</v>
      </c>
      <c r="J31">
        <v>7.7850603103718385E-2</v>
      </c>
      <c r="K31">
        <v>0.1993715062028438</v>
      </c>
      <c r="L31">
        <v>0</v>
      </c>
      <c r="M31">
        <f t="shared" si="0"/>
        <v>0.26202238221150759</v>
      </c>
      <c r="N31">
        <f t="shared" si="4"/>
        <v>1.7344337721499421E-3</v>
      </c>
      <c r="O31">
        <f t="shared" si="5"/>
        <v>1.8284335164207695E-2</v>
      </c>
      <c r="P31">
        <f t="shared" si="6"/>
        <v>0</v>
      </c>
      <c r="Q31">
        <f t="shared" si="7"/>
        <v>0.6519003763637079</v>
      </c>
      <c r="R31">
        <f t="shared" si="8"/>
        <v>6.3352297102262756E-2</v>
      </c>
      <c r="S31">
        <f t="shared" si="9"/>
        <v>0</v>
      </c>
      <c r="T31">
        <f t="shared" si="10"/>
        <v>2.7061753861640551E-3</v>
      </c>
      <c r="U31">
        <f t="shared" si="2"/>
        <v>1</v>
      </c>
      <c r="V31">
        <f t="shared" si="3"/>
        <v>0</v>
      </c>
    </row>
    <row r="32" spans="1:22" x14ac:dyDescent="0.25">
      <c r="A32" t="s">
        <v>119</v>
      </c>
      <c r="B32">
        <v>10974.599498306419</v>
      </c>
      <c r="C32">
        <v>1.011618615916668</v>
      </c>
      <c r="D32">
        <v>0.26079516481039389</v>
      </c>
      <c r="E32">
        <v>1.0540517417278881</v>
      </c>
      <c r="F32">
        <v>1.8099782395483922E-2</v>
      </c>
      <c r="G32">
        <v>0.56411846575875557</v>
      </c>
      <c r="H32">
        <v>3.4338090747771601</v>
      </c>
      <c r="I32">
        <v>0</v>
      </c>
      <c r="J32">
        <v>8.0047630235229011E-2</v>
      </c>
      <c r="K32">
        <v>0</v>
      </c>
      <c r="L32">
        <v>2.1075548871297118</v>
      </c>
      <c r="M32">
        <f t="shared" si="0"/>
        <v>0.15751066416109472</v>
      </c>
      <c r="N32">
        <f t="shared" si="4"/>
        <v>4.0606231412680036E-2</v>
      </c>
      <c r="O32">
        <f t="shared" si="5"/>
        <v>0.16411757087850445</v>
      </c>
      <c r="P32">
        <f t="shared" si="6"/>
        <v>2.8181655630176799E-3</v>
      </c>
      <c r="Q32">
        <f t="shared" si="7"/>
        <v>8.7834162805203619E-2</v>
      </c>
      <c r="R32">
        <f t="shared" si="8"/>
        <v>0.53464965893341976</v>
      </c>
      <c r="S32">
        <f t="shared" si="9"/>
        <v>0</v>
      </c>
      <c r="T32">
        <f t="shared" si="10"/>
        <v>1.2463546246079819E-2</v>
      </c>
      <c r="U32">
        <f t="shared" si="2"/>
        <v>0</v>
      </c>
      <c r="V32">
        <f t="shared" si="3"/>
        <v>1</v>
      </c>
    </row>
    <row r="33" spans="1:22" hidden="1" x14ac:dyDescent="0.25">
      <c r="A33" t="s">
        <v>106</v>
      </c>
      <c r="B33">
        <v>9130.9997121729793</v>
      </c>
      <c r="C33">
        <v>1.657202281463009</v>
      </c>
      <c r="D33">
        <v>2.0675523899675819E-3</v>
      </c>
      <c r="E33">
        <v>5.8708391920082441</v>
      </c>
      <c r="F33">
        <v>4.1706333666164601E-2</v>
      </c>
      <c r="G33">
        <v>1.6984152658646801</v>
      </c>
      <c r="H33">
        <v>1.195077687817083</v>
      </c>
      <c r="I33">
        <v>0.28073037878750212</v>
      </c>
      <c r="J33">
        <v>0.15733178219618521</v>
      </c>
      <c r="K33">
        <v>0.91891876123488936</v>
      </c>
      <c r="L33">
        <v>6.723490241325158</v>
      </c>
      <c r="M33">
        <f t="shared" si="0"/>
        <v>0.15198990856867953</v>
      </c>
      <c r="N33">
        <f t="shared" si="4"/>
        <v>1.8962507005162004E-4</v>
      </c>
      <c r="O33">
        <f t="shared" si="5"/>
        <v>0.53844260413822687</v>
      </c>
      <c r="P33">
        <f t="shared" si="6"/>
        <v>3.8250863588354844E-3</v>
      </c>
      <c r="Q33">
        <f t="shared" si="7"/>
        <v>0.15576974751840778</v>
      </c>
      <c r="R33">
        <f t="shared" si="8"/>
        <v>0.10960626263646731</v>
      </c>
      <c r="S33">
        <f t="shared" si="9"/>
        <v>2.5747119154756987E-2</v>
      </c>
      <c r="T33">
        <f t="shared" si="10"/>
        <v>1.4429646554574431E-2</v>
      </c>
      <c r="U33">
        <f t="shared" si="2"/>
        <v>0.12023941154249541</v>
      </c>
      <c r="V33">
        <f t="shared" si="3"/>
        <v>0.8797605884575046</v>
      </c>
    </row>
    <row r="34" spans="1:22" hidden="1" x14ac:dyDescent="0.25">
      <c r="A34" t="s">
        <v>132</v>
      </c>
      <c r="B34">
        <v>26498.15265802302</v>
      </c>
      <c r="C34">
        <v>6.1888510966573023</v>
      </c>
      <c r="D34">
        <v>0.54223118390286529</v>
      </c>
      <c r="E34">
        <v>5.500907452590063</v>
      </c>
      <c r="F34">
        <v>8.9197930968399914E-3</v>
      </c>
      <c r="G34">
        <v>4.0186013188595551</v>
      </c>
      <c r="H34">
        <v>13.01762741949589</v>
      </c>
      <c r="I34">
        <v>0.51898237448138818</v>
      </c>
      <c r="J34">
        <v>1.6375488269777421</v>
      </c>
      <c r="K34">
        <v>0.44411189493456138</v>
      </c>
      <c r="L34">
        <v>3.6186202353708881</v>
      </c>
      <c r="M34">
        <f t="shared" ref="M34:M65" si="11">C34/SUM($C34:$J34)</f>
        <v>0.19688605249664826</v>
      </c>
      <c r="N34">
        <f t="shared" si="4"/>
        <v>1.7250012267524234E-2</v>
      </c>
      <c r="O34">
        <f t="shared" si="5"/>
        <v>0.17500048661290696</v>
      </c>
      <c r="P34">
        <f t="shared" si="6"/>
        <v>2.837655688423691E-4</v>
      </c>
      <c r="Q34">
        <f t="shared" si="7"/>
        <v>0.12784384983109801</v>
      </c>
      <c r="R34">
        <f t="shared" si="8"/>
        <v>0.41413005992032786</v>
      </c>
      <c r="S34">
        <f t="shared" si="9"/>
        <v>1.6510397395433706E-2</v>
      </c>
      <c r="T34">
        <f t="shared" si="10"/>
        <v>5.209537590721864E-2</v>
      </c>
      <c r="U34">
        <f t="shared" ref="U34:U65" si="12">K34/($K34+$L34)</f>
        <v>0.10931360490684666</v>
      </c>
      <c r="V34">
        <f t="shared" ref="V34:V65" si="13">L34/($K34+$L34)</f>
        <v>0.89068639509315328</v>
      </c>
    </row>
    <row r="35" spans="1:22" x14ac:dyDescent="0.25">
      <c r="A35" t="s">
        <v>133</v>
      </c>
      <c r="B35">
        <v>16686.589257831722</v>
      </c>
      <c r="C35">
        <v>0.68772656752208494</v>
      </c>
      <c r="D35">
        <v>8.2256330173393118E-3</v>
      </c>
      <c r="E35">
        <v>2.0016110277890991</v>
      </c>
      <c r="F35">
        <v>0</v>
      </c>
      <c r="G35">
        <v>0.35345412488152039</v>
      </c>
      <c r="H35">
        <v>0.90155823769233479</v>
      </c>
      <c r="I35">
        <v>0.2443992938726505</v>
      </c>
      <c r="J35">
        <v>0.1136007598681455</v>
      </c>
      <c r="K35">
        <v>0.29573569973796449</v>
      </c>
      <c r="L35">
        <v>3.61139752439921</v>
      </c>
      <c r="M35">
        <f t="shared" si="11"/>
        <v>0.15954402015348795</v>
      </c>
      <c r="N35">
        <f t="shared" ref="N35:N66" si="14">D35/SUM($C35:$J35)</f>
        <v>1.9082446743653473E-3</v>
      </c>
      <c r="O35">
        <f t="shared" ref="O35:O66" si="15">E35/SUM($C35:$J35)</f>
        <v>0.46434889276946922</v>
      </c>
      <c r="P35">
        <f t="shared" ref="P35:P66" si="16">F35/SUM($C35:$J35)</f>
        <v>0</v>
      </c>
      <c r="Q35">
        <f t="shared" ref="Q35:Q66" si="17">G35/SUM($C35:$J35)</f>
        <v>8.1996966071286523E-2</v>
      </c>
      <c r="R35">
        <f t="shared" ref="R35:R66" si="18">H35/SUM($C35:$J35)</f>
        <v>0.20915031123806319</v>
      </c>
      <c r="S35">
        <f t="shared" ref="S35:S66" si="19">I35/SUM($C35:$J35)</f>
        <v>5.6697600047077155E-2</v>
      </c>
      <c r="T35">
        <f t="shared" ref="T35:T66" si="20">J35/SUM($C35:$J35)</f>
        <v>2.6353965046250628E-2</v>
      </c>
      <c r="U35">
        <f t="shared" si="12"/>
        <v>7.569122493980808E-2</v>
      </c>
      <c r="V35">
        <f t="shared" si="13"/>
        <v>0.92430877506019193</v>
      </c>
    </row>
    <row r="36" spans="1:22" hidden="1" x14ac:dyDescent="0.25">
      <c r="A36" t="s">
        <v>120</v>
      </c>
      <c r="B36">
        <v>17814.618629574288</v>
      </c>
      <c r="C36">
        <v>4.0070141205804681</v>
      </c>
      <c r="D36">
        <v>1.1073074166966099E-2</v>
      </c>
      <c r="E36">
        <v>11.55871290936846</v>
      </c>
      <c r="F36">
        <v>0.24832635559430899</v>
      </c>
      <c r="G36">
        <v>4.1979734264263229</v>
      </c>
      <c r="H36">
        <v>3.9298283737957802</v>
      </c>
      <c r="I36">
        <v>0.65296928919624397</v>
      </c>
      <c r="J36">
        <v>8.8354033525231537E-2</v>
      </c>
      <c r="K36">
        <v>0.78959291886548955</v>
      </c>
      <c r="L36">
        <v>4.636158472729262</v>
      </c>
      <c r="M36">
        <f t="shared" si="11"/>
        <v>0.16226505618802206</v>
      </c>
      <c r="N36">
        <f t="shared" si="14"/>
        <v>4.4840695535572605E-4</v>
      </c>
      <c r="O36">
        <f t="shared" si="15"/>
        <v>0.46807301977468141</v>
      </c>
      <c r="P36">
        <f t="shared" si="16"/>
        <v>1.005603894344153E-2</v>
      </c>
      <c r="Q36">
        <f t="shared" si="17"/>
        <v>0.1699980018578553</v>
      </c>
      <c r="R36">
        <f t="shared" si="18"/>
        <v>0.15913939973610083</v>
      </c>
      <c r="S36">
        <f t="shared" si="19"/>
        <v>2.6442157479877444E-2</v>
      </c>
      <c r="T36">
        <f t="shared" si="20"/>
        <v>3.5779190646658397E-3</v>
      </c>
      <c r="U36">
        <f t="shared" si="12"/>
        <v>0.14552692555885985</v>
      </c>
      <c r="V36">
        <f t="shared" si="13"/>
        <v>0.85447307444114018</v>
      </c>
    </row>
    <row r="37" spans="1:22" hidden="1" x14ac:dyDescent="0.25">
      <c r="A37" t="s">
        <v>110</v>
      </c>
      <c r="B37">
        <v>5166.8535909133188</v>
      </c>
      <c r="C37">
        <v>1.921188028534969</v>
      </c>
      <c r="D37">
        <v>1.4925276878694389E-2</v>
      </c>
      <c r="E37">
        <v>3.29465493545064</v>
      </c>
      <c r="F37">
        <v>0.1123617423480244</v>
      </c>
      <c r="G37">
        <v>5.9178786689747316</v>
      </c>
      <c r="H37">
        <v>8.525936597972942</v>
      </c>
      <c r="I37">
        <v>0.97774715445730764</v>
      </c>
      <c r="J37">
        <v>3.3052896377426519E-2</v>
      </c>
      <c r="K37">
        <v>1.015700139724012</v>
      </c>
      <c r="L37">
        <v>10.195047066295221</v>
      </c>
      <c r="M37">
        <f t="shared" si="11"/>
        <v>9.2374822401689871E-2</v>
      </c>
      <c r="N37">
        <f t="shared" si="14"/>
        <v>7.1763917976149687E-4</v>
      </c>
      <c r="O37">
        <f t="shared" si="15"/>
        <v>0.15841404381911819</v>
      </c>
      <c r="P37">
        <f t="shared" si="16"/>
        <v>5.4025924792265936E-3</v>
      </c>
      <c r="Q37">
        <f t="shared" si="17"/>
        <v>0.284544241855471</v>
      </c>
      <c r="R37">
        <f t="shared" si="18"/>
        <v>0.4099452356292273</v>
      </c>
      <c r="S37">
        <f t="shared" si="19"/>
        <v>4.7012170805387395E-2</v>
      </c>
      <c r="T37">
        <f t="shared" si="20"/>
        <v>1.5892538301180959E-3</v>
      </c>
      <c r="U37">
        <f t="shared" si="12"/>
        <v>9.0600574703768713E-2</v>
      </c>
      <c r="V37">
        <f t="shared" si="13"/>
        <v>0.90939942529623119</v>
      </c>
    </row>
    <row r="38" spans="1:22" x14ac:dyDescent="0.25">
      <c r="A38" t="s">
        <v>116</v>
      </c>
      <c r="B38">
        <v>10821.216556128329</v>
      </c>
      <c r="C38">
        <v>0.1378556818255067</v>
      </c>
      <c r="D38">
        <v>1.3677700151809109E-3</v>
      </c>
      <c r="E38">
        <v>1.7191766102781101</v>
      </c>
      <c r="F38">
        <v>0</v>
      </c>
      <c r="G38">
        <v>0</v>
      </c>
      <c r="H38">
        <v>10.6220387319081</v>
      </c>
      <c r="I38">
        <v>5.8722458271910769</v>
      </c>
      <c r="J38">
        <v>0</v>
      </c>
      <c r="K38">
        <v>0.52764266132802085</v>
      </c>
      <c r="L38">
        <v>9.9083018335059414</v>
      </c>
      <c r="M38">
        <f t="shared" si="11"/>
        <v>7.5114722816153265E-3</v>
      </c>
      <c r="N38">
        <f t="shared" si="14"/>
        <v>7.4526972124808356E-5</v>
      </c>
      <c r="O38">
        <f t="shared" si="15"/>
        <v>9.3674394006124262E-2</v>
      </c>
      <c r="P38">
        <f t="shared" si="16"/>
        <v>0</v>
      </c>
      <c r="Q38">
        <f t="shared" si="17"/>
        <v>0</v>
      </c>
      <c r="R38">
        <f t="shared" si="18"/>
        <v>0.57877302155716814</v>
      </c>
      <c r="S38">
        <f t="shared" si="19"/>
        <v>0.31996658518296739</v>
      </c>
      <c r="T38">
        <f t="shared" si="20"/>
        <v>0</v>
      </c>
      <c r="U38">
        <f t="shared" si="12"/>
        <v>5.0560125304347524E-2</v>
      </c>
      <c r="V38">
        <f t="shared" si="13"/>
        <v>0.9494398746956525</v>
      </c>
    </row>
    <row r="39" spans="1:22" hidden="1" x14ac:dyDescent="0.25">
      <c r="A39" t="s">
        <v>130</v>
      </c>
      <c r="B39">
        <v>25611.025428395471</v>
      </c>
      <c r="C39">
        <v>13.2133308433528</v>
      </c>
      <c r="D39">
        <v>8.6201279377575955E-3</v>
      </c>
      <c r="E39">
        <v>3.9907280348324718</v>
      </c>
      <c r="F39">
        <v>1.0570704617375151</v>
      </c>
      <c r="G39">
        <v>11.40084544920337</v>
      </c>
      <c r="H39">
        <v>31.58879842587422</v>
      </c>
      <c r="I39">
        <v>3.8826203077394359</v>
      </c>
      <c r="J39">
        <v>0.63745356209763981</v>
      </c>
      <c r="K39">
        <v>0.74371811265481214</v>
      </c>
      <c r="L39">
        <v>6.0277965972392114</v>
      </c>
      <c r="M39">
        <f t="shared" si="11"/>
        <v>0.20087318130157497</v>
      </c>
      <c r="N39">
        <f t="shared" si="14"/>
        <v>1.3104587651758081E-4</v>
      </c>
      <c r="O39">
        <f t="shared" si="15"/>
        <v>6.0668293677778866E-2</v>
      </c>
      <c r="P39">
        <f t="shared" si="16"/>
        <v>1.606991522625496E-2</v>
      </c>
      <c r="Q39">
        <f t="shared" si="17"/>
        <v>0.17331921239686146</v>
      </c>
      <c r="R39">
        <f t="shared" si="18"/>
        <v>0.48022277717292422</v>
      </c>
      <c r="S39">
        <f t="shared" si="19"/>
        <v>5.9024806254213351E-2</v>
      </c>
      <c r="T39">
        <f t="shared" si="20"/>
        <v>9.6907680938747142E-3</v>
      </c>
      <c r="U39">
        <f t="shared" si="12"/>
        <v>0.10983039165050439</v>
      </c>
      <c r="V39">
        <f t="shared" si="13"/>
        <v>0.89016960834949566</v>
      </c>
    </row>
    <row r="40" spans="1:22" hidden="1" x14ac:dyDescent="0.25">
      <c r="A40" t="s">
        <v>113</v>
      </c>
      <c r="B40">
        <v>35167.658047196557</v>
      </c>
      <c r="C40">
        <v>71.332312721848467</v>
      </c>
      <c r="D40">
        <v>9.9125785047681422E-2</v>
      </c>
      <c r="E40">
        <v>5.7301594328516501</v>
      </c>
      <c r="F40">
        <v>0.11702158218935819</v>
      </c>
      <c r="G40">
        <v>64.541202235129987</v>
      </c>
      <c r="H40">
        <v>31.69383079747573</v>
      </c>
      <c r="I40">
        <v>1.8585247984252671</v>
      </c>
      <c r="J40">
        <v>0.92384837917527274</v>
      </c>
      <c r="K40">
        <v>3.6540697783068339</v>
      </c>
      <c r="L40">
        <v>10.41194802566873</v>
      </c>
      <c r="M40">
        <f t="shared" si="11"/>
        <v>0.4046166805270342</v>
      </c>
      <c r="N40">
        <f t="shared" si="14"/>
        <v>5.6226897138503219E-4</v>
      </c>
      <c r="O40">
        <f t="shared" si="15"/>
        <v>3.2503055069192585E-2</v>
      </c>
      <c r="P40">
        <f t="shared" si="16"/>
        <v>6.6377890087639167E-4</v>
      </c>
      <c r="Q40">
        <f t="shared" si="17"/>
        <v>0.36609561654663231</v>
      </c>
      <c r="R40">
        <f t="shared" si="18"/>
        <v>0.1797762068989007</v>
      </c>
      <c r="S40">
        <f t="shared" si="19"/>
        <v>1.054206860708834E-2</v>
      </c>
      <c r="T40">
        <f t="shared" si="20"/>
        <v>5.2403244788905698E-3</v>
      </c>
      <c r="U40">
        <f t="shared" si="12"/>
        <v>0.25977997676599429</v>
      </c>
      <c r="V40">
        <f t="shared" si="13"/>
        <v>0.74022002323400571</v>
      </c>
    </row>
    <row r="41" spans="1:22" hidden="1" x14ac:dyDescent="0.25">
      <c r="A41" t="s">
        <v>114</v>
      </c>
      <c r="B41">
        <v>9848.8843294309481</v>
      </c>
      <c r="C41">
        <v>10.806629224390541</v>
      </c>
      <c r="D41">
        <v>0</v>
      </c>
      <c r="E41">
        <v>3.1524799218364161</v>
      </c>
      <c r="F41">
        <v>3.2265417778853257E-2</v>
      </c>
      <c r="G41">
        <v>2.1081493895062469</v>
      </c>
      <c r="H41">
        <v>4.8119604217652512</v>
      </c>
      <c r="I41">
        <v>1.138133743876933</v>
      </c>
      <c r="J41">
        <v>5.3185122836034583E-2</v>
      </c>
      <c r="K41">
        <v>0.39954534493615979</v>
      </c>
      <c r="L41">
        <v>1.9568455413192201</v>
      </c>
      <c r="M41">
        <f t="shared" si="11"/>
        <v>0.48892573064489914</v>
      </c>
      <c r="N41">
        <f t="shared" si="14"/>
        <v>0</v>
      </c>
      <c r="O41">
        <f t="shared" si="15"/>
        <v>0.14262805886302352</v>
      </c>
      <c r="P41">
        <f t="shared" si="16"/>
        <v>1.4597884904280528E-3</v>
      </c>
      <c r="Q41">
        <f t="shared" si="17"/>
        <v>9.5379276846714392E-2</v>
      </c>
      <c r="R41">
        <f t="shared" si="18"/>
        <v>0.21770815082059933</v>
      </c>
      <c r="S41">
        <f t="shared" si="19"/>
        <v>5.1492732908861936E-2</v>
      </c>
      <c r="T41">
        <f t="shared" si="20"/>
        <v>2.4062614254736249E-3</v>
      </c>
      <c r="U41">
        <f t="shared" si="12"/>
        <v>0.16955817783317381</v>
      </c>
      <c r="V41">
        <f t="shared" si="13"/>
        <v>0.83044182216682616</v>
      </c>
    </row>
    <row r="42" spans="1:22" hidden="1" x14ac:dyDescent="0.25">
      <c r="A42" t="s">
        <v>96</v>
      </c>
      <c r="B42">
        <v>10122.60920547274</v>
      </c>
      <c r="C42">
        <v>4.0774439384315668</v>
      </c>
      <c r="D42">
        <v>0</v>
      </c>
      <c r="E42">
        <v>3.2493913187813388</v>
      </c>
      <c r="F42">
        <v>4.2047078650365922E-2</v>
      </c>
      <c r="G42">
        <v>2.5157306667799868</v>
      </c>
      <c r="H42">
        <v>5.5164229345429039</v>
      </c>
      <c r="I42">
        <v>0.68329335864984464</v>
      </c>
      <c r="J42">
        <v>7.4435828806528007E-2</v>
      </c>
      <c r="K42">
        <v>1.010913398268205</v>
      </c>
      <c r="L42">
        <v>3.7527349491163422</v>
      </c>
      <c r="M42">
        <f t="shared" si="11"/>
        <v>0.25233635782064556</v>
      </c>
      <c r="N42">
        <f t="shared" si="14"/>
        <v>0</v>
      </c>
      <c r="O42">
        <f t="shared" si="15"/>
        <v>0.20109156199231665</v>
      </c>
      <c r="P42">
        <f t="shared" si="16"/>
        <v>2.6021220264067727E-3</v>
      </c>
      <c r="Q42">
        <f t="shared" si="17"/>
        <v>0.15568829965499234</v>
      </c>
      <c r="R42">
        <f t="shared" si="18"/>
        <v>0.34138889277685064</v>
      </c>
      <c r="S42">
        <f t="shared" si="19"/>
        <v>4.228623619312373E-2</v>
      </c>
      <c r="T42">
        <f t="shared" si="20"/>
        <v>4.6065295356642966E-3</v>
      </c>
      <c r="U42">
        <f t="shared" si="12"/>
        <v>0.21221411081345687</v>
      </c>
      <c r="V42">
        <f t="shared" si="13"/>
        <v>0.78778588918654302</v>
      </c>
    </row>
    <row r="43" spans="1:22" x14ac:dyDescent="0.25">
      <c r="A43" t="s">
        <v>104</v>
      </c>
      <c r="B43">
        <v>8203.8802989377782</v>
      </c>
      <c r="C43">
        <v>1.4181494362748921</v>
      </c>
      <c r="D43">
        <v>0</v>
      </c>
      <c r="E43">
        <v>3.114072166231971</v>
      </c>
      <c r="F43">
        <v>1.8132153814594799E-2</v>
      </c>
      <c r="G43">
        <v>2.933059725604529</v>
      </c>
      <c r="H43">
        <v>4.2292649380424558</v>
      </c>
      <c r="I43">
        <v>0.68203891511708581</v>
      </c>
      <c r="J43">
        <v>2.0147726320630339E-2</v>
      </c>
      <c r="K43">
        <v>1.2100182507357959</v>
      </c>
      <c r="L43">
        <v>10.46294046581821</v>
      </c>
      <c r="M43">
        <f t="shared" si="11"/>
        <v>0.11422995169584765</v>
      </c>
      <c r="N43">
        <f t="shared" si="14"/>
        <v>0</v>
      </c>
      <c r="O43">
        <f t="shared" si="15"/>
        <v>0.25083415331775333</v>
      </c>
      <c r="P43">
        <f t="shared" si="16"/>
        <v>1.4605196049179675E-3</v>
      </c>
      <c r="Q43">
        <f t="shared" si="17"/>
        <v>0.23625385464095564</v>
      </c>
      <c r="R43">
        <f t="shared" si="18"/>
        <v>0.34066136982752132</v>
      </c>
      <c r="S43">
        <f t="shared" si="19"/>
        <v>5.4937279764507997E-2</v>
      </c>
      <c r="T43">
        <f t="shared" si="20"/>
        <v>1.6228711484962629E-3</v>
      </c>
      <c r="U43">
        <f t="shared" si="12"/>
        <v>0.10365994433097828</v>
      </c>
      <c r="V43">
        <f t="shared" si="13"/>
        <v>0.89634005566902164</v>
      </c>
    </row>
    <row r="44" spans="1:22" hidden="1" x14ac:dyDescent="0.25">
      <c r="A44" t="s">
        <v>117</v>
      </c>
      <c r="B44">
        <v>17486.732998120438</v>
      </c>
      <c r="C44">
        <v>4.6947406881025531</v>
      </c>
      <c r="D44">
        <v>1.929870718430542E-2</v>
      </c>
      <c r="E44">
        <v>13.560323937157561</v>
      </c>
      <c r="F44">
        <v>8.9868924514993981E-2</v>
      </c>
      <c r="G44">
        <v>4.5514275513078433</v>
      </c>
      <c r="H44">
        <v>4.8313866114881154</v>
      </c>
      <c r="I44">
        <v>0.89736858306889444</v>
      </c>
      <c r="J44">
        <v>0.2019547933933771</v>
      </c>
      <c r="K44">
        <v>1.0853286186034541</v>
      </c>
      <c r="L44">
        <v>8.2475559971284724</v>
      </c>
      <c r="M44">
        <f t="shared" si="11"/>
        <v>0.16274979213218474</v>
      </c>
      <c r="N44">
        <f t="shared" si="14"/>
        <v>6.6901684061596836E-4</v>
      </c>
      <c r="O44">
        <f t="shared" si="15"/>
        <v>0.47008771061846411</v>
      </c>
      <c r="P44">
        <f t="shared" si="16"/>
        <v>3.1154327268860592E-3</v>
      </c>
      <c r="Q44">
        <f t="shared" si="17"/>
        <v>0.15778164058288646</v>
      </c>
      <c r="R44">
        <f t="shared" si="18"/>
        <v>0.16748681534692142</v>
      </c>
      <c r="S44">
        <f t="shared" si="19"/>
        <v>3.1108544659458611E-2</v>
      </c>
      <c r="T44">
        <f t="shared" si="20"/>
        <v>7.0010470925827755E-3</v>
      </c>
      <c r="U44">
        <f t="shared" si="12"/>
        <v>0.11629080003560484</v>
      </c>
      <c r="V44">
        <f t="shared" si="13"/>
        <v>0.88370919996439523</v>
      </c>
    </row>
    <row r="45" spans="1:22" hidden="1" x14ac:dyDescent="0.25">
      <c r="A45" t="s">
        <v>142</v>
      </c>
      <c r="B45">
        <v>39341.58044996141</v>
      </c>
      <c r="C45">
        <v>11.398153074045879</v>
      </c>
      <c r="D45">
        <v>1.6361171943190211E-2</v>
      </c>
      <c r="E45">
        <v>63.549553161575233</v>
      </c>
      <c r="F45">
        <v>5.9304346115196561E-2</v>
      </c>
      <c r="G45">
        <v>15.94866266154032</v>
      </c>
      <c r="H45">
        <v>3.2450729343294218</v>
      </c>
      <c r="I45">
        <v>9.425248639311487E-2</v>
      </c>
      <c r="J45">
        <v>0.38109281569091258</v>
      </c>
      <c r="K45">
        <v>3.5451195130494031</v>
      </c>
      <c r="L45">
        <v>5.8098514355220363</v>
      </c>
      <c r="M45">
        <f t="shared" si="11"/>
        <v>0.12037023812213277</v>
      </c>
      <c r="N45">
        <f t="shared" si="14"/>
        <v>1.7278221743164459E-4</v>
      </c>
      <c r="O45">
        <f t="shared" si="15"/>
        <v>0.6711152935849013</v>
      </c>
      <c r="P45">
        <f t="shared" si="16"/>
        <v>6.2628376871146205E-4</v>
      </c>
      <c r="Q45">
        <f t="shared" si="17"/>
        <v>0.16842591162164003</v>
      </c>
      <c r="R45">
        <f t="shared" si="18"/>
        <v>3.4269604846627132E-2</v>
      </c>
      <c r="S45">
        <f t="shared" si="19"/>
        <v>9.9535373468319583E-4</v>
      </c>
      <c r="T45">
        <f t="shared" si="20"/>
        <v>4.0245321038723716E-3</v>
      </c>
      <c r="U45">
        <f t="shared" si="12"/>
        <v>0.37895569452204064</v>
      </c>
      <c r="V45">
        <f t="shared" si="13"/>
        <v>0.6210443054779593</v>
      </c>
    </row>
    <row r="46" spans="1:22" x14ac:dyDescent="0.25">
      <c r="A46" t="s">
        <v>131</v>
      </c>
      <c r="B46">
        <v>16073.64651043119</v>
      </c>
      <c r="C46">
        <v>0</v>
      </c>
      <c r="D46">
        <v>0</v>
      </c>
      <c r="E46">
        <v>11.10093949639724</v>
      </c>
      <c r="F46">
        <v>3.4090768342296067E-2</v>
      </c>
      <c r="G46">
        <v>0.59996381109019636</v>
      </c>
      <c r="H46">
        <v>0</v>
      </c>
      <c r="I46">
        <v>4.0293296133116843E-2</v>
      </c>
      <c r="J46">
        <v>0.26222505609787627</v>
      </c>
      <c r="K46">
        <v>1.2121578655898251</v>
      </c>
      <c r="L46">
        <v>9.9201901969570443</v>
      </c>
      <c r="M46">
        <f t="shared" si="11"/>
        <v>0</v>
      </c>
      <c r="N46">
        <f t="shared" si="14"/>
        <v>0</v>
      </c>
      <c r="O46">
        <f t="shared" si="15"/>
        <v>0.92219547541398728</v>
      </c>
      <c r="P46">
        <f t="shared" si="16"/>
        <v>2.8320442903823594E-3</v>
      </c>
      <c r="Q46">
        <f t="shared" si="17"/>
        <v>4.9841178954184655E-2</v>
      </c>
      <c r="R46">
        <f t="shared" si="18"/>
        <v>0</v>
      </c>
      <c r="S46">
        <f t="shared" si="19"/>
        <v>3.347310864592661E-3</v>
      </c>
      <c r="T46">
        <f t="shared" si="20"/>
        <v>2.178399047685315E-2</v>
      </c>
      <c r="U46">
        <f t="shared" si="12"/>
        <v>0.10888609112644888</v>
      </c>
      <c r="V46">
        <f t="shared" si="13"/>
        <v>0.89111390887355113</v>
      </c>
    </row>
    <row r="47" spans="1:22" hidden="1" x14ac:dyDescent="0.25">
      <c r="A47" t="s">
        <v>112</v>
      </c>
      <c r="B47">
        <v>15929.2255907207</v>
      </c>
      <c r="C47">
        <v>7.6461519437874186</v>
      </c>
      <c r="D47">
        <v>7.8275786278287726E-2</v>
      </c>
      <c r="E47">
        <v>40.834517859950111</v>
      </c>
      <c r="F47">
        <v>0.31249151129383679</v>
      </c>
      <c r="G47">
        <v>7.7763617292898406</v>
      </c>
      <c r="H47">
        <v>10.01139528401565</v>
      </c>
      <c r="I47">
        <v>1.131109999806629</v>
      </c>
      <c r="J47">
        <v>0.29223372955536181</v>
      </c>
      <c r="K47">
        <v>1.306738058263518</v>
      </c>
      <c r="L47">
        <v>8.9794864830238499</v>
      </c>
      <c r="M47">
        <f t="shared" si="11"/>
        <v>0.11230709350626578</v>
      </c>
      <c r="N47">
        <f t="shared" si="14"/>
        <v>1.1497189845900012E-3</v>
      </c>
      <c r="O47">
        <f t="shared" si="15"/>
        <v>0.59977960800358887</v>
      </c>
      <c r="P47">
        <f t="shared" si="16"/>
        <v>4.589892227724603E-3</v>
      </c>
      <c r="Q47">
        <f t="shared" si="17"/>
        <v>0.1142196218817623</v>
      </c>
      <c r="R47">
        <f t="shared" si="18"/>
        <v>0.14704791567785688</v>
      </c>
      <c r="S47">
        <f t="shared" si="19"/>
        <v>1.6613804884870222E-2</v>
      </c>
      <c r="T47">
        <f t="shared" si="20"/>
        <v>4.2923448333413447E-3</v>
      </c>
      <c r="U47">
        <f t="shared" si="12"/>
        <v>0.12703767577875311</v>
      </c>
      <c r="V47">
        <f t="shared" si="13"/>
        <v>0.87296232422124687</v>
      </c>
    </row>
    <row r="48" spans="1:22" x14ac:dyDescent="0.25">
      <c r="A48" t="s">
        <v>123</v>
      </c>
      <c r="B48">
        <v>12047.36614825924</v>
      </c>
      <c r="C48">
        <v>0.25800840953741422</v>
      </c>
      <c r="D48">
        <v>2.390655307838037E-3</v>
      </c>
      <c r="E48">
        <v>10.834809495192159</v>
      </c>
      <c r="F48">
        <v>6.6108029671208934E-2</v>
      </c>
      <c r="G48">
        <v>2.729691059580762</v>
      </c>
      <c r="H48">
        <v>0.61233589211298678</v>
      </c>
      <c r="I48">
        <v>0.57496466068367857</v>
      </c>
      <c r="J48">
        <v>0.43012806918436491</v>
      </c>
      <c r="K48">
        <v>0.86408510875639699</v>
      </c>
      <c r="L48">
        <v>17.42270288654889</v>
      </c>
      <c r="M48">
        <f t="shared" si="11"/>
        <v>1.6636648919619208E-2</v>
      </c>
      <c r="N48">
        <f t="shared" si="14"/>
        <v>1.5415192518582665E-4</v>
      </c>
      <c r="O48">
        <f t="shared" si="15"/>
        <v>0.6986397149056085</v>
      </c>
      <c r="P48">
        <f t="shared" si="16"/>
        <v>4.2627140812175213E-3</v>
      </c>
      <c r="Q48">
        <f t="shared" si="17"/>
        <v>0.17601330087918352</v>
      </c>
      <c r="R48">
        <f t="shared" si="18"/>
        <v>3.9484051222323895E-2</v>
      </c>
      <c r="S48">
        <f t="shared" si="19"/>
        <v>3.7074315593559122E-2</v>
      </c>
      <c r="T48">
        <f t="shared" si="20"/>
        <v>2.7735102473302416E-2</v>
      </c>
      <c r="U48">
        <f t="shared" si="12"/>
        <v>4.7251879825928475E-2</v>
      </c>
      <c r="V48">
        <f t="shared" si="13"/>
        <v>0.9527481201740714</v>
      </c>
    </row>
    <row r="49" spans="1:22" hidden="1" x14ac:dyDescent="0.25">
      <c r="A49" t="s">
        <v>122</v>
      </c>
      <c r="B49">
        <v>9093.5321077155022</v>
      </c>
      <c r="C49">
        <v>53.374464992059067</v>
      </c>
      <c r="D49">
        <v>7.2424467374456883E-3</v>
      </c>
      <c r="E49">
        <v>3.6310507152792111</v>
      </c>
      <c r="F49">
        <v>9.2127251232451149E-2</v>
      </c>
      <c r="G49">
        <v>2.3644815783653299</v>
      </c>
      <c r="H49">
        <v>29.438031298962581</v>
      </c>
      <c r="I49">
        <v>1.23944180386432</v>
      </c>
      <c r="J49">
        <v>0.23639895296190869</v>
      </c>
      <c r="K49">
        <v>1.6351725694503401</v>
      </c>
      <c r="L49">
        <v>4.8064074454046484</v>
      </c>
      <c r="M49">
        <f t="shared" si="11"/>
        <v>0.59053498811605099</v>
      </c>
      <c r="N49">
        <f t="shared" si="14"/>
        <v>8.0130418144049435E-5</v>
      </c>
      <c r="O49">
        <f t="shared" si="15"/>
        <v>4.0173938817282866E-2</v>
      </c>
      <c r="P49">
        <f t="shared" si="16"/>
        <v>1.0192957478789555E-3</v>
      </c>
      <c r="Q49">
        <f t="shared" si="17"/>
        <v>2.6160620082811718E-2</v>
      </c>
      <c r="R49">
        <f t="shared" si="18"/>
        <v>0.32570232724354586</v>
      </c>
      <c r="S49">
        <f t="shared" si="19"/>
        <v>1.3713181968652021E-2</v>
      </c>
      <c r="T49">
        <f t="shared" si="20"/>
        <v>2.6155176056336543E-3</v>
      </c>
      <c r="U49">
        <f t="shared" si="12"/>
        <v>0.25384650437927547</v>
      </c>
      <c r="V49">
        <f t="shared" si="13"/>
        <v>0.74615349562072453</v>
      </c>
    </row>
    <row r="50" spans="1:22" x14ac:dyDescent="0.25">
      <c r="A50" t="s">
        <v>84</v>
      </c>
      <c r="B50">
        <v>3005.6584499286578</v>
      </c>
      <c r="C50">
        <v>0</v>
      </c>
      <c r="D50">
        <v>9.1868842688226753E-3</v>
      </c>
      <c r="E50">
        <v>0.38814277652294799</v>
      </c>
      <c r="F50">
        <v>7.3474230458798459E-2</v>
      </c>
      <c r="G50">
        <v>0.24832932311442141</v>
      </c>
      <c r="H50">
        <v>0.53711059056103694</v>
      </c>
      <c r="I50">
        <v>0.19130575566740601</v>
      </c>
      <c r="J50">
        <v>1.7409475929127512E-2</v>
      </c>
      <c r="K50">
        <v>0.47685261285561581</v>
      </c>
      <c r="L50">
        <v>11.05135239474698</v>
      </c>
      <c r="M50">
        <f t="shared" si="11"/>
        <v>0</v>
      </c>
      <c r="N50">
        <f t="shared" si="14"/>
        <v>6.2710861121618756E-3</v>
      </c>
      <c r="O50">
        <f t="shared" si="15"/>
        <v>0.26495128317328237</v>
      </c>
      <c r="P50">
        <f t="shared" si="16"/>
        <v>5.015446072349404E-2</v>
      </c>
      <c r="Q50">
        <f t="shared" si="17"/>
        <v>0.16951281020382103</v>
      </c>
      <c r="R50">
        <f t="shared" si="18"/>
        <v>0.36663864119777739</v>
      </c>
      <c r="S50">
        <f t="shared" si="19"/>
        <v>0.13058778498101697</v>
      </c>
      <c r="T50">
        <f t="shared" si="20"/>
        <v>1.1883933608446258E-2</v>
      </c>
      <c r="U50">
        <f t="shared" si="12"/>
        <v>4.1363994875276949E-2</v>
      </c>
      <c r="V50">
        <f t="shared" si="13"/>
        <v>0.95863600512472302</v>
      </c>
    </row>
    <row r="51" spans="1:22" hidden="1" x14ac:dyDescent="0.25">
      <c r="A51" t="s">
        <v>124</v>
      </c>
      <c r="B51">
        <v>2755.553044210043</v>
      </c>
      <c r="C51">
        <v>0.23088565801657679</v>
      </c>
      <c r="D51">
        <v>0</v>
      </c>
      <c r="E51">
        <v>0.5266770605800063</v>
      </c>
      <c r="F51">
        <v>8.0679269685505386E-2</v>
      </c>
      <c r="G51">
        <v>0.66312555135403795</v>
      </c>
      <c r="H51">
        <v>0.36103151500692793</v>
      </c>
      <c r="I51">
        <v>5.6980419134148204E-3</v>
      </c>
      <c r="J51">
        <v>6.0080349249925211E-2</v>
      </c>
      <c r="K51">
        <v>0.29062483636569159</v>
      </c>
      <c r="L51">
        <v>18.174661286752912</v>
      </c>
      <c r="M51">
        <f t="shared" si="11"/>
        <v>0.11974295131328888</v>
      </c>
      <c r="N51">
        <f t="shared" si="14"/>
        <v>0</v>
      </c>
      <c r="O51">
        <f t="shared" si="15"/>
        <v>0.27314760979363162</v>
      </c>
      <c r="P51">
        <f t="shared" si="16"/>
        <v>4.1842243233876246E-2</v>
      </c>
      <c r="Q51">
        <f t="shared" si="17"/>
        <v>0.3439131355862885</v>
      </c>
      <c r="R51">
        <f t="shared" si="18"/>
        <v>0.18723977701955685</v>
      </c>
      <c r="S51">
        <f t="shared" si="19"/>
        <v>2.9551439499551917E-3</v>
      </c>
      <c r="T51">
        <f t="shared" si="20"/>
        <v>3.1159139103402726E-2</v>
      </c>
      <c r="U51">
        <f t="shared" si="12"/>
        <v>1.5738983648990321E-2</v>
      </c>
      <c r="V51">
        <f t="shared" si="13"/>
        <v>0.98426101635100971</v>
      </c>
    </row>
    <row r="52" spans="1:22" hidden="1" x14ac:dyDescent="0.25">
      <c r="A52" t="s">
        <v>85</v>
      </c>
      <c r="B52">
        <v>4606.0606412742409</v>
      </c>
      <c r="C52">
        <v>0.82259525894263064</v>
      </c>
      <c r="D52">
        <v>1.8120741877139478E-2</v>
      </c>
      <c r="E52">
        <v>0.60374597863287482</v>
      </c>
      <c r="F52">
        <v>7.0894131144862121E-2</v>
      </c>
      <c r="G52">
        <v>0.86618790328344375</v>
      </c>
      <c r="H52">
        <v>0.47405836940764717</v>
      </c>
      <c r="I52">
        <v>3.2528228402743088E-2</v>
      </c>
      <c r="J52">
        <v>6.0931166057279322E-3</v>
      </c>
      <c r="K52">
        <v>0.32130888329796259</v>
      </c>
      <c r="L52">
        <v>1.4195537614701419</v>
      </c>
      <c r="M52">
        <f t="shared" si="11"/>
        <v>0.28421965133519139</v>
      </c>
      <c r="N52">
        <f t="shared" si="14"/>
        <v>6.2610024580931527E-3</v>
      </c>
      <c r="O52">
        <f t="shared" si="15"/>
        <v>0.20860376920070123</v>
      </c>
      <c r="P52">
        <f t="shared" si="16"/>
        <v>2.4495041779847296E-2</v>
      </c>
      <c r="Q52">
        <f t="shared" si="17"/>
        <v>0.29928159831413575</v>
      </c>
      <c r="R52">
        <f t="shared" si="18"/>
        <v>0.16379465235280141</v>
      </c>
      <c r="S52">
        <f t="shared" si="19"/>
        <v>1.1239016557259158E-2</v>
      </c>
      <c r="T52">
        <f t="shared" si="20"/>
        <v>2.1052680019706211E-3</v>
      </c>
      <c r="U52">
        <f t="shared" si="12"/>
        <v>0.18456877356959039</v>
      </c>
      <c r="V52">
        <f t="shared" si="13"/>
        <v>0.81543122643040955</v>
      </c>
    </row>
    <row r="53" spans="1:22" hidden="1" x14ac:dyDescent="0.25">
      <c r="A53" t="s">
        <v>126</v>
      </c>
      <c r="B53">
        <v>2956.8933866055172</v>
      </c>
      <c r="C53">
        <v>0.5900806501223993</v>
      </c>
      <c r="D53">
        <v>0</v>
      </c>
      <c r="E53">
        <v>0.66164187426716192</v>
      </c>
      <c r="F53">
        <v>4.29273374172103E-3</v>
      </c>
      <c r="G53">
        <v>0.54361044072303621</v>
      </c>
      <c r="H53">
        <v>0.4737745681601227</v>
      </c>
      <c r="I53">
        <v>0.39393759909018022</v>
      </c>
      <c r="J53">
        <v>3.6363862567515913E-2</v>
      </c>
      <c r="K53">
        <v>0.14918145641081301</v>
      </c>
      <c r="L53">
        <v>18.60477349712119</v>
      </c>
      <c r="M53">
        <f t="shared" si="11"/>
        <v>0.21824916700859759</v>
      </c>
      <c r="N53">
        <f t="shared" si="14"/>
        <v>0</v>
      </c>
      <c r="O53">
        <f t="shared" si="15"/>
        <v>0.24471703636928638</v>
      </c>
      <c r="P53">
        <f t="shared" si="16"/>
        <v>1.5877245985374689E-3</v>
      </c>
      <c r="Q53">
        <f t="shared" si="17"/>
        <v>0.20106154275753574</v>
      </c>
      <c r="R53">
        <f t="shared" si="18"/>
        <v>0.175231817598758</v>
      </c>
      <c r="S53">
        <f t="shared" si="19"/>
        <v>0.14570305404348499</v>
      </c>
      <c r="T53">
        <f t="shared" si="20"/>
        <v>1.34496576237998E-2</v>
      </c>
      <c r="U53">
        <f t="shared" si="12"/>
        <v>7.9546664573126279E-3</v>
      </c>
      <c r="V53">
        <f t="shared" si="13"/>
        <v>0.99204533354268742</v>
      </c>
    </row>
    <row r="54" spans="1:22" hidden="1" x14ac:dyDescent="0.25">
      <c r="A54" t="s">
        <v>81</v>
      </c>
      <c r="B54">
        <v>3794.7797889383742</v>
      </c>
      <c r="C54">
        <v>9.2047802556957353E-2</v>
      </c>
      <c r="D54">
        <v>0</v>
      </c>
      <c r="E54">
        <v>0.17422579091607021</v>
      </c>
      <c r="F54">
        <v>4.7168287804482352E-2</v>
      </c>
      <c r="G54">
        <v>0.36932951876342901</v>
      </c>
      <c r="H54">
        <v>0.1200565735210192</v>
      </c>
      <c r="I54">
        <v>1.2629757021093851E-2</v>
      </c>
      <c r="J54">
        <v>2.0175365047219612E-3</v>
      </c>
      <c r="K54">
        <v>4.9444572527595418E-2</v>
      </c>
      <c r="L54">
        <v>1.736847356352631</v>
      </c>
      <c r="M54">
        <f t="shared" si="11"/>
        <v>0.11260010701592763</v>
      </c>
      <c r="N54">
        <f t="shared" si="14"/>
        <v>0</v>
      </c>
      <c r="O54">
        <f t="shared" si="15"/>
        <v>0.21312668154076797</v>
      </c>
      <c r="P54">
        <f t="shared" si="16"/>
        <v>5.7699957054991619E-2</v>
      </c>
      <c r="Q54">
        <f t="shared" si="17"/>
        <v>0.45179289653514793</v>
      </c>
      <c r="R54">
        <f t="shared" si="18"/>
        <v>0.14686263713973441</v>
      </c>
      <c r="S54">
        <f t="shared" si="19"/>
        <v>1.5449711483121568E-2</v>
      </c>
      <c r="T54">
        <f t="shared" si="20"/>
        <v>2.4680092303090246E-3</v>
      </c>
      <c r="U54">
        <f t="shared" si="12"/>
        <v>2.7680006682105292E-2</v>
      </c>
      <c r="V54">
        <f t="shared" si="13"/>
        <v>0.97231999331789476</v>
      </c>
    </row>
    <row r="55" spans="1:22" x14ac:dyDescent="0.25">
      <c r="A55" t="s">
        <v>78</v>
      </c>
      <c r="B55">
        <v>2305.0061703805159</v>
      </c>
      <c r="C55">
        <v>0.13883785545961949</v>
      </c>
      <c r="D55">
        <v>0</v>
      </c>
      <c r="E55">
        <v>0.35245126966393597</v>
      </c>
      <c r="F55">
        <v>3.3510981881023041E-2</v>
      </c>
      <c r="G55">
        <v>0.29379603259060888</v>
      </c>
      <c r="H55">
        <v>0.24097494148590859</v>
      </c>
      <c r="I55">
        <v>0</v>
      </c>
      <c r="J55">
        <v>5.8062812745203252E-2</v>
      </c>
      <c r="K55">
        <v>0.24118026383809621</v>
      </c>
      <c r="L55">
        <v>16.437813930400271</v>
      </c>
      <c r="M55">
        <f t="shared" si="11"/>
        <v>0.12422480762846069</v>
      </c>
      <c r="N55">
        <f t="shared" si="14"/>
        <v>0</v>
      </c>
      <c r="O55">
        <f t="shared" si="15"/>
        <v>0.31535485064549529</v>
      </c>
      <c r="P55">
        <f t="shared" si="16"/>
        <v>2.9983863290237025E-2</v>
      </c>
      <c r="Q55">
        <f t="shared" si="17"/>
        <v>0.26287323086165293</v>
      </c>
      <c r="R55">
        <f t="shared" si="18"/>
        <v>0.21561169790664964</v>
      </c>
      <c r="S55">
        <f t="shared" si="19"/>
        <v>0</v>
      </c>
      <c r="T55">
        <f t="shared" si="20"/>
        <v>5.1951549667504329E-2</v>
      </c>
      <c r="U55">
        <f t="shared" si="12"/>
        <v>1.4460120378326537E-2</v>
      </c>
      <c r="V55">
        <f t="shared" si="13"/>
        <v>0.98553987962167344</v>
      </c>
    </row>
    <row r="56" spans="1:22" hidden="1" x14ac:dyDescent="0.25">
      <c r="A56" t="s">
        <v>129</v>
      </c>
      <c r="B56">
        <v>1904.82324488873</v>
      </c>
      <c r="C56">
        <v>0.7614273486438623</v>
      </c>
      <c r="D56">
        <v>0</v>
      </c>
      <c r="E56">
        <v>1.17670482730425</v>
      </c>
      <c r="F56">
        <v>3.7629560919061278E-2</v>
      </c>
      <c r="G56">
        <v>2.5463809235695578</v>
      </c>
      <c r="H56">
        <v>1.7510474263536699</v>
      </c>
      <c r="I56">
        <v>0.39398946323789508</v>
      </c>
      <c r="J56">
        <v>0.10931097678406861</v>
      </c>
      <c r="K56">
        <v>1.1409321107474131</v>
      </c>
      <c r="L56">
        <v>71.759248184575341</v>
      </c>
      <c r="M56">
        <f t="shared" si="11"/>
        <v>0.11236308021551011</v>
      </c>
      <c r="N56">
        <f t="shared" si="14"/>
        <v>0</v>
      </c>
      <c r="O56">
        <f t="shared" si="15"/>
        <v>0.17364516671991381</v>
      </c>
      <c r="P56">
        <f t="shared" si="16"/>
        <v>5.5529570609113019E-3</v>
      </c>
      <c r="Q56">
        <f t="shared" si="17"/>
        <v>0.375766912606807</v>
      </c>
      <c r="R56">
        <f t="shared" si="18"/>
        <v>0.25840033560518466</v>
      </c>
      <c r="S56">
        <f t="shared" si="19"/>
        <v>5.8140635138351791E-2</v>
      </c>
      <c r="T56">
        <f t="shared" si="20"/>
        <v>1.6130912653321165E-2</v>
      </c>
      <c r="U56">
        <f t="shared" si="12"/>
        <v>1.5650607531084732E-2</v>
      </c>
      <c r="V56">
        <f t="shared" si="13"/>
        <v>0.98434939246891529</v>
      </c>
    </row>
    <row r="57" spans="1:22" hidden="1" x14ac:dyDescent="0.25">
      <c r="A57" t="s">
        <v>127</v>
      </c>
      <c r="B57">
        <v>24900.766932380109</v>
      </c>
      <c r="C57">
        <v>120.3026617076235</v>
      </c>
      <c r="D57">
        <v>1.2014144457160911E-2</v>
      </c>
      <c r="E57">
        <v>3.0089348311085851</v>
      </c>
      <c r="F57">
        <v>0.1924068195526924</v>
      </c>
      <c r="G57">
        <v>4.3180020477985899</v>
      </c>
      <c r="H57">
        <v>36.794761565287217</v>
      </c>
      <c r="I57">
        <v>1.3236314639477309</v>
      </c>
      <c r="J57">
        <v>0.95318984309238175</v>
      </c>
      <c r="K57">
        <v>7.8136469048290031</v>
      </c>
      <c r="L57">
        <v>5.6048383448423653</v>
      </c>
      <c r="M57">
        <f t="shared" si="11"/>
        <v>0.72078264576660345</v>
      </c>
      <c r="N57">
        <f t="shared" si="14"/>
        <v>7.1981672770469232E-5</v>
      </c>
      <c r="O57">
        <f t="shared" si="15"/>
        <v>1.8027764121932969E-2</v>
      </c>
      <c r="P57">
        <f t="shared" si="16"/>
        <v>1.1527882633035607E-3</v>
      </c>
      <c r="Q57">
        <f t="shared" si="17"/>
        <v>2.5870923354978873E-2</v>
      </c>
      <c r="R57">
        <f t="shared" si="18"/>
        <v>0.22045252544647922</v>
      </c>
      <c r="S57">
        <f t="shared" si="19"/>
        <v>7.9304196188346721E-3</v>
      </c>
      <c r="T57">
        <f t="shared" si="20"/>
        <v>5.7109517550968953E-3</v>
      </c>
      <c r="U57">
        <f t="shared" si="12"/>
        <v>0.58230469083836167</v>
      </c>
      <c r="V57">
        <f t="shared" si="13"/>
        <v>0.41769530916163827</v>
      </c>
    </row>
    <row r="58" spans="1:22" x14ac:dyDescent="0.25">
      <c r="A58" t="s">
        <v>138</v>
      </c>
      <c r="B58">
        <v>22271.396045750789</v>
      </c>
      <c r="C58">
        <v>59.533018225549611</v>
      </c>
      <c r="D58">
        <v>8.2673704957729466E-3</v>
      </c>
      <c r="E58">
        <v>2.792319301842741</v>
      </c>
      <c r="F58">
        <v>0.14051729329711479</v>
      </c>
      <c r="G58">
        <v>1.972717740214726</v>
      </c>
      <c r="H58">
        <v>15.46778479796167</v>
      </c>
      <c r="I58">
        <v>0.55784918074300471</v>
      </c>
      <c r="J58">
        <v>1.118060574379951</v>
      </c>
      <c r="K58">
        <v>6.8496970757398987</v>
      </c>
      <c r="L58">
        <v>5.9360786339887559</v>
      </c>
      <c r="M58">
        <f t="shared" si="11"/>
        <v>0.72965594111741627</v>
      </c>
      <c r="N58">
        <f t="shared" si="14"/>
        <v>1.0132756879224863E-4</v>
      </c>
      <c r="O58">
        <f t="shared" si="15"/>
        <v>3.4223569185880667E-2</v>
      </c>
      <c r="P58">
        <f t="shared" si="16"/>
        <v>1.7222254295176339E-3</v>
      </c>
      <c r="Q58">
        <f t="shared" si="17"/>
        <v>2.4178267156588631E-2</v>
      </c>
      <c r="R58">
        <f t="shared" si="18"/>
        <v>0.18957817712179656</v>
      </c>
      <c r="S58">
        <f t="shared" si="19"/>
        <v>6.8371801247249621E-3</v>
      </c>
      <c r="T58">
        <f t="shared" si="20"/>
        <v>1.3703312295283021E-2</v>
      </c>
      <c r="U58">
        <f t="shared" si="12"/>
        <v>0.53572792384649659</v>
      </c>
      <c r="V58">
        <f t="shared" si="13"/>
        <v>0.46427207615350341</v>
      </c>
    </row>
    <row r="59" spans="1:22" hidden="1" x14ac:dyDescent="0.25">
      <c r="A59" t="s">
        <v>103</v>
      </c>
      <c r="B59">
        <v>12703.28984250529</v>
      </c>
      <c r="C59">
        <v>1.051497471899389</v>
      </c>
      <c r="D59">
        <v>2.087567360828033E-2</v>
      </c>
      <c r="E59">
        <v>0.29792829848875108</v>
      </c>
      <c r="F59">
        <v>2.6033029421918619E-3</v>
      </c>
      <c r="G59">
        <v>0.86332684325150577</v>
      </c>
      <c r="H59">
        <v>0.4239431307992183</v>
      </c>
      <c r="I59">
        <v>6.5214543211878553E-3</v>
      </c>
      <c r="J59">
        <v>1.172988931943313E-2</v>
      </c>
      <c r="K59">
        <v>0.2437483935948741</v>
      </c>
      <c r="L59">
        <v>1.8370562156013319</v>
      </c>
      <c r="M59">
        <f t="shared" si="11"/>
        <v>0.39258036119980055</v>
      </c>
      <c r="N59">
        <f t="shared" si="14"/>
        <v>7.7940077883629933E-3</v>
      </c>
      <c r="O59">
        <f t="shared" si="15"/>
        <v>0.11123260127395448</v>
      </c>
      <c r="P59">
        <f t="shared" si="16"/>
        <v>9.719525121749163E-4</v>
      </c>
      <c r="Q59">
        <f t="shared" si="17"/>
        <v>0.3223261805327377</v>
      </c>
      <c r="R59">
        <f t="shared" si="18"/>
        <v>0.15828069193233038</v>
      </c>
      <c r="S59">
        <f t="shared" si="19"/>
        <v>2.4348084150266954E-3</v>
      </c>
      <c r="T59">
        <f t="shared" si="20"/>
        <v>4.3793963456122851E-3</v>
      </c>
      <c r="U59">
        <f t="shared" si="12"/>
        <v>0.11714141371929759</v>
      </c>
      <c r="V59">
        <f t="shared" si="13"/>
        <v>0.88285858628070246</v>
      </c>
    </row>
    <row r="60" spans="1:22" x14ac:dyDescent="0.25">
      <c r="A60" t="s">
        <v>108</v>
      </c>
      <c r="B60">
        <v>10768.623112774279</v>
      </c>
      <c r="C60">
        <v>0.20929379450380961</v>
      </c>
      <c r="D60">
        <v>1.063512130275168E-3</v>
      </c>
      <c r="E60">
        <v>0.110031345135377</v>
      </c>
      <c r="F60">
        <v>1.443632226608907E-3</v>
      </c>
      <c r="G60">
        <v>0.19005516825837529</v>
      </c>
      <c r="H60">
        <v>0.14719016362848569</v>
      </c>
      <c r="I60">
        <v>4.0781476278653576E-3</v>
      </c>
      <c r="J60">
        <v>5.9109337765211857E-2</v>
      </c>
      <c r="K60">
        <v>0.23004922053707069</v>
      </c>
      <c r="L60">
        <v>2.7126787521539479</v>
      </c>
      <c r="M60">
        <f t="shared" si="11"/>
        <v>0.28977420359097389</v>
      </c>
      <c r="N60">
        <f t="shared" si="14"/>
        <v>1.4724678354198282E-3</v>
      </c>
      <c r="O60">
        <f t="shared" si="15"/>
        <v>0.15234204856497591</v>
      </c>
      <c r="P60">
        <f t="shared" si="16"/>
        <v>1.9987567225087789E-3</v>
      </c>
      <c r="Q60">
        <f t="shared" si="17"/>
        <v>0.26313768714923264</v>
      </c>
      <c r="R60">
        <f t="shared" si="18"/>
        <v>0.20378966582830632</v>
      </c>
      <c r="S60">
        <f t="shared" si="19"/>
        <v>5.6463307179878816E-3</v>
      </c>
      <c r="T60">
        <f t="shared" si="20"/>
        <v>8.1838839590594598E-2</v>
      </c>
      <c r="U60">
        <f t="shared" si="12"/>
        <v>7.8175496570516839E-2</v>
      </c>
      <c r="V60">
        <f t="shared" si="13"/>
        <v>0.92182450342948319</v>
      </c>
    </row>
    <row r="61" spans="1:22" hidden="1" x14ac:dyDescent="0.25">
      <c r="A61" t="s">
        <v>134</v>
      </c>
      <c r="B61">
        <v>11713.313624382359</v>
      </c>
      <c r="C61">
        <v>1.2607912664031991</v>
      </c>
      <c r="D61">
        <v>2.1939185738555501E-2</v>
      </c>
      <c r="E61">
        <v>0.40795964362412812</v>
      </c>
      <c r="F61">
        <v>4.0469351688007691E-3</v>
      </c>
      <c r="G61">
        <v>1.0533820115098811</v>
      </c>
      <c r="H61">
        <v>0.571133294427704</v>
      </c>
      <c r="I61">
        <v>1.0599601949053209E-2</v>
      </c>
      <c r="J61">
        <v>7.083922708464499E-2</v>
      </c>
      <c r="K61">
        <v>0.47379761413194482</v>
      </c>
      <c r="L61">
        <v>4.5497349677552803</v>
      </c>
      <c r="M61">
        <f t="shared" si="11"/>
        <v>0.37074559402612373</v>
      </c>
      <c r="N61">
        <f t="shared" si="14"/>
        <v>6.4513902228198229E-3</v>
      </c>
      <c r="O61">
        <f t="shared" si="15"/>
        <v>0.11996374375720321</v>
      </c>
      <c r="P61">
        <f t="shared" si="16"/>
        <v>1.1900331348444098E-3</v>
      </c>
      <c r="Q61">
        <f t="shared" si="17"/>
        <v>0.30975527036112172</v>
      </c>
      <c r="R61">
        <f t="shared" si="18"/>
        <v>0.16794623991548205</v>
      </c>
      <c r="S61">
        <f t="shared" si="19"/>
        <v>3.1168963695735667E-3</v>
      </c>
      <c r="T61">
        <f t="shared" si="20"/>
        <v>2.083083221283134E-2</v>
      </c>
      <c r="U61">
        <f t="shared" si="12"/>
        <v>9.4315624793648703E-2</v>
      </c>
      <c r="V61">
        <f t="shared" si="13"/>
        <v>0.90568437520635137</v>
      </c>
    </row>
    <row r="62" spans="1:22" hidden="1" x14ac:dyDescent="0.25">
      <c r="A62" t="s">
        <v>135</v>
      </c>
      <c r="B62">
        <v>22519.574366022131</v>
      </c>
      <c r="C62">
        <v>7.2004697125739696</v>
      </c>
      <c r="D62">
        <v>0.80302634871325917</v>
      </c>
      <c r="E62">
        <v>6.5549591943179504</v>
      </c>
      <c r="F62">
        <v>2.7019575492323911E-2</v>
      </c>
      <c r="G62">
        <v>4.5827197846183108</v>
      </c>
      <c r="H62">
        <v>16.45143649427305</v>
      </c>
      <c r="I62">
        <v>0.40372438565615992</v>
      </c>
      <c r="J62">
        <v>1.7175964572129709</v>
      </c>
      <c r="K62">
        <v>0.4180758602840785</v>
      </c>
      <c r="L62">
        <v>5.7261751225005986</v>
      </c>
      <c r="M62">
        <f t="shared" si="11"/>
        <v>0.19078664792472738</v>
      </c>
      <c r="N62">
        <f t="shared" si="14"/>
        <v>2.1277320977921142E-2</v>
      </c>
      <c r="O62">
        <f t="shared" si="15"/>
        <v>0.1736829320708633</v>
      </c>
      <c r="P62">
        <f t="shared" si="16"/>
        <v>7.1592193874902546E-4</v>
      </c>
      <c r="Q62">
        <f t="shared" si="17"/>
        <v>0.12142565429569874</v>
      </c>
      <c r="R62">
        <f t="shared" si="18"/>
        <v>0.43590412120029315</v>
      </c>
      <c r="S62">
        <f t="shared" si="19"/>
        <v>1.0697249665574143E-2</v>
      </c>
      <c r="T62">
        <f t="shared" si="20"/>
        <v>4.551015192617322E-2</v>
      </c>
      <c r="U62">
        <f t="shared" si="12"/>
        <v>6.8043421640077525E-2</v>
      </c>
      <c r="V62">
        <f t="shared" si="13"/>
        <v>0.93195657835992241</v>
      </c>
    </row>
    <row r="63" spans="1:22" hidden="1" x14ac:dyDescent="0.25">
      <c r="A63" t="s">
        <v>109</v>
      </c>
      <c r="B63">
        <v>15853.96203319802</v>
      </c>
      <c r="C63">
        <v>3.7204660437748029</v>
      </c>
      <c r="D63">
        <v>3.4221743685569801E-2</v>
      </c>
      <c r="E63">
        <v>13.10769417389664</v>
      </c>
      <c r="F63">
        <v>0.11618365261359979</v>
      </c>
      <c r="G63">
        <v>3.619774635445753</v>
      </c>
      <c r="H63">
        <v>5.7977871422392351</v>
      </c>
      <c r="I63">
        <v>0.234240316480333</v>
      </c>
      <c r="J63">
        <v>0.37617595599570641</v>
      </c>
      <c r="K63">
        <v>0.33932649314479779</v>
      </c>
      <c r="L63">
        <v>1.9463457525093371</v>
      </c>
      <c r="M63">
        <f t="shared" si="11"/>
        <v>0.13776165102963869</v>
      </c>
      <c r="N63">
        <f t="shared" si="14"/>
        <v>1.2671648808959188E-3</v>
      </c>
      <c r="O63">
        <f t="shared" si="15"/>
        <v>0.48535252555496167</v>
      </c>
      <c r="P63">
        <f t="shared" si="16"/>
        <v>4.3020556076528767E-3</v>
      </c>
      <c r="Q63">
        <f t="shared" si="17"/>
        <v>0.13403324321924637</v>
      </c>
      <c r="R63">
        <f t="shared" si="18"/>
        <v>0.21468082751883144</v>
      </c>
      <c r="S63">
        <f t="shared" si="19"/>
        <v>8.6734651939720797E-3</v>
      </c>
      <c r="T63">
        <f t="shared" si="20"/>
        <v>1.3929066994800938E-2</v>
      </c>
      <c r="U63">
        <f t="shared" si="12"/>
        <v>0.14845807126983168</v>
      </c>
      <c r="V63">
        <f t="shared" si="13"/>
        <v>0.85154192873016832</v>
      </c>
    </row>
    <row r="64" spans="1:22" x14ac:dyDescent="0.25">
      <c r="A64" t="s">
        <v>92</v>
      </c>
      <c r="B64">
        <v>6313.2011097215418</v>
      </c>
      <c r="C64">
        <v>0.49425003223557751</v>
      </c>
      <c r="D64">
        <v>5.7142295024260759E-3</v>
      </c>
      <c r="E64">
        <v>1.735368501066771</v>
      </c>
      <c r="F64">
        <v>2.6020842098631859E-2</v>
      </c>
      <c r="G64">
        <v>1.384835792200442</v>
      </c>
      <c r="H64">
        <v>4.5088323650679074</v>
      </c>
      <c r="I64">
        <v>0.33117725256102332</v>
      </c>
      <c r="J64">
        <v>0.4755325236102369</v>
      </c>
      <c r="K64">
        <v>0.1354717316238811</v>
      </c>
      <c r="L64">
        <v>12.96386820107244</v>
      </c>
      <c r="M64">
        <f t="shared" si="11"/>
        <v>5.5151175877219155E-2</v>
      </c>
      <c r="N64">
        <f t="shared" si="14"/>
        <v>6.3762560594206449E-4</v>
      </c>
      <c r="O64">
        <f t="shared" si="15"/>
        <v>0.19364209847638805</v>
      </c>
      <c r="P64">
        <f t="shared" si="16"/>
        <v>2.9035507242435197E-3</v>
      </c>
      <c r="Q64">
        <f t="shared" si="17"/>
        <v>0.1545277032987859</v>
      </c>
      <c r="R64">
        <f t="shared" si="18"/>
        <v>0.50312066878780548</v>
      </c>
      <c r="S64">
        <f t="shared" si="19"/>
        <v>3.6954605384469763E-2</v>
      </c>
      <c r="T64">
        <f t="shared" si="20"/>
        <v>5.3062571845145977E-2</v>
      </c>
      <c r="U64">
        <f t="shared" si="12"/>
        <v>1.0341874653221254E-2</v>
      </c>
      <c r="V64">
        <f t="shared" si="13"/>
        <v>0.98965812534677877</v>
      </c>
    </row>
    <row r="65" spans="1:22" x14ac:dyDescent="0.25">
      <c r="A65" t="s">
        <v>128</v>
      </c>
      <c r="B65">
        <v>14119.95213515897</v>
      </c>
      <c r="C65">
        <v>0.84786667914114333</v>
      </c>
      <c r="D65">
        <v>1.6963760972321131E-3</v>
      </c>
      <c r="E65">
        <v>0.90332590984796246</v>
      </c>
      <c r="F65">
        <v>2.820464148178339E-2</v>
      </c>
      <c r="G65">
        <v>0.56482448377133032</v>
      </c>
      <c r="H65">
        <v>5.0853002857256353</v>
      </c>
      <c r="I65">
        <v>0.25646580232748512</v>
      </c>
      <c r="J65">
        <v>0.25387566324498972</v>
      </c>
      <c r="K65">
        <v>0.39308779590398402</v>
      </c>
      <c r="L65">
        <v>1.905857187499528</v>
      </c>
      <c r="M65">
        <f t="shared" si="11"/>
        <v>0.10676324249246127</v>
      </c>
      <c r="N65">
        <f t="shared" si="14"/>
        <v>2.1360741857512944E-4</v>
      </c>
      <c r="O65">
        <f t="shared" si="15"/>
        <v>0.11374666033640254</v>
      </c>
      <c r="P65">
        <f t="shared" si="16"/>
        <v>3.5515241393644843E-3</v>
      </c>
      <c r="Q65">
        <f t="shared" si="17"/>
        <v>7.1122612564090776E-2</v>
      </c>
      <c r="R65">
        <f t="shared" si="18"/>
        <v>0.64034023379933869</v>
      </c>
      <c r="S65">
        <f t="shared" si="19"/>
        <v>3.2294134583339171E-2</v>
      </c>
      <c r="T65">
        <f t="shared" si="20"/>
        <v>3.1967984666427973E-2</v>
      </c>
      <c r="U65">
        <f t="shared" si="12"/>
        <v>0.17098616919576323</v>
      </c>
      <c r="V65">
        <f t="shared" si="13"/>
        <v>0.82901383080423674</v>
      </c>
    </row>
    <row r="66" spans="1:22" hidden="1" x14ac:dyDescent="0.25">
      <c r="A66" t="s">
        <v>125</v>
      </c>
      <c r="B66">
        <v>21466.147579956469</v>
      </c>
      <c r="C66">
        <v>1.8213115862430449</v>
      </c>
      <c r="D66">
        <v>0</v>
      </c>
      <c r="E66">
        <v>3.7999741527828319</v>
      </c>
      <c r="F66">
        <v>4.5379147916186642E-2</v>
      </c>
      <c r="G66">
        <v>2.838968060047014</v>
      </c>
      <c r="H66">
        <v>8.7615781787631164</v>
      </c>
      <c r="I66">
        <v>1.4562900575483939</v>
      </c>
      <c r="J66">
        <v>0.29791932890713479</v>
      </c>
      <c r="K66">
        <v>0.61575541195321892</v>
      </c>
      <c r="L66">
        <v>1.458028803867536</v>
      </c>
      <c r="M66">
        <f t="shared" ref="M66:M78" si="21">C66/SUM($C66:$J66)</f>
        <v>9.5750555804922602E-2</v>
      </c>
      <c r="N66">
        <f t="shared" si="14"/>
        <v>0</v>
      </c>
      <c r="O66">
        <f t="shared" si="15"/>
        <v>0.19977341599403964</v>
      </c>
      <c r="P66">
        <f t="shared" si="16"/>
        <v>2.3856865940723431E-3</v>
      </c>
      <c r="Q66">
        <f t="shared" si="17"/>
        <v>0.14925110657350737</v>
      </c>
      <c r="R66">
        <f t="shared" si="18"/>
        <v>0.46061639682168004</v>
      </c>
      <c r="S66">
        <f t="shared" si="19"/>
        <v>7.6560531145072164E-2</v>
      </c>
      <c r="T66">
        <f t="shared" si="20"/>
        <v>1.566230706670586E-2</v>
      </c>
      <c r="U66">
        <f t="shared" ref="U66:U78" si="22">K66/($K66+$L66)</f>
        <v>0.29692356960558575</v>
      </c>
      <c r="V66">
        <f t="shared" ref="V66:V78" si="23">L66/($K66+$L66)</f>
        <v>0.70307643039441425</v>
      </c>
    </row>
    <row r="67" spans="1:22" hidden="1" x14ac:dyDescent="0.25">
      <c r="A67" t="s">
        <v>140</v>
      </c>
      <c r="B67">
        <v>19403.888664424201</v>
      </c>
      <c r="C67">
        <v>13.35118652517831</v>
      </c>
      <c r="D67">
        <v>9.9878979529385067E-3</v>
      </c>
      <c r="E67">
        <v>5.7099046451105817</v>
      </c>
      <c r="F67">
        <v>0.71235545594412319</v>
      </c>
      <c r="G67">
        <v>10.855660210911269</v>
      </c>
      <c r="H67">
        <v>42.210837157782308</v>
      </c>
      <c r="I67">
        <v>9.7548661349305146</v>
      </c>
      <c r="J67">
        <v>0.62183109568199257</v>
      </c>
      <c r="K67">
        <v>1.270850529847362</v>
      </c>
      <c r="L67">
        <v>15.936098430745149</v>
      </c>
      <c r="M67">
        <f t="shared" si="21"/>
        <v>0.16041964772317954</v>
      </c>
      <c r="N67">
        <f t="shared" ref="N67:N78" si="24">D67/SUM($C67:$J67)</f>
        <v>1.2000844030482622E-4</v>
      </c>
      <c r="O67">
        <f t="shared" ref="O67:O78" si="25">E67/SUM($C67:$J67)</f>
        <v>6.8606703230022686E-2</v>
      </c>
      <c r="P67">
        <f t="shared" ref="P67:P78" si="26">F67/SUM($C67:$J67)</f>
        <v>8.5592251355888389E-3</v>
      </c>
      <c r="Q67">
        <f t="shared" ref="Q67:Q78" si="27">G67/SUM($C67:$J67)</f>
        <v>0.13043493801489414</v>
      </c>
      <c r="R67">
        <f t="shared" ref="R67:R78" si="28">H67/SUM($C67:$J67)</f>
        <v>0.50717946410096315</v>
      </c>
      <c r="S67">
        <f t="shared" ref="S67:S78" si="29">I67/SUM($C67:$J67)</f>
        <v>0.11720847326948927</v>
      </c>
      <c r="T67">
        <f t="shared" ref="T67:T78" si="30">J67/SUM($C67:$J67)</f>
        <v>7.471540085557434E-3</v>
      </c>
      <c r="U67">
        <f t="shared" si="22"/>
        <v>7.3856819867245127E-2</v>
      </c>
      <c r="V67">
        <f t="shared" si="23"/>
        <v>0.92614318013275476</v>
      </c>
    </row>
    <row r="68" spans="1:22" x14ac:dyDescent="0.25">
      <c r="A68" t="s">
        <v>100</v>
      </c>
      <c r="B68">
        <v>8033.7996285452773</v>
      </c>
      <c r="C68">
        <v>15.555962763406811</v>
      </c>
      <c r="D68">
        <v>3.5206668764936342E-3</v>
      </c>
      <c r="E68">
        <v>1.182286767189396</v>
      </c>
      <c r="F68">
        <v>2.3406236636910091E-2</v>
      </c>
      <c r="G68">
        <v>0.44408262624917089</v>
      </c>
      <c r="H68">
        <v>8.7025714356618771</v>
      </c>
      <c r="I68">
        <v>0.31852700860787159</v>
      </c>
      <c r="J68">
        <v>0.15717461952460651</v>
      </c>
      <c r="K68">
        <v>0.54588636807057123</v>
      </c>
      <c r="L68">
        <v>1.4983232145004639</v>
      </c>
      <c r="M68">
        <f t="shared" si="21"/>
        <v>0.5895194249396315</v>
      </c>
      <c r="N68">
        <f t="shared" si="24"/>
        <v>1.3342160456419053E-4</v>
      </c>
      <c r="O68">
        <f t="shared" si="25"/>
        <v>4.4804749516807629E-2</v>
      </c>
      <c r="P68">
        <f t="shared" si="26"/>
        <v>8.870187832186779E-4</v>
      </c>
      <c r="Q68">
        <f t="shared" si="27"/>
        <v>1.6829259521495436E-2</v>
      </c>
      <c r="R68">
        <f t="shared" si="28"/>
        <v>0.3297986107498172</v>
      </c>
      <c r="S68">
        <f t="shared" si="29"/>
        <v>1.207111779567731E-2</v>
      </c>
      <c r="T68">
        <f t="shared" si="30"/>
        <v>5.9563970887880355E-3</v>
      </c>
      <c r="U68">
        <f t="shared" si="22"/>
        <v>0.2670403136375093</v>
      </c>
      <c r="V68">
        <f t="shared" si="23"/>
        <v>0.73295968636249065</v>
      </c>
    </row>
    <row r="69" spans="1:22" hidden="1" x14ac:dyDescent="0.25">
      <c r="A69" t="s">
        <v>95</v>
      </c>
      <c r="B69">
        <v>9994.5499615667923</v>
      </c>
      <c r="C69">
        <v>37.818502228652271</v>
      </c>
      <c r="D69">
        <v>3.7217798609520542E-3</v>
      </c>
      <c r="E69">
        <v>2.4487639480898151</v>
      </c>
      <c r="F69">
        <v>6.8721014595541058E-2</v>
      </c>
      <c r="G69">
        <v>1.9203989521161591</v>
      </c>
      <c r="H69">
        <v>20.735459863300701</v>
      </c>
      <c r="I69">
        <v>0.92091479525644859</v>
      </c>
      <c r="J69">
        <v>7.9224333437302119E-2</v>
      </c>
      <c r="K69">
        <v>1.0892862013797679</v>
      </c>
      <c r="L69">
        <v>3.3080842309041851</v>
      </c>
      <c r="M69">
        <f t="shared" si="21"/>
        <v>0.59095373817341557</v>
      </c>
      <c r="N69">
        <f t="shared" si="24"/>
        <v>5.8156711447494332E-5</v>
      </c>
      <c r="O69">
        <f t="shared" si="25"/>
        <v>3.8264503450684072E-2</v>
      </c>
      <c r="P69">
        <f t="shared" si="26"/>
        <v>1.073837885508246E-3</v>
      </c>
      <c r="Q69">
        <f t="shared" si="27"/>
        <v>3.0008246563438729E-2</v>
      </c>
      <c r="R69">
        <f t="shared" si="28"/>
        <v>0.32401329499714177</v>
      </c>
      <c r="S69">
        <f t="shared" si="29"/>
        <v>1.4390258966514288E-2</v>
      </c>
      <c r="T69">
        <f t="shared" si="30"/>
        <v>1.2379632518497877E-3</v>
      </c>
      <c r="U69">
        <f t="shared" si="22"/>
        <v>0.24771308629871394</v>
      </c>
      <c r="V69">
        <f t="shared" si="23"/>
        <v>0.75228691370128609</v>
      </c>
    </row>
    <row r="70" spans="1:22" hidden="1" x14ac:dyDescent="0.25">
      <c r="A70" t="s">
        <v>143</v>
      </c>
      <c r="B70">
        <v>9330.8849054874718</v>
      </c>
      <c r="C70">
        <v>0.63049250525126666</v>
      </c>
      <c r="D70">
        <v>0</v>
      </c>
      <c r="E70">
        <v>1.8983438344297601</v>
      </c>
      <c r="F70">
        <v>4.8041345698462301E-2</v>
      </c>
      <c r="G70">
        <v>1.739458666455002</v>
      </c>
      <c r="H70">
        <v>2.3599304621596588</v>
      </c>
      <c r="I70">
        <v>0.13947758012664599</v>
      </c>
      <c r="J70">
        <v>0.3817475368036331</v>
      </c>
      <c r="K70">
        <v>0.29063001242023673</v>
      </c>
      <c r="L70">
        <v>10.312013489748059</v>
      </c>
      <c r="M70">
        <f t="shared" si="21"/>
        <v>8.7598917970622525E-2</v>
      </c>
      <c r="N70">
        <f t="shared" si="24"/>
        <v>0</v>
      </c>
      <c r="O70">
        <f t="shared" si="25"/>
        <v>0.2637507415983919</v>
      </c>
      <c r="P70">
        <f t="shared" si="26"/>
        <v>6.6747342212430906E-3</v>
      </c>
      <c r="Q70">
        <f t="shared" si="27"/>
        <v>0.24167566746151112</v>
      </c>
      <c r="R70">
        <f t="shared" si="28"/>
        <v>0.32788233523681837</v>
      </c>
      <c r="S70">
        <f t="shared" si="29"/>
        <v>1.9378636539677484E-2</v>
      </c>
      <c r="T70">
        <f t="shared" si="30"/>
        <v>5.3038966971735435E-2</v>
      </c>
      <c r="U70">
        <f t="shared" si="22"/>
        <v>2.7411089730669653E-2</v>
      </c>
      <c r="V70">
        <f t="shared" si="23"/>
        <v>0.97258891026933025</v>
      </c>
    </row>
    <row r="71" spans="1:22" x14ac:dyDescent="0.25">
      <c r="A71" t="s">
        <v>150</v>
      </c>
      <c r="B71">
        <v>42702.525904684662</v>
      </c>
      <c r="C71">
        <v>18.61402549466581</v>
      </c>
      <c r="D71">
        <v>0.39071935347566861</v>
      </c>
      <c r="E71">
        <v>82.710630721186135</v>
      </c>
      <c r="F71">
        <v>5.4917270257604289E-2</v>
      </c>
      <c r="G71">
        <v>22.943746991087519</v>
      </c>
      <c r="H71">
        <v>1.8509762047034219</v>
      </c>
      <c r="I71">
        <v>0.29797528934707129</v>
      </c>
      <c r="J71">
        <v>1.3968126311151441</v>
      </c>
      <c r="K71">
        <v>5.3287891083442798</v>
      </c>
      <c r="L71">
        <v>110.6828944344427</v>
      </c>
      <c r="M71">
        <f t="shared" si="21"/>
        <v>0.14512750620665907</v>
      </c>
      <c r="N71">
        <f t="shared" si="24"/>
        <v>3.0463117939132254E-3</v>
      </c>
      <c r="O71">
        <f t="shared" si="25"/>
        <v>0.64486790225926549</v>
      </c>
      <c r="P71">
        <f t="shared" si="26"/>
        <v>4.2817210508533962E-4</v>
      </c>
      <c r="Q71">
        <f t="shared" si="27"/>
        <v>0.17888493731822144</v>
      </c>
      <c r="R71">
        <f t="shared" si="28"/>
        <v>1.443145979967924E-2</v>
      </c>
      <c r="S71">
        <f t="shared" si="29"/>
        <v>2.3232164727904022E-3</v>
      </c>
      <c r="T71">
        <f t="shared" si="30"/>
        <v>1.0890494044385768E-2</v>
      </c>
      <c r="U71">
        <f t="shared" si="22"/>
        <v>4.5933210738890243E-2</v>
      </c>
      <c r="V71">
        <f t="shared" si="23"/>
        <v>0.95406678926110977</v>
      </c>
    </row>
    <row r="72" spans="1:22" hidden="1" x14ac:dyDescent="0.25">
      <c r="A72" t="s">
        <v>151</v>
      </c>
      <c r="B72">
        <v>53129.184166744817</v>
      </c>
      <c r="C72">
        <v>72.785261921173969</v>
      </c>
      <c r="D72">
        <v>0.97906017261050349</v>
      </c>
      <c r="E72">
        <v>524.469477569844</v>
      </c>
      <c r="F72">
        <v>0.20403387000251791</v>
      </c>
      <c r="G72">
        <v>94.797471506825246</v>
      </c>
      <c r="H72">
        <v>9.6396369505284412</v>
      </c>
      <c r="I72">
        <v>0.71254177125596341</v>
      </c>
      <c r="J72">
        <v>3.1403410761923292</v>
      </c>
      <c r="K72">
        <v>15.469345432599489</v>
      </c>
      <c r="L72">
        <v>78.058467953995176</v>
      </c>
      <c r="M72">
        <f t="shared" si="21"/>
        <v>0.10298909900400995</v>
      </c>
      <c r="N72">
        <f t="shared" si="24"/>
        <v>1.3853426145126367E-3</v>
      </c>
      <c r="O72">
        <f t="shared" si="25"/>
        <v>0.7421095634514524</v>
      </c>
      <c r="P72">
        <f t="shared" si="26"/>
        <v>2.8870218892140359E-4</v>
      </c>
      <c r="Q72">
        <f t="shared" si="27"/>
        <v>0.13413575661676708</v>
      </c>
      <c r="R72">
        <f t="shared" si="28"/>
        <v>1.3639815232592809E-2</v>
      </c>
      <c r="S72">
        <f t="shared" si="29"/>
        <v>1.0082265707011884E-3</v>
      </c>
      <c r="T72">
        <f t="shared" si="30"/>
        <v>4.4434943210425477E-3</v>
      </c>
      <c r="U72">
        <f t="shared" si="22"/>
        <v>0.16539834379167376</v>
      </c>
      <c r="V72">
        <f t="shared" si="23"/>
        <v>0.83460165620832638</v>
      </c>
    </row>
    <row r="73" spans="1:22" hidden="1" x14ac:dyDescent="0.25">
      <c r="A73" t="s">
        <v>146</v>
      </c>
      <c r="B73">
        <v>9297.3326132160164</v>
      </c>
      <c r="C73">
        <v>5.4955933747064591</v>
      </c>
      <c r="D73">
        <v>0</v>
      </c>
      <c r="E73">
        <v>6.3634634850133098</v>
      </c>
      <c r="F73">
        <v>6.0179232464960708E-2</v>
      </c>
      <c r="G73">
        <v>5.4487903923845158</v>
      </c>
      <c r="H73">
        <v>9.7456878725853606</v>
      </c>
      <c r="I73">
        <v>1.36533227376693</v>
      </c>
      <c r="J73">
        <v>9.4583555127158353E-2</v>
      </c>
      <c r="K73">
        <v>2.2209316490040019</v>
      </c>
      <c r="L73">
        <v>14.21567541493455</v>
      </c>
      <c r="M73">
        <f t="shared" si="21"/>
        <v>0.19233094776279869</v>
      </c>
      <c r="N73">
        <f t="shared" si="24"/>
        <v>0</v>
      </c>
      <c r="O73">
        <f t="shared" si="25"/>
        <v>0.22270406117736913</v>
      </c>
      <c r="P73">
        <f t="shared" si="26"/>
        <v>2.1061108467185139E-3</v>
      </c>
      <c r="Q73">
        <f t="shared" si="27"/>
        <v>0.19069296959841425</v>
      </c>
      <c r="R73">
        <f t="shared" si="28"/>
        <v>0.34107279366077087</v>
      </c>
      <c r="S73">
        <f t="shared" si="29"/>
        <v>4.7782947594581959E-2</v>
      </c>
      <c r="T73">
        <f t="shared" si="30"/>
        <v>3.3101693593465603E-3</v>
      </c>
      <c r="U73">
        <f t="shared" si="22"/>
        <v>0.13512105268225719</v>
      </c>
      <c r="V73">
        <f t="shared" si="23"/>
        <v>0.86487894731774273</v>
      </c>
    </row>
    <row r="74" spans="1:22" x14ac:dyDescent="0.25">
      <c r="A74" t="s">
        <v>83</v>
      </c>
      <c r="B74">
        <v>2641.734459797955</v>
      </c>
      <c r="C74">
        <v>0.16075266909921249</v>
      </c>
      <c r="D74">
        <v>0</v>
      </c>
      <c r="E74">
        <v>0.33679617872732021</v>
      </c>
      <c r="F74">
        <v>0</v>
      </c>
      <c r="G74">
        <v>0</v>
      </c>
      <c r="H74">
        <v>0.22469221187571781</v>
      </c>
      <c r="I74">
        <v>0.3248817243664906</v>
      </c>
      <c r="J74">
        <v>2.973631445772195E-2</v>
      </c>
      <c r="K74">
        <v>0.10306071691073421</v>
      </c>
      <c r="L74">
        <v>16.65557961130116</v>
      </c>
      <c r="M74">
        <f t="shared" si="21"/>
        <v>0.14927920404738274</v>
      </c>
      <c r="N74">
        <f t="shared" si="24"/>
        <v>0</v>
      </c>
      <c r="O74">
        <f t="shared" si="25"/>
        <v>0.3127578892987769</v>
      </c>
      <c r="P74">
        <f t="shared" si="26"/>
        <v>0</v>
      </c>
      <c r="Q74">
        <f t="shared" si="27"/>
        <v>0</v>
      </c>
      <c r="R74">
        <f t="shared" si="28"/>
        <v>0.20865516406294835</v>
      </c>
      <c r="S74">
        <f t="shared" si="29"/>
        <v>0.30169381009181945</v>
      </c>
      <c r="T74">
        <f t="shared" si="30"/>
        <v>2.7613932499072628E-2</v>
      </c>
      <c r="U74">
        <f t="shared" si="22"/>
        <v>6.1497063539957568E-3</v>
      </c>
      <c r="V74">
        <f t="shared" si="23"/>
        <v>0.9938502936460043</v>
      </c>
    </row>
    <row r="75" spans="1:22" hidden="1" x14ac:dyDescent="0.25">
      <c r="A75" t="s">
        <v>80</v>
      </c>
      <c r="B75">
        <v>3394.532603624647</v>
      </c>
      <c r="C75">
        <v>0.42932798102318681</v>
      </c>
      <c r="D75">
        <v>0</v>
      </c>
      <c r="E75">
        <v>0.32484569553984172</v>
      </c>
      <c r="F75">
        <v>1.280994569894691E-2</v>
      </c>
      <c r="G75">
        <v>0.54958208831640154</v>
      </c>
      <c r="H75">
        <v>0.24908235628440489</v>
      </c>
      <c r="I75">
        <v>6.9055874723689667E-2</v>
      </c>
      <c r="J75">
        <v>6.6275481097939574E-3</v>
      </c>
      <c r="K75">
        <v>4.6120739500078778E-2</v>
      </c>
      <c r="L75">
        <v>1.949193885820026</v>
      </c>
      <c r="M75">
        <f t="shared" si="21"/>
        <v>0.26157298736931905</v>
      </c>
      <c r="N75">
        <f t="shared" si="24"/>
        <v>0</v>
      </c>
      <c r="O75">
        <f t="shared" si="25"/>
        <v>0.19791595882922813</v>
      </c>
      <c r="P75">
        <f t="shared" si="26"/>
        <v>7.8046060648708088E-3</v>
      </c>
      <c r="Q75">
        <f t="shared" si="27"/>
        <v>0.3348391789023093</v>
      </c>
      <c r="R75">
        <f t="shared" si="28"/>
        <v>0.1517562770519309</v>
      </c>
      <c r="S75">
        <f t="shared" si="29"/>
        <v>4.2073082224522926E-2</v>
      </c>
      <c r="T75">
        <f t="shared" si="30"/>
        <v>4.0379095578190671E-3</v>
      </c>
      <c r="U75">
        <f t="shared" si="22"/>
        <v>2.3114519843044658E-2</v>
      </c>
      <c r="V75">
        <f t="shared" si="23"/>
        <v>0.97688548015695542</v>
      </c>
    </row>
    <row r="76" spans="1:22" hidden="1" x14ac:dyDescent="0.25">
      <c r="A76" t="s">
        <v>149</v>
      </c>
      <c r="B76">
        <v>18656.29543171874</v>
      </c>
      <c r="C76">
        <v>2.669178265384188</v>
      </c>
      <c r="D76">
        <v>1.6963760972321131E-3</v>
      </c>
      <c r="E76">
        <v>4.7033000626307944</v>
      </c>
      <c r="F76">
        <v>7.3583789397970029E-2</v>
      </c>
      <c r="G76">
        <v>3.4037925438183438</v>
      </c>
      <c r="H76">
        <v>13.84687846448875</v>
      </c>
      <c r="I76">
        <v>1.712755859875879</v>
      </c>
      <c r="J76">
        <v>0.55179499215212446</v>
      </c>
      <c r="K76">
        <v>1.0088432078572029</v>
      </c>
      <c r="L76">
        <v>3.3638859913670638</v>
      </c>
      <c r="M76">
        <f t="shared" si="21"/>
        <v>9.899418500312511E-2</v>
      </c>
      <c r="N76">
        <f t="shared" si="24"/>
        <v>6.2915006982534373E-5</v>
      </c>
      <c r="O76">
        <f t="shared" si="25"/>
        <v>0.17443546673652641</v>
      </c>
      <c r="P76">
        <f t="shared" si="26"/>
        <v>2.7290673520620648E-3</v>
      </c>
      <c r="Q76">
        <f t="shared" si="27"/>
        <v>0.12623947720723377</v>
      </c>
      <c r="R76">
        <f t="shared" si="28"/>
        <v>0.51355147994661499</v>
      </c>
      <c r="S76">
        <f t="shared" si="29"/>
        <v>6.3522497787660809E-2</v>
      </c>
      <c r="T76">
        <f t="shared" si="30"/>
        <v>2.0464910959794216E-2</v>
      </c>
      <c r="U76">
        <f t="shared" si="22"/>
        <v>0.23071248227220983</v>
      </c>
      <c r="V76">
        <f t="shared" si="23"/>
        <v>0.76928751772779014</v>
      </c>
    </row>
    <row r="77" spans="1:22" x14ac:dyDescent="0.25">
      <c r="A77" t="s">
        <v>144</v>
      </c>
      <c r="B77">
        <v>33182.204031909663</v>
      </c>
      <c r="C77">
        <v>120.1897747915902</v>
      </c>
      <c r="D77">
        <v>5.0221578119975713E-2</v>
      </c>
      <c r="E77">
        <v>27.845155727231042</v>
      </c>
      <c r="F77">
        <v>0.66237409939175695</v>
      </c>
      <c r="G77">
        <v>30.957021036871211</v>
      </c>
      <c r="H77">
        <v>120.7320493059117</v>
      </c>
      <c r="I77">
        <v>29.085448308647329</v>
      </c>
      <c r="J77">
        <v>8.0866577045038586</v>
      </c>
      <c r="K77">
        <v>62.254082271351358</v>
      </c>
      <c r="L77">
        <v>137.01479844603739</v>
      </c>
      <c r="M77">
        <f t="shared" si="21"/>
        <v>0.35600318914463686</v>
      </c>
      <c r="N77">
        <f t="shared" si="24"/>
        <v>1.4875676408904366E-4</v>
      </c>
      <c r="O77">
        <f t="shared" si="25"/>
        <v>8.2477600597159292E-2</v>
      </c>
      <c r="P77">
        <f t="shared" si="26"/>
        <v>1.9619580134762997E-3</v>
      </c>
      <c r="Q77">
        <f t="shared" si="27"/>
        <v>9.1694973508802194E-2</v>
      </c>
      <c r="R77">
        <f t="shared" si="28"/>
        <v>0.35760941111173072</v>
      </c>
      <c r="S77">
        <f t="shared" si="29"/>
        <v>8.6151358329231598E-2</v>
      </c>
      <c r="T77">
        <f t="shared" si="30"/>
        <v>2.3952752530873866E-2</v>
      </c>
      <c r="U77">
        <f t="shared" si="22"/>
        <v>0.31241246524409716</v>
      </c>
      <c r="V77">
        <f t="shared" si="23"/>
        <v>0.68758753475590284</v>
      </c>
    </row>
    <row r="78" spans="1:22" hidden="1" x14ac:dyDescent="0.25">
      <c r="A78" t="s">
        <v>145</v>
      </c>
      <c r="B78">
        <v>40848.104684907797</v>
      </c>
      <c r="C78">
        <v>255.89505738132161</v>
      </c>
      <c r="D78">
        <v>0.20287882103530661</v>
      </c>
      <c r="E78">
        <v>47.019984589216129</v>
      </c>
      <c r="F78">
        <v>0.97454542979923986</v>
      </c>
      <c r="G78">
        <v>63.362634588359541</v>
      </c>
      <c r="H78">
        <v>237.9088035141308</v>
      </c>
      <c r="I78">
        <v>33.128162658323063</v>
      </c>
      <c r="J78">
        <v>5.4417387430701369</v>
      </c>
      <c r="K78">
        <v>99.3780301253543</v>
      </c>
      <c r="L78">
        <v>156.41651082199391</v>
      </c>
      <c r="M78">
        <f t="shared" si="21"/>
        <v>0.39739342010955575</v>
      </c>
      <c r="N78">
        <f t="shared" si="24"/>
        <v>3.1506160917705873E-4</v>
      </c>
      <c r="O78">
        <f t="shared" si="25"/>
        <v>7.3019903864587482E-2</v>
      </c>
      <c r="P78">
        <f t="shared" si="26"/>
        <v>1.5134248600314124E-3</v>
      </c>
      <c r="Q78">
        <f t="shared" si="27"/>
        <v>9.8399298227548226E-2</v>
      </c>
      <c r="R78">
        <f t="shared" si="28"/>
        <v>0.36946158347157543</v>
      </c>
      <c r="S78">
        <f t="shared" si="29"/>
        <v>5.1446534354585044E-2</v>
      </c>
      <c r="T78">
        <f t="shared" si="30"/>
        <v>8.4507735029397384E-3</v>
      </c>
      <c r="U78">
        <f t="shared" si="22"/>
        <v>0.38850723614860061</v>
      </c>
      <c r="V78">
        <f t="shared" si="23"/>
        <v>0.61149276385139939</v>
      </c>
    </row>
    <row r="79" spans="1:22" hidden="1" x14ac:dyDescent="0.25">
      <c r="A79" t="s">
        <v>152</v>
      </c>
      <c r="B79">
        <v>49923.685627894141</v>
      </c>
      <c r="C79">
        <v>91.39928741583978</v>
      </c>
      <c r="D79">
        <v>1.369779526086172</v>
      </c>
      <c r="E79">
        <v>607.18010829103014</v>
      </c>
      <c r="F79">
        <v>0.25895114026012223</v>
      </c>
      <c r="G79">
        <v>117.7412184979128</v>
      </c>
      <c r="H79">
        <v>11.490613155231861</v>
      </c>
      <c r="I79">
        <v>1.0105170606030349</v>
      </c>
      <c r="J79">
        <v>4.537153707307473</v>
      </c>
      <c r="K79">
        <v>20.798134540943771</v>
      </c>
      <c r="L79">
        <v>188.74136238843789</v>
      </c>
      <c r="M79">
        <f t="shared" ref="M79" si="31">C79/SUM($C79:$J79)</f>
        <v>0.10946184621659734</v>
      </c>
      <c r="N79">
        <f t="shared" ref="N79" si="32">D79/SUM($C79:$J79)</f>
        <v>1.6404788272901055E-3</v>
      </c>
      <c r="O79">
        <f t="shared" ref="O79" si="33">E79/SUM($C79:$J79)</f>
        <v>0.7271725799911587</v>
      </c>
      <c r="P79">
        <f t="shared" ref="P79" si="34">F79/SUM($C79:$J79)</f>
        <v>3.1012572082540876E-4</v>
      </c>
      <c r="Q79">
        <f t="shared" ref="Q79" si="35">G79/SUM($C79:$J79)</f>
        <v>0.14100953647412962</v>
      </c>
      <c r="R79">
        <f t="shared" ref="R79" si="36">H79/SUM($C79:$J79)</f>
        <v>1.376141724617453E-2</v>
      </c>
      <c r="S79">
        <f t="shared" ref="S79" si="37">I79/SUM($C79:$J79)</f>
        <v>1.2102180029448216E-3</v>
      </c>
      <c r="T79">
        <f t="shared" ref="T79" si="38">J79/SUM($C79:$J79)</f>
        <v>5.4337975208796317E-3</v>
      </c>
      <c r="U79">
        <f t="shared" ref="U79" si="39">K79/($K79+$L79)</f>
        <v>9.9256392449739883E-2</v>
      </c>
      <c r="V79">
        <f t="shared" ref="V79" si="40">L79/($K79+$L79)</f>
        <v>0.90074360755026006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5C554-C32F-4599-B85B-B1EEBF28ED6D}">
  <dimension ref="A1:V79"/>
  <sheetViews>
    <sheetView showGridLines="0" workbookViewId="0">
      <selection activeCell="M1" sqref="M1:V77"/>
    </sheetView>
  </sheetViews>
  <sheetFormatPr defaultRowHeight="15" x14ac:dyDescent="0.25"/>
  <cols>
    <col min="1" max="1" width="13.42578125" customWidth="1"/>
    <col min="2" max="2" width="20" customWidth="1"/>
    <col min="3" max="3" width="15.140625" customWidth="1"/>
    <col min="4" max="4" width="13" customWidth="1"/>
    <col min="5" max="5" width="16.28515625" customWidth="1"/>
    <col min="6" max="6" width="13.5703125" customWidth="1"/>
    <col min="7" max="7" width="13.85546875" customWidth="1"/>
    <col min="8" max="8" width="20.140625" customWidth="1"/>
    <col min="9" max="9" width="13.42578125" customWidth="1"/>
    <col min="10" max="10" width="13.28515625" customWidth="1"/>
    <col min="11" max="11" width="28.7109375" customWidth="1"/>
    <col min="12" max="12" width="28" customWidth="1"/>
    <col min="13" max="13" width="16.140625" customWidth="1"/>
    <col min="14" max="14" width="14.140625" customWidth="1"/>
    <col min="15" max="15" width="17.28515625" customWidth="1"/>
    <col min="16" max="16" width="14.7109375" customWidth="1"/>
    <col min="17" max="17" width="15" customWidth="1"/>
    <col min="18" max="18" width="21.140625" customWidth="1"/>
    <col min="19" max="19" width="14.42578125" customWidth="1"/>
    <col min="20" max="20" width="14.28515625" customWidth="1"/>
    <col min="21" max="21" width="30.85546875" customWidth="1"/>
    <col min="22" max="22" width="30.14062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</v>
      </c>
      <c r="K1" t="s">
        <v>9</v>
      </c>
      <c r="L1" t="s">
        <v>10</v>
      </c>
      <c r="M1" t="s">
        <v>228</v>
      </c>
      <c r="N1" t="s">
        <v>229</v>
      </c>
      <c r="O1" t="s">
        <v>230</v>
      </c>
      <c r="P1" t="s">
        <v>231</v>
      </c>
      <c r="Q1" t="s">
        <v>232</v>
      </c>
      <c r="R1" t="s">
        <v>233</v>
      </c>
      <c r="S1" t="s">
        <v>234</v>
      </c>
      <c r="T1" t="s">
        <v>235</v>
      </c>
      <c r="U1" t="s">
        <v>236</v>
      </c>
      <c r="V1" t="s">
        <v>237</v>
      </c>
    </row>
    <row r="2" spans="1:22" hidden="1" x14ac:dyDescent="0.25">
      <c r="A2" t="s">
        <v>75</v>
      </c>
      <c r="B2">
        <v>3626.6186625782998</v>
      </c>
      <c r="C2">
        <v>4.6018227048310073E-2</v>
      </c>
      <c r="D2">
        <v>0</v>
      </c>
      <c r="E2">
        <v>6.0767725755102767E-2</v>
      </c>
      <c r="F2">
        <v>0</v>
      </c>
      <c r="G2">
        <v>9.2791800925570087E-3</v>
      </c>
      <c r="H2">
        <v>4.9334302577890989E-2</v>
      </c>
      <c r="I2">
        <v>0</v>
      </c>
      <c r="J2">
        <v>2.6340822205294261E-2</v>
      </c>
      <c r="K2">
        <v>2.9664457876225819E-2</v>
      </c>
      <c r="L2">
        <v>0.108571222278993</v>
      </c>
      <c r="M2">
        <f t="shared" ref="M2:M33" si="0">C2/SUM($C2:$J2)</f>
        <v>0.24000294776548073</v>
      </c>
      <c r="N2">
        <f t="shared" ref="N2:T2" si="1">D2/SUM($C2:$J2)</f>
        <v>0</v>
      </c>
      <c r="O2">
        <f t="shared" si="1"/>
        <v>0.31692731871043628</v>
      </c>
      <c r="P2">
        <f t="shared" si="1"/>
        <v>0</v>
      </c>
      <c r="Q2">
        <f t="shared" si="1"/>
        <v>4.8394532295268675E-2</v>
      </c>
      <c r="R2">
        <f t="shared" si="1"/>
        <v>0.25729757107369494</v>
      </c>
      <c r="S2">
        <f t="shared" si="1"/>
        <v>0</v>
      </c>
      <c r="T2">
        <f t="shared" si="1"/>
        <v>0.13737763015511939</v>
      </c>
      <c r="U2">
        <f t="shared" ref="U2:U33" si="2">K2/($K2+$L2)</f>
        <v>0.21459335131795854</v>
      </c>
      <c r="V2">
        <f t="shared" ref="V2:V33" si="3">L2/($K2+$L2)</f>
        <v>0.78540664868204157</v>
      </c>
    </row>
    <row r="3" spans="1:22" hidden="1" x14ac:dyDescent="0.25">
      <c r="A3" t="s">
        <v>118</v>
      </c>
      <c r="B3">
        <v>16147.6051454102</v>
      </c>
      <c r="C3">
        <v>5.6792307583771704</v>
      </c>
      <c r="D3">
        <v>0</v>
      </c>
      <c r="E3">
        <v>2.8619763426479921</v>
      </c>
      <c r="F3">
        <v>2.4052340575744461E-3</v>
      </c>
      <c r="G3">
        <v>1.9920728242360439</v>
      </c>
      <c r="H3">
        <v>0.25919971926912611</v>
      </c>
      <c r="I3">
        <v>2.209493712381105E-2</v>
      </c>
      <c r="J3">
        <v>9.1340416808860536E-4</v>
      </c>
      <c r="K3">
        <v>3.9738269711783528E-2</v>
      </c>
      <c r="L3">
        <v>0.15403913443155101</v>
      </c>
      <c r="M3">
        <f t="shared" si="0"/>
        <v>0.52498491554164839</v>
      </c>
      <c r="N3">
        <f t="shared" ref="N3:N34" si="4">D3/SUM($C3:$J3)</f>
        <v>0</v>
      </c>
      <c r="O3">
        <f t="shared" ref="O3:O34" si="5">E3/SUM($C3:$J3)</f>
        <v>0.26455949272900947</v>
      </c>
      <c r="P3">
        <f t="shared" ref="P3:P34" si="6">F3/SUM($C3:$J3)</f>
        <v>2.2233849130202176E-4</v>
      </c>
      <c r="Q3">
        <f t="shared" ref="Q3:Q34" si="7">G3/SUM($C3:$J3)</f>
        <v>0.18414609792739084</v>
      </c>
      <c r="R3">
        <f t="shared" ref="R3:R34" si="8">H3/SUM($C3:$J3)</f>
        <v>2.3960277107635014E-2</v>
      </c>
      <c r="S3">
        <f t="shared" ref="S3:S34" si="9">I3/SUM($C3:$J3)</f>
        <v>2.0424436324817542E-3</v>
      </c>
      <c r="T3">
        <f t="shared" ref="T3:T34" si="10">J3/SUM($C3:$J3)</f>
        <v>8.4434570532648874E-5</v>
      </c>
      <c r="U3">
        <f t="shared" si="2"/>
        <v>0.20507174140071388</v>
      </c>
      <c r="V3">
        <f t="shared" si="3"/>
        <v>0.79492825859928606</v>
      </c>
    </row>
    <row r="4" spans="1:22" x14ac:dyDescent="0.25">
      <c r="A4" t="s">
        <v>111</v>
      </c>
      <c r="B4">
        <v>10790.9096823325</v>
      </c>
      <c r="C4">
        <v>1.4809023194724511</v>
      </c>
      <c r="D4">
        <v>0</v>
      </c>
      <c r="E4">
        <v>0</v>
      </c>
      <c r="F4">
        <v>6.309689373351678E-5</v>
      </c>
      <c r="G4">
        <v>0</v>
      </c>
      <c r="H4">
        <v>0.27514559130661498</v>
      </c>
      <c r="I4">
        <v>0</v>
      </c>
      <c r="J4">
        <v>2.0850271801625669E-3</v>
      </c>
      <c r="K4">
        <v>2.253829283633145E-2</v>
      </c>
      <c r="L4">
        <v>6.9440001035383253E-2</v>
      </c>
      <c r="M4">
        <f t="shared" si="0"/>
        <v>0.84228509797333206</v>
      </c>
      <c r="N4">
        <f t="shared" si="4"/>
        <v>0</v>
      </c>
      <c r="O4">
        <f t="shared" si="5"/>
        <v>0</v>
      </c>
      <c r="P4">
        <f t="shared" si="6"/>
        <v>3.5887291566320455E-5</v>
      </c>
      <c r="Q4">
        <f t="shared" si="7"/>
        <v>0</v>
      </c>
      <c r="R4">
        <f t="shared" si="8"/>
        <v>0.15649312468710316</v>
      </c>
      <c r="S4">
        <f t="shared" si="9"/>
        <v>0</v>
      </c>
      <c r="T4">
        <f t="shared" si="10"/>
        <v>1.1858900479985086E-3</v>
      </c>
      <c r="U4">
        <f t="shared" si="2"/>
        <v>0.24503925749880057</v>
      </c>
      <c r="V4">
        <f t="shared" si="3"/>
        <v>0.75496074250119938</v>
      </c>
    </row>
    <row r="5" spans="1:22" x14ac:dyDescent="0.25">
      <c r="A5" t="s">
        <v>147</v>
      </c>
      <c r="B5">
        <v>34742.352483479037</v>
      </c>
      <c r="C5">
        <v>11.87879655142398</v>
      </c>
      <c r="D5">
        <v>3.5092029339798029E-4</v>
      </c>
      <c r="E5">
        <v>0.35713268353884547</v>
      </c>
      <c r="F5">
        <v>4.2576874050578896E-3</v>
      </c>
      <c r="G5">
        <v>2.7189039882423089</v>
      </c>
      <c r="H5">
        <v>1.7529774582292729E-2</v>
      </c>
      <c r="I5">
        <v>4.9596725915299858E-2</v>
      </c>
      <c r="J5">
        <v>5.9795819560374941E-2</v>
      </c>
      <c r="K5">
        <v>8.6756179832596256</v>
      </c>
      <c r="L5">
        <v>4.2115959391507598</v>
      </c>
      <c r="M5">
        <f t="shared" si="0"/>
        <v>0.78738630677073129</v>
      </c>
      <c r="N5">
        <f t="shared" si="4"/>
        <v>2.3260759841569497E-5</v>
      </c>
      <c r="O5">
        <f t="shared" si="5"/>
        <v>2.3672548267110665E-2</v>
      </c>
      <c r="P5">
        <f t="shared" si="6"/>
        <v>2.8222090905756893E-4</v>
      </c>
      <c r="Q5">
        <f t="shared" si="7"/>
        <v>0.1802226143446905</v>
      </c>
      <c r="R5">
        <f t="shared" si="8"/>
        <v>1.1619615174923003E-3</v>
      </c>
      <c r="S5">
        <f t="shared" si="9"/>
        <v>3.2875201353361684E-3</v>
      </c>
      <c r="T5">
        <f t="shared" si="10"/>
        <v>3.9635672957399571E-3</v>
      </c>
      <c r="U5">
        <f t="shared" si="2"/>
        <v>0.67319577648765871</v>
      </c>
      <c r="V5">
        <f t="shared" si="3"/>
        <v>0.32680422351234129</v>
      </c>
    </row>
    <row r="6" spans="1:22" hidden="1" x14ac:dyDescent="0.25">
      <c r="A6" t="s">
        <v>79</v>
      </c>
      <c r="B6">
        <v>22528.75337972062</v>
      </c>
      <c r="C6">
        <v>51.42579971205307</v>
      </c>
      <c r="D6">
        <v>0</v>
      </c>
      <c r="E6">
        <v>0.93140204715030162</v>
      </c>
      <c r="F6">
        <v>1.6011082357783219E-2</v>
      </c>
      <c r="G6">
        <v>1.9583668514618271</v>
      </c>
      <c r="H6">
        <v>7.6846055064573591</v>
      </c>
      <c r="I6">
        <v>0.12222158415973269</v>
      </c>
      <c r="J6">
        <v>8.4710624347908173E-2</v>
      </c>
      <c r="K6">
        <v>2.7159176006247558</v>
      </c>
      <c r="L6">
        <v>1.0336699270030969</v>
      </c>
      <c r="M6">
        <f t="shared" si="0"/>
        <v>0.82647417638787757</v>
      </c>
      <c r="N6">
        <f t="shared" si="4"/>
        <v>0</v>
      </c>
      <c r="O6">
        <f t="shared" si="5"/>
        <v>1.4968746117993946E-2</v>
      </c>
      <c r="P6">
        <f t="shared" si="6"/>
        <v>2.5731726446299481E-4</v>
      </c>
      <c r="Q6">
        <f t="shared" si="7"/>
        <v>3.1473300166256525E-2</v>
      </c>
      <c r="R6">
        <f t="shared" si="8"/>
        <v>0.12350081170106783</v>
      </c>
      <c r="S6">
        <f t="shared" si="9"/>
        <v>1.9642472002542634E-3</v>
      </c>
      <c r="T6">
        <f t="shared" si="10"/>
        <v>1.3614011620869599E-3</v>
      </c>
      <c r="U6">
        <f t="shared" si="2"/>
        <v>0.72432436384355059</v>
      </c>
      <c r="V6">
        <f t="shared" si="3"/>
        <v>0.27567563615644952</v>
      </c>
    </row>
    <row r="7" spans="1:22" hidden="1" x14ac:dyDescent="0.25">
      <c r="A7" t="s">
        <v>148</v>
      </c>
      <c r="B7">
        <v>43252.206084732803</v>
      </c>
      <c r="C7">
        <v>18.670560819244731</v>
      </c>
      <c r="D7">
        <v>8.5690340900380967E-4</v>
      </c>
      <c r="E7">
        <v>1.0244188287285929</v>
      </c>
      <c r="F7">
        <v>2.3661044945800871E-2</v>
      </c>
      <c r="G7">
        <v>2.6212784556311362</v>
      </c>
      <c r="H7">
        <v>4.5937234873105671E-2</v>
      </c>
      <c r="I7">
        <v>1.9290486179758749E-2</v>
      </c>
      <c r="J7">
        <v>5.8053264545399691E-2</v>
      </c>
      <c r="K7">
        <v>3.6885131617199498</v>
      </c>
      <c r="L7">
        <v>1.3188900069514189</v>
      </c>
      <c r="M7">
        <f t="shared" si="0"/>
        <v>0.83113040480753442</v>
      </c>
      <c r="N7">
        <f t="shared" si="4"/>
        <v>3.8145532108076373E-5</v>
      </c>
      <c r="O7">
        <f t="shared" si="5"/>
        <v>4.5602574237408364E-2</v>
      </c>
      <c r="P7">
        <f t="shared" si="6"/>
        <v>1.0532845828445906E-3</v>
      </c>
      <c r="Q7">
        <f t="shared" si="7"/>
        <v>0.11668766916183643</v>
      </c>
      <c r="R7">
        <f t="shared" si="8"/>
        <v>2.0449215738859404E-3</v>
      </c>
      <c r="S7">
        <f t="shared" si="9"/>
        <v>8.5872672721170077E-4</v>
      </c>
      <c r="T7">
        <f t="shared" si="10"/>
        <v>2.5842733771705073E-3</v>
      </c>
      <c r="U7">
        <f t="shared" si="2"/>
        <v>0.73661197979763149</v>
      </c>
      <c r="V7">
        <f t="shared" si="3"/>
        <v>0.26338802020236857</v>
      </c>
    </row>
    <row r="8" spans="1:22" hidden="1" x14ac:dyDescent="0.25">
      <c r="A8" t="s">
        <v>99</v>
      </c>
      <c r="B8">
        <v>10905.17892109573</v>
      </c>
      <c r="C8">
        <v>8.6620583780209259E-2</v>
      </c>
      <c r="D8">
        <v>0</v>
      </c>
      <c r="E8">
        <v>6.448746573142973E-2</v>
      </c>
      <c r="F8">
        <v>5.21324577667593E-4</v>
      </c>
      <c r="G8">
        <v>6.9821722077029566E-2</v>
      </c>
      <c r="H8">
        <v>3.7676480823506131E-3</v>
      </c>
      <c r="I8">
        <v>3.6952627191544599E-3</v>
      </c>
      <c r="J8">
        <v>0</v>
      </c>
      <c r="K8">
        <v>0</v>
      </c>
      <c r="L8">
        <v>4.4824867141892689E-2</v>
      </c>
      <c r="M8">
        <f t="shared" si="0"/>
        <v>0.37839791862268213</v>
      </c>
      <c r="N8">
        <f t="shared" si="4"/>
        <v>0</v>
      </c>
      <c r="O8">
        <f t="shared" si="5"/>
        <v>0.28171044046461169</v>
      </c>
      <c r="P8">
        <f t="shared" si="6"/>
        <v>2.2773817320004839E-3</v>
      </c>
      <c r="Q8">
        <f t="shared" si="7"/>
        <v>0.30501288672491944</v>
      </c>
      <c r="R8">
        <f t="shared" si="8"/>
        <v>1.645879224367388E-2</v>
      </c>
      <c r="S8">
        <f t="shared" si="9"/>
        <v>1.6142580212112515E-2</v>
      </c>
      <c r="T8">
        <f t="shared" si="10"/>
        <v>0</v>
      </c>
      <c r="U8">
        <f t="shared" si="2"/>
        <v>0</v>
      </c>
      <c r="V8">
        <f t="shared" si="3"/>
        <v>1</v>
      </c>
    </row>
    <row r="9" spans="1:22" hidden="1" x14ac:dyDescent="0.25">
      <c r="A9" t="s">
        <v>82</v>
      </c>
      <c r="B9">
        <v>14578.073876580789</v>
      </c>
      <c r="C9">
        <v>6.5300405033673643</v>
      </c>
      <c r="D9">
        <v>3.2495396146320188E-2</v>
      </c>
      <c r="E9">
        <v>2.0260201707332488</v>
      </c>
      <c r="F9">
        <v>1.744673269156402E-3</v>
      </c>
      <c r="G9">
        <v>2.7849223119786122</v>
      </c>
      <c r="H9">
        <v>0.22640661640365389</v>
      </c>
      <c r="I9">
        <v>3.9728729093266003E-2</v>
      </c>
      <c r="J9">
        <v>6.8733583294418093E-4</v>
      </c>
      <c r="K9">
        <v>0.12204563403218401</v>
      </c>
      <c r="L9">
        <v>0.25867134349732002</v>
      </c>
      <c r="M9">
        <f t="shared" si="0"/>
        <v>0.56090146448337774</v>
      </c>
      <c r="N9">
        <f t="shared" si="4"/>
        <v>2.7912101430365528E-3</v>
      </c>
      <c r="O9">
        <f t="shared" si="5"/>
        <v>0.17402613050426455</v>
      </c>
      <c r="P9">
        <f t="shared" si="6"/>
        <v>1.4985968176004362E-4</v>
      </c>
      <c r="Q9">
        <f t="shared" si="7"/>
        <v>0.23921245242747305</v>
      </c>
      <c r="R9">
        <f t="shared" si="8"/>
        <v>1.9447322362556495E-2</v>
      </c>
      <c r="S9">
        <f t="shared" si="9"/>
        <v>3.4125213035026466E-3</v>
      </c>
      <c r="T9">
        <f t="shared" si="10"/>
        <v>5.9039094028817618E-5</v>
      </c>
      <c r="U9">
        <f t="shared" si="2"/>
        <v>0.32056787912150825</v>
      </c>
      <c r="V9">
        <f t="shared" si="3"/>
        <v>0.67943212087849181</v>
      </c>
    </row>
    <row r="10" spans="1:22" x14ac:dyDescent="0.25">
      <c r="A10" t="s">
        <v>94</v>
      </c>
      <c r="B10">
        <v>7445.7497357088878</v>
      </c>
      <c r="C10">
        <v>6.7421390416403798E-2</v>
      </c>
      <c r="D10">
        <v>0</v>
      </c>
      <c r="E10">
        <v>1.3457197719482551E-2</v>
      </c>
      <c r="F10">
        <v>2.9784532405461201E-4</v>
      </c>
      <c r="G10">
        <v>1.507422559258827E-2</v>
      </c>
      <c r="H10">
        <v>0</v>
      </c>
      <c r="I10">
        <v>0</v>
      </c>
      <c r="J10">
        <v>2.2703126752465282E-2</v>
      </c>
      <c r="K10">
        <v>1.832892777093402E-2</v>
      </c>
      <c r="L10">
        <v>0.13783230607734739</v>
      </c>
      <c r="M10">
        <f t="shared" si="0"/>
        <v>0.56678642012226721</v>
      </c>
      <c r="N10">
        <f t="shared" si="4"/>
        <v>0</v>
      </c>
      <c r="O10">
        <f t="shared" si="5"/>
        <v>0.11312962953145057</v>
      </c>
      <c r="P10">
        <f t="shared" si="6"/>
        <v>2.5038742738535558E-3</v>
      </c>
      <c r="Q10">
        <f t="shared" si="7"/>
        <v>0.12672337824791913</v>
      </c>
      <c r="R10">
        <f t="shared" si="8"/>
        <v>0</v>
      </c>
      <c r="S10">
        <f t="shared" si="9"/>
        <v>0</v>
      </c>
      <c r="T10">
        <f t="shared" si="10"/>
        <v>0.19085669782450967</v>
      </c>
      <c r="U10">
        <f t="shared" si="2"/>
        <v>0.11737181705890917</v>
      </c>
      <c r="V10">
        <f t="shared" si="3"/>
        <v>0.88262818294109091</v>
      </c>
    </row>
    <row r="11" spans="1:22" x14ac:dyDescent="0.25">
      <c r="A11" t="s">
        <v>97</v>
      </c>
      <c r="B11">
        <v>7572.2333109786059</v>
      </c>
      <c r="C11">
        <v>0.21311850200491941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f t="shared" si="0"/>
        <v>1</v>
      </c>
      <c r="N11">
        <f t="shared" si="4"/>
        <v>0</v>
      </c>
      <c r="O11">
        <f t="shared" si="5"/>
        <v>0</v>
      </c>
      <c r="P11">
        <f t="shared" si="6"/>
        <v>0</v>
      </c>
      <c r="Q11">
        <f t="shared" si="7"/>
        <v>0</v>
      </c>
      <c r="R11">
        <f t="shared" si="8"/>
        <v>0</v>
      </c>
      <c r="S11">
        <f t="shared" si="9"/>
        <v>0</v>
      </c>
      <c r="T11">
        <f t="shared" si="10"/>
        <v>0</v>
      </c>
      <c r="U11" t="e">
        <f t="shared" si="2"/>
        <v>#DIV/0!</v>
      </c>
      <c r="V11" t="e">
        <f t="shared" si="3"/>
        <v>#DIV/0!</v>
      </c>
    </row>
    <row r="12" spans="1:22" hidden="1" x14ac:dyDescent="0.25">
      <c r="A12" t="s">
        <v>107</v>
      </c>
      <c r="B12">
        <v>13203.51181056138</v>
      </c>
      <c r="C12">
        <v>0.27442215820067628</v>
      </c>
      <c r="D12">
        <v>0</v>
      </c>
      <c r="E12">
        <v>5.8204081092995907E-2</v>
      </c>
      <c r="F12">
        <v>0</v>
      </c>
      <c r="G12">
        <v>3.7452461830878643E-2</v>
      </c>
      <c r="H12">
        <v>8.2725210904451452E-2</v>
      </c>
      <c r="I12">
        <v>0</v>
      </c>
      <c r="J12">
        <v>0</v>
      </c>
      <c r="K12">
        <v>0</v>
      </c>
      <c r="L12">
        <v>0</v>
      </c>
      <c r="M12">
        <f t="shared" si="0"/>
        <v>0.60605076703290373</v>
      </c>
      <c r="N12">
        <f t="shared" si="4"/>
        <v>0</v>
      </c>
      <c r="O12">
        <f t="shared" si="5"/>
        <v>0.12854147136711996</v>
      </c>
      <c r="P12">
        <f t="shared" si="6"/>
        <v>0</v>
      </c>
      <c r="Q12">
        <f t="shared" si="7"/>
        <v>8.2712319474129894E-2</v>
      </c>
      <c r="R12">
        <f t="shared" si="8"/>
        <v>0.18269544212584646</v>
      </c>
      <c r="S12">
        <f t="shared" si="9"/>
        <v>0</v>
      </c>
      <c r="T12">
        <f t="shared" si="10"/>
        <v>0</v>
      </c>
      <c r="U12" t="e">
        <f t="shared" si="2"/>
        <v>#DIV/0!</v>
      </c>
      <c r="V12" t="e">
        <f t="shared" si="3"/>
        <v>#DIV/0!</v>
      </c>
    </row>
    <row r="13" spans="1:22" hidden="1" x14ac:dyDescent="0.25">
      <c r="A13" t="s">
        <v>86</v>
      </c>
      <c r="B13">
        <v>23668.89966630729</v>
      </c>
      <c r="C13">
        <v>4.501276015586396</v>
      </c>
      <c r="D13">
        <v>0</v>
      </c>
      <c r="E13">
        <v>8.5838620582831218E-2</v>
      </c>
      <c r="F13">
        <v>1.0874648587249039E-3</v>
      </c>
      <c r="G13">
        <v>0.21448814875704969</v>
      </c>
      <c r="H13">
        <v>0.19362010651156639</v>
      </c>
      <c r="I13">
        <v>6.6532304089538686E-3</v>
      </c>
      <c r="J13">
        <v>8.6348643076917132E-3</v>
      </c>
      <c r="K13">
        <v>0.29217294527837528</v>
      </c>
      <c r="L13">
        <v>0.13696476806223981</v>
      </c>
      <c r="M13">
        <f t="shared" si="0"/>
        <v>0.89817172297121195</v>
      </c>
      <c r="N13">
        <f t="shared" si="4"/>
        <v>0</v>
      </c>
      <c r="O13">
        <f t="shared" si="5"/>
        <v>1.7127992480218939E-2</v>
      </c>
      <c r="P13">
        <f t="shared" si="6"/>
        <v>2.1698962304233431E-4</v>
      </c>
      <c r="Q13">
        <f t="shared" si="7"/>
        <v>4.2798350836285734E-2</v>
      </c>
      <c r="R13">
        <f t="shared" si="8"/>
        <v>3.8634401459762095E-2</v>
      </c>
      <c r="S13">
        <f t="shared" si="9"/>
        <v>1.3275665386976003E-3</v>
      </c>
      <c r="T13">
        <f t="shared" si="10"/>
        <v>1.7229760907811697E-3</v>
      </c>
      <c r="U13">
        <f t="shared" si="2"/>
        <v>0.68083726085027585</v>
      </c>
      <c r="V13">
        <f t="shared" si="3"/>
        <v>0.3191627391497241</v>
      </c>
    </row>
    <row r="14" spans="1:22" hidden="1" x14ac:dyDescent="0.25">
      <c r="A14" t="s">
        <v>87</v>
      </c>
      <c r="B14">
        <v>28339.340053158608</v>
      </c>
      <c r="C14">
        <v>10.63459049846958</v>
      </c>
      <c r="D14">
        <v>7.022104669829215E-4</v>
      </c>
      <c r="E14">
        <v>21.207881853213451</v>
      </c>
      <c r="F14">
        <v>1.6887307164146749E-2</v>
      </c>
      <c r="G14">
        <v>5.0983468303724706</v>
      </c>
      <c r="H14">
        <v>0.19706981397916079</v>
      </c>
      <c r="I14">
        <v>7.9564821333079037E-3</v>
      </c>
      <c r="J14">
        <v>0.1390054787088548</v>
      </c>
      <c r="K14">
        <v>5.6321993091438651</v>
      </c>
      <c r="L14">
        <v>10.326430644633311</v>
      </c>
      <c r="M14">
        <f t="shared" si="0"/>
        <v>0.28509101182634772</v>
      </c>
      <c r="N14">
        <f t="shared" si="4"/>
        <v>1.8824786208366281E-5</v>
      </c>
      <c r="O14">
        <f t="shared" si="5"/>
        <v>0.56853872249207571</v>
      </c>
      <c r="P14">
        <f t="shared" si="6"/>
        <v>4.5271319917224542E-4</v>
      </c>
      <c r="Q14">
        <f t="shared" si="7"/>
        <v>0.13667595914687192</v>
      </c>
      <c r="R14">
        <f t="shared" si="8"/>
        <v>5.2830273695855358E-3</v>
      </c>
      <c r="S14">
        <f t="shared" si="9"/>
        <v>2.1329655733236193E-4</v>
      </c>
      <c r="T14">
        <f t="shared" si="10"/>
        <v>3.7264446224061264E-3</v>
      </c>
      <c r="U14">
        <f t="shared" si="2"/>
        <v>0.35292498951708601</v>
      </c>
      <c r="V14">
        <f t="shared" si="3"/>
        <v>0.64707501048291394</v>
      </c>
    </row>
    <row r="15" spans="1:22" x14ac:dyDescent="0.25">
      <c r="A15" t="s">
        <v>137</v>
      </c>
      <c r="B15">
        <v>19178.337422847078</v>
      </c>
      <c r="C15">
        <v>30.395673002569659</v>
      </c>
      <c r="D15">
        <v>0</v>
      </c>
      <c r="E15">
        <v>0.62048557273242178</v>
      </c>
      <c r="F15">
        <v>8.0111706048583906E-3</v>
      </c>
      <c r="G15">
        <v>1.0555745252798741</v>
      </c>
      <c r="H15">
        <v>4.2568772348994237</v>
      </c>
      <c r="I15">
        <v>5.3332650607818888E-2</v>
      </c>
      <c r="J15">
        <v>3.9629073756712097E-2</v>
      </c>
      <c r="K15">
        <v>2.091745585183701</v>
      </c>
      <c r="L15">
        <v>0.72587115964881743</v>
      </c>
      <c r="M15">
        <f t="shared" si="0"/>
        <v>0.83436784907169947</v>
      </c>
      <c r="N15">
        <f t="shared" si="4"/>
        <v>0</v>
      </c>
      <c r="O15">
        <f t="shared" si="5"/>
        <v>1.7032464214791515E-2</v>
      </c>
      <c r="P15">
        <f t="shared" si="6"/>
        <v>2.1990837924717216E-4</v>
      </c>
      <c r="Q15">
        <f t="shared" si="7"/>
        <v>2.8975750795785668E-2</v>
      </c>
      <c r="R15">
        <f t="shared" si="8"/>
        <v>0.11685220794239513</v>
      </c>
      <c r="S15">
        <f t="shared" si="9"/>
        <v>1.4639928837626443E-3</v>
      </c>
      <c r="T15">
        <f t="shared" si="10"/>
        <v>1.0878267123184363E-3</v>
      </c>
      <c r="U15">
        <f t="shared" si="2"/>
        <v>0.7423811591906323</v>
      </c>
      <c r="V15">
        <f t="shared" si="3"/>
        <v>0.2576188408093677</v>
      </c>
    </row>
    <row r="16" spans="1:22" hidden="1" x14ac:dyDescent="0.25">
      <c r="A16" t="s">
        <v>136</v>
      </c>
      <c r="B16">
        <v>26826.379427587261</v>
      </c>
      <c r="C16">
        <v>21.030126709483419</v>
      </c>
      <c r="D16">
        <v>0</v>
      </c>
      <c r="E16">
        <v>0.31091647441787978</v>
      </c>
      <c r="F16">
        <v>7.9999117529248234E-3</v>
      </c>
      <c r="G16">
        <v>0.90279232618195249</v>
      </c>
      <c r="H16">
        <v>3.4277282715579358</v>
      </c>
      <c r="I16">
        <v>6.8888933551913847E-2</v>
      </c>
      <c r="J16">
        <v>4.5081550591196069E-2</v>
      </c>
      <c r="K16">
        <v>0.62417201544105483</v>
      </c>
      <c r="L16">
        <v>0.30779876735427958</v>
      </c>
      <c r="M16">
        <f t="shared" si="0"/>
        <v>0.81532552168821815</v>
      </c>
      <c r="N16">
        <f t="shared" si="4"/>
        <v>0</v>
      </c>
      <c r="O16">
        <f t="shared" si="5"/>
        <v>1.205404704441965E-2</v>
      </c>
      <c r="P16">
        <f t="shared" si="6"/>
        <v>3.1015182711532783E-4</v>
      </c>
      <c r="Q16">
        <f t="shared" si="7"/>
        <v>3.5000722272799899E-2</v>
      </c>
      <c r="R16">
        <f t="shared" si="8"/>
        <v>0.13289098918995895</v>
      </c>
      <c r="S16">
        <f t="shared" si="9"/>
        <v>2.6707830372429946E-3</v>
      </c>
      <c r="T16">
        <f t="shared" si="10"/>
        <v>1.7477849402450702E-3</v>
      </c>
      <c r="U16">
        <f t="shared" si="2"/>
        <v>0.66973345834826048</v>
      </c>
      <c r="V16">
        <f t="shared" si="3"/>
        <v>0.33026654165173952</v>
      </c>
    </row>
    <row r="17" spans="1:22" hidden="1" x14ac:dyDescent="0.25">
      <c r="A17" t="s">
        <v>115</v>
      </c>
      <c r="B17">
        <v>16016.226284857339</v>
      </c>
      <c r="C17">
        <v>31.098386354837839</v>
      </c>
      <c r="D17">
        <v>1.3079261306778219E-3</v>
      </c>
      <c r="E17">
        <v>2.5451723783348639</v>
      </c>
      <c r="F17">
        <v>7.4894041761036699E-4</v>
      </c>
      <c r="G17">
        <v>3.9437594230342068</v>
      </c>
      <c r="H17">
        <v>1.979347179308995</v>
      </c>
      <c r="I17">
        <v>4.7200966479588678E-2</v>
      </c>
      <c r="J17">
        <v>0.16549070374529909</v>
      </c>
      <c r="K17">
        <v>8.8037979854896836E-2</v>
      </c>
      <c r="L17">
        <v>0.83061505712672412</v>
      </c>
      <c r="M17">
        <f t="shared" si="0"/>
        <v>0.78173155068528977</v>
      </c>
      <c r="N17">
        <f t="shared" si="4"/>
        <v>3.287781914631487E-5</v>
      </c>
      <c r="O17">
        <f t="shared" si="5"/>
        <v>6.3978932134128572E-2</v>
      </c>
      <c r="P17">
        <f t="shared" si="6"/>
        <v>1.8826390133209005E-5</v>
      </c>
      <c r="Q17">
        <f t="shared" si="7"/>
        <v>9.9135727948104657E-2</v>
      </c>
      <c r="R17">
        <f t="shared" si="8"/>
        <v>4.9755576452443981E-2</v>
      </c>
      <c r="S17">
        <f t="shared" si="9"/>
        <v>1.1865080168120396E-3</v>
      </c>
      <c r="T17">
        <f t="shared" si="10"/>
        <v>4.1600005539415112E-3</v>
      </c>
      <c r="U17">
        <f t="shared" si="2"/>
        <v>9.5833765644708982E-2</v>
      </c>
      <c r="V17">
        <f t="shared" si="3"/>
        <v>0.90416623435529109</v>
      </c>
    </row>
    <row r="18" spans="1:22" hidden="1" x14ac:dyDescent="0.25">
      <c r="A18" t="s">
        <v>91</v>
      </c>
      <c r="B18">
        <v>37955.941978508054</v>
      </c>
      <c r="C18">
        <v>344.14078657747939</v>
      </c>
      <c r="D18">
        <v>1.9219623845955571E-2</v>
      </c>
      <c r="E18">
        <v>29.481846812815942</v>
      </c>
      <c r="F18">
        <v>0.1133475221209376</v>
      </c>
      <c r="G18">
        <v>39.183466465831557</v>
      </c>
      <c r="H18">
        <v>21.122965730048179</v>
      </c>
      <c r="I18">
        <v>1.3662239253226689</v>
      </c>
      <c r="J18">
        <v>0.5464964585530746</v>
      </c>
      <c r="K18">
        <v>41.878136175817737</v>
      </c>
      <c r="L18">
        <v>18.3926474055407</v>
      </c>
      <c r="M18">
        <f t="shared" si="0"/>
        <v>0.78936016331653258</v>
      </c>
      <c r="N18">
        <f t="shared" si="4"/>
        <v>4.4084299245100345E-5</v>
      </c>
      <c r="O18">
        <f t="shared" si="5"/>
        <v>6.7622892498381645E-2</v>
      </c>
      <c r="P18">
        <f t="shared" si="6"/>
        <v>2.5998667424084585E-4</v>
      </c>
      <c r="Q18">
        <f t="shared" si="7"/>
        <v>8.987562269610018E-2</v>
      </c>
      <c r="R18">
        <f t="shared" si="8"/>
        <v>4.8450019087308831E-2</v>
      </c>
      <c r="S18">
        <f t="shared" si="9"/>
        <v>3.1337254486598237E-3</v>
      </c>
      <c r="T18">
        <f t="shared" si="10"/>
        <v>1.2535059795309696E-3</v>
      </c>
      <c r="U18">
        <f t="shared" si="2"/>
        <v>0.69483311295077488</v>
      </c>
      <c r="V18">
        <f t="shared" si="3"/>
        <v>0.30516688704922507</v>
      </c>
    </row>
    <row r="19" spans="1:22" x14ac:dyDescent="0.25">
      <c r="A19" t="s">
        <v>121</v>
      </c>
      <c r="B19">
        <v>11915.494142950891</v>
      </c>
      <c r="C19">
        <v>17.613707996551671</v>
      </c>
      <c r="D19">
        <v>0</v>
      </c>
      <c r="E19">
        <v>1.0357872377137469</v>
      </c>
      <c r="F19">
        <v>3.042682627073913E-2</v>
      </c>
      <c r="G19">
        <v>2.038231414730189</v>
      </c>
      <c r="H19">
        <v>7.6477038887238502E-2</v>
      </c>
      <c r="I19">
        <v>0</v>
      </c>
      <c r="J19">
        <v>0</v>
      </c>
      <c r="K19">
        <v>3.6592164598505811E-2</v>
      </c>
      <c r="L19">
        <v>0</v>
      </c>
      <c r="M19">
        <f t="shared" si="0"/>
        <v>0.84703154425192317</v>
      </c>
      <c r="N19">
        <f t="shared" si="4"/>
        <v>0</v>
      </c>
      <c r="O19">
        <f t="shared" si="5"/>
        <v>4.9810321804407753E-2</v>
      </c>
      <c r="P19">
        <f t="shared" si="6"/>
        <v>1.4632059102963875E-3</v>
      </c>
      <c r="Q19">
        <f t="shared" si="7"/>
        <v>9.8017197917649679E-2</v>
      </c>
      <c r="R19">
        <f t="shared" si="8"/>
        <v>3.6777301157231647E-3</v>
      </c>
      <c r="S19">
        <f t="shared" si="9"/>
        <v>0</v>
      </c>
      <c r="T19">
        <f t="shared" si="10"/>
        <v>0</v>
      </c>
      <c r="U19">
        <f t="shared" si="2"/>
        <v>1</v>
      </c>
      <c r="V19">
        <f t="shared" si="3"/>
        <v>0</v>
      </c>
    </row>
    <row r="20" spans="1:22" hidden="1" x14ac:dyDescent="0.25">
      <c r="A20" t="s">
        <v>93</v>
      </c>
      <c r="B20">
        <v>10262.470825353759</v>
      </c>
      <c r="C20">
        <v>2.4794089885719091</v>
      </c>
      <c r="D20">
        <v>0</v>
      </c>
      <c r="E20">
        <v>1.5922179901869129</v>
      </c>
      <c r="F20">
        <v>1.088804772086813E-3</v>
      </c>
      <c r="G20">
        <v>0.78155083815654947</v>
      </c>
      <c r="H20">
        <v>0.10245210084289939</v>
      </c>
      <c r="I20">
        <v>1.9747901524170479E-3</v>
      </c>
      <c r="J20">
        <v>5.5238081088091768E-3</v>
      </c>
      <c r="K20">
        <v>0.15812875960591341</v>
      </c>
      <c r="L20">
        <v>1.101444454507654</v>
      </c>
      <c r="M20">
        <f t="shared" si="0"/>
        <v>0.49945617372298029</v>
      </c>
      <c r="N20">
        <f t="shared" si="4"/>
        <v>0</v>
      </c>
      <c r="O20">
        <f t="shared" si="5"/>
        <v>0.32073897802947537</v>
      </c>
      <c r="P20">
        <f t="shared" si="6"/>
        <v>2.1933060172982E-4</v>
      </c>
      <c r="Q20">
        <f t="shared" si="7"/>
        <v>0.15743687023595593</v>
      </c>
      <c r="R20">
        <f t="shared" si="8"/>
        <v>2.0638117596866727E-2</v>
      </c>
      <c r="S20">
        <f t="shared" si="9"/>
        <v>3.978049357642046E-4</v>
      </c>
      <c r="T20">
        <f t="shared" si="10"/>
        <v>1.1127248772276476E-3</v>
      </c>
      <c r="U20">
        <f t="shared" si="2"/>
        <v>0.12554153885941241</v>
      </c>
      <c r="V20">
        <f t="shared" si="3"/>
        <v>0.87445846114058767</v>
      </c>
    </row>
    <row r="21" spans="1:22" x14ac:dyDescent="0.25">
      <c r="A21" t="s">
        <v>77</v>
      </c>
      <c r="B21">
        <v>1855.1152679937879</v>
      </c>
      <c r="C21">
        <v>4.1588893469748298E-3</v>
      </c>
      <c r="D21">
        <v>0</v>
      </c>
      <c r="E21">
        <v>1.619324023946515E-3</v>
      </c>
      <c r="F21">
        <v>0</v>
      </c>
      <c r="G21">
        <v>6.6638996398197953E-3</v>
      </c>
      <c r="H21">
        <v>2.080450089491398E-3</v>
      </c>
      <c r="I21">
        <v>0</v>
      </c>
      <c r="J21">
        <v>0</v>
      </c>
      <c r="K21">
        <v>0</v>
      </c>
      <c r="L21">
        <v>0.1161253765338401</v>
      </c>
      <c r="M21">
        <f t="shared" si="0"/>
        <v>0.2863743347693381</v>
      </c>
      <c r="N21">
        <f t="shared" si="4"/>
        <v>0</v>
      </c>
      <c r="O21">
        <f t="shared" si="5"/>
        <v>0.11150401019229078</v>
      </c>
      <c r="P21">
        <f t="shared" si="6"/>
        <v>0</v>
      </c>
      <c r="Q21">
        <f t="shared" si="7"/>
        <v>0.45886525634810921</v>
      </c>
      <c r="R21">
        <f t="shared" si="8"/>
        <v>0.14325639869026188</v>
      </c>
      <c r="S21">
        <f t="shared" si="9"/>
        <v>0</v>
      </c>
      <c r="T21">
        <f t="shared" si="10"/>
        <v>0</v>
      </c>
      <c r="U21">
        <f t="shared" si="2"/>
        <v>0</v>
      </c>
      <c r="V21">
        <f t="shared" si="3"/>
        <v>1</v>
      </c>
    </row>
    <row r="22" spans="1:22" hidden="1" x14ac:dyDescent="0.25">
      <c r="A22" t="s">
        <v>76</v>
      </c>
      <c r="B22">
        <v>2031.864623916309</v>
      </c>
      <c r="C22">
        <v>5.3751211167443247E-2</v>
      </c>
      <c r="D22">
        <v>0</v>
      </c>
      <c r="E22">
        <v>1.2107232959444769E-2</v>
      </c>
      <c r="F22">
        <v>0</v>
      </c>
      <c r="G22">
        <v>4.9824114361637521E-2</v>
      </c>
      <c r="H22">
        <v>1.555494361936422E-2</v>
      </c>
      <c r="I22">
        <v>0</v>
      </c>
      <c r="J22">
        <v>0</v>
      </c>
      <c r="K22">
        <v>0</v>
      </c>
      <c r="L22">
        <v>1.9049312407556959E-2</v>
      </c>
      <c r="M22">
        <f t="shared" si="0"/>
        <v>0.40957203774919931</v>
      </c>
      <c r="N22">
        <f t="shared" si="4"/>
        <v>0</v>
      </c>
      <c r="O22">
        <f t="shared" si="5"/>
        <v>9.2254369101687619E-2</v>
      </c>
      <c r="P22">
        <f t="shared" si="6"/>
        <v>0</v>
      </c>
      <c r="Q22">
        <f t="shared" si="7"/>
        <v>0.37964845079630777</v>
      </c>
      <c r="R22">
        <f t="shared" si="8"/>
        <v>0.1185251423528053</v>
      </c>
      <c r="S22">
        <f t="shared" si="9"/>
        <v>0</v>
      </c>
      <c r="T22">
        <f t="shared" si="10"/>
        <v>0</v>
      </c>
      <c r="U22">
        <f t="shared" si="2"/>
        <v>0</v>
      </c>
      <c r="V22">
        <f t="shared" si="3"/>
        <v>1</v>
      </c>
    </row>
    <row r="23" spans="1:22" hidden="1" x14ac:dyDescent="0.25">
      <c r="A23" t="s">
        <v>89</v>
      </c>
      <c r="B23">
        <v>5947.5328235082943</v>
      </c>
      <c r="C23">
        <v>0.1736745624654191</v>
      </c>
      <c r="D23">
        <v>0</v>
      </c>
      <c r="E23">
        <v>2.867680185483612E-2</v>
      </c>
      <c r="F23">
        <v>5.9031165216271982E-4</v>
      </c>
      <c r="G23">
        <v>0.15264365698555471</v>
      </c>
      <c r="H23">
        <v>5.0693605339070621E-2</v>
      </c>
      <c r="I23">
        <v>1.1515955873627611E-2</v>
      </c>
      <c r="J23">
        <v>0</v>
      </c>
      <c r="K23">
        <v>4.5954850953700561E-2</v>
      </c>
      <c r="L23">
        <v>0.15069653778798131</v>
      </c>
      <c r="M23">
        <f t="shared" si="0"/>
        <v>0.41569335788596862</v>
      </c>
      <c r="N23">
        <f t="shared" si="4"/>
        <v>0</v>
      </c>
      <c r="O23">
        <f t="shared" si="5"/>
        <v>6.8638468911306344E-2</v>
      </c>
      <c r="P23">
        <f t="shared" si="6"/>
        <v>1.4129221309286157E-3</v>
      </c>
      <c r="Q23">
        <f t="shared" si="7"/>
        <v>0.36535548690357894</v>
      </c>
      <c r="R23">
        <f t="shared" si="8"/>
        <v>0.12133610545839288</v>
      </c>
      <c r="S23">
        <f t="shared" si="9"/>
        <v>2.7563658709824478E-2</v>
      </c>
      <c r="T23">
        <f t="shared" si="10"/>
        <v>0</v>
      </c>
      <c r="U23">
        <f t="shared" si="2"/>
        <v>0.23368688748019026</v>
      </c>
      <c r="V23">
        <f t="shared" si="3"/>
        <v>0.76631311251980982</v>
      </c>
    </row>
    <row r="24" spans="1:22" x14ac:dyDescent="0.25">
      <c r="A24" t="s">
        <v>88</v>
      </c>
      <c r="B24">
        <v>4547.6334844615012</v>
      </c>
      <c r="C24">
        <v>9.4416890837017431E-3</v>
      </c>
      <c r="D24">
        <v>0</v>
      </c>
      <c r="E24">
        <v>3.6749214447680589E-2</v>
      </c>
      <c r="F24">
        <v>7.9437668247808019E-5</v>
      </c>
      <c r="G24">
        <v>0.19335779938535261</v>
      </c>
      <c r="H24">
        <v>4.7346157786490657E-2</v>
      </c>
      <c r="I24">
        <v>1.1273812011387489E-2</v>
      </c>
      <c r="J24">
        <v>0</v>
      </c>
      <c r="K24">
        <v>0</v>
      </c>
      <c r="L24">
        <v>7.5540677826745339E-3</v>
      </c>
      <c r="M24">
        <f t="shared" si="0"/>
        <v>3.1657163130326134E-2</v>
      </c>
      <c r="N24">
        <f t="shared" si="4"/>
        <v>0</v>
      </c>
      <c r="O24">
        <f t="shared" si="5"/>
        <v>0.12321692298571697</v>
      </c>
      <c r="P24">
        <f t="shared" si="6"/>
        <v>2.663475994729151E-4</v>
      </c>
      <c r="Q24">
        <f t="shared" si="7"/>
        <v>0.64831190091075286</v>
      </c>
      <c r="R24">
        <f t="shared" si="8"/>
        <v>0.15874755325595333</v>
      </c>
      <c r="S24">
        <f t="shared" si="9"/>
        <v>3.7800112117777722E-2</v>
      </c>
      <c r="T24">
        <f t="shared" si="10"/>
        <v>0</v>
      </c>
      <c r="U24">
        <f t="shared" si="2"/>
        <v>0</v>
      </c>
      <c r="V24">
        <f t="shared" si="3"/>
        <v>1</v>
      </c>
    </row>
    <row r="25" spans="1:22" hidden="1" x14ac:dyDescent="0.25">
      <c r="A25" t="s">
        <v>98</v>
      </c>
      <c r="B25">
        <v>40401.591638855447</v>
      </c>
      <c r="C25">
        <v>30.549357370668719</v>
      </c>
      <c r="D25">
        <v>1.20782370240179E-3</v>
      </c>
      <c r="E25">
        <v>1.3815515122674391</v>
      </c>
      <c r="F25">
        <v>2.791873235085876E-2</v>
      </c>
      <c r="G25">
        <v>5.3401824438734442</v>
      </c>
      <c r="H25">
        <v>6.3467009455398404E-2</v>
      </c>
      <c r="I25">
        <v>6.8887212095058603E-2</v>
      </c>
      <c r="J25">
        <v>0.1178490841057746</v>
      </c>
      <c r="K25">
        <v>12.364131144979581</v>
      </c>
      <c r="L25">
        <v>5.5304859461021794</v>
      </c>
      <c r="M25">
        <f t="shared" si="0"/>
        <v>0.81355565140795472</v>
      </c>
      <c r="N25">
        <f t="shared" si="4"/>
        <v>3.2165383614154441E-5</v>
      </c>
      <c r="O25">
        <f t="shared" si="5"/>
        <v>3.67919045523208E-2</v>
      </c>
      <c r="P25">
        <f t="shared" si="6"/>
        <v>7.4349984546630895E-4</v>
      </c>
      <c r="Q25">
        <f t="shared" si="7"/>
        <v>0.14221364967022487</v>
      </c>
      <c r="R25">
        <f t="shared" si="8"/>
        <v>1.6901810271785502E-3</v>
      </c>
      <c r="S25">
        <f t="shared" si="9"/>
        <v>1.8345256834594605E-3</v>
      </c>
      <c r="T25">
        <f t="shared" si="10"/>
        <v>3.138422429781068E-3</v>
      </c>
      <c r="U25">
        <f t="shared" si="2"/>
        <v>0.69094136421290409</v>
      </c>
      <c r="V25">
        <f t="shared" si="3"/>
        <v>0.30905863578709591</v>
      </c>
    </row>
    <row r="26" spans="1:22" hidden="1" x14ac:dyDescent="0.25">
      <c r="A26" t="s">
        <v>90</v>
      </c>
      <c r="B26">
        <v>9977.4163604595724</v>
      </c>
      <c r="C26">
        <v>2.1848344571203032E-2</v>
      </c>
      <c r="D26">
        <v>0</v>
      </c>
      <c r="E26">
        <v>1.2517643766592611E-2</v>
      </c>
      <c r="F26">
        <v>0</v>
      </c>
      <c r="G26">
        <v>1.356818256907396E-2</v>
      </c>
      <c r="H26">
        <v>6.8227488493932094E-3</v>
      </c>
      <c r="I26">
        <v>0</v>
      </c>
      <c r="J26">
        <v>0</v>
      </c>
      <c r="K26">
        <v>2.306000402858421E-3</v>
      </c>
      <c r="L26">
        <v>3.7066042770031997E-2</v>
      </c>
      <c r="M26">
        <f t="shared" si="0"/>
        <v>0.39900609216982358</v>
      </c>
      <c r="N26">
        <f t="shared" si="4"/>
        <v>0</v>
      </c>
      <c r="O26">
        <f t="shared" si="5"/>
        <v>0.22860387001883736</v>
      </c>
      <c r="P26">
        <f t="shared" si="6"/>
        <v>0</v>
      </c>
      <c r="Q26">
        <f t="shared" si="7"/>
        <v>0.2477893685303966</v>
      </c>
      <c r="R26">
        <f t="shared" si="8"/>
        <v>0.1246006692809425</v>
      </c>
      <c r="S26">
        <f t="shared" si="9"/>
        <v>0</v>
      </c>
      <c r="T26">
        <f t="shared" si="10"/>
        <v>0</v>
      </c>
      <c r="U26">
        <f t="shared" si="2"/>
        <v>5.8569487814800918E-2</v>
      </c>
      <c r="V26">
        <f t="shared" si="3"/>
        <v>0.94143051218519902</v>
      </c>
    </row>
    <row r="27" spans="1:22" x14ac:dyDescent="0.25">
      <c r="A27" t="s">
        <v>105</v>
      </c>
      <c r="B27">
        <v>8331.1072302104858</v>
      </c>
      <c r="C27">
        <v>4.1878158072443487E-2</v>
      </c>
      <c r="D27">
        <v>0</v>
      </c>
      <c r="E27">
        <v>2.3974796898212521E-2</v>
      </c>
      <c r="F27">
        <v>0</v>
      </c>
      <c r="G27">
        <v>4.5449163629274637E-3</v>
      </c>
      <c r="H27">
        <v>4.2592611438545171E-4</v>
      </c>
      <c r="I27">
        <v>0</v>
      </c>
      <c r="J27">
        <v>0</v>
      </c>
      <c r="K27">
        <v>2.6280798894293051E-3</v>
      </c>
      <c r="L27">
        <v>7.3596489111825897E-2</v>
      </c>
      <c r="M27">
        <f t="shared" si="0"/>
        <v>0.59130065855632075</v>
      </c>
      <c r="N27">
        <f t="shared" si="4"/>
        <v>0</v>
      </c>
      <c r="O27">
        <f t="shared" si="5"/>
        <v>0.33851329301885758</v>
      </c>
      <c r="P27">
        <f t="shared" si="6"/>
        <v>0</v>
      </c>
      <c r="Q27">
        <f t="shared" si="7"/>
        <v>6.4172164254061789E-2</v>
      </c>
      <c r="R27">
        <f t="shared" si="8"/>
        <v>6.0138841707599849E-3</v>
      </c>
      <c r="S27">
        <f t="shared" si="9"/>
        <v>0</v>
      </c>
      <c r="T27">
        <f t="shared" si="10"/>
        <v>0</v>
      </c>
      <c r="U27">
        <f t="shared" si="2"/>
        <v>3.4478120688173762E-2</v>
      </c>
      <c r="V27">
        <f t="shared" si="3"/>
        <v>0.96552187931182631</v>
      </c>
    </row>
    <row r="28" spans="1:22" hidden="1" x14ac:dyDescent="0.25">
      <c r="A28" t="s">
        <v>101</v>
      </c>
      <c r="B28">
        <v>13987.612022866409</v>
      </c>
      <c r="C28">
        <v>48.71209435138951</v>
      </c>
      <c r="D28">
        <v>9.5995994955184614E-4</v>
      </c>
      <c r="E28">
        <v>3.5809596160486099</v>
      </c>
      <c r="F28">
        <v>3.11757666883495E-2</v>
      </c>
      <c r="G28">
        <v>5.9819908377643971</v>
      </c>
      <c r="H28">
        <v>2.055824218196233</v>
      </c>
      <c r="I28">
        <v>4.6603528391374369E-2</v>
      </c>
      <c r="J28">
        <v>9.3193306951714711E-2</v>
      </c>
      <c r="K28">
        <v>0.12463014445340261</v>
      </c>
      <c r="L28">
        <v>0.54042485418388675</v>
      </c>
      <c r="M28">
        <f t="shared" si="0"/>
        <v>0.80512130141029026</v>
      </c>
      <c r="N28">
        <f t="shared" si="4"/>
        <v>1.5866371876964728E-5</v>
      </c>
      <c r="O28">
        <f t="shared" si="5"/>
        <v>5.9186674372347321E-2</v>
      </c>
      <c r="P28">
        <f t="shared" si="6"/>
        <v>5.1527806765039124E-4</v>
      </c>
      <c r="Q28">
        <f t="shared" si="7"/>
        <v>9.8871303163090563E-2</v>
      </c>
      <c r="R28">
        <f t="shared" si="8"/>
        <v>3.3978992118160273E-2</v>
      </c>
      <c r="S28">
        <f t="shared" si="9"/>
        <v>7.7027058533163731E-4</v>
      </c>
      <c r="T28">
        <f t="shared" si="10"/>
        <v>1.540313911252574E-3</v>
      </c>
      <c r="U28">
        <f t="shared" si="2"/>
        <v>0.18739825233818586</v>
      </c>
      <c r="V28">
        <f t="shared" si="3"/>
        <v>0.81260174766181414</v>
      </c>
    </row>
    <row r="29" spans="1:22" hidden="1" x14ac:dyDescent="0.25">
      <c r="A29" t="s">
        <v>102</v>
      </c>
      <c r="B29">
        <v>13978.92747603566</v>
      </c>
      <c r="C29">
        <v>7.1601330778496211</v>
      </c>
      <c r="D29">
        <v>0</v>
      </c>
      <c r="E29">
        <v>2.536433858513599</v>
      </c>
      <c r="F29">
        <v>2.4683309513079629E-3</v>
      </c>
      <c r="G29">
        <v>1.6347376949472221</v>
      </c>
      <c r="H29">
        <v>0.53434531057574108</v>
      </c>
      <c r="I29">
        <v>8.5719495189970664E-3</v>
      </c>
      <c r="J29">
        <v>2.998431348251172E-3</v>
      </c>
      <c r="K29">
        <v>6.2276562548114978E-2</v>
      </c>
      <c r="L29">
        <v>0.22347913546693429</v>
      </c>
      <c r="M29">
        <f t="shared" si="0"/>
        <v>0.60272060039357156</v>
      </c>
      <c r="N29">
        <f t="shared" si="4"/>
        <v>0</v>
      </c>
      <c r="O29">
        <f t="shared" si="5"/>
        <v>0.21351012913310649</v>
      </c>
      <c r="P29">
        <f t="shared" si="6"/>
        <v>2.0777741094571544E-4</v>
      </c>
      <c r="Q29">
        <f t="shared" si="7"/>
        <v>0.1376077894463523</v>
      </c>
      <c r="R29">
        <f t="shared" si="8"/>
        <v>4.4979740307344071E-2</v>
      </c>
      <c r="S29">
        <f t="shared" si="9"/>
        <v>7.2156348275372192E-4</v>
      </c>
      <c r="T29">
        <f t="shared" si="10"/>
        <v>2.5239982592608571E-4</v>
      </c>
      <c r="U29">
        <f t="shared" si="2"/>
        <v>0.21793638055411652</v>
      </c>
      <c r="V29">
        <f t="shared" si="3"/>
        <v>0.78206361944588343</v>
      </c>
    </row>
    <row r="30" spans="1:22" hidden="1" x14ac:dyDescent="0.25">
      <c r="A30" t="s">
        <v>139</v>
      </c>
      <c r="B30">
        <v>36606.477069982058</v>
      </c>
      <c r="C30">
        <v>8.7032411003571468</v>
      </c>
      <c r="D30">
        <v>0</v>
      </c>
      <c r="E30">
        <v>0.40753543816271398</v>
      </c>
      <c r="F30">
        <v>0</v>
      </c>
      <c r="G30">
        <v>5.354233026483552</v>
      </c>
      <c r="H30">
        <v>0.186710344292012</v>
      </c>
      <c r="I30">
        <v>0</v>
      </c>
      <c r="J30">
        <v>3.8600647509260823E-2</v>
      </c>
      <c r="K30">
        <v>0.20852917378095551</v>
      </c>
      <c r="L30">
        <v>0.18557493899631219</v>
      </c>
      <c r="M30">
        <f t="shared" si="0"/>
        <v>0.59244732384860921</v>
      </c>
      <c r="N30">
        <f t="shared" si="4"/>
        <v>0</v>
      </c>
      <c r="O30">
        <f t="shared" si="5"/>
        <v>2.7741766191340188E-2</v>
      </c>
      <c r="P30">
        <f t="shared" si="6"/>
        <v>0</v>
      </c>
      <c r="Q30">
        <f t="shared" si="7"/>
        <v>0.36447353247192582</v>
      </c>
      <c r="R30">
        <f t="shared" si="8"/>
        <v>1.2709752899539427E-2</v>
      </c>
      <c r="S30">
        <f t="shared" si="9"/>
        <v>0</v>
      </c>
      <c r="T30">
        <f t="shared" si="10"/>
        <v>2.62762458858535E-3</v>
      </c>
      <c r="U30">
        <f t="shared" si="2"/>
        <v>0.52912204420157394</v>
      </c>
      <c r="V30">
        <f t="shared" si="3"/>
        <v>0.47087795579842612</v>
      </c>
    </row>
    <row r="31" spans="1:22" x14ac:dyDescent="0.25">
      <c r="A31" t="s">
        <v>141</v>
      </c>
      <c r="B31">
        <v>26929.051965073821</v>
      </c>
      <c r="C31">
        <v>3.8372529169208849</v>
      </c>
      <c r="D31">
        <v>0</v>
      </c>
      <c r="E31">
        <v>0</v>
      </c>
      <c r="F31">
        <v>0</v>
      </c>
      <c r="G31">
        <v>1.0642704444632529</v>
      </c>
      <c r="H31">
        <v>2.0130570396570399E-4</v>
      </c>
      <c r="I31">
        <v>0</v>
      </c>
      <c r="J31">
        <v>0</v>
      </c>
      <c r="K31">
        <v>4.1841449667825381E-2</v>
      </c>
      <c r="L31">
        <v>0</v>
      </c>
      <c r="M31">
        <f t="shared" si="0"/>
        <v>0.78283730269175356</v>
      </c>
      <c r="N31">
        <f t="shared" si="4"/>
        <v>0</v>
      </c>
      <c r="O31">
        <f t="shared" si="5"/>
        <v>0</v>
      </c>
      <c r="P31">
        <f t="shared" si="6"/>
        <v>0</v>
      </c>
      <c r="Q31">
        <f t="shared" si="7"/>
        <v>0.21712162896646103</v>
      </c>
      <c r="R31">
        <f t="shared" si="8"/>
        <v>4.1068341785359957E-5</v>
      </c>
      <c r="S31">
        <f t="shared" si="9"/>
        <v>0</v>
      </c>
      <c r="T31">
        <f t="shared" si="10"/>
        <v>0</v>
      </c>
      <c r="U31">
        <f t="shared" si="2"/>
        <v>1</v>
      </c>
      <c r="V31">
        <f t="shared" si="3"/>
        <v>0</v>
      </c>
    </row>
    <row r="32" spans="1:22" x14ac:dyDescent="0.25">
      <c r="A32" t="s">
        <v>119</v>
      </c>
      <c r="B32">
        <v>10974.599498306419</v>
      </c>
      <c r="C32">
        <v>3.3344694825715182</v>
      </c>
      <c r="D32">
        <v>0</v>
      </c>
      <c r="E32">
        <v>1.5986255718148059</v>
      </c>
      <c r="F32">
        <v>2.043094594665932E-3</v>
      </c>
      <c r="G32">
        <v>0</v>
      </c>
      <c r="H32">
        <v>0.1444691225493111</v>
      </c>
      <c r="I32">
        <v>0</v>
      </c>
      <c r="J32">
        <v>7.7120850039058456E-2</v>
      </c>
      <c r="K32">
        <v>4.8906432943542057E-2</v>
      </c>
      <c r="L32">
        <v>0.1014437761886144</v>
      </c>
      <c r="M32">
        <f t="shared" si="0"/>
        <v>0.64662503121392612</v>
      </c>
      <c r="N32">
        <f t="shared" si="4"/>
        <v>0</v>
      </c>
      <c r="O32">
        <f t="shared" si="5"/>
        <v>0.31000772856884534</v>
      </c>
      <c r="P32">
        <f t="shared" si="6"/>
        <v>3.9619978918806209E-4</v>
      </c>
      <c r="Q32">
        <f t="shared" si="7"/>
        <v>0</v>
      </c>
      <c r="R32">
        <f t="shared" si="8"/>
        <v>2.8015656273409358E-2</v>
      </c>
      <c r="S32">
        <f t="shared" si="9"/>
        <v>0</v>
      </c>
      <c r="T32">
        <f t="shared" si="10"/>
        <v>1.4955384154630994E-2</v>
      </c>
      <c r="U32">
        <f t="shared" si="2"/>
        <v>0.3252834380865659</v>
      </c>
      <c r="V32">
        <f t="shared" si="3"/>
        <v>0.67471656191343399</v>
      </c>
    </row>
    <row r="33" spans="1:22" hidden="1" x14ac:dyDescent="0.25">
      <c r="A33" t="s">
        <v>106</v>
      </c>
      <c r="B33">
        <v>9130.9997121729793</v>
      </c>
      <c r="C33">
        <v>0.154041974196613</v>
      </c>
      <c r="D33">
        <v>0</v>
      </c>
      <c r="E33">
        <v>7.7944663450912277E-2</v>
      </c>
      <c r="F33">
        <v>8.1916990172220495E-4</v>
      </c>
      <c r="G33">
        <v>8.4895947669617833E-2</v>
      </c>
      <c r="H33">
        <v>2.6929435129789021E-3</v>
      </c>
      <c r="I33">
        <v>3.6631371671860722E-3</v>
      </c>
      <c r="J33">
        <v>2.2703126752465282E-2</v>
      </c>
      <c r="K33">
        <v>1.832892777093402E-2</v>
      </c>
      <c r="L33">
        <v>0.1826571732192401</v>
      </c>
      <c r="M33">
        <f t="shared" si="0"/>
        <v>0.44423101441043544</v>
      </c>
      <c r="N33">
        <f t="shared" si="4"/>
        <v>0</v>
      </c>
      <c r="O33">
        <f t="shared" si="5"/>
        <v>0.22477923366837815</v>
      </c>
      <c r="P33">
        <f t="shared" si="6"/>
        <v>2.3623475245265527E-3</v>
      </c>
      <c r="Q33">
        <f t="shared" si="7"/>
        <v>0.24482556231377353</v>
      </c>
      <c r="R33">
        <f t="shared" si="8"/>
        <v>7.7659938777058513E-3</v>
      </c>
      <c r="S33">
        <f t="shared" si="9"/>
        <v>1.0563868375425025E-2</v>
      </c>
      <c r="T33">
        <f t="shared" si="10"/>
        <v>6.5471979829755389E-2</v>
      </c>
      <c r="U33">
        <f t="shared" si="2"/>
        <v>9.1195001448533458E-2</v>
      </c>
      <c r="V33">
        <f t="shared" si="3"/>
        <v>0.90880499855146657</v>
      </c>
    </row>
    <row r="34" spans="1:22" hidden="1" x14ac:dyDescent="0.25">
      <c r="A34" t="s">
        <v>132</v>
      </c>
      <c r="B34">
        <v>26498.15265802302</v>
      </c>
      <c r="C34">
        <v>6.9247352291014286</v>
      </c>
      <c r="D34">
        <v>0</v>
      </c>
      <c r="E34">
        <v>1.3016902884854229</v>
      </c>
      <c r="F34">
        <v>0</v>
      </c>
      <c r="G34">
        <v>1.604680846964057</v>
      </c>
      <c r="H34">
        <v>0.40028511569490538</v>
      </c>
      <c r="I34">
        <v>7.9593074269619837E-3</v>
      </c>
      <c r="J34">
        <v>6.9795619901805092E-2</v>
      </c>
      <c r="K34">
        <v>3.821458118926481E-2</v>
      </c>
      <c r="L34">
        <v>0.1078968869052343</v>
      </c>
      <c r="M34">
        <f t="shared" ref="M34:M65" si="11">C34/SUM($C34:$J34)</f>
        <v>0.67170791405324537</v>
      </c>
      <c r="N34">
        <f t="shared" si="4"/>
        <v>0</v>
      </c>
      <c r="O34">
        <f t="shared" si="5"/>
        <v>0.12626557398864899</v>
      </c>
      <c r="P34">
        <f t="shared" si="6"/>
        <v>0</v>
      </c>
      <c r="Q34">
        <f t="shared" si="7"/>
        <v>0.15565603431386213</v>
      </c>
      <c r="R34">
        <f t="shared" si="8"/>
        <v>3.8828153163175422E-2</v>
      </c>
      <c r="S34">
        <f t="shared" si="9"/>
        <v>7.720627016329823E-4</v>
      </c>
      <c r="T34">
        <f t="shared" si="10"/>
        <v>6.7702617794353189E-3</v>
      </c>
      <c r="U34">
        <f t="shared" ref="U34:U65" si="12">K34/($K34+$L34)</f>
        <v>0.26154402311904179</v>
      </c>
      <c r="V34">
        <f t="shared" ref="V34:V65" si="13">L34/($K34+$L34)</f>
        <v>0.73845597688095832</v>
      </c>
    </row>
    <row r="35" spans="1:22" x14ac:dyDescent="0.25">
      <c r="A35" t="s">
        <v>133</v>
      </c>
      <c r="B35">
        <v>16686.589257831722</v>
      </c>
      <c r="C35">
        <v>0.26343879210380899</v>
      </c>
      <c r="D35">
        <v>1.939639893975347E-4</v>
      </c>
      <c r="E35">
        <v>7.8843349732968138E-2</v>
      </c>
      <c r="F35">
        <v>0</v>
      </c>
      <c r="G35">
        <v>9.5385422978762568E-2</v>
      </c>
      <c r="H35">
        <v>0</v>
      </c>
      <c r="I35">
        <v>0</v>
      </c>
      <c r="J35">
        <v>0</v>
      </c>
      <c r="K35">
        <v>2.466029522546109E-2</v>
      </c>
      <c r="L35">
        <v>0.7625161587144248</v>
      </c>
      <c r="M35">
        <f t="shared" si="11"/>
        <v>0.60164863723656403</v>
      </c>
      <c r="N35">
        <f t="shared" ref="N35:N66" si="14">D35/SUM($C35:$J35)</f>
        <v>4.4298020409996706E-4</v>
      </c>
      <c r="O35">
        <f t="shared" ref="O35:O66" si="15">E35/SUM($C35:$J35)</f>
        <v>0.18006457417749536</v>
      </c>
      <c r="P35">
        <f t="shared" ref="P35:P66" si="16">F35/SUM($C35:$J35)</f>
        <v>0</v>
      </c>
      <c r="Q35">
        <f t="shared" ref="Q35:Q66" si="17">G35/SUM($C35:$J35)</f>
        <v>0.2178438083818407</v>
      </c>
      <c r="R35">
        <f t="shared" ref="R35:R66" si="18">H35/SUM($C35:$J35)</f>
        <v>0</v>
      </c>
      <c r="S35">
        <f t="shared" ref="S35:S66" si="19">I35/SUM($C35:$J35)</f>
        <v>0</v>
      </c>
      <c r="T35">
        <f t="shared" ref="T35:T66" si="20">J35/SUM($C35:$J35)</f>
        <v>0</v>
      </c>
      <c r="U35">
        <f t="shared" si="12"/>
        <v>3.1327531587148204E-2</v>
      </c>
      <c r="V35">
        <f t="shared" si="13"/>
        <v>0.96867246841285182</v>
      </c>
    </row>
    <row r="36" spans="1:22" hidden="1" x14ac:dyDescent="0.25">
      <c r="A36" t="s">
        <v>120</v>
      </c>
      <c r="B36">
        <v>17814.618629574288</v>
      </c>
      <c r="C36">
        <v>1.386185933021177</v>
      </c>
      <c r="D36">
        <v>5.2734939366154648E-4</v>
      </c>
      <c r="E36">
        <v>0.75528914101589339</v>
      </c>
      <c r="F36">
        <v>0</v>
      </c>
      <c r="G36">
        <v>0.35521240374234891</v>
      </c>
      <c r="H36">
        <v>5.1829611498056892E-2</v>
      </c>
      <c r="I36">
        <v>4.8343936791548602E-3</v>
      </c>
      <c r="J36">
        <v>0</v>
      </c>
      <c r="K36">
        <v>6.1394289566600597E-2</v>
      </c>
      <c r="L36">
        <v>0.27912680318185451</v>
      </c>
      <c r="M36">
        <f t="shared" si="11"/>
        <v>0.54277670321011007</v>
      </c>
      <c r="N36">
        <f t="shared" si="14"/>
        <v>2.0648959025837399E-4</v>
      </c>
      <c r="O36">
        <f t="shared" si="15"/>
        <v>0.29574196373318673</v>
      </c>
      <c r="P36">
        <f t="shared" si="16"/>
        <v>0</v>
      </c>
      <c r="Q36">
        <f t="shared" si="17"/>
        <v>0.13908741450174941</v>
      </c>
      <c r="R36">
        <f t="shared" si="18"/>
        <v>2.0294467709871325E-2</v>
      </c>
      <c r="S36">
        <f t="shared" si="19"/>
        <v>1.8929612548242345E-3</v>
      </c>
      <c r="T36">
        <f t="shared" si="20"/>
        <v>0</v>
      </c>
      <c r="U36">
        <f t="shared" si="12"/>
        <v>0.18029511496943573</v>
      </c>
      <c r="V36">
        <f t="shared" si="13"/>
        <v>0.81970488503056427</v>
      </c>
    </row>
    <row r="37" spans="1:22" hidden="1" x14ac:dyDescent="0.25">
      <c r="A37" t="s">
        <v>110</v>
      </c>
      <c r="B37">
        <v>5166.8535909133188</v>
      </c>
      <c r="C37">
        <v>0.18311625154912081</v>
      </c>
      <c r="D37">
        <v>0</v>
      </c>
      <c r="E37">
        <v>6.542601630251671E-2</v>
      </c>
      <c r="F37">
        <v>6.6974932041052784E-4</v>
      </c>
      <c r="G37">
        <v>0.34600145637090718</v>
      </c>
      <c r="H37">
        <v>9.8039763125561286E-2</v>
      </c>
      <c r="I37">
        <v>2.2789767885015098E-2</v>
      </c>
      <c r="J37">
        <v>0</v>
      </c>
      <c r="K37">
        <v>2.571970865603148E-2</v>
      </c>
      <c r="L37">
        <v>0.15825060557065579</v>
      </c>
      <c r="M37">
        <f t="shared" si="11"/>
        <v>0.25573359474868101</v>
      </c>
      <c r="N37">
        <f t="shared" si="14"/>
        <v>0</v>
      </c>
      <c r="O37">
        <f t="shared" si="15"/>
        <v>9.137162975750493E-2</v>
      </c>
      <c r="P37">
        <f t="shared" si="16"/>
        <v>9.3534789970908393E-4</v>
      </c>
      <c r="Q37">
        <f t="shared" si="17"/>
        <v>0.48321323463895383</v>
      </c>
      <c r="R37">
        <f t="shared" si="18"/>
        <v>0.13691881982240886</v>
      </c>
      <c r="S37">
        <f t="shared" si="19"/>
        <v>3.1827373132742233E-2</v>
      </c>
      <c r="T37">
        <f t="shared" si="20"/>
        <v>0</v>
      </c>
      <c r="U37">
        <f t="shared" si="12"/>
        <v>0.13980358061648895</v>
      </c>
      <c r="V37">
        <f t="shared" si="13"/>
        <v>0.86019641938351099</v>
      </c>
    </row>
    <row r="38" spans="1:22" x14ac:dyDescent="0.25">
      <c r="A38" t="s">
        <v>116</v>
      </c>
      <c r="B38">
        <v>10821.216556128329</v>
      </c>
      <c r="C38">
        <v>2.0711320198599452</v>
      </c>
      <c r="D38">
        <v>0</v>
      </c>
      <c r="E38">
        <v>2.9965158146962521E-2</v>
      </c>
      <c r="F38">
        <v>0</v>
      </c>
      <c r="G38">
        <v>0.3166102363922782</v>
      </c>
      <c r="H38">
        <v>0</v>
      </c>
      <c r="I38">
        <v>6.2323446598923317E-4</v>
      </c>
      <c r="J38">
        <v>8.8938415414949179E-5</v>
      </c>
      <c r="K38">
        <v>0.16982442016817059</v>
      </c>
      <c r="L38">
        <v>0.74005031682884237</v>
      </c>
      <c r="M38">
        <f t="shared" si="11"/>
        <v>0.85639896019401873</v>
      </c>
      <c r="N38">
        <f t="shared" si="14"/>
        <v>0</v>
      </c>
      <c r="O38">
        <f t="shared" si="15"/>
        <v>1.2390388460530567E-2</v>
      </c>
      <c r="P38">
        <f t="shared" si="16"/>
        <v>0</v>
      </c>
      <c r="Q38">
        <f t="shared" si="17"/>
        <v>0.13091617271769326</v>
      </c>
      <c r="R38">
        <f t="shared" si="18"/>
        <v>0</v>
      </c>
      <c r="S38">
        <f t="shared" si="19"/>
        <v>2.5770319975370107E-4</v>
      </c>
      <c r="T38">
        <f t="shared" si="20"/>
        <v>3.6775428003771936E-5</v>
      </c>
      <c r="U38">
        <f t="shared" si="12"/>
        <v>0.18664593406413932</v>
      </c>
      <c r="V38">
        <f t="shared" si="13"/>
        <v>0.81335406593586068</v>
      </c>
    </row>
    <row r="39" spans="1:22" hidden="1" x14ac:dyDescent="0.25">
      <c r="A39" t="s">
        <v>130</v>
      </c>
      <c r="B39">
        <v>25611.025428395471</v>
      </c>
      <c r="C39">
        <v>2.6613868980501949</v>
      </c>
      <c r="D39">
        <v>0</v>
      </c>
      <c r="E39">
        <v>9.3868821437053329E-2</v>
      </c>
      <c r="F39">
        <v>0</v>
      </c>
      <c r="G39">
        <v>0.69070962606502262</v>
      </c>
      <c r="H39">
        <v>0.48103773016402712</v>
      </c>
      <c r="I39">
        <v>2.602523041101693E-3</v>
      </c>
      <c r="J39">
        <v>2.941917173931512E-3</v>
      </c>
      <c r="K39">
        <v>7.8250675884670606E-2</v>
      </c>
      <c r="L39">
        <v>0.49988903823558328</v>
      </c>
      <c r="M39">
        <f t="shared" si="11"/>
        <v>0.67675899331629774</v>
      </c>
      <c r="N39">
        <f t="shared" si="14"/>
        <v>0</v>
      </c>
      <c r="O39">
        <f t="shared" si="15"/>
        <v>2.3869723393494132E-2</v>
      </c>
      <c r="P39">
        <f t="shared" si="16"/>
        <v>0</v>
      </c>
      <c r="Q39">
        <f t="shared" si="17"/>
        <v>0.17563923214324961</v>
      </c>
      <c r="R39">
        <f t="shared" si="18"/>
        <v>0.12232216602985017</v>
      </c>
      <c r="S39">
        <f t="shared" si="19"/>
        <v>6.6179061551284197E-4</v>
      </c>
      <c r="T39">
        <f t="shared" si="20"/>
        <v>7.4809450159556135E-4</v>
      </c>
      <c r="U39">
        <f t="shared" si="12"/>
        <v>0.13534907561876014</v>
      </c>
      <c r="V39">
        <f t="shared" si="13"/>
        <v>0.86465092438123992</v>
      </c>
    </row>
    <row r="40" spans="1:22" hidden="1" x14ac:dyDescent="0.25">
      <c r="A40" t="s">
        <v>113</v>
      </c>
      <c r="B40">
        <v>35167.658047196557</v>
      </c>
      <c r="C40">
        <v>12.54049401727803</v>
      </c>
      <c r="D40">
        <v>0</v>
      </c>
      <c r="E40">
        <v>0.18980582831543899</v>
      </c>
      <c r="F40">
        <v>0</v>
      </c>
      <c r="G40">
        <v>6.4185034709468054</v>
      </c>
      <c r="H40">
        <v>0.1869116499959777</v>
      </c>
      <c r="I40">
        <v>0</v>
      </c>
      <c r="J40">
        <v>3.1942436301746582E-4</v>
      </c>
      <c r="K40">
        <v>0.25037062344878092</v>
      </c>
      <c r="L40">
        <v>0.1745799336782731</v>
      </c>
      <c r="M40">
        <f t="shared" si="11"/>
        <v>0.64855563264721749</v>
      </c>
      <c r="N40">
        <f t="shared" si="14"/>
        <v>0</v>
      </c>
      <c r="O40">
        <f t="shared" si="15"/>
        <v>9.8161714278276902E-3</v>
      </c>
      <c r="P40">
        <f t="shared" si="16"/>
        <v>0</v>
      </c>
      <c r="Q40">
        <f t="shared" si="17"/>
        <v>0.33194518282237589</v>
      </c>
      <c r="R40">
        <f t="shared" si="18"/>
        <v>9.6664934607248038E-3</v>
      </c>
      <c r="S40">
        <f t="shared" si="19"/>
        <v>0</v>
      </c>
      <c r="T40">
        <f t="shared" si="20"/>
        <v>1.6519641854164608E-5</v>
      </c>
      <c r="U40">
        <f t="shared" si="12"/>
        <v>0.58917589175891771</v>
      </c>
      <c r="V40">
        <f t="shared" si="13"/>
        <v>0.4108241082410824</v>
      </c>
    </row>
    <row r="41" spans="1:22" hidden="1" x14ac:dyDescent="0.25">
      <c r="A41" t="s">
        <v>114</v>
      </c>
      <c r="B41">
        <v>9848.8843294309481</v>
      </c>
      <c r="C41">
        <v>0.48754066020559572</v>
      </c>
      <c r="D41">
        <v>0</v>
      </c>
      <c r="E41">
        <v>5.1848196362582727E-2</v>
      </c>
      <c r="F41">
        <v>0</v>
      </c>
      <c r="G41">
        <v>2.7488833065947689E-2</v>
      </c>
      <c r="H41">
        <v>4.3714210742149089E-2</v>
      </c>
      <c r="I41">
        <v>0</v>
      </c>
      <c r="J41">
        <v>0</v>
      </c>
      <c r="K41">
        <v>0</v>
      </c>
      <c r="L41">
        <v>0</v>
      </c>
      <c r="M41">
        <f t="shared" si="11"/>
        <v>0.7984722036193902</v>
      </c>
      <c r="N41">
        <f t="shared" si="14"/>
        <v>0</v>
      </c>
      <c r="O41">
        <f t="shared" si="15"/>
        <v>8.491464811542937E-2</v>
      </c>
      <c r="P41">
        <f t="shared" si="16"/>
        <v>0</v>
      </c>
      <c r="Q41">
        <f t="shared" si="17"/>
        <v>4.5019976598130083E-2</v>
      </c>
      <c r="R41">
        <f t="shared" si="18"/>
        <v>7.159317166705019E-2</v>
      </c>
      <c r="S41">
        <f t="shared" si="19"/>
        <v>0</v>
      </c>
      <c r="T41">
        <f t="shared" si="20"/>
        <v>0</v>
      </c>
      <c r="U41" t="e">
        <f t="shared" si="12"/>
        <v>#DIV/0!</v>
      </c>
      <c r="V41" t="e">
        <f t="shared" si="13"/>
        <v>#DIV/0!</v>
      </c>
    </row>
    <row r="42" spans="1:22" hidden="1" x14ac:dyDescent="0.25">
      <c r="A42" t="s">
        <v>96</v>
      </c>
      <c r="B42">
        <v>10122.60920547274</v>
      </c>
      <c r="C42">
        <v>3.7133077426954209E-2</v>
      </c>
      <c r="D42">
        <v>0</v>
      </c>
      <c r="E42">
        <v>1.6454570425008239E-2</v>
      </c>
      <c r="F42">
        <v>0</v>
      </c>
      <c r="G42">
        <v>0.149662150625711</v>
      </c>
      <c r="H42">
        <v>5.1909160367942409E-2</v>
      </c>
      <c r="I42">
        <v>4.7477792036405002E-2</v>
      </c>
      <c r="J42">
        <v>0</v>
      </c>
      <c r="K42">
        <v>0</v>
      </c>
      <c r="L42">
        <v>5.3791807460482439E-3</v>
      </c>
      <c r="M42">
        <f t="shared" si="11"/>
        <v>0.12269850677001906</v>
      </c>
      <c r="N42">
        <f t="shared" si="14"/>
        <v>0</v>
      </c>
      <c r="O42">
        <f t="shared" si="15"/>
        <v>5.4370694824908583E-2</v>
      </c>
      <c r="P42">
        <f t="shared" si="16"/>
        <v>0</v>
      </c>
      <c r="Q42">
        <f t="shared" si="17"/>
        <v>0.4945273506589255</v>
      </c>
      <c r="R42">
        <f t="shared" si="18"/>
        <v>0.17152298991003423</v>
      </c>
      <c r="S42">
        <f t="shared" si="19"/>
        <v>0.15688045783611265</v>
      </c>
      <c r="T42">
        <f t="shared" si="20"/>
        <v>0</v>
      </c>
      <c r="U42">
        <f t="shared" si="12"/>
        <v>0</v>
      </c>
      <c r="V42">
        <f t="shared" si="13"/>
        <v>1</v>
      </c>
    </row>
    <row r="43" spans="1:22" x14ac:dyDescent="0.25">
      <c r="A43" t="s">
        <v>104</v>
      </c>
      <c r="B43">
        <v>8203.8802989377782</v>
      </c>
      <c r="C43">
        <v>6.0567525453436452E-2</v>
      </c>
      <c r="D43">
        <v>0</v>
      </c>
      <c r="E43">
        <v>1.7665681236049599E-2</v>
      </c>
      <c r="F43">
        <v>0</v>
      </c>
      <c r="G43">
        <v>2.8494417891122479E-2</v>
      </c>
      <c r="H43">
        <v>0</v>
      </c>
      <c r="I43">
        <v>0</v>
      </c>
      <c r="J43">
        <v>0</v>
      </c>
      <c r="K43">
        <v>0</v>
      </c>
      <c r="L43">
        <v>8.6596259206437459E-3</v>
      </c>
      <c r="M43">
        <f t="shared" si="11"/>
        <v>0.56749623812428629</v>
      </c>
      <c r="N43">
        <f t="shared" si="14"/>
        <v>0</v>
      </c>
      <c r="O43">
        <f t="shared" si="15"/>
        <v>0.16552116947667267</v>
      </c>
      <c r="P43">
        <f t="shared" si="16"/>
        <v>0</v>
      </c>
      <c r="Q43">
        <f t="shared" si="17"/>
        <v>0.26698259239904104</v>
      </c>
      <c r="R43">
        <f t="shared" si="18"/>
        <v>0</v>
      </c>
      <c r="S43">
        <f t="shared" si="19"/>
        <v>0</v>
      </c>
      <c r="T43">
        <f t="shared" si="20"/>
        <v>0</v>
      </c>
      <c r="U43">
        <f t="shared" si="12"/>
        <v>0</v>
      </c>
      <c r="V43">
        <f t="shared" si="13"/>
        <v>1</v>
      </c>
    </row>
    <row r="44" spans="1:22" hidden="1" x14ac:dyDescent="0.25">
      <c r="A44" t="s">
        <v>117</v>
      </c>
      <c r="B44">
        <v>17486.732998120438</v>
      </c>
      <c r="C44">
        <v>1.649624725124986</v>
      </c>
      <c r="D44">
        <v>7.2131338305908121E-4</v>
      </c>
      <c r="E44">
        <v>0.83413249074886153</v>
      </c>
      <c r="F44">
        <v>0</v>
      </c>
      <c r="G44">
        <v>0.45059782672111143</v>
      </c>
      <c r="H44">
        <v>4.7563973936849809E-2</v>
      </c>
      <c r="I44">
        <v>4.6268457137013438E-3</v>
      </c>
      <c r="J44">
        <v>0</v>
      </c>
      <c r="K44">
        <v>8.6054584792061697E-2</v>
      </c>
      <c r="L44">
        <v>1.041642961896279</v>
      </c>
      <c r="M44">
        <f t="shared" si="11"/>
        <v>0.55221867618114162</v>
      </c>
      <c r="N44">
        <f t="shared" si="14"/>
        <v>2.4146262809830708E-4</v>
      </c>
      <c r="O44">
        <f t="shared" si="15"/>
        <v>0.27922928941678837</v>
      </c>
      <c r="P44">
        <f t="shared" si="16"/>
        <v>0</v>
      </c>
      <c r="Q44">
        <f t="shared" si="17"/>
        <v>0.15083947977512205</v>
      </c>
      <c r="R44">
        <f t="shared" si="18"/>
        <v>1.5922236325192973E-2</v>
      </c>
      <c r="S44">
        <f t="shared" si="19"/>
        <v>1.5488556736569039E-3</v>
      </c>
      <c r="T44">
        <f t="shared" si="20"/>
        <v>0</v>
      </c>
      <c r="U44">
        <f t="shared" si="12"/>
        <v>7.6309986702351507E-2</v>
      </c>
      <c r="V44">
        <f t="shared" si="13"/>
        <v>0.92369001329764844</v>
      </c>
    </row>
    <row r="45" spans="1:22" hidden="1" x14ac:dyDescent="0.25">
      <c r="A45" t="s">
        <v>142</v>
      </c>
      <c r="B45">
        <v>39341.58044996141</v>
      </c>
      <c r="C45">
        <v>6.8985209450653731</v>
      </c>
      <c r="D45">
        <v>6.0519291020453517E-4</v>
      </c>
      <c r="E45">
        <v>17.36100193620215</v>
      </c>
      <c r="F45">
        <v>1.0362600775286491E-2</v>
      </c>
      <c r="G45">
        <v>3.6793566553534358</v>
      </c>
      <c r="H45">
        <v>0.1339139184806474</v>
      </c>
      <c r="I45">
        <v>2.6594857806150839E-3</v>
      </c>
      <c r="J45">
        <v>0.1063247168510035</v>
      </c>
      <c r="K45">
        <v>1.3743419726619439</v>
      </c>
      <c r="L45">
        <v>2.6997549817091939</v>
      </c>
      <c r="M45">
        <f t="shared" si="11"/>
        <v>0.24469135001246303</v>
      </c>
      <c r="N45">
        <f t="shared" si="14"/>
        <v>2.1466263768010594E-5</v>
      </c>
      <c r="O45">
        <f t="shared" si="15"/>
        <v>0.61579678240696167</v>
      </c>
      <c r="P45">
        <f t="shared" si="16"/>
        <v>3.6756266938043177E-4</v>
      </c>
      <c r="Q45">
        <f t="shared" si="17"/>
        <v>0.13050721369770971</v>
      </c>
      <c r="R45">
        <f t="shared" si="18"/>
        <v>4.7499424527989191E-3</v>
      </c>
      <c r="S45">
        <f t="shared" si="19"/>
        <v>9.4332273711968446E-5</v>
      </c>
      <c r="T45">
        <f t="shared" si="20"/>
        <v>3.7713502232061976E-3</v>
      </c>
      <c r="U45">
        <f t="shared" si="12"/>
        <v>0.33733658969195596</v>
      </c>
      <c r="V45">
        <f t="shared" si="13"/>
        <v>0.6626634103080441</v>
      </c>
    </row>
    <row r="46" spans="1:22" x14ac:dyDescent="0.25">
      <c r="A46" t="s">
        <v>131</v>
      </c>
      <c r="B46">
        <v>16073.64651043119</v>
      </c>
      <c r="C46">
        <v>3.736069553404211</v>
      </c>
      <c r="D46">
        <v>9.7017556778386332E-5</v>
      </c>
      <c r="E46">
        <v>3.8468799170112979</v>
      </c>
      <c r="F46">
        <v>6.5247063888602651E-3</v>
      </c>
      <c r="G46">
        <v>1.418990175019035</v>
      </c>
      <c r="H46">
        <v>6.3155895498513387E-2</v>
      </c>
      <c r="I46">
        <v>5.2969963526928203E-3</v>
      </c>
      <c r="J46">
        <v>3.2680761857851251E-2</v>
      </c>
      <c r="K46">
        <v>4.257857336481921</v>
      </c>
      <c r="L46">
        <v>7.6266756629241188</v>
      </c>
      <c r="M46">
        <f t="shared" si="11"/>
        <v>0.41012015703432975</v>
      </c>
      <c r="N46">
        <f t="shared" si="14"/>
        <v>1.0649923683777305E-5</v>
      </c>
      <c r="O46">
        <f t="shared" si="15"/>
        <v>0.4222841606948507</v>
      </c>
      <c r="P46">
        <f t="shared" si="16"/>
        <v>7.1623763170148755E-4</v>
      </c>
      <c r="Q46">
        <f t="shared" si="17"/>
        <v>0.15576703406892248</v>
      </c>
      <c r="R46">
        <f t="shared" si="18"/>
        <v>6.9328221568822884E-3</v>
      </c>
      <c r="S46">
        <f t="shared" si="19"/>
        <v>5.8146802272383055E-4</v>
      </c>
      <c r="T46">
        <f t="shared" si="20"/>
        <v>3.5874704669057842E-3</v>
      </c>
      <c r="U46">
        <f t="shared" si="12"/>
        <v>0.35826879665315564</v>
      </c>
      <c r="V46">
        <f t="shared" si="13"/>
        <v>0.6417312033468443</v>
      </c>
    </row>
    <row r="47" spans="1:22" hidden="1" x14ac:dyDescent="0.25">
      <c r="A47" t="s">
        <v>112</v>
      </c>
      <c r="B47">
        <v>15929.2255907207</v>
      </c>
      <c r="C47">
        <v>4.698255559340252</v>
      </c>
      <c r="D47">
        <v>3.5089770912463507E-2</v>
      </c>
      <c r="E47">
        <v>1.4467978300654789</v>
      </c>
      <c r="F47">
        <v>1.2286001336470991E-3</v>
      </c>
      <c r="G47">
        <v>1.9760162080302901</v>
      </c>
      <c r="H47">
        <v>0.17856238063163471</v>
      </c>
      <c r="I47">
        <v>2.7176646845576712E-2</v>
      </c>
      <c r="J47">
        <v>5.5129815858657712E-4</v>
      </c>
      <c r="K47">
        <v>4.3676227650014277E-2</v>
      </c>
      <c r="L47">
        <v>0.15031896510979861</v>
      </c>
      <c r="M47">
        <f t="shared" si="11"/>
        <v>0.56174513104413359</v>
      </c>
      <c r="N47">
        <f t="shared" si="14"/>
        <v>4.1954950535509836E-3</v>
      </c>
      <c r="O47">
        <f t="shared" si="15"/>
        <v>0.17298582982119168</v>
      </c>
      <c r="P47">
        <f t="shared" si="16"/>
        <v>1.4689710560856437E-4</v>
      </c>
      <c r="Q47">
        <f t="shared" si="17"/>
        <v>0.23626162300144871</v>
      </c>
      <c r="R47">
        <f t="shared" si="18"/>
        <v>2.1349742822750057E-2</v>
      </c>
      <c r="S47">
        <f t="shared" si="19"/>
        <v>3.2493653976014007E-3</v>
      </c>
      <c r="T47">
        <f t="shared" si="20"/>
        <v>6.5915753715000997E-5</v>
      </c>
      <c r="U47">
        <f t="shared" si="12"/>
        <v>0.22514077296796828</v>
      </c>
      <c r="V47">
        <f t="shared" si="13"/>
        <v>0.77485922703203169</v>
      </c>
    </row>
    <row r="48" spans="1:22" x14ac:dyDescent="0.25">
      <c r="A48" t="s">
        <v>123</v>
      </c>
      <c r="B48">
        <v>12047.36614825924</v>
      </c>
      <c r="C48">
        <v>1.831784944027111</v>
      </c>
      <c r="D48">
        <v>0</v>
      </c>
      <c r="E48">
        <v>0.57922234066777034</v>
      </c>
      <c r="F48">
        <v>5.1607313550930292E-4</v>
      </c>
      <c r="G48">
        <v>0.80890610394832252</v>
      </c>
      <c r="H48">
        <v>4.784423577201919E-2</v>
      </c>
      <c r="I48">
        <v>1.255208224768928E-2</v>
      </c>
      <c r="J48">
        <v>1.3603767435760379E-4</v>
      </c>
      <c r="K48">
        <v>7.8369406382169743E-2</v>
      </c>
      <c r="L48">
        <v>0.10835237838752131</v>
      </c>
      <c r="M48">
        <f t="shared" si="11"/>
        <v>0.55830730314261212</v>
      </c>
      <c r="N48">
        <f t="shared" si="14"/>
        <v>0</v>
      </c>
      <c r="O48">
        <f t="shared" si="15"/>
        <v>0.1765404088469176</v>
      </c>
      <c r="P48">
        <f t="shared" si="16"/>
        <v>1.5729324637700831E-4</v>
      </c>
      <c r="Q48">
        <f t="shared" si="17"/>
        <v>0.24654541837106692</v>
      </c>
      <c r="R48">
        <f t="shared" si="18"/>
        <v>1.4582381153363156E-2</v>
      </c>
      <c r="S48">
        <f t="shared" si="19"/>
        <v>3.8257324973558359E-3</v>
      </c>
      <c r="T48">
        <f t="shared" si="20"/>
        <v>4.1462742307190051E-5</v>
      </c>
      <c r="U48">
        <f t="shared" si="12"/>
        <v>0.41971217487468437</v>
      </c>
      <c r="V48">
        <f t="shared" si="13"/>
        <v>0.58028782512531574</v>
      </c>
    </row>
    <row r="49" spans="1:22" hidden="1" x14ac:dyDescent="0.25">
      <c r="A49" t="s">
        <v>122</v>
      </c>
      <c r="B49">
        <v>9093.5321077155022</v>
      </c>
      <c r="C49">
        <v>2.0880413425710129</v>
      </c>
      <c r="D49">
        <v>0</v>
      </c>
      <c r="E49">
        <v>2.8829014898677671E-2</v>
      </c>
      <c r="F49">
        <v>1.0807911594711611E-3</v>
      </c>
      <c r="G49">
        <v>0.1051586041790703</v>
      </c>
      <c r="H49">
        <v>0.3444256267297347</v>
      </c>
      <c r="I49">
        <v>3.090881301418627E-2</v>
      </c>
      <c r="J49">
        <v>7.6645971409249124E-4</v>
      </c>
      <c r="K49">
        <v>9.2258710885626441E-2</v>
      </c>
      <c r="L49">
        <v>0.14012157426853361</v>
      </c>
      <c r="M49">
        <f t="shared" si="11"/>
        <v>0.80333671330196132</v>
      </c>
      <c r="N49">
        <f t="shared" si="14"/>
        <v>0</v>
      </c>
      <c r="O49">
        <f t="shared" si="15"/>
        <v>1.1091449965219911E-2</v>
      </c>
      <c r="P49">
        <f t="shared" si="16"/>
        <v>4.1581514700581186E-4</v>
      </c>
      <c r="Q49">
        <f t="shared" si="17"/>
        <v>4.0457899819463558E-2</v>
      </c>
      <c r="R49">
        <f t="shared" si="18"/>
        <v>0.13251162480017956</v>
      </c>
      <c r="S49">
        <f t="shared" si="19"/>
        <v>1.1891615243742153E-2</v>
      </c>
      <c r="T49">
        <f t="shared" si="20"/>
        <v>2.9488172242762118E-4</v>
      </c>
      <c r="U49">
        <f t="shared" si="12"/>
        <v>0.39701608432239605</v>
      </c>
      <c r="V49">
        <f t="shared" si="13"/>
        <v>0.60298391567760401</v>
      </c>
    </row>
    <row r="50" spans="1:22" x14ac:dyDescent="0.25">
      <c r="A50" t="s">
        <v>84</v>
      </c>
      <c r="B50">
        <v>3005.6584499286578</v>
      </c>
      <c r="C50">
        <v>3.8395217546826343E-2</v>
      </c>
      <c r="D50">
        <v>0</v>
      </c>
      <c r="E50">
        <v>5.033552033056013E-2</v>
      </c>
      <c r="F50">
        <v>0</v>
      </c>
      <c r="G50">
        <v>6.6397553278562072E-3</v>
      </c>
      <c r="H50">
        <v>4.0368163654424971E-2</v>
      </c>
      <c r="I50">
        <v>0</v>
      </c>
      <c r="J50">
        <v>2.6340822205294261E-2</v>
      </c>
      <c r="K50">
        <v>2.935772585567788E-2</v>
      </c>
      <c r="L50">
        <v>7.7136105631187502E-2</v>
      </c>
      <c r="M50">
        <f t="shared" si="11"/>
        <v>0.23689129412513368</v>
      </c>
      <c r="N50">
        <f t="shared" si="14"/>
        <v>0</v>
      </c>
      <c r="O50">
        <f t="shared" si="15"/>
        <v>0.310560723793945</v>
      </c>
      <c r="P50">
        <f t="shared" si="16"/>
        <v>0</v>
      </c>
      <c r="Q50">
        <f t="shared" si="17"/>
        <v>4.0966045585542475E-2</v>
      </c>
      <c r="R50">
        <f t="shared" si="18"/>
        <v>0.24906400173118334</v>
      </c>
      <c r="S50">
        <f t="shared" si="19"/>
        <v>0</v>
      </c>
      <c r="T50">
        <f t="shared" si="20"/>
        <v>0.16251793476419543</v>
      </c>
      <c r="U50">
        <f t="shared" si="12"/>
        <v>0.27567536490880012</v>
      </c>
      <c r="V50">
        <f t="shared" si="13"/>
        <v>0.72432463509119993</v>
      </c>
    </row>
    <row r="51" spans="1:22" hidden="1" x14ac:dyDescent="0.25">
      <c r="A51" t="s">
        <v>124</v>
      </c>
      <c r="B51">
        <v>2755.553044210043</v>
      </c>
      <c r="C51">
        <v>6.2063545593861992E-2</v>
      </c>
      <c r="D51">
        <v>0</v>
      </c>
      <c r="E51">
        <v>4.1081627634643661E-4</v>
      </c>
      <c r="F51">
        <v>0</v>
      </c>
      <c r="G51">
        <v>0.28953967321923302</v>
      </c>
      <c r="H51">
        <v>1.371166013260184E-2</v>
      </c>
      <c r="I51">
        <v>0</v>
      </c>
      <c r="J51">
        <v>0</v>
      </c>
      <c r="K51">
        <v>0</v>
      </c>
      <c r="L51">
        <v>0.1840943083586844</v>
      </c>
      <c r="M51">
        <f t="shared" si="11"/>
        <v>0.16969971321315366</v>
      </c>
      <c r="N51">
        <f t="shared" si="14"/>
        <v>0</v>
      </c>
      <c r="O51">
        <f t="shared" si="15"/>
        <v>1.123290711354086E-3</v>
      </c>
      <c r="P51">
        <f t="shared" si="16"/>
        <v>0</v>
      </c>
      <c r="Q51">
        <f t="shared" si="17"/>
        <v>0.79168534506016752</v>
      </c>
      <c r="R51">
        <f t="shared" si="18"/>
        <v>3.7491651015324666E-2</v>
      </c>
      <c r="S51">
        <f t="shared" si="19"/>
        <v>0</v>
      </c>
      <c r="T51">
        <f t="shared" si="20"/>
        <v>0</v>
      </c>
      <c r="U51">
        <f t="shared" si="12"/>
        <v>0</v>
      </c>
      <c r="V51">
        <f t="shared" si="13"/>
        <v>1</v>
      </c>
    </row>
    <row r="52" spans="1:22" hidden="1" x14ac:dyDescent="0.25">
      <c r="A52" t="s">
        <v>85</v>
      </c>
      <c r="B52">
        <v>4606.0606412742409</v>
      </c>
      <c r="C52">
        <v>7.6230095014837356E-3</v>
      </c>
      <c r="D52">
        <v>0</v>
      </c>
      <c r="E52">
        <v>1.0432205424542641E-2</v>
      </c>
      <c r="F52">
        <v>0</v>
      </c>
      <c r="G52">
        <v>2.639424764700801E-3</v>
      </c>
      <c r="H52">
        <v>8.9661389234660105E-3</v>
      </c>
      <c r="I52">
        <v>0</v>
      </c>
      <c r="J52">
        <v>0</v>
      </c>
      <c r="K52">
        <v>3.0673202054794528E-4</v>
      </c>
      <c r="L52">
        <v>3.1435116647805537E-2</v>
      </c>
      <c r="M52">
        <f t="shared" si="11"/>
        <v>0.25700638545732563</v>
      </c>
      <c r="N52">
        <f t="shared" si="14"/>
        <v>0</v>
      </c>
      <c r="O52">
        <f t="shared" si="15"/>
        <v>0.3517171804637203</v>
      </c>
      <c r="P52">
        <f t="shared" si="16"/>
        <v>0</v>
      </c>
      <c r="Q52">
        <f t="shared" si="17"/>
        <v>8.8987035675381465E-2</v>
      </c>
      <c r="R52">
        <f t="shared" si="18"/>
        <v>0.30228939840357261</v>
      </c>
      <c r="S52">
        <f t="shared" si="19"/>
        <v>0</v>
      </c>
      <c r="T52">
        <f t="shared" si="20"/>
        <v>0</v>
      </c>
      <c r="U52">
        <f t="shared" si="12"/>
        <v>9.6633319550085348E-3</v>
      </c>
      <c r="V52">
        <f t="shared" si="13"/>
        <v>0.99033666804499154</v>
      </c>
    </row>
    <row r="53" spans="1:22" hidden="1" x14ac:dyDescent="0.25">
      <c r="A53" t="s">
        <v>126</v>
      </c>
      <c r="B53">
        <v>2956.8933866055172</v>
      </c>
      <c r="C53">
        <v>8.2407592131147303E-2</v>
      </c>
      <c r="D53">
        <v>0</v>
      </c>
      <c r="E53">
        <v>4.3671684280598699E-3</v>
      </c>
      <c r="F53">
        <v>0</v>
      </c>
      <c r="G53">
        <v>6.5224128053531618E-3</v>
      </c>
      <c r="H53">
        <v>7.8110306754256729E-3</v>
      </c>
      <c r="I53">
        <v>0</v>
      </c>
      <c r="J53">
        <v>0</v>
      </c>
      <c r="K53">
        <v>0</v>
      </c>
      <c r="L53">
        <v>5.8639563750396771E-2</v>
      </c>
      <c r="M53">
        <f t="shared" si="11"/>
        <v>0.81504357548035333</v>
      </c>
      <c r="N53">
        <f t="shared" si="14"/>
        <v>0</v>
      </c>
      <c r="O53">
        <f t="shared" si="15"/>
        <v>4.3193017515500066E-2</v>
      </c>
      <c r="P53">
        <f t="shared" si="16"/>
        <v>0</v>
      </c>
      <c r="Q53">
        <f t="shared" si="17"/>
        <v>6.4509234114906194E-2</v>
      </c>
      <c r="R53">
        <f t="shared" si="18"/>
        <v>7.7254172889240386E-2</v>
      </c>
      <c r="S53">
        <f t="shared" si="19"/>
        <v>0</v>
      </c>
      <c r="T53">
        <f t="shared" si="20"/>
        <v>0</v>
      </c>
      <c r="U53">
        <f t="shared" si="12"/>
        <v>0</v>
      </c>
      <c r="V53">
        <f t="shared" si="13"/>
        <v>1</v>
      </c>
    </row>
    <row r="54" spans="1:22" hidden="1" x14ac:dyDescent="0.25">
      <c r="A54" t="s">
        <v>81</v>
      </c>
      <c r="B54">
        <v>3794.7797889383742</v>
      </c>
      <c r="C54">
        <v>6.0207717297330571E-2</v>
      </c>
      <c r="D54">
        <v>0</v>
      </c>
      <c r="E54">
        <v>4.0098819793133069E-4</v>
      </c>
      <c r="F54">
        <v>0</v>
      </c>
      <c r="G54">
        <v>0.2691229686596659</v>
      </c>
      <c r="H54">
        <v>1.338363206082493E-2</v>
      </c>
      <c r="I54">
        <v>0</v>
      </c>
      <c r="J54">
        <v>0</v>
      </c>
      <c r="K54">
        <v>0</v>
      </c>
      <c r="L54">
        <v>1.6492895481363529E-2</v>
      </c>
      <c r="M54">
        <f t="shared" si="11"/>
        <v>0.17547371454035818</v>
      </c>
      <c r="N54">
        <f t="shared" si="14"/>
        <v>0</v>
      </c>
      <c r="O54">
        <f t="shared" si="15"/>
        <v>1.1686689304358437E-3</v>
      </c>
      <c r="P54">
        <f t="shared" si="16"/>
        <v>0</v>
      </c>
      <c r="Q54">
        <f t="shared" si="17"/>
        <v>0.78435139378608765</v>
      </c>
      <c r="R54">
        <f t="shared" si="18"/>
        <v>3.9006222743118407E-2</v>
      </c>
      <c r="S54">
        <f t="shared" si="19"/>
        <v>0</v>
      </c>
      <c r="T54">
        <f t="shared" si="20"/>
        <v>0</v>
      </c>
      <c r="U54">
        <f t="shared" si="12"/>
        <v>0</v>
      </c>
      <c r="V54">
        <f t="shared" si="13"/>
        <v>1</v>
      </c>
    </row>
    <row r="55" spans="1:22" x14ac:dyDescent="0.25">
      <c r="A55" t="s">
        <v>78</v>
      </c>
      <c r="B55">
        <v>2305.0061703805159</v>
      </c>
      <c r="C55">
        <v>1.855828296531412E-3</v>
      </c>
      <c r="D55">
        <v>0</v>
      </c>
      <c r="E55">
        <v>9.8280784151058716E-6</v>
      </c>
      <c r="F55">
        <v>0</v>
      </c>
      <c r="G55">
        <v>2.0416704559567039E-2</v>
      </c>
      <c r="H55">
        <v>3.2802807177691179E-4</v>
      </c>
      <c r="I55">
        <v>0</v>
      </c>
      <c r="J55">
        <v>0</v>
      </c>
      <c r="K55">
        <v>0</v>
      </c>
      <c r="L55">
        <v>0.16760141287732089</v>
      </c>
      <c r="M55">
        <f t="shared" si="11"/>
        <v>8.2078565566258019E-2</v>
      </c>
      <c r="N55">
        <f t="shared" si="14"/>
        <v>0</v>
      </c>
      <c r="O55">
        <f t="shared" si="15"/>
        <v>4.3467091222409255E-4</v>
      </c>
      <c r="P55">
        <f t="shared" si="16"/>
        <v>0</v>
      </c>
      <c r="Q55">
        <f t="shared" si="17"/>
        <v>0.90297891619144088</v>
      </c>
      <c r="R55">
        <f t="shared" si="18"/>
        <v>1.4507847330076923E-2</v>
      </c>
      <c r="S55">
        <f t="shared" si="19"/>
        <v>0</v>
      </c>
      <c r="T55">
        <f t="shared" si="20"/>
        <v>0</v>
      </c>
      <c r="U55">
        <f t="shared" si="12"/>
        <v>0</v>
      </c>
      <c r="V55">
        <f t="shared" si="13"/>
        <v>1</v>
      </c>
    </row>
    <row r="56" spans="1:22" hidden="1" x14ac:dyDescent="0.25">
      <c r="A56" t="s">
        <v>129</v>
      </c>
      <c r="B56">
        <v>1904.82324488873</v>
      </c>
      <c r="C56">
        <v>5.7910100514418077E-2</v>
      </c>
      <c r="D56">
        <v>0</v>
      </c>
      <c r="E56">
        <v>1.3726556983391281E-2</v>
      </c>
      <c r="F56">
        <v>0</v>
      </c>
      <c r="G56">
        <v>5.6488014001457323E-2</v>
      </c>
      <c r="H56">
        <v>1.7635393708855619E-2</v>
      </c>
      <c r="I56">
        <v>0</v>
      </c>
      <c r="J56">
        <v>0</v>
      </c>
      <c r="K56">
        <v>0</v>
      </c>
      <c r="L56">
        <v>0.135174688941397</v>
      </c>
      <c r="M56">
        <f t="shared" si="11"/>
        <v>0.3972974383054208</v>
      </c>
      <c r="N56">
        <f t="shared" si="14"/>
        <v>0</v>
      </c>
      <c r="O56">
        <f t="shared" si="15"/>
        <v>9.4172275264777977E-2</v>
      </c>
      <c r="P56">
        <f t="shared" si="16"/>
        <v>0</v>
      </c>
      <c r="Q56">
        <f t="shared" si="17"/>
        <v>0.38754108624197847</v>
      </c>
      <c r="R56">
        <f t="shared" si="18"/>
        <v>0.12098920018782285</v>
      </c>
      <c r="S56">
        <f t="shared" si="19"/>
        <v>0</v>
      </c>
      <c r="T56">
        <f t="shared" si="20"/>
        <v>0</v>
      </c>
      <c r="U56">
        <f t="shared" si="12"/>
        <v>0</v>
      </c>
      <c r="V56">
        <f t="shared" si="13"/>
        <v>1</v>
      </c>
    </row>
    <row r="57" spans="1:22" hidden="1" x14ac:dyDescent="0.25">
      <c r="A57" t="s">
        <v>127</v>
      </c>
      <c r="B57">
        <v>24900.766932380109</v>
      </c>
      <c r="C57">
        <v>2.9062922352152309</v>
      </c>
      <c r="D57">
        <v>0</v>
      </c>
      <c r="E57">
        <v>5.2864107944856131E-2</v>
      </c>
      <c r="F57">
        <v>7.2055839759489998E-4</v>
      </c>
      <c r="G57">
        <v>4.1556201912118798E-2</v>
      </c>
      <c r="H57">
        <v>0.14898239440664959</v>
      </c>
      <c r="I57">
        <v>5.0398220829086108E-3</v>
      </c>
      <c r="J57">
        <v>3.7675755227635061E-3</v>
      </c>
      <c r="K57">
        <v>0.1189632061100568</v>
      </c>
      <c r="L57">
        <v>7.4899937669986469E-2</v>
      </c>
      <c r="M57">
        <f t="shared" si="11"/>
        <v>0.91993896327207625</v>
      </c>
      <c r="N57">
        <f t="shared" si="14"/>
        <v>0</v>
      </c>
      <c r="O57">
        <f t="shared" si="15"/>
        <v>1.6733263113677403E-2</v>
      </c>
      <c r="P57">
        <f t="shared" si="16"/>
        <v>2.2808089882652517E-4</v>
      </c>
      <c r="Q57">
        <f t="shared" si="17"/>
        <v>1.3153931611329687E-2</v>
      </c>
      <c r="R57">
        <f t="shared" si="18"/>
        <v>4.715792438061376E-2</v>
      </c>
      <c r="S57">
        <f t="shared" si="19"/>
        <v>1.5952727140955635E-3</v>
      </c>
      <c r="T57">
        <f t="shared" si="20"/>
        <v>1.1925640093807131E-3</v>
      </c>
      <c r="U57">
        <f t="shared" si="12"/>
        <v>0.61364529528641198</v>
      </c>
      <c r="V57">
        <f t="shared" si="13"/>
        <v>0.38635470471358802</v>
      </c>
    </row>
    <row r="58" spans="1:22" x14ac:dyDescent="0.25">
      <c r="A58" t="s">
        <v>138</v>
      </c>
      <c r="B58">
        <v>22271.396045750789</v>
      </c>
      <c r="C58">
        <v>1.5949837803711651</v>
      </c>
      <c r="D58">
        <v>0</v>
      </c>
      <c r="E58">
        <v>3.2974512637975087E-2</v>
      </c>
      <c r="F58">
        <v>3.6690646113000372E-4</v>
      </c>
      <c r="G58">
        <v>0.17293194684493091</v>
      </c>
      <c r="H58">
        <v>4.4637712104916877E-2</v>
      </c>
      <c r="I58">
        <v>1.6134083260452589E-3</v>
      </c>
      <c r="J58">
        <v>4.8672887849282066E-3</v>
      </c>
      <c r="K58">
        <v>0.1732097391683185</v>
      </c>
      <c r="L58">
        <v>6.2064830392253349E-2</v>
      </c>
      <c r="M58">
        <f t="shared" si="11"/>
        <v>0.86104773711174898</v>
      </c>
      <c r="N58">
        <f t="shared" si="14"/>
        <v>0</v>
      </c>
      <c r="O58">
        <f t="shared" si="15"/>
        <v>1.780120264463381E-2</v>
      </c>
      <c r="P58">
        <f t="shared" si="16"/>
        <v>1.9807347383441832E-4</v>
      </c>
      <c r="Q58">
        <f t="shared" si="17"/>
        <v>9.3356849980321566E-2</v>
      </c>
      <c r="R58">
        <f t="shared" si="18"/>
        <v>2.4097549749904187E-2</v>
      </c>
      <c r="S58">
        <f t="shared" si="19"/>
        <v>8.7099417892214711E-4</v>
      </c>
      <c r="T58">
        <f t="shared" si="20"/>
        <v>2.6275928606349563E-3</v>
      </c>
      <c r="U58">
        <f t="shared" si="12"/>
        <v>0.73620255470800189</v>
      </c>
      <c r="V58">
        <f t="shared" si="13"/>
        <v>0.26379744529199806</v>
      </c>
    </row>
    <row r="59" spans="1:22" hidden="1" x14ac:dyDescent="0.25">
      <c r="A59" t="s">
        <v>103</v>
      </c>
      <c r="B59">
        <v>12703.28984250529</v>
      </c>
      <c r="C59">
        <v>0.187816392435772</v>
      </c>
      <c r="D59">
        <v>1.3275210713983359E-2</v>
      </c>
      <c r="E59">
        <v>3.9619141779183324E-3</v>
      </c>
      <c r="F59">
        <v>0</v>
      </c>
      <c r="G59">
        <v>3.047841423979018E-2</v>
      </c>
      <c r="H59">
        <v>1.14388770289121E-3</v>
      </c>
      <c r="I59">
        <v>0</v>
      </c>
      <c r="J59">
        <v>0</v>
      </c>
      <c r="K59">
        <v>8.9261934427956754E-2</v>
      </c>
      <c r="L59">
        <v>0.5747031018810862</v>
      </c>
      <c r="M59">
        <f t="shared" si="11"/>
        <v>0.79355970126052089</v>
      </c>
      <c r="N59">
        <f t="shared" si="14"/>
        <v>5.6090270459015802E-2</v>
      </c>
      <c r="O59">
        <f t="shared" si="15"/>
        <v>1.6739835062713499E-2</v>
      </c>
      <c r="P59">
        <f t="shared" si="16"/>
        <v>0</v>
      </c>
      <c r="Q59">
        <f t="shared" si="17"/>
        <v>0.12877705180762319</v>
      </c>
      <c r="R59">
        <f t="shared" si="18"/>
        <v>4.8331414101266757E-3</v>
      </c>
      <c r="S59">
        <f t="shared" si="19"/>
        <v>0</v>
      </c>
      <c r="T59">
        <f t="shared" si="20"/>
        <v>0</v>
      </c>
      <c r="U59">
        <f t="shared" si="12"/>
        <v>0.13443770311183936</v>
      </c>
      <c r="V59">
        <f t="shared" si="13"/>
        <v>0.86556229688816066</v>
      </c>
    </row>
    <row r="60" spans="1:22" x14ac:dyDescent="0.25">
      <c r="A60" t="s">
        <v>108</v>
      </c>
      <c r="B60">
        <v>10768.623112774279</v>
      </c>
      <c r="C60">
        <v>3.5195715838034047E-2</v>
      </c>
      <c r="D60">
        <v>6.4294844971637781E-4</v>
      </c>
      <c r="E60">
        <v>3.7006735777548189E-4</v>
      </c>
      <c r="F60">
        <v>0</v>
      </c>
      <c r="G60">
        <v>6.8985777078873316E-3</v>
      </c>
      <c r="H60">
        <v>1.971620026210714E-3</v>
      </c>
      <c r="I60">
        <v>2.526989229154725E-3</v>
      </c>
      <c r="J60">
        <v>4.5504007727876197E-5</v>
      </c>
      <c r="K60">
        <v>7.8159444404960574E-2</v>
      </c>
      <c r="L60">
        <v>0.54924588899745608</v>
      </c>
      <c r="M60">
        <f t="shared" si="11"/>
        <v>0.73860787161141706</v>
      </c>
      <c r="N60">
        <f t="shared" si="14"/>
        <v>1.3492744065392481E-2</v>
      </c>
      <c r="O60">
        <f t="shared" si="15"/>
        <v>7.7661345129975152E-3</v>
      </c>
      <c r="P60">
        <f t="shared" si="16"/>
        <v>0</v>
      </c>
      <c r="Q60">
        <f t="shared" si="17"/>
        <v>0.14477170521027949</v>
      </c>
      <c r="R60">
        <f t="shared" si="18"/>
        <v>4.1375890119338024E-2</v>
      </c>
      <c r="S60">
        <f t="shared" si="19"/>
        <v>5.3030719554621873E-2</v>
      </c>
      <c r="T60">
        <f t="shared" si="20"/>
        <v>9.5493492595357505E-4</v>
      </c>
      <c r="U60">
        <f t="shared" si="12"/>
        <v>0.12457567738721986</v>
      </c>
      <c r="V60">
        <f t="shared" si="13"/>
        <v>0.87542432261278014</v>
      </c>
    </row>
    <row r="61" spans="1:22" hidden="1" x14ac:dyDescent="0.25">
      <c r="A61" t="s">
        <v>134</v>
      </c>
      <c r="B61">
        <v>11713.313624382359</v>
      </c>
      <c r="C61">
        <v>0.2230121082738061</v>
      </c>
      <c r="D61">
        <v>1.3918159163699741E-2</v>
      </c>
      <c r="E61">
        <v>4.3319815356938143E-3</v>
      </c>
      <c r="F61">
        <v>0</v>
      </c>
      <c r="G61">
        <v>3.7376991947677511E-2</v>
      </c>
      <c r="H61">
        <v>3.1155077291019238E-3</v>
      </c>
      <c r="I61">
        <v>2.526989229154725E-3</v>
      </c>
      <c r="J61">
        <v>4.5504007727876197E-5</v>
      </c>
      <c r="K61">
        <v>0.1674213788329173</v>
      </c>
      <c r="L61">
        <v>1.1239489908785421</v>
      </c>
      <c r="M61">
        <f t="shared" si="11"/>
        <v>0.78435012696583661</v>
      </c>
      <c r="N61">
        <f t="shared" si="14"/>
        <v>4.8951198173399074E-2</v>
      </c>
      <c r="O61">
        <f t="shared" si="15"/>
        <v>1.5235900390499966E-2</v>
      </c>
      <c r="P61">
        <f t="shared" si="16"/>
        <v>0</v>
      </c>
      <c r="Q61">
        <f t="shared" si="17"/>
        <v>0.13145765315920874</v>
      </c>
      <c r="R61">
        <f t="shared" si="18"/>
        <v>1.0957471779442202E-2</v>
      </c>
      <c r="S61">
        <f t="shared" si="19"/>
        <v>8.8876085611249798E-3</v>
      </c>
      <c r="T61">
        <f t="shared" si="20"/>
        <v>1.60040970488445E-4</v>
      </c>
      <c r="U61">
        <f t="shared" si="12"/>
        <v>0.1296462910716509</v>
      </c>
      <c r="V61">
        <f t="shared" si="13"/>
        <v>0.87035370892834907</v>
      </c>
    </row>
    <row r="62" spans="1:22" hidden="1" x14ac:dyDescent="0.25">
      <c r="A62" t="s">
        <v>135</v>
      </c>
      <c r="B62">
        <v>22519.574366022131</v>
      </c>
      <c r="C62">
        <v>10.25920471167295</v>
      </c>
      <c r="D62">
        <v>0</v>
      </c>
      <c r="E62">
        <v>2.9003158603002288</v>
      </c>
      <c r="F62">
        <v>2.043094594665932E-3</v>
      </c>
      <c r="G62">
        <v>1.578827159652151</v>
      </c>
      <c r="H62">
        <v>0.54475423824421654</v>
      </c>
      <c r="I62">
        <v>7.586735628401179E-4</v>
      </c>
      <c r="J62">
        <v>0.14691646994086349</v>
      </c>
      <c r="K62">
        <v>8.7121014132806873E-2</v>
      </c>
      <c r="L62">
        <v>0.20934066309384869</v>
      </c>
      <c r="M62">
        <f t="shared" si="11"/>
        <v>0.66476538788264727</v>
      </c>
      <c r="N62">
        <f t="shared" si="14"/>
        <v>0</v>
      </c>
      <c r="O62">
        <f t="shared" si="15"/>
        <v>0.18793168203973531</v>
      </c>
      <c r="P62">
        <f t="shared" si="16"/>
        <v>1.3238634074225062E-4</v>
      </c>
      <c r="Q62">
        <f t="shared" si="17"/>
        <v>0.10230321732362355</v>
      </c>
      <c r="R62">
        <f t="shared" si="18"/>
        <v>3.5298424455366982E-2</v>
      </c>
      <c r="S62">
        <f t="shared" si="19"/>
        <v>4.9159748679532793E-5</v>
      </c>
      <c r="T62">
        <f t="shared" si="20"/>
        <v>9.5197422092049618E-3</v>
      </c>
      <c r="U62">
        <f t="shared" si="12"/>
        <v>0.29386939636788112</v>
      </c>
      <c r="V62">
        <f t="shared" si="13"/>
        <v>0.70613060363211888</v>
      </c>
    </row>
    <row r="63" spans="1:22" hidden="1" x14ac:dyDescent="0.25">
      <c r="A63" t="s">
        <v>109</v>
      </c>
      <c r="B63">
        <v>15853.96203319802</v>
      </c>
      <c r="C63">
        <v>1.784003358789733</v>
      </c>
      <c r="D63">
        <v>0</v>
      </c>
      <c r="E63">
        <v>0.95672846003973699</v>
      </c>
      <c r="F63">
        <v>1.2207444921056171E-3</v>
      </c>
      <c r="G63">
        <v>0.43257045437867342</v>
      </c>
      <c r="H63">
        <v>0.15171223281435881</v>
      </c>
      <c r="I63">
        <v>5.6954989113993206E-4</v>
      </c>
      <c r="J63">
        <v>5.6733068760208526E-3</v>
      </c>
      <c r="K63">
        <v>7.5389111876501713E-2</v>
      </c>
      <c r="L63">
        <v>0.39484368158784061</v>
      </c>
      <c r="M63">
        <f t="shared" si="11"/>
        <v>0.53533835823002796</v>
      </c>
      <c r="N63">
        <f t="shared" si="14"/>
        <v>0</v>
      </c>
      <c r="O63">
        <f t="shared" si="15"/>
        <v>0.28709219662964869</v>
      </c>
      <c r="P63">
        <f t="shared" si="16"/>
        <v>3.6631733286954802E-4</v>
      </c>
      <c r="Q63">
        <f t="shared" si="17"/>
        <v>0.12980443995519955</v>
      </c>
      <c r="R63">
        <f t="shared" si="18"/>
        <v>4.5525350183952817E-2</v>
      </c>
      <c r="S63">
        <f t="shared" si="19"/>
        <v>1.70908817043813E-4</v>
      </c>
      <c r="T63">
        <f t="shared" si="20"/>
        <v>1.7024288512576149E-3</v>
      </c>
      <c r="U63">
        <f t="shared" si="12"/>
        <v>0.16032295689351675</v>
      </c>
      <c r="V63">
        <f t="shared" si="13"/>
        <v>0.83967704310648328</v>
      </c>
    </row>
    <row r="64" spans="1:22" x14ac:dyDescent="0.25">
      <c r="A64" t="s">
        <v>92</v>
      </c>
      <c r="B64">
        <v>6313.2011097215418</v>
      </c>
      <c r="C64">
        <v>0.69540562978217535</v>
      </c>
      <c r="D64">
        <v>0</v>
      </c>
      <c r="E64">
        <v>0.63548953014717613</v>
      </c>
      <c r="F64">
        <v>0</v>
      </c>
      <c r="G64">
        <v>0.34898038377787599</v>
      </c>
      <c r="H64">
        <v>0</v>
      </c>
      <c r="I64">
        <v>1.4052402612771159E-3</v>
      </c>
      <c r="J64">
        <v>0</v>
      </c>
      <c r="K64">
        <v>8.2739647729411642E-2</v>
      </c>
      <c r="L64">
        <v>0.70660077291981294</v>
      </c>
      <c r="M64">
        <f t="shared" si="11"/>
        <v>0.41361659302423953</v>
      </c>
      <c r="N64">
        <f t="shared" si="14"/>
        <v>0</v>
      </c>
      <c r="O64">
        <f t="shared" si="15"/>
        <v>0.37797941676771146</v>
      </c>
      <c r="P64">
        <f t="shared" si="16"/>
        <v>0</v>
      </c>
      <c r="Q64">
        <f t="shared" si="17"/>
        <v>0.2075681748732896</v>
      </c>
      <c r="R64">
        <f t="shared" si="18"/>
        <v>0</v>
      </c>
      <c r="S64">
        <f t="shared" si="19"/>
        <v>8.3581533475936059E-4</v>
      </c>
      <c r="T64">
        <f t="shared" si="20"/>
        <v>0</v>
      </c>
      <c r="U64">
        <f t="shared" si="12"/>
        <v>0.10482124767075669</v>
      </c>
      <c r="V64">
        <f t="shared" si="13"/>
        <v>0.89517875232924327</v>
      </c>
    </row>
    <row r="65" spans="1:22" x14ac:dyDescent="0.25">
      <c r="A65" t="s">
        <v>128</v>
      </c>
      <c r="B65">
        <v>14119.95213515897</v>
      </c>
      <c r="C65">
        <v>0.23395141781251191</v>
      </c>
      <c r="D65">
        <v>0</v>
      </c>
      <c r="E65">
        <v>0.25116373965731198</v>
      </c>
      <c r="F65">
        <v>0</v>
      </c>
      <c r="G65">
        <v>9.4079391709312746E-2</v>
      </c>
      <c r="H65">
        <v>9.5270928808736804E-2</v>
      </c>
      <c r="I65">
        <v>6.0944554147688299E-4</v>
      </c>
      <c r="J65">
        <v>0</v>
      </c>
      <c r="K65">
        <v>1.769663295903372E-3</v>
      </c>
      <c r="L65">
        <v>2.5128806813147701E-3</v>
      </c>
      <c r="M65">
        <f t="shared" si="11"/>
        <v>0.34655622606953546</v>
      </c>
      <c r="N65">
        <f t="shared" si="14"/>
        <v>0</v>
      </c>
      <c r="O65">
        <f t="shared" si="15"/>
        <v>0.37205313203489493</v>
      </c>
      <c r="P65">
        <f t="shared" si="16"/>
        <v>0</v>
      </c>
      <c r="Q65">
        <f t="shared" si="17"/>
        <v>0.13936140779375644</v>
      </c>
      <c r="R65">
        <f t="shared" si="18"/>
        <v>0.14112645202498725</v>
      </c>
      <c r="S65">
        <f t="shared" si="19"/>
        <v>9.027820768258562E-4</v>
      </c>
      <c r="T65">
        <f t="shared" si="20"/>
        <v>0</v>
      </c>
      <c r="U65">
        <f t="shared" si="12"/>
        <v>0.41322711577918486</v>
      </c>
      <c r="V65">
        <f t="shared" si="13"/>
        <v>0.58677288422081519</v>
      </c>
    </row>
    <row r="66" spans="1:22" hidden="1" x14ac:dyDescent="0.25">
      <c r="A66" t="s">
        <v>125</v>
      </c>
      <c r="B66">
        <v>21466.147579956469</v>
      </c>
      <c r="C66">
        <v>1.0560337084978</v>
      </c>
      <c r="D66">
        <v>0</v>
      </c>
      <c r="E66">
        <v>0.53384700197650559</v>
      </c>
      <c r="F66">
        <v>0</v>
      </c>
      <c r="G66">
        <v>6.0424004203363198E-2</v>
      </c>
      <c r="H66">
        <v>6.1253270230768347E-2</v>
      </c>
      <c r="I66">
        <v>2.0905486777720939E-3</v>
      </c>
      <c r="J66">
        <v>0</v>
      </c>
      <c r="K66">
        <v>6.0703820301767344E-3</v>
      </c>
      <c r="L66">
        <v>2.5419413965467862E-4</v>
      </c>
      <c r="M66">
        <f t="shared" ref="M66:M78" si="21">C66/SUM($C66:$J66)</f>
        <v>0.61624871600000908</v>
      </c>
      <c r="N66">
        <f t="shared" si="14"/>
        <v>0</v>
      </c>
      <c r="O66">
        <f t="shared" si="15"/>
        <v>0.31152654206128616</v>
      </c>
      <c r="P66">
        <f t="shared" si="16"/>
        <v>0</v>
      </c>
      <c r="Q66">
        <f t="shared" si="17"/>
        <v>3.5260441694489053E-2</v>
      </c>
      <c r="R66">
        <f t="shared" si="18"/>
        <v>3.57443600774901E-2</v>
      </c>
      <c r="S66">
        <f t="shared" si="19"/>
        <v>1.2199401667255148E-3</v>
      </c>
      <c r="T66">
        <f t="shared" si="20"/>
        <v>0</v>
      </c>
      <c r="U66">
        <f t="shared" ref="U66:U78" si="22">K66/($K66+$L66)</f>
        <v>0.95980851003626155</v>
      </c>
      <c r="V66">
        <f t="shared" ref="V66:V78" si="23">L66/($K66+$L66)</f>
        <v>4.0191489963738454E-2</v>
      </c>
    </row>
    <row r="67" spans="1:22" hidden="1" x14ac:dyDescent="0.25">
      <c r="A67" t="s">
        <v>140</v>
      </c>
      <c r="B67">
        <v>19403.888664424201</v>
      </c>
      <c r="C67">
        <v>4.7325189179101397</v>
      </c>
      <c r="D67">
        <v>0</v>
      </c>
      <c r="E67">
        <v>0.1238339795840158</v>
      </c>
      <c r="F67">
        <v>0</v>
      </c>
      <c r="G67">
        <v>1.007319862457301</v>
      </c>
      <c r="H67">
        <v>0.4238229225680521</v>
      </c>
      <c r="I67">
        <v>3.2257575070909271E-3</v>
      </c>
      <c r="J67">
        <v>3.0308555893464608E-3</v>
      </c>
      <c r="K67">
        <v>0.24807509605284131</v>
      </c>
      <c r="L67">
        <v>1.239939355064426</v>
      </c>
      <c r="M67">
        <f t="shared" si="21"/>
        <v>0.75193917644434161</v>
      </c>
      <c r="N67">
        <f t="shared" ref="N67:N78" si="24">D67/SUM($C67:$J67)</f>
        <v>0</v>
      </c>
      <c r="O67">
        <f t="shared" ref="O67:O78" si="25">E67/SUM($C67:$J67)</f>
        <v>1.9675699609321314E-2</v>
      </c>
      <c r="P67">
        <f t="shared" ref="P67:P78" si="26">F67/SUM($C67:$J67)</f>
        <v>0</v>
      </c>
      <c r="Q67">
        <f t="shared" ref="Q67:Q78" si="27">G67/SUM($C67:$J67)</f>
        <v>0.16005076385973627</v>
      </c>
      <c r="R67">
        <f t="shared" ref="R67:R78" si="28">H67/SUM($C67:$J67)</f>
        <v>6.7340261049561062E-2</v>
      </c>
      <c r="S67">
        <f t="shared" ref="S67:S78" si="29">I67/SUM($C67:$J67)</f>
        <v>5.1253327992236049E-4</v>
      </c>
      <c r="T67">
        <f t="shared" ref="T67:T78" si="30">J67/SUM($C67:$J67)</f>
        <v>4.8156575711720822E-4</v>
      </c>
      <c r="U67">
        <f t="shared" si="22"/>
        <v>0.16671551534098042</v>
      </c>
      <c r="V67">
        <f t="shared" si="23"/>
        <v>0.83328448465901961</v>
      </c>
    </row>
    <row r="68" spans="1:22" x14ac:dyDescent="0.25">
      <c r="A68" t="s">
        <v>100</v>
      </c>
      <c r="B68">
        <v>8033.7996285452773</v>
      </c>
      <c r="C68">
        <v>0.77597046670366976</v>
      </c>
      <c r="D68">
        <v>0</v>
      </c>
      <c r="E68">
        <v>1.856203757856981E-2</v>
      </c>
      <c r="F68">
        <v>3.076368195504837E-4</v>
      </c>
      <c r="G68">
        <v>2.9200973104122448E-2</v>
      </c>
      <c r="H68">
        <v>0</v>
      </c>
      <c r="I68">
        <v>1.0286422604668449E-3</v>
      </c>
      <c r="J68">
        <v>2.427706814796943E-4</v>
      </c>
      <c r="K68">
        <v>1.89976533099976E-2</v>
      </c>
      <c r="L68">
        <v>7.356551433129864E-2</v>
      </c>
      <c r="M68">
        <f t="shared" si="21"/>
        <v>0.94021409003119449</v>
      </c>
      <c r="N68">
        <f t="shared" si="24"/>
        <v>0</v>
      </c>
      <c r="O68">
        <f t="shared" si="25"/>
        <v>2.249091946140341E-2</v>
      </c>
      <c r="P68">
        <f t="shared" si="26"/>
        <v>3.7275190843597726E-4</v>
      </c>
      <c r="Q68">
        <f t="shared" si="27"/>
        <v>3.5381715584805302E-2</v>
      </c>
      <c r="R68">
        <f t="shared" si="28"/>
        <v>0</v>
      </c>
      <c r="S68">
        <f t="shared" si="29"/>
        <v>1.2463669538879522E-3</v>
      </c>
      <c r="T68">
        <f t="shared" si="30"/>
        <v>2.9415606027291124E-4</v>
      </c>
      <c r="U68">
        <f t="shared" si="22"/>
        <v>0.20523987882110858</v>
      </c>
      <c r="V68">
        <f t="shared" si="23"/>
        <v>0.79476012117889139</v>
      </c>
    </row>
    <row r="69" spans="1:22" hidden="1" x14ac:dyDescent="0.25">
      <c r="A69" t="s">
        <v>95</v>
      </c>
      <c r="B69">
        <v>9994.5499615667923</v>
      </c>
      <c r="C69">
        <v>1.3120708758673429</v>
      </c>
      <c r="D69">
        <v>0</v>
      </c>
      <c r="E69">
        <v>1.0266977320107871E-2</v>
      </c>
      <c r="F69">
        <v>7.7315433992067718E-4</v>
      </c>
      <c r="G69">
        <v>7.5957631074947823E-2</v>
      </c>
      <c r="H69">
        <v>0.35074215776928142</v>
      </c>
      <c r="I69">
        <v>2.9880170753719421E-2</v>
      </c>
      <c r="J69">
        <v>5.2368903261279694E-4</v>
      </c>
      <c r="K69">
        <v>7.3261057575628841E-2</v>
      </c>
      <c r="L69">
        <v>6.6556059937234985E-2</v>
      </c>
      <c r="M69">
        <f t="shared" si="21"/>
        <v>0.73702958872333968</v>
      </c>
      <c r="N69">
        <f t="shared" si="24"/>
        <v>0</v>
      </c>
      <c r="O69">
        <f t="shared" si="25"/>
        <v>5.7672692922695655E-3</v>
      </c>
      <c r="P69">
        <f t="shared" si="26"/>
        <v>4.3430399656932509E-4</v>
      </c>
      <c r="Q69">
        <f t="shared" si="27"/>
        <v>4.2667681008131855E-2</v>
      </c>
      <c r="R69">
        <f t="shared" si="28"/>
        <v>0.19702239645990482</v>
      </c>
      <c r="S69">
        <f t="shared" si="29"/>
        <v>1.6784588673259736E-2</v>
      </c>
      <c r="T69">
        <f t="shared" si="30"/>
        <v>2.9417184652497178E-4</v>
      </c>
      <c r="U69">
        <f t="shared" si="22"/>
        <v>0.52397774234537831</v>
      </c>
      <c r="V69">
        <f t="shared" si="23"/>
        <v>0.47602225765462169</v>
      </c>
    </row>
    <row r="70" spans="1:22" hidden="1" x14ac:dyDescent="0.25">
      <c r="A70" t="s">
        <v>143</v>
      </c>
      <c r="B70">
        <v>9330.8849054874718</v>
      </c>
      <c r="C70">
        <v>6.3726502643646529E-2</v>
      </c>
      <c r="D70">
        <v>0</v>
      </c>
      <c r="E70">
        <v>3.6492440664805142E-2</v>
      </c>
      <c r="F70">
        <v>0</v>
      </c>
      <c r="G70">
        <v>1.8113098932001422E-2</v>
      </c>
      <c r="H70">
        <v>7.2486749637786611E-3</v>
      </c>
      <c r="I70">
        <v>0</v>
      </c>
      <c r="J70">
        <v>0</v>
      </c>
      <c r="K70">
        <v>4.9340802922877274E-3</v>
      </c>
      <c r="L70">
        <v>0.1106625318818579</v>
      </c>
      <c r="M70">
        <f t="shared" si="21"/>
        <v>0.50745452058541918</v>
      </c>
      <c r="N70">
        <f t="shared" si="24"/>
        <v>0</v>
      </c>
      <c r="O70">
        <f t="shared" si="25"/>
        <v>0.29058952263712218</v>
      </c>
      <c r="P70">
        <f t="shared" si="26"/>
        <v>0</v>
      </c>
      <c r="Q70">
        <f t="shared" si="27"/>
        <v>0.14423471481329506</v>
      </c>
      <c r="R70">
        <f t="shared" si="28"/>
        <v>5.7721241964163582E-2</v>
      </c>
      <c r="S70">
        <f t="shared" si="29"/>
        <v>0</v>
      </c>
      <c r="T70">
        <f t="shared" si="30"/>
        <v>0</v>
      </c>
      <c r="U70">
        <f t="shared" si="22"/>
        <v>4.2683606374679599E-2</v>
      </c>
      <c r="V70">
        <f t="shared" si="23"/>
        <v>0.95731639362532039</v>
      </c>
    </row>
    <row r="71" spans="1:22" x14ac:dyDescent="0.25">
      <c r="A71" t="s">
        <v>150</v>
      </c>
      <c r="B71">
        <v>42702.525904684662</v>
      </c>
      <c r="C71">
        <v>30.524173830002209</v>
      </c>
      <c r="D71">
        <v>3.1627919956958628E-2</v>
      </c>
      <c r="E71">
        <v>5.039133279532841</v>
      </c>
      <c r="F71">
        <v>2.2602468568133599E-3</v>
      </c>
      <c r="G71">
        <v>15.2235449175624</v>
      </c>
      <c r="H71">
        <v>6.0668343079781029E-2</v>
      </c>
      <c r="I71">
        <v>1.4682158730788861E-2</v>
      </c>
      <c r="J71">
        <v>0.22945198334080391</v>
      </c>
      <c r="K71">
        <v>18.75627015099991</v>
      </c>
      <c r="L71">
        <v>25.744013687430389</v>
      </c>
      <c r="M71">
        <f t="shared" si="21"/>
        <v>0.59704351739825645</v>
      </c>
      <c r="N71">
        <f t="shared" si="24"/>
        <v>6.1863245453453526E-4</v>
      </c>
      <c r="O71">
        <f t="shared" si="25"/>
        <v>9.8563907891710531E-2</v>
      </c>
      <c r="P71">
        <f t="shared" si="26"/>
        <v>4.420973819294044E-5</v>
      </c>
      <c r="Q71">
        <f t="shared" si="27"/>
        <v>0.29776788900075357</v>
      </c>
      <c r="R71">
        <f t="shared" si="28"/>
        <v>1.1866542612686338E-3</v>
      </c>
      <c r="S71">
        <f t="shared" si="29"/>
        <v>2.8717854053804761E-4</v>
      </c>
      <c r="T71">
        <f t="shared" si="30"/>
        <v>4.4880107147453564E-3</v>
      </c>
      <c r="U71">
        <f t="shared" si="22"/>
        <v>0.42148652847023094</v>
      </c>
      <c r="V71">
        <f t="shared" si="23"/>
        <v>0.57851347152976906</v>
      </c>
    </row>
    <row r="72" spans="1:22" hidden="1" x14ac:dyDescent="0.25">
      <c r="A72" t="s">
        <v>151</v>
      </c>
      <c r="B72">
        <v>53129.184166744817</v>
      </c>
      <c r="C72">
        <v>81.3677244047106</v>
      </c>
      <c r="D72">
        <v>4.2705654503232812E-2</v>
      </c>
      <c r="E72">
        <v>28.147285158290462</v>
      </c>
      <c r="F72">
        <v>1.8416210717381129E-2</v>
      </c>
      <c r="G72">
        <v>27.555614141260691</v>
      </c>
      <c r="H72">
        <v>0.27110068407212018</v>
      </c>
      <c r="I72">
        <v>4.1410129405686488E-2</v>
      </c>
      <c r="J72">
        <v>0.46376822361193198</v>
      </c>
      <c r="K72">
        <v>9.5143885667414558</v>
      </c>
      <c r="L72">
        <v>14.14973511252715</v>
      </c>
      <c r="M72">
        <f t="shared" si="21"/>
        <v>0.59001442908662316</v>
      </c>
      <c r="N72">
        <f t="shared" si="24"/>
        <v>3.0966765440274208E-4</v>
      </c>
      <c r="O72">
        <f t="shared" si="25"/>
        <v>0.20410186599793476</v>
      </c>
      <c r="P72">
        <f t="shared" si="26"/>
        <v>1.3353980502526534E-4</v>
      </c>
      <c r="Q72">
        <f t="shared" si="27"/>
        <v>0.19981153540464472</v>
      </c>
      <c r="R72">
        <f t="shared" si="28"/>
        <v>1.9658078987464574E-3</v>
      </c>
      <c r="S72">
        <f t="shared" si="29"/>
        <v>3.0027353030269617E-4</v>
      </c>
      <c r="T72">
        <f t="shared" si="30"/>
        <v>3.3628806223204425E-3</v>
      </c>
      <c r="U72">
        <f t="shared" si="22"/>
        <v>0.40205961968820814</v>
      </c>
      <c r="V72">
        <f t="shared" si="23"/>
        <v>0.59794038031179186</v>
      </c>
    </row>
    <row r="73" spans="1:22" hidden="1" x14ac:dyDescent="0.25">
      <c r="A73" t="s">
        <v>146</v>
      </c>
      <c r="B73">
        <v>9297.3326132160164</v>
      </c>
      <c r="C73">
        <v>9.7700602880390661E-2</v>
      </c>
      <c r="D73">
        <v>0</v>
      </c>
      <c r="E73">
        <v>3.4120251661057838E-2</v>
      </c>
      <c r="F73">
        <v>0</v>
      </c>
      <c r="G73">
        <v>0.17815656851683351</v>
      </c>
      <c r="H73">
        <v>5.1665265839677101E-2</v>
      </c>
      <c r="I73">
        <v>4.0372766515013647E-2</v>
      </c>
      <c r="J73">
        <v>0</v>
      </c>
      <c r="K73">
        <v>0</v>
      </c>
      <c r="L73">
        <v>1.4038806666691991E-2</v>
      </c>
      <c r="M73">
        <f t="shared" si="21"/>
        <v>0.24302698208462442</v>
      </c>
      <c r="N73">
        <f t="shared" si="24"/>
        <v>0</v>
      </c>
      <c r="O73">
        <f t="shared" si="25"/>
        <v>8.487298486076264E-2</v>
      </c>
      <c r="P73">
        <f t="shared" si="26"/>
        <v>0</v>
      </c>
      <c r="Q73">
        <f t="shared" si="27"/>
        <v>0.44315850576894139</v>
      </c>
      <c r="R73">
        <f t="shared" si="28"/>
        <v>0.12851562084000887</v>
      </c>
      <c r="S73">
        <f t="shared" si="29"/>
        <v>0.1004259064456626</v>
      </c>
      <c r="T73">
        <f t="shared" si="30"/>
        <v>0</v>
      </c>
      <c r="U73">
        <f t="shared" si="22"/>
        <v>0</v>
      </c>
      <c r="V73">
        <f t="shared" si="23"/>
        <v>1</v>
      </c>
    </row>
    <row r="74" spans="1:22" x14ac:dyDescent="0.25">
      <c r="A74" t="s">
        <v>83</v>
      </c>
      <c r="B74">
        <v>2641.734459797955</v>
      </c>
      <c r="C74">
        <v>4.9895921311472833E-3</v>
      </c>
      <c r="D74">
        <v>0</v>
      </c>
      <c r="E74">
        <v>2.721549574266124E-3</v>
      </c>
      <c r="F74">
        <v>0</v>
      </c>
      <c r="G74">
        <v>6.1529982803857786E-3</v>
      </c>
      <c r="H74">
        <v>2.4178052021382079E-3</v>
      </c>
      <c r="I74">
        <v>0</v>
      </c>
      <c r="J74">
        <v>0</v>
      </c>
      <c r="K74">
        <v>0</v>
      </c>
      <c r="L74">
        <v>5.400191383560355E-2</v>
      </c>
      <c r="M74">
        <f t="shared" si="21"/>
        <v>0.30644938756112883</v>
      </c>
      <c r="N74">
        <f t="shared" si="24"/>
        <v>0</v>
      </c>
      <c r="O74">
        <f t="shared" si="25"/>
        <v>0.16715137797432245</v>
      </c>
      <c r="P74">
        <f t="shared" si="26"/>
        <v>0</v>
      </c>
      <c r="Q74">
        <f t="shared" si="27"/>
        <v>0.37790314421057475</v>
      </c>
      <c r="R74">
        <f t="shared" si="28"/>
        <v>0.14849609025397395</v>
      </c>
      <c r="S74">
        <f t="shared" si="29"/>
        <v>0</v>
      </c>
      <c r="T74">
        <f t="shared" si="30"/>
        <v>0</v>
      </c>
      <c r="U74">
        <f t="shared" si="22"/>
        <v>0</v>
      </c>
      <c r="V74">
        <f t="shared" si="23"/>
        <v>1</v>
      </c>
    </row>
    <row r="75" spans="1:22" hidden="1" x14ac:dyDescent="0.25">
      <c r="A75" t="s">
        <v>80</v>
      </c>
      <c r="B75">
        <v>3394.532603624647</v>
      </c>
      <c r="C75">
        <v>7.7418000000000015E-2</v>
      </c>
      <c r="D75">
        <v>0</v>
      </c>
      <c r="E75">
        <v>1.6456188537937459E-3</v>
      </c>
      <c r="F75">
        <v>0</v>
      </c>
      <c r="G75">
        <v>3.6941452496738281E-4</v>
      </c>
      <c r="H75">
        <v>5.3932254732874654E-3</v>
      </c>
      <c r="I75">
        <v>0</v>
      </c>
      <c r="J75">
        <v>0</v>
      </c>
      <c r="K75">
        <v>0</v>
      </c>
      <c r="L75">
        <v>4.6376499147932236E-3</v>
      </c>
      <c r="M75">
        <f t="shared" si="21"/>
        <v>0.91266550060907603</v>
      </c>
      <c r="N75">
        <f t="shared" si="24"/>
        <v>0</v>
      </c>
      <c r="O75">
        <f t="shared" si="25"/>
        <v>1.9399875416691244E-2</v>
      </c>
      <c r="P75">
        <f t="shared" si="26"/>
        <v>0</v>
      </c>
      <c r="Q75">
        <f t="shared" si="27"/>
        <v>4.3549548213803043E-3</v>
      </c>
      <c r="R75">
        <f t="shared" si="28"/>
        <v>6.3579669152852375E-2</v>
      </c>
      <c r="S75">
        <f t="shared" si="29"/>
        <v>0</v>
      </c>
      <c r="T75">
        <f t="shared" si="30"/>
        <v>0</v>
      </c>
      <c r="U75">
        <f t="shared" si="22"/>
        <v>0</v>
      </c>
      <c r="V75">
        <f t="shared" si="23"/>
        <v>1</v>
      </c>
    </row>
    <row r="76" spans="1:22" hidden="1" x14ac:dyDescent="0.25">
      <c r="A76" t="s">
        <v>149</v>
      </c>
      <c r="B76">
        <v>18656.29543171874</v>
      </c>
      <c r="C76">
        <v>1.2899851263103119</v>
      </c>
      <c r="D76">
        <v>0</v>
      </c>
      <c r="E76">
        <v>0.78501074163381757</v>
      </c>
      <c r="F76">
        <v>0</v>
      </c>
      <c r="G76">
        <v>0.15450339591267601</v>
      </c>
      <c r="H76">
        <v>0.15652419903950521</v>
      </c>
      <c r="I76">
        <v>2.6999942192489769E-3</v>
      </c>
      <c r="J76">
        <v>0</v>
      </c>
      <c r="K76">
        <v>7.840045326080106E-3</v>
      </c>
      <c r="L76">
        <v>2.7670748209694491E-3</v>
      </c>
      <c r="M76">
        <f t="shared" si="21"/>
        <v>0.54003117123821431</v>
      </c>
      <c r="N76">
        <f t="shared" si="24"/>
        <v>0</v>
      </c>
      <c r="O76">
        <f t="shared" si="25"/>
        <v>0.32863190558765509</v>
      </c>
      <c r="P76">
        <f t="shared" si="26"/>
        <v>0</v>
      </c>
      <c r="Q76">
        <f t="shared" si="27"/>
        <v>6.4680319294575253E-2</v>
      </c>
      <c r="R76">
        <f t="shared" si="28"/>
        <v>6.5526295466831447E-2</v>
      </c>
      <c r="S76">
        <f t="shared" si="29"/>
        <v>1.1303084127240431E-3</v>
      </c>
      <c r="T76">
        <f t="shared" si="30"/>
        <v>0</v>
      </c>
      <c r="U76">
        <f t="shared" si="22"/>
        <v>0.73913043478260876</v>
      </c>
      <c r="V76">
        <f t="shared" si="23"/>
        <v>0.2608695652173913</v>
      </c>
    </row>
    <row r="77" spans="1:22" x14ac:dyDescent="0.25">
      <c r="A77" t="s">
        <v>144</v>
      </c>
      <c r="B77">
        <v>33182.204031909663</v>
      </c>
      <c r="C77">
        <v>153.057056836144</v>
      </c>
      <c r="D77">
        <v>6.9799308575392094E-4</v>
      </c>
      <c r="E77">
        <v>13.912914979999149</v>
      </c>
      <c r="F77">
        <v>4.9042358958826908E-2</v>
      </c>
      <c r="G77">
        <v>18.368816506259972</v>
      </c>
      <c r="H77">
        <v>4.899402441929043</v>
      </c>
      <c r="I77">
        <v>0.74932935694006986</v>
      </c>
      <c r="J77">
        <v>0.28730360928189752</v>
      </c>
      <c r="K77">
        <v>22.4113820873497</v>
      </c>
      <c r="L77">
        <v>10.96338943586348</v>
      </c>
      <c r="M77">
        <f t="shared" si="21"/>
        <v>0.79998643964016103</v>
      </c>
      <c r="N77">
        <f t="shared" si="24"/>
        <v>3.6482146926653025E-6</v>
      </c>
      <c r="O77">
        <f t="shared" si="25"/>
        <v>7.2718916395871983E-2</v>
      </c>
      <c r="P77">
        <f t="shared" si="26"/>
        <v>2.5633069749294874E-4</v>
      </c>
      <c r="Q77">
        <f t="shared" si="27"/>
        <v>9.6008667754391305E-2</v>
      </c>
      <c r="R77">
        <f t="shared" si="28"/>
        <v>2.560780663696623E-2</v>
      </c>
      <c r="S77">
        <f t="shared" si="29"/>
        <v>3.916535027967287E-3</v>
      </c>
      <c r="T77">
        <f t="shared" si="30"/>
        <v>1.5016556324563878E-3</v>
      </c>
      <c r="U77">
        <f t="shared" si="22"/>
        <v>0.67150668197868835</v>
      </c>
      <c r="V77">
        <f t="shared" si="23"/>
        <v>0.32849331802131154</v>
      </c>
    </row>
    <row r="78" spans="1:22" hidden="1" x14ac:dyDescent="0.25">
      <c r="A78" t="s">
        <v>145</v>
      </c>
      <c r="B78">
        <v>40848.104684907797</v>
      </c>
      <c r="C78">
        <v>191.08372974133539</v>
      </c>
      <c r="D78">
        <v>1.8521630760201649E-2</v>
      </c>
      <c r="E78">
        <v>15.568931832816791</v>
      </c>
      <c r="F78">
        <v>6.4305163162110643E-2</v>
      </c>
      <c r="G78">
        <v>20.814649959571589</v>
      </c>
      <c r="H78">
        <v>16.223563288119131</v>
      </c>
      <c r="I78">
        <v>0.6168945683825996</v>
      </c>
      <c r="J78">
        <v>0.25919284927117708</v>
      </c>
      <c r="K78">
        <v>19.46675408846804</v>
      </c>
      <c r="L78">
        <v>7.4292579696772227</v>
      </c>
      <c r="M78">
        <f t="shared" si="21"/>
        <v>0.78105004911830711</v>
      </c>
      <c r="N78">
        <f t="shared" si="24"/>
        <v>7.5706710532546614E-5</v>
      </c>
      <c r="O78">
        <f t="shared" si="25"/>
        <v>6.3637626234331571E-2</v>
      </c>
      <c r="P78">
        <f t="shared" si="26"/>
        <v>2.6284577401914944E-4</v>
      </c>
      <c r="Q78">
        <f t="shared" si="27"/>
        <v>8.5079370155223474E-2</v>
      </c>
      <c r="R78">
        <f t="shared" si="28"/>
        <v>6.6313416219226748E-2</v>
      </c>
      <c r="S78">
        <f t="shared" si="29"/>
        <v>2.5215413870572851E-3</v>
      </c>
      <c r="T78">
        <f t="shared" si="30"/>
        <v>1.059444401302024E-3</v>
      </c>
      <c r="U78">
        <f t="shared" si="22"/>
        <v>0.72377845631477822</v>
      </c>
      <c r="V78">
        <f t="shared" si="23"/>
        <v>0.27622154368522173</v>
      </c>
    </row>
    <row r="79" spans="1:22" hidden="1" x14ac:dyDescent="0.25">
      <c r="A79" t="s">
        <v>152</v>
      </c>
      <c r="B79">
        <v>49923.685627894141</v>
      </c>
      <c r="C79">
        <v>111.8918982347128</v>
      </c>
      <c r="D79">
        <v>7.433357446019144E-2</v>
      </c>
      <c r="E79">
        <v>33.186418437823299</v>
      </c>
      <c r="F79">
        <v>2.0676457574194489E-2</v>
      </c>
      <c r="G79">
        <v>42.77915905882309</v>
      </c>
      <c r="H79">
        <v>0.33176902715190132</v>
      </c>
      <c r="I79">
        <v>5.6092288136475349E-2</v>
      </c>
      <c r="J79">
        <v>0.6932202069527359</v>
      </c>
      <c r="K79">
        <v>28.270658717741359</v>
      </c>
      <c r="L79">
        <v>39.893748799957542</v>
      </c>
      <c r="M79">
        <f t="shared" ref="M79" si="31">C79/SUM($C79:$J79)</f>
        <v>0.5919154986142815</v>
      </c>
      <c r="N79">
        <f t="shared" ref="N79" si="32">D79/SUM($C79:$J79)</f>
        <v>3.9322949636702066E-4</v>
      </c>
      <c r="O79">
        <f t="shared" ref="O79" si="33">E79/SUM($C79:$J79)</f>
        <v>0.17555833556099457</v>
      </c>
      <c r="P79">
        <f t="shared" ref="P79" si="34">F79/SUM($C79:$J79)</f>
        <v>1.0937982005572492E-4</v>
      </c>
      <c r="Q79">
        <f t="shared" ref="Q79" si="35">G79/SUM($C79:$J79)</f>
        <v>0.22630456417395253</v>
      </c>
      <c r="R79">
        <f t="shared" ref="R79" si="36">H79/SUM($C79:$J79)</f>
        <v>1.7550799676260122E-3</v>
      </c>
      <c r="S79">
        <f t="shared" ref="S79" si="37">I79/SUM($C79:$J79)</f>
        <v>2.9673189234014942E-4</v>
      </c>
      <c r="T79">
        <f t="shared" ref="T79" si="38">J79/SUM($C79:$J79)</f>
        <v>3.6671804743824252E-3</v>
      </c>
      <c r="U79">
        <f t="shared" ref="U79" si="39">K79/($K79+$L79)</f>
        <v>0.41474223494718815</v>
      </c>
      <c r="V79">
        <f t="shared" ref="V79" si="40">L79/($K79+$L79)</f>
        <v>0.5852577650528118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68770-4291-439E-93EC-229FA4595B11}">
  <dimension ref="A1:V79"/>
  <sheetViews>
    <sheetView showGridLines="0" workbookViewId="0">
      <selection activeCell="R50" sqref="R50"/>
    </sheetView>
  </sheetViews>
  <sheetFormatPr defaultRowHeight="15" x14ac:dyDescent="0.25"/>
  <cols>
    <col min="1" max="1" width="13.42578125" customWidth="1"/>
    <col min="2" max="2" width="20" customWidth="1"/>
    <col min="3" max="3" width="17.85546875" customWidth="1"/>
    <col min="4" max="4" width="15.85546875" customWidth="1"/>
    <col min="5" max="5" width="19" customWidth="1"/>
    <col min="6" max="6" width="16.42578125" customWidth="1"/>
    <col min="7" max="7" width="16.7109375" customWidth="1"/>
    <col min="8" max="8" width="22.85546875" customWidth="1"/>
    <col min="9" max="9" width="16.140625" customWidth="1"/>
    <col min="10" max="10" width="16" customWidth="1"/>
    <col min="11" max="11" width="31.5703125" customWidth="1"/>
    <col min="12" max="12" width="30.7109375" customWidth="1"/>
    <col min="13" max="13" width="19" customWidth="1"/>
    <col min="14" max="14" width="16.85546875" customWidth="1"/>
    <col min="15" max="15" width="20.140625" customWidth="1"/>
    <col min="16" max="16" width="17.42578125" customWidth="1"/>
    <col min="17" max="17" width="17.7109375" customWidth="1"/>
    <col min="18" max="18" width="23.85546875" customWidth="1"/>
    <col min="19" max="19" width="17.28515625" customWidth="1"/>
    <col min="20" max="20" width="17" customWidth="1"/>
    <col min="21" max="21" width="33.5703125" customWidth="1"/>
    <col min="22" max="22" width="32.85546875" customWidth="1"/>
  </cols>
  <sheetData>
    <row r="1" spans="1:22" x14ac:dyDescent="0.2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21</v>
      </c>
      <c r="K1" s="1" t="s">
        <v>19</v>
      </c>
      <c r="L1" s="1" t="s">
        <v>20</v>
      </c>
      <c r="M1" s="1" t="s">
        <v>242</v>
      </c>
      <c r="N1" s="1" t="s">
        <v>243</v>
      </c>
      <c r="O1" s="1" t="s">
        <v>244</v>
      </c>
      <c r="P1" s="1" t="s">
        <v>245</v>
      </c>
      <c r="Q1" s="1" t="s">
        <v>246</v>
      </c>
      <c r="R1" s="1" t="s">
        <v>247</v>
      </c>
      <c r="S1" s="1" t="s">
        <v>248</v>
      </c>
      <c r="T1" s="1" t="s">
        <v>249</v>
      </c>
      <c r="U1" s="1" t="s">
        <v>250</v>
      </c>
      <c r="V1" s="1" t="s">
        <v>251</v>
      </c>
    </row>
    <row r="2" spans="1:22" hidden="1" x14ac:dyDescent="0.25">
      <c r="A2" t="s">
        <v>75</v>
      </c>
      <c r="B2">
        <v>3626.6186625782998</v>
      </c>
      <c r="C2">
        <v>5.7609491257774232</v>
      </c>
      <c r="D2">
        <v>0.28880964056440028</v>
      </c>
      <c r="E2">
        <v>3.6610219408147269</v>
      </c>
      <c r="F2">
        <v>9.2782199203093774E-2</v>
      </c>
      <c r="G2">
        <v>3.5787986874917541</v>
      </c>
      <c r="H2">
        <v>1.2384524303062221</v>
      </c>
      <c r="I2">
        <v>1.298453396064529</v>
      </c>
      <c r="J2">
        <v>0.1913466033400493</v>
      </c>
      <c r="K2">
        <v>44.882024216594502</v>
      </c>
      <c r="L2">
        <v>898.90622368539573</v>
      </c>
      <c r="M2">
        <f t="shared" ref="M2:M33" si="0">C2/SUM($C2:$J2)</f>
        <v>0.35758718552575852</v>
      </c>
      <c r="N2">
        <f t="shared" ref="N2:T2" si="1">D2/SUM($C2:$J2)</f>
        <v>1.7926668725475551E-2</v>
      </c>
      <c r="O2">
        <f t="shared" si="1"/>
        <v>0.22724285588745316</v>
      </c>
      <c r="P2">
        <f t="shared" si="1"/>
        <v>5.7590728117126603E-3</v>
      </c>
      <c r="Q2">
        <f t="shared" si="1"/>
        <v>0.22213918614508835</v>
      </c>
      <c r="R2">
        <f t="shared" si="1"/>
        <v>7.6871832972657192E-2</v>
      </c>
      <c r="S2">
        <f t="shared" si="1"/>
        <v>8.0596145756177046E-2</v>
      </c>
      <c r="T2">
        <f t="shared" si="1"/>
        <v>1.1877052175677465E-2</v>
      </c>
      <c r="U2">
        <f t="shared" ref="U2:U33" si="2">K2/($K2+$L2)</f>
        <v>4.7555184456222831E-2</v>
      </c>
      <c r="V2">
        <f t="shared" ref="V2:V33" si="3">L2/($K2+$L2)</f>
        <v>0.95244481554377725</v>
      </c>
    </row>
    <row r="3" spans="1:22" hidden="1" x14ac:dyDescent="0.25">
      <c r="A3" t="s">
        <v>118</v>
      </c>
      <c r="B3">
        <v>16147.6051454102</v>
      </c>
      <c r="C3">
        <v>1.3183727700080941</v>
      </c>
      <c r="D3">
        <v>0</v>
      </c>
      <c r="E3">
        <v>1.006516202613418</v>
      </c>
      <c r="F3">
        <v>9.4383938460076127E-3</v>
      </c>
      <c r="G3">
        <v>0.80657517251519983</v>
      </c>
      <c r="H3">
        <v>0.75490789223503008</v>
      </c>
      <c r="I3">
        <v>7.5476091074732438E-2</v>
      </c>
      <c r="J3">
        <v>0.16717511794285561</v>
      </c>
      <c r="K3">
        <v>1.472612152058022</v>
      </c>
      <c r="L3">
        <v>50.420771730467422</v>
      </c>
      <c r="M3">
        <f t="shared" si="0"/>
        <v>0.31856590313426797</v>
      </c>
      <c r="N3">
        <f t="shared" ref="N3:N34" si="4">D3/SUM($C3:$J3)</f>
        <v>0</v>
      </c>
      <c r="O3">
        <f t="shared" ref="O3:O34" si="5">E3/SUM($C3:$J3)</f>
        <v>0.24321022885116839</v>
      </c>
      <c r="P3">
        <f t="shared" ref="P3:P34" si="6">F3/SUM($C3:$J3)</f>
        <v>2.2806527319825273E-3</v>
      </c>
      <c r="Q3">
        <f t="shared" ref="Q3:Q34" si="7">G3/SUM($C3:$J3)</f>
        <v>0.19489734172559184</v>
      </c>
      <c r="R3">
        <f t="shared" ref="R3:R34" si="8">H3/SUM($C3:$J3)</f>
        <v>0.18241268322885834</v>
      </c>
      <c r="S3">
        <f t="shared" ref="S3:S34" si="9">I3/SUM($C3:$J3)</f>
        <v>1.8237716725686606E-2</v>
      </c>
      <c r="T3">
        <f t="shared" ref="T3:T34" si="10">J3/SUM($C3:$J3)</f>
        <v>4.039547360244447E-2</v>
      </c>
      <c r="U3">
        <f t="shared" si="2"/>
        <v>2.837764743558974E-2</v>
      </c>
      <c r="V3">
        <f t="shared" si="3"/>
        <v>0.97162235256441032</v>
      </c>
    </row>
    <row r="4" spans="1:22" x14ac:dyDescent="0.25">
      <c r="A4" t="s">
        <v>111</v>
      </c>
      <c r="B4">
        <v>10790.9096823325</v>
      </c>
      <c r="C4">
        <v>0.63691850292140073</v>
      </c>
      <c r="D4">
        <v>0</v>
      </c>
      <c r="E4">
        <v>0.94819733473640699</v>
      </c>
      <c r="F4">
        <v>4.902752522099138E-2</v>
      </c>
      <c r="G4">
        <v>0.52437849820985405</v>
      </c>
      <c r="H4">
        <v>0.50600634676663114</v>
      </c>
      <c r="I4">
        <v>0.88895449581227415</v>
      </c>
      <c r="J4">
        <v>0.37860016123475893</v>
      </c>
      <c r="K4">
        <v>31.235299990820071</v>
      </c>
      <c r="L4">
        <v>1493.5006439441249</v>
      </c>
      <c r="M4">
        <f t="shared" si="0"/>
        <v>0.16197992890905755</v>
      </c>
      <c r="N4">
        <f t="shared" si="4"/>
        <v>0</v>
      </c>
      <c r="O4">
        <f t="shared" si="5"/>
        <v>0.24114378239583781</v>
      </c>
      <c r="P4">
        <f t="shared" si="6"/>
        <v>1.2468589016424338E-2</v>
      </c>
      <c r="Q4">
        <f t="shared" si="7"/>
        <v>0.13335896425033272</v>
      </c>
      <c r="R4">
        <f t="shared" si="8"/>
        <v>0.12868659286996018</v>
      </c>
      <c r="S4">
        <f t="shared" si="9"/>
        <v>0.22607725380028529</v>
      </c>
      <c r="T4">
        <f t="shared" si="10"/>
        <v>9.6284888758102066E-2</v>
      </c>
      <c r="U4">
        <f t="shared" si="2"/>
        <v>2.0485711060375427E-2</v>
      </c>
      <c r="V4">
        <f t="shared" si="3"/>
        <v>0.97951428893962456</v>
      </c>
    </row>
    <row r="5" spans="1:22" x14ac:dyDescent="0.25">
      <c r="A5" t="s">
        <v>147</v>
      </c>
      <c r="B5">
        <v>34742.352483479037</v>
      </c>
      <c r="C5">
        <v>16.929656009949561</v>
      </c>
      <c r="D5">
        <v>4.8009527099527483E-3</v>
      </c>
      <c r="E5">
        <v>1.3109998267909091</v>
      </c>
      <c r="F5">
        <v>1.9976079829007121E-2</v>
      </c>
      <c r="G5">
        <v>6.4465185630605282</v>
      </c>
      <c r="H5">
        <v>0.13063133978213351</v>
      </c>
      <c r="I5">
        <v>3.242657193625945</v>
      </c>
      <c r="J5">
        <v>1.2622930623435189</v>
      </c>
      <c r="K5">
        <v>188.0056500662528</v>
      </c>
      <c r="L5">
        <v>1422.518415032835</v>
      </c>
      <c r="M5">
        <f t="shared" si="0"/>
        <v>0.5768681133689989</v>
      </c>
      <c r="N5">
        <f t="shared" si="4"/>
        <v>1.6358965182379249E-4</v>
      </c>
      <c r="O5">
        <f t="shared" si="5"/>
        <v>4.467155128630456E-2</v>
      </c>
      <c r="P5">
        <f t="shared" si="6"/>
        <v>6.8067322080823456E-4</v>
      </c>
      <c r="Q5">
        <f t="shared" si="7"/>
        <v>0.21966134451198671</v>
      </c>
      <c r="R5">
        <f t="shared" si="8"/>
        <v>4.4511863963861203E-3</v>
      </c>
      <c r="S5">
        <f t="shared" si="9"/>
        <v>0.11049164474990325</v>
      </c>
      <c r="T5">
        <f t="shared" si="10"/>
        <v>4.3011896813788322E-2</v>
      </c>
      <c r="U5">
        <f t="shared" si="2"/>
        <v>0.11673569749154025</v>
      </c>
      <c r="V5">
        <f t="shared" si="3"/>
        <v>0.88326430250845966</v>
      </c>
    </row>
    <row r="6" spans="1:22" hidden="1" x14ac:dyDescent="0.25">
      <c r="A6" t="s">
        <v>79</v>
      </c>
      <c r="B6">
        <v>22528.75337972062</v>
      </c>
      <c r="C6">
        <v>259.3026442029867</v>
      </c>
      <c r="D6">
        <v>2.151516870635024E-2</v>
      </c>
      <c r="E6">
        <v>48.026764036467007</v>
      </c>
      <c r="F6">
        <v>0.34230406196012508</v>
      </c>
      <c r="G6">
        <v>85.648344209915294</v>
      </c>
      <c r="H6">
        <v>52.861359446659591</v>
      </c>
      <c r="I6">
        <v>32.907422903632018</v>
      </c>
      <c r="J6">
        <v>6.7206831510864813</v>
      </c>
      <c r="K6">
        <v>801.27064561998407</v>
      </c>
      <c r="L6">
        <v>3547.7938725095451</v>
      </c>
      <c r="M6">
        <f t="shared" si="0"/>
        <v>0.53373009206523958</v>
      </c>
      <c r="N6">
        <f t="shared" si="4"/>
        <v>4.4285290687009538E-5</v>
      </c>
      <c r="O6">
        <f t="shared" si="5"/>
        <v>9.8854870028679112E-2</v>
      </c>
      <c r="P6">
        <f t="shared" si="6"/>
        <v>7.0457429798233685E-4</v>
      </c>
      <c r="Q6">
        <f t="shared" si="7"/>
        <v>0.1762924507804417</v>
      </c>
      <c r="R6">
        <f t="shared" si="8"/>
        <v>0.10880605684095208</v>
      </c>
      <c r="S6">
        <f t="shared" si="9"/>
        <v>6.773429522853662E-2</v>
      </c>
      <c r="T6">
        <f t="shared" si="10"/>
        <v>1.3833375467481545E-2</v>
      </c>
      <c r="U6">
        <f t="shared" si="2"/>
        <v>0.18423976978952686</v>
      </c>
      <c r="V6">
        <f t="shared" si="3"/>
        <v>0.81576023021047306</v>
      </c>
    </row>
    <row r="7" spans="1:22" hidden="1" x14ac:dyDescent="0.25">
      <c r="A7" t="s">
        <v>148</v>
      </c>
      <c r="B7">
        <v>43252.206084732803</v>
      </c>
      <c r="C7">
        <v>9.2287359831770654</v>
      </c>
      <c r="D7">
        <v>5.7847203175215669E-4</v>
      </c>
      <c r="E7">
        <v>1.0670009414782189</v>
      </c>
      <c r="F7">
        <v>6.1736283760995313E-3</v>
      </c>
      <c r="G7">
        <v>1.722241168570815</v>
      </c>
      <c r="H7">
        <v>9.3750661875524846E-2</v>
      </c>
      <c r="I7">
        <v>6.3535285742984907E-2</v>
      </c>
      <c r="J7">
        <v>0.41216352567546688</v>
      </c>
      <c r="K7">
        <v>9.6369227196876874</v>
      </c>
      <c r="L7">
        <v>40.383031000129591</v>
      </c>
      <c r="M7">
        <f t="shared" si="0"/>
        <v>0.73277785669610129</v>
      </c>
      <c r="N7">
        <f t="shared" si="4"/>
        <v>4.593169599376235E-5</v>
      </c>
      <c r="O7">
        <f t="shared" si="5"/>
        <v>8.4721750022364914E-2</v>
      </c>
      <c r="P7">
        <f t="shared" si="6"/>
        <v>4.9019694330003567E-4</v>
      </c>
      <c r="Q7">
        <f t="shared" si="7"/>
        <v>0.13674897564732916</v>
      </c>
      <c r="R7">
        <f t="shared" si="8"/>
        <v>7.4439673210087891E-3</v>
      </c>
      <c r="S7">
        <f t="shared" si="9"/>
        <v>5.0448133521413339E-3</v>
      </c>
      <c r="T7">
        <f t="shared" si="10"/>
        <v>3.2726508321760751E-2</v>
      </c>
      <c r="U7">
        <f t="shared" si="2"/>
        <v>0.19266156809476734</v>
      </c>
      <c r="V7">
        <f t="shared" si="3"/>
        <v>0.80733843190523258</v>
      </c>
    </row>
    <row r="8" spans="1:22" hidden="1" x14ac:dyDescent="0.25">
      <c r="A8" t="s">
        <v>99</v>
      </c>
      <c r="B8">
        <v>10905.17892109573</v>
      </c>
      <c r="C8">
        <v>0.75652386981537079</v>
      </c>
      <c r="D8">
        <v>0</v>
      </c>
      <c r="E8">
        <v>0.48062781428627099</v>
      </c>
      <c r="F8">
        <v>3.309342460659686E-3</v>
      </c>
      <c r="G8">
        <v>1.1597456933672301</v>
      </c>
      <c r="H8">
        <v>0.1121527168061561</v>
      </c>
      <c r="I8">
        <v>4.6753416825116349E-2</v>
      </c>
      <c r="J8">
        <v>6.9305951119704681E-2</v>
      </c>
      <c r="K8">
        <v>1.5779277872873889</v>
      </c>
      <c r="L8">
        <v>31.021322250084388</v>
      </c>
      <c r="M8">
        <f t="shared" si="0"/>
        <v>0.28782470604311788</v>
      </c>
      <c r="N8">
        <f t="shared" si="4"/>
        <v>0</v>
      </c>
      <c r="O8">
        <f t="shared" si="5"/>
        <v>0.18285815541663364</v>
      </c>
      <c r="P8">
        <f t="shared" si="6"/>
        <v>1.2590620850705505E-3</v>
      </c>
      <c r="Q8">
        <f t="shared" si="7"/>
        <v>0.44123322025471506</v>
      </c>
      <c r="R8">
        <f t="shared" si="8"/>
        <v>4.2669271961698868E-2</v>
      </c>
      <c r="S8">
        <f t="shared" si="9"/>
        <v>1.7787658778677527E-2</v>
      </c>
      <c r="T8">
        <f t="shared" si="10"/>
        <v>2.6367925460086254E-2</v>
      </c>
      <c r="U8">
        <f t="shared" si="2"/>
        <v>4.8403806390590359E-2</v>
      </c>
      <c r="V8">
        <f t="shared" si="3"/>
        <v>0.95159619360940972</v>
      </c>
    </row>
    <row r="9" spans="1:22" hidden="1" x14ac:dyDescent="0.25">
      <c r="A9" t="s">
        <v>82</v>
      </c>
      <c r="B9">
        <v>14578.073876580789</v>
      </c>
      <c r="C9">
        <v>5.1469150092998008</v>
      </c>
      <c r="D9">
        <v>1.2581132624464629E-3</v>
      </c>
      <c r="E9">
        <v>3.099821867253477</v>
      </c>
      <c r="F9">
        <v>4.9936137272534042E-2</v>
      </c>
      <c r="G9">
        <v>5.1652693875578564</v>
      </c>
      <c r="H9">
        <v>1.493984811538003</v>
      </c>
      <c r="I9">
        <v>2.2070056612644691</v>
      </c>
      <c r="J9">
        <v>2.301201540479807</v>
      </c>
      <c r="K9">
        <v>95.011324144466855</v>
      </c>
      <c r="L9">
        <v>2554.6840234963561</v>
      </c>
      <c r="M9">
        <f t="shared" si="0"/>
        <v>0.26441362545939689</v>
      </c>
      <c r="N9">
        <f t="shared" si="4"/>
        <v>6.4633336350210138E-5</v>
      </c>
      <c r="O9">
        <f t="shared" si="5"/>
        <v>0.1592478478307561</v>
      </c>
      <c r="P9">
        <f t="shared" si="6"/>
        <v>2.5653804412568149E-3</v>
      </c>
      <c r="Q9">
        <f t="shared" si="7"/>
        <v>0.26535654907276468</v>
      </c>
      <c r="R9">
        <f t="shared" si="8"/>
        <v>7.6750818633350246E-2</v>
      </c>
      <c r="S9">
        <f t="shared" si="9"/>
        <v>0.11338099954048808</v>
      </c>
      <c r="T9">
        <f t="shared" si="10"/>
        <v>0.11822014568563714</v>
      </c>
      <c r="U9">
        <f t="shared" si="2"/>
        <v>3.5857452151644882E-2</v>
      </c>
      <c r="V9">
        <f t="shared" si="3"/>
        <v>0.96414254784835507</v>
      </c>
    </row>
    <row r="10" spans="1:22" x14ac:dyDescent="0.25">
      <c r="A10" t="s">
        <v>94</v>
      </c>
      <c r="B10">
        <v>7445.7497357088878</v>
      </c>
      <c r="C10">
        <v>1.23404958910485</v>
      </c>
      <c r="D10">
        <v>0</v>
      </c>
      <c r="E10">
        <v>0.48899964564485182</v>
      </c>
      <c r="F10">
        <v>2.3164493024030882E-3</v>
      </c>
      <c r="G10">
        <v>1.2788110804989219</v>
      </c>
      <c r="H10">
        <v>9.5968498182955234E-2</v>
      </c>
      <c r="I10">
        <v>0.27606386594871302</v>
      </c>
      <c r="J10">
        <v>7.0572083279920539E-2</v>
      </c>
      <c r="K10">
        <v>15.4738906096783</v>
      </c>
      <c r="L10">
        <v>466.14203336643237</v>
      </c>
      <c r="M10">
        <f t="shared" si="0"/>
        <v>0.35802956823075394</v>
      </c>
      <c r="N10">
        <f t="shared" si="4"/>
        <v>0</v>
      </c>
      <c r="O10">
        <f t="shared" si="5"/>
        <v>0.14187139118308378</v>
      </c>
      <c r="P10">
        <f t="shared" si="6"/>
        <v>6.7206160181083549E-4</v>
      </c>
      <c r="Q10">
        <f t="shared" si="7"/>
        <v>0.37101602969767844</v>
      </c>
      <c r="R10">
        <f t="shared" si="8"/>
        <v>2.7842932951439137E-2</v>
      </c>
      <c r="S10">
        <f t="shared" si="9"/>
        <v>8.0093237421217336E-2</v>
      </c>
      <c r="T10">
        <f t="shared" si="10"/>
        <v>2.0474778914016542E-2</v>
      </c>
      <c r="U10">
        <f t="shared" si="2"/>
        <v>3.2129109191260552E-2</v>
      </c>
      <c r="V10">
        <f t="shared" si="3"/>
        <v>0.96787089080873945</v>
      </c>
    </row>
    <row r="11" spans="1:22" x14ac:dyDescent="0.25">
      <c r="A11" t="s">
        <v>97</v>
      </c>
      <c r="B11">
        <v>7572.2333109786059</v>
      </c>
      <c r="C11">
        <v>0.44758368443186353</v>
      </c>
      <c r="D11">
        <v>0</v>
      </c>
      <c r="E11">
        <v>0</v>
      </c>
      <c r="F11">
        <v>0</v>
      </c>
      <c r="G11">
        <v>1.4576562187815529</v>
      </c>
      <c r="H11">
        <v>0.30116198782896242</v>
      </c>
      <c r="I11">
        <v>0.1634981122752705</v>
      </c>
      <c r="J11">
        <v>8.3850408452133207E-2</v>
      </c>
      <c r="K11">
        <v>23.600737540564669</v>
      </c>
      <c r="L11">
        <v>569.436008654018</v>
      </c>
      <c r="M11">
        <f t="shared" si="0"/>
        <v>0.1824079915728026</v>
      </c>
      <c r="N11">
        <f t="shared" si="4"/>
        <v>0</v>
      </c>
      <c r="O11">
        <f t="shared" si="5"/>
        <v>0</v>
      </c>
      <c r="P11">
        <f t="shared" si="6"/>
        <v>0</v>
      </c>
      <c r="Q11">
        <f t="shared" si="7"/>
        <v>0.59405235829597236</v>
      </c>
      <c r="R11">
        <f t="shared" si="8"/>
        <v>0.12273537943565639</v>
      </c>
      <c r="S11">
        <f t="shared" si="9"/>
        <v>6.663192453927963E-2</v>
      </c>
      <c r="T11">
        <f t="shared" si="10"/>
        <v>3.4172346156288801E-2</v>
      </c>
      <c r="U11">
        <f t="shared" si="2"/>
        <v>3.9796416819036333E-2</v>
      </c>
      <c r="V11">
        <f t="shared" si="3"/>
        <v>0.96020358318096377</v>
      </c>
    </row>
    <row r="12" spans="1:22" hidden="1" x14ac:dyDescent="0.25">
      <c r="A12" t="s">
        <v>107</v>
      </c>
      <c r="B12">
        <v>13203.51181056138</v>
      </c>
      <c r="C12">
        <v>1.372233099331553</v>
      </c>
      <c r="D12">
        <v>0</v>
      </c>
      <c r="E12">
        <v>0.2015349584508031</v>
      </c>
      <c r="F12">
        <v>2.404042204353813E-2</v>
      </c>
      <c r="G12">
        <v>0.1251965697766933</v>
      </c>
      <c r="H12">
        <v>8.9350780407394872E-2</v>
      </c>
      <c r="I12">
        <v>0.1005098732897604</v>
      </c>
      <c r="J12">
        <v>4.1301916995621149E-2</v>
      </c>
      <c r="K12">
        <v>0.71422142503098074</v>
      </c>
      <c r="L12">
        <v>9.2860449118051847</v>
      </c>
      <c r="M12">
        <f t="shared" si="0"/>
        <v>0.70220849280275444</v>
      </c>
      <c r="N12">
        <f t="shared" si="4"/>
        <v>0</v>
      </c>
      <c r="O12">
        <f t="shared" si="5"/>
        <v>0.10313084525489269</v>
      </c>
      <c r="P12">
        <f t="shared" si="6"/>
        <v>1.2302128944243033E-2</v>
      </c>
      <c r="Q12">
        <f t="shared" si="7"/>
        <v>6.406644367476029E-2</v>
      </c>
      <c r="R12">
        <f t="shared" si="8"/>
        <v>4.5723191541721421E-2</v>
      </c>
      <c r="S12">
        <f t="shared" si="9"/>
        <v>5.1433598758825382E-2</v>
      </c>
      <c r="T12">
        <f t="shared" si="10"/>
        <v>2.1135299022802628E-2</v>
      </c>
      <c r="U12">
        <f t="shared" si="2"/>
        <v>7.1420240319013589E-2</v>
      </c>
      <c r="V12">
        <f t="shared" si="3"/>
        <v>0.92857975968098638</v>
      </c>
    </row>
    <row r="13" spans="1:22" hidden="1" x14ac:dyDescent="0.25">
      <c r="A13" t="s">
        <v>86</v>
      </c>
      <c r="B13">
        <v>23668.89966630729</v>
      </c>
      <c r="C13">
        <v>25.43658410385083</v>
      </c>
      <c r="D13">
        <v>1.0615443163983431E-3</v>
      </c>
      <c r="E13">
        <v>6.5198373026789502</v>
      </c>
      <c r="F13">
        <v>0.24462888301434921</v>
      </c>
      <c r="G13">
        <v>35.076231066082052</v>
      </c>
      <c r="H13">
        <v>2.4429513598528971</v>
      </c>
      <c r="I13">
        <v>11.66458850458015</v>
      </c>
      <c r="J13">
        <v>4.7218688950533281</v>
      </c>
      <c r="K13">
        <v>257.46697658478172</v>
      </c>
      <c r="L13">
        <v>5464.893926196939</v>
      </c>
      <c r="M13">
        <f t="shared" si="0"/>
        <v>0.2954041141900548</v>
      </c>
      <c r="N13">
        <f t="shared" si="4"/>
        <v>1.2328092371949675E-5</v>
      </c>
      <c r="O13">
        <f t="shared" si="5"/>
        <v>7.5717193597924073E-2</v>
      </c>
      <c r="P13">
        <f t="shared" si="6"/>
        <v>2.8409623791119149E-3</v>
      </c>
      <c r="Q13">
        <f t="shared" si="7"/>
        <v>0.40735276894482869</v>
      </c>
      <c r="R13">
        <f t="shared" si="8"/>
        <v>2.8370864559502055E-2</v>
      </c>
      <c r="S13">
        <f t="shared" si="9"/>
        <v>0.13546502236773775</v>
      </c>
      <c r="T13">
        <f t="shared" si="10"/>
        <v>5.4836745868468796E-2</v>
      </c>
      <c r="U13">
        <f t="shared" si="2"/>
        <v>4.499313848932935E-2</v>
      </c>
      <c r="V13">
        <f t="shared" si="3"/>
        <v>0.9550068615106706</v>
      </c>
    </row>
    <row r="14" spans="1:22" hidden="1" x14ac:dyDescent="0.25">
      <c r="A14" t="s">
        <v>87</v>
      </c>
      <c r="B14">
        <v>28339.340053158608</v>
      </c>
      <c r="C14">
        <v>8.2844434343666009</v>
      </c>
      <c r="D14">
        <v>4.8793039378882341E-4</v>
      </c>
      <c r="E14">
        <v>13.371918640356601</v>
      </c>
      <c r="F14">
        <v>0.25376424483355409</v>
      </c>
      <c r="G14">
        <v>6.0658698153404389</v>
      </c>
      <c r="H14">
        <v>0.53171997847221553</v>
      </c>
      <c r="I14">
        <v>0.57468535745840799</v>
      </c>
      <c r="J14">
        <v>1.276187724585214</v>
      </c>
      <c r="K14">
        <v>222.8242497739565</v>
      </c>
      <c r="L14">
        <v>1588.6096542078731</v>
      </c>
      <c r="M14">
        <f t="shared" si="0"/>
        <v>0.27288192589109989</v>
      </c>
      <c r="N14">
        <f t="shared" si="4"/>
        <v>1.6071977147620765E-5</v>
      </c>
      <c r="O14">
        <f t="shared" si="5"/>
        <v>0.44045866693983804</v>
      </c>
      <c r="P14">
        <f t="shared" si="6"/>
        <v>8.3587601751517367E-3</v>
      </c>
      <c r="Q14">
        <f t="shared" si="7"/>
        <v>0.19980415709620269</v>
      </c>
      <c r="R14">
        <f t="shared" si="8"/>
        <v>1.7514365679456887E-2</v>
      </c>
      <c r="S14">
        <f t="shared" si="9"/>
        <v>1.8929605635801594E-2</v>
      </c>
      <c r="T14">
        <f t="shared" si="10"/>
        <v>4.2036446605301689E-2</v>
      </c>
      <c r="U14">
        <f t="shared" si="2"/>
        <v>0.12300987040385639</v>
      </c>
      <c r="V14">
        <f t="shared" si="3"/>
        <v>0.87699012959614353</v>
      </c>
    </row>
    <row r="15" spans="1:22" x14ac:dyDescent="0.25">
      <c r="A15" t="s">
        <v>137</v>
      </c>
      <c r="B15">
        <v>19178.337422847078</v>
      </c>
      <c r="C15">
        <v>218.85415750259759</v>
      </c>
      <c r="D15">
        <v>2.0818915414437159E-2</v>
      </c>
      <c r="E15">
        <v>41.016990882255797</v>
      </c>
      <c r="F15">
        <v>0.28090664712581259</v>
      </c>
      <c r="G15">
        <v>71.43739162423114</v>
      </c>
      <c r="H15">
        <v>38.477233422874512</v>
      </c>
      <c r="I15">
        <v>28.766526471893151</v>
      </c>
      <c r="J15">
        <v>5.7090337999574912</v>
      </c>
      <c r="K15">
        <v>723.74763621604848</v>
      </c>
      <c r="L15">
        <v>3157.279357225435</v>
      </c>
      <c r="M15">
        <f t="shared" si="0"/>
        <v>0.54096426376514972</v>
      </c>
      <c r="N15">
        <f t="shared" si="4"/>
        <v>5.1460248130887126E-5</v>
      </c>
      <c r="O15">
        <f t="shared" si="5"/>
        <v>0.10138590250092923</v>
      </c>
      <c r="P15">
        <f t="shared" si="6"/>
        <v>6.9434576561493145E-4</v>
      </c>
      <c r="Q15">
        <f t="shared" si="7"/>
        <v>0.1765791265118927</v>
      </c>
      <c r="R15">
        <f t="shared" si="8"/>
        <v>9.5108123546056328E-2</v>
      </c>
      <c r="S15">
        <f t="shared" si="9"/>
        <v>7.1105173379051145E-2</v>
      </c>
      <c r="T15">
        <f t="shared" si="10"/>
        <v>1.4111604283175216E-2</v>
      </c>
      <c r="U15">
        <f t="shared" si="2"/>
        <v>0.18648353578552887</v>
      </c>
      <c r="V15">
        <f t="shared" si="3"/>
        <v>0.8135164642144711</v>
      </c>
    </row>
    <row r="16" spans="1:22" hidden="1" x14ac:dyDescent="0.25">
      <c r="A16" t="s">
        <v>136</v>
      </c>
      <c r="B16">
        <v>26826.379427587261</v>
      </c>
      <c r="C16">
        <v>40.448486700389111</v>
      </c>
      <c r="D16">
        <v>6.9625329191308559E-4</v>
      </c>
      <c r="E16">
        <v>7.0097731542112172</v>
      </c>
      <c r="F16">
        <v>6.1397414834312457E-2</v>
      </c>
      <c r="G16">
        <v>14.21095258568414</v>
      </c>
      <c r="H16">
        <v>14.38412602378509</v>
      </c>
      <c r="I16">
        <v>4.1408964317388746</v>
      </c>
      <c r="J16">
        <v>1.011649351128991</v>
      </c>
      <c r="K16">
        <v>77.523009403935305</v>
      </c>
      <c r="L16">
        <v>390.51451528410928</v>
      </c>
      <c r="M16">
        <f t="shared" si="0"/>
        <v>0.49771740035987372</v>
      </c>
      <c r="N16">
        <f t="shared" si="4"/>
        <v>8.5673756106097178E-6</v>
      </c>
      <c r="O16">
        <f t="shared" si="5"/>
        <v>8.6255045763995827E-2</v>
      </c>
      <c r="P16">
        <f t="shared" si="6"/>
        <v>7.5549332479370038E-4</v>
      </c>
      <c r="Q16">
        <f t="shared" si="7"/>
        <v>0.17486533995636711</v>
      </c>
      <c r="R16">
        <f t="shared" si="8"/>
        <v>0.17699623385263138</v>
      </c>
      <c r="S16">
        <f t="shared" si="9"/>
        <v>5.0953604826573726E-2</v>
      </c>
      <c r="T16">
        <f t="shared" si="10"/>
        <v>1.2448314540153877E-2</v>
      </c>
      <c r="U16">
        <f t="shared" si="2"/>
        <v>0.16563417528456886</v>
      </c>
      <c r="V16">
        <f t="shared" si="3"/>
        <v>0.83436582471543108</v>
      </c>
    </row>
    <row r="17" spans="1:22" hidden="1" x14ac:dyDescent="0.25">
      <c r="A17" t="s">
        <v>115</v>
      </c>
      <c r="B17">
        <v>16016.226284857339</v>
      </c>
      <c r="C17">
        <v>18.146426435802152</v>
      </c>
      <c r="D17">
        <v>1.9073206834229649E-2</v>
      </c>
      <c r="E17">
        <v>24.483107487573211</v>
      </c>
      <c r="F17">
        <v>2.2559757015454051E-2</v>
      </c>
      <c r="G17">
        <v>29.5170591959732</v>
      </c>
      <c r="H17">
        <v>8.0073782487150567</v>
      </c>
      <c r="I17">
        <v>1.753320577851222</v>
      </c>
      <c r="J17">
        <v>11.68506377935846</v>
      </c>
      <c r="K17">
        <v>12.665122331338949</v>
      </c>
      <c r="L17">
        <v>76.510768816782502</v>
      </c>
      <c r="M17">
        <f t="shared" si="0"/>
        <v>0.19380170267071123</v>
      </c>
      <c r="N17">
        <f t="shared" si="4"/>
        <v>2.0369960845687324E-4</v>
      </c>
      <c r="O17">
        <f t="shared" si="5"/>
        <v>0.26147671193267552</v>
      </c>
      <c r="P17">
        <f t="shared" si="6"/>
        <v>2.4093555482673472E-4</v>
      </c>
      <c r="Q17">
        <f t="shared" si="7"/>
        <v>0.31523872483926402</v>
      </c>
      <c r="R17">
        <f t="shared" si="8"/>
        <v>8.5517859068255583E-2</v>
      </c>
      <c r="S17">
        <f t="shared" si="9"/>
        <v>1.8725257808598478E-2</v>
      </c>
      <c r="T17">
        <f t="shared" si="10"/>
        <v>0.12479510851721153</v>
      </c>
      <c r="U17">
        <f t="shared" si="2"/>
        <v>0.14202406242626878</v>
      </c>
      <c r="V17">
        <f t="shared" si="3"/>
        <v>0.85797593757373125</v>
      </c>
    </row>
    <row r="18" spans="1:22" hidden="1" x14ac:dyDescent="0.25">
      <c r="A18" t="s">
        <v>91</v>
      </c>
      <c r="B18">
        <v>37955.941978508054</v>
      </c>
      <c r="C18">
        <v>1228.28552691351</v>
      </c>
      <c r="D18">
        <v>5.9739760653389921E-2</v>
      </c>
      <c r="E18">
        <v>197.57978098160851</v>
      </c>
      <c r="F18">
        <v>1.087356062019966</v>
      </c>
      <c r="G18">
        <v>365.03003229551928</v>
      </c>
      <c r="H18">
        <v>100.50103670062779</v>
      </c>
      <c r="I18">
        <v>177.41835620605519</v>
      </c>
      <c r="J18">
        <v>28.835201453677438</v>
      </c>
      <c r="K18">
        <v>3924.2386069920358</v>
      </c>
      <c r="L18">
        <v>10306.158234963759</v>
      </c>
      <c r="M18">
        <f t="shared" si="0"/>
        <v>0.58523311646520904</v>
      </c>
      <c r="N18">
        <f t="shared" si="4"/>
        <v>2.8463810358428891E-5</v>
      </c>
      <c r="O18">
        <f t="shared" si="5"/>
        <v>9.4139537135914095E-2</v>
      </c>
      <c r="P18">
        <f t="shared" si="6"/>
        <v>5.1808538238038771E-4</v>
      </c>
      <c r="Q18">
        <f t="shared" si="7"/>
        <v>0.17392345568095688</v>
      </c>
      <c r="R18">
        <f t="shared" si="8"/>
        <v>4.7885067134259517E-2</v>
      </c>
      <c r="S18">
        <f t="shared" si="9"/>
        <v>8.4533355840734847E-2</v>
      </c>
      <c r="T18">
        <f t="shared" si="10"/>
        <v>1.3738918550186623E-2</v>
      </c>
      <c r="U18">
        <f t="shared" si="2"/>
        <v>0.27576452368651561</v>
      </c>
      <c r="V18">
        <f t="shared" si="3"/>
        <v>0.72423547631348439</v>
      </c>
    </row>
    <row r="19" spans="1:22" x14ac:dyDescent="0.25">
      <c r="A19" t="s">
        <v>121</v>
      </c>
      <c r="B19">
        <v>11915.494142950891</v>
      </c>
      <c r="C19">
        <v>48.380494169438471</v>
      </c>
      <c r="D19">
        <v>6.690003552167062E-5</v>
      </c>
      <c r="E19">
        <v>145.21848563981831</v>
      </c>
      <c r="F19">
        <v>0.2134417646848282</v>
      </c>
      <c r="G19">
        <v>77.315201976465318</v>
      </c>
      <c r="H19">
        <v>13.842153336016439</v>
      </c>
      <c r="I19">
        <v>9.3052241729618022</v>
      </c>
      <c r="J19">
        <v>11.041422094927871</v>
      </c>
      <c r="K19">
        <v>213.8706635476328</v>
      </c>
      <c r="L19">
        <v>1835.25731337206</v>
      </c>
      <c r="M19">
        <f t="shared" si="0"/>
        <v>0.15846014134652991</v>
      </c>
      <c r="N19">
        <f t="shared" si="4"/>
        <v>2.1911700710879361E-7</v>
      </c>
      <c r="O19">
        <f t="shared" si="5"/>
        <v>0.47563263161438918</v>
      </c>
      <c r="P19">
        <f t="shared" si="6"/>
        <v>6.9908364480029874E-4</v>
      </c>
      <c r="Q19">
        <f t="shared" si="7"/>
        <v>0.2532296960531108</v>
      </c>
      <c r="R19">
        <f t="shared" si="8"/>
        <v>4.5337064282222138E-2</v>
      </c>
      <c r="S19">
        <f t="shared" si="9"/>
        <v>3.0477306257861811E-2</v>
      </c>
      <c r="T19">
        <f t="shared" si="10"/>
        <v>3.6163857684078628E-2</v>
      </c>
      <c r="U19">
        <f t="shared" si="2"/>
        <v>0.1043715502187078</v>
      </c>
      <c r="V19">
        <f t="shared" si="3"/>
        <v>0.8956284497812923</v>
      </c>
    </row>
    <row r="20" spans="1:22" hidden="1" x14ac:dyDescent="0.25">
      <c r="A20" t="s">
        <v>93</v>
      </c>
      <c r="B20">
        <v>10262.470825353759</v>
      </c>
      <c r="C20">
        <v>3.117913379733551</v>
      </c>
      <c r="D20">
        <v>0</v>
      </c>
      <c r="E20">
        <v>6.2815291509293472</v>
      </c>
      <c r="F20">
        <v>0.10306130552472891</v>
      </c>
      <c r="G20">
        <v>4.660535162791966</v>
      </c>
      <c r="H20">
        <v>0.51362820371059836</v>
      </c>
      <c r="I20">
        <v>0.41579125790591143</v>
      </c>
      <c r="J20">
        <v>0.47062384007877889</v>
      </c>
      <c r="K20">
        <v>12.65355928567833</v>
      </c>
      <c r="L20">
        <v>1623.810257518579</v>
      </c>
      <c r="M20">
        <f t="shared" si="0"/>
        <v>0.20034035157665034</v>
      </c>
      <c r="N20">
        <f t="shared" si="4"/>
        <v>0</v>
      </c>
      <c r="O20">
        <f t="shared" si="5"/>
        <v>0.40361729312817113</v>
      </c>
      <c r="P20">
        <f t="shared" si="6"/>
        <v>6.6221654254350181E-3</v>
      </c>
      <c r="Q20">
        <f t="shared" si="7"/>
        <v>0.29946093407151514</v>
      </c>
      <c r="R20">
        <f t="shared" si="8"/>
        <v>3.3002987055355038E-2</v>
      </c>
      <c r="S20">
        <f t="shared" si="9"/>
        <v>2.6716510898864863E-2</v>
      </c>
      <c r="T20">
        <f t="shared" si="10"/>
        <v>3.023975784400822E-2</v>
      </c>
      <c r="U20">
        <f t="shared" si="2"/>
        <v>7.7322572951161461E-3</v>
      </c>
      <c r="V20">
        <f t="shared" si="3"/>
        <v>0.99226774270488394</v>
      </c>
    </row>
    <row r="21" spans="1:22" x14ac:dyDescent="0.25">
      <c r="A21" t="s">
        <v>77</v>
      </c>
      <c r="B21">
        <v>1855.1152679937879</v>
      </c>
      <c r="C21">
        <v>0.57551196468310573</v>
      </c>
      <c r="D21">
        <v>3.105660579556442E-3</v>
      </c>
      <c r="E21">
        <v>4.6887943259407622E-2</v>
      </c>
      <c r="F21">
        <v>2.4515365784489439E-2</v>
      </c>
      <c r="G21">
        <v>0.94978964832214763</v>
      </c>
      <c r="H21">
        <v>1.12535066173556</v>
      </c>
      <c r="I21">
        <v>0.63982148648433956</v>
      </c>
      <c r="J21">
        <v>0.23207190977867229</v>
      </c>
      <c r="K21">
        <v>6.7444973930535932</v>
      </c>
      <c r="L21">
        <v>2905.202002599664</v>
      </c>
      <c r="M21">
        <f t="shared" si="0"/>
        <v>0.15999533567906662</v>
      </c>
      <c r="N21">
        <f t="shared" si="4"/>
        <v>8.6338988139887034E-4</v>
      </c>
      <c r="O21">
        <f t="shared" si="5"/>
        <v>1.3035093414992158E-2</v>
      </c>
      <c r="P21">
        <f t="shared" si="6"/>
        <v>6.8153998851166429E-3</v>
      </c>
      <c r="Q21">
        <f t="shared" si="7"/>
        <v>0.26404648892309207</v>
      </c>
      <c r="R21">
        <f t="shared" si="8"/>
        <v>0.31285336870482283</v>
      </c>
      <c r="S21">
        <f t="shared" si="9"/>
        <v>0.17787371903051305</v>
      </c>
      <c r="T21">
        <f t="shared" si="10"/>
        <v>6.4517204480997833E-2</v>
      </c>
      <c r="U21">
        <f t="shared" si="2"/>
        <v>2.3161474268399026E-3</v>
      </c>
      <c r="V21">
        <f t="shared" si="3"/>
        <v>0.99768385257316006</v>
      </c>
    </row>
    <row r="22" spans="1:22" hidden="1" x14ac:dyDescent="0.25">
      <c r="A22" t="s">
        <v>76</v>
      </c>
      <c r="B22">
        <v>2031.864623916309</v>
      </c>
      <c r="C22">
        <v>0.29093666799077139</v>
      </c>
      <c r="D22">
        <v>1.2918659367937031E-3</v>
      </c>
      <c r="E22">
        <v>0.20996910218025799</v>
      </c>
      <c r="F22">
        <v>4.9608595484292176E-3</v>
      </c>
      <c r="G22">
        <v>0.3016780270991371</v>
      </c>
      <c r="H22">
        <v>9.0156400592587088E-2</v>
      </c>
      <c r="I22">
        <v>0.14226787488231621</v>
      </c>
      <c r="J22">
        <v>2.5291345658205761E-2</v>
      </c>
      <c r="K22">
        <v>0.65388823337163604</v>
      </c>
      <c r="L22">
        <v>15.607212311468039</v>
      </c>
      <c r="M22">
        <f t="shared" si="0"/>
        <v>0.27278241355369409</v>
      </c>
      <c r="N22">
        <f t="shared" si="4"/>
        <v>1.2112543621953095E-3</v>
      </c>
      <c r="O22">
        <f t="shared" si="5"/>
        <v>0.1968671699582735</v>
      </c>
      <c r="P22">
        <f t="shared" si="6"/>
        <v>4.6513052145229624E-3</v>
      </c>
      <c r="Q22">
        <f t="shared" si="7"/>
        <v>0.28285351900307626</v>
      </c>
      <c r="R22">
        <f t="shared" si="8"/>
        <v>8.4530701203121297E-2</v>
      </c>
      <c r="S22">
        <f t="shared" si="9"/>
        <v>0.13339045418222839</v>
      </c>
      <c r="T22">
        <f t="shared" si="10"/>
        <v>2.3713182522888274E-2</v>
      </c>
      <c r="U22">
        <f t="shared" si="2"/>
        <v>4.0211806794291177E-2</v>
      </c>
      <c r="V22">
        <f t="shared" si="3"/>
        <v>0.95978819320570885</v>
      </c>
    </row>
    <row r="23" spans="1:22" hidden="1" x14ac:dyDescent="0.25">
      <c r="A23" t="s">
        <v>89</v>
      </c>
      <c r="B23">
        <v>5947.5328235082943</v>
      </c>
      <c r="C23">
        <v>1.090269791706127</v>
      </c>
      <c r="D23">
        <v>1.0133053318116781E-2</v>
      </c>
      <c r="E23">
        <v>0.57428745596665132</v>
      </c>
      <c r="F23">
        <v>1.073180297349818E-2</v>
      </c>
      <c r="G23">
        <v>0.74743232867143972</v>
      </c>
      <c r="H23">
        <v>0.33827758484962328</v>
      </c>
      <c r="I23">
        <v>6.027020515940279E-2</v>
      </c>
      <c r="J23">
        <v>7.0754247195604948E-3</v>
      </c>
      <c r="K23">
        <v>1.2690515305880099</v>
      </c>
      <c r="L23">
        <v>85.680547409336327</v>
      </c>
      <c r="M23">
        <f t="shared" si="0"/>
        <v>0.3841037088026617</v>
      </c>
      <c r="N23">
        <f t="shared" si="4"/>
        <v>3.5698901231529918E-3</v>
      </c>
      <c r="O23">
        <f t="shared" si="5"/>
        <v>0.20232234574751301</v>
      </c>
      <c r="P23">
        <f t="shared" si="6"/>
        <v>3.7808305390260393E-3</v>
      </c>
      <c r="Q23">
        <f t="shared" si="7"/>
        <v>0.26332154821280518</v>
      </c>
      <c r="R23">
        <f t="shared" si="8"/>
        <v>0.11917570855762084</v>
      </c>
      <c r="S23">
        <f t="shared" si="9"/>
        <v>2.1233285108080674E-2</v>
      </c>
      <c r="T23">
        <f t="shared" si="10"/>
        <v>2.4926829091397504E-3</v>
      </c>
      <c r="U23">
        <f t="shared" si="2"/>
        <v>1.4595254561954098E-2</v>
      </c>
      <c r="V23">
        <f t="shared" si="3"/>
        <v>0.98540474543804579</v>
      </c>
    </row>
    <row r="24" spans="1:22" x14ac:dyDescent="0.25">
      <c r="A24" t="s">
        <v>88</v>
      </c>
      <c r="B24">
        <v>4547.6334844615012</v>
      </c>
      <c r="C24">
        <v>0.37599606956052711</v>
      </c>
      <c r="D24">
        <v>6.2170907096565867E-3</v>
      </c>
      <c r="E24">
        <v>0.1367632085061975</v>
      </c>
      <c r="F24">
        <v>0</v>
      </c>
      <c r="G24">
        <v>0.82854382924153813</v>
      </c>
      <c r="H24">
        <v>0</v>
      </c>
      <c r="I24">
        <v>0.25498692210344581</v>
      </c>
      <c r="J24">
        <v>6.0550710291989024E-3</v>
      </c>
      <c r="K24">
        <v>1.364405685016689</v>
      </c>
      <c r="L24">
        <v>953.61168332770751</v>
      </c>
      <c r="M24">
        <f t="shared" si="0"/>
        <v>0.23374667863577386</v>
      </c>
      <c r="N24">
        <f t="shared" si="4"/>
        <v>3.8649986577203202E-3</v>
      </c>
      <c r="O24">
        <f t="shared" si="5"/>
        <v>8.5022021068625414E-2</v>
      </c>
      <c r="P24">
        <f t="shared" si="6"/>
        <v>0</v>
      </c>
      <c r="Q24">
        <f t="shared" si="7"/>
        <v>0.51508349120707708</v>
      </c>
      <c r="R24">
        <f t="shared" si="8"/>
        <v>0</v>
      </c>
      <c r="S24">
        <f t="shared" si="9"/>
        <v>0.15851853506581559</v>
      </c>
      <c r="T24">
        <f t="shared" si="10"/>
        <v>3.7642753649878239E-3</v>
      </c>
      <c r="U24">
        <f t="shared" si="2"/>
        <v>1.4287328245330649E-3</v>
      </c>
      <c r="V24">
        <f t="shared" si="3"/>
        <v>0.99857126717546696</v>
      </c>
    </row>
    <row r="25" spans="1:22" hidden="1" x14ac:dyDescent="0.25">
      <c r="A25" t="s">
        <v>98</v>
      </c>
      <c r="B25">
        <v>40401.591638855447</v>
      </c>
      <c r="C25">
        <v>26.158391993126621</v>
      </c>
      <c r="D25">
        <v>5.3794247417049048E-3</v>
      </c>
      <c r="E25">
        <v>2.378000768269128</v>
      </c>
      <c r="F25">
        <v>2.6149708205106651E-2</v>
      </c>
      <c r="G25">
        <v>8.1687597316313436</v>
      </c>
      <c r="H25">
        <v>0.22438200165765829</v>
      </c>
      <c r="I25">
        <v>3.3061924793689301</v>
      </c>
      <c r="J25">
        <v>1.6744565880189859</v>
      </c>
      <c r="K25">
        <v>197.64257278594039</v>
      </c>
      <c r="L25">
        <v>1462.901446032964</v>
      </c>
      <c r="M25">
        <f t="shared" si="0"/>
        <v>0.62368440181110907</v>
      </c>
      <c r="N25">
        <f t="shared" si="4"/>
        <v>1.2825953915667599E-4</v>
      </c>
      <c r="O25">
        <f t="shared" si="5"/>
        <v>5.6697750651263042E-2</v>
      </c>
      <c r="P25">
        <f t="shared" si="6"/>
        <v>6.2347735761901534E-4</v>
      </c>
      <c r="Q25">
        <f t="shared" si="7"/>
        <v>0.19476457222981677</v>
      </c>
      <c r="R25">
        <f t="shared" si="8"/>
        <v>5.3498530994492118E-3</v>
      </c>
      <c r="S25">
        <f t="shared" si="9"/>
        <v>7.8828265870066305E-2</v>
      </c>
      <c r="T25">
        <f t="shared" si="10"/>
        <v>3.9923419441519982E-2</v>
      </c>
      <c r="U25">
        <f t="shared" si="2"/>
        <v>0.11902278442851377</v>
      </c>
      <c r="V25">
        <f t="shared" si="3"/>
        <v>0.88097721557148612</v>
      </c>
    </row>
    <row r="26" spans="1:22" hidden="1" x14ac:dyDescent="0.25">
      <c r="A26" t="s">
        <v>90</v>
      </c>
      <c r="B26">
        <v>9977.4163604595724</v>
      </c>
      <c r="C26">
        <v>1.3574397626709069</v>
      </c>
      <c r="D26">
        <v>6.9291904774510304E-2</v>
      </c>
      <c r="E26">
        <v>1.933135696935574</v>
      </c>
      <c r="F26">
        <v>5.7314196493705744E-3</v>
      </c>
      <c r="G26">
        <v>0.30720906355477318</v>
      </c>
      <c r="H26">
        <v>0.6152329546180596</v>
      </c>
      <c r="I26">
        <v>0.13172097508849309</v>
      </c>
      <c r="J26">
        <v>1.0319648034423871E-2</v>
      </c>
      <c r="K26">
        <v>0.75084194330505438</v>
      </c>
      <c r="L26">
        <v>42.959705844749017</v>
      </c>
      <c r="M26">
        <f t="shared" si="0"/>
        <v>0.30641417896082607</v>
      </c>
      <c r="N26">
        <f t="shared" si="4"/>
        <v>1.5641226000582938E-2</v>
      </c>
      <c r="O26">
        <f t="shared" si="5"/>
        <v>0.43636572589481687</v>
      </c>
      <c r="P26">
        <f t="shared" si="6"/>
        <v>1.2937504075218361E-3</v>
      </c>
      <c r="Q26">
        <f t="shared" si="7"/>
        <v>6.9346143797381452E-2</v>
      </c>
      <c r="R26">
        <f t="shared" si="8"/>
        <v>0.1388762181888723</v>
      </c>
      <c r="S26">
        <f t="shared" si="9"/>
        <v>2.9733307910654642E-2</v>
      </c>
      <c r="T26">
        <f t="shared" si="10"/>
        <v>2.3294488393436714E-3</v>
      </c>
      <c r="U26">
        <f t="shared" si="2"/>
        <v>1.7177591709574884E-2</v>
      </c>
      <c r="V26">
        <f t="shared" si="3"/>
        <v>0.98282240829042511</v>
      </c>
    </row>
    <row r="27" spans="1:22" x14ac:dyDescent="0.25">
      <c r="A27" t="s">
        <v>105</v>
      </c>
      <c r="B27">
        <v>8331.1072302104858</v>
      </c>
      <c r="C27">
        <v>0.84808304136448154</v>
      </c>
      <c r="D27">
        <v>0</v>
      </c>
      <c r="E27">
        <v>2.0663568970444328</v>
      </c>
      <c r="F27">
        <v>0</v>
      </c>
      <c r="G27">
        <v>0.97039202301658978</v>
      </c>
      <c r="H27">
        <v>0.14013907212417229</v>
      </c>
      <c r="I27">
        <v>0.22516296750354861</v>
      </c>
      <c r="J27">
        <v>0.203743938334114</v>
      </c>
      <c r="K27">
        <v>4.7016827920285609</v>
      </c>
      <c r="L27">
        <v>401.58246270302021</v>
      </c>
      <c r="M27">
        <f t="shared" si="0"/>
        <v>0.19041452255899521</v>
      </c>
      <c r="N27">
        <f t="shared" si="4"/>
        <v>0</v>
      </c>
      <c r="O27">
        <f t="shared" si="5"/>
        <v>0.46394556051275043</v>
      </c>
      <c r="P27">
        <f t="shared" si="6"/>
        <v>0</v>
      </c>
      <c r="Q27">
        <f t="shared" si="7"/>
        <v>0.21787575596426734</v>
      </c>
      <c r="R27">
        <f t="shared" si="8"/>
        <v>3.1464506668417894E-2</v>
      </c>
      <c r="S27">
        <f t="shared" si="9"/>
        <v>5.0554364211993046E-2</v>
      </c>
      <c r="T27">
        <f t="shared" si="10"/>
        <v>4.5745290083576105E-2</v>
      </c>
      <c r="U27">
        <f t="shared" si="2"/>
        <v>1.1572400361081425E-2</v>
      </c>
      <c r="V27">
        <f t="shared" si="3"/>
        <v>0.98842759963891857</v>
      </c>
    </row>
    <row r="28" spans="1:22" hidden="1" x14ac:dyDescent="0.25">
      <c r="A28" t="s">
        <v>101</v>
      </c>
      <c r="B28">
        <v>13987.612022866409</v>
      </c>
      <c r="C28">
        <v>66.526920605240633</v>
      </c>
      <c r="D28">
        <v>1.914010686975132E-2</v>
      </c>
      <c r="E28">
        <v>169.70159312739139</v>
      </c>
      <c r="F28">
        <v>0.2360015217002823</v>
      </c>
      <c r="G28">
        <v>106.83226117243851</v>
      </c>
      <c r="H28">
        <v>21.849531584731501</v>
      </c>
      <c r="I28">
        <v>11.05854475081302</v>
      </c>
      <c r="J28">
        <v>22.72648587428634</v>
      </c>
      <c r="K28">
        <v>226.53578587897181</v>
      </c>
      <c r="L28">
        <v>1911.768082188843</v>
      </c>
      <c r="M28">
        <f t="shared" si="0"/>
        <v>0.16675483336872499</v>
      </c>
      <c r="N28">
        <f t="shared" si="4"/>
        <v>4.7976147139952609E-5</v>
      </c>
      <c r="O28">
        <f t="shared" si="5"/>
        <v>0.42537007014474837</v>
      </c>
      <c r="P28">
        <f t="shared" si="6"/>
        <v>5.9155593055957526E-4</v>
      </c>
      <c r="Q28">
        <f t="shared" si="7"/>
        <v>0.2677832634990584</v>
      </c>
      <c r="R28">
        <f t="shared" si="8"/>
        <v>5.476752817429488E-2</v>
      </c>
      <c r="S28">
        <f t="shared" si="9"/>
        <v>2.7719091315901789E-2</v>
      </c>
      <c r="T28">
        <f t="shared" si="10"/>
        <v>5.6965681419572041E-2</v>
      </c>
      <c r="U28">
        <f t="shared" si="2"/>
        <v>0.10594181176114648</v>
      </c>
      <c r="V28">
        <f t="shared" si="3"/>
        <v>0.89405818823885363</v>
      </c>
    </row>
    <row r="29" spans="1:22" hidden="1" x14ac:dyDescent="0.25">
      <c r="A29" t="s">
        <v>102</v>
      </c>
      <c r="B29">
        <v>13978.92747603566</v>
      </c>
      <c r="C29">
        <v>1.9552912729294949</v>
      </c>
      <c r="D29">
        <v>0</v>
      </c>
      <c r="E29">
        <v>1.954713537349825</v>
      </c>
      <c r="F29">
        <v>5.8465919066998988E-2</v>
      </c>
      <c r="G29">
        <v>1.330953670725054</v>
      </c>
      <c r="H29">
        <v>1.260914239001661</v>
      </c>
      <c r="I29">
        <v>0.96443058688700656</v>
      </c>
      <c r="J29">
        <v>0.54577527917761448</v>
      </c>
      <c r="K29">
        <v>32.707912142878087</v>
      </c>
      <c r="L29">
        <v>1543.921415674592</v>
      </c>
      <c r="M29">
        <f t="shared" si="0"/>
        <v>0.24227501275592614</v>
      </c>
      <c r="N29">
        <f t="shared" si="4"/>
        <v>0</v>
      </c>
      <c r="O29">
        <f t="shared" si="5"/>
        <v>0.24220342705569214</v>
      </c>
      <c r="P29">
        <f t="shared" si="6"/>
        <v>7.2443586711875485E-3</v>
      </c>
      <c r="Q29">
        <f t="shared" si="7"/>
        <v>0.16491497815020756</v>
      </c>
      <c r="R29">
        <f t="shared" si="8"/>
        <v>0.15623657588394085</v>
      </c>
      <c r="S29">
        <f t="shared" si="9"/>
        <v>0.11950006424883185</v>
      </c>
      <c r="T29">
        <f t="shared" si="10"/>
        <v>6.7625583234213957E-2</v>
      </c>
      <c r="U29">
        <f t="shared" si="2"/>
        <v>2.0745467286312432E-2</v>
      </c>
      <c r="V29">
        <f t="shared" si="3"/>
        <v>0.97925453271368756</v>
      </c>
    </row>
    <row r="30" spans="1:22" hidden="1" x14ac:dyDescent="0.25">
      <c r="A30" t="s">
        <v>139</v>
      </c>
      <c r="B30">
        <v>36606.477069982058</v>
      </c>
      <c r="C30">
        <v>94.289279795747518</v>
      </c>
      <c r="D30">
        <v>6.7064294710365274E-3</v>
      </c>
      <c r="E30">
        <v>10.2385159328478</v>
      </c>
      <c r="F30">
        <v>1.152279346195164E-2</v>
      </c>
      <c r="G30">
        <v>44.189589307799032</v>
      </c>
      <c r="H30">
        <v>3.7614713979835379</v>
      </c>
      <c r="I30">
        <v>1.650610514541335</v>
      </c>
      <c r="J30">
        <v>1.121201413856562</v>
      </c>
      <c r="K30">
        <v>32.767167917960883</v>
      </c>
      <c r="L30">
        <v>102.7697818930092</v>
      </c>
      <c r="M30">
        <f t="shared" si="0"/>
        <v>0.60726443777125172</v>
      </c>
      <c r="N30">
        <f t="shared" si="4"/>
        <v>4.3192355811855764E-5</v>
      </c>
      <c r="O30">
        <f t="shared" si="5"/>
        <v>6.5940546317050486E-2</v>
      </c>
      <c r="P30">
        <f t="shared" si="6"/>
        <v>7.4211858531365112E-5</v>
      </c>
      <c r="Q30">
        <f t="shared" si="7"/>
        <v>0.28460039322045338</v>
      </c>
      <c r="R30">
        <f t="shared" si="8"/>
        <v>2.4225530395790933E-2</v>
      </c>
      <c r="S30">
        <f t="shared" si="9"/>
        <v>1.0630657782768079E-2</v>
      </c>
      <c r="T30">
        <f t="shared" si="10"/>
        <v>7.2210302983419855E-3</v>
      </c>
      <c r="U30">
        <f t="shared" si="2"/>
        <v>0.24175819187063319</v>
      </c>
      <c r="V30">
        <f t="shared" si="3"/>
        <v>0.75824180812936681</v>
      </c>
    </row>
    <row r="31" spans="1:22" x14ac:dyDescent="0.25">
      <c r="A31" t="s">
        <v>141</v>
      </c>
      <c r="B31">
        <v>26929.051965073821</v>
      </c>
      <c r="C31">
        <v>168.7166276143117</v>
      </c>
      <c r="D31">
        <v>3.4869190271701318E-3</v>
      </c>
      <c r="E31">
        <v>13.63231444622266</v>
      </c>
      <c r="F31">
        <v>4.6356679619819513E-2</v>
      </c>
      <c r="G31">
        <v>47.25406133267343</v>
      </c>
      <c r="H31">
        <v>1.3279972082158891</v>
      </c>
      <c r="I31">
        <v>2.1504539909623488</v>
      </c>
      <c r="J31">
        <v>4.4105062027621864</v>
      </c>
      <c r="K31">
        <v>145.79305692549531</v>
      </c>
      <c r="L31">
        <v>315.11655739208311</v>
      </c>
      <c r="M31">
        <f t="shared" si="0"/>
        <v>0.71026078144381866</v>
      </c>
      <c r="N31">
        <f t="shared" si="4"/>
        <v>1.4679180517588141E-5</v>
      </c>
      <c r="O31">
        <f t="shared" si="5"/>
        <v>5.7389117174605188E-2</v>
      </c>
      <c r="P31">
        <f t="shared" si="6"/>
        <v>1.9515166914775859E-4</v>
      </c>
      <c r="Q31">
        <f t="shared" si="7"/>
        <v>0.19892945350510163</v>
      </c>
      <c r="R31">
        <f t="shared" si="8"/>
        <v>5.59058314642733E-3</v>
      </c>
      <c r="S31">
        <f t="shared" si="9"/>
        <v>9.052949633224729E-3</v>
      </c>
      <c r="T31">
        <f t="shared" si="10"/>
        <v>1.8567284247157097E-2</v>
      </c>
      <c r="U31">
        <f t="shared" si="2"/>
        <v>0.31631593786854745</v>
      </c>
      <c r="V31">
        <f t="shared" si="3"/>
        <v>0.6836840621314525</v>
      </c>
    </row>
    <row r="32" spans="1:22" x14ac:dyDescent="0.25">
      <c r="A32" t="s">
        <v>119</v>
      </c>
      <c r="B32">
        <v>10974.599498306419</v>
      </c>
      <c r="C32">
        <v>0.88061259402298464</v>
      </c>
      <c r="D32">
        <v>8.5979858885785109E-6</v>
      </c>
      <c r="E32">
        <v>63.396961526879721</v>
      </c>
      <c r="F32">
        <v>1.871008806830176E-3</v>
      </c>
      <c r="G32">
        <v>5.8183276261629544</v>
      </c>
      <c r="H32">
        <v>6.6342087012336362E-2</v>
      </c>
      <c r="I32">
        <v>5.1833416500959252E-3</v>
      </c>
      <c r="J32">
        <v>8.393650298012062E-2</v>
      </c>
      <c r="K32">
        <v>6.6575613044411659</v>
      </c>
      <c r="L32">
        <v>105.4720040532786</v>
      </c>
      <c r="M32">
        <f t="shared" si="0"/>
        <v>1.2534831885899964E-2</v>
      </c>
      <c r="N32">
        <f t="shared" si="4"/>
        <v>1.2238560793040267E-7</v>
      </c>
      <c r="O32">
        <f t="shared" si="5"/>
        <v>0.90240618883945212</v>
      </c>
      <c r="P32">
        <f t="shared" si="6"/>
        <v>2.6632347765449289E-5</v>
      </c>
      <c r="Q32">
        <f t="shared" si="7"/>
        <v>8.2819345471609823E-2</v>
      </c>
      <c r="R32">
        <f t="shared" si="8"/>
        <v>9.4432774786965934E-4</v>
      </c>
      <c r="S32">
        <f t="shared" si="9"/>
        <v>7.3780816481759185E-5</v>
      </c>
      <c r="T32">
        <f t="shared" si="10"/>
        <v>1.1947705053133638E-3</v>
      </c>
      <c r="U32">
        <f t="shared" si="2"/>
        <v>5.9373826012809161E-2</v>
      </c>
      <c r="V32">
        <f t="shared" si="3"/>
        <v>0.94062617398719095</v>
      </c>
    </row>
    <row r="33" spans="1:22" hidden="1" x14ac:dyDescent="0.25">
      <c r="A33" t="s">
        <v>106</v>
      </c>
      <c r="B33">
        <v>9130.9997121729793</v>
      </c>
      <c r="C33">
        <v>1.99057345892022</v>
      </c>
      <c r="D33">
        <v>0</v>
      </c>
      <c r="E33">
        <v>0.96962745993112287</v>
      </c>
      <c r="F33">
        <v>5.6257917630627742E-3</v>
      </c>
      <c r="G33">
        <v>2.4385567738661509</v>
      </c>
      <c r="H33">
        <v>0.2081212149891114</v>
      </c>
      <c r="I33">
        <v>0.32281728277382932</v>
      </c>
      <c r="J33">
        <v>0.13987803439962521</v>
      </c>
      <c r="K33">
        <v>17.0518183969657</v>
      </c>
      <c r="L33">
        <v>497.16335561651681</v>
      </c>
      <c r="M33">
        <f t="shared" si="0"/>
        <v>0.32765562507687118</v>
      </c>
      <c r="N33">
        <f t="shared" si="4"/>
        <v>0</v>
      </c>
      <c r="O33">
        <f t="shared" si="5"/>
        <v>0.15960420352824775</v>
      </c>
      <c r="P33">
        <f t="shared" si="6"/>
        <v>9.2602576831228849E-4</v>
      </c>
      <c r="Q33">
        <f t="shared" si="7"/>
        <v>0.40139530668713458</v>
      </c>
      <c r="R33">
        <f t="shared" si="8"/>
        <v>3.4257508299143986E-2</v>
      </c>
      <c r="S33">
        <f t="shared" si="9"/>
        <v>5.3136897861710802E-2</v>
      </c>
      <c r="T33">
        <f t="shared" si="10"/>
        <v>2.3024432778579598E-2</v>
      </c>
      <c r="U33">
        <f t="shared" si="2"/>
        <v>3.316086194787906E-2</v>
      </c>
      <c r="V33">
        <f t="shared" si="3"/>
        <v>0.96683913805212096</v>
      </c>
    </row>
    <row r="34" spans="1:22" hidden="1" x14ac:dyDescent="0.25">
      <c r="A34" t="s">
        <v>132</v>
      </c>
      <c r="B34">
        <v>26498.15265802302</v>
      </c>
      <c r="C34">
        <v>0.65009857180369324</v>
      </c>
      <c r="D34">
        <v>1.8027949242299329E-4</v>
      </c>
      <c r="E34">
        <v>20.560481528784312</v>
      </c>
      <c r="F34">
        <v>8.976586191516442E-4</v>
      </c>
      <c r="G34">
        <v>1.175843667326544</v>
      </c>
      <c r="H34">
        <v>5.2157800173238289E-2</v>
      </c>
      <c r="I34">
        <v>1.736821649797796E-2</v>
      </c>
      <c r="J34">
        <v>0.13885516360272371</v>
      </c>
      <c r="K34">
        <v>1.0416606935377151</v>
      </c>
      <c r="L34">
        <v>38.227023402649337</v>
      </c>
      <c r="M34">
        <f t="shared" ref="M34:M65" si="11">C34/SUM($C34:$J34)</f>
        <v>2.8770664774415592E-2</v>
      </c>
      <c r="N34">
        <f t="shared" si="4"/>
        <v>7.9784221457572346E-6</v>
      </c>
      <c r="O34">
        <f t="shared" si="5"/>
        <v>0.90992158315930116</v>
      </c>
      <c r="P34">
        <f t="shared" si="6"/>
        <v>3.9726645056029071E-5</v>
      </c>
      <c r="Q34">
        <f t="shared" si="7"/>
        <v>5.2037960775565044E-2</v>
      </c>
      <c r="R34">
        <f t="shared" si="8"/>
        <v>2.3082877724092689E-3</v>
      </c>
      <c r="S34">
        <f t="shared" si="9"/>
        <v>7.6864518130904068E-4</v>
      </c>
      <c r="T34">
        <f t="shared" si="10"/>
        <v>6.1451532697981868E-3</v>
      </c>
      <c r="U34">
        <f t="shared" ref="U34:U65" si="12">K34/($K34+$L34)</f>
        <v>2.652649859583299E-2</v>
      </c>
      <c r="V34">
        <f t="shared" ref="V34:V65" si="13">L34/($K34+$L34)</f>
        <v>0.973473501404167</v>
      </c>
    </row>
    <row r="35" spans="1:22" x14ac:dyDescent="0.25">
      <c r="A35" t="s">
        <v>133</v>
      </c>
      <c r="B35">
        <v>16686.589257831722</v>
      </c>
      <c r="C35">
        <v>1.7716735943208661E-2</v>
      </c>
      <c r="D35">
        <v>5.7805906780792878E-4</v>
      </c>
      <c r="E35">
        <v>0.81556297085809182</v>
      </c>
      <c r="F35">
        <v>6.825396885815945E-3</v>
      </c>
      <c r="G35">
        <v>1.061294107776519</v>
      </c>
      <c r="H35">
        <v>4.7769162790895353E-2</v>
      </c>
      <c r="I35">
        <v>36.847014532993022</v>
      </c>
      <c r="J35">
        <v>6.6046508435698731E-2</v>
      </c>
      <c r="K35">
        <v>47.249223287687762</v>
      </c>
      <c r="L35">
        <v>506.0182545868488</v>
      </c>
      <c r="M35">
        <f t="shared" si="11"/>
        <v>4.5587895199591851E-4</v>
      </c>
      <c r="N35">
        <f t="shared" ref="N35:N66" si="14">D35/SUM($C35:$J35)</f>
        <v>1.4874351735486183E-5</v>
      </c>
      <c r="O35">
        <f t="shared" ref="O35:O66" si="15">E35/SUM($C35:$J35)</f>
        <v>2.0985693619483315E-2</v>
      </c>
      <c r="P35">
        <f t="shared" ref="P35:P66" si="16">F35/SUM($C35:$J35)</f>
        <v>1.7562799317188718E-4</v>
      </c>
      <c r="Q35">
        <f t="shared" ref="Q35:Q66" si="17">G35/SUM($C35:$J35)</f>
        <v>2.7308734925186134E-2</v>
      </c>
      <c r="R35">
        <f t="shared" ref="R35:R66" si="18">H35/SUM($C35:$J35)</f>
        <v>1.2291742644154236E-3</v>
      </c>
      <c r="S35">
        <f t="shared" ref="S35:S66" si="19">I35/SUM($C35:$J35)</f>
        <v>0.94813053732498132</v>
      </c>
      <c r="T35">
        <f t="shared" ref="T35:T66" si="20">J35/SUM($C35:$J35)</f>
        <v>1.6994785690305253E-3</v>
      </c>
      <c r="U35">
        <f t="shared" si="12"/>
        <v>8.5400326563930762E-2</v>
      </c>
      <c r="V35">
        <f t="shared" si="13"/>
        <v>0.91459967343606929</v>
      </c>
    </row>
    <row r="36" spans="1:22" hidden="1" x14ac:dyDescent="0.25">
      <c r="A36" t="s">
        <v>120</v>
      </c>
      <c r="B36">
        <v>17814.618629574288</v>
      </c>
      <c r="C36">
        <v>1.798780360655448</v>
      </c>
      <c r="D36">
        <v>0</v>
      </c>
      <c r="E36">
        <v>1.342417167649322</v>
      </c>
      <c r="F36">
        <v>2.5673547463210639E-5</v>
      </c>
      <c r="G36">
        <v>1.217628833473376</v>
      </c>
      <c r="H36">
        <v>0.1506335550378482</v>
      </c>
      <c r="I36">
        <v>0.73324775305354917</v>
      </c>
      <c r="J36">
        <v>6.8317532983082907E-3</v>
      </c>
      <c r="K36">
        <v>4.3370034290379573</v>
      </c>
      <c r="L36">
        <v>44.219301298576653</v>
      </c>
      <c r="M36">
        <f t="shared" si="11"/>
        <v>0.34265321555512401</v>
      </c>
      <c r="N36">
        <f t="shared" si="14"/>
        <v>0</v>
      </c>
      <c r="O36">
        <f t="shared" si="15"/>
        <v>0.25571969161584085</v>
      </c>
      <c r="P36">
        <f t="shared" si="16"/>
        <v>4.890604648235477E-6</v>
      </c>
      <c r="Q36">
        <f t="shared" si="17"/>
        <v>0.23194851593234914</v>
      </c>
      <c r="R36">
        <f t="shared" si="18"/>
        <v>2.8694482735741395E-2</v>
      </c>
      <c r="S36">
        <f t="shared" si="19"/>
        <v>0.13967780940793492</v>
      </c>
      <c r="T36">
        <f t="shared" si="20"/>
        <v>1.3013941483615398E-3</v>
      </c>
      <c r="U36">
        <f t="shared" si="12"/>
        <v>8.9319058634448487E-2</v>
      </c>
      <c r="V36">
        <f t="shared" si="13"/>
        <v>0.91068094136555156</v>
      </c>
    </row>
    <row r="37" spans="1:22" hidden="1" x14ac:dyDescent="0.25">
      <c r="A37" t="s">
        <v>110</v>
      </c>
      <c r="B37">
        <v>5166.8535909133188</v>
      </c>
      <c r="C37">
        <v>1.4662658612666539</v>
      </c>
      <c r="D37">
        <v>1.635014402777336E-2</v>
      </c>
      <c r="E37">
        <v>0.71105066447284881</v>
      </c>
      <c r="F37">
        <v>6.8625672551112047E-3</v>
      </c>
      <c r="G37">
        <v>1.5759761579129781</v>
      </c>
      <c r="H37">
        <v>0.3078912482557794</v>
      </c>
      <c r="I37">
        <v>0.3152571272628486</v>
      </c>
      <c r="J37">
        <v>1.3130495748759401E-2</v>
      </c>
      <c r="K37">
        <v>2.6334572156046989</v>
      </c>
      <c r="L37">
        <v>1039.2922307370441</v>
      </c>
      <c r="M37">
        <f t="shared" si="11"/>
        <v>0.33227680593785092</v>
      </c>
      <c r="N37">
        <f t="shared" si="14"/>
        <v>3.7051763787770281E-3</v>
      </c>
      <c r="O37">
        <f t="shared" si="15"/>
        <v>0.16113424576831067</v>
      </c>
      <c r="P37">
        <f t="shared" si="16"/>
        <v>1.5551558474478781E-3</v>
      </c>
      <c r="Q37">
        <f t="shared" si="17"/>
        <v>0.35713872757915766</v>
      </c>
      <c r="R37">
        <f t="shared" si="18"/>
        <v>6.9772558476039678E-2</v>
      </c>
      <c r="S37">
        <f t="shared" si="19"/>
        <v>7.1441771961839109E-2</v>
      </c>
      <c r="T37">
        <f t="shared" si="20"/>
        <v>2.9755580505770635E-3</v>
      </c>
      <c r="U37">
        <f t="shared" si="12"/>
        <v>2.5274904401093707E-3</v>
      </c>
      <c r="V37">
        <f t="shared" si="13"/>
        <v>0.99747250955989064</v>
      </c>
    </row>
    <row r="38" spans="1:22" x14ac:dyDescent="0.25">
      <c r="A38" t="s">
        <v>116</v>
      </c>
      <c r="B38">
        <v>10821.216556128329</v>
      </c>
      <c r="C38">
        <v>23.05798377777257</v>
      </c>
      <c r="D38">
        <v>0</v>
      </c>
      <c r="E38">
        <v>1.6240214180148871</v>
      </c>
      <c r="F38">
        <v>7.5109460983119034E-2</v>
      </c>
      <c r="G38">
        <v>8.1569376799235656</v>
      </c>
      <c r="H38">
        <v>3.3746566764509098</v>
      </c>
      <c r="I38">
        <v>1.2858776569752011</v>
      </c>
      <c r="J38">
        <v>0.39093430173875982</v>
      </c>
      <c r="K38">
        <v>218.71126009046941</v>
      </c>
      <c r="L38">
        <v>1887.2058286426429</v>
      </c>
      <c r="M38">
        <f t="shared" si="11"/>
        <v>0.60734011248953279</v>
      </c>
      <c r="N38">
        <f t="shared" si="14"/>
        <v>0</v>
      </c>
      <c r="O38">
        <f t="shared" si="15"/>
        <v>4.2776218433000092E-2</v>
      </c>
      <c r="P38">
        <f t="shared" si="16"/>
        <v>1.9783598133367385E-3</v>
      </c>
      <c r="Q38">
        <f t="shared" si="17"/>
        <v>0.21485119843264339</v>
      </c>
      <c r="R38">
        <f t="shared" si="18"/>
        <v>8.8887405995357979E-2</v>
      </c>
      <c r="S38">
        <f t="shared" si="19"/>
        <v>3.3869617064607789E-2</v>
      </c>
      <c r="T38">
        <f t="shared" si="20"/>
        <v>1.0297087771521166E-2</v>
      </c>
      <c r="U38">
        <f t="shared" si="12"/>
        <v>0.1038555892160231</v>
      </c>
      <c r="V38">
        <f t="shared" si="13"/>
        <v>0.89614441078397689</v>
      </c>
    </row>
    <row r="39" spans="1:22" hidden="1" x14ac:dyDescent="0.25">
      <c r="A39" t="s">
        <v>130</v>
      </c>
      <c r="B39">
        <v>25611.025428395471</v>
      </c>
      <c r="C39">
        <v>12.458915426290989</v>
      </c>
      <c r="D39">
        <v>0</v>
      </c>
      <c r="E39">
        <v>1.087910709626176</v>
      </c>
      <c r="F39">
        <v>1.016143435336724E-2</v>
      </c>
      <c r="G39">
        <v>4.1743739117719194</v>
      </c>
      <c r="H39">
        <v>4.2698761161539069</v>
      </c>
      <c r="I39">
        <v>0.16898295989790471</v>
      </c>
      <c r="J39">
        <v>0.45139592807637802</v>
      </c>
      <c r="K39">
        <v>13.487357840228579</v>
      </c>
      <c r="L39">
        <v>74.774656526592992</v>
      </c>
      <c r="M39">
        <f t="shared" si="11"/>
        <v>0.55075265880789503</v>
      </c>
      <c r="N39">
        <f t="shared" si="14"/>
        <v>0</v>
      </c>
      <c r="O39">
        <f t="shared" si="15"/>
        <v>4.8091643242703402E-2</v>
      </c>
      <c r="P39">
        <f t="shared" si="16"/>
        <v>4.4919134578995585E-4</v>
      </c>
      <c r="Q39">
        <f t="shared" si="17"/>
        <v>0.18453031039244502</v>
      </c>
      <c r="R39">
        <f t="shared" si="18"/>
        <v>0.18875203364729604</v>
      </c>
      <c r="S39">
        <f t="shared" si="19"/>
        <v>7.4699772229455718E-3</v>
      </c>
      <c r="T39">
        <f t="shared" si="20"/>
        <v>1.9954185340925201E-2</v>
      </c>
      <c r="U39">
        <f t="shared" si="12"/>
        <v>0.15281044667952412</v>
      </c>
      <c r="V39">
        <f t="shared" si="13"/>
        <v>0.84718955332047585</v>
      </c>
    </row>
    <row r="40" spans="1:22" hidden="1" x14ac:dyDescent="0.25">
      <c r="A40" t="s">
        <v>113</v>
      </c>
      <c r="B40">
        <v>35167.658047196557</v>
      </c>
      <c r="C40">
        <v>263.00590741005931</v>
      </c>
      <c r="D40">
        <v>1.019334849820666E-2</v>
      </c>
      <c r="E40">
        <v>23.870830379070469</v>
      </c>
      <c r="F40">
        <v>5.7879473081771153E-2</v>
      </c>
      <c r="G40">
        <v>91.443650640472455</v>
      </c>
      <c r="H40">
        <v>5.0894686061994268</v>
      </c>
      <c r="I40">
        <v>3.801064505503684</v>
      </c>
      <c r="J40">
        <v>5.531707616618748</v>
      </c>
      <c r="K40">
        <v>178.56022484345621</v>
      </c>
      <c r="L40">
        <v>417.88633928509228</v>
      </c>
      <c r="M40">
        <f t="shared" si="11"/>
        <v>0.66954873195838316</v>
      </c>
      <c r="N40">
        <f t="shared" si="14"/>
        <v>2.5949772872375875E-5</v>
      </c>
      <c r="O40">
        <f t="shared" si="15"/>
        <v>6.0769297421830404E-2</v>
      </c>
      <c r="P40">
        <f t="shared" si="16"/>
        <v>1.4734698619486993E-4</v>
      </c>
      <c r="Q40">
        <f t="shared" si="17"/>
        <v>0.23279317538869845</v>
      </c>
      <c r="R40">
        <f t="shared" si="18"/>
        <v>1.2956542631226435E-2</v>
      </c>
      <c r="S40">
        <f t="shared" si="19"/>
        <v>9.6765808221335441E-3</v>
      </c>
      <c r="T40">
        <f t="shared" si="20"/>
        <v>1.4082375018660716E-2</v>
      </c>
      <c r="U40">
        <f t="shared" si="12"/>
        <v>0.29937338159428512</v>
      </c>
      <c r="V40">
        <f t="shared" si="13"/>
        <v>0.70062661840571483</v>
      </c>
    </row>
    <row r="41" spans="1:22" hidden="1" x14ac:dyDescent="0.25">
      <c r="A41" t="s">
        <v>114</v>
      </c>
      <c r="B41">
        <v>9848.8843294309481</v>
      </c>
      <c r="C41">
        <v>1.819816783763416</v>
      </c>
      <c r="D41">
        <v>0</v>
      </c>
      <c r="E41">
        <v>0.1296880575051361</v>
      </c>
      <c r="F41">
        <v>6.5156874466190708E-3</v>
      </c>
      <c r="G41">
        <v>1.582852788558246</v>
      </c>
      <c r="H41">
        <v>0.39051276823635722</v>
      </c>
      <c r="I41">
        <v>0.26400798556503091</v>
      </c>
      <c r="J41">
        <v>0.1251523254477544</v>
      </c>
      <c r="K41">
        <v>24.31495896559565</v>
      </c>
      <c r="L41">
        <v>578.72205356582333</v>
      </c>
      <c r="M41">
        <f t="shared" si="11"/>
        <v>0.42139567731142002</v>
      </c>
      <c r="N41">
        <f t="shared" si="14"/>
        <v>0</v>
      </c>
      <c r="O41">
        <f t="shared" si="15"/>
        <v>3.0030488409147425E-2</v>
      </c>
      <c r="P41">
        <f t="shared" si="16"/>
        <v>1.5087686569410772E-3</v>
      </c>
      <c r="Q41">
        <f t="shared" si="17"/>
        <v>0.36652443744330571</v>
      </c>
      <c r="R41">
        <f t="shared" si="18"/>
        <v>9.0426901179251284E-2</v>
      </c>
      <c r="S41">
        <f t="shared" si="19"/>
        <v>6.1133529971478168E-2</v>
      </c>
      <c r="T41">
        <f t="shared" si="20"/>
        <v>2.8980197028456455E-2</v>
      </c>
      <c r="U41">
        <f t="shared" si="12"/>
        <v>4.0320840114816021E-2</v>
      </c>
      <c r="V41">
        <f t="shared" si="13"/>
        <v>0.95967915988518393</v>
      </c>
    </row>
    <row r="42" spans="1:22" hidden="1" x14ac:dyDescent="0.25">
      <c r="A42" t="s">
        <v>96</v>
      </c>
      <c r="B42">
        <v>10122.60920547274</v>
      </c>
      <c r="C42">
        <v>14.293185620868609</v>
      </c>
      <c r="D42">
        <v>0</v>
      </c>
      <c r="E42">
        <v>0.79898988164366003</v>
      </c>
      <c r="F42">
        <v>0</v>
      </c>
      <c r="G42">
        <v>0.82853569628682666</v>
      </c>
      <c r="H42">
        <v>0.27012480296003449</v>
      </c>
      <c r="I42">
        <v>0.32903924802310719</v>
      </c>
      <c r="J42">
        <v>0.16871744989355991</v>
      </c>
      <c r="K42">
        <v>4.8619081828055224</v>
      </c>
      <c r="L42">
        <v>35.042791666821671</v>
      </c>
      <c r="M42">
        <f t="shared" si="11"/>
        <v>0.85646440524288647</v>
      </c>
      <c r="N42">
        <f t="shared" si="14"/>
        <v>0</v>
      </c>
      <c r="O42">
        <f t="shared" si="15"/>
        <v>4.7876408515811021E-2</v>
      </c>
      <c r="P42">
        <f t="shared" si="16"/>
        <v>0</v>
      </c>
      <c r="Q42">
        <f t="shared" si="17"/>
        <v>4.9646828297446689E-2</v>
      </c>
      <c r="R42">
        <f t="shared" si="18"/>
        <v>1.6186194235855614E-2</v>
      </c>
      <c r="S42">
        <f t="shared" si="19"/>
        <v>1.971641671316595E-2</v>
      </c>
      <c r="T42">
        <f t="shared" si="20"/>
        <v>1.0109746994834233E-2</v>
      </c>
      <c r="U42">
        <f t="shared" si="12"/>
        <v>0.12183798402510587</v>
      </c>
      <c r="V42">
        <f t="shared" si="13"/>
        <v>0.87816201597489418</v>
      </c>
    </row>
    <row r="43" spans="1:22" x14ac:dyDescent="0.25">
      <c r="A43" t="s">
        <v>104</v>
      </c>
      <c r="B43">
        <v>8203.8802989377782</v>
      </c>
      <c r="C43">
        <v>0</v>
      </c>
      <c r="D43">
        <v>0</v>
      </c>
      <c r="E43">
        <v>0</v>
      </c>
      <c r="F43">
        <v>2.1631538663757711E-2</v>
      </c>
      <c r="G43">
        <v>2.0420762654376938</v>
      </c>
      <c r="H43">
        <v>0</v>
      </c>
      <c r="I43">
        <v>1.3879797779513059</v>
      </c>
      <c r="J43">
        <v>0</v>
      </c>
      <c r="K43">
        <v>159.94184471724739</v>
      </c>
      <c r="L43">
        <v>1276.605594670817</v>
      </c>
      <c r="M43">
        <f t="shared" si="11"/>
        <v>0</v>
      </c>
      <c r="N43">
        <f t="shared" si="14"/>
        <v>0</v>
      </c>
      <c r="O43">
        <f t="shared" si="15"/>
        <v>0</v>
      </c>
      <c r="P43">
        <f t="shared" si="16"/>
        <v>6.2669457039600295E-3</v>
      </c>
      <c r="Q43">
        <f t="shared" si="17"/>
        <v>0.59161677205538055</v>
      </c>
      <c r="R43">
        <f t="shared" si="18"/>
        <v>0</v>
      </c>
      <c r="S43">
        <f t="shared" si="19"/>
        <v>0.40211628224065937</v>
      </c>
      <c r="T43">
        <f t="shared" si="20"/>
        <v>0</v>
      </c>
      <c r="U43">
        <f t="shared" si="12"/>
        <v>0.11133766998003133</v>
      </c>
      <c r="V43">
        <f t="shared" si="13"/>
        <v>0.88866233001996864</v>
      </c>
    </row>
    <row r="44" spans="1:22" hidden="1" x14ac:dyDescent="0.25">
      <c r="A44" t="s">
        <v>117</v>
      </c>
      <c r="B44">
        <v>17486.732998120438</v>
      </c>
      <c r="C44">
        <v>1.816497096598656</v>
      </c>
      <c r="D44">
        <v>5.7805906780792878E-4</v>
      </c>
      <c r="E44">
        <v>2.1579801385074142</v>
      </c>
      <c r="F44">
        <v>6.8510704332791564E-3</v>
      </c>
      <c r="G44">
        <v>2.278922941249895</v>
      </c>
      <c r="H44">
        <v>0.19840271782874361</v>
      </c>
      <c r="I44">
        <v>37.580262286046569</v>
      </c>
      <c r="J44">
        <v>7.2878261734007022E-2</v>
      </c>
      <c r="K44">
        <v>51.586226716725719</v>
      </c>
      <c r="L44">
        <v>550.23755588542542</v>
      </c>
      <c r="M44">
        <f t="shared" si="11"/>
        <v>4.1178857329783221E-2</v>
      </c>
      <c r="N44">
        <f t="shared" si="14"/>
        <v>1.3104238881538653E-5</v>
      </c>
      <c r="O44">
        <f t="shared" si="15"/>
        <v>4.8920065113506987E-2</v>
      </c>
      <c r="P44">
        <f t="shared" si="16"/>
        <v>1.5530949785527294E-4</v>
      </c>
      <c r="Q44">
        <f t="shared" si="17"/>
        <v>5.1661763092833345E-2</v>
      </c>
      <c r="R44">
        <f t="shared" si="18"/>
        <v>4.4976659894525456E-3</v>
      </c>
      <c r="S44">
        <f t="shared" si="19"/>
        <v>0.85192112995425173</v>
      </c>
      <c r="T44">
        <f t="shared" si="20"/>
        <v>1.6521047834354657E-3</v>
      </c>
      <c r="U44">
        <f t="shared" si="12"/>
        <v>8.5716497433315844E-2</v>
      </c>
      <c r="V44">
        <f t="shared" si="13"/>
        <v>0.91428350256668411</v>
      </c>
    </row>
    <row r="45" spans="1:22" hidden="1" x14ac:dyDescent="0.25">
      <c r="A45" t="s">
        <v>142</v>
      </c>
      <c r="B45">
        <v>39341.58044996141</v>
      </c>
      <c r="C45">
        <v>2.186356991046869</v>
      </c>
      <c r="D45">
        <v>3.3064443135110859E-4</v>
      </c>
      <c r="E45">
        <v>5.1003361801518619</v>
      </c>
      <c r="F45">
        <v>2.8123349265817471E-2</v>
      </c>
      <c r="G45">
        <v>2.0831667640909699</v>
      </c>
      <c r="H45">
        <v>9.9710031693214074E-2</v>
      </c>
      <c r="I45">
        <v>6.4139499866072897E-2</v>
      </c>
      <c r="J45">
        <v>0.3174718083930464</v>
      </c>
      <c r="K45">
        <v>12.096803801614911</v>
      </c>
      <c r="L45">
        <v>51.277967092867733</v>
      </c>
      <c r="M45">
        <f t="shared" si="11"/>
        <v>0.22129936293504718</v>
      </c>
      <c r="N45">
        <f t="shared" si="14"/>
        <v>3.3467271042953249E-5</v>
      </c>
      <c r="O45">
        <f t="shared" si="15"/>
        <v>0.51624741615582903</v>
      </c>
      <c r="P45">
        <f t="shared" si="16"/>
        <v>2.8465979259614041E-3</v>
      </c>
      <c r="Q45">
        <f t="shared" si="17"/>
        <v>0.21085462240091826</v>
      </c>
      <c r="R45">
        <f t="shared" si="18"/>
        <v>1.0092481046005269E-2</v>
      </c>
      <c r="S45">
        <f t="shared" si="19"/>
        <v>6.4920918758734391E-3</v>
      </c>
      <c r="T45">
        <f t="shared" si="20"/>
        <v>3.2133960389322556E-2</v>
      </c>
      <c r="U45">
        <f t="shared" si="12"/>
        <v>0.19087727862173698</v>
      </c>
      <c r="V45">
        <f t="shared" si="13"/>
        <v>0.80912272137826302</v>
      </c>
    </row>
    <row r="46" spans="1:22" x14ac:dyDescent="0.25">
      <c r="A46" t="s">
        <v>131</v>
      </c>
      <c r="B46">
        <v>16073.64651043119</v>
      </c>
      <c r="C46">
        <v>6.0980864433197324</v>
      </c>
      <c r="D46">
        <v>1.5728596243771471E-4</v>
      </c>
      <c r="E46">
        <v>8.2715824602047405</v>
      </c>
      <c r="F46">
        <v>0.22564089556773659</v>
      </c>
      <c r="G46">
        <v>3.982703051249469</v>
      </c>
      <c r="H46">
        <v>0.43200994677900151</v>
      </c>
      <c r="I46">
        <v>0.51054585759233517</v>
      </c>
      <c r="J46">
        <v>0.95871591619216723</v>
      </c>
      <c r="K46">
        <v>210.72744597234151</v>
      </c>
      <c r="L46">
        <v>1537.3316871150059</v>
      </c>
      <c r="M46">
        <f t="shared" si="11"/>
        <v>0.29776624216322517</v>
      </c>
      <c r="N46">
        <f t="shared" si="14"/>
        <v>7.6801879434507204E-6</v>
      </c>
      <c r="O46">
        <f t="shared" si="15"/>
        <v>0.40389686974945227</v>
      </c>
      <c r="P46">
        <f t="shared" si="16"/>
        <v>1.101792212623557E-2</v>
      </c>
      <c r="Q46">
        <f t="shared" si="17"/>
        <v>0.19447322241909154</v>
      </c>
      <c r="R46">
        <f t="shared" si="18"/>
        <v>2.1094810581184391E-2</v>
      </c>
      <c r="S46">
        <f t="shared" si="19"/>
        <v>2.4929676363280757E-2</v>
      </c>
      <c r="T46">
        <f t="shared" si="20"/>
        <v>4.681357640958704E-2</v>
      </c>
      <c r="U46">
        <f t="shared" si="12"/>
        <v>0.12054938072956588</v>
      </c>
      <c r="V46">
        <f t="shared" si="13"/>
        <v>0.87945061927043411</v>
      </c>
    </row>
    <row r="47" spans="1:22" hidden="1" x14ac:dyDescent="0.25">
      <c r="A47" t="s">
        <v>112</v>
      </c>
      <c r="B47">
        <v>15929.2255907207</v>
      </c>
      <c r="C47">
        <v>0.93455117038045121</v>
      </c>
      <c r="D47">
        <v>3.1569794603056138E-4</v>
      </c>
      <c r="E47">
        <v>1.071178776592371</v>
      </c>
      <c r="F47">
        <v>2.109728580227992E-2</v>
      </c>
      <c r="G47">
        <v>1.2818339329403501</v>
      </c>
      <c r="H47">
        <v>0.42270722668616378</v>
      </c>
      <c r="I47">
        <v>0.41207197364636677</v>
      </c>
      <c r="J47">
        <v>0.33778505032309641</v>
      </c>
      <c r="K47">
        <v>2.8308573582343972</v>
      </c>
      <c r="L47">
        <v>82.701121440939971</v>
      </c>
      <c r="M47">
        <f t="shared" si="11"/>
        <v>0.20853343672221486</v>
      </c>
      <c r="N47">
        <f t="shared" si="14"/>
        <v>7.0444058857790256E-5</v>
      </c>
      <c r="O47">
        <f t="shared" si="15"/>
        <v>0.23902018284966592</v>
      </c>
      <c r="P47">
        <f t="shared" si="16"/>
        <v>4.707596173753879E-3</v>
      </c>
      <c r="Q47">
        <f t="shared" si="17"/>
        <v>0.28602525342126067</v>
      </c>
      <c r="R47">
        <f t="shared" si="18"/>
        <v>9.4321845075960045E-2</v>
      </c>
      <c r="S47">
        <f t="shared" si="19"/>
        <v>9.1948721016957058E-2</v>
      </c>
      <c r="T47">
        <f t="shared" si="20"/>
        <v>7.5372520681329866E-2</v>
      </c>
      <c r="U47">
        <f t="shared" si="12"/>
        <v>3.3097063788049802E-2</v>
      </c>
      <c r="V47">
        <f t="shared" si="13"/>
        <v>0.96690293621195023</v>
      </c>
    </row>
    <row r="48" spans="1:22" x14ac:dyDescent="0.25">
      <c r="A48" t="s">
        <v>123</v>
      </c>
      <c r="B48">
        <v>12047.36614825924</v>
      </c>
      <c r="C48">
        <v>4.2123638389193498</v>
      </c>
      <c r="D48">
        <v>9.4241531641590145E-4</v>
      </c>
      <c r="E48">
        <v>2.028643090661105</v>
      </c>
      <c r="F48">
        <v>2.8838851470254119E-2</v>
      </c>
      <c r="G48">
        <v>3.8834354546175058</v>
      </c>
      <c r="H48">
        <v>1.071277584851839</v>
      </c>
      <c r="I48">
        <v>1.7949336876181019</v>
      </c>
      <c r="J48">
        <v>1.963416490156709</v>
      </c>
      <c r="K48">
        <v>92.180466786232472</v>
      </c>
      <c r="L48">
        <v>2471.9829020554162</v>
      </c>
      <c r="M48">
        <f t="shared" si="11"/>
        <v>0.28112690940680668</v>
      </c>
      <c r="N48">
        <f t="shared" si="14"/>
        <v>6.2895399213570323E-5</v>
      </c>
      <c r="O48">
        <f t="shared" si="15"/>
        <v>0.13538862837483109</v>
      </c>
      <c r="P48">
        <f t="shared" si="16"/>
        <v>1.9246621362019787E-3</v>
      </c>
      <c r="Q48">
        <f t="shared" si="17"/>
        <v>0.2591747173286707</v>
      </c>
      <c r="R48">
        <f t="shared" si="18"/>
        <v>7.1495475714521181E-2</v>
      </c>
      <c r="S48">
        <f t="shared" si="19"/>
        <v>0.11979120975449546</v>
      </c>
      <c r="T48">
        <f t="shared" si="20"/>
        <v>0.1310355018852595</v>
      </c>
      <c r="U48">
        <f t="shared" si="12"/>
        <v>3.5949529544942627E-2</v>
      </c>
      <c r="V48">
        <f t="shared" si="13"/>
        <v>0.96405047045505732</v>
      </c>
    </row>
    <row r="49" spans="1:22" hidden="1" x14ac:dyDescent="0.25">
      <c r="A49" t="s">
        <v>122</v>
      </c>
      <c r="B49">
        <v>9093.5321077155022</v>
      </c>
      <c r="C49">
        <v>7.0607508835402193</v>
      </c>
      <c r="D49">
        <v>0</v>
      </c>
      <c r="E49">
        <v>2.3393927620823631</v>
      </c>
      <c r="F49">
        <v>8.3677137836404861E-2</v>
      </c>
      <c r="G49">
        <v>2.833073251242574</v>
      </c>
      <c r="H49">
        <v>1.062979104745557</v>
      </c>
      <c r="I49">
        <v>2.3601484104104902</v>
      </c>
      <c r="J49">
        <v>0.68783052781212672</v>
      </c>
      <c r="K49">
        <v>71.788876279194881</v>
      </c>
      <c r="L49">
        <v>1611.1377548953151</v>
      </c>
      <c r="M49">
        <f t="shared" si="11"/>
        <v>0.42980365602012255</v>
      </c>
      <c r="N49">
        <f t="shared" si="14"/>
        <v>0</v>
      </c>
      <c r="O49">
        <f t="shared" si="15"/>
        <v>0.14240405568676157</v>
      </c>
      <c r="P49">
        <f t="shared" si="16"/>
        <v>5.0936140306587375E-3</v>
      </c>
      <c r="Q49">
        <f t="shared" si="17"/>
        <v>0.17245548826760806</v>
      </c>
      <c r="R49">
        <f t="shared" si="18"/>
        <v>6.4705909191284786E-2</v>
      </c>
      <c r="S49">
        <f t="shared" si="19"/>
        <v>0.14366749829812647</v>
      </c>
      <c r="T49">
        <f t="shared" si="20"/>
        <v>4.1869778505437716E-2</v>
      </c>
      <c r="U49">
        <f t="shared" si="12"/>
        <v>4.2657163389882076E-2</v>
      </c>
      <c r="V49">
        <f t="shared" si="13"/>
        <v>0.95734283661011788</v>
      </c>
    </row>
    <row r="50" spans="1:22" x14ac:dyDescent="0.25">
      <c r="A50" t="s">
        <v>84</v>
      </c>
      <c r="B50">
        <v>3005.6584499286578</v>
      </c>
      <c r="C50">
        <v>3.112700733311796</v>
      </c>
      <c r="D50">
        <v>0.25293319802110897</v>
      </c>
      <c r="E50">
        <v>1.366815228777404</v>
      </c>
      <c r="F50">
        <v>8.5727817832439004E-2</v>
      </c>
      <c r="G50">
        <v>2.4127908843006338</v>
      </c>
      <c r="H50">
        <v>0.39987030005678847</v>
      </c>
      <c r="I50">
        <v>0.86866550340011006</v>
      </c>
      <c r="J50">
        <v>6.0011202666432471E-2</v>
      </c>
      <c r="K50">
        <v>42.852543726747363</v>
      </c>
      <c r="L50">
        <v>877.55890759871704</v>
      </c>
      <c r="M50">
        <f t="shared" si="11"/>
        <v>0.3636538730501378</v>
      </c>
      <c r="N50">
        <f t="shared" si="14"/>
        <v>2.9549945518042249E-2</v>
      </c>
      <c r="O50">
        <f t="shared" si="15"/>
        <v>0.15968372621545704</v>
      </c>
      <c r="P50">
        <f t="shared" si="16"/>
        <v>1.0015499610762073E-2</v>
      </c>
      <c r="Q50">
        <f t="shared" si="17"/>
        <v>0.28188406953033673</v>
      </c>
      <c r="R50">
        <f t="shared" si="18"/>
        <v>4.6716467721153669E-2</v>
      </c>
      <c r="S50">
        <f t="shared" si="19"/>
        <v>0.10148536649085402</v>
      </c>
      <c r="T50">
        <f t="shared" si="20"/>
        <v>7.0110518632563023E-3</v>
      </c>
      <c r="U50">
        <f t="shared" si="12"/>
        <v>4.6558029743150577E-2</v>
      </c>
      <c r="V50">
        <f t="shared" si="13"/>
        <v>0.9534419702568494</v>
      </c>
    </row>
    <row r="51" spans="1:22" hidden="1" x14ac:dyDescent="0.25">
      <c r="A51" t="s">
        <v>124</v>
      </c>
      <c r="B51">
        <v>2755.553044210043</v>
      </c>
      <c r="C51">
        <v>4.9144874122995912</v>
      </c>
      <c r="D51">
        <v>0</v>
      </c>
      <c r="E51">
        <v>0.33526402946550188</v>
      </c>
      <c r="F51">
        <v>0.89801811969911227</v>
      </c>
      <c r="G51">
        <v>1.9814801590142901</v>
      </c>
      <c r="H51">
        <v>0.28864883487021231</v>
      </c>
      <c r="I51">
        <v>0.8584848321002656</v>
      </c>
      <c r="J51">
        <v>9.7569873637937884E-2</v>
      </c>
      <c r="K51">
        <v>79.206987085145485</v>
      </c>
      <c r="L51">
        <v>2822.3262362814289</v>
      </c>
      <c r="M51">
        <f t="shared" si="11"/>
        <v>0.52427052657714623</v>
      </c>
      <c r="N51">
        <f t="shared" si="14"/>
        <v>0</v>
      </c>
      <c r="O51">
        <f t="shared" si="15"/>
        <v>3.5765489770174942E-2</v>
      </c>
      <c r="P51">
        <f t="shared" si="16"/>
        <v>9.5799295631967679E-2</v>
      </c>
      <c r="Q51">
        <f t="shared" si="17"/>
        <v>0.21138148482559616</v>
      </c>
      <c r="R51">
        <f t="shared" si="18"/>
        <v>3.0792647118100043E-2</v>
      </c>
      <c r="S51">
        <f t="shared" si="19"/>
        <v>9.1581940744680485E-2</v>
      </c>
      <c r="T51">
        <f t="shared" si="20"/>
        <v>1.0408615332334682E-2</v>
      </c>
      <c r="U51">
        <f t="shared" si="12"/>
        <v>2.7298321607099729E-2</v>
      </c>
      <c r="V51">
        <f t="shared" si="13"/>
        <v>0.97270167839290023</v>
      </c>
    </row>
    <row r="52" spans="1:22" hidden="1" x14ac:dyDescent="0.25">
      <c r="A52" t="s">
        <v>85</v>
      </c>
      <c r="B52">
        <v>4606.0606412742409</v>
      </c>
      <c r="C52">
        <v>2.6482483924656282</v>
      </c>
      <c r="D52">
        <v>3.5876442543291323E-2</v>
      </c>
      <c r="E52">
        <v>2.2942067120373242</v>
      </c>
      <c r="F52">
        <v>7.0543813706547579E-3</v>
      </c>
      <c r="G52">
        <v>1.166007803191119</v>
      </c>
      <c r="H52">
        <v>0.8385821302494334</v>
      </c>
      <c r="I52">
        <v>0.42978789266441908</v>
      </c>
      <c r="J52">
        <v>0.13133540067361679</v>
      </c>
      <c r="K52">
        <v>2.0294804898471428</v>
      </c>
      <c r="L52">
        <v>21.3473160866786</v>
      </c>
      <c r="M52">
        <f t="shared" si="11"/>
        <v>0.35071031886046911</v>
      </c>
      <c r="N52">
        <f t="shared" si="14"/>
        <v>4.7511550048454547E-3</v>
      </c>
      <c r="O52">
        <f t="shared" si="15"/>
        <v>0.30382420689825129</v>
      </c>
      <c r="P52">
        <f t="shared" si="16"/>
        <v>9.3421914156709693E-4</v>
      </c>
      <c r="Q52">
        <f t="shared" si="17"/>
        <v>0.15441563926343818</v>
      </c>
      <c r="R52">
        <f t="shared" si="18"/>
        <v>0.1110543131555162</v>
      </c>
      <c r="S52">
        <f t="shared" si="19"/>
        <v>5.6917262484721343E-2</v>
      </c>
      <c r="T52">
        <f t="shared" si="20"/>
        <v>1.739288519119131E-2</v>
      </c>
      <c r="U52">
        <f t="shared" si="12"/>
        <v>8.6816022169824786E-2</v>
      </c>
      <c r="V52">
        <f t="shared" si="13"/>
        <v>0.91318397783017524</v>
      </c>
    </row>
    <row r="53" spans="1:22" hidden="1" x14ac:dyDescent="0.25">
      <c r="A53" t="s">
        <v>126</v>
      </c>
      <c r="B53">
        <v>2956.8933866055172</v>
      </c>
      <c r="C53">
        <v>5.6559829578152474</v>
      </c>
      <c r="D53">
        <v>0</v>
      </c>
      <c r="E53">
        <v>0.20132408550775169</v>
      </c>
      <c r="F53">
        <v>1.336744237078594E-2</v>
      </c>
      <c r="G53">
        <v>4.4473465714571097</v>
      </c>
      <c r="H53">
        <v>8.3077312034047515E-2</v>
      </c>
      <c r="I53">
        <v>0.84551751032948297</v>
      </c>
      <c r="J53">
        <v>0.24417524682657041</v>
      </c>
      <c r="K53">
        <v>11.254793448019941</v>
      </c>
      <c r="L53">
        <v>2621.389811036745</v>
      </c>
      <c r="M53">
        <f t="shared" si="11"/>
        <v>0.49221875984236768</v>
      </c>
      <c r="N53">
        <f t="shared" si="14"/>
        <v>0</v>
      </c>
      <c r="O53">
        <f t="shared" si="15"/>
        <v>1.7520472114948206E-2</v>
      </c>
      <c r="P53">
        <f t="shared" si="16"/>
        <v>1.1633178450300948E-3</v>
      </c>
      <c r="Q53">
        <f t="shared" si="17"/>
        <v>0.38703571604066528</v>
      </c>
      <c r="R53">
        <f t="shared" si="18"/>
        <v>7.2299035915468577E-3</v>
      </c>
      <c r="S53">
        <f t="shared" si="19"/>
        <v>7.3582184292886071E-2</v>
      </c>
      <c r="T53">
        <f t="shared" si="20"/>
        <v>2.1249646272555909E-2</v>
      </c>
      <c r="U53">
        <f t="shared" si="12"/>
        <v>4.2750903136895748E-3</v>
      </c>
      <c r="V53">
        <f t="shared" si="13"/>
        <v>0.99572490968631044</v>
      </c>
    </row>
    <row r="54" spans="1:22" hidden="1" x14ac:dyDescent="0.25">
      <c r="A54" t="s">
        <v>81</v>
      </c>
      <c r="B54">
        <v>3794.7797889383742</v>
      </c>
      <c r="C54">
        <v>0.17229543006490541</v>
      </c>
      <c r="D54">
        <v>0</v>
      </c>
      <c r="E54">
        <v>8.4358906681812479E-2</v>
      </c>
      <c r="F54">
        <v>1.8643740882903089E-3</v>
      </c>
      <c r="G54">
        <v>0.36052736760687037</v>
      </c>
      <c r="H54">
        <v>2.766303516296832E-3</v>
      </c>
      <c r="I54">
        <v>4.1969187071261632E-3</v>
      </c>
      <c r="J54">
        <v>4.9552102121481591E-3</v>
      </c>
      <c r="K54">
        <v>0.45891254739078952</v>
      </c>
      <c r="L54">
        <v>28.2329070924517</v>
      </c>
      <c r="M54">
        <f t="shared" si="11"/>
        <v>0.27306675271688907</v>
      </c>
      <c r="N54">
        <f t="shared" si="14"/>
        <v>0</v>
      </c>
      <c r="O54">
        <f t="shared" si="15"/>
        <v>0.13369833838118553</v>
      </c>
      <c r="P54">
        <f t="shared" si="16"/>
        <v>2.9548002401872343E-3</v>
      </c>
      <c r="Q54">
        <f t="shared" si="17"/>
        <v>0.57139088077315736</v>
      </c>
      <c r="R54">
        <f t="shared" si="18"/>
        <v>4.384245815109121E-3</v>
      </c>
      <c r="S54">
        <f t="shared" si="19"/>
        <v>6.6515923396225978E-3</v>
      </c>
      <c r="T54">
        <f t="shared" si="20"/>
        <v>7.8533897338492233E-3</v>
      </c>
      <c r="U54">
        <f t="shared" si="12"/>
        <v>1.5994543153809843E-2</v>
      </c>
      <c r="V54">
        <f t="shared" si="13"/>
        <v>0.98400545684619023</v>
      </c>
    </row>
    <row r="55" spans="1:22" x14ac:dyDescent="0.25">
      <c r="A55" t="s">
        <v>78</v>
      </c>
      <c r="B55">
        <v>2305.0061703805159</v>
      </c>
      <c r="C55">
        <v>4.7421919822346847</v>
      </c>
      <c r="D55">
        <v>0</v>
      </c>
      <c r="E55">
        <v>0.25090512278368943</v>
      </c>
      <c r="F55">
        <v>0.89615374561082195</v>
      </c>
      <c r="G55">
        <v>1.62095279140742</v>
      </c>
      <c r="H55">
        <v>0.2858825313539155</v>
      </c>
      <c r="I55">
        <v>0.85428791339313948</v>
      </c>
      <c r="J55">
        <v>9.2614663425789723E-2</v>
      </c>
      <c r="K55">
        <v>78.748074537754704</v>
      </c>
      <c r="L55">
        <v>2794.0933291889769</v>
      </c>
      <c r="M55">
        <f t="shared" si="11"/>
        <v>0.54239941485925769</v>
      </c>
      <c r="N55">
        <f t="shared" si="14"/>
        <v>0</v>
      </c>
      <c r="O55">
        <f t="shared" si="15"/>
        <v>2.8697866364940518E-2</v>
      </c>
      <c r="P55">
        <f t="shared" si="16"/>
        <v>0.10249970247180659</v>
      </c>
      <c r="Q55">
        <f t="shared" si="17"/>
        <v>0.1854003062017649</v>
      </c>
      <c r="R55">
        <f t="shared" si="18"/>
        <v>3.2698490129827333E-2</v>
      </c>
      <c r="S55">
        <f t="shared" si="19"/>
        <v>9.7711198973311361E-2</v>
      </c>
      <c r="T55">
        <f t="shared" si="20"/>
        <v>1.0593020999091518E-2</v>
      </c>
      <c r="U55">
        <f t="shared" si="12"/>
        <v>2.7411215403537578E-2</v>
      </c>
      <c r="V55">
        <f t="shared" si="13"/>
        <v>0.97258878459646236</v>
      </c>
    </row>
    <row r="56" spans="1:22" hidden="1" x14ac:dyDescent="0.25">
      <c r="A56" t="s">
        <v>129</v>
      </c>
      <c r="B56">
        <v>1904.82324488873</v>
      </c>
      <c r="C56">
        <v>0.86644863267387717</v>
      </c>
      <c r="D56">
        <v>4.3975265163501446E-3</v>
      </c>
      <c r="E56">
        <v>0.25685704543966559</v>
      </c>
      <c r="F56">
        <v>2.9476225332918649E-2</v>
      </c>
      <c r="G56">
        <v>1.251467675421285</v>
      </c>
      <c r="H56">
        <v>1.215507062328147</v>
      </c>
      <c r="I56">
        <v>0.78208936136665563</v>
      </c>
      <c r="J56">
        <v>0.25736325543687799</v>
      </c>
      <c r="K56">
        <v>7.3983856264252292</v>
      </c>
      <c r="L56">
        <v>2920.8092149111321</v>
      </c>
      <c r="M56">
        <f t="shared" si="11"/>
        <v>0.18578938420595012</v>
      </c>
      <c r="N56">
        <f t="shared" si="14"/>
        <v>9.4294538959650755E-4</v>
      </c>
      <c r="O56">
        <f t="shared" si="15"/>
        <v>5.5076908776376422E-2</v>
      </c>
      <c r="P56">
        <f t="shared" si="16"/>
        <v>6.3204782681906945E-3</v>
      </c>
      <c r="Q56">
        <f t="shared" si="17"/>
        <v>0.26834759730954144</v>
      </c>
      <c r="R56">
        <f t="shared" si="18"/>
        <v>0.26063669569310688</v>
      </c>
      <c r="S56">
        <f t="shared" si="19"/>
        <v>0.16770053683843333</v>
      </c>
      <c r="T56">
        <f t="shared" si="20"/>
        <v>5.5185453518804779E-2</v>
      </c>
      <c r="U56">
        <f t="shared" si="12"/>
        <v>2.5265919073043323E-3</v>
      </c>
      <c r="V56">
        <f t="shared" si="13"/>
        <v>0.99747340809269558</v>
      </c>
    </row>
    <row r="57" spans="1:22" hidden="1" x14ac:dyDescent="0.25">
      <c r="A57" t="s">
        <v>127</v>
      </c>
      <c r="B57">
        <v>24900.766932380109</v>
      </c>
      <c r="C57">
        <v>7.0548749568459046</v>
      </c>
      <c r="D57">
        <v>1.5018027202388541E-4</v>
      </c>
      <c r="E57">
        <v>1.40525133965885</v>
      </c>
      <c r="F57">
        <v>6.3800322725451983E-2</v>
      </c>
      <c r="G57">
        <v>2.9143412433347189</v>
      </c>
      <c r="H57">
        <v>0.67130785340407073</v>
      </c>
      <c r="I57">
        <v>0.99353561128680201</v>
      </c>
      <c r="J57">
        <v>0.44454241054651922</v>
      </c>
      <c r="K57">
        <v>20.099668426725671</v>
      </c>
      <c r="L57">
        <v>236.52233489035831</v>
      </c>
      <c r="M57">
        <f t="shared" si="11"/>
        <v>0.52073937588024011</v>
      </c>
      <c r="N57">
        <f t="shared" si="14"/>
        <v>1.1085211517087834E-5</v>
      </c>
      <c r="O57">
        <f t="shared" si="15"/>
        <v>0.10372539698364555</v>
      </c>
      <c r="P57">
        <f t="shared" si="16"/>
        <v>4.7092741459252262E-3</v>
      </c>
      <c r="Q57">
        <f t="shared" si="17"/>
        <v>0.21511539884679384</v>
      </c>
      <c r="R57">
        <f t="shared" si="18"/>
        <v>4.9551045871609356E-2</v>
      </c>
      <c r="S57">
        <f t="shared" si="19"/>
        <v>7.3335547022592359E-2</v>
      </c>
      <c r="T57">
        <f t="shared" si="20"/>
        <v>3.2812876037676339E-2</v>
      </c>
      <c r="U57">
        <f t="shared" si="12"/>
        <v>7.8324025870417577E-2</v>
      </c>
      <c r="V57">
        <f t="shared" si="13"/>
        <v>0.92167597412958246</v>
      </c>
    </row>
    <row r="58" spans="1:22" x14ac:dyDescent="0.25">
      <c r="A58" t="s">
        <v>138</v>
      </c>
      <c r="B58">
        <v>22271.396045750789</v>
      </c>
      <c r="C58">
        <v>18.38170914700493</v>
      </c>
      <c r="D58">
        <v>9.1136404437445746E-4</v>
      </c>
      <c r="E58">
        <v>5.1145859630201</v>
      </c>
      <c r="F58">
        <v>0.18082856028889721</v>
      </c>
      <c r="G58">
        <v>32.161889822747327</v>
      </c>
      <c r="H58">
        <v>1.7716435064488261</v>
      </c>
      <c r="I58">
        <v>10.67105289329335</v>
      </c>
      <c r="J58">
        <v>4.2773264845068084</v>
      </c>
      <c r="K58">
        <v>237.36730815805609</v>
      </c>
      <c r="L58">
        <v>5228.3715913065816</v>
      </c>
      <c r="M58">
        <f t="shared" si="11"/>
        <v>0.25333134489743447</v>
      </c>
      <c r="N58">
        <f t="shared" si="14"/>
        <v>1.2560152987197331E-5</v>
      </c>
      <c r="O58">
        <f t="shared" si="15"/>
        <v>7.0487729418596407E-2</v>
      </c>
      <c r="P58">
        <f t="shared" si="16"/>
        <v>2.4921263853920372E-3</v>
      </c>
      <c r="Q58">
        <f t="shared" si="17"/>
        <v>0.44324576882815292</v>
      </c>
      <c r="R58">
        <f t="shared" si="18"/>
        <v>2.4416273186468964E-2</v>
      </c>
      <c r="S58">
        <f t="shared" si="19"/>
        <v>0.14706533322393117</v>
      </c>
      <c r="T58">
        <f t="shared" si="20"/>
        <v>5.89488639070367E-2</v>
      </c>
      <c r="U58">
        <f t="shared" si="12"/>
        <v>4.3428219408963332E-2</v>
      </c>
      <c r="V58">
        <f t="shared" si="13"/>
        <v>0.95657178059103665</v>
      </c>
    </row>
    <row r="59" spans="1:22" hidden="1" x14ac:dyDescent="0.25">
      <c r="A59" t="s">
        <v>103</v>
      </c>
      <c r="B59">
        <v>12703.28984250529</v>
      </c>
      <c r="C59">
        <v>1.543699186161575</v>
      </c>
      <c r="D59">
        <v>2.8583676579187769E-2</v>
      </c>
      <c r="E59">
        <v>0.4058231755878558</v>
      </c>
      <c r="F59">
        <v>0</v>
      </c>
      <c r="G59">
        <v>0.54499775663613137</v>
      </c>
      <c r="H59">
        <v>0.10933180346946079</v>
      </c>
      <c r="I59">
        <v>4.9034865688853679E-2</v>
      </c>
      <c r="J59">
        <v>4.1430288008818157E-2</v>
      </c>
      <c r="K59">
        <v>5.9962708368446336</v>
      </c>
      <c r="L59">
        <v>23.425860483415729</v>
      </c>
      <c r="M59">
        <f t="shared" si="11"/>
        <v>0.5669318593242676</v>
      </c>
      <c r="N59">
        <f t="shared" si="14"/>
        <v>1.0497509524285199E-2</v>
      </c>
      <c r="O59">
        <f t="shared" si="15"/>
        <v>0.14904075195179936</v>
      </c>
      <c r="P59">
        <f t="shared" si="16"/>
        <v>0</v>
      </c>
      <c r="Q59">
        <f t="shared" si="17"/>
        <v>0.20015336813485687</v>
      </c>
      <c r="R59">
        <f t="shared" si="18"/>
        <v>4.0152695019772554E-2</v>
      </c>
      <c r="S59">
        <f t="shared" si="19"/>
        <v>1.8008319124544682E-2</v>
      </c>
      <c r="T59">
        <f t="shared" si="20"/>
        <v>1.5215496920473691E-2</v>
      </c>
      <c r="U59">
        <f t="shared" si="12"/>
        <v>0.20380137562351044</v>
      </c>
      <c r="V59">
        <f t="shared" si="13"/>
        <v>0.79619862437648958</v>
      </c>
    </row>
    <row r="60" spans="1:22" x14ac:dyDescent="0.25">
      <c r="A60" t="s">
        <v>108</v>
      </c>
      <c r="B60">
        <v>10768.623112774279</v>
      </c>
      <c r="C60">
        <v>0.5118971702426407</v>
      </c>
      <c r="D60">
        <v>0</v>
      </c>
      <c r="E60">
        <v>0.31170018143049139</v>
      </c>
      <c r="F60">
        <v>3.9892393201791882E-4</v>
      </c>
      <c r="G60">
        <v>1.191518119437869</v>
      </c>
      <c r="H60">
        <v>0.15219803313875721</v>
      </c>
      <c r="I60">
        <v>6.070441478654616E-2</v>
      </c>
      <c r="J60">
        <v>0.1272910691211134</v>
      </c>
      <c r="K60">
        <v>138.4560795665038</v>
      </c>
      <c r="L60">
        <v>583.72399740596404</v>
      </c>
      <c r="M60">
        <f t="shared" si="11"/>
        <v>0.21730078148296603</v>
      </c>
      <c r="N60">
        <f t="shared" si="14"/>
        <v>0</v>
      </c>
      <c r="O60">
        <f t="shared" si="15"/>
        <v>0.13231699050245302</v>
      </c>
      <c r="P60">
        <f t="shared" si="16"/>
        <v>1.6934354635846441E-4</v>
      </c>
      <c r="Q60">
        <f t="shared" si="17"/>
        <v>0.50580044891093112</v>
      </c>
      <c r="R60">
        <f t="shared" si="18"/>
        <v>6.4608193722863763E-2</v>
      </c>
      <c r="S60">
        <f t="shared" si="19"/>
        <v>2.5769075391313401E-2</v>
      </c>
      <c r="T60">
        <f t="shared" si="20"/>
        <v>5.4035166443114069E-2</v>
      </c>
      <c r="U60">
        <f t="shared" si="12"/>
        <v>0.19171960565146171</v>
      </c>
      <c r="V60">
        <f t="shared" si="13"/>
        <v>0.80828039434853827</v>
      </c>
    </row>
    <row r="61" spans="1:22" hidden="1" x14ac:dyDescent="0.25">
      <c r="A61" t="s">
        <v>134</v>
      </c>
      <c r="B61">
        <v>11713.313624382359</v>
      </c>
      <c r="C61">
        <v>2.055596356404215</v>
      </c>
      <c r="D61">
        <v>2.1823485692744969E-2</v>
      </c>
      <c r="E61">
        <v>0.71752335701834724</v>
      </c>
      <c r="F61">
        <v>3.9892393201791882E-4</v>
      </c>
      <c r="G61">
        <v>1.736515876074</v>
      </c>
      <c r="H61">
        <v>0.26152983660821788</v>
      </c>
      <c r="I61">
        <v>0.1097392804753998</v>
      </c>
      <c r="J61">
        <v>0.1687213571299315</v>
      </c>
      <c r="K61">
        <v>144.4523504033485</v>
      </c>
      <c r="L61">
        <v>607.14985788937975</v>
      </c>
      <c r="M61">
        <f t="shared" si="11"/>
        <v>0.40529530154764382</v>
      </c>
      <c r="N61">
        <f t="shared" si="14"/>
        <v>4.302866264140468E-3</v>
      </c>
      <c r="O61">
        <f t="shared" si="15"/>
        <v>0.14147176533185279</v>
      </c>
      <c r="P61">
        <f t="shared" si="16"/>
        <v>7.8654544613320393E-5</v>
      </c>
      <c r="Q61">
        <f t="shared" si="17"/>
        <v>0.34238323270178356</v>
      </c>
      <c r="R61">
        <f t="shared" si="18"/>
        <v>5.1564994100909152E-2</v>
      </c>
      <c r="S61">
        <f t="shared" si="19"/>
        <v>2.1636939875540745E-2</v>
      </c>
      <c r="T61">
        <f t="shared" si="20"/>
        <v>3.3266245633516087E-2</v>
      </c>
      <c r="U61">
        <f t="shared" si="12"/>
        <v>0.19219255719255193</v>
      </c>
      <c r="V61">
        <f t="shared" si="13"/>
        <v>0.80780744280744798</v>
      </c>
    </row>
    <row r="62" spans="1:22" hidden="1" x14ac:dyDescent="0.25">
      <c r="A62" t="s">
        <v>135</v>
      </c>
      <c r="B62">
        <v>22519.574366022131</v>
      </c>
      <c r="C62">
        <v>1.5307111658266781</v>
      </c>
      <c r="D62">
        <v>1.888774783115718E-4</v>
      </c>
      <c r="E62">
        <v>83.957443055664029</v>
      </c>
      <c r="F62">
        <v>2.76866742598182E-3</v>
      </c>
      <c r="G62">
        <v>6.9941712934894982</v>
      </c>
      <c r="H62">
        <v>0.11849988718557471</v>
      </c>
      <c r="I62">
        <v>2.2551558148073889E-2</v>
      </c>
      <c r="J62">
        <v>0.2227916665828443</v>
      </c>
      <c r="K62">
        <v>7.6992219979788814</v>
      </c>
      <c r="L62">
        <v>143.69902745592799</v>
      </c>
      <c r="M62">
        <f t="shared" si="11"/>
        <v>1.6486005080913371E-2</v>
      </c>
      <c r="N62">
        <f t="shared" si="14"/>
        <v>2.0342407742436603E-6</v>
      </c>
      <c r="O62">
        <f t="shared" si="15"/>
        <v>0.90423514487702894</v>
      </c>
      <c r="P62">
        <f t="shared" si="16"/>
        <v>2.9818992812693644E-5</v>
      </c>
      <c r="Q62">
        <f t="shared" si="17"/>
        <v>7.5328348061650161E-2</v>
      </c>
      <c r="R62">
        <f t="shared" si="18"/>
        <v>1.2762628155090169E-3</v>
      </c>
      <c r="S62">
        <f t="shared" si="19"/>
        <v>2.4288390292813512E-4</v>
      </c>
      <c r="T62">
        <f t="shared" si="20"/>
        <v>2.3995020283832011E-3</v>
      </c>
      <c r="U62">
        <f t="shared" si="12"/>
        <v>5.0854101852233803E-2</v>
      </c>
      <c r="V62">
        <f t="shared" si="13"/>
        <v>0.94914589814776607</v>
      </c>
    </row>
    <row r="63" spans="1:22" hidden="1" x14ac:dyDescent="0.25">
      <c r="A63" t="s">
        <v>109</v>
      </c>
      <c r="B63">
        <v>15853.96203319802</v>
      </c>
      <c r="C63">
        <v>2.5400827279009812</v>
      </c>
      <c r="D63">
        <v>0</v>
      </c>
      <c r="E63">
        <v>4.2621080079680009</v>
      </c>
      <c r="F63">
        <v>1.159027286105979E-2</v>
      </c>
      <c r="G63">
        <v>2.801845266348169</v>
      </c>
      <c r="H63">
        <v>0.48233883814941142</v>
      </c>
      <c r="I63">
        <v>5.4324783208430413E-2</v>
      </c>
      <c r="J63">
        <v>0.1206352043598572</v>
      </c>
      <c r="K63">
        <v>1.313087587827525</v>
      </c>
      <c r="L63">
        <v>54.226527816125873</v>
      </c>
      <c r="M63">
        <f t="shared" si="11"/>
        <v>0.24725992869393978</v>
      </c>
      <c r="N63">
        <f t="shared" si="14"/>
        <v>0</v>
      </c>
      <c r="O63">
        <f t="shared" si="15"/>
        <v>0.4148874800652238</v>
      </c>
      <c r="P63">
        <f t="shared" si="16"/>
        <v>1.1282349230952551E-3</v>
      </c>
      <c r="Q63">
        <f t="shared" si="17"/>
        <v>0.27274074704692353</v>
      </c>
      <c r="R63">
        <f t="shared" si="18"/>
        <v>4.6952434035758855E-2</v>
      </c>
      <c r="S63">
        <f t="shared" si="19"/>
        <v>5.2881513955768565E-3</v>
      </c>
      <c r="T63">
        <f t="shared" si="20"/>
        <v>1.1743023839481784E-2</v>
      </c>
      <c r="U63">
        <f t="shared" si="12"/>
        <v>2.3642360111374796E-2</v>
      </c>
      <c r="V63">
        <f t="shared" si="13"/>
        <v>0.97635763988862523</v>
      </c>
    </row>
    <row r="64" spans="1:22" x14ac:dyDescent="0.25">
      <c r="A64" t="s">
        <v>92</v>
      </c>
      <c r="B64">
        <v>6313.2011097215418</v>
      </c>
      <c r="C64">
        <v>0.57783065183257121</v>
      </c>
      <c r="D64">
        <v>0</v>
      </c>
      <c r="E64">
        <v>2.0194211429613471</v>
      </c>
      <c r="F64">
        <v>9.1471032663669127E-2</v>
      </c>
      <c r="G64">
        <v>1.8586898964437959</v>
      </c>
      <c r="H64">
        <v>3.1289365561186958E-2</v>
      </c>
      <c r="I64">
        <v>0.361466474697481</v>
      </c>
      <c r="J64">
        <v>0.34998863571892158</v>
      </c>
      <c r="K64">
        <v>11.340471697850811</v>
      </c>
      <c r="L64">
        <v>1569.583729702453</v>
      </c>
      <c r="M64">
        <f t="shared" si="11"/>
        <v>0.10922750118763781</v>
      </c>
      <c r="N64">
        <f t="shared" si="14"/>
        <v>0</v>
      </c>
      <c r="O64">
        <f t="shared" si="15"/>
        <v>0.38173178351061987</v>
      </c>
      <c r="P64">
        <f t="shared" si="16"/>
        <v>1.7290796701799671E-2</v>
      </c>
      <c r="Q64">
        <f t="shared" si="17"/>
        <v>0.35134870783921479</v>
      </c>
      <c r="R64">
        <f t="shared" si="18"/>
        <v>5.9146381438159893E-3</v>
      </c>
      <c r="S64">
        <f t="shared" si="19"/>
        <v>6.832811597843455E-2</v>
      </c>
      <c r="T64">
        <f t="shared" si="20"/>
        <v>6.6158456638477317E-2</v>
      </c>
      <c r="U64">
        <f t="shared" si="12"/>
        <v>7.1733177895600487E-3</v>
      </c>
      <c r="V64">
        <f t="shared" si="13"/>
        <v>0.99282668221044001</v>
      </c>
    </row>
    <row r="65" spans="1:22" x14ac:dyDescent="0.25">
      <c r="A65" t="s">
        <v>128</v>
      </c>
      <c r="B65">
        <v>14119.95213515897</v>
      </c>
      <c r="C65">
        <v>2.9808782987479092</v>
      </c>
      <c r="D65">
        <v>0</v>
      </c>
      <c r="E65">
        <v>0.63932594900119721</v>
      </c>
      <c r="F65">
        <v>0</v>
      </c>
      <c r="G65">
        <v>2.561328367857334</v>
      </c>
      <c r="H65">
        <v>0.60205662490747003</v>
      </c>
      <c r="I65">
        <v>2.891911663630697</v>
      </c>
      <c r="J65">
        <v>0</v>
      </c>
      <c r="K65">
        <v>68.149572632647235</v>
      </c>
      <c r="L65">
        <v>1131.0473363319991</v>
      </c>
      <c r="M65">
        <f t="shared" si="11"/>
        <v>0.3080851656446042</v>
      </c>
      <c r="N65">
        <f t="shared" si="14"/>
        <v>0</v>
      </c>
      <c r="O65">
        <f t="shared" si="15"/>
        <v>6.6076780451473568E-2</v>
      </c>
      <c r="P65">
        <f t="shared" si="16"/>
        <v>0</v>
      </c>
      <c r="Q65">
        <f t="shared" si="17"/>
        <v>0.26472307668951389</v>
      </c>
      <c r="R65">
        <f t="shared" si="18"/>
        <v>6.2224853356126757E-2</v>
      </c>
      <c r="S65">
        <f t="shared" si="19"/>
        <v>0.29889012385828156</v>
      </c>
      <c r="T65">
        <f t="shared" si="20"/>
        <v>0</v>
      </c>
      <c r="U65">
        <f t="shared" si="12"/>
        <v>5.6829343140557043E-2</v>
      </c>
      <c r="V65">
        <f t="shared" si="13"/>
        <v>0.9431706568594429</v>
      </c>
    </row>
    <row r="66" spans="1:22" hidden="1" x14ac:dyDescent="0.25">
      <c r="A66" t="s">
        <v>125</v>
      </c>
      <c r="B66">
        <v>21466.147579956469</v>
      </c>
      <c r="C66">
        <v>1.73068485814948</v>
      </c>
      <c r="D66">
        <v>0</v>
      </c>
      <c r="E66">
        <v>0.3571258136115314</v>
      </c>
      <c r="F66">
        <v>1.9327312386065758E-2</v>
      </c>
      <c r="G66">
        <v>1.172580875422583</v>
      </c>
      <c r="H66">
        <v>0.64433690767921925</v>
      </c>
      <c r="I66">
        <v>0.28330031109885728</v>
      </c>
      <c r="J66">
        <v>0.37177071794915001</v>
      </c>
      <c r="K66">
        <v>6.6258504888648222</v>
      </c>
      <c r="L66">
        <v>40.863349883413349</v>
      </c>
      <c r="M66">
        <f t="shared" ref="M66:M78" si="21">C66/SUM($C66:$J66)</f>
        <v>0.37795084852183503</v>
      </c>
      <c r="N66">
        <f t="shared" si="14"/>
        <v>0</v>
      </c>
      <c r="O66">
        <f t="shared" si="15"/>
        <v>7.7989937710468527E-2</v>
      </c>
      <c r="P66">
        <f t="shared" si="16"/>
        <v>4.2207419112516489E-3</v>
      </c>
      <c r="Q66">
        <f t="shared" si="17"/>
        <v>0.25607084660133078</v>
      </c>
      <c r="R66">
        <f t="shared" si="18"/>
        <v>0.14071174185442756</v>
      </c>
      <c r="S66">
        <f t="shared" si="19"/>
        <v>6.1867758570904971E-2</v>
      </c>
      <c r="T66">
        <f t="shared" si="20"/>
        <v>8.1188124829781716E-2</v>
      </c>
      <c r="U66">
        <f t="shared" ref="U66:U78" si="22">K66/($K66+$L66)</f>
        <v>0.1395233113407541</v>
      </c>
      <c r="V66">
        <f t="shared" ref="V66:V78" si="23">L66/($K66+$L66)</f>
        <v>0.86047668865924598</v>
      </c>
    </row>
    <row r="67" spans="1:22" hidden="1" x14ac:dyDescent="0.25">
      <c r="A67" t="s">
        <v>140</v>
      </c>
      <c r="B67">
        <v>19403.888664424201</v>
      </c>
      <c r="C67">
        <v>35.51689920406357</v>
      </c>
      <c r="D67">
        <v>0</v>
      </c>
      <c r="E67">
        <v>2.7119321276410631</v>
      </c>
      <c r="F67">
        <v>8.5270895336486269E-2</v>
      </c>
      <c r="G67">
        <v>12.33131159169548</v>
      </c>
      <c r="H67">
        <v>7.6445327926048172</v>
      </c>
      <c r="I67">
        <v>1.4548606168731051</v>
      </c>
      <c r="J67">
        <v>0.84233022981513783</v>
      </c>
      <c r="K67">
        <v>232.19861793069799</v>
      </c>
      <c r="L67">
        <v>1961.9804851692361</v>
      </c>
      <c r="M67">
        <f t="shared" si="21"/>
        <v>0.58621187093823468</v>
      </c>
      <c r="N67">
        <f t="shared" ref="N67:N78" si="24">D67/SUM($C67:$J67)</f>
        <v>0</v>
      </c>
      <c r="O67">
        <f t="shared" ref="O67:O78" si="25">E67/SUM($C67:$J67)</f>
        <v>4.4760855875055842E-2</v>
      </c>
      <c r="P67">
        <f t="shared" ref="P67:P78" si="26">F67/SUM($C67:$J67)</f>
        <v>1.4074092111639324E-3</v>
      </c>
      <c r="Q67">
        <f t="shared" ref="Q67:Q78" si="27">G67/SUM($C67:$J67)</f>
        <v>0.20353018988952415</v>
      </c>
      <c r="R67">
        <f t="shared" ref="R67:R78" si="28">H67/SUM($C67:$J67)</f>
        <v>0.12617418668938418</v>
      </c>
      <c r="S67">
        <f t="shared" ref="S67:S78" si="29">I67/SUM($C67:$J67)</f>
        <v>2.4012697709657038E-2</v>
      </c>
      <c r="T67">
        <f t="shared" ref="T67:T78" si="30">J67/SUM($C67:$J67)</f>
        <v>1.3902789686980055E-2</v>
      </c>
      <c r="U67">
        <f t="shared" si="22"/>
        <v>0.10582482423729588</v>
      </c>
      <c r="V67">
        <f t="shared" si="23"/>
        <v>0.89417517576270422</v>
      </c>
    </row>
    <row r="68" spans="1:22" x14ac:dyDescent="0.25">
      <c r="A68" t="s">
        <v>100</v>
      </c>
      <c r="B68">
        <v>8033.7996285452773</v>
      </c>
      <c r="C68">
        <v>5.4647124533875084</v>
      </c>
      <c r="D68">
        <v>0</v>
      </c>
      <c r="E68">
        <v>1.888679312056442</v>
      </c>
      <c r="F68">
        <v>5.735187175458089E-2</v>
      </c>
      <c r="G68">
        <v>2.3494020307819068</v>
      </c>
      <c r="H68">
        <v>0.63493814278760574</v>
      </c>
      <c r="I68">
        <v>2.127216016354728</v>
      </c>
      <c r="J68">
        <v>0.55155325562936708</v>
      </c>
      <c r="K68">
        <v>61.692535512417777</v>
      </c>
      <c r="L68">
        <v>1475.9505154453909</v>
      </c>
      <c r="M68">
        <f t="shared" si="21"/>
        <v>0.4179879044684161</v>
      </c>
      <c r="N68">
        <f t="shared" si="24"/>
        <v>0</v>
      </c>
      <c r="O68">
        <f t="shared" si="25"/>
        <v>0.14446233257341007</v>
      </c>
      <c r="P68">
        <f t="shared" si="26"/>
        <v>4.3867612242211237E-3</v>
      </c>
      <c r="Q68">
        <f t="shared" si="27"/>
        <v>0.17970234298268103</v>
      </c>
      <c r="R68">
        <f t="shared" si="28"/>
        <v>4.8565494714427886E-2</v>
      </c>
      <c r="S68">
        <f t="shared" si="29"/>
        <v>0.16270765801713705</v>
      </c>
      <c r="T68">
        <f t="shared" si="30"/>
        <v>4.2187506019706715E-2</v>
      </c>
      <c r="U68">
        <f t="shared" si="22"/>
        <v>4.0121493394705006E-2</v>
      </c>
      <c r="V68">
        <f t="shared" si="23"/>
        <v>0.95987850660529495</v>
      </c>
    </row>
    <row r="69" spans="1:22" hidden="1" x14ac:dyDescent="0.25">
      <c r="A69" t="s">
        <v>95</v>
      </c>
      <c r="B69">
        <v>9994.5499615667923</v>
      </c>
      <c r="C69">
        <v>1.596038430152712</v>
      </c>
      <c r="D69">
        <v>0</v>
      </c>
      <c r="E69">
        <v>0.45071345002592061</v>
      </c>
      <c r="F69">
        <v>2.6325266081823971E-2</v>
      </c>
      <c r="G69">
        <v>0.48367122046066652</v>
      </c>
      <c r="H69">
        <v>0.42804096195795099</v>
      </c>
      <c r="I69">
        <v>0.2329323940557623</v>
      </c>
      <c r="J69">
        <v>0.13627727218275959</v>
      </c>
      <c r="K69">
        <v>10.096340766777111</v>
      </c>
      <c r="L69">
        <v>135.18723944992371</v>
      </c>
      <c r="M69">
        <f t="shared" si="21"/>
        <v>0.47586133226969707</v>
      </c>
      <c r="N69">
        <f t="shared" si="24"/>
        <v>0</v>
      </c>
      <c r="O69">
        <f t="shared" si="25"/>
        <v>0.13438091386100556</v>
      </c>
      <c r="P69">
        <f t="shared" si="26"/>
        <v>7.8489188940471816E-3</v>
      </c>
      <c r="Q69">
        <f t="shared" si="27"/>
        <v>0.14420732421017013</v>
      </c>
      <c r="R69">
        <f t="shared" si="28"/>
        <v>0.12762107639464798</v>
      </c>
      <c r="S69">
        <f t="shared" si="29"/>
        <v>6.9449154400085089E-2</v>
      </c>
      <c r="T69">
        <f t="shared" si="30"/>
        <v>4.0631279970347094E-2</v>
      </c>
      <c r="U69">
        <f t="shared" si="22"/>
        <v>6.9494025076458743E-2</v>
      </c>
      <c r="V69">
        <f t="shared" si="23"/>
        <v>0.93050597492354126</v>
      </c>
    </row>
    <row r="70" spans="1:22" hidden="1" x14ac:dyDescent="0.25">
      <c r="A70" t="s">
        <v>143</v>
      </c>
      <c r="B70">
        <v>9330.8849054874718</v>
      </c>
      <c r="C70">
        <v>2.2055228040353891</v>
      </c>
      <c r="D70">
        <v>3.0769236126826228E-2</v>
      </c>
      <c r="E70">
        <v>3.999492593980007</v>
      </c>
      <c r="F70">
        <v>4.8051979985748909E-3</v>
      </c>
      <c r="G70">
        <v>1.277601086571363</v>
      </c>
      <c r="H70">
        <v>0.75537202674223192</v>
      </c>
      <c r="I70">
        <v>0.35688394259204181</v>
      </c>
      <c r="J70">
        <v>0.21406358636853789</v>
      </c>
      <c r="K70">
        <v>5.4525247353336157</v>
      </c>
      <c r="L70">
        <v>444.54216854776922</v>
      </c>
      <c r="M70">
        <f t="shared" si="21"/>
        <v>0.24936629454116574</v>
      </c>
      <c r="N70">
        <f t="shared" si="24"/>
        <v>3.4789077604503024E-3</v>
      </c>
      <c r="O70">
        <f t="shared" si="25"/>
        <v>0.45220056051146884</v>
      </c>
      <c r="P70">
        <f t="shared" si="26"/>
        <v>5.432972251517103E-4</v>
      </c>
      <c r="Q70">
        <f t="shared" si="27"/>
        <v>0.14445130572993878</v>
      </c>
      <c r="R70">
        <f t="shared" si="28"/>
        <v>8.5405747319463349E-2</v>
      </c>
      <c r="S70">
        <f t="shared" si="29"/>
        <v>4.0350898291592364E-2</v>
      </c>
      <c r="T70">
        <f t="shared" si="30"/>
        <v>2.4202988620769014E-2</v>
      </c>
      <c r="U70">
        <f t="shared" si="22"/>
        <v>1.2116864524674066E-2</v>
      </c>
      <c r="V70">
        <f t="shared" si="23"/>
        <v>0.98788313547532591</v>
      </c>
    </row>
    <row r="71" spans="1:22" x14ac:dyDescent="0.25">
      <c r="A71" t="s">
        <v>150</v>
      </c>
      <c r="B71">
        <v>42702.525904684662</v>
      </c>
      <c r="C71">
        <v>119.6359158796909</v>
      </c>
      <c r="D71">
        <v>3.6105643391294122E-2</v>
      </c>
      <c r="E71">
        <v>105.75042400867829</v>
      </c>
      <c r="F71">
        <v>0.21993124417828469</v>
      </c>
      <c r="G71">
        <v>110.64253458044629</v>
      </c>
      <c r="H71">
        <v>0.98063393602736604</v>
      </c>
      <c r="I71">
        <v>11.08709547418785</v>
      </c>
      <c r="J71">
        <v>7.4491313784053812</v>
      </c>
      <c r="K71">
        <v>1668.3293890494599</v>
      </c>
      <c r="L71">
        <v>8255.1761523668447</v>
      </c>
      <c r="M71">
        <f t="shared" si="21"/>
        <v>0.33624317034299012</v>
      </c>
      <c r="N71">
        <f t="shared" si="24"/>
        <v>1.014768509263619E-4</v>
      </c>
      <c r="O71">
        <f t="shared" si="25"/>
        <v>0.29721724928784254</v>
      </c>
      <c r="P71">
        <f t="shared" si="26"/>
        <v>6.1812858000227311E-4</v>
      </c>
      <c r="Q71">
        <f t="shared" si="27"/>
        <v>0.31096678893255864</v>
      </c>
      <c r="R71">
        <f t="shared" si="28"/>
        <v>2.7561243726119283E-3</v>
      </c>
      <c r="S71">
        <f t="shared" si="29"/>
        <v>3.1160877607066404E-2</v>
      </c>
      <c r="T71">
        <f t="shared" si="30"/>
        <v>2.0936184026001749E-2</v>
      </c>
      <c r="U71">
        <f t="shared" si="22"/>
        <v>0.16811895575475763</v>
      </c>
      <c r="V71">
        <f t="shared" si="23"/>
        <v>0.83188104424524234</v>
      </c>
    </row>
    <row r="72" spans="1:22" hidden="1" x14ac:dyDescent="0.25">
      <c r="A72" t="s">
        <v>151</v>
      </c>
      <c r="B72">
        <v>53129.184166744817</v>
      </c>
      <c r="C72">
        <v>35.874009068603122</v>
      </c>
      <c r="D72">
        <v>1.9254936225862478E-2</v>
      </c>
      <c r="E72">
        <v>37.197574684892217</v>
      </c>
      <c r="F72">
        <v>3.3929111214012528E-2</v>
      </c>
      <c r="G72">
        <v>30.426419410098671</v>
      </c>
      <c r="H72">
        <v>0.31115130688168829</v>
      </c>
      <c r="I72">
        <v>0.39664687512046809</v>
      </c>
      <c r="J72">
        <v>2.946081967626057</v>
      </c>
      <c r="K72">
        <v>39.308263833333868</v>
      </c>
      <c r="L72">
        <v>368.71886467289897</v>
      </c>
      <c r="M72">
        <f t="shared" si="21"/>
        <v>0.33462978898110141</v>
      </c>
      <c r="N72">
        <f t="shared" si="24"/>
        <v>1.7960845228597746E-4</v>
      </c>
      <c r="O72">
        <f t="shared" si="25"/>
        <v>0.34697589956033664</v>
      </c>
      <c r="P72">
        <f t="shared" si="26"/>
        <v>3.1648794268154622E-4</v>
      </c>
      <c r="Q72">
        <f t="shared" si="27"/>
        <v>0.28381512328831726</v>
      </c>
      <c r="R72">
        <f t="shared" si="28"/>
        <v>2.9023936511779328E-3</v>
      </c>
      <c r="S72">
        <f t="shared" si="29"/>
        <v>3.6998892392470428E-3</v>
      </c>
      <c r="T72">
        <f t="shared" si="30"/>
        <v>2.7480808884852156E-2</v>
      </c>
      <c r="U72">
        <f t="shared" si="22"/>
        <v>9.6337378294525364E-2</v>
      </c>
      <c r="V72">
        <f t="shared" si="23"/>
        <v>0.90366262170547462</v>
      </c>
    </row>
    <row r="73" spans="1:22" hidden="1" x14ac:dyDescent="0.25">
      <c r="A73" t="s">
        <v>146</v>
      </c>
      <c r="B73">
        <v>9297.3326132160164</v>
      </c>
      <c r="C73">
        <v>11.40471690902406</v>
      </c>
      <c r="D73">
        <v>0</v>
      </c>
      <c r="E73">
        <v>0.44910630011405489</v>
      </c>
      <c r="F73">
        <v>2.1631538663757711E-2</v>
      </c>
      <c r="G73">
        <v>2.8706119617245212</v>
      </c>
      <c r="H73">
        <v>0.2087240009145557</v>
      </c>
      <c r="I73">
        <v>1.7170190259744129</v>
      </c>
      <c r="J73">
        <v>3.209578675004976E-2</v>
      </c>
      <c r="K73">
        <v>164.8037529000529</v>
      </c>
      <c r="L73">
        <v>1311.6483863376391</v>
      </c>
      <c r="M73">
        <f t="shared" si="21"/>
        <v>0.68275750800959112</v>
      </c>
      <c r="N73">
        <f t="shared" si="24"/>
        <v>0</v>
      </c>
      <c r="O73">
        <f t="shared" si="25"/>
        <v>2.6886305091418448E-2</v>
      </c>
      <c r="P73">
        <f t="shared" si="26"/>
        <v>1.2949988632154636E-3</v>
      </c>
      <c r="Q73">
        <f t="shared" si="27"/>
        <v>0.17185274172818338</v>
      </c>
      <c r="R73">
        <f t="shared" si="28"/>
        <v>1.2495520920247773E-2</v>
      </c>
      <c r="S73">
        <f t="shared" si="29"/>
        <v>0.1027914713474167</v>
      </c>
      <c r="T73">
        <f t="shared" si="30"/>
        <v>1.9214540399272787E-3</v>
      </c>
      <c r="U73">
        <f t="shared" si="22"/>
        <v>0.1116214664331367</v>
      </c>
      <c r="V73">
        <f t="shared" si="23"/>
        <v>0.88837853356686336</v>
      </c>
    </row>
    <row r="74" spans="1:22" x14ac:dyDescent="0.25">
      <c r="A74" t="s">
        <v>83</v>
      </c>
      <c r="B74">
        <v>2641.734459797955</v>
      </c>
      <c r="C74">
        <v>5.281460884787057</v>
      </c>
      <c r="D74">
        <v>0</v>
      </c>
      <c r="E74">
        <v>9.0439100878311751E-2</v>
      </c>
      <c r="F74">
        <v>1.2793660554811251E-2</v>
      </c>
      <c r="G74">
        <v>4.1346318725715268</v>
      </c>
      <c r="H74">
        <v>3.2031204372909183E-2</v>
      </c>
      <c r="I74">
        <v>0.79164246042671615</v>
      </c>
      <c r="J74">
        <v>0.21444739432610499</v>
      </c>
      <c r="K74">
        <v>10.552903632436379</v>
      </c>
      <c r="L74">
        <v>2579.289143612275</v>
      </c>
      <c r="M74">
        <f t="shared" si="21"/>
        <v>0.50025930472942803</v>
      </c>
      <c r="N74">
        <f t="shared" si="24"/>
        <v>0</v>
      </c>
      <c r="O74">
        <f t="shared" si="25"/>
        <v>8.5663801574406596E-3</v>
      </c>
      <c r="P74">
        <f t="shared" si="26"/>
        <v>1.2118139040903323E-3</v>
      </c>
      <c r="Q74">
        <f t="shared" si="27"/>
        <v>0.39163180623805005</v>
      </c>
      <c r="R74">
        <f t="shared" si="28"/>
        <v>3.0339916130769241E-3</v>
      </c>
      <c r="S74">
        <f t="shared" si="29"/>
        <v>7.4984273383164532E-2</v>
      </c>
      <c r="T74">
        <f t="shared" si="30"/>
        <v>2.0312429974749337E-2</v>
      </c>
      <c r="U74">
        <f t="shared" si="22"/>
        <v>4.0747286668171264E-3</v>
      </c>
      <c r="V74">
        <f t="shared" si="23"/>
        <v>0.99592527133318287</v>
      </c>
    </row>
    <row r="75" spans="1:22" hidden="1" x14ac:dyDescent="0.25">
      <c r="A75" t="s">
        <v>80</v>
      </c>
      <c r="B75">
        <v>3394.532603624647</v>
      </c>
      <c r="C75">
        <v>0.37452207302819163</v>
      </c>
      <c r="D75">
        <v>0</v>
      </c>
      <c r="E75">
        <v>0.11088498462943989</v>
      </c>
      <c r="F75">
        <v>5.7378181597468863E-4</v>
      </c>
      <c r="G75">
        <v>0.31271469888558329</v>
      </c>
      <c r="H75">
        <v>5.1046107661138339E-2</v>
      </c>
      <c r="I75">
        <v>5.387504990276662E-2</v>
      </c>
      <c r="J75">
        <v>2.9727852500465401E-2</v>
      </c>
      <c r="K75">
        <v>0.70188981558355579</v>
      </c>
      <c r="L75">
        <v>42.100667424469869</v>
      </c>
      <c r="M75">
        <f t="shared" si="21"/>
        <v>0.40126882795937246</v>
      </c>
      <c r="N75">
        <f t="shared" si="24"/>
        <v>0</v>
      </c>
      <c r="O75">
        <f t="shared" si="25"/>
        <v>0.11880391310660908</v>
      </c>
      <c r="P75">
        <f t="shared" si="26"/>
        <v>6.147588443558375E-4</v>
      </c>
      <c r="Q75">
        <f t="shared" si="27"/>
        <v>0.33504743710537072</v>
      </c>
      <c r="R75">
        <f t="shared" si="28"/>
        <v>5.4691601024890943E-2</v>
      </c>
      <c r="S75">
        <f t="shared" si="29"/>
        <v>5.7722574148810109E-2</v>
      </c>
      <c r="T75">
        <f t="shared" si="30"/>
        <v>3.1850887810590867E-2</v>
      </c>
      <c r="U75">
        <f t="shared" si="22"/>
        <v>1.6398314980272888E-2</v>
      </c>
      <c r="V75">
        <f t="shared" si="23"/>
        <v>0.98360168501972711</v>
      </c>
    </row>
    <row r="76" spans="1:22" hidden="1" x14ac:dyDescent="0.25">
      <c r="A76" t="s">
        <v>149</v>
      </c>
      <c r="B76">
        <v>18656.29543171874</v>
      </c>
      <c r="C76">
        <v>4.7115631568973892</v>
      </c>
      <c r="D76">
        <v>0</v>
      </c>
      <c r="E76">
        <v>0.99645176261272861</v>
      </c>
      <c r="F76">
        <v>1.2134061256197049E-2</v>
      </c>
      <c r="G76">
        <v>3.7339092432799168</v>
      </c>
      <c r="H76">
        <v>1.2463935325866891</v>
      </c>
      <c r="I76">
        <v>3.175211974729554</v>
      </c>
      <c r="J76">
        <v>0.25577672839224119</v>
      </c>
      <c r="K76">
        <v>74.775423121512063</v>
      </c>
      <c r="L76">
        <v>1171.9106862154119</v>
      </c>
      <c r="M76">
        <f t="shared" si="21"/>
        <v>0.33340997121387361</v>
      </c>
      <c r="N76">
        <f t="shared" si="24"/>
        <v>0</v>
      </c>
      <c r="O76">
        <f t="shared" si="25"/>
        <v>7.0513106250601171E-2</v>
      </c>
      <c r="P76">
        <f t="shared" si="26"/>
        <v>8.5865706972717648E-4</v>
      </c>
      <c r="Q76">
        <f t="shared" si="27"/>
        <v>0.26422707960407932</v>
      </c>
      <c r="R76">
        <f t="shared" si="28"/>
        <v>8.8200034252440468E-2</v>
      </c>
      <c r="S76">
        <f t="shared" si="29"/>
        <v>0.22469131747554819</v>
      </c>
      <c r="T76">
        <f t="shared" si="30"/>
        <v>1.809983413372997E-2</v>
      </c>
      <c r="U76">
        <f t="shared" si="22"/>
        <v>5.99793505049021E-2</v>
      </c>
      <c r="V76">
        <f t="shared" si="23"/>
        <v>0.940020649495098</v>
      </c>
    </row>
    <row r="77" spans="1:22" x14ac:dyDescent="0.25">
      <c r="A77" t="s">
        <v>144</v>
      </c>
      <c r="B77">
        <v>33182.204031909663</v>
      </c>
      <c r="C77">
        <v>922.94357604237507</v>
      </c>
      <c r="D77">
        <v>3.3421828866585422E-2</v>
      </c>
      <c r="E77">
        <v>156.58859226205021</v>
      </c>
      <c r="F77">
        <v>0.81294111340964392</v>
      </c>
      <c r="G77">
        <v>304.53177281458858</v>
      </c>
      <c r="H77">
        <v>58.378261031307687</v>
      </c>
      <c r="I77">
        <v>148.84196232749039</v>
      </c>
      <c r="J77">
        <v>23.839114406518949</v>
      </c>
      <c r="K77">
        <v>3370.9817584862139</v>
      </c>
      <c r="L77">
        <v>9043.0543858448073</v>
      </c>
      <c r="M77">
        <f t="shared" si="21"/>
        <v>0.57113917994098473</v>
      </c>
      <c r="N77">
        <f t="shared" si="24"/>
        <v>2.0682213329705344E-5</v>
      </c>
      <c r="O77">
        <f t="shared" si="25"/>
        <v>9.690070172670491E-2</v>
      </c>
      <c r="P77">
        <f t="shared" si="26"/>
        <v>5.030670703013567E-4</v>
      </c>
      <c r="Q77">
        <f t="shared" si="27"/>
        <v>0.18845141946501043</v>
      </c>
      <c r="R77">
        <f t="shared" si="28"/>
        <v>3.6125840189250073E-2</v>
      </c>
      <c r="S77">
        <f t="shared" si="29"/>
        <v>9.2106905027774702E-2</v>
      </c>
      <c r="T77">
        <f t="shared" si="30"/>
        <v>1.4752204366644209E-2</v>
      </c>
      <c r="U77">
        <f t="shared" si="22"/>
        <v>0.27154599191541767</v>
      </c>
      <c r="V77">
        <f t="shared" si="23"/>
        <v>0.72845400808458238</v>
      </c>
    </row>
    <row r="78" spans="1:22" hidden="1" x14ac:dyDescent="0.25">
      <c r="A78" t="s">
        <v>145</v>
      </c>
      <c r="B78">
        <v>40848.104684907797</v>
      </c>
      <c r="C78">
        <v>305.34195087113483</v>
      </c>
      <c r="D78">
        <v>2.631793178680452E-2</v>
      </c>
      <c r="E78">
        <v>40.991188719558238</v>
      </c>
      <c r="F78">
        <v>0.27441494861032228</v>
      </c>
      <c r="G78">
        <v>60.498259480930713</v>
      </c>
      <c r="H78">
        <v>42.12277566932012</v>
      </c>
      <c r="I78">
        <v>28.576393878564769</v>
      </c>
      <c r="J78">
        <v>4.9960870471584897</v>
      </c>
      <c r="K78">
        <v>553.2568485058224</v>
      </c>
      <c r="L78">
        <v>1263.1038491189549</v>
      </c>
      <c r="M78">
        <f t="shared" si="21"/>
        <v>0.63240395659818949</v>
      </c>
      <c r="N78">
        <f t="shared" si="24"/>
        <v>5.450795131154649E-5</v>
      </c>
      <c r="O78">
        <f t="shared" si="25"/>
        <v>8.4898225933101895E-2</v>
      </c>
      <c r="P78">
        <f t="shared" si="26"/>
        <v>5.6835000482490915E-4</v>
      </c>
      <c r="Q78">
        <f t="shared" si="27"/>
        <v>0.12529997451673883</v>
      </c>
      <c r="R78">
        <f t="shared" si="28"/>
        <v>8.7241893621811686E-2</v>
      </c>
      <c r="S78">
        <f t="shared" si="29"/>
        <v>5.9185527905857904E-2</v>
      </c>
      <c r="T78">
        <f t="shared" si="30"/>
        <v>1.0347563468163715E-2</v>
      </c>
      <c r="U78">
        <f t="shared" si="22"/>
        <v>0.30459635535458707</v>
      </c>
      <c r="V78">
        <f t="shared" si="23"/>
        <v>0.69540364464541282</v>
      </c>
    </row>
    <row r="79" spans="1:22" hidden="1" x14ac:dyDescent="0.25">
      <c r="A79" t="s">
        <v>152</v>
      </c>
      <c r="B79">
        <v>49923.685627894141</v>
      </c>
      <c r="C79">
        <v>155.50992494829401</v>
      </c>
      <c r="D79">
        <v>5.5360579617156597E-2</v>
      </c>
      <c r="E79">
        <v>142.94799869357061</v>
      </c>
      <c r="F79">
        <v>0.25386035539229729</v>
      </c>
      <c r="G79">
        <v>141.068953990545</v>
      </c>
      <c r="H79">
        <v>1.2917852429090539</v>
      </c>
      <c r="I79">
        <v>11.48374234930831</v>
      </c>
      <c r="J79">
        <v>10.39521334603144</v>
      </c>
      <c r="K79">
        <v>1707.6376528827941</v>
      </c>
      <c r="L79">
        <v>8623.8950170397438</v>
      </c>
      <c r="M79">
        <f t="shared" ref="M79" si="31">C79/SUM($C79:$J79)</f>
        <v>0.33586960640651692</v>
      </c>
      <c r="N79">
        <f t="shared" ref="N79" si="32">D79/SUM($C79:$J79)</f>
        <v>1.1956752016074463E-4</v>
      </c>
      <c r="O79">
        <f t="shared" ref="O79" si="33">E79/SUM($C79:$J79)</f>
        <v>0.30873841700954124</v>
      </c>
      <c r="P79">
        <f t="shared" ref="P79" si="34">F79/SUM($C79:$J79)</f>
        <v>5.4828640471776369E-4</v>
      </c>
      <c r="Q79">
        <f t="shared" ref="Q79" si="35">G79/SUM($C79:$J79)</f>
        <v>0.30468006507454221</v>
      </c>
      <c r="R79">
        <f t="shared" ref="R79" si="36">H79/SUM($C79:$J79)</f>
        <v>2.7899917078724724E-3</v>
      </c>
      <c r="S79">
        <f t="shared" ref="S79" si="37">I79/SUM($C79:$J79)</f>
        <v>2.4802532855819147E-2</v>
      </c>
      <c r="T79">
        <f t="shared" ref="T79" si="38">J79/SUM($C79:$J79)</f>
        <v>2.245153302082957E-2</v>
      </c>
      <c r="U79">
        <f t="shared" ref="U79" si="39">K79/($K79+$L79)</f>
        <v>0.16528405875868923</v>
      </c>
      <c r="V79">
        <f t="shared" ref="V79" si="40">L79/($K79+$L79)</f>
        <v>0.83471594124131088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Read_in_file</vt:lpstr>
      <vt:lpstr>Overview</vt:lpstr>
      <vt:lpstr>Motorway</vt:lpstr>
      <vt:lpstr>Primary</vt:lpstr>
      <vt:lpstr>Secondary</vt:lpstr>
      <vt:lpstr>Tertiary</vt:lpstr>
      <vt:lpstr>Local</vt:lpstr>
      <vt:lpstr>Pedestrian</vt:lpstr>
      <vt:lpstr>Cycling</vt:lpstr>
      <vt:lpstr>Informal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Engelenburg, M. van (Martijn)</dc:creator>
  <cp:lastModifiedBy>Engelenburg, M. van (Martijn)</cp:lastModifiedBy>
  <dcterms:created xsi:type="dcterms:W3CDTF">2024-10-22T13:20:41Z</dcterms:created>
  <dcterms:modified xsi:type="dcterms:W3CDTF">2024-11-08T11:14:08Z</dcterms:modified>
</cp:coreProperties>
</file>