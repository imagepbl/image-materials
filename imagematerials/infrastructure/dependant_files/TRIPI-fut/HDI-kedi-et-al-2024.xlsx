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999B6EB4-F916-4EAD-AA4D-F3148602C040}" xr6:coauthVersionLast="47" xr6:coauthVersionMax="47" xr10:uidLastSave="{00000000-0000-0000-0000-000000000000}"/>
  <bookViews>
    <workbookView xWindow="-20" yWindow="14290" windowWidth="25820" windowHeight="13900" xr2:uid="{347F791E-3407-4DB8-8F71-6362F2675AD0}"/>
  </bookViews>
  <sheets>
    <sheet name="SSP2-base-HDI" sheetId="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2" l="1"/>
  <c r="B162" i="2"/>
  <c r="C161" i="2"/>
  <c r="B161" i="2" s="1"/>
  <c r="C160" i="2"/>
  <c r="B160" i="2"/>
  <c r="C159" i="2"/>
  <c r="B159" i="2"/>
  <c r="C158" i="2"/>
  <c r="B158" i="2"/>
  <c r="C157" i="2"/>
  <c r="B157" i="2"/>
  <c r="C156" i="2"/>
  <c r="B156" i="2" s="1"/>
  <c r="C155" i="2"/>
  <c r="B155" i="2" s="1"/>
  <c r="C154" i="2"/>
  <c r="B154" i="2" s="1"/>
  <c r="C153" i="2"/>
  <c r="B153" i="2"/>
  <c r="C152" i="2"/>
  <c r="B152" i="2"/>
  <c r="C151" i="2"/>
  <c r="B151" i="2" s="1"/>
  <c r="C150" i="2"/>
  <c r="B150" i="2"/>
  <c r="C149" i="2"/>
  <c r="B149" i="2"/>
  <c r="C148" i="2"/>
  <c r="B148" i="2"/>
  <c r="C147" i="2"/>
  <c r="B147" i="2"/>
  <c r="C146" i="2"/>
  <c r="B146" i="2" s="1"/>
  <c r="C145" i="2"/>
  <c r="B145" i="2" s="1"/>
  <c r="C144" i="2"/>
  <c r="B144" i="2" s="1"/>
  <c r="C143" i="2"/>
  <c r="B143" i="2"/>
  <c r="C142" i="2"/>
  <c r="B142" i="2"/>
  <c r="C141" i="2"/>
  <c r="B141" i="2" s="1"/>
  <c r="C140" i="2"/>
  <c r="B140" i="2"/>
  <c r="C139" i="2"/>
  <c r="B139" i="2"/>
  <c r="C138" i="2"/>
  <c r="B138" i="2"/>
  <c r="C137" i="2"/>
  <c r="B137" i="2"/>
  <c r="C136" i="2"/>
  <c r="B136" i="2" s="1"/>
  <c r="C135" i="2"/>
  <c r="B135" i="2" s="1"/>
  <c r="C134" i="2"/>
  <c r="B134" i="2" s="1"/>
  <c r="C133" i="2"/>
  <c r="B133" i="2"/>
  <c r="C132" i="2"/>
  <c r="B132" i="2"/>
  <c r="C131" i="2"/>
  <c r="B131" i="2" s="1"/>
  <c r="C130" i="2"/>
  <c r="B130" i="2"/>
  <c r="C129" i="2"/>
  <c r="B129" i="2"/>
  <c r="C128" i="2"/>
  <c r="B128" i="2"/>
  <c r="C127" i="2"/>
  <c r="B127" i="2"/>
  <c r="C126" i="2"/>
  <c r="B126" i="2" s="1"/>
  <c r="C125" i="2"/>
  <c r="B125" i="2" s="1"/>
  <c r="C124" i="2"/>
  <c r="B124" i="2" s="1"/>
  <c r="C123" i="2"/>
  <c r="B123" i="2"/>
  <c r="C122" i="2"/>
  <c r="B122" i="2"/>
  <c r="C121" i="2"/>
  <c r="B121" i="2" s="1"/>
  <c r="C120" i="2"/>
  <c r="B120" i="2"/>
  <c r="C119" i="2"/>
  <c r="B119" i="2"/>
  <c r="C118" i="2"/>
  <c r="B118" i="2"/>
  <c r="C117" i="2"/>
  <c r="B117" i="2"/>
  <c r="C116" i="2"/>
  <c r="B116" i="2" s="1"/>
  <c r="C115" i="2"/>
  <c r="B115" i="2" s="1"/>
  <c r="C114" i="2"/>
  <c r="B114" i="2" s="1"/>
  <c r="C113" i="2"/>
  <c r="B113" i="2"/>
  <c r="C112" i="2"/>
  <c r="B112" i="2"/>
  <c r="C111" i="2"/>
  <c r="B111" i="2" s="1"/>
  <c r="C110" i="2"/>
  <c r="B110" i="2"/>
  <c r="C109" i="2"/>
  <c r="B109" i="2"/>
  <c r="C108" i="2"/>
  <c r="B108" i="2"/>
  <c r="C107" i="2"/>
  <c r="B107" i="2"/>
  <c r="C106" i="2"/>
  <c r="B106" i="2" s="1"/>
  <c r="C105" i="2"/>
  <c r="B105" i="2" s="1"/>
  <c r="C104" i="2"/>
  <c r="B104" i="2" s="1"/>
  <c r="C103" i="2"/>
  <c r="B103" i="2"/>
  <c r="C102" i="2"/>
  <c r="B102" i="2"/>
  <c r="C101" i="2"/>
  <c r="B101" i="2" s="1"/>
  <c r="C100" i="2"/>
  <c r="B100" i="2"/>
  <c r="C99" i="2"/>
  <c r="B99" i="2"/>
  <c r="C98" i="2"/>
  <c r="B98" i="2"/>
  <c r="C97" i="2"/>
  <c r="B97" i="2"/>
  <c r="C96" i="2"/>
  <c r="B96" i="2" s="1"/>
  <c r="C95" i="2"/>
  <c r="B95" i="2" s="1"/>
  <c r="C94" i="2"/>
  <c r="B94" i="2" s="1"/>
  <c r="C93" i="2"/>
  <c r="B93" i="2"/>
  <c r="C92" i="2"/>
  <c r="B92" i="2"/>
  <c r="C91" i="2"/>
  <c r="B91" i="2" s="1"/>
  <c r="C90" i="2"/>
  <c r="B90" i="2"/>
  <c r="C89" i="2"/>
  <c r="B89" i="2"/>
  <c r="C88" i="2"/>
  <c r="B88" i="2"/>
  <c r="C87" i="2"/>
  <c r="B87" i="2"/>
  <c r="C86" i="2"/>
  <c r="B86" i="2" s="1"/>
  <c r="C85" i="2"/>
  <c r="B85" i="2" s="1"/>
  <c r="C84" i="2"/>
  <c r="B84" i="2" s="1"/>
  <c r="C83" i="2"/>
  <c r="B83" i="2"/>
  <c r="C82" i="2"/>
  <c r="B82" i="2"/>
  <c r="C81" i="2"/>
  <c r="B81" i="2" s="1"/>
  <c r="C80" i="2"/>
  <c r="B80" i="2"/>
  <c r="C79" i="2"/>
  <c r="B79" i="2"/>
  <c r="C78" i="2"/>
  <c r="B78" i="2"/>
  <c r="C77" i="2"/>
  <c r="B77" i="2"/>
  <c r="C76" i="2"/>
  <c r="B76" i="2" s="1"/>
  <c r="C75" i="2"/>
  <c r="B75" i="2" s="1"/>
  <c r="C74" i="2"/>
  <c r="B74" i="2" s="1"/>
  <c r="C73" i="2"/>
  <c r="B73" i="2"/>
  <c r="C72" i="2"/>
  <c r="B72" i="2"/>
  <c r="C71" i="2"/>
  <c r="B71" i="2" s="1"/>
  <c r="C70" i="2"/>
  <c r="B70" i="2"/>
  <c r="C69" i="2"/>
  <c r="B69" i="2"/>
  <c r="C68" i="2"/>
  <c r="B68" i="2"/>
  <c r="C67" i="2"/>
  <c r="B67" i="2"/>
  <c r="C66" i="2"/>
  <c r="B66" i="2" s="1"/>
  <c r="C65" i="2"/>
  <c r="B65" i="2" s="1"/>
  <c r="C64" i="2"/>
  <c r="B64" i="2" s="1"/>
  <c r="C63" i="2"/>
  <c r="B63" i="2"/>
  <c r="C62" i="2"/>
  <c r="B62" i="2"/>
  <c r="C61" i="2"/>
  <c r="B61" i="2" s="1"/>
  <c r="C60" i="2"/>
  <c r="B60" i="2"/>
  <c r="C59" i="2"/>
  <c r="B59" i="2"/>
  <c r="C58" i="2"/>
  <c r="B58" i="2"/>
  <c r="C57" i="2"/>
  <c r="B57" i="2"/>
  <c r="C56" i="2"/>
  <c r="B56" i="2" s="1"/>
  <c r="C55" i="2"/>
  <c r="B55" i="2" s="1"/>
  <c r="C54" i="2"/>
  <c r="B54" i="2" s="1"/>
  <c r="C53" i="2"/>
  <c r="B53" i="2"/>
  <c r="C52" i="2"/>
  <c r="B52" i="2"/>
  <c r="C51" i="2"/>
  <c r="B51" i="2" s="1"/>
  <c r="C50" i="2"/>
  <c r="B50" i="2"/>
  <c r="C49" i="2"/>
  <c r="B49" i="2"/>
  <c r="C48" i="2"/>
  <c r="B48" i="2"/>
  <c r="C47" i="2"/>
  <c r="B47" i="2"/>
  <c r="C46" i="2"/>
  <c r="B46" i="2" s="1"/>
  <c r="C45" i="2"/>
  <c r="B45" i="2" s="1"/>
  <c r="C44" i="2"/>
  <c r="B44" i="2" s="1"/>
  <c r="C43" i="2"/>
  <c r="B43" i="2"/>
  <c r="C42" i="2"/>
  <c r="B42" i="2"/>
  <c r="C41" i="2"/>
  <c r="B41" i="2" s="1"/>
  <c r="C40" i="2"/>
  <c r="B40" i="2"/>
  <c r="C39" i="2"/>
  <c r="B39" i="2"/>
  <c r="C38" i="2"/>
  <c r="B38" i="2"/>
  <c r="C37" i="2"/>
  <c r="B37" i="2"/>
  <c r="C36" i="2"/>
  <c r="B36" i="2" s="1"/>
  <c r="C35" i="2"/>
  <c r="B35" i="2" s="1"/>
  <c r="C34" i="2"/>
  <c r="B34" i="2" s="1"/>
  <c r="C33" i="2"/>
  <c r="B33" i="2"/>
  <c r="C32" i="2"/>
  <c r="B32" i="2"/>
  <c r="C31" i="2"/>
  <c r="B31" i="2" s="1"/>
  <c r="C30" i="2"/>
  <c r="B30" i="2"/>
  <c r="C29" i="2"/>
  <c r="B29" i="2"/>
  <c r="C28" i="2"/>
  <c r="B28" i="2"/>
  <c r="C27" i="2"/>
  <c r="B27" i="2"/>
  <c r="C26" i="2"/>
  <c r="B26" i="2" s="1"/>
  <c r="C25" i="2"/>
  <c r="B25" i="2" s="1"/>
  <c r="C24" i="2"/>
  <c r="B24" i="2" s="1"/>
  <c r="C23" i="2"/>
  <c r="B23" i="2"/>
  <c r="C22" i="2"/>
  <c r="B22" i="2"/>
  <c r="C21" i="2"/>
  <c r="B21" i="2" s="1"/>
  <c r="C20" i="2"/>
  <c r="B20" i="2"/>
  <c r="C19" i="2"/>
  <c r="B19" i="2"/>
  <c r="C18" i="2"/>
  <c r="B18" i="2"/>
  <c r="C17" i="2"/>
  <c r="B17" i="2"/>
  <c r="C16" i="2"/>
  <c r="B16" i="2" s="1"/>
  <c r="C15" i="2"/>
  <c r="B15" i="2" s="1"/>
  <c r="C14" i="2"/>
  <c r="B14" i="2" s="1"/>
  <c r="C13" i="2"/>
  <c r="B13" i="2"/>
  <c r="C12" i="2"/>
  <c r="B12" i="2"/>
  <c r="C11" i="2"/>
  <c r="B11" i="2" s="1"/>
  <c r="C10" i="2"/>
  <c r="B10" i="2"/>
  <c r="C9" i="2"/>
  <c r="B9" i="2"/>
  <c r="C8" i="2"/>
  <c r="B8" i="2"/>
  <c r="C7" i="2"/>
  <c r="B7" i="2"/>
  <c r="C6" i="2"/>
  <c r="B6" i="2" s="1"/>
  <c r="C5" i="2"/>
  <c r="B5" i="2" s="1"/>
  <c r="C4" i="2"/>
  <c r="B4" i="2" s="1"/>
  <c r="C3" i="2"/>
  <c r="B3" i="2"/>
  <c r="C2" i="2"/>
  <c r="B2" i="2"/>
</calcChain>
</file>

<file path=xl/sharedStrings.xml><?xml version="1.0" encoding="utf-8"?>
<sst xmlns="http://schemas.openxmlformats.org/spreadsheetml/2006/main" count="165" uniqueCount="165">
  <si>
    <t>Area</t>
  </si>
  <si>
    <t>IMAGE-region</t>
  </si>
  <si>
    <t>ISO3</t>
  </si>
  <si>
    <t>ISOCode</t>
  </si>
  <si>
    <t>Algeria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</si>
  <si>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</si>
  <si>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</si>
  <si>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</si>
  <si>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</si>
  <si>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</si>
  <si>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</si>
  <si>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</si>
  <si>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</si>
  <si>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</si>
  <si>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</si>
  <si>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</si>
  <si>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</si>
  <si>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</si>
  <si>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</si>
  <si>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</si>
  <si>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</si>
  <si>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</si>
  <si>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</si>
  <si>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</si>
  <si>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</si>
  <si>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</si>
  <si>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</si>
  <si>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</si>
  <si>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</si>
  <si>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</si>
  <si>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</si>
  <si>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</si>
  <si>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</si>
  <si>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</si>
  <si>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</si>
  <si>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</si>
  <si>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</si>
  <si>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</si>
  <si>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</si>
  <si>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</si>
  <si>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</si>
  <si>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</si>
  <si>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</si>
  <si>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</si>
  <si>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</si>
  <si>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</si>
  <si>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</si>
  <si>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</si>
  <si>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</si>
  <si>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</si>
  <si>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</si>
  <si>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</si>
  <si>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</si>
  <si>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</si>
  <si>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</si>
  <si>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</si>
  <si>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</si>
  <si>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</si>
  <si>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</si>
  <si>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</si>
  <si>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</si>
  <si>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</si>
  <si>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</si>
  <si>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</si>
  <si>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</si>
  <si>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</si>
  <si>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</si>
  <si>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</si>
  <si>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</si>
  <si>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</si>
  <si>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</si>
  <si>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</si>
  <si>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</si>
  <si>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</si>
  <si>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</si>
  <si>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</si>
  <si>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</si>
  <si>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</si>
  <si>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</si>
  <si>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</si>
  <si>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</si>
  <si>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</si>
  <si>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</si>
  <si>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</si>
  <si>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</si>
  <si>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</si>
  <si>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</si>
  <si>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</si>
  <si>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</si>
  <si>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</si>
  <si>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</si>
  <si>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</si>
  <si>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</si>
  <si>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</si>
  <si>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</si>
  <si>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</si>
  <si>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</si>
  <si>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</si>
  <si>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</si>
  <si>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</si>
  <si>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</si>
  <si>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</si>
  <si>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</si>
  <si>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</si>
  <si>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</si>
  <si>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</si>
  <si>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</si>
  <si>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</si>
  <si>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</si>
  <si>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</si>
  <si>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</si>
  <si>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</si>
  <si>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</si>
  <si>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</si>
  <si>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</si>
  <si>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</si>
  <si>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</si>
  <si>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</si>
  <si>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</si>
  <si>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</si>
  <si>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</si>
  <si>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</si>
  <si>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</si>
  <si>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</si>
  <si>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</si>
  <si>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</si>
  <si>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</si>
  <si>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</si>
  <si>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</si>
  <si>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</si>
  <si>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</si>
  <si>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</si>
  <si>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</si>
  <si>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</si>
  <si>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</si>
  <si>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</si>
  <si>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</si>
  <si>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</si>
  <si>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</si>
  <si>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</si>
  <si>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</si>
  <si>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</si>
  <si>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</si>
  <si>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</si>
  <si>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</si>
  <si>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</si>
  <si>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</si>
  <si>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</si>
  <si>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</si>
  <si>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</si>
  <si>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</si>
  <si>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</si>
  <si>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</si>
  <si>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</si>
  <si>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</si>
  <si>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Kingdom of Great Britain and Northern Ireland</t>
  </si>
  <si>
    <t>United Republic of Tanzania</t>
  </si>
  <si>
    <t>United States of America</t>
  </si>
  <si>
    <t>Uruguay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</si>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</sst>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Urban.xlsx" TargetMode="External"/><Relationship Id="rId1" Type="http://schemas.openxmlformats.org/officeDocument/2006/relationships/externalLinkPath" Target="/Academic/Chapter2/0.%20Layers/strict/Urb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2.%20dMFA\External_Input\HDI%20Projection%20Results%20-%20Kedi%20Liu.xlsx" TargetMode="External"/><Relationship Id="rId1" Type="http://schemas.openxmlformats.org/officeDocument/2006/relationships/externalLinkPath" Target="/Academic/Chapter2/2.%20dMFA/External_Input/HDI%20Projection%20Results%20-%20Kedi%20Li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AFG</v>
          </cell>
          <cell r="D2" t="str">
            <v>Rest of South Asia</v>
          </cell>
        </row>
        <row r="3">
          <cell r="A3" t="str">
            <v>ALB</v>
          </cell>
          <cell r="D3" t="str">
            <v>Central Europe</v>
          </cell>
        </row>
        <row r="4">
          <cell r="A4" t="str">
            <v>DZA</v>
          </cell>
          <cell r="D4" t="str">
            <v>Northern Africa</v>
          </cell>
        </row>
        <row r="5">
          <cell r="A5" t="str">
            <v>AGO</v>
          </cell>
          <cell r="D5" t="str">
            <v>Rest of Southern Africa</v>
          </cell>
        </row>
        <row r="6">
          <cell r="A6" t="str">
            <v>ARG</v>
          </cell>
          <cell r="D6" t="str">
            <v>Rest of South America</v>
          </cell>
        </row>
        <row r="7">
          <cell r="A7" t="str">
            <v>ARM</v>
          </cell>
          <cell r="D7" t="str">
            <v>Russia region</v>
          </cell>
        </row>
        <row r="8">
          <cell r="A8" t="str">
            <v>AUS</v>
          </cell>
          <cell r="D8" t="str">
            <v>Oceania</v>
          </cell>
        </row>
        <row r="9">
          <cell r="A9" t="str">
            <v>AUT</v>
          </cell>
          <cell r="D9" t="str">
            <v>Western Europe</v>
          </cell>
        </row>
        <row r="10">
          <cell r="A10" t="str">
            <v>AZE</v>
          </cell>
          <cell r="D10" t="str">
            <v>Russia region</v>
          </cell>
        </row>
        <row r="11">
          <cell r="A11" t="str">
            <v>BHS</v>
          </cell>
          <cell r="D11" t="str">
            <v>Central America</v>
          </cell>
        </row>
        <row r="12">
          <cell r="A12" t="str">
            <v>BHR</v>
          </cell>
          <cell r="D12" t="str">
            <v>Middle East</v>
          </cell>
        </row>
        <row r="13">
          <cell r="A13" t="str">
            <v>BGD</v>
          </cell>
          <cell r="D13" t="str">
            <v>Rest of South Asia</v>
          </cell>
        </row>
        <row r="14">
          <cell r="A14" t="str">
            <v>BLR</v>
          </cell>
          <cell r="D14" t="str">
            <v>Ukraine region</v>
          </cell>
        </row>
        <row r="15">
          <cell r="A15" t="str">
            <v>BEL</v>
          </cell>
          <cell r="D15" t="str">
            <v>Western Europe</v>
          </cell>
        </row>
        <row r="16">
          <cell r="A16" t="str">
            <v>BLZ</v>
          </cell>
          <cell r="D16" t="str">
            <v>Central America</v>
          </cell>
        </row>
        <row r="17">
          <cell r="A17" t="str">
            <v>BEN</v>
          </cell>
          <cell r="D17" t="str">
            <v>Western Africa</v>
          </cell>
        </row>
        <row r="18">
          <cell r="A18" t="str">
            <v>BOL</v>
          </cell>
          <cell r="D18" t="str">
            <v>Rest of South America</v>
          </cell>
        </row>
        <row r="19">
          <cell r="A19" t="str">
            <v>BWA</v>
          </cell>
          <cell r="D19" t="str">
            <v>Rest of Southern Africa</v>
          </cell>
        </row>
        <row r="20">
          <cell r="A20" t="str">
            <v>BRA</v>
          </cell>
          <cell r="D20" t="str">
            <v>Brazil</v>
          </cell>
        </row>
        <row r="21">
          <cell r="A21" t="str">
            <v>BRN</v>
          </cell>
          <cell r="D21" t="str">
            <v>Southeastern Asia</v>
          </cell>
        </row>
        <row r="22">
          <cell r="A22" t="str">
            <v>BGR</v>
          </cell>
          <cell r="D22" t="str">
            <v>Central Europe</v>
          </cell>
        </row>
        <row r="23">
          <cell r="A23" t="str">
            <v>BFA</v>
          </cell>
          <cell r="D23" t="str">
            <v>Western Africa</v>
          </cell>
        </row>
        <row r="24">
          <cell r="A24" t="str">
            <v>BDI</v>
          </cell>
          <cell r="D24" t="str">
            <v>Eastern Africa</v>
          </cell>
        </row>
        <row r="25">
          <cell r="A25" t="str">
            <v>KHM</v>
          </cell>
          <cell r="D25" t="str">
            <v>Southeastern Asia</v>
          </cell>
        </row>
        <row r="26">
          <cell r="A26" t="str">
            <v>CMR</v>
          </cell>
          <cell r="D26" t="str">
            <v>Western Africa</v>
          </cell>
        </row>
        <row r="27">
          <cell r="A27" t="str">
            <v>CAN</v>
          </cell>
          <cell r="D27" t="str">
            <v>Canada</v>
          </cell>
        </row>
        <row r="28">
          <cell r="A28" t="str">
            <v>CPV</v>
          </cell>
          <cell r="D28" t="str">
            <v>Western Africa</v>
          </cell>
        </row>
        <row r="29">
          <cell r="A29" t="str">
            <v>CAF</v>
          </cell>
          <cell r="D29" t="str">
            <v>Western Africa</v>
          </cell>
        </row>
        <row r="30">
          <cell r="A30" t="str">
            <v>TCD</v>
          </cell>
          <cell r="D30" t="str">
            <v>Western Africa</v>
          </cell>
        </row>
        <row r="31">
          <cell r="A31" t="str">
            <v>CHL</v>
          </cell>
          <cell r="D31" t="str">
            <v>Rest of South America</v>
          </cell>
        </row>
        <row r="32">
          <cell r="A32" t="str">
            <v>CHN</v>
          </cell>
          <cell r="D32" t="str">
            <v>China region</v>
          </cell>
        </row>
        <row r="33">
          <cell r="A33" t="str">
            <v>COL</v>
          </cell>
          <cell r="D33" t="str">
            <v>Rest of South America</v>
          </cell>
        </row>
        <row r="34">
          <cell r="A34" t="str">
            <v>COG</v>
          </cell>
          <cell r="D34" t="str">
            <v>Western Africa</v>
          </cell>
        </row>
        <row r="35">
          <cell r="A35" t="str">
            <v>CRI</v>
          </cell>
          <cell r="D35" t="str">
            <v>Central America</v>
          </cell>
        </row>
        <row r="36">
          <cell r="A36" t="str">
            <v>HRV</v>
          </cell>
          <cell r="D36" t="str">
            <v>Central Europe</v>
          </cell>
        </row>
        <row r="37">
          <cell r="A37" t="str">
            <v>CUB</v>
          </cell>
          <cell r="D37" t="str">
            <v>Central America</v>
          </cell>
        </row>
        <row r="38">
          <cell r="A38" t="str">
            <v>CYP</v>
          </cell>
          <cell r="D38" t="str">
            <v>Central Europe</v>
          </cell>
        </row>
        <row r="39">
          <cell r="A39" t="str">
            <v>DNK</v>
          </cell>
          <cell r="D39" t="str">
            <v>Western Europe</v>
          </cell>
        </row>
        <row r="40">
          <cell r="A40" t="str">
            <v>DJI</v>
          </cell>
          <cell r="D40" t="str">
            <v>Eastern Africa</v>
          </cell>
        </row>
        <row r="41">
          <cell r="A41" t="str">
            <v>DOM</v>
          </cell>
          <cell r="D41" t="str">
            <v>Central America</v>
          </cell>
        </row>
        <row r="42">
          <cell r="A42" t="str">
            <v>ECU</v>
          </cell>
          <cell r="D42" t="str">
            <v>Rest of South America</v>
          </cell>
        </row>
        <row r="43">
          <cell r="A43" t="str">
            <v>EGY</v>
          </cell>
          <cell r="D43" t="str">
            <v>Northern Africa</v>
          </cell>
        </row>
        <row r="44">
          <cell r="A44" t="str">
            <v>SLV</v>
          </cell>
          <cell r="D44" t="str">
            <v>Central America</v>
          </cell>
        </row>
        <row r="45">
          <cell r="A45" t="str">
            <v>GNQ</v>
          </cell>
          <cell r="D45" t="str">
            <v>Western Africa</v>
          </cell>
        </row>
        <row r="46">
          <cell r="A46" t="str">
            <v>ERI</v>
          </cell>
          <cell r="D46" t="str">
            <v>Eastern Africa</v>
          </cell>
        </row>
        <row r="47">
          <cell r="A47" t="str">
            <v>EST</v>
          </cell>
          <cell r="D47" t="str">
            <v>Central Europe</v>
          </cell>
        </row>
        <row r="48">
          <cell r="A48" t="str">
            <v>ETH</v>
          </cell>
          <cell r="D48" t="str">
            <v>Eastern Africa</v>
          </cell>
        </row>
        <row r="49">
          <cell r="A49" t="str">
            <v>FJI</v>
          </cell>
          <cell r="D49" t="str">
            <v>Oceania</v>
          </cell>
        </row>
        <row r="50">
          <cell r="A50" t="str">
            <v>FIN</v>
          </cell>
          <cell r="D50" t="str">
            <v>Western Europe</v>
          </cell>
        </row>
        <row r="51">
          <cell r="A51" t="str">
            <v>FRA</v>
          </cell>
          <cell r="D51" t="str">
            <v>Western Europe</v>
          </cell>
        </row>
        <row r="52">
          <cell r="A52" t="str">
            <v>GAB</v>
          </cell>
          <cell r="D52" t="str">
            <v>Western Africa</v>
          </cell>
        </row>
        <row r="53">
          <cell r="A53" t="str">
            <v>GMB</v>
          </cell>
          <cell r="D53" t="str">
            <v>Western Africa</v>
          </cell>
        </row>
        <row r="54">
          <cell r="A54" t="str">
            <v>GEO</v>
          </cell>
          <cell r="D54" t="str">
            <v>Russia region</v>
          </cell>
        </row>
        <row r="55">
          <cell r="A55" t="str">
            <v>DEU</v>
          </cell>
          <cell r="D55" t="str">
            <v>Western Europe</v>
          </cell>
        </row>
        <row r="56">
          <cell r="A56" t="str">
            <v>GHA</v>
          </cell>
          <cell r="D56" t="str">
            <v>Western Africa</v>
          </cell>
        </row>
        <row r="57">
          <cell r="A57" t="str">
            <v>GRC</v>
          </cell>
          <cell r="D57" t="str">
            <v>Western Europe</v>
          </cell>
        </row>
        <row r="58">
          <cell r="A58" t="str">
            <v>GTM</v>
          </cell>
          <cell r="D58" t="str">
            <v>Central America</v>
          </cell>
        </row>
        <row r="59">
          <cell r="A59" t="str">
            <v>GIN</v>
          </cell>
          <cell r="D59" t="str">
            <v>Western Africa</v>
          </cell>
        </row>
        <row r="60">
          <cell r="A60" t="str">
            <v>GNB</v>
          </cell>
          <cell r="D60" t="str">
            <v>Western Africa</v>
          </cell>
        </row>
        <row r="61">
          <cell r="A61" t="str">
            <v>GUY</v>
          </cell>
          <cell r="D61" t="str">
            <v>Brazil</v>
          </cell>
        </row>
        <row r="62">
          <cell r="A62" t="str">
            <v>HTI</v>
          </cell>
          <cell r="D62" t="str">
            <v>Central America</v>
          </cell>
        </row>
        <row r="63">
          <cell r="A63" t="str">
            <v>HND</v>
          </cell>
          <cell r="D63" t="str">
            <v>Central America</v>
          </cell>
        </row>
        <row r="64">
          <cell r="A64" t="str">
            <v>HUN</v>
          </cell>
          <cell r="D64" t="str">
            <v>Central Europe</v>
          </cell>
        </row>
        <row r="65">
          <cell r="A65" t="str">
            <v>ISL</v>
          </cell>
          <cell r="D65" t="str">
            <v>Western Europe</v>
          </cell>
        </row>
        <row r="66">
          <cell r="A66" t="str">
            <v>IND</v>
          </cell>
          <cell r="D66" t="str">
            <v>India</v>
          </cell>
        </row>
        <row r="67">
          <cell r="A67" t="str">
            <v>IDN</v>
          </cell>
          <cell r="D67" t="str">
            <v>Indonesia region</v>
          </cell>
        </row>
        <row r="68">
          <cell r="A68" t="str">
            <v>IRN</v>
          </cell>
          <cell r="D68" t="str">
            <v>Middle East</v>
          </cell>
        </row>
        <row r="69">
          <cell r="A69" t="str">
            <v>IRQ</v>
          </cell>
          <cell r="D69" t="str">
            <v>Middle East</v>
          </cell>
        </row>
        <row r="70">
          <cell r="A70" t="str">
            <v>IRL</v>
          </cell>
          <cell r="D70" t="str">
            <v>Western Europe</v>
          </cell>
        </row>
        <row r="71">
          <cell r="A71" t="str">
            <v>ISR</v>
          </cell>
          <cell r="D71" t="str">
            <v>Middle East</v>
          </cell>
        </row>
        <row r="72">
          <cell r="A72" t="str">
            <v>ITA</v>
          </cell>
          <cell r="D72" t="str">
            <v>Western Europe</v>
          </cell>
        </row>
        <row r="73">
          <cell r="A73" t="str">
            <v>JAM</v>
          </cell>
          <cell r="D73" t="str">
            <v>Central America</v>
          </cell>
        </row>
        <row r="74">
          <cell r="A74" t="str">
            <v>JPN</v>
          </cell>
          <cell r="D74" t="str">
            <v>Japan</v>
          </cell>
        </row>
        <row r="75">
          <cell r="A75" t="str">
            <v>JOR</v>
          </cell>
          <cell r="D75" t="str">
            <v>Middle East</v>
          </cell>
        </row>
        <row r="76">
          <cell r="A76" t="str">
            <v>KAZ</v>
          </cell>
          <cell r="D76" t="str">
            <v>Central Asia</v>
          </cell>
        </row>
        <row r="77">
          <cell r="A77" t="str">
            <v>KEN</v>
          </cell>
          <cell r="D77" t="str">
            <v>Eastern Africa</v>
          </cell>
        </row>
        <row r="78">
          <cell r="A78" t="str">
            <v>XKO</v>
          </cell>
          <cell r="D78" t="str">
            <v>Central Europe</v>
          </cell>
        </row>
        <row r="79">
          <cell r="A79" t="str">
            <v>KWT</v>
          </cell>
          <cell r="D79" t="str">
            <v>Middle East</v>
          </cell>
        </row>
        <row r="80">
          <cell r="A80" t="str">
            <v>KGZ</v>
          </cell>
          <cell r="D80" t="str">
            <v>Central Asia</v>
          </cell>
        </row>
        <row r="81">
          <cell r="A81" t="str">
            <v>LAO</v>
          </cell>
          <cell r="D81" t="str">
            <v>Southeastern Asia</v>
          </cell>
        </row>
        <row r="82">
          <cell r="A82" t="str">
            <v>LVA</v>
          </cell>
          <cell r="D82" t="str">
            <v>Central Europe</v>
          </cell>
        </row>
        <row r="83">
          <cell r="A83" t="str">
            <v>LBN</v>
          </cell>
          <cell r="D83" t="str">
            <v>Middle East</v>
          </cell>
        </row>
        <row r="84">
          <cell r="A84" t="str">
            <v>LSO</v>
          </cell>
          <cell r="D84" t="str">
            <v>Rest of Southern Africa</v>
          </cell>
        </row>
        <row r="85">
          <cell r="A85" t="str">
            <v>LBR</v>
          </cell>
          <cell r="D85" t="str">
            <v>Western Africa</v>
          </cell>
        </row>
        <row r="86">
          <cell r="A86" t="str">
            <v>LBY</v>
          </cell>
          <cell r="D86" t="str">
            <v>Northern Africa</v>
          </cell>
        </row>
        <row r="87">
          <cell r="A87" t="str">
            <v>LTU</v>
          </cell>
          <cell r="D87" t="str">
            <v>Central Europe</v>
          </cell>
        </row>
        <row r="88">
          <cell r="A88" t="str">
            <v>LUX</v>
          </cell>
          <cell r="D88" t="str">
            <v>Western Europe</v>
          </cell>
        </row>
        <row r="89">
          <cell r="A89" t="str">
            <v>MKD</v>
          </cell>
          <cell r="D89" t="str">
            <v>Central Europe</v>
          </cell>
        </row>
        <row r="90">
          <cell r="A90" t="str">
            <v>MDG</v>
          </cell>
          <cell r="D90" t="str">
            <v>Eastern Africa</v>
          </cell>
        </row>
        <row r="91">
          <cell r="A91" t="str">
            <v>MWI</v>
          </cell>
          <cell r="D91" t="str">
            <v>Rest of Southern Africa</v>
          </cell>
        </row>
        <row r="92">
          <cell r="A92" t="str">
            <v>MYS</v>
          </cell>
          <cell r="D92" t="str">
            <v>Southeastern Asia</v>
          </cell>
        </row>
        <row r="93">
          <cell r="A93" t="str">
            <v>MLI</v>
          </cell>
          <cell r="D93" t="str">
            <v>Western Africa</v>
          </cell>
        </row>
        <row r="94">
          <cell r="A94" t="str">
            <v>MLT</v>
          </cell>
          <cell r="D94" t="str">
            <v>Western Europe</v>
          </cell>
        </row>
        <row r="95">
          <cell r="A95" t="str">
            <v>MRT</v>
          </cell>
          <cell r="D95" t="str">
            <v>Western Africa</v>
          </cell>
        </row>
        <row r="96">
          <cell r="A96" t="str">
            <v>MUS</v>
          </cell>
          <cell r="D96" t="str">
            <v>Eastern Africa</v>
          </cell>
        </row>
        <row r="97">
          <cell r="A97" t="str">
            <v>MEX</v>
          </cell>
          <cell r="D97" t="str">
            <v>Mexico</v>
          </cell>
        </row>
        <row r="98">
          <cell r="A98" t="str">
            <v>MDA</v>
          </cell>
          <cell r="D98" t="str">
            <v>Ukraine region</v>
          </cell>
        </row>
        <row r="99">
          <cell r="A99" t="str">
            <v>MNG</v>
          </cell>
          <cell r="D99" t="str">
            <v>China region</v>
          </cell>
        </row>
        <row r="100">
          <cell r="A100" t="str">
            <v>MNE</v>
          </cell>
          <cell r="D100" t="str">
            <v>Central Europe</v>
          </cell>
        </row>
        <row r="101">
          <cell r="A101" t="str">
            <v>MAR</v>
          </cell>
          <cell r="D101" t="str">
            <v>Northern Africa</v>
          </cell>
        </row>
        <row r="102">
          <cell r="A102" t="str">
            <v>MOZ</v>
          </cell>
          <cell r="D102" t="str">
            <v>Rest of Southern Africa</v>
          </cell>
        </row>
        <row r="103">
          <cell r="A103" t="str">
            <v>MMR</v>
          </cell>
          <cell r="D103" t="str">
            <v>Southeastern Asia</v>
          </cell>
        </row>
        <row r="104">
          <cell r="A104" t="str">
            <v>NAM</v>
          </cell>
          <cell r="D104" t="str">
            <v>Rest of Southern Africa</v>
          </cell>
        </row>
        <row r="105">
          <cell r="A105" t="str">
            <v>NPL</v>
          </cell>
          <cell r="D105" t="str">
            <v>Rest of South Asia</v>
          </cell>
        </row>
        <row r="106">
          <cell r="A106" t="str">
            <v>NLD</v>
          </cell>
          <cell r="D106" t="str">
            <v>Western Europe</v>
          </cell>
        </row>
        <row r="107">
          <cell r="A107" t="str">
            <v>NCL</v>
          </cell>
          <cell r="D107" t="str">
            <v>Oceania</v>
          </cell>
        </row>
        <row r="108">
          <cell r="A108" t="str">
            <v>NZL</v>
          </cell>
          <cell r="D108" t="str">
            <v>Oceania</v>
          </cell>
        </row>
        <row r="109">
          <cell r="A109" t="str">
            <v>NIC</v>
          </cell>
          <cell r="D109" t="str">
            <v>Central America</v>
          </cell>
        </row>
        <row r="110">
          <cell r="A110" t="str">
            <v>NER</v>
          </cell>
          <cell r="D110" t="str">
            <v>Western Africa</v>
          </cell>
        </row>
        <row r="111">
          <cell r="A111" t="str">
            <v>NGA</v>
          </cell>
          <cell r="D111" t="str">
            <v>Western Africa</v>
          </cell>
        </row>
        <row r="112">
          <cell r="A112" t="str">
            <v>PRK</v>
          </cell>
          <cell r="D112" t="str">
            <v>Korea region</v>
          </cell>
        </row>
        <row r="113">
          <cell r="A113" t="str">
            <v>NOR</v>
          </cell>
          <cell r="D113" t="str">
            <v>Western Europe</v>
          </cell>
        </row>
        <row r="114">
          <cell r="A114" t="str">
            <v>OMN</v>
          </cell>
          <cell r="D114" t="str">
            <v>Middle East</v>
          </cell>
        </row>
        <row r="115">
          <cell r="A115" t="str">
            <v>PAK</v>
          </cell>
          <cell r="D115" t="str">
            <v>Rest of South Asia</v>
          </cell>
        </row>
        <row r="116">
          <cell r="A116" t="str">
            <v>PSE</v>
          </cell>
          <cell r="D116" t="str">
            <v>Middle East</v>
          </cell>
        </row>
        <row r="117">
          <cell r="A117" t="str">
            <v>PAN</v>
          </cell>
          <cell r="D117" t="str">
            <v>Central America</v>
          </cell>
        </row>
        <row r="118">
          <cell r="A118" t="str">
            <v>PNG</v>
          </cell>
          <cell r="D118" t="str">
            <v>Oceania</v>
          </cell>
        </row>
        <row r="119">
          <cell r="A119" t="str">
            <v>PRY</v>
          </cell>
          <cell r="D119" t="str">
            <v>Rest of South America</v>
          </cell>
        </row>
        <row r="120">
          <cell r="A120" t="str">
            <v>PER</v>
          </cell>
          <cell r="D120" t="str">
            <v>Rest of South America</v>
          </cell>
        </row>
        <row r="121">
          <cell r="A121" t="str">
            <v>PHL</v>
          </cell>
          <cell r="D121" t="str">
            <v>Southeastern Asia</v>
          </cell>
        </row>
        <row r="122">
          <cell r="A122" t="str">
            <v>POL</v>
          </cell>
          <cell r="D122" t="str">
            <v>Central Europe</v>
          </cell>
        </row>
        <row r="123">
          <cell r="A123" t="str">
            <v>PRT</v>
          </cell>
          <cell r="D123" t="str">
            <v>Western Europe</v>
          </cell>
        </row>
        <row r="124">
          <cell r="A124" t="str">
            <v>QAT</v>
          </cell>
          <cell r="D124" t="str">
            <v>Middle East</v>
          </cell>
        </row>
        <row r="125">
          <cell r="A125" t="str">
            <v>ROU</v>
          </cell>
          <cell r="D125" t="str">
            <v>Central Europe</v>
          </cell>
        </row>
        <row r="126">
          <cell r="A126" t="str">
            <v>RUS</v>
          </cell>
          <cell r="D126" t="str">
            <v>Russia region</v>
          </cell>
        </row>
        <row r="127">
          <cell r="A127" t="str">
            <v>RWA</v>
          </cell>
          <cell r="D127" t="str">
            <v>Eastern Africa</v>
          </cell>
        </row>
        <row r="128">
          <cell r="A128" t="str">
            <v>STP</v>
          </cell>
          <cell r="D128" t="str">
            <v>Western Africa</v>
          </cell>
        </row>
        <row r="129">
          <cell r="A129" t="str">
            <v>SAU</v>
          </cell>
          <cell r="D129" t="str">
            <v>Middle East</v>
          </cell>
        </row>
        <row r="130">
          <cell r="A130" t="str">
            <v>SEN</v>
          </cell>
          <cell r="D130" t="str">
            <v>Western Africa</v>
          </cell>
        </row>
        <row r="131">
          <cell r="A131" t="str">
            <v>SRB</v>
          </cell>
          <cell r="D131" t="str">
            <v>Central Europe</v>
          </cell>
        </row>
        <row r="132">
          <cell r="A132" t="str">
            <v>SLE</v>
          </cell>
          <cell r="D132" t="str">
            <v>Western Africa</v>
          </cell>
        </row>
        <row r="133">
          <cell r="A133" t="str">
            <v>SGP</v>
          </cell>
          <cell r="D133" t="str">
            <v>Southeastern Asia</v>
          </cell>
        </row>
        <row r="134">
          <cell r="A134" t="str">
            <v>SVK</v>
          </cell>
          <cell r="D134" t="str">
            <v>Central Europe</v>
          </cell>
        </row>
        <row r="135">
          <cell r="A135" t="str">
            <v>SVN</v>
          </cell>
          <cell r="D135" t="str">
            <v>Central Europe</v>
          </cell>
        </row>
        <row r="136">
          <cell r="A136" t="str">
            <v>SLB</v>
          </cell>
          <cell r="D136" t="str">
            <v>Oceania</v>
          </cell>
        </row>
        <row r="137">
          <cell r="A137" t="str">
            <v>SOM</v>
          </cell>
          <cell r="D137" t="str">
            <v>Eastern Africa</v>
          </cell>
        </row>
        <row r="138">
          <cell r="A138" t="str">
            <v>ZAF</v>
          </cell>
          <cell r="D138" t="str">
            <v>South Africa</v>
          </cell>
        </row>
        <row r="139">
          <cell r="A139" t="str">
            <v>KOR</v>
          </cell>
          <cell r="D139" t="str">
            <v>Korea region</v>
          </cell>
        </row>
        <row r="140">
          <cell r="A140" t="str">
            <v>SSD</v>
          </cell>
          <cell r="D140" t="str">
            <v>Eastern Africa</v>
          </cell>
        </row>
        <row r="141">
          <cell r="A141" t="str">
            <v>ESP</v>
          </cell>
          <cell r="D141" t="str">
            <v>Western Europe</v>
          </cell>
        </row>
        <row r="142">
          <cell r="A142" t="str">
            <v>LKA</v>
          </cell>
          <cell r="D142" t="str">
            <v>Rest of South Asia</v>
          </cell>
        </row>
        <row r="143">
          <cell r="A143" t="str">
            <v>SDN</v>
          </cell>
          <cell r="D143" t="str">
            <v>Eastern Africa</v>
          </cell>
        </row>
        <row r="144">
          <cell r="A144" t="str">
            <v>SUR</v>
          </cell>
          <cell r="D144" t="str">
            <v>Rest of South America</v>
          </cell>
        </row>
        <row r="145">
          <cell r="A145" t="str">
            <v>SWZ</v>
          </cell>
          <cell r="D145" t="str">
            <v>Rest of Southern Africa</v>
          </cell>
        </row>
        <row r="146">
          <cell r="A146" t="str">
            <v>SWE</v>
          </cell>
          <cell r="D146" t="str">
            <v>Western Europe</v>
          </cell>
        </row>
        <row r="147">
          <cell r="A147" t="str">
            <v>CHE</v>
          </cell>
          <cell r="D147" t="str">
            <v>Western Europe</v>
          </cell>
        </row>
        <row r="148">
          <cell r="A148" t="str">
            <v>SYR</v>
          </cell>
          <cell r="D148" t="str">
            <v>Middle East</v>
          </cell>
        </row>
        <row r="149">
          <cell r="A149" t="str">
            <v>TWN</v>
          </cell>
          <cell r="D149" t="str">
            <v>China region</v>
          </cell>
        </row>
        <row r="150">
          <cell r="A150" t="str">
            <v>TJK</v>
          </cell>
          <cell r="D150" t="str">
            <v>Central Asia</v>
          </cell>
        </row>
        <row r="151">
          <cell r="A151" t="str">
            <v>TZA</v>
          </cell>
          <cell r="D151" t="str">
            <v>Rest of Southern Africa</v>
          </cell>
        </row>
        <row r="152">
          <cell r="A152" t="str">
            <v>THA</v>
          </cell>
          <cell r="D152" t="str">
            <v>Southeastern Asia</v>
          </cell>
        </row>
        <row r="153">
          <cell r="A153" t="str">
            <v>TLS</v>
          </cell>
          <cell r="D153" t="str">
            <v>Indonesia region</v>
          </cell>
        </row>
        <row r="154">
          <cell r="A154" t="str">
            <v>TGO</v>
          </cell>
          <cell r="D154" t="str">
            <v>Western Africa</v>
          </cell>
        </row>
        <row r="155">
          <cell r="A155" t="str">
            <v>TUN</v>
          </cell>
          <cell r="D155" t="str">
            <v>Northern Africa</v>
          </cell>
        </row>
        <row r="156">
          <cell r="A156" t="str">
            <v>TUR</v>
          </cell>
          <cell r="D156" t="str">
            <v>Turkey</v>
          </cell>
        </row>
        <row r="157">
          <cell r="A157" t="str">
            <v>TKM</v>
          </cell>
          <cell r="D157" t="str">
            <v>Central Asia</v>
          </cell>
        </row>
        <row r="158">
          <cell r="A158" t="str">
            <v>UGA</v>
          </cell>
          <cell r="D158" t="str">
            <v>Eastern Africa</v>
          </cell>
        </row>
        <row r="159">
          <cell r="A159" t="str">
            <v>UKR</v>
          </cell>
          <cell r="D159" t="str">
            <v>Ukraine region</v>
          </cell>
        </row>
        <row r="160">
          <cell r="A160" t="str">
            <v>ARE</v>
          </cell>
          <cell r="D160" t="str">
            <v>Middle East</v>
          </cell>
        </row>
        <row r="161">
          <cell r="A161" t="str">
            <v>USA</v>
          </cell>
          <cell r="D161" t="str">
            <v>USA</v>
          </cell>
        </row>
        <row r="162">
          <cell r="A162" t="str">
            <v>URY</v>
          </cell>
          <cell r="D162" t="str">
            <v>Rest of South America</v>
          </cell>
        </row>
        <row r="163">
          <cell r="A163" t="str">
            <v>UZB</v>
          </cell>
          <cell r="D163" t="str">
            <v>Central Asia</v>
          </cell>
        </row>
        <row r="164">
          <cell r="A164" t="str">
            <v>VEN</v>
          </cell>
          <cell r="D164" t="str">
            <v>Rest of South America</v>
          </cell>
        </row>
        <row r="165">
          <cell r="A165" t="str">
            <v>VNM</v>
          </cell>
          <cell r="D165" t="str">
            <v>Southeastern Asia</v>
          </cell>
        </row>
        <row r="166">
          <cell r="A166" t="str">
            <v>YEM</v>
          </cell>
          <cell r="D166" t="str">
            <v>Middle East</v>
          </cell>
        </row>
        <row r="167">
          <cell r="A167" t="str">
            <v>ZMB</v>
          </cell>
          <cell r="D167" t="str">
            <v>Rest of Southern Africa</v>
          </cell>
        </row>
        <row r="168">
          <cell r="A168" t="str">
            <v>ZWE</v>
          </cell>
          <cell r="D168" t="str">
            <v>Rest of Southern Africa</v>
          </cell>
        </row>
        <row r="169">
          <cell r="A169" t="str">
            <v>BIH</v>
          </cell>
          <cell r="D169" t="str">
            <v>Central Europe</v>
          </cell>
        </row>
        <row r="170">
          <cell r="A170" t="str">
            <v>COD</v>
          </cell>
          <cell r="D170" t="str">
            <v>Western Africa</v>
          </cell>
        </row>
        <row r="171">
          <cell r="A171" t="str">
            <v>CZE</v>
          </cell>
          <cell r="D171" t="str">
            <v>Central Europe</v>
          </cell>
        </row>
        <row r="172">
          <cell r="A172" t="str">
            <v>CIV</v>
          </cell>
          <cell r="D172" t="str">
            <v>Western Africa</v>
          </cell>
        </row>
        <row r="173">
          <cell r="A173" t="str">
            <v>GBR</v>
          </cell>
          <cell r="D173" t="str">
            <v>Western Europe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SP2-base-HDI"/>
      <sheetName val="all index"/>
      <sheetName val="Sheet2"/>
      <sheetName val="Global index"/>
      <sheetName val="Gini Result"/>
      <sheetName val="index&amp;value"/>
      <sheetName val="Decomposition Result"/>
    </sheetNames>
    <sheetDataSet>
      <sheetData sheetId="0"/>
      <sheetData sheetId="1"/>
      <sheetData sheetId="2"/>
      <sheetData sheetId="3">
        <row r="2">
          <cell r="C2" t="str">
            <v>AFG</v>
          </cell>
          <cell r="D2">
            <v>4</v>
          </cell>
        </row>
        <row r="3">
          <cell r="C3" t="str">
            <v>ALB</v>
          </cell>
          <cell r="D3">
            <v>8</v>
          </cell>
        </row>
        <row r="4">
          <cell r="C4" t="str">
            <v>DZA</v>
          </cell>
          <cell r="D4">
            <v>12</v>
          </cell>
        </row>
        <row r="5">
          <cell r="C5" t="str">
            <v>ASM</v>
          </cell>
          <cell r="D5">
            <v>16</v>
          </cell>
        </row>
        <row r="6">
          <cell r="C6" t="str">
            <v>AND</v>
          </cell>
          <cell r="D6">
            <v>20</v>
          </cell>
        </row>
        <row r="7">
          <cell r="C7" t="str">
            <v>AGO</v>
          </cell>
          <cell r="D7">
            <v>24</v>
          </cell>
        </row>
        <row r="8">
          <cell r="C8" t="str">
            <v>AIA</v>
          </cell>
          <cell r="D8">
            <v>660</v>
          </cell>
        </row>
        <row r="9">
          <cell r="C9" t="str">
            <v>ATA</v>
          </cell>
          <cell r="D9">
            <v>10</v>
          </cell>
        </row>
        <row r="10">
          <cell r="C10" t="str">
            <v>ATG</v>
          </cell>
          <cell r="D10">
            <v>28</v>
          </cell>
        </row>
        <row r="11">
          <cell r="C11" t="str">
            <v>ARG</v>
          </cell>
          <cell r="D11">
            <v>32</v>
          </cell>
        </row>
        <row r="12">
          <cell r="C12" t="str">
            <v>ARM</v>
          </cell>
          <cell r="D12">
            <v>51</v>
          </cell>
        </row>
        <row r="13">
          <cell r="C13" t="str">
            <v>ABW</v>
          </cell>
          <cell r="D13">
            <v>533</v>
          </cell>
        </row>
        <row r="14">
          <cell r="C14" t="str">
            <v>AUS</v>
          </cell>
          <cell r="D14">
            <v>36</v>
          </cell>
        </row>
        <row r="15">
          <cell r="C15" t="str">
            <v>AUT</v>
          </cell>
          <cell r="D15">
            <v>40</v>
          </cell>
        </row>
        <row r="16">
          <cell r="C16" t="str">
            <v>AZE</v>
          </cell>
          <cell r="D16">
            <v>31</v>
          </cell>
        </row>
        <row r="17">
          <cell r="C17" t="str">
            <v>BHS</v>
          </cell>
          <cell r="D17">
            <v>44</v>
          </cell>
        </row>
        <row r="18">
          <cell r="C18" t="str">
            <v>BHR</v>
          </cell>
          <cell r="D18">
            <v>48</v>
          </cell>
        </row>
        <row r="19">
          <cell r="C19" t="str">
            <v>BGD</v>
          </cell>
          <cell r="D19">
            <v>50</v>
          </cell>
        </row>
        <row r="20">
          <cell r="C20" t="str">
            <v>BRB</v>
          </cell>
          <cell r="D20">
            <v>52</v>
          </cell>
        </row>
        <row r="21">
          <cell r="C21" t="str">
            <v>BLR</v>
          </cell>
          <cell r="D21">
            <v>112</v>
          </cell>
        </row>
        <row r="22">
          <cell r="C22" t="str">
            <v>BEL</v>
          </cell>
          <cell r="D22">
            <v>56</v>
          </cell>
        </row>
        <row r="23">
          <cell r="C23" t="str">
            <v>BLZ</v>
          </cell>
          <cell r="D23">
            <v>84</v>
          </cell>
        </row>
        <row r="24">
          <cell r="C24" t="str">
            <v>BEN</v>
          </cell>
          <cell r="D24">
            <v>204</v>
          </cell>
        </row>
        <row r="25">
          <cell r="C25" t="str">
            <v>BMU</v>
          </cell>
          <cell r="D25">
            <v>60</v>
          </cell>
        </row>
        <row r="26">
          <cell r="C26" t="str">
            <v>BTN</v>
          </cell>
          <cell r="D26">
            <v>64</v>
          </cell>
        </row>
        <row r="27">
          <cell r="C27" t="str">
            <v>BOL</v>
          </cell>
          <cell r="D27">
            <v>68</v>
          </cell>
        </row>
        <row r="28">
          <cell r="C28" t="str">
            <v>BES</v>
          </cell>
          <cell r="D28">
            <v>535</v>
          </cell>
        </row>
        <row r="29">
          <cell r="C29" t="str">
            <v>BIH</v>
          </cell>
          <cell r="D29">
            <v>70</v>
          </cell>
        </row>
        <row r="30">
          <cell r="C30" t="str">
            <v>BWA</v>
          </cell>
          <cell r="D30">
            <v>72</v>
          </cell>
        </row>
        <row r="31">
          <cell r="C31" t="str">
            <v>BVT</v>
          </cell>
          <cell r="D31">
            <v>74</v>
          </cell>
        </row>
        <row r="32">
          <cell r="C32" t="str">
            <v>BRA</v>
          </cell>
          <cell r="D32">
            <v>76</v>
          </cell>
        </row>
        <row r="33">
          <cell r="C33" t="str">
            <v>IOT</v>
          </cell>
          <cell r="D33">
            <v>86</v>
          </cell>
        </row>
        <row r="34">
          <cell r="C34" t="str">
            <v>BRN</v>
          </cell>
          <cell r="D34">
            <v>96</v>
          </cell>
        </row>
        <row r="35">
          <cell r="C35" t="str">
            <v>BGR</v>
          </cell>
          <cell r="D35">
            <v>100</v>
          </cell>
        </row>
        <row r="36">
          <cell r="C36" t="str">
            <v>BFA</v>
          </cell>
          <cell r="D36">
            <v>854</v>
          </cell>
        </row>
        <row r="37">
          <cell r="C37" t="str">
            <v>BDI</v>
          </cell>
          <cell r="D37">
            <v>108</v>
          </cell>
        </row>
        <row r="38">
          <cell r="C38" t="str">
            <v>CPV</v>
          </cell>
          <cell r="D38">
            <v>132</v>
          </cell>
        </row>
        <row r="39">
          <cell r="C39" t="str">
            <v>KHM</v>
          </cell>
          <cell r="D39">
            <v>116</v>
          </cell>
        </row>
        <row r="40">
          <cell r="C40" t="str">
            <v>CMR</v>
          </cell>
          <cell r="D40">
            <v>120</v>
          </cell>
        </row>
        <row r="41">
          <cell r="C41" t="str">
            <v>CAN</v>
          </cell>
          <cell r="D41">
            <v>124</v>
          </cell>
        </row>
        <row r="42">
          <cell r="C42" t="str">
            <v>CYM</v>
          </cell>
          <cell r="D42">
            <v>136</v>
          </cell>
        </row>
        <row r="43">
          <cell r="C43" t="str">
            <v>CAF</v>
          </cell>
          <cell r="D43">
            <v>140</v>
          </cell>
        </row>
        <row r="44">
          <cell r="C44" t="str">
            <v>TCD</v>
          </cell>
          <cell r="D44">
            <v>148</v>
          </cell>
        </row>
        <row r="45">
          <cell r="C45" t="str">
            <v>CHL</v>
          </cell>
          <cell r="D45">
            <v>152</v>
          </cell>
        </row>
        <row r="46">
          <cell r="C46" t="str">
            <v>CHN</v>
          </cell>
          <cell r="D46">
            <v>156</v>
          </cell>
        </row>
        <row r="47">
          <cell r="C47" t="str">
            <v>CXR</v>
          </cell>
          <cell r="D47">
            <v>162</v>
          </cell>
        </row>
        <row r="48">
          <cell r="C48" t="str">
            <v>CCK</v>
          </cell>
          <cell r="D48">
            <v>166</v>
          </cell>
        </row>
        <row r="49">
          <cell r="C49" t="str">
            <v>COL</v>
          </cell>
          <cell r="D49">
            <v>170</v>
          </cell>
        </row>
        <row r="50">
          <cell r="C50" t="str">
            <v>COM</v>
          </cell>
          <cell r="D50">
            <v>174</v>
          </cell>
        </row>
        <row r="51">
          <cell r="C51" t="str">
            <v>COD</v>
          </cell>
          <cell r="D51">
            <v>180</v>
          </cell>
        </row>
        <row r="52">
          <cell r="C52" t="str">
            <v>COG</v>
          </cell>
          <cell r="D52">
            <v>178</v>
          </cell>
        </row>
        <row r="53">
          <cell r="C53" t="str">
            <v>COK</v>
          </cell>
          <cell r="D53">
            <v>184</v>
          </cell>
        </row>
        <row r="54">
          <cell r="C54" t="str">
            <v>CRI</v>
          </cell>
          <cell r="D54">
            <v>188</v>
          </cell>
        </row>
        <row r="55">
          <cell r="C55" t="str">
            <v>HRV</v>
          </cell>
          <cell r="D55">
            <v>191</v>
          </cell>
        </row>
        <row r="56">
          <cell r="C56" t="str">
            <v>CUB</v>
          </cell>
          <cell r="D56">
            <v>192</v>
          </cell>
        </row>
        <row r="57">
          <cell r="C57" t="str">
            <v>CUW</v>
          </cell>
          <cell r="D57">
            <v>531</v>
          </cell>
        </row>
        <row r="58">
          <cell r="C58" t="str">
            <v>CYP</v>
          </cell>
          <cell r="D58">
            <v>196</v>
          </cell>
        </row>
        <row r="59">
          <cell r="C59" t="str">
            <v>CZE</v>
          </cell>
          <cell r="D59">
            <v>203</v>
          </cell>
        </row>
        <row r="60">
          <cell r="C60" t="str">
            <v>CIV</v>
          </cell>
          <cell r="D60">
            <v>384</v>
          </cell>
        </row>
        <row r="61">
          <cell r="C61" t="str">
            <v>DNK</v>
          </cell>
          <cell r="D61">
            <v>208</v>
          </cell>
        </row>
        <row r="62">
          <cell r="C62" t="str">
            <v>DJI</v>
          </cell>
          <cell r="D62">
            <v>262</v>
          </cell>
        </row>
        <row r="63">
          <cell r="C63" t="str">
            <v>DMA</v>
          </cell>
          <cell r="D63">
            <v>212</v>
          </cell>
        </row>
        <row r="64">
          <cell r="C64" t="str">
            <v>DOM</v>
          </cell>
          <cell r="D64">
            <v>214</v>
          </cell>
        </row>
        <row r="65">
          <cell r="C65" t="str">
            <v>ECU</v>
          </cell>
          <cell r="D65">
            <v>218</v>
          </cell>
        </row>
        <row r="66">
          <cell r="C66" t="str">
            <v>EGY</v>
          </cell>
          <cell r="D66">
            <v>818</v>
          </cell>
        </row>
        <row r="67">
          <cell r="C67" t="str">
            <v>SLV</v>
          </cell>
          <cell r="D67">
            <v>222</v>
          </cell>
        </row>
        <row r="68">
          <cell r="C68" t="str">
            <v>GNQ</v>
          </cell>
          <cell r="D68">
            <v>226</v>
          </cell>
        </row>
        <row r="69">
          <cell r="C69" t="str">
            <v>ERI</v>
          </cell>
          <cell r="D69">
            <v>232</v>
          </cell>
        </row>
        <row r="70">
          <cell r="C70" t="str">
            <v>EST</v>
          </cell>
          <cell r="D70">
            <v>233</v>
          </cell>
        </row>
        <row r="71">
          <cell r="C71" t="str">
            <v>SWZ</v>
          </cell>
          <cell r="D71">
            <v>748</v>
          </cell>
        </row>
        <row r="72">
          <cell r="C72" t="str">
            <v>ETH</v>
          </cell>
          <cell r="D72">
            <v>231</v>
          </cell>
        </row>
        <row r="73">
          <cell r="C73" t="str">
            <v>FLK</v>
          </cell>
          <cell r="D73">
            <v>238</v>
          </cell>
        </row>
        <row r="74">
          <cell r="C74" t="str">
            <v>FRO</v>
          </cell>
          <cell r="D74">
            <v>234</v>
          </cell>
        </row>
        <row r="75">
          <cell r="C75" t="str">
            <v>FJI</v>
          </cell>
          <cell r="D75">
            <v>242</v>
          </cell>
        </row>
        <row r="76">
          <cell r="C76" t="str">
            <v>FIN</v>
          </cell>
          <cell r="D76">
            <v>246</v>
          </cell>
        </row>
        <row r="77">
          <cell r="C77" t="str">
            <v>FRA</v>
          </cell>
          <cell r="D77">
            <v>250</v>
          </cell>
        </row>
        <row r="78">
          <cell r="C78" t="str">
            <v>GUF</v>
          </cell>
          <cell r="D78">
            <v>254</v>
          </cell>
        </row>
        <row r="79">
          <cell r="C79" t="str">
            <v>PYF</v>
          </cell>
          <cell r="D79">
            <v>258</v>
          </cell>
        </row>
        <row r="80">
          <cell r="C80" t="str">
            <v>ATF</v>
          </cell>
          <cell r="D80">
            <v>260</v>
          </cell>
        </row>
        <row r="81">
          <cell r="C81" t="str">
            <v>GAB</v>
          </cell>
          <cell r="D81">
            <v>266</v>
          </cell>
        </row>
        <row r="82">
          <cell r="C82" t="str">
            <v>GMB</v>
          </cell>
          <cell r="D82">
            <v>270</v>
          </cell>
        </row>
        <row r="83">
          <cell r="C83" t="str">
            <v>GEO</v>
          </cell>
          <cell r="D83">
            <v>268</v>
          </cell>
        </row>
        <row r="84">
          <cell r="C84" t="str">
            <v>DEU</v>
          </cell>
          <cell r="D84">
            <v>276</v>
          </cell>
        </row>
        <row r="85">
          <cell r="C85" t="str">
            <v>GHA</v>
          </cell>
          <cell r="D85">
            <v>288</v>
          </cell>
        </row>
        <row r="86">
          <cell r="C86" t="str">
            <v>GIB</v>
          </cell>
          <cell r="D86">
            <v>292</v>
          </cell>
        </row>
        <row r="87">
          <cell r="C87" t="str">
            <v>GRC</v>
          </cell>
          <cell r="D87">
            <v>300</v>
          </cell>
        </row>
        <row r="88">
          <cell r="C88" t="str">
            <v>GRL</v>
          </cell>
          <cell r="D88">
            <v>304</v>
          </cell>
        </row>
        <row r="89">
          <cell r="C89" t="str">
            <v>GRD</v>
          </cell>
          <cell r="D89">
            <v>308</v>
          </cell>
        </row>
        <row r="90">
          <cell r="C90" t="str">
            <v>GLP</v>
          </cell>
          <cell r="D90">
            <v>312</v>
          </cell>
        </row>
        <row r="91">
          <cell r="C91" t="str">
            <v>GUM</v>
          </cell>
          <cell r="D91">
            <v>316</v>
          </cell>
        </row>
        <row r="92">
          <cell r="C92" t="str">
            <v>GTM</v>
          </cell>
          <cell r="D92">
            <v>320</v>
          </cell>
        </row>
        <row r="93">
          <cell r="C93" t="str">
            <v>GGY</v>
          </cell>
          <cell r="D93">
            <v>831</v>
          </cell>
        </row>
        <row r="94">
          <cell r="C94" t="str">
            <v>GIN</v>
          </cell>
          <cell r="D94">
            <v>324</v>
          </cell>
        </row>
        <row r="95">
          <cell r="C95" t="str">
            <v>GNB</v>
          </cell>
          <cell r="D95">
            <v>624</v>
          </cell>
        </row>
        <row r="96">
          <cell r="C96" t="str">
            <v>GUY</v>
          </cell>
          <cell r="D96">
            <v>328</v>
          </cell>
        </row>
        <row r="97">
          <cell r="C97" t="str">
            <v>HTI</v>
          </cell>
          <cell r="D97">
            <v>332</v>
          </cell>
        </row>
        <row r="98">
          <cell r="C98" t="str">
            <v>HMD</v>
          </cell>
          <cell r="D98">
            <v>334</v>
          </cell>
        </row>
        <row r="99">
          <cell r="C99" t="str">
            <v>VAT</v>
          </cell>
          <cell r="D99">
            <v>336</v>
          </cell>
        </row>
        <row r="100">
          <cell r="C100" t="str">
            <v>HND</v>
          </cell>
          <cell r="D100">
            <v>340</v>
          </cell>
        </row>
        <row r="101">
          <cell r="C101" t="str">
            <v>HKG</v>
          </cell>
          <cell r="D101">
            <v>344</v>
          </cell>
        </row>
        <row r="102">
          <cell r="C102" t="str">
            <v>HUN</v>
          </cell>
          <cell r="D102">
            <v>348</v>
          </cell>
        </row>
        <row r="103">
          <cell r="C103" t="str">
            <v>ISL</v>
          </cell>
          <cell r="D103">
            <v>352</v>
          </cell>
        </row>
        <row r="104">
          <cell r="C104" t="str">
            <v>IND</v>
          </cell>
          <cell r="D104">
            <v>356</v>
          </cell>
        </row>
        <row r="105">
          <cell r="C105" t="str">
            <v>IDN</v>
          </cell>
          <cell r="D105">
            <v>360</v>
          </cell>
        </row>
        <row r="106">
          <cell r="C106" t="str">
            <v>IRN</v>
          </cell>
          <cell r="D106">
            <v>364</v>
          </cell>
        </row>
        <row r="107">
          <cell r="C107" t="str">
            <v>IRQ</v>
          </cell>
          <cell r="D107">
            <v>368</v>
          </cell>
        </row>
        <row r="108">
          <cell r="C108" t="str">
            <v>IRL</v>
          </cell>
          <cell r="D108">
            <v>372</v>
          </cell>
        </row>
        <row r="109">
          <cell r="C109" t="str">
            <v>IMN</v>
          </cell>
          <cell r="D109">
            <v>833</v>
          </cell>
        </row>
        <row r="110">
          <cell r="C110" t="str">
            <v>ISR</v>
          </cell>
          <cell r="D110">
            <v>376</v>
          </cell>
        </row>
        <row r="111">
          <cell r="C111" t="str">
            <v>ITA</v>
          </cell>
          <cell r="D111">
            <v>380</v>
          </cell>
        </row>
        <row r="112">
          <cell r="C112" t="str">
            <v>JAM</v>
          </cell>
          <cell r="D112">
            <v>388</v>
          </cell>
        </row>
        <row r="113">
          <cell r="C113" t="str">
            <v>JPN</v>
          </cell>
          <cell r="D113">
            <v>392</v>
          </cell>
        </row>
        <row r="114">
          <cell r="C114" t="str">
            <v>JEY</v>
          </cell>
          <cell r="D114">
            <v>832</v>
          </cell>
        </row>
        <row r="115">
          <cell r="C115" t="str">
            <v>JOR</v>
          </cell>
          <cell r="D115">
            <v>400</v>
          </cell>
        </row>
        <row r="116">
          <cell r="C116" t="str">
            <v>KAZ</v>
          </cell>
          <cell r="D116">
            <v>398</v>
          </cell>
        </row>
        <row r="117">
          <cell r="C117" t="str">
            <v>KEN</v>
          </cell>
          <cell r="D117">
            <v>404</v>
          </cell>
        </row>
        <row r="118">
          <cell r="C118" t="str">
            <v>KIR</v>
          </cell>
          <cell r="D118">
            <v>296</v>
          </cell>
        </row>
        <row r="119">
          <cell r="C119" t="str">
            <v>PRK</v>
          </cell>
          <cell r="D119">
            <v>408</v>
          </cell>
        </row>
        <row r="120">
          <cell r="C120" t="str">
            <v>KOR</v>
          </cell>
          <cell r="D120">
            <v>410</v>
          </cell>
        </row>
        <row r="121">
          <cell r="C121" t="str">
            <v>KWT</v>
          </cell>
          <cell r="D121">
            <v>414</v>
          </cell>
        </row>
        <row r="122">
          <cell r="C122" t="str">
            <v>KGZ</v>
          </cell>
          <cell r="D122">
            <v>417</v>
          </cell>
        </row>
        <row r="123">
          <cell r="C123" t="str">
            <v>LAO</v>
          </cell>
          <cell r="D123">
            <v>418</v>
          </cell>
        </row>
        <row r="124">
          <cell r="C124" t="str">
            <v>LVA</v>
          </cell>
          <cell r="D124">
            <v>428</v>
          </cell>
        </row>
        <row r="125">
          <cell r="C125" t="str">
            <v>LBN</v>
          </cell>
          <cell r="D125">
            <v>422</v>
          </cell>
        </row>
        <row r="126">
          <cell r="C126" t="str">
            <v>LSO</v>
          </cell>
          <cell r="D126">
            <v>426</v>
          </cell>
        </row>
        <row r="127">
          <cell r="C127" t="str">
            <v>LBR</v>
          </cell>
          <cell r="D127">
            <v>430</v>
          </cell>
        </row>
        <row r="128">
          <cell r="C128" t="str">
            <v>LBY</v>
          </cell>
          <cell r="D128">
            <v>434</v>
          </cell>
        </row>
        <row r="129">
          <cell r="C129" t="str">
            <v>LIE</v>
          </cell>
          <cell r="D129">
            <v>438</v>
          </cell>
        </row>
        <row r="130">
          <cell r="C130" t="str">
            <v>LTU</v>
          </cell>
          <cell r="D130">
            <v>440</v>
          </cell>
        </row>
        <row r="131">
          <cell r="C131" t="str">
            <v>LUX</v>
          </cell>
          <cell r="D131">
            <v>442</v>
          </cell>
        </row>
        <row r="132">
          <cell r="C132" t="str">
            <v>MAC</v>
          </cell>
          <cell r="D132">
            <v>446</v>
          </cell>
        </row>
        <row r="133">
          <cell r="C133" t="str">
            <v>MDG</v>
          </cell>
          <cell r="D133">
            <v>450</v>
          </cell>
        </row>
        <row r="134">
          <cell r="C134" t="str">
            <v>MWI</v>
          </cell>
          <cell r="D134">
            <v>454</v>
          </cell>
        </row>
        <row r="135">
          <cell r="C135" t="str">
            <v>MYS</v>
          </cell>
          <cell r="D135">
            <v>458</v>
          </cell>
        </row>
        <row r="136">
          <cell r="C136" t="str">
            <v>MDV</v>
          </cell>
          <cell r="D136">
            <v>462</v>
          </cell>
        </row>
        <row r="137">
          <cell r="C137" t="str">
            <v>MLI</v>
          </cell>
          <cell r="D137">
            <v>466</v>
          </cell>
        </row>
        <row r="138">
          <cell r="C138" t="str">
            <v>MLT</v>
          </cell>
          <cell r="D138">
            <v>470</v>
          </cell>
        </row>
        <row r="139">
          <cell r="C139" t="str">
            <v>MHL</v>
          </cell>
          <cell r="D139">
            <v>584</v>
          </cell>
        </row>
        <row r="140">
          <cell r="C140" t="str">
            <v>MTQ</v>
          </cell>
          <cell r="D140">
            <v>474</v>
          </cell>
        </row>
        <row r="141">
          <cell r="C141" t="str">
            <v>MRT</v>
          </cell>
          <cell r="D141">
            <v>478</v>
          </cell>
        </row>
        <row r="142">
          <cell r="C142" t="str">
            <v>MUS</v>
          </cell>
          <cell r="D142">
            <v>480</v>
          </cell>
        </row>
        <row r="143">
          <cell r="C143" t="str">
            <v>MYT</v>
          </cell>
          <cell r="D143">
            <v>175</v>
          </cell>
        </row>
        <row r="144">
          <cell r="C144" t="str">
            <v>MEX</v>
          </cell>
          <cell r="D144">
            <v>484</v>
          </cell>
        </row>
        <row r="145">
          <cell r="C145" t="str">
            <v>FSM</v>
          </cell>
          <cell r="D145">
            <v>583</v>
          </cell>
        </row>
        <row r="146">
          <cell r="C146" t="str">
            <v>MDA</v>
          </cell>
          <cell r="D146">
            <v>498</v>
          </cell>
        </row>
        <row r="147">
          <cell r="C147" t="str">
            <v>MCO</v>
          </cell>
          <cell r="D147">
            <v>492</v>
          </cell>
        </row>
        <row r="148">
          <cell r="C148" t="str">
            <v>MNG</v>
          </cell>
          <cell r="D148">
            <v>496</v>
          </cell>
        </row>
        <row r="149">
          <cell r="C149" t="str">
            <v>MNE</v>
          </cell>
          <cell r="D149">
            <v>499</v>
          </cell>
        </row>
        <row r="150">
          <cell r="C150" t="str">
            <v>MSR</v>
          </cell>
          <cell r="D150">
            <v>500</v>
          </cell>
        </row>
        <row r="151">
          <cell r="C151" t="str">
            <v>MAR</v>
          </cell>
          <cell r="D151">
            <v>504</v>
          </cell>
        </row>
        <row r="152">
          <cell r="C152" t="str">
            <v>MOZ</v>
          </cell>
          <cell r="D152">
            <v>508</v>
          </cell>
        </row>
        <row r="153">
          <cell r="C153" t="str">
            <v>MMR</v>
          </cell>
          <cell r="D153">
            <v>104</v>
          </cell>
        </row>
        <row r="154">
          <cell r="C154" t="str">
            <v>NAM</v>
          </cell>
          <cell r="D154">
            <v>516</v>
          </cell>
        </row>
        <row r="155">
          <cell r="C155" t="str">
            <v>NRU</v>
          </cell>
          <cell r="D155">
            <v>520</v>
          </cell>
        </row>
        <row r="156">
          <cell r="C156" t="str">
            <v>NPL</v>
          </cell>
          <cell r="D156">
            <v>524</v>
          </cell>
        </row>
        <row r="157">
          <cell r="C157" t="str">
            <v>NLD</v>
          </cell>
          <cell r="D157">
            <v>528</v>
          </cell>
        </row>
        <row r="158">
          <cell r="C158" t="str">
            <v>NCL</v>
          </cell>
          <cell r="D158">
            <v>540</v>
          </cell>
        </row>
        <row r="159">
          <cell r="C159" t="str">
            <v>NZL</v>
          </cell>
          <cell r="D159">
            <v>554</v>
          </cell>
        </row>
        <row r="160">
          <cell r="C160" t="str">
            <v>NIC</v>
          </cell>
          <cell r="D160">
            <v>558</v>
          </cell>
        </row>
        <row r="161">
          <cell r="C161" t="str">
            <v>NER</v>
          </cell>
          <cell r="D161">
            <v>562</v>
          </cell>
        </row>
        <row r="162">
          <cell r="C162" t="str">
            <v>NGA</v>
          </cell>
          <cell r="D162">
            <v>566</v>
          </cell>
        </row>
        <row r="163">
          <cell r="C163" t="str">
            <v>NIU</v>
          </cell>
          <cell r="D163">
            <v>570</v>
          </cell>
        </row>
        <row r="164">
          <cell r="C164" t="str">
            <v>NFK</v>
          </cell>
          <cell r="D164">
            <v>574</v>
          </cell>
        </row>
        <row r="165">
          <cell r="C165" t="str">
            <v>MNP</v>
          </cell>
          <cell r="D165">
            <v>580</v>
          </cell>
        </row>
        <row r="166">
          <cell r="C166" t="str">
            <v>NOR</v>
          </cell>
          <cell r="D166">
            <v>578</v>
          </cell>
        </row>
        <row r="167">
          <cell r="C167" t="str">
            <v>OMN</v>
          </cell>
          <cell r="D167">
            <v>512</v>
          </cell>
        </row>
        <row r="168">
          <cell r="C168" t="str">
            <v>PAK</v>
          </cell>
          <cell r="D168">
            <v>586</v>
          </cell>
        </row>
        <row r="169">
          <cell r="C169" t="str">
            <v>PLW</v>
          </cell>
          <cell r="D169">
            <v>585</v>
          </cell>
        </row>
        <row r="170">
          <cell r="C170" t="str">
            <v>PSE</v>
          </cell>
          <cell r="D170">
            <v>275</v>
          </cell>
        </row>
        <row r="171">
          <cell r="C171" t="str">
            <v>PAN</v>
          </cell>
          <cell r="D171">
            <v>591</v>
          </cell>
        </row>
        <row r="172">
          <cell r="C172" t="str">
            <v>PNG</v>
          </cell>
          <cell r="D172">
            <v>598</v>
          </cell>
        </row>
        <row r="173">
          <cell r="C173" t="str">
            <v>PRY</v>
          </cell>
          <cell r="D173">
            <v>600</v>
          </cell>
        </row>
        <row r="174">
          <cell r="C174" t="str">
            <v>PER</v>
          </cell>
          <cell r="D174">
            <v>604</v>
          </cell>
        </row>
        <row r="175">
          <cell r="C175" t="str">
            <v>PHL</v>
          </cell>
          <cell r="D175">
            <v>608</v>
          </cell>
        </row>
        <row r="176">
          <cell r="C176" t="str">
            <v>PCN</v>
          </cell>
          <cell r="D176">
            <v>612</v>
          </cell>
        </row>
        <row r="177">
          <cell r="C177" t="str">
            <v>POL</v>
          </cell>
          <cell r="D177">
            <v>616</v>
          </cell>
        </row>
        <row r="178">
          <cell r="C178" t="str">
            <v>PRT</v>
          </cell>
          <cell r="D178">
            <v>620</v>
          </cell>
        </row>
        <row r="179">
          <cell r="C179" t="str">
            <v>PRI</v>
          </cell>
          <cell r="D179">
            <v>630</v>
          </cell>
        </row>
        <row r="180">
          <cell r="C180" t="str">
            <v>QAT</v>
          </cell>
          <cell r="D180">
            <v>634</v>
          </cell>
        </row>
        <row r="181">
          <cell r="C181" t="str">
            <v>MKD</v>
          </cell>
          <cell r="D181">
            <v>807</v>
          </cell>
        </row>
        <row r="182">
          <cell r="C182" t="str">
            <v>ROU</v>
          </cell>
          <cell r="D182">
            <v>642</v>
          </cell>
        </row>
        <row r="183">
          <cell r="C183" t="str">
            <v>RUS</v>
          </cell>
          <cell r="D183">
            <v>643</v>
          </cell>
        </row>
        <row r="184">
          <cell r="C184" t="str">
            <v>RWA</v>
          </cell>
          <cell r="D184">
            <v>646</v>
          </cell>
        </row>
        <row r="185">
          <cell r="C185" t="str">
            <v>REU</v>
          </cell>
          <cell r="D185">
            <v>638</v>
          </cell>
        </row>
        <row r="186">
          <cell r="C186" t="str">
            <v>BLM</v>
          </cell>
          <cell r="D186">
            <v>652</v>
          </cell>
        </row>
        <row r="187">
          <cell r="C187" t="str">
            <v>SHN</v>
          </cell>
          <cell r="D187">
            <v>654</v>
          </cell>
        </row>
        <row r="188">
          <cell r="C188" t="str">
            <v>KNA</v>
          </cell>
          <cell r="D188">
            <v>659</v>
          </cell>
        </row>
        <row r="189">
          <cell r="C189" t="str">
            <v>LCA</v>
          </cell>
          <cell r="D189">
            <v>662</v>
          </cell>
        </row>
        <row r="190">
          <cell r="C190" t="str">
            <v>MAF</v>
          </cell>
          <cell r="D190">
            <v>663</v>
          </cell>
        </row>
        <row r="191">
          <cell r="C191" t="str">
            <v>SPM</v>
          </cell>
          <cell r="D191">
            <v>666</v>
          </cell>
        </row>
        <row r="192">
          <cell r="C192" t="str">
            <v>VCT</v>
          </cell>
          <cell r="D192">
            <v>670</v>
          </cell>
        </row>
        <row r="193">
          <cell r="C193" t="str">
            <v>WSM</v>
          </cell>
          <cell r="D193">
            <v>882</v>
          </cell>
        </row>
        <row r="194">
          <cell r="C194" t="str">
            <v>SMR</v>
          </cell>
          <cell r="D194">
            <v>674</v>
          </cell>
        </row>
        <row r="195">
          <cell r="C195" t="str">
            <v>STP</v>
          </cell>
          <cell r="D195">
            <v>678</v>
          </cell>
        </row>
        <row r="196">
          <cell r="C196" t="str">
            <v>SAU</v>
          </cell>
          <cell r="D196">
            <v>682</v>
          </cell>
        </row>
        <row r="197">
          <cell r="C197" t="str">
            <v>SEN</v>
          </cell>
          <cell r="D197">
            <v>686</v>
          </cell>
        </row>
        <row r="198">
          <cell r="C198" t="str">
            <v>SRB</v>
          </cell>
          <cell r="D198">
            <v>688</v>
          </cell>
        </row>
        <row r="199">
          <cell r="C199" t="str">
            <v>SYC</v>
          </cell>
          <cell r="D199">
            <v>690</v>
          </cell>
        </row>
        <row r="200">
          <cell r="C200" t="str">
            <v>SLE</v>
          </cell>
          <cell r="D200">
            <v>694</v>
          </cell>
        </row>
        <row r="201">
          <cell r="C201" t="str">
            <v>SGP</v>
          </cell>
          <cell r="D201">
            <v>702</v>
          </cell>
        </row>
        <row r="202">
          <cell r="C202" t="str">
            <v>SXM</v>
          </cell>
          <cell r="D202">
            <v>534</v>
          </cell>
        </row>
        <row r="203">
          <cell r="C203" t="str">
            <v>SVK</v>
          </cell>
          <cell r="D203">
            <v>703</v>
          </cell>
        </row>
        <row r="204">
          <cell r="C204" t="str">
            <v>SVN</v>
          </cell>
          <cell r="D204">
            <v>705</v>
          </cell>
        </row>
        <row r="205">
          <cell r="C205" t="str">
            <v>SLB</v>
          </cell>
          <cell r="D205">
            <v>90</v>
          </cell>
        </row>
        <row r="206">
          <cell r="C206" t="str">
            <v>SOM</v>
          </cell>
          <cell r="D206">
            <v>706</v>
          </cell>
        </row>
        <row r="207">
          <cell r="C207" t="str">
            <v>ZAF</v>
          </cell>
          <cell r="D207">
            <v>710</v>
          </cell>
        </row>
        <row r="208">
          <cell r="C208" t="str">
            <v>SGS</v>
          </cell>
          <cell r="D208">
            <v>239</v>
          </cell>
        </row>
        <row r="209">
          <cell r="C209" t="str">
            <v>SSD</v>
          </cell>
          <cell r="D209">
            <v>728</v>
          </cell>
        </row>
        <row r="210">
          <cell r="C210" t="str">
            <v>ESP</v>
          </cell>
          <cell r="D210">
            <v>724</v>
          </cell>
        </row>
        <row r="211">
          <cell r="C211" t="str">
            <v>LKA</v>
          </cell>
          <cell r="D211">
            <v>144</v>
          </cell>
        </row>
        <row r="212">
          <cell r="C212" t="str">
            <v>SDN</v>
          </cell>
          <cell r="D212">
            <v>729</v>
          </cell>
        </row>
        <row r="213">
          <cell r="C213" t="str">
            <v>SUR</v>
          </cell>
          <cell r="D213">
            <v>740</v>
          </cell>
        </row>
        <row r="214">
          <cell r="C214" t="str">
            <v>SJM</v>
          </cell>
          <cell r="D214">
            <v>744</v>
          </cell>
        </row>
        <row r="215">
          <cell r="C215" t="str">
            <v>SWE</v>
          </cell>
          <cell r="D215">
            <v>752</v>
          </cell>
        </row>
        <row r="216">
          <cell r="C216" t="str">
            <v>CHE</v>
          </cell>
          <cell r="D216">
            <v>756</v>
          </cell>
        </row>
        <row r="217">
          <cell r="C217" t="str">
            <v>SYR</v>
          </cell>
          <cell r="D217">
            <v>760</v>
          </cell>
        </row>
        <row r="218">
          <cell r="C218" t="str">
            <v>TWN</v>
          </cell>
          <cell r="D218">
            <v>158</v>
          </cell>
        </row>
        <row r="219">
          <cell r="C219" t="str">
            <v>TJK</v>
          </cell>
          <cell r="D219">
            <v>762</v>
          </cell>
        </row>
        <row r="220">
          <cell r="C220" t="str">
            <v>TZA</v>
          </cell>
          <cell r="D220">
            <v>834</v>
          </cell>
        </row>
        <row r="221">
          <cell r="C221" t="str">
            <v>THA</v>
          </cell>
          <cell r="D221">
            <v>764</v>
          </cell>
        </row>
        <row r="222">
          <cell r="C222" t="str">
            <v>TLS</v>
          </cell>
          <cell r="D222">
            <v>626</v>
          </cell>
        </row>
        <row r="223">
          <cell r="C223" t="str">
            <v>TGO</v>
          </cell>
          <cell r="D223">
            <v>768</v>
          </cell>
        </row>
        <row r="224">
          <cell r="C224" t="str">
            <v>TKL</v>
          </cell>
          <cell r="D224">
            <v>772</v>
          </cell>
        </row>
        <row r="225">
          <cell r="C225" t="str">
            <v>TON</v>
          </cell>
          <cell r="D225">
            <v>776</v>
          </cell>
        </row>
        <row r="226">
          <cell r="C226" t="str">
            <v>TTO</v>
          </cell>
          <cell r="D226">
            <v>780</v>
          </cell>
        </row>
        <row r="227">
          <cell r="C227" t="str">
            <v>TUN</v>
          </cell>
          <cell r="D227">
            <v>788</v>
          </cell>
        </row>
        <row r="228">
          <cell r="C228" t="str">
            <v>TUR</v>
          </cell>
          <cell r="D228">
            <v>792</v>
          </cell>
        </row>
        <row r="229">
          <cell r="C229" t="str">
            <v>TKM</v>
          </cell>
          <cell r="D229">
            <v>795</v>
          </cell>
        </row>
        <row r="230">
          <cell r="C230" t="str">
            <v>TCA</v>
          </cell>
          <cell r="D230">
            <v>796</v>
          </cell>
        </row>
        <row r="231">
          <cell r="C231" t="str">
            <v>TUV</v>
          </cell>
          <cell r="D231">
            <v>798</v>
          </cell>
        </row>
        <row r="232">
          <cell r="C232" t="str">
            <v>UGA</v>
          </cell>
          <cell r="D232">
            <v>800</v>
          </cell>
        </row>
        <row r="233">
          <cell r="C233" t="str">
            <v>UKR</v>
          </cell>
          <cell r="D233">
            <v>804</v>
          </cell>
        </row>
        <row r="234">
          <cell r="C234" t="str">
            <v>ARE</v>
          </cell>
          <cell r="D234">
            <v>784</v>
          </cell>
        </row>
        <row r="235">
          <cell r="C235" t="str">
            <v>GBR</v>
          </cell>
          <cell r="D235">
            <v>826</v>
          </cell>
        </row>
        <row r="236">
          <cell r="C236" t="str">
            <v>UMI</v>
          </cell>
          <cell r="D236">
            <v>581</v>
          </cell>
        </row>
        <row r="237">
          <cell r="C237" t="str">
            <v>USA</v>
          </cell>
          <cell r="D237">
            <v>840</v>
          </cell>
        </row>
        <row r="238">
          <cell r="C238" t="str">
            <v>URY</v>
          </cell>
          <cell r="D238">
            <v>858</v>
          </cell>
        </row>
        <row r="239">
          <cell r="C239" t="str">
            <v>UZB</v>
          </cell>
          <cell r="D239">
            <v>860</v>
          </cell>
        </row>
        <row r="240">
          <cell r="C240" t="str">
            <v>VUT</v>
          </cell>
          <cell r="D240">
            <v>548</v>
          </cell>
        </row>
        <row r="241">
          <cell r="C241" t="str">
            <v>VEN</v>
          </cell>
          <cell r="D241">
            <v>862</v>
          </cell>
        </row>
        <row r="242">
          <cell r="C242" t="str">
            <v>VNM</v>
          </cell>
          <cell r="D242">
            <v>704</v>
          </cell>
        </row>
        <row r="243">
          <cell r="C243" t="str">
            <v>VGB</v>
          </cell>
          <cell r="D243">
            <v>92</v>
          </cell>
        </row>
        <row r="244">
          <cell r="C244" t="str">
            <v>VIR</v>
          </cell>
          <cell r="D244">
            <v>850</v>
          </cell>
        </row>
        <row r="245">
          <cell r="C245" t="str">
            <v>WLF</v>
          </cell>
          <cell r="D245">
            <v>876</v>
          </cell>
        </row>
        <row r="246">
          <cell r="C246" t="str">
            <v>ESH</v>
          </cell>
          <cell r="D246">
            <v>732</v>
          </cell>
        </row>
        <row r="247">
          <cell r="C247" t="str">
            <v>YEM</v>
          </cell>
          <cell r="D247">
            <v>887</v>
          </cell>
        </row>
        <row r="248">
          <cell r="C248" t="str">
            <v>ZMB</v>
          </cell>
          <cell r="D248">
            <v>894</v>
          </cell>
        </row>
        <row r="249">
          <cell r="C249" t="str">
            <v>ZWE</v>
          </cell>
          <cell r="D249">
            <v>716</v>
          </cell>
        </row>
        <row r="250">
          <cell r="C250" t="str">
            <v>ALA</v>
          </cell>
          <cell r="D250">
            <v>248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0DA-EC75-444B-A014-BC54A0DC3BD2}">
  <dimension ref="A1:AE162"/>
  <sheetViews>
    <sheetView tabSelected="1" workbookViewId="0">
      <selection activeCell="A2" sqref="A2"/>
    </sheetView>
  </sheetViews>
  <sheetFormatPr defaultRowHeight="15" x14ac:dyDescent="0.25"/>
  <cols>
    <col min="1" max="3" width="16.85546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1970</v>
      </c>
      <c r="F1" s="1">
        <v>1975</v>
      </c>
      <c r="G1" s="1">
        <v>1980</v>
      </c>
      <c r="H1" s="1">
        <v>1985</v>
      </c>
      <c r="I1" s="1">
        <v>1990</v>
      </c>
      <c r="J1" s="1">
        <v>1995</v>
      </c>
      <c r="K1" s="1">
        <v>2000</v>
      </c>
      <c r="L1" s="1">
        <v>2005</v>
      </c>
      <c r="M1" s="1">
        <v>2010</v>
      </c>
      <c r="N1" s="1">
        <v>2015</v>
      </c>
      <c r="O1" s="1">
        <v>2020</v>
      </c>
      <c r="P1" s="1">
        <v>2025</v>
      </c>
      <c r="Q1" s="1">
        <v>2030</v>
      </c>
      <c r="R1" s="1">
        <v>2035</v>
      </c>
      <c r="S1" s="1">
        <v>2040</v>
      </c>
      <c r="T1" s="1">
        <v>2045</v>
      </c>
      <c r="U1" s="1">
        <v>2050</v>
      </c>
      <c r="V1" s="1">
        <v>2055</v>
      </c>
      <c r="W1" s="1">
        <v>2060</v>
      </c>
      <c r="X1" s="1">
        <v>2065</v>
      </c>
      <c r="Y1" s="1">
        <v>2070</v>
      </c>
      <c r="Z1" s="1">
        <v>2075</v>
      </c>
      <c r="AA1" s="1">
        <v>2080</v>
      </c>
      <c r="AB1" s="1">
        <v>2085</v>
      </c>
      <c r="AC1" s="1">
        <v>2090</v>
      </c>
      <c r="AD1" s="1">
        <v>2095</v>
      </c>
      <c r="AE1" s="1">
        <v>2100</v>
      </c>
    </row>
    <row r="2" spans="1:31" x14ac:dyDescent="0.25">
      <c r="A2" s="1" t="s">
        <v>4</v>
      </c>
      <c r="B2" s="1" t="str">
        <f>_xlfn.XLOOKUP(C2,[1]Sheet1!$A$2:$A$173,[1]Sheet1!$D$2:$D$173)</f>
        <v>Northern Africa</v>
      </c>
      <c r="C2" s="1" t="str">
        <f>_xlfn.XLOOKUP(D2,[2]Sheet2!D2:D250,[2]Sheet2!C2:C250)</f>
        <v>DZA</v>
      </c>
      <c r="D2" s="1">
        <v>12</v>
      </c>
      <c r="E2">
        <v>0.26977675116089078</v>
      </c>
      <c r="F2">
        <v>0.30714006423620133</v>
      </c>
      <c r="G2">
        <v>0.35357156872432799</v>
      </c>
      <c r="H2">
        <v>0.40459700250842001</v>
      </c>
      <c r="I2">
        <v>0.43998166617813589</v>
      </c>
      <c r="J2">
        <v>0.45922028008572802</v>
      </c>
      <c r="K2">
        <v>0.48302804836435581</v>
      </c>
      <c r="L2">
        <v>0.51160020145113616</v>
      </c>
      <c r="M2">
        <v>0.53263195154084142</v>
      </c>
      <c r="N2">
        <v>0.54992937034941258</v>
      </c>
      <c r="O2">
        <v>0.56605864578030984</v>
      </c>
      <c r="P2">
        <v>0.58249635387526055</v>
      </c>
      <c r="Q2">
        <v>0.59971350534241386</v>
      </c>
      <c r="R2">
        <v>0.61749339633382672</v>
      </c>
      <c r="S2">
        <v>0.63490200100603567</v>
      </c>
      <c r="T2">
        <v>0.65110896206404245</v>
      </c>
      <c r="U2">
        <v>0.66588547912134533</v>
      </c>
      <c r="V2">
        <v>0.67968650020483645</v>
      </c>
      <c r="W2">
        <v>0.69234216825920036</v>
      </c>
      <c r="X2">
        <v>0.70440690976517972</v>
      </c>
      <c r="Y2">
        <v>0.71579016709131593</v>
      </c>
      <c r="Z2">
        <v>0.72675186525538271</v>
      </c>
      <c r="AA2">
        <v>0.73703833093604265</v>
      </c>
      <c r="AB2">
        <v>0.74618408154794447</v>
      </c>
      <c r="AC2">
        <v>0.75479403558493208</v>
      </c>
      <c r="AD2">
        <v>0.76311253863459017</v>
      </c>
      <c r="AE2">
        <v>0.77119879343906617</v>
      </c>
    </row>
    <row r="3" spans="1:31" x14ac:dyDescent="0.25">
      <c r="A3" s="1" t="s">
        <v>5</v>
      </c>
      <c r="B3" s="1" t="str">
        <f>_xlfn.XLOOKUP(C3,[1]Sheet1!$A$2:$A$173,[1]Sheet1!$D$2:$D$173)</f>
        <v>Rest of South America</v>
      </c>
      <c r="C3" s="1" t="str">
        <f>_xlfn.XLOOKUP(D3,[2]Sheet2!D3:D251,[2]Sheet2!C3:C251)</f>
        <v>ARG</v>
      </c>
      <c r="D3" s="1">
        <v>32</v>
      </c>
      <c r="E3">
        <v>0.47220084498431891</v>
      </c>
      <c r="F3">
        <v>0.4871117139216497</v>
      </c>
      <c r="G3">
        <v>0.50238351894133482</v>
      </c>
      <c r="H3">
        <v>0.50920667046119072</v>
      </c>
      <c r="I3">
        <v>0.51760810438920679</v>
      </c>
      <c r="J3">
        <v>0.53876097932957312</v>
      </c>
      <c r="K3">
        <v>0.5529216212570458</v>
      </c>
      <c r="L3">
        <v>0.56579551083153956</v>
      </c>
      <c r="M3">
        <v>0.58091550907721601</v>
      </c>
      <c r="N3">
        <v>0.59889090924295985</v>
      </c>
      <c r="O3">
        <v>0.61466327419346434</v>
      </c>
      <c r="P3">
        <v>0.62969576844869657</v>
      </c>
      <c r="Q3">
        <v>0.64235412892102317</v>
      </c>
      <c r="R3">
        <v>0.65436810603171547</v>
      </c>
      <c r="S3">
        <v>0.6660091715275227</v>
      </c>
      <c r="T3">
        <v>0.67735595477622634</v>
      </c>
      <c r="U3">
        <v>0.68856902205364912</v>
      </c>
      <c r="V3">
        <v>0.69941453224599015</v>
      </c>
      <c r="W3">
        <v>0.70987048120605634</v>
      </c>
      <c r="X3">
        <v>0.72002397678293861</v>
      </c>
      <c r="Y3">
        <v>0.73033341488488446</v>
      </c>
      <c r="Z3">
        <v>0.74003062067700143</v>
      </c>
      <c r="AA3">
        <v>0.74962955743782755</v>
      </c>
      <c r="AB3">
        <v>0.7591082346312944</v>
      </c>
      <c r="AC3">
        <v>0.76843387555348652</v>
      </c>
      <c r="AD3">
        <v>0.77710102170813067</v>
      </c>
      <c r="AE3">
        <v>0.78566966619175349</v>
      </c>
    </row>
    <row r="4" spans="1:31" x14ac:dyDescent="0.25">
      <c r="A4" s="1" t="s">
        <v>6</v>
      </c>
      <c r="B4" s="1" t="str">
        <f>_xlfn.XLOOKUP(C4,[1]Sheet1!$A$2:$A$173,[1]Sheet1!$D$2:$D$173)</f>
        <v>Russia region</v>
      </c>
      <c r="C4" s="1" t="str">
        <f>_xlfn.XLOOKUP(D4,[2]Sheet2!D4:D252,[2]Sheet2!C4:C252)</f>
        <v>ARM</v>
      </c>
      <c r="D4" s="1">
        <v>51</v>
      </c>
      <c r="E4">
        <v>0.31505971648839798</v>
      </c>
      <c r="F4">
        <v>0.3618655838368815</v>
      </c>
      <c r="G4">
        <v>0.39974087099817041</v>
      </c>
      <c r="H4">
        <v>0.43412227516707941</v>
      </c>
      <c r="I4">
        <v>0.45637114857290212</v>
      </c>
      <c r="J4">
        <v>0.4802446765675788</v>
      </c>
      <c r="K4">
        <v>0.50625020390654318</v>
      </c>
      <c r="L4">
        <v>0.54515008830945666</v>
      </c>
      <c r="M4">
        <v>0.55828728739251965</v>
      </c>
      <c r="N4">
        <v>0.5892480166589924</v>
      </c>
      <c r="O4">
        <v>0.6160725861701033</v>
      </c>
      <c r="P4">
        <v>0.63809677727600134</v>
      </c>
      <c r="Q4">
        <v>0.65445767170878677</v>
      </c>
      <c r="R4">
        <v>0.66698469690295736</v>
      </c>
      <c r="S4">
        <v>0.67762022808771638</v>
      </c>
      <c r="T4">
        <v>0.687175142109541</v>
      </c>
      <c r="U4">
        <v>0.69600475435408282</v>
      </c>
      <c r="V4">
        <v>0.70505331981916397</v>
      </c>
      <c r="W4">
        <v>0.71412571198717811</v>
      </c>
      <c r="X4">
        <v>0.72415710986542581</v>
      </c>
      <c r="Y4">
        <v>0.73458197012378124</v>
      </c>
      <c r="Z4">
        <v>0.74513222529908119</v>
      </c>
      <c r="AA4">
        <v>0.7555551385784246</v>
      </c>
      <c r="AB4">
        <v>0.76537280226132687</v>
      </c>
      <c r="AC4">
        <v>0.77496250769438102</v>
      </c>
      <c r="AD4">
        <v>0.78397620178740157</v>
      </c>
      <c r="AE4">
        <v>0.79259923298459245</v>
      </c>
    </row>
    <row r="5" spans="1:31" x14ac:dyDescent="0.25">
      <c r="A5" s="1" t="s">
        <v>7</v>
      </c>
      <c r="B5" s="1" t="str">
        <f>_xlfn.XLOOKUP(C5,[1]Sheet1!$A$2:$A$173,[1]Sheet1!$D$2:$D$173)</f>
        <v>Oceania</v>
      </c>
      <c r="C5" s="1" t="str">
        <f>_xlfn.XLOOKUP(D5,[2]Sheet2!D5:D253,[2]Sheet2!C5:C253)</f>
        <v>AUS</v>
      </c>
      <c r="D5" s="1">
        <v>36</v>
      </c>
      <c r="E5">
        <v>0.58974724449267824</v>
      </c>
      <c r="F5">
        <v>0.60475466362832386</v>
      </c>
      <c r="G5">
        <v>0.62401097537832451</v>
      </c>
      <c r="H5">
        <v>0.64042224569290551</v>
      </c>
      <c r="I5">
        <v>0.65344332270239003</v>
      </c>
      <c r="J5">
        <v>0.671146663846661</v>
      </c>
      <c r="K5">
        <v>0.68817918350590224</v>
      </c>
      <c r="L5">
        <v>0.70596240124950072</v>
      </c>
      <c r="M5">
        <v>0.71953740138216915</v>
      </c>
      <c r="N5">
        <v>0.73477083095770979</v>
      </c>
      <c r="O5">
        <v>0.74564957899764905</v>
      </c>
      <c r="P5">
        <v>0.75707513295439421</v>
      </c>
      <c r="Q5">
        <v>0.76769668255994816</v>
      </c>
      <c r="R5">
        <v>0.77742342544649701</v>
      </c>
      <c r="S5">
        <v>0.78656072536268185</v>
      </c>
      <c r="T5">
        <v>0.79505826384934863</v>
      </c>
      <c r="U5">
        <v>0.80302311674051863</v>
      </c>
      <c r="V5">
        <v>0.81098742022410142</v>
      </c>
      <c r="W5">
        <v>0.81846651135367654</v>
      </c>
      <c r="X5">
        <v>0.82592899899414174</v>
      </c>
      <c r="Y5">
        <v>0.83295263400230368</v>
      </c>
      <c r="Z5">
        <v>0.84007348576410479</v>
      </c>
      <c r="AA5">
        <v>0.84694963840492576</v>
      </c>
      <c r="AB5">
        <v>0.85395897522516007</v>
      </c>
      <c r="AC5">
        <v>0.8605963912921375</v>
      </c>
      <c r="AD5">
        <v>0.86722704810944418</v>
      </c>
      <c r="AE5">
        <v>0.87379024113241432</v>
      </c>
    </row>
    <row r="6" spans="1:31" x14ac:dyDescent="0.25">
      <c r="A6" s="1" t="s">
        <v>8</v>
      </c>
      <c r="B6" s="1" t="str">
        <f>_xlfn.XLOOKUP(C6,[1]Sheet1!$A$2:$A$173,[1]Sheet1!$D$2:$D$173)</f>
        <v>Western Europe</v>
      </c>
      <c r="C6" s="1" t="str">
        <f>_xlfn.XLOOKUP(D6,[2]Sheet2!D6:D254,[2]Sheet2!C6:C254)</f>
        <v>AUT</v>
      </c>
      <c r="D6" s="1">
        <v>40</v>
      </c>
      <c r="E6">
        <v>0.5507169579832597</v>
      </c>
      <c r="F6">
        <v>0.56816014863162834</v>
      </c>
      <c r="G6">
        <v>0.58778931401106504</v>
      </c>
      <c r="H6">
        <v>0.60352913890259041</v>
      </c>
      <c r="I6">
        <v>0.62297438071355116</v>
      </c>
      <c r="J6">
        <v>0.63691732773062804</v>
      </c>
      <c r="K6">
        <v>0.65266638575495906</v>
      </c>
      <c r="L6">
        <v>0.66555552411857966</v>
      </c>
      <c r="M6">
        <v>0.67717801003342093</v>
      </c>
      <c r="N6">
        <v>0.690317693076132</v>
      </c>
      <c r="O6">
        <v>0.69813254999776175</v>
      </c>
      <c r="P6">
        <v>0.70649468686227379</v>
      </c>
      <c r="Q6">
        <v>0.71444534325036135</v>
      </c>
      <c r="R6">
        <v>0.72291675600198746</v>
      </c>
      <c r="S6">
        <v>0.73146693242695227</v>
      </c>
      <c r="T6">
        <v>0.73996480178236945</v>
      </c>
      <c r="U6">
        <v>0.74850950511127134</v>
      </c>
      <c r="V6">
        <v>0.75727130978226664</v>
      </c>
      <c r="W6">
        <v>0.76525944503032728</v>
      </c>
      <c r="X6">
        <v>0.77362045520964329</v>
      </c>
      <c r="Y6">
        <v>0.78213344162548815</v>
      </c>
      <c r="Z6">
        <v>0.79041355563404425</v>
      </c>
      <c r="AA6">
        <v>0.79903508631003195</v>
      </c>
      <c r="AB6">
        <v>0.80727522404601759</v>
      </c>
      <c r="AC6">
        <v>0.81571805508002926</v>
      </c>
      <c r="AD6">
        <v>0.82398349797827453</v>
      </c>
      <c r="AE6">
        <v>0.83203705777496573</v>
      </c>
    </row>
    <row r="7" spans="1:31" x14ac:dyDescent="0.25">
      <c r="A7" s="1" t="s">
        <v>9</v>
      </c>
      <c r="B7" s="1" t="str">
        <f>_xlfn.XLOOKUP(C7,[1]Sheet1!$A$2:$A$173,[1]Sheet1!$D$2:$D$173)</f>
        <v>Russia region</v>
      </c>
      <c r="C7" s="1" t="str">
        <f>_xlfn.XLOOKUP(D7,[2]Sheet2!D7:D255,[2]Sheet2!C7:C255)</f>
        <v>AZE</v>
      </c>
      <c r="D7" s="1">
        <v>31</v>
      </c>
      <c r="E7">
        <v>0.22549024678990609</v>
      </c>
      <c r="F7">
        <v>0.29494304424603429</v>
      </c>
      <c r="G7">
        <v>0.34775237666639308</v>
      </c>
      <c r="H7">
        <v>0.3919455970745151</v>
      </c>
      <c r="I7">
        <v>0.43261026654828849</v>
      </c>
      <c r="J7">
        <v>0.47097422926961802</v>
      </c>
      <c r="K7">
        <v>0.49743179150133471</v>
      </c>
      <c r="L7">
        <v>0.53046768854332094</v>
      </c>
      <c r="M7">
        <v>0.57544038561043265</v>
      </c>
      <c r="N7">
        <v>0.61362737368747922</v>
      </c>
      <c r="O7">
        <v>0.63421450975882077</v>
      </c>
      <c r="P7">
        <v>0.64443281936512742</v>
      </c>
      <c r="Q7">
        <v>0.65099209514449463</v>
      </c>
      <c r="R7">
        <v>0.6582324363025871</v>
      </c>
      <c r="S7">
        <v>0.66613637223796662</v>
      </c>
      <c r="T7">
        <v>0.67438143814098739</v>
      </c>
      <c r="U7">
        <v>0.68291338290293335</v>
      </c>
      <c r="V7">
        <v>0.69117725754291581</v>
      </c>
      <c r="W7">
        <v>0.69924880418139346</v>
      </c>
      <c r="X7">
        <v>0.70688219497111182</v>
      </c>
      <c r="Y7">
        <v>0.71366237073770045</v>
      </c>
      <c r="Z7">
        <v>0.72004545727573721</v>
      </c>
      <c r="AA7">
        <v>0.72638576881791772</v>
      </c>
      <c r="AB7">
        <v>0.73229323000472857</v>
      </c>
      <c r="AC7">
        <v>0.73917611743547318</v>
      </c>
      <c r="AD7">
        <v>0.74619692128655424</v>
      </c>
      <c r="AE7">
        <v>0.75398963468463409</v>
      </c>
    </row>
    <row r="8" spans="1:31" x14ac:dyDescent="0.25">
      <c r="A8" s="1" t="s">
        <v>10</v>
      </c>
      <c r="B8" s="1" t="str">
        <f>_xlfn.XLOOKUP(C8,[1]Sheet1!$A$2:$A$173,[1]Sheet1!$D$2:$D$173)</f>
        <v>Central America</v>
      </c>
      <c r="C8" s="1" t="str">
        <f>_xlfn.XLOOKUP(D8,[2]Sheet2!D8:D256,[2]Sheet2!C8:C256)</f>
        <v>BHS</v>
      </c>
      <c r="D8" s="1">
        <v>44</v>
      </c>
      <c r="E8">
        <v>0.54503318096519027</v>
      </c>
      <c r="F8">
        <v>0.55003610942445169</v>
      </c>
      <c r="G8">
        <v>0.58595761736096119</v>
      </c>
      <c r="H8">
        <v>0.60624031777145271</v>
      </c>
      <c r="I8">
        <v>0.62091984462918826</v>
      </c>
      <c r="J8">
        <v>0.62952250739145565</v>
      </c>
      <c r="K8">
        <v>0.64276042790423249</v>
      </c>
      <c r="L8">
        <v>0.65845063405104431</v>
      </c>
      <c r="M8">
        <v>0.66986511265496873</v>
      </c>
      <c r="N8">
        <v>0.67565633135367231</v>
      </c>
      <c r="O8">
        <v>0.68325575517292458</v>
      </c>
      <c r="P8">
        <v>0.69275297448409545</v>
      </c>
      <c r="Q8">
        <v>0.70260867485729039</v>
      </c>
      <c r="R8">
        <v>0.71282343554165439</v>
      </c>
      <c r="S8">
        <v>0.72243760550627156</v>
      </c>
      <c r="T8">
        <v>0.73170342327421001</v>
      </c>
      <c r="U8">
        <v>0.74061787317560057</v>
      </c>
      <c r="V8">
        <v>0.74944590396459143</v>
      </c>
      <c r="W8">
        <v>0.75763653912206619</v>
      </c>
      <c r="X8">
        <v>0.76616761980641934</v>
      </c>
      <c r="Y8">
        <v>0.77423526270066134</v>
      </c>
      <c r="Z8">
        <v>0.7828108704613238</v>
      </c>
      <c r="AA8">
        <v>0.79110114331045389</v>
      </c>
      <c r="AB8">
        <v>0.79930956487263538</v>
      </c>
      <c r="AC8">
        <v>0.80725385535918859</v>
      </c>
      <c r="AD8">
        <v>0.81534875102962878</v>
      </c>
      <c r="AE8">
        <v>0.82286421421672662</v>
      </c>
    </row>
    <row r="9" spans="1:31" x14ac:dyDescent="0.25">
      <c r="A9" s="1" t="s">
        <v>11</v>
      </c>
      <c r="B9" s="1" t="str">
        <f>_xlfn.XLOOKUP(C9,[1]Sheet1!$A$2:$A$173,[1]Sheet1!$D$2:$D$173)</f>
        <v>Middle East</v>
      </c>
      <c r="C9" s="1" t="str">
        <f>_xlfn.XLOOKUP(D9,[2]Sheet2!D9:D257,[2]Sheet2!C9:C257)</f>
        <v>BHR</v>
      </c>
      <c r="D9" s="1">
        <v>48</v>
      </c>
      <c r="E9">
        <v>0.37195636930181608</v>
      </c>
      <c r="F9">
        <v>0.4196045120829997</v>
      </c>
      <c r="G9">
        <v>0.46256513623814888</v>
      </c>
      <c r="H9">
        <v>0.47307016598332208</v>
      </c>
      <c r="I9">
        <v>0.50372334742674252</v>
      </c>
      <c r="J9">
        <v>0.52969886917382358</v>
      </c>
      <c r="K9">
        <v>0.55399105498182721</v>
      </c>
      <c r="L9">
        <v>0.57673645081638181</v>
      </c>
      <c r="M9">
        <v>0.59540127455739478</v>
      </c>
      <c r="N9">
        <v>0.61477193936334229</v>
      </c>
      <c r="O9">
        <v>0.62895260093819372</v>
      </c>
      <c r="P9">
        <v>0.64079140545498581</v>
      </c>
      <c r="Q9">
        <v>0.6525388643201</v>
      </c>
      <c r="R9">
        <v>0.66427669571508141</v>
      </c>
      <c r="S9">
        <v>0.67584439476007208</v>
      </c>
      <c r="T9">
        <v>0.68716651168939302</v>
      </c>
      <c r="U9">
        <v>0.69810628020863608</v>
      </c>
      <c r="V9">
        <v>0.70919492686853669</v>
      </c>
      <c r="W9">
        <v>0.71991065768757956</v>
      </c>
      <c r="X9">
        <v>0.7306352860180757</v>
      </c>
      <c r="Y9">
        <v>0.74106802492853185</v>
      </c>
      <c r="Z9">
        <v>0.75072863633524944</v>
      </c>
      <c r="AA9">
        <v>0.76062210804674901</v>
      </c>
      <c r="AB9">
        <v>0.76942088171761058</v>
      </c>
      <c r="AC9">
        <v>0.77750498949487257</v>
      </c>
      <c r="AD9">
        <v>0.78549138364544802</v>
      </c>
      <c r="AE9">
        <v>0.7931227275673628</v>
      </c>
    </row>
    <row r="10" spans="1:31" x14ac:dyDescent="0.25">
      <c r="A10" s="1" t="s">
        <v>12</v>
      </c>
      <c r="B10" s="1" t="str">
        <f>_xlfn.XLOOKUP(C10,[1]Sheet1!$A$2:$A$173,[1]Sheet1!$D$2:$D$173)</f>
        <v>Rest of South Asia</v>
      </c>
      <c r="C10" s="1" t="str">
        <f>_xlfn.XLOOKUP(D10,[2]Sheet2!D10:D258,[2]Sheet2!C10:C258)</f>
        <v>BGD</v>
      </c>
      <c r="D10" s="1">
        <v>50</v>
      </c>
      <c r="E10">
        <v>0.21553063038963191</v>
      </c>
      <c r="F10">
        <v>0.2090264624790181</v>
      </c>
      <c r="G10">
        <v>0.23439691410892141</v>
      </c>
      <c r="H10">
        <v>0.25181636471493651</v>
      </c>
      <c r="I10">
        <v>0.27150104093354183</v>
      </c>
      <c r="J10">
        <v>0.29372567467635291</v>
      </c>
      <c r="K10">
        <v>0.32196441273735571</v>
      </c>
      <c r="L10">
        <v>0.35024361816742322</v>
      </c>
      <c r="M10">
        <v>0.3754238895026738</v>
      </c>
      <c r="N10">
        <v>0.40016047947839539</v>
      </c>
      <c r="O10">
        <v>0.42034453466185839</v>
      </c>
      <c r="P10">
        <v>0.43676398541832989</v>
      </c>
      <c r="Q10">
        <v>0.45312190447836381</v>
      </c>
      <c r="R10">
        <v>0.46976321068523219</v>
      </c>
      <c r="S10">
        <v>0.48683824783748819</v>
      </c>
      <c r="T10">
        <v>0.50451743815898709</v>
      </c>
      <c r="U10">
        <v>0.52211595925844723</v>
      </c>
      <c r="V10">
        <v>0.53966605817971325</v>
      </c>
      <c r="W10">
        <v>0.55730593965660191</v>
      </c>
      <c r="X10">
        <v>0.57450628386365887</v>
      </c>
      <c r="Y10">
        <v>0.59148104748649022</v>
      </c>
      <c r="Z10">
        <v>0.6083227999359121</v>
      </c>
      <c r="AA10">
        <v>0.62531741191881451</v>
      </c>
      <c r="AB10">
        <v>0.64201497053634282</v>
      </c>
      <c r="AC10">
        <v>0.65840114433153518</v>
      </c>
      <c r="AD10">
        <v>0.67354190485762588</v>
      </c>
      <c r="AE10">
        <v>0.68769406835541425</v>
      </c>
    </row>
    <row r="11" spans="1:31" x14ac:dyDescent="0.25">
      <c r="A11" s="1" t="s">
        <v>13</v>
      </c>
      <c r="B11" s="1" t="str">
        <f>_xlfn.XLOOKUP(C11,[1]Sheet1!$A$2:$A$173,[1]Sheet1!$D$2:$D$173)</f>
        <v>Ukraine region</v>
      </c>
      <c r="C11" s="1" t="str">
        <f>_xlfn.XLOOKUP(D11,[2]Sheet2!D11:D259,[2]Sheet2!C11:C259)</f>
        <v>BLR</v>
      </c>
      <c r="D11" s="1">
        <v>112</v>
      </c>
      <c r="E11">
        <v>0.38212637394351368</v>
      </c>
      <c r="F11">
        <v>0.41535830773882421</v>
      </c>
      <c r="G11">
        <v>0.44563933973601683</v>
      </c>
      <c r="H11">
        <v>0.4728491914236384</v>
      </c>
      <c r="I11">
        <v>0.50348754845450294</v>
      </c>
      <c r="J11">
        <v>0.52361123045270008</v>
      </c>
      <c r="K11">
        <v>0.54062920580545681</v>
      </c>
      <c r="L11">
        <v>0.56611836939777815</v>
      </c>
      <c r="M11">
        <v>0.59064984551657618</v>
      </c>
      <c r="N11">
        <v>0.61878805637362322</v>
      </c>
      <c r="O11">
        <v>0.63410375928863227</v>
      </c>
      <c r="P11">
        <v>0.64564990758939433</v>
      </c>
      <c r="Q11">
        <v>0.65492760992522836</v>
      </c>
      <c r="R11">
        <v>0.66379757711639154</v>
      </c>
      <c r="S11">
        <v>0.67264479482303396</v>
      </c>
      <c r="T11">
        <v>0.68123146649583877</v>
      </c>
      <c r="U11">
        <v>0.68962897008160451</v>
      </c>
      <c r="V11">
        <v>0.6975424067748538</v>
      </c>
      <c r="W11">
        <v>0.7055896811742054</v>
      </c>
      <c r="X11">
        <v>0.71402208608444051</v>
      </c>
      <c r="Y11">
        <v>0.72236778771376708</v>
      </c>
      <c r="Z11">
        <v>0.73091183661127301</v>
      </c>
      <c r="AA11">
        <v>0.73926036530521799</v>
      </c>
      <c r="AB11">
        <v>0.74755627845706329</v>
      </c>
      <c r="AC11">
        <v>0.75584360223014002</v>
      </c>
      <c r="AD11">
        <v>0.76397096013563059</v>
      </c>
      <c r="AE11">
        <v>0.77228431429960553</v>
      </c>
    </row>
    <row r="12" spans="1:31" x14ac:dyDescent="0.25">
      <c r="A12" s="1" t="s">
        <v>14</v>
      </c>
      <c r="B12" s="1" t="str">
        <f>_xlfn.XLOOKUP(C12,[1]Sheet1!$A$2:$A$173,[1]Sheet1!$D$2:$D$173)</f>
        <v>Western Europe</v>
      </c>
      <c r="C12" s="1" t="str">
        <f>_xlfn.XLOOKUP(D12,[2]Sheet2!D12:D260,[2]Sheet2!C12:C260)</f>
        <v>BEL</v>
      </c>
      <c r="D12" s="1">
        <v>56</v>
      </c>
      <c r="E12">
        <v>0.54836107138398205</v>
      </c>
      <c r="F12">
        <v>0.56438458520135804</v>
      </c>
      <c r="G12">
        <v>0.5822390265915709</v>
      </c>
      <c r="H12">
        <v>0.59574422662133164</v>
      </c>
      <c r="I12">
        <v>0.61419816685210726</v>
      </c>
      <c r="J12">
        <v>0.62753745811323525</v>
      </c>
      <c r="K12">
        <v>0.64195146545167003</v>
      </c>
      <c r="L12">
        <v>0.65449256666499089</v>
      </c>
      <c r="M12">
        <v>0.66594962184084627</v>
      </c>
      <c r="N12">
        <v>0.6836250111586728</v>
      </c>
      <c r="O12">
        <v>0.6987586453241752</v>
      </c>
      <c r="P12">
        <v>0.7147496020193489</v>
      </c>
      <c r="Q12">
        <v>0.72831165693569055</v>
      </c>
      <c r="R12">
        <v>0.74035553161845991</v>
      </c>
      <c r="S12">
        <v>0.75129704678499609</v>
      </c>
      <c r="T12">
        <v>0.76156284917507744</v>
      </c>
      <c r="U12">
        <v>0.77098834370192182</v>
      </c>
      <c r="V12">
        <v>0.77974159433106927</v>
      </c>
      <c r="W12">
        <v>0.78835369939523336</v>
      </c>
      <c r="X12">
        <v>0.79667078777339828</v>
      </c>
      <c r="Y12">
        <v>0.80493055586110918</v>
      </c>
      <c r="Z12">
        <v>0.81311082184337424</v>
      </c>
      <c r="AA12">
        <v>0.82107415652081639</v>
      </c>
      <c r="AB12">
        <v>0.82900933312276825</v>
      </c>
      <c r="AC12">
        <v>0.83696576648303533</v>
      </c>
      <c r="AD12">
        <v>0.84454567112631829</v>
      </c>
      <c r="AE12">
        <v>0.85212101597207057</v>
      </c>
    </row>
    <row r="13" spans="1:31" x14ac:dyDescent="0.25">
      <c r="A13" s="1" t="s">
        <v>15</v>
      </c>
      <c r="B13" s="1" t="str">
        <f>_xlfn.XLOOKUP(C13,[1]Sheet1!$A$2:$A$173,[1]Sheet1!$D$2:$D$173)</f>
        <v>Central America</v>
      </c>
      <c r="C13" s="1" t="str">
        <f>_xlfn.XLOOKUP(D13,[2]Sheet2!D13:D261,[2]Sheet2!C13:C261)</f>
        <v>BLZ</v>
      </c>
      <c r="D13" s="1">
        <v>84</v>
      </c>
      <c r="E13">
        <v>0.40186497539996557</v>
      </c>
      <c r="F13">
        <v>0.4226430534836963</v>
      </c>
      <c r="G13">
        <v>0.44583865644047849</v>
      </c>
      <c r="H13">
        <v>0.45415634779163272</v>
      </c>
      <c r="I13">
        <v>0.47938375286103452</v>
      </c>
      <c r="J13">
        <v>0.49189308780005597</v>
      </c>
      <c r="K13">
        <v>0.4969860398209846</v>
      </c>
      <c r="L13">
        <v>0.51252417466944611</v>
      </c>
      <c r="M13">
        <v>0.52088978411758624</v>
      </c>
      <c r="N13">
        <v>0.53450385892009267</v>
      </c>
      <c r="O13">
        <v>0.54933742907774064</v>
      </c>
      <c r="P13">
        <v>0.56621541838126599</v>
      </c>
      <c r="Q13">
        <v>0.5815157025939236</v>
      </c>
      <c r="R13">
        <v>0.59583246175697746</v>
      </c>
      <c r="S13">
        <v>0.61006393746229071</v>
      </c>
      <c r="T13">
        <v>0.6240344625897426</v>
      </c>
      <c r="U13">
        <v>0.63760544243335027</v>
      </c>
      <c r="V13">
        <v>0.65084561920600015</v>
      </c>
      <c r="W13">
        <v>0.66410941203795748</v>
      </c>
      <c r="X13">
        <v>0.6771922894557707</v>
      </c>
      <c r="Y13">
        <v>0.68999653748203227</v>
      </c>
      <c r="Z13">
        <v>0.70264730351182048</v>
      </c>
      <c r="AA13">
        <v>0.71450823512284312</v>
      </c>
      <c r="AB13">
        <v>0.72612663906490205</v>
      </c>
      <c r="AC13">
        <v>0.73828999168465481</v>
      </c>
      <c r="AD13">
        <v>0.75088859994098833</v>
      </c>
      <c r="AE13">
        <v>0.76363316752234789</v>
      </c>
    </row>
    <row r="14" spans="1:31" x14ac:dyDescent="0.25">
      <c r="A14" s="1" t="s">
        <v>16</v>
      </c>
      <c r="B14" s="1" t="str">
        <f>_xlfn.XLOOKUP(C14,[1]Sheet1!$A$2:$A$173,[1]Sheet1!$D$2:$D$173)</f>
        <v>Western Africa</v>
      </c>
      <c r="C14" s="1" t="str">
        <f>_xlfn.XLOOKUP(D14,[2]Sheet2!D14:D262,[2]Sheet2!C14:C262)</f>
        <v>BEN</v>
      </c>
      <c r="D14" s="1">
        <v>204</v>
      </c>
      <c r="E14">
        <v>0.1490391248399647</v>
      </c>
      <c r="F14">
        <v>0.16898611897717489</v>
      </c>
      <c r="G14">
        <v>0.19156164591151109</v>
      </c>
      <c r="H14">
        <v>0.21385874554285819</v>
      </c>
      <c r="I14">
        <v>0.23086577546524761</v>
      </c>
      <c r="J14">
        <v>0.24850315975653939</v>
      </c>
      <c r="K14">
        <v>0.26160707214686968</v>
      </c>
      <c r="L14">
        <v>0.28231702206033688</v>
      </c>
      <c r="M14">
        <v>0.30490465628499458</v>
      </c>
      <c r="N14">
        <v>0.32326010417110118</v>
      </c>
      <c r="O14">
        <v>0.34074545882600699</v>
      </c>
      <c r="P14">
        <v>0.35682280107675868</v>
      </c>
      <c r="Q14">
        <v>0.37379664102870902</v>
      </c>
      <c r="R14">
        <v>0.39116676659898292</v>
      </c>
      <c r="S14">
        <v>0.40900254420218868</v>
      </c>
      <c r="T14">
        <v>0.42701674242098447</v>
      </c>
      <c r="U14">
        <v>0.44547415756275488</v>
      </c>
      <c r="V14">
        <v>0.46378861705897978</v>
      </c>
      <c r="W14">
        <v>0.48183330716296141</v>
      </c>
      <c r="X14">
        <v>0.49940265321320992</v>
      </c>
      <c r="Y14">
        <v>0.51692551470418835</v>
      </c>
      <c r="Z14">
        <v>0.53400947123935172</v>
      </c>
      <c r="AA14">
        <v>0.55108957397710379</v>
      </c>
      <c r="AB14">
        <v>0.56818129270628892</v>
      </c>
      <c r="AC14">
        <v>0.58524520348901499</v>
      </c>
      <c r="AD14">
        <v>0.60223088585216278</v>
      </c>
      <c r="AE14">
        <v>0.61869247441061992</v>
      </c>
    </row>
    <row r="15" spans="1:31" x14ac:dyDescent="0.25">
      <c r="A15" s="1" t="s">
        <v>17</v>
      </c>
      <c r="B15" s="1" t="e">
        <f>_xlfn.XLOOKUP(C15,[1]Sheet1!$A$2:$A$173,[1]Sheet1!$D$2:$D$173)</f>
        <v>#N/A</v>
      </c>
      <c r="C15" s="1" t="str">
        <f>_xlfn.XLOOKUP(D15,[2]Sheet2!D15:D263,[2]Sheet2!C15:C263)</f>
        <v>BTN</v>
      </c>
      <c r="D15" s="1">
        <v>64</v>
      </c>
      <c r="E15">
        <v>0.1158928707171038</v>
      </c>
      <c r="F15">
        <v>0.13262791694257711</v>
      </c>
      <c r="G15">
        <v>0.15650219218490899</v>
      </c>
      <c r="H15">
        <v>0.18515373597651119</v>
      </c>
      <c r="I15">
        <v>0.22372274097830511</v>
      </c>
      <c r="J15">
        <v>0.26220401986570818</v>
      </c>
      <c r="K15">
        <v>0.30409631280301291</v>
      </c>
      <c r="L15">
        <v>0.35445249004973289</v>
      </c>
      <c r="M15">
        <v>0.39896053976952961</v>
      </c>
      <c r="N15">
        <v>0.43574098454372562</v>
      </c>
      <c r="O15">
        <v>0.4699863434224838</v>
      </c>
      <c r="P15">
        <v>0.498515329230033</v>
      </c>
      <c r="Q15">
        <v>0.52280515257220561</v>
      </c>
      <c r="R15">
        <v>0.54407587807375757</v>
      </c>
      <c r="S15">
        <v>0.56396485320910483</v>
      </c>
      <c r="T15">
        <v>0.583640403047892</v>
      </c>
      <c r="U15">
        <v>0.60314246204921462</v>
      </c>
      <c r="V15">
        <v>0.62284987495955269</v>
      </c>
      <c r="W15">
        <v>0.64225139591016378</v>
      </c>
      <c r="X15">
        <v>0.66142810029034971</v>
      </c>
      <c r="Y15">
        <v>0.67961915973310305</v>
      </c>
      <c r="Z15">
        <v>0.69674998116412379</v>
      </c>
      <c r="AA15">
        <v>0.7135963593509449</v>
      </c>
      <c r="AB15">
        <v>0.72938777389472664</v>
      </c>
      <c r="AC15">
        <v>0.74450033814628191</v>
      </c>
      <c r="AD15">
        <v>0.75847320068294632</v>
      </c>
      <c r="AE15">
        <v>0.77194756679621268</v>
      </c>
    </row>
    <row r="16" spans="1:31" x14ac:dyDescent="0.25">
      <c r="A16" s="1" t="s">
        <v>18</v>
      </c>
      <c r="B16" s="1" t="str">
        <f>_xlfn.XLOOKUP(C16,[1]Sheet1!$A$2:$A$173,[1]Sheet1!$D$2:$D$173)</f>
        <v>Rest of South America</v>
      </c>
      <c r="C16" s="1" t="str">
        <f>_xlfn.XLOOKUP(D16,[2]Sheet2!D16:D264,[2]Sheet2!C16:C264)</f>
        <v>BOL</v>
      </c>
      <c r="D16" s="1">
        <v>68</v>
      </c>
      <c r="E16">
        <v>0.30382449827042768</v>
      </c>
      <c r="F16">
        <v>0.3289978646850294</v>
      </c>
      <c r="G16">
        <v>0.35016280184427312</v>
      </c>
      <c r="H16">
        <v>0.3636450017275184</v>
      </c>
      <c r="I16">
        <v>0.38359082832934138</v>
      </c>
      <c r="J16">
        <v>0.40716142208496259</v>
      </c>
      <c r="K16">
        <v>0.42981543722655802</v>
      </c>
      <c r="L16">
        <v>0.45255268221733058</v>
      </c>
      <c r="M16">
        <v>0.47634390530183029</v>
      </c>
      <c r="N16">
        <v>0.50181306161511097</v>
      </c>
      <c r="O16">
        <v>0.52142915997826822</v>
      </c>
      <c r="P16">
        <v>0.53678678540861802</v>
      </c>
      <c r="Q16">
        <v>0.55150694510955034</v>
      </c>
      <c r="R16">
        <v>0.56634449915443352</v>
      </c>
      <c r="S16">
        <v>0.58103460778829874</v>
      </c>
      <c r="T16">
        <v>0.59583820625215678</v>
      </c>
      <c r="U16">
        <v>0.61020781750018194</v>
      </c>
      <c r="V16">
        <v>0.62375144213286515</v>
      </c>
      <c r="W16">
        <v>0.63661744797632158</v>
      </c>
      <c r="X16">
        <v>0.6485804836641389</v>
      </c>
      <c r="Y16">
        <v>0.65950698060398472</v>
      </c>
      <c r="Z16">
        <v>0.67004566658023312</v>
      </c>
      <c r="AA16">
        <v>0.68004213748780828</v>
      </c>
      <c r="AB16">
        <v>0.68951593933909339</v>
      </c>
      <c r="AC16">
        <v>0.69848743384483636</v>
      </c>
      <c r="AD16">
        <v>0.70681111067247149</v>
      </c>
      <c r="AE16">
        <v>0.71511101444563607</v>
      </c>
    </row>
    <row r="17" spans="1:31" x14ac:dyDescent="0.25">
      <c r="A17" s="1" t="s">
        <v>19</v>
      </c>
      <c r="B17" s="1" t="str">
        <f>_xlfn.XLOOKUP(C17,[1]Sheet1!$A$2:$A$173,[1]Sheet1!$D$2:$D$173)</f>
        <v>Central Europe</v>
      </c>
      <c r="C17" s="1" t="str">
        <f>_xlfn.XLOOKUP(D17,[2]Sheet2!D17:D265,[2]Sheet2!C17:C265)</f>
        <v>BIH</v>
      </c>
      <c r="D17" s="1">
        <v>70</v>
      </c>
      <c r="E17">
        <v>0.29671418239194181</v>
      </c>
      <c r="F17">
        <v>0.34214916858575012</v>
      </c>
      <c r="G17">
        <v>0.38420691493934589</v>
      </c>
      <c r="H17">
        <v>0.42041910596395082</v>
      </c>
      <c r="I17">
        <v>0.45064203613752291</v>
      </c>
      <c r="J17">
        <v>0.46732814783065418</v>
      </c>
      <c r="K17">
        <v>0.53182945240323898</v>
      </c>
      <c r="L17">
        <v>0.53841490013745585</v>
      </c>
      <c r="M17">
        <v>0.56707278598872612</v>
      </c>
      <c r="N17">
        <v>0.59584055430003102</v>
      </c>
      <c r="O17">
        <v>0.62137367445280489</v>
      </c>
      <c r="P17">
        <v>0.64121162788634112</v>
      </c>
      <c r="Q17">
        <v>0.65795638407950396</v>
      </c>
      <c r="R17">
        <v>0.67235227965575783</v>
      </c>
      <c r="S17">
        <v>0.68528463983547261</v>
      </c>
      <c r="T17">
        <v>0.69785617942368927</v>
      </c>
      <c r="U17">
        <v>0.70954448389934988</v>
      </c>
      <c r="V17">
        <v>0.72073240154964369</v>
      </c>
      <c r="W17">
        <v>0.73163131844779716</v>
      </c>
      <c r="X17">
        <v>0.74231592889006037</v>
      </c>
      <c r="Y17">
        <v>0.75302260283195499</v>
      </c>
      <c r="Z17">
        <v>0.76352396679343171</v>
      </c>
      <c r="AA17">
        <v>0.77398329951877165</v>
      </c>
      <c r="AB17">
        <v>0.78382020437082456</v>
      </c>
      <c r="AC17">
        <v>0.79301471023304737</v>
      </c>
      <c r="AD17">
        <v>0.80174109412981442</v>
      </c>
      <c r="AE17">
        <v>0.80960340850984092</v>
      </c>
    </row>
    <row r="18" spans="1:31" x14ac:dyDescent="0.25">
      <c r="A18" s="1" t="s">
        <v>20</v>
      </c>
      <c r="B18" s="1" t="str">
        <f>_xlfn.XLOOKUP(C18,[1]Sheet1!$A$2:$A$173,[1]Sheet1!$D$2:$D$173)</f>
        <v>Rest of Southern Africa</v>
      </c>
      <c r="C18" s="1" t="str">
        <f>_xlfn.XLOOKUP(D18,[2]Sheet2!D18:D266,[2]Sheet2!C18:C266)</f>
        <v>BWA</v>
      </c>
      <c r="D18" s="1">
        <v>72</v>
      </c>
      <c r="E18">
        <v>0.25987398385009752</v>
      </c>
      <c r="F18">
        <v>0.3089918620856647</v>
      </c>
      <c r="G18">
        <v>0.35266826114348709</v>
      </c>
      <c r="H18">
        <v>0.39030587679379769</v>
      </c>
      <c r="I18">
        <v>0.42872288692488097</v>
      </c>
      <c r="J18">
        <v>0.43711152987856688</v>
      </c>
      <c r="K18">
        <v>0.43326973146740672</v>
      </c>
      <c r="L18">
        <v>0.44027440666710199</v>
      </c>
      <c r="M18">
        <v>0.48426321938320538</v>
      </c>
      <c r="N18">
        <v>0.5279556316664018</v>
      </c>
      <c r="O18">
        <v>0.5646688366744772</v>
      </c>
      <c r="P18">
        <v>0.58356213780671473</v>
      </c>
      <c r="Q18">
        <v>0.59906639356104419</v>
      </c>
      <c r="R18">
        <v>0.61300584089052956</v>
      </c>
      <c r="S18">
        <v>0.62580057308317916</v>
      </c>
      <c r="T18">
        <v>0.63636086294956673</v>
      </c>
      <c r="U18">
        <v>0.64584363654498522</v>
      </c>
      <c r="V18">
        <v>0.65430584465310448</v>
      </c>
      <c r="W18">
        <v>0.66256976214344343</v>
      </c>
      <c r="X18">
        <v>0.6699771759156411</v>
      </c>
      <c r="Y18">
        <v>0.67712687312282727</v>
      </c>
      <c r="Z18">
        <v>0.68422641889646574</v>
      </c>
      <c r="AA18">
        <v>0.69053908559143695</v>
      </c>
      <c r="AB18">
        <v>0.69657244114630623</v>
      </c>
      <c r="AC18">
        <v>0.70209789632209596</v>
      </c>
      <c r="AD18">
        <v>0.70796970331698439</v>
      </c>
      <c r="AE18">
        <v>0.71329654661255626</v>
      </c>
    </row>
    <row r="19" spans="1:31" x14ac:dyDescent="0.25">
      <c r="A19" s="1" t="s">
        <v>21</v>
      </c>
      <c r="B19" s="1" t="str">
        <f>_xlfn.XLOOKUP(C19,[1]Sheet1!$A$2:$A$173,[1]Sheet1!$D$2:$D$173)</f>
        <v>Brazil</v>
      </c>
      <c r="C19" s="1" t="str">
        <f>_xlfn.XLOOKUP(D19,[2]Sheet2!D19:D267,[2]Sheet2!C19:C267)</f>
        <v>BRA</v>
      </c>
      <c r="D19" s="1">
        <v>76</v>
      </c>
      <c r="E19">
        <v>0.33965210561345338</v>
      </c>
      <c r="F19">
        <v>0.37197078185046289</v>
      </c>
      <c r="G19">
        <v>0.39867349449317629</v>
      </c>
      <c r="H19">
        <v>0.41361326225291201</v>
      </c>
      <c r="I19">
        <v>0.43237725394371829</v>
      </c>
      <c r="J19">
        <v>0.45209785783444678</v>
      </c>
      <c r="K19">
        <v>0.4718115320289763</v>
      </c>
      <c r="L19">
        <v>0.49188206231196852</v>
      </c>
      <c r="M19">
        <v>0.51166146808640667</v>
      </c>
      <c r="N19">
        <v>0.52359054846069286</v>
      </c>
      <c r="O19">
        <v>0.54327731208862595</v>
      </c>
      <c r="P19">
        <v>0.56082269955149922</v>
      </c>
      <c r="Q19">
        <v>0.57594878926375093</v>
      </c>
      <c r="R19">
        <v>0.5904061744209198</v>
      </c>
      <c r="S19">
        <v>0.60485918506490233</v>
      </c>
      <c r="T19">
        <v>0.61943505820586287</v>
      </c>
      <c r="U19">
        <v>0.63428631869730223</v>
      </c>
      <c r="V19">
        <v>0.64886520231635247</v>
      </c>
      <c r="W19">
        <v>0.66241793467629184</v>
      </c>
      <c r="X19">
        <v>0.67488972907913269</v>
      </c>
      <c r="Y19">
        <v>0.68671499527458568</v>
      </c>
      <c r="Z19">
        <v>0.69795495234757854</v>
      </c>
      <c r="AA19">
        <v>0.70874384653574063</v>
      </c>
      <c r="AB19">
        <v>0.71931268555818362</v>
      </c>
      <c r="AC19">
        <v>0.7294150905860799</v>
      </c>
      <c r="AD19">
        <v>0.73923740158190532</v>
      </c>
      <c r="AE19">
        <v>0.7486117587860347</v>
      </c>
    </row>
    <row r="20" spans="1:31" x14ac:dyDescent="0.25">
      <c r="A20" s="1" t="s">
        <v>22</v>
      </c>
      <c r="B20" s="1" t="str">
        <f>_xlfn.XLOOKUP(C20,[1]Sheet1!$A$2:$A$173,[1]Sheet1!$D$2:$D$173)</f>
        <v>Central Europe</v>
      </c>
      <c r="C20" s="1" t="str">
        <f>_xlfn.XLOOKUP(D20,[2]Sheet2!D20:D268,[2]Sheet2!C20:C268)</f>
        <v>BGR</v>
      </c>
      <c r="D20" s="1">
        <v>100</v>
      </c>
      <c r="E20">
        <v>0.46762343076100987</v>
      </c>
      <c r="F20">
        <v>0.49365471558929619</v>
      </c>
      <c r="G20">
        <v>0.51464990974840541</v>
      </c>
      <c r="H20">
        <v>0.53028577184003389</v>
      </c>
      <c r="I20">
        <v>0.54101606805372759</v>
      </c>
      <c r="J20">
        <v>0.5453566557374917</v>
      </c>
      <c r="K20">
        <v>0.54975757405541337</v>
      </c>
      <c r="L20">
        <v>0.57401228569694862</v>
      </c>
      <c r="M20">
        <v>0.58969755083562703</v>
      </c>
      <c r="N20">
        <v>0.61865998833347657</v>
      </c>
      <c r="O20">
        <v>0.6334664062739167</v>
      </c>
      <c r="P20">
        <v>0.6474113027672318</v>
      </c>
      <c r="Q20">
        <v>0.65872476198406327</v>
      </c>
      <c r="R20">
        <v>0.66941279527157915</v>
      </c>
      <c r="S20">
        <v>0.67934135757304448</v>
      </c>
      <c r="T20">
        <v>0.68950552959786438</v>
      </c>
      <c r="U20">
        <v>0.69917867217714391</v>
      </c>
      <c r="V20">
        <v>0.70860264669875972</v>
      </c>
      <c r="W20">
        <v>0.71775218067700242</v>
      </c>
      <c r="X20">
        <v>0.72756528624465622</v>
      </c>
      <c r="Y20">
        <v>0.73685565627654392</v>
      </c>
      <c r="Z20">
        <v>0.74610527341644028</v>
      </c>
      <c r="AA20">
        <v>0.75508118711727046</v>
      </c>
      <c r="AB20">
        <v>0.76367071860298774</v>
      </c>
      <c r="AC20">
        <v>0.77162838881391105</v>
      </c>
      <c r="AD20">
        <v>0.77951311598752426</v>
      </c>
      <c r="AE20">
        <v>0.78782159839690291</v>
      </c>
    </row>
    <row r="21" spans="1:31" x14ac:dyDescent="0.25">
      <c r="A21" s="1" t="s">
        <v>23</v>
      </c>
      <c r="B21" s="1" t="str">
        <f>_xlfn.XLOOKUP(C21,[1]Sheet1!$A$2:$A$173,[1]Sheet1!$D$2:$D$173)</f>
        <v>Western Africa</v>
      </c>
      <c r="C21" s="1" t="str">
        <f>_xlfn.XLOOKUP(D21,[2]Sheet2!D21:D269,[2]Sheet2!C21:C269)</f>
        <v>BFA</v>
      </c>
      <c r="D21" s="1">
        <v>854</v>
      </c>
      <c r="E21">
        <v>9.1623066021190608E-2</v>
      </c>
      <c r="F21">
        <v>0.1084022586074449</v>
      </c>
      <c r="G21">
        <v>0.12511764280679699</v>
      </c>
      <c r="H21">
        <v>0.1456870148736269</v>
      </c>
      <c r="I21">
        <v>0.15953684381615679</v>
      </c>
      <c r="J21">
        <v>0.17153254774022439</v>
      </c>
      <c r="K21">
        <v>0.18768026926074879</v>
      </c>
      <c r="L21">
        <v>0.19966262529690609</v>
      </c>
      <c r="M21">
        <v>0.23313422315708759</v>
      </c>
      <c r="N21">
        <v>0.25966917128900169</v>
      </c>
      <c r="O21">
        <v>0.28448904148902149</v>
      </c>
      <c r="P21">
        <v>0.30613680916042729</v>
      </c>
      <c r="Q21">
        <v>0.32590765966598678</v>
      </c>
      <c r="R21">
        <v>0.34559646357718621</v>
      </c>
      <c r="S21">
        <v>0.36527364224417458</v>
      </c>
      <c r="T21">
        <v>0.38532832649385029</v>
      </c>
      <c r="U21">
        <v>0.40564661445789468</v>
      </c>
      <c r="V21">
        <v>0.42624537141544289</v>
      </c>
      <c r="W21">
        <v>0.44721772407965399</v>
      </c>
      <c r="X21">
        <v>0.46808755291202458</v>
      </c>
      <c r="Y21">
        <v>0.48860100844252091</v>
      </c>
      <c r="Z21">
        <v>0.50845587089047051</v>
      </c>
      <c r="AA21">
        <v>0.52809798106349215</v>
      </c>
      <c r="AB21">
        <v>0.54699375591976762</v>
      </c>
      <c r="AC21">
        <v>0.56508382006427005</v>
      </c>
      <c r="AD21">
        <v>0.58296332975566112</v>
      </c>
      <c r="AE21">
        <v>0.60042733875277055</v>
      </c>
    </row>
    <row r="22" spans="1:31" x14ac:dyDescent="0.25">
      <c r="A22" s="1" t="s">
        <v>24</v>
      </c>
      <c r="B22" s="1" t="str">
        <f>_xlfn.XLOOKUP(C22,[1]Sheet1!$A$2:$A$173,[1]Sheet1!$D$2:$D$173)</f>
        <v>Eastern Africa</v>
      </c>
      <c r="C22" s="1" t="str">
        <f>_xlfn.XLOOKUP(D22,[2]Sheet2!D22:D270,[2]Sheet2!C22:C270)</f>
        <v>BDI</v>
      </c>
      <c r="D22" s="1">
        <v>108</v>
      </c>
      <c r="E22">
        <v>0.12970898744058951</v>
      </c>
      <c r="F22">
        <v>0.13804857055147279</v>
      </c>
      <c r="G22">
        <v>0.15166509033078279</v>
      </c>
      <c r="H22">
        <v>0.1643246256065917</v>
      </c>
      <c r="I22">
        <v>0.17966775807589969</v>
      </c>
      <c r="J22">
        <v>0.17889098455780481</v>
      </c>
      <c r="K22">
        <v>0.20294609751929979</v>
      </c>
      <c r="L22">
        <v>0.21257078240948671</v>
      </c>
      <c r="M22">
        <v>0.22587951151356411</v>
      </c>
      <c r="N22">
        <v>0.25348522819763891</v>
      </c>
      <c r="O22">
        <v>0.28236216953440862</v>
      </c>
      <c r="P22">
        <v>0.30799245658105179</v>
      </c>
      <c r="Q22">
        <v>0.3293555202348194</v>
      </c>
      <c r="R22">
        <v>0.34817551069330738</v>
      </c>
      <c r="S22">
        <v>0.36536571601301387</v>
      </c>
      <c r="T22">
        <v>0.38152244352040737</v>
      </c>
      <c r="U22">
        <v>0.39801182353977982</v>
      </c>
      <c r="V22">
        <v>0.41547292459925439</v>
      </c>
      <c r="W22">
        <v>0.43405269698870308</v>
      </c>
      <c r="X22">
        <v>0.45301506559351989</v>
      </c>
      <c r="Y22">
        <v>0.47215874318097478</v>
      </c>
      <c r="Z22">
        <v>0.49086290197347759</v>
      </c>
      <c r="AA22">
        <v>0.50935779505849677</v>
      </c>
      <c r="AB22">
        <v>0.5276851927220676</v>
      </c>
      <c r="AC22">
        <v>0.54595138205455362</v>
      </c>
      <c r="AD22">
        <v>0.56414984241001997</v>
      </c>
      <c r="AE22">
        <v>0.58183498015417123</v>
      </c>
    </row>
    <row r="23" spans="1:31" x14ac:dyDescent="0.25">
      <c r="A23" s="1" t="s">
        <v>25</v>
      </c>
      <c r="B23" s="1" t="str">
        <f>_xlfn.XLOOKUP(C23,[1]Sheet1!$A$2:$A$173,[1]Sheet1!$D$2:$D$173)</f>
        <v>Western Africa</v>
      </c>
      <c r="C23" s="1" t="str">
        <f>_xlfn.XLOOKUP(D23,[2]Sheet2!D23:D271,[2]Sheet2!C23:C271)</f>
        <v>CMR</v>
      </c>
      <c r="D23" s="1">
        <v>120</v>
      </c>
      <c r="E23">
        <v>0.23117420710977021</v>
      </c>
      <c r="F23">
        <v>0.26152803196135049</v>
      </c>
      <c r="G23">
        <v>0.28990672350154001</v>
      </c>
      <c r="H23">
        <v>0.31755380832900437</v>
      </c>
      <c r="I23">
        <v>0.32319108055605211</v>
      </c>
      <c r="J23">
        <v>0.32114397651969001</v>
      </c>
      <c r="K23">
        <v>0.32781951879923549</v>
      </c>
      <c r="L23">
        <v>0.34871330153063579</v>
      </c>
      <c r="M23">
        <v>0.37378449240216721</v>
      </c>
      <c r="N23">
        <v>0.39632967041963568</v>
      </c>
      <c r="O23">
        <v>0.42210294607203452</v>
      </c>
      <c r="P23">
        <v>0.4439868965388904</v>
      </c>
      <c r="Q23">
        <v>0.46302038537340068</v>
      </c>
      <c r="R23">
        <v>0.4816742657183497</v>
      </c>
      <c r="S23">
        <v>0.49918875602382129</v>
      </c>
      <c r="T23">
        <v>0.51639266996473465</v>
      </c>
      <c r="U23">
        <v>0.53279806230084592</v>
      </c>
      <c r="V23">
        <v>0.54862122173741878</v>
      </c>
      <c r="W23">
        <v>0.56406239108796363</v>
      </c>
      <c r="X23">
        <v>0.57923300821551882</v>
      </c>
      <c r="Y23">
        <v>0.59389960034287537</v>
      </c>
      <c r="Z23">
        <v>0.60794657396450191</v>
      </c>
      <c r="AA23">
        <v>0.6216794711456195</v>
      </c>
      <c r="AB23">
        <v>0.63571929695079776</v>
      </c>
      <c r="AC23">
        <v>0.64986564545209013</v>
      </c>
      <c r="AD23">
        <v>0.6635350586816926</v>
      </c>
      <c r="AE23">
        <v>0.67643238989003585</v>
      </c>
    </row>
    <row r="24" spans="1:31" x14ac:dyDescent="0.25">
      <c r="A24" s="1" t="s">
        <v>26</v>
      </c>
      <c r="B24" s="1" t="str">
        <f>_xlfn.XLOOKUP(C24,[1]Sheet1!$A$2:$A$173,[1]Sheet1!$D$2:$D$173)</f>
        <v>Canada</v>
      </c>
      <c r="C24" s="1" t="str">
        <f>_xlfn.XLOOKUP(D24,[2]Sheet2!D24:D272,[2]Sheet2!C24:C272)</f>
        <v>CAN</v>
      </c>
      <c r="D24" s="1">
        <v>124</v>
      </c>
      <c r="E24">
        <v>0.59777707742062414</v>
      </c>
      <c r="F24">
        <v>0.61709263270964476</v>
      </c>
      <c r="G24">
        <v>0.63570631015485446</v>
      </c>
      <c r="H24">
        <v>0.65293715893362936</v>
      </c>
      <c r="I24">
        <v>0.66694109167720728</v>
      </c>
      <c r="J24">
        <v>0.67762472611829538</v>
      </c>
      <c r="K24">
        <v>0.69261524685068088</v>
      </c>
      <c r="L24">
        <v>0.70535625944788927</v>
      </c>
      <c r="M24">
        <v>0.71275096618988876</v>
      </c>
      <c r="N24">
        <v>0.71758140780260404</v>
      </c>
      <c r="O24">
        <v>0.72677160814730224</v>
      </c>
      <c r="P24">
        <v>0.73652704554956694</v>
      </c>
      <c r="Q24">
        <v>0.74481059019166806</v>
      </c>
      <c r="R24">
        <v>0.75263846157825798</v>
      </c>
      <c r="S24">
        <v>0.75999374145057264</v>
      </c>
      <c r="T24">
        <v>0.76713892848735232</v>
      </c>
      <c r="U24">
        <v>0.77397851715877053</v>
      </c>
      <c r="V24">
        <v>0.78030343192346807</v>
      </c>
      <c r="W24">
        <v>0.78659149251184846</v>
      </c>
      <c r="X24">
        <v>0.79310625564689452</v>
      </c>
      <c r="Y24">
        <v>0.79960697003576031</v>
      </c>
      <c r="Z24">
        <v>0.8060141577997173</v>
      </c>
      <c r="AA24">
        <v>0.8127531838261326</v>
      </c>
      <c r="AB24">
        <v>0.81925469930484662</v>
      </c>
      <c r="AC24">
        <v>0.82576076975296853</v>
      </c>
      <c r="AD24">
        <v>0.83229159146213183</v>
      </c>
      <c r="AE24">
        <v>0.83880181455200764</v>
      </c>
    </row>
    <row r="25" spans="1:31" x14ac:dyDescent="0.25">
      <c r="A25" s="1" t="s">
        <v>27</v>
      </c>
      <c r="B25" s="1" t="str">
        <f>_xlfn.XLOOKUP(C25,[1]Sheet1!$A$2:$A$173,[1]Sheet1!$D$2:$D$173)</f>
        <v>Western Africa</v>
      </c>
      <c r="C25" s="1" t="str">
        <f>_xlfn.XLOOKUP(D25,[2]Sheet2!D25:D273,[2]Sheet2!C25:C273)</f>
        <v>CPV</v>
      </c>
      <c r="D25" s="1">
        <v>132</v>
      </c>
      <c r="E25">
        <v>0.23626600067801909</v>
      </c>
      <c r="F25">
        <v>0.25848336079726852</v>
      </c>
      <c r="G25">
        <v>0.28088561171908399</v>
      </c>
      <c r="H25">
        <v>0.3123425342091547</v>
      </c>
      <c r="I25">
        <v>0.33093382400140681</v>
      </c>
      <c r="J25">
        <v>0.35675061620304571</v>
      </c>
      <c r="K25">
        <v>0.39261754675997179</v>
      </c>
      <c r="L25">
        <v>0.42385533434047501</v>
      </c>
      <c r="M25">
        <v>0.44758789054113962</v>
      </c>
      <c r="N25">
        <v>0.46956418254918542</v>
      </c>
      <c r="O25">
        <v>0.48736255915301702</v>
      </c>
      <c r="P25">
        <v>0.50063218146559429</v>
      </c>
      <c r="Q25">
        <v>0.51289823309363902</v>
      </c>
      <c r="R25">
        <v>0.52501872192276711</v>
      </c>
      <c r="S25">
        <v>0.53842537261211521</v>
      </c>
      <c r="T25">
        <v>0.55230193893653368</v>
      </c>
      <c r="U25">
        <v>0.56669369826272009</v>
      </c>
      <c r="V25">
        <v>0.58090980763996358</v>
      </c>
      <c r="W25">
        <v>0.59503725284499631</v>
      </c>
      <c r="X25">
        <v>0.60869780051178257</v>
      </c>
      <c r="Y25">
        <v>0.62267059431424177</v>
      </c>
      <c r="Z25">
        <v>0.63658778604398181</v>
      </c>
      <c r="AA25">
        <v>0.64989097683762664</v>
      </c>
      <c r="AB25">
        <v>0.6634263014071804</v>
      </c>
      <c r="AC25">
        <v>0.67643430353629885</v>
      </c>
      <c r="AD25">
        <v>0.68955923766387961</v>
      </c>
      <c r="AE25">
        <v>0.703041706780413</v>
      </c>
    </row>
    <row r="26" spans="1:31" x14ac:dyDescent="0.25">
      <c r="A26" s="1" t="s">
        <v>28</v>
      </c>
      <c r="B26" s="1" t="str">
        <f>_xlfn.XLOOKUP(C26,[1]Sheet1!$A$2:$A$173,[1]Sheet1!$D$2:$D$173)</f>
        <v>Western Africa</v>
      </c>
      <c r="C26" s="1" t="str">
        <f>_xlfn.XLOOKUP(D26,[2]Sheet2!D26:D274,[2]Sheet2!C26:C274)</f>
        <v>CAF</v>
      </c>
      <c r="D26" s="1">
        <v>140</v>
      </c>
      <c r="E26">
        <v>0.14374251124287951</v>
      </c>
      <c r="F26">
        <v>0.16962768572215239</v>
      </c>
      <c r="G26">
        <v>0.19465038011349539</v>
      </c>
      <c r="H26">
        <v>0.21321505513004141</v>
      </c>
      <c r="I26">
        <v>0.22167655751208501</v>
      </c>
      <c r="J26">
        <v>0.2203468991552745</v>
      </c>
      <c r="K26">
        <v>0.23107821465446099</v>
      </c>
      <c r="L26">
        <v>0.23714229987917021</v>
      </c>
      <c r="M26">
        <v>0.26764656584288021</v>
      </c>
      <c r="N26">
        <v>0.29805554083688462</v>
      </c>
      <c r="O26">
        <v>0.33266372629683089</v>
      </c>
      <c r="P26">
        <v>0.3565492821599911</v>
      </c>
      <c r="Q26">
        <v>0.37633047004365888</v>
      </c>
      <c r="R26">
        <v>0.39519072764902807</v>
      </c>
      <c r="S26">
        <v>0.41370678295273988</v>
      </c>
      <c r="T26">
        <v>0.43153625935498358</v>
      </c>
      <c r="U26">
        <v>0.44962455501810822</v>
      </c>
      <c r="V26">
        <v>0.46690621076521521</v>
      </c>
      <c r="W26">
        <v>0.48432801567566092</v>
      </c>
      <c r="X26">
        <v>0.50128772507150943</v>
      </c>
      <c r="Y26">
        <v>0.51851801942112452</v>
      </c>
      <c r="Z26">
        <v>0.53527601424626725</v>
      </c>
      <c r="AA26">
        <v>0.55199383956318582</v>
      </c>
      <c r="AB26">
        <v>0.56860528018560386</v>
      </c>
      <c r="AC26">
        <v>0.58487068963123678</v>
      </c>
      <c r="AD26">
        <v>0.60055229579033176</v>
      </c>
      <c r="AE26">
        <v>0.61597673955781418</v>
      </c>
    </row>
    <row r="27" spans="1:31" x14ac:dyDescent="0.25">
      <c r="A27" s="1" t="s">
        <v>29</v>
      </c>
      <c r="B27" s="1" t="str">
        <f>_xlfn.XLOOKUP(C27,[1]Sheet1!$A$2:$A$173,[1]Sheet1!$D$2:$D$173)</f>
        <v>Western Africa</v>
      </c>
      <c r="C27" s="1" t="str">
        <f>_xlfn.XLOOKUP(D27,[2]Sheet2!D27:D275,[2]Sheet2!C27:C275)</f>
        <v>TCD</v>
      </c>
      <c r="D27" s="1">
        <v>148</v>
      </c>
      <c r="E27">
        <v>0.10812580269006079</v>
      </c>
      <c r="F27">
        <v>0.12736551247699629</v>
      </c>
      <c r="G27">
        <v>0.1327855709703307</v>
      </c>
      <c r="H27">
        <v>0.1553537036775102</v>
      </c>
      <c r="I27">
        <v>0.1680320730616717</v>
      </c>
      <c r="J27">
        <v>0.18380796076545891</v>
      </c>
      <c r="K27">
        <v>0.19519196577772549</v>
      </c>
      <c r="L27">
        <v>0.2266984416260224</v>
      </c>
      <c r="M27">
        <v>0.24557602987213639</v>
      </c>
      <c r="N27">
        <v>0.27319527886411921</v>
      </c>
      <c r="O27">
        <v>0.29932149081919718</v>
      </c>
      <c r="P27">
        <v>0.32240527333407032</v>
      </c>
      <c r="Q27">
        <v>0.34308682586882322</v>
      </c>
      <c r="R27">
        <v>0.36391206253366137</v>
      </c>
      <c r="S27">
        <v>0.38453533987145611</v>
      </c>
      <c r="T27">
        <v>0.40528718723564261</v>
      </c>
      <c r="U27">
        <v>0.42562902931249003</v>
      </c>
      <c r="V27">
        <v>0.44557457990412802</v>
      </c>
      <c r="W27">
        <v>0.46538465531879081</v>
      </c>
      <c r="X27">
        <v>0.48497167108883682</v>
      </c>
      <c r="Y27">
        <v>0.50384619494525296</v>
      </c>
      <c r="Z27">
        <v>0.52269869961724758</v>
      </c>
      <c r="AA27">
        <v>0.54115849091006063</v>
      </c>
      <c r="AB27">
        <v>0.55899031289280798</v>
      </c>
      <c r="AC27">
        <v>0.57657517003620806</v>
      </c>
      <c r="AD27">
        <v>0.59368395962235132</v>
      </c>
      <c r="AE27">
        <v>0.61026920941960949</v>
      </c>
    </row>
    <row r="28" spans="1:31" x14ac:dyDescent="0.25">
      <c r="A28" s="1" t="s">
        <v>30</v>
      </c>
      <c r="B28" s="1" t="str">
        <f>_xlfn.XLOOKUP(C28,[1]Sheet1!$A$2:$A$173,[1]Sheet1!$D$2:$D$173)</f>
        <v>Rest of South America</v>
      </c>
      <c r="C28" s="1" t="str">
        <f>_xlfn.XLOOKUP(D28,[2]Sheet2!D28:D276,[2]Sheet2!C28:C276)</f>
        <v>CHL</v>
      </c>
      <c r="D28" s="1">
        <v>152</v>
      </c>
      <c r="E28">
        <v>0.44412482248215313</v>
      </c>
      <c r="F28">
        <v>0.45933789115309248</v>
      </c>
      <c r="G28">
        <v>0.49484834728508398</v>
      </c>
      <c r="H28">
        <v>0.50911260393939162</v>
      </c>
      <c r="I28">
        <v>0.5360216205150673</v>
      </c>
      <c r="J28">
        <v>0.56570237901619802</v>
      </c>
      <c r="K28">
        <v>0.58454645549266426</v>
      </c>
      <c r="L28">
        <v>0.60030071126147677</v>
      </c>
      <c r="M28">
        <v>0.61167618315557171</v>
      </c>
      <c r="N28">
        <v>0.62426774346932046</v>
      </c>
      <c r="O28">
        <v>0.63714571282037369</v>
      </c>
      <c r="P28">
        <v>0.65039609645043717</v>
      </c>
      <c r="Q28">
        <v>0.66277079967265573</v>
      </c>
      <c r="R28">
        <v>0.67499119198325475</v>
      </c>
      <c r="S28">
        <v>0.68680864348924209</v>
      </c>
      <c r="T28">
        <v>0.69805272109577721</v>
      </c>
      <c r="U28">
        <v>0.70847717085740769</v>
      </c>
      <c r="V28">
        <v>0.71860812028744514</v>
      </c>
      <c r="W28">
        <v>0.7277893621712288</v>
      </c>
      <c r="X28">
        <v>0.73686507552829705</v>
      </c>
      <c r="Y28">
        <v>0.74553167812702659</v>
      </c>
      <c r="Z28">
        <v>0.75447177555086464</v>
      </c>
      <c r="AA28">
        <v>0.76318863602193932</v>
      </c>
      <c r="AB28">
        <v>0.77197874122215726</v>
      </c>
      <c r="AC28">
        <v>0.78098594873152627</v>
      </c>
      <c r="AD28">
        <v>0.7899463917203311</v>
      </c>
      <c r="AE28">
        <v>0.79846312044821277</v>
      </c>
    </row>
    <row r="29" spans="1:31" x14ac:dyDescent="0.25">
      <c r="A29" s="1" t="s">
        <v>31</v>
      </c>
      <c r="B29" s="1" t="str">
        <f>_xlfn.XLOOKUP(C29,[1]Sheet1!$A$2:$A$173,[1]Sheet1!$D$2:$D$173)</f>
        <v>China region</v>
      </c>
      <c r="C29" s="1" t="str">
        <f>_xlfn.XLOOKUP(D29,[2]Sheet2!D29:D277,[2]Sheet2!C29:C277)</f>
        <v>CHN</v>
      </c>
      <c r="D29" s="1">
        <v>156</v>
      </c>
      <c r="E29">
        <v>0.2456855765876364</v>
      </c>
      <c r="F29">
        <v>0.28269505575121151</v>
      </c>
      <c r="G29">
        <v>0.32366109451377117</v>
      </c>
      <c r="H29">
        <v>0.36681541295496078</v>
      </c>
      <c r="I29">
        <v>0.39417719609334229</v>
      </c>
      <c r="J29">
        <v>0.43100976366028942</v>
      </c>
      <c r="K29">
        <v>0.45738500892597228</v>
      </c>
      <c r="L29">
        <v>0.49543887545072313</v>
      </c>
      <c r="M29">
        <v>0.52690608351080281</v>
      </c>
      <c r="N29">
        <v>0.55910057838973337</v>
      </c>
      <c r="O29">
        <v>0.58409439038171407</v>
      </c>
      <c r="P29">
        <v>0.60496927629476682</v>
      </c>
      <c r="Q29">
        <v>0.62308919413904551</v>
      </c>
      <c r="R29">
        <v>0.63932391811907296</v>
      </c>
      <c r="S29">
        <v>0.65395805149193487</v>
      </c>
      <c r="T29">
        <v>0.66754014300279685</v>
      </c>
      <c r="U29">
        <v>0.6806109036783472</v>
      </c>
      <c r="V29">
        <v>0.6929458934759104</v>
      </c>
      <c r="W29">
        <v>0.70496470667353306</v>
      </c>
      <c r="X29">
        <v>0.71692240888880021</v>
      </c>
      <c r="Y29">
        <v>0.72812551217408161</v>
      </c>
      <c r="Z29">
        <v>0.73938383117396034</v>
      </c>
      <c r="AA29">
        <v>0.74978507753640733</v>
      </c>
      <c r="AB29">
        <v>0.75948871272490337</v>
      </c>
      <c r="AC29">
        <v>0.76832765115940282</v>
      </c>
      <c r="AD29">
        <v>0.77667663400235187</v>
      </c>
      <c r="AE29">
        <v>0.78418419185131061</v>
      </c>
    </row>
    <row r="30" spans="1:31" x14ac:dyDescent="0.25">
      <c r="A30" s="1" t="s">
        <v>32</v>
      </c>
      <c r="B30" s="1" t="str">
        <f>_xlfn.XLOOKUP(C30,[1]Sheet1!$A$2:$A$173,[1]Sheet1!$D$2:$D$173)</f>
        <v>Rest of South America</v>
      </c>
      <c r="C30" s="1" t="str">
        <f>_xlfn.XLOOKUP(D30,[2]Sheet2!D30:D278,[2]Sheet2!C30:C278)</f>
        <v>COL</v>
      </c>
      <c r="D30" s="1">
        <v>170</v>
      </c>
      <c r="E30">
        <v>0.34888479062983008</v>
      </c>
      <c r="F30">
        <v>0.37356011498872638</v>
      </c>
      <c r="G30">
        <v>0.40153747675810192</v>
      </c>
      <c r="H30">
        <v>0.42345967296566778</v>
      </c>
      <c r="I30">
        <v>0.44299581614975181</v>
      </c>
      <c r="J30">
        <v>0.46073156326826598</v>
      </c>
      <c r="K30">
        <v>0.47983887698035421</v>
      </c>
      <c r="L30">
        <v>0.4994339231819509</v>
      </c>
      <c r="M30">
        <v>0.51725672629328279</v>
      </c>
      <c r="N30">
        <v>0.53675324572887051</v>
      </c>
      <c r="O30">
        <v>0.55235648975100005</v>
      </c>
      <c r="P30">
        <v>0.56788074751687767</v>
      </c>
      <c r="Q30">
        <v>0.58228412604034896</v>
      </c>
      <c r="R30">
        <v>0.59603768008645686</v>
      </c>
      <c r="S30">
        <v>0.60965668306024046</v>
      </c>
      <c r="T30">
        <v>0.62398640092630975</v>
      </c>
      <c r="U30">
        <v>0.63819297879269987</v>
      </c>
      <c r="V30">
        <v>0.65214672826631448</v>
      </c>
      <c r="W30">
        <v>0.66462074885641775</v>
      </c>
      <c r="X30">
        <v>0.67659986255692195</v>
      </c>
      <c r="Y30">
        <v>0.68739787962621757</v>
      </c>
      <c r="Z30">
        <v>0.69759197161119713</v>
      </c>
      <c r="AA30">
        <v>0.70711100576721009</v>
      </c>
      <c r="AB30">
        <v>0.71619124716486182</v>
      </c>
      <c r="AC30">
        <v>0.7250831367108963</v>
      </c>
      <c r="AD30">
        <v>0.7339250415642854</v>
      </c>
      <c r="AE30">
        <v>0.74256725386973377</v>
      </c>
    </row>
    <row r="31" spans="1:31" x14ac:dyDescent="0.25">
      <c r="A31" s="1" t="s">
        <v>33</v>
      </c>
      <c r="B31" s="1" t="e">
        <f>_xlfn.XLOOKUP(C31,[1]Sheet1!$A$2:$A$173,[1]Sheet1!$D$2:$D$173)</f>
        <v>#N/A</v>
      </c>
      <c r="C31" s="1" t="str">
        <f>_xlfn.XLOOKUP(D31,[2]Sheet2!D31:D279,[2]Sheet2!C31:C279)</f>
        <v>COM</v>
      </c>
      <c r="D31" s="1">
        <v>174</v>
      </c>
      <c r="E31">
        <v>0.15897009719310681</v>
      </c>
      <c r="F31">
        <v>0.1925709597231525</v>
      </c>
      <c r="G31">
        <v>0.2247446187707505</v>
      </c>
      <c r="H31">
        <v>0.25897613659108037</v>
      </c>
      <c r="I31">
        <v>0.2825928151377472</v>
      </c>
      <c r="J31">
        <v>0.303374517562712</v>
      </c>
      <c r="K31">
        <v>0.31730548379570178</v>
      </c>
      <c r="L31">
        <v>0.33458349306650692</v>
      </c>
      <c r="M31">
        <v>0.35105287864408052</v>
      </c>
      <c r="N31">
        <v>0.37621593170715778</v>
      </c>
      <c r="O31">
        <v>0.40082631824476639</v>
      </c>
      <c r="P31">
        <v>0.42520703496228651</v>
      </c>
      <c r="Q31">
        <v>0.44594102805847458</v>
      </c>
      <c r="R31">
        <v>0.46540192102176797</v>
      </c>
      <c r="S31">
        <v>0.48499956681915218</v>
      </c>
      <c r="T31">
        <v>0.5050167115753984</v>
      </c>
      <c r="U31">
        <v>0.52484457575507881</v>
      </c>
      <c r="V31">
        <v>0.54418620659689587</v>
      </c>
      <c r="W31">
        <v>0.56232240410030776</v>
      </c>
      <c r="X31">
        <v>0.57944221917745076</v>
      </c>
      <c r="Y31">
        <v>0.59528810583080016</v>
      </c>
      <c r="Z31">
        <v>0.61067404391274827</v>
      </c>
      <c r="AA31">
        <v>0.62516556056143979</v>
      </c>
      <c r="AB31">
        <v>0.64014059609479435</v>
      </c>
      <c r="AC31">
        <v>0.65473174902987608</v>
      </c>
      <c r="AD31">
        <v>0.66895599173878972</v>
      </c>
      <c r="AE31">
        <v>0.68207359545324142</v>
      </c>
    </row>
    <row r="32" spans="1:31" x14ac:dyDescent="0.25">
      <c r="A32" s="1" t="s">
        <v>34</v>
      </c>
      <c r="B32" s="1" t="str">
        <f>_xlfn.XLOOKUP(C32,[1]Sheet1!$A$2:$A$173,[1]Sheet1!$D$2:$D$173)</f>
        <v>Western Africa</v>
      </c>
      <c r="C32" s="1" t="str">
        <f>_xlfn.XLOOKUP(D32,[2]Sheet2!D32:D280,[2]Sheet2!C32:C280)</f>
        <v>COG</v>
      </c>
      <c r="D32" s="1">
        <v>178</v>
      </c>
      <c r="E32">
        <v>0.26051993657279537</v>
      </c>
      <c r="F32">
        <v>0.29607031221408819</v>
      </c>
      <c r="G32">
        <v>0.32895146149356441</v>
      </c>
      <c r="H32">
        <v>0.36554962599110602</v>
      </c>
      <c r="I32">
        <v>0.38049480073979108</v>
      </c>
      <c r="J32">
        <v>0.38048416128850637</v>
      </c>
      <c r="K32">
        <v>0.37914476552580167</v>
      </c>
      <c r="L32">
        <v>0.38297278937146662</v>
      </c>
      <c r="M32">
        <v>0.41009404559009721</v>
      </c>
      <c r="N32">
        <v>0.44676290031834631</v>
      </c>
      <c r="O32">
        <v>0.48094016999951128</v>
      </c>
      <c r="P32">
        <v>0.50882159015737294</v>
      </c>
      <c r="Q32">
        <v>0.52865538209629936</v>
      </c>
      <c r="R32">
        <v>0.54531420543864939</v>
      </c>
      <c r="S32">
        <v>0.55923426433882928</v>
      </c>
      <c r="T32">
        <v>0.5722726672871431</v>
      </c>
      <c r="U32">
        <v>0.58456078291444591</v>
      </c>
      <c r="V32">
        <v>0.59704998969161049</v>
      </c>
      <c r="W32">
        <v>0.60938848110979116</v>
      </c>
      <c r="X32">
        <v>0.62132056378883072</v>
      </c>
      <c r="Y32">
        <v>0.63258785981754895</v>
      </c>
      <c r="Z32">
        <v>0.64388353065951831</v>
      </c>
      <c r="AA32">
        <v>0.65455051518335938</v>
      </c>
      <c r="AB32">
        <v>0.66584533358480169</v>
      </c>
      <c r="AC32">
        <v>0.67724645018683483</v>
      </c>
      <c r="AD32">
        <v>0.68851316152202435</v>
      </c>
      <c r="AE32">
        <v>0.69906616844455516</v>
      </c>
    </row>
    <row r="33" spans="1:31" x14ac:dyDescent="0.25">
      <c r="A33" s="1" t="s">
        <v>35</v>
      </c>
      <c r="B33" s="1" t="str">
        <f>_xlfn.XLOOKUP(C33,[1]Sheet1!$A$2:$A$173,[1]Sheet1!$D$2:$D$173)</f>
        <v>Central America</v>
      </c>
      <c r="C33" s="1" t="str">
        <f>_xlfn.XLOOKUP(D33,[2]Sheet2!D33:D281,[2]Sheet2!C33:C281)</f>
        <v>CRI</v>
      </c>
      <c r="D33" s="1">
        <v>188</v>
      </c>
      <c r="E33">
        <v>0.43170328111249501</v>
      </c>
      <c r="F33">
        <v>0.45903031626019319</v>
      </c>
      <c r="G33">
        <v>0.48605929965243938</v>
      </c>
      <c r="H33">
        <v>0.50015077590869561</v>
      </c>
      <c r="I33">
        <v>0.51465296273523131</v>
      </c>
      <c r="J33">
        <v>0.52828956226000268</v>
      </c>
      <c r="K33">
        <v>0.54155951677120751</v>
      </c>
      <c r="L33">
        <v>0.55527914640506582</v>
      </c>
      <c r="M33">
        <v>0.56949409170458754</v>
      </c>
      <c r="N33">
        <v>0.58212647713482679</v>
      </c>
      <c r="O33">
        <v>0.59487218255794727</v>
      </c>
      <c r="P33">
        <v>0.60630648233180051</v>
      </c>
      <c r="Q33">
        <v>0.61718269256172742</v>
      </c>
      <c r="R33">
        <v>0.62777741181503266</v>
      </c>
      <c r="S33">
        <v>0.63891760297815481</v>
      </c>
      <c r="T33">
        <v>0.65027949367009541</v>
      </c>
      <c r="U33">
        <v>0.66103468651900121</v>
      </c>
      <c r="V33">
        <v>0.67203838658985438</v>
      </c>
      <c r="W33">
        <v>0.68303534294104074</v>
      </c>
      <c r="X33">
        <v>0.69382267031911138</v>
      </c>
      <c r="Y33">
        <v>0.70563149593703811</v>
      </c>
      <c r="Z33">
        <v>0.71769453405099271</v>
      </c>
      <c r="AA33">
        <v>0.72907023688318318</v>
      </c>
      <c r="AB33">
        <v>0.74017203776089779</v>
      </c>
      <c r="AC33">
        <v>0.75067274688539598</v>
      </c>
      <c r="AD33">
        <v>0.76050877373454584</v>
      </c>
      <c r="AE33">
        <v>0.77043232899147607</v>
      </c>
    </row>
    <row r="34" spans="1:31" x14ac:dyDescent="0.25">
      <c r="A34" s="1" t="s">
        <v>36</v>
      </c>
      <c r="B34" s="1" t="str">
        <f>_xlfn.XLOOKUP(C34,[1]Sheet1!$A$2:$A$173,[1]Sheet1!$D$2:$D$173)</f>
        <v>Western Africa</v>
      </c>
      <c r="C34" s="1" t="str">
        <f>_xlfn.XLOOKUP(D34,[2]Sheet2!D34:D282,[2]Sheet2!C34:C282)</f>
        <v>CIV</v>
      </c>
      <c r="D34" s="1">
        <v>384</v>
      </c>
      <c r="E34">
        <v>0.16557865546372799</v>
      </c>
      <c r="F34">
        <v>0.19440769629086749</v>
      </c>
      <c r="G34">
        <v>0.2210719413673411</v>
      </c>
      <c r="H34">
        <v>0.24520765459536931</v>
      </c>
      <c r="I34">
        <v>0.26157600991118951</v>
      </c>
      <c r="J34">
        <v>0.2647583314774456</v>
      </c>
      <c r="K34">
        <v>0.26477001925668547</v>
      </c>
      <c r="L34">
        <v>0.26786752126961588</v>
      </c>
      <c r="M34">
        <v>0.28768443992878961</v>
      </c>
      <c r="N34">
        <v>0.31098420669388349</v>
      </c>
      <c r="O34">
        <v>0.33715790995771738</v>
      </c>
      <c r="P34">
        <v>0.35931334188832043</v>
      </c>
      <c r="Q34">
        <v>0.3805816053158585</v>
      </c>
      <c r="R34">
        <v>0.40245695963026251</v>
      </c>
      <c r="S34">
        <v>0.42518548490164898</v>
      </c>
      <c r="T34">
        <v>0.44784778484965632</v>
      </c>
      <c r="U34">
        <v>0.47011039913549879</v>
      </c>
      <c r="V34">
        <v>0.49182889813335351</v>
      </c>
      <c r="W34">
        <v>0.51252708632503807</v>
      </c>
      <c r="X34">
        <v>0.53253037623368726</v>
      </c>
      <c r="Y34">
        <v>0.55211946150396118</v>
      </c>
      <c r="Z34">
        <v>0.57081524995063948</v>
      </c>
      <c r="AA34">
        <v>0.58900565702140684</v>
      </c>
      <c r="AB34">
        <v>0.60710823354914667</v>
      </c>
      <c r="AC34">
        <v>0.62480343778787761</v>
      </c>
      <c r="AD34">
        <v>0.6419825291539224</v>
      </c>
      <c r="AE34">
        <v>0.65812837743243002</v>
      </c>
    </row>
    <row r="35" spans="1:31" x14ac:dyDescent="0.25">
      <c r="A35" s="1" t="s">
        <v>37</v>
      </c>
      <c r="B35" s="1" t="str">
        <f>_xlfn.XLOOKUP(C35,[1]Sheet1!$A$2:$A$173,[1]Sheet1!$D$2:$D$173)</f>
        <v>Central Europe</v>
      </c>
      <c r="C35" s="1" t="str">
        <f>_xlfn.XLOOKUP(D35,[2]Sheet2!D35:D283,[2]Sheet2!C35:C283)</f>
        <v>HRV</v>
      </c>
      <c r="D35" s="1">
        <v>191</v>
      </c>
      <c r="E35">
        <v>0.48041264353134439</v>
      </c>
      <c r="F35">
        <v>0.50255496697164814</v>
      </c>
      <c r="G35">
        <v>0.5218725356763172</v>
      </c>
      <c r="H35">
        <v>0.53949647848773652</v>
      </c>
      <c r="I35">
        <v>0.5661732641856827</v>
      </c>
      <c r="J35">
        <v>0.56317126006232865</v>
      </c>
      <c r="K35">
        <v>0.58477924606234166</v>
      </c>
      <c r="L35">
        <v>0.60842571599203643</v>
      </c>
      <c r="M35">
        <v>0.62212585086685934</v>
      </c>
      <c r="N35">
        <v>0.64087784019833538</v>
      </c>
      <c r="O35">
        <v>0.65376533577570273</v>
      </c>
      <c r="P35">
        <v>0.66598492626121775</v>
      </c>
      <c r="Q35">
        <v>0.67648381270860525</v>
      </c>
      <c r="R35">
        <v>0.68625335256671016</v>
      </c>
      <c r="S35">
        <v>0.69520298204216779</v>
      </c>
      <c r="T35">
        <v>0.70395585490757817</v>
      </c>
      <c r="U35">
        <v>0.71215794140384714</v>
      </c>
      <c r="V35">
        <v>0.72026343186053898</v>
      </c>
      <c r="W35">
        <v>0.72807423853654596</v>
      </c>
      <c r="X35">
        <v>0.73637546558527978</v>
      </c>
      <c r="Y35">
        <v>0.74457504103085004</v>
      </c>
      <c r="Z35">
        <v>0.75278147057366906</v>
      </c>
      <c r="AA35">
        <v>0.76097277191390256</v>
      </c>
      <c r="AB35">
        <v>0.76913659552128577</v>
      </c>
      <c r="AC35">
        <v>0.77724434096847195</v>
      </c>
      <c r="AD35">
        <v>0.78513707999522264</v>
      </c>
      <c r="AE35">
        <v>0.79322580886931826</v>
      </c>
    </row>
    <row r="36" spans="1:31" x14ac:dyDescent="0.25">
      <c r="A36" s="1" t="s">
        <v>38</v>
      </c>
      <c r="B36" s="1" t="str">
        <f>_xlfn.XLOOKUP(C36,[1]Sheet1!$A$2:$A$173,[1]Sheet1!$D$2:$D$173)</f>
        <v>Central America</v>
      </c>
      <c r="C36" s="1" t="str">
        <f>_xlfn.XLOOKUP(D36,[2]Sheet2!D36:D284,[2]Sheet2!C36:C284)</f>
        <v>CUB</v>
      </c>
      <c r="D36" s="1">
        <v>192</v>
      </c>
      <c r="E36">
        <v>0.47279425163212391</v>
      </c>
      <c r="F36">
        <v>0.50301268998207882</v>
      </c>
      <c r="G36">
        <v>0.53006811435957246</v>
      </c>
      <c r="H36">
        <v>0.55799451855792692</v>
      </c>
      <c r="I36">
        <v>0.56664181481705622</v>
      </c>
      <c r="J36">
        <v>0.56158415707144027</v>
      </c>
      <c r="K36">
        <v>0.57775632107689423</v>
      </c>
      <c r="L36">
        <v>0.59174799953559554</v>
      </c>
      <c r="M36">
        <v>0.61303091070926219</v>
      </c>
      <c r="N36">
        <v>0.62889599736621982</v>
      </c>
      <c r="O36">
        <v>0.64496447031807702</v>
      </c>
      <c r="P36">
        <v>0.65849226126384353</v>
      </c>
      <c r="Q36">
        <v>0.66969784686768286</v>
      </c>
      <c r="R36">
        <v>0.68035695045797318</v>
      </c>
      <c r="S36">
        <v>0.68989737064326417</v>
      </c>
      <c r="T36">
        <v>0.69938448677581866</v>
      </c>
      <c r="U36">
        <v>0.70872936252941843</v>
      </c>
      <c r="V36">
        <v>0.71740050042088654</v>
      </c>
      <c r="W36">
        <v>0.72672371695514026</v>
      </c>
      <c r="X36">
        <v>0.73578204911152045</v>
      </c>
      <c r="Y36">
        <v>0.74524890803802968</v>
      </c>
      <c r="Z36">
        <v>0.75447016574304326</v>
      </c>
      <c r="AA36">
        <v>0.76350306515497868</v>
      </c>
      <c r="AB36">
        <v>0.77220919823571543</v>
      </c>
      <c r="AC36">
        <v>0.78116357882024634</v>
      </c>
      <c r="AD36">
        <v>0.78995312373376558</v>
      </c>
      <c r="AE36">
        <v>0.79825690508066161</v>
      </c>
    </row>
    <row r="37" spans="1:31" x14ac:dyDescent="0.25">
      <c r="A37" s="1" t="s">
        <v>39</v>
      </c>
      <c r="B37" s="1" t="str">
        <f>_xlfn.XLOOKUP(C37,[1]Sheet1!$A$2:$A$173,[1]Sheet1!$D$2:$D$173)</f>
        <v>Central Europe</v>
      </c>
      <c r="C37" s="1" t="str">
        <f>_xlfn.XLOOKUP(D37,[2]Sheet2!D37:D285,[2]Sheet2!C37:C285)</f>
        <v>CYP</v>
      </c>
      <c r="D37" s="1">
        <v>196</v>
      </c>
      <c r="E37">
        <v>0.4729988937506116</v>
      </c>
      <c r="F37">
        <v>0.48916079567230458</v>
      </c>
      <c r="G37">
        <v>0.53986421707304011</v>
      </c>
      <c r="H37">
        <v>0.5664834030554422</v>
      </c>
      <c r="I37">
        <v>0.59660422263373936</v>
      </c>
      <c r="J37">
        <v>0.61356723689843884</v>
      </c>
      <c r="K37">
        <v>0.63233865154470348</v>
      </c>
      <c r="L37">
        <v>0.64854239804757841</v>
      </c>
      <c r="M37">
        <v>0.66183774290452213</v>
      </c>
      <c r="N37">
        <v>0.67690444044956499</v>
      </c>
      <c r="O37">
        <v>0.69488921607690379</v>
      </c>
      <c r="P37">
        <v>0.71185928248206309</v>
      </c>
      <c r="Q37">
        <v>0.72512502581674365</v>
      </c>
      <c r="R37">
        <v>0.73622564790402989</v>
      </c>
      <c r="S37">
        <v>0.74630450048447239</v>
      </c>
      <c r="T37">
        <v>0.7559098334242571</v>
      </c>
      <c r="U37">
        <v>0.76520046615656068</v>
      </c>
      <c r="V37">
        <v>0.77358764506659683</v>
      </c>
      <c r="W37">
        <v>0.78154560981376731</v>
      </c>
      <c r="X37">
        <v>0.78953992650655969</v>
      </c>
      <c r="Y37">
        <v>0.79768010563465153</v>
      </c>
      <c r="Z37">
        <v>0.80572769290275481</v>
      </c>
      <c r="AA37">
        <v>0.81349430799043443</v>
      </c>
      <c r="AB37">
        <v>0.8214171407146067</v>
      </c>
      <c r="AC37">
        <v>0.82890359853757678</v>
      </c>
      <c r="AD37">
        <v>0.83619831877104667</v>
      </c>
      <c r="AE37">
        <v>0.84370417801713771</v>
      </c>
    </row>
    <row r="38" spans="1:31" x14ac:dyDescent="0.25">
      <c r="A38" s="1" t="s">
        <v>40</v>
      </c>
      <c r="B38" s="1" t="str">
        <f>_xlfn.XLOOKUP(C38,[1]Sheet1!$A$2:$A$173,[1]Sheet1!$D$2:$D$173)</f>
        <v>Central Europe</v>
      </c>
      <c r="C38" s="1" t="str">
        <f>_xlfn.XLOOKUP(D38,[2]Sheet2!D38:D286,[2]Sheet2!C38:C286)</f>
        <v>CZE</v>
      </c>
      <c r="D38" s="1">
        <v>203</v>
      </c>
      <c r="E38">
        <v>0.56858186164972058</v>
      </c>
      <c r="F38">
        <v>0.57799953122432202</v>
      </c>
      <c r="G38">
        <v>0.5887109632464067</v>
      </c>
      <c r="H38">
        <v>0.59711471175646558</v>
      </c>
      <c r="I38">
        <v>0.61012504205002038</v>
      </c>
      <c r="J38">
        <v>0.61442849842247504</v>
      </c>
      <c r="K38">
        <v>0.62972539258876392</v>
      </c>
      <c r="L38">
        <v>0.6490016914576584</v>
      </c>
      <c r="M38">
        <v>0.66317051606143895</v>
      </c>
      <c r="N38">
        <v>0.68231994367856896</v>
      </c>
      <c r="O38">
        <v>0.68956634900257563</v>
      </c>
      <c r="P38">
        <v>0.6968523879296078</v>
      </c>
      <c r="Q38">
        <v>0.70475096906407808</v>
      </c>
      <c r="R38">
        <v>0.71343371095624353</v>
      </c>
      <c r="S38">
        <v>0.72281085795582323</v>
      </c>
      <c r="T38">
        <v>0.73234957995987493</v>
      </c>
      <c r="U38">
        <v>0.74145022676563554</v>
      </c>
      <c r="V38">
        <v>0.7503739792828289</v>
      </c>
      <c r="W38">
        <v>0.75924837620762187</v>
      </c>
      <c r="X38">
        <v>0.76852669334036738</v>
      </c>
      <c r="Y38">
        <v>0.77821661680778553</v>
      </c>
      <c r="Z38">
        <v>0.78746305052271459</v>
      </c>
      <c r="AA38">
        <v>0.79641030451957229</v>
      </c>
      <c r="AB38">
        <v>0.8049072950625189</v>
      </c>
      <c r="AC38">
        <v>0.81280907104194011</v>
      </c>
      <c r="AD38">
        <v>0.82076346508534326</v>
      </c>
      <c r="AE38">
        <v>0.82898812386251808</v>
      </c>
    </row>
    <row r="39" spans="1:31" x14ac:dyDescent="0.25">
      <c r="A39" s="1" t="s">
        <v>41</v>
      </c>
      <c r="B39" s="1" t="str">
        <f>_xlfn.XLOOKUP(C39,[1]Sheet1!$A$2:$A$173,[1]Sheet1!$D$2:$D$173)</f>
        <v>Western Africa</v>
      </c>
      <c r="C39" s="1" t="str">
        <f>_xlfn.XLOOKUP(D39,[2]Sheet2!D39:D287,[2]Sheet2!C39:C287)</f>
        <v>COD</v>
      </c>
      <c r="D39" s="1">
        <v>180</v>
      </c>
      <c r="E39">
        <v>0.22219502480534639</v>
      </c>
      <c r="F39">
        <v>0.23632026534200101</v>
      </c>
      <c r="G39">
        <v>0.24231958960192779</v>
      </c>
      <c r="H39">
        <v>0.25806348724497219</v>
      </c>
      <c r="I39">
        <v>0.27054677834301399</v>
      </c>
      <c r="J39">
        <v>0.25165825975161199</v>
      </c>
      <c r="K39">
        <v>0.1262392822830769</v>
      </c>
      <c r="L39">
        <v>0.2250071280621341</v>
      </c>
      <c r="M39">
        <v>0.24407067059111481</v>
      </c>
      <c r="N39">
        <v>0.30550128804082421</v>
      </c>
      <c r="O39">
        <v>0.36090063820028312</v>
      </c>
      <c r="P39">
        <v>0.40713760277138289</v>
      </c>
      <c r="Q39">
        <v>0.44072892891114601</v>
      </c>
      <c r="R39">
        <v>0.46696684306755398</v>
      </c>
      <c r="S39">
        <v>0.48778093859919208</v>
      </c>
      <c r="T39">
        <v>0.50542993301724592</v>
      </c>
      <c r="U39">
        <v>0.52092513423351272</v>
      </c>
      <c r="V39">
        <v>0.53511489925322797</v>
      </c>
      <c r="W39">
        <v>0.54879304829761888</v>
      </c>
      <c r="X39">
        <v>0.56178119002538929</v>
      </c>
      <c r="Y39">
        <v>0.57478762220484647</v>
      </c>
      <c r="Z39">
        <v>0.58735958212829409</v>
      </c>
      <c r="AA39">
        <v>0.59983840390526677</v>
      </c>
      <c r="AB39">
        <v>0.61158296945180413</v>
      </c>
      <c r="AC39">
        <v>0.62325844282338305</v>
      </c>
      <c r="AD39">
        <v>0.63448877588900277</v>
      </c>
      <c r="AE39">
        <v>0.645075900253408</v>
      </c>
    </row>
    <row r="40" spans="1:31" x14ac:dyDescent="0.25">
      <c r="A40" s="1" t="s">
        <v>42</v>
      </c>
      <c r="B40" s="1" t="str">
        <f>_xlfn.XLOOKUP(C40,[1]Sheet1!$A$2:$A$173,[1]Sheet1!$D$2:$D$173)</f>
        <v>Western Europe</v>
      </c>
      <c r="C40" s="1" t="str">
        <f>_xlfn.XLOOKUP(D40,[2]Sheet2!D40:D288,[2]Sheet2!C40:C288)</f>
        <v>DNK</v>
      </c>
      <c r="D40" s="1">
        <v>208</v>
      </c>
      <c r="E40">
        <v>0.60406097208404563</v>
      </c>
      <c r="F40">
        <v>0.61320239410340061</v>
      </c>
      <c r="G40">
        <v>0.62409371207856934</v>
      </c>
      <c r="H40">
        <v>0.63419016303352049</v>
      </c>
      <c r="I40">
        <v>0.64210010185728805</v>
      </c>
      <c r="J40">
        <v>0.65175451102130755</v>
      </c>
      <c r="K40">
        <v>0.66450679062274454</v>
      </c>
      <c r="L40">
        <v>0.67390523089592058</v>
      </c>
      <c r="M40">
        <v>0.68001512283676946</v>
      </c>
      <c r="N40">
        <v>0.69517910598891564</v>
      </c>
      <c r="O40">
        <v>0.70544964058139359</v>
      </c>
      <c r="P40">
        <v>0.71576212932749417</v>
      </c>
      <c r="Q40">
        <v>0.72482892634467966</v>
      </c>
      <c r="R40">
        <v>0.73364314091960747</v>
      </c>
      <c r="S40">
        <v>0.74243881884813634</v>
      </c>
      <c r="T40">
        <v>0.75168519120954391</v>
      </c>
      <c r="U40">
        <v>0.76090584729531285</v>
      </c>
      <c r="V40">
        <v>0.77027408542825915</v>
      </c>
      <c r="W40">
        <v>0.77923331287355024</v>
      </c>
      <c r="X40">
        <v>0.78839016046162547</v>
      </c>
      <c r="Y40">
        <v>0.79679857997269965</v>
      </c>
      <c r="Z40">
        <v>0.80538473269174882</v>
      </c>
      <c r="AA40">
        <v>0.81378705680960473</v>
      </c>
      <c r="AB40">
        <v>0.82216968291254944</v>
      </c>
      <c r="AC40">
        <v>0.83017206803705479</v>
      </c>
      <c r="AD40">
        <v>0.83816366901352501</v>
      </c>
      <c r="AE40">
        <v>0.84540041466875515</v>
      </c>
    </row>
    <row r="41" spans="1:31" x14ac:dyDescent="0.25">
      <c r="A41" s="1" t="s">
        <v>43</v>
      </c>
      <c r="B41" s="1" t="str">
        <f>_xlfn.XLOOKUP(C41,[1]Sheet1!$A$2:$A$173,[1]Sheet1!$D$2:$D$173)</f>
        <v>Central America</v>
      </c>
      <c r="C41" s="1" t="str">
        <f>_xlfn.XLOOKUP(D41,[2]Sheet2!D41:D289,[2]Sheet2!C41:C289)</f>
        <v>DOM</v>
      </c>
      <c r="D41" s="1">
        <v>214</v>
      </c>
      <c r="E41">
        <v>0.32510154954717357</v>
      </c>
      <c r="F41">
        <v>0.35746994742460031</v>
      </c>
      <c r="G41">
        <v>0.38593538864759291</v>
      </c>
      <c r="H41">
        <v>0.41097516030085213</v>
      </c>
      <c r="I41">
        <v>0.4347879219787551</v>
      </c>
      <c r="J41">
        <v>0.46280539710438529</v>
      </c>
      <c r="K41">
        <v>0.48730280235878709</v>
      </c>
      <c r="L41">
        <v>0.50550458886394511</v>
      </c>
      <c r="M41">
        <v>0.52945188926387776</v>
      </c>
      <c r="N41">
        <v>0.54995116604261407</v>
      </c>
      <c r="O41">
        <v>0.56835192326198058</v>
      </c>
      <c r="P41">
        <v>0.58497476494158129</v>
      </c>
      <c r="Q41">
        <v>0.60051209615817647</v>
      </c>
      <c r="R41">
        <v>0.61592686619395975</v>
      </c>
      <c r="S41">
        <v>0.63181370029063721</v>
      </c>
      <c r="T41">
        <v>0.64710532382549701</v>
      </c>
      <c r="U41">
        <v>0.66165544851971936</v>
      </c>
      <c r="V41">
        <v>0.67555634795305608</v>
      </c>
      <c r="W41">
        <v>0.68822828149629389</v>
      </c>
      <c r="X41">
        <v>0.70066031905577775</v>
      </c>
      <c r="Y41">
        <v>0.71180072069215061</v>
      </c>
      <c r="Z41">
        <v>0.72287431886956022</v>
      </c>
      <c r="AA41">
        <v>0.73317683164913383</v>
      </c>
      <c r="AB41">
        <v>0.74359695587732244</v>
      </c>
      <c r="AC41">
        <v>0.75378932596633719</v>
      </c>
      <c r="AD41">
        <v>0.76371602962568241</v>
      </c>
      <c r="AE41">
        <v>0.77351674677880089</v>
      </c>
    </row>
    <row r="42" spans="1:31" x14ac:dyDescent="0.25">
      <c r="A42" s="1" t="s">
        <v>44</v>
      </c>
      <c r="B42" s="1" t="str">
        <f>_xlfn.XLOOKUP(C42,[1]Sheet1!$A$2:$A$173,[1]Sheet1!$D$2:$D$173)</f>
        <v>Rest of South America</v>
      </c>
      <c r="C42" s="1" t="str">
        <f>_xlfn.XLOOKUP(D42,[2]Sheet2!D42:D290,[2]Sheet2!C42:C290)</f>
        <v>ECU</v>
      </c>
      <c r="D42" s="1">
        <v>218</v>
      </c>
      <c r="E42">
        <v>0.35171736511661378</v>
      </c>
      <c r="F42">
        <v>0.38711597483724403</v>
      </c>
      <c r="G42">
        <v>0.41881726361329891</v>
      </c>
      <c r="H42">
        <v>0.44057370552731301</v>
      </c>
      <c r="I42">
        <v>0.46224969841071378</v>
      </c>
      <c r="J42">
        <v>0.48572248521796169</v>
      </c>
      <c r="K42">
        <v>0.49865067911287458</v>
      </c>
      <c r="L42">
        <v>0.52015386958772059</v>
      </c>
      <c r="M42">
        <v>0.53419713548604464</v>
      </c>
      <c r="N42">
        <v>0.55146162680561217</v>
      </c>
      <c r="O42">
        <v>0.56928506336557483</v>
      </c>
      <c r="P42">
        <v>0.58702783071529541</v>
      </c>
      <c r="Q42">
        <v>0.60322001198828445</v>
      </c>
      <c r="R42">
        <v>0.61842637465617045</v>
      </c>
      <c r="S42">
        <v>0.6331290444374732</v>
      </c>
      <c r="T42">
        <v>0.64650835948142749</v>
      </c>
      <c r="U42">
        <v>0.66022827437810083</v>
      </c>
      <c r="V42">
        <v>0.67350218231662462</v>
      </c>
      <c r="W42">
        <v>0.68654993697863387</v>
      </c>
      <c r="X42">
        <v>0.69880637702210979</v>
      </c>
      <c r="Y42">
        <v>0.71012273743012377</v>
      </c>
      <c r="Z42">
        <v>0.72116210592779428</v>
      </c>
      <c r="AA42">
        <v>0.73153186211769528</v>
      </c>
      <c r="AB42">
        <v>0.74130463947801528</v>
      </c>
      <c r="AC42">
        <v>0.750749505097974</v>
      </c>
      <c r="AD42">
        <v>0.75994972105411807</v>
      </c>
      <c r="AE42">
        <v>0.76935280641910431</v>
      </c>
    </row>
    <row r="43" spans="1:31" x14ac:dyDescent="0.25">
      <c r="A43" s="1" t="s">
        <v>45</v>
      </c>
      <c r="B43" s="1" t="str">
        <f>_xlfn.XLOOKUP(C43,[1]Sheet1!$A$2:$A$173,[1]Sheet1!$D$2:$D$173)</f>
        <v>Northern Africa</v>
      </c>
      <c r="C43" s="1" t="str">
        <f>_xlfn.XLOOKUP(D43,[2]Sheet2!D43:D291,[2]Sheet2!C43:C291)</f>
        <v>EGY</v>
      </c>
      <c r="D43" s="1">
        <v>818</v>
      </c>
      <c r="E43">
        <v>0.25453224369208272</v>
      </c>
      <c r="F43">
        <v>0.27146737690767692</v>
      </c>
      <c r="G43">
        <v>0.30834719983079478</v>
      </c>
      <c r="H43">
        <v>0.34448582941997469</v>
      </c>
      <c r="I43">
        <v>0.37547760156308319</v>
      </c>
      <c r="J43">
        <v>0.40586760005758121</v>
      </c>
      <c r="K43">
        <v>0.43511879645686902</v>
      </c>
      <c r="L43">
        <v>0.46114511054088408</v>
      </c>
      <c r="M43">
        <v>0.4867232176950137</v>
      </c>
      <c r="N43">
        <v>0.51417254816379088</v>
      </c>
      <c r="O43">
        <v>0.53659727898629916</v>
      </c>
      <c r="P43">
        <v>0.55891997555401263</v>
      </c>
      <c r="Q43">
        <v>0.57847830861826921</v>
      </c>
      <c r="R43">
        <v>0.59822774894347841</v>
      </c>
      <c r="S43">
        <v>0.61691864596347834</v>
      </c>
      <c r="T43">
        <v>0.63398177759389329</v>
      </c>
      <c r="U43">
        <v>0.64980333659341794</v>
      </c>
      <c r="V43">
        <v>0.66443582157372616</v>
      </c>
      <c r="W43">
        <v>0.67821344991839683</v>
      </c>
      <c r="X43">
        <v>0.69098140446526324</v>
      </c>
      <c r="Y43">
        <v>0.70298031675088224</v>
      </c>
      <c r="Z43">
        <v>0.7138743991981148</v>
      </c>
      <c r="AA43">
        <v>0.72366742385625282</v>
      </c>
      <c r="AB43">
        <v>0.73297238506675078</v>
      </c>
      <c r="AC43">
        <v>0.74130587438503981</v>
      </c>
      <c r="AD43">
        <v>0.74929325671559277</v>
      </c>
      <c r="AE43">
        <v>0.75693069504510546</v>
      </c>
    </row>
    <row r="44" spans="1:31" x14ac:dyDescent="0.25">
      <c r="A44" s="1" t="s">
        <v>46</v>
      </c>
      <c r="B44" s="1" t="str">
        <f>_xlfn.XLOOKUP(C44,[1]Sheet1!$A$2:$A$173,[1]Sheet1!$D$2:$D$173)</f>
        <v>Central America</v>
      </c>
      <c r="C44" s="1" t="str">
        <f>_xlfn.XLOOKUP(D44,[2]Sheet2!D44:D292,[2]Sheet2!C44:C292)</f>
        <v>SLV</v>
      </c>
      <c r="D44" s="1">
        <v>222</v>
      </c>
      <c r="E44">
        <v>0.31091894927321051</v>
      </c>
      <c r="F44">
        <v>0.33503122163951932</v>
      </c>
      <c r="G44">
        <v>0.35002553337180992</v>
      </c>
      <c r="H44">
        <v>0.36596549748697199</v>
      </c>
      <c r="I44">
        <v>0.39338738050243599</v>
      </c>
      <c r="J44">
        <v>0.42880597081081961</v>
      </c>
      <c r="K44">
        <v>0.44964168176131891</v>
      </c>
      <c r="L44">
        <v>0.46942385945445408</v>
      </c>
      <c r="M44">
        <v>0.4901128556682966</v>
      </c>
      <c r="N44">
        <v>0.51007602087182358</v>
      </c>
      <c r="O44">
        <v>0.52866934834508472</v>
      </c>
      <c r="P44">
        <v>0.54630710837660423</v>
      </c>
      <c r="Q44">
        <v>0.56205036259620778</v>
      </c>
      <c r="R44">
        <v>0.57820506804536131</v>
      </c>
      <c r="S44">
        <v>0.59424146926571186</v>
      </c>
      <c r="T44">
        <v>0.61006295394372323</v>
      </c>
      <c r="U44">
        <v>0.62580572863879291</v>
      </c>
      <c r="V44">
        <v>0.64130906142231536</v>
      </c>
      <c r="W44">
        <v>0.65631032817547363</v>
      </c>
      <c r="X44">
        <v>0.67025752455679843</v>
      </c>
      <c r="Y44">
        <v>0.68345576502855176</v>
      </c>
      <c r="Z44">
        <v>0.69618668951626339</v>
      </c>
      <c r="AA44">
        <v>0.70833097603025497</v>
      </c>
      <c r="AB44">
        <v>0.71952724464425044</v>
      </c>
      <c r="AC44">
        <v>0.73038632017685745</v>
      </c>
      <c r="AD44">
        <v>0.74080826363022445</v>
      </c>
      <c r="AE44">
        <v>0.75135859150176365</v>
      </c>
    </row>
    <row r="45" spans="1:31" x14ac:dyDescent="0.25">
      <c r="A45" s="1" t="s">
        <v>47</v>
      </c>
      <c r="B45" s="1" t="str">
        <f>_xlfn.XLOOKUP(C45,[1]Sheet1!$A$2:$A$173,[1]Sheet1!$D$2:$D$173)</f>
        <v>Western Africa</v>
      </c>
      <c r="C45" s="1" t="str">
        <f>_xlfn.XLOOKUP(D45,[2]Sheet2!D45:D293,[2]Sheet2!C45:C293)</f>
        <v>GNQ</v>
      </c>
      <c r="D45" s="1">
        <v>226</v>
      </c>
      <c r="E45">
        <v>0.18836242508606379</v>
      </c>
      <c r="F45">
        <v>0.2215297671972887</v>
      </c>
      <c r="G45">
        <v>0.22642436437987681</v>
      </c>
      <c r="H45">
        <v>0.25660392819229177</v>
      </c>
      <c r="I45">
        <v>0.26542400411933342</v>
      </c>
      <c r="J45">
        <v>0.28743542743326789</v>
      </c>
      <c r="K45">
        <v>0.37799786757845111</v>
      </c>
      <c r="L45">
        <v>0.43001956786849199</v>
      </c>
      <c r="M45">
        <v>0.46172357541946402</v>
      </c>
      <c r="N45">
        <v>0.48692739867809542</v>
      </c>
      <c r="O45">
        <v>0.50588104508171539</v>
      </c>
      <c r="P45">
        <v>0.52307370679728449</v>
      </c>
      <c r="Q45">
        <v>0.53781948632127252</v>
      </c>
      <c r="R45">
        <v>0.55198504921347036</v>
      </c>
      <c r="S45">
        <v>0.56563694692141298</v>
      </c>
      <c r="T45">
        <v>0.57866590451082933</v>
      </c>
      <c r="U45">
        <v>0.59153754726436925</v>
      </c>
      <c r="V45">
        <v>0.60395817348324599</v>
      </c>
      <c r="W45">
        <v>0.61598176734663312</v>
      </c>
      <c r="X45">
        <v>0.62791286356748777</v>
      </c>
      <c r="Y45">
        <v>0.63967439582715047</v>
      </c>
      <c r="Z45">
        <v>0.6507458538088704</v>
      </c>
      <c r="AA45">
        <v>0.66140163912427208</v>
      </c>
      <c r="AB45">
        <v>0.67179402346233552</v>
      </c>
      <c r="AC45">
        <v>0.68187606263262679</v>
      </c>
      <c r="AD45">
        <v>0.69151603086708424</v>
      </c>
      <c r="AE45">
        <v>0.70123743073863731</v>
      </c>
    </row>
    <row r="46" spans="1:31" x14ac:dyDescent="0.25">
      <c r="A46" s="1" t="s">
        <v>48</v>
      </c>
      <c r="B46" s="1" t="str">
        <f>_xlfn.XLOOKUP(C46,[1]Sheet1!$A$2:$A$173,[1]Sheet1!$D$2:$D$173)</f>
        <v>Central Europe</v>
      </c>
      <c r="C46" s="1" t="str">
        <f>_xlfn.XLOOKUP(D46,[2]Sheet2!D46:D294,[2]Sheet2!C46:C294)</f>
        <v>EST</v>
      </c>
      <c r="D46" s="1">
        <v>233</v>
      </c>
      <c r="E46">
        <v>0.49515854324433362</v>
      </c>
      <c r="F46">
        <v>0.51879679639122733</v>
      </c>
      <c r="G46">
        <v>0.53877598543763994</v>
      </c>
      <c r="H46">
        <v>0.55818612707131821</v>
      </c>
      <c r="I46">
        <v>0.58742621320961996</v>
      </c>
      <c r="J46">
        <v>0.57809739813671435</v>
      </c>
      <c r="K46">
        <v>0.60008097407413541</v>
      </c>
      <c r="L46">
        <v>0.62994571691530143</v>
      </c>
      <c r="M46">
        <v>0.6412614465789086</v>
      </c>
      <c r="N46">
        <v>0.67062907047783582</v>
      </c>
      <c r="O46">
        <v>0.68112212173955033</v>
      </c>
      <c r="P46">
        <v>0.69079259722084663</v>
      </c>
      <c r="Q46">
        <v>0.69883274362072922</v>
      </c>
      <c r="R46">
        <v>0.70592665149206046</v>
      </c>
      <c r="S46">
        <v>0.71249857697777752</v>
      </c>
      <c r="T46">
        <v>0.71861472244533164</v>
      </c>
      <c r="U46">
        <v>0.72482503653148733</v>
      </c>
      <c r="V46">
        <v>0.73096499864456999</v>
      </c>
      <c r="W46">
        <v>0.73776964502383147</v>
      </c>
      <c r="X46">
        <v>0.74486720977687326</v>
      </c>
      <c r="Y46">
        <v>0.75267687888470269</v>
      </c>
      <c r="Z46">
        <v>0.76052974070455714</v>
      </c>
      <c r="AA46">
        <v>0.76875668893146587</v>
      </c>
      <c r="AB46">
        <v>0.77662729367828642</v>
      </c>
      <c r="AC46">
        <v>0.78436016916841567</v>
      </c>
      <c r="AD46">
        <v>0.79214904739567205</v>
      </c>
      <c r="AE46">
        <v>0.79993903105088437</v>
      </c>
    </row>
    <row r="47" spans="1:31" x14ac:dyDescent="0.25">
      <c r="A47" s="1" t="s">
        <v>49</v>
      </c>
      <c r="B47" s="1" t="str">
        <f>_xlfn.XLOOKUP(C47,[1]Sheet1!$A$2:$A$173,[1]Sheet1!$D$2:$D$173)</f>
        <v>Eastern Africa</v>
      </c>
      <c r="C47" s="1" t="str">
        <f>_xlfn.XLOOKUP(D47,[2]Sheet2!D47:D295,[2]Sheet2!C47:C295)</f>
        <v>ETH</v>
      </c>
      <c r="D47" s="1">
        <v>231</v>
      </c>
      <c r="E47">
        <v>0.1084805941907519</v>
      </c>
      <c r="F47">
        <v>0.1193458070613736</v>
      </c>
      <c r="G47">
        <v>0.12999149277244679</v>
      </c>
      <c r="H47">
        <v>0.13610575145234829</v>
      </c>
      <c r="I47">
        <v>0.1515810179820449</v>
      </c>
      <c r="J47">
        <v>0.16311486324755681</v>
      </c>
      <c r="K47">
        <v>0.18842528480613499</v>
      </c>
      <c r="L47">
        <v>0.21114317187448339</v>
      </c>
      <c r="M47">
        <v>0.25318521240511871</v>
      </c>
      <c r="N47">
        <v>0.29365664927565788</v>
      </c>
      <c r="O47">
        <v>0.32346018016563582</v>
      </c>
      <c r="P47">
        <v>0.34315965530756892</v>
      </c>
      <c r="Q47">
        <v>0.36098278002111711</v>
      </c>
      <c r="R47">
        <v>0.37907458361928642</v>
      </c>
      <c r="S47">
        <v>0.39732106043641241</v>
      </c>
      <c r="T47">
        <v>0.41591061085916331</v>
      </c>
      <c r="U47">
        <v>0.43420021471150688</v>
      </c>
      <c r="V47">
        <v>0.45226544634743387</v>
      </c>
      <c r="W47">
        <v>0.4702299514813772</v>
      </c>
      <c r="X47">
        <v>0.48813297646928472</v>
      </c>
      <c r="Y47">
        <v>0.50602093384916969</v>
      </c>
      <c r="Z47">
        <v>0.5237851225160145</v>
      </c>
      <c r="AA47">
        <v>0.54097820148230658</v>
      </c>
      <c r="AB47">
        <v>0.55764349292418192</v>
      </c>
      <c r="AC47">
        <v>0.57356420486159654</v>
      </c>
      <c r="AD47">
        <v>0.58915660760691602</v>
      </c>
      <c r="AE47">
        <v>0.60474046933467396</v>
      </c>
    </row>
    <row r="48" spans="1:31" x14ac:dyDescent="0.25">
      <c r="A48" s="1" t="s">
        <v>50</v>
      </c>
      <c r="B48" s="1" t="str">
        <f>_xlfn.XLOOKUP(C48,[1]Sheet1!$A$2:$A$173,[1]Sheet1!$D$2:$D$173)</f>
        <v>Oceania</v>
      </c>
      <c r="C48" s="1" t="str">
        <f>_xlfn.XLOOKUP(D48,[2]Sheet2!D48:D296,[2]Sheet2!C48:C296)</f>
        <v>FJI</v>
      </c>
      <c r="D48" s="1">
        <v>242</v>
      </c>
      <c r="E48">
        <v>0.39602795232368759</v>
      </c>
      <c r="F48">
        <v>0.42305929999728981</v>
      </c>
      <c r="G48">
        <v>0.44712045419936519</v>
      </c>
      <c r="H48">
        <v>0.46105583188341331</v>
      </c>
      <c r="I48">
        <v>0.4795907894876984</v>
      </c>
      <c r="J48">
        <v>0.49600498855588271</v>
      </c>
      <c r="K48">
        <v>0.51074030477555732</v>
      </c>
      <c r="L48">
        <v>0.52609024734905885</v>
      </c>
      <c r="M48">
        <v>0.53631321986395708</v>
      </c>
      <c r="N48">
        <v>0.55386760476071084</v>
      </c>
      <c r="O48">
        <v>0.57577539151244517</v>
      </c>
      <c r="P48">
        <v>0.60006437823680858</v>
      </c>
      <c r="Q48">
        <v>0.61973946577756078</v>
      </c>
      <c r="R48">
        <v>0.63692698260565195</v>
      </c>
      <c r="S48">
        <v>0.65130899900815176</v>
      </c>
      <c r="T48">
        <v>0.66464995734639876</v>
      </c>
      <c r="U48">
        <v>0.6770522529749462</v>
      </c>
      <c r="V48">
        <v>0.68899865962309947</v>
      </c>
      <c r="W48">
        <v>0.70053534721265098</v>
      </c>
      <c r="X48">
        <v>0.71202973632281763</v>
      </c>
      <c r="Y48">
        <v>0.72286814615614381</v>
      </c>
      <c r="Z48">
        <v>0.73331054216953828</v>
      </c>
      <c r="AA48">
        <v>0.74322977032998783</v>
      </c>
      <c r="AB48">
        <v>0.75432325458826166</v>
      </c>
      <c r="AC48">
        <v>0.76545755433343432</v>
      </c>
      <c r="AD48">
        <v>0.7768617990203589</v>
      </c>
      <c r="AE48">
        <v>0.7878872269813979</v>
      </c>
    </row>
    <row r="49" spans="1:31" x14ac:dyDescent="0.25">
      <c r="A49" s="1" t="s">
        <v>51</v>
      </c>
      <c r="B49" s="1" t="str">
        <f>_xlfn.XLOOKUP(C49,[1]Sheet1!$A$2:$A$173,[1]Sheet1!$D$2:$D$173)</f>
        <v>Western Europe</v>
      </c>
      <c r="C49" s="1" t="str">
        <f>_xlfn.XLOOKUP(D49,[2]Sheet2!D49:D297,[2]Sheet2!C49:C297)</f>
        <v>FIN</v>
      </c>
      <c r="D49" s="1">
        <v>246</v>
      </c>
      <c r="E49">
        <v>0.54942396749505762</v>
      </c>
      <c r="F49">
        <v>0.5708460174216764</v>
      </c>
      <c r="G49">
        <v>0.59210245163874531</v>
      </c>
      <c r="H49">
        <v>0.61116389655243497</v>
      </c>
      <c r="I49">
        <v>0.62715678908832151</v>
      </c>
      <c r="J49">
        <v>0.63518104416305499</v>
      </c>
      <c r="K49">
        <v>0.65511088255868433</v>
      </c>
      <c r="L49">
        <v>0.67045402971509882</v>
      </c>
      <c r="M49">
        <v>0.6800266045520944</v>
      </c>
      <c r="N49">
        <v>0.69891623786062762</v>
      </c>
      <c r="O49">
        <v>0.71213280800705925</v>
      </c>
      <c r="P49">
        <v>0.7252858400443577</v>
      </c>
      <c r="Q49">
        <v>0.73590902601898112</v>
      </c>
      <c r="R49">
        <v>0.74540239230885341</v>
      </c>
      <c r="S49">
        <v>0.75475715394162612</v>
      </c>
      <c r="T49">
        <v>0.76306758101358285</v>
      </c>
      <c r="U49">
        <v>0.77115166796964696</v>
      </c>
      <c r="V49">
        <v>0.7788953853064785</v>
      </c>
      <c r="W49">
        <v>0.78620830870670766</v>
      </c>
      <c r="X49">
        <v>0.79373281191481637</v>
      </c>
      <c r="Y49">
        <v>0.80106685264034727</v>
      </c>
      <c r="Z49">
        <v>0.80874787289980432</v>
      </c>
      <c r="AA49">
        <v>0.81640022158109393</v>
      </c>
      <c r="AB49">
        <v>0.82383617195352843</v>
      </c>
      <c r="AC49">
        <v>0.83142824034834617</v>
      </c>
      <c r="AD49">
        <v>0.83845061701840407</v>
      </c>
      <c r="AE49">
        <v>0.84585731943890918</v>
      </c>
    </row>
    <row r="50" spans="1:31" x14ac:dyDescent="0.25">
      <c r="A50" s="1" t="s">
        <v>52</v>
      </c>
      <c r="B50" s="1" t="str">
        <f>_xlfn.XLOOKUP(C50,[1]Sheet1!$A$2:$A$173,[1]Sheet1!$D$2:$D$173)</f>
        <v>Western Europe</v>
      </c>
      <c r="C50" s="1" t="str">
        <f>_xlfn.XLOOKUP(D50,[2]Sheet2!D50:D298,[2]Sheet2!C50:C298)</f>
        <v>FRA</v>
      </c>
      <c r="D50" s="1">
        <v>250</v>
      </c>
      <c r="E50">
        <v>0.54076181845869831</v>
      </c>
      <c r="F50">
        <v>0.55933335455363076</v>
      </c>
      <c r="G50">
        <v>0.57869304072800243</v>
      </c>
      <c r="H50">
        <v>0.59382535863212094</v>
      </c>
      <c r="I50">
        <v>0.61255913414300589</v>
      </c>
      <c r="J50">
        <v>0.62638658224844357</v>
      </c>
      <c r="K50">
        <v>0.64171979655124889</v>
      </c>
      <c r="L50">
        <v>0.65544552837536851</v>
      </c>
      <c r="M50">
        <v>0.66726866372329785</v>
      </c>
      <c r="N50">
        <v>0.68459195613793633</v>
      </c>
      <c r="O50">
        <v>0.69880108062826085</v>
      </c>
      <c r="P50">
        <v>0.7148789187176271</v>
      </c>
      <c r="Q50">
        <v>0.72902299865443254</v>
      </c>
      <c r="R50">
        <v>0.74198199289661981</v>
      </c>
      <c r="S50">
        <v>0.75378922744999444</v>
      </c>
      <c r="T50">
        <v>0.76479556795223225</v>
      </c>
      <c r="U50">
        <v>0.77494506373442262</v>
      </c>
      <c r="V50">
        <v>0.78457725407371726</v>
      </c>
      <c r="W50">
        <v>0.79340837085393934</v>
      </c>
      <c r="X50">
        <v>0.802450755046485</v>
      </c>
      <c r="Y50">
        <v>0.81082312208254848</v>
      </c>
      <c r="Z50">
        <v>0.81890206982073199</v>
      </c>
      <c r="AA50">
        <v>0.82694996766041873</v>
      </c>
      <c r="AB50">
        <v>0.83457042364540712</v>
      </c>
      <c r="AC50">
        <v>0.84224236759744642</v>
      </c>
      <c r="AD50">
        <v>0.8498610828763592</v>
      </c>
      <c r="AE50">
        <v>0.85721371434607219</v>
      </c>
    </row>
    <row r="51" spans="1:31" x14ac:dyDescent="0.25">
      <c r="A51" s="1" t="s">
        <v>53</v>
      </c>
      <c r="B51" s="1" t="str">
        <f>_xlfn.XLOOKUP(C51,[1]Sheet1!$A$2:$A$173,[1]Sheet1!$D$2:$D$173)</f>
        <v>Western Africa</v>
      </c>
      <c r="C51" s="1" t="str">
        <f>_xlfn.XLOOKUP(D51,[2]Sheet2!D51:D299,[2]Sheet2!C51:C299)</f>
        <v>GAB</v>
      </c>
      <c r="D51" s="1">
        <v>266</v>
      </c>
      <c r="E51">
        <v>0.2704723472652838</v>
      </c>
      <c r="F51">
        <v>0.32455796808080611</v>
      </c>
      <c r="G51">
        <v>0.3631840033339781</v>
      </c>
      <c r="H51">
        <v>0.39884260136890182</v>
      </c>
      <c r="I51">
        <v>0.42933491796727091</v>
      </c>
      <c r="J51">
        <v>0.44814987682059382</v>
      </c>
      <c r="K51">
        <v>0.45867579688093751</v>
      </c>
      <c r="L51">
        <v>0.46468430529911531</v>
      </c>
      <c r="M51">
        <v>0.48085798008993852</v>
      </c>
      <c r="N51">
        <v>0.5103004354400289</v>
      </c>
      <c r="O51">
        <v>0.53065023257684785</v>
      </c>
      <c r="P51">
        <v>0.54596541234148199</v>
      </c>
      <c r="Q51">
        <v>0.55764534187219628</v>
      </c>
      <c r="R51">
        <v>0.57032417097367349</v>
      </c>
      <c r="S51">
        <v>0.58310284904164011</v>
      </c>
      <c r="T51">
        <v>0.59552096062557147</v>
      </c>
      <c r="U51">
        <v>0.60757170006769612</v>
      </c>
      <c r="V51">
        <v>0.61914219437832274</v>
      </c>
      <c r="W51">
        <v>0.63098041413253436</v>
      </c>
      <c r="X51">
        <v>0.64243448754476395</v>
      </c>
      <c r="Y51">
        <v>0.6536812214134875</v>
      </c>
      <c r="Z51">
        <v>0.66550168147494793</v>
      </c>
      <c r="AA51">
        <v>0.67733053606471527</v>
      </c>
      <c r="AB51">
        <v>0.6887717796147601</v>
      </c>
      <c r="AC51">
        <v>0.69986779284013079</v>
      </c>
      <c r="AD51">
        <v>0.71059786213772402</v>
      </c>
      <c r="AE51">
        <v>0.72122387783553876</v>
      </c>
    </row>
    <row r="52" spans="1:31" x14ac:dyDescent="0.25">
      <c r="A52" s="1" t="s">
        <v>54</v>
      </c>
      <c r="B52" s="1" t="str">
        <f>_xlfn.XLOOKUP(C52,[1]Sheet1!$A$2:$A$173,[1]Sheet1!$D$2:$D$173)</f>
        <v>Western Africa</v>
      </c>
      <c r="C52" s="1" t="str">
        <f>_xlfn.XLOOKUP(D52,[2]Sheet2!D52:D300,[2]Sheet2!C52:C300)</f>
        <v>GMB</v>
      </c>
      <c r="D52" s="1">
        <v>270</v>
      </c>
      <c r="E52">
        <v>0.11715134903888839</v>
      </c>
      <c r="F52">
        <v>0.13872759268594681</v>
      </c>
      <c r="G52">
        <v>0.15958915492764811</v>
      </c>
      <c r="H52">
        <v>0.18399326133837191</v>
      </c>
      <c r="I52">
        <v>0.2091768332152186</v>
      </c>
      <c r="J52">
        <v>0.22433024025883949</v>
      </c>
      <c r="K52">
        <v>0.2456449238429789</v>
      </c>
      <c r="L52">
        <v>0.28188512573625002</v>
      </c>
      <c r="M52">
        <v>0.31583740408722177</v>
      </c>
      <c r="N52">
        <v>0.35082625915763932</v>
      </c>
      <c r="O52">
        <v>0.37963310763164859</v>
      </c>
      <c r="P52">
        <v>0.40280366831619208</v>
      </c>
      <c r="Q52">
        <v>0.42385380978463771</v>
      </c>
      <c r="R52">
        <v>0.44379047537326732</v>
      </c>
      <c r="S52">
        <v>0.46247234121116881</v>
      </c>
      <c r="T52">
        <v>0.48068763131928161</v>
      </c>
      <c r="U52">
        <v>0.49819076725044908</v>
      </c>
      <c r="V52">
        <v>0.51501825124008693</v>
      </c>
      <c r="W52">
        <v>0.53121238489640388</v>
      </c>
      <c r="X52">
        <v>0.54647281707651485</v>
      </c>
      <c r="Y52">
        <v>0.56141291255374393</v>
      </c>
      <c r="Z52">
        <v>0.57602482580163727</v>
      </c>
      <c r="AA52">
        <v>0.59025240372148979</v>
      </c>
      <c r="AB52">
        <v>0.60420283524418472</v>
      </c>
      <c r="AC52">
        <v>0.61793450039791065</v>
      </c>
      <c r="AD52">
        <v>0.63086392767692778</v>
      </c>
      <c r="AE52">
        <v>0.64330127182485153</v>
      </c>
    </row>
    <row r="53" spans="1:31" x14ac:dyDescent="0.25">
      <c r="A53" s="1" t="s">
        <v>55</v>
      </c>
      <c r="B53" s="1" t="str">
        <f>_xlfn.XLOOKUP(C53,[1]Sheet1!$A$2:$A$173,[1]Sheet1!$D$2:$D$173)</f>
        <v>Russia region</v>
      </c>
      <c r="C53" s="1" t="str">
        <f>_xlfn.XLOOKUP(D53,[2]Sheet2!D53:D301,[2]Sheet2!C53:C301)</f>
        <v>GEO</v>
      </c>
      <c r="D53" s="1">
        <v>268</v>
      </c>
      <c r="E53">
        <v>0.34793040320034069</v>
      </c>
      <c r="F53">
        <v>0.38620266343298099</v>
      </c>
      <c r="G53">
        <v>0.42195172937744158</v>
      </c>
      <c r="H53">
        <v>0.45119409041531111</v>
      </c>
      <c r="I53">
        <v>0.48064803839213111</v>
      </c>
      <c r="J53">
        <v>0.50185096305772448</v>
      </c>
      <c r="K53">
        <v>0.53285634065821808</v>
      </c>
      <c r="L53">
        <v>0.55570989642793023</v>
      </c>
      <c r="M53">
        <v>0.57499209218994118</v>
      </c>
      <c r="N53">
        <v>0.61115250060989201</v>
      </c>
      <c r="O53">
        <v>0.64236786796074941</v>
      </c>
      <c r="P53">
        <v>0.66655360378566586</v>
      </c>
      <c r="Q53">
        <v>0.68117937390505301</v>
      </c>
      <c r="R53">
        <v>0.69073771490072366</v>
      </c>
      <c r="S53">
        <v>0.69790263038727585</v>
      </c>
      <c r="T53">
        <v>0.70476600439799597</v>
      </c>
      <c r="U53">
        <v>0.71174335511813513</v>
      </c>
      <c r="V53">
        <v>0.71966569144506209</v>
      </c>
      <c r="W53">
        <v>0.72818627696288307</v>
      </c>
      <c r="X53">
        <v>0.7375348813279019</v>
      </c>
      <c r="Y53">
        <v>0.74730659776288533</v>
      </c>
      <c r="Z53">
        <v>0.7566885866931673</v>
      </c>
      <c r="AA53">
        <v>0.76593673821793118</v>
      </c>
      <c r="AB53">
        <v>0.77424579382313663</v>
      </c>
      <c r="AC53">
        <v>0.78291275985605235</v>
      </c>
      <c r="AD53">
        <v>0.79137903454541758</v>
      </c>
      <c r="AE53">
        <v>0.79974001760289015</v>
      </c>
    </row>
    <row r="54" spans="1:31" x14ac:dyDescent="0.25">
      <c r="A54" s="1" t="s">
        <v>56</v>
      </c>
      <c r="B54" s="1" t="str">
        <f>_xlfn.XLOOKUP(C54,[1]Sheet1!$A$2:$A$173,[1]Sheet1!$D$2:$D$173)</f>
        <v>Western Europe</v>
      </c>
      <c r="C54" s="1" t="str">
        <f>_xlfn.XLOOKUP(D54,[2]Sheet2!D54:D302,[2]Sheet2!C54:C302)</f>
        <v>DEU</v>
      </c>
      <c r="D54" s="1">
        <v>276</v>
      </c>
      <c r="E54">
        <v>0.61520319109312549</v>
      </c>
      <c r="F54">
        <v>0.62424162381242654</v>
      </c>
      <c r="G54">
        <v>0.63837325228709407</v>
      </c>
      <c r="H54">
        <v>0.64981120119239311</v>
      </c>
      <c r="I54">
        <v>0.66593821488322791</v>
      </c>
      <c r="J54">
        <v>0.67679967430218135</v>
      </c>
      <c r="K54">
        <v>0.68796000289456161</v>
      </c>
      <c r="L54">
        <v>0.69637426523993695</v>
      </c>
      <c r="M54">
        <v>0.70474141843182492</v>
      </c>
      <c r="N54">
        <v>0.71461595643369857</v>
      </c>
      <c r="O54">
        <v>0.72168755055093481</v>
      </c>
      <c r="P54">
        <v>0.72953697607652368</v>
      </c>
      <c r="Q54">
        <v>0.73624986084443045</v>
      </c>
      <c r="R54">
        <v>0.74358704869560599</v>
      </c>
      <c r="S54">
        <v>0.75133389903945358</v>
      </c>
      <c r="T54">
        <v>0.75951890722987425</v>
      </c>
      <c r="U54">
        <v>0.7677883569398698</v>
      </c>
      <c r="V54">
        <v>0.77642359038615905</v>
      </c>
      <c r="W54">
        <v>0.78481034186612786</v>
      </c>
      <c r="X54">
        <v>0.79316655423014526</v>
      </c>
      <c r="Y54">
        <v>0.80147957596541575</v>
      </c>
      <c r="Z54">
        <v>0.809759932036339</v>
      </c>
      <c r="AA54">
        <v>0.81838610692090152</v>
      </c>
      <c r="AB54">
        <v>0.82684263787037293</v>
      </c>
      <c r="AC54">
        <v>0.83545917727085794</v>
      </c>
      <c r="AD54">
        <v>0.84367833323127406</v>
      </c>
      <c r="AE54">
        <v>0.85188738021888333</v>
      </c>
    </row>
    <row r="55" spans="1:31" x14ac:dyDescent="0.25">
      <c r="A55" s="1" t="s">
        <v>57</v>
      </c>
      <c r="B55" s="1" t="str">
        <f>_xlfn.XLOOKUP(C55,[1]Sheet1!$A$2:$A$173,[1]Sheet1!$D$2:$D$173)</f>
        <v>Western Africa</v>
      </c>
      <c r="C55" s="1" t="str">
        <f>_xlfn.XLOOKUP(D55,[2]Sheet2!D55:D303,[2]Sheet2!C55:C303)</f>
        <v>GHA</v>
      </c>
      <c r="D55" s="1">
        <v>288</v>
      </c>
      <c r="E55">
        <v>0.25483940859581838</v>
      </c>
      <c r="F55">
        <v>0.27085942876694719</v>
      </c>
      <c r="G55">
        <v>0.28519240833037479</v>
      </c>
      <c r="H55">
        <v>0.29913014023725121</v>
      </c>
      <c r="I55">
        <v>0.31660488286085592</v>
      </c>
      <c r="J55">
        <v>0.33119577433440739</v>
      </c>
      <c r="K55">
        <v>0.3391507615752386</v>
      </c>
      <c r="L55">
        <v>0.35527024980100841</v>
      </c>
      <c r="M55">
        <v>0.37822144161750221</v>
      </c>
      <c r="N55">
        <v>0.40096148970430578</v>
      </c>
      <c r="O55">
        <v>0.42057928030919661</v>
      </c>
      <c r="P55">
        <v>0.43766425024907679</v>
      </c>
      <c r="Q55">
        <v>0.45379143252847137</v>
      </c>
      <c r="R55">
        <v>0.4707999073959484</v>
      </c>
      <c r="S55">
        <v>0.48855259998665412</v>
      </c>
      <c r="T55">
        <v>0.50655183539986626</v>
      </c>
      <c r="U55">
        <v>0.52445977789811649</v>
      </c>
      <c r="V55">
        <v>0.54222062349880473</v>
      </c>
      <c r="W55">
        <v>0.559806710980575</v>
      </c>
      <c r="X55">
        <v>0.57647617754303637</v>
      </c>
      <c r="Y55">
        <v>0.59272163596871164</v>
      </c>
      <c r="Z55">
        <v>0.60833278204079455</v>
      </c>
      <c r="AA55">
        <v>0.62329677180862531</v>
      </c>
      <c r="AB55">
        <v>0.63772822150115549</v>
      </c>
      <c r="AC55">
        <v>0.65163258942281255</v>
      </c>
      <c r="AD55">
        <v>0.66480152647254254</v>
      </c>
      <c r="AE55">
        <v>0.67757358786488242</v>
      </c>
    </row>
    <row r="56" spans="1:31" x14ac:dyDescent="0.25">
      <c r="A56" s="1" t="s">
        <v>58</v>
      </c>
      <c r="B56" s="1" t="str">
        <f>_xlfn.XLOOKUP(C56,[1]Sheet1!$A$2:$A$173,[1]Sheet1!$D$2:$D$173)</f>
        <v>Western Europe</v>
      </c>
      <c r="C56" s="1" t="str">
        <f>_xlfn.XLOOKUP(D56,[2]Sheet2!D56:D304,[2]Sheet2!C56:C304)</f>
        <v>GRC</v>
      </c>
      <c r="D56" s="1">
        <v>300</v>
      </c>
      <c r="E56">
        <v>0.49029347222099079</v>
      </c>
      <c r="F56">
        <v>0.51671206983796392</v>
      </c>
      <c r="G56">
        <v>0.53889451595635862</v>
      </c>
      <c r="H56">
        <v>0.55801257556704054</v>
      </c>
      <c r="I56">
        <v>0.57627200700645065</v>
      </c>
      <c r="J56">
        <v>0.59580006810206754</v>
      </c>
      <c r="K56">
        <v>0.61506177896944547</v>
      </c>
      <c r="L56">
        <v>0.63506969334563501</v>
      </c>
      <c r="M56">
        <v>0.64951887372318862</v>
      </c>
      <c r="N56">
        <v>0.66533826253679307</v>
      </c>
      <c r="O56">
        <v>0.68063255483649077</v>
      </c>
      <c r="P56">
        <v>0.69733423520806648</v>
      </c>
      <c r="Q56">
        <v>0.71265001556172991</v>
      </c>
      <c r="R56">
        <v>0.72682662308164403</v>
      </c>
      <c r="S56">
        <v>0.73918654156379515</v>
      </c>
      <c r="T56">
        <v>0.75052275942406133</v>
      </c>
      <c r="U56">
        <v>0.76112989726659197</v>
      </c>
      <c r="V56">
        <v>0.77074105843986207</v>
      </c>
      <c r="W56">
        <v>0.78025549395495797</v>
      </c>
      <c r="X56">
        <v>0.78895929142431953</v>
      </c>
      <c r="Y56">
        <v>0.79763690415700106</v>
      </c>
      <c r="Z56">
        <v>0.8057422198966806</v>
      </c>
      <c r="AA56">
        <v>0.81352985898445584</v>
      </c>
      <c r="AB56">
        <v>0.8212490767633015</v>
      </c>
      <c r="AC56">
        <v>0.82840667849559957</v>
      </c>
      <c r="AD56">
        <v>0.83589659201317212</v>
      </c>
      <c r="AE56">
        <v>0.84302591882498568</v>
      </c>
    </row>
    <row r="57" spans="1:31" x14ac:dyDescent="0.25">
      <c r="A57" s="1" t="s">
        <v>59</v>
      </c>
      <c r="B57" s="1" t="str">
        <f>_xlfn.XLOOKUP(C57,[1]Sheet1!$A$2:$A$173,[1]Sheet1!$D$2:$D$173)</f>
        <v>Central America</v>
      </c>
      <c r="C57" s="1" t="str">
        <f>_xlfn.XLOOKUP(D57,[2]Sheet2!D57:D305,[2]Sheet2!C57:C305)</f>
        <v>GTM</v>
      </c>
      <c r="D57" s="1">
        <v>320</v>
      </c>
      <c r="E57">
        <v>0.28526846180739213</v>
      </c>
      <c r="F57">
        <v>0.3100202870383067</v>
      </c>
      <c r="G57">
        <v>0.33320838327331292</v>
      </c>
      <c r="H57">
        <v>0.34741145235427379</v>
      </c>
      <c r="I57">
        <v>0.36553409784234769</v>
      </c>
      <c r="J57">
        <v>0.3865812408713532</v>
      </c>
      <c r="K57">
        <v>0.40796130808084391</v>
      </c>
      <c r="L57">
        <v>0.430117518202494</v>
      </c>
      <c r="M57">
        <v>0.45210993469623117</v>
      </c>
      <c r="N57">
        <v>0.47443695566207772</v>
      </c>
      <c r="O57">
        <v>0.49444415608035741</v>
      </c>
      <c r="P57">
        <v>0.51253036345205871</v>
      </c>
      <c r="Q57">
        <v>0.52794386460343512</v>
      </c>
      <c r="R57">
        <v>0.54314172952038098</v>
      </c>
      <c r="S57">
        <v>0.55824194564022522</v>
      </c>
      <c r="T57">
        <v>0.5726629664466838</v>
      </c>
      <c r="U57">
        <v>0.58695406992809018</v>
      </c>
      <c r="V57">
        <v>0.60075120005457983</v>
      </c>
      <c r="W57">
        <v>0.61410336358089068</v>
      </c>
      <c r="X57">
        <v>0.62708292644425934</v>
      </c>
      <c r="Y57">
        <v>0.63982386134716218</v>
      </c>
      <c r="Z57">
        <v>0.65215491579180362</v>
      </c>
      <c r="AA57">
        <v>0.66457224744701415</v>
      </c>
      <c r="AB57">
        <v>0.67697812348657571</v>
      </c>
      <c r="AC57">
        <v>0.68973911228657914</v>
      </c>
      <c r="AD57">
        <v>0.70207774535994283</v>
      </c>
      <c r="AE57">
        <v>0.7139292448357536</v>
      </c>
    </row>
    <row r="58" spans="1:31" x14ac:dyDescent="0.25">
      <c r="A58" s="1" t="s">
        <v>60</v>
      </c>
      <c r="B58" s="1" t="str">
        <f>_xlfn.XLOOKUP(C58,[1]Sheet1!$A$2:$A$173,[1]Sheet1!$D$2:$D$173)</f>
        <v>Western Africa</v>
      </c>
      <c r="C58" s="1" t="str">
        <f>_xlfn.XLOOKUP(D58,[2]Sheet2!D58:D306,[2]Sheet2!C58:C306)</f>
        <v>GIN</v>
      </c>
      <c r="D58" s="1">
        <v>324</v>
      </c>
      <c r="E58">
        <v>0.12309401063979709</v>
      </c>
      <c r="F58">
        <v>0.14129772550742001</v>
      </c>
      <c r="G58">
        <v>0.15962011234215309</v>
      </c>
      <c r="H58">
        <v>0.17584484673070919</v>
      </c>
      <c r="I58">
        <v>0.19676656047904181</v>
      </c>
      <c r="J58">
        <v>0.21401770491283051</v>
      </c>
      <c r="K58">
        <v>0.22723906335496061</v>
      </c>
      <c r="L58">
        <v>0.25056732137443399</v>
      </c>
      <c r="M58">
        <v>0.27436257374598161</v>
      </c>
      <c r="N58">
        <v>0.29957480295712319</v>
      </c>
      <c r="O58">
        <v>0.3277481685779946</v>
      </c>
      <c r="P58">
        <v>0.35181141342837691</v>
      </c>
      <c r="Q58">
        <v>0.37522689575521051</v>
      </c>
      <c r="R58">
        <v>0.39823453904292472</v>
      </c>
      <c r="S58">
        <v>0.42066161272489799</v>
      </c>
      <c r="T58">
        <v>0.4423798802941048</v>
      </c>
      <c r="U58">
        <v>0.46342187237662907</v>
      </c>
      <c r="V58">
        <v>0.48369773646902492</v>
      </c>
      <c r="W58">
        <v>0.50265874928432019</v>
      </c>
      <c r="X58">
        <v>0.52087055633387547</v>
      </c>
      <c r="Y58">
        <v>0.53823995582131356</v>
      </c>
      <c r="Z58">
        <v>0.55527570469356835</v>
      </c>
      <c r="AA58">
        <v>0.57210150329863241</v>
      </c>
      <c r="AB58">
        <v>0.58852594025084948</v>
      </c>
      <c r="AC58">
        <v>0.60488146299047019</v>
      </c>
      <c r="AD58">
        <v>0.62114147346151083</v>
      </c>
      <c r="AE58">
        <v>0.63688895744039842</v>
      </c>
    </row>
    <row r="59" spans="1:31" x14ac:dyDescent="0.25">
      <c r="A59" s="1" t="s">
        <v>61</v>
      </c>
      <c r="B59" s="1" t="str">
        <f>_xlfn.XLOOKUP(C59,[1]Sheet1!$A$2:$A$173,[1]Sheet1!$D$2:$D$173)</f>
        <v>Western Africa</v>
      </c>
      <c r="C59" s="1" t="str">
        <f>_xlfn.XLOOKUP(D59,[2]Sheet2!D59:D307,[2]Sheet2!C59:C307)</f>
        <v>GNB</v>
      </c>
      <c r="D59" s="1">
        <v>624</v>
      </c>
      <c r="E59">
        <v>9.712182922230593E-2</v>
      </c>
      <c r="F59">
        <v>0.12749221502018471</v>
      </c>
      <c r="G59">
        <v>0.13852227095756761</v>
      </c>
      <c r="H59">
        <v>0.1639149609695052</v>
      </c>
      <c r="I59">
        <v>0.17789462874610479</v>
      </c>
      <c r="J59">
        <v>0.20795892421419279</v>
      </c>
      <c r="K59">
        <v>0.2140692440689401</v>
      </c>
      <c r="L59">
        <v>0.25439197790548762</v>
      </c>
      <c r="M59">
        <v>0.27351682863176358</v>
      </c>
      <c r="N59">
        <v>0.2997809468306199</v>
      </c>
      <c r="O59">
        <v>0.3282265279788858</v>
      </c>
      <c r="P59">
        <v>0.35259617537829252</v>
      </c>
      <c r="Q59">
        <v>0.37279925262320451</v>
      </c>
      <c r="R59">
        <v>0.39245032638197819</v>
      </c>
      <c r="S59">
        <v>0.41098704704536881</v>
      </c>
      <c r="T59">
        <v>0.42947816922498427</v>
      </c>
      <c r="U59">
        <v>0.44755950983238663</v>
      </c>
      <c r="V59">
        <v>0.465700173733473</v>
      </c>
      <c r="W59">
        <v>0.48342035642629388</v>
      </c>
      <c r="X59">
        <v>0.50083184500129962</v>
      </c>
      <c r="Y59">
        <v>0.51767208227380723</v>
      </c>
      <c r="Z59">
        <v>0.53404000641466287</v>
      </c>
      <c r="AA59">
        <v>0.54997617373996388</v>
      </c>
      <c r="AB59">
        <v>0.5655313425716022</v>
      </c>
      <c r="AC59">
        <v>0.58069701020986964</v>
      </c>
      <c r="AD59">
        <v>0.59519444899842977</v>
      </c>
      <c r="AE59">
        <v>0.60935090625938759</v>
      </c>
    </row>
    <row r="60" spans="1:31" x14ac:dyDescent="0.25">
      <c r="A60" s="1" t="s">
        <v>62</v>
      </c>
      <c r="B60" s="1" t="str">
        <f>_xlfn.XLOOKUP(C60,[1]Sheet1!$A$2:$A$173,[1]Sheet1!$D$2:$D$173)</f>
        <v>Brazil</v>
      </c>
      <c r="C60" s="1" t="str">
        <f>_xlfn.XLOOKUP(D60,[2]Sheet2!D60:D308,[2]Sheet2!C60:C308)</f>
        <v>GUY</v>
      </c>
      <c r="D60" s="1">
        <v>328</v>
      </c>
      <c r="E60">
        <v>0.40658715259438422</v>
      </c>
      <c r="F60">
        <v>0.42957288583827141</v>
      </c>
      <c r="G60">
        <v>0.43363002646337578</v>
      </c>
      <c r="H60">
        <v>0.41781732138113642</v>
      </c>
      <c r="I60">
        <v>0.4259028854830389</v>
      </c>
      <c r="J60">
        <v>0.45221127031356601</v>
      </c>
      <c r="K60">
        <v>0.48137417738982602</v>
      </c>
      <c r="L60">
        <v>0.49458313508449708</v>
      </c>
      <c r="M60">
        <v>0.50731448259833078</v>
      </c>
      <c r="N60">
        <v>0.51780880734215751</v>
      </c>
      <c r="O60">
        <v>0.52742381419823592</v>
      </c>
      <c r="P60">
        <v>0.53941519610829503</v>
      </c>
      <c r="Q60">
        <v>0.55153127888685782</v>
      </c>
      <c r="R60">
        <v>0.56426227465381185</v>
      </c>
      <c r="S60">
        <v>0.5771578661847756</v>
      </c>
      <c r="T60">
        <v>0.58968785668239121</v>
      </c>
      <c r="U60">
        <v>0.60202596096135386</v>
      </c>
      <c r="V60">
        <v>0.61370817116947041</v>
      </c>
      <c r="W60">
        <v>0.625093126223075</v>
      </c>
      <c r="X60">
        <v>0.63607535210416688</v>
      </c>
      <c r="Y60">
        <v>0.64647265245668029</v>
      </c>
      <c r="Z60">
        <v>0.65669585049768897</v>
      </c>
      <c r="AA60">
        <v>0.66694212813991516</v>
      </c>
      <c r="AB60">
        <v>0.67710164209346568</v>
      </c>
      <c r="AC60">
        <v>0.68645090048166091</v>
      </c>
      <c r="AD60">
        <v>0.69588289998566633</v>
      </c>
      <c r="AE60">
        <v>0.70495383677771861</v>
      </c>
    </row>
    <row r="61" spans="1:31" x14ac:dyDescent="0.25">
      <c r="A61" s="1" t="s">
        <v>63</v>
      </c>
      <c r="B61" s="1" t="str">
        <f>_xlfn.XLOOKUP(C61,[1]Sheet1!$A$2:$A$173,[1]Sheet1!$D$2:$D$173)</f>
        <v>Central America</v>
      </c>
      <c r="C61" s="1" t="str">
        <f>_xlfn.XLOOKUP(D61,[2]Sheet2!D61:D309,[2]Sheet2!C61:C309)</f>
        <v>HTI</v>
      </c>
      <c r="D61" s="1">
        <v>332</v>
      </c>
      <c r="E61">
        <v>0.19628414375481851</v>
      </c>
      <c r="F61">
        <v>0.21124746023383389</v>
      </c>
      <c r="G61">
        <v>0.23478203936956571</v>
      </c>
      <c r="H61">
        <v>0.24883718609050939</v>
      </c>
      <c r="I61">
        <v>0.26543075095446972</v>
      </c>
      <c r="J61">
        <v>0.28301363600698332</v>
      </c>
      <c r="K61">
        <v>0.30687298625170878</v>
      </c>
      <c r="L61">
        <v>0.32175805753531961</v>
      </c>
      <c r="M61">
        <v>0.34760230622505822</v>
      </c>
      <c r="N61">
        <v>0.37306856722861531</v>
      </c>
      <c r="O61">
        <v>0.39899724446230328</v>
      </c>
      <c r="P61">
        <v>0.42428805161336902</v>
      </c>
      <c r="Q61">
        <v>0.44778674783582068</v>
      </c>
      <c r="R61">
        <v>0.47028254296986588</v>
      </c>
      <c r="S61">
        <v>0.49193064960401067</v>
      </c>
      <c r="T61">
        <v>0.51207869035934184</v>
      </c>
      <c r="U61">
        <v>0.53118010225398227</v>
      </c>
      <c r="V61">
        <v>0.54919616298282747</v>
      </c>
      <c r="W61">
        <v>0.56750652926890965</v>
      </c>
      <c r="X61">
        <v>0.58577559667135437</v>
      </c>
      <c r="Y61">
        <v>0.60356651134259875</v>
      </c>
      <c r="Z61">
        <v>0.62041457942370859</v>
      </c>
      <c r="AA61">
        <v>0.63588394505147672</v>
      </c>
      <c r="AB61">
        <v>0.6503671141907289</v>
      </c>
      <c r="AC61">
        <v>0.66411852176478203</v>
      </c>
      <c r="AD61">
        <v>0.67700682327081096</v>
      </c>
      <c r="AE61">
        <v>0.68914418109326103</v>
      </c>
    </row>
    <row r="62" spans="1:31" x14ac:dyDescent="0.25">
      <c r="A62" s="1" t="s">
        <v>64</v>
      </c>
      <c r="B62" s="1" t="str">
        <f>_xlfn.XLOOKUP(C62,[1]Sheet1!$A$2:$A$173,[1]Sheet1!$D$2:$D$173)</f>
        <v>Central America</v>
      </c>
      <c r="C62" s="1" t="str">
        <f>_xlfn.XLOOKUP(D62,[2]Sheet2!D62:D310,[2]Sheet2!C62:C310)</f>
        <v>HND</v>
      </c>
      <c r="D62" s="1">
        <v>340</v>
      </c>
      <c r="E62">
        <v>0.25428124682765868</v>
      </c>
      <c r="F62">
        <v>0.2830533037455833</v>
      </c>
      <c r="G62">
        <v>0.31236984645620852</v>
      </c>
      <c r="H62">
        <v>0.33731876460728372</v>
      </c>
      <c r="I62">
        <v>0.36109269110602699</v>
      </c>
      <c r="J62">
        <v>0.37793851583298849</v>
      </c>
      <c r="K62">
        <v>0.39672593915600862</v>
      </c>
      <c r="L62">
        <v>0.41431299158797169</v>
      </c>
      <c r="M62">
        <v>0.43107178664705931</v>
      </c>
      <c r="N62">
        <v>0.44850421554349118</v>
      </c>
      <c r="O62">
        <v>0.46569734387808848</v>
      </c>
      <c r="P62">
        <v>0.4824053130676505</v>
      </c>
      <c r="Q62">
        <v>0.49792521785292237</v>
      </c>
      <c r="R62">
        <v>0.51274820438541324</v>
      </c>
      <c r="S62">
        <v>0.52791825057432218</v>
      </c>
      <c r="T62">
        <v>0.5428259174538328</v>
      </c>
      <c r="U62">
        <v>0.55732933943532481</v>
      </c>
      <c r="V62">
        <v>0.57175006699018716</v>
      </c>
      <c r="W62">
        <v>0.58615900099905272</v>
      </c>
      <c r="X62">
        <v>0.60041286857237364</v>
      </c>
      <c r="Y62">
        <v>0.61439662766338854</v>
      </c>
      <c r="Z62">
        <v>0.62839730916311531</v>
      </c>
      <c r="AA62">
        <v>0.64201582879102082</v>
      </c>
      <c r="AB62">
        <v>0.65535946978704906</v>
      </c>
      <c r="AC62">
        <v>0.6692735351927549</v>
      </c>
      <c r="AD62">
        <v>0.68273196526657531</v>
      </c>
      <c r="AE62">
        <v>0.69576058062119517</v>
      </c>
    </row>
    <row r="63" spans="1:31" x14ac:dyDescent="0.25">
      <c r="A63" s="1" t="s">
        <v>65</v>
      </c>
      <c r="B63" s="1" t="str">
        <f>_xlfn.XLOOKUP(C63,[1]Sheet1!$A$2:$A$173,[1]Sheet1!$D$2:$D$173)</f>
        <v>Central Europe</v>
      </c>
      <c r="C63" s="1" t="str">
        <f>_xlfn.XLOOKUP(D63,[2]Sheet2!D63:D311,[2]Sheet2!C63:C311)</f>
        <v>HUN</v>
      </c>
      <c r="D63" s="1">
        <v>348</v>
      </c>
      <c r="E63">
        <v>0.50459938229820678</v>
      </c>
      <c r="F63">
        <v>0.52575174282985737</v>
      </c>
      <c r="G63">
        <v>0.54298903522693698</v>
      </c>
      <c r="H63">
        <v>0.55416777336053791</v>
      </c>
      <c r="I63">
        <v>0.56582540616142218</v>
      </c>
      <c r="J63">
        <v>0.57017941024541907</v>
      </c>
      <c r="K63">
        <v>0.59172201815217451</v>
      </c>
      <c r="L63">
        <v>0.61359340499372117</v>
      </c>
      <c r="M63">
        <v>0.62369642038538897</v>
      </c>
      <c r="N63">
        <v>0.64564327416910738</v>
      </c>
      <c r="O63">
        <v>0.65840144000774015</v>
      </c>
      <c r="P63">
        <v>0.67182273939201487</v>
      </c>
      <c r="Q63">
        <v>0.6830582081729617</v>
      </c>
      <c r="R63">
        <v>0.693117194663324</v>
      </c>
      <c r="S63">
        <v>0.70277732884738353</v>
      </c>
      <c r="T63">
        <v>0.71153268496153554</v>
      </c>
      <c r="U63">
        <v>0.72012416108343935</v>
      </c>
      <c r="V63">
        <v>0.72854115722090373</v>
      </c>
      <c r="W63">
        <v>0.73681428684199735</v>
      </c>
      <c r="X63">
        <v>0.74514120457782429</v>
      </c>
      <c r="Y63">
        <v>0.75359131007108315</v>
      </c>
      <c r="Z63">
        <v>0.76140260525782177</v>
      </c>
      <c r="AA63">
        <v>0.76932867541225081</v>
      </c>
      <c r="AB63">
        <v>0.7770170359294285</v>
      </c>
      <c r="AC63">
        <v>0.78467084768714579</v>
      </c>
      <c r="AD63">
        <v>0.79232308699296272</v>
      </c>
      <c r="AE63">
        <v>0.79962149137206717</v>
      </c>
    </row>
    <row r="64" spans="1:31" x14ac:dyDescent="0.25">
      <c r="A64" s="1" t="s">
        <v>66</v>
      </c>
      <c r="B64" s="1" t="str">
        <f>_xlfn.XLOOKUP(C64,[1]Sheet1!$A$2:$A$173,[1]Sheet1!$D$2:$D$173)</f>
        <v>Western Europe</v>
      </c>
      <c r="C64" s="1" t="str">
        <f>_xlfn.XLOOKUP(D64,[2]Sheet2!D64:D312,[2]Sheet2!C64:C312)</f>
        <v>ISL</v>
      </c>
      <c r="D64" s="1">
        <v>352</v>
      </c>
      <c r="E64">
        <v>0.58359970623503221</v>
      </c>
      <c r="F64">
        <v>0.60869536774697652</v>
      </c>
      <c r="G64">
        <v>0.63462084524262752</v>
      </c>
      <c r="H64">
        <v>0.64827882995190567</v>
      </c>
      <c r="I64">
        <v>0.66272171713057826</v>
      </c>
      <c r="J64">
        <v>0.6698374657790902</v>
      </c>
      <c r="K64">
        <v>0.68732737364158425</v>
      </c>
      <c r="L64">
        <v>0.70631304270067774</v>
      </c>
      <c r="M64">
        <v>0.70987649653458318</v>
      </c>
      <c r="N64">
        <v>0.72527793704645893</v>
      </c>
      <c r="O64">
        <v>0.73763846906200337</v>
      </c>
      <c r="P64">
        <v>0.75186654369289363</v>
      </c>
      <c r="Q64">
        <v>0.76330445603387309</v>
      </c>
      <c r="R64">
        <v>0.77431384867443953</v>
      </c>
      <c r="S64">
        <v>0.78493576878646221</v>
      </c>
      <c r="T64">
        <v>0.7952632648378134</v>
      </c>
      <c r="U64">
        <v>0.80537433096543187</v>
      </c>
      <c r="V64">
        <v>0.815417463147315</v>
      </c>
      <c r="W64">
        <v>0.82506638435655166</v>
      </c>
      <c r="X64">
        <v>0.83470406454400392</v>
      </c>
      <c r="Y64">
        <v>0.84406120010404295</v>
      </c>
      <c r="Z64">
        <v>0.85327101430157215</v>
      </c>
      <c r="AA64">
        <v>0.86216383872879798</v>
      </c>
      <c r="AB64">
        <v>0.87087350593824653</v>
      </c>
      <c r="AC64">
        <v>0.87898238129120798</v>
      </c>
      <c r="AD64">
        <v>0.88711318657920712</v>
      </c>
      <c r="AE64">
        <v>0.8951600507512385</v>
      </c>
    </row>
    <row r="65" spans="1:31" x14ac:dyDescent="0.25">
      <c r="A65" s="1" t="s">
        <v>67</v>
      </c>
      <c r="B65" s="1" t="str">
        <f>_xlfn.XLOOKUP(C65,[1]Sheet1!$A$2:$A$173,[1]Sheet1!$D$2:$D$173)</f>
        <v>India</v>
      </c>
      <c r="C65" s="1" t="str">
        <f>_xlfn.XLOOKUP(D65,[2]Sheet2!D65:D313,[2]Sheet2!C65:C313)</f>
        <v>IND</v>
      </c>
      <c r="D65" s="1">
        <v>356</v>
      </c>
      <c r="E65">
        <v>0.2245192347841376</v>
      </c>
      <c r="F65">
        <v>0.2461875602541074</v>
      </c>
      <c r="G65">
        <v>0.26982311402253362</v>
      </c>
      <c r="H65">
        <v>0.2932896127520605</v>
      </c>
      <c r="I65">
        <v>0.31702834258009049</v>
      </c>
      <c r="J65">
        <v>0.34070143231310368</v>
      </c>
      <c r="K65">
        <v>0.36759614320329392</v>
      </c>
      <c r="L65">
        <v>0.39973695934490588</v>
      </c>
      <c r="M65">
        <v>0.42952546193202629</v>
      </c>
      <c r="N65">
        <v>0.4636222337604069</v>
      </c>
      <c r="O65">
        <v>0.49386164092946822</v>
      </c>
      <c r="P65">
        <v>0.52009704772418941</v>
      </c>
      <c r="Q65">
        <v>0.54346129996845083</v>
      </c>
      <c r="R65">
        <v>0.56348050361925917</v>
      </c>
      <c r="S65">
        <v>0.58169016333706791</v>
      </c>
      <c r="T65">
        <v>0.59806836841587241</v>
      </c>
      <c r="U65">
        <v>0.6138480174484171</v>
      </c>
      <c r="V65">
        <v>0.62900102170354399</v>
      </c>
      <c r="W65">
        <v>0.6437074036290491</v>
      </c>
      <c r="X65">
        <v>0.65790469398168161</v>
      </c>
      <c r="Y65">
        <v>0.67152049771970335</v>
      </c>
      <c r="Z65">
        <v>0.68430029343068088</v>
      </c>
      <c r="AA65">
        <v>0.69687211057029541</v>
      </c>
      <c r="AB65">
        <v>0.70898203909502022</v>
      </c>
      <c r="AC65">
        <v>0.72050294060783948</v>
      </c>
      <c r="AD65">
        <v>0.73162602838060842</v>
      </c>
      <c r="AE65">
        <v>0.74226961551026083</v>
      </c>
    </row>
    <row r="66" spans="1:31" x14ac:dyDescent="0.25">
      <c r="A66" s="1" t="s">
        <v>68</v>
      </c>
      <c r="B66" s="1" t="str">
        <f>_xlfn.XLOOKUP(C66,[1]Sheet1!$A$2:$A$173,[1]Sheet1!$D$2:$D$173)</f>
        <v>Indonesia region</v>
      </c>
      <c r="C66" s="1" t="str">
        <f>_xlfn.XLOOKUP(D66,[2]Sheet2!D66:D314,[2]Sheet2!C66:C314)</f>
        <v>IDN</v>
      </c>
      <c r="D66" s="1">
        <v>360</v>
      </c>
      <c r="E66">
        <v>0.2773452181235011</v>
      </c>
      <c r="F66">
        <v>0.31532820656931021</v>
      </c>
      <c r="G66">
        <v>0.34752538002676631</v>
      </c>
      <c r="H66">
        <v>0.37419316113606399</v>
      </c>
      <c r="I66">
        <v>0.40321635257680749</v>
      </c>
      <c r="J66">
        <v>0.43371004154484982</v>
      </c>
      <c r="K66">
        <v>0.44683155005036568</v>
      </c>
      <c r="L66">
        <v>0.4669224273648318</v>
      </c>
      <c r="M66">
        <v>0.4862863983759097</v>
      </c>
      <c r="N66">
        <v>0.51336191766492467</v>
      </c>
      <c r="O66">
        <v>0.53936489024113921</v>
      </c>
      <c r="P66">
        <v>0.56409681900842856</v>
      </c>
      <c r="Q66">
        <v>0.58431575061446783</v>
      </c>
      <c r="R66">
        <v>0.60205751614695535</v>
      </c>
      <c r="S66">
        <v>0.61775835664336953</v>
      </c>
      <c r="T66">
        <v>0.63216482400463492</v>
      </c>
      <c r="U66">
        <v>0.64656806829749169</v>
      </c>
      <c r="V66">
        <v>0.66053372795376275</v>
      </c>
      <c r="W66">
        <v>0.67405296884184529</v>
      </c>
      <c r="X66">
        <v>0.68649958254567178</v>
      </c>
      <c r="Y66">
        <v>0.69828361517552595</v>
      </c>
      <c r="Z66">
        <v>0.7096517031818188</v>
      </c>
      <c r="AA66">
        <v>0.72055998653323339</v>
      </c>
      <c r="AB66">
        <v>0.73102770875722112</v>
      </c>
      <c r="AC66">
        <v>0.7414332907297132</v>
      </c>
      <c r="AD66">
        <v>0.75136035944091306</v>
      </c>
      <c r="AE66">
        <v>0.76117705311979644</v>
      </c>
    </row>
    <row r="67" spans="1:31" x14ac:dyDescent="0.25">
      <c r="A67" s="1" t="s">
        <v>69</v>
      </c>
      <c r="B67" s="1" t="str">
        <f>_xlfn.XLOOKUP(C67,[1]Sheet1!$A$2:$A$173,[1]Sheet1!$D$2:$D$173)</f>
        <v>Middle East</v>
      </c>
      <c r="C67" s="1" t="str">
        <f>_xlfn.XLOOKUP(D67,[2]Sheet2!D67:D315,[2]Sheet2!C67:C315)</f>
        <v>IRN</v>
      </c>
      <c r="D67" s="1">
        <v>364</v>
      </c>
      <c r="E67">
        <v>0.29526857130766471</v>
      </c>
      <c r="F67">
        <v>0.33986935064993828</v>
      </c>
      <c r="G67">
        <v>0.36204622195659408</v>
      </c>
      <c r="H67">
        <v>0.37086359582229489</v>
      </c>
      <c r="I67">
        <v>0.41393728915286659</v>
      </c>
      <c r="J67">
        <v>0.45868895428277839</v>
      </c>
      <c r="K67">
        <v>0.48814405241427811</v>
      </c>
      <c r="L67">
        <v>0.51651671595417292</v>
      </c>
      <c r="M67">
        <v>0.5415493032073444</v>
      </c>
      <c r="N67">
        <v>0.56757800194605978</v>
      </c>
      <c r="O67">
        <v>0.58461428291064621</v>
      </c>
      <c r="P67">
        <v>0.59954839622332889</v>
      </c>
      <c r="Q67">
        <v>0.61357397860121721</v>
      </c>
      <c r="R67">
        <v>0.6279507378280188</v>
      </c>
      <c r="S67">
        <v>0.64287798356078907</v>
      </c>
      <c r="T67">
        <v>0.65793092931536257</v>
      </c>
      <c r="U67">
        <v>0.6721220815650838</v>
      </c>
      <c r="V67">
        <v>0.68602612791803874</v>
      </c>
      <c r="W67">
        <v>0.69898258215344422</v>
      </c>
      <c r="X67">
        <v>0.71185658554786724</v>
      </c>
      <c r="Y67">
        <v>0.72445144417747109</v>
      </c>
      <c r="Z67">
        <v>0.73622061153957696</v>
      </c>
      <c r="AA67">
        <v>0.74743174651266309</v>
      </c>
      <c r="AB67">
        <v>0.75808199079816929</v>
      </c>
      <c r="AC67">
        <v>0.76846751598213769</v>
      </c>
      <c r="AD67">
        <v>0.77872133013211886</v>
      </c>
      <c r="AE67">
        <v>0.78884273684824513</v>
      </c>
    </row>
    <row r="68" spans="1:31" x14ac:dyDescent="0.25">
      <c r="A68" s="1" t="s">
        <v>70</v>
      </c>
      <c r="B68" s="1" t="str">
        <f>_xlfn.XLOOKUP(C68,[1]Sheet1!$A$2:$A$173,[1]Sheet1!$D$2:$D$173)</f>
        <v>Middle East</v>
      </c>
      <c r="C68" s="1" t="str">
        <f>_xlfn.XLOOKUP(D68,[2]Sheet2!D68:D316,[2]Sheet2!C68:C316)</f>
        <v>IRQ</v>
      </c>
      <c r="D68" s="1">
        <v>368</v>
      </c>
      <c r="E68">
        <v>0.3024537070441074</v>
      </c>
      <c r="F68">
        <v>0.34710725896692779</v>
      </c>
      <c r="G68">
        <v>0.39354084666679268</v>
      </c>
      <c r="H68">
        <v>0.39850447480238899</v>
      </c>
      <c r="I68">
        <v>0.43548116250122421</v>
      </c>
      <c r="J68">
        <v>0.42888827198239571</v>
      </c>
      <c r="K68">
        <v>0.4526664568200045</v>
      </c>
      <c r="L68">
        <v>0.45338926197256368</v>
      </c>
      <c r="M68">
        <v>0.46504330078589418</v>
      </c>
      <c r="N68">
        <v>0.49511654407008038</v>
      </c>
      <c r="O68">
        <v>0.52798933568348272</v>
      </c>
      <c r="P68">
        <v>0.55893833406625804</v>
      </c>
      <c r="Q68">
        <v>0.5810812501708299</v>
      </c>
      <c r="R68">
        <v>0.59955169702315858</v>
      </c>
      <c r="S68">
        <v>0.6156924126710327</v>
      </c>
      <c r="T68">
        <v>0.63030104587389901</v>
      </c>
      <c r="U68">
        <v>0.64419143826810765</v>
      </c>
      <c r="V68">
        <v>0.65766930664150736</v>
      </c>
      <c r="W68">
        <v>0.67122008608282324</v>
      </c>
      <c r="X68">
        <v>0.68440224894357793</v>
      </c>
      <c r="Y68">
        <v>0.69744160030373303</v>
      </c>
      <c r="Z68">
        <v>0.71028624461450662</v>
      </c>
      <c r="AA68">
        <v>0.72313514800333212</v>
      </c>
      <c r="AB68">
        <v>0.73573926253027777</v>
      </c>
      <c r="AC68">
        <v>0.74816496560706292</v>
      </c>
      <c r="AD68">
        <v>0.76032653819402241</v>
      </c>
      <c r="AE68">
        <v>0.77219360598044662</v>
      </c>
    </row>
    <row r="69" spans="1:31" x14ac:dyDescent="0.25">
      <c r="A69" s="1" t="s">
        <v>71</v>
      </c>
      <c r="B69" s="1" t="str">
        <f>_xlfn.XLOOKUP(C69,[1]Sheet1!$A$2:$A$173,[1]Sheet1!$D$2:$D$173)</f>
        <v>Western Europe</v>
      </c>
      <c r="C69" s="1" t="str">
        <f>_xlfn.XLOOKUP(D69,[2]Sheet2!D69:D317,[2]Sheet2!C69:C317)</f>
        <v>IRL</v>
      </c>
      <c r="D69" s="1">
        <v>372</v>
      </c>
      <c r="E69">
        <v>0.5292730530276234</v>
      </c>
      <c r="F69">
        <v>0.54397491004120113</v>
      </c>
      <c r="G69">
        <v>0.5618945612085563</v>
      </c>
      <c r="H69">
        <v>0.57501399520437491</v>
      </c>
      <c r="I69">
        <v>0.59317595471129392</v>
      </c>
      <c r="J69">
        <v>0.61158470042057844</v>
      </c>
      <c r="K69">
        <v>0.64034093064151365</v>
      </c>
      <c r="L69">
        <v>0.66877571309258332</v>
      </c>
      <c r="M69">
        <v>0.68398996331922446</v>
      </c>
      <c r="N69">
        <v>0.69555723650792411</v>
      </c>
      <c r="O69">
        <v>0.7077999126772847</v>
      </c>
      <c r="P69">
        <v>0.72222969376075463</v>
      </c>
      <c r="Q69">
        <v>0.73590437275099096</v>
      </c>
      <c r="R69">
        <v>0.74889593971597423</v>
      </c>
      <c r="S69">
        <v>0.76075860831666098</v>
      </c>
      <c r="T69">
        <v>0.77139235041438714</v>
      </c>
      <c r="U69">
        <v>0.78104266797402555</v>
      </c>
      <c r="V69">
        <v>0.79047113455498463</v>
      </c>
      <c r="W69">
        <v>0.79968356132143803</v>
      </c>
      <c r="X69">
        <v>0.80867185391139773</v>
      </c>
      <c r="Y69">
        <v>0.81715311279738267</v>
      </c>
      <c r="Z69">
        <v>0.82515771343260369</v>
      </c>
      <c r="AA69">
        <v>0.8323710192722511</v>
      </c>
      <c r="AB69">
        <v>0.83884294482407662</v>
      </c>
      <c r="AC69">
        <v>0.84537301822253463</v>
      </c>
      <c r="AD69">
        <v>0.85173945417009611</v>
      </c>
      <c r="AE69">
        <v>0.8583159102245177</v>
      </c>
    </row>
    <row r="70" spans="1:31" x14ac:dyDescent="0.25">
      <c r="A70" s="1" t="s">
        <v>72</v>
      </c>
      <c r="B70" s="1" t="str">
        <f>_xlfn.XLOOKUP(C70,[1]Sheet1!$A$2:$A$173,[1]Sheet1!$D$2:$D$173)</f>
        <v>Middle East</v>
      </c>
      <c r="C70" s="1" t="str">
        <f>_xlfn.XLOOKUP(D70,[2]Sheet2!D70:D318,[2]Sheet2!C70:C318)</f>
        <v>ISR</v>
      </c>
      <c r="D70" s="1">
        <v>376</v>
      </c>
      <c r="E70">
        <v>0.51271703284424885</v>
      </c>
      <c r="F70">
        <v>0.53648155619130722</v>
      </c>
      <c r="G70">
        <v>0.55079869920993985</v>
      </c>
      <c r="H70">
        <v>0.56716145874587365</v>
      </c>
      <c r="I70">
        <v>0.59223649271532131</v>
      </c>
      <c r="J70">
        <v>0.6180303698261177</v>
      </c>
      <c r="K70">
        <v>0.64086428054729627</v>
      </c>
      <c r="L70">
        <v>0.66068262982315207</v>
      </c>
      <c r="M70">
        <v>0.67338825671579283</v>
      </c>
      <c r="N70">
        <v>0.67634625306851193</v>
      </c>
      <c r="O70">
        <v>0.67970741540793356</v>
      </c>
      <c r="P70">
        <v>0.68499912666654106</v>
      </c>
      <c r="Q70">
        <v>0.69186109266951945</v>
      </c>
      <c r="R70">
        <v>0.70017048316205599</v>
      </c>
      <c r="S70">
        <v>0.70900611864019503</v>
      </c>
      <c r="T70">
        <v>0.71812699978235306</v>
      </c>
      <c r="U70">
        <v>0.72707665682996647</v>
      </c>
      <c r="V70">
        <v>0.73553358203545927</v>
      </c>
      <c r="W70">
        <v>0.74429584045567454</v>
      </c>
      <c r="X70">
        <v>0.75272031401568817</v>
      </c>
      <c r="Y70">
        <v>0.76173353047975667</v>
      </c>
      <c r="Z70">
        <v>0.77062820778270391</v>
      </c>
      <c r="AA70">
        <v>0.77970013243864511</v>
      </c>
      <c r="AB70">
        <v>0.78850331834286858</v>
      </c>
      <c r="AC70">
        <v>0.7973255987722333</v>
      </c>
      <c r="AD70">
        <v>0.80594948156658153</v>
      </c>
      <c r="AE70">
        <v>0.8143741924336706</v>
      </c>
    </row>
    <row r="71" spans="1:31" x14ac:dyDescent="0.25">
      <c r="A71" s="1" t="s">
        <v>73</v>
      </c>
      <c r="B71" s="1" t="str">
        <f>_xlfn.XLOOKUP(C71,[1]Sheet1!$A$2:$A$173,[1]Sheet1!$D$2:$D$173)</f>
        <v>Western Europe</v>
      </c>
      <c r="C71" s="1" t="str">
        <f>_xlfn.XLOOKUP(D71,[2]Sheet2!D71:D319,[2]Sheet2!C71:C319)</f>
        <v>ITA</v>
      </c>
      <c r="D71" s="1">
        <v>380</v>
      </c>
      <c r="E71">
        <v>0.49655044605413068</v>
      </c>
      <c r="F71">
        <v>0.5185361834281963</v>
      </c>
      <c r="G71">
        <v>0.54378985341638697</v>
      </c>
      <c r="H71">
        <v>0.56492460445200221</v>
      </c>
      <c r="I71">
        <v>0.58759881570687611</v>
      </c>
      <c r="J71">
        <v>0.60400532402309404</v>
      </c>
      <c r="K71">
        <v>0.62103102683122946</v>
      </c>
      <c r="L71">
        <v>0.6365331915573591</v>
      </c>
      <c r="M71">
        <v>0.64769265293296219</v>
      </c>
      <c r="N71">
        <v>0.6706455187997904</v>
      </c>
      <c r="O71">
        <v>0.68913992995006357</v>
      </c>
      <c r="P71">
        <v>0.70939773779250015</v>
      </c>
      <c r="Q71">
        <v>0.72737143517116554</v>
      </c>
      <c r="R71">
        <v>0.74348957968175933</v>
      </c>
      <c r="S71">
        <v>0.75791578878908261</v>
      </c>
      <c r="T71">
        <v>0.77111533973628421</v>
      </c>
      <c r="U71">
        <v>0.7829383288916355</v>
      </c>
      <c r="V71">
        <v>0.7943920426941804</v>
      </c>
      <c r="W71">
        <v>0.80579733840477419</v>
      </c>
      <c r="X71">
        <v>0.81684765330007791</v>
      </c>
      <c r="Y71">
        <v>0.82753310896713761</v>
      </c>
      <c r="Z71">
        <v>0.83751515587719239</v>
      </c>
      <c r="AA71">
        <v>0.8470447843534139</v>
      </c>
      <c r="AB71">
        <v>0.85617707183014191</v>
      </c>
      <c r="AC71">
        <v>0.8653471514939115</v>
      </c>
      <c r="AD71">
        <v>0.87380996668949806</v>
      </c>
      <c r="AE71">
        <v>0.88245106319753064</v>
      </c>
    </row>
    <row r="72" spans="1:31" x14ac:dyDescent="0.25">
      <c r="A72" s="1" t="s">
        <v>74</v>
      </c>
      <c r="B72" s="1" t="str">
        <f>_xlfn.XLOOKUP(C72,[1]Sheet1!$A$2:$A$173,[1]Sheet1!$D$2:$D$173)</f>
        <v>Central America</v>
      </c>
      <c r="C72" s="1" t="str">
        <f>_xlfn.XLOOKUP(D72,[2]Sheet2!D72:D320,[2]Sheet2!C72:C320)</f>
        <v>JAM</v>
      </c>
      <c r="D72" s="1">
        <v>388</v>
      </c>
      <c r="E72">
        <v>0.4497135393095123</v>
      </c>
      <c r="F72">
        <v>0.472462021533469</v>
      </c>
      <c r="G72">
        <v>0.4882383647911071</v>
      </c>
      <c r="H72">
        <v>0.50667596870111931</v>
      </c>
      <c r="I72">
        <v>0.52696489840759619</v>
      </c>
      <c r="J72">
        <v>0.5393388086123535</v>
      </c>
      <c r="K72">
        <v>0.54864311283481937</v>
      </c>
      <c r="L72">
        <v>0.55904774378651645</v>
      </c>
      <c r="M72">
        <v>0.56926712473859054</v>
      </c>
      <c r="N72">
        <v>0.58264295240142705</v>
      </c>
      <c r="O72">
        <v>0.59821792904755311</v>
      </c>
      <c r="P72">
        <v>0.61575159487629494</v>
      </c>
      <c r="Q72">
        <v>0.63175146476983168</v>
      </c>
      <c r="R72">
        <v>0.64491531982935457</v>
      </c>
      <c r="S72">
        <v>0.65663292766879489</v>
      </c>
      <c r="T72">
        <v>0.66760215761567032</v>
      </c>
      <c r="U72">
        <v>0.67735493783542777</v>
      </c>
      <c r="V72">
        <v>0.68636711521415261</v>
      </c>
      <c r="W72">
        <v>0.69478562662479126</v>
      </c>
      <c r="X72">
        <v>0.70314670273614699</v>
      </c>
      <c r="Y72">
        <v>0.71163859342611469</v>
      </c>
      <c r="Z72">
        <v>0.72053445135707461</v>
      </c>
      <c r="AA72">
        <v>0.72958161645250386</v>
      </c>
      <c r="AB72">
        <v>0.73890631418069386</v>
      </c>
      <c r="AC72">
        <v>0.74805281446381733</v>
      </c>
      <c r="AD72">
        <v>0.75702311888263707</v>
      </c>
      <c r="AE72">
        <v>0.76609433180560893</v>
      </c>
    </row>
    <row r="73" spans="1:31" x14ac:dyDescent="0.25">
      <c r="A73" s="1" t="s">
        <v>75</v>
      </c>
      <c r="B73" s="1" t="str">
        <f>_xlfn.XLOOKUP(C73,[1]Sheet1!$A$2:$A$173,[1]Sheet1!$D$2:$D$173)</f>
        <v>Japan</v>
      </c>
      <c r="C73" s="1" t="str">
        <f>_xlfn.XLOOKUP(D73,[2]Sheet2!D73:D321,[2]Sheet2!C73:C321)</f>
        <v>JPN</v>
      </c>
      <c r="D73" s="1">
        <v>392</v>
      </c>
      <c r="E73">
        <v>0.59315722214953748</v>
      </c>
      <c r="F73">
        <v>0.61258281423767902</v>
      </c>
      <c r="G73">
        <v>0.63334554796865594</v>
      </c>
      <c r="H73">
        <v>0.64985333840329396</v>
      </c>
      <c r="I73">
        <v>0.66995383419991217</v>
      </c>
      <c r="J73">
        <v>0.6825974590762488</v>
      </c>
      <c r="K73">
        <v>0.69496315006878417</v>
      </c>
      <c r="L73">
        <v>0.70850410084509174</v>
      </c>
      <c r="M73">
        <v>0.71598575228144468</v>
      </c>
      <c r="N73">
        <v>0.71875272213296715</v>
      </c>
      <c r="O73">
        <v>0.72710242957978377</v>
      </c>
      <c r="P73">
        <v>0.73731822834785321</v>
      </c>
      <c r="Q73">
        <v>0.74726484313762198</v>
      </c>
      <c r="R73">
        <v>0.7577283569654113</v>
      </c>
      <c r="S73">
        <v>0.76723282695915374</v>
      </c>
      <c r="T73">
        <v>0.77686746998756429</v>
      </c>
      <c r="U73">
        <v>0.78556930529588398</v>
      </c>
      <c r="V73">
        <v>0.79392008444795426</v>
      </c>
      <c r="W73">
        <v>0.80213494484801851</v>
      </c>
      <c r="X73">
        <v>0.81041746724017161</v>
      </c>
      <c r="Y73">
        <v>0.81869094223952321</v>
      </c>
      <c r="Z73">
        <v>0.82691796254389982</v>
      </c>
      <c r="AA73">
        <v>0.8347340098147219</v>
      </c>
      <c r="AB73">
        <v>0.84234212781435358</v>
      </c>
      <c r="AC73">
        <v>0.84978264515944746</v>
      </c>
      <c r="AD73">
        <v>0.85689087337357406</v>
      </c>
      <c r="AE73">
        <v>0.8641856051174519</v>
      </c>
    </row>
    <row r="74" spans="1:31" x14ac:dyDescent="0.25">
      <c r="A74" s="1" t="s">
        <v>76</v>
      </c>
      <c r="B74" s="1" t="str">
        <f>_xlfn.XLOOKUP(C74,[1]Sheet1!$A$2:$A$173,[1]Sheet1!$D$2:$D$173)</f>
        <v>Middle East</v>
      </c>
      <c r="C74" s="1" t="str">
        <f>_xlfn.XLOOKUP(D74,[2]Sheet2!D74:D322,[2]Sheet2!C74:C322)</f>
        <v>JOR</v>
      </c>
      <c r="D74" s="1">
        <v>400</v>
      </c>
      <c r="E74">
        <v>0.36216515398951732</v>
      </c>
      <c r="F74">
        <v>0.39460888579317832</v>
      </c>
      <c r="G74">
        <v>0.44510916965354708</v>
      </c>
      <c r="H74">
        <v>0.46417783071606122</v>
      </c>
      <c r="I74">
        <v>0.4789505963385407</v>
      </c>
      <c r="J74">
        <v>0.49781352113697819</v>
      </c>
      <c r="K74">
        <v>0.50392825264432817</v>
      </c>
      <c r="L74">
        <v>0.52069997806820179</v>
      </c>
      <c r="M74">
        <v>0.53074672637542197</v>
      </c>
      <c r="N74">
        <v>0.55110814052335955</v>
      </c>
      <c r="O74">
        <v>0.57121547088112479</v>
      </c>
      <c r="P74">
        <v>0.59088015410527228</v>
      </c>
      <c r="Q74">
        <v>0.60750185504848753</v>
      </c>
      <c r="R74">
        <v>0.62238875730920928</v>
      </c>
      <c r="S74">
        <v>0.63511907240952059</v>
      </c>
      <c r="T74">
        <v>0.64752223426853617</v>
      </c>
      <c r="U74">
        <v>0.65889458694312864</v>
      </c>
      <c r="V74">
        <v>0.67001019026309427</v>
      </c>
      <c r="W74">
        <v>0.68071091947427487</v>
      </c>
      <c r="X74">
        <v>0.6908737311829789</v>
      </c>
      <c r="Y74">
        <v>0.70098696625830725</v>
      </c>
      <c r="Z74">
        <v>0.71067474094035243</v>
      </c>
      <c r="AA74">
        <v>0.71976484671311258</v>
      </c>
      <c r="AB74">
        <v>0.72867111234249238</v>
      </c>
      <c r="AC74">
        <v>0.73708153288248923</v>
      </c>
      <c r="AD74">
        <v>0.74541212944248514</v>
      </c>
      <c r="AE74">
        <v>0.75329751882607443</v>
      </c>
    </row>
    <row r="75" spans="1:31" x14ac:dyDescent="0.25">
      <c r="A75" s="1" t="s">
        <v>77</v>
      </c>
      <c r="B75" s="1" t="str">
        <f>_xlfn.XLOOKUP(C75,[1]Sheet1!$A$2:$A$173,[1]Sheet1!$D$2:$D$173)</f>
        <v>Central Asia</v>
      </c>
      <c r="C75" s="1" t="str">
        <f>_xlfn.XLOOKUP(D75,[2]Sheet2!D75:D323,[2]Sheet2!C75:C323)</f>
        <v>KAZ</v>
      </c>
      <c r="D75" s="1">
        <v>398</v>
      </c>
      <c r="E75">
        <v>0.37563057049418758</v>
      </c>
      <c r="F75">
        <v>0.4075922568446726</v>
      </c>
      <c r="G75">
        <v>0.43641426602207661</v>
      </c>
      <c r="H75">
        <v>0.46589153676591688</v>
      </c>
      <c r="I75">
        <v>0.49278926252052929</v>
      </c>
      <c r="J75">
        <v>0.50996506579210399</v>
      </c>
      <c r="K75">
        <v>0.51219544419419816</v>
      </c>
      <c r="L75">
        <v>0.54901818862240348</v>
      </c>
      <c r="M75">
        <v>0.57205540146624989</v>
      </c>
      <c r="N75">
        <v>0.60215210896014559</v>
      </c>
      <c r="O75">
        <v>0.6175591812322424</v>
      </c>
      <c r="P75">
        <v>0.6288844275364105</v>
      </c>
      <c r="Q75">
        <v>0.63830165946074746</v>
      </c>
      <c r="R75">
        <v>0.64803181837481794</v>
      </c>
      <c r="S75">
        <v>0.65657477671758424</v>
      </c>
      <c r="T75">
        <v>0.66480222636868558</v>
      </c>
      <c r="U75">
        <v>0.67275265478307811</v>
      </c>
      <c r="V75">
        <v>0.68051069053683133</v>
      </c>
      <c r="W75">
        <v>0.68829999304351763</v>
      </c>
      <c r="X75">
        <v>0.69668349083573355</v>
      </c>
      <c r="Y75">
        <v>0.70500028622794553</v>
      </c>
      <c r="Z75">
        <v>0.71337460118545049</v>
      </c>
      <c r="AA75">
        <v>0.72158725960530201</v>
      </c>
      <c r="AB75">
        <v>0.72937468255647986</v>
      </c>
      <c r="AC75">
        <v>0.73716782468780895</v>
      </c>
      <c r="AD75">
        <v>0.74513502831781908</v>
      </c>
      <c r="AE75">
        <v>0.7531440349067946</v>
      </c>
    </row>
    <row r="76" spans="1:31" x14ac:dyDescent="0.25">
      <c r="A76" s="1" t="s">
        <v>78</v>
      </c>
      <c r="B76" s="1" t="str">
        <f>_xlfn.XLOOKUP(C76,[1]Sheet1!$A$2:$A$173,[1]Sheet1!$D$2:$D$173)</f>
        <v>Eastern Africa</v>
      </c>
      <c r="C76" s="1" t="str">
        <f>_xlfn.XLOOKUP(D76,[2]Sheet2!D76:D324,[2]Sheet2!C76:C324)</f>
        <v>KEN</v>
      </c>
      <c r="D76" s="1">
        <v>404</v>
      </c>
      <c r="E76">
        <v>0.2494014020742101</v>
      </c>
      <c r="F76">
        <v>0.27727618274913352</v>
      </c>
      <c r="G76">
        <v>0.30798943986206739</v>
      </c>
      <c r="H76">
        <v>0.32739029270019188</v>
      </c>
      <c r="I76">
        <v>0.35007270684093739</v>
      </c>
      <c r="J76">
        <v>0.35045397882083029</v>
      </c>
      <c r="K76">
        <v>0.34589428967093527</v>
      </c>
      <c r="L76">
        <v>0.35420493273638809</v>
      </c>
      <c r="M76">
        <v>0.38249705856155902</v>
      </c>
      <c r="N76">
        <v>0.42083991307896079</v>
      </c>
      <c r="O76">
        <v>0.45028028161497702</v>
      </c>
      <c r="P76">
        <v>0.47663482265677443</v>
      </c>
      <c r="Q76">
        <v>0.49683941673728482</v>
      </c>
      <c r="R76">
        <v>0.51503497120171693</v>
      </c>
      <c r="S76">
        <v>0.53171656199774664</v>
      </c>
      <c r="T76">
        <v>0.54730126019858016</v>
      </c>
      <c r="U76">
        <v>0.56156269169735684</v>
      </c>
      <c r="V76">
        <v>0.57500876237752752</v>
      </c>
      <c r="W76">
        <v>0.58791095903706381</v>
      </c>
      <c r="X76">
        <v>0.59998259919316232</v>
      </c>
      <c r="Y76">
        <v>0.61151931738425669</v>
      </c>
      <c r="Z76">
        <v>0.62257053350142222</v>
      </c>
      <c r="AA76">
        <v>0.63314603293048421</v>
      </c>
      <c r="AB76">
        <v>0.64328543766534474</v>
      </c>
      <c r="AC76">
        <v>0.65277437027761798</v>
      </c>
      <c r="AD76">
        <v>0.66183242224617678</v>
      </c>
      <c r="AE76">
        <v>0.67063265333343758</v>
      </c>
    </row>
    <row r="77" spans="1:31" x14ac:dyDescent="0.25">
      <c r="A77" s="1" t="s">
        <v>79</v>
      </c>
      <c r="B77" s="1" t="str">
        <f>_xlfn.XLOOKUP(C77,[1]Sheet1!$A$2:$A$173,[1]Sheet1!$D$2:$D$173)</f>
        <v>Middle East</v>
      </c>
      <c r="C77" s="1" t="str">
        <f>_xlfn.XLOOKUP(D77,[2]Sheet2!D77:D325,[2]Sheet2!C77:C325)</f>
        <v>KWT</v>
      </c>
      <c r="D77" s="1">
        <v>414</v>
      </c>
      <c r="E77">
        <v>0.41130013705335611</v>
      </c>
      <c r="F77">
        <v>0.43966963290518418</v>
      </c>
      <c r="G77">
        <v>0.47308866742600991</v>
      </c>
      <c r="H77">
        <v>0.50155854394914667</v>
      </c>
      <c r="I77">
        <v>0.51537954405980635</v>
      </c>
      <c r="J77">
        <v>0.55292892501101265</v>
      </c>
      <c r="K77">
        <v>0.55870410158147699</v>
      </c>
      <c r="L77">
        <v>0.57629212371045913</v>
      </c>
      <c r="M77">
        <v>0.58630148862703002</v>
      </c>
      <c r="N77">
        <v>0.59426253939599483</v>
      </c>
      <c r="O77">
        <v>0.60313828715140572</v>
      </c>
      <c r="P77">
        <v>0.61123383623970984</v>
      </c>
      <c r="Q77">
        <v>0.61805221866361149</v>
      </c>
      <c r="R77">
        <v>0.62767656632282987</v>
      </c>
      <c r="S77">
        <v>0.63921017555163284</v>
      </c>
      <c r="T77">
        <v>0.65188354196245279</v>
      </c>
      <c r="U77">
        <v>0.66542822639804777</v>
      </c>
      <c r="V77">
        <v>0.67989562947282955</v>
      </c>
      <c r="W77">
        <v>0.69444138333013894</v>
      </c>
      <c r="X77">
        <v>0.70926070028257215</v>
      </c>
      <c r="Y77">
        <v>0.72323003568181055</v>
      </c>
      <c r="Z77">
        <v>0.73654008131614623</v>
      </c>
      <c r="AA77">
        <v>0.7489460991529312</v>
      </c>
      <c r="AB77">
        <v>0.76040407685880507</v>
      </c>
      <c r="AC77">
        <v>0.77101716103717788</v>
      </c>
      <c r="AD77">
        <v>0.78150527657183222</v>
      </c>
      <c r="AE77">
        <v>0.79156912170208349</v>
      </c>
    </row>
    <row r="78" spans="1:31" x14ac:dyDescent="0.25">
      <c r="A78" s="1" t="s">
        <v>80</v>
      </c>
      <c r="B78" s="1" t="str">
        <f>_xlfn.XLOOKUP(C78,[1]Sheet1!$A$2:$A$173,[1]Sheet1!$D$2:$D$173)</f>
        <v>Central Asia</v>
      </c>
      <c r="C78" s="1" t="str">
        <f>_xlfn.XLOOKUP(D78,[2]Sheet2!D78:D326,[2]Sheet2!C78:C326)</f>
        <v>KGZ</v>
      </c>
      <c r="D78" s="1">
        <v>417</v>
      </c>
      <c r="E78">
        <v>0.31584238075732241</v>
      </c>
      <c r="F78">
        <v>0.34545343183522692</v>
      </c>
      <c r="G78">
        <v>0.3721686848054831</v>
      </c>
      <c r="H78">
        <v>0.39861052733545282</v>
      </c>
      <c r="I78">
        <v>0.42331769218556381</v>
      </c>
      <c r="J78">
        <v>0.43967300771266687</v>
      </c>
      <c r="K78">
        <v>0.45747203987933099</v>
      </c>
      <c r="L78">
        <v>0.47513902899545668</v>
      </c>
      <c r="M78">
        <v>0.49168169721305</v>
      </c>
      <c r="N78">
        <v>0.53369001282084805</v>
      </c>
      <c r="O78">
        <v>0.57139685935857953</v>
      </c>
      <c r="P78">
        <v>0.60386321424259126</v>
      </c>
      <c r="Q78">
        <v>0.62514037446683357</v>
      </c>
      <c r="R78">
        <v>0.64117760479752828</v>
      </c>
      <c r="S78">
        <v>0.65279431442464442</v>
      </c>
      <c r="T78">
        <v>0.66217729178519258</v>
      </c>
      <c r="U78">
        <v>0.67002800759420911</v>
      </c>
      <c r="V78">
        <v>0.67780290936216481</v>
      </c>
      <c r="W78">
        <v>0.6850272601161711</v>
      </c>
      <c r="X78">
        <v>0.69276210092670887</v>
      </c>
      <c r="Y78">
        <v>0.70026234156217859</v>
      </c>
      <c r="Z78">
        <v>0.70826570251662835</v>
      </c>
      <c r="AA78">
        <v>0.71572684571633116</v>
      </c>
      <c r="AB78">
        <v>0.72315858475546879</v>
      </c>
      <c r="AC78">
        <v>0.73039188834220148</v>
      </c>
      <c r="AD78">
        <v>0.73777135280792694</v>
      </c>
      <c r="AE78">
        <v>0.74515425856262296</v>
      </c>
    </row>
    <row r="79" spans="1:31" x14ac:dyDescent="0.25">
      <c r="A79" s="1" t="s">
        <v>81</v>
      </c>
      <c r="B79" s="1" t="str">
        <f>_xlfn.XLOOKUP(C79,[1]Sheet1!$A$2:$A$173,[1]Sheet1!$D$2:$D$173)</f>
        <v>Southeastern Asia</v>
      </c>
      <c r="C79" s="1" t="str">
        <f>_xlfn.XLOOKUP(D79,[2]Sheet2!D79:D327,[2]Sheet2!C79:C327)</f>
        <v>LAO</v>
      </c>
      <c r="D79" s="1">
        <v>418</v>
      </c>
      <c r="E79">
        <v>0.20503649425847609</v>
      </c>
      <c r="F79">
        <v>0.22944941424912099</v>
      </c>
      <c r="G79">
        <v>0.24777547904163291</v>
      </c>
      <c r="H79">
        <v>0.27658459783309752</v>
      </c>
      <c r="I79">
        <v>0.29423354717796107</v>
      </c>
      <c r="J79">
        <v>0.31697519690106152</v>
      </c>
      <c r="K79">
        <v>0.3368205588470935</v>
      </c>
      <c r="L79">
        <v>0.36316007590504518</v>
      </c>
      <c r="M79">
        <v>0.40034435531143958</v>
      </c>
      <c r="N79">
        <v>0.43434444677610728</v>
      </c>
      <c r="O79">
        <v>0.46089199580835583</v>
      </c>
      <c r="P79">
        <v>0.47957882869866431</v>
      </c>
      <c r="Q79">
        <v>0.49531613300284122</v>
      </c>
      <c r="R79">
        <v>0.51085965658677024</v>
      </c>
      <c r="S79">
        <v>0.52642882597961194</v>
      </c>
      <c r="T79">
        <v>0.54143899685770025</v>
      </c>
      <c r="U79">
        <v>0.55607285727977163</v>
      </c>
      <c r="V79">
        <v>0.57075748594980835</v>
      </c>
      <c r="W79">
        <v>0.5851827257851121</v>
      </c>
      <c r="X79">
        <v>0.59979338360917822</v>
      </c>
      <c r="Y79">
        <v>0.61410468841543764</v>
      </c>
      <c r="Z79">
        <v>0.62815087479955389</v>
      </c>
      <c r="AA79">
        <v>0.64169280115015082</v>
      </c>
      <c r="AB79">
        <v>0.65504491796845887</v>
      </c>
      <c r="AC79">
        <v>0.66823401596225906</v>
      </c>
      <c r="AD79">
        <v>0.68104618601258815</v>
      </c>
      <c r="AE79">
        <v>0.69273318193564815</v>
      </c>
    </row>
    <row r="80" spans="1:31" x14ac:dyDescent="0.25">
      <c r="A80" s="1" t="s">
        <v>82</v>
      </c>
      <c r="B80" s="1" t="str">
        <f>_xlfn.XLOOKUP(C80,[1]Sheet1!$A$2:$A$173,[1]Sheet1!$D$2:$D$173)</f>
        <v>Central Europe</v>
      </c>
      <c r="C80" s="1" t="str">
        <f>_xlfn.XLOOKUP(D80,[2]Sheet2!D80:D328,[2]Sheet2!C80:C328)</f>
        <v>LVA</v>
      </c>
      <c r="D80" s="1">
        <v>428</v>
      </c>
      <c r="E80">
        <v>0.4888772570390989</v>
      </c>
      <c r="F80">
        <v>0.50564235165750593</v>
      </c>
      <c r="G80">
        <v>0.51997686379659724</v>
      </c>
      <c r="H80">
        <v>0.53794353877362699</v>
      </c>
      <c r="I80">
        <v>0.55846634011638863</v>
      </c>
      <c r="J80">
        <v>0.56288490390271573</v>
      </c>
      <c r="K80">
        <v>0.58210021562178726</v>
      </c>
      <c r="L80">
        <v>0.60935115066352341</v>
      </c>
      <c r="M80">
        <v>0.61523232776618397</v>
      </c>
      <c r="N80">
        <v>0.64074075514811246</v>
      </c>
      <c r="O80">
        <v>0.65321598469468944</v>
      </c>
      <c r="P80">
        <v>0.66573079771465649</v>
      </c>
      <c r="Q80">
        <v>0.67558279825780021</v>
      </c>
      <c r="R80">
        <v>0.68348579152195765</v>
      </c>
      <c r="S80">
        <v>0.69094399956984409</v>
      </c>
      <c r="T80">
        <v>0.69804977128551782</v>
      </c>
      <c r="U80">
        <v>0.7047641633525713</v>
      </c>
      <c r="V80">
        <v>0.71156743296695968</v>
      </c>
      <c r="W80">
        <v>0.71860278404057321</v>
      </c>
      <c r="X80">
        <v>0.72661785835219661</v>
      </c>
      <c r="Y80">
        <v>0.73504516243562545</v>
      </c>
      <c r="Z80">
        <v>0.74375551524829897</v>
      </c>
      <c r="AA80">
        <v>0.7522981722842943</v>
      </c>
      <c r="AB80">
        <v>0.76120492742891532</v>
      </c>
      <c r="AC80">
        <v>0.76958082281132634</v>
      </c>
      <c r="AD80">
        <v>0.77812931813681863</v>
      </c>
      <c r="AE80">
        <v>0.78653125724410755</v>
      </c>
    </row>
    <row r="81" spans="1:31" x14ac:dyDescent="0.25">
      <c r="A81" s="1" t="s">
        <v>83</v>
      </c>
      <c r="B81" s="1" t="str">
        <f>_xlfn.XLOOKUP(C81,[1]Sheet1!$A$2:$A$173,[1]Sheet1!$D$2:$D$173)</f>
        <v>Middle East</v>
      </c>
      <c r="C81" s="1" t="str">
        <f>_xlfn.XLOOKUP(D81,[2]Sheet2!D81:D329,[2]Sheet2!C81:C329)</f>
        <v>LBN</v>
      </c>
      <c r="D81" s="1">
        <v>422</v>
      </c>
      <c r="E81">
        <v>0.41867286502192369</v>
      </c>
      <c r="F81">
        <v>0.45208860351254482</v>
      </c>
      <c r="G81">
        <v>0.46683252449463031</v>
      </c>
      <c r="H81">
        <v>0.50118717462364915</v>
      </c>
      <c r="I81">
        <v>0.48898069271772759</v>
      </c>
      <c r="J81">
        <v>0.51649195172438767</v>
      </c>
      <c r="K81">
        <v>0.5322345898178823</v>
      </c>
      <c r="L81">
        <v>0.55625025707919817</v>
      </c>
      <c r="M81">
        <v>0.58700284181975593</v>
      </c>
      <c r="N81">
        <v>0.61223197909514571</v>
      </c>
      <c r="O81">
        <v>0.63016806550075943</v>
      </c>
      <c r="P81">
        <v>0.64350739673194879</v>
      </c>
      <c r="Q81">
        <v>0.65404763145538458</v>
      </c>
      <c r="R81">
        <v>0.66520583268778766</v>
      </c>
      <c r="S81">
        <v>0.67627930940556813</v>
      </c>
      <c r="T81">
        <v>0.6872508920014081</v>
      </c>
      <c r="U81">
        <v>0.69796899370568088</v>
      </c>
      <c r="V81">
        <v>0.70772735009790655</v>
      </c>
      <c r="W81">
        <v>0.71650038626009216</v>
      </c>
      <c r="X81">
        <v>0.72535865999460625</v>
      </c>
      <c r="Y81">
        <v>0.73378232171254909</v>
      </c>
      <c r="Z81">
        <v>0.74274762501222547</v>
      </c>
      <c r="AA81">
        <v>0.75144602274422467</v>
      </c>
      <c r="AB81">
        <v>0.75999998053009243</v>
      </c>
      <c r="AC81">
        <v>0.76873376441831831</v>
      </c>
      <c r="AD81">
        <v>0.77689201980297817</v>
      </c>
      <c r="AE81">
        <v>0.78484705613094752</v>
      </c>
    </row>
    <row r="82" spans="1:31" x14ac:dyDescent="0.25">
      <c r="A82" s="1" t="s">
        <v>84</v>
      </c>
      <c r="B82" s="1" t="str">
        <f>_xlfn.XLOOKUP(C82,[1]Sheet1!$A$2:$A$173,[1]Sheet1!$D$2:$D$173)</f>
        <v>Rest of Southern Africa</v>
      </c>
      <c r="C82" s="1" t="str">
        <f>_xlfn.XLOOKUP(D82,[2]Sheet2!D82:D330,[2]Sheet2!C82:C330)</f>
        <v>LSO</v>
      </c>
      <c r="D82" s="1">
        <v>426</v>
      </c>
      <c r="E82">
        <v>0.2352855727025259</v>
      </c>
      <c r="F82">
        <v>0.25407754391369569</v>
      </c>
      <c r="G82">
        <v>0.2804171564105718</v>
      </c>
      <c r="H82">
        <v>0.29761325133429017</v>
      </c>
      <c r="I82">
        <v>0.3211943727818371</v>
      </c>
      <c r="J82">
        <v>0.34120976399715092</v>
      </c>
      <c r="K82">
        <v>0.33345655157828391</v>
      </c>
      <c r="L82">
        <v>0.31699732968321398</v>
      </c>
      <c r="M82">
        <v>0.34417108131145913</v>
      </c>
      <c r="N82">
        <v>0.36548876064036062</v>
      </c>
      <c r="O82">
        <v>0.38519176915829478</v>
      </c>
      <c r="P82">
        <v>0.40099078352046802</v>
      </c>
      <c r="Q82">
        <v>0.41693962485682151</v>
      </c>
      <c r="R82">
        <v>0.43481098895388121</v>
      </c>
      <c r="S82">
        <v>0.45262293142223092</v>
      </c>
      <c r="T82">
        <v>0.46996031903231461</v>
      </c>
      <c r="U82">
        <v>0.48669091870208742</v>
      </c>
      <c r="V82">
        <v>0.50327776146345315</v>
      </c>
      <c r="W82">
        <v>0.51941766992462646</v>
      </c>
      <c r="X82">
        <v>0.53564121765317341</v>
      </c>
      <c r="Y82">
        <v>0.55142833322245999</v>
      </c>
      <c r="Z82">
        <v>0.56691993533789808</v>
      </c>
      <c r="AA82">
        <v>0.58167523210362693</v>
      </c>
      <c r="AB82">
        <v>0.59643242541443608</v>
      </c>
      <c r="AC82">
        <v>0.61095253504691671</v>
      </c>
      <c r="AD82">
        <v>0.62508378078948279</v>
      </c>
      <c r="AE82">
        <v>0.63812872085381345</v>
      </c>
    </row>
    <row r="83" spans="1:31" x14ac:dyDescent="0.25">
      <c r="A83" s="1" t="s">
        <v>85</v>
      </c>
      <c r="B83" s="1" t="str">
        <f>_xlfn.XLOOKUP(C83,[1]Sheet1!$A$2:$A$173,[1]Sheet1!$D$2:$D$173)</f>
        <v>Western Africa</v>
      </c>
      <c r="C83" s="1" t="str">
        <f>_xlfn.XLOOKUP(D83,[2]Sheet2!D83:D331,[2]Sheet2!C83:C331)</f>
        <v>LBR</v>
      </c>
      <c r="D83" s="1">
        <v>430</v>
      </c>
      <c r="E83">
        <v>0.1689616015442458</v>
      </c>
      <c r="F83">
        <v>0.19282007074876889</v>
      </c>
      <c r="G83">
        <v>0.22018279356197951</v>
      </c>
      <c r="H83">
        <v>0.2378747026748303</v>
      </c>
      <c r="I83">
        <v>0.21503120097715481</v>
      </c>
      <c r="J83">
        <v>0.14592077177377469</v>
      </c>
      <c r="K83">
        <v>0.24705129412450119</v>
      </c>
      <c r="L83">
        <v>0.23044227791314431</v>
      </c>
      <c r="M83">
        <v>0.25798920227729211</v>
      </c>
      <c r="N83">
        <v>0.28874202226413792</v>
      </c>
      <c r="O83">
        <v>0.32977865988774091</v>
      </c>
      <c r="P83">
        <v>0.36295787568879878</v>
      </c>
      <c r="Q83">
        <v>0.38887015606300113</v>
      </c>
      <c r="R83">
        <v>0.41356574533289059</v>
      </c>
      <c r="S83">
        <v>0.43674855212698688</v>
      </c>
      <c r="T83">
        <v>0.4587039083030004</v>
      </c>
      <c r="U83">
        <v>0.47882124636803403</v>
      </c>
      <c r="V83">
        <v>0.49751453321153583</v>
      </c>
      <c r="W83">
        <v>0.5156172797101527</v>
      </c>
      <c r="X83">
        <v>0.53262666723822827</v>
      </c>
      <c r="Y83">
        <v>0.54912137242125758</v>
      </c>
      <c r="Z83">
        <v>0.56473354301310874</v>
      </c>
      <c r="AA83">
        <v>0.57979689912584187</v>
      </c>
      <c r="AB83">
        <v>0.59434355088884261</v>
      </c>
      <c r="AC83">
        <v>0.608730536502744</v>
      </c>
      <c r="AD83">
        <v>0.62300155467647444</v>
      </c>
      <c r="AE83">
        <v>0.63681694635763941</v>
      </c>
    </row>
    <row r="84" spans="1:31" x14ac:dyDescent="0.25">
      <c r="A84" s="1" t="s">
        <v>86</v>
      </c>
      <c r="B84" s="1" t="str">
        <f>_xlfn.XLOOKUP(C84,[1]Sheet1!$A$2:$A$173,[1]Sheet1!$D$2:$D$173)</f>
        <v>Central Europe</v>
      </c>
      <c r="C84" s="1" t="str">
        <f>_xlfn.XLOOKUP(D84,[2]Sheet2!D84:D332,[2]Sheet2!C84:C332)</f>
        <v>LTU</v>
      </c>
      <c r="D84" s="1">
        <v>440</v>
      </c>
      <c r="E84">
        <v>0.46054339512625769</v>
      </c>
      <c r="F84">
        <v>0.48667506119538739</v>
      </c>
      <c r="G84">
        <v>0.51096406671568662</v>
      </c>
      <c r="H84">
        <v>0.53543808364543377</v>
      </c>
      <c r="I84">
        <v>0.56108044376107291</v>
      </c>
      <c r="J84">
        <v>0.5750282871484359</v>
      </c>
      <c r="K84">
        <v>0.59351152196262991</v>
      </c>
      <c r="L84">
        <v>0.62140459788916536</v>
      </c>
      <c r="M84">
        <v>0.62936012202757086</v>
      </c>
      <c r="N84">
        <v>0.65502858416617005</v>
      </c>
      <c r="O84">
        <v>0.67090341559988487</v>
      </c>
      <c r="P84">
        <v>0.68516930119358177</v>
      </c>
      <c r="Q84">
        <v>0.69450728177347221</v>
      </c>
      <c r="R84">
        <v>0.70246227000051331</v>
      </c>
      <c r="S84">
        <v>0.70899435581628978</v>
      </c>
      <c r="T84">
        <v>0.7154592238253803</v>
      </c>
      <c r="U84">
        <v>0.72202342359403016</v>
      </c>
      <c r="V84">
        <v>0.72855002276187375</v>
      </c>
      <c r="W84">
        <v>0.73519842343833619</v>
      </c>
      <c r="X84">
        <v>0.74207075038796055</v>
      </c>
      <c r="Y84">
        <v>0.74998275387438995</v>
      </c>
      <c r="Z84">
        <v>0.75798161536493969</v>
      </c>
      <c r="AA84">
        <v>0.76599893944877206</v>
      </c>
      <c r="AB84">
        <v>0.77402556069885087</v>
      </c>
      <c r="AC84">
        <v>0.78194161767261994</v>
      </c>
      <c r="AD84">
        <v>0.78975444333537026</v>
      </c>
      <c r="AE84">
        <v>0.79761998950075108</v>
      </c>
    </row>
    <row r="85" spans="1:31" x14ac:dyDescent="0.25">
      <c r="A85" s="1" t="s">
        <v>87</v>
      </c>
      <c r="B85" s="1" t="str">
        <f>_xlfn.XLOOKUP(C85,[1]Sheet1!$A$2:$A$173,[1]Sheet1!$D$2:$D$173)</f>
        <v>Western Europe</v>
      </c>
      <c r="C85" s="1" t="str">
        <f>_xlfn.XLOOKUP(D85,[2]Sheet2!D85:D333,[2]Sheet2!C85:C333)</f>
        <v>LUX</v>
      </c>
      <c r="D85" s="1">
        <v>442</v>
      </c>
      <c r="E85">
        <v>0.57773479448391885</v>
      </c>
      <c r="F85">
        <v>0.59048866035634451</v>
      </c>
      <c r="G85">
        <v>0.60673183207345338</v>
      </c>
      <c r="H85">
        <v>0.62404880153057785</v>
      </c>
      <c r="I85">
        <v>0.64951693048492953</v>
      </c>
      <c r="J85">
        <v>0.66603308924290039</v>
      </c>
      <c r="K85">
        <v>0.68544844209658318</v>
      </c>
      <c r="L85">
        <v>0.70150484429562598</v>
      </c>
      <c r="M85">
        <v>0.71890493388617371</v>
      </c>
      <c r="N85">
        <v>0.74747080248642217</v>
      </c>
      <c r="O85">
        <v>0.76035044050824629</v>
      </c>
      <c r="P85">
        <v>0.77330818881940833</v>
      </c>
      <c r="Q85">
        <v>0.78373676926991565</v>
      </c>
      <c r="R85">
        <v>0.79354906301966988</v>
      </c>
      <c r="S85">
        <v>0.80406729059471382</v>
      </c>
      <c r="T85">
        <v>0.81435017573839719</v>
      </c>
      <c r="U85">
        <v>0.82422027764379491</v>
      </c>
      <c r="V85">
        <v>0.83387742585744107</v>
      </c>
      <c r="W85">
        <v>0.84338146664255875</v>
      </c>
      <c r="X85">
        <v>0.8526406998383359</v>
      </c>
      <c r="Y85">
        <v>0.86149787551250545</v>
      </c>
      <c r="Z85">
        <v>0.87039779073498591</v>
      </c>
      <c r="AA85">
        <v>0.87901224370428832</v>
      </c>
      <c r="AB85">
        <v>0.88776523138708874</v>
      </c>
      <c r="AC85">
        <v>0.89607356780220171</v>
      </c>
      <c r="AD85">
        <v>0.90435881968181675</v>
      </c>
      <c r="AE85">
        <v>0.91197977383094264</v>
      </c>
    </row>
    <row r="86" spans="1:31" x14ac:dyDescent="0.25">
      <c r="A86" s="1" t="s">
        <v>88</v>
      </c>
      <c r="B86" s="1" t="str">
        <f>_xlfn.XLOOKUP(C86,[1]Sheet1!$A$2:$A$173,[1]Sheet1!$D$2:$D$173)</f>
        <v>Eastern Africa</v>
      </c>
      <c r="C86" s="1" t="str">
        <f>_xlfn.XLOOKUP(D86,[2]Sheet2!D86:D334,[2]Sheet2!C86:C334)</f>
        <v>MDG</v>
      </c>
      <c r="D86" s="1">
        <v>450</v>
      </c>
      <c r="E86">
        <v>0.20846982730996211</v>
      </c>
      <c r="F86">
        <v>0.22692776215136609</v>
      </c>
      <c r="G86">
        <v>0.2385688490117491</v>
      </c>
      <c r="H86">
        <v>0.25231426218648029</v>
      </c>
      <c r="I86">
        <v>0.26713515973037127</v>
      </c>
      <c r="J86">
        <v>0.27382346915427569</v>
      </c>
      <c r="K86">
        <v>0.28687201291253522</v>
      </c>
      <c r="L86">
        <v>0.29252361217671918</v>
      </c>
      <c r="M86">
        <v>0.30100635335959969</v>
      </c>
      <c r="N86">
        <v>0.32080168978146628</v>
      </c>
      <c r="O86">
        <v>0.34379595439934868</v>
      </c>
      <c r="P86">
        <v>0.3653069745516947</v>
      </c>
      <c r="Q86">
        <v>0.38297343736362022</v>
      </c>
      <c r="R86">
        <v>0.40009194192002179</v>
      </c>
      <c r="S86">
        <v>0.41658830592287838</v>
      </c>
      <c r="T86">
        <v>0.43297428851418679</v>
      </c>
      <c r="U86">
        <v>0.44912856981477051</v>
      </c>
      <c r="V86">
        <v>0.46522584860137478</v>
      </c>
      <c r="W86">
        <v>0.48108860522940611</v>
      </c>
      <c r="X86">
        <v>0.4969897510984515</v>
      </c>
      <c r="Y86">
        <v>0.51304725496916004</v>
      </c>
      <c r="Z86">
        <v>0.52923723777040854</v>
      </c>
      <c r="AA86">
        <v>0.54536997672832255</v>
      </c>
      <c r="AB86">
        <v>0.56162452810468733</v>
      </c>
      <c r="AC86">
        <v>0.57778680558169182</v>
      </c>
      <c r="AD86">
        <v>0.59410554514154235</v>
      </c>
      <c r="AE86">
        <v>0.61003804420613428</v>
      </c>
    </row>
    <row r="87" spans="1:31" x14ac:dyDescent="0.25">
      <c r="A87" s="1" t="s">
        <v>89</v>
      </c>
      <c r="B87" s="1" t="str">
        <f>_xlfn.XLOOKUP(C87,[1]Sheet1!$A$2:$A$173,[1]Sheet1!$D$2:$D$173)</f>
        <v>Rest of Southern Africa</v>
      </c>
      <c r="C87" s="1" t="str">
        <f>_xlfn.XLOOKUP(D87,[2]Sheet2!D87:D335,[2]Sheet2!C87:C335)</f>
        <v>MWI</v>
      </c>
      <c r="D87" s="1">
        <v>454</v>
      </c>
      <c r="E87">
        <v>0.18979820653913179</v>
      </c>
      <c r="F87">
        <v>0.212371890571914</v>
      </c>
      <c r="G87">
        <v>0.23028504923937529</v>
      </c>
      <c r="H87">
        <v>0.23631215002558051</v>
      </c>
      <c r="I87">
        <v>0.2396613568100536</v>
      </c>
      <c r="J87">
        <v>0.24664494771927081</v>
      </c>
      <c r="K87">
        <v>0.25670923571130871</v>
      </c>
      <c r="L87">
        <v>0.26509855516944419</v>
      </c>
      <c r="M87">
        <v>0.30273003244174013</v>
      </c>
      <c r="N87">
        <v>0.34287974328907078</v>
      </c>
      <c r="O87">
        <v>0.37236345456415743</v>
      </c>
      <c r="P87">
        <v>0.39419202816245191</v>
      </c>
      <c r="Q87">
        <v>0.41459196352254019</v>
      </c>
      <c r="R87">
        <v>0.43452135380849011</v>
      </c>
      <c r="S87">
        <v>0.45349738627000019</v>
      </c>
      <c r="T87">
        <v>0.47195208485276918</v>
      </c>
      <c r="U87">
        <v>0.48909758418378091</v>
      </c>
      <c r="V87">
        <v>0.50604446026078242</v>
      </c>
      <c r="W87">
        <v>0.52205794058725852</v>
      </c>
      <c r="X87">
        <v>0.53749414979846011</v>
      </c>
      <c r="Y87">
        <v>0.55255755507474502</v>
      </c>
      <c r="Z87">
        <v>0.56665485986818409</v>
      </c>
      <c r="AA87">
        <v>0.58059834006019173</v>
      </c>
      <c r="AB87">
        <v>0.59372641032698303</v>
      </c>
      <c r="AC87">
        <v>0.60694846585840478</v>
      </c>
      <c r="AD87">
        <v>0.61943948419028461</v>
      </c>
      <c r="AE87">
        <v>0.63170370248627183</v>
      </c>
    </row>
    <row r="88" spans="1:31" x14ac:dyDescent="0.25">
      <c r="A88" s="1" t="s">
        <v>90</v>
      </c>
      <c r="B88" s="1" t="str">
        <f>_xlfn.XLOOKUP(C88,[1]Sheet1!$A$2:$A$173,[1]Sheet1!$D$2:$D$173)</f>
        <v>Southeastern Asia</v>
      </c>
      <c r="C88" s="1" t="str">
        <f>_xlfn.XLOOKUP(D88,[2]Sheet2!D88:D336,[2]Sheet2!C88:C336)</f>
        <v>MYS</v>
      </c>
      <c r="D88" s="1">
        <v>458</v>
      </c>
      <c r="E88">
        <v>0.35676064028998361</v>
      </c>
      <c r="F88">
        <v>0.40215534104148187</v>
      </c>
      <c r="G88">
        <v>0.44371060184576622</v>
      </c>
      <c r="H88">
        <v>0.47419038531810009</v>
      </c>
      <c r="I88">
        <v>0.50555378927874262</v>
      </c>
      <c r="J88">
        <v>0.53958453391393491</v>
      </c>
      <c r="K88">
        <v>0.56379336068133978</v>
      </c>
      <c r="L88">
        <v>0.58264469158108112</v>
      </c>
      <c r="M88">
        <v>0.59728422158257388</v>
      </c>
      <c r="N88">
        <v>0.61249367030244084</v>
      </c>
      <c r="O88">
        <v>0.62599682253054489</v>
      </c>
      <c r="P88">
        <v>0.64117041620195525</v>
      </c>
      <c r="Q88">
        <v>0.65587432225179287</v>
      </c>
      <c r="R88">
        <v>0.6698967987904616</v>
      </c>
      <c r="S88">
        <v>0.68411462225236652</v>
      </c>
      <c r="T88">
        <v>0.6976017900810042</v>
      </c>
      <c r="U88">
        <v>0.71009610416017999</v>
      </c>
      <c r="V88">
        <v>0.72147024891184752</v>
      </c>
      <c r="W88">
        <v>0.73224000452909954</v>
      </c>
      <c r="X88">
        <v>0.74218545578644923</v>
      </c>
      <c r="Y88">
        <v>0.75174995519694654</v>
      </c>
      <c r="Z88">
        <v>0.76090228238240065</v>
      </c>
      <c r="AA88">
        <v>0.77057485757199617</v>
      </c>
      <c r="AB88">
        <v>0.78013853461605054</v>
      </c>
      <c r="AC88">
        <v>0.78956274581675123</v>
      </c>
      <c r="AD88">
        <v>0.79892559630041549</v>
      </c>
      <c r="AE88">
        <v>0.80817176334378982</v>
      </c>
    </row>
    <row r="89" spans="1:31" x14ac:dyDescent="0.25">
      <c r="A89" s="1" t="s">
        <v>91</v>
      </c>
      <c r="B89" s="1" t="e">
        <f>_xlfn.XLOOKUP(C89,[1]Sheet1!$A$2:$A$173,[1]Sheet1!$D$2:$D$173)</f>
        <v>#N/A</v>
      </c>
      <c r="C89" s="1" t="str">
        <f>_xlfn.XLOOKUP(D89,[2]Sheet2!D89:D337,[2]Sheet2!C89:C337)</f>
        <v>MDV</v>
      </c>
      <c r="D89" s="1">
        <v>462</v>
      </c>
      <c r="E89">
        <v>0.19636175621463639</v>
      </c>
      <c r="F89">
        <v>0.21086185976740829</v>
      </c>
      <c r="G89">
        <v>0.2458900390791898</v>
      </c>
      <c r="H89">
        <v>0.28728868379313871</v>
      </c>
      <c r="I89">
        <v>0.32474536914974672</v>
      </c>
      <c r="J89">
        <v>0.35939481923354832</v>
      </c>
      <c r="K89">
        <v>0.40147911911274181</v>
      </c>
      <c r="L89">
        <v>0.45100218045201279</v>
      </c>
      <c r="M89">
        <v>0.48166960706492012</v>
      </c>
      <c r="N89">
        <v>0.50463758797762548</v>
      </c>
      <c r="O89">
        <v>0.52122084605448205</v>
      </c>
      <c r="P89">
        <v>0.53603096954371943</v>
      </c>
      <c r="Q89">
        <v>0.55102473114666806</v>
      </c>
      <c r="R89">
        <v>0.56649119104242807</v>
      </c>
      <c r="S89">
        <v>0.58206427833206431</v>
      </c>
      <c r="T89">
        <v>0.59771129185141558</v>
      </c>
      <c r="U89">
        <v>0.61346101844707102</v>
      </c>
      <c r="V89">
        <v>0.62861089931671565</v>
      </c>
      <c r="W89">
        <v>0.64370678186313901</v>
      </c>
      <c r="X89">
        <v>0.65853834428956182</v>
      </c>
      <c r="Y89">
        <v>0.67393933252083438</v>
      </c>
      <c r="Z89">
        <v>0.68935848106333364</v>
      </c>
      <c r="AA89">
        <v>0.70482262075145108</v>
      </c>
      <c r="AB89">
        <v>0.71965676869423445</v>
      </c>
      <c r="AC89">
        <v>0.73338561108374956</v>
      </c>
      <c r="AD89">
        <v>0.7462032271194643</v>
      </c>
      <c r="AE89">
        <v>0.75789222034647108</v>
      </c>
    </row>
    <row r="90" spans="1:31" x14ac:dyDescent="0.25">
      <c r="A90" s="1" t="s">
        <v>92</v>
      </c>
      <c r="B90" s="1" t="str">
        <f>_xlfn.XLOOKUP(C90,[1]Sheet1!$A$2:$A$173,[1]Sheet1!$D$2:$D$173)</f>
        <v>Western Africa</v>
      </c>
      <c r="C90" s="1" t="str">
        <f>_xlfn.XLOOKUP(D90,[2]Sheet2!D90:D338,[2]Sheet2!C90:C338)</f>
        <v>MLI</v>
      </c>
      <c r="D90" s="1">
        <v>466</v>
      </c>
      <c r="E90">
        <v>8.3498963243336125E-2</v>
      </c>
      <c r="F90">
        <v>0.1012640458211444</v>
      </c>
      <c r="G90">
        <v>0.12183039213304921</v>
      </c>
      <c r="H90">
        <v>0.13992049815977139</v>
      </c>
      <c r="I90">
        <v>0.1570125095590941</v>
      </c>
      <c r="J90">
        <v>0.16911969588100911</v>
      </c>
      <c r="K90">
        <v>0.17897311557768189</v>
      </c>
      <c r="L90">
        <v>0.2033351271012202</v>
      </c>
      <c r="M90">
        <v>0.2321203481332112</v>
      </c>
      <c r="N90">
        <v>0.25540667626656249</v>
      </c>
      <c r="O90">
        <v>0.27888455349293662</v>
      </c>
      <c r="P90">
        <v>0.29922591858758391</v>
      </c>
      <c r="Q90">
        <v>0.32119534804618199</v>
      </c>
      <c r="R90">
        <v>0.34304620749592329</v>
      </c>
      <c r="S90">
        <v>0.36450591378220892</v>
      </c>
      <c r="T90">
        <v>0.38576339932597598</v>
      </c>
      <c r="U90">
        <v>0.40630460791812062</v>
      </c>
      <c r="V90">
        <v>0.42664072212095561</v>
      </c>
      <c r="W90">
        <v>0.44620144339605422</v>
      </c>
      <c r="X90">
        <v>0.46505927832709387</v>
      </c>
      <c r="Y90">
        <v>0.48334426032268041</v>
      </c>
      <c r="Z90">
        <v>0.5012138277912106</v>
      </c>
      <c r="AA90">
        <v>0.51880667243656742</v>
      </c>
      <c r="AB90">
        <v>0.5364806341267413</v>
      </c>
      <c r="AC90">
        <v>0.55424719733502259</v>
      </c>
      <c r="AD90">
        <v>0.57117114822485537</v>
      </c>
      <c r="AE90">
        <v>0.5879303924366871</v>
      </c>
    </row>
    <row r="91" spans="1:31" x14ac:dyDescent="0.25">
      <c r="A91" s="1" t="s">
        <v>93</v>
      </c>
      <c r="B91" s="1" t="str">
        <f>_xlfn.XLOOKUP(C91,[1]Sheet1!$A$2:$A$173,[1]Sheet1!$D$2:$D$173)</f>
        <v>Western Europe</v>
      </c>
      <c r="C91" s="1" t="str">
        <f>_xlfn.XLOOKUP(D91,[2]Sheet2!D91:D339,[2]Sheet2!C91:C339)</f>
        <v>MLT</v>
      </c>
      <c r="D91" s="1">
        <v>470</v>
      </c>
      <c r="E91">
        <v>0.46762135739894461</v>
      </c>
      <c r="F91">
        <v>0.49296215419060541</v>
      </c>
      <c r="G91">
        <v>0.52888013069135309</v>
      </c>
      <c r="H91">
        <v>0.54594876885128274</v>
      </c>
      <c r="I91">
        <v>0.56870210695792256</v>
      </c>
      <c r="J91">
        <v>0.58918332462481193</v>
      </c>
      <c r="K91">
        <v>0.60800842060316063</v>
      </c>
      <c r="L91">
        <v>0.62164454656272894</v>
      </c>
      <c r="M91">
        <v>0.63527061056918621</v>
      </c>
      <c r="N91">
        <v>0.65088230623984</v>
      </c>
      <c r="O91">
        <v>0.66651931993237123</v>
      </c>
      <c r="P91">
        <v>0.68318778010012648</v>
      </c>
      <c r="Q91">
        <v>0.69900086861379518</v>
      </c>
      <c r="R91">
        <v>0.71401535939527061</v>
      </c>
      <c r="S91">
        <v>0.72772134400686905</v>
      </c>
      <c r="T91">
        <v>0.74054357961072304</v>
      </c>
      <c r="U91">
        <v>0.75245656351788659</v>
      </c>
      <c r="V91">
        <v>0.76321401830994295</v>
      </c>
      <c r="W91">
        <v>0.77308750799884518</v>
      </c>
      <c r="X91">
        <v>0.78287051516767869</v>
      </c>
      <c r="Y91">
        <v>0.79224610330549383</v>
      </c>
      <c r="Z91">
        <v>0.80104330260181089</v>
      </c>
      <c r="AA91">
        <v>0.80978876856404314</v>
      </c>
      <c r="AB91">
        <v>0.81808817725551874</v>
      </c>
      <c r="AC91">
        <v>0.82572510041531988</v>
      </c>
      <c r="AD91">
        <v>0.83284915803132931</v>
      </c>
      <c r="AE91">
        <v>0.83997762045301572</v>
      </c>
    </row>
    <row r="92" spans="1:31" x14ac:dyDescent="0.25">
      <c r="A92" s="1" t="s">
        <v>94</v>
      </c>
      <c r="B92" s="1" t="str">
        <f>_xlfn.XLOOKUP(C92,[1]Sheet1!$A$2:$A$173,[1]Sheet1!$D$2:$D$173)</f>
        <v>Eastern Africa</v>
      </c>
      <c r="C92" s="1" t="str">
        <f>_xlfn.XLOOKUP(D92,[2]Sheet2!D92:D340,[2]Sheet2!C92:C340)</f>
        <v>MUS</v>
      </c>
      <c r="D92" s="1">
        <v>480</v>
      </c>
      <c r="E92">
        <v>0.35030826712974372</v>
      </c>
      <c r="F92">
        <v>0.38136230583650921</v>
      </c>
      <c r="G92">
        <v>0.40859531063996002</v>
      </c>
      <c r="H92">
        <v>0.43876491229262682</v>
      </c>
      <c r="I92">
        <v>0.4660005637970005</v>
      </c>
      <c r="J92">
        <v>0.48843726469767651</v>
      </c>
      <c r="K92">
        <v>0.50761485406935958</v>
      </c>
      <c r="L92">
        <v>0.52687810637960086</v>
      </c>
      <c r="M92">
        <v>0.54443720881875501</v>
      </c>
      <c r="N92">
        <v>0.56002304980598394</v>
      </c>
      <c r="O92">
        <v>0.57123314280548132</v>
      </c>
      <c r="P92">
        <v>0.58153320824543742</v>
      </c>
      <c r="Q92">
        <v>0.59249711456387832</v>
      </c>
      <c r="R92">
        <v>0.60429582091518275</v>
      </c>
      <c r="S92">
        <v>0.61751686952167129</v>
      </c>
      <c r="T92">
        <v>0.63177368000953427</v>
      </c>
      <c r="U92">
        <v>0.64678568381237467</v>
      </c>
      <c r="V92">
        <v>0.66145953995226892</v>
      </c>
      <c r="W92">
        <v>0.67624914680660964</v>
      </c>
      <c r="X92">
        <v>0.69049388894118191</v>
      </c>
      <c r="Y92">
        <v>0.70435298271309532</v>
      </c>
      <c r="Z92">
        <v>0.71780748494843416</v>
      </c>
      <c r="AA92">
        <v>0.73114797575145252</v>
      </c>
      <c r="AB92">
        <v>0.74346281432214212</v>
      </c>
      <c r="AC92">
        <v>0.75672943345641841</v>
      </c>
      <c r="AD92">
        <v>0.76986444125630171</v>
      </c>
      <c r="AE92">
        <v>0.78254341531151683</v>
      </c>
    </row>
    <row r="93" spans="1:31" x14ac:dyDescent="0.25">
      <c r="A93" s="1" t="s">
        <v>95</v>
      </c>
      <c r="B93" s="1" t="str">
        <f>_xlfn.XLOOKUP(C93,[1]Sheet1!$A$2:$A$173,[1]Sheet1!$D$2:$D$173)</f>
        <v>Mexico</v>
      </c>
      <c r="C93" s="1" t="str">
        <f>_xlfn.XLOOKUP(D93,[2]Sheet2!D93:D341,[2]Sheet2!C93:C341)</f>
        <v>MEX</v>
      </c>
      <c r="D93" s="1">
        <v>484</v>
      </c>
      <c r="E93">
        <v>0.37416249785458078</v>
      </c>
      <c r="F93">
        <v>0.40597651530204049</v>
      </c>
      <c r="G93">
        <v>0.43945291298189149</v>
      </c>
      <c r="H93">
        <v>0.46391703502813469</v>
      </c>
      <c r="I93">
        <v>0.48645752725484998</v>
      </c>
      <c r="J93">
        <v>0.50550286842042769</v>
      </c>
      <c r="K93">
        <v>0.52996917761798745</v>
      </c>
      <c r="L93">
        <v>0.54793113786308556</v>
      </c>
      <c r="M93">
        <v>0.55833665732804727</v>
      </c>
      <c r="N93">
        <v>0.57588996490024724</v>
      </c>
      <c r="O93">
        <v>0.59190034822414528</v>
      </c>
      <c r="P93">
        <v>0.60873825597056186</v>
      </c>
      <c r="Q93">
        <v>0.623922092420781</v>
      </c>
      <c r="R93">
        <v>0.63799605161969919</v>
      </c>
      <c r="S93">
        <v>0.65173569027443234</v>
      </c>
      <c r="T93">
        <v>0.66517451514086001</v>
      </c>
      <c r="U93">
        <v>0.67810609182309822</v>
      </c>
      <c r="V93">
        <v>0.69007188344804471</v>
      </c>
      <c r="W93">
        <v>0.7013978171918972</v>
      </c>
      <c r="X93">
        <v>0.71246911053086148</v>
      </c>
      <c r="Y93">
        <v>0.72328185383976062</v>
      </c>
      <c r="Z93">
        <v>0.73391645897557634</v>
      </c>
      <c r="AA93">
        <v>0.74436525442648582</v>
      </c>
      <c r="AB93">
        <v>0.75459702602869294</v>
      </c>
      <c r="AC93">
        <v>0.76457743426612579</v>
      </c>
      <c r="AD93">
        <v>0.77446685685273275</v>
      </c>
      <c r="AE93">
        <v>0.78385621412210915</v>
      </c>
    </row>
    <row r="94" spans="1:31" x14ac:dyDescent="0.25">
      <c r="A94" s="1" t="s">
        <v>96</v>
      </c>
      <c r="B94" s="1" t="str">
        <f>_xlfn.XLOOKUP(C94,[1]Sheet1!$A$2:$A$173,[1]Sheet1!$D$2:$D$173)</f>
        <v>China region</v>
      </c>
      <c r="C94" s="1" t="str">
        <f>_xlfn.XLOOKUP(D94,[2]Sheet2!D94:D342,[2]Sheet2!C94:C342)</f>
        <v>MNG</v>
      </c>
      <c r="D94" s="1">
        <v>496</v>
      </c>
      <c r="E94">
        <v>0.34245671831431662</v>
      </c>
      <c r="F94">
        <v>0.37229606620785571</v>
      </c>
      <c r="G94">
        <v>0.39733211005133739</v>
      </c>
      <c r="H94">
        <v>0.42031371708835868</v>
      </c>
      <c r="I94">
        <v>0.4498254003845637</v>
      </c>
      <c r="J94">
        <v>0.43670307899247851</v>
      </c>
      <c r="K94">
        <v>0.45245466292054809</v>
      </c>
      <c r="L94">
        <v>0.47632608789694558</v>
      </c>
      <c r="M94">
        <v>0.49980989878982418</v>
      </c>
      <c r="N94">
        <v>0.52580885041923919</v>
      </c>
      <c r="O94">
        <v>0.546536759922023</v>
      </c>
      <c r="P94">
        <v>0.5634427471895439</v>
      </c>
      <c r="Q94">
        <v>0.57857355150782763</v>
      </c>
      <c r="R94">
        <v>0.59399176674868737</v>
      </c>
      <c r="S94">
        <v>0.6083182575201671</v>
      </c>
      <c r="T94">
        <v>0.62196610792939433</v>
      </c>
      <c r="U94">
        <v>0.63493467449785324</v>
      </c>
      <c r="V94">
        <v>0.64758948095517754</v>
      </c>
      <c r="W94">
        <v>0.65947377980789401</v>
      </c>
      <c r="X94">
        <v>0.67157172779120711</v>
      </c>
      <c r="Y94">
        <v>0.68314741156466208</v>
      </c>
      <c r="Z94">
        <v>0.69419286878697295</v>
      </c>
      <c r="AA94">
        <v>0.70460289700999779</v>
      </c>
      <c r="AB94">
        <v>0.71400723448349235</v>
      </c>
      <c r="AC94">
        <v>0.72289320528410062</v>
      </c>
      <c r="AD94">
        <v>0.73125694962442822</v>
      </c>
      <c r="AE94">
        <v>0.73927956750819879</v>
      </c>
    </row>
    <row r="95" spans="1:31" x14ac:dyDescent="0.25">
      <c r="A95" s="1" t="s">
        <v>97</v>
      </c>
      <c r="B95" s="1" t="str">
        <f>_xlfn.XLOOKUP(C95,[1]Sheet1!$A$2:$A$173,[1]Sheet1!$D$2:$D$173)</f>
        <v>Northern Africa</v>
      </c>
      <c r="C95" s="1" t="str">
        <f>_xlfn.XLOOKUP(D95,[2]Sheet2!D95:D343,[2]Sheet2!C95:C343)</f>
        <v>MAR</v>
      </c>
      <c r="D95" s="1">
        <v>504</v>
      </c>
      <c r="E95">
        <v>0.17650851667823611</v>
      </c>
      <c r="F95">
        <v>0.2108691516652679</v>
      </c>
      <c r="G95">
        <v>0.2412848901123551</v>
      </c>
      <c r="H95">
        <v>0.2715463681680218</v>
      </c>
      <c r="I95">
        <v>0.30292865951862108</v>
      </c>
      <c r="J95">
        <v>0.32528552326805438</v>
      </c>
      <c r="K95">
        <v>0.3478199060948402</v>
      </c>
      <c r="L95">
        <v>0.37618586087472689</v>
      </c>
      <c r="M95">
        <v>0.4100809907891621</v>
      </c>
      <c r="N95">
        <v>0.44063493277186278</v>
      </c>
      <c r="O95">
        <v>0.46741176628097719</v>
      </c>
      <c r="P95">
        <v>0.49240912357731759</v>
      </c>
      <c r="Q95">
        <v>0.51419164236910564</v>
      </c>
      <c r="R95">
        <v>0.53575551235362828</v>
      </c>
      <c r="S95">
        <v>0.55668463095749798</v>
      </c>
      <c r="T95">
        <v>0.57686419798736588</v>
      </c>
      <c r="U95">
        <v>0.59626920324444488</v>
      </c>
      <c r="V95">
        <v>0.61524334162981498</v>
      </c>
      <c r="W95">
        <v>0.63387533556512066</v>
      </c>
      <c r="X95">
        <v>0.65246445905864325</v>
      </c>
      <c r="Y95">
        <v>0.67053048341049759</v>
      </c>
      <c r="Z95">
        <v>0.68776671259651445</v>
      </c>
      <c r="AA95">
        <v>0.70320657449203361</v>
      </c>
      <c r="AB95">
        <v>0.71705710869386929</v>
      </c>
      <c r="AC95">
        <v>0.72933720965766469</v>
      </c>
      <c r="AD95">
        <v>0.74079268726670744</v>
      </c>
      <c r="AE95">
        <v>0.75156355545243736</v>
      </c>
    </row>
    <row r="96" spans="1:31" x14ac:dyDescent="0.25">
      <c r="A96" s="1" t="s">
        <v>98</v>
      </c>
      <c r="B96" s="1" t="str">
        <f>_xlfn.XLOOKUP(C96,[1]Sheet1!$A$2:$A$173,[1]Sheet1!$D$2:$D$173)</f>
        <v>Rest of Southern Africa</v>
      </c>
      <c r="C96" s="1" t="str">
        <f>_xlfn.XLOOKUP(D96,[2]Sheet2!D96:D344,[2]Sheet2!C96:C344)</f>
        <v>MOZ</v>
      </c>
      <c r="D96" s="1">
        <v>508</v>
      </c>
      <c r="E96">
        <v>9.971097089068931E-2</v>
      </c>
      <c r="F96">
        <v>0.1174435204248401</v>
      </c>
      <c r="G96">
        <v>0.12991592045239489</v>
      </c>
      <c r="H96">
        <v>0.12530457543933221</v>
      </c>
      <c r="I96">
        <v>0.1359313027787904</v>
      </c>
      <c r="J96">
        <v>0.14430642878014899</v>
      </c>
      <c r="K96">
        <v>0.16959589933372879</v>
      </c>
      <c r="L96">
        <v>0.2018637143688462</v>
      </c>
      <c r="M96">
        <v>0.23802704936847729</v>
      </c>
      <c r="N96">
        <v>0.27432681401932513</v>
      </c>
      <c r="O96">
        <v>0.30833994238560819</v>
      </c>
      <c r="P96">
        <v>0.33400610732057129</v>
      </c>
      <c r="Q96">
        <v>0.35691415951381078</v>
      </c>
      <c r="R96">
        <v>0.37864837216103048</v>
      </c>
      <c r="S96">
        <v>0.39934183046854388</v>
      </c>
      <c r="T96">
        <v>0.41950197910214931</v>
      </c>
      <c r="U96">
        <v>0.43932910572969652</v>
      </c>
      <c r="V96">
        <v>0.45820508415065259</v>
      </c>
      <c r="W96">
        <v>0.47668442123528681</v>
      </c>
      <c r="X96">
        <v>0.49469523640389612</v>
      </c>
      <c r="Y96">
        <v>0.51200932450651704</v>
      </c>
      <c r="Z96">
        <v>0.52897644893617923</v>
      </c>
      <c r="AA96">
        <v>0.54580814418802381</v>
      </c>
      <c r="AB96">
        <v>0.56213762347630036</v>
      </c>
      <c r="AC96">
        <v>0.57837963444879958</v>
      </c>
      <c r="AD96">
        <v>0.59386553724660118</v>
      </c>
      <c r="AE96">
        <v>0.60883150808848274</v>
      </c>
    </row>
    <row r="97" spans="1:31" x14ac:dyDescent="0.25">
      <c r="A97" s="1" t="s">
        <v>99</v>
      </c>
      <c r="B97" s="1" t="str">
        <f>_xlfn.XLOOKUP(C97,[1]Sheet1!$A$2:$A$173,[1]Sheet1!$D$2:$D$173)</f>
        <v>Rest of Southern Africa</v>
      </c>
      <c r="C97" s="1" t="str">
        <f>_xlfn.XLOOKUP(D97,[2]Sheet2!D97:D345,[2]Sheet2!C97:C345)</f>
        <v>NAM</v>
      </c>
      <c r="D97" s="1">
        <v>516</v>
      </c>
      <c r="E97">
        <v>0.30806400150409069</v>
      </c>
      <c r="F97">
        <v>0.33009163655452811</v>
      </c>
      <c r="G97">
        <v>0.35491713248762491</v>
      </c>
      <c r="H97">
        <v>0.37002567683936388</v>
      </c>
      <c r="I97">
        <v>0.39881792889441142</v>
      </c>
      <c r="J97">
        <v>0.41731594806969252</v>
      </c>
      <c r="K97">
        <v>0.42175361175074361</v>
      </c>
      <c r="L97">
        <v>0.41919321584035729</v>
      </c>
      <c r="M97">
        <v>0.43593318941302439</v>
      </c>
      <c r="N97">
        <v>0.47455769091256511</v>
      </c>
      <c r="O97">
        <v>0.50590028360156436</v>
      </c>
      <c r="P97">
        <v>0.52713933847433381</v>
      </c>
      <c r="Q97">
        <v>0.54406437557960052</v>
      </c>
      <c r="R97">
        <v>0.56045308298809704</v>
      </c>
      <c r="S97">
        <v>0.57572534556082999</v>
      </c>
      <c r="T97">
        <v>0.59001785383693839</v>
      </c>
      <c r="U97">
        <v>0.60322498484139364</v>
      </c>
      <c r="V97">
        <v>0.61605625258723495</v>
      </c>
      <c r="W97">
        <v>0.62776373375415728</v>
      </c>
      <c r="X97">
        <v>0.63897738576133012</v>
      </c>
      <c r="Y97">
        <v>0.64991781008136651</v>
      </c>
      <c r="Z97">
        <v>0.66040268857677464</v>
      </c>
      <c r="AA97">
        <v>0.67004880537082367</v>
      </c>
      <c r="AB97">
        <v>0.67926849956894408</v>
      </c>
      <c r="AC97">
        <v>0.68824994975735598</v>
      </c>
      <c r="AD97">
        <v>0.69707545467601983</v>
      </c>
      <c r="AE97">
        <v>0.70528125052497492</v>
      </c>
    </row>
    <row r="98" spans="1:31" x14ac:dyDescent="0.25">
      <c r="A98" s="1" t="s">
        <v>100</v>
      </c>
      <c r="B98" s="1" t="str">
        <f>_xlfn.XLOOKUP(C98,[1]Sheet1!$A$2:$A$173,[1]Sheet1!$D$2:$D$173)</f>
        <v>Rest of South Asia</v>
      </c>
      <c r="C98" s="1" t="str">
        <f>_xlfn.XLOOKUP(D98,[2]Sheet2!D98:D346,[2]Sheet2!C98:C346)</f>
        <v>NPL</v>
      </c>
      <c r="D98" s="1">
        <v>524</v>
      </c>
      <c r="E98">
        <v>0.13765376477127489</v>
      </c>
      <c r="F98">
        <v>0.15792739048074339</v>
      </c>
      <c r="G98">
        <v>0.17853349389090589</v>
      </c>
      <c r="H98">
        <v>0.20005532194981979</v>
      </c>
      <c r="I98">
        <v>0.2262470767563094</v>
      </c>
      <c r="J98">
        <v>0.26317579003084601</v>
      </c>
      <c r="K98">
        <v>0.29678446769452932</v>
      </c>
      <c r="L98">
        <v>0.32202910970209719</v>
      </c>
      <c r="M98">
        <v>0.35436370836602049</v>
      </c>
      <c r="N98">
        <v>0.38285055293410242</v>
      </c>
      <c r="O98">
        <v>0.41100887899615363</v>
      </c>
      <c r="P98">
        <v>0.4334373845372374</v>
      </c>
      <c r="Q98">
        <v>0.45328815987752358</v>
      </c>
      <c r="R98">
        <v>0.47287281811336379</v>
      </c>
      <c r="S98">
        <v>0.49318341267516619</v>
      </c>
      <c r="T98">
        <v>0.51415484749324092</v>
      </c>
      <c r="U98">
        <v>0.53504344637188228</v>
      </c>
      <c r="V98">
        <v>0.55511453217617734</v>
      </c>
      <c r="W98">
        <v>0.57453063926760672</v>
      </c>
      <c r="X98">
        <v>0.59297387195854911</v>
      </c>
      <c r="Y98">
        <v>0.6105755621485941</v>
      </c>
      <c r="Z98">
        <v>0.62716309458415309</v>
      </c>
      <c r="AA98">
        <v>0.6432288624683502</v>
      </c>
      <c r="AB98">
        <v>0.65823767969871516</v>
      </c>
      <c r="AC98">
        <v>0.67278111530686624</v>
      </c>
      <c r="AD98">
        <v>0.68632615681447218</v>
      </c>
      <c r="AE98">
        <v>0.6994348613566187</v>
      </c>
    </row>
    <row r="99" spans="1:31" x14ac:dyDescent="0.25">
      <c r="A99" s="1" t="s">
        <v>101</v>
      </c>
      <c r="B99" s="1" t="str">
        <f>_xlfn.XLOOKUP(C99,[1]Sheet1!$A$2:$A$173,[1]Sheet1!$D$2:$D$173)</f>
        <v>Western Europe</v>
      </c>
      <c r="C99" s="1" t="str">
        <f>_xlfn.XLOOKUP(D99,[2]Sheet2!D99:D347,[2]Sheet2!C99:C347)</f>
        <v>NLD</v>
      </c>
      <c r="D99" s="1">
        <v>528</v>
      </c>
      <c r="E99">
        <v>0.58264977371288629</v>
      </c>
      <c r="F99">
        <v>0.59636155417847903</v>
      </c>
      <c r="G99">
        <v>0.61149859055193168</v>
      </c>
      <c r="H99">
        <v>0.62235959599358937</v>
      </c>
      <c r="I99">
        <v>0.63662734668437126</v>
      </c>
      <c r="J99">
        <v>0.64824041133563914</v>
      </c>
      <c r="K99">
        <v>0.66210122476674726</v>
      </c>
      <c r="L99">
        <v>0.67177623770011041</v>
      </c>
      <c r="M99">
        <v>0.68391959125630142</v>
      </c>
      <c r="N99">
        <v>0.70211678477076445</v>
      </c>
      <c r="O99">
        <v>0.71455533581807962</v>
      </c>
      <c r="P99">
        <v>0.72807296018570233</v>
      </c>
      <c r="Q99">
        <v>0.73907617059025776</v>
      </c>
      <c r="R99">
        <v>0.74972327910641046</v>
      </c>
      <c r="S99">
        <v>0.7597218475698776</v>
      </c>
      <c r="T99">
        <v>0.76988766967774147</v>
      </c>
      <c r="U99">
        <v>0.77929072282356837</v>
      </c>
      <c r="V99">
        <v>0.78871750104769633</v>
      </c>
      <c r="W99">
        <v>0.7978267798732378</v>
      </c>
      <c r="X99">
        <v>0.80645829738146824</v>
      </c>
      <c r="Y99">
        <v>0.81503386678111589</v>
      </c>
      <c r="Z99">
        <v>0.82318013676789614</v>
      </c>
      <c r="AA99">
        <v>0.83149681762652539</v>
      </c>
      <c r="AB99">
        <v>0.83960618376560736</v>
      </c>
      <c r="AC99">
        <v>0.84768142915029965</v>
      </c>
      <c r="AD99">
        <v>0.85515283229955308</v>
      </c>
      <c r="AE99">
        <v>0.86277695260515508</v>
      </c>
    </row>
    <row r="100" spans="1:31" x14ac:dyDescent="0.25">
      <c r="A100" s="1" t="s">
        <v>102</v>
      </c>
      <c r="B100" s="1" t="str">
        <f>_xlfn.XLOOKUP(C100,[1]Sheet1!$A$2:$A$173,[1]Sheet1!$D$2:$D$173)</f>
        <v>Oceania</v>
      </c>
      <c r="C100" s="1" t="str">
        <f>_xlfn.XLOOKUP(D100,[2]Sheet2!D100:D348,[2]Sheet2!C100:C348)</f>
        <v>NZL</v>
      </c>
      <c r="D100" s="1">
        <v>554</v>
      </c>
      <c r="E100">
        <v>0.58252576899723385</v>
      </c>
      <c r="F100">
        <v>0.59967570564283146</v>
      </c>
      <c r="G100">
        <v>0.61068848792786934</v>
      </c>
      <c r="H100">
        <v>0.62708200320493557</v>
      </c>
      <c r="I100">
        <v>0.63813419352823408</v>
      </c>
      <c r="J100">
        <v>0.65602112832639303</v>
      </c>
      <c r="K100">
        <v>0.67075427568591306</v>
      </c>
      <c r="L100">
        <v>0.68814713918211434</v>
      </c>
      <c r="M100">
        <v>0.69853893607805018</v>
      </c>
      <c r="N100">
        <v>0.71119855640038565</v>
      </c>
      <c r="O100">
        <v>0.71924717558763052</v>
      </c>
      <c r="P100">
        <v>0.72907688270108539</v>
      </c>
      <c r="Q100">
        <v>0.73898631551905791</v>
      </c>
      <c r="R100">
        <v>0.74858120439665832</v>
      </c>
      <c r="S100">
        <v>0.75753146208308064</v>
      </c>
      <c r="T100">
        <v>0.76627768985562439</v>
      </c>
      <c r="U100">
        <v>0.77465319496131635</v>
      </c>
      <c r="V100">
        <v>0.78255447680076751</v>
      </c>
      <c r="W100">
        <v>0.79077416895458486</v>
      </c>
      <c r="X100">
        <v>0.79840946321797712</v>
      </c>
      <c r="Y100">
        <v>0.80618719826297225</v>
      </c>
      <c r="Z100">
        <v>0.81353109901986498</v>
      </c>
      <c r="AA100">
        <v>0.82140737951275467</v>
      </c>
      <c r="AB100">
        <v>0.82890303767346851</v>
      </c>
      <c r="AC100">
        <v>0.83641094570840879</v>
      </c>
      <c r="AD100">
        <v>0.84371339465303241</v>
      </c>
      <c r="AE100">
        <v>0.85097555902480404</v>
      </c>
    </row>
    <row r="101" spans="1:31" x14ac:dyDescent="0.25">
      <c r="A101" s="1" t="s">
        <v>103</v>
      </c>
      <c r="B101" s="1" t="str">
        <f>_xlfn.XLOOKUP(C101,[1]Sheet1!$A$2:$A$173,[1]Sheet1!$D$2:$D$173)</f>
        <v>Central America</v>
      </c>
      <c r="C101" s="1" t="str">
        <f>_xlfn.XLOOKUP(D101,[2]Sheet2!D101:D349,[2]Sheet2!C101:C349)</f>
        <v>NIC</v>
      </c>
      <c r="D101" s="1">
        <v>558</v>
      </c>
      <c r="E101">
        <v>0.29092886651859767</v>
      </c>
      <c r="F101">
        <v>0.31866249231862459</v>
      </c>
      <c r="G101">
        <v>0.33332862698958421</v>
      </c>
      <c r="H101">
        <v>0.35573130087612492</v>
      </c>
      <c r="I101">
        <v>0.36079752650147501</v>
      </c>
      <c r="J101">
        <v>0.37484987818436261</v>
      </c>
      <c r="K101">
        <v>0.39594950185213229</v>
      </c>
      <c r="L101">
        <v>0.41113377016076841</v>
      </c>
      <c r="M101">
        <v>0.42976674457372999</v>
      </c>
      <c r="N101">
        <v>0.44762712443803432</v>
      </c>
      <c r="O101">
        <v>0.46544438399849047</v>
      </c>
      <c r="P101">
        <v>0.48290739159088669</v>
      </c>
      <c r="Q101">
        <v>0.49953582949483882</v>
      </c>
      <c r="R101">
        <v>0.51573127304167887</v>
      </c>
      <c r="S101">
        <v>0.53199308918022037</v>
      </c>
      <c r="T101">
        <v>0.54825029376729073</v>
      </c>
      <c r="U101">
        <v>0.56383582978133551</v>
      </c>
      <c r="V101">
        <v>0.57925855502305978</v>
      </c>
      <c r="W101">
        <v>0.59463615808382797</v>
      </c>
      <c r="X101">
        <v>0.60951772522177228</v>
      </c>
      <c r="Y101">
        <v>0.62406250705490995</v>
      </c>
      <c r="Z101">
        <v>0.63938115036657683</v>
      </c>
      <c r="AA101">
        <v>0.65449787071742438</v>
      </c>
      <c r="AB101">
        <v>0.66902295161410608</v>
      </c>
      <c r="AC101">
        <v>0.6823585176893241</v>
      </c>
      <c r="AD101">
        <v>0.69463543195009969</v>
      </c>
      <c r="AE101">
        <v>0.70606454064277857</v>
      </c>
    </row>
    <row r="102" spans="1:31" x14ac:dyDescent="0.25">
      <c r="A102" s="1" t="s">
        <v>104</v>
      </c>
      <c r="B102" s="1" t="str">
        <f>_xlfn.XLOOKUP(C102,[1]Sheet1!$A$2:$A$173,[1]Sheet1!$D$2:$D$173)</f>
        <v>Western Africa</v>
      </c>
      <c r="C102" s="1" t="str">
        <f>_xlfn.XLOOKUP(D102,[2]Sheet2!D102:D350,[2]Sheet2!C102:C350)</f>
        <v>NER</v>
      </c>
      <c r="D102" s="1">
        <v>562</v>
      </c>
      <c r="E102">
        <v>7.9831151490345753E-2</v>
      </c>
      <c r="F102">
        <v>8.8055030637583173E-2</v>
      </c>
      <c r="G102">
        <v>0.10330521466417671</v>
      </c>
      <c r="H102">
        <v>0.1148891012096199</v>
      </c>
      <c r="I102">
        <v>0.12650209283498301</v>
      </c>
      <c r="J102">
        <v>0.13841095585682989</v>
      </c>
      <c r="K102">
        <v>0.154106788885466</v>
      </c>
      <c r="L102">
        <v>0.1759912108124449</v>
      </c>
      <c r="M102">
        <v>0.19815877243389579</v>
      </c>
      <c r="N102">
        <v>0.22438389759599381</v>
      </c>
      <c r="O102">
        <v>0.25016226113525047</v>
      </c>
      <c r="P102">
        <v>0.27363480510711641</v>
      </c>
      <c r="Q102">
        <v>0.29632635361888893</v>
      </c>
      <c r="R102">
        <v>0.31870378663365628</v>
      </c>
      <c r="S102">
        <v>0.34022601644796868</v>
      </c>
      <c r="T102">
        <v>0.36140452869633871</v>
      </c>
      <c r="U102">
        <v>0.38223044575569742</v>
      </c>
      <c r="V102">
        <v>0.40286573632442368</v>
      </c>
      <c r="W102">
        <v>0.42313632249704941</v>
      </c>
      <c r="X102">
        <v>0.44253564977163129</v>
      </c>
      <c r="Y102">
        <v>0.46132005216160732</v>
      </c>
      <c r="Z102">
        <v>0.47991551382459102</v>
      </c>
      <c r="AA102">
        <v>0.49798643035833079</v>
      </c>
      <c r="AB102">
        <v>0.51609619854968525</v>
      </c>
      <c r="AC102">
        <v>0.53351105112265163</v>
      </c>
      <c r="AD102">
        <v>0.55062179586309923</v>
      </c>
      <c r="AE102">
        <v>0.56674114634327732</v>
      </c>
    </row>
    <row r="103" spans="1:31" x14ac:dyDescent="0.25">
      <c r="A103" s="1" t="s">
        <v>105</v>
      </c>
      <c r="B103" s="1" t="str">
        <f>_xlfn.XLOOKUP(C103,[1]Sheet1!$A$2:$A$173,[1]Sheet1!$D$2:$D$173)</f>
        <v>Western Africa</v>
      </c>
      <c r="C103" s="1" t="str">
        <f>_xlfn.XLOOKUP(D103,[2]Sheet2!D103:D351,[2]Sheet2!C103:C351)</f>
        <v>NGA</v>
      </c>
      <c r="D103" s="1">
        <v>566</v>
      </c>
      <c r="E103">
        <v>0.18297491127857499</v>
      </c>
      <c r="F103">
        <v>0.20851545182220441</v>
      </c>
      <c r="G103">
        <v>0.22703596771346821</v>
      </c>
      <c r="H103">
        <v>0.2465229301825709</v>
      </c>
      <c r="I103">
        <v>0.25954952645366081</v>
      </c>
      <c r="J103">
        <v>0.27202430731154009</v>
      </c>
      <c r="K103">
        <v>0.2882934592312158</v>
      </c>
      <c r="L103">
        <v>0.31630355184306369</v>
      </c>
      <c r="M103">
        <v>0.34929830345841478</v>
      </c>
      <c r="N103">
        <v>0.38039465555602731</v>
      </c>
      <c r="O103">
        <v>0.41240847382290857</v>
      </c>
      <c r="P103">
        <v>0.43844283322575639</v>
      </c>
      <c r="Q103">
        <v>0.46015820777256222</v>
      </c>
      <c r="R103">
        <v>0.48058839969175271</v>
      </c>
      <c r="S103">
        <v>0.50069423901951393</v>
      </c>
      <c r="T103">
        <v>0.51986893728992412</v>
      </c>
      <c r="U103">
        <v>0.53843988735785142</v>
      </c>
      <c r="V103">
        <v>0.55600368970550385</v>
      </c>
      <c r="W103">
        <v>0.57271749718882825</v>
      </c>
      <c r="X103">
        <v>0.58848254826407065</v>
      </c>
      <c r="Y103">
        <v>0.60291269735294328</v>
      </c>
      <c r="Z103">
        <v>0.61631073606570608</v>
      </c>
      <c r="AA103">
        <v>0.62922543745056625</v>
      </c>
      <c r="AB103">
        <v>0.64127652104514243</v>
      </c>
      <c r="AC103">
        <v>0.65249377080441251</v>
      </c>
      <c r="AD103">
        <v>0.66331138199545558</v>
      </c>
      <c r="AE103">
        <v>0.67394104449840975</v>
      </c>
    </row>
    <row r="104" spans="1:31" x14ac:dyDescent="0.25">
      <c r="A104" s="1" t="s">
        <v>106</v>
      </c>
      <c r="B104" s="1" t="str">
        <f>_xlfn.XLOOKUP(C104,[1]Sheet1!$A$2:$A$173,[1]Sheet1!$D$2:$D$173)</f>
        <v>Western Europe</v>
      </c>
      <c r="C104" s="1" t="str">
        <f>_xlfn.XLOOKUP(D104,[2]Sheet2!D104:D352,[2]Sheet2!C104:C352)</f>
        <v>NOR</v>
      </c>
      <c r="D104" s="1">
        <v>578</v>
      </c>
      <c r="E104">
        <v>0.61453238523916254</v>
      </c>
      <c r="F104">
        <v>0.62812428626544503</v>
      </c>
      <c r="G104">
        <v>0.64255569349932962</v>
      </c>
      <c r="H104">
        <v>0.65433471089449924</v>
      </c>
      <c r="I104">
        <v>0.66208623206827366</v>
      </c>
      <c r="J104">
        <v>0.67595658704327288</v>
      </c>
      <c r="K104">
        <v>0.69012197867543867</v>
      </c>
      <c r="L104">
        <v>0.70266438728984248</v>
      </c>
      <c r="M104">
        <v>0.7135434350480524</v>
      </c>
      <c r="N104">
        <v>0.72766871328110738</v>
      </c>
      <c r="O104">
        <v>0.73920908189149703</v>
      </c>
      <c r="P104">
        <v>0.75154586472985452</v>
      </c>
      <c r="Q104">
        <v>0.76235998158204743</v>
      </c>
      <c r="R104">
        <v>0.77223985659318306</v>
      </c>
      <c r="S104">
        <v>0.78165474118926093</v>
      </c>
      <c r="T104">
        <v>0.79112495740678157</v>
      </c>
      <c r="U104">
        <v>0.79996137846100923</v>
      </c>
      <c r="V104">
        <v>0.80864914601043814</v>
      </c>
      <c r="W104">
        <v>0.81748684109137681</v>
      </c>
      <c r="X104">
        <v>0.82577804815476485</v>
      </c>
      <c r="Y104">
        <v>0.83406770677477637</v>
      </c>
      <c r="Z104">
        <v>0.84213772035089451</v>
      </c>
      <c r="AA104">
        <v>0.84999215252590699</v>
      </c>
      <c r="AB104">
        <v>0.85742690214706618</v>
      </c>
      <c r="AC104">
        <v>0.86488548439515511</v>
      </c>
      <c r="AD104">
        <v>0.87196393497655433</v>
      </c>
      <c r="AE104">
        <v>0.87925385973267389</v>
      </c>
    </row>
    <row r="105" spans="1:31" x14ac:dyDescent="0.25">
      <c r="A105" s="1" t="s">
        <v>107</v>
      </c>
      <c r="B105" s="1" t="str">
        <f>_xlfn.XLOOKUP(C105,[1]Sheet1!$A$2:$A$173,[1]Sheet1!$D$2:$D$173)</f>
        <v>Middle East</v>
      </c>
      <c r="C105" s="1" t="str">
        <f>_xlfn.XLOOKUP(D105,[2]Sheet2!D105:D353,[2]Sheet2!C105:C353)</f>
        <v>OMN</v>
      </c>
      <c r="D105" s="1">
        <v>512</v>
      </c>
      <c r="E105">
        <v>0.23346845196774271</v>
      </c>
      <c r="F105">
        <v>0.28085794422027849</v>
      </c>
      <c r="G105">
        <v>0.33039263787587958</v>
      </c>
      <c r="H105">
        <v>0.38550773780778741</v>
      </c>
      <c r="I105">
        <v>0.42854880149802171</v>
      </c>
      <c r="J105">
        <v>0.47487742716935538</v>
      </c>
      <c r="K105">
        <v>0.51315479354554316</v>
      </c>
      <c r="L105">
        <v>0.54404249909161007</v>
      </c>
      <c r="M105">
        <v>0.57647488205876662</v>
      </c>
      <c r="N105">
        <v>0.59855903443923975</v>
      </c>
      <c r="O105">
        <v>0.61167867780096064</v>
      </c>
      <c r="P105">
        <v>0.62245395165944739</v>
      </c>
      <c r="Q105">
        <v>0.63344693533824581</v>
      </c>
      <c r="R105">
        <v>0.64499590518363226</v>
      </c>
      <c r="S105">
        <v>0.65597422521473614</v>
      </c>
      <c r="T105">
        <v>0.66701933443367001</v>
      </c>
      <c r="U105">
        <v>0.67761269006237423</v>
      </c>
      <c r="V105">
        <v>0.68898421939252308</v>
      </c>
      <c r="W105">
        <v>0.70077481822179</v>
      </c>
      <c r="X105">
        <v>0.71292504076650987</v>
      </c>
      <c r="Y105">
        <v>0.725375614914885</v>
      </c>
      <c r="Z105">
        <v>0.73754869062093376</v>
      </c>
      <c r="AA105">
        <v>0.74879261231278105</v>
      </c>
      <c r="AB105">
        <v>0.75953716854204034</v>
      </c>
      <c r="AC105">
        <v>0.76941244936940745</v>
      </c>
      <c r="AD105">
        <v>0.7786732221517827</v>
      </c>
      <c r="AE105">
        <v>0.78784660126009431</v>
      </c>
    </row>
    <row r="106" spans="1:31" x14ac:dyDescent="0.25">
      <c r="A106" s="1" t="s">
        <v>108</v>
      </c>
      <c r="B106" s="1" t="str">
        <f>_xlfn.XLOOKUP(C106,[1]Sheet1!$A$2:$A$173,[1]Sheet1!$D$2:$D$173)</f>
        <v>Rest of South Asia</v>
      </c>
      <c r="C106" s="1" t="str">
        <f>_xlfn.XLOOKUP(D106,[2]Sheet2!D106:D354,[2]Sheet2!C106:C354)</f>
        <v>PAK</v>
      </c>
      <c r="D106" s="1">
        <v>586</v>
      </c>
      <c r="E106">
        <v>0.2044349032527861</v>
      </c>
      <c r="F106">
        <v>0.2239711589951188</v>
      </c>
      <c r="G106">
        <v>0.24634660546998779</v>
      </c>
      <c r="H106">
        <v>0.26790132367471953</v>
      </c>
      <c r="I106">
        <v>0.28834588544989359</v>
      </c>
      <c r="J106">
        <v>0.30694428781994249</v>
      </c>
      <c r="K106">
        <v>0.32189111573203377</v>
      </c>
      <c r="L106">
        <v>0.34571512271451671</v>
      </c>
      <c r="M106">
        <v>0.36758829263007597</v>
      </c>
      <c r="N106">
        <v>0.38999499468199178</v>
      </c>
      <c r="O106">
        <v>0.40907356446477738</v>
      </c>
      <c r="P106">
        <v>0.4285971813126736</v>
      </c>
      <c r="Q106">
        <v>0.44864430104858122</v>
      </c>
      <c r="R106">
        <v>0.46963129819741861</v>
      </c>
      <c r="S106">
        <v>0.49042816596712058</v>
      </c>
      <c r="T106">
        <v>0.5113023447597832</v>
      </c>
      <c r="U106">
        <v>0.53186500953148885</v>
      </c>
      <c r="V106">
        <v>0.55199562298378935</v>
      </c>
      <c r="W106">
        <v>0.57155295202348688</v>
      </c>
      <c r="X106">
        <v>0.59044246579962079</v>
      </c>
      <c r="Y106">
        <v>0.60862652737584155</v>
      </c>
      <c r="Z106">
        <v>0.62585696141016056</v>
      </c>
      <c r="AA106">
        <v>0.64247882357442299</v>
      </c>
      <c r="AB106">
        <v>0.65809458549162969</v>
      </c>
      <c r="AC106">
        <v>0.67274829138975523</v>
      </c>
      <c r="AD106">
        <v>0.68679152455072456</v>
      </c>
      <c r="AE106">
        <v>0.70005387512830197</v>
      </c>
    </row>
    <row r="107" spans="1:31" x14ac:dyDescent="0.25">
      <c r="A107" s="1" t="s">
        <v>109</v>
      </c>
      <c r="B107" s="1" t="str">
        <f>_xlfn.XLOOKUP(C107,[1]Sheet1!$A$2:$A$173,[1]Sheet1!$D$2:$D$173)</f>
        <v>Central America</v>
      </c>
      <c r="C107" s="1" t="str">
        <f>_xlfn.XLOOKUP(D107,[2]Sheet2!D107:D355,[2]Sheet2!C107:C355)</f>
        <v>PAN</v>
      </c>
      <c r="D107" s="1">
        <v>591</v>
      </c>
      <c r="E107">
        <v>0.40915390319017148</v>
      </c>
      <c r="F107">
        <v>0.43511490976938377</v>
      </c>
      <c r="G107">
        <v>0.4689747224164269</v>
      </c>
      <c r="H107">
        <v>0.49119028896192779</v>
      </c>
      <c r="I107">
        <v>0.50525715836246077</v>
      </c>
      <c r="J107">
        <v>0.52303284485871482</v>
      </c>
      <c r="K107">
        <v>0.53815649179130454</v>
      </c>
      <c r="L107">
        <v>0.55295400277288331</v>
      </c>
      <c r="M107">
        <v>0.57353804102037764</v>
      </c>
      <c r="N107">
        <v>0.59713039877046903</v>
      </c>
      <c r="O107">
        <v>0.61473703405770241</v>
      </c>
      <c r="P107">
        <v>0.62878806489290828</v>
      </c>
      <c r="Q107">
        <v>0.64046410299262813</v>
      </c>
      <c r="R107">
        <v>0.65158128335768328</v>
      </c>
      <c r="S107">
        <v>0.66279196709773303</v>
      </c>
      <c r="T107">
        <v>0.67423713115729256</v>
      </c>
      <c r="U107">
        <v>0.68594362003612885</v>
      </c>
      <c r="V107">
        <v>0.69710859310150997</v>
      </c>
      <c r="W107">
        <v>0.70791192203813624</v>
      </c>
      <c r="X107">
        <v>0.71790346727074039</v>
      </c>
      <c r="Y107">
        <v>0.72771493785657182</v>
      </c>
      <c r="Z107">
        <v>0.73699453131147896</v>
      </c>
      <c r="AA107">
        <v>0.74594544533632601</v>
      </c>
      <c r="AB107">
        <v>0.75486603753069637</v>
      </c>
      <c r="AC107">
        <v>0.76371311640494366</v>
      </c>
      <c r="AD107">
        <v>0.77259584933758296</v>
      </c>
      <c r="AE107">
        <v>0.78129522124173589</v>
      </c>
    </row>
    <row r="108" spans="1:31" x14ac:dyDescent="0.25">
      <c r="A108" s="1" t="s">
        <v>110</v>
      </c>
      <c r="B108" s="1" t="str">
        <f>_xlfn.XLOOKUP(C108,[1]Sheet1!$A$2:$A$173,[1]Sheet1!$D$2:$D$173)</f>
        <v>Rest of South America</v>
      </c>
      <c r="C108" s="1" t="str">
        <f>_xlfn.XLOOKUP(D108,[2]Sheet2!D108:D356,[2]Sheet2!C108:C356)</f>
        <v>PRY</v>
      </c>
      <c r="D108" s="1">
        <v>600</v>
      </c>
      <c r="E108">
        <v>0.36755913456514872</v>
      </c>
      <c r="F108">
        <v>0.38883056416968131</v>
      </c>
      <c r="G108">
        <v>0.41651667657797953</v>
      </c>
      <c r="H108">
        <v>0.42762067508081608</v>
      </c>
      <c r="I108">
        <v>0.44118292439609008</v>
      </c>
      <c r="J108">
        <v>0.45097847947105291</v>
      </c>
      <c r="K108">
        <v>0.460145411276209</v>
      </c>
      <c r="L108">
        <v>0.47634549712512059</v>
      </c>
      <c r="M108">
        <v>0.49101870537150361</v>
      </c>
      <c r="N108">
        <v>0.50521912897451415</v>
      </c>
      <c r="O108">
        <v>0.51892381674364207</v>
      </c>
      <c r="P108">
        <v>0.53532608433437801</v>
      </c>
      <c r="Q108">
        <v>0.55128628003739921</v>
      </c>
      <c r="R108">
        <v>0.56733964520382818</v>
      </c>
      <c r="S108">
        <v>0.58331085840915975</v>
      </c>
      <c r="T108">
        <v>0.59898204692769641</v>
      </c>
      <c r="U108">
        <v>0.61359587250301595</v>
      </c>
      <c r="V108">
        <v>0.6277205251877922</v>
      </c>
      <c r="W108">
        <v>0.64102478392978446</v>
      </c>
      <c r="X108">
        <v>0.6540868921872105</v>
      </c>
      <c r="Y108">
        <v>0.66760323383810671</v>
      </c>
      <c r="Z108">
        <v>0.68133808878554702</v>
      </c>
      <c r="AA108">
        <v>0.69447791971641448</v>
      </c>
      <c r="AB108">
        <v>0.70677861771699491</v>
      </c>
      <c r="AC108">
        <v>0.71826981716235494</v>
      </c>
      <c r="AD108">
        <v>0.72920237393737908</v>
      </c>
      <c r="AE108">
        <v>0.73917927742442247</v>
      </c>
    </row>
    <row r="109" spans="1:31" x14ac:dyDescent="0.25">
      <c r="A109" s="1" t="s">
        <v>111</v>
      </c>
      <c r="B109" s="1" t="str">
        <f>_xlfn.XLOOKUP(C109,[1]Sheet1!$A$2:$A$173,[1]Sheet1!$D$2:$D$173)</f>
        <v>Rest of South America</v>
      </c>
      <c r="C109" s="1" t="str">
        <f>_xlfn.XLOOKUP(D109,[2]Sheet2!D109:D357,[2]Sheet2!C109:C357)</f>
        <v>PER</v>
      </c>
      <c r="D109" s="1">
        <v>604</v>
      </c>
      <c r="E109">
        <v>0.37285539279484259</v>
      </c>
      <c r="F109">
        <v>0.40595746889454182</v>
      </c>
      <c r="G109">
        <v>0.42918460928330932</v>
      </c>
      <c r="H109">
        <v>0.44685849311037512</v>
      </c>
      <c r="I109">
        <v>0.46068521056813577</v>
      </c>
      <c r="J109">
        <v>0.48670238355495149</v>
      </c>
      <c r="K109">
        <v>0.50618295805299984</v>
      </c>
      <c r="L109">
        <v>0.5290358311812986</v>
      </c>
      <c r="M109">
        <v>0.55351429598295276</v>
      </c>
      <c r="N109">
        <v>0.57326664826274154</v>
      </c>
      <c r="O109">
        <v>0.59283189930178581</v>
      </c>
      <c r="P109">
        <v>0.60814591606502122</v>
      </c>
      <c r="Q109">
        <v>0.62075222903838412</v>
      </c>
      <c r="R109">
        <v>0.6327336430256536</v>
      </c>
      <c r="S109">
        <v>0.64453461627860975</v>
      </c>
      <c r="T109">
        <v>0.65574551796177916</v>
      </c>
      <c r="U109">
        <v>0.66644989446019343</v>
      </c>
      <c r="V109">
        <v>0.67672482230848852</v>
      </c>
      <c r="W109">
        <v>0.68670538186861252</v>
      </c>
      <c r="X109">
        <v>0.69576589371049924</v>
      </c>
      <c r="Y109">
        <v>0.70472807725570297</v>
      </c>
      <c r="Z109">
        <v>0.71311698855362882</v>
      </c>
      <c r="AA109">
        <v>0.72117963740579327</v>
      </c>
      <c r="AB109">
        <v>0.72871298266185247</v>
      </c>
      <c r="AC109">
        <v>0.73629128342742456</v>
      </c>
      <c r="AD109">
        <v>0.74335884218268677</v>
      </c>
      <c r="AE109">
        <v>0.75097841135032717</v>
      </c>
    </row>
    <row r="110" spans="1:31" x14ac:dyDescent="0.25">
      <c r="A110" s="1" t="s">
        <v>112</v>
      </c>
      <c r="B110" s="1" t="str">
        <f>_xlfn.XLOOKUP(C110,[1]Sheet1!$A$2:$A$173,[1]Sheet1!$D$2:$D$173)</f>
        <v>Southeastern Asia</v>
      </c>
      <c r="C110" s="1" t="str">
        <f>_xlfn.XLOOKUP(D110,[2]Sheet2!D110:D358,[2]Sheet2!C110:C358)</f>
        <v>PHL</v>
      </c>
      <c r="D110" s="1">
        <v>608</v>
      </c>
      <c r="E110">
        <v>0.37185693420353938</v>
      </c>
      <c r="F110">
        <v>0.39367161947215312</v>
      </c>
      <c r="G110">
        <v>0.40995490973604382</v>
      </c>
      <c r="H110">
        <v>0.41519405077667432</v>
      </c>
      <c r="I110">
        <v>0.43333626589984597</v>
      </c>
      <c r="J110">
        <v>0.44293165932088679</v>
      </c>
      <c r="K110">
        <v>0.45843640905364541</v>
      </c>
      <c r="L110">
        <v>0.46839606779655929</v>
      </c>
      <c r="M110">
        <v>0.48307426369270651</v>
      </c>
      <c r="N110">
        <v>0.49754259552329411</v>
      </c>
      <c r="O110">
        <v>0.51323730112141663</v>
      </c>
      <c r="P110">
        <v>0.52953219294019926</v>
      </c>
      <c r="Q110">
        <v>0.54477068568388454</v>
      </c>
      <c r="R110">
        <v>0.55994257346978826</v>
      </c>
      <c r="S110">
        <v>0.57496648867483102</v>
      </c>
      <c r="T110">
        <v>0.58946259663098532</v>
      </c>
      <c r="U110">
        <v>0.60304674052578322</v>
      </c>
      <c r="V110">
        <v>0.61603428700421603</v>
      </c>
      <c r="W110">
        <v>0.62797097620807041</v>
      </c>
      <c r="X110">
        <v>0.63947781975159568</v>
      </c>
      <c r="Y110">
        <v>0.65063966358612613</v>
      </c>
      <c r="Z110">
        <v>0.6613382743185896</v>
      </c>
      <c r="AA110">
        <v>0.67156348638452323</v>
      </c>
      <c r="AB110">
        <v>0.68134214450105102</v>
      </c>
      <c r="AC110">
        <v>0.69071442962884178</v>
      </c>
      <c r="AD110">
        <v>0.69989666637979675</v>
      </c>
      <c r="AE110">
        <v>0.70873771255472762</v>
      </c>
    </row>
    <row r="111" spans="1:31" x14ac:dyDescent="0.25">
      <c r="A111" s="1" t="s">
        <v>113</v>
      </c>
      <c r="B111" s="1" t="str">
        <f>_xlfn.XLOOKUP(C111,[1]Sheet1!$A$2:$A$173,[1]Sheet1!$D$2:$D$173)</f>
        <v>Central Europe</v>
      </c>
      <c r="C111" s="1" t="str">
        <f>_xlfn.XLOOKUP(D111,[2]Sheet2!D111:D359,[2]Sheet2!C111:C359)</f>
        <v>POL</v>
      </c>
      <c r="D111" s="1">
        <v>616</v>
      </c>
      <c r="E111">
        <v>0.53217942725347045</v>
      </c>
      <c r="F111">
        <v>0.55050875610386807</v>
      </c>
      <c r="G111">
        <v>0.56390252257784357</v>
      </c>
      <c r="H111">
        <v>0.56797813669124442</v>
      </c>
      <c r="I111">
        <v>0.56988547194701666</v>
      </c>
      <c r="J111">
        <v>0.58173247378643433</v>
      </c>
      <c r="K111">
        <v>0.60226038779802027</v>
      </c>
      <c r="L111">
        <v>0.62117618186693568</v>
      </c>
      <c r="M111">
        <v>0.63864784191877888</v>
      </c>
      <c r="N111">
        <v>0.66805802880034493</v>
      </c>
      <c r="O111">
        <v>0.68474008724316759</v>
      </c>
      <c r="P111">
        <v>0.69896176622621753</v>
      </c>
      <c r="Q111">
        <v>0.70990443613475085</v>
      </c>
      <c r="R111">
        <v>0.7193717123071669</v>
      </c>
      <c r="S111">
        <v>0.72856093676245759</v>
      </c>
      <c r="T111">
        <v>0.73760459410103196</v>
      </c>
      <c r="U111">
        <v>0.74616194704717298</v>
      </c>
      <c r="V111">
        <v>0.75432923294496068</v>
      </c>
      <c r="W111">
        <v>0.76240637839905834</v>
      </c>
      <c r="X111">
        <v>0.77045596753009515</v>
      </c>
      <c r="Y111">
        <v>0.7789626508507328</v>
      </c>
      <c r="Z111">
        <v>0.78704727149286402</v>
      </c>
      <c r="AA111">
        <v>0.79480780100647208</v>
      </c>
      <c r="AB111">
        <v>0.80224812107393906</v>
      </c>
      <c r="AC111">
        <v>0.80943951403877068</v>
      </c>
      <c r="AD111">
        <v>0.8164821617624175</v>
      </c>
      <c r="AE111">
        <v>0.82361416152498101</v>
      </c>
    </row>
    <row r="112" spans="1:31" x14ac:dyDescent="0.25">
      <c r="A112" s="1" t="s">
        <v>114</v>
      </c>
      <c r="B112" s="1" t="str">
        <f>_xlfn.XLOOKUP(C112,[1]Sheet1!$A$2:$A$173,[1]Sheet1!$D$2:$D$173)</f>
        <v>Western Europe</v>
      </c>
      <c r="C112" s="1" t="str">
        <f>_xlfn.XLOOKUP(D112,[2]Sheet2!D112:D360,[2]Sheet2!C112:C360)</f>
        <v>PRT</v>
      </c>
      <c r="D112" s="1">
        <v>620</v>
      </c>
      <c r="E112">
        <v>0.35784406747062952</v>
      </c>
      <c r="F112">
        <v>0.38691868661763312</v>
      </c>
      <c r="G112">
        <v>0.41994436122202022</v>
      </c>
      <c r="H112">
        <v>0.44571491095644822</v>
      </c>
      <c r="I112">
        <v>0.4785921903387409</v>
      </c>
      <c r="J112">
        <v>0.50201180115319999</v>
      </c>
      <c r="K112">
        <v>0.52863383412766218</v>
      </c>
      <c r="L112">
        <v>0.5518918338931188</v>
      </c>
      <c r="M112">
        <v>0.57000427514519525</v>
      </c>
      <c r="N112">
        <v>0.59043455685442847</v>
      </c>
      <c r="O112">
        <v>0.61134245997086401</v>
      </c>
      <c r="P112">
        <v>0.63420065131083081</v>
      </c>
      <c r="Q112">
        <v>0.65549029917711965</v>
      </c>
      <c r="R112">
        <v>0.67555442155640311</v>
      </c>
      <c r="S112">
        <v>0.69415504913440296</v>
      </c>
      <c r="T112">
        <v>0.71137826649286062</v>
      </c>
      <c r="U112">
        <v>0.72667786076906016</v>
      </c>
      <c r="V112">
        <v>0.74086769189888602</v>
      </c>
      <c r="W112">
        <v>0.75390745093903377</v>
      </c>
      <c r="X112">
        <v>0.76562199249319196</v>
      </c>
      <c r="Y112">
        <v>0.77640384920109007</v>
      </c>
      <c r="Z112">
        <v>0.7859761344922177</v>
      </c>
      <c r="AA112">
        <v>0.79496457762633232</v>
      </c>
      <c r="AB112">
        <v>0.80347764329031546</v>
      </c>
      <c r="AC112">
        <v>0.81156299332508464</v>
      </c>
      <c r="AD112">
        <v>0.8193952432656203</v>
      </c>
      <c r="AE112">
        <v>0.82687409080135288</v>
      </c>
    </row>
    <row r="113" spans="1:31" x14ac:dyDescent="0.25">
      <c r="A113" s="1" t="s">
        <v>115</v>
      </c>
      <c r="B113" s="1" t="e">
        <f>_xlfn.XLOOKUP(C113,[1]Sheet1!$A$2:$A$173,[1]Sheet1!$D$2:$D$173)</f>
        <v>#N/A</v>
      </c>
      <c r="C113" s="1" t="str">
        <f>_xlfn.XLOOKUP(D113,[2]Sheet2!D113:D361,[2]Sheet2!C113:C361)</f>
        <v>PRI</v>
      </c>
      <c r="D113" s="1">
        <v>630</v>
      </c>
      <c r="E113">
        <v>0.51731921517460089</v>
      </c>
      <c r="F113">
        <v>0.54103340565377556</v>
      </c>
      <c r="G113">
        <v>0.56077702831954868</v>
      </c>
      <c r="H113">
        <v>0.57657691070049844</v>
      </c>
      <c r="I113">
        <v>0.59997536874071267</v>
      </c>
      <c r="J113">
        <v>0.60888371112947781</v>
      </c>
      <c r="K113">
        <v>0.63141556774398322</v>
      </c>
      <c r="L113">
        <v>0.64728614192245271</v>
      </c>
      <c r="M113">
        <v>0.65397149857480519</v>
      </c>
      <c r="N113">
        <v>0.67046713227641785</v>
      </c>
      <c r="O113">
        <v>0.68071701753068525</v>
      </c>
      <c r="P113">
        <v>0.69134046820888684</v>
      </c>
      <c r="Q113">
        <v>0.70118006521048015</v>
      </c>
      <c r="R113">
        <v>0.71041907859539077</v>
      </c>
      <c r="S113">
        <v>0.71920404090708967</v>
      </c>
      <c r="T113">
        <v>0.72804861100544194</v>
      </c>
      <c r="U113">
        <v>0.73640161442648677</v>
      </c>
      <c r="V113">
        <v>0.74467977178675737</v>
      </c>
      <c r="W113">
        <v>0.75317383374556957</v>
      </c>
      <c r="X113">
        <v>0.76110897394651211</v>
      </c>
      <c r="Y113">
        <v>0.76904911220607053</v>
      </c>
      <c r="Z113">
        <v>0.77701511477633578</v>
      </c>
      <c r="AA113">
        <v>0.78480329790845704</v>
      </c>
      <c r="AB113">
        <v>0.79279120827533744</v>
      </c>
      <c r="AC113">
        <v>0.80072838419606673</v>
      </c>
      <c r="AD113">
        <v>0.80854964196881296</v>
      </c>
      <c r="AE113">
        <v>0.81636382780463057</v>
      </c>
    </row>
    <row r="114" spans="1:31" x14ac:dyDescent="0.25">
      <c r="A114" s="1" t="s">
        <v>116</v>
      </c>
      <c r="B114" s="1" t="str">
        <f>_xlfn.XLOOKUP(C114,[1]Sheet1!$A$2:$A$173,[1]Sheet1!$D$2:$D$173)</f>
        <v>Korea region</v>
      </c>
      <c r="C114" s="1" t="str">
        <f>_xlfn.XLOOKUP(D114,[2]Sheet2!D114:D362,[2]Sheet2!C114:C362)</f>
        <v>KOR</v>
      </c>
      <c r="D114" s="1">
        <v>410</v>
      </c>
      <c r="E114">
        <v>0.40315768963123461</v>
      </c>
      <c r="F114">
        <v>0.44961567756094711</v>
      </c>
      <c r="G114">
        <v>0.48450411399460153</v>
      </c>
      <c r="H114">
        <v>0.52039000947260394</v>
      </c>
      <c r="I114">
        <v>0.5628846946311884</v>
      </c>
      <c r="J114">
        <v>0.59657041847287884</v>
      </c>
      <c r="K114">
        <v>0.62104825465410174</v>
      </c>
      <c r="L114">
        <v>0.64538639080007387</v>
      </c>
      <c r="M114">
        <v>0.66658730533998789</v>
      </c>
      <c r="N114">
        <v>0.68462787045241313</v>
      </c>
      <c r="O114">
        <v>0.69666867053361792</v>
      </c>
      <c r="P114">
        <v>0.7061427642612087</v>
      </c>
      <c r="Q114">
        <v>0.71506425492851522</v>
      </c>
      <c r="R114">
        <v>0.72413336381562865</v>
      </c>
      <c r="S114">
        <v>0.73329174824086363</v>
      </c>
      <c r="T114">
        <v>0.74211575675151709</v>
      </c>
      <c r="U114">
        <v>0.75036330897287651</v>
      </c>
      <c r="V114">
        <v>0.75879104002206665</v>
      </c>
      <c r="W114">
        <v>0.76670265973919027</v>
      </c>
      <c r="X114">
        <v>0.77381367918592847</v>
      </c>
      <c r="Y114">
        <v>0.78088630415429483</v>
      </c>
      <c r="Z114">
        <v>0.78773564661036299</v>
      </c>
      <c r="AA114">
        <v>0.79447469766517231</v>
      </c>
      <c r="AB114">
        <v>0.80122202369743023</v>
      </c>
      <c r="AC114">
        <v>0.80792924508776653</v>
      </c>
      <c r="AD114">
        <v>0.81420923300718628</v>
      </c>
      <c r="AE114">
        <v>0.82072226856178021</v>
      </c>
    </row>
    <row r="115" spans="1:31" x14ac:dyDescent="0.25">
      <c r="A115" s="1" t="s">
        <v>117</v>
      </c>
      <c r="B115" s="1" t="str">
        <f>_xlfn.XLOOKUP(C115,[1]Sheet1!$A$2:$A$173,[1]Sheet1!$D$2:$D$173)</f>
        <v>Ukraine region</v>
      </c>
      <c r="C115" s="1" t="str">
        <f>_xlfn.XLOOKUP(D115,[2]Sheet2!D115:D363,[2]Sheet2!C115:C363)</f>
        <v>MDA</v>
      </c>
      <c r="D115" s="1">
        <v>498</v>
      </c>
      <c r="E115">
        <v>0.31224222507175209</v>
      </c>
      <c r="F115">
        <v>0.34547976061211161</v>
      </c>
      <c r="G115">
        <v>0.37236819006768812</v>
      </c>
      <c r="H115">
        <v>0.39632972485809942</v>
      </c>
      <c r="I115">
        <v>0.4250828306250326</v>
      </c>
      <c r="J115">
        <v>0.44879736805180948</v>
      </c>
      <c r="K115">
        <v>0.45605780200985457</v>
      </c>
      <c r="L115">
        <v>0.48586307617587082</v>
      </c>
      <c r="M115">
        <v>0.5007606746815787</v>
      </c>
      <c r="N115">
        <v>0.54198553308908426</v>
      </c>
      <c r="O115">
        <v>0.57616767528717694</v>
      </c>
      <c r="P115">
        <v>0.60678365762335107</v>
      </c>
      <c r="Q115">
        <v>0.62779834555578184</v>
      </c>
      <c r="R115">
        <v>0.64259213484177635</v>
      </c>
      <c r="S115">
        <v>0.65363400613368561</v>
      </c>
      <c r="T115">
        <v>0.66256856600056369</v>
      </c>
      <c r="U115">
        <v>0.67046140712392965</v>
      </c>
      <c r="V115">
        <v>0.67807568112637828</v>
      </c>
      <c r="W115">
        <v>0.68572007947193236</v>
      </c>
      <c r="X115">
        <v>0.69351866200107992</v>
      </c>
      <c r="Y115">
        <v>0.70170371189022474</v>
      </c>
      <c r="Z115">
        <v>0.7103667370037472</v>
      </c>
      <c r="AA115">
        <v>0.71866278408310602</v>
      </c>
      <c r="AB115">
        <v>0.72706874313424696</v>
      </c>
      <c r="AC115">
        <v>0.73528324176279591</v>
      </c>
      <c r="AD115">
        <v>0.74346207739165815</v>
      </c>
      <c r="AE115">
        <v>0.75166111473407893</v>
      </c>
    </row>
    <row r="116" spans="1:31" x14ac:dyDescent="0.25">
      <c r="A116" s="1" t="s">
        <v>118</v>
      </c>
      <c r="B116" s="1" t="str">
        <f>_xlfn.XLOOKUP(C116,[1]Sheet1!$A$2:$A$173,[1]Sheet1!$D$2:$D$173)</f>
        <v>Central Europe</v>
      </c>
      <c r="C116" s="1" t="str">
        <f>_xlfn.XLOOKUP(D116,[2]Sheet2!D116:D364,[2]Sheet2!C116:C364)</f>
        <v>ROU</v>
      </c>
      <c r="D116" s="1">
        <v>642</v>
      </c>
      <c r="E116">
        <v>0.44740706811806968</v>
      </c>
      <c r="F116">
        <v>0.48577115418699418</v>
      </c>
      <c r="G116">
        <v>0.51417710721346777</v>
      </c>
      <c r="H116">
        <v>0.52450044124284156</v>
      </c>
      <c r="I116">
        <v>0.53049655435036935</v>
      </c>
      <c r="J116">
        <v>0.53454269223332707</v>
      </c>
      <c r="K116">
        <v>0.5414068990589529</v>
      </c>
      <c r="L116">
        <v>0.56680113235786977</v>
      </c>
      <c r="M116">
        <v>0.58509771401778798</v>
      </c>
      <c r="N116">
        <v>0.61202696047222904</v>
      </c>
      <c r="O116">
        <v>0.63088096125990711</v>
      </c>
      <c r="P116">
        <v>0.64807587142000556</v>
      </c>
      <c r="Q116">
        <v>0.66208645250019615</v>
      </c>
      <c r="R116">
        <v>0.6739426261792606</v>
      </c>
      <c r="S116">
        <v>0.68453391365736549</v>
      </c>
      <c r="T116">
        <v>0.6944665989521388</v>
      </c>
      <c r="U116">
        <v>0.70390612640406791</v>
      </c>
      <c r="V116">
        <v>0.71325740715979591</v>
      </c>
      <c r="W116">
        <v>0.72244824046462641</v>
      </c>
      <c r="X116">
        <v>0.73170361980221765</v>
      </c>
      <c r="Y116">
        <v>0.74115484476979332</v>
      </c>
      <c r="Z116">
        <v>0.75039930565946011</v>
      </c>
      <c r="AA116">
        <v>0.75919774189591549</v>
      </c>
      <c r="AB116">
        <v>0.76778979560939276</v>
      </c>
      <c r="AC116">
        <v>0.77597648262891605</v>
      </c>
      <c r="AD116">
        <v>0.78419594664625591</v>
      </c>
      <c r="AE116">
        <v>0.79222213263010755</v>
      </c>
    </row>
    <row r="117" spans="1:31" x14ac:dyDescent="0.25">
      <c r="A117" s="1" t="s">
        <v>119</v>
      </c>
      <c r="B117" s="1" t="str">
        <f>_xlfn.XLOOKUP(C117,[1]Sheet1!$A$2:$A$173,[1]Sheet1!$D$2:$D$173)</f>
        <v>Russia region</v>
      </c>
      <c r="C117" s="1" t="str">
        <f>_xlfn.XLOOKUP(D117,[2]Sheet2!D117:D365,[2]Sheet2!C117:C365)</f>
        <v>RUS</v>
      </c>
      <c r="D117" s="1">
        <v>643</v>
      </c>
      <c r="E117">
        <v>0.46921222700460702</v>
      </c>
      <c r="F117">
        <v>0.48685787628570981</v>
      </c>
      <c r="G117">
        <v>0.49995300561473371</v>
      </c>
      <c r="H117">
        <v>0.51402509431960641</v>
      </c>
      <c r="I117">
        <v>0.54221001941537994</v>
      </c>
      <c r="J117">
        <v>0.52583564002189531</v>
      </c>
      <c r="K117">
        <v>0.53295746016291445</v>
      </c>
      <c r="L117">
        <v>0.55240942419848571</v>
      </c>
      <c r="M117">
        <v>0.57528730478870505</v>
      </c>
      <c r="N117">
        <v>0.59843470051084113</v>
      </c>
      <c r="O117">
        <v>0.6147208219525907</v>
      </c>
      <c r="P117">
        <v>0.62940834959585445</v>
      </c>
      <c r="Q117">
        <v>0.64177351371557045</v>
      </c>
      <c r="R117">
        <v>0.65433142329995075</v>
      </c>
      <c r="S117">
        <v>0.66622691051744298</v>
      </c>
      <c r="T117">
        <v>0.67765606552484747</v>
      </c>
      <c r="U117">
        <v>0.68839316468496525</v>
      </c>
      <c r="V117">
        <v>0.69862842479798526</v>
      </c>
      <c r="W117">
        <v>0.70867620417002342</v>
      </c>
      <c r="X117">
        <v>0.71858227183984813</v>
      </c>
      <c r="Y117">
        <v>0.72875355679529452</v>
      </c>
      <c r="Z117">
        <v>0.73891681723245473</v>
      </c>
      <c r="AA117">
        <v>0.74828478028984113</v>
      </c>
      <c r="AB117">
        <v>0.75706630112928175</v>
      </c>
      <c r="AC117">
        <v>0.76584499529217842</v>
      </c>
      <c r="AD117">
        <v>0.77445073968741562</v>
      </c>
      <c r="AE117">
        <v>0.78287297444432624</v>
      </c>
    </row>
    <row r="118" spans="1:31" x14ac:dyDescent="0.25">
      <c r="A118" s="1" t="s">
        <v>120</v>
      </c>
      <c r="B118" s="1" t="str">
        <f>_xlfn.XLOOKUP(C118,[1]Sheet1!$A$2:$A$173,[1]Sheet1!$D$2:$D$173)</f>
        <v>Eastern Africa</v>
      </c>
      <c r="C118" s="1" t="str">
        <f>_xlfn.XLOOKUP(D118,[2]Sheet2!D118:D366,[2]Sheet2!C118:C366)</f>
        <v>RWA</v>
      </c>
      <c r="D118" s="1">
        <v>646</v>
      </c>
      <c r="E118">
        <v>0.17123854268216621</v>
      </c>
      <c r="F118">
        <v>0.17904926285574249</v>
      </c>
      <c r="G118">
        <v>0.19558456865527621</v>
      </c>
      <c r="H118">
        <v>0.21605211374098299</v>
      </c>
      <c r="I118">
        <v>0.22482314110602011</v>
      </c>
      <c r="J118">
        <v>0.11831106284062359</v>
      </c>
      <c r="K118">
        <v>0.22886231853287531</v>
      </c>
      <c r="L118">
        <v>0.26833599512738171</v>
      </c>
      <c r="M118">
        <v>0.31409004876865382</v>
      </c>
      <c r="N118">
        <v>0.34576518568485137</v>
      </c>
      <c r="O118">
        <v>0.36743958009425909</v>
      </c>
      <c r="P118">
        <v>0.3811668938240278</v>
      </c>
      <c r="Q118">
        <v>0.39504874245420829</v>
      </c>
      <c r="R118">
        <v>0.40901136535490279</v>
      </c>
      <c r="S118">
        <v>0.42359556041341501</v>
      </c>
      <c r="T118">
        <v>0.43859953359594728</v>
      </c>
      <c r="U118">
        <v>0.45446740214265718</v>
      </c>
      <c r="V118">
        <v>0.47051662186086018</v>
      </c>
      <c r="W118">
        <v>0.4871763676015986</v>
      </c>
      <c r="X118">
        <v>0.50371573912756562</v>
      </c>
      <c r="Y118">
        <v>0.51946172734746132</v>
      </c>
      <c r="Z118">
        <v>0.53513103617559588</v>
      </c>
      <c r="AA118">
        <v>0.5501476016086474</v>
      </c>
      <c r="AB118">
        <v>0.56489133924743584</v>
      </c>
      <c r="AC118">
        <v>0.57940096995299539</v>
      </c>
      <c r="AD118">
        <v>0.59352045818288768</v>
      </c>
      <c r="AE118">
        <v>0.60715274780773998</v>
      </c>
    </row>
    <row r="119" spans="1:31" x14ac:dyDescent="0.25">
      <c r="A119" s="1" t="s">
        <v>121</v>
      </c>
      <c r="B119" s="1" t="e">
        <f>_xlfn.XLOOKUP(C119,[1]Sheet1!$A$2:$A$173,[1]Sheet1!$D$2:$D$173)</f>
        <v>#N/A</v>
      </c>
      <c r="C119" s="1" t="str">
        <f>_xlfn.XLOOKUP(D119,[2]Sheet2!D119:D367,[2]Sheet2!C119:C367)</f>
        <v>LCA</v>
      </c>
      <c r="D119" s="1">
        <v>662</v>
      </c>
      <c r="E119">
        <v>0.40803883455137119</v>
      </c>
      <c r="F119">
        <v>0.43910599344285572</v>
      </c>
      <c r="G119">
        <v>0.47492078883257882</v>
      </c>
      <c r="H119">
        <v>0.49620911501220888</v>
      </c>
      <c r="I119">
        <v>0.52019830851667337</v>
      </c>
      <c r="J119">
        <v>0.53445353261704287</v>
      </c>
      <c r="K119">
        <v>0.54960376882208073</v>
      </c>
      <c r="L119">
        <v>0.56700372794822329</v>
      </c>
      <c r="M119">
        <v>0.58397560450179531</v>
      </c>
      <c r="N119">
        <v>0.60015802536970797</v>
      </c>
      <c r="O119">
        <v>0.61375614637819098</v>
      </c>
      <c r="P119">
        <v>0.62644244564710383</v>
      </c>
      <c r="Q119">
        <v>0.63748643321024812</v>
      </c>
      <c r="R119">
        <v>0.64837084294441982</v>
      </c>
      <c r="S119">
        <v>0.66006715704963914</v>
      </c>
      <c r="T119">
        <v>0.67142202126899631</v>
      </c>
      <c r="U119">
        <v>0.68298773925409118</v>
      </c>
      <c r="V119">
        <v>0.69444769270771212</v>
      </c>
      <c r="W119">
        <v>0.70562899368433163</v>
      </c>
      <c r="X119">
        <v>0.71568679092845189</v>
      </c>
      <c r="Y119">
        <v>0.72529651325421696</v>
      </c>
      <c r="Z119">
        <v>0.73479195141529263</v>
      </c>
      <c r="AA119">
        <v>0.74423478569687285</v>
      </c>
      <c r="AB119">
        <v>0.75326885011895683</v>
      </c>
      <c r="AC119">
        <v>0.76220535950676438</v>
      </c>
      <c r="AD119">
        <v>0.77055866448252719</v>
      </c>
      <c r="AE119">
        <v>0.77821030889454146</v>
      </c>
    </row>
    <row r="120" spans="1:31" x14ac:dyDescent="0.25">
      <c r="A120" s="1" t="s">
        <v>122</v>
      </c>
      <c r="B120" s="1" t="e">
        <f>_xlfn.XLOOKUP(C120,[1]Sheet1!$A$2:$A$173,[1]Sheet1!$D$2:$D$173)</f>
        <v>#N/A</v>
      </c>
      <c r="C120" s="1" t="str">
        <f>_xlfn.XLOOKUP(D120,[2]Sheet2!D120:D368,[2]Sheet2!C120:C368)</f>
        <v>VCT</v>
      </c>
      <c r="D120" s="1">
        <v>670</v>
      </c>
      <c r="E120">
        <v>0.40160988093865779</v>
      </c>
      <c r="F120">
        <v>0.41739883546344242</v>
      </c>
      <c r="G120">
        <v>0.44393886190536791</v>
      </c>
      <c r="H120">
        <v>0.47043179932450091</v>
      </c>
      <c r="I120">
        <v>0.50174515922344787</v>
      </c>
      <c r="J120">
        <v>0.51675818210986202</v>
      </c>
      <c r="K120">
        <v>0.52969264881883638</v>
      </c>
      <c r="L120">
        <v>0.54186519440601899</v>
      </c>
      <c r="M120">
        <v>0.56640028054502023</v>
      </c>
      <c r="N120">
        <v>0.58679526939534699</v>
      </c>
      <c r="O120">
        <v>0.60309453656777656</v>
      </c>
      <c r="P120">
        <v>0.6165254713478413</v>
      </c>
      <c r="Q120">
        <v>0.62810628408822222</v>
      </c>
      <c r="R120">
        <v>0.63888837326877868</v>
      </c>
      <c r="S120">
        <v>0.64971017939595188</v>
      </c>
      <c r="T120">
        <v>0.66106815169921218</v>
      </c>
      <c r="U120">
        <v>0.67192027170239477</v>
      </c>
      <c r="V120">
        <v>0.68218934214492355</v>
      </c>
      <c r="W120">
        <v>0.69241148904804795</v>
      </c>
      <c r="X120">
        <v>0.70205828572961293</v>
      </c>
      <c r="Y120">
        <v>0.71240860254581428</v>
      </c>
      <c r="Z120">
        <v>0.72314859205018622</v>
      </c>
      <c r="AA120">
        <v>0.73411205550809955</v>
      </c>
      <c r="AB120">
        <v>0.74485771039814097</v>
      </c>
      <c r="AC120">
        <v>0.75532111463635698</v>
      </c>
      <c r="AD120">
        <v>0.76672591614097185</v>
      </c>
      <c r="AE120">
        <v>0.77545274847918633</v>
      </c>
    </row>
    <row r="121" spans="1:31" x14ac:dyDescent="0.25">
      <c r="A121" s="1" t="s">
        <v>123</v>
      </c>
      <c r="B121" s="1" t="e">
        <f>_xlfn.XLOOKUP(C121,[1]Sheet1!$A$2:$A$173,[1]Sheet1!$D$2:$D$173)</f>
        <v>#N/A</v>
      </c>
      <c r="C121" s="1" t="str">
        <f>_xlfn.XLOOKUP(D121,[2]Sheet2!D121:D369,[2]Sheet2!C121:C369)</f>
        <v>WSM</v>
      </c>
      <c r="D121" s="1">
        <v>882</v>
      </c>
      <c r="E121">
        <v>0.4156495911885969</v>
      </c>
      <c r="F121">
        <v>0.43312085120552241</v>
      </c>
      <c r="G121">
        <v>0.4581746617890094</v>
      </c>
      <c r="H121">
        <v>0.47174775359678039</v>
      </c>
      <c r="I121">
        <v>0.49115584370586107</v>
      </c>
      <c r="J121">
        <v>0.50669779816420213</v>
      </c>
      <c r="K121">
        <v>0.52651262446907732</v>
      </c>
      <c r="L121">
        <v>0.54493382414246472</v>
      </c>
      <c r="M121">
        <v>0.55543399882923949</v>
      </c>
      <c r="N121">
        <v>0.5726248510554357</v>
      </c>
      <c r="O121">
        <v>0.58853723240079336</v>
      </c>
      <c r="P121">
        <v>0.60569059358833421</v>
      </c>
      <c r="Q121">
        <v>0.62104876789223418</v>
      </c>
      <c r="R121">
        <v>0.63573626838261144</v>
      </c>
      <c r="S121">
        <v>0.64963095798233228</v>
      </c>
      <c r="T121">
        <v>0.66238046735369616</v>
      </c>
      <c r="U121">
        <v>0.6747179454926423</v>
      </c>
      <c r="V121">
        <v>0.68657147832071042</v>
      </c>
      <c r="W121">
        <v>0.69791520247418082</v>
      </c>
      <c r="X121">
        <v>0.70908972274182236</v>
      </c>
      <c r="Y121">
        <v>0.71920750879637541</v>
      </c>
      <c r="Z121">
        <v>0.72905076810236846</v>
      </c>
      <c r="AA121">
        <v>0.73864865749452135</v>
      </c>
      <c r="AB121">
        <v>0.74862633881464369</v>
      </c>
      <c r="AC121">
        <v>0.7591549289290942</v>
      </c>
      <c r="AD121">
        <v>0.7697805089951234</v>
      </c>
      <c r="AE121">
        <v>0.78061907729226643</v>
      </c>
    </row>
    <row r="122" spans="1:31" x14ac:dyDescent="0.25">
      <c r="A122" s="1" t="s">
        <v>124</v>
      </c>
      <c r="B122" s="1" t="str">
        <f>_xlfn.XLOOKUP(C122,[1]Sheet1!$A$2:$A$173,[1]Sheet1!$D$2:$D$173)</f>
        <v>Western Africa</v>
      </c>
      <c r="C122" s="1" t="str">
        <f>_xlfn.XLOOKUP(D122,[2]Sheet2!D122:D370,[2]Sheet2!C122:C370)</f>
        <v>STP</v>
      </c>
      <c r="D122" s="1">
        <v>678</v>
      </c>
      <c r="E122">
        <v>0.1808163908455975</v>
      </c>
      <c r="F122">
        <v>0.21003961645925251</v>
      </c>
      <c r="G122">
        <v>0.24025217180893149</v>
      </c>
      <c r="H122">
        <v>0.25683930105824943</v>
      </c>
      <c r="I122">
        <v>0.26826617976520362</v>
      </c>
      <c r="J122">
        <v>0.28283549376816902</v>
      </c>
      <c r="K122">
        <v>0.29626245467035461</v>
      </c>
      <c r="L122">
        <v>0.32076411990523052</v>
      </c>
      <c r="M122">
        <v>0.34784311573713322</v>
      </c>
      <c r="N122">
        <v>0.37820035420522607</v>
      </c>
      <c r="O122">
        <v>0.40274864752133088</v>
      </c>
      <c r="P122">
        <v>0.42291708541449358</v>
      </c>
      <c r="Q122">
        <v>0.43815915151748808</v>
      </c>
      <c r="R122">
        <v>0.45215098049636332</v>
      </c>
      <c r="S122">
        <v>0.46554037637686668</v>
      </c>
      <c r="T122">
        <v>0.47881289218192669</v>
      </c>
      <c r="U122">
        <v>0.49241385045721581</v>
      </c>
      <c r="V122">
        <v>0.50610821953024099</v>
      </c>
      <c r="W122">
        <v>0.52041258565079851</v>
      </c>
      <c r="X122">
        <v>0.53411175729225757</v>
      </c>
      <c r="Y122">
        <v>0.54737752140762397</v>
      </c>
      <c r="Z122">
        <v>0.56077437100884886</v>
      </c>
      <c r="AA122">
        <v>0.57407185909173775</v>
      </c>
      <c r="AB122">
        <v>0.58724536652906967</v>
      </c>
      <c r="AC122">
        <v>0.60009105144248531</v>
      </c>
      <c r="AD122">
        <v>0.61258706069408519</v>
      </c>
      <c r="AE122">
        <v>0.62504537356907952</v>
      </c>
    </row>
    <row r="123" spans="1:31" x14ac:dyDescent="0.25">
      <c r="A123" s="1" t="s">
        <v>125</v>
      </c>
      <c r="B123" s="1" t="str">
        <f>_xlfn.XLOOKUP(C123,[1]Sheet1!$A$2:$A$173,[1]Sheet1!$D$2:$D$173)</f>
        <v>Middle East</v>
      </c>
      <c r="C123" s="1" t="str">
        <f>_xlfn.XLOOKUP(D123,[2]Sheet2!D123:D371,[2]Sheet2!C123:C371)</f>
        <v>SAU</v>
      </c>
      <c r="D123" s="1">
        <v>682</v>
      </c>
      <c r="E123">
        <v>0.30556770368084091</v>
      </c>
      <c r="F123">
        <v>0.35043422986339429</v>
      </c>
      <c r="G123">
        <v>0.3988616134287466</v>
      </c>
      <c r="H123">
        <v>0.44622269067209058</v>
      </c>
      <c r="I123">
        <v>0.48990039951505621</v>
      </c>
      <c r="J123">
        <v>0.51512595080441248</v>
      </c>
      <c r="K123">
        <v>0.5449855474519264</v>
      </c>
      <c r="L123">
        <v>0.57287200635328217</v>
      </c>
      <c r="M123">
        <v>0.59174480342558577</v>
      </c>
      <c r="N123">
        <v>0.60808388067061203</v>
      </c>
      <c r="O123">
        <v>0.61708755600318299</v>
      </c>
      <c r="P123">
        <v>0.62738041237322395</v>
      </c>
      <c r="Q123">
        <v>0.63809974579231088</v>
      </c>
      <c r="R123">
        <v>0.65061833447483675</v>
      </c>
      <c r="S123">
        <v>0.66324668835843803</v>
      </c>
      <c r="T123">
        <v>0.67579728219571933</v>
      </c>
      <c r="U123">
        <v>0.68716720054490465</v>
      </c>
      <c r="V123">
        <v>0.69752269007874601</v>
      </c>
      <c r="W123">
        <v>0.7072830503714308</v>
      </c>
      <c r="X123">
        <v>0.71649615213376283</v>
      </c>
      <c r="Y123">
        <v>0.72586651927325296</v>
      </c>
      <c r="Z123">
        <v>0.73491991519003719</v>
      </c>
      <c r="AA123">
        <v>0.74380066383344479</v>
      </c>
      <c r="AB123">
        <v>0.75268540142482399</v>
      </c>
      <c r="AC123">
        <v>0.76111186718277946</v>
      </c>
      <c r="AD123">
        <v>0.76944187643854012</v>
      </c>
      <c r="AE123">
        <v>0.77776616250687614</v>
      </c>
    </row>
    <row r="124" spans="1:31" x14ac:dyDescent="0.25">
      <c r="A124" s="1" t="s">
        <v>126</v>
      </c>
      <c r="B124" s="1" t="str">
        <f>_xlfn.XLOOKUP(C124,[1]Sheet1!$A$2:$A$173,[1]Sheet1!$D$2:$D$173)</f>
        <v>Western Africa</v>
      </c>
      <c r="C124" s="1" t="str">
        <f>_xlfn.XLOOKUP(D124,[2]Sheet2!D124:D372,[2]Sheet2!C124:C372)</f>
        <v>SEN</v>
      </c>
      <c r="D124" s="1">
        <v>686</v>
      </c>
      <c r="E124">
        <v>0.16208575551117541</v>
      </c>
      <c r="F124">
        <v>0.1806334415393982</v>
      </c>
      <c r="G124">
        <v>0.20318873694205439</v>
      </c>
      <c r="H124">
        <v>0.22484574397026169</v>
      </c>
      <c r="I124">
        <v>0.245842640779733</v>
      </c>
      <c r="J124">
        <v>0.26022754149586241</v>
      </c>
      <c r="K124">
        <v>0.27220804184394659</v>
      </c>
      <c r="L124">
        <v>0.29782776901793617</v>
      </c>
      <c r="M124">
        <v>0.32410922951465199</v>
      </c>
      <c r="N124">
        <v>0.35177094205441689</v>
      </c>
      <c r="O124">
        <v>0.37619121015941542</v>
      </c>
      <c r="P124">
        <v>0.39824079453506628</v>
      </c>
      <c r="Q124">
        <v>0.41822247815947811</v>
      </c>
      <c r="R124">
        <v>0.43734105955295349</v>
      </c>
      <c r="S124">
        <v>0.4557599343969258</v>
      </c>
      <c r="T124">
        <v>0.47386640028776539</v>
      </c>
      <c r="U124">
        <v>0.49186331164814118</v>
      </c>
      <c r="V124">
        <v>0.50959476636906087</v>
      </c>
      <c r="W124">
        <v>0.52710438614199617</v>
      </c>
      <c r="X124">
        <v>0.54411725581331583</v>
      </c>
      <c r="Y124">
        <v>0.56052248852039666</v>
      </c>
      <c r="Z124">
        <v>0.57709252109985598</v>
      </c>
      <c r="AA124">
        <v>0.59291008243712084</v>
      </c>
      <c r="AB124">
        <v>0.6086991171398406</v>
      </c>
      <c r="AC124">
        <v>0.62403014431144577</v>
      </c>
      <c r="AD124">
        <v>0.63879257649678145</v>
      </c>
      <c r="AE124">
        <v>0.65324013598132424</v>
      </c>
    </row>
    <row r="125" spans="1:31" x14ac:dyDescent="0.25">
      <c r="A125" s="1" t="s">
        <v>127</v>
      </c>
      <c r="B125" s="1" t="str">
        <f>_xlfn.XLOOKUP(C125,[1]Sheet1!$A$2:$A$173,[1]Sheet1!$D$2:$D$173)</f>
        <v>Central Europe</v>
      </c>
      <c r="C125" s="1" t="str">
        <f>_xlfn.XLOOKUP(D125,[2]Sheet2!D125:D373,[2]Sheet2!C125:C373)</f>
        <v>SRB</v>
      </c>
      <c r="D125" s="1">
        <v>688</v>
      </c>
      <c r="E125">
        <v>0.42368751598501708</v>
      </c>
      <c r="F125">
        <v>0.45221298557030082</v>
      </c>
      <c r="G125">
        <v>0.47619532748798987</v>
      </c>
      <c r="H125">
        <v>0.49789036918112101</v>
      </c>
      <c r="I125">
        <v>0.51916308588442395</v>
      </c>
      <c r="J125">
        <v>0.53814312640712703</v>
      </c>
      <c r="K125">
        <v>0.55352840773979406</v>
      </c>
      <c r="L125">
        <v>0.57003039843181957</v>
      </c>
      <c r="M125">
        <v>0.58782745079812548</v>
      </c>
      <c r="N125">
        <v>0.61003741776490872</v>
      </c>
      <c r="O125">
        <v>0.6318163156481047</v>
      </c>
      <c r="P125">
        <v>0.65245742310323263</v>
      </c>
      <c r="Q125">
        <v>0.66808760485532082</v>
      </c>
      <c r="R125">
        <v>0.6811560504209746</v>
      </c>
      <c r="S125">
        <v>0.69219456841825822</v>
      </c>
      <c r="T125">
        <v>0.70258168944106458</v>
      </c>
      <c r="U125">
        <v>0.71190797220076329</v>
      </c>
      <c r="V125">
        <v>0.72094119608105223</v>
      </c>
      <c r="W125">
        <v>0.73021358493182997</v>
      </c>
      <c r="X125">
        <v>0.7392823767683816</v>
      </c>
      <c r="Y125">
        <v>0.74841979561818262</v>
      </c>
      <c r="Z125">
        <v>0.75735538589024243</v>
      </c>
      <c r="AA125">
        <v>0.76625385051987682</v>
      </c>
      <c r="AB125">
        <v>0.7751015848115812</v>
      </c>
      <c r="AC125">
        <v>0.78372286674275538</v>
      </c>
      <c r="AD125">
        <v>0.79213320775045826</v>
      </c>
      <c r="AE125">
        <v>0.80053536761728383</v>
      </c>
    </row>
    <row r="126" spans="1:31" x14ac:dyDescent="0.25">
      <c r="A126" s="1" t="s">
        <v>128</v>
      </c>
      <c r="B126" s="1" t="str">
        <f>_xlfn.XLOOKUP(C126,[1]Sheet1!$A$2:$A$173,[1]Sheet1!$D$2:$D$173)</f>
        <v>Western Africa</v>
      </c>
      <c r="C126" s="1" t="str">
        <f>_xlfn.XLOOKUP(D126,[2]Sheet2!D126:D374,[2]Sheet2!C126:C374)</f>
        <v>SLE</v>
      </c>
      <c r="D126" s="1">
        <v>694</v>
      </c>
      <c r="E126">
        <v>0.13984771923321709</v>
      </c>
      <c r="F126">
        <v>0.16382240151061339</v>
      </c>
      <c r="G126">
        <v>0.18487368988072869</v>
      </c>
      <c r="H126">
        <v>0.19848952302404549</v>
      </c>
      <c r="I126">
        <v>0.20399503939243729</v>
      </c>
      <c r="J126">
        <v>0.1949491479305186</v>
      </c>
      <c r="K126">
        <v>0.18890867075672771</v>
      </c>
      <c r="L126">
        <v>0.2253897524458513</v>
      </c>
      <c r="M126">
        <v>0.25722830860254231</v>
      </c>
      <c r="N126">
        <v>0.29199525419775879</v>
      </c>
      <c r="O126">
        <v>0.31837497505083162</v>
      </c>
      <c r="P126">
        <v>0.33980558828196678</v>
      </c>
      <c r="Q126">
        <v>0.35919776929992908</v>
      </c>
      <c r="R126">
        <v>0.37834700776150798</v>
      </c>
      <c r="S126">
        <v>0.39724143492565978</v>
      </c>
      <c r="T126">
        <v>0.41631767228058553</v>
      </c>
      <c r="U126">
        <v>0.43562709108511388</v>
      </c>
      <c r="V126">
        <v>0.45481243804745008</v>
      </c>
      <c r="W126">
        <v>0.47394703785633041</v>
      </c>
      <c r="X126">
        <v>0.49277781945601951</v>
      </c>
      <c r="Y126">
        <v>0.51159571164061024</v>
      </c>
      <c r="Z126">
        <v>0.52977341896725894</v>
      </c>
      <c r="AA126">
        <v>0.54830403227973967</v>
      </c>
      <c r="AB126">
        <v>0.56627126402912342</v>
      </c>
      <c r="AC126">
        <v>0.58429063289552163</v>
      </c>
      <c r="AD126">
        <v>0.60158081298273802</v>
      </c>
      <c r="AE126">
        <v>0.61841183333157435</v>
      </c>
    </row>
    <row r="127" spans="1:31" x14ac:dyDescent="0.25">
      <c r="A127" s="1" t="s">
        <v>129</v>
      </c>
      <c r="B127" s="1" t="str">
        <f>_xlfn.XLOOKUP(C127,[1]Sheet1!$A$2:$A$173,[1]Sheet1!$D$2:$D$173)</f>
        <v>Southeastern Asia</v>
      </c>
      <c r="C127" s="1" t="str">
        <f>_xlfn.XLOOKUP(D127,[2]Sheet2!D127:D375,[2]Sheet2!C127:C375)</f>
        <v>SGP</v>
      </c>
      <c r="D127" s="1">
        <v>702</v>
      </c>
      <c r="E127">
        <v>0.44000220806966861</v>
      </c>
      <c r="F127">
        <v>0.49023863363676828</v>
      </c>
      <c r="G127">
        <v>0.53445475986602731</v>
      </c>
      <c r="H127">
        <v>0.5674750131100722</v>
      </c>
      <c r="I127">
        <v>0.60759891602653848</v>
      </c>
      <c r="J127">
        <v>0.64112669324781602</v>
      </c>
      <c r="K127">
        <v>0.66056097940025726</v>
      </c>
      <c r="L127">
        <v>0.68064388340273851</v>
      </c>
      <c r="M127">
        <v>0.70604945188303114</v>
      </c>
      <c r="N127">
        <v>0.70926504738713214</v>
      </c>
      <c r="O127">
        <v>0.71970863234241966</v>
      </c>
      <c r="P127">
        <v>0.72837877846853039</v>
      </c>
      <c r="Q127">
        <v>0.73638447651879357</v>
      </c>
      <c r="R127">
        <v>0.74399252879826128</v>
      </c>
      <c r="S127">
        <v>0.75140371350409552</v>
      </c>
      <c r="T127">
        <v>0.75880397252442178</v>
      </c>
      <c r="U127">
        <v>0.76572409695148813</v>
      </c>
      <c r="V127">
        <v>0.77199882385004537</v>
      </c>
      <c r="W127">
        <v>0.77747712095649657</v>
      </c>
      <c r="X127">
        <v>0.78266111055973775</v>
      </c>
      <c r="Y127">
        <v>0.78727990323662389</v>
      </c>
      <c r="Z127">
        <v>0.7924450068799328</v>
      </c>
      <c r="AA127">
        <v>0.79777628980092496</v>
      </c>
      <c r="AB127">
        <v>0.80366150784070611</v>
      </c>
      <c r="AC127">
        <v>0.80928225191531311</v>
      </c>
      <c r="AD127">
        <v>0.81505861298011162</v>
      </c>
      <c r="AE127">
        <v>0.82083919606080902</v>
      </c>
    </row>
    <row r="128" spans="1:31" x14ac:dyDescent="0.25">
      <c r="A128" s="1" t="s">
        <v>130</v>
      </c>
      <c r="B128" s="1" t="str">
        <f>_xlfn.XLOOKUP(C128,[1]Sheet1!$A$2:$A$173,[1]Sheet1!$D$2:$D$173)</f>
        <v>Central Europe</v>
      </c>
      <c r="C128" s="1" t="str">
        <f>_xlfn.XLOOKUP(D128,[2]Sheet2!D128:D376,[2]Sheet2!C128:C376)</f>
        <v>SVK</v>
      </c>
      <c r="D128" s="1">
        <v>703</v>
      </c>
      <c r="E128">
        <v>0.53752516173500298</v>
      </c>
      <c r="F128">
        <v>0.55060268525991463</v>
      </c>
      <c r="G128">
        <v>0.56535358605798847</v>
      </c>
      <c r="H128">
        <v>0.57819215646615973</v>
      </c>
      <c r="I128">
        <v>0.59517882536031352</v>
      </c>
      <c r="J128">
        <v>0.59543270746953891</v>
      </c>
      <c r="K128">
        <v>0.61303043417333103</v>
      </c>
      <c r="L128">
        <v>0.63246208127670589</v>
      </c>
      <c r="M128">
        <v>0.64860265733488276</v>
      </c>
      <c r="N128">
        <v>0.67553673946381521</v>
      </c>
      <c r="O128">
        <v>0.68632861714109594</v>
      </c>
      <c r="P128">
        <v>0.69555608202274821</v>
      </c>
      <c r="Q128">
        <v>0.70370187171974263</v>
      </c>
      <c r="R128">
        <v>0.71262177950488215</v>
      </c>
      <c r="S128">
        <v>0.72222290900229935</v>
      </c>
      <c r="T128">
        <v>0.73228650134782114</v>
      </c>
      <c r="U128">
        <v>0.74212832379995985</v>
      </c>
      <c r="V128">
        <v>0.7518109479459516</v>
      </c>
      <c r="W128">
        <v>0.76105877777453024</v>
      </c>
      <c r="X128">
        <v>0.77051624769676663</v>
      </c>
      <c r="Y128">
        <v>0.78022919711709249</v>
      </c>
      <c r="Z128">
        <v>0.78973699126327723</v>
      </c>
      <c r="AA128">
        <v>0.79878978631202124</v>
      </c>
      <c r="AB128">
        <v>0.80756358309784293</v>
      </c>
      <c r="AC128">
        <v>0.81589769457494921</v>
      </c>
      <c r="AD128">
        <v>0.82426495900358321</v>
      </c>
      <c r="AE128">
        <v>0.83253565702789589</v>
      </c>
    </row>
    <row r="129" spans="1:31" x14ac:dyDescent="0.25">
      <c r="A129" s="1" t="s">
        <v>131</v>
      </c>
      <c r="B129" s="1" t="str">
        <f>_xlfn.XLOOKUP(C129,[1]Sheet1!$A$2:$A$173,[1]Sheet1!$D$2:$D$173)</f>
        <v>Central Europe</v>
      </c>
      <c r="C129" s="1" t="str">
        <f>_xlfn.XLOOKUP(D129,[2]Sheet2!D129:D377,[2]Sheet2!C129:C377)</f>
        <v>SVN</v>
      </c>
      <c r="D129" s="1">
        <v>705</v>
      </c>
      <c r="E129">
        <v>0.5555660258210724</v>
      </c>
      <c r="F129">
        <v>0.56726032056484832</v>
      </c>
      <c r="G129">
        <v>0.58028700402172706</v>
      </c>
      <c r="H129">
        <v>0.59008518628141071</v>
      </c>
      <c r="I129">
        <v>0.60658392849582721</v>
      </c>
      <c r="J129">
        <v>0.61328250864519118</v>
      </c>
      <c r="K129">
        <v>0.63090785834608332</v>
      </c>
      <c r="L129">
        <v>0.64852838375271982</v>
      </c>
      <c r="M129">
        <v>0.6642768404015269</v>
      </c>
      <c r="N129">
        <v>0.677498506537764</v>
      </c>
      <c r="O129">
        <v>0.68362757364136262</v>
      </c>
      <c r="P129">
        <v>0.68999966957700232</v>
      </c>
      <c r="Q129">
        <v>0.69745464167054338</v>
      </c>
      <c r="R129">
        <v>0.70613368047811198</v>
      </c>
      <c r="S129">
        <v>0.71559554781451795</v>
      </c>
      <c r="T129">
        <v>0.72504505382839257</v>
      </c>
      <c r="U129">
        <v>0.73443366278919398</v>
      </c>
      <c r="V129">
        <v>0.7434281764110704</v>
      </c>
      <c r="W129">
        <v>0.75233194033987694</v>
      </c>
      <c r="X129">
        <v>0.76125110648797245</v>
      </c>
      <c r="Y129">
        <v>0.77041964485302106</v>
      </c>
      <c r="Z129">
        <v>0.77925077712279922</v>
      </c>
      <c r="AA129">
        <v>0.78802717261258604</v>
      </c>
      <c r="AB129">
        <v>0.79604181472008417</v>
      </c>
      <c r="AC129">
        <v>0.80388807374027937</v>
      </c>
      <c r="AD129">
        <v>0.81136004246901794</v>
      </c>
      <c r="AE129">
        <v>0.81920509989808232</v>
      </c>
    </row>
    <row r="130" spans="1:31" x14ac:dyDescent="0.25">
      <c r="A130" s="1" t="s">
        <v>132</v>
      </c>
      <c r="B130" s="1" t="str">
        <f>_xlfn.XLOOKUP(C130,[1]Sheet1!$A$2:$A$173,[1]Sheet1!$D$2:$D$173)</f>
        <v>Oceania</v>
      </c>
      <c r="C130" s="1" t="str">
        <f>_xlfn.XLOOKUP(D130,[2]Sheet2!D130:D378,[2]Sheet2!C130:C378)</f>
        <v>SLB</v>
      </c>
      <c r="D130" s="1">
        <v>90</v>
      </c>
      <c r="E130">
        <v>0.2654461946803649</v>
      </c>
      <c r="F130">
        <v>0.28639786786153731</v>
      </c>
      <c r="G130">
        <v>0.31727369448498849</v>
      </c>
      <c r="H130">
        <v>0.33089635610107643</v>
      </c>
      <c r="I130">
        <v>0.33067739655921757</v>
      </c>
      <c r="J130">
        <v>0.35319139086639478</v>
      </c>
      <c r="K130">
        <v>0.35832004610639778</v>
      </c>
      <c r="L130">
        <v>0.37777555904761212</v>
      </c>
      <c r="M130">
        <v>0.40676341122546439</v>
      </c>
      <c r="N130">
        <v>0.43750644290610768</v>
      </c>
      <c r="O130">
        <v>0.46671228090903738</v>
      </c>
      <c r="P130">
        <v>0.49085972625333357</v>
      </c>
      <c r="Q130">
        <v>0.5081481605894651</v>
      </c>
      <c r="R130">
        <v>0.52332223497755648</v>
      </c>
      <c r="S130">
        <v>0.53682888188744471</v>
      </c>
      <c r="T130">
        <v>0.54965168424312605</v>
      </c>
      <c r="U130">
        <v>0.56262208402997693</v>
      </c>
      <c r="V130">
        <v>0.57527602413360335</v>
      </c>
      <c r="W130">
        <v>0.58768269342999679</v>
      </c>
      <c r="X130">
        <v>0.59936726669266505</v>
      </c>
      <c r="Y130">
        <v>0.61072645148419258</v>
      </c>
      <c r="Z130">
        <v>0.62192335817397371</v>
      </c>
      <c r="AA130">
        <v>0.63250347178329058</v>
      </c>
      <c r="AB130">
        <v>0.64332852266971507</v>
      </c>
      <c r="AC130">
        <v>0.65420804397200971</v>
      </c>
      <c r="AD130">
        <v>0.66470446955906692</v>
      </c>
      <c r="AE130">
        <v>0.67437398262535164</v>
      </c>
    </row>
    <row r="131" spans="1:31" x14ac:dyDescent="0.25">
      <c r="A131" s="1" t="s">
        <v>133</v>
      </c>
      <c r="B131" s="1" t="str">
        <f>_xlfn.XLOOKUP(C131,[1]Sheet1!$A$2:$A$173,[1]Sheet1!$D$2:$D$173)</f>
        <v>Eastern Africa</v>
      </c>
      <c r="C131" s="1" t="str">
        <f>_xlfn.XLOOKUP(D131,[2]Sheet2!D131:D379,[2]Sheet2!C131:C379)</f>
        <v>SOM</v>
      </c>
      <c r="D131" s="1">
        <v>706</v>
      </c>
      <c r="E131">
        <v>0.1470639667156235</v>
      </c>
      <c r="F131">
        <v>0.16207584726109761</v>
      </c>
      <c r="G131">
        <v>0.16955117076955201</v>
      </c>
      <c r="H131">
        <v>0.17828042513637959</v>
      </c>
      <c r="I131">
        <v>0.19354052682083461</v>
      </c>
      <c r="J131">
        <v>0.18400043274261729</v>
      </c>
      <c r="K131">
        <v>0.19843814147662539</v>
      </c>
      <c r="L131">
        <v>0.20735709216774009</v>
      </c>
      <c r="M131">
        <v>0.22576410987202539</v>
      </c>
      <c r="N131">
        <v>0.24779605936810289</v>
      </c>
      <c r="O131">
        <v>0.27809151758030121</v>
      </c>
      <c r="P131">
        <v>0.30509848562935121</v>
      </c>
      <c r="Q131">
        <v>0.32885161310276889</v>
      </c>
      <c r="R131">
        <v>0.35131131960047729</v>
      </c>
      <c r="S131">
        <v>0.373010046327304</v>
      </c>
      <c r="T131">
        <v>0.39402747327804322</v>
      </c>
      <c r="U131">
        <v>0.41444961298941158</v>
      </c>
      <c r="V131">
        <v>0.43426657825293669</v>
      </c>
      <c r="W131">
        <v>0.4538891095662001</v>
      </c>
      <c r="X131">
        <v>0.47269355128572837</v>
      </c>
      <c r="Y131">
        <v>0.49099373161561832</v>
      </c>
      <c r="Z131">
        <v>0.50886313778524028</v>
      </c>
      <c r="AA131">
        <v>0.52648240846187078</v>
      </c>
      <c r="AB131">
        <v>0.54380848211366561</v>
      </c>
      <c r="AC131">
        <v>0.5604581395235646</v>
      </c>
      <c r="AD131">
        <v>0.57725643352480294</v>
      </c>
      <c r="AE131">
        <v>0.59420508298086561</v>
      </c>
    </row>
    <row r="132" spans="1:31" x14ac:dyDescent="0.25">
      <c r="A132" s="1" t="s">
        <v>134</v>
      </c>
      <c r="B132" s="1" t="str">
        <f>_xlfn.XLOOKUP(C132,[1]Sheet1!$A$2:$A$173,[1]Sheet1!$D$2:$D$173)</f>
        <v>South Africa</v>
      </c>
      <c r="C132" s="1" t="str">
        <f>_xlfn.XLOOKUP(D132,[2]Sheet2!D132:D380,[2]Sheet2!C132:C380)</f>
        <v>ZAF</v>
      </c>
      <c r="D132" s="1">
        <v>710</v>
      </c>
      <c r="E132">
        <v>0.38660396938108732</v>
      </c>
      <c r="F132">
        <v>0.40852112465925222</v>
      </c>
      <c r="G132">
        <v>0.42635053191876809</v>
      </c>
      <c r="H132">
        <v>0.43939184783318941</v>
      </c>
      <c r="I132">
        <v>0.46032437928095571</v>
      </c>
      <c r="J132">
        <v>0.47534812569250912</v>
      </c>
      <c r="K132">
        <v>0.47646405360510191</v>
      </c>
      <c r="L132">
        <v>0.46566962978971799</v>
      </c>
      <c r="M132">
        <v>0.46981558194304501</v>
      </c>
      <c r="N132">
        <v>0.51308155972391833</v>
      </c>
      <c r="O132">
        <v>0.54311455840110356</v>
      </c>
      <c r="P132">
        <v>0.55774950837603543</v>
      </c>
      <c r="Q132">
        <v>0.57096830284300149</v>
      </c>
      <c r="R132">
        <v>0.58423783495025838</v>
      </c>
      <c r="S132">
        <v>0.59694444039040651</v>
      </c>
      <c r="T132">
        <v>0.60847505322271589</v>
      </c>
      <c r="U132">
        <v>0.61887703717429443</v>
      </c>
      <c r="V132">
        <v>0.62861134291140497</v>
      </c>
      <c r="W132">
        <v>0.63799558976966386</v>
      </c>
      <c r="X132">
        <v>0.64687656263351279</v>
      </c>
      <c r="Y132">
        <v>0.65515832101947846</v>
      </c>
      <c r="Z132">
        <v>0.66307612782813075</v>
      </c>
      <c r="AA132">
        <v>0.67098705841083406</v>
      </c>
      <c r="AB132">
        <v>0.67878852981407289</v>
      </c>
      <c r="AC132">
        <v>0.6861852069637927</v>
      </c>
      <c r="AD132">
        <v>0.69375695988435504</v>
      </c>
      <c r="AE132">
        <v>0.70107927631517353</v>
      </c>
    </row>
    <row r="133" spans="1:31" x14ac:dyDescent="0.25">
      <c r="A133" s="1" t="s">
        <v>135</v>
      </c>
      <c r="B133" s="1" t="str">
        <f>_xlfn.XLOOKUP(C133,[1]Sheet1!$A$2:$A$173,[1]Sheet1!$D$2:$D$173)</f>
        <v>Western Europe</v>
      </c>
      <c r="C133" s="1" t="str">
        <f>_xlfn.XLOOKUP(D133,[2]Sheet2!D133:D381,[2]Sheet2!C133:C381)</f>
        <v>ESP</v>
      </c>
      <c r="D133" s="1">
        <v>724</v>
      </c>
      <c r="E133">
        <v>0.47004034950021772</v>
      </c>
      <c r="F133">
        <v>0.49741226542032019</v>
      </c>
      <c r="G133">
        <v>0.51988203163400082</v>
      </c>
      <c r="H133">
        <v>0.54114351720844622</v>
      </c>
      <c r="I133">
        <v>0.56503748644532559</v>
      </c>
      <c r="J133">
        <v>0.5827118196371075</v>
      </c>
      <c r="K133">
        <v>0.60593863730728947</v>
      </c>
      <c r="L133">
        <v>0.62662038128174413</v>
      </c>
      <c r="M133">
        <v>0.64069052733717846</v>
      </c>
      <c r="N133">
        <v>0.66494943054891553</v>
      </c>
      <c r="O133">
        <v>0.68130608515363111</v>
      </c>
      <c r="P133">
        <v>0.69937334698790854</v>
      </c>
      <c r="Q133">
        <v>0.71517370980219375</v>
      </c>
      <c r="R133">
        <v>0.7300489666808655</v>
      </c>
      <c r="S133">
        <v>0.74309291363260699</v>
      </c>
      <c r="T133">
        <v>0.75518253194092599</v>
      </c>
      <c r="U133">
        <v>0.76666801505336435</v>
      </c>
      <c r="V133">
        <v>0.77719153475381619</v>
      </c>
      <c r="W133">
        <v>0.78773611567010648</v>
      </c>
      <c r="X133">
        <v>0.79776952693039349</v>
      </c>
      <c r="Y133">
        <v>0.80773346438924098</v>
      </c>
      <c r="Z133">
        <v>0.81708370109101625</v>
      </c>
      <c r="AA133">
        <v>0.82532882051111678</v>
      </c>
      <c r="AB133">
        <v>0.83351173538432255</v>
      </c>
      <c r="AC133">
        <v>0.84095148213259363</v>
      </c>
      <c r="AD133">
        <v>0.848567089817857</v>
      </c>
      <c r="AE133">
        <v>0.85563156135821417</v>
      </c>
    </row>
    <row r="134" spans="1:31" x14ac:dyDescent="0.25">
      <c r="A134" s="1" t="s">
        <v>136</v>
      </c>
      <c r="B134" s="1" t="str">
        <f>_xlfn.XLOOKUP(C134,[1]Sheet1!$A$2:$A$173,[1]Sheet1!$D$2:$D$173)</f>
        <v>Rest of South Asia</v>
      </c>
      <c r="C134" s="1" t="str">
        <f>_xlfn.XLOOKUP(D134,[2]Sheet2!D134:D382,[2]Sheet2!C134:C382)</f>
        <v>LKA</v>
      </c>
      <c r="D134" s="1">
        <v>144</v>
      </c>
      <c r="E134">
        <v>0.34920983001254952</v>
      </c>
      <c r="F134">
        <v>0.37105724711541033</v>
      </c>
      <c r="G134">
        <v>0.39696133907180431</v>
      </c>
      <c r="H134">
        <v>0.42436626253325982</v>
      </c>
      <c r="I134">
        <v>0.44280573331719147</v>
      </c>
      <c r="J134">
        <v>0.46873140506942002</v>
      </c>
      <c r="K134">
        <v>0.48811891183318162</v>
      </c>
      <c r="L134">
        <v>0.51720955931749912</v>
      </c>
      <c r="M134">
        <v>0.53802720170316753</v>
      </c>
      <c r="N134">
        <v>0.55067775997684643</v>
      </c>
      <c r="O134">
        <v>0.56250165205607927</v>
      </c>
      <c r="P134">
        <v>0.57341149387655688</v>
      </c>
      <c r="Q134">
        <v>0.58594242671380725</v>
      </c>
      <c r="R134">
        <v>0.59971639425425505</v>
      </c>
      <c r="S134">
        <v>0.61471117750568827</v>
      </c>
      <c r="T134">
        <v>0.63052056530055101</v>
      </c>
      <c r="U134">
        <v>0.64675590759023249</v>
      </c>
      <c r="V134">
        <v>0.66297849727542502</v>
      </c>
      <c r="W134">
        <v>0.67883175203314616</v>
      </c>
      <c r="X134">
        <v>0.693862610450654</v>
      </c>
      <c r="Y134">
        <v>0.70813731998019858</v>
      </c>
      <c r="Z134">
        <v>0.72141505071740797</v>
      </c>
      <c r="AA134">
        <v>0.73409389677035464</v>
      </c>
      <c r="AB134">
        <v>0.74586676911700189</v>
      </c>
      <c r="AC134">
        <v>0.75763427901194413</v>
      </c>
      <c r="AD134">
        <v>0.76852128424643851</v>
      </c>
      <c r="AE134">
        <v>0.77905437738023653</v>
      </c>
    </row>
    <row r="135" spans="1:31" x14ac:dyDescent="0.25">
      <c r="A135" s="1" t="s">
        <v>137</v>
      </c>
      <c r="B135" s="1" t="str">
        <f>_xlfn.XLOOKUP(C135,[1]Sheet1!$A$2:$A$173,[1]Sheet1!$D$2:$D$173)</f>
        <v>Eastern Africa</v>
      </c>
      <c r="C135" s="1" t="str">
        <f>_xlfn.XLOOKUP(D135,[2]Sheet2!D135:D383,[2]Sheet2!C135:C383)</f>
        <v>SDN</v>
      </c>
      <c r="D135" s="1">
        <v>729</v>
      </c>
      <c r="E135">
        <v>0.17091261870024341</v>
      </c>
      <c r="F135">
        <v>0.19267890139508709</v>
      </c>
      <c r="G135">
        <v>0.2146777150084998</v>
      </c>
      <c r="H135">
        <v>0.23103690891627479</v>
      </c>
      <c r="I135">
        <v>0.25537651050463372</v>
      </c>
      <c r="J135">
        <v>0.27732437612982441</v>
      </c>
      <c r="K135">
        <v>0.30626540092633808</v>
      </c>
      <c r="L135">
        <v>0.32544208615960663</v>
      </c>
      <c r="M135">
        <v>0.34773388339107297</v>
      </c>
      <c r="N135">
        <v>0.3801353984121853</v>
      </c>
      <c r="O135">
        <v>0.41023025934261648</v>
      </c>
      <c r="P135">
        <v>0.44028692766068223</v>
      </c>
      <c r="Q135">
        <v>0.46515098065696697</v>
      </c>
      <c r="R135">
        <v>0.48796290124333552</v>
      </c>
      <c r="S135">
        <v>0.50904868638809586</v>
      </c>
      <c r="T135">
        <v>0.52842784366292261</v>
      </c>
      <c r="U135">
        <v>0.54597674331086044</v>
      </c>
      <c r="V135">
        <v>0.56266255292234857</v>
      </c>
      <c r="W135">
        <v>0.57890060147785671</v>
      </c>
      <c r="X135">
        <v>0.5940074703811794</v>
      </c>
      <c r="Y135">
        <v>0.60911944645692073</v>
      </c>
      <c r="Z135">
        <v>0.62321429631878345</v>
      </c>
      <c r="AA135">
        <v>0.63693410336857537</v>
      </c>
      <c r="AB135">
        <v>0.65007157278831751</v>
      </c>
      <c r="AC135">
        <v>0.66192891077843696</v>
      </c>
      <c r="AD135">
        <v>0.67314975776859809</v>
      </c>
      <c r="AE135">
        <v>0.68321415590609691</v>
      </c>
    </row>
    <row r="136" spans="1:31" x14ac:dyDescent="0.25">
      <c r="A136" s="1" t="s">
        <v>138</v>
      </c>
      <c r="B136" s="1" t="str">
        <f>_xlfn.XLOOKUP(C136,[1]Sheet1!$A$2:$A$173,[1]Sheet1!$D$2:$D$173)</f>
        <v>Rest of South America</v>
      </c>
      <c r="C136" s="1" t="str">
        <f>_xlfn.XLOOKUP(D136,[2]Sheet2!D136:D384,[2]Sheet2!C136:C384)</f>
        <v>SUR</v>
      </c>
      <c r="D136" s="1">
        <v>740</v>
      </c>
      <c r="E136">
        <v>0.4647982278529682</v>
      </c>
      <c r="F136">
        <v>0.48102518051898502</v>
      </c>
      <c r="G136">
        <v>0.49899749690232409</v>
      </c>
      <c r="H136">
        <v>0.51680797377432974</v>
      </c>
      <c r="I136">
        <v>0.52179142956568869</v>
      </c>
      <c r="J136">
        <v>0.51932214221382222</v>
      </c>
      <c r="K136">
        <v>0.52244680130955246</v>
      </c>
      <c r="L136">
        <v>0.54310020049429886</v>
      </c>
      <c r="M136">
        <v>0.560839997769084</v>
      </c>
      <c r="N136">
        <v>0.58184538290665766</v>
      </c>
      <c r="O136">
        <v>0.59756902216382024</v>
      </c>
      <c r="P136">
        <v>0.61338746105669029</v>
      </c>
      <c r="Q136">
        <v>0.62677132004474623</v>
      </c>
      <c r="R136">
        <v>0.6394202294239949</v>
      </c>
      <c r="S136">
        <v>0.65119060062817924</v>
      </c>
      <c r="T136">
        <v>0.66277692973347679</v>
      </c>
      <c r="U136">
        <v>0.67431167671960124</v>
      </c>
      <c r="V136">
        <v>0.68571773851892914</v>
      </c>
      <c r="W136">
        <v>0.69678468927520254</v>
      </c>
      <c r="X136">
        <v>0.707541283298874</v>
      </c>
      <c r="Y136">
        <v>0.71847769673973327</v>
      </c>
      <c r="Z136">
        <v>0.72880556380356687</v>
      </c>
      <c r="AA136">
        <v>0.73910844055995462</v>
      </c>
      <c r="AB136">
        <v>0.74913199419357546</v>
      </c>
      <c r="AC136">
        <v>0.75882302691700254</v>
      </c>
      <c r="AD136">
        <v>0.76830731666997198</v>
      </c>
      <c r="AE136">
        <v>0.77768561127220281</v>
      </c>
    </row>
    <row r="137" spans="1:31" x14ac:dyDescent="0.25">
      <c r="A137" s="1" t="s">
        <v>139</v>
      </c>
      <c r="B137" s="1" t="e">
        <f>_xlfn.XLOOKUP(C137,[1]Sheet1!$A$2:$A$173,[1]Sheet1!$D$2:$D$173)</f>
        <v>#N/A</v>
      </c>
      <c r="C137" s="1" t="e">
        <f>_xlfn.XLOOKUP(D137,[2]Sheet2!D137:D385,[2]Sheet2!C137:C385)</f>
        <v>#N/A</v>
      </c>
      <c r="D137" s="1">
        <v>748</v>
      </c>
      <c r="E137">
        <v>0.25431998552871349</v>
      </c>
      <c r="F137">
        <v>0.30081251778879592</v>
      </c>
      <c r="G137">
        <v>0.32968112097578711</v>
      </c>
      <c r="H137">
        <v>0.36237439618854878</v>
      </c>
      <c r="I137">
        <v>0.39962119013675529</v>
      </c>
      <c r="J137">
        <v>0.41248066372708853</v>
      </c>
      <c r="K137">
        <v>0.39771479665446369</v>
      </c>
      <c r="L137">
        <v>0.37428601650911519</v>
      </c>
      <c r="M137">
        <v>0.40289280247838732</v>
      </c>
      <c r="N137">
        <v>0.44848389059647459</v>
      </c>
      <c r="O137">
        <v>0.4785963559988462</v>
      </c>
      <c r="P137">
        <v>0.49851182615784612</v>
      </c>
      <c r="Q137">
        <v>0.5150773353944581</v>
      </c>
      <c r="R137">
        <v>0.53165295793039435</v>
      </c>
      <c r="S137">
        <v>0.54756595607610425</v>
      </c>
      <c r="T137">
        <v>0.56219674209122605</v>
      </c>
      <c r="U137">
        <v>0.57606271725731462</v>
      </c>
      <c r="V137">
        <v>0.58929468429364973</v>
      </c>
      <c r="W137">
        <v>0.60156307211791704</v>
      </c>
      <c r="X137">
        <v>0.61366041925682546</v>
      </c>
      <c r="Y137">
        <v>0.62517372600005161</v>
      </c>
      <c r="Z137">
        <v>0.63576789148232438</v>
      </c>
      <c r="AA137">
        <v>0.64579514392359516</v>
      </c>
      <c r="AB137">
        <v>0.65549360662140399</v>
      </c>
      <c r="AC137">
        <v>0.66474947829464226</v>
      </c>
      <c r="AD137">
        <v>0.67360941991646128</v>
      </c>
      <c r="AE137">
        <v>0.68221158789102432</v>
      </c>
    </row>
    <row r="138" spans="1:31" x14ac:dyDescent="0.25">
      <c r="A138" s="1" t="s">
        <v>140</v>
      </c>
      <c r="B138" s="1" t="str">
        <f>_xlfn.XLOOKUP(C138,[1]Sheet1!$A$2:$A$173,[1]Sheet1!$D$2:$D$173)</f>
        <v>Western Europe</v>
      </c>
      <c r="C138" s="1" t="str">
        <f>_xlfn.XLOOKUP(D138,[2]Sheet2!D138:D386,[2]Sheet2!C138:C386)</f>
        <v>SWE</v>
      </c>
      <c r="D138" s="1">
        <v>752</v>
      </c>
      <c r="E138">
        <v>0.58483754127473209</v>
      </c>
      <c r="F138">
        <v>0.59899501374062447</v>
      </c>
      <c r="G138">
        <v>0.61083155363745711</v>
      </c>
      <c r="H138">
        <v>0.6248526780768543</v>
      </c>
      <c r="I138">
        <v>0.6385366737798448</v>
      </c>
      <c r="J138">
        <v>0.64956555335385757</v>
      </c>
      <c r="K138">
        <v>0.66552827989692431</v>
      </c>
      <c r="L138">
        <v>0.67930444834939829</v>
      </c>
      <c r="M138">
        <v>0.68904765958989467</v>
      </c>
      <c r="N138">
        <v>0.70560036301988116</v>
      </c>
      <c r="O138">
        <v>0.71845239005931094</v>
      </c>
      <c r="P138">
        <v>0.73186993368276476</v>
      </c>
      <c r="Q138">
        <v>0.74397963962944214</v>
      </c>
      <c r="R138">
        <v>0.75480393178446303</v>
      </c>
      <c r="S138">
        <v>0.76432293736905577</v>
      </c>
      <c r="T138">
        <v>0.7733754197572269</v>
      </c>
      <c r="U138">
        <v>0.7816191393711942</v>
      </c>
      <c r="V138">
        <v>0.78949491727003263</v>
      </c>
      <c r="W138">
        <v>0.79693877801227653</v>
      </c>
      <c r="X138">
        <v>0.80461272835485498</v>
      </c>
      <c r="Y138">
        <v>0.81223362548581446</v>
      </c>
      <c r="Z138">
        <v>0.81975983152556531</v>
      </c>
      <c r="AA138">
        <v>0.82742128738813636</v>
      </c>
      <c r="AB138">
        <v>0.83486312094285486</v>
      </c>
      <c r="AC138">
        <v>0.84213955495317594</v>
      </c>
      <c r="AD138">
        <v>0.84924882643748678</v>
      </c>
      <c r="AE138">
        <v>0.85635317572976333</v>
      </c>
    </row>
    <row r="139" spans="1:31" x14ac:dyDescent="0.25">
      <c r="A139" s="1" t="s">
        <v>141</v>
      </c>
      <c r="B139" s="1" t="str">
        <f>_xlfn.XLOOKUP(C139,[1]Sheet1!$A$2:$A$173,[1]Sheet1!$D$2:$D$173)</f>
        <v>Western Europe</v>
      </c>
      <c r="C139" s="1" t="str">
        <f>_xlfn.XLOOKUP(D139,[2]Sheet2!D139:D387,[2]Sheet2!C139:C387)</f>
        <v>CHE</v>
      </c>
      <c r="D139" s="1">
        <v>756</v>
      </c>
      <c r="E139">
        <v>0.62559222765196454</v>
      </c>
      <c r="F139">
        <v>0.63463574989794946</v>
      </c>
      <c r="G139">
        <v>0.64895484505651735</v>
      </c>
      <c r="H139">
        <v>0.65860840009306365</v>
      </c>
      <c r="I139">
        <v>0.6722035120126123</v>
      </c>
      <c r="J139">
        <v>0.67787532705866205</v>
      </c>
      <c r="K139">
        <v>0.6897338153048006</v>
      </c>
      <c r="L139">
        <v>0.69979606951469964</v>
      </c>
      <c r="M139">
        <v>0.71066940924667632</v>
      </c>
      <c r="N139">
        <v>0.72525073750976832</v>
      </c>
      <c r="O139">
        <v>0.73361095716000835</v>
      </c>
      <c r="P139">
        <v>0.74250988789876593</v>
      </c>
      <c r="Q139">
        <v>0.7506733345335711</v>
      </c>
      <c r="R139">
        <v>0.75886220357247958</v>
      </c>
      <c r="S139">
        <v>0.76759595293978455</v>
      </c>
      <c r="T139">
        <v>0.77637415218234729</v>
      </c>
      <c r="U139">
        <v>0.78530161453866631</v>
      </c>
      <c r="V139">
        <v>0.79396049222298393</v>
      </c>
      <c r="W139">
        <v>0.80255051985748871</v>
      </c>
      <c r="X139">
        <v>0.81112300589086983</v>
      </c>
      <c r="Y139">
        <v>0.81946519866761791</v>
      </c>
      <c r="Z139">
        <v>0.82812841684938809</v>
      </c>
      <c r="AA139">
        <v>0.83675598137305163</v>
      </c>
      <c r="AB139">
        <v>0.84500772586278694</v>
      </c>
      <c r="AC139">
        <v>0.85347374447569024</v>
      </c>
      <c r="AD139">
        <v>0.86173098935390668</v>
      </c>
      <c r="AE139">
        <v>0.86939977751576603</v>
      </c>
    </row>
    <row r="140" spans="1:31" x14ac:dyDescent="0.25">
      <c r="A140" s="1" t="s">
        <v>142</v>
      </c>
      <c r="B140" s="1" t="str">
        <f>_xlfn.XLOOKUP(C140,[1]Sheet1!$A$2:$A$173,[1]Sheet1!$D$2:$D$173)</f>
        <v>Middle East</v>
      </c>
      <c r="C140" s="1" t="str">
        <f>_xlfn.XLOOKUP(D140,[2]Sheet2!D140:D388,[2]Sheet2!C140:C388)</f>
        <v>SYR</v>
      </c>
      <c r="D140" s="1">
        <v>760</v>
      </c>
      <c r="E140">
        <v>0.28357794410630538</v>
      </c>
      <c r="F140">
        <v>0.32499197653897088</v>
      </c>
      <c r="G140">
        <v>0.3563168293304082</v>
      </c>
      <c r="H140">
        <v>0.38090236051293219</v>
      </c>
      <c r="I140">
        <v>0.39630970166221818</v>
      </c>
      <c r="J140">
        <v>0.42359755609394989</v>
      </c>
      <c r="K140">
        <v>0.44018765982490787</v>
      </c>
      <c r="L140">
        <v>0.45567626178319509</v>
      </c>
      <c r="M140">
        <v>0.47345838564533838</v>
      </c>
      <c r="N140">
        <v>0.47445484085224582</v>
      </c>
      <c r="O140">
        <v>0.49695338965519259</v>
      </c>
      <c r="P140">
        <v>0.51936965918993827</v>
      </c>
      <c r="Q140">
        <v>0.53764439315095802</v>
      </c>
      <c r="R140">
        <v>0.5548060704884773</v>
      </c>
      <c r="S140">
        <v>0.57089297407406892</v>
      </c>
      <c r="T140">
        <v>0.58673740611448955</v>
      </c>
      <c r="U140">
        <v>0.60196803907146579</v>
      </c>
      <c r="V140">
        <v>0.61699650888234236</v>
      </c>
      <c r="W140">
        <v>0.63160538898305907</v>
      </c>
      <c r="X140">
        <v>0.64550910054716659</v>
      </c>
      <c r="Y140">
        <v>0.65905590144712911</v>
      </c>
      <c r="Z140">
        <v>0.67256008472922613</v>
      </c>
      <c r="AA140">
        <v>0.68628466728751902</v>
      </c>
      <c r="AB140">
        <v>0.70038564880071563</v>
      </c>
      <c r="AC140">
        <v>0.7139236947079064</v>
      </c>
      <c r="AD140">
        <v>0.72648189046188549</v>
      </c>
      <c r="AE140">
        <v>0.73826529877532687</v>
      </c>
    </row>
    <row r="141" spans="1:31" x14ac:dyDescent="0.25">
      <c r="A141" s="1" t="s">
        <v>143</v>
      </c>
      <c r="B141" s="1" t="str">
        <f>_xlfn.XLOOKUP(C141,[1]Sheet1!$A$2:$A$173,[1]Sheet1!$D$2:$D$173)</f>
        <v>Central Asia</v>
      </c>
      <c r="C141" s="1" t="str">
        <f>_xlfn.XLOOKUP(D141,[2]Sheet2!D141:D389,[2]Sheet2!C141:C389)</f>
        <v>TJK</v>
      </c>
      <c r="D141" s="1">
        <v>762</v>
      </c>
      <c r="E141">
        <v>0.27544572750973839</v>
      </c>
      <c r="F141">
        <v>0.31406354122297969</v>
      </c>
      <c r="G141">
        <v>0.3485959058164248</v>
      </c>
      <c r="H141">
        <v>0.3805383399707285</v>
      </c>
      <c r="I141">
        <v>0.4084076785173737</v>
      </c>
      <c r="J141">
        <v>0.42886475202108509</v>
      </c>
      <c r="K141">
        <v>0.44640108775732917</v>
      </c>
      <c r="L141">
        <v>0.47857286800926729</v>
      </c>
      <c r="M141">
        <v>0.50253914348705153</v>
      </c>
      <c r="N141">
        <v>0.54381777711339074</v>
      </c>
      <c r="O141">
        <v>0.58191013771623423</v>
      </c>
      <c r="P141">
        <v>0.61285471150097415</v>
      </c>
      <c r="Q141">
        <v>0.63362362958283813</v>
      </c>
      <c r="R141">
        <v>0.64848613127918342</v>
      </c>
      <c r="S141">
        <v>0.65922419762333628</v>
      </c>
      <c r="T141">
        <v>0.66759748070457148</v>
      </c>
      <c r="U141">
        <v>0.67461045998499225</v>
      </c>
      <c r="V141">
        <v>0.68132685057116782</v>
      </c>
      <c r="W141">
        <v>0.68806473230236354</v>
      </c>
      <c r="X141">
        <v>0.69487524130878831</v>
      </c>
      <c r="Y141">
        <v>0.70202127861794372</v>
      </c>
      <c r="Z141">
        <v>0.70910555860315883</v>
      </c>
      <c r="AA141">
        <v>0.71622083919631085</v>
      </c>
      <c r="AB141">
        <v>0.72311567558693313</v>
      </c>
      <c r="AC141">
        <v>0.73017186503918652</v>
      </c>
      <c r="AD141">
        <v>0.73736951588203747</v>
      </c>
      <c r="AE141">
        <v>0.74415236643529847</v>
      </c>
    </row>
    <row r="142" spans="1:31" x14ac:dyDescent="0.25">
      <c r="A142" s="1" t="s">
        <v>144</v>
      </c>
      <c r="B142" s="1" t="str">
        <f>_xlfn.XLOOKUP(C142,[1]Sheet1!$A$2:$A$173,[1]Sheet1!$D$2:$D$173)</f>
        <v>Southeastern Asia</v>
      </c>
      <c r="C142" s="1" t="str">
        <f>_xlfn.XLOOKUP(D142,[2]Sheet2!D142:D390,[2]Sheet2!C142:C390)</f>
        <v>THA</v>
      </c>
      <c r="D142" s="1">
        <v>764</v>
      </c>
      <c r="E142">
        <v>0.37180470279452699</v>
      </c>
      <c r="F142">
        <v>0.39947528489394307</v>
      </c>
      <c r="G142">
        <v>0.43119132633838841</v>
      </c>
      <c r="H142">
        <v>0.45796375603331768</v>
      </c>
      <c r="I142">
        <v>0.49396625844126352</v>
      </c>
      <c r="J142">
        <v>0.51671021988558052</v>
      </c>
      <c r="K142">
        <v>0.52138259892102745</v>
      </c>
      <c r="L142">
        <v>0.54034489170503042</v>
      </c>
      <c r="M142">
        <v>0.55758290432623248</v>
      </c>
      <c r="N142">
        <v>0.57482522193856755</v>
      </c>
      <c r="O142">
        <v>0.59057557680294726</v>
      </c>
      <c r="P142">
        <v>0.60490757100001147</v>
      </c>
      <c r="Q142">
        <v>0.6180836009043742</v>
      </c>
      <c r="R142">
        <v>0.63166173652082669</v>
      </c>
      <c r="S142">
        <v>0.64539899918000954</v>
      </c>
      <c r="T142">
        <v>0.65954171256983629</v>
      </c>
      <c r="U142">
        <v>0.67381574706272818</v>
      </c>
      <c r="V142">
        <v>0.68800962898714002</v>
      </c>
      <c r="W142">
        <v>0.70098584886279103</v>
      </c>
      <c r="X142">
        <v>0.71277179628265031</v>
      </c>
      <c r="Y142">
        <v>0.72356523813925278</v>
      </c>
      <c r="Z142">
        <v>0.73380328824891761</v>
      </c>
      <c r="AA142">
        <v>0.743200384773537</v>
      </c>
      <c r="AB142">
        <v>0.7527193373938027</v>
      </c>
      <c r="AC142">
        <v>0.76194701979450696</v>
      </c>
      <c r="AD142">
        <v>0.77078991028489485</v>
      </c>
      <c r="AE142">
        <v>0.77904188411737307</v>
      </c>
    </row>
    <row r="143" spans="1:31" x14ac:dyDescent="0.25">
      <c r="A143" s="1" t="s">
        <v>145</v>
      </c>
      <c r="B143" s="1" t="str">
        <f>_xlfn.XLOOKUP(C143,[1]Sheet1!$A$2:$A$173,[1]Sheet1!$D$2:$D$173)</f>
        <v>Central Europe</v>
      </c>
      <c r="C143" s="1" t="str">
        <f>_xlfn.XLOOKUP(D143,[2]Sheet2!D143:D391,[2]Sheet2!C143:C391)</f>
        <v>MKD</v>
      </c>
      <c r="D143" s="1">
        <v>807</v>
      </c>
      <c r="E143">
        <v>0.3917145274212937</v>
      </c>
      <c r="F143">
        <v>0.42595245094554313</v>
      </c>
      <c r="G143">
        <v>0.45255336060540963</v>
      </c>
      <c r="H143">
        <v>0.47318686377693742</v>
      </c>
      <c r="I143">
        <v>0.4974549406990203</v>
      </c>
      <c r="J143">
        <v>0.50652903134326632</v>
      </c>
      <c r="K143">
        <v>0.52534684697628031</v>
      </c>
      <c r="L143">
        <v>0.54086895729551443</v>
      </c>
      <c r="M143">
        <v>0.55851617385579688</v>
      </c>
      <c r="N143">
        <v>0.58233336736531149</v>
      </c>
      <c r="O143">
        <v>0.60506144105022741</v>
      </c>
      <c r="P143">
        <v>0.62663736995800012</v>
      </c>
      <c r="Q143">
        <v>0.6448231249445211</v>
      </c>
      <c r="R143">
        <v>0.66091201457984683</v>
      </c>
      <c r="S143">
        <v>0.67487713680181105</v>
      </c>
      <c r="T143">
        <v>0.68775220386735292</v>
      </c>
      <c r="U143">
        <v>0.69988454126776223</v>
      </c>
      <c r="V143">
        <v>0.71147767330512313</v>
      </c>
      <c r="W143">
        <v>0.72284645192717767</v>
      </c>
      <c r="X143">
        <v>0.73447564319739678</v>
      </c>
      <c r="Y143">
        <v>0.74592392257789997</v>
      </c>
      <c r="Z143">
        <v>0.75750753017514028</v>
      </c>
      <c r="AA143">
        <v>0.76840855670049912</v>
      </c>
      <c r="AB143">
        <v>0.77888188974573003</v>
      </c>
      <c r="AC143">
        <v>0.78890252023792284</v>
      </c>
      <c r="AD143">
        <v>0.79830760276543533</v>
      </c>
      <c r="AE143">
        <v>0.80710424664762626</v>
      </c>
    </row>
    <row r="144" spans="1:31" x14ac:dyDescent="0.25">
      <c r="A144" s="1" t="s">
        <v>146</v>
      </c>
      <c r="B144" s="1" t="str">
        <f>_xlfn.XLOOKUP(C144,[1]Sheet1!$A$2:$A$173,[1]Sheet1!$D$2:$D$173)</f>
        <v>Indonesia region</v>
      </c>
      <c r="C144" s="1" t="str">
        <f>_xlfn.XLOOKUP(D144,[2]Sheet2!D144:D392,[2]Sheet2!C144:C392)</f>
        <v>TLS</v>
      </c>
      <c r="D144" s="1">
        <v>626</v>
      </c>
      <c r="E144">
        <v>0.12766002761663489</v>
      </c>
      <c r="F144">
        <v>0.14644924979655871</v>
      </c>
      <c r="G144">
        <v>0.14025050007783571</v>
      </c>
      <c r="H144">
        <v>0.18992698747524189</v>
      </c>
      <c r="I144">
        <v>0.23445693890667929</v>
      </c>
      <c r="J144">
        <v>0.26418748067152981</v>
      </c>
      <c r="K144">
        <v>0.30407815938288202</v>
      </c>
      <c r="L144">
        <v>0.32958727185856002</v>
      </c>
      <c r="M144">
        <v>0.36897753235738417</v>
      </c>
      <c r="N144">
        <v>0.41490454188783232</v>
      </c>
      <c r="O144">
        <v>0.46205036590691972</v>
      </c>
      <c r="P144">
        <v>0.50176330995637008</v>
      </c>
      <c r="Q144">
        <v>0.53239313155183665</v>
      </c>
      <c r="R144">
        <v>0.55862613538093331</v>
      </c>
      <c r="S144">
        <v>0.58121250996520313</v>
      </c>
      <c r="T144">
        <v>0.60068129494011346</v>
      </c>
      <c r="U144">
        <v>0.61793731537601626</v>
      </c>
      <c r="V144">
        <v>0.63277596701624939</v>
      </c>
      <c r="W144">
        <v>0.64640415977005983</v>
      </c>
      <c r="X144">
        <v>0.65832057905808838</v>
      </c>
      <c r="Y144">
        <v>0.66944409955151296</v>
      </c>
      <c r="Z144">
        <v>0.67968036781758689</v>
      </c>
      <c r="AA144">
        <v>0.68949705836648767</v>
      </c>
      <c r="AB144">
        <v>0.69831670128426537</v>
      </c>
      <c r="AC144">
        <v>0.7069820289822738</v>
      </c>
      <c r="AD144">
        <v>0.71488894466362751</v>
      </c>
      <c r="AE144">
        <v>0.72267434873048053</v>
      </c>
    </row>
    <row r="145" spans="1:31" x14ac:dyDescent="0.25">
      <c r="A145" s="1" t="s">
        <v>147</v>
      </c>
      <c r="B145" s="1" t="str">
        <f>_xlfn.XLOOKUP(C145,[1]Sheet1!$A$2:$A$173,[1]Sheet1!$D$2:$D$173)</f>
        <v>Western Africa</v>
      </c>
      <c r="C145" s="1" t="str">
        <f>_xlfn.XLOOKUP(D145,[2]Sheet2!D145:D393,[2]Sheet2!C145:C393)</f>
        <v>TGO</v>
      </c>
      <c r="D145" s="1">
        <v>768</v>
      </c>
      <c r="E145">
        <v>0.1770014046785906</v>
      </c>
      <c r="F145">
        <v>0.2037861323737315</v>
      </c>
      <c r="G145">
        <v>0.22991417484827911</v>
      </c>
      <c r="H145">
        <v>0.24462692671147809</v>
      </c>
      <c r="I145">
        <v>0.26713839600826023</v>
      </c>
      <c r="J145">
        <v>0.27263824828667671</v>
      </c>
      <c r="K145">
        <v>0.2756275086418003</v>
      </c>
      <c r="L145">
        <v>0.28162187926058918</v>
      </c>
      <c r="M145">
        <v>0.29844286433587258</v>
      </c>
      <c r="N145">
        <v>0.31647938391084368</v>
      </c>
      <c r="O145">
        <v>0.32833186783442819</v>
      </c>
      <c r="P145">
        <v>0.33908601099108432</v>
      </c>
      <c r="Q145">
        <v>0.35288470035213582</v>
      </c>
      <c r="R145">
        <v>0.3687341828665221</v>
      </c>
      <c r="S145">
        <v>0.38732055086265987</v>
      </c>
      <c r="T145">
        <v>0.40667141857567929</v>
      </c>
      <c r="U145">
        <v>0.4262381174439967</v>
      </c>
      <c r="V145">
        <v>0.44446387195932502</v>
      </c>
      <c r="W145">
        <v>0.4622216341568085</v>
      </c>
      <c r="X145">
        <v>0.4796762605302281</v>
      </c>
      <c r="Y145">
        <v>0.49688737261661481</v>
      </c>
      <c r="Z145">
        <v>0.51431950473472166</v>
      </c>
      <c r="AA145">
        <v>0.53151550923803836</v>
      </c>
      <c r="AB145">
        <v>0.54942758722416674</v>
      </c>
      <c r="AC145">
        <v>0.5670398658475394</v>
      </c>
      <c r="AD145">
        <v>0.58480928293988221</v>
      </c>
      <c r="AE145">
        <v>0.60232760147131015</v>
      </c>
    </row>
    <row r="146" spans="1:31" x14ac:dyDescent="0.25">
      <c r="A146" s="1" t="s">
        <v>148</v>
      </c>
      <c r="B146" s="1" t="e">
        <f>_xlfn.XLOOKUP(C146,[1]Sheet1!$A$2:$A$173,[1]Sheet1!$D$2:$D$173)</f>
        <v>#N/A</v>
      </c>
      <c r="C146" s="1" t="str">
        <f>_xlfn.XLOOKUP(D146,[2]Sheet2!D146:D394,[2]Sheet2!C146:C394)</f>
        <v>TON</v>
      </c>
      <c r="D146" s="1">
        <v>776</v>
      </c>
      <c r="E146">
        <v>0.44354294595598592</v>
      </c>
      <c r="F146">
        <v>0.45605659064949539</v>
      </c>
      <c r="G146">
        <v>0.47682384842952091</v>
      </c>
      <c r="H146">
        <v>0.50657919066190171</v>
      </c>
      <c r="I146">
        <v>0.52113854234352541</v>
      </c>
      <c r="J146">
        <v>0.53485072991450278</v>
      </c>
      <c r="K146">
        <v>0.54441954975510265</v>
      </c>
      <c r="L146">
        <v>0.56023754399159165</v>
      </c>
      <c r="M146">
        <v>0.56893791248736048</v>
      </c>
      <c r="N146">
        <v>0.58067057122341947</v>
      </c>
      <c r="O146">
        <v>0.5956186870739093</v>
      </c>
      <c r="P146">
        <v>0.61235369178010268</v>
      </c>
      <c r="Q146">
        <v>0.62692641777405789</v>
      </c>
      <c r="R146">
        <v>0.64032846650431208</v>
      </c>
      <c r="S146">
        <v>0.65290696296323558</v>
      </c>
      <c r="T146">
        <v>0.66532325052884234</v>
      </c>
      <c r="U146">
        <v>0.67665687748959757</v>
      </c>
      <c r="V146">
        <v>0.68826032838669293</v>
      </c>
      <c r="W146">
        <v>0.69919446315953593</v>
      </c>
      <c r="X146">
        <v>0.70976404682856886</v>
      </c>
      <c r="Y146">
        <v>0.72000403121578771</v>
      </c>
      <c r="Z146">
        <v>0.72926300127059673</v>
      </c>
      <c r="AA146">
        <v>0.73886072786597934</v>
      </c>
      <c r="AB146">
        <v>0.74814844848727668</v>
      </c>
      <c r="AC146">
        <v>0.75709271395129751</v>
      </c>
      <c r="AD146">
        <v>0.76546913025010066</v>
      </c>
      <c r="AE146">
        <v>0.77525187072103097</v>
      </c>
    </row>
    <row r="147" spans="1:31" x14ac:dyDescent="0.25">
      <c r="A147" s="1" t="s">
        <v>149</v>
      </c>
      <c r="B147" s="1" t="e">
        <f>_xlfn.XLOOKUP(C147,[1]Sheet1!$A$2:$A$173,[1]Sheet1!$D$2:$D$173)</f>
        <v>#N/A</v>
      </c>
      <c r="C147" s="1" t="str">
        <f>_xlfn.XLOOKUP(D147,[2]Sheet2!D147:D395,[2]Sheet2!C147:C395)</f>
        <v>TTO</v>
      </c>
      <c r="D147" s="1">
        <v>780</v>
      </c>
      <c r="E147">
        <v>0.48023949320295428</v>
      </c>
      <c r="F147">
        <v>0.49895038139544062</v>
      </c>
      <c r="G147">
        <v>0.52494040885237936</v>
      </c>
      <c r="H147">
        <v>0.52983566001524474</v>
      </c>
      <c r="I147">
        <v>0.54018968517871246</v>
      </c>
      <c r="J147">
        <v>0.55487520516864441</v>
      </c>
      <c r="K147">
        <v>0.57991659235148774</v>
      </c>
      <c r="L147">
        <v>0.60507808646118</v>
      </c>
      <c r="M147">
        <v>0.6263807256594659</v>
      </c>
      <c r="N147">
        <v>0.63749594582787372</v>
      </c>
      <c r="O147">
        <v>0.63937541218067728</v>
      </c>
      <c r="P147">
        <v>0.64034900297207964</v>
      </c>
      <c r="Q147">
        <v>0.64482481802819014</v>
      </c>
      <c r="R147">
        <v>0.65321613264664513</v>
      </c>
      <c r="S147">
        <v>0.6641984258978666</v>
      </c>
      <c r="T147">
        <v>0.67561149957500288</v>
      </c>
      <c r="U147">
        <v>0.68685482213439719</v>
      </c>
      <c r="V147">
        <v>0.69775253742435517</v>
      </c>
      <c r="W147">
        <v>0.70828101200415505</v>
      </c>
      <c r="X147">
        <v>0.7185656452876158</v>
      </c>
      <c r="Y147">
        <v>0.7289153176520311</v>
      </c>
      <c r="Z147">
        <v>0.73885619013918546</v>
      </c>
      <c r="AA147">
        <v>0.74868969698151466</v>
      </c>
      <c r="AB147">
        <v>0.75814675403019294</v>
      </c>
      <c r="AC147">
        <v>0.76780818929707306</v>
      </c>
      <c r="AD147">
        <v>0.77726011698901998</v>
      </c>
      <c r="AE147">
        <v>0.78651842664651361</v>
      </c>
    </row>
    <row r="148" spans="1:31" x14ac:dyDescent="0.25">
      <c r="A148" s="1" t="s">
        <v>150</v>
      </c>
      <c r="B148" s="1" t="str">
        <f>_xlfn.XLOOKUP(C148,[1]Sheet1!$A$2:$A$173,[1]Sheet1!$D$2:$D$173)</f>
        <v>Northern Africa</v>
      </c>
      <c r="C148" s="1" t="str">
        <f>_xlfn.XLOOKUP(D148,[2]Sheet2!D148:D396,[2]Sheet2!C148:C396)</f>
        <v>TUN</v>
      </c>
      <c r="D148" s="1">
        <v>788</v>
      </c>
      <c r="E148">
        <v>0.23413998524789381</v>
      </c>
      <c r="F148">
        <v>0.2861275266098332</v>
      </c>
      <c r="G148">
        <v>0.33195431026934202</v>
      </c>
      <c r="H148">
        <v>0.36680258323101439</v>
      </c>
      <c r="I148">
        <v>0.39438349107667242</v>
      </c>
      <c r="J148">
        <v>0.42564054952121538</v>
      </c>
      <c r="K148">
        <v>0.45983933810912758</v>
      </c>
      <c r="L148">
        <v>0.48835382451754378</v>
      </c>
      <c r="M148">
        <v>0.51550885927160472</v>
      </c>
      <c r="N148">
        <v>0.53827628204869515</v>
      </c>
      <c r="O148">
        <v>0.56049391155577055</v>
      </c>
      <c r="P148">
        <v>0.57924987401046524</v>
      </c>
      <c r="Q148">
        <v>0.59745985601245899</v>
      </c>
      <c r="R148">
        <v>0.61703539724674128</v>
      </c>
      <c r="S148">
        <v>0.63732118256555437</v>
      </c>
      <c r="T148">
        <v>0.65734049102092706</v>
      </c>
      <c r="U148">
        <v>0.67594089682002001</v>
      </c>
      <c r="V148">
        <v>0.69334005077500382</v>
      </c>
      <c r="W148">
        <v>0.70857879288052494</v>
      </c>
      <c r="X148">
        <v>0.72246215321112972</v>
      </c>
      <c r="Y148">
        <v>0.73515155320056946</v>
      </c>
      <c r="Z148">
        <v>0.74695576846500444</v>
      </c>
      <c r="AA148">
        <v>0.75738395110082257</v>
      </c>
      <c r="AB148">
        <v>0.76735878725838891</v>
      </c>
      <c r="AC148">
        <v>0.77668055899074939</v>
      </c>
      <c r="AD148">
        <v>0.78577522844014913</v>
      </c>
      <c r="AE148">
        <v>0.7949243519780731</v>
      </c>
    </row>
    <row r="149" spans="1:31" x14ac:dyDescent="0.25">
      <c r="A149" s="1" t="s">
        <v>151</v>
      </c>
      <c r="B149" s="1" t="str">
        <f>_xlfn.XLOOKUP(C149,[1]Sheet1!$A$2:$A$173,[1]Sheet1!$D$2:$D$173)</f>
        <v>Turkey</v>
      </c>
      <c r="C149" s="1" t="str">
        <f>_xlfn.XLOOKUP(D149,[2]Sheet2!D149:D397,[2]Sheet2!C149:C397)</f>
        <v>TUR</v>
      </c>
      <c r="D149" s="1">
        <v>792</v>
      </c>
      <c r="E149">
        <v>0.3254258417066882</v>
      </c>
      <c r="F149">
        <v>0.35610171862909679</v>
      </c>
      <c r="G149">
        <v>0.38683700844264601</v>
      </c>
      <c r="H149">
        <v>0.41666186579920728</v>
      </c>
      <c r="I149">
        <v>0.44619903522564791</v>
      </c>
      <c r="J149">
        <v>0.47003544974824069</v>
      </c>
      <c r="K149">
        <v>0.49605033665579418</v>
      </c>
      <c r="L149">
        <v>0.52197771357618072</v>
      </c>
      <c r="M149">
        <v>0.54098743239564662</v>
      </c>
      <c r="N149">
        <v>0.56058772961252168</v>
      </c>
      <c r="O149">
        <v>0.58079099076526941</v>
      </c>
      <c r="P149">
        <v>0.59864004086077471</v>
      </c>
      <c r="Q149">
        <v>0.61458305798913859</v>
      </c>
      <c r="R149">
        <v>0.6298371623134279</v>
      </c>
      <c r="S149">
        <v>0.64439343184188802</v>
      </c>
      <c r="T149">
        <v>0.65838463612227227</v>
      </c>
      <c r="U149">
        <v>0.67176264848538159</v>
      </c>
      <c r="V149">
        <v>0.68481171973169186</v>
      </c>
      <c r="W149">
        <v>0.69795021349104558</v>
      </c>
      <c r="X149">
        <v>0.71130745650599037</v>
      </c>
      <c r="Y149">
        <v>0.72408535209365155</v>
      </c>
      <c r="Z149">
        <v>0.7361049044134772</v>
      </c>
      <c r="AA149">
        <v>0.74694582997428915</v>
      </c>
      <c r="AB149">
        <v>0.75761902295648864</v>
      </c>
      <c r="AC149">
        <v>0.7677429221853318</v>
      </c>
      <c r="AD149">
        <v>0.77731562406771559</v>
      </c>
      <c r="AE149">
        <v>0.78636108537245886</v>
      </c>
    </row>
    <row r="150" spans="1:31" x14ac:dyDescent="0.25">
      <c r="A150" s="1" t="s">
        <v>152</v>
      </c>
      <c r="B150" s="1" t="str">
        <f>_xlfn.XLOOKUP(C150,[1]Sheet1!$A$2:$A$173,[1]Sheet1!$D$2:$D$173)</f>
        <v>Central Asia</v>
      </c>
      <c r="C150" s="1" t="str">
        <f>_xlfn.XLOOKUP(D150,[2]Sheet2!D150:D398,[2]Sheet2!C150:C398)</f>
        <v>TKM</v>
      </c>
      <c r="D150" s="1">
        <v>795</v>
      </c>
      <c r="E150">
        <v>0.38544244084853069</v>
      </c>
      <c r="F150">
        <v>0.41543848699435132</v>
      </c>
      <c r="G150">
        <v>0.44133272416115488</v>
      </c>
      <c r="H150">
        <v>0.46615922870139792</v>
      </c>
      <c r="I150">
        <v>0.48713329600895428</v>
      </c>
      <c r="J150">
        <v>0.5026004740590484</v>
      </c>
      <c r="K150">
        <v>0.51414456298297262</v>
      </c>
      <c r="L150">
        <v>0.5223059230796796</v>
      </c>
      <c r="M150">
        <v>0.54188838765002478</v>
      </c>
      <c r="N150">
        <v>0.56786636174864291</v>
      </c>
      <c r="O150">
        <v>0.59272073419538618</v>
      </c>
      <c r="P150">
        <v>0.61161862716172399</v>
      </c>
      <c r="Q150">
        <v>0.62617496886418456</v>
      </c>
      <c r="R150">
        <v>0.63854629616370706</v>
      </c>
      <c r="S150">
        <v>0.64930429668533751</v>
      </c>
      <c r="T150">
        <v>0.6591729652939976</v>
      </c>
      <c r="U150">
        <v>0.6681982511958362</v>
      </c>
      <c r="V150">
        <v>0.67719213611865514</v>
      </c>
      <c r="W150">
        <v>0.68609664425556227</v>
      </c>
      <c r="X150">
        <v>0.69546991391297208</v>
      </c>
      <c r="Y150">
        <v>0.70488355067224817</v>
      </c>
      <c r="Z150">
        <v>0.71415933025719436</v>
      </c>
      <c r="AA150">
        <v>0.72286770552834478</v>
      </c>
      <c r="AB150">
        <v>0.73117509952051429</v>
      </c>
      <c r="AC150">
        <v>0.73908163167550833</v>
      </c>
      <c r="AD150">
        <v>0.74661242116133231</v>
      </c>
      <c r="AE150">
        <v>0.75432152600543312</v>
      </c>
    </row>
    <row r="151" spans="1:31" x14ac:dyDescent="0.25">
      <c r="A151" s="1" t="s">
        <v>153</v>
      </c>
      <c r="B151" s="1" t="str">
        <f>_xlfn.XLOOKUP(C151,[1]Sheet1!$A$2:$A$173,[1]Sheet1!$D$2:$D$173)</f>
        <v>Eastern Africa</v>
      </c>
      <c r="C151" s="1" t="str">
        <f>_xlfn.XLOOKUP(D151,[2]Sheet2!D151:D399,[2]Sheet2!C151:C399)</f>
        <v>UGA</v>
      </c>
      <c r="D151" s="1">
        <v>800</v>
      </c>
      <c r="E151">
        <v>0.2343848683960483</v>
      </c>
      <c r="F151">
        <v>0.2442047186774208</v>
      </c>
      <c r="G151">
        <v>0.23916080131952261</v>
      </c>
      <c r="H151">
        <v>0.2438017506204882</v>
      </c>
      <c r="I151">
        <v>0.24860128524877459</v>
      </c>
      <c r="J151">
        <v>0.25868738216145848</v>
      </c>
      <c r="K151">
        <v>0.27306877118410311</v>
      </c>
      <c r="L151">
        <v>0.31092080575795411</v>
      </c>
      <c r="M151">
        <v>0.34637847504619879</v>
      </c>
      <c r="N151">
        <v>0.3763113812229435</v>
      </c>
      <c r="O151">
        <v>0.3974366109840522</v>
      </c>
      <c r="P151">
        <v>0.41454713019888523</v>
      </c>
      <c r="Q151">
        <v>0.43000911789634949</v>
      </c>
      <c r="R151">
        <v>0.44559729195464037</v>
      </c>
      <c r="S151">
        <v>0.46152146693162149</v>
      </c>
      <c r="T151">
        <v>0.47761676785423118</v>
      </c>
      <c r="U151">
        <v>0.49396330295385782</v>
      </c>
      <c r="V151">
        <v>0.51006208512725015</v>
      </c>
      <c r="W151">
        <v>0.52608161257031227</v>
      </c>
      <c r="X151">
        <v>0.54167770153162553</v>
      </c>
      <c r="Y151">
        <v>0.5564875649617006</v>
      </c>
      <c r="Z151">
        <v>0.57135381980722799</v>
      </c>
      <c r="AA151">
        <v>0.58554593901018026</v>
      </c>
      <c r="AB151">
        <v>0.5994290790771799</v>
      </c>
      <c r="AC151">
        <v>0.61278984537224623</v>
      </c>
      <c r="AD151">
        <v>0.62574430390005409</v>
      </c>
      <c r="AE151">
        <v>0.63859060953085678</v>
      </c>
    </row>
    <row r="152" spans="1:31" x14ac:dyDescent="0.25">
      <c r="A152" s="1" t="s">
        <v>154</v>
      </c>
      <c r="B152" s="1" t="str">
        <f>_xlfn.XLOOKUP(C152,[1]Sheet1!$A$2:$A$173,[1]Sheet1!$D$2:$D$173)</f>
        <v>Ukraine region</v>
      </c>
      <c r="C152" s="1" t="str">
        <f>_xlfn.XLOOKUP(D152,[2]Sheet2!D152:D400,[2]Sheet2!C152:C400)</f>
        <v>UKR</v>
      </c>
      <c r="D152" s="1">
        <v>804</v>
      </c>
      <c r="E152">
        <v>0.40514369843505621</v>
      </c>
      <c r="F152">
        <v>0.42902696502482118</v>
      </c>
      <c r="G152">
        <v>0.44848499592378671</v>
      </c>
      <c r="H152">
        <v>0.46786092010664571</v>
      </c>
      <c r="I152">
        <v>0.49105914985317711</v>
      </c>
      <c r="J152">
        <v>0.50653031476890942</v>
      </c>
      <c r="K152">
        <v>0.5087989293286681</v>
      </c>
      <c r="L152">
        <v>0.53627182237519211</v>
      </c>
      <c r="M152">
        <v>0.54843423610758724</v>
      </c>
      <c r="N152">
        <v>0.5789997471684547</v>
      </c>
      <c r="O152">
        <v>0.60106625392243929</v>
      </c>
      <c r="P152">
        <v>0.62114947936777998</v>
      </c>
      <c r="Q152">
        <v>0.6366703675533314</v>
      </c>
      <c r="R152">
        <v>0.64883597736343224</v>
      </c>
      <c r="S152">
        <v>0.65892738427211972</v>
      </c>
      <c r="T152">
        <v>0.6677108097475325</v>
      </c>
      <c r="U152">
        <v>0.67619493443450795</v>
      </c>
      <c r="V152">
        <v>0.68443551275362902</v>
      </c>
      <c r="W152">
        <v>0.69280686385033874</v>
      </c>
      <c r="X152">
        <v>0.70163987535673222</v>
      </c>
      <c r="Y152">
        <v>0.71041193788513746</v>
      </c>
      <c r="Z152">
        <v>0.71937904102864114</v>
      </c>
      <c r="AA152">
        <v>0.72813233980901904</v>
      </c>
      <c r="AB152">
        <v>0.73625930418449592</v>
      </c>
      <c r="AC152">
        <v>0.74440533266841347</v>
      </c>
      <c r="AD152">
        <v>0.75253993809375208</v>
      </c>
      <c r="AE152">
        <v>0.76069095180002211</v>
      </c>
    </row>
    <row r="153" spans="1:31" x14ac:dyDescent="0.25">
      <c r="A153" s="1" t="s">
        <v>155</v>
      </c>
      <c r="B153" s="1" t="str">
        <f>_xlfn.XLOOKUP(C153,[1]Sheet1!$A$2:$A$173,[1]Sheet1!$D$2:$D$173)</f>
        <v>Western Europe</v>
      </c>
      <c r="C153" s="1" t="str">
        <f>_xlfn.XLOOKUP(D153,[2]Sheet2!D153:D401,[2]Sheet2!C153:C401)</f>
        <v>GBR</v>
      </c>
      <c r="D153" s="1">
        <v>826</v>
      </c>
      <c r="E153">
        <v>0.60520692949158883</v>
      </c>
      <c r="F153">
        <v>0.6150590126904828</v>
      </c>
      <c r="G153">
        <v>0.62528169212222251</v>
      </c>
      <c r="H153">
        <v>0.63792217000540818</v>
      </c>
      <c r="I153">
        <v>0.65182809536833175</v>
      </c>
      <c r="J153">
        <v>0.66293775401612076</v>
      </c>
      <c r="K153">
        <v>0.67611519762985051</v>
      </c>
      <c r="L153">
        <v>0.68975766956643958</v>
      </c>
      <c r="M153">
        <v>0.69783930311268394</v>
      </c>
      <c r="N153">
        <v>0.71260130744967898</v>
      </c>
      <c r="O153">
        <v>0.72399062591731023</v>
      </c>
      <c r="P153">
        <v>0.73651364951835741</v>
      </c>
      <c r="Q153">
        <v>0.74897991449606249</v>
      </c>
      <c r="R153">
        <v>0.76020775617419534</v>
      </c>
      <c r="S153">
        <v>0.77099768337741514</v>
      </c>
      <c r="T153">
        <v>0.78092857686069628</v>
      </c>
      <c r="U153">
        <v>0.79018016994191742</v>
      </c>
      <c r="V153">
        <v>0.79912826063050457</v>
      </c>
      <c r="W153">
        <v>0.80751971332742389</v>
      </c>
      <c r="X153">
        <v>0.81603130647687261</v>
      </c>
      <c r="Y153">
        <v>0.82446605779680626</v>
      </c>
      <c r="Z153">
        <v>0.83282132933441166</v>
      </c>
      <c r="AA153">
        <v>0.84073054713513684</v>
      </c>
      <c r="AB153">
        <v>0.84859172950724349</v>
      </c>
      <c r="AC153">
        <v>0.8560554882629422</v>
      </c>
      <c r="AD153">
        <v>0.86386328635364718</v>
      </c>
      <c r="AE153">
        <v>0.87124601733531304</v>
      </c>
    </row>
    <row r="154" spans="1:31" x14ac:dyDescent="0.25">
      <c r="A154" s="1" t="s">
        <v>156</v>
      </c>
      <c r="B154" s="1" t="str">
        <f>_xlfn.XLOOKUP(C154,[1]Sheet1!$A$2:$A$173,[1]Sheet1!$D$2:$D$173)</f>
        <v>Rest of Southern Africa</v>
      </c>
      <c r="C154" s="1" t="str">
        <f>_xlfn.XLOOKUP(D154,[2]Sheet2!D154:D402,[2]Sheet2!C154:C402)</f>
        <v>TZA</v>
      </c>
      <c r="D154" s="1">
        <v>834</v>
      </c>
      <c r="E154">
        <v>0.21236041928304239</v>
      </c>
      <c r="F154">
        <v>0.23538263847549271</v>
      </c>
      <c r="G154">
        <v>0.25662370421171932</v>
      </c>
      <c r="H154">
        <v>0.26662640158601442</v>
      </c>
      <c r="I154">
        <v>0.28162939025092443</v>
      </c>
      <c r="J154">
        <v>0.28488861359332818</v>
      </c>
      <c r="K154">
        <v>0.29932121738356898</v>
      </c>
      <c r="L154">
        <v>0.33184010489941529</v>
      </c>
      <c r="M154">
        <v>0.36640334977392208</v>
      </c>
      <c r="N154">
        <v>0.39929687012687942</v>
      </c>
      <c r="O154">
        <v>0.42741782708709941</v>
      </c>
      <c r="P154">
        <v>0.44298308958638982</v>
      </c>
      <c r="Q154">
        <v>0.45568651716056929</v>
      </c>
      <c r="R154">
        <v>0.46756047711726001</v>
      </c>
      <c r="S154">
        <v>0.47994920829099269</v>
      </c>
      <c r="T154">
        <v>0.49270457038933052</v>
      </c>
      <c r="U154">
        <v>0.50577548075335765</v>
      </c>
      <c r="V154">
        <v>0.51926866925537141</v>
      </c>
      <c r="W154">
        <v>0.53246407775180515</v>
      </c>
      <c r="X154">
        <v>0.54568948906143877</v>
      </c>
      <c r="Y154">
        <v>0.55895808375888101</v>
      </c>
      <c r="Z154">
        <v>0.57179989226036887</v>
      </c>
      <c r="AA154">
        <v>0.58496245533749824</v>
      </c>
      <c r="AB154">
        <v>0.59812386258030181</v>
      </c>
      <c r="AC154">
        <v>0.61127498415197312</v>
      </c>
      <c r="AD154">
        <v>0.62448622192332115</v>
      </c>
      <c r="AE154">
        <v>0.63747436146815795</v>
      </c>
    </row>
    <row r="155" spans="1:31" x14ac:dyDescent="0.25">
      <c r="A155" s="1" t="s">
        <v>157</v>
      </c>
      <c r="B155" s="1" t="str">
        <f>_xlfn.XLOOKUP(C155,[1]Sheet1!$A$2:$A$173,[1]Sheet1!$D$2:$D$173)</f>
        <v>USA</v>
      </c>
      <c r="C155" s="1" t="str">
        <f>_xlfn.XLOOKUP(D155,[2]Sheet2!D155:D403,[2]Sheet2!C155:C403)</f>
        <v>USA</v>
      </c>
      <c r="D155" s="1">
        <v>840</v>
      </c>
      <c r="E155">
        <v>0.59918399791300425</v>
      </c>
      <c r="F155">
        <v>0.61388648173219096</v>
      </c>
      <c r="G155">
        <v>0.63263275849663836</v>
      </c>
      <c r="H155">
        <v>0.64826254730544819</v>
      </c>
      <c r="I155">
        <v>0.65956180845536549</v>
      </c>
      <c r="J155">
        <v>0.66867978810146167</v>
      </c>
      <c r="K155">
        <v>0.6805967759973186</v>
      </c>
      <c r="L155">
        <v>0.6891874615544068</v>
      </c>
      <c r="M155">
        <v>0.69438689751914773</v>
      </c>
      <c r="N155">
        <v>0.70614441974403219</v>
      </c>
      <c r="O155">
        <v>0.71298176609705632</v>
      </c>
      <c r="P155">
        <v>0.72139772286840365</v>
      </c>
      <c r="Q155">
        <v>0.72953160301872277</v>
      </c>
      <c r="R155">
        <v>0.73692136212206893</v>
      </c>
      <c r="S155">
        <v>0.74456997976684514</v>
      </c>
      <c r="T155">
        <v>0.75190391381915411</v>
      </c>
      <c r="U155">
        <v>0.7598525137976766</v>
      </c>
      <c r="V155">
        <v>0.76710229780181505</v>
      </c>
      <c r="W155">
        <v>0.77465223447089293</v>
      </c>
      <c r="X155">
        <v>0.78217947189735004</v>
      </c>
      <c r="Y155">
        <v>0.789686378659335</v>
      </c>
      <c r="Z155">
        <v>0.79717070141483481</v>
      </c>
      <c r="AA155">
        <v>0.80484024311242897</v>
      </c>
      <c r="AB155">
        <v>0.81247503350186123</v>
      </c>
      <c r="AC155">
        <v>0.81968958590862895</v>
      </c>
      <c r="AD155">
        <v>0.82686426928030499</v>
      </c>
      <c r="AE155">
        <v>0.83400693780924706</v>
      </c>
    </row>
    <row r="156" spans="1:31" x14ac:dyDescent="0.25">
      <c r="A156" s="1" t="s">
        <v>158</v>
      </c>
      <c r="B156" s="1" t="str">
        <f>_xlfn.XLOOKUP(C156,[1]Sheet1!$A$2:$A$173,[1]Sheet1!$D$2:$D$173)</f>
        <v>Rest of South America</v>
      </c>
      <c r="C156" s="1" t="str">
        <f>_xlfn.XLOOKUP(D156,[2]Sheet2!D156:D404,[2]Sheet2!C156:C404)</f>
        <v>URY</v>
      </c>
      <c r="D156" s="1">
        <v>858</v>
      </c>
      <c r="E156">
        <v>0.44353185918134952</v>
      </c>
      <c r="F156">
        <v>0.45624099691320052</v>
      </c>
      <c r="G156">
        <v>0.47810904344393101</v>
      </c>
      <c r="H156">
        <v>0.4819300475557371</v>
      </c>
      <c r="I156">
        <v>0.5006632677968712</v>
      </c>
      <c r="J156">
        <v>0.5211505563712151</v>
      </c>
      <c r="K156">
        <v>0.53591092625791781</v>
      </c>
      <c r="L156">
        <v>0.54724310480897598</v>
      </c>
      <c r="M156">
        <v>0.56426371193816682</v>
      </c>
      <c r="N156">
        <v>0.58379882794124338</v>
      </c>
      <c r="O156">
        <v>0.60137887304090065</v>
      </c>
      <c r="P156">
        <v>0.61732927329090093</v>
      </c>
      <c r="Q156">
        <v>0.63011799296943249</v>
      </c>
      <c r="R156">
        <v>0.64148935168827292</v>
      </c>
      <c r="S156">
        <v>0.65274635332226938</v>
      </c>
      <c r="T156">
        <v>0.66355508354342996</v>
      </c>
      <c r="U156">
        <v>0.67366770759826378</v>
      </c>
      <c r="V156">
        <v>0.68416187652885574</v>
      </c>
      <c r="W156">
        <v>0.69375793173917</v>
      </c>
      <c r="X156">
        <v>0.70326031433146774</v>
      </c>
      <c r="Y156">
        <v>0.71341036959012971</v>
      </c>
      <c r="Z156">
        <v>0.72436751977633962</v>
      </c>
      <c r="AA156">
        <v>0.73556893331154738</v>
      </c>
      <c r="AB156">
        <v>0.74622994740692039</v>
      </c>
      <c r="AC156">
        <v>0.75681838663097101</v>
      </c>
      <c r="AD156">
        <v>0.76700344521892827</v>
      </c>
      <c r="AE156">
        <v>0.77659600373507276</v>
      </c>
    </row>
    <row r="157" spans="1:31" x14ac:dyDescent="0.25">
      <c r="A157" s="1" t="s">
        <v>159</v>
      </c>
      <c r="B157" s="1" t="e">
        <f>_xlfn.XLOOKUP(C157,[1]Sheet1!$A$2:$A$173,[1]Sheet1!$D$2:$D$173)</f>
        <v>#N/A</v>
      </c>
      <c r="C157" s="1" t="str">
        <f>_xlfn.XLOOKUP(D157,[2]Sheet2!D157:D405,[2]Sheet2!C157:C405)</f>
        <v>VUT</v>
      </c>
      <c r="D157" s="1">
        <v>548</v>
      </c>
      <c r="E157">
        <v>0.29090091482861402</v>
      </c>
      <c r="F157">
        <v>0.32608799713325493</v>
      </c>
      <c r="G157">
        <v>0.34975451458833162</v>
      </c>
      <c r="H157">
        <v>0.38058451781893582</v>
      </c>
      <c r="I157">
        <v>0.39700381234664123</v>
      </c>
      <c r="J157">
        <v>0.42200574752328401</v>
      </c>
      <c r="K157">
        <v>0.44024184580547221</v>
      </c>
      <c r="L157">
        <v>0.45475249285203412</v>
      </c>
      <c r="M157">
        <v>0.47458761711884617</v>
      </c>
      <c r="N157">
        <v>0.49936300049687399</v>
      </c>
      <c r="O157">
        <v>0.52416310933104149</v>
      </c>
      <c r="P157">
        <v>0.54731193879316664</v>
      </c>
      <c r="Q157">
        <v>0.56607120459230542</v>
      </c>
      <c r="R157">
        <v>0.58305523471418719</v>
      </c>
      <c r="S157">
        <v>0.59909155776390566</v>
      </c>
      <c r="T157">
        <v>0.61420912815501094</v>
      </c>
      <c r="U157">
        <v>0.62898766812674523</v>
      </c>
      <c r="V157">
        <v>0.64314155739937828</v>
      </c>
      <c r="W157">
        <v>0.65654709588703353</v>
      </c>
      <c r="X157">
        <v>0.66998832056167201</v>
      </c>
      <c r="Y157">
        <v>0.6827342605566985</v>
      </c>
      <c r="Z157">
        <v>0.69489642633755722</v>
      </c>
      <c r="AA157">
        <v>0.70709303587438055</v>
      </c>
      <c r="AB157">
        <v>0.71937962195426874</v>
      </c>
      <c r="AC157">
        <v>0.73178112914947901</v>
      </c>
      <c r="AD157">
        <v>0.74433450042973459</v>
      </c>
      <c r="AE157">
        <v>0.75632381870432674</v>
      </c>
    </row>
    <row r="158" spans="1:31" x14ac:dyDescent="0.25">
      <c r="A158" s="1" t="s">
        <v>160</v>
      </c>
      <c r="B158" s="1" t="str">
        <f>_xlfn.XLOOKUP(C158,[1]Sheet1!$A$2:$A$173,[1]Sheet1!$D$2:$D$173)</f>
        <v>Rest of South America</v>
      </c>
      <c r="C158" s="1" t="str">
        <f>_xlfn.XLOOKUP(D158,[2]Sheet2!D158:D406,[2]Sheet2!C158:C406)</f>
        <v>VEN</v>
      </c>
      <c r="D158" s="1">
        <v>862</v>
      </c>
      <c r="E158">
        <v>0.43999816712065748</v>
      </c>
      <c r="F158">
        <v>0.46988750856755268</v>
      </c>
      <c r="G158">
        <v>0.48868207360653598</v>
      </c>
      <c r="H158">
        <v>0.49938057652782353</v>
      </c>
      <c r="I158">
        <v>0.51260034897727336</v>
      </c>
      <c r="J158">
        <v>0.52871685983322658</v>
      </c>
      <c r="K158">
        <v>0.54071220058122627</v>
      </c>
      <c r="L158">
        <v>0.5538496090082824</v>
      </c>
      <c r="M158">
        <v>0.56650192062644555</v>
      </c>
      <c r="N158">
        <v>0.57942987906535703</v>
      </c>
      <c r="O158">
        <v>0.5972654263865621</v>
      </c>
      <c r="P158">
        <v>0.61512765156296345</v>
      </c>
      <c r="Q158">
        <v>0.63048289018826797</v>
      </c>
      <c r="R158">
        <v>0.64413389098269191</v>
      </c>
      <c r="S158">
        <v>0.65590849247595828</v>
      </c>
      <c r="T158">
        <v>0.66670742015874618</v>
      </c>
      <c r="U158">
        <v>0.67695910682991767</v>
      </c>
      <c r="V158">
        <v>0.68749904651267513</v>
      </c>
      <c r="W158">
        <v>0.69763084550033894</v>
      </c>
      <c r="X158">
        <v>0.70751397391920789</v>
      </c>
      <c r="Y158">
        <v>0.7172629869511975</v>
      </c>
      <c r="Z158">
        <v>0.72688830016977291</v>
      </c>
      <c r="AA158">
        <v>0.73654412855979412</v>
      </c>
      <c r="AB158">
        <v>0.7459973418750605</v>
      </c>
      <c r="AC158">
        <v>0.75501130730000043</v>
      </c>
      <c r="AD158">
        <v>0.76393721053097163</v>
      </c>
      <c r="AE158">
        <v>0.77277241246300266</v>
      </c>
    </row>
    <row r="159" spans="1:31" x14ac:dyDescent="0.25">
      <c r="A159" s="1" t="s">
        <v>161</v>
      </c>
      <c r="B159" s="1" t="str">
        <f>_xlfn.XLOOKUP(C159,[1]Sheet1!$A$2:$A$173,[1]Sheet1!$D$2:$D$173)</f>
        <v>Southeastern Asia</v>
      </c>
      <c r="C159" s="1" t="str">
        <f>_xlfn.XLOOKUP(D159,[2]Sheet2!D159:D407,[2]Sheet2!C159:C407)</f>
        <v>VNM</v>
      </c>
      <c r="D159" s="1">
        <v>704</v>
      </c>
      <c r="E159">
        <v>0.27777597140368682</v>
      </c>
      <c r="F159">
        <v>0.28329945880393198</v>
      </c>
      <c r="G159">
        <v>0.32637516049491261</v>
      </c>
      <c r="H159">
        <v>0.35614156179961359</v>
      </c>
      <c r="I159">
        <v>0.37754969912266118</v>
      </c>
      <c r="J159">
        <v>0.40514015330424141</v>
      </c>
      <c r="K159">
        <v>0.43015968919436859</v>
      </c>
      <c r="L159">
        <v>0.45668878641350852</v>
      </c>
      <c r="M159">
        <v>0.47793757746084881</v>
      </c>
      <c r="N159">
        <v>0.50643967058461559</v>
      </c>
      <c r="O159">
        <v>0.53339196607811967</v>
      </c>
      <c r="P159">
        <v>0.55686913786227032</v>
      </c>
      <c r="Q159">
        <v>0.57647764568762516</v>
      </c>
      <c r="R159">
        <v>0.59349215224746421</v>
      </c>
      <c r="S159">
        <v>0.6078900515133463</v>
      </c>
      <c r="T159">
        <v>0.62170218151854184</v>
      </c>
      <c r="U159">
        <v>0.63529601441383687</v>
      </c>
      <c r="V159">
        <v>0.6488893319438368</v>
      </c>
      <c r="W159">
        <v>0.66264979641146216</v>
      </c>
      <c r="X159">
        <v>0.67720368609822668</v>
      </c>
      <c r="Y159">
        <v>0.69259380950772076</v>
      </c>
      <c r="Z159">
        <v>0.70760253442936571</v>
      </c>
      <c r="AA159">
        <v>0.72161599279958366</v>
      </c>
      <c r="AB159">
        <v>0.73525733128935089</v>
      </c>
      <c r="AC159">
        <v>0.74792987531233213</v>
      </c>
      <c r="AD159">
        <v>0.7604977121988612</v>
      </c>
      <c r="AE159">
        <v>0.77251277309458732</v>
      </c>
    </row>
    <row r="160" spans="1:31" x14ac:dyDescent="0.25">
      <c r="A160" s="1" t="s">
        <v>162</v>
      </c>
      <c r="B160" s="1" t="str">
        <f>_xlfn.XLOOKUP(C160,[1]Sheet1!$A$2:$A$173,[1]Sheet1!$D$2:$D$173)</f>
        <v>Middle East</v>
      </c>
      <c r="C160" s="1" t="str">
        <f>_xlfn.XLOOKUP(D160,[2]Sheet2!D160:D408,[2]Sheet2!C160:C408)</f>
        <v>YEM</v>
      </c>
      <c r="D160" s="1">
        <v>887</v>
      </c>
      <c r="E160">
        <v>4.0156903167623013E-2</v>
      </c>
      <c r="F160">
        <v>5.0124108437755027E-2</v>
      </c>
      <c r="G160">
        <v>7.21210505098826E-2</v>
      </c>
      <c r="H160">
        <v>9.533005946245833E-2</v>
      </c>
      <c r="I160">
        <v>0.1277778150607487</v>
      </c>
      <c r="J160">
        <v>0.1598352449166309</v>
      </c>
      <c r="K160">
        <v>0.19971314402180951</v>
      </c>
      <c r="L160">
        <v>0.23986205709266181</v>
      </c>
      <c r="M160">
        <v>0.27945690353312408</v>
      </c>
      <c r="N160">
        <v>0.32897188144862788</v>
      </c>
      <c r="O160">
        <v>0.36945778402331969</v>
      </c>
      <c r="P160">
        <v>0.40340948517926162</v>
      </c>
      <c r="Q160">
        <v>0.43483695613984358</v>
      </c>
      <c r="R160">
        <v>0.46155792518152139</v>
      </c>
      <c r="S160">
        <v>0.48491966535338887</v>
      </c>
      <c r="T160">
        <v>0.50606823913800958</v>
      </c>
      <c r="U160">
        <v>0.5251383107288663</v>
      </c>
      <c r="V160">
        <v>0.54338892374950987</v>
      </c>
      <c r="W160">
        <v>0.56087494119949066</v>
      </c>
      <c r="X160">
        <v>0.57783257249895781</v>
      </c>
      <c r="Y160">
        <v>0.5944660237877234</v>
      </c>
      <c r="Z160">
        <v>0.61044026527865314</v>
      </c>
      <c r="AA160">
        <v>0.62578390314342436</v>
      </c>
      <c r="AB160">
        <v>0.64071482397916979</v>
      </c>
      <c r="AC160">
        <v>0.65511248850611936</v>
      </c>
      <c r="AD160">
        <v>0.66919812122805833</v>
      </c>
      <c r="AE160">
        <v>0.68254784763984844</v>
      </c>
    </row>
    <row r="161" spans="1:31" x14ac:dyDescent="0.25">
      <c r="A161" s="1" t="s">
        <v>163</v>
      </c>
      <c r="B161" s="1" t="str">
        <f>_xlfn.XLOOKUP(C161,[1]Sheet1!$A$2:$A$173,[1]Sheet1!$D$2:$D$173)</f>
        <v>Rest of Southern Africa</v>
      </c>
      <c r="C161" s="1" t="str">
        <f>_xlfn.XLOOKUP(D161,[2]Sheet2!D161:D409,[2]Sheet2!C161:C409)</f>
        <v>ZMB</v>
      </c>
      <c r="D161" s="1">
        <v>894</v>
      </c>
      <c r="E161">
        <v>0.29634048772010102</v>
      </c>
      <c r="F161">
        <v>0.31770369130457338</v>
      </c>
      <c r="G161">
        <v>0.32600968138693009</v>
      </c>
      <c r="H161">
        <v>0.32252781204842063</v>
      </c>
      <c r="I161">
        <v>0.31434601559212971</v>
      </c>
      <c r="J161">
        <v>0.29549093480316191</v>
      </c>
      <c r="K161">
        <v>0.29535381724403559</v>
      </c>
      <c r="L161">
        <v>0.33747300810062719</v>
      </c>
      <c r="M161">
        <v>0.37642271102796171</v>
      </c>
      <c r="N161">
        <v>0.42498372488820219</v>
      </c>
      <c r="O161">
        <v>0.45059386646766852</v>
      </c>
      <c r="P161">
        <v>0.46692764251375668</v>
      </c>
      <c r="Q161">
        <v>0.48024543571978701</v>
      </c>
      <c r="R161">
        <v>0.49404608391710297</v>
      </c>
      <c r="S161">
        <v>0.50837981342908733</v>
      </c>
      <c r="T161">
        <v>0.52272936955911131</v>
      </c>
      <c r="U161">
        <v>0.53722829954736784</v>
      </c>
      <c r="V161">
        <v>0.55110151613939196</v>
      </c>
      <c r="W161">
        <v>0.56458888901711357</v>
      </c>
      <c r="X161">
        <v>0.57778526087622606</v>
      </c>
      <c r="Y161">
        <v>0.59023674948498339</v>
      </c>
      <c r="Z161">
        <v>0.60217897429363043</v>
      </c>
      <c r="AA161">
        <v>0.61400452676567052</v>
      </c>
      <c r="AB161">
        <v>0.62500614147469091</v>
      </c>
      <c r="AC161">
        <v>0.63587136832172164</v>
      </c>
      <c r="AD161">
        <v>0.64653347368196279</v>
      </c>
      <c r="AE161">
        <v>0.65653344550193182</v>
      </c>
    </row>
    <row r="162" spans="1:31" x14ac:dyDescent="0.25">
      <c r="A162" s="1" t="s">
        <v>164</v>
      </c>
      <c r="B162" s="1" t="str">
        <f>_xlfn.XLOOKUP(C162,[1]Sheet1!$A$2:$A$173,[1]Sheet1!$D$2:$D$173)</f>
        <v>Rest of Southern Africa</v>
      </c>
      <c r="C162" s="1" t="str">
        <f>_xlfn.XLOOKUP(D162,[2]Sheet2!D162:D410,[2]Sheet2!C162:C410)</f>
        <v>ZWE</v>
      </c>
      <c r="D162" s="1">
        <v>716</v>
      </c>
      <c r="E162">
        <v>0.2096439580822918</v>
      </c>
      <c r="F162">
        <v>0.24059768121229891</v>
      </c>
      <c r="G162">
        <v>0.24523383106596841</v>
      </c>
      <c r="H162">
        <v>0.25334801894319342</v>
      </c>
      <c r="I162">
        <v>0.27626047747645621</v>
      </c>
      <c r="J162">
        <v>0.26756823693887261</v>
      </c>
      <c r="K162">
        <v>0.25572060478107472</v>
      </c>
      <c r="L162">
        <v>0.20966891575938831</v>
      </c>
      <c r="M162">
        <v>0.19547884316372341</v>
      </c>
      <c r="N162">
        <v>0.21044851423022451</v>
      </c>
      <c r="O162">
        <v>0.25472816070137683</v>
      </c>
      <c r="P162">
        <v>0.30766524165266501</v>
      </c>
      <c r="Q162">
        <v>0.35400945816259871</v>
      </c>
      <c r="R162">
        <v>0.39348462664298373</v>
      </c>
      <c r="S162">
        <v>0.42619389060370833</v>
      </c>
      <c r="T162">
        <v>0.45339241376939199</v>
      </c>
      <c r="U162">
        <v>0.4770017972584461</v>
      </c>
      <c r="V162">
        <v>0.4981644385231217</v>
      </c>
      <c r="W162">
        <v>0.51778709990919791</v>
      </c>
      <c r="X162">
        <v>0.5359498601497229</v>
      </c>
      <c r="Y162">
        <v>0.5532222298461853</v>
      </c>
      <c r="Z162">
        <v>0.56975461760932566</v>
      </c>
      <c r="AA162">
        <v>0.5854455895791798</v>
      </c>
      <c r="AB162">
        <v>0.60029804830380018</v>
      </c>
      <c r="AC162">
        <v>0.61447811875172331</v>
      </c>
      <c r="AD162">
        <v>0.62806067006069632</v>
      </c>
      <c r="AE162">
        <v>0.64108501108194016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SSP2-base-HDI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2024-10-30T11:27:08Z</dcterms:created>
  <dcterms:modified xsi:type="dcterms:W3CDTF">2024-10-30T11:28:27Z</dcterms:modified>
</cp:coreProperties>
</file>