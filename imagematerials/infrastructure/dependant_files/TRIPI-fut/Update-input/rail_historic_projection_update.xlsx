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F1133372-DEB0-44BF-80AD-2B58811E53FE}" xr6:coauthVersionLast="47" xr6:coauthVersionMax="47" xr10:uidLastSave="{00000000-0000-0000-0000-000000000000}"/>
  <bookViews>
    <workbookView xWindow="-120" yWindow="-120" windowWidth="38640" windowHeight="21120" xr2:uid="{B2F4227F-DC30-4E6B-9DFC-C046D7674C24}"/>
  </bookViews>
  <sheets>
    <sheet name="Vehicle intensity" sheetId="2" r:id="rId1"/>
    <sheet name="Sheet1" sheetId="5" r:id="rId2"/>
    <sheet name="Sheet2" sheetId="6" r:id="rId3"/>
    <sheet name="Sheet1 (2)" sheetId="1" r:id="rId4"/>
    <sheet name="Formula - Vehicle Intensity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0" i="5" l="1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B211" i="5"/>
  <c r="B212" i="5"/>
  <c r="B210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B208" i="5"/>
  <c r="B207" i="5"/>
  <c r="B206" i="5"/>
  <c r="Z135" i="5"/>
  <c r="AA135" i="5"/>
  <c r="Z136" i="5"/>
  <c r="AA136" i="5"/>
  <c r="Z137" i="5"/>
  <c r="AA137" i="5"/>
  <c r="Z138" i="5"/>
  <c r="AA138" i="5"/>
  <c r="Z139" i="5"/>
  <c r="AA139" i="5"/>
  <c r="Z140" i="5"/>
  <c r="AA140" i="5"/>
  <c r="Z141" i="5"/>
  <c r="AA141" i="5"/>
  <c r="Z142" i="5"/>
  <c r="AA142" i="5"/>
  <c r="Z143" i="5"/>
  <c r="AA143" i="5"/>
  <c r="Z144" i="5"/>
  <c r="AA144" i="5"/>
  <c r="Z145" i="5"/>
  <c r="AA145" i="5"/>
  <c r="Z146" i="5"/>
  <c r="AA146" i="5"/>
  <c r="Z147" i="5"/>
  <c r="AA147" i="5"/>
  <c r="Z148" i="5"/>
  <c r="AA148" i="5"/>
  <c r="Z149" i="5"/>
  <c r="AA149" i="5"/>
  <c r="Z150" i="5"/>
  <c r="AA150" i="5"/>
  <c r="Z151" i="5"/>
  <c r="AA151" i="5"/>
  <c r="Z152" i="5"/>
  <c r="AA152" i="5"/>
  <c r="Z153" i="5"/>
  <c r="AA153" i="5"/>
  <c r="Z154" i="5"/>
  <c r="AA154" i="5"/>
  <c r="Z155" i="5"/>
  <c r="AA155" i="5"/>
  <c r="Z156" i="5"/>
  <c r="AA156" i="5"/>
  <c r="Z157" i="5"/>
  <c r="AA157" i="5"/>
  <c r="Z158" i="5"/>
  <c r="AA158" i="5"/>
  <c r="Z159" i="5"/>
  <c r="AA159" i="5"/>
  <c r="Z160" i="5"/>
  <c r="AA160" i="5"/>
  <c r="Z161" i="5"/>
  <c r="AA161" i="5"/>
  <c r="Z162" i="5"/>
  <c r="AA162" i="5"/>
  <c r="Z163" i="5"/>
  <c r="AA163" i="5"/>
  <c r="Z164" i="5"/>
  <c r="AA164" i="5"/>
  <c r="Z165" i="5"/>
  <c r="AA165" i="5"/>
  <c r="Z166" i="5"/>
  <c r="AA166" i="5"/>
  <c r="Z167" i="5"/>
  <c r="AA167" i="5"/>
  <c r="Z168" i="5"/>
  <c r="AA168" i="5"/>
  <c r="Z169" i="5"/>
  <c r="AA169" i="5"/>
  <c r="Z170" i="5"/>
  <c r="AA170" i="5"/>
  <c r="Z171" i="5"/>
  <c r="AA171" i="5"/>
  <c r="Z172" i="5"/>
  <c r="AA172" i="5"/>
  <c r="Z173" i="5"/>
  <c r="AA173" i="5"/>
  <c r="Z174" i="5"/>
  <c r="AA174" i="5"/>
  <c r="Z175" i="5"/>
  <c r="AA175" i="5"/>
  <c r="Z176" i="5"/>
  <c r="AA176" i="5"/>
  <c r="Z177" i="5"/>
  <c r="AA177" i="5"/>
  <c r="Z178" i="5"/>
  <c r="AA178" i="5"/>
  <c r="Z179" i="5"/>
  <c r="AA179" i="5"/>
  <c r="Z180" i="5"/>
  <c r="AA180" i="5"/>
  <c r="Z181" i="5"/>
  <c r="AA181" i="5"/>
  <c r="Z182" i="5"/>
  <c r="AA182" i="5"/>
  <c r="Z183" i="5"/>
  <c r="AA183" i="5"/>
  <c r="Z184" i="5"/>
  <c r="AA184" i="5"/>
  <c r="Z185" i="5"/>
  <c r="AA185" i="5"/>
  <c r="Z186" i="5"/>
  <c r="AA186" i="5"/>
  <c r="Z187" i="5"/>
  <c r="AA187" i="5"/>
  <c r="Z188" i="5"/>
  <c r="AA188" i="5"/>
  <c r="Z189" i="5"/>
  <c r="AA189" i="5"/>
  <c r="Z190" i="5"/>
  <c r="AA190" i="5"/>
  <c r="Z191" i="5"/>
  <c r="AA191" i="5"/>
  <c r="Z192" i="5"/>
  <c r="AA192" i="5"/>
  <c r="Z193" i="5"/>
  <c r="AA193" i="5"/>
  <c r="Z194" i="5"/>
  <c r="AA194" i="5"/>
  <c r="Z195" i="5"/>
  <c r="AA195" i="5"/>
  <c r="Z196" i="5"/>
  <c r="AA196" i="5"/>
  <c r="Z197" i="5"/>
  <c r="AA197" i="5"/>
  <c r="Z198" i="5"/>
  <c r="AA198" i="5"/>
  <c r="Z199" i="5"/>
  <c r="AA199" i="5"/>
  <c r="Z200" i="5"/>
  <c r="AA200" i="5"/>
  <c r="Z201" i="5"/>
  <c r="AA201" i="5"/>
  <c r="Z202" i="5"/>
  <c r="AA202" i="5"/>
  <c r="Z203" i="5"/>
  <c r="AA203" i="5"/>
  <c r="Z204" i="5"/>
  <c r="AA20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136" i="5"/>
  <c r="B137" i="5"/>
  <c r="B138" i="5"/>
  <c r="B139" i="5"/>
  <c r="B140" i="5"/>
  <c r="B141" i="5"/>
  <c r="B135" i="5"/>
  <c r="K60" i="4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F59" i="4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J58" i="4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Y55" i="4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X55" i="4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W55" i="4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V55" i="4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U55" i="4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M55" i="4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H55" i="4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F55" i="4"/>
  <c r="F56" i="4" s="1"/>
  <c r="F57" i="4" s="1"/>
  <c r="F58" i="4" s="1"/>
  <c r="E55" i="4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C55" i="4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B55" i="4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AA54" i="4"/>
  <c r="AA55" i="4" s="1"/>
  <c r="AA56" i="4" s="1"/>
  <c r="AA57" i="4" s="1"/>
  <c r="AA58" i="4" s="1"/>
  <c r="AA59" i="4" s="1"/>
  <c r="AA60" i="4" s="1"/>
  <c r="AA61" i="4" s="1"/>
  <c r="AA62" i="4" s="1"/>
  <c r="AA63" i="4" s="1"/>
  <c r="AA64" i="4" s="1"/>
  <c r="AA65" i="4" s="1"/>
  <c r="AA66" i="4" s="1"/>
  <c r="AA67" i="4" s="1"/>
  <c r="AA68" i="4" s="1"/>
  <c r="AA69" i="4" s="1"/>
  <c r="AA70" i="4" s="1"/>
  <c r="AA71" i="4" s="1"/>
  <c r="AA72" i="4" s="1"/>
  <c r="AA73" i="4" s="1"/>
  <c r="AA74" i="4" s="1"/>
  <c r="AA75" i="4" s="1"/>
  <c r="AA76" i="4" s="1"/>
  <c r="AA77" i="4" s="1"/>
  <c r="AA78" i="4" s="1"/>
  <c r="AA79" i="4" s="1"/>
  <c r="AA80" i="4" s="1"/>
  <c r="AA81" i="4" s="1"/>
  <c r="AA82" i="4" s="1"/>
  <c r="AA83" i="4" s="1"/>
  <c r="AA84" i="4" s="1"/>
  <c r="AA85" i="4" s="1"/>
  <c r="AA86" i="4" s="1"/>
  <c r="AA87" i="4" s="1"/>
  <c r="AA88" i="4" s="1"/>
  <c r="AA89" i="4" s="1"/>
  <c r="AA90" i="4" s="1"/>
  <c r="AA91" i="4" s="1"/>
  <c r="AA92" i="4" s="1"/>
  <c r="AA93" i="4" s="1"/>
  <c r="AA94" i="4" s="1"/>
  <c r="AA95" i="4" s="1"/>
  <c r="AA96" i="4" s="1"/>
  <c r="AA97" i="4" s="1"/>
  <c r="AA98" i="4" s="1"/>
  <c r="AA99" i="4" s="1"/>
  <c r="AA100" i="4" s="1"/>
  <c r="AA101" i="4" s="1"/>
  <c r="AA102" i="4" s="1"/>
  <c r="AA103" i="4" s="1"/>
  <c r="AA104" i="4" s="1"/>
  <c r="AA105" i="4" s="1"/>
  <c r="AA106" i="4" s="1"/>
  <c r="AA107" i="4" s="1"/>
  <c r="AA108" i="4" s="1"/>
  <c r="AA109" i="4" s="1"/>
  <c r="AA110" i="4" s="1"/>
  <c r="AA111" i="4" s="1"/>
  <c r="AA112" i="4" s="1"/>
  <c r="AA113" i="4" s="1"/>
  <c r="AA114" i="4" s="1"/>
  <c r="AA115" i="4" s="1"/>
  <c r="AA116" i="4" s="1"/>
  <c r="AA117" i="4" s="1"/>
  <c r="AA118" i="4" s="1"/>
  <c r="AA119" i="4" s="1"/>
  <c r="AA120" i="4" s="1"/>
  <c r="AA121" i="4" s="1"/>
  <c r="AA122" i="4" s="1"/>
  <c r="AA123" i="4" s="1"/>
  <c r="AA124" i="4" s="1"/>
  <c r="AA125" i="4" s="1"/>
  <c r="AA126" i="4" s="1"/>
  <c r="AA127" i="4" s="1"/>
  <c r="AA128" i="4" s="1"/>
  <c r="AA129" i="4" s="1"/>
  <c r="AA130" i="4" s="1"/>
  <c r="AA131" i="4" s="1"/>
  <c r="AA132" i="4" s="1"/>
  <c r="Z54" i="4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Y54" i="4"/>
  <c r="X54" i="4"/>
  <c r="W54" i="4"/>
  <c r="V54" i="4"/>
  <c r="U54" i="4"/>
  <c r="T54" i="4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S54" i="4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R54" i="4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Q54" i="4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P54" i="4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O54" i="4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N54" i="4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M54" i="4"/>
  <c r="L54" i="4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K54" i="4"/>
  <c r="K55" i="4" s="1"/>
  <c r="K56" i="4" s="1"/>
  <c r="K57" i="4" s="1"/>
  <c r="K58" i="4" s="1"/>
  <c r="K59" i="4" s="1"/>
  <c r="J54" i="4"/>
  <c r="J55" i="4" s="1"/>
  <c r="J56" i="4" s="1"/>
  <c r="J57" i="4" s="1"/>
  <c r="I54" i="4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H54" i="4"/>
  <c r="G54" i="4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F54" i="4"/>
  <c r="E54" i="4"/>
  <c r="D54" i="4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C54" i="4"/>
  <c r="B54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AA36" i="4"/>
  <c r="AA35" i="4" s="1"/>
  <c r="AA34" i="4" s="1"/>
  <c r="AA33" i="4" s="1"/>
  <c r="AA32" i="4" s="1"/>
  <c r="AA31" i="4" s="1"/>
  <c r="AA30" i="4" s="1"/>
  <c r="AA29" i="4" s="1"/>
  <c r="AA28" i="4" s="1"/>
  <c r="AA27" i="4" s="1"/>
  <c r="AA26" i="4" s="1"/>
  <c r="AA25" i="4" s="1"/>
  <c r="AA24" i="4" s="1"/>
  <c r="AA23" i="4" s="1"/>
  <c r="AA22" i="4" s="1"/>
  <c r="AA21" i="4" s="1"/>
  <c r="AA20" i="4" s="1"/>
  <c r="AA19" i="4" s="1"/>
  <c r="AA18" i="4" s="1"/>
  <c r="AA17" i="4" s="1"/>
  <c r="AA16" i="4" s="1"/>
  <c r="AA15" i="4" s="1"/>
  <c r="AA14" i="4" s="1"/>
  <c r="AA13" i="4" s="1"/>
  <c r="AA12" i="4" s="1"/>
  <c r="AA11" i="4" s="1"/>
  <c r="AA10" i="4" s="1"/>
  <c r="AA9" i="4" s="1"/>
  <c r="AA8" i="4" s="1"/>
  <c r="AA7" i="4" s="1"/>
  <c r="AA6" i="4" s="1"/>
  <c r="AA5" i="4" s="1"/>
  <c r="AA4" i="4" s="1"/>
  <c r="AA3" i="4" s="1"/>
  <c r="Z36" i="4"/>
  <c r="Z35" i="4" s="1"/>
  <c r="Z34" i="4" s="1"/>
  <c r="Z33" i="4" s="1"/>
  <c r="Z32" i="4" s="1"/>
  <c r="Z31" i="4" s="1"/>
  <c r="Z30" i="4" s="1"/>
  <c r="Z29" i="4" s="1"/>
  <c r="Z28" i="4" s="1"/>
  <c r="Z27" i="4" s="1"/>
  <c r="Z26" i="4" s="1"/>
  <c r="Z25" i="4" s="1"/>
  <c r="Z24" i="4" s="1"/>
  <c r="Z23" i="4" s="1"/>
  <c r="Z22" i="4" s="1"/>
  <c r="Z21" i="4" s="1"/>
  <c r="Z20" i="4" s="1"/>
  <c r="Z19" i="4" s="1"/>
  <c r="Z18" i="4" s="1"/>
  <c r="Z17" i="4" s="1"/>
  <c r="Z16" i="4" s="1"/>
  <c r="Z15" i="4" s="1"/>
  <c r="Z14" i="4" s="1"/>
  <c r="Z13" i="4" s="1"/>
  <c r="Z12" i="4" s="1"/>
  <c r="Z11" i="4" s="1"/>
  <c r="Z10" i="4" s="1"/>
  <c r="Z9" i="4" s="1"/>
  <c r="Z8" i="4" s="1"/>
  <c r="Z7" i="4" s="1"/>
  <c r="Z6" i="4" s="1"/>
  <c r="Z5" i="4" s="1"/>
  <c r="Z4" i="4" s="1"/>
  <c r="Z3" i="4" s="1"/>
  <c r="Y36" i="4"/>
  <c r="Y35" i="4" s="1"/>
  <c r="Y34" i="4" s="1"/>
  <c r="Y33" i="4" s="1"/>
  <c r="Y32" i="4" s="1"/>
  <c r="Y31" i="4" s="1"/>
  <c r="Y30" i="4" s="1"/>
  <c r="Y29" i="4" s="1"/>
  <c r="Y28" i="4" s="1"/>
  <c r="Y27" i="4" s="1"/>
  <c r="Y26" i="4" s="1"/>
  <c r="Y25" i="4" s="1"/>
  <c r="Y24" i="4" s="1"/>
  <c r="Y23" i="4" s="1"/>
  <c r="Y22" i="4" s="1"/>
  <c r="Y21" i="4" s="1"/>
  <c r="Y20" i="4" s="1"/>
  <c r="Y19" i="4" s="1"/>
  <c r="Y18" i="4" s="1"/>
  <c r="Y17" i="4" s="1"/>
  <c r="Y16" i="4" s="1"/>
  <c r="Y15" i="4" s="1"/>
  <c r="Y14" i="4" s="1"/>
  <c r="Y13" i="4" s="1"/>
  <c r="Y12" i="4" s="1"/>
  <c r="Y11" i="4" s="1"/>
  <c r="Y10" i="4" s="1"/>
  <c r="Y9" i="4" s="1"/>
  <c r="Y8" i="4" s="1"/>
  <c r="Y7" i="4" s="1"/>
  <c r="Y6" i="4" s="1"/>
  <c r="Y5" i="4" s="1"/>
  <c r="Y4" i="4" s="1"/>
  <c r="Y3" i="4" s="1"/>
  <c r="X36" i="4"/>
  <c r="X35" i="4" s="1"/>
  <c r="X34" i="4" s="1"/>
  <c r="X33" i="4" s="1"/>
  <c r="X32" i="4" s="1"/>
  <c r="X31" i="4" s="1"/>
  <c r="X30" i="4" s="1"/>
  <c r="X29" i="4" s="1"/>
  <c r="X28" i="4" s="1"/>
  <c r="X27" i="4" s="1"/>
  <c r="X26" i="4" s="1"/>
  <c r="X25" i="4" s="1"/>
  <c r="X24" i="4" s="1"/>
  <c r="X23" i="4" s="1"/>
  <c r="X22" i="4" s="1"/>
  <c r="X21" i="4" s="1"/>
  <c r="X20" i="4" s="1"/>
  <c r="X19" i="4" s="1"/>
  <c r="X18" i="4" s="1"/>
  <c r="X17" i="4" s="1"/>
  <c r="X16" i="4" s="1"/>
  <c r="X15" i="4" s="1"/>
  <c r="X14" i="4" s="1"/>
  <c r="X13" i="4" s="1"/>
  <c r="X12" i="4" s="1"/>
  <c r="X11" i="4" s="1"/>
  <c r="X10" i="4" s="1"/>
  <c r="X9" i="4" s="1"/>
  <c r="X8" i="4" s="1"/>
  <c r="X7" i="4" s="1"/>
  <c r="X6" i="4" s="1"/>
  <c r="X5" i="4" s="1"/>
  <c r="X4" i="4" s="1"/>
  <c r="X3" i="4" s="1"/>
  <c r="W36" i="4"/>
  <c r="W35" i="4" s="1"/>
  <c r="W34" i="4" s="1"/>
  <c r="W33" i="4" s="1"/>
  <c r="W32" i="4" s="1"/>
  <c r="W31" i="4" s="1"/>
  <c r="W30" i="4" s="1"/>
  <c r="W29" i="4" s="1"/>
  <c r="W28" i="4" s="1"/>
  <c r="W27" i="4" s="1"/>
  <c r="W26" i="4" s="1"/>
  <c r="W25" i="4" s="1"/>
  <c r="W24" i="4" s="1"/>
  <c r="W23" i="4" s="1"/>
  <c r="W22" i="4" s="1"/>
  <c r="W21" i="4" s="1"/>
  <c r="W20" i="4" s="1"/>
  <c r="W19" i="4" s="1"/>
  <c r="W18" i="4" s="1"/>
  <c r="W17" i="4" s="1"/>
  <c r="W16" i="4" s="1"/>
  <c r="W15" i="4" s="1"/>
  <c r="W14" i="4" s="1"/>
  <c r="W13" i="4" s="1"/>
  <c r="W12" i="4" s="1"/>
  <c r="W11" i="4" s="1"/>
  <c r="W10" i="4" s="1"/>
  <c r="W9" i="4" s="1"/>
  <c r="W8" i="4" s="1"/>
  <c r="W7" i="4" s="1"/>
  <c r="W6" i="4" s="1"/>
  <c r="W5" i="4" s="1"/>
  <c r="W4" i="4" s="1"/>
  <c r="W3" i="4" s="1"/>
  <c r="V36" i="4"/>
  <c r="V35" i="4" s="1"/>
  <c r="V34" i="4" s="1"/>
  <c r="V33" i="4" s="1"/>
  <c r="V32" i="4" s="1"/>
  <c r="V31" i="4" s="1"/>
  <c r="V30" i="4" s="1"/>
  <c r="V29" i="4" s="1"/>
  <c r="V28" i="4" s="1"/>
  <c r="V27" i="4" s="1"/>
  <c r="V26" i="4" s="1"/>
  <c r="V25" i="4" s="1"/>
  <c r="V24" i="4" s="1"/>
  <c r="V23" i="4" s="1"/>
  <c r="V22" i="4" s="1"/>
  <c r="V21" i="4" s="1"/>
  <c r="V20" i="4" s="1"/>
  <c r="V19" i="4" s="1"/>
  <c r="V18" i="4" s="1"/>
  <c r="V17" i="4" s="1"/>
  <c r="V16" i="4" s="1"/>
  <c r="V15" i="4" s="1"/>
  <c r="V14" i="4" s="1"/>
  <c r="V13" i="4" s="1"/>
  <c r="V12" i="4" s="1"/>
  <c r="V11" i="4" s="1"/>
  <c r="V10" i="4" s="1"/>
  <c r="V9" i="4" s="1"/>
  <c r="V8" i="4" s="1"/>
  <c r="V7" i="4" s="1"/>
  <c r="V6" i="4" s="1"/>
  <c r="V5" i="4" s="1"/>
  <c r="V4" i="4" s="1"/>
  <c r="V3" i="4" s="1"/>
  <c r="U36" i="4"/>
  <c r="T36" i="4"/>
  <c r="T35" i="4" s="1"/>
  <c r="T34" i="4" s="1"/>
  <c r="T33" i="4" s="1"/>
  <c r="T32" i="4" s="1"/>
  <c r="T31" i="4" s="1"/>
  <c r="T30" i="4" s="1"/>
  <c r="T29" i="4" s="1"/>
  <c r="T28" i="4" s="1"/>
  <c r="T27" i="4" s="1"/>
  <c r="T26" i="4" s="1"/>
  <c r="T25" i="4" s="1"/>
  <c r="T24" i="4" s="1"/>
  <c r="T23" i="4" s="1"/>
  <c r="T22" i="4" s="1"/>
  <c r="T21" i="4" s="1"/>
  <c r="T20" i="4" s="1"/>
  <c r="T19" i="4" s="1"/>
  <c r="T18" i="4" s="1"/>
  <c r="T17" i="4" s="1"/>
  <c r="T16" i="4" s="1"/>
  <c r="T15" i="4" s="1"/>
  <c r="T14" i="4" s="1"/>
  <c r="T13" i="4" s="1"/>
  <c r="T12" i="4" s="1"/>
  <c r="T11" i="4" s="1"/>
  <c r="T10" i="4" s="1"/>
  <c r="T9" i="4" s="1"/>
  <c r="T8" i="4" s="1"/>
  <c r="T7" i="4" s="1"/>
  <c r="T6" i="4" s="1"/>
  <c r="T5" i="4" s="1"/>
  <c r="T4" i="4" s="1"/>
  <c r="T3" i="4" s="1"/>
  <c r="S36" i="4"/>
  <c r="S35" i="4" s="1"/>
  <c r="S34" i="4" s="1"/>
  <c r="S33" i="4" s="1"/>
  <c r="S32" i="4" s="1"/>
  <c r="S31" i="4" s="1"/>
  <c r="S30" i="4" s="1"/>
  <c r="S29" i="4" s="1"/>
  <c r="S28" i="4" s="1"/>
  <c r="S27" i="4" s="1"/>
  <c r="S26" i="4" s="1"/>
  <c r="S25" i="4" s="1"/>
  <c r="S24" i="4" s="1"/>
  <c r="S23" i="4" s="1"/>
  <c r="S22" i="4" s="1"/>
  <c r="S21" i="4" s="1"/>
  <c r="S20" i="4" s="1"/>
  <c r="S19" i="4" s="1"/>
  <c r="S18" i="4" s="1"/>
  <c r="S17" i="4" s="1"/>
  <c r="S16" i="4" s="1"/>
  <c r="S15" i="4" s="1"/>
  <c r="S14" i="4" s="1"/>
  <c r="S13" i="4" s="1"/>
  <c r="S12" i="4" s="1"/>
  <c r="S11" i="4" s="1"/>
  <c r="S10" i="4" s="1"/>
  <c r="S9" i="4" s="1"/>
  <c r="S8" i="4" s="1"/>
  <c r="S7" i="4" s="1"/>
  <c r="S6" i="4" s="1"/>
  <c r="S5" i="4" s="1"/>
  <c r="S4" i="4" s="1"/>
  <c r="S3" i="4" s="1"/>
  <c r="R36" i="4"/>
  <c r="R35" i="4" s="1"/>
  <c r="R34" i="4" s="1"/>
  <c r="R33" i="4" s="1"/>
  <c r="R32" i="4" s="1"/>
  <c r="R31" i="4" s="1"/>
  <c r="R30" i="4" s="1"/>
  <c r="R29" i="4" s="1"/>
  <c r="R28" i="4" s="1"/>
  <c r="R27" i="4" s="1"/>
  <c r="R26" i="4" s="1"/>
  <c r="R25" i="4" s="1"/>
  <c r="R24" i="4" s="1"/>
  <c r="R23" i="4" s="1"/>
  <c r="R22" i="4" s="1"/>
  <c r="R21" i="4" s="1"/>
  <c r="R20" i="4" s="1"/>
  <c r="R19" i="4" s="1"/>
  <c r="R18" i="4" s="1"/>
  <c r="R17" i="4" s="1"/>
  <c r="R16" i="4" s="1"/>
  <c r="R15" i="4" s="1"/>
  <c r="R14" i="4" s="1"/>
  <c r="R13" i="4" s="1"/>
  <c r="R12" i="4" s="1"/>
  <c r="R11" i="4" s="1"/>
  <c r="R10" i="4" s="1"/>
  <c r="R9" i="4" s="1"/>
  <c r="R8" i="4" s="1"/>
  <c r="R7" i="4" s="1"/>
  <c r="R6" i="4" s="1"/>
  <c r="R5" i="4" s="1"/>
  <c r="R4" i="4" s="1"/>
  <c r="R3" i="4" s="1"/>
  <c r="Q36" i="4"/>
  <c r="Q35" i="4" s="1"/>
  <c r="Q34" i="4" s="1"/>
  <c r="Q33" i="4" s="1"/>
  <c r="Q32" i="4" s="1"/>
  <c r="Q31" i="4" s="1"/>
  <c r="Q30" i="4" s="1"/>
  <c r="Q29" i="4" s="1"/>
  <c r="Q28" i="4" s="1"/>
  <c r="Q27" i="4" s="1"/>
  <c r="Q26" i="4" s="1"/>
  <c r="Q25" i="4" s="1"/>
  <c r="Q24" i="4" s="1"/>
  <c r="Q23" i="4" s="1"/>
  <c r="Q22" i="4" s="1"/>
  <c r="Q21" i="4" s="1"/>
  <c r="Q20" i="4" s="1"/>
  <c r="Q19" i="4" s="1"/>
  <c r="Q18" i="4" s="1"/>
  <c r="Q17" i="4" s="1"/>
  <c r="Q16" i="4" s="1"/>
  <c r="Q15" i="4" s="1"/>
  <c r="Q14" i="4" s="1"/>
  <c r="Q13" i="4" s="1"/>
  <c r="Q12" i="4" s="1"/>
  <c r="Q11" i="4" s="1"/>
  <c r="Q10" i="4" s="1"/>
  <c r="Q9" i="4" s="1"/>
  <c r="Q8" i="4" s="1"/>
  <c r="Q7" i="4" s="1"/>
  <c r="Q6" i="4" s="1"/>
  <c r="Q5" i="4" s="1"/>
  <c r="Q4" i="4" s="1"/>
  <c r="Q3" i="4" s="1"/>
  <c r="P36" i="4"/>
  <c r="P35" i="4" s="1"/>
  <c r="O36" i="4"/>
  <c r="O35" i="4" s="1"/>
  <c r="O34" i="4" s="1"/>
  <c r="O33" i="4" s="1"/>
  <c r="O32" i="4" s="1"/>
  <c r="O31" i="4" s="1"/>
  <c r="O30" i="4" s="1"/>
  <c r="O29" i="4" s="1"/>
  <c r="O28" i="4" s="1"/>
  <c r="O27" i="4" s="1"/>
  <c r="O26" i="4" s="1"/>
  <c r="O25" i="4" s="1"/>
  <c r="O24" i="4" s="1"/>
  <c r="O23" i="4" s="1"/>
  <c r="O22" i="4" s="1"/>
  <c r="O21" i="4" s="1"/>
  <c r="O20" i="4" s="1"/>
  <c r="O19" i="4" s="1"/>
  <c r="O18" i="4" s="1"/>
  <c r="O17" i="4" s="1"/>
  <c r="O16" i="4" s="1"/>
  <c r="O15" i="4" s="1"/>
  <c r="O14" i="4" s="1"/>
  <c r="O13" i="4" s="1"/>
  <c r="O12" i="4" s="1"/>
  <c r="O11" i="4" s="1"/>
  <c r="O10" i="4" s="1"/>
  <c r="O9" i="4" s="1"/>
  <c r="O8" i="4" s="1"/>
  <c r="O7" i="4" s="1"/>
  <c r="O6" i="4" s="1"/>
  <c r="O5" i="4" s="1"/>
  <c r="O4" i="4" s="1"/>
  <c r="O3" i="4" s="1"/>
  <c r="N36" i="4"/>
  <c r="M36" i="4"/>
  <c r="M35" i="4" s="1"/>
  <c r="L36" i="4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21" i="4" s="1"/>
  <c r="L20" i="4" s="1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 s="1"/>
  <c r="L3" i="4" s="1"/>
  <c r="K36" i="4"/>
  <c r="K35" i="4" s="1"/>
  <c r="J36" i="4"/>
  <c r="I36" i="4"/>
  <c r="H36" i="4"/>
  <c r="H35" i="4" s="1"/>
  <c r="H34" i="4" s="1"/>
  <c r="H33" i="4" s="1"/>
  <c r="H32" i="4" s="1"/>
  <c r="H31" i="4" s="1"/>
  <c r="H30" i="4" s="1"/>
  <c r="H29" i="4" s="1"/>
  <c r="H28" i="4" s="1"/>
  <c r="H27" i="4" s="1"/>
  <c r="H26" i="4" s="1"/>
  <c r="H25" i="4" s="1"/>
  <c r="H24" i="4" s="1"/>
  <c r="H23" i="4" s="1"/>
  <c r="H22" i="4" s="1"/>
  <c r="H21" i="4" s="1"/>
  <c r="H20" i="4" s="1"/>
  <c r="H19" i="4" s="1"/>
  <c r="H18" i="4" s="1"/>
  <c r="H17" i="4" s="1"/>
  <c r="H16" i="4" s="1"/>
  <c r="H15" i="4" s="1"/>
  <c r="H14" i="4" s="1"/>
  <c r="H13" i="4" s="1"/>
  <c r="H12" i="4" s="1"/>
  <c r="H11" i="4" s="1"/>
  <c r="H10" i="4" s="1"/>
  <c r="H9" i="4" s="1"/>
  <c r="H8" i="4" s="1"/>
  <c r="H7" i="4" s="1"/>
  <c r="H6" i="4" s="1"/>
  <c r="H5" i="4" s="1"/>
  <c r="H4" i="4" s="1"/>
  <c r="H3" i="4" s="1"/>
  <c r="G36" i="4"/>
  <c r="G35" i="4" s="1"/>
  <c r="G34" i="4" s="1"/>
  <c r="G33" i="4" s="1"/>
  <c r="F36" i="4"/>
  <c r="F35" i="4" s="1"/>
  <c r="F34" i="4" s="1"/>
  <c r="F33" i="4" s="1"/>
  <c r="E36" i="4"/>
  <c r="E35" i="4" s="1"/>
  <c r="E34" i="4" s="1"/>
  <c r="E33" i="4" s="1"/>
  <c r="E32" i="4" s="1"/>
  <c r="E31" i="4" s="1"/>
  <c r="E30" i="4" s="1"/>
  <c r="E29" i="4" s="1"/>
  <c r="E28" i="4" s="1"/>
  <c r="E27" i="4" s="1"/>
  <c r="E26" i="4" s="1"/>
  <c r="E25" i="4" s="1"/>
  <c r="E24" i="4" s="1"/>
  <c r="E23" i="4" s="1"/>
  <c r="E22" i="4" s="1"/>
  <c r="E21" i="4" s="1"/>
  <c r="E20" i="4" s="1"/>
  <c r="E19" i="4" s="1"/>
  <c r="E18" i="4" s="1"/>
  <c r="E17" i="4" s="1"/>
  <c r="E16" i="4" s="1"/>
  <c r="E15" i="4" s="1"/>
  <c r="E14" i="4" s="1"/>
  <c r="E13" i="4" s="1"/>
  <c r="E12" i="4" s="1"/>
  <c r="E11" i="4" s="1"/>
  <c r="E10" i="4" s="1"/>
  <c r="E9" i="4" s="1"/>
  <c r="E8" i="4" s="1"/>
  <c r="E7" i="4" s="1"/>
  <c r="E6" i="4" s="1"/>
  <c r="E5" i="4" s="1"/>
  <c r="E4" i="4" s="1"/>
  <c r="E3" i="4" s="1"/>
  <c r="D36" i="4"/>
  <c r="D35" i="4" s="1"/>
  <c r="D34" i="4" s="1"/>
  <c r="D33" i="4" s="1"/>
  <c r="D32" i="4" s="1"/>
  <c r="D31" i="4" s="1"/>
  <c r="D30" i="4" s="1"/>
  <c r="D29" i="4" s="1"/>
  <c r="D28" i="4" s="1"/>
  <c r="D27" i="4" s="1"/>
  <c r="D26" i="4" s="1"/>
  <c r="D25" i="4" s="1"/>
  <c r="D24" i="4" s="1"/>
  <c r="D23" i="4" s="1"/>
  <c r="D22" i="4" s="1"/>
  <c r="D21" i="4" s="1"/>
  <c r="D20" i="4" s="1"/>
  <c r="D19" i="4" s="1"/>
  <c r="D18" i="4" s="1"/>
  <c r="D17" i="4" s="1"/>
  <c r="D16" i="4" s="1"/>
  <c r="D15" i="4" s="1"/>
  <c r="D14" i="4" s="1"/>
  <c r="D13" i="4" s="1"/>
  <c r="D12" i="4" s="1"/>
  <c r="D11" i="4" s="1"/>
  <c r="D10" i="4" s="1"/>
  <c r="D9" i="4" s="1"/>
  <c r="D8" i="4" s="1"/>
  <c r="D7" i="4" s="1"/>
  <c r="D6" i="4" s="1"/>
  <c r="D5" i="4" s="1"/>
  <c r="D4" i="4" s="1"/>
  <c r="D3" i="4" s="1"/>
  <c r="C36" i="4"/>
  <c r="C35" i="4" s="1"/>
  <c r="C34" i="4" s="1"/>
  <c r="C33" i="4" s="1"/>
  <c r="C32" i="4" s="1"/>
  <c r="C31" i="4" s="1"/>
  <c r="C30" i="4" s="1"/>
  <c r="C29" i="4" s="1"/>
  <c r="C28" i="4" s="1"/>
  <c r="C27" i="4" s="1"/>
  <c r="C26" i="4" s="1"/>
  <c r="C25" i="4" s="1"/>
  <c r="C24" i="4" s="1"/>
  <c r="C23" i="4" s="1"/>
  <c r="C22" i="4" s="1"/>
  <c r="C21" i="4" s="1"/>
  <c r="C20" i="4" s="1"/>
  <c r="C19" i="4" s="1"/>
  <c r="C18" i="4" s="1"/>
  <c r="C17" i="4" s="1"/>
  <c r="C16" i="4" s="1"/>
  <c r="C15" i="4" s="1"/>
  <c r="C14" i="4" s="1"/>
  <c r="C13" i="4" s="1"/>
  <c r="C12" i="4" s="1"/>
  <c r="C11" i="4" s="1"/>
  <c r="C10" i="4" s="1"/>
  <c r="C9" i="4" s="1"/>
  <c r="C8" i="4" s="1"/>
  <c r="C7" i="4" s="1"/>
  <c r="C6" i="4" s="1"/>
  <c r="C5" i="4" s="1"/>
  <c r="C4" i="4" s="1"/>
  <c r="C3" i="4" s="1"/>
  <c r="B36" i="4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B7" i="4" s="1"/>
  <c r="B6" i="4" s="1"/>
  <c r="B5" i="4" s="1"/>
  <c r="B4" i="4" s="1"/>
  <c r="B3" i="4" s="1"/>
  <c r="U35" i="4"/>
  <c r="U34" i="4" s="1"/>
  <c r="U33" i="4" s="1"/>
  <c r="U32" i="4" s="1"/>
  <c r="U31" i="4" s="1"/>
  <c r="U30" i="4" s="1"/>
  <c r="U29" i="4" s="1"/>
  <c r="U28" i="4" s="1"/>
  <c r="U27" i="4" s="1"/>
  <c r="U26" i="4" s="1"/>
  <c r="U25" i="4" s="1"/>
  <c r="U24" i="4" s="1"/>
  <c r="U23" i="4" s="1"/>
  <c r="U22" i="4" s="1"/>
  <c r="U21" i="4" s="1"/>
  <c r="U20" i="4" s="1"/>
  <c r="U19" i="4" s="1"/>
  <c r="U18" i="4" s="1"/>
  <c r="U17" i="4" s="1"/>
  <c r="U16" i="4" s="1"/>
  <c r="U15" i="4" s="1"/>
  <c r="U14" i="4" s="1"/>
  <c r="U13" i="4" s="1"/>
  <c r="U12" i="4" s="1"/>
  <c r="U11" i="4" s="1"/>
  <c r="U10" i="4" s="1"/>
  <c r="U9" i="4" s="1"/>
  <c r="U8" i="4" s="1"/>
  <c r="U7" i="4" s="1"/>
  <c r="U6" i="4" s="1"/>
  <c r="U5" i="4" s="1"/>
  <c r="U4" i="4" s="1"/>
  <c r="U3" i="4" s="1"/>
  <c r="N35" i="4"/>
  <c r="N34" i="4" s="1"/>
  <c r="N33" i="4" s="1"/>
  <c r="N32" i="4" s="1"/>
  <c r="N31" i="4" s="1"/>
  <c r="N30" i="4" s="1"/>
  <c r="N29" i="4" s="1"/>
  <c r="N28" i="4" s="1"/>
  <c r="N27" i="4" s="1"/>
  <c r="N26" i="4" s="1"/>
  <c r="N25" i="4" s="1"/>
  <c r="N24" i="4" s="1"/>
  <c r="N23" i="4" s="1"/>
  <c r="N22" i="4" s="1"/>
  <c r="N21" i="4" s="1"/>
  <c r="N20" i="4" s="1"/>
  <c r="N19" i="4" s="1"/>
  <c r="N18" i="4" s="1"/>
  <c r="N17" i="4" s="1"/>
  <c r="N16" i="4" s="1"/>
  <c r="N15" i="4" s="1"/>
  <c r="N14" i="4" s="1"/>
  <c r="N13" i="4" s="1"/>
  <c r="N12" i="4" s="1"/>
  <c r="N11" i="4" s="1"/>
  <c r="N10" i="4" s="1"/>
  <c r="N9" i="4" s="1"/>
  <c r="N8" i="4" s="1"/>
  <c r="N7" i="4" s="1"/>
  <c r="N6" i="4" s="1"/>
  <c r="N5" i="4" s="1"/>
  <c r="N4" i="4" s="1"/>
  <c r="N3" i="4" s="1"/>
  <c r="J35" i="4"/>
  <c r="J34" i="4" s="1"/>
  <c r="J33" i="4" s="1"/>
  <c r="J32" i="4" s="1"/>
  <c r="J31" i="4" s="1"/>
  <c r="J30" i="4" s="1"/>
  <c r="J29" i="4" s="1"/>
  <c r="J28" i="4" s="1"/>
  <c r="J27" i="4" s="1"/>
  <c r="J26" i="4" s="1"/>
  <c r="J25" i="4" s="1"/>
  <c r="J24" i="4" s="1"/>
  <c r="J23" i="4" s="1"/>
  <c r="J22" i="4" s="1"/>
  <c r="J21" i="4" s="1"/>
  <c r="J20" i="4" s="1"/>
  <c r="J19" i="4" s="1"/>
  <c r="J18" i="4" s="1"/>
  <c r="J17" i="4" s="1"/>
  <c r="J16" i="4" s="1"/>
  <c r="J15" i="4" s="1"/>
  <c r="J14" i="4" s="1"/>
  <c r="J13" i="4" s="1"/>
  <c r="J12" i="4" s="1"/>
  <c r="J11" i="4" s="1"/>
  <c r="J10" i="4" s="1"/>
  <c r="J9" i="4" s="1"/>
  <c r="J8" i="4" s="1"/>
  <c r="J7" i="4" s="1"/>
  <c r="J6" i="4" s="1"/>
  <c r="J5" i="4" s="1"/>
  <c r="J4" i="4" s="1"/>
  <c r="J3" i="4" s="1"/>
  <c r="I35" i="4"/>
  <c r="P34" i="4"/>
  <c r="P33" i="4" s="1"/>
  <c r="P32" i="4" s="1"/>
  <c r="P31" i="4" s="1"/>
  <c r="P30" i="4" s="1"/>
  <c r="P29" i="4" s="1"/>
  <c r="P28" i="4" s="1"/>
  <c r="P27" i="4" s="1"/>
  <c r="P26" i="4" s="1"/>
  <c r="P25" i="4" s="1"/>
  <c r="P24" i="4" s="1"/>
  <c r="P23" i="4" s="1"/>
  <c r="P22" i="4" s="1"/>
  <c r="P21" i="4" s="1"/>
  <c r="P20" i="4" s="1"/>
  <c r="P19" i="4" s="1"/>
  <c r="P18" i="4" s="1"/>
  <c r="P17" i="4" s="1"/>
  <c r="P16" i="4" s="1"/>
  <c r="P15" i="4" s="1"/>
  <c r="P14" i="4" s="1"/>
  <c r="P13" i="4" s="1"/>
  <c r="P12" i="4" s="1"/>
  <c r="P11" i="4" s="1"/>
  <c r="P10" i="4" s="1"/>
  <c r="P9" i="4" s="1"/>
  <c r="P8" i="4" s="1"/>
  <c r="P7" i="4" s="1"/>
  <c r="P6" i="4" s="1"/>
  <c r="P5" i="4" s="1"/>
  <c r="P4" i="4" s="1"/>
  <c r="P3" i="4" s="1"/>
  <c r="M34" i="4"/>
  <c r="K34" i="4"/>
  <c r="I34" i="4"/>
  <c r="I33" i="4" s="1"/>
  <c r="I32" i="4" s="1"/>
  <c r="I31" i="4" s="1"/>
  <c r="I30" i="4" s="1"/>
  <c r="I29" i="4" s="1"/>
  <c r="I28" i="4" s="1"/>
  <c r="I27" i="4" s="1"/>
  <c r="I26" i="4" s="1"/>
  <c r="I25" i="4" s="1"/>
  <c r="I24" i="4" s="1"/>
  <c r="I23" i="4" s="1"/>
  <c r="I22" i="4" s="1"/>
  <c r="I21" i="4" s="1"/>
  <c r="I20" i="4" s="1"/>
  <c r="I19" i="4" s="1"/>
  <c r="I18" i="4" s="1"/>
  <c r="I17" i="4" s="1"/>
  <c r="I16" i="4" s="1"/>
  <c r="I15" i="4" s="1"/>
  <c r="I14" i="4" s="1"/>
  <c r="I13" i="4" s="1"/>
  <c r="I12" i="4" s="1"/>
  <c r="I11" i="4" s="1"/>
  <c r="I10" i="4" s="1"/>
  <c r="I9" i="4" s="1"/>
  <c r="I8" i="4" s="1"/>
  <c r="I7" i="4" s="1"/>
  <c r="I6" i="4" s="1"/>
  <c r="I5" i="4" s="1"/>
  <c r="I4" i="4" s="1"/>
  <c r="I3" i="4" s="1"/>
  <c r="M33" i="4"/>
  <c r="M32" i="4" s="1"/>
  <c r="M31" i="4" s="1"/>
  <c r="M30" i="4" s="1"/>
  <c r="M29" i="4" s="1"/>
  <c r="M28" i="4" s="1"/>
  <c r="M27" i="4" s="1"/>
  <c r="M26" i="4" s="1"/>
  <c r="M25" i="4" s="1"/>
  <c r="M24" i="4" s="1"/>
  <c r="M23" i="4" s="1"/>
  <c r="M22" i="4" s="1"/>
  <c r="M21" i="4" s="1"/>
  <c r="M20" i="4" s="1"/>
  <c r="M19" i="4" s="1"/>
  <c r="M18" i="4" s="1"/>
  <c r="M17" i="4" s="1"/>
  <c r="M16" i="4" s="1"/>
  <c r="M15" i="4" s="1"/>
  <c r="M14" i="4" s="1"/>
  <c r="M13" i="4" s="1"/>
  <c r="M12" i="4" s="1"/>
  <c r="M11" i="4" s="1"/>
  <c r="M10" i="4" s="1"/>
  <c r="M9" i="4" s="1"/>
  <c r="M8" i="4" s="1"/>
  <c r="M7" i="4" s="1"/>
  <c r="M6" i="4" s="1"/>
  <c r="M5" i="4" s="1"/>
  <c r="M4" i="4" s="1"/>
  <c r="M3" i="4" s="1"/>
  <c r="K33" i="4"/>
  <c r="K32" i="4"/>
  <c r="K31" i="4" s="1"/>
  <c r="K30" i="4" s="1"/>
  <c r="K29" i="4" s="1"/>
  <c r="K28" i="4" s="1"/>
  <c r="K27" i="4" s="1"/>
  <c r="K26" i="4" s="1"/>
  <c r="K25" i="4" s="1"/>
  <c r="K24" i="4" s="1"/>
  <c r="K23" i="4" s="1"/>
  <c r="K22" i="4" s="1"/>
  <c r="K21" i="4" s="1"/>
  <c r="K20" i="4" s="1"/>
  <c r="K19" i="4" s="1"/>
  <c r="K18" i="4" s="1"/>
  <c r="K17" i="4" s="1"/>
  <c r="K16" i="4" s="1"/>
  <c r="K15" i="4" s="1"/>
  <c r="K14" i="4" s="1"/>
  <c r="K13" i="4" s="1"/>
  <c r="K12" i="4" s="1"/>
  <c r="K11" i="4" s="1"/>
  <c r="K10" i="4" s="1"/>
  <c r="K9" i="4" s="1"/>
  <c r="K8" i="4" s="1"/>
  <c r="K7" i="4" s="1"/>
  <c r="K6" i="4" s="1"/>
  <c r="K5" i="4" s="1"/>
  <c r="K4" i="4" s="1"/>
  <c r="K3" i="4" s="1"/>
  <c r="G32" i="4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s="1"/>
  <c r="G12" i="4" s="1"/>
  <c r="G11" i="4" s="1"/>
  <c r="G10" i="4" s="1"/>
  <c r="G9" i="4" s="1"/>
  <c r="G8" i="4" s="1"/>
  <c r="G7" i="4" s="1"/>
  <c r="G6" i="4" s="1"/>
  <c r="G5" i="4" s="1"/>
  <c r="G4" i="4" s="1"/>
  <c r="G3" i="4" s="1"/>
  <c r="F32" i="4"/>
  <c r="F31" i="4" s="1"/>
  <c r="F30" i="4" s="1"/>
  <c r="F29" i="4" s="1"/>
  <c r="F28" i="4" s="1"/>
  <c r="F27" i="4" s="1"/>
  <c r="F26" i="4" s="1"/>
  <c r="F25" i="4" s="1"/>
  <c r="F24" i="4" s="1"/>
  <c r="F23" i="4" s="1"/>
  <c r="F22" i="4" s="1"/>
  <c r="F21" i="4" s="1"/>
  <c r="F20" i="4" s="1"/>
  <c r="F19" i="4" s="1"/>
  <c r="F18" i="4" s="1"/>
  <c r="F17" i="4" s="1"/>
  <c r="F16" i="4" s="1"/>
  <c r="F15" i="4" s="1"/>
  <c r="F14" i="4" s="1"/>
  <c r="F13" i="4" s="1"/>
  <c r="F12" i="4" s="1"/>
  <c r="F11" i="4" s="1"/>
  <c r="F10" i="4" s="1"/>
  <c r="F9" i="4" s="1"/>
  <c r="F8" i="4" s="1"/>
  <c r="F7" i="4" s="1"/>
  <c r="F6" i="4" s="1"/>
  <c r="F5" i="4" s="1"/>
  <c r="F4" i="4" s="1"/>
  <c r="F3" i="4" s="1"/>
</calcChain>
</file>

<file path=xl/sharedStrings.xml><?xml version="1.0" encoding="utf-8"?>
<sst xmlns="http://schemas.openxmlformats.org/spreadsheetml/2006/main" count="164" uniqueCount="35">
  <si>
    <t>Japan</t>
  </si>
  <si>
    <t>Oceania</t>
  </si>
  <si>
    <t>years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</si>
  <si>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</si>
  <si>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</si>
  <si>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</si>
  <si>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</si>
  <si>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</si>
  <si>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</si>
  <si>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</si>
  <si>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</si>
  <si>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</si>
  <si>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Korea</t>
  </si>
  <si>
    <t>Mexico</t>
  </si>
  <si>
    <t>Middle East</t>
  </si>
  <si>
    <t>Northern Africa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</si>
  <si>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</si>
  <si>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</si>
  <si>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</si>
  <si>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</si>
  <si>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</si>
  <si>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</si>
  <si>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</si>
  <si>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</si>
  <si>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</si>
  <si>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</si>
  <si>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</si>
  <si>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America</t>
  </si>
  <si>
    <t>Asia Pacific &amp; Middle East (Russia and Turkey excluded)</t>
  </si>
  <si>
    <t>Europe (including Turkey)</t>
  </si>
  <si>
    <t>Africa</t>
  </si>
  <si>
    <t>Russia</t>
  </si>
  <si>
    <t>2030-2050</t>
  </si>
  <si>
    <t>2051-2070</t>
  </si>
  <si>
    <t>2071-2100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</si>
</sst>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rail_history\rail_history_and_projection.xlsx" TargetMode="External"/><Relationship Id="rId1" Type="http://schemas.openxmlformats.org/officeDocument/2006/relationships/externalLinkPath" Target="/Academic/Chapter2/rail_history/rail_history_and_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1"/>
      <sheetName val="Table 2"/>
      <sheetName val="Sheet3"/>
      <sheetName val="Sheet1"/>
      <sheetName val="Sheet4"/>
      <sheetName val="Sheet1 (2)"/>
      <sheetName val="Table 3"/>
      <sheetName val="Sheet1 (3)"/>
      <sheetName val="Rail_VKM"/>
      <sheetName val="Sheet5"/>
    </sheetNames>
    <sheetDataSet>
      <sheetData sheetId="0"/>
      <sheetData sheetId="1">
        <row r="55">
          <cell r="B55" t="str">
            <v>Africa</v>
          </cell>
          <cell r="C55" t="str">
            <v>America</v>
          </cell>
          <cell r="D55" t="str">
            <v>Asia Pacific &amp; Middle East (Russia and Turkey excluded)</v>
          </cell>
          <cell r="E55" t="str">
            <v>Russia</v>
          </cell>
          <cell r="F55" t="str">
            <v>Europe (including Turkey)</v>
          </cell>
          <cell r="H55" t="str">
            <v>Africa</v>
          </cell>
          <cell r="I55" t="str">
            <v>America</v>
          </cell>
          <cell r="J55" t="str">
            <v>Asia Pacific &amp; Middle East (Russia and Turkey excluded)</v>
          </cell>
          <cell r="K55" t="str">
            <v>Russia</v>
          </cell>
          <cell r="L55" t="str">
            <v>Europe (including Turkey)</v>
          </cell>
        </row>
        <row r="56">
          <cell r="B56">
            <v>2.6567068444824544</v>
          </cell>
          <cell r="C56">
            <v>8.3096896854309037</v>
          </cell>
          <cell r="D56">
            <v>16.862892785248711</v>
          </cell>
          <cell r="E56">
            <v>23.050348240039398</v>
          </cell>
          <cell r="F56">
            <v>4.1469118791870265</v>
          </cell>
          <cell r="H56">
            <v>-6.1459591493834634E-4</v>
          </cell>
          <cell r="I56">
            <v>7.7047726689079294E-3</v>
          </cell>
          <cell r="J56">
            <v>9.0353622498417704E-3</v>
          </cell>
          <cell r="K56">
            <v>1.9920058984087337E-2</v>
          </cell>
          <cell r="L56">
            <v>3.812996581102477E-4</v>
          </cell>
        </row>
        <row r="57">
          <cell r="B57">
            <v>2.6636704518256522</v>
          </cell>
          <cell r="C57">
            <v>8.7148460240427301</v>
          </cell>
          <cell r="D57">
            <v>17.65029157094893</v>
          </cell>
          <cell r="E57">
            <v>23.734656659886372</v>
          </cell>
          <cell r="F57">
            <v>4.1422083493054416</v>
          </cell>
        </row>
        <row r="58">
          <cell r="B58">
            <v>2.6553932838101821</v>
          </cell>
          <cell r="C58">
            <v>9.3054554985989029</v>
          </cell>
          <cell r="D58">
            <v>18.815252326322032</v>
          </cell>
          <cell r="E58">
            <v>24.968833941327578</v>
          </cell>
          <cell r="F58">
            <v>4.3546079107423665</v>
          </cell>
        </row>
        <row r="59">
          <cell r="B59">
            <v>2.6672779948435799</v>
          </cell>
          <cell r="C59">
            <v>9.3060639692174938</v>
          </cell>
          <cell r="D59">
            <v>20.111274538358479</v>
          </cell>
          <cell r="E59">
            <v>26.906794362983913</v>
          </cell>
          <cell r="F59">
            <v>4.5405776413162133</v>
          </cell>
        </row>
        <row r="60">
          <cell r="B60">
            <v>2.6555954676315996</v>
          </cell>
          <cell r="C60">
            <v>8.8381019676051746</v>
          </cell>
          <cell r="D60">
            <v>21.049175855731679</v>
          </cell>
          <cell r="E60">
            <v>26.904617696081885</v>
          </cell>
          <cell r="F60">
            <v>4.5303617830763443</v>
          </cell>
        </row>
        <row r="61">
          <cell r="B61">
            <v>2.6269473245454074</v>
          </cell>
          <cell r="C61">
            <v>8.2368164115470979</v>
          </cell>
          <cell r="D61">
            <v>21.258792069292479</v>
          </cell>
          <cell r="E61">
            <v>23.648550087358263</v>
          </cell>
          <cell r="F61">
            <v>3.9544970680440579</v>
          </cell>
        </row>
        <row r="62">
          <cell r="B62">
            <v>2.691537547807699</v>
          </cell>
          <cell r="C62">
            <v>8.9479835426922882</v>
          </cell>
          <cell r="D62">
            <v>22.530634085125666</v>
          </cell>
          <cell r="E62">
            <v>25.20978520846035</v>
          </cell>
          <cell r="F62">
            <v>4.1766301165310065</v>
          </cell>
        </row>
        <row r="63">
          <cell r="B63">
            <v>2.8056523823716164</v>
          </cell>
          <cell r="C63">
            <v>9.4207001564989348</v>
          </cell>
          <cell r="D63">
            <v>23.459787898202041</v>
          </cell>
          <cell r="E63">
            <v>26.625378672240096</v>
          </cell>
          <cell r="F63">
            <v>4.451550160007046</v>
          </cell>
        </row>
        <row r="64">
          <cell r="B64">
            <v>2.883315699413509</v>
          </cell>
          <cell r="C64">
            <v>9.5597666554133305</v>
          </cell>
          <cell r="D64">
            <v>23.304039789960317</v>
          </cell>
          <cell r="E64">
            <v>27.79866820124959</v>
          </cell>
          <cell r="F64">
            <v>4.3973740798637868</v>
          </cell>
        </row>
        <row r="65">
          <cell r="B65">
            <v>2.9134505834129989</v>
          </cell>
          <cell r="C65">
            <v>9.860706505859584</v>
          </cell>
          <cell r="D65">
            <v>23.402419534432845</v>
          </cell>
          <cell r="E65">
            <v>27.381769990383038</v>
          </cell>
          <cell r="F65">
            <v>4.3322037507526474</v>
          </cell>
        </row>
        <row r="66">
          <cell r="B66">
            <v>2.890236294158933</v>
          </cell>
          <cell r="C66">
            <v>10.424591861298097</v>
          </cell>
          <cell r="D66">
            <v>22.512637432475373</v>
          </cell>
          <cell r="E66">
            <v>28.505605985973308</v>
          </cell>
          <cell r="F66">
            <v>4.3425757756207943</v>
          </cell>
        </row>
        <row r="67">
          <cell r="B67">
            <v>3.0170903458419565</v>
          </cell>
          <cell r="C67">
            <v>10.073602874799354</v>
          </cell>
          <cell r="D67">
            <v>20.593866697532182</v>
          </cell>
          <cell r="E67">
            <v>28.46038094344491</v>
          </cell>
          <cell r="F67">
            <v>4.308153846725058</v>
          </cell>
        </row>
        <row r="68">
          <cell r="B68">
            <v>2.8607752581599293</v>
          </cell>
          <cell r="C68">
            <v>9.4641762373809613</v>
          </cell>
          <cell r="D68">
            <v>20.666597592619286</v>
          </cell>
          <cell r="E68">
            <v>28.916040995607613</v>
          </cell>
          <cell r="F68">
            <v>4.3615264640960074</v>
          </cell>
        </row>
        <row r="69">
          <cell r="B69">
            <v>2.8917774075652498</v>
          </cell>
          <cell r="C69">
            <v>9.9753735085898221</v>
          </cell>
          <cell r="D69">
            <v>21.173919479411261</v>
          </cell>
          <cell r="E69">
            <v>30.566321818925712</v>
          </cell>
          <cell r="F69">
            <v>4.5163785072080396</v>
          </cell>
        </row>
        <row r="70">
          <cell r="B70">
            <v>2.8945519354797349</v>
          </cell>
          <cell r="C70">
            <v>10.355460821911427</v>
          </cell>
          <cell r="D70">
            <v>22.125207788099278</v>
          </cell>
          <cell r="E70">
            <v>31.84954336299722</v>
          </cell>
          <cell r="F70">
            <v>4.5119244233515143</v>
          </cell>
        </row>
        <row r="71">
          <cell r="B71">
            <v>2.8840278750971424</v>
          </cell>
          <cell r="C71">
            <v>9.7174717963552215</v>
          </cell>
          <cell r="D71">
            <v>22.410748110738794</v>
          </cell>
          <cell r="E71">
            <v>31.994163333099397</v>
          </cell>
          <cell r="F71">
            <v>4.492375903686221</v>
          </cell>
        </row>
        <row r="72">
          <cell r="B72">
            <v>2.6690915113449605</v>
          </cell>
          <cell r="C72">
            <v>8.8300457429029109</v>
          </cell>
          <cell r="D72">
            <v>18.876844665689287</v>
          </cell>
          <cell r="E72">
            <v>30.663339372333585</v>
          </cell>
          <cell r="F72">
            <v>3.3932714574186256</v>
          </cell>
        </row>
        <row r="73">
          <cell r="B73">
            <v>2.4807562457798786</v>
          </cell>
          <cell r="C73">
            <v>9.3519555190128809</v>
          </cell>
          <cell r="D73">
            <v>17.840608871330534</v>
          </cell>
          <cell r="E73">
            <v>32.053785186570657</v>
          </cell>
          <cell r="F73">
            <v>3.6975899147200595</v>
          </cell>
        </row>
        <row r="74">
          <cell r="B74">
            <v>2.5993678438142629</v>
          </cell>
          <cell r="C74">
            <v>9.2929593960723835</v>
          </cell>
          <cell r="D74">
            <v>19.191807906560786</v>
          </cell>
          <cell r="E74">
            <v>32.256113812774714</v>
          </cell>
          <cell r="F74">
            <v>3.9427651450811259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1224-2CB9-4FB0-A598-D7177E433114}">
  <dimension ref="A1:AA131"/>
  <sheetViews>
    <sheetView showGridLines="0" tabSelected="1" topLeftCell="A31" workbookViewId="0">
      <selection activeCell="A35" sqref="A35:AA53"/>
    </sheetView>
  </sheetViews>
  <sheetFormatPr defaultRowHeight="12.75" x14ac:dyDescent="0.2"/>
  <sheetData>
    <row r="1" spans="1:2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>
        <v>1971</v>
      </c>
      <c r="B2" s="3">
        <v>6.4377571396663429</v>
      </c>
      <c r="C2" s="3">
        <v>6.4377571396663429</v>
      </c>
      <c r="D2" s="3">
        <v>6.4377571396663429</v>
      </c>
      <c r="E2" s="3">
        <v>12.498309159692159</v>
      </c>
      <c r="F2" s="3">
        <v>4.0950488380330023</v>
      </c>
      <c r="G2" s="3">
        <v>12.498309159692159</v>
      </c>
      <c r="H2" s="3">
        <v>2.7111225186272332</v>
      </c>
      <c r="I2" s="3">
        <v>12.498309159692159</v>
      </c>
      <c r="J2" s="3">
        <v>12.498309159692159</v>
      </c>
      <c r="K2" s="3">
        <v>12.498309159692159</v>
      </c>
      <c r="L2" s="3">
        <v>12.498309159692159</v>
      </c>
      <c r="M2" s="3">
        <v>6.4377571396663429</v>
      </c>
      <c r="N2" s="3">
        <v>12.498309159692159</v>
      </c>
      <c r="O2" s="3">
        <v>2.7111225186272332</v>
      </c>
      <c r="P2" s="3">
        <v>12.498309159692159</v>
      </c>
      <c r="Q2" s="3">
        <v>6.4377571396663429</v>
      </c>
      <c r="R2" s="3">
        <v>12.498309159692159</v>
      </c>
      <c r="S2" s="3">
        <v>2.7111225186272332</v>
      </c>
      <c r="T2" s="3">
        <v>11.866072971469379</v>
      </c>
      <c r="U2" s="3">
        <v>2.7111225186272332</v>
      </c>
      <c r="V2" s="3">
        <v>12.498309159692159</v>
      </c>
      <c r="W2" s="3">
        <v>4.0950488380330023</v>
      </c>
      <c r="X2" s="3">
        <v>6.4377571396663429</v>
      </c>
      <c r="Y2" s="3">
        <v>4.0950488380330023</v>
      </c>
      <c r="Z2" s="3">
        <v>2.7111225186272332</v>
      </c>
      <c r="AA2" s="3">
        <v>4.0950488380330023</v>
      </c>
    </row>
    <row r="3" spans="1:27" x14ac:dyDescent="0.2">
      <c r="A3" s="1">
        <v>1972</v>
      </c>
      <c r="B3" s="3">
        <v>6.4877437302419896</v>
      </c>
      <c r="C3" s="3">
        <v>6.4877437302419896</v>
      </c>
      <c r="D3" s="3">
        <v>6.4877437302419896</v>
      </c>
      <c r="E3" s="3">
        <v>12.61226554770689</v>
      </c>
      <c r="F3" s="3">
        <v>4.0966108743588059</v>
      </c>
      <c r="G3" s="3">
        <v>12.61226554770689</v>
      </c>
      <c r="H3" s="3">
        <v>2.709457297240649</v>
      </c>
      <c r="I3" s="3">
        <v>12.61226554770689</v>
      </c>
      <c r="J3" s="3">
        <v>12.61226554770689</v>
      </c>
      <c r="K3" s="3">
        <v>12.61226554770689</v>
      </c>
      <c r="L3" s="3">
        <v>12.61226554770689</v>
      </c>
      <c r="M3" s="3">
        <v>6.4877437302419896</v>
      </c>
      <c r="N3" s="3">
        <v>12.61226554770689</v>
      </c>
      <c r="O3" s="3">
        <v>2.709457297240649</v>
      </c>
      <c r="P3" s="3">
        <v>12.61226554770689</v>
      </c>
      <c r="Q3" s="3">
        <v>6.4877437302419896</v>
      </c>
      <c r="R3" s="3">
        <v>12.61226554770689</v>
      </c>
      <c r="S3" s="3">
        <v>2.709457297240649</v>
      </c>
      <c r="T3" s="3">
        <v>12.107250107750874</v>
      </c>
      <c r="U3" s="3">
        <v>2.709457297240649</v>
      </c>
      <c r="V3" s="3">
        <v>12.61226554770689</v>
      </c>
      <c r="W3" s="3">
        <v>4.0966108743588059</v>
      </c>
      <c r="X3" s="3">
        <v>6.4877437302419896</v>
      </c>
      <c r="Y3" s="3">
        <v>4.0966108743588059</v>
      </c>
      <c r="Z3" s="3">
        <v>2.709457297240649</v>
      </c>
      <c r="AA3" s="3">
        <v>4.0966108743588059</v>
      </c>
    </row>
    <row r="4" spans="1:27" x14ac:dyDescent="0.2">
      <c r="A4" s="1">
        <v>1973</v>
      </c>
      <c r="B4" s="3">
        <v>6.5381184465550897</v>
      </c>
      <c r="C4" s="3">
        <v>6.5381184465550897</v>
      </c>
      <c r="D4" s="3">
        <v>6.5381184465550897</v>
      </c>
      <c r="E4" s="3">
        <v>12.727260960937228</v>
      </c>
      <c r="F4" s="3">
        <v>4.0981735065157165</v>
      </c>
      <c r="G4" s="3">
        <v>12.727260960937228</v>
      </c>
      <c r="H4" s="3">
        <v>2.707793098663712</v>
      </c>
      <c r="I4" s="3">
        <v>12.727260960937228</v>
      </c>
      <c r="J4" s="3">
        <v>12.727260960937228</v>
      </c>
      <c r="K4" s="3">
        <v>12.727260960937228</v>
      </c>
      <c r="L4" s="3">
        <v>12.727260960937228</v>
      </c>
      <c r="M4" s="3">
        <v>6.5381184465550897</v>
      </c>
      <c r="N4" s="3">
        <v>12.727260960937228</v>
      </c>
      <c r="O4" s="3">
        <v>2.707793098663712</v>
      </c>
      <c r="P4" s="3">
        <v>12.727260960937228</v>
      </c>
      <c r="Q4" s="3">
        <v>6.5381184465550897</v>
      </c>
      <c r="R4" s="3">
        <v>12.727260960937228</v>
      </c>
      <c r="S4" s="3">
        <v>2.707793098663712</v>
      </c>
      <c r="T4" s="3">
        <v>12.35332915313109</v>
      </c>
      <c r="U4" s="3">
        <v>2.707793098663712</v>
      </c>
      <c r="V4" s="3">
        <v>12.727260960937228</v>
      </c>
      <c r="W4" s="3">
        <v>4.0981735065157165</v>
      </c>
      <c r="X4" s="3">
        <v>6.5381184465550897</v>
      </c>
      <c r="Y4" s="3">
        <v>4.0981735065157165</v>
      </c>
      <c r="Z4" s="3">
        <v>2.707793098663712</v>
      </c>
      <c r="AA4" s="3">
        <v>4.0981735065157165</v>
      </c>
    </row>
    <row r="5" spans="1:27" x14ac:dyDescent="0.2">
      <c r="A5" s="1">
        <v>1974</v>
      </c>
      <c r="B5" s="3">
        <v>6.5888843022456278</v>
      </c>
      <c r="C5" s="3">
        <v>6.5888843022456278</v>
      </c>
      <c r="D5" s="3">
        <v>6.5888843022456278</v>
      </c>
      <c r="E5" s="3">
        <v>12.843304872949485</v>
      </c>
      <c r="F5" s="3">
        <v>4.0997367347310121</v>
      </c>
      <c r="G5" s="3">
        <v>12.843304872949485</v>
      </c>
      <c r="H5" s="3">
        <v>2.7061299222681936</v>
      </c>
      <c r="I5" s="3">
        <v>12.843304872949485</v>
      </c>
      <c r="J5" s="3">
        <v>12.843304872949485</v>
      </c>
      <c r="K5" s="3">
        <v>12.843304872949485</v>
      </c>
      <c r="L5" s="3">
        <v>12.843304872949485</v>
      </c>
      <c r="M5" s="3">
        <v>6.5888843022456278</v>
      </c>
      <c r="N5" s="3">
        <v>12.843304872949485</v>
      </c>
      <c r="O5" s="3">
        <v>2.7061299222681936</v>
      </c>
      <c r="P5" s="3">
        <v>12.843304872949485</v>
      </c>
      <c r="Q5" s="3">
        <v>6.5888843022456278</v>
      </c>
      <c r="R5" s="3">
        <v>12.843304872949485</v>
      </c>
      <c r="S5" s="3">
        <v>2.7061299222681936</v>
      </c>
      <c r="T5" s="3">
        <v>12.604409738583275</v>
      </c>
      <c r="U5" s="3">
        <v>2.7061299222681936</v>
      </c>
      <c r="V5" s="3">
        <v>12.843304872949485</v>
      </c>
      <c r="W5" s="3">
        <v>4.0997367347310121</v>
      </c>
      <c r="X5" s="3">
        <v>6.5888843022456278</v>
      </c>
      <c r="Y5" s="3">
        <v>4.0997367347310121</v>
      </c>
      <c r="Z5" s="3">
        <v>2.7061299222681936</v>
      </c>
      <c r="AA5" s="3">
        <v>4.0997367347310121</v>
      </c>
    </row>
    <row r="6" spans="1:27" x14ac:dyDescent="0.2">
      <c r="A6" s="1">
        <v>1975</v>
      </c>
      <c r="B6" s="3">
        <v>6.6400443343532896</v>
      </c>
      <c r="C6" s="3">
        <v>6.6400443343532896</v>
      </c>
      <c r="D6" s="3">
        <v>6.6400443343532896</v>
      </c>
      <c r="E6" s="3">
        <v>12.960406843687531</v>
      </c>
      <c r="F6" s="3">
        <v>4.1013005592320546</v>
      </c>
      <c r="G6" s="3">
        <v>12.960406843687531</v>
      </c>
      <c r="H6" s="3">
        <v>2.7044677674262507</v>
      </c>
      <c r="I6" s="3">
        <v>12.960406843687531</v>
      </c>
      <c r="J6" s="3">
        <v>12.960406843687531</v>
      </c>
      <c r="K6" s="3">
        <v>12.960406843687531</v>
      </c>
      <c r="L6" s="3">
        <v>12.960406843687531</v>
      </c>
      <c r="M6" s="3">
        <v>6.6400443343532896</v>
      </c>
      <c r="N6" s="3">
        <v>12.960406843687531</v>
      </c>
      <c r="O6" s="3">
        <v>2.7044677674262507</v>
      </c>
      <c r="P6" s="3">
        <v>12.960406843687531</v>
      </c>
      <c r="Q6" s="3">
        <v>6.6400443343532896</v>
      </c>
      <c r="R6" s="3">
        <v>12.960406843687531</v>
      </c>
      <c r="S6" s="3">
        <v>2.7044677674262507</v>
      </c>
      <c r="T6" s="3">
        <v>12.860593520073511</v>
      </c>
      <c r="U6" s="3">
        <v>2.7044677674262507</v>
      </c>
      <c r="V6" s="3">
        <v>12.960406843687531</v>
      </c>
      <c r="W6" s="3">
        <v>4.1013005592320546</v>
      </c>
      <c r="X6" s="3">
        <v>6.6400443343532896</v>
      </c>
      <c r="Y6" s="3">
        <v>4.1013005592320546</v>
      </c>
      <c r="Z6" s="3">
        <v>2.7044677674262507</v>
      </c>
      <c r="AA6" s="3">
        <v>4.1013005592320546</v>
      </c>
    </row>
    <row r="7" spans="1:27" x14ac:dyDescent="0.2">
      <c r="A7" s="1">
        <v>1976</v>
      </c>
      <c r="B7" s="3">
        <v>6.6916016034991497</v>
      </c>
      <c r="C7" s="3">
        <v>6.6916016034991497</v>
      </c>
      <c r="D7" s="3">
        <v>6.6916016034991497</v>
      </c>
      <c r="E7" s="3">
        <v>13.078576520260359</v>
      </c>
      <c r="F7" s="3">
        <v>4.1028649802462951</v>
      </c>
      <c r="G7" s="3">
        <v>13.078576520260359</v>
      </c>
      <c r="H7" s="3">
        <v>2.7028066335104266</v>
      </c>
      <c r="I7" s="3">
        <v>13.078576520260359</v>
      </c>
      <c r="J7" s="3">
        <v>13.078576520260359</v>
      </c>
      <c r="K7" s="3">
        <v>13.078576520260359</v>
      </c>
      <c r="L7" s="3">
        <v>13.078576520260359</v>
      </c>
      <c r="M7" s="3">
        <v>6.6916016034991497</v>
      </c>
      <c r="N7" s="3">
        <v>13.078576520260359</v>
      </c>
      <c r="O7" s="3">
        <v>2.7028066335104266</v>
      </c>
      <c r="P7" s="3">
        <v>13.078576520260359</v>
      </c>
      <c r="Q7" s="3">
        <v>6.6916016034991497</v>
      </c>
      <c r="R7" s="3">
        <v>13.078576520260359</v>
      </c>
      <c r="S7" s="3">
        <v>2.7028066335104266</v>
      </c>
      <c r="T7" s="3">
        <v>13.121984219718568</v>
      </c>
      <c r="U7" s="3">
        <v>2.7028066335104266</v>
      </c>
      <c r="V7" s="3">
        <v>13.078576520260359</v>
      </c>
      <c r="W7" s="3">
        <v>4.1028649802462951</v>
      </c>
      <c r="X7" s="3">
        <v>6.6916016034991497</v>
      </c>
      <c r="Y7" s="3">
        <v>4.1028649802462951</v>
      </c>
      <c r="Z7" s="3">
        <v>2.7028066335104266</v>
      </c>
      <c r="AA7" s="3">
        <v>4.1028649802462951</v>
      </c>
    </row>
    <row r="8" spans="1:27" x14ac:dyDescent="0.2">
      <c r="A8" s="1">
        <v>1977</v>
      </c>
      <c r="B8" s="3">
        <v>6.7435591940687729</v>
      </c>
      <c r="C8" s="3">
        <v>6.7435591940687729</v>
      </c>
      <c r="D8" s="3">
        <v>6.7435591940687729</v>
      </c>
      <c r="E8" s="3">
        <v>13.197823637736837</v>
      </c>
      <c r="F8" s="3">
        <v>4.1044299980012706</v>
      </c>
      <c r="G8" s="3">
        <v>13.197823637736837</v>
      </c>
      <c r="H8" s="3">
        <v>2.70114651989365</v>
      </c>
      <c r="I8" s="3">
        <v>13.197823637736837</v>
      </c>
      <c r="J8" s="3">
        <v>13.197823637736837</v>
      </c>
      <c r="K8" s="3">
        <v>13.197823637736837</v>
      </c>
      <c r="L8" s="3">
        <v>13.197823637736837</v>
      </c>
      <c r="M8" s="3">
        <v>6.7435591940687729</v>
      </c>
      <c r="N8" s="3">
        <v>13.197823637736837</v>
      </c>
      <c r="O8" s="3">
        <v>2.70114651989365</v>
      </c>
      <c r="P8" s="3">
        <v>13.197823637736837</v>
      </c>
      <c r="Q8" s="3">
        <v>6.7435591940687729</v>
      </c>
      <c r="R8" s="3">
        <v>13.197823637736837</v>
      </c>
      <c r="S8" s="3">
        <v>2.70114651989365</v>
      </c>
      <c r="T8" s="3">
        <v>13.388687667780275</v>
      </c>
      <c r="U8" s="3">
        <v>2.70114651989365</v>
      </c>
      <c r="V8" s="3">
        <v>13.197823637736837</v>
      </c>
      <c r="W8" s="3">
        <v>4.1044299980012706</v>
      </c>
      <c r="X8" s="3">
        <v>6.7435591940687729</v>
      </c>
      <c r="Y8" s="3">
        <v>4.1044299980012706</v>
      </c>
      <c r="Z8" s="3">
        <v>2.70114651989365</v>
      </c>
      <c r="AA8" s="3">
        <v>4.1044299980012706</v>
      </c>
    </row>
    <row r="9" spans="1:27" x14ac:dyDescent="0.2">
      <c r="A9" s="1">
        <v>1978</v>
      </c>
      <c r="B9" s="3">
        <v>6.7959202143967357</v>
      </c>
      <c r="C9" s="3">
        <v>6.7959202143967357</v>
      </c>
      <c r="D9" s="3">
        <v>6.7959202143967357</v>
      </c>
      <c r="E9" s="3">
        <v>13.318158019947701</v>
      </c>
      <c r="F9" s="3">
        <v>4.1059956127246044</v>
      </c>
      <c r="G9" s="3">
        <v>13.318158019947701</v>
      </c>
      <c r="H9" s="3">
        <v>2.6994874259492341</v>
      </c>
      <c r="I9" s="3">
        <v>13.318158019947701</v>
      </c>
      <c r="J9" s="3">
        <v>13.318158019947701</v>
      </c>
      <c r="K9" s="3">
        <v>13.318158019947701</v>
      </c>
      <c r="L9" s="3">
        <v>13.318158019947701</v>
      </c>
      <c r="M9" s="3">
        <v>6.7959202143967357</v>
      </c>
      <c r="N9" s="3">
        <v>13.318158019947701</v>
      </c>
      <c r="O9" s="3">
        <v>2.6994874259492341</v>
      </c>
      <c r="P9" s="3">
        <v>13.318158019947701</v>
      </c>
      <c r="Q9" s="3">
        <v>6.7959202143967357</v>
      </c>
      <c r="R9" s="3">
        <v>13.318158019947701</v>
      </c>
      <c r="S9" s="3">
        <v>2.6994874259492341</v>
      </c>
      <c r="T9" s="3">
        <v>13.66081184551342</v>
      </c>
      <c r="U9" s="3">
        <v>2.6994874259492341</v>
      </c>
      <c r="V9" s="3">
        <v>13.318158019947701</v>
      </c>
      <c r="W9" s="3">
        <v>4.1059956127246044</v>
      </c>
      <c r="X9" s="3">
        <v>6.7959202143967357</v>
      </c>
      <c r="Y9" s="3">
        <v>4.1059956127246044</v>
      </c>
      <c r="Z9" s="3">
        <v>2.6994874259492341</v>
      </c>
      <c r="AA9" s="3">
        <v>4.1059956127246044</v>
      </c>
    </row>
    <row r="10" spans="1:27" x14ac:dyDescent="0.2">
      <c r="A10" s="1">
        <v>1979</v>
      </c>
      <c r="B10" s="3">
        <v>6.8486877969525786</v>
      </c>
      <c r="C10" s="3">
        <v>6.8486877969525786</v>
      </c>
      <c r="D10" s="3">
        <v>6.8486877969525786</v>
      </c>
      <c r="E10" s="3">
        <v>13.439589580294864</v>
      </c>
      <c r="F10" s="3">
        <v>4.1075618246440078</v>
      </c>
      <c r="G10" s="3">
        <v>13.439589580294864</v>
      </c>
      <c r="H10" s="3">
        <v>2.6978293510508773</v>
      </c>
      <c r="I10" s="3">
        <v>13.439589580294864</v>
      </c>
      <c r="J10" s="3">
        <v>13.439589580294864</v>
      </c>
      <c r="K10" s="3">
        <v>13.439589580294864</v>
      </c>
      <c r="L10" s="3">
        <v>13.439589580294864</v>
      </c>
      <c r="M10" s="3">
        <v>6.8486877969525786</v>
      </c>
      <c r="N10" s="3">
        <v>13.439589580294864</v>
      </c>
      <c r="O10" s="3">
        <v>2.6978293510508773</v>
      </c>
      <c r="P10" s="3">
        <v>13.439589580294864</v>
      </c>
      <c r="Q10" s="3">
        <v>6.8486877969525786</v>
      </c>
      <c r="R10" s="3">
        <v>13.439589580294864</v>
      </c>
      <c r="S10" s="3">
        <v>2.6978293510508773</v>
      </c>
      <c r="T10" s="3">
        <v>13.938466928884552</v>
      </c>
      <c r="U10" s="3">
        <v>2.6978293510508773</v>
      </c>
      <c r="V10" s="3">
        <v>13.439589580294864</v>
      </c>
      <c r="W10" s="3">
        <v>4.1075618246440078</v>
      </c>
      <c r="X10" s="3">
        <v>6.8486877969525786</v>
      </c>
      <c r="Y10" s="3">
        <v>4.1075618246440078</v>
      </c>
      <c r="Z10" s="3">
        <v>2.6978293510508773</v>
      </c>
      <c r="AA10" s="3">
        <v>4.1075618246440078</v>
      </c>
    </row>
    <row r="11" spans="1:27" x14ac:dyDescent="0.2">
      <c r="A11" s="1">
        <v>1980</v>
      </c>
      <c r="B11" s="3">
        <v>6.9018650985282077</v>
      </c>
      <c r="C11" s="3">
        <v>6.9018650985282077</v>
      </c>
      <c r="D11" s="3">
        <v>6.9018650985282077</v>
      </c>
      <c r="E11" s="3">
        <v>13.562128322568107</v>
      </c>
      <c r="F11" s="3">
        <v>4.1091286339872779</v>
      </c>
      <c r="G11" s="3">
        <v>13.562128322568107</v>
      </c>
      <c r="H11" s="3">
        <v>2.6961722945726629</v>
      </c>
      <c r="I11" s="3">
        <v>13.562128322568107</v>
      </c>
      <c r="J11" s="3">
        <v>13.562128322568107</v>
      </c>
      <c r="K11" s="3">
        <v>13.562128322568107</v>
      </c>
      <c r="L11" s="3">
        <v>13.562128322568107</v>
      </c>
      <c r="M11" s="3">
        <v>6.9018650985282077</v>
      </c>
      <c r="N11" s="3">
        <v>13.562128322568107</v>
      </c>
      <c r="O11" s="3">
        <v>2.6961722945726629</v>
      </c>
      <c r="P11" s="3">
        <v>13.562128322568107</v>
      </c>
      <c r="Q11" s="3">
        <v>6.9018650985282077</v>
      </c>
      <c r="R11" s="3">
        <v>13.562128322568107</v>
      </c>
      <c r="S11" s="3">
        <v>2.6961722945726629</v>
      </c>
      <c r="T11" s="3">
        <v>14.221765333179333</v>
      </c>
      <c r="U11" s="3">
        <v>2.6961722945726629</v>
      </c>
      <c r="V11" s="3">
        <v>13.562128322568107</v>
      </c>
      <c r="W11" s="3">
        <v>4.1091286339872779</v>
      </c>
      <c r="X11" s="3">
        <v>6.9018650985282077</v>
      </c>
      <c r="Y11" s="3">
        <v>4.1091286339872779</v>
      </c>
      <c r="Z11" s="3">
        <v>2.6961722945726629</v>
      </c>
      <c r="AA11" s="3">
        <v>4.1091286339872779</v>
      </c>
    </row>
    <row r="12" spans="1:27" x14ac:dyDescent="0.2">
      <c r="A12" s="1">
        <v>1981</v>
      </c>
      <c r="B12" s="3">
        <v>6.9554553004267463</v>
      </c>
      <c r="C12" s="3">
        <v>6.9554553004267463</v>
      </c>
      <c r="D12" s="3">
        <v>6.9554553004267463</v>
      </c>
      <c r="E12" s="3">
        <v>13.685784341769205</v>
      </c>
      <c r="F12" s="3">
        <v>4.1106960409823001</v>
      </c>
      <c r="G12" s="3">
        <v>13.685784341769205</v>
      </c>
      <c r="H12" s="3">
        <v>2.6945162558890585</v>
      </c>
      <c r="I12" s="3">
        <v>13.685784341769205</v>
      </c>
      <c r="J12" s="3">
        <v>13.685784341769205</v>
      </c>
      <c r="K12" s="3">
        <v>13.685784341769205</v>
      </c>
      <c r="L12" s="3">
        <v>13.685784341769205</v>
      </c>
      <c r="M12" s="3">
        <v>6.9554553004267463</v>
      </c>
      <c r="N12" s="3">
        <v>13.685784341769205</v>
      </c>
      <c r="O12" s="3">
        <v>2.6945162558890585</v>
      </c>
      <c r="P12" s="3">
        <v>13.685784341769205</v>
      </c>
      <c r="Q12" s="3">
        <v>6.9554553004267463</v>
      </c>
      <c r="R12" s="3">
        <v>13.685784341769205</v>
      </c>
      <c r="S12" s="3">
        <v>2.6945162558890585</v>
      </c>
      <c r="T12" s="3">
        <v>14.51082175851656</v>
      </c>
      <c r="U12" s="3">
        <v>2.6945162558890585</v>
      </c>
      <c r="V12" s="3">
        <v>13.685784341769205</v>
      </c>
      <c r="W12" s="3">
        <v>4.1106960409823001</v>
      </c>
      <c r="X12" s="3">
        <v>6.9554553004267463</v>
      </c>
      <c r="Y12" s="3">
        <v>4.1106960409823001</v>
      </c>
      <c r="Z12" s="3">
        <v>2.6945162558890585</v>
      </c>
      <c r="AA12" s="3">
        <v>4.1106960409823001</v>
      </c>
    </row>
    <row r="13" spans="1:27" x14ac:dyDescent="0.2">
      <c r="A13" s="1">
        <v>1982</v>
      </c>
      <c r="B13" s="3">
        <v>7.0094616086528543</v>
      </c>
      <c r="C13" s="3">
        <v>7.0094616086528543</v>
      </c>
      <c r="D13" s="3">
        <v>7.0094616086528543</v>
      </c>
      <c r="E13" s="3">
        <v>13.810567824943581</v>
      </c>
      <c r="F13" s="3">
        <v>4.112264045857045</v>
      </c>
      <c r="G13" s="3">
        <v>13.810567824943581</v>
      </c>
      <c r="H13" s="3">
        <v>2.6928612343749156</v>
      </c>
      <c r="I13" s="3">
        <v>13.810567824943581</v>
      </c>
      <c r="J13" s="3">
        <v>13.810567824943581</v>
      </c>
      <c r="K13" s="3">
        <v>13.810567824943581</v>
      </c>
      <c r="L13" s="3">
        <v>13.810567824943581</v>
      </c>
      <c r="M13" s="3">
        <v>7.0094616086528543</v>
      </c>
      <c r="N13" s="3">
        <v>13.810567824943581</v>
      </c>
      <c r="O13" s="3">
        <v>2.6928612343749156</v>
      </c>
      <c r="P13" s="3">
        <v>13.810567824943581</v>
      </c>
      <c r="Q13" s="3">
        <v>7.0094616086528543</v>
      </c>
      <c r="R13" s="3">
        <v>13.810567824943581</v>
      </c>
      <c r="S13" s="3">
        <v>2.6928612343749156</v>
      </c>
      <c r="T13" s="3">
        <v>14.805753236287243</v>
      </c>
      <c r="U13" s="3">
        <v>2.6928612343749156</v>
      </c>
      <c r="V13" s="3">
        <v>13.810567824943581</v>
      </c>
      <c r="W13" s="3">
        <v>4.112264045857045</v>
      </c>
      <c r="X13" s="3">
        <v>7.0094616086528543</v>
      </c>
      <c r="Y13" s="3">
        <v>4.112264045857045</v>
      </c>
      <c r="Z13" s="3">
        <v>2.6928612343749156</v>
      </c>
      <c r="AA13" s="3">
        <v>4.112264045857045</v>
      </c>
    </row>
    <row r="14" spans="1:27" x14ac:dyDescent="0.2">
      <c r="A14" s="1">
        <v>1983</v>
      </c>
      <c r="B14" s="3">
        <v>7.0638872541045261</v>
      </c>
      <c r="C14" s="3">
        <v>7.0638872541045261</v>
      </c>
      <c r="D14" s="3">
        <v>7.0638872541045261</v>
      </c>
      <c r="E14" s="3">
        <v>13.936489052019532</v>
      </c>
      <c r="F14" s="3">
        <v>4.11383264883957</v>
      </c>
      <c r="G14" s="3">
        <v>13.936489052019532</v>
      </c>
      <c r="H14" s="3">
        <v>2.6912072294054705</v>
      </c>
      <c r="I14" s="3">
        <v>13.936489052019532</v>
      </c>
      <c r="J14" s="3">
        <v>13.936489052019532</v>
      </c>
      <c r="K14" s="3">
        <v>13.936489052019532</v>
      </c>
      <c r="L14" s="3">
        <v>13.936489052019532</v>
      </c>
      <c r="M14" s="3">
        <v>7.0638872541045261</v>
      </c>
      <c r="N14" s="3">
        <v>13.936489052019532</v>
      </c>
      <c r="O14" s="3">
        <v>2.6912072294054705</v>
      </c>
      <c r="P14" s="3">
        <v>13.936489052019532</v>
      </c>
      <c r="Q14" s="3">
        <v>7.0638872541045261</v>
      </c>
      <c r="R14" s="3">
        <v>13.936489052019532</v>
      </c>
      <c r="S14" s="3">
        <v>2.6912072294054705</v>
      </c>
      <c r="T14" s="3">
        <v>15.106679176537556</v>
      </c>
      <c r="U14" s="3">
        <v>2.6912072294054705</v>
      </c>
      <c r="V14" s="3">
        <v>13.936489052019532</v>
      </c>
      <c r="W14" s="3">
        <v>4.11383264883957</v>
      </c>
      <c r="X14" s="3">
        <v>7.0638872541045261</v>
      </c>
      <c r="Y14" s="3">
        <v>4.11383264883957</v>
      </c>
      <c r="Z14" s="3">
        <v>2.6912072294054705</v>
      </c>
      <c r="AA14" s="3">
        <v>4.11383264883957</v>
      </c>
    </row>
    <row r="15" spans="1:27" x14ac:dyDescent="0.2">
      <c r="A15" s="1">
        <v>1984</v>
      </c>
      <c r="B15" s="3">
        <v>7.1187354927663771</v>
      </c>
      <c r="C15" s="3">
        <v>7.1187354927663771</v>
      </c>
      <c r="D15" s="3">
        <v>7.1187354927663771</v>
      </c>
      <c r="E15" s="3">
        <v>14.063558396655115</v>
      </c>
      <c r="F15" s="3">
        <v>4.1154018501580216</v>
      </c>
      <c r="G15" s="3">
        <v>14.063558396655115</v>
      </c>
      <c r="H15" s="3">
        <v>2.6895542403563422</v>
      </c>
      <c r="I15" s="3">
        <v>14.063558396655115</v>
      </c>
      <c r="J15" s="3">
        <v>14.063558396655115</v>
      </c>
      <c r="K15" s="3">
        <v>14.063558396655115</v>
      </c>
      <c r="L15" s="3">
        <v>14.063558396655115</v>
      </c>
      <c r="M15" s="3">
        <v>7.1187354927663771</v>
      </c>
      <c r="N15" s="3">
        <v>14.063558396655115</v>
      </c>
      <c r="O15" s="3">
        <v>2.6895542403563422</v>
      </c>
      <c r="P15" s="3">
        <v>14.063558396655115</v>
      </c>
      <c r="Q15" s="3">
        <v>7.1187354927663771</v>
      </c>
      <c r="R15" s="3">
        <v>14.063558396655115</v>
      </c>
      <c r="S15" s="3">
        <v>2.6895542403563422</v>
      </c>
      <c r="T15" s="3">
        <v>15.413721416314837</v>
      </c>
      <c r="U15" s="3">
        <v>2.6895542403563422</v>
      </c>
      <c r="V15" s="3">
        <v>14.063558396655115</v>
      </c>
      <c r="W15" s="3">
        <v>4.1154018501580216</v>
      </c>
      <c r="X15" s="3">
        <v>7.1187354927663771</v>
      </c>
      <c r="Y15" s="3">
        <v>4.1154018501580216</v>
      </c>
      <c r="Z15" s="3">
        <v>2.6895542403563422</v>
      </c>
      <c r="AA15" s="3">
        <v>4.1154018501580216</v>
      </c>
    </row>
    <row r="16" spans="1:27" x14ac:dyDescent="0.2">
      <c r="A16" s="1">
        <v>1985</v>
      </c>
      <c r="B16" s="3">
        <v>7.1740096059044323</v>
      </c>
      <c r="C16" s="3">
        <v>7.1740096059044323</v>
      </c>
      <c r="D16" s="3">
        <v>7.1740096059044323</v>
      </c>
      <c r="E16" s="3">
        <v>14.19178632709275</v>
      </c>
      <c r="F16" s="3">
        <v>4.1169716500406315</v>
      </c>
      <c r="G16" s="3">
        <v>14.19178632709275</v>
      </c>
      <c r="H16" s="3">
        <v>2.6879022666035342</v>
      </c>
      <c r="I16" s="3">
        <v>14.19178632709275</v>
      </c>
      <c r="J16" s="3">
        <v>14.19178632709275</v>
      </c>
      <c r="K16" s="3">
        <v>14.19178632709275</v>
      </c>
      <c r="L16" s="3">
        <v>14.19178632709275</v>
      </c>
      <c r="M16" s="3">
        <v>7.1740096059044323</v>
      </c>
      <c r="N16" s="3">
        <v>14.19178632709275</v>
      </c>
      <c r="O16" s="3">
        <v>2.6879022666035342</v>
      </c>
      <c r="P16" s="3">
        <v>14.19178632709275</v>
      </c>
      <c r="Q16" s="3">
        <v>7.1740096059044323</v>
      </c>
      <c r="R16" s="3">
        <v>14.19178632709275</v>
      </c>
      <c r="S16" s="3">
        <v>2.6879022666035342</v>
      </c>
      <c r="T16" s="3">
        <v>15.727004268996236</v>
      </c>
      <c r="U16" s="3">
        <v>2.6879022666035342</v>
      </c>
      <c r="V16" s="3">
        <v>14.19178632709275</v>
      </c>
      <c r="W16" s="3">
        <v>4.1169716500406315</v>
      </c>
      <c r="X16" s="3">
        <v>7.1740096059044323</v>
      </c>
      <c r="Y16" s="3">
        <v>4.1169716500406315</v>
      </c>
      <c r="Z16" s="3">
        <v>2.6879022666035342</v>
      </c>
      <c r="AA16" s="3">
        <v>4.1169716500406315</v>
      </c>
    </row>
    <row r="17" spans="1:27" x14ac:dyDescent="0.2">
      <c r="A17" s="1">
        <v>1986</v>
      </c>
      <c r="B17" s="3">
        <v>7.2297129002624247</v>
      </c>
      <c r="C17" s="3">
        <v>7.2297129002624247</v>
      </c>
      <c r="D17" s="3">
        <v>7.2297129002624247</v>
      </c>
      <c r="E17" s="3">
        <v>14.321183407021614</v>
      </c>
      <c r="F17" s="3">
        <v>4.11854204871572</v>
      </c>
      <c r="G17" s="3">
        <v>14.321183407021614</v>
      </c>
      <c r="H17" s="3">
        <v>2.6862513075234324</v>
      </c>
      <c r="I17" s="3">
        <v>14.321183407021614</v>
      </c>
      <c r="J17" s="3">
        <v>14.321183407021614</v>
      </c>
      <c r="K17" s="3">
        <v>14.321183407021614</v>
      </c>
      <c r="L17" s="3">
        <v>14.321183407021614</v>
      </c>
      <c r="M17" s="3">
        <v>7.2297129002624247</v>
      </c>
      <c r="N17" s="3">
        <v>14.321183407021614</v>
      </c>
      <c r="O17" s="3">
        <v>2.6862513075234324</v>
      </c>
      <c r="P17" s="3">
        <v>14.321183407021614</v>
      </c>
      <c r="Q17" s="3">
        <v>7.2297129002624247</v>
      </c>
      <c r="R17" s="3">
        <v>14.321183407021614</v>
      </c>
      <c r="S17" s="3">
        <v>2.6862513075234324</v>
      </c>
      <c r="T17" s="3">
        <v>16.046654574619939</v>
      </c>
      <c r="U17" s="3">
        <v>2.6862513075234324</v>
      </c>
      <c r="V17" s="3">
        <v>14.321183407021614</v>
      </c>
      <c r="W17" s="3">
        <v>4.11854204871572</v>
      </c>
      <c r="X17" s="3">
        <v>7.2297129002624247</v>
      </c>
      <c r="Y17" s="3">
        <v>4.11854204871572</v>
      </c>
      <c r="Z17" s="3">
        <v>2.6862513075234324</v>
      </c>
      <c r="AA17" s="3">
        <v>4.11854204871572</v>
      </c>
    </row>
    <row r="18" spans="1:27" x14ac:dyDescent="0.2">
      <c r="A18" s="1">
        <v>1987</v>
      </c>
      <c r="B18" s="3">
        <v>7.2858487082596213</v>
      </c>
      <c r="C18" s="3">
        <v>7.2858487082596213</v>
      </c>
      <c r="D18" s="3">
        <v>7.2858487082596213</v>
      </c>
      <c r="E18" s="3">
        <v>14.451760296447903</v>
      </c>
      <c r="F18" s="3">
        <v>4.1201130464116922</v>
      </c>
      <c r="G18" s="3">
        <v>14.451760296447903</v>
      </c>
      <c r="H18" s="3">
        <v>2.6846013624928062</v>
      </c>
      <c r="I18" s="3">
        <v>14.451760296447903</v>
      </c>
      <c r="J18" s="3">
        <v>14.451760296447903</v>
      </c>
      <c r="K18" s="3">
        <v>14.451760296447903</v>
      </c>
      <c r="L18" s="3">
        <v>14.451760296447903</v>
      </c>
      <c r="M18" s="3">
        <v>7.2858487082596213</v>
      </c>
      <c r="N18" s="3">
        <v>14.451760296447903</v>
      </c>
      <c r="O18" s="3">
        <v>2.6846013624928062</v>
      </c>
      <c r="P18" s="3">
        <v>14.451760296447903</v>
      </c>
      <c r="Q18" s="3">
        <v>7.2858487082596213</v>
      </c>
      <c r="R18" s="3">
        <v>14.451760296447903</v>
      </c>
      <c r="S18" s="3">
        <v>2.6846013624928062</v>
      </c>
      <c r="T18" s="3">
        <v>16.372801751239397</v>
      </c>
      <c r="U18" s="3">
        <v>2.6846013624928062</v>
      </c>
      <c r="V18" s="3">
        <v>14.451760296447903</v>
      </c>
      <c r="W18" s="3">
        <v>4.1201130464116922</v>
      </c>
      <c r="X18" s="3">
        <v>7.2858487082596213</v>
      </c>
      <c r="Y18" s="3">
        <v>4.1201130464116922</v>
      </c>
      <c r="Z18" s="3">
        <v>2.6846013624928062</v>
      </c>
      <c r="AA18" s="3">
        <v>4.1201130464116922</v>
      </c>
    </row>
    <row r="19" spans="1:27" x14ac:dyDescent="0.2">
      <c r="A19" s="1">
        <v>1988</v>
      </c>
      <c r="B19" s="3">
        <v>7.3424203881901811</v>
      </c>
      <c r="C19" s="3">
        <v>7.3424203881901811</v>
      </c>
      <c r="D19" s="3">
        <v>7.3424203881901811</v>
      </c>
      <c r="E19" s="3">
        <v>14.583527752573021</v>
      </c>
      <c r="F19" s="3">
        <v>4.1216846433570424</v>
      </c>
      <c r="G19" s="3">
        <v>14.583527752573021</v>
      </c>
      <c r="H19" s="3">
        <v>2.682952430888808</v>
      </c>
      <c r="I19" s="3">
        <v>14.583527752573021</v>
      </c>
      <c r="J19" s="3">
        <v>14.583527752573021</v>
      </c>
      <c r="K19" s="3">
        <v>14.583527752573021</v>
      </c>
      <c r="L19" s="3">
        <v>14.583527752573021</v>
      </c>
      <c r="M19" s="3">
        <v>7.3424203881901811</v>
      </c>
      <c r="N19" s="3">
        <v>14.583527752573021</v>
      </c>
      <c r="O19" s="3">
        <v>2.682952430888808</v>
      </c>
      <c r="P19" s="3">
        <v>14.583527752573021</v>
      </c>
      <c r="Q19" s="3">
        <v>7.3424203881901811</v>
      </c>
      <c r="R19" s="3">
        <v>14.583527752573021</v>
      </c>
      <c r="S19" s="3">
        <v>2.682952430888808</v>
      </c>
      <c r="T19" s="3">
        <v>16.705577847321301</v>
      </c>
      <c r="U19" s="3">
        <v>2.682952430888808</v>
      </c>
      <c r="V19" s="3">
        <v>14.583527752573021</v>
      </c>
      <c r="W19" s="3">
        <v>4.1216846433570424</v>
      </c>
      <c r="X19" s="3">
        <v>7.3424203881901811</v>
      </c>
      <c r="Y19" s="3">
        <v>4.1216846433570424</v>
      </c>
      <c r="Z19" s="3">
        <v>2.682952430888808</v>
      </c>
      <c r="AA19" s="3">
        <v>4.1216846433570424</v>
      </c>
    </row>
    <row r="20" spans="1:27" x14ac:dyDescent="0.2">
      <c r="A20" s="1">
        <v>1989</v>
      </c>
      <c r="B20" s="3">
        <v>7.3994313244240644</v>
      </c>
      <c r="C20" s="3">
        <v>7.3994313244240644</v>
      </c>
      <c r="D20" s="3">
        <v>7.3994313244240644</v>
      </c>
      <c r="E20" s="3">
        <v>14.716496630679789</v>
      </c>
      <c r="F20" s="3">
        <v>4.1232568397803515</v>
      </c>
      <c r="G20" s="3">
        <v>14.716496630679789</v>
      </c>
      <c r="H20" s="3">
        <v>2.681304512088972</v>
      </c>
      <c r="I20" s="3">
        <v>14.716496630679789</v>
      </c>
      <c r="J20" s="3">
        <v>14.716496630679789</v>
      </c>
      <c r="K20" s="3">
        <v>14.716496630679789</v>
      </c>
      <c r="L20" s="3">
        <v>14.716496630679789</v>
      </c>
      <c r="M20" s="3">
        <v>7.3994313244240644</v>
      </c>
      <c r="N20" s="3">
        <v>14.716496630679789</v>
      </c>
      <c r="O20" s="3">
        <v>2.681304512088972</v>
      </c>
      <c r="P20" s="3">
        <v>14.716496630679789</v>
      </c>
      <c r="Q20" s="3">
        <v>7.3994313244240644</v>
      </c>
      <c r="R20" s="3">
        <v>14.716496630679789</v>
      </c>
      <c r="S20" s="3">
        <v>2.681304512088972</v>
      </c>
      <c r="T20" s="3">
        <v>17.045117595208559</v>
      </c>
      <c r="U20" s="3">
        <v>2.681304512088972</v>
      </c>
      <c r="V20" s="3">
        <v>14.716496630679789</v>
      </c>
      <c r="W20" s="3">
        <v>4.1232568397803515</v>
      </c>
      <c r="X20" s="3">
        <v>7.3994313244240644</v>
      </c>
      <c r="Y20" s="3">
        <v>4.1232568397803515</v>
      </c>
      <c r="Z20" s="3">
        <v>2.681304512088972</v>
      </c>
      <c r="AA20" s="3">
        <v>4.1232568397803515</v>
      </c>
    </row>
    <row r="21" spans="1:27" x14ac:dyDescent="0.2">
      <c r="A21" s="1">
        <v>1990</v>
      </c>
      <c r="B21" s="3">
        <v>7.4568849276095017</v>
      </c>
      <c r="C21" s="3">
        <v>7.4568849276095017</v>
      </c>
      <c r="D21" s="3">
        <v>7.4568849276095017</v>
      </c>
      <c r="E21" s="3">
        <v>14.85067788502672</v>
      </c>
      <c r="F21" s="3">
        <v>4.1248296359102872</v>
      </c>
      <c r="G21" s="3">
        <v>14.85067788502672</v>
      </c>
      <c r="H21" s="3">
        <v>2.679657605471216</v>
      </c>
      <c r="I21" s="3">
        <v>14.85067788502672</v>
      </c>
      <c r="J21" s="3">
        <v>14.85067788502672</v>
      </c>
      <c r="K21" s="3">
        <v>14.85067788502672</v>
      </c>
      <c r="L21" s="3">
        <v>14.85067788502672</v>
      </c>
      <c r="M21" s="3">
        <v>7.4568849276095017</v>
      </c>
      <c r="N21" s="3">
        <v>14.85067788502672</v>
      </c>
      <c r="O21" s="3">
        <v>2.679657605471216</v>
      </c>
      <c r="P21" s="3">
        <v>14.85067788502672</v>
      </c>
      <c r="Q21" s="3">
        <v>7.4568849276095017</v>
      </c>
      <c r="R21" s="3">
        <v>14.85067788502672</v>
      </c>
      <c r="S21" s="3">
        <v>2.679657605471216</v>
      </c>
      <c r="T21" s="3">
        <v>17.391558465669906</v>
      </c>
      <c r="U21" s="3">
        <v>2.679657605471216</v>
      </c>
      <c r="V21" s="3">
        <v>14.85067788502672</v>
      </c>
      <c r="W21" s="3">
        <v>4.1248296359102872</v>
      </c>
      <c r="X21" s="3">
        <v>7.4568849276095017</v>
      </c>
      <c r="Y21" s="3">
        <v>4.1248296359102872</v>
      </c>
      <c r="Z21" s="3">
        <v>2.679657605471216</v>
      </c>
      <c r="AA21" s="3">
        <v>4.1248296359102872</v>
      </c>
    </row>
    <row r="22" spans="1:27" x14ac:dyDescent="0.2">
      <c r="A22" s="1">
        <v>1991</v>
      </c>
      <c r="B22" s="3">
        <v>7.5147846348770315</v>
      </c>
      <c r="C22" s="3">
        <v>7.5147846348770315</v>
      </c>
      <c r="D22" s="3">
        <v>7.5147846348770315</v>
      </c>
      <c r="E22" s="3">
        <v>14.986082569750454</v>
      </c>
      <c r="F22" s="3">
        <v>4.1264030319756051</v>
      </c>
      <c r="G22" s="3">
        <v>14.986082569750454</v>
      </c>
      <c r="H22" s="3">
        <v>2.6780117104138386</v>
      </c>
      <c r="I22" s="3">
        <v>14.986082569750454</v>
      </c>
      <c r="J22" s="3">
        <v>14.986082569750454</v>
      </c>
      <c r="K22" s="3">
        <v>14.986082569750454</v>
      </c>
      <c r="L22" s="3">
        <v>14.986082569750454</v>
      </c>
      <c r="M22" s="3">
        <v>7.5147846348770315</v>
      </c>
      <c r="N22" s="3">
        <v>14.986082569750454</v>
      </c>
      <c r="O22" s="3">
        <v>2.6780117104138386</v>
      </c>
      <c r="P22" s="3">
        <v>14.986082569750454</v>
      </c>
      <c r="Q22" s="3">
        <v>7.5147846348770315</v>
      </c>
      <c r="R22" s="3">
        <v>14.986082569750454</v>
      </c>
      <c r="S22" s="3">
        <v>2.6780117104138386</v>
      </c>
      <c r="T22" s="3">
        <v>17.745040723558219</v>
      </c>
      <c r="U22" s="3">
        <v>2.6780117104138386</v>
      </c>
      <c r="V22" s="3">
        <v>14.986082569750454</v>
      </c>
      <c r="W22" s="3">
        <v>4.1264030319756051</v>
      </c>
      <c r="X22" s="3">
        <v>7.5147846348770315</v>
      </c>
      <c r="Y22" s="3">
        <v>4.1264030319756051</v>
      </c>
      <c r="Z22" s="3">
        <v>2.6780117104138386</v>
      </c>
      <c r="AA22" s="3">
        <v>4.1264030319756051</v>
      </c>
    </row>
    <row r="23" spans="1:27" x14ac:dyDescent="0.2">
      <c r="A23" s="1">
        <v>1992</v>
      </c>
      <c r="B23" s="3">
        <v>7.5731339100451267</v>
      </c>
      <c r="C23" s="3">
        <v>7.5731339100451267</v>
      </c>
      <c r="D23" s="3">
        <v>7.5731339100451267</v>
      </c>
      <c r="E23" s="3">
        <v>15.122721839776428</v>
      </c>
      <c r="F23" s="3">
        <v>4.1279770282051471</v>
      </c>
      <c r="G23" s="3">
        <v>15.122721839776428</v>
      </c>
      <c r="H23" s="3">
        <v>2.6763668262955207</v>
      </c>
      <c r="I23" s="3">
        <v>15.122721839776428</v>
      </c>
      <c r="J23" s="3">
        <v>15.122721839776428</v>
      </c>
      <c r="K23" s="3">
        <v>15.122721839776428</v>
      </c>
      <c r="L23" s="3">
        <v>15.122721839776428</v>
      </c>
      <c r="M23" s="3">
        <v>7.5731339100451267</v>
      </c>
      <c r="N23" s="3">
        <v>15.122721839776428</v>
      </c>
      <c r="O23" s="3">
        <v>2.6763668262955207</v>
      </c>
      <c r="P23" s="3">
        <v>15.122721839776428</v>
      </c>
      <c r="Q23" s="3">
        <v>7.5731339100451267</v>
      </c>
      <c r="R23" s="3">
        <v>15.122721839776428</v>
      </c>
      <c r="S23" s="3">
        <v>2.6763668262955207</v>
      </c>
      <c r="T23" s="3">
        <v>18.105707484600085</v>
      </c>
      <c r="U23" s="3">
        <v>2.6763668262955207</v>
      </c>
      <c r="V23" s="3">
        <v>15.122721839776428</v>
      </c>
      <c r="W23" s="3">
        <v>4.1279770282051471</v>
      </c>
      <c r="X23" s="3">
        <v>7.5731339100451267</v>
      </c>
      <c r="Y23" s="3">
        <v>4.1279770282051471</v>
      </c>
      <c r="Z23" s="3">
        <v>2.6763668262955207</v>
      </c>
      <c r="AA23" s="3">
        <v>4.1279770282051471</v>
      </c>
    </row>
    <row r="24" spans="1:27" x14ac:dyDescent="0.2">
      <c r="A24" s="1">
        <v>1993</v>
      </c>
      <c r="B24" s="3">
        <v>7.6319362438274156</v>
      </c>
      <c r="C24" s="3">
        <v>7.6319362438274156</v>
      </c>
      <c r="D24" s="3">
        <v>7.6319362438274156</v>
      </c>
      <c r="E24" s="3">
        <v>15.260606951737834</v>
      </c>
      <c r="F24" s="3">
        <v>4.129551624827843</v>
      </c>
      <c r="G24" s="3">
        <v>15.260606951737834</v>
      </c>
      <c r="H24" s="3">
        <v>2.6747229524953249</v>
      </c>
      <c r="I24" s="3">
        <v>15.260606951737834</v>
      </c>
      <c r="J24" s="3">
        <v>15.260606951737834</v>
      </c>
      <c r="K24" s="3">
        <v>15.260606951737834</v>
      </c>
      <c r="L24" s="3">
        <v>15.260606951737834</v>
      </c>
      <c r="M24" s="3">
        <v>7.6319362438274156</v>
      </c>
      <c r="N24" s="3">
        <v>15.260606951737834</v>
      </c>
      <c r="O24" s="3">
        <v>2.6747229524953249</v>
      </c>
      <c r="P24" s="3">
        <v>15.260606951737834</v>
      </c>
      <c r="Q24" s="3">
        <v>7.6319362438274156</v>
      </c>
      <c r="R24" s="3">
        <v>15.260606951737834</v>
      </c>
      <c r="S24" s="3">
        <v>2.6747229524953249</v>
      </c>
      <c r="T24" s="3">
        <v>18.473704773339627</v>
      </c>
      <c r="U24" s="3">
        <v>2.6747229524953249</v>
      </c>
      <c r="V24" s="3">
        <v>15.260606951737834</v>
      </c>
      <c r="W24" s="3">
        <v>4.129551624827843</v>
      </c>
      <c r="X24" s="3">
        <v>7.6319362438274156</v>
      </c>
      <c r="Y24" s="3">
        <v>4.129551624827843</v>
      </c>
      <c r="Z24" s="3">
        <v>2.6747229524953249</v>
      </c>
      <c r="AA24" s="3">
        <v>4.129551624827843</v>
      </c>
    </row>
    <row r="25" spans="1:27" x14ac:dyDescent="0.2">
      <c r="A25" s="1">
        <v>1994</v>
      </c>
      <c r="B25" s="3">
        <v>7.6911951540415116</v>
      </c>
      <c r="C25" s="3">
        <v>7.6911951540415116</v>
      </c>
      <c r="D25" s="3">
        <v>7.6911951540415116</v>
      </c>
      <c r="E25" s="3">
        <v>15.399749264902967</v>
      </c>
      <c r="F25" s="3">
        <v>4.1311268220727095</v>
      </c>
      <c r="G25" s="3">
        <v>15.399749264902967</v>
      </c>
      <c r="H25" s="3">
        <v>2.6730800883926955</v>
      </c>
      <c r="I25" s="3">
        <v>15.399749264902967</v>
      </c>
      <c r="J25" s="3">
        <v>15.399749264902967</v>
      </c>
      <c r="K25" s="3">
        <v>15.399749264902967</v>
      </c>
      <c r="L25" s="3">
        <v>15.399749264902967</v>
      </c>
      <c r="M25" s="3">
        <v>7.6911951540415116</v>
      </c>
      <c r="N25" s="3">
        <v>15.399749264902967</v>
      </c>
      <c r="O25" s="3">
        <v>2.6730800883926955</v>
      </c>
      <c r="P25" s="3">
        <v>15.399749264902967</v>
      </c>
      <c r="Q25" s="3">
        <v>7.6911951540415116</v>
      </c>
      <c r="R25" s="3">
        <v>15.399749264902967</v>
      </c>
      <c r="S25" s="3">
        <v>2.6730800883926955</v>
      </c>
      <c r="T25" s="3">
        <v>18.849181582260019</v>
      </c>
      <c r="U25" s="3">
        <v>2.6730800883926955</v>
      </c>
      <c r="V25" s="3">
        <v>15.399749264902967</v>
      </c>
      <c r="W25" s="3">
        <v>4.1311268220727095</v>
      </c>
      <c r="X25" s="3">
        <v>7.6911951540415116</v>
      </c>
      <c r="Y25" s="3">
        <v>4.1311268220727095</v>
      </c>
      <c r="Z25" s="3">
        <v>2.6730800883926955</v>
      </c>
      <c r="AA25" s="3">
        <v>4.1311268220727095</v>
      </c>
    </row>
    <row r="26" spans="1:27" x14ac:dyDescent="0.2">
      <c r="A26" s="1">
        <v>1995</v>
      </c>
      <c r="B26" s="3">
        <v>7.7509141858194637</v>
      </c>
      <c r="C26" s="3">
        <v>7.7509141858194637</v>
      </c>
      <c r="D26" s="3">
        <v>7.7509141858194637</v>
      </c>
      <c r="E26" s="3">
        <v>15.54016024211103</v>
      </c>
      <c r="F26" s="3">
        <v>4.1327026201688515</v>
      </c>
      <c r="G26" s="3">
        <v>15.54016024211103</v>
      </c>
      <c r="H26" s="3">
        <v>2.6714382333674576</v>
      </c>
      <c r="I26" s="3">
        <v>15.54016024211103</v>
      </c>
      <c r="J26" s="3">
        <v>15.54016024211103</v>
      </c>
      <c r="K26" s="3">
        <v>15.54016024211103</v>
      </c>
      <c r="L26" s="3">
        <v>15.54016024211103</v>
      </c>
      <c r="M26" s="3">
        <v>7.7509141858194637</v>
      </c>
      <c r="N26" s="3">
        <v>15.54016024211103</v>
      </c>
      <c r="O26" s="3">
        <v>2.6714382333674576</v>
      </c>
      <c r="P26" s="3">
        <v>15.54016024211103</v>
      </c>
      <c r="Q26" s="3">
        <v>7.7509141858194637</v>
      </c>
      <c r="R26" s="3">
        <v>15.54016024211103</v>
      </c>
      <c r="S26" s="3">
        <v>2.6714382333674576</v>
      </c>
      <c r="T26" s="3">
        <v>19.232289932106653</v>
      </c>
      <c r="U26" s="3">
        <v>2.6714382333674576</v>
      </c>
      <c r="V26" s="3">
        <v>15.54016024211103</v>
      </c>
      <c r="W26" s="3">
        <v>4.1327026201688515</v>
      </c>
      <c r="X26" s="3">
        <v>7.7509141858194637</v>
      </c>
      <c r="Y26" s="3">
        <v>4.1327026201688515</v>
      </c>
      <c r="Z26" s="3">
        <v>2.6714382333674576</v>
      </c>
      <c r="AA26" s="3">
        <v>4.1327026201688515</v>
      </c>
    </row>
    <row r="27" spans="1:27" x14ac:dyDescent="0.2">
      <c r="A27" s="1">
        <v>1996</v>
      </c>
      <c r="B27" s="3">
        <v>7.8110969118198446</v>
      </c>
      <c r="C27" s="3">
        <v>7.8110969118198446</v>
      </c>
      <c r="D27" s="3">
        <v>7.8110969118198446</v>
      </c>
      <c r="E27" s="3">
        <v>15.68185145071646</v>
      </c>
      <c r="F27" s="3">
        <v>4.1342790193454606</v>
      </c>
      <c r="G27" s="3">
        <v>15.68185145071646</v>
      </c>
      <c r="H27" s="3">
        <v>2.669797386799817</v>
      </c>
      <c r="I27" s="3">
        <v>15.68185145071646</v>
      </c>
      <c r="J27" s="3">
        <v>15.68185145071646</v>
      </c>
      <c r="K27" s="3">
        <v>15.68185145071646</v>
      </c>
      <c r="L27" s="3">
        <v>15.68185145071646</v>
      </c>
      <c r="M27" s="3">
        <v>7.8110969118198446</v>
      </c>
      <c r="N27" s="3">
        <v>15.68185145071646</v>
      </c>
      <c r="O27" s="3">
        <v>2.669797386799817</v>
      </c>
      <c r="P27" s="3">
        <v>15.68185145071646</v>
      </c>
      <c r="Q27" s="3">
        <v>7.8110969118198446</v>
      </c>
      <c r="R27" s="3">
        <v>15.68185145071646</v>
      </c>
      <c r="S27" s="3">
        <v>2.669797386799817</v>
      </c>
      <c r="T27" s="3">
        <v>19.62318493343636</v>
      </c>
      <c r="U27" s="3">
        <v>2.669797386799817</v>
      </c>
      <c r="V27" s="3">
        <v>15.68185145071646</v>
      </c>
      <c r="W27" s="3">
        <v>4.1342790193454606</v>
      </c>
      <c r="X27" s="3">
        <v>7.8110969118198446</v>
      </c>
      <c r="Y27" s="3">
        <v>4.1342790193454606</v>
      </c>
      <c r="Z27" s="3">
        <v>2.669797386799817</v>
      </c>
      <c r="AA27" s="3">
        <v>4.1342790193454606</v>
      </c>
    </row>
    <row r="28" spans="1:27" x14ac:dyDescent="0.2">
      <c r="A28" s="1">
        <v>1997</v>
      </c>
      <c r="B28" s="3">
        <v>7.8717469324414795</v>
      </c>
      <c r="C28" s="3">
        <v>7.8717469324414795</v>
      </c>
      <c r="D28" s="3">
        <v>7.8717469324414795</v>
      </c>
      <c r="E28" s="3">
        <v>15.824834563541877</v>
      </c>
      <c r="F28" s="3">
        <v>4.1358560198318157</v>
      </c>
      <c r="G28" s="3">
        <v>15.824834563541877</v>
      </c>
      <c r="H28" s="3">
        <v>2.668157548070361</v>
      </c>
      <c r="I28" s="3">
        <v>15.824834563541877</v>
      </c>
      <c r="J28" s="3">
        <v>15.824834563541877</v>
      </c>
      <c r="K28" s="3">
        <v>15.824834563541877</v>
      </c>
      <c r="L28" s="3">
        <v>15.824834563541877</v>
      </c>
      <c r="M28" s="3">
        <v>7.8717469324414795</v>
      </c>
      <c r="N28" s="3">
        <v>15.824834563541877</v>
      </c>
      <c r="O28" s="3">
        <v>2.668157548070361</v>
      </c>
      <c r="P28" s="3">
        <v>15.824834563541877</v>
      </c>
      <c r="Q28" s="3">
        <v>7.8717469324414795</v>
      </c>
      <c r="R28" s="3">
        <v>15.824834563541877</v>
      </c>
      <c r="S28" s="3">
        <v>2.668157548070361</v>
      </c>
      <c r="T28" s="3">
        <v>20.022024849417619</v>
      </c>
      <c r="U28" s="3">
        <v>2.668157548070361</v>
      </c>
      <c r="V28" s="3">
        <v>15.824834563541877</v>
      </c>
      <c r="W28" s="3">
        <v>4.1358560198318157</v>
      </c>
      <c r="X28" s="3">
        <v>7.8717469324414795</v>
      </c>
      <c r="Y28" s="3">
        <v>4.1358560198318157</v>
      </c>
      <c r="Z28" s="3">
        <v>2.668157548070361</v>
      </c>
      <c r="AA28" s="3">
        <v>4.1358560198318157</v>
      </c>
    </row>
    <row r="29" spans="1:27" x14ac:dyDescent="0.2">
      <c r="A29" s="1">
        <v>1998</v>
      </c>
      <c r="B29" s="3">
        <v>7.9328678760388414</v>
      </c>
      <c r="C29" s="3">
        <v>7.9328678760388414</v>
      </c>
      <c r="D29" s="3">
        <v>7.9328678760388414</v>
      </c>
      <c r="E29" s="3">
        <v>15.969121359839715</v>
      </c>
      <c r="F29" s="3">
        <v>4.1374336218572836</v>
      </c>
      <c r="G29" s="3">
        <v>15.969121359839715</v>
      </c>
      <c r="H29" s="3">
        <v>2.6665187165600566</v>
      </c>
      <c r="I29" s="3">
        <v>15.969121359839715</v>
      </c>
      <c r="J29" s="3">
        <v>15.969121359839715</v>
      </c>
      <c r="K29" s="3">
        <v>15.969121359839715</v>
      </c>
      <c r="L29" s="3">
        <v>15.969121359839715</v>
      </c>
      <c r="M29" s="3">
        <v>7.9328678760388414</v>
      </c>
      <c r="N29" s="3">
        <v>15.969121359839715</v>
      </c>
      <c r="O29" s="3">
        <v>2.6665187165600566</v>
      </c>
      <c r="P29" s="3">
        <v>15.969121359839715</v>
      </c>
      <c r="Q29" s="3">
        <v>7.9328678760388414</v>
      </c>
      <c r="R29" s="3">
        <v>15.969121359839715</v>
      </c>
      <c r="S29" s="3">
        <v>2.6665187165600566</v>
      </c>
      <c r="T29" s="3">
        <v>20.428971159907189</v>
      </c>
      <c r="U29" s="3">
        <v>2.6665187165600566</v>
      </c>
      <c r="V29" s="3">
        <v>15.969121359839715</v>
      </c>
      <c r="W29" s="3">
        <v>4.1374336218572836</v>
      </c>
      <c r="X29" s="3">
        <v>7.9328678760388414</v>
      </c>
      <c r="Y29" s="3">
        <v>4.1374336218572836</v>
      </c>
      <c r="Z29" s="3">
        <v>2.6665187165600566</v>
      </c>
      <c r="AA29" s="3">
        <v>4.1374336218572836</v>
      </c>
    </row>
    <row r="30" spans="1:27" x14ac:dyDescent="0.2">
      <c r="A30" s="1">
        <v>1999</v>
      </c>
      <c r="B30" s="3">
        <v>7.9944633991391125</v>
      </c>
      <c r="C30" s="3">
        <v>7.9944633991391125</v>
      </c>
      <c r="D30" s="3">
        <v>7.9944633991391125</v>
      </c>
      <c r="E30" s="3">
        <v>16.114723726262618</v>
      </c>
      <c r="F30" s="3">
        <v>4.1390118256513189</v>
      </c>
      <c r="G30" s="3">
        <v>16.114723726262618</v>
      </c>
      <c r="H30" s="3">
        <v>2.6648808916502511</v>
      </c>
      <c r="I30" s="3">
        <v>16.114723726262618</v>
      </c>
      <c r="J30" s="3">
        <v>16.114723726262618</v>
      </c>
      <c r="K30" s="3">
        <v>16.114723726262618</v>
      </c>
      <c r="L30" s="3">
        <v>16.114723726262618</v>
      </c>
      <c r="M30" s="3">
        <v>7.9944633991391125</v>
      </c>
      <c r="N30" s="3">
        <v>16.114723726262618</v>
      </c>
      <c r="O30" s="3">
        <v>2.6648808916502511</v>
      </c>
      <c r="P30" s="3">
        <v>16.114723726262618</v>
      </c>
      <c r="Q30" s="3">
        <v>7.9944633991391125</v>
      </c>
      <c r="R30" s="3">
        <v>16.114723726262618</v>
      </c>
      <c r="S30" s="3">
        <v>2.6648808916502511</v>
      </c>
      <c r="T30" s="3">
        <v>20.844188626829066</v>
      </c>
      <c r="U30" s="3">
        <v>2.6648808916502511</v>
      </c>
      <c r="V30" s="3">
        <v>16.114723726262618</v>
      </c>
      <c r="W30" s="3">
        <v>4.1390118256513189</v>
      </c>
      <c r="X30" s="3">
        <v>7.9944633991391125</v>
      </c>
      <c r="Y30" s="3">
        <v>4.1390118256513189</v>
      </c>
      <c r="Z30" s="3">
        <v>2.6648808916502511</v>
      </c>
      <c r="AA30" s="3">
        <v>4.1390118256513189</v>
      </c>
    </row>
    <row r="31" spans="1:27" x14ac:dyDescent="0.2">
      <c r="A31" s="1">
        <v>2000</v>
      </c>
      <c r="B31" s="3">
        <v>8.0565371866609379</v>
      </c>
      <c r="C31" s="3">
        <v>8.0565371866609379</v>
      </c>
      <c r="D31" s="3">
        <v>8.0565371866609379</v>
      </c>
      <c r="E31" s="3">
        <v>16.261653657842693</v>
      </c>
      <c r="F31" s="3">
        <v>4.1405906314434633</v>
      </c>
      <c r="G31" s="3">
        <v>16.261653657842693</v>
      </c>
      <c r="H31" s="3">
        <v>2.6632440727226721</v>
      </c>
      <c r="I31" s="3">
        <v>16.261653657842693</v>
      </c>
      <c r="J31" s="3">
        <v>16.261653657842693</v>
      </c>
      <c r="K31" s="3">
        <v>16.261653657842693</v>
      </c>
      <c r="L31" s="3">
        <v>16.261653657842693</v>
      </c>
      <c r="M31" s="3">
        <v>8.0565371866609379</v>
      </c>
      <c r="N31" s="3">
        <v>16.261653657842693</v>
      </c>
      <c r="O31" s="3">
        <v>2.6632440727226721</v>
      </c>
      <c r="P31" s="3">
        <v>16.261653657842693</v>
      </c>
      <c r="Q31" s="3">
        <v>8.0565371866609379</v>
      </c>
      <c r="R31" s="3">
        <v>16.261653657842693</v>
      </c>
      <c r="S31" s="3">
        <v>2.6632440727226721</v>
      </c>
      <c r="T31" s="3">
        <v>21.267845360882291</v>
      </c>
      <c r="U31" s="3">
        <v>2.6632440727226721</v>
      </c>
      <c r="V31" s="3">
        <v>16.261653657842693</v>
      </c>
      <c r="W31" s="3">
        <v>4.1405906314434633</v>
      </c>
      <c r="X31" s="3">
        <v>8.0565371866609379</v>
      </c>
      <c r="Y31" s="3">
        <v>4.1405906314434633</v>
      </c>
      <c r="Z31" s="3">
        <v>2.6632440727226721</v>
      </c>
      <c r="AA31" s="3">
        <v>4.1405906314434633</v>
      </c>
    </row>
    <row r="32" spans="1:27" x14ac:dyDescent="0.2">
      <c r="A32" s="1">
        <v>2001</v>
      </c>
      <c r="B32" s="3">
        <v>8.1190929521348689</v>
      </c>
      <c r="C32" s="3">
        <v>8.1190929521348689</v>
      </c>
      <c r="D32" s="3">
        <v>8.1190929521348689</v>
      </c>
      <c r="E32" s="3">
        <v>16.409923258979678</v>
      </c>
      <c r="F32" s="3">
        <v>4.1421700394633456</v>
      </c>
      <c r="G32" s="3">
        <v>16.409923258979678</v>
      </c>
      <c r="H32" s="3">
        <v>2.6616082591594266</v>
      </c>
      <c r="I32" s="3">
        <v>16.409923258979678</v>
      </c>
      <c r="J32" s="3">
        <v>16.409923258979678</v>
      </c>
      <c r="K32" s="3">
        <v>16.409923258979678</v>
      </c>
      <c r="L32" s="3">
        <v>16.409923258979678</v>
      </c>
      <c r="M32" s="3">
        <v>8.1190929521348689</v>
      </c>
      <c r="N32" s="3">
        <v>16.409923258979678</v>
      </c>
      <c r="O32" s="3">
        <v>2.6616082591594266</v>
      </c>
      <c r="P32" s="3">
        <v>16.409923258979678</v>
      </c>
      <c r="Q32" s="3">
        <v>8.1190929521348689</v>
      </c>
      <c r="R32" s="3">
        <v>16.409923258979678</v>
      </c>
      <c r="S32" s="3">
        <v>2.6616082591594266</v>
      </c>
      <c r="T32" s="3">
        <v>21.700112889604569</v>
      </c>
      <c r="U32" s="3">
        <v>2.6616082591594266</v>
      </c>
      <c r="V32" s="3">
        <v>16.409923258979678</v>
      </c>
      <c r="W32" s="3">
        <v>4.1421700394633456</v>
      </c>
      <c r="X32" s="3">
        <v>8.1190929521348689</v>
      </c>
      <c r="Y32" s="3">
        <v>4.1421700394633456</v>
      </c>
      <c r="Z32" s="3">
        <v>2.6616082591594266</v>
      </c>
      <c r="AA32" s="3">
        <v>4.1421700394633456</v>
      </c>
    </row>
    <row r="33" spans="1:27" x14ac:dyDescent="0.2">
      <c r="A33" s="1">
        <v>2002</v>
      </c>
      <c r="B33" s="3">
        <v>8.1821344379255283</v>
      </c>
      <c r="C33" s="3">
        <v>8.1821344379255283</v>
      </c>
      <c r="D33" s="3">
        <v>8.1821344379255283</v>
      </c>
      <c r="E33" s="3">
        <v>16.559544744438142</v>
      </c>
      <c r="F33" s="3">
        <v>4.1437500499406825</v>
      </c>
      <c r="G33" s="3">
        <v>16.559544744438142</v>
      </c>
      <c r="H33" s="3">
        <v>2.659973450343001</v>
      </c>
      <c r="I33" s="3">
        <v>16.559544744438142</v>
      </c>
      <c r="J33" s="3">
        <v>16.559544744438142</v>
      </c>
      <c r="K33" s="3">
        <v>16.559544744438142</v>
      </c>
      <c r="L33" s="3">
        <v>16.559544744438142</v>
      </c>
      <c r="M33" s="3">
        <v>8.1821344379255283</v>
      </c>
      <c r="N33" s="3">
        <v>16.559544744438142</v>
      </c>
      <c r="O33" s="3">
        <v>2.659973450343001</v>
      </c>
      <c r="P33" s="3">
        <v>16.559544744438142</v>
      </c>
      <c r="Q33" s="3">
        <v>8.1821344379255283</v>
      </c>
      <c r="R33" s="3">
        <v>16.559544744438142</v>
      </c>
      <c r="S33" s="3">
        <v>2.659973450343001</v>
      </c>
      <c r="T33" s="3">
        <v>22.141166226819291</v>
      </c>
      <c r="U33" s="3">
        <v>2.659973450343001</v>
      </c>
      <c r="V33" s="3">
        <v>16.559544744438142</v>
      </c>
      <c r="W33" s="3">
        <v>4.1437500499406825</v>
      </c>
      <c r="X33" s="3">
        <v>8.1821344379255283</v>
      </c>
      <c r="Y33" s="3">
        <v>4.1437500499406825</v>
      </c>
      <c r="Z33" s="3">
        <v>2.659973450343001</v>
      </c>
      <c r="AA33" s="3">
        <v>4.1437500499406825</v>
      </c>
    </row>
    <row r="34" spans="1:27" x14ac:dyDescent="0.2">
      <c r="A34" s="1">
        <v>2003</v>
      </c>
      <c r="B34" s="3">
        <v>8.2456654154554894</v>
      </c>
      <c r="C34" s="3">
        <v>8.2456654154554894</v>
      </c>
      <c r="D34" s="3">
        <v>8.2456654154554894</v>
      </c>
      <c r="E34" s="3">
        <v>16.710530440353747</v>
      </c>
      <c r="F34" s="3">
        <v>4.1453306631052786</v>
      </c>
      <c r="G34" s="3">
        <v>16.710530440353747</v>
      </c>
      <c r="H34" s="3">
        <v>2.658339645656262</v>
      </c>
      <c r="I34" s="3">
        <v>16.710530440353747</v>
      </c>
      <c r="J34" s="3">
        <v>16.710530440353747</v>
      </c>
      <c r="K34" s="3">
        <v>16.710530440353747</v>
      </c>
      <c r="L34" s="3">
        <v>16.710530440353747</v>
      </c>
      <c r="M34" s="3">
        <v>8.2456654154554894</v>
      </c>
      <c r="N34" s="3">
        <v>16.710530440353747</v>
      </c>
      <c r="O34" s="3">
        <v>2.658339645656262</v>
      </c>
      <c r="P34" s="3">
        <v>16.710530440353747</v>
      </c>
      <c r="Q34" s="3">
        <v>8.2456654154554894</v>
      </c>
      <c r="R34" s="3">
        <v>16.710530440353747</v>
      </c>
      <c r="S34" s="3">
        <v>2.658339645656262</v>
      </c>
      <c r="T34" s="3">
        <v>22.591183943494059</v>
      </c>
      <c r="U34" s="3">
        <v>2.658339645656262</v>
      </c>
      <c r="V34" s="3">
        <v>16.710530440353747</v>
      </c>
      <c r="W34" s="3">
        <v>4.1453306631052786</v>
      </c>
      <c r="X34" s="3">
        <v>8.2456654154554894</v>
      </c>
      <c r="Y34" s="3">
        <v>4.1453306631052786</v>
      </c>
      <c r="Z34" s="3">
        <v>2.658339645656262</v>
      </c>
      <c r="AA34" s="3">
        <v>4.1453306631052786</v>
      </c>
    </row>
    <row r="35" spans="1:27" x14ac:dyDescent="0.2">
      <c r="A35" s="1">
        <v>2004</v>
      </c>
      <c r="B35" s="3">
        <v>8.3096896854309037</v>
      </c>
      <c r="C35" s="3">
        <v>8.3096896854309037</v>
      </c>
      <c r="D35" s="3">
        <v>8.3096896854309037</v>
      </c>
      <c r="E35" s="3">
        <v>16.862892785248711</v>
      </c>
      <c r="F35" s="3">
        <v>4.1469118791870265</v>
      </c>
      <c r="G35" s="3">
        <v>16.862892785248711</v>
      </c>
      <c r="H35" s="3">
        <v>2.6567068444824544</v>
      </c>
      <c r="I35" s="3">
        <v>16.862892785248711</v>
      </c>
      <c r="J35" s="3">
        <v>16.862892785248711</v>
      </c>
      <c r="K35" s="3">
        <v>16.862892785248711</v>
      </c>
      <c r="L35" s="3">
        <v>16.862892785248711</v>
      </c>
      <c r="M35" s="3">
        <v>8.3096896854309037</v>
      </c>
      <c r="N35" s="3">
        <v>16.862892785248711</v>
      </c>
      <c r="O35" s="3">
        <v>2.6567068444824544</v>
      </c>
      <c r="P35" s="3">
        <v>16.862892785248711</v>
      </c>
      <c r="Q35" s="3">
        <v>8.3096896854309037</v>
      </c>
      <c r="R35" s="3">
        <v>16.862892785248711</v>
      </c>
      <c r="S35" s="3">
        <v>2.6567068444824544</v>
      </c>
      <c r="T35" s="3">
        <v>23.050348240039398</v>
      </c>
      <c r="U35" s="3">
        <v>2.6567068444824544</v>
      </c>
      <c r="V35" s="3">
        <v>16.862892785248711</v>
      </c>
      <c r="W35" s="3">
        <v>4.1469118791870265</v>
      </c>
      <c r="X35" s="3">
        <v>8.3096896854309037</v>
      </c>
      <c r="Y35" s="3">
        <v>4.1469118791870265</v>
      </c>
      <c r="Z35" s="3">
        <v>2.6567068444824544</v>
      </c>
      <c r="AA35" s="3">
        <v>4.1469118791870265</v>
      </c>
    </row>
    <row r="36" spans="1:27" x14ac:dyDescent="0.2">
      <c r="A36" s="1">
        <v>2005</v>
      </c>
      <c r="B36" s="3">
        <v>8.7148460240427301</v>
      </c>
      <c r="C36" s="3">
        <v>8.7148460240427301</v>
      </c>
      <c r="D36" s="3">
        <v>8.7148460240427301</v>
      </c>
      <c r="E36" s="3">
        <v>17.65029157094893</v>
      </c>
      <c r="F36" s="3">
        <v>4.1422083493054416</v>
      </c>
      <c r="G36" s="3">
        <v>17.65029157094893</v>
      </c>
      <c r="H36" s="3">
        <v>2.6636704518256522</v>
      </c>
      <c r="I36" s="3">
        <v>17.65029157094893</v>
      </c>
      <c r="J36" s="3">
        <v>17.65029157094893</v>
      </c>
      <c r="K36" s="3">
        <v>17.65029157094893</v>
      </c>
      <c r="L36" s="3">
        <v>17.65029157094893</v>
      </c>
      <c r="M36" s="3">
        <v>8.7148460240427301</v>
      </c>
      <c r="N36" s="3">
        <v>17.65029157094893</v>
      </c>
      <c r="O36" s="3">
        <v>2.6636704518256522</v>
      </c>
      <c r="P36" s="3">
        <v>17.65029157094893</v>
      </c>
      <c r="Q36" s="3">
        <v>8.7148460240427301</v>
      </c>
      <c r="R36" s="3">
        <v>17.65029157094893</v>
      </c>
      <c r="S36" s="3">
        <v>2.6636704518256522</v>
      </c>
      <c r="T36" s="3">
        <v>23.734656659886372</v>
      </c>
      <c r="U36" s="3">
        <v>2.6636704518256522</v>
      </c>
      <c r="V36" s="3">
        <v>17.65029157094893</v>
      </c>
      <c r="W36" s="3">
        <v>4.1422083493054416</v>
      </c>
      <c r="X36" s="3">
        <v>8.7148460240427301</v>
      </c>
      <c r="Y36" s="3">
        <v>4.1422083493054416</v>
      </c>
      <c r="Z36" s="3">
        <v>2.6636704518256522</v>
      </c>
      <c r="AA36" s="3">
        <v>4.1422083493054416</v>
      </c>
    </row>
    <row r="37" spans="1:27" x14ac:dyDescent="0.2">
      <c r="A37" s="1">
        <v>2006</v>
      </c>
      <c r="B37" s="3">
        <v>9.3054554985989029</v>
      </c>
      <c r="C37" s="3">
        <v>9.3054554985989029</v>
      </c>
      <c r="D37" s="3">
        <v>9.3054554985989029</v>
      </c>
      <c r="E37" s="3">
        <v>18.815252326322032</v>
      </c>
      <c r="F37" s="3">
        <v>4.3546079107423665</v>
      </c>
      <c r="G37" s="3">
        <v>18.815252326322032</v>
      </c>
      <c r="H37" s="3">
        <v>2.6553932838101821</v>
      </c>
      <c r="I37" s="3">
        <v>18.815252326322032</v>
      </c>
      <c r="J37" s="3">
        <v>18.815252326322032</v>
      </c>
      <c r="K37" s="3">
        <v>18.815252326322032</v>
      </c>
      <c r="L37" s="3">
        <v>18.815252326322032</v>
      </c>
      <c r="M37" s="3">
        <v>9.3054554985989029</v>
      </c>
      <c r="N37" s="3">
        <v>18.815252326322032</v>
      </c>
      <c r="O37" s="3">
        <v>2.6553932838101821</v>
      </c>
      <c r="P37" s="3">
        <v>18.815252326322032</v>
      </c>
      <c r="Q37" s="3">
        <v>9.3054554985989029</v>
      </c>
      <c r="R37" s="3">
        <v>18.815252326322032</v>
      </c>
      <c r="S37" s="3">
        <v>2.6553932838101821</v>
      </c>
      <c r="T37" s="3">
        <v>24.968833941327578</v>
      </c>
      <c r="U37" s="3">
        <v>2.6553932838101821</v>
      </c>
      <c r="V37" s="3">
        <v>18.815252326322032</v>
      </c>
      <c r="W37" s="3">
        <v>4.3546079107423665</v>
      </c>
      <c r="X37" s="3">
        <v>9.3054554985989029</v>
      </c>
      <c r="Y37" s="3">
        <v>4.3546079107423665</v>
      </c>
      <c r="Z37" s="3">
        <v>2.6553932838101821</v>
      </c>
      <c r="AA37" s="3">
        <v>4.3546079107423665</v>
      </c>
    </row>
    <row r="38" spans="1:27" x14ac:dyDescent="0.2">
      <c r="A38" s="1">
        <v>2007</v>
      </c>
      <c r="B38" s="3">
        <v>9.3060639692174938</v>
      </c>
      <c r="C38" s="3">
        <v>9.3060639692174938</v>
      </c>
      <c r="D38" s="3">
        <v>9.3060639692174938</v>
      </c>
      <c r="E38" s="3">
        <v>20.111274538358479</v>
      </c>
      <c r="F38" s="3">
        <v>4.5405776413162133</v>
      </c>
      <c r="G38" s="3">
        <v>20.111274538358479</v>
      </c>
      <c r="H38" s="3">
        <v>2.6672779948435799</v>
      </c>
      <c r="I38" s="3">
        <v>20.111274538358479</v>
      </c>
      <c r="J38" s="3">
        <v>20.111274538358479</v>
      </c>
      <c r="K38" s="3">
        <v>20.111274538358479</v>
      </c>
      <c r="L38" s="3">
        <v>20.111274538358479</v>
      </c>
      <c r="M38" s="3">
        <v>9.3060639692174938</v>
      </c>
      <c r="N38" s="3">
        <v>20.111274538358479</v>
      </c>
      <c r="O38" s="3">
        <v>2.6672779948435799</v>
      </c>
      <c r="P38" s="3">
        <v>20.111274538358479</v>
      </c>
      <c r="Q38" s="3">
        <v>9.3060639692174938</v>
      </c>
      <c r="R38" s="3">
        <v>20.111274538358479</v>
      </c>
      <c r="S38" s="3">
        <v>2.6672779948435799</v>
      </c>
      <c r="T38" s="3">
        <v>26.906794362983913</v>
      </c>
      <c r="U38" s="3">
        <v>2.6672779948435799</v>
      </c>
      <c r="V38" s="3">
        <v>20.111274538358479</v>
      </c>
      <c r="W38" s="3">
        <v>4.5405776413162133</v>
      </c>
      <c r="X38" s="3">
        <v>9.3060639692174938</v>
      </c>
      <c r="Y38" s="3">
        <v>4.5405776413162133</v>
      </c>
      <c r="Z38" s="3">
        <v>2.6672779948435799</v>
      </c>
      <c r="AA38" s="3">
        <v>4.5405776413162133</v>
      </c>
    </row>
    <row r="39" spans="1:27" x14ac:dyDescent="0.2">
      <c r="A39" s="1">
        <v>2008</v>
      </c>
      <c r="B39" s="3">
        <v>8.8381019676051746</v>
      </c>
      <c r="C39" s="3">
        <v>8.8381019676051746</v>
      </c>
      <c r="D39" s="3">
        <v>8.8381019676051746</v>
      </c>
      <c r="E39" s="3">
        <v>21.049175855731679</v>
      </c>
      <c r="F39" s="3">
        <v>4.5303617830763443</v>
      </c>
      <c r="G39" s="3">
        <v>21.049175855731679</v>
      </c>
      <c r="H39" s="3">
        <v>2.6555954676315996</v>
      </c>
      <c r="I39" s="3">
        <v>21.049175855731679</v>
      </c>
      <c r="J39" s="3">
        <v>21.049175855731679</v>
      </c>
      <c r="K39" s="3">
        <v>21.049175855731679</v>
      </c>
      <c r="L39" s="3">
        <v>21.049175855731679</v>
      </c>
      <c r="M39" s="3">
        <v>8.8381019676051746</v>
      </c>
      <c r="N39" s="3">
        <v>21.049175855731679</v>
      </c>
      <c r="O39" s="3">
        <v>2.6555954676315996</v>
      </c>
      <c r="P39" s="3">
        <v>21.049175855731679</v>
      </c>
      <c r="Q39" s="3">
        <v>8.8381019676051746</v>
      </c>
      <c r="R39" s="3">
        <v>21.049175855731679</v>
      </c>
      <c r="S39" s="3">
        <v>2.6555954676315996</v>
      </c>
      <c r="T39" s="3">
        <v>26.904617696081885</v>
      </c>
      <c r="U39" s="3">
        <v>2.6555954676315996</v>
      </c>
      <c r="V39" s="3">
        <v>21.049175855731679</v>
      </c>
      <c r="W39" s="3">
        <v>4.5303617830763443</v>
      </c>
      <c r="X39" s="3">
        <v>8.8381019676051746</v>
      </c>
      <c r="Y39" s="3">
        <v>4.5303617830763443</v>
      </c>
      <c r="Z39" s="3">
        <v>2.6555954676315996</v>
      </c>
      <c r="AA39" s="3">
        <v>4.5303617830763443</v>
      </c>
    </row>
    <row r="40" spans="1:27" x14ac:dyDescent="0.2">
      <c r="A40" s="1">
        <v>2009</v>
      </c>
      <c r="B40" s="3">
        <v>8.2368164115470979</v>
      </c>
      <c r="C40" s="3">
        <v>8.2368164115470979</v>
      </c>
      <c r="D40" s="3">
        <v>8.2368164115470979</v>
      </c>
      <c r="E40" s="3">
        <v>21.258792069292479</v>
      </c>
      <c r="F40" s="3">
        <v>3.9544970680440579</v>
      </c>
      <c r="G40" s="3">
        <v>21.258792069292479</v>
      </c>
      <c r="H40" s="3">
        <v>2.6269473245454074</v>
      </c>
      <c r="I40" s="3">
        <v>21.258792069292479</v>
      </c>
      <c r="J40" s="3">
        <v>21.258792069292479</v>
      </c>
      <c r="K40" s="3">
        <v>21.258792069292479</v>
      </c>
      <c r="L40" s="3">
        <v>21.258792069292479</v>
      </c>
      <c r="M40" s="3">
        <v>8.2368164115470979</v>
      </c>
      <c r="N40" s="3">
        <v>21.258792069292479</v>
      </c>
      <c r="O40" s="3">
        <v>2.6269473245454074</v>
      </c>
      <c r="P40" s="3">
        <v>21.258792069292479</v>
      </c>
      <c r="Q40" s="3">
        <v>8.2368164115470979</v>
      </c>
      <c r="R40" s="3">
        <v>21.258792069292479</v>
      </c>
      <c r="S40" s="3">
        <v>2.6269473245454074</v>
      </c>
      <c r="T40" s="3">
        <v>23.648550087358263</v>
      </c>
      <c r="U40" s="3">
        <v>2.6269473245454074</v>
      </c>
      <c r="V40" s="3">
        <v>21.258792069292479</v>
      </c>
      <c r="W40" s="3">
        <v>3.9544970680440579</v>
      </c>
      <c r="X40" s="3">
        <v>8.2368164115470979</v>
      </c>
      <c r="Y40" s="3">
        <v>3.9544970680440579</v>
      </c>
      <c r="Z40" s="3">
        <v>2.6269473245454074</v>
      </c>
      <c r="AA40" s="3">
        <v>3.9544970680440579</v>
      </c>
    </row>
    <row r="41" spans="1:27" x14ac:dyDescent="0.2">
      <c r="A41" s="1">
        <v>2010</v>
      </c>
      <c r="B41" s="3">
        <v>8.9479835426922882</v>
      </c>
      <c r="C41" s="3">
        <v>8.9479835426922882</v>
      </c>
      <c r="D41" s="3">
        <v>8.9479835426922882</v>
      </c>
      <c r="E41" s="3">
        <v>22.530634085125666</v>
      </c>
      <c r="F41" s="3">
        <v>4.1766301165310065</v>
      </c>
      <c r="G41" s="3">
        <v>22.530634085125666</v>
      </c>
      <c r="H41" s="3">
        <v>2.691537547807699</v>
      </c>
      <c r="I41" s="3">
        <v>22.530634085125666</v>
      </c>
      <c r="J41" s="3">
        <v>22.530634085125666</v>
      </c>
      <c r="K41" s="3">
        <v>22.530634085125666</v>
      </c>
      <c r="L41" s="3">
        <v>22.530634085125666</v>
      </c>
      <c r="M41" s="3">
        <v>8.9479835426922882</v>
      </c>
      <c r="N41" s="3">
        <v>22.530634085125666</v>
      </c>
      <c r="O41" s="3">
        <v>2.691537547807699</v>
      </c>
      <c r="P41" s="3">
        <v>22.530634085125666</v>
      </c>
      <c r="Q41" s="3">
        <v>8.9479835426922882</v>
      </c>
      <c r="R41" s="3">
        <v>22.530634085125666</v>
      </c>
      <c r="S41" s="3">
        <v>2.691537547807699</v>
      </c>
      <c r="T41" s="3">
        <v>25.20978520846035</v>
      </c>
      <c r="U41" s="3">
        <v>2.691537547807699</v>
      </c>
      <c r="V41" s="3">
        <v>22.530634085125666</v>
      </c>
      <c r="W41" s="3">
        <v>4.1766301165310065</v>
      </c>
      <c r="X41" s="3">
        <v>8.9479835426922882</v>
      </c>
      <c r="Y41" s="3">
        <v>4.1766301165310065</v>
      </c>
      <c r="Z41" s="3">
        <v>2.691537547807699</v>
      </c>
      <c r="AA41" s="3">
        <v>4.1766301165310065</v>
      </c>
    </row>
    <row r="42" spans="1:27" x14ac:dyDescent="0.2">
      <c r="A42" s="1">
        <v>2011</v>
      </c>
      <c r="B42" s="3">
        <v>9.4207001564989348</v>
      </c>
      <c r="C42" s="3">
        <v>9.4207001564989348</v>
      </c>
      <c r="D42" s="3">
        <v>9.4207001564989348</v>
      </c>
      <c r="E42" s="3">
        <v>23.459787898202041</v>
      </c>
      <c r="F42" s="3">
        <v>4.451550160007046</v>
      </c>
      <c r="G42" s="3">
        <v>23.459787898202041</v>
      </c>
      <c r="H42" s="3">
        <v>2.8056523823716164</v>
      </c>
      <c r="I42" s="3">
        <v>23.459787898202041</v>
      </c>
      <c r="J42" s="3">
        <v>23.459787898202041</v>
      </c>
      <c r="K42" s="3">
        <v>23.459787898202041</v>
      </c>
      <c r="L42" s="3">
        <v>23.459787898202041</v>
      </c>
      <c r="M42" s="3">
        <v>9.4207001564989348</v>
      </c>
      <c r="N42" s="3">
        <v>23.459787898202041</v>
      </c>
      <c r="O42" s="3">
        <v>2.8056523823716164</v>
      </c>
      <c r="P42" s="3">
        <v>23.459787898202041</v>
      </c>
      <c r="Q42" s="3">
        <v>9.4207001564989348</v>
      </c>
      <c r="R42" s="3">
        <v>23.459787898202041</v>
      </c>
      <c r="S42" s="3">
        <v>2.8056523823716164</v>
      </c>
      <c r="T42" s="3">
        <v>26.625378672240096</v>
      </c>
      <c r="U42" s="3">
        <v>2.8056523823716164</v>
      </c>
      <c r="V42" s="3">
        <v>23.459787898202041</v>
      </c>
      <c r="W42" s="3">
        <v>4.451550160007046</v>
      </c>
      <c r="X42" s="3">
        <v>9.4207001564989348</v>
      </c>
      <c r="Y42" s="3">
        <v>4.451550160007046</v>
      </c>
      <c r="Z42" s="3">
        <v>2.8056523823716164</v>
      </c>
      <c r="AA42" s="3">
        <v>4.451550160007046</v>
      </c>
    </row>
    <row r="43" spans="1:27" x14ac:dyDescent="0.2">
      <c r="A43" s="1">
        <v>2012</v>
      </c>
      <c r="B43" s="3">
        <v>9.5597666554133305</v>
      </c>
      <c r="C43" s="3">
        <v>9.5597666554133305</v>
      </c>
      <c r="D43" s="3">
        <v>9.5597666554133305</v>
      </c>
      <c r="E43" s="3">
        <v>23.304039789960317</v>
      </c>
      <c r="F43" s="3">
        <v>4.3973740798637868</v>
      </c>
      <c r="G43" s="3">
        <v>23.304039789960317</v>
      </c>
      <c r="H43" s="3">
        <v>2.883315699413509</v>
      </c>
      <c r="I43" s="3">
        <v>23.304039789960317</v>
      </c>
      <c r="J43" s="3">
        <v>23.304039789960317</v>
      </c>
      <c r="K43" s="3">
        <v>23.304039789960317</v>
      </c>
      <c r="L43" s="3">
        <v>23.304039789960317</v>
      </c>
      <c r="M43" s="3">
        <v>9.5597666554133305</v>
      </c>
      <c r="N43" s="3">
        <v>23.304039789960317</v>
      </c>
      <c r="O43" s="3">
        <v>2.883315699413509</v>
      </c>
      <c r="P43" s="3">
        <v>23.304039789960317</v>
      </c>
      <c r="Q43" s="3">
        <v>9.5597666554133305</v>
      </c>
      <c r="R43" s="3">
        <v>23.304039789960317</v>
      </c>
      <c r="S43" s="3">
        <v>2.883315699413509</v>
      </c>
      <c r="T43" s="3">
        <v>27.79866820124959</v>
      </c>
      <c r="U43" s="3">
        <v>2.883315699413509</v>
      </c>
      <c r="V43" s="3">
        <v>23.304039789960317</v>
      </c>
      <c r="W43" s="3">
        <v>4.3973740798637868</v>
      </c>
      <c r="X43" s="3">
        <v>9.5597666554133305</v>
      </c>
      <c r="Y43" s="3">
        <v>4.3973740798637868</v>
      </c>
      <c r="Z43" s="3">
        <v>2.883315699413509</v>
      </c>
      <c r="AA43" s="3">
        <v>4.3973740798637868</v>
      </c>
    </row>
    <row r="44" spans="1:27" x14ac:dyDescent="0.2">
      <c r="A44" s="1">
        <v>2013</v>
      </c>
      <c r="B44" s="3">
        <v>9.860706505859584</v>
      </c>
      <c r="C44" s="3">
        <v>9.860706505859584</v>
      </c>
      <c r="D44" s="3">
        <v>9.860706505859584</v>
      </c>
      <c r="E44" s="3">
        <v>23.402419534432845</v>
      </c>
      <c r="F44" s="3">
        <v>4.3322037507526474</v>
      </c>
      <c r="G44" s="3">
        <v>23.402419534432845</v>
      </c>
      <c r="H44" s="3">
        <v>2.9134505834129989</v>
      </c>
      <c r="I44" s="3">
        <v>23.402419534432845</v>
      </c>
      <c r="J44" s="3">
        <v>23.402419534432845</v>
      </c>
      <c r="K44" s="3">
        <v>23.402419534432845</v>
      </c>
      <c r="L44" s="3">
        <v>23.402419534432845</v>
      </c>
      <c r="M44" s="3">
        <v>9.860706505859584</v>
      </c>
      <c r="N44" s="3">
        <v>23.402419534432845</v>
      </c>
      <c r="O44" s="3">
        <v>2.9134505834129989</v>
      </c>
      <c r="P44" s="3">
        <v>23.402419534432845</v>
      </c>
      <c r="Q44" s="3">
        <v>9.860706505859584</v>
      </c>
      <c r="R44" s="3">
        <v>23.402419534432845</v>
      </c>
      <c r="S44" s="3">
        <v>2.9134505834129989</v>
      </c>
      <c r="T44" s="3">
        <v>27.381769990383038</v>
      </c>
      <c r="U44" s="3">
        <v>2.9134505834129989</v>
      </c>
      <c r="V44" s="3">
        <v>23.402419534432845</v>
      </c>
      <c r="W44" s="3">
        <v>4.3322037507526474</v>
      </c>
      <c r="X44" s="3">
        <v>9.860706505859584</v>
      </c>
      <c r="Y44" s="3">
        <v>4.3322037507526474</v>
      </c>
      <c r="Z44" s="3">
        <v>2.9134505834129989</v>
      </c>
      <c r="AA44" s="3">
        <v>4.3322037507526474</v>
      </c>
    </row>
    <row r="45" spans="1:27" x14ac:dyDescent="0.2">
      <c r="A45" s="1">
        <v>2014</v>
      </c>
      <c r="B45" s="3">
        <v>10.424591861298097</v>
      </c>
      <c r="C45" s="3">
        <v>10.424591861298097</v>
      </c>
      <c r="D45" s="3">
        <v>10.424591861298097</v>
      </c>
      <c r="E45" s="3">
        <v>22.512637432475373</v>
      </c>
      <c r="F45" s="3">
        <v>4.3425757756207943</v>
      </c>
      <c r="G45" s="3">
        <v>22.512637432475373</v>
      </c>
      <c r="H45" s="3">
        <v>2.890236294158933</v>
      </c>
      <c r="I45" s="3">
        <v>22.512637432475373</v>
      </c>
      <c r="J45" s="3">
        <v>22.512637432475373</v>
      </c>
      <c r="K45" s="3">
        <v>22.512637432475373</v>
      </c>
      <c r="L45" s="3">
        <v>22.512637432475373</v>
      </c>
      <c r="M45" s="3">
        <v>10.424591861298097</v>
      </c>
      <c r="N45" s="3">
        <v>22.512637432475373</v>
      </c>
      <c r="O45" s="3">
        <v>2.890236294158933</v>
      </c>
      <c r="P45" s="3">
        <v>22.512637432475373</v>
      </c>
      <c r="Q45" s="3">
        <v>10.424591861298097</v>
      </c>
      <c r="R45" s="3">
        <v>22.512637432475373</v>
      </c>
      <c r="S45" s="3">
        <v>2.890236294158933</v>
      </c>
      <c r="T45" s="3">
        <v>28.505605985973308</v>
      </c>
      <c r="U45" s="3">
        <v>2.890236294158933</v>
      </c>
      <c r="V45" s="3">
        <v>22.512637432475373</v>
      </c>
      <c r="W45" s="3">
        <v>4.3425757756207943</v>
      </c>
      <c r="X45" s="3">
        <v>10.424591861298097</v>
      </c>
      <c r="Y45" s="3">
        <v>4.3425757756207943</v>
      </c>
      <c r="Z45" s="3">
        <v>2.890236294158933</v>
      </c>
      <c r="AA45" s="3">
        <v>4.3425757756207943</v>
      </c>
    </row>
    <row r="46" spans="1:27" x14ac:dyDescent="0.2">
      <c r="A46" s="1">
        <v>2015</v>
      </c>
      <c r="B46" s="3">
        <v>10.073602874799354</v>
      </c>
      <c r="C46" s="3">
        <v>10.073602874799354</v>
      </c>
      <c r="D46" s="3">
        <v>10.073602874799354</v>
      </c>
      <c r="E46" s="3">
        <v>20.593866697532182</v>
      </c>
      <c r="F46" s="3">
        <v>4.308153846725058</v>
      </c>
      <c r="G46" s="3">
        <v>20.593866697532182</v>
      </c>
      <c r="H46" s="3">
        <v>3.0170903458419565</v>
      </c>
      <c r="I46" s="3">
        <v>20.593866697532182</v>
      </c>
      <c r="J46" s="3">
        <v>20.593866697532182</v>
      </c>
      <c r="K46" s="3">
        <v>20.593866697532182</v>
      </c>
      <c r="L46" s="3">
        <v>20.593866697532182</v>
      </c>
      <c r="M46" s="3">
        <v>10.073602874799354</v>
      </c>
      <c r="N46" s="3">
        <v>20.593866697532182</v>
      </c>
      <c r="O46" s="3">
        <v>3.0170903458419565</v>
      </c>
      <c r="P46" s="3">
        <v>20.593866697532182</v>
      </c>
      <c r="Q46" s="3">
        <v>10.073602874799354</v>
      </c>
      <c r="R46" s="3">
        <v>20.593866697532182</v>
      </c>
      <c r="S46" s="3">
        <v>3.0170903458419565</v>
      </c>
      <c r="T46" s="3">
        <v>28.46038094344491</v>
      </c>
      <c r="U46" s="3">
        <v>3.0170903458419565</v>
      </c>
      <c r="V46" s="3">
        <v>20.593866697532182</v>
      </c>
      <c r="W46" s="3">
        <v>4.308153846725058</v>
      </c>
      <c r="X46" s="3">
        <v>10.073602874799354</v>
      </c>
      <c r="Y46" s="3">
        <v>4.308153846725058</v>
      </c>
      <c r="Z46" s="3">
        <v>3.0170903458419565</v>
      </c>
      <c r="AA46" s="3">
        <v>4.308153846725058</v>
      </c>
    </row>
    <row r="47" spans="1:27" x14ac:dyDescent="0.2">
      <c r="A47" s="1">
        <v>2016</v>
      </c>
      <c r="B47" s="3">
        <v>9.4641762373809613</v>
      </c>
      <c r="C47" s="3">
        <v>9.4641762373809613</v>
      </c>
      <c r="D47" s="3">
        <v>9.4641762373809613</v>
      </c>
      <c r="E47" s="3">
        <v>20.666597592619286</v>
      </c>
      <c r="F47" s="3">
        <v>4.3615264640960074</v>
      </c>
      <c r="G47" s="3">
        <v>20.666597592619286</v>
      </c>
      <c r="H47" s="3">
        <v>2.8607752581599293</v>
      </c>
      <c r="I47" s="3">
        <v>20.666597592619286</v>
      </c>
      <c r="J47" s="3">
        <v>20.666597592619286</v>
      </c>
      <c r="K47" s="3">
        <v>20.666597592619286</v>
      </c>
      <c r="L47" s="3">
        <v>20.666597592619286</v>
      </c>
      <c r="M47" s="3">
        <v>9.4641762373809613</v>
      </c>
      <c r="N47" s="3">
        <v>20.666597592619286</v>
      </c>
      <c r="O47" s="3">
        <v>2.8607752581599293</v>
      </c>
      <c r="P47" s="3">
        <v>20.666597592619286</v>
      </c>
      <c r="Q47" s="3">
        <v>9.4641762373809613</v>
      </c>
      <c r="R47" s="3">
        <v>20.666597592619286</v>
      </c>
      <c r="S47" s="3">
        <v>2.8607752581599293</v>
      </c>
      <c r="T47" s="3">
        <v>28.916040995607613</v>
      </c>
      <c r="U47" s="3">
        <v>2.8607752581599293</v>
      </c>
      <c r="V47" s="3">
        <v>20.666597592619286</v>
      </c>
      <c r="W47" s="3">
        <v>4.3615264640960074</v>
      </c>
      <c r="X47" s="3">
        <v>9.4641762373809613</v>
      </c>
      <c r="Y47" s="3">
        <v>4.3615264640960074</v>
      </c>
      <c r="Z47" s="3">
        <v>2.8607752581599293</v>
      </c>
      <c r="AA47" s="3">
        <v>4.3615264640960074</v>
      </c>
    </row>
    <row r="48" spans="1:27" x14ac:dyDescent="0.2">
      <c r="A48" s="1">
        <v>2017</v>
      </c>
      <c r="B48" s="3">
        <v>9.9753735085898221</v>
      </c>
      <c r="C48" s="3">
        <v>9.9753735085898221</v>
      </c>
      <c r="D48" s="3">
        <v>9.9753735085898221</v>
      </c>
      <c r="E48" s="3">
        <v>21.173919479411261</v>
      </c>
      <c r="F48" s="3">
        <v>4.5163785072080396</v>
      </c>
      <c r="G48" s="3">
        <v>21.173919479411261</v>
      </c>
      <c r="H48" s="3">
        <v>2.8917774075652498</v>
      </c>
      <c r="I48" s="3">
        <v>21.173919479411261</v>
      </c>
      <c r="J48" s="3">
        <v>21.173919479411261</v>
      </c>
      <c r="K48" s="3">
        <v>21.173919479411261</v>
      </c>
      <c r="L48" s="3">
        <v>21.173919479411261</v>
      </c>
      <c r="M48" s="3">
        <v>9.9753735085898221</v>
      </c>
      <c r="N48" s="3">
        <v>21.173919479411261</v>
      </c>
      <c r="O48" s="3">
        <v>2.8917774075652498</v>
      </c>
      <c r="P48" s="3">
        <v>21.173919479411261</v>
      </c>
      <c r="Q48" s="3">
        <v>9.9753735085898221</v>
      </c>
      <c r="R48" s="3">
        <v>21.173919479411261</v>
      </c>
      <c r="S48" s="3">
        <v>2.8917774075652498</v>
      </c>
      <c r="T48" s="3">
        <v>30.566321818925712</v>
      </c>
      <c r="U48" s="3">
        <v>2.8917774075652498</v>
      </c>
      <c r="V48" s="3">
        <v>21.173919479411261</v>
      </c>
      <c r="W48" s="3">
        <v>4.5163785072080396</v>
      </c>
      <c r="X48" s="3">
        <v>9.9753735085898221</v>
      </c>
      <c r="Y48" s="3">
        <v>4.5163785072080396</v>
      </c>
      <c r="Z48" s="3">
        <v>2.8917774075652498</v>
      </c>
      <c r="AA48" s="3">
        <v>4.5163785072080396</v>
      </c>
    </row>
    <row r="49" spans="1:27" x14ac:dyDescent="0.2">
      <c r="A49" s="1">
        <v>2018</v>
      </c>
      <c r="B49" s="3">
        <v>10.355460821911427</v>
      </c>
      <c r="C49" s="3">
        <v>10.355460821911427</v>
      </c>
      <c r="D49" s="3">
        <v>10.355460821911427</v>
      </c>
      <c r="E49" s="3">
        <v>22.125207788099278</v>
      </c>
      <c r="F49" s="3">
        <v>4.5119244233515143</v>
      </c>
      <c r="G49" s="3">
        <v>22.125207788099278</v>
      </c>
      <c r="H49" s="3">
        <v>2.8945519354797349</v>
      </c>
      <c r="I49" s="3">
        <v>22.125207788099278</v>
      </c>
      <c r="J49" s="3">
        <v>22.125207788099278</v>
      </c>
      <c r="K49" s="3">
        <v>22.125207788099278</v>
      </c>
      <c r="L49" s="3">
        <v>22.125207788099278</v>
      </c>
      <c r="M49" s="3">
        <v>10.355460821911427</v>
      </c>
      <c r="N49" s="3">
        <v>22.125207788099278</v>
      </c>
      <c r="O49" s="3">
        <v>2.8945519354797349</v>
      </c>
      <c r="P49" s="3">
        <v>22.125207788099278</v>
      </c>
      <c r="Q49" s="3">
        <v>10.355460821911427</v>
      </c>
      <c r="R49" s="3">
        <v>22.125207788099278</v>
      </c>
      <c r="S49" s="3">
        <v>2.8945519354797349</v>
      </c>
      <c r="T49" s="3">
        <v>31.84954336299722</v>
      </c>
      <c r="U49" s="3">
        <v>2.8945519354797349</v>
      </c>
      <c r="V49" s="3">
        <v>22.125207788099278</v>
      </c>
      <c r="W49" s="3">
        <v>4.5119244233515143</v>
      </c>
      <c r="X49" s="3">
        <v>10.355460821911427</v>
      </c>
      <c r="Y49" s="3">
        <v>4.5119244233515143</v>
      </c>
      <c r="Z49" s="3">
        <v>2.8945519354797349</v>
      </c>
      <c r="AA49" s="3">
        <v>4.5119244233515143</v>
      </c>
    </row>
    <row r="50" spans="1:27" x14ac:dyDescent="0.2">
      <c r="A50" s="1">
        <v>2019</v>
      </c>
      <c r="B50" s="3">
        <v>9.7174717963552215</v>
      </c>
      <c r="C50" s="3">
        <v>9.7174717963552215</v>
      </c>
      <c r="D50" s="3">
        <v>9.7174717963552215</v>
      </c>
      <c r="E50" s="3">
        <v>22.410748110738794</v>
      </c>
      <c r="F50" s="3">
        <v>4.492375903686221</v>
      </c>
      <c r="G50" s="3">
        <v>22.410748110738794</v>
      </c>
      <c r="H50" s="3">
        <v>2.8840278750971424</v>
      </c>
      <c r="I50" s="3">
        <v>22.410748110738794</v>
      </c>
      <c r="J50" s="3">
        <v>22.410748110738794</v>
      </c>
      <c r="K50" s="3">
        <v>22.410748110738794</v>
      </c>
      <c r="L50" s="3">
        <v>22.410748110738794</v>
      </c>
      <c r="M50" s="3">
        <v>9.7174717963552215</v>
      </c>
      <c r="N50" s="3">
        <v>22.410748110738794</v>
      </c>
      <c r="O50" s="3">
        <v>2.8840278750971424</v>
      </c>
      <c r="P50" s="3">
        <v>22.410748110738794</v>
      </c>
      <c r="Q50" s="3">
        <v>9.7174717963552215</v>
      </c>
      <c r="R50" s="3">
        <v>22.410748110738794</v>
      </c>
      <c r="S50" s="3">
        <v>2.8840278750971424</v>
      </c>
      <c r="T50" s="3">
        <v>31.994163333099397</v>
      </c>
      <c r="U50" s="3">
        <v>2.8840278750971424</v>
      </c>
      <c r="V50" s="3">
        <v>22.410748110738794</v>
      </c>
      <c r="W50" s="3">
        <v>4.492375903686221</v>
      </c>
      <c r="X50" s="3">
        <v>9.7174717963552215</v>
      </c>
      <c r="Y50" s="3">
        <v>4.492375903686221</v>
      </c>
      <c r="Z50" s="3">
        <v>2.8840278750971424</v>
      </c>
      <c r="AA50" s="3">
        <v>4.492375903686221</v>
      </c>
    </row>
    <row r="51" spans="1:27" x14ac:dyDescent="0.2">
      <c r="A51" s="1">
        <v>2020</v>
      </c>
      <c r="B51" s="3">
        <v>8.8300457429029109</v>
      </c>
      <c r="C51" s="3">
        <v>8.8300457429029109</v>
      </c>
      <c r="D51" s="3">
        <v>8.8300457429029109</v>
      </c>
      <c r="E51" s="3">
        <v>18.876844665689287</v>
      </c>
      <c r="F51" s="3">
        <v>3.3932714574186256</v>
      </c>
      <c r="G51" s="3">
        <v>18.876844665689287</v>
      </c>
      <c r="H51" s="3">
        <v>2.6690915113449605</v>
      </c>
      <c r="I51" s="3">
        <v>18.876844665689287</v>
      </c>
      <c r="J51" s="3">
        <v>18.876844665689287</v>
      </c>
      <c r="K51" s="3">
        <v>18.876844665689287</v>
      </c>
      <c r="L51" s="3">
        <v>18.876844665689287</v>
      </c>
      <c r="M51" s="3">
        <v>8.8300457429029109</v>
      </c>
      <c r="N51" s="3">
        <v>18.876844665689287</v>
      </c>
      <c r="O51" s="3">
        <v>2.6690915113449605</v>
      </c>
      <c r="P51" s="3">
        <v>18.876844665689287</v>
      </c>
      <c r="Q51" s="3">
        <v>8.8300457429029109</v>
      </c>
      <c r="R51" s="3">
        <v>18.876844665689287</v>
      </c>
      <c r="S51" s="3">
        <v>2.6690915113449605</v>
      </c>
      <c r="T51" s="3">
        <v>30.663339372333585</v>
      </c>
      <c r="U51" s="3">
        <v>2.6690915113449605</v>
      </c>
      <c r="V51" s="3">
        <v>18.876844665689287</v>
      </c>
      <c r="W51" s="3">
        <v>3.3932714574186256</v>
      </c>
      <c r="X51" s="3">
        <v>8.8300457429029109</v>
      </c>
      <c r="Y51" s="3">
        <v>3.3932714574186256</v>
      </c>
      <c r="Z51" s="3">
        <v>2.6690915113449605</v>
      </c>
      <c r="AA51" s="3">
        <v>3.3932714574186256</v>
      </c>
    </row>
    <row r="52" spans="1:27" x14ac:dyDescent="0.2">
      <c r="A52" s="1">
        <v>2021</v>
      </c>
      <c r="B52" s="3">
        <v>9.3519555190128809</v>
      </c>
      <c r="C52" s="3">
        <v>9.3519555190128809</v>
      </c>
      <c r="D52" s="3">
        <v>9.3519555190128809</v>
      </c>
      <c r="E52" s="3">
        <v>17.840608871330534</v>
      </c>
      <c r="F52" s="3">
        <v>3.6975899147200595</v>
      </c>
      <c r="G52" s="3">
        <v>17.840608871330534</v>
      </c>
      <c r="H52" s="3">
        <v>2.4807562457798786</v>
      </c>
      <c r="I52" s="3">
        <v>17.840608871330534</v>
      </c>
      <c r="J52" s="3">
        <v>17.840608871330534</v>
      </c>
      <c r="K52" s="3">
        <v>17.840608871330534</v>
      </c>
      <c r="L52" s="3">
        <v>17.840608871330534</v>
      </c>
      <c r="M52" s="3">
        <v>9.3519555190128809</v>
      </c>
      <c r="N52" s="3">
        <v>17.840608871330534</v>
      </c>
      <c r="O52" s="3">
        <v>2.4807562457798786</v>
      </c>
      <c r="P52" s="3">
        <v>17.840608871330534</v>
      </c>
      <c r="Q52" s="3">
        <v>9.3519555190128809</v>
      </c>
      <c r="R52" s="3">
        <v>17.840608871330534</v>
      </c>
      <c r="S52" s="3">
        <v>2.4807562457798786</v>
      </c>
      <c r="T52" s="3">
        <v>32.053785186570657</v>
      </c>
      <c r="U52" s="3">
        <v>2.4807562457798786</v>
      </c>
      <c r="V52" s="3">
        <v>17.840608871330534</v>
      </c>
      <c r="W52" s="3">
        <v>3.6975899147200595</v>
      </c>
      <c r="X52" s="3">
        <v>9.3519555190128809</v>
      </c>
      <c r="Y52" s="3">
        <v>3.6975899147200595</v>
      </c>
      <c r="Z52" s="3">
        <v>2.4807562457798786</v>
      </c>
      <c r="AA52" s="3">
        <v>3.6975899147200595</v>
      </c>
    </row>
    <row r="53" spans="1:27" x14ac:dyDescent="0.2">
      <c r="A53" s="1">
        <v>2022</v>
      </c>
      <c r="B53" s="3">
        <v>9.2929593960723835</v>
      </c>
      <c r="C53" s="3">
        <v>9.2929593960723835</v>
      </c>
      <c r="D53" s="3">
        <v>9.2929593960723835</v>
      </c>
      <c r="E53" s="3">
        <v>19.191807906560786</v>
      </c>
      <c r="F53" s="3">
        <v>3.9427651450811259</v>
      </c>
      <c r="G53" s="3">
        <v>19.191807906560786</v>
      </c>
      <c r="H53" s="3">
        <v>2.5993678438142629</v>
      </c>
      <c r="I53" s="3">
        <v>19.191807906560786</v>
      </c>
      <c r="J53" s="3">
        <v>19.191807906560786</v>
      </c>
      <c r="K53" s="3">
        <v>19.191807906560786</v>
      </c>
      <c r="L53" s="3">
        <v>19.191807906560786</v>
      </c>
      <c r="M53" s="3">
        <v>9.2929593960723835</v>
      </c>
      <c r="N53" s="3">
        <v>19.191807906560786</v>
      </c>
      <c r="O53" s="3">
        <v>2.5993678438142629</v>
      </c>
      <c r="P53" s="3">
        <v>19.191807906560786</v>
      </c>
      <c r="Q53" s="3">
        <v>9.2929593960723835</v>
      </c>
      <c r="R53" s="3">
        <v>19.191807906560786</v>
      </c>
      <c r="S53" s="3">
        <v>2.5993678438142629</v>
      </c>
      <c r="T53" s="3">
        <v>32.256113812774714</v>
      </c>
      <c r="U53" s="3">
        <v>2.5993678438142629</v>
      </c>
      <c r="V53" s="3">
        <v>19.191807906560786</v>
      </c>
      <c r="W53" s="3">
        <v>3.9427651450811259</v>
      </c>
      <c r="X53" s="3">
        <v>9.2929593960723835</v>
      </c>
      <c r="Y53" s="3">
        <v>3.9427651450811259</v>
      </c>
      <c r="Z53" s="3">
        <v>2.5993678438142629</v>
      </c>
      <c r="AA53" s="3">
        <v>3.9427651450811259</v>
      </c>
    </row>
    <row r="54" spans="1:27" x14ac:dyDescent="0.2">
      <c r="A54" s="1">
        <v>2023</v>
      </c>
      <c r="B54" s="3">
        <v>9.3645595356405131</v>
      </c>
      <c r="C54" s="3">
        <v>9.3645595356405131</v>
      </c>
      <c r="D54" s="3">
        <v>9.3645595356405131</v>
      </c>
      <c r="E54" s="3">
        <v>19.36521284322594</v>
      </c>
      <c r="F54" s="3">
        <v>3.9442685200829546</v>
      </c>
      <c r="G54" s="3">
        <v>19.36521284322594</v>
      </c>
      <c r="H54" s="3">
        <v>2.5977702829560325</v>
      </c>
      <c r="I54" s="3">
        <v>19.36521284322594</v>
      </c>
      <c r="J54" s="3">
        <v>19.36521284322594</v>
      </c>
      <c r="K54" s="3">
        <v>19.36521284322594</v>
      </c>
      <c r="L54" s="3">
        <v>19.36521284322594</v>
      </c>
      <c r="M54" s="3">
        <v>9.3645595356405131</v>
      </c>
      <c r="N54" s="3">
        <v>19.36521284322594</v>
      </c>
      <c r="O54" s="3">
        <v>2.5977702829560325</v>
      </c>
      <c r="P54" s="3">
        <v>19.36521284322594</v>
      </c>
      <c r="Q54" s="3">
        <v>9.3645595356405131</v>
      </c>
      <c r="R54" s="3">
        <v>19.36521284322594</v>
      </c>
      <c r="S54" s="3">
        <v>2.5977702829560325</v>
      </c>
      <c r="T54" s="3">
        <v>32.898657502522617</v>
      </c>
      <c r="U54" s="3">
        <v>2.5977702829560325</v>
      </c>
      <c r="V54" s="3">
        <v>19.36521284322594</v>
      </c>
      <c r="W54" s="3">
        <v>3.9442685200829546</v>
      </c>
      <c r="X54" s="3">
        <v>9.3645595356405131</v>
      </c>
      <c r="Y54" s="3">
        <v>3.9442685200829546</v>
      </c>
      <c r="Z54" s="3">
        <v>2.5977702829560325</v>
      </c>
      <c r="AA54" s="3">
        <v>3.9442685200829546</v>
      </c>
    </row>
    <row r="55" spans="1:27" x14ac:dyDescent="0.2">
      <c r="A55" s="1">
        <v>2024</v>
      </c>
      <c r="B55" s="3">
        <v>9.4367113380070773</v>
      </c>
      <c r="C55" s="3">
        <v>9.4367113380070773</v>
      </c>
      <c r="D55" s="3">
        <v>9.4367113380070773</v>
      </c>
      <c r="E55" s="3">
        <v>19.540184556309775</v>
      </c>
      <c r="F55" s="3">
        <v>3.9457724683211572</v>
      </c>
      <c r="G55" s="3">
        <v>19.540184556309775</v>
      </c>
      <c r="H55" s="3">
        <v>2.5961737039521795</v>
      </c>
      <c r="I55" s="3">
        <v>19.540184556309775</v>
      </c>
      <c r="J55" s="3">
        <v>19.540184556309775</v>
      </c>
      <c r="K55" s="3">
        <v>19.540184556309775</v>
      </c>
      <c r="L55" s="3">
        <v>19.540184556309775</v>
      </c>
      <c r="M55" s="3">
        <v>9.4367113380070773</v>
      </c>
      <c r="N55" s="3">
        <v>19.540184556309775</v>
      </c>
      <c r="O55" s="3">
        <v>2.5961737039521795</v>
      </c>
      <c r="P55" s="3">
        <v>19.540184556309775</v>
      </c>
      <c r="Q55" s="3">
        <v>9.4367113380070773</v>
      </c>
      <c r="R55" s="3">
        <v>19.540184556309775</v>
      </c>
      <c r="S55" s="3">
        <v>2.5961737039521795</v>
      </c>
      <c r="T55" s="3">
        <v>33.554000700470155</v>
      </c>
      <c r="U55" s="3">
        <v>2.5961737039521795</v>
      </c>
      <c r="V55" s="3">
        <v>19.540184556309775</v>
      </c>
      <c r="W55" s="3">
        <v>3.9457724683211572</v>
      </c>
      <c r="X55" s="3">
        <v>9.4367113380070773</v>
      </c>
      <c r="Y55" s="3">
        <v>3.9457724683211572</v>
      </c>
      <c r="Z55" s="3">
        <v>2.5961737039521795</v>
      </c>
      <c r="AA55" s="3">
        <v>3.9457724683211572</v>
      </c>
    </row>
    <row r="56" spans="1:27" x14ac:dyDescent="0.2">
      <c r="A56" s="1">
        <v>2025</v>
      </c>
      <c r="B56" s="3">
        <v>9.5094190536085268</v>
      </c>
      <c r="C56" s="3">
        <v>9.5094190536085268</v>
      </c>
      <c r="D56" s="3">
        <v>9.5094190536085268</v>
      </c>
      <c r="E56" s="3">
        <v>19.716737202204797</v>
      </c>
      <c r="F56" s="3">
        <v>3.9472769900143092</v>
      </c>
      <c r="G56" s="3">
        <v>19.716737202204797</v>
      </c>
      <c r="H56" s="3">
        <v>2.5945781061992599</v>
      </c>
      <c r="I56" s="3">
        <v>19.716737202204797</v>
      </c>
      <c r="J56" s="3">
        <v>19.716737202204797</v>
      </c>
      <c r="K56" s="3">
        <v>19.716737202204797</v>
      </c>
      <c r="L56" s="3">
        <v>19.716737202204797</v>
      </c>
      <c r="M56" s="3">
        <v>9.5094190536085268</v>
      </c>
      <c r="N56" s="3">
        <v>19.716737202204797</v>
      </c>
      <c r="O56" s="3">
        <v>2.5945781061992599</v>
      </c>
      <c r="P56" s="3">
        <v>19.716737202204797</v>
      </c>
      <c r="Q56" s="3">
        <v>9.5094190536085268</v>
      </c>
      <c r="R56" s="3">
        <v>19.716737202204797</v>
      </c>
      <c r="S56" s="3">
        <v>2.5945781061992599</v>
      </c>
      <c r="T56" s="3">
        <v>34.222398373575629</v>
      </c>
      <c r="U56" s="3">
        <v>2.5945781061992599</v>
      </c>
      <c r="V56" s="3">
        <v>19.716737202204797</v>
      </c>
      <c r="W56" s="3">
        <v>3.9472769900143092</v>
      </c>
      <c r="X56" s="3">
        <v>9.5094190536085268</v>
      </c>
      <c r="Y56" s="3">
        <v>3.9472769900143092</v>
      </c>
      <c r="Z56" s="3">
        <v>2.5945781061992599</v>
      </c>
      <c r="AA56" s="3">
        <v>3.9472769900143092</v>
      </c>
    </row>
    <row r="57" spans="1:27" x14ac:dyDescent="0.2">
      <c r="A57" s="1">
        <v>2026</v>
      </c>
      <c r="B57" s="3">
        <v>9.5826869656299625</v>
      </c>
      <c r="C57" s="3">
        <v>9.5826869656299625</v>
      </c>
      <c r="D57" s="3">
        <v>9.5826869656299625</v>
      </c>
      <c r="E57" s="3">
        <v>19.89488506521165</v>
      </c>
      <c r="F57" s="3">
        <v>3.9487820853810685</v>
      </c>
      <c r="G57" s="3">
        <v>19.89488506521165</v>
      </c>
      <c r="H57" s="3">
        <v>2.5929834890942014</v>
      </c>
      <c r="I57" s="3">
        <v>19.89488506521165</v>
      </c>
      <c r="J57" s="3">
        <v>19.89488506521165</v>
      </c>
      <c r="K57" s="3">
        <v>19.89488506521165</v>
      </c>
      <c r="L57" s="3">
        <v>19.89488506521165</v>
      </c>
      <c r="M57" s="3">
        <v>9.5826869656299625</v>
      </c>
      <c r="N57" s="3">
        <v>19.89488506521165</v>
      </c>
      <c r="O57" s="3">
        <v>2.5929834890942014</v>
      </c>
      <c r="P57" s="3">
        <v>19.89488506521165</v>
      </c>
      <c r="Q57" s="3">
        <v>9.5826869656299625</v>
      </c>
      <c r="R57" s="3">
        <v>19.89488506521165</v>
      </c>
      <c r="S57" s="3">
        <v>2.5929834890942014</v>
      </c>
      <c r="T57" s="3">
        <v>34.904110567754188</v>
      </c>
      <c r="U57" s="3">
        <v>2.5929834890942014</v>
      </c>
      <c r="V57" s="3">
        <v>19.89488506521165</v>
      </c>
      <c r="W57" s="3">
        <v>3.9487820853810685</v>
      </c>
      <c r="X57" s="3">
        <v>9.5826869656299625</v>
      </c>
      <c r="Y57" s="3">
        <v>3.9487820853810685</v>
      </c>
      <c r="Z57" s="3">
        <v>2.5929834890942014</v>
      </c>
      <c r="AA57" s="3">
        <v>3.9487820853810685</v>
      </c>
    </row>
    <row r="58" spans="1:27" x14ac:dyDescent="0.2">
      <c r="A58" s="1">
        <v>2027</v>
      </c>
      <c r="B58" s="3">
        <v>9.6565193902574489</v>
      </c>
      <c r="C58" s="3">
        <v>9.6565193902574489</v>
      </c>
      <c r="D58" s="3">
        <v>9.6565193902574489</v>
      </c>
      <c r="E58" s="3">
        <v>20.074642558694805</v>
      </c>
      <c r="F58" s="3">
        <v>3.9502877546401765</v>
      </c>
      <c r="G58" s="3">
        <v>20.074642558694805</v>
      </c>
      <c r="H58" s="3">
        <v>2.5913898520343013</v>
      </c>
      <c r="I58" s="3">
        <v>20.074642558694805</v>
      </c>
      <c r="J58" s="3">
        <v>20.074642558694805</v>
      </c>
      <c r="K58" s="3">
        <v>20.074642558694805</v>
      </c>
      <c r="L58" s="3">
        <v>20.074642558694805</v>
      </c>
      <c r="M58" s="3">
        <v>9.6565193902574489</v>
      </c>
      <c r="N58" s="3">
        <v>20.074642558694805</v>
      </c>
      <c r="O58" s="3">
        <v>2.5913898520343013</v>
      </c>
      <c r="P58" s="3">
        <v>20.074642558694805</v>
      </c>
      <c r="Q58" s="3">
        <v>9.6565193902574489</v>
      </c>
      <c r="R58" s="3">
        <v>20.074642558694805</v>
      </c>
      <c r="S58" s="3">
        <v>2.5913898520343013</v>
      </c>
      <c r="T58" s="3">
        <v>35.599402509050954</v>
      </c>
      <c r="U58" s="3">
        <v>2.5913898520343013</v>
      </c>
      <c r="V58" s="3">
        <v>20.074642558694805</v>
      </c>
      <c r="W58" s="3">
        <v>3.9502877546401765</v>
      </c>
      <c r="X58" s="3">
        <v>9.6565193902574489</v>
      </c>
      <c r="Y58" s="3">
        <v>3.9502877546401765</v>
      </c>
      <c r="Z58" s="3">
        <v>2.5913898520343013</v>
      </c>
      <c r="AA58" s="3">
        <v>3.9502877546401765</v>
      </c>
    </row>
    <row r="59" spans="1:27" x14ac:dyDescent="0.2">
      <c r="A59" s="1">
        <v>2028</v>
      </c>
      <c r="B59" s="3">
        <v>9.7309206769322838</v>
      </c>
      <c r="C59" s="3">
        <v>9.7309206769322838</v>
      </c>
      <c r="D59" s="3">
        <v>9.7309206769322838</v>
      </c>
      <c r="E59" s="3">
        <v>20.256024226248705</v>
      </c>
      <c r="F59" s="3">
        <v>3.9517939980104582</v>
      </c>
      <c r="G59" s="3">
        <v>20.256024226248705</v>
      </c>
      <c r="H59" s="3">
        <v>2.589797194417228</v>
      </c>
      <c r="I59" s="3">
        <v>20.256024226248705</v>
      </c>
      <c r="J59" s="3">
        <v>20.256024226248705</v>
      </c>
      <c r="K59" s="3">
        <v>20.256024226248705</v>
      </c>
      <c r="L59" s="3">
        <v>20.256024226248705</v>
      </c>
      <c r="M59" s="3">
        <v>9.7309206769322838</v>
      </c>
      <c r="N59" s="3">
        <v>20.256024226248705</v>
      </c>
      <c r="O59" s="3">
        <v>2.589797194417228</v>
      </c>
      <c r="P59" s="3">
        <v>20.256024226248705</v>
      </c>
      <c r="Q59" s="3">
        <v>9.7309206769322838</v>
      </c>
      <c r="R59" s="3">
        <v>20.256024226248705</v>
      </c>
      <c r="S59" s="3">
        <v>2.589797194417228</v>
      </c>
      <c r="T59" s="3">
        <v>36.308544706829515</v>
      </c>
      <c r="U59" s="3">
        <v>2.589797194417228</v>
      </c>
      <c r="V59" s="3">
        <v>20.256024226248705</v>
      </c>
      <c r="W59" s="3">
        <v>3.9517939980104582</v>
      </c>
      <c r="X59" s="3">
        <v>9.7309206769322838</v>
      </c>
      <c r="Y59" s="3">
        <v>3.9517939980104582</v>
      </c>
      <c r="Z59" s="3">
        <v>2.589797194417228</v>
      </c>
      <c r="AA59" s="3">
        <v>3.9517939980104582</v>
      </c>
    </row>
    <row r="60" spans="1:27" x14ac:dyDescent="0.2">
      <c r="A60" s="1">
        <v>2029</v>
      </c>
      <c r="B60" s="3">
        <v>9.8058952086072217</v>
      </c>
      <c r="C60" s="3">
        <v>9.8058952086072217</v>
      </c>
      <c r="D60" s="3">
        <v>9.8058952086072217</v>
      </c>
      <c r="E60" s="3">
        <v>20.439044742874433</v>
      </c>
      <c r="F60" s="3">
        <v>3.953300815710822</v>
      </c>
      <c r="G60" s="3">
        <v>20.439044742874433</v>
      </c>
      <c r="H60" s="3">
        <v>2.5882055156410204</v>
      </c>
      <c r="I60" s="3">
        <v>20.439044742874433</v>
      </c>
      <c r="J60" s="3">
        <v>20.439044742874433</v>
      </c>
      <c r="K60" s="3">
        <v>20.439044742874433</v>
      </c>
      <c r="L60" s="3">
        <v>20.439044742874433</v>
      </c>
      <c r="M60" s="3">
        <v>9.8058952086072217</v>
      </c>
      <c r="N60" s="3">
        <v>20.439044742874433</v>
      </c>
      <c r="O60" s="3">
        <v>2.5882055156410204</v>
      </c>
      <c r="P60" s="3">
        <v>20.439044742874433</v>
      </c>
      <c r="Q60" s="3">
        <v>9.8058952086072217</v>
      </c>
      <c r="R60" s="3">
        <v>20.439044742874433</v>
      </c>
      <c r="S60" s="3">
        <v>2.5882055156410204</v>
      </c>
      <c r="T60" s="3">
        <v>37.031813059015931</v>
      </c>
      <c r="U60" s="3">
        <v>2.5882055156410204</v>
      </c>
      <c r="V60" s="3">
        <v>20.439044742874433</v>
      </c>
      <c r="W60" s="3">
        <v>3.953300815710822</v>
      </c>
      <c r="X60" s="3">
        <v>9.8058952086072217</v>
      </c>
      <c r="Y60" s="3">
        <v>3.953300815710822</v>
      </c>
      <c r="Z60" s="3">
        <v>2.5882055156410204</v>
      </c>
      <c r="AA60" s="3">
        <v>3.953300815710822</v>
      </c>
    </row>
    <row r="61" spans="1:27" x14ac:dyDescent="0.2">
      <c r="A61" s="1">
        <v>2030</v>
      </c>
      <c r="B61" s="3">
        <v>9.8814474020046728</v>
      </c>
      <c r="C61" s="3">
        <v>9.8814474020046728</v>
      </c>
      <c r="D61" s="3">
        <v>9.8814474020046728</v>
      </c>
      <c r="E61" s="3">
        <v>20.623718916167029</v>
      </c>
      <c r="F61" s="3">
        <v>3.9548082079602596</v>
      </c>
      <c r="G61" s="3">
        <v>20.623718916167029</v>
      </c>
      <c r="H61" s="3">
        <v>2.5866148151040864</v>
      </c>
      <c r="I61" s="3">
        <v>20.623718916167029</v>
      </c>
      <c r="J61" s="3">
        <v>20.623718916167029</v>
      </c>
      <c r="K61" s="3">
        <v>20.623718916167029</v>
      </c>
      <c r="L61" s="3">
        <v>20.623718916167029</v>
      </c>
      <c r="M61" s="3">
        <v>9.8814474020046728</v>
      </c>
      <c r="N61" s="3">
        <v>20.623718916167029</v>
      </c>
      <c r="O61" s="3">
        <v>2.5866148151040864</v>
      </c>
      <c r="P61" s="3">
        <v>20.623718916167029</v>
      </c>
      <c r="Q61" s="3">
        <v>9.8814474020046728</v>
      </c>
      <c r="R61" s="3">
        <v>20.623718916167029</v>
      </c>
      <c r="S61" s="3">
        <v>2.5866148151040864</v>
      </c>
      <c r="T61" s="3">
        <v>37.769488959439222</v>
      </c>
      <c r="U61" s="3">
        <v>2.5866148151040864</v>
      </c>
      <c r="V61" s="3">
        <v>20.623718916167029</v>
      </c>
      <c r="W61" s="3">
        <v>3.9548082079602596</v>
      </c>
      <c r="X61" s="3">
        <v>9.8814474020046728</v>
      </c>
      <c r="Y61" s="3">
        <v>3.9548082079602596</v>
      </c>
      <c r="Z61" s="3">
        <v>2.5866148151040864</v>
      </c>
      <c r="AA61" s="3">
        <v>3.9548082079602596</v>
      </c>
    </row>
    <row r="62" spans="1:27" x14ac:dyDescent="0.2">
      <c r="A62" s="1">
        <v>2031</v>
      </c>
      <c r="B62" s="3">
        <v>9.9575817078768889</v>
      </c>
      <c r="C62" s="3">
        <v>9.9575817078768889</v>
      </c>
      <c r="D62" s="3">
        <v>9.9575817078768889</v>
      </c>
      <c r="E62" s="3">
        <v>20.810061687513514</v>
      </c>
      <c r="F62" s="3">
        <v>3.9563161749778466</v>
      </c>
      <c r="G62" s="3">
        <v>20.810061687513514</v>
      </c>
      <c r="H62" s="3">
        <v>2.5850250922052043</v>
      </c>
      <c r="I62" s="3">
        <v>20.810061687513514</v>
      </c>
      <c r="J62" s="3">
        <v>20.810061687513514</v>
      </c>
      <c r="K62" s="3">
        <v>20.810061687513514</v>
      </c>
      <c r="L62" s="3">
        <v>20.810061687513514</v>
      </c>
      <c r="M62" s="3">
        <v>9.9575817078768889</v>
      </c>
      <c r="N62" s="3">
        <v>20.810061687513514</v>
      </c>
      <c r="O62" s="3">
        <v>2.5850250922052043</v>
      </c>
      <c r="P62" s="3">
        <v>20.810061687513514</v>
      </c>
      <c r="Q62" s="3">
        <v>9.9575817078768889</v>
      </c>
      <c r="R62" s="3">
        <v>20.810061687513514</v>
      </c>
      <c r="S62" s="3">
        <v>2.5850250922052043</v>
      </c>
      <c r="T62" s="3">
        <v>38.521859407310089</v>
      </c>
      <c r="U62" s="3">
        <v>2.5850250922052043</v>
      </c>
      <c r="V62" s="3">
        <v>20.810061687513514</v>
      </c>
      <c r="W62" s="3">
        <v>3.9563161749778466</v>
      </c>
      <c r="X62" s="3">
        <v>9.9575817078768889</v>
      </c>
      <c r="Y62" s="3">
        <v>3.9563161749778466</v>
      </c>
      <c r="Z62" s="3">
        <v>2.5850250922052043</v>
      </c>
      <c r="AA62" s="3">
        <v>3.9563161749778466</v>
      </c>
    </row>
    <row r="63" spans="1:27" x14ac:dyDescent="0.2">
      <c r="A63" s="1">
        <v>2032</v>
      </c>
      <c r="B63" s="3">
        <v>10.034302611268156</v>
      </c>
      <c r="C63" s="3">
        <v>10.034302611268156</v>
      </c>
      <c r="D63" s="3">
        <v>10.034302611268156</v>
      </c>
      <c r="E63" s="3">
        <v>20.998088133301753</v>
      </c>
      <c r="F63" s="3">
        <v>3.9578247169827421</v>
      </c>
      <c r="G63" s="3">
        <v>20.998088133301753</v>
      </c>
      <c r="H63" s="3">
        <v>2.5834363463435217</v>
      </c>
      <c r="I63" s="3">
        <v>20.998088133301753</v>
      </c>
      <c r="J63" s="3">
        <v>20.998088133301753</v>
      </c>
      <c r="K63" s="3">
        <v>20.998088133301753</v>
      </c>
      <c r="L63" s="3">
        <v>20.998088133301753</v>
      </c>
      <c r="M63" s="3">
        <v>10.034302611268156</v>
      </c>
      <c r="N63" s="3">
        <v>20.998088133301753</v>
      </c>
      <c r="O63" s="3">
        <v>2.5834363463435217</v>
      </c>
      <c r="P63" s="3">
        <v>20.998088133301753</v>
      </c>
      <c r="Q63" s="3">
        <v>10.034302611268156</v>
      </c>
      <c r="R63" s="3">
        <v>20.998088133301753</v>
      </c>
      <c r="S63" s="3">
        <v>2.5834363463435217</v>
      </c>
      <c r="T63" s="3">
        <v>39.289217118880423</v>
      </c>
      <c r="U63" s="3">
        <v>2.5834363463435217</v>
      </c>
      <c r="V63" s="3">
        <v>20.998088133301753</v>
      </c>
      <c r="W63" s="3">
        <v>3.9578247169827421</v>
      </c>
      <c r="X63" s="3">
        <v>10.034302611268156</v>
      </c>
      <c r="Y63" s="3">
        <v>3.9578247169827421</v>
      </c>
      <c r="Z63" s="3">
        <v>2.5834363463435217</v>
      </c>
      <c r="AA63" s="3">
        <v>3.9578247169827421</v>
      </c>
    </row>
    <row r="64" spans="1:27" x14ac:dyDescent="0.2">
      <c r="A64" s="1">
        <v>2033</v>
      </c>
      <c r="B64" s="3">
        <v>10.111614631779007</v>
      </c>
      <c r="C64" s="3">
        <v>10.111614631779007</v>
      </c>
      <c r="D64" s="3">
        <v>10.111614631779007</v>
      </c>
      <c r="E64" s="3">
        <v>21.187813466140238</v>
      </c>
      <c r="F64" s="3">
        <v>3.9593338341941879</v>
      </c>
      <c r="G64" s="3">
        <v>21.187813466140238</v>
      </c>
      <c r="H64" s="3">
        <v>2.5818485769185555</v>
      </c>
      <c r="I64" s="3">
        <v>21.187813466140238</v>
      </c>
      <c r="J64" s="3">
        <v>21.187813466140238</v>
      </c>
      <c r="K64" s="3">
        <v>21.187813466140238</v>
      </c>
      <c r="L64" s="3">
        <v>21.187813466140238</v>
      </c>
      <c r="M64" s="3">
        <v>10.111614631779007</v>
      </c>
      <c r="N64" s="3">
        <v>21.187813466140238</v>
      </c>
      <c r="O64" s="3">
        <v>2.5818485769185555</v>
      </c>
      <c r="P64" s="3">
        <v>21.187813466140238</v>
      </c>
      <c r="Q64" s="3">
        <v>10.111614631779007</v>
      </c>
      <c r="R64" s="3">
        <v>21.187813466140238</v>
      </c>
      <c r="S64" s="3">
        <v>2.5818485769185555</v>
      </c>
      <c r="T64" s="3">
        <v>40.071860641327135</v>
      </c>
      <c r="U64" s="3">
        <v>2.5818485769185555</v>
      </c>
      <c r="V64" s="3">
        <v>21.187813466140238</v>
      </c>
      <c r="W64" s="3">
        <v>3.9593338341941879</v>
      </c>
      <c r="X64" s="3">
        <v>10.111614631779007</v>
      </c>
      <c r="Y64" s="3">
        <v>3.9593338341941879</v>
      </c>
      <c r="Z64" s="3">
        <v>2.5818485769185555</v>
      </c>
      <c r="AA64" s="3">
        <v>3.9593338341941879</v>
      </c>
    </row>
    <row r="65" spans="1:27" x14ac:dyDescent="0.2">
      <c r="A65" s="1">
        <v>2034</v>
      </c>
      <c r="B65" s="3">
        <v>10.189522323832467</v>
      </c>
      <c r="C65" s="3">
        <v>10.189522323832467</v>
      </c>
      <c r="D65" s="3">
        <v>10.189522323832467</v>
      </c>
      <c r="E65" s="3">
        <v>21.37925303608889</v>
      </c>
      <c r="F65" s="3">
        <v>3.9608435268315105</v>
      </c>
      <c r="G65" s="3">
        <v>21.37925303608889</v>
      </c>
      <c r="H65" s="3">
        <v>2.580261783330192</v>
      </c>
      <c r="I65" s="3">
        <v>21.37925303608889</v>
      </c>
      <c r="J65" s="3">
        <v>21.37925303608889</v>
      </c>
      <c r="K65" s="3">
        <v>21.37925303608889</v>
      </c>
      <c r="L65" s="3">
        <v>21.37925303608889</v>
      </c>
      <c r="M65" s="3">
        <v>10.189522323832467</v>
      </c>
      <c r="N65" s="3">
        <v>21.37925303608889</v>
      </c>
      <c r="O65" s="3">
        <v>2.580261783330192</v>
      </c>
      <c r="P65" s="3">
        <v>21.37925303608889</v>
      </c>
      <c r="Q65" s="3">
        <v>10.189522323832467</v>
      </c>
      <c r="R65" s="3">
        <v>21.37925303608889</v>
      </c>
      <c r="S65" s="3">
        <v>2.580261783330192</v>
      </c>
      <c r="T65" s="3">
        <v>40.870094468904497</v>
      </c>
      <c r="U65" s="3">
        <v>2.580261783330192</v>
      </c>
      <c r="V65" s="3">
        <v>21.37925303608889</v>
      </c>
      <c r="W65" s="3">
        <v>3.9608435268315105</v>
      </c>
      <c r="X65" s="3">
        <v>10.189522323832467</v>
      </c>
      <c r="Y65" s="3">
        <v>3.9608435268315105</v>
      </c>
      <c r="Z65" s="3">
        <v>2.580261783330192</v>
      </c>
      <c r="AA65" s="3">
        <v>3.9608435268315105</v>
      </c>
    </row>
    <row r="66" spans="1:27" x14ac:dyDescent="0.2">
      <c r="A66" s="1">
        <v>2035</v>
      </c>
      <c r="B66" s="3">
        <v>10.268030276942358</v>
      </c>
      <c r="C66" s="3">
        <v>10.268030276942358</v>
      </c>
      <c r="D66" s="3">
        <v>10.268030276942358</v>
      </c>
      <c r="E66" s="3">
        <v>21.572422331900984</v>
      </c>
      <c r="F66" s="3">
        <v>3.9623537951141197</v>
      </c>
      <c r="G66" s="3">
        <v>21.572422331900984</v>
      </c>
      <c r="H66" s="3">
        <v>2.5786759649786855</v>
      </c>
      <c r="I66" s="3">
        <v>21.572422331900984</v>
      </c>
      <c r="J66" s="3">
        <v>21.572422331900984</v>
      </c>
      <c r="K66" s="3">
        <v>21.572422331900984</v>
      </c>
      <c r="L66" s="3">
        <v>21.572422331900984</v>
      </c>
      <c r="M66" s="3">
        <v>10.268030276942358</v>
      </c>
      <c r="N66" s="3">
        <v>21.572422331900984</v>
      </c>
      <c r="O66" s="3">
        <v>2.5786759649786855</v>
      </c>
      <c r="P66" s="3">
        <v>21.572422331900984</v>
      </c>
      <c r="Q66" s="3">
        <v>10.268030276942358</v>
      </c>
      <c r="R66" s="3">
        <v>21.572422331900984</v>
      </c>
      <c r="S66" s="3">
        <v>2.5786759649786855</v>
      </c>
      <c r="T66" s="3">
        <v>41.684229161410293</v>
      </c>
      <c r="U66" s="3">
        <v>2.5786759649786855</v>
      </c>
      <c r="V66" s="3">
        <v>21.572422331900984</v>
      </c>
      <c r="W66" s="3">
        <v>3.9623537951141197</v>
      </c>
      <c r="X66" s="3">
        <v>10.268030276942358</v>
      </c>
      <c r="Y66" s="3">
        <v>3.9623537951141197</v>
      </c>
      <c r="Z66" s="3">
        <v>2.5786759649786855</v>
      </c>
      <c r="AA66" s="3">
        <v>3.9623537951141197</v>
      </c>
    </row>
    <row r="67" spans="1:27" x14ac:dyDescent="0.2">
      <c r="A67" s="1">
        <v>2036</v>
      </c>
      <c r="B67" s="3">
        <v>10.347143115983663</v>
      </c>
      <c r="C67" s="3">
        <v>10.347143115983663</v>
      </c>
      <c r="D67" s="3">
        <v>10.347143115983663</v>
      </c>
      <c r="E67" s="3">
        <v>21.767336982276287</v>
      </c>
      <c r="F67" s="3">
        <v>3.9638646392615087</v>
      </c>
      <c r="G67" s="3">
        <v>21.767336982276287</v>
      </c>
      <c r="H67" s="3">
        <v>2.5770911212646599</v>
      </c>
      <c r="I67" s="3">
        <v>21.767336982276287</v>
      </c>
      <c r="J67" s="3">
        <v>21.767336982276287</v>
      </c>
      <c r="K67" s="3">
        <v>21.767336982276287</v>
      </c>
      <c r="L67" s="3">
        <v>21.767336982276287</v>
      </c>
      <c r="M67" s="3">
        <v>10.347143115983663</v>
      </c>
      <c r="N67" s="3">
        <v>21.767336982276287</v>
      </c>
      <c r="O67" s="3">
        <v>2.5770911212646599</v>
      </c>
      <c r="P67" s="3">
        <v>21.767336982276287</v>
      </c>
      <c r="Q67" s="3">
        <v>10.347143115983663</v>
      </c>
      <c r="R67" s="3">
        <v>21.767336982276287</v>
      </c>
      <c r="S67" s="3">
        <v>2.5770911212646599</v>
      </c>
      <c r="T67" s="3">
        <v>42.514581465011801</v>
      </c>
      <c r="U67" s="3">
        <v>2.5770911212646599</v>
      </c>
      <c r="V67" s="3">
        <v>21.767336982276287</v>
      </c>
      <c r="W67" s="3">
        <v>3.9638646392615087</v>
      </c>
      <c r="X67" s="3">
        <v>10.347143115983663</v>
      </c>
      <c r="Y67" s="3">
        <v>3.9638646392615087</v>
      </c>
      <c r="Z67" s="3">
        <v>2.5770911212646599</v>
      </c>
      <c r="AA67" s="3">
        <v>3.9638646392615087</v>
      </c>
    </row>
    <row r="68" spans="1:27" x14ac:dyDescent="0.2">
      <c r="A68" s="1">
        <v>2037</v>
      </c>
      <c r="B68" s="3">
        <v>10.426865501464972</v>
      </c>
      <c r="C68" s="3">
        <v>10.426865501464972</v>
      </c>
      <c r="D68" s="3">
        <v>10.426865501464972</v>
      </c>
      <c r="E68" s="3">
        <v>21.964012757125531</v>
      </c>
      <c r="F68" s="3">
        <v>3.9653760594932543</v>
      </c>
      <c r="G68" s="3">
        <v>21.964012757125531</v>
      </c>
      <c r="H68" s="3">
        <v>2.5755072515891064</v>
      </c>
      <c r="I68" s="3">
        <v>21.964012757125531</v>
      </c>
      <c r="J68" s="3">
        <v>21.964012757125531</v>
      </c>
      <c r="K68" s="3">
        <v>21.964012757125531</v>
      </c>
      <c r="L68" s="3">
        <v>21.964012757125531</v>
      </c>
      <c r="M68" s="3">
        <v>10.426865501464972</v>
      </c>
      <c r="N68" s="3">
        <v>21.964012757125531</v>
      </c>
      <c r="O68" s="3">
        <v>2.5755072515891064</v>
      </c>
      <c r="P68" s="3">
        <v>21.964012757125531</v>
      </c>
      <c r="Q68" s="3">
        <v>10.426865501464972</v>
      </c>
      <c r="R68" s="3">
        <v>21.964012757125531</v>
      </c>
      <c r="S68" s="3">
        <v>2.5755072515891064</v>
      </c>
      <c r="T68" s="3">
        <v>43.36147443547862</v>
      </c>
      <c r="U68" s="3">
        <v>2.5755072515891064</v>
      </c>
      <c r="V68" s="3">
        <v>21.964012757125531</v>
      </c>
      <c r="W68" s="3">
        <v>3.9653760594932543</v>
      </c>
      <c r="X68" s="3">
        <v>10.426865501464972</v>
      </c>
      <c r="Y68" s="3">
        <v>3.9653760594932543</v>
      </c>
      <c r="Z68" s="3">
        <v>2.5755072515891064</v>
      </c>
      <c r="AA68" s="3">
        <v>3.9653760594932543</v>
      </c>
    </row>
    <row r="69" spans="1:27" x14ac:dyDescent="0.2">
      <c r="A69" s="1">
        <v>2038</v>
      </c>
      <c r="B69" s="3">
        <v>10.507202129803037</v>
      </c>
      <c r="C69" s="3">
        <v>10.507202129803037</v>
      </c>
      <c r="D69" s="3">
        <v>10.507202129803037</v>
      </c>
      <c r="E69" s="3">
        <v>22.162465568846308</v>
      </c>
      <c r="F69" s="3">
        <v>3.9668880560290178</v>
      </c>
      <c r="G69" s="3">
        <v>22.162465568846308</v>
      </c>
      <c r="H69" s="3">
        <v>2.5739243553533857</v>
      </c>
      <c r="I69" s="3">
        <v>22.162465568846308</v>
      </c>
      <c r="J69" s="3">
        <v>22.162465568846308</v>
      </c>
      <c r="K69" s="3">
        <v>22.162465568846308</v>
      </c>
      <c r="L69" s="3">
        <v>22.162465568846308</v>
      </c>
      <c r="M69" s="3">
        <v>10.507202129803037</v>
      </c>
      <c r="N69" s="3">
        <v>22.162465568846308</v>
      </c>
      <c r="O69" s="3">
        <v>2.5739243553533857</v>
      </c>
      <c r="P69" s="3">
        <v>22.162465568846308</v>
      </c>
      <c r="Q69" s="3">
        <v>10.507202129803037</v>
      </c>
      <c r="R69" s="3">
        <v>22.162465568846308</v>
      </c>
      <c r="S69" s="3">
        <v>2.5739243553533857</v>
      </c>
      <c r="T69" s="3">
        <v>44.225237563870351</v>
      </c>
      <c r="U69" s="3">
        <v>2.5739243553533857</v>
      </c>
      <c r="V69" s="3">
        <v>22.162465568846308</v>
      </c>
      <c r="W69" s="3">
        <v>3.9668880560290178</v>
      </c>
      <c r="X69" s="3">
        <v>10.507202129803037</v>
      </c>
      <c r="Y69" s="3">
        <v>3.9668880560290178</v>
      </c>
      <c r="Z69" s="3">
        <v>2.5739243553533857</v>
      </c>
      <c r="AA69" s="3">
        <v>3.9668880560290178</v>
      </c>
    </row>
    <row r="70" spans="1:27" x14ac:dyDescent="0.2">
      <c r="A70" s="1">
        <v>2039</v>
      </c>
      <c r="B70" s="3">
        <v>10.588157733599434</v>
      </c>
      <c r="C70" s="3">
        <v>10.588157733599434</v>
      </c>
      <c r="D70" s="3">
        <v>10.588157733599434</v>
      </c>
      <c r="E70" s="3">
        <v>22.362711473610482</v>
      </c>
      <c r="F70" s="3">
        <v>3.9684006290885434</v>
      </c>
      <c r="G70" s="3">
        <v>22.362711473610482</v>
      </c>
      <c r="H70" s="3">
        <v>2.5723424319592252</v>
      </c>
      <c r="I70" s="3">
        <v>22.362711473610482</v>
      </c>
      <c r="J70" s="3">
        <v>22.362711473610482</v>
      </c>
      <c r="K70" s="3">
        <v>22.362711473610482</v>
      </c>
      <c r="L70" s="3">
        <v>22.362711473610482</v>
      </c>
      <c r="M70" s="3">
        <v>10.588157733599434</v>
      </c>
      <c r="N70" s="3">
        <v>22.362711473610482</v>
      </c>
      <c r="O70" s="3">
        <v>2.5723424319592252</v>
      </c>
      <c r="P70" s="3">
        <v>22.362711473610482</v>
      </c>
      <c r="Q70" s="3">
        <v>10.588157733599434</v>
      </c>
      <c r="R70" s="3">
        <v>22.362711473610482</v>
      </c>
      <c r="S70" s="3">
        <v>2.5723424319592252</v>
      </c>
      <c r="T70" s="3">
        <v>45.106206904727927</v>
      </c>
      <c r="U70" s="3">
        <v>2.5723424319592252</v>
      </c>
      <c r="V70" s="3">
        <v>22.362711473610482</v>
      </c>
      <c r="W70" s="3">
        <v>3.9684006290885434</v>
      </c>
      <c r="X70" s="3">
        <v>10.588157733599434</v>
      </c>
      <c r="Y70" s="3">
        <v>3.9684006290885434</v>
      </c>
      <c r="Z70" s="3">
        <v>2.5723424319592252</v>
      </c>
      <c r="AA70" s="3">
        <v>3.9684006290885434</v>
      </c>
    </row>
    <row r="71" spans="1:27" x14ac:dyDescent="0.2">
      <c r="A71" s="1">
        <v>2040</v>
      </c>
      <c r="B71" s="3">
        <v>10.669737081919356</v>
      </c>
      <c r="C71" s="3">
        <v>10.669737081919356</v>
      </c>
      <c r="D71" s="3">
        <v>10.669737081919356</v>
      </c>
      <c r="E71" s="3">
        <v>22.564766672663247</v>
      </c>
      <c r="F71" s="3">
        <v>3.9699137788916596</v>
      </c>
      <c r="G71" s="3">
        <v>22.564766672663247</v>
      </c>
      <c r="H71" s="3">
        <v>2.5707614808087205</v>
      </c>
      <c r="I71" s="3">
        <v>22.564766672663247</v>
      </c>
      <c r="J71" s="3">
        <v>22.564766672663247</v>
      </c>
      <c r="K71" s="3">
        <v>22.564766672663247</v>
      </c>
      <c r="L71" s="3">
        <v>22.564766672663247</v>
      </c>
      <c r="M71" s="3">
        <v>10.669737081919356</v>
      </c>
      <c r="N71" s="3">
        <v>22.564766672663247</v>
      </c>
      <c r="O71" s="3">
        <v>2.5707614808087205</v>
      </c>
      <c r="P71" s="3">
        <v>22.564766672663247</v>
      </c>
      <c r="Q71" s="3">
        <v>10.669737081919356</v>
      </c>
      <c r="R71" s="3">
        <v>22.564766672663247</v>
      </c>
      <c r="S71" s="3">
        <v>2.5707614808087205</v>
      </c>
      <c r="T71" s="3">
        <v>46.004725206818556</v>
      </c>
      <c r="U71" s="3">
        <v>2.5707614808087205</v>
      </c>
      <c r="V71" s="3">
        <v>22.564766672663247</v>
      </c>
      <c r="W71" s="3">
        <v>3.9699137788916596</v>
      </c>
      <c r="X71" s="3">
        <v>10.669737081919356</v>
      </c>
      <c r="Y71" s="3">
        <v>3.9699137788916596</v>
      </c>
      <c r="Z71" s="3">
        <v>2.5707614808087205</v>
      </c>
      <c r="AA71" s="3">
        <v>3.9699137788916596</v>
      </c>
    </row>
    <row r="72" spans="1:27" x14ac:dyDescent="0.2">
      <c r="A72" s="1">
        <v>2041</v>
      </c>
      <c r="B72" s="3">
        <v>10.751944980572562</v>
      </c>
      <c r="C72" s="3">
        <v>10.751944980572562</v>
      </c>
      <c r="D72" s="3">
        <v>10.751944980572562</v>
      </c>
      <c r="E72" s="3">
        <v>22.768647513633915</v>
      </c>
      <c r="F72" s="3">
        <v>3.9714275056582782</v>
      </c>
      <c r="G72" s="3">
        <v>22.768647513633915</v>
      </c>
      <c r="H72" s="3">
        <v>2.5691815013043344</v>
      </c>
      <c r="I72" s="3">
        <v>22.768647513633915</v>
      </c>
      <c r="J72" s="3">
        <v>22.768647513633915</v>
      </c>
      <c r="K72" s="3">
        <v>22.768647513633915</v>
      </c>
      <c r="L72" s="3">
        <v>22.768647513633915</v>
      </c>
      <c r="M72" s="3">
        <v>10.751944980572562</v>
      </c>
      <c r="N72" s="3">
        <v>22.768647513633915</v>
      </c>
      <c r="O72" s="3">
        <v>2.5691815013043344</v>
      </c>
      <c r="P72" s="3">
        <v>22.768647513633915</v>
      </c>
      <c r="Q72" s="3">
        <v>10.751944980572562</v>
      </c>
      <c r="R72" s="3">
        <v>22.768647513633915</v>
      </c>
      <c r="S72" s="3">
        <v>2.5691815013043344</v>
      </c>
      <c r="T72" s="3">
        <v>46.921142046485109</v>
      </c>
      <c r="U72" s="3">
        <v>2.5691815013043344</v>
      </c>
      <c r="V72" s="3">
        <v>22.768647513633915</v>
      </c>
      <c r="W72" s="3">
        <v>3.9714275056582782</v>
      </c>
      <c r="X72" s="3">
        <v>10.751944980572562</v>
      </c>
      <c r="Y72" s="3">
        <v>3.9714275056582782</v>
      </c>
      <c r="Z72" s="3">
        <v>2.5691815013043344</v>
      </c>
      <c r="AA72" s="3">
        <v>3.9714275056582782</v>
      </c>
    </row>
    <row r="73" spans="1:27" x14ac:dyDescent="0.2">
      <c r="A73" s="1">
        <v>2042</v>
      </c>
      <c r="B73" s="3">
        <v>10.834786272396478</v>
      </c>
      <c r="C73" s="3">
        <v>10.834786272396478</v>
      </c>
      <c r="D73" s="3">
        <v>10.834786272396478</v>
      </c>
      <c r="E73" s="3">
        <v>22.974370491858558</v>
      </c>
      <c r="F73" s="3">
        <v>3.9729418096083955</v>
      </c>
      <c r="G73" s="3">
        <v>22.974370491858558</v>
      </c>
      <c r="H73" s="3">
        <v>2.5676024928488976</v>
      </c>
      <c r="I73" s="3">
        <v>22.974370491858558</v>
      </c>
      <c r="J73" s="3">
        <v>22.974370491858558</v>
      </c>
      <c r="K73" s="3">
        <v>22.974370491858558</v>
      </c>
      <c r="L73" s="3">
        <v>22.974370491858558</v>
      </c>
      <c r="M73" s="3">
        <v>10.834786272396478</v>
      </c>
      <c r="N73" s="3">
        <v>22.974370491858558</v>
      </c>
      <c r="O73" s="3">
        <v>2.5676024928488976</v>
      </c>
      <c r="P73" s="3">
        <v>22.974370491858558</v>
      </c>
      <c r="Q73" s="3">
        <v>10.834786272396478</v>
      </c>
      <c r="R73" s="3">
        <v>22.974370491858558</v>
      </c>
      <c r="S73" s="3">
        <v>2.5676024928488976</v>
      </c>
      <c r="T73" s="3">
        <v>47.855813963651833</v>
      </c>
      <c r="U73" s="3">
        <v>2.5676024928488976</v>
      </c>
      <c r="V73" s="3">
        <v>22.974370491858558</v>
      </c>
      <c r="W73" s="3">
        <v>3.9729418096083955</v>
      </c>
      <c r="X73" s="3">
        <v>10.834786272396478</v>
      </c>
      <c r="Y73" s="3">
        <v>3.9729418096083955</v>
      </c>
      <c r="Z73" s="3">
        <v>2.5676024928488976</v>
      </c>
      <c r="AA73" s="3">
        <v>3.9729418096083955</v>
      </c>
    </row>
    <row r="74" spans="1:27" x14ac:dyDescent="0.2">
      <c r="A74" s="1">
        <v>2043</v>
      </c>
      <c r="B74" s="3">
        <v>10.918265837541497</v>
      </c>
      <c r="C74" s="3">
        <v>10.918265837541497</v>
      </c>
      <c r="D74" s="3">
        <v>10.918265837541497</v>
      </c>
      <c r="E74" s="3">
        <v>23.181952251714577</v>
      </c>
      <c r="F74" s="3">
        <v>3.9744566909620911</v>
      </c>
      <c r="G74" s="3">
        <v>23.181952251714577</v>
      </c>
      <c r="H74" s="3">
        <v>2.566024454845607</v>
      </c>
      <c r="I74" s="3">
        <v>23.181952251714577</v>
      </c>
      <c r="J74" s="3">
        <v>23.181952251714577</v>
      </c>
      <c r="K74" s="3">
        <v>23.181952251714577</v>
      </c>
      <c r="L74" s="3">
        <v>23.181952251714577</v>
      </c>
      <c r="M74" s="3">
        <v>10.918265837541497</v>
      </c>
      <c r="N74" s="3">
        <v>23.181952251714577</v>
      </c>
      <c r="O74" s="3">
        <v>2.566024454845607</v>
      </c>
      <c r="P74" s="3">
        <v>23.181952251714577</v>
      </c>
      <c r="Q74" s="3">
        <v>10.918265837541497</v>
      </c>
      <c r="R74" s="3">
        <v>23.181952251714577</v>
      </c>
      <c r="S74" s="3">
        <v>2.566024454845607</v>
      </c>
      <c r="T74" s="3">
        <v>48.809104600539285</v>
      </c>
      <c r="U74" s="3">
        <v>2.566024454845607</v>
      </c>
      <c r="V74" s="3">
        <v>23.181952251714577</v>
      </c>
      <c r="W74" s="3">
        <v>3.9744566909620911</v>
      </c>
      <c r="X74" s="3">
        <v>10.918265837541497</v>
      </c>
      <c r="Y74" s="3">
        <v>3.9744566909620911</v>
      </c>
      <c r="Z74" s="3">
        <v>2.566024454845607</v>
      </c>
      <c r="AA74" s="3">
        <v>3.9744566909620911</v>
      </c>
    </row>
    <row r="75" spans="1:27" x14ac:dyDescent="0.2">
      <c r="A75" s="1">
        <v>2044</v>
      </c>
      <c r="B75" s="3">
        <v>11.002388593758457</v>
      </c>
      <c r="C75" s="3">
        <v>11.002388593758457</v>
      </c>
      <c r="D75" s="3">
        <v>11.002388593758457</v>
      </c>
      <c r="E75" s="3">
        <v>23.391409587967352</v>
      </c>
      <c r="F75" s="3">
        <v>3.9759721499395293</v>
      </c>
      <c r="G75" s="3">
        <v>23.391409587967352</v>
      </c>
      <c r="H75" s="3">
        <v>2.5644473866980269</v>
      </c>
      <c r="I75" s="3">
        <v>23.391409587967352</v>
      </c>
      <c r="J75" s="3">
        <v>23.391409587967352</v>
      </c>
      <c r="K75" s="3">
        <v>23.391409587967352</v>
      </c>
      <c r="L75" s="3">
        <v>23.391409587967352</v>
      </c>
      <c r="M75" s="3">
        <v>11.002388593758457</v>
      </c>
      <c r="N75" s="3">
        <v>23.391409587967352</v>
      </c>
      <c r="O75" s="3">
        <v>2.5644473866980269</v>
      </c>
      <c r="P75" s="3">
        <v>23.391409587967352</v>
      </c>
      <c r="Q75" s="3">
        <v>11.002388593758457</v>
      </c>
      <c r="R75" s="3">
        <v>23.391409587967352</v>
      </c>
      <c r="S75" s="3">
        <v>2.5644473866980269</v>
      </c>
      <c r="T75" s="3">
        <v>49.781384843142519</v>
      </c>
      <c r="U75" s="3">
        <v>2.5644473866980269</v>
      </c>
      <c r="V75" s="3">
        <v>23.391409587967352</v>
      </c>
      <c r="W75" s="3">
        <v>3.9759721499395293</v>
      </c>
      <c r="X75" s="3">
        <v>11.002388593758457</v>
      </c>
      <c r="Y75" s="3">
        <v>3.9759721499395293</v>
      </c>
      <c r="Z75" s="3">
        <v>2.5644473866980269</v>
      </c>
      <c r="AA75" s="3">
        <v>3.9759721499395293</v>
      </c>
    </row>
    <row r="76" spans="1:27" x14ac:dyDescent="0.2">
      <c r="A76" s="1">
        <v>2045</v>
      </c>
      <c r="B76" s="3">
        <v>11.087159496688351</v>
      </c>
      <c r="C76" s="3">
        <v>11.087159496688351</v>
      </c>
      <c r="D76" s="3">
        <v>11.087159496688351</v>
      </c>
      <c r="E76" s="3">
        <v>23.60275944712906</v>
      </c>
      <c r="F76" s="3">
        <v>3.9774881867609571</v>
      </c>
      <c r="G76" s="3">
        <v>23.60275944712906</v>
      </c>
      <c r="H76" s="3">
        <v>2.5628712878100877</v>
      </c>
      <c r="I76" s="3">
        <v>23.60275944712906</v>
      </c>
      <c r="J76" s="3">
        <v>23.60275944712906</v>
      </c>
      <c r="K76" s="3">
        <v>23.60275944712906</v>
      </c>
      <c r="L76" s="3">
        <v>23.60275944712906</v>
      </c>
      <c r="M76" s="3">
        <v>11.087159496688351</v>
      </c>
      <c r="N76" s="3">
        <v>23.60275944712906</v>
      </c>
      <c r="O76" s="3">
        <v>2.5628712878100877</v>
      </c>
      <c r="P76" s="3">
        <v>23.60275944712906</v>
      </c>
      <c r="Q76" s="3">
        <v>11.087159496688351</v>
      </c>
      <c r="R76" s="3">
        <v>23.60275944712906</v>
      </c>
      <c r="S76" s="3">
        <v>2.5628712878100877</v>
      </c>
      <c r="T76" s="3">
        <v>50.77303296552747</v>
      </c>
      <c r="U76" s="3">
        <v>2.5628712878100877</v>
      </c>
      <c r="V76" s="3">
        <v>23.60275944712906</v>
      </c>
      <c r="W76" s="3">
        <v>3.9774881867609571</v>
      </c>
      <c r="X76" s="3">
        <v>11.087159496688351</v>
      </c>
      <c r="Y76" s="3">
        <v>3.9774881867609571</v>
      </c>
      <c r="Z76" s="3">
        <v>2.5628712878100877</v>
      </c>
      <c r="AA76" s="3">
        <v>3.9774881867609571</v>
      </c>
    </row>
    <row r="77" spans="1:27" x14ac:dyDescent="0.2">
      <c r="A77" s="1">
        <v>2046</v>
      </c>
      <c r="B77" s="3">
        <v>11.172583540154259</v>
      </c>
      <c r="C77" s="3">
        <v>11.172583540154259</v>
      </c>
      <c r="D77" s="3">
        <v>11.172583540154259</v>
      </c>
      <c r="E77" s="3">
        <v>23.816018928829745</v>
      </c>
      <c r="F77" s="3">
        <v>3.9790048016467066</v>
      </c>
      <c r="G77" s="3">
        <v>23.816018928829745</v>
      </c>
      <c r="H77" s="3">
        <v>2.5612961575860869</v>
      </c>
      <c r="I77" s="3">
        <v>23.816018928829745</v>
      </c>
      <c r="J77" s="3">
        <v>23.816018928829745</v>
      </c>
      <c r="K77" s="3">
        <v>23.816018928829745</v>
      </c>
      <c r="L77" s="3">
        <v>23.816018928829745</v>
      </c>
      <c r="M77" s="3">
        <v>11.172583540154259</v>
      </c>
      <c r="N77" s="3">
        <v>23.816018928829745</v>
      </c>
      <c r="O77" s="3">
        <v>2.5612961575860869</v>
      </c>
      <c r="P77" s="3">
        <v>23.816018928829745</v>
      </c>
      <c r="Q77" s="3">
        <v>11.172583540154259</v>
      </c>
      <c r="R77" s="3">
        <v>23.816018928829745</v>
      </c>
      <c r="S77" s="3">
        <v>2.5612961575860869</v>
      </c>
      <c r="T77" s="3">
        <v>51.784434777001785</v>
      </c>
      <c r="U77" s="3">
        <v>2.5612961575860869</v>
      </c>
      <c r="V77" s="3">
        <v>23.816018928829745</v>
      </c>
      <c r="W77" s="3">
        <v>3.9790048016467066</v>
      </c>
      <c r="X77" s="3">
        <v>11.172583540154259</v>
      </c>
      <c r="Y77" s="3">
        <v>3.9790048016467066</v>
      </c>
      <c r="Z77" s="3">
        <v>2.5612961575860869</v>
      </c>
      <c r="AA77" s="3">
        <v>3.9790048016467066</v>
      </c>
    </row>
    <row r="78" spans="1:27" x14ac:dyDescent="0.2">
      <c r="A78" s="1">
        <v>2047</v>
      </c>
      <c r="B78" s="3">
        <v>11.25866575645553</v>
      </c>
      <c r="C78" s="3">
        <v>11.25866575645553</v>
      </c>
      <c r="D78" s="3">
        <v>11.25866575645553</v>
      </c>
      <c r="E78" s="3">
        <v>24.031205287200812</v>
      </c>
      <c r="F78" s="3">
        <v>3.9805219948171935</v>
      </c>
      <c r="G78" s="3">
        <v>24.031205287200812</v>
      </c>
      <c r="H78" s="3">
        <v>2.5597219954306869</v>
      </c>
      <c r="I78" s="3">
        <v>24.031205287200812</v>
      </c>
      <c r="J78" s="3">
        <v>24.031205287200812</v>
      </c>
      <c r="K78" s="3">
        <v>24.031205287200812</v>
      </c>
      <c r="L78" s="3">
        <v>24.031205287200812</v>
      </c>
      <c r="M78" s="3">
        <v>11.25866575645553</v>
      </c>
      <c r="N78" s="3">
        <v>24.031205287200812</v>
      </c>
      <c r="O78" s="3">
        <v>2.5597219954306869</v>
      </c>
      <c r="P78" s="3">
        <v>24.031205287200812</v>
      </c>
      <c r="Q78" s="3">
        <v>11.25866575645553</v>
      </c>
      <c r="R78" s="3">
        <v>24.031205287200812</v>
      </c>
      <c r="S78" s="3">
        <v>2.5597219954306869</v>
      </c>
      <c r="T78" s="3">
        <v>52.815983772217287</v>
      </c>
      <c r="U78" s="3">
        <v>2.5597219954306869</v>
      </c>
      <c r="V78" s="3">
        <v>24.031205287200812</v>
      </c>
      <c r="W78" s="3">
        <v>3.9805219948171935</v>
      </c>
      <c r="X78" s="3">
        <v>11.25866575645553</v>
      </c>
      <c r="Y78" s="3">
        <v>3.9805219948171935</v>
      </c>
      <c r="Z78" s="3">
        <v>2.5597219954306869</v>
      </c>
      <c r="AA78" s="3">
        <v>3.9805219948171935</v>
      </c>
    </row>
    <row r="79" spans="1:27" x14ac:dyDescent="0.2">
      <c r="A79" s="1">
        <v>2048</v>
      </c>
      <c r="B79" s="3">
        <v>11.345411216664237</v>
      </c>
      <c r="C79" s="3">
        <v>11.345411216664237</v>
      </c>
      <c r="D79" s="3">
        <v>11.345411216664237</v>
      </c>
      <c r="E79" s="3">
        <v>24.248335932270987</v>
      </c>
      <c r="F79" s="3">
        <v>3.9820397664929179</v>
      </c>
      <c r="G79" s="3">
        <v>24.248335932270987</v>
      </c>
      <c r="H79" s="3">
        <v>2.558148800748917</v>
      </c>
      <c r="I79" s="3">
        <v>24.248335932270987</v>
      </c>
      <c r="J79" s="3">
        <v>24.248335932270987</v>
      </c>
      <c r="K79" s="3">
        <v>24.248335932270987</v>
      </c>
      <c r="L79" s="3">
        <v>24.248335932270987</v>
      </c>
      <c r="M79" s="3">
        <v>11.345411216664237</v>
      </c>
      <c r="N79" s="3">
        <v>24.248335932270987</v>
      </c>
      <c r="O79" s="3">
        <v>2.558148800748917</v>
      </c>
      <c r="P79" s="3">
        <v>24.248335932270987</v>
      </c>
      <c r="Q79" s="3">
        <v>11.345411216664237</v>
      </c>
      <c r="R79" s="3">
        <v>24.248335932270987</v>
      </c>
      <c r="S79" s="3">
        <v>2.558148800748917</v>
      </c>
      <c r="T79" s="3">
        <v>53.868081284262452</v>
      </c>
      <c r="U79" s="3">
        <v>2.558148800748917</v>
      </c>
      <c r="V79" s="3">
        <v>24.248335932270987</v>
      </c>
      <c r="W79" s="3">
        <v>3.9820397664929179</v>
      </c>
      <c r="X79" s="3">
        <v>11.345411216664237</v>
      </c>
      <c r="Y79" s="3">
        <v>3.9820397664929179</v>
      </c>
      <c r="Z79" s="3">
        <v>2.558148800748917</v>
      </c>
      <c r="AA79" s="3">
        <v>3.9820397664929179</v>
      </c>
    </row>
    <row r="80" spans="1:27" x14ac:dyDescent="0.2">
      <c r="A80" s="1">
        <v>2049</v>
      </c>
      <c r="B80" s="3">
        <v>11.432825030923913</v>
      </c>
      <c r="C80" s="3">
        <v>11.432825030923913</v>
      </c>
      <c r="D80" s="3">
        <v>11.432825030923913</v>
      </c>
      <c r="E80" s="3">
        <v>24.467428431374909</v>
      </c>
      <c r="F80" s="3">
        <v>3.9835581168944634</v>
      </c>
      <c r="G80" s="3">
        <v>24.467428431374909</v>
      </c>
      <c r="H80" s="3">
        <v>2.556576572946172</v>
      </c>
      <c r="I80" s="3">
        <v>24.467428431374909</v>
      </c>
      <c r="J80" s="3">
        <v>24.467428431374909</v>
      </c>
      <c r="K80" s="3">
        <v>24.467428431374909</v>
      </c>
      <c r="L80" s="3">
        <v>24.467428431374909</v>
      </c>
      <c r="M80" s="3">
        <v>11.432825030923913</v>
      </c>
      <c r="N80" s="3">
        <v>24.467428431374909</v>
      </c>
      <c r="O80" s="3">
        <v>2.556576572946172</v>
      </c>
      <c r="P80" s="3">
        <v>24.467428431374909</v>
      </c>
      <c r="Q80" s="3">
        <v>11.432825030923913</v>
      </c>
      <c r="R80" s="3">
        <v>24.467428431374909</v>
      </c>
      <c r="S80" s="3">
        <v>2.556576572946172</v>
      </c>
      <c r="T80" s="3">
        <v>54.941136640804572</v>
      </c>
      <c r="U80" s="3">
        <v>2.556576572946172</v>
      </c>
      <c r="V80" s="3">
        <v>24.467428431374909</v>
      </c>
      <c r="W80" s="3">
        <v>3.9835581168944634</v>
      </c>
      <c r="X80" s="3">
        <v>11.432825030923913</v>
      </c>
      <c r="Y80" s="3">
        <v>3.9835581168944634</v>
      </c>
      <c r="Z80" s="3">
        <v>2.556576572946172</v>
      </c>
      <c r="AA80" s="3">
        <v>3.9835581168944634</v>
      </c>
    </row>
    <row r="81" spans="1:27" x14ac:dyDescent="0.2">
      <c r="A81" s="1">
        <v>2050</v>
      </c>
      <c r="B81" s="3">
        <v>11.520912348750581</v>
      </c>
      <c r="C81" s="3">
        <v>11.520912348750581</v>
      </c>
      <c r="D81" s="3">
        <v>11.520912348750581</v>
      </c>
      <c r="E81" s="3">
        <v>24.68850051057446</v>
      </c>
      <c r="F81" s="3">
        <v>3.9850770462424978</v>
      </c>
      <c r="G81" s="3">
        <v>24.68850051057446</v>
      </c>
      <c r="H81" s="3">
        <v>2.5550053114282121</v>
      </c>
      <c r="I81" s="3">
        <v>24.68850051057446</v>
      </c>
      <c r="J81" s="3">
        <v>24.68850051057446</v>
      </c>
      <c r="K81" s="3">
        <v>24.68850051057446</v>
      </c>
      <c r="L81" s="3">
        <v>24.68850051057446</v>
      </c>
      <c r="M81" s="3">
        <v>11.520912348750581</v>
      </c>
      <c r="N81" s="3">
        <v>24.68850051057446</v>
      </c>
      <c r="O81" s="3">
        <v>2.5550053114282121</v>
      </c>
      <c r="P81" s="3">
        <v>24.68850051057446</v>
      </c>
      <c r="Q81" s="3">
        <v>11.520912348750581</v>
      </c>
      <c r="R81" s="3">
        <v>24.68850051057446</v>
      </c>
      <c r="S81" s="3">
        <v>2.5550053114282121</v>
      </c>
      <c r="T81" s="3">
        <v>56.0355673233422</v>
      </c>
      <c r="U81" s="3">
        <v>2.5550053114282121</v>
      </c>
      <c r="V81" s="3">
        <v>24.68850051057446</v>
      </c>
      <c r="W81" s="3">
        <v>3.9850770462424978</v>
      </c>
      <c r="X81" s="3">
        <v>11.520912348750581</v>
      </c>
      <c r="Y81" s="3">
        <v>3.9850770462424978</v>
      </c>
      <c r="Z81" s="3">
        <v>2.5550053114282121</v>
      </c>
      <c r="AA81" s="3">
        <v>3.9850770462424978</v>
      </c>
    </row>
    <row r="82" spans="1:27" x14ac:dyDescent="0.2">
      <c r="A82" s="1">
        <v>2051</v>
      </c>
      <c r="B82" s="3">
        <v>11.609678359336119</v>
      </c>
      <c r="C82" s="3">
        <v>11.609678359336119</v>
      </c>
      <c r="D82" s="3">
        <v>11.609678359336119</v>
      </c>
      <c r="E82" s="3">
        <v>24.911570056092906</v>
      </c>
      <c r="F82" s="3">
        <v>3.9865965547577731</v>
      </c>
      <c r="G82" s="3">
        <v>24.911570056092906</v>
      </c>
      <c r="H82" s="3">
        <v>2.5534350156011625</v>
      </c>
      <c r="I82" s="3">
        <v>24.911570056092906</v>
      </c>
      <c r="J82" s="3">
        <v>24.911570056092906</v>
      </c>
      <c r="K82" s="3">
        <v>24.911570056092906</v>
      </c>
      <c r="L82" s="3">
        <v>24.911570056092906</v>
      </c>
      <c r="M82" s="3">
        <v>11.609678359336119</v>
      </c>
      <c r="N82" s="3">
        <v>24.911570056092906</v>
      </c>
      <c r="O82" s="3">
        <v>2.5534350156011625</v>
      </c>
      <c r="P82" s="3">
        <v>24.911570056092906</v>
      </c>
      <c r="Q82" s="3">
        <v>11.609678359336119</v>
      </c>
      <c r="R82" s="3">
        <v>24.911570056092906</v>
      </c>
      <c r="S82" s="3">
        <v>2.5534350156011625</v>
      </c>
      <c r="T82" s="3">
        <v>57.151799129629971</v>
      </c>
      <c r="U82" s="3">
        <v>2.5534350156011625</v>
      </c>
      <c r="V82" s="3">
        <v>24.911570056092906</v>
      </c>
      <c r="W82" s="3">
        <v>3.9865965547577731</v>
      </c>
      <c r="X82" s="3">
        <v>11.609678359336119</v>
      </c>
      <c r="Y82" s="3">
        <v>3.9865965547577731</v>
      </c>
      <c r="Z82" s="3">
        <v>2.5534350156011625</v>
      </c>
      <c r="AA82" s="3">
        <v>3.9865965547577731</v>
      </c>
    </row>
    <row r="83" spans="1:27" x14ac:dyDescent="0.2">
      <c r="A83" s="1">
        <v>2052</v>
      </c>
      <c r="B83" s="3">
        <v>11.699128291853944</v>
      </c>
      <c r="C83" s="3">
        <v>11.699128291853944</v>
      </c>
      <c r="D83" s="3">
        <v>11.699128291853944</v>
      </c>
      <c r="E83" s="3">
        <v>25.136655115762018</v>
      </c>
      <c r="F83" s="3">
        <v>3.9881166426611259</v>
      </c>
      <c r="G83" s="3">
        <v>25.136655115762018</v>
      </c>
      <c r="H83" s="3">
        <v>2.5518656848715136</v>
      </c>
      <c r="I83" s="3">
        <v>25.136655115762018</v>
      </c>
      <c r="J83" s="3">
        <v>25.136655115762018</v>
      </c>
      <c r="K83" s="3">
        <v>25.136655115762018</v>
      </c>
      <c r="L83" s="3">
        <v>25.136655115762018</v>
      </c>
      <c r="M83" s="3">
        <v>11.699128291853944</v>
      </c>
      <c r="N83" s="3">
        <v>25.136655115762018</v>
      </c>
      <c r="O83" s="3">
        <v>2.5518656848715136</v>
      </c>
      <c r="P83" s="3">
        <v>25.136655115762018</v>
      </c>
      <c r="Q83" s="3">
        <v>11.699128291853944</v>
      </c>
      <c r="R83" s="3">
        <v>25.136655115762018</v>
      </c>
      <c r="S83" s="3">
        <v>2.5518656848715136</v>
      </c>
      <c r="T83" s="3">
        <v>58.290266339338913</v>
      </c>
      <c r="U83" s="3">
        <v>2.5518656848715136</v>
      </c>
      <c r="V83" s="3">
        <v>25.136655115762018</v>
      </c>
      <c r="W83" s="3">
        <v>3.9881166426611259</v>
      </c>
      <c r="X83" s="3">
        <v>11.699128291853944</v>
      </c>
      <c r="Y83" s="3">
        <v>3.9881166426611259</v>
      </c>
      <c r="Z83" s="3">
        <v>2.5518656848715136</v>
      </c>
      <c r="AA83" s="3">
        <v>3.9881166426611259</v>
      </c>
    </row>
    <row r="84" spans="1:27" x14ac:dyDescent="0.2">
      <c r="A84" s="1">
        <v>2053</v>
      </c>
      <c r="B84" s="3">
        <v>11.789267415767068</v>
      </c>
      <c r="C84" s="3">
        <v>11.789267415767068</v>
      </c>
      <c r="D84" s="3">
        <v>11.789267415767068</v>
      </c>
      <c r="E84" s="3">
        <v>25.363773900482268</v>
      </c>
      <c r="F84" s="3">
        <v>3.9896373101734763</v>
      </c>
      <c r="G84" s="3">
        <v>25.363773900482268</v>
      </c>
      <c r="H84" s="3">
        <v>2.5502973186461202</v>
      </c>
      <c r="I84" s="3">
        <v>25.363773900482268</v>
      </c>
      <c r="J84" s="3">
        <v>25.363773900482268</v>
      </c>
      <c r="K84" s="3">
        <v>25.363773900482268</v>
      </c>
      <c r="L84" s="3">
        <v>25.363773900482268</v>
      </c>
      <c r="M84" s="3">
        <v>11.789267415767068</v>
      </c>
      <c r="N84" s="3">
        <v>25.363773900482268</v>
      </c>
      <c r="O84" s="3">
        <v>2.5502973186461202</v>
      </c>
      <c r="P84" s="3">
        <v>25.363773900482268</v>
      </c>
      <c r="Q84" s="3">
        <v>11.789267415767068</v>
      </c>
      <c r="R84" s="3">
        <v>25.363773900482268</v>
      </c>
      <c r="S84" s="3">
        <v>2.5502973186461202</v>
      </c>
      <c r="T84" s="3">
        <v>59.451411883016704</v>
      </c>
      <c r="U84" s="3">
        <v>2.5502973186461202</v>
      </c>
      <c r="V84" s="3">
        <v>25.363773900482268</v>
      </c>
      <c r="W84" s="3">
        <v>3.9896373101734763</v>
      </c>
      <c r="X84" s="3">
        <v>11.789267415767068</v>
      </c>
      <c r="Y84" s="3">
        <v>3.9896373101734763</v>
      </c>
      <c r="Z84" s="3">
        <v>2.5502973186461202</v>
      </c>
      <c r="AA84" s="3">
        <v>3.9896373101734763</v>
      </c>
    </row>
    <row r="85" spans="1:27" x14ac:dyDescent="0.2">
      <c r="A85" s="1">
        <v>2054</v>
      </c>
      <c r="B85" s="3">
        <v>11.880101041138516</v>
      </c>
      <c r="C85" s="3">
        <v>11.880101041138516</v>
      </c>
      <c r="D85" s="3">
        <v>11.880101041138516</v>
      </c>
      <c r="E85" s="3">
        <v>25.592944785696208</v>
      </c>
      <c r="F85" s="3">
        <v>3.9911585575158295</v>
      </c>
      <c r="G85" s="3">
        <v>25.592944785696208</v>
      </c>
      <c r="H85" s="3">
        <v>2.5487299163322019</v>
      </c>
      <c r="I85" s="3">
        <v>25.592944785696208</v>
      </c>
      <c r="J85" s="3">
        <v>25.592944785696208</v>
      </c>
      <c r="K85" s="3">
        <v>25.592944785696208</v>
      </c>
      <c r="L85" s="3">
        <v>25.592944785696208</v>
      </c>
      <c r="M85" s="3">
        <v>11.880101041138516</v>
      </c>
      <c r="N85" s="3">
        <v>25.592944785696208</v>
      </c>
      <c r="O85" s="3">
        <v>2.5487299163322019</v>
      </c>
      <c r="P85" s="3">
        <v>25.592944785696208</v>
      </c>
      <c r="Q85" s="3">
        <v>11.880101041138516</v>
      </c>
      <c r="R85" s="3">
        <v>25.592944785696208</v>
      </c>
      <c r="S85" s="3">
        <v>2.5487299163322019</v>
      </c>
      <c r="T85" s="3">
        <v>60.635687514413668</v>
      </c>
      <c r="U85" s="3">
        <v>2.5487299163322019</v>
      </c>
      <c r="V85" s="3">
        <v>25.592944785696208</v>
      </c>
      <c r="W85" s="3">
        <v>3.9911585575158295</v>
      </c>
      <c r="X85" s="3">
        <v>11.880101041138516</v>
      </c>
      <c r="Y85" s="3">
        <v>3.9911585575158295</v>
      </c>
      <c r="Z85" s="3">
        <v>2.5487299163322019</v>
      </c>
      <c r="AA85" s="3">
        <v>3.9911585575158295</v>
      </c>
    </row>
    <row r="86" spans="1:27" x14ac:dyDescent="0.2">
      <c r="A86" s="1">
        <v>2055</v>
      </c>
      <c r="B86" s="3">
        <v>11.971634518944144</v>
      </c>
      <c r="C86" s="3">
        <v>11.971634518944144</v>
      </c>
      <c r="D86" s="3">
        <v>11.971634518944144</v>
      </c>
      <c r="E86" s="3">
        <v>25.824186312875174</v>
      </c>
      <c r="F86" s="3">
        <v>3.9926803849092742</v>
      </c>
      <c r="G86" s="3">
        <v>25.824186312875174</v>
      </c>
      <c r="H86" s="3">
        <v>2.5471634773373428</v>
      </c>
      <c r="I86" s="3">
        <v>25.824186312875174</v>
      </c>
      <c r="J86" s="3">
        <v>25.824186312875174</v>
      </c>
      <c r="K86" s="3">
        <v>25.824186312875174</v>
      </c>
      <c r="L86" s="3">
        <v>25.824186312875174</v>
      </c>
      <c r="M86" s="3">
        <v>11.971634518944144</v>
      </c>
      <c r="N86" s="3">
        <v>25.824186312875174</v>
      </c>
      <c r="O86" s="3">
        <v>2.5471634773373428</v>
      </c>
      <c r="P86" s="3">
        <v>25.824186312875174</v>
      </c>
      <c r="Q86" s="3">
        <v>11.971634518944144</v>
      </c>
      <c r="R86" s="3">
        <v>25.824186312875174</v>
      </c>
      <c r="S86" s="3">
        <v>2.5471634773373428</v>
      </c>
      <c r="T86" s="3">
        <v>61.843553986241474</v>
      </c>
      <c r="U86" s="3">
        <v>2.5471634773373428</v>
      </c>
      <c r="V86" s="3">
        <v>25.824186312875174</v>
      </c>
      <c r="W86" s="3">
        <v>3.9926803849092742</v>
      </c>
      <c r="X86" s="3">
        <v>11.971634518944144</v>
      </c>
      <c r="Y86" s="3">
        <v>3.9926803849092742</v>
      </c>
      <c r="Z86" s="3">
        <v>2.5471634773373428</v>
      </c>
      <c r="AA86" s="3">
        <v>3.9926803849092742</v>
      </c>
    </row>
    <row r="87" spans="1:27" x14ac:dyDescent="0.2">
      <c r="A87" s="1">
        <v>2056</v>
      </c>
      <c r="B87" s="3">
        <v>12.06387324138786</v>
      </c>
      <c r="C87" s="3">
        <v>12.06387324138786</v>
      </c>
      <c r="D87" s="3">
        <v>12.06387324138786</v>
      </c>
      <c r="E87" s="3">
        <v>26.057517191019407</v>
      </c>
      <c r="F87" s="3">
        <v>3.9942027925749839</v>
      </c>
      <c r="G87" s="3">
        <v>26.057517191019407</v>
      </c>
      <c r="H87" s="3">
        <v>2.5455980010694912</v>
      </c>
      <c r="I87" s="3">
        <v>26.057517191019407</v>
      </c>
      <c r="J87" s="3">
        <v>26.057517191019407</v>
      </c>
      <c r="K87" s="3">
        <v>26.057517191019407</v>
      </c>
      <c r="L87" s="3">
        <v>26.057517191019407</v>
      </c>
      <c r="M87" s="3">
        <v>12.06387324138786</v>
      </c>
      <c r="N87" s="3">
        <v>26.057517191019407</v>
      </c>
      <c r="O87" s="3">
        <v>2.5455980010694912</v>
      </c>
      <c r="P87" s="3">
        <v>26.057517191019407</v>
      </c>
      <c r="Q87" s="3">
        <v>12.06387324138786</v>
      </c>
      <c r="R87" s="3">
        <v>26.057517191019407</v>
      </c>
      <c r="S87" s="3">
        <v>2.5455980010694912</v>
      </c>
      <c r="T87" s="3">
        <v>63.075481229432995</v>
      </c>
      <c r="U87" s="3">
        <v>2.5455980010694912</v>
      </c>
      <c r="V87" s="3">
        <v>26.057517191019407</v>
      </c>
      <c r="W87" s="3">
        <v>3.9942027925749839</v>
      </c>
      <c r="X87" s="3">
        <v>12.06387324138786</v>
      </c>
      <c r="Y87" s="3">
        <v>3.9942027925749839</v>
      </c>
      <c r="Z87" s="3">
        <v>2.5455980010694912</v>
      </c>
      <c r="AA87" s="3">
        <v>3.9942027925749839</v>
      </c>
    </row>
    <row r="88" spans="1:27" x14ac:dyDescent="0.2">
      <c r="A88" s="1">
        <v>2057</v>
      </c>
      <c r="B88" s="3">
        <v>12.156822642219275</v>
      </c>
      <c r="C88" s="3">
        <v>12.156822642219275</v>
      </c>
      <c r="D88" s="3">
        <v>12.156822642219275</v>
      </c>
      <c r="E88" s="3">
        <v>26.292956298171749</v>
      </c>
      <c r="F88" s="3">
        <v>3.9957257807342157</v>
      </c>
      <c r="G88" s="3">
        <v>26.292956298171749</v>
      </c>
      <c r="H88" s="3">
        <v>2.5440334869369585</v>
      </c>
      <c r="I88" s="3">
        <v>26.292956298171749</v>
      </c>
      <c r="J88" s="3">
        <v>26.292956298171749</v>
      </c>
      <c r="K88" s="3">
        <v>26.292956298171749</v>
      </c>
      <c r="L88" s="3">
        <v>26.292956298171749</v>
      </c>
      <c r="M88" s="3">
        <v>12.156822642219275</v>
      </c>
      <c r="N88" s="3">
        <v>26.292956298171749</v>
      </c>
      <c r="O88" s="3">
        <v>2.5440334869369585</v>
      </c>
      <c r="P88" s="3">
        <v>26.292956298171749</v>
      </c>
      <c r="Q88" s="3">
        <v>12.156822642219275</v>
      </c>
      <c r="R88" s="3">
        <v>26.292956298171749</v>
      </c>
      <c r="S88" s="3">
        <v>2.5440334869369585</v>
      </c>
      <c r="T88" s="3">
        <v>64.331948535972998</v>
      </c>
      <c r="U88" s="3">
        <v>2.5440334869369585</v>
      </c>
      <c r="V88" s="3">
        <v>26.292956298171749</v>
      </c>
      <c r="W88" s="3">
        <v>3.9957257807342157</v>
      </c>
      <c r="X88" s="3">
        <v>12.156822642219275</v>
      </c>
      <c r="Y88" s="3">
        <v>3.9957257807342157</v>
      </c>
      <c r="Z88" s="3">
        <v>2.5440334869369585</v>
      </c>
      <c r="AA88" s="3">
        <v>3.9957257807342157</v>
      </c>
    </row>
    <row r="89" spans="1:27" x14ac:dyDescent="0.2">
      <c r="A89" s="1">
        <v>2058</v>
      </c>
      <c r="B89" s="3">
        <v>12.250488197053807</v>
      </c>
      <c r="C89" s="3">
        <v>12.250488197053807</v>
      </c>
      <c r="D89" s="3">
        <v>12.250488197053807</v>
      </c>
      <c r="E89" s="3">
        <v>26.530522682944991</v>
      </c>
      <c r="F89" s="3">
        <v>3.9972493496083121</v>
      </c>
      <c r="G89" s="3">
        <v>26.530522682944991</v>
      </c>
      <c r="H89" s="3">
        <v>2.5424699343484205</v>
      </c>
      <c r="I89" s="3">
        <v>26.530522682944991</v>
      </c>
      <c r="J89" s="3">
        <v>26.530522682944991</v>
      </c>
      <c r="K89" s="3">
        <v>26.530522682944991</v>
      </c>
      <c r="L89" s="3">
        <v>26.530522682944991</v>
      </c>
      <c r="M89" s="3">
        <v>12.250488197053807</v>
      </c>
      <c r="N89" s="3">
        <v>26.530522682944991</v>
      </c>
      <c r="O89" s="3">
        <v>2.5424699343484205</v>
      </c>
      <c r="P89" s="3">
        <v>26.530522682944991</v>
      </c>
      <c r="Q89" s="3">
        <v>12.250488197053807</v>
      </c>
      <c r="R89" s="3">
        <v>26.530522682944991</v>
      </c>
      <c r="S89" s="3">
        <v>2.5424699343484205</v>
      </c>
      <c r="T89" s="3">
        <v>65.613444745370856</v>
      </c>
      <c r="U89" s="3">
        <v>2.5424699343484205</v>
      </c>
      <c r="V89" s="3">
        <v>26.530522682944991</v>
      </c>
      <c r="W89" s="3">
        <v>3.9972493496083121</v>
      </c>
      <c r="X89" s="3">
        <v>12.250488197053807</v>
      </c>
      <c r="Y89" s="3">
        <v>3.9972493496083121</v>
      </c>
      <c r="Z89" s="3">
        <v>2.5424699343484205</v>
      </c>
      <c r="AA89" s="3">
        <v>3.9972493496083121</v>
      </c>
    </row>
    <row r="90" spans="1:27" x14ac:dyDescent="0.2">
      <c r="A90" s="1">
        <v>2059</v>
      </c>
      <c r="B90" s="3">
        <v>12.344875423695246</v>
      </c>
      <c r="C90" s="3">
        <v>12.344875423695246</v>
      </c>
      <c r="D90" s="3">
        <v>12.344875423695246</v>
      </c>
      <c r="E90" s="3">
        <v>26.770235566063043</v>
      </c>
      <c r="F90" s="3">
        <v>3.9987734994186992</v>
      </c>
      <c r="G90" s="3">
        <v>26.770235566063043</v>
      </c>
      <c r="H90" s="3">
        <v>2.5409073427129161</v>
      </c>
      <c r="I90" s="3">
        <v>26.770235566063043</v>
      </c>
      <c r="J90" s="3">
        <v>26.770235566063043</v>
      </c>
      <c r="K90" s="3">
        <v>26.770235566063043</v>
      </c>
      <c r="L90" s="3">
        <v>26.770235566063043</v>
      </c>
      <c r="M90" s="3">
        <v>12.344875423695246</v>
      </c>
      <c r="N90" s="3">
        <v>26.770235566063043</v>
      </c>
      <c r="O90" s="3">
        <v>2.5409073427129161</v>
      </c>
      <c r="P90" s="3">
        <v>26.770235566063043</v>
      </c>
      <c r="Q90" s="3">
        <v>12.344875423695246</v>
      </c>
      <c r="R90" s="3">
        <v>26.770235566063043</v>
      </c>
      <c r="S90" s="3">
        <v>2.5409073427129161</v>
      </c>
      <c r="T90" s="3">
        <v>66.920468434847805</v>
      </c>
      <c r="U90" s="3">
        <v>2.5409073427129161</v>
      </c>
      <c r="V90" s="3">
        <v>26.770235566063043</v>
      </c>
      <c r="W90" s="3">
        <v>3.9987734994186992</v>
      </c>
      <c r="X90" s="3">
        <v>12.344875423695246</v>
      </c>
      <c r="Y90" s="3">
        <v>3.9987734994186992</v>
      </c>
      <c r="Z90" s="3">
        <v>2.5409073427129161</v>
      </c>
      <c r="AA90" s="3">
        <v>3.9987734994186992</v>
      </c>
    </row>
    <row r="91" spans="1:27" x14ac:dyDescent="0.2">
      <c r="A91" s="1">
        <v>2060</v>
      </c>
      <c r="B91" s="3">
        <v>12.439989882460806</v>
      </c>
      <c r="C91" s="3">
        <v>12.439989882460806</v>
      </c>
      <c r="D91" s="3">
        <v>12.439989882460806</v>
      </c>
      <c r="E91" s="3">
        <v>27.012114341916021</v>
      </c>
      <c r="F91" s="3">
        <v>4.0002982303868881</v>
      </c>
      <c r="G91" s="3">
        <v>27.012114341916021</v>
      </c>
      <c r="H91" s="3">
        <v>2.5393457114398479</v>
      </c>
      <c r="I91" s="3">
        <v>27.012114341916021</v>
      </c>
      <c r="J91" s="3">
        <v>27.012114341916021</v>
      </c>
      <c r="K91" s="3">
        <v>27.012114341916021</v>
      </c>
      <c r="L91" s="3">
        <v>27.012114341916021</v>
      </c>
      <c r="M91" s="3">
        <v>12.439989882460806</v>
      </c>
      <c r="N91" s="3">
        <v>27.012114341916021</v>
      </c>
      <c r="O91" s="3">
        <v>2.5393457114398479</v>
      </c>
      <c r="P91" s="3">
        <v>27.012114341916021</v>
      </c>
      <c r="Q91" s="3">
        <v>12.439989882460806</v>
      </c>
      <c r="R91" s="3">
        <v>27.012114341916021</v>
      </c>
      <c r="S91" s="3">
        <v>2.5393457114398479</v>
      </c>
      <c r="T91" s="3">
        <v>68.253528113312726</v>
      </c>
      <c r="U91" s="3">
        <v>2.5393457114398479</v>
      </c>
      <c r="V91" s="3">
        <v>27.012114341916021</v>
      </c>
      <c r="W91" s="3">
        <v>4.0002982303868881</v>
      </c>
      <c r="X91" s="3">
        <v>12.439989882460806</v>
      </c>
      <c r="Y91" s="3">
        <v>4.0002982303868881</v>
      </c>
      <c r="Z91" s="3">
        <v>2.5393457114398479</v>
      </c>
      <c r="AA91" s="3">
        <v>4.0002982303868881</v>
      </c>
    </row>
    <row r="92" spans="1:27" x14ac:dyDescent="0.2">
      <c r="A92" s="1">
        <v>2061</v>
      </c>
      <c r="B92" s="3">
        <v>12.53583717650868</v>
      </c>
      <c r="C92" s="3">
        <v>12.53583717650868</v>
      </c>
      <c r="D92" s="3">
        <v>12.53583717650868</v>
      </c>
      <c r="E92" s="3">
        <v>27.256178580129379</v>
      </c>
      <c r="F92" s="3">
        <v>4.0018235427344742</v>
      </c>
      <c r="G92" s="3">
        <v>27.256178580129379</v>
      </c>
      <c r="H92" s="3">
        <v>2.5377850399389805</v>
      </c>
      <c r="I92" s="3">
        <v>27.256178580129379</v>
      </c>
      <c r="J92" s="3">
        <v>27.256178580129379</v>
      </c>
      <c r="K92" s="3">
        <v>27.256178580129379</v>
      </c>
      <c r="L92" s="3">
        <v>27.256178580129379</v>
      </c>
      <c r="M92" s="3">
        <v>12.53583717650868</v>
      </c>
      <c r="N92" s="3">
        <v>27.256178580129379</v>
      </c>
      <c r="O92" s="3">
        <v>2.5377850399389805</v>
      </c>
      <c r="P92" s="3">
        <v>27.256178580129379</v>
      </c>
      <c r="Q92" s="3">
        <v>12.53583717650868</v>
      </c>
      <c r="R92" s="3">
        <v>27.256178580129379</v>
      </c>
      <c r="S92" s="3">
        <v>2.5377850399389805</v>
      </c>
      <c r="T92" s="3">
        <v>69.613142419201978</v>
      </c>
      <c r="U92" s="3">
        <v>2.5377850399389805</v>
      </c>
      <c r="V92" s="3">
        <v>27.256178580129379</v>
      </c>
      <c r="W92" s="3">
        <v>4.0018235427344742</v>
      </c>
      <c r="X92" s="3">
        <v>12.53583717650868</v>
      </c>
      <c r="Y92" s="3">
        <v>4.0018235427344742</v>
      </c>
      <c r="Z92" s="3">
        <v>2.5377850399389805</v>
      </c>
      <c r="AA92" s="3">
        <v>4.0018235427344742</v>
      </c>
    </row>
    <row r="93" spans="1:27" x14ac:dyDescent="0.2">
      <c r="A93" s="1">
        <v>2062</v>
      </c>
      <c r="B93" s="3">
        <v>12.632422952168124</v>
      </c>
      <c r="C93" s="3">
        <v>12.632422952168124</v>
      </c>
      <c r="D93" s="3">
        <v>12.632422952168124</v>
      </c>
      <c r="E93" s="3">
        <v>27.502448027147228</v>
      </c>
      <c r="F93" s="3">
        <v>4.0033494366831368</v>
      </c>
      <c r="G93" s="3">
        <v>27.502448027147228</v>
      </c>
      <c r="H93" s="3">
        <v>2.5362253276204423</v>
      </c>
      <c r="I93" s="3">
        <v>27.502448027147228</v>
      </c>
      <c r="J93" s="3">
        <v>27.502448027147228</v>
      </c>
      <c r="K93" s="3">
        <v>27.502448027147228</v>
      </c>
      <c r="L93" s="3">
        <v>27.502448027147228</v>
      </c>
      <c r="M93" s="3">
        <v>12.632422952168124</v>
      </c>
      <c r="N93" s="3">
        <v>27.502448027147228</v>
      </c>
      <c r="O93" s="3">
        <v>2.5362253276204423</v>
      </c>
      <c r="P93" s="3">
        <v>27.502448027147228</v>
      </c>
      <c r="Q93" s="3">
        <v>12.632422952168124</v>
      </c>
      <c r="R93" s="3">
        <v>27.502448027147228</v>
      </c>
      <c r="S93" s="3">
        <v>2.5362253276204423</v>
      </c>
      <c r="T93" s="3">
        <v>70.999840322260155</v>
      </c>
      <c r="U93" s="3">
        <v>2.5362253276204423</v>
      </c>
      <c r="V93" s="3">
        <v>27.502448027147228</v>
      </c>
      <c r="W93" s="3">
        <v>4.0033494366831368</v>
      </c>
      <c r="X93" s="3">
        <v>12.632422952168124</v>
      </c>
      <c r="Y93" s="3">
        <v>4.0033494366831368</v>
      </c>
      <c r="Z93" s="3">
        <v>2.5362253276204423</v>
      </c>
      <c r="AA93" s="3">
        <v>4.0033494366831368</v>
      </c>
    </row>
    <row r="94" spans="1:27" x14ac:dyDescent="0.2">
      <c r="A94" s="1">
        <v>2063</v>
      </c>
      <c r="B94" s="3">
        <v>12.729752899272073</v>
      </c>
      <c r="C94" s="3">
        <v>12.729752899272073</v>
      </c>
      <c r="D94" s="3">
        <v>12.729752899272073</v>
      </c>
      <c r="E94" s="3">
        <v>27.750942607829948</v>
      </c>
      <c r="F94" s="3">
        <v>4.00487591245464</v>
      </c>
      <c r="G94" s="3">
        <v>27.750942607829948</v>
      </c>
      <c r="H94" s="3">
        <v>2.5346665738947234</v>
      </c>
      <c r="I94" s="3">
        <v>27.750942607829948</v>
      </c>
      <c r="J94" s="3">
        <v>27.750942607829948</v>
      </c>
      <c r="K94" s="3">
        <v>27.750942607829948</v>
      </c>
      <c r="L94" s="3">
        <v>27.750942607829948</v>
      </c>
      <c r="M94" s="3">
        <v>12.729752899272073</v>
      </c>
      <c r="N94" s="3">
        <v>27.750942607829948</v>
      </c>
      <c r="O94" s="3">
        <v>2.5346665738947234</v>
      </c>
      <c r="P94" s="3">
        <v>27.750942607829948</v>
      </c>
      <c r="Q94" s="3">
        <v>12.729752899272073</v>
      </c>
      <c r="R94" s="3">
        <v>27.750942607829948</v>
      </c>
      <c r="S94" s="3">
        <v>2.5346665738947234</v>
      </c>
      <c r="T94" s="3">
        <v>72.414161329340359</v>
      </c>
      <c r="U94" s="3">
        <v>2.5346665738947234</v>
      </c>
      <c r="V94" s="3">
        <v>27.750942607829948</v>
      </c>
      <c r="W94" s="3">
        <v>4.00487591245464</v>
      </c>
      <c r="X94" s="3">
        <v>12.729752899272073</v>
      </c>
      <c r="Y94" s="3">
        <v>4.00487591245464</v>
      </c>
      <c r="Z94" s="3">
        <v>2.5346665738947234</v>
      </c>
      <c r="AA94" s="3">
        <v>4.00487591245464</v>
      </c>
    </row>
    <row r="95" spans="1:27" x14ac:dyDescent="0.2">
      <c r="A95" s="1">
        <v>2064</v>
      </c>
      <c r="B95" s="3">
        <v>12.827832751492336</v>
      </c>
      <c r="C95" s="3">
        <v>12.827832751492336</v>
      </c>
      <c r="D95" s="3">
        <v>12.827832751492336</v>
      </c>
      <c r="E95" s="3">
        <v>28.00168242706626</v>
      </c>
      <c r="F95" s="3">
        <v>4.006402970270833</v>
      </c>
      <c r="G95" s="3">
        <v>28.00168242706626</v>
      </c>
      <c r="H95" s="3">
        <v>2.5331087781726769</v>
      </c>
      <c r="I95" s="3">
        <v>28.00168242706626</v>
      </c>
      <c r="J95" s="3">
        <v>28.00168242706626</v>
      </c>
      <c r="K95" s="3">
        <v>28.00168242706626</v>
      </c>
      <c r="L95" s="3">
        <v>28.00168242706626</v>
      </c>
      <c r="M95" s="3">
        <v>12.827832751492336</v>
      </c>
      <c r="N95" s="3">
        <v>28.00168242706626</v>
      </c>
      <c r="O95" s="3">
        <v>2.5331087781726769</v>
      </c>
      <c r="P95" s="3">
        <v>28.00168242706626</v>
      </c>
      <c r="Q95" s="3">
        <v>12.827832751492336</v>
      </c>
      <c r="R95" s="3">
        <v>28.00168242706626</v>
      </c>
      <c r="S95" s="3">
        <v>2.5331087781726769</v>
      </c>
      <c r="T95" s="3">
        <v>73.856655694304038</v>
      </c>
      <c r="U95" s="3">
        <v>2.5331087781726769</v>
      </c>
      <c r="V95" s="3">
        <v>28.00168242706626</v>
      </c>
      <c r="W95" s="3">
        <v>4.006402970270833</v>
      </c>
      <c r="X95" s="3">
        <v>12.827832751492336</v>
      </c>
      <c r="Y95" s="3">
        <v>4.006402970270833</v>
      </c>
      <c r="Z95" s="3">
        <v>2.5331087781726769</v>
      </c>
      <c r="AA95" s="3">
        <v>4.006402970270833</v>
      </c>
    </row>
    <row r="96" spans="1:27" x14ac:dyDescent="0.2">
      <c r="A96" s="1">
        <v>2065</v>
      </c>
      <c r="B96" s="3">
        <v>12.926668286677355</v>
      </c>
      <c r="C96" s="3">
        <v>12.926668286677355</v>
      </c>
      <c r="D96" s="3">
        <v>12.926668286677355</v>
      </c>
      <c r="E96" s="3">
        <v>28.254687771399833</v>
      </c>
      <c r="F96" s="3">
        <v>4.0079306103536494</v>
      </c>
      <c r="G96" s="3">
        <v>28.254687771399833</v>
      </c>
      <c r="H96" s="3">
        <v>2.5315519398655173</v>
      </c>
      <c r="I96" s="3">
        <v>28.254687771399833</v>
      </c>
      <c r="J96" s="3">
        <v>28.254687771399833</v>
      </c>
      <c r="K96" s="3">
        <v>28.254687771399833</v>
      </c>
      <c r="L96" s="3">
        <v>28.254687771399833</v>
      </c>
      <c r="M96" s="3">
        <v>12.926668286677355</v>
      </c>
      <c r="N96" s="3">
        <v>28.254687771399833</v>
      </c>
      <c r="O96" s="3">
        <v>2.5315519398655173</v>
      </c>
      <c r="P96" s="3">
        <v>28.254687771399833</v>
      </c>
      <c r="Q96" s="3">
        <v>12.926668286677355</v>
      </c>
      <c r="R96" s="3">
        <v>28.254687771399833</v>
      </c>
      <c r="S96" s="3">
        <v>2.5315519398655173</v>
      </c>
      <c r="T96" s="3">
        <v>75.327884632101998</v>
      </c>
      <c r="U96" s="3">
        <v>2.5315519398655173</v>
      </c>
      <c r="V96" s="3">
        <v>28.254687771399833</v>
      </c>
      <c r="W96" s="3">
        <v>4.0079306103536494</v>
      </c>
      <c r="X96" s="3">
        <v>12.926668286677355</v>
      </c>
      <c r="Y96" s="3">
        <v>4.0079306103536494</v>
      </c>
      <c r="Z96" s="3">
        <v>2.5315519398655173</v>
      </c>
      <c r="AA96" s="3">
        <v>4.0079306103536494</v>
      </c>
    </row>
    <row r="97" spans="1:27" x14ac:dyDescent="0.2">
      <c r="A97" s="1">
        <v>2066</v>
      </c>
      <c r="B97" s="3">
        <v>13.026265327192585</v>
      </c>
      <c r="C97" s="3">
        <v>13.026265327192585</v>
      </c>
      <c r="D97" s="3">
        <v>13.026265327192585</v>
      </c>
      <c r="E97" s="3">
        <v>28.509979110670606</v>
      </c>
      <c r="F97" s="3">
        <v>4.0094588329251071</v>
      </c>
      <c r="G97" s="3">
        <v>28.509979110670606</v>
      </c>
      <c r="H97" s="3">
        <v>2.5299960583848216</v>
      </c>
      <c r="I97" s="3">
        <v>28.509979110670606</v>
      </c>
      <c r="J97" s="3">
        <v>28.509979110670606</v>
      </c>
      <c r="K97" s="3">
        <v>28.509979110670606</v>
      </c>
      <c r="L97" s="3">
        <v>28.509979110670606</v>
      </c>
      <c r="M97" s="3">
        <v>13.026265327192585</v>
      </c>
      <c r="N97" s="3">
        <v>28.509979110670606</v>
      </c>
      <c r="O97" s="3">
        <v>2.5299960583848216</v>
      </c>
      <c r="P97" s="3">
        <v>28.509979110670606</v>
      </c>
      <c r="Q97" s="3">
        <v>13.026265327192585</v>
      </c>
      <c r="R97" s="3">
        <v>28.509979110670606</v>
      </c>
      <c r="S97" s="3">
        <v>2.5299960583848216</v>
      </c>
      <c r="T97" s="3">
        <v>76.828420537119996</v>
      </c>
      <c r="U97" s="3">
        <v>2.5299960583848216</v>
      </c>
      <c r="V97" s="3">
        <v>28.509979110670606</v>
      </c>
      <c r="W97" s="3">
        <v>4.0094588329251071</v>
      </c>
      <c r="X97" s="3">
        <v>13.026265327192585</v>
      </c>
      <c r="Y97" s="3">
        <v>4.0094588329251071</v>
      </c>
      <c r="Z97" s="3">
        <v>2.5299960583848216</v>
      </c>
      <c r="AA97" s="3">
        <v>4.0094588329251071</v>
      </c>
    </row>
    <row r="98" spans="1:27" x14ac:dyDescent="0.2">
      <c r="A98" s="1">
        <v>2067</v>
      </c>
      <c r="B98" s="3">
        <v>13.12662974026348</v>
      </c>
      <c r="C98" s="3">
        <v>13.12662974026348</v>
      </c>
      <c r="D98" s="3">
        <v>13.12662974026348</v>
      </c>
      <c r="E98" s="3">
        <v>28.767577099670937</v>
      </c>
      <c r="F98" s="3">
        <v>4.0109876382073084</v>
      </c>
      <c r="G98" s="3">
        <v>28.767577099670937</v>
      </c>
      <c r="H98" s="3">
        <v>2.5284411331425281</v>
      </c>
      <c r="I98" s="3">
        <v>28.767577099670937</v>
      </c>
      <c r="J98" s="3">
        <v>28.767577099670937</v>
      </c>
      <c r="K98" s="3">
        <v>28.767577099670937</v>
      </c>
      <c r="L98" s="3">
        <v>28.767577099670937</v>
      </c>
      <c r="M98" s="3">
        <v>13.12662974026348</v>
      </c>
      <c r="N98" s="3">
        <v>28.767577099670937</v>
      </c>
      <c r="O98" s="3">
        <v>2.5284411331425281</v>
      </c>
      <c r="P98" s="3">
        <v>28.767577099670937</v>
      </c>
      <c r="Q98" s="3">
        <v>13.12662974026348</v>
      </c>
      <c r="R98" s="3">
        <v>28.767577099670937</v>
      </c>
      <c r="S98" s="3">
        <v>2.5284411331425281</v>
      </c>
      <c r="T98" s="3">
        <v>78.358847205873687</v>
      </c>
      <c r="U98" s="3">
        <v>2.5284411331425281</v>
      </c>
      <c r="V98" s="3">
        <v>28.767577099670937</v>
      </c>
      <c r="W98" s="3">
        <v>4.0109876382073084</v>
      </c>
      <c r="X98" s="3">
        <v>13.12662974026348</v>
      </c>
      <c r="Y98" s="3">
        <v>4.0109876382073084</v>
      </c>
      <c r="Z98" s="3">
        <v>2.5284411331425281</v>
      </c>
      <c r="AA98" s="3">
        <v>4.0109876382073084</v>
      </c>
    </row>
    <row r="99" spans="1:27" x14ac:dyDescent="0.2">
      <c r="A99" s="1">
        <v>2068</v>
      </c>
      <c r="B99" s="3">
        <v>13.227767438321136</v>
      </c>
      <c r="C99" s="3">
        <v>13.227767438321136</v>
      </c>
      <c r="D99" s="3">
        <v>13.227767438321136</v>
      </c>
      <c r="E99" s="3">
        <v>29.027502579816719</v>
      </c>
      <c r="F99" s="3">
        <v>4.0125170264224419</v>
      </c>
      <c r="G99" s="3">
        <v>29.027502579816719</v>
      </c>
      <c r="H99" s="3">
        <v>2.5268871635509362</v>
      </c>
      <c r="I99" s="3">
        <v>29.027502579816719</v>
      </c>
      <c r="J99" s="3">
        <v>29.027502579816719</v>
      </c>
      <c r="K99" s="3">
        <v>29.027502579816719</v>
      </c>
      <c r="L99" s="3">
        <v>29.027502579816719</v>
      </c>
      <c r="M99" s="3">
        <v>13.227767438321136</v>
      </c>
      <c r="N99" s="3">
        <v>29.027502579816719</v>
      </c>
      <c r="O99" s="3">
        <v>2.5268871635509362</v>
      </c>
      <c r="P99" s="3">
        <v>29.027502579816719</v>
      </c>
      <c r="Q99" s="3">
        <v>13.227767438321136</v>
      </c>
      <c r="R99" s="3">
        <v>29.027502579816719</v>
      </c>
      <c r="S99" s="3">
        <v>2.5268871635509362</v>
      </c>
      <c r="T99" s="3">
        <v>79.91976006413978</v>
      </c>
      <c r="U99" s="3">
        <v>2.5268871635509362</v>
      </c>
      <c r="V99" s="3">
        <v>29.027502579816719</v>
      </c>
      <c r="W99" s="3">
        <v>4.0125170264224419</v>
      </c>
      <c r="X99" s="3">
        <v>13.227767438321136</v>
      </c>
      <c r="Y99" s="3">
        <v>4.0125170264224419</v>
      </c>
      <c r="Z99" s="3">
        <v>2.5268871635509362</v>
      </c>
      <c r="AA99" s="3">
        <v>4.0125170264224419</v>
      </c>
    </row>
    <row r="100" spans="1:27" x14ac:dyDescent="0.2">
      <c r="A100" s="1">
        <v>2069</v>
      </c>
      <c r="B100" s="3">
        <v>13.329684379350583</v>
      </c>
      <c r="C100" s="3">
        <v>13.329684379350583</v>
      </c>
      <c r="D100" s="3">
        <v>13.329684379350583</v>
      </c>
      <c r="E100" s="3">
        <v>29.289776580833582</v>
      </c>
      <c r="F100" s="3">
        <v>4.0140469977927786</v>
      </c>
      <c r="G100" s="3">
        <v>29.289776580833582</v>
      </c>
      <c r="H100" s="3">
        <v>2.5253341490227075</v>
      </c>
      <c r="I100" s="3">
        <v>29.289776580833582</v>
      </c>
      <c r="J100" s="3">
        <v>29.289776580833582</v>
      </c>
      <c r="K100" s="3">
        <v>29.289776580833582</v>
      </c>
      <c r="L100" s="3">
        <v>29.289776580833582</v>
      </c>
      <c r="M100" s="3">
        <v>13.329684379350583</v>
      </c>
      <c r="N100" s="3">
        <v>29.289776580833582</v>
      </c>
      <c r="O100" s="3">
        <v>2.5253341490227075</v>
      </c>
      <c r="P100" s="3">
        <v>29.289776580833582</v>
      </c>
      <c r="Q100" s="3">
        <v>13.329684379350583</v>
      </c>
      <c r="R100" s="3">
        <v>29.289776580833582</v>
      </c>
      <c r="S100" s="3">
        <v>2.5253341490227075</v>
      </c>
      <c r="T100" s="3">
        <v>81.511766398611556</v>
      </c>
      <c r="U100" s="3">
        <v>2.5253341490227075</v>
      </c>
      <c r="V100" s="3">
        <v>29.289776580833582</v>
      </c>
      <c r="W100" s="3">
        <v>4.0140469977927786</v>
      </c>
      <c r="X100" s="3">
        <v>13.329684379350583</v>
      </c>
      <c r="Y100" s="3">
        <v>4.0140469977927786</v>
      </c>
      <c r="Z100" s="3">
        <v>2.5253341490227075</v>
      </c>
      <c r="AA100" s="3">
        <v>4.0140469977927786</v>
      </c>
    </row>
    <row r="101" spans="1:27" x14ac:dyDescent="0.2">
      <c r="A101" s="1">
        <v>2070</v>
      </c>
      <c r="B101" s="3">
        <v>13.432386567241773</v>
      </c>
      <c r="C101" s="3">
        <v>13.432386567241773</v>
      </c>
      <c r="D101" s="3">
        <v>13.432386567241773</v>
      </c>
      <c r="E101" s="3">
        <v>29.554420322458345</v>
      </c>
      <c r="F101" s="3">
        <v>4.0155775525406758</v>
      </c>
      <c r="G101" s="3">
        <v>29.554420322458345</v>
      </c>
      <c r="H101" s="3">
        <v>2.5237820889708638</v>
      </c>
      <c r="I101" s="3">
        <v>29.554420322458345</v>
      </c>
      <c r="J101" s="3">
        <v>29.554420322458345</v>
      </c>
      <c r="K101" s="3">
        <v>29.554420322458345</v>
      </c>
      <c r="L101" s="3">
        <v>29.554420322458345</v>
      </c>
      <c r="M101" s="3">
        <v>13.432386567241773</v>
      </c>
      <c r="N101" s="3">
        <v>29.554420322458345</v>
      </c>
      <c r="O101" s="3">
        <v>2.5237820889708638</v>
      </c>
      <c r="P101" s="3">
        <v>29.554420322458345</v>
      </c>
      <c r="Q101" s="3">
        <v>13.432386567241773</v>
      </c>
      <c r="R101" s="3">
        <v>29.554420322458345</v>
      </c>
      <c r="S101" s="3">
        <v>2.5237820889708638</v>
      </c>
      <c r="T101" s="3">
        <v>83.135485593169051</v>
      </c>
      <c r="U101" s="3">
        <v>2.5237820889708638</v>
      </c>
      <c r="V101" s="3">
        <v>29.554420322458345</v>
      </c>
      <c r="W101" s="3">
        <v>4.0155775525406758</v>
      </c>
      <c r="X101" s="3">
        <v>13.432386567241773</v>
      </c>
      <c r="Y101" s="3">
        <v>4.0155775525406758</v>
      </c>
      <c r="Z101" s="3">
        <v>2.5237820889708638</v>
      </c>
      <c r="AA101" s="3">
        <v>4.0155775525406758</v>
      </c>
    </row>
    <row r="102" spans="1:27" x14ac:dyDescent="0.2">
      <c r="A102" s="1">
        <v>2071</v>
      </c>
      <c r="B102" s="3">
        <v>13.535880052143263</v>
      </c>
      <c r="C102" s="3">
        <v>13.535880052143263</v>
      </c>
      <c r="D102" s="3">
        <v>13.535880052143263</v>
      </c>
      <c r="E102" s="3">
        <v>29.821455216155844</v>
      </c>
      <c r="F102" s="3">
        <v>4.0171086908885751</v>
      </c>
      <c r="G102" s="3">
        <v>29.821455216155844</v>
      </c>
      <c r="H102" s="3">
        <v>2.5222309828087877</v>
      </c>
      <c r="I102" s="3">
        <v>29.821455216155844</v>
      </c>
      <c r="J102" s="3">
        <v>29.821455216155844</v>
      </c>
      <c r="K102" s="3">
        <v>29.821455216155844</v>
      </c>
      <c r="L102" s="3">
        <v>29.821455216155844</v>
      </c>
      <c r="M102" s="3">
        <v>13.535880052143263</v>
      </c>
      <c r="N102" s="3">
        <v>29.821455216155844</v>
      </c>
      <c r="O102" s="3">
        <v>2.5222309828087877</v>
      </c>
      <c r="P102" s="3">
        <v>29.821455216155844</v>
      </c>
      <c r="Q102" s="3">
        <v>13.535880052143263</v>
      </c>
      <c r="R102" s="3">
        <v>29.821455216155844</v>
      </c>
      <c r="S102" s="3">
        <v>2.5222309828087877</v>
      </c>
      <c r="T102" s="3">
        <v>84.791549369855716</v>
      </c>
      <c r="U102" s="3">
        <v>2.5222309828087877</v>
      </c>
      <c r="V102" s="3">
        <v>29.821455216155844</v>
      </c>
      <c r="W102" s="3">
        <v>4.0171086908885751</v>
      </c>
      <c r="X102" s="3">
        <v>13.535880052143263</v>
      </c>
      <c r="Y102" s="3">
        <v>4.0171086908885751</v>
      </c>
      <c r="Z102" s="3">
        <v>2.5222309828087877</v>
      </c>
      <c r="AA102" s="3">
        <v>4.0171086908885751</v>
      </c>
    </row>
    <row r="103" spans="1:27" x14ac:dyDescent="0.2">
      <c r="A103" s="1">
        <v>2072</v>
      </c>
      <c r="B103" s="3">
        <v>13.640170930818632</v>
      </c>
      <c r="C103" s="3">
        <v>13.640170930818632</v>
      </c>
      <c r="D103" s="3">
        <v>13.640170930818632</v>
      </c>
      <c r="E103" s="3">
        <v>30.090902866851245</v>
      </c>
      <c r="F103" s="3">
        <v>4.0186404130590025</v>
      </c>
      <c r="G103" s="3">
        <v>30.090902866851245</v>
      </c>
      <c r="H103" s="3">
        <v>2.5206808299502224</v>
      </c>
      <c r="I103" s="3">
        <v>30.090902866851245</v>
      </c>
      <c r="J103" s="3">
        <v>30.090902866851245</v>
      </c>
      <c r="K103" s="3">
        <v>30.090902866851245</v>
      </c>
      <c r="L103" s="3">
        <v>30.090902866851245</v>
      </c>
      <c r="M103" s="3">
        <v>13.640170930818632</v>
      </c>
      <c r="N103" s="3">
        <v>30.090902866851245</v>
      </c>
      <c r="O103" s="3">
        <v>2.5206808299502224</v>
      </c>
      <c r="P103" s="3">
        <v>30.090902866851245</v>
      </c>
      <c r="Q103" s="3">
        <v>13.640170930818632</v>
      </c>
      <c r="R103" s="3">
        <v>30.090902866851245</v>
      </c>
      <c r="S103" s="3">
        <v>2.5206808299502224</v>
      </c>
      <c r="T103" s="3">
        <v>86.480602034655391</v>
      </c>
      <c r="U103" s="3">
        <v>2.5206808299502224</v>
      </c>
      <c r="V103" s="3">
        <v>30.090902866851245</v>
      </c>
      <c r="W103" s="3">
        <v>4.0186404130590025</v>
      </c>
      <c r="X103" s="3">
        <v>13.640170930818632</v>
      </c>
      <c r="Y103" s="3">
        <v>4.0186404130590025</v>
      </c>
      <c r="Z103" s="3">
        <v>2.5206808299502224</v>
      </c>
      <c r="AA103" s="3">
        <v>4.0186404130590025</v>
      </c>
    </row>
    <row r="104" spans="1:27" x14ac:dyDescent="0.2">
      <c r="A104" s="1">
        <v>2073</v>
      </c>
      <c r="B104" s="3">
        <v>13.745265347005637</v>
      </c>
      <c r="C104" s="3">
        <v>13.745265347005637</v>
      </c>
      <c r="D104" s="3">
        <v>13.745265347005637</v>
      </c>
      <c r="E104" s="3">
        <v>30.362785074678047</v>
      </c>
      <c r="F104" s="3">
        <v>4.0201727192745702</v>
      </c>
      <c r="G104" s="3">
        <v>30.362785074678047</v>
      </c>
      <c r="H104" s="3">
        <v>2.5191316298092716</v>
      </c>
      <c r="I104" s="3">
        <v>30.362785074678047</v>
      </c>
      <c r="J104" s="3">
        <v>30.362785074678047</v>
      </c>
      <c r="K104" s="3">
        <v>30.362785074678047</v>
      </c>
      <c r="L104" s="3">
        <v>30.362785074678047</v>
      </c>
      <c r="M104" s="3">
        <v>13.745265347005637</v>
      </c>
      <c r="N104" s="3">
        <v>30.362785074678047</v>
      </c>
      <c r="O104" s="3">
        <v>2.5191316298092716</v>
      </c>
      <c r="P104" s="3">
        <v>30.362785074678047</v>
      </c>
      <c r="Q104" s="3">
        <v>13.745265347005637</v>
      </c>
      <c r="R104" s="3">
        <v>30.362785074678047</v>
      </c>
      <c r="S104" s="3">
        <v>2.5191316298092716</v>
      </c>
      <c r="T104" s="3">
        <v>88.203300728165104</v>
      </c>
      <c r="U104" s="3">
        <v>2.5191316298092716</v>
      </c>
      <c r="V104" s="3">
        <v>30.362785074678047</v>
      </c>
      <c r="W104" s="3">
        <v>4.0201727192745702</v>
      </c>
      <c r="X104" s="3">
        <v>13.745265347005637</v>
      </c>
      <c r="Y104" s="3">
        <v>4.0201727192745702</v>
      </c>
      <c r="Z104" s="3">
        <v>2.5191316298092716</v>
      </c>
      <c r="AA104" s="3">
        <v>4.0201727192745702</v>
      </c>
    </row>
    <row r="105" spans="1:27" x14ac:dyDescent="0.2">
      <c r="A105" s="1">
        <v>2074</v>
      </c>
      <c r="B105" s="3">
        <v>13.851169491778132</v>
      </c>
      <c r="C105" s="3">
        <v>13.851169491778132</v>
      </c>
      <c r="D105" s="3">
        <v>13.851169491778132</v>
      </c>
      <c r="E105" s="3">
        <v>30.637123836741853</v>
      </c>
      <c r="F105" s="3">
        <v>4.0217056097579738</v>
      </c>
      <c r="G105" s="3">
        <v>30.637123836741853</v>
      </c>
      <c r="H105" s="3">
        <v>2.5175833818003985</v>
      </c>
      <c r="I105" s="3">
        <v>30.637123836741853</v>
      </c>
      <c r="J105" s="3">
        <v>30.637123836741853</v>
      </c>
      <c r="K105" s="3">
        <v>30.637123836741853</v>
      </c>
      <c r="L105" s="3">
        <v>30.637123836741853</v>
      </c>
      <c r="M105" s="3">
        <v>13.851169491778132</v>
      </c>
      <c r="N105" s="3">
        <v>30.637123836741853</v>
      </c>
      <c r="O105" s="3">
        <v>2.5175833818003985</v>
      </c>
      <c r="P105" s="3">
        <v>30.637123836741853</v>
      </c>
      <c r="Q105" s="3">
        <v>13.851169491778132</v>
      </c>
      <c r="R105" s="3">
        <v>30.637123836741853</v>
      </c>
      <c r="S105" s="3">
        <v>2.5175833818003985</v>
      </c>
      <c r="T105" s="3">
        <v>89.960315681261349</v>
      </c>
      <c r="U105" s="3">
        <v>2.5175833818003985</v>
      </c>
      <c r="V105" s="3">
        <v>30.637123836741853</v>
      </c>
      <c r="W105" s="3">
        <v>4.0217056097579738</v>
      </c>
      <c r="X105" s="3">
        <v>13.851169491778132</v>
      </c>
      <c r="Y105" s="3">
        <v>4.0217056097579738</v>
      </c>
      <c r="Z105" s="3">
        <v>2.5175833818003985</v>
      </c>
      <c r="AA105" s="3">
        <v>4.0217056097579738</v>
      </c>
    </row>
    <row r="106" spans="1:27" x14ac:dyDescent="0.2">
      <c r="A106" s="1">
        <v>2075</v>
      </c>
      <c r="B106" s="3">
        <v>13.957889603910795</v>
      </c>
      <c r="C106" s="3">
        <v>13.957889603910795</v>
      </c>
      <c r="D106" s="3">
        <v>13.957889603910795</v>
      </c>
      <c r="E106" s="3">
        <v>30.913941348900078</v>
      </c>
      <c r="F106" s="3">
        <v>4.023239084731995</v>
      </c>
      <c r="G106" s="3">
        <v>30.913941348900078</v>
      </c>
      <c r="H106" s="3">
        <v>2.5160360853384272</v>
      </c>
      <c r="I106" s="3">
        <v>30.913941348900078</v>
      </c>
      <c r="J106" s="3">
        <v>30.913941348900078</v>
      </c>
      <c r="K106" s="3">
        <v>30.913941348900078</v>
      </c>
      <c r="L106" s="3">
        <v>30.913941348900078</v>
      </c>
      <c r="M106" s="3">
        <v>13.957889603910795</v>
      </c>
      <c r="N106" s="3">
        <v>30.913941348900078</v>
      </c>
      <c r="O106" s="3">
        <v>2.5160360853384272</v>
      </c>
      <c r="P106" s="3">
        <v>30.913941348900078</v>
      </c>
      <c r="Q106" s="3">
        <v>13.957889603910795</v>
      </c>
      <c r="R106" s="3">
        <v>30.913941348900078</v>
      </c>
      <c r="S106" s="3">
        <v>2.5160360853384272</v>
      </c>
      <c r="T106" s="3">
        <v>91.752330475859196</v>
      </c>
      <c r="U106" s="3">
        <v>2.5160360853384272</v>
      </c>
      <c r="V106" s="3">
        <v>30.913941348900078</v>
      </c>
      <c r="W106" s="3">
        <v>4.023239084731995</v>
      </c>
      <c r="X106" s="3">
        <v>13.957889603910795</v>
      </c>
      <c r="Y106" s="3">
        <v>4.023239084731995</v>
      </c>
      <c r="Z106" s="3">
        <v>2.5160360853384272</v>
      </c>
      <c r="AA106" s="3">
        <v>4.023239084731995</v>
      </c>
    </row>
    <row r="107" spans="1:27" x14ac:dyDescent="0.2">
      <c r="A107" s="1">
        <v>2076</v>
      </c>
      <c r="B107" s="3">
        <v>14.065431970246641</v>
      </c>
      <c r="C107" s="3">
        <v>14.065431970246641</v>
      </c>
      <c r="D107" s="3">
        <v>14.065431970246641</v>
      </c>
      <c r="E107" s="3">
        <v>31.193260007557754</v>
      </c>
      <c r="F107" s="3">
        <v>4.0247731444194992</v>
      </c>
      <c r="G107" s="3">
        <v>31.193260007557754</v>
      </c>
      <c r="H107" s="3">
        <v>2.5144897398385404</v>
      </c>
      <c r="I107" s="3">
        <v>31.193260007557754</v>
      </c>
      <c r="J107" s="3">
        <v>31.193260007557754</v>
      </c>
      <c r="K107" s="3">
        <v>31.193260007557754</v>
      </c>
      <c r="L107" s="3">
        <v>31.193260007557754</v>
      </c>
      <c r="M107" s="3">
        <v>14.065431970246641</v>
      </c>
      <c r="N107" s="3">
        <v>31.193260007557754</v>
      </c>
      <c r="O107" s="3">
        <v>2.5144897398385404</v>
      </c>
      <c r="P107" s="3">
        <v>31.193260007557754</v>
      </c>
      <c r="Q107" s="3">
        <v>14.065431970246641</v>
      </c>
      <c r="R107" s="3">
        <v>31.193260007557754</v>
      </c>
      <c r="S107" s="3">
        <v>2.5144897398385404</v>
      </c>
      <c r="T107" s="3">
        <v>93.580042310865778</v>
      </c>
      <c r="U107" s="3">
        <v>2.5144897398385404</v>
      </c>
      <c r="V107" s="3">
        <v>31.193260007557754</v>
      </c>
      <c r="W107" s="3">
        <v>4.0247731444194992</v>
      </c>
      <c r="X107" s="3">
        <v>14.065431970246641</v>
      </c>
      <c r="Y107" s="3">
        <v>4.0247731444194992</v>
      </c>
      <c r="Z107" s="3">
        <v>2.5144897398385404</v>
      </c>
      <c r="AA107" s="3">
        <v>4.0247731444194992</v>
      </c>
    </row>
    <row r="108" spans="1:27" x14ac:dyDescent="0.2">
      <c r="A108" s="1">
        <v>2077</v>
      </c>
      <c r="B108" s="3">
        <v>14.173802926067379</v>
      </c>
      <c r="C108" s="3">
        <v>14.173802926067379</v>
      </c>
      <c r="D108" s="3">
        <v>14.173802926067379</v>
      </c>
      <c r="E108" s="3">
        <v>31.47510241147954</v>
      </c>
      <c r="F108" s="3">
        <v>4.0263077890434378</v>
      </c>
      <c r="G108" s="3">
        <v>31.47510241147954</v>
      </c>
      <c r="H108" s="3">
        <v>2.5129443447162809</v>
      </c>
      <c r="I108" s="3">
        <v>31.47510241147954</v>
      </c>
      <c r="J108" s="3">
        <v>31.47510241147954</v>
      </c>
      <c r="K108" s="3">
        <v>31.47510241147954</v>
      </c>
      <c r="L108" s="3">
        <v>31.47510241147954</v>
      </c>
      <c r="M108" s="3">
        <v>14.173802926067379</v>
      </c>
      <c r="N108" s="3">
        <v>31.47510241147954</v>
      </c>
      <c r="O108" s="3">
        <v>2.5129443447162809</v>
      </c>
      <c r="P108" s="3">
        <v>31.47510241147954</v>
      </c>
      <c r="Q108" s="3">
        <v>14.173802926067379</v>
      </c>
      <c r="R108" s="3">
        <v>31.47510241147954</v>
      </c>
      <c r="S108" s="3">
        <v>2.5129443447162809</v>
      </c>
      <c r="T108" s="3">
        <v>95.444162273431616</v>
      </c>
      <c r="U108" s="3">
        <v>2.5129443447162809</v>
      </c>
      <c r="V108" s="3">
        <v>31.47510241147954</v>
      </c>
      <c r="W108" s="3">
        <v>4.0263077890434378</v>
      </c>
      <c r="X108" s="3">
        <v>14.173802926067379</v>
      </c>
      <c r="Y108" s="3">
        <v>4.0263077890434378</v>
      </c>
      <c r="Z108" s="3">
        <v>2.5129443447162809</v>
      </c>
      <c r="AA108" s="3">
        <v>4.0263077890434378</v>
      </c>
    </row>
    <row r="109" spans="1:27" x14ac:dyDescent="0.2">
      <c r="A109" s="1">
        <v>2078</v>
      </c>
      <c r="B109" s="3">
        <v>14.28300885546663</v>
      </c>
      <c r="C109" s="3">
        <v>14.28300885546663</v>
      </c>
      <c r="D109" s="3">
        <v>14.28300885546663</v>
      </c>
      <c r="E109" s="3">
        <v>31.759491363618128</v>
      </c>
      <c r="F109" s="3">
        <v>4.0278430188268466</v>
      </c>
      <c r="G109" s="3">
        <v>31.759491363618128</v>
      </c>
      <c r="H109" s="3">
        <v>2.5113998993875506</v>
      </c>
      <c r="I109" s="3">
        <v>31.759491363618128</v>
      </c>
      <c r="J109" s="3">
        <v>31.759491363618128</v>
      </c>
      <c r="K109" s="3">
        <v>31.759491363618128</v>
      </c>
      <c r="L109" s="3">
        <v>31.759491363618128</v>
      </c>
      <c r="M109" s="3">
        <v>14.28300885546663</v>
      </c>
      <c r="N109" s="3">
        <v>31.759491363618128</v>
      </c>
      <c r="O109" s="3">
        <v>2.5113998993875506</v>
      </c>
      <c r="P109" s="3">
        <v>31.759491363618128</v>
      </c>
      <c r="Q109" s="3">
        <v>14.28300885546663</v>
      </c>
      <c r="R109" s="3">
        <v>31.759491363618128</v>
      </c>
      <c r="S109" s="3">
        <v>2.5113998993875506</v>
      </c>
      <c r="T109" s="3">
        <v>97.345415615605177</v>
      </c>
      <c r="U109" s="3">
        <v>2.5113998993875506</v>
      </c>
      <c r="V109" s="3">
        <v>31.759491363618128</v>
      </c>
      <c r="W109" s="3">
        <v>4.0278430188268466</v>
      </c>
      <c r="X109" s="3">
        <v>14.28300885546663</v>
      </c>
      <c r="Y109" s="3">
        <v>4.0278430188268466</v>
      </c>
      <c r="Z109" s="3">
        <v>2.5113998993875506</v>
      </c>
      <c r="AA109" s="3">
        <v>4.0278430188268466</v>
      </c>
    </row>
    <row r="110" spans="1:27" x14ac:dyDescent="0.2">
      <c r="A110" s="1">
        <v>2079</v>
      </c>
      <c r="B110" s="3">
        <v>14.393056191725998</v>
      </c>
      <c r="C110" s="3">
        <v>14.393056191725998</v>
      </c>
      <c r="D110" s="3">
        <v>14.393056191725998</v>
      </c>
      <c r="E110" s="3">
        <v>32.046449872959137</v>
      </c>
      <c r="F110" s="3">
        <v>4.0293788339928476</v>
      </c>
      <c r="G110" s="3">
        <v>32.046449872959137</v>
      </c>
      <c r="H110" s="3">
        <v>2.5098564032686101</v>
      </c>
      <c r="I110" s="3">
        <v>32.046449872959137</v>
      </c>
      <c r="J110" s="3">
        <v>32.046449872959137</v>
      </c>
      <c r="K110" s="3">
        <v>32.046449872959137</v>
      </c>
      <c r="L110" s="3">
        <v>32.046449872959137</v>
      </c>
      <c r="M110" s="3">
        <v>14.393056191725998</v>
      </c>
      <c r="N110" s="3">
        <v>32.046449872959137</v>
      </c>
      <c r="O110" s="3">
        <v>2.5098564032686101</v>
      </c>
      <c r="P110" s="3">
        <v>32.046449872959137</v>
      </c>
      <c r="Q110" s="3">
        <v>14.393056191725998</v>
      </c>
      <c r="R110" s="3">
        <v>32.046449872959137</v>
      </c>
      <c r="S110" s="3">
        <v>2.5098564032686101</v>
      </c>
      <c r="T110" s="3">
        <v>99.284542036498522</v>
      </c>
      <c r="U110" s="3">
        <v>2.5098564032686101</v>
      </c>
      <c r="V110" s="3">
        <v>32.046449872959137</v>
      </c>
      <c r="W110" s="3">
        <v>4.0293788339928476</v>
      </c>
      <c r="X110" s="3">
        <v>14.393056191725998</v>
      </c>
      <c r="Y110" s="3">
        <v>4.0293788339928476</v>
      </c>
      <c r="Z110" s="3">
        <v>2.5098564032686101</v>
      </c>
      <c r="AA110" s="3">
        <v>4.0293788339928476</v>
      </c>
    </row>
    <row r="111" spans="1:27" x14ac:dyDescent="0.2">
      <c r="A111" s="1">
        <v>2080</v>
      </c>
      <c r="B111" s="3">
        <v>14.503951417694065</v>
      </c>
      <c r="C111" s="3">
        <v>14.503951417694065</v>
      </c>
      <c r="D111" s="3">
        <v>14.503951417694065</v>
      </c>
      <c r="E111" s="3">
        <v>32.336001156382721</v>
      </c>
      <c r="F111" s="3">
        <v>4.0309152347646462</v>
      </c>
      <c r="G111" s="3">
        <v>32.336001156382721</v>
      </c>
      <c r="H111" s="3">
        <v>2.5083138557760791</v>
      </c>
      <c r="I111" s="3">
        <v>32.336001156382721</v>
      </c>
      <c r="J111" s="3">
        <v>32.336001156382721</v>
      </c>
      <c r="K111" s="3">
        <v>32.336001156382721</v>
      </c>
      <c r="L111" s="3">
        <v>32.336001156382721</v>
      </c>
      <c r="M111" s="3">
        <v>14.503951417694065</v>
      </c>
      <c r="N111" s="3">
        <v>32.336001156382721</v>
      </c>
      <c r="O111" s="3">
        <v>2.5083138557760791</v>
      </c>
      <c r="P111" s="3">
        <v>32.336001156382721</v>
      </c>
      <c r="Q111" s="3">
        <v>14.503951417694065</v>
      </c>
      <c r="R111" s="3">
        <v>32.336001156382721</v>
      </c>
      <c r="S111" s="3">
        <v>2.5083138557760791</v>
      </c>
      <c r="T111" s="3">
        <v>101.26229597007367</v>
      </c>
      <c r="U111" s="3">
        <v>2.5083138557760791</v>
      </c>
      <c r="V111" s="3">
        <v>32.336001156382721</v>
      </c>
      <c r="W111" s="3">
        <v>4.0309152347646462</v>
      </c>
      <c r="X111" s="3">
        <v>14.503951417694065</v>
      </c>
      <c r="Y111" s="3">
        <v>4.0309152347646462</v>
      </c>
      <c r="Z111" s="3">
        <v>2.5083138557760791</v>
      </c>
      <c r="AA111" s="3">
        <v>4.0309152347646462</v>
      </c>
    </row>
    <row r="112" spans="1:27" x14ac:dyDescent="0.2">
      <c r="A112" s="1">
        <v>2081</v>
      </c>
      <c r="B112" s="3">
        <v>14.615701066168283</v>
      </c>
      <c r="C112" s="3">
        <v>14.615701066168283</v>
      </c>
      <c r="D112" s="3">
        <v>14.615701066168283</v>
      </c>
      <c r="E112" s="3">
        <v>32.628168640541944</v>
      </c>
      <c r="F112" s="3">
        <v>4.0324522213655332</v>
      </c>
      <c r="G112" s="3">
        <v>32.628168640541944</v>
      </c>
      <c r="H112" s="3">
        <v>2.5067722563269359</v>
      </c>
      <c r="I112" s="3">
        <v>32.628168640541944</v>
      </c>
      <c r="J112" s="3">
        <v>32.628168640541944</v>
      </c>
      <c r="K112" s="3">
        <v>32.628168640541944</v>
      </c>
      <c r="L112" s="3">
        <v>32.628168640541944</v>
      </c>
      <c r="M112" s="3">
        <v>14.615701066168283</v>
      </c>
      <c r="N112" s="3">
        <v>32.628168640541944</v>
      </c>
      <c r="O112" s="3">
        <v>2.5067722563269359</v>
      </c>
      <c r="P112" s="3">
        <v>32.628168640541944</v>
      </c>
      <c r="Q112" s="3">
        <v>14.615701066168283</v>
      </c>
      <c r="R112" s="3">
        <v>32.628168640541944</v>
      </c>
      <c r="S112" s="3">
        <v>2.5067722563269359</v>
      </c>
      <c r="T112" s="3">
        <v>103.27944687866164</v>
      </c>
      <c r="U112" s="3">
        <v>2.5067722563269359</v>
      </c>
      <c r="V112" s="3">
        <v>32.628168640541944</v>
      </c>
      <c r="W112" s="3">
        <v>4.0324522213655332</v>
      </c>
      <c r="X112" s="3">
        <v>14.615701066168283</v>
      </c>
      <c r="Y112" s="3">
        <v>4.0324522213655332</v>
      </c>
      <c r="Z112" s="3">
        <v>2.5067722563269359</v>
      </c>
      <c r="AA112" s="3">
        <v>4.0324522213655332</v>
      </c>
    </row>
    <row r="113" spans="1:27" x14ac:dyDescent="0.2">
      <c r="A113" s="1">
        <v>2082</v>
      </c>
      <c r="B113" s="3">
        <v>14.728311720279825</v>
      </c>
      <c r="C113" s="3">
        <v>14.728311720279825</v>
      </c>
      <c r="D113" s="3">
        <v>14.728311720279825</v>
      </c>
      <c r="E113" s="3">
        <v>32.922975963758169</v>
      </c>
      <c r="F113" s="3">
        <v>4.0339897940188862</v>
      </c>
      <c r="G113" s="3">
        <v>32.922975963758169</v>
      </c>
      <c r="H113" s="3">
        <v>2.5052316043385163</v>
      </c>
      <c r="I113" s="3">
        <v>32.922975963758169</v>
      </c>
      <c r="J113" s="3">
        <v>32.922975963758169</v>
      </c>
      <c r="K113" s="3">
        <v>32.922975963758169</v>
      </c>
      <c r="L113" s="3">
        <v>32.922975963758169</v>
      </c>
      <c r="M113" s="3">
        <v>14.728311720279825</v>
      </c>
      <c r="N113" s="3">
        <v>32.922975963758169</v>
      </c>
      <c r="O113" s="3">
        <v>2.5052316043385163</v>
      </c>
      <c r="P113" s="3">
        <v>32.922975963758169</v>
      </c>
      <c r="Q113" s="3">
        <v>14.728311720279825</v>
      </c>
      <c r="R113" s="3">
        <v>32.922975963758169</v>
      </c>
      <c r="S113" s="3">
        <v>2.5052316043385163</v>
      </c>
      <c r="T113" s="3">
        <v>105.33677955232849</v>
      </c>
      <c r="U113" s="3">
        <v>2.5052316043385163</v>
      </c>
      <c r="V113" s="3">
        <v>32.922975963758169</v>
      </c>
      <c r="W113" s="3">
        <v>4.0339897940188862</v>
      </c>
      <c r="X113" s="3">
        <v>14.728311720279825</v>
      </c>
      <c r="Y113" s="3">
        <v>4.0339897940188862</v>
      </c>
      <c r="Z113" s="3">
        <v>2.5052316043385163</v>
      </c>
      <c r="AA113" s="3">
        <v>4.0339897940188862</v>
      </c>
    </row>
    <row r="114" spans="1:27" x14ac:dyDescent="0.2">
      <c r="A114" s="1">
        <v>2083</v>
      </c>
      <c r="B114" s="3">
        <v>14.841790013881393</v>
      </c>
      <c r="C114" s="3">
        <v>14.841790013881393</v>
      </c>
      <c r="D114" s="3">
        <v>14.841790013881393</v>
      </c>
      <c r="E114" s="3">
        <v>33.220446977933562</v>
      </c>
      <c r="F114" s="3">
        <v>4.0355279529481658</v>
      </c>
      <c r="G114" s="3">
        <v>33.220446977933562</v>
      </c>
      <c r="H114" s="3">
        <v>2.5036918992285151</v>
      </c>
      <c r="I114" s="3">
        <v>33.220446977933562</v>
      </c>
      <c r="J114" s="3">
        <v>33.220446977933562</v>
      </c>
      <c r="K114" s="3">
        <v>33.220446977933562</v>
      </c>
      <c r="L114" s="3">
        <v>33.220446977933562</v>
      </c>
      <c r="M114" s="3">
        <v>14.841790013881393</v>
      </c>
      <c r="N114" s="3">
        <v>33.220446977933562</v>
      </c>
      <c r="O114" s="3">
        <v>2.5036918992285151</v>
      </c>
      <c r="P114" s="3">
        <v>33.220446977933562</v>
      </c>
      <c r="Q114" s="3">
        <v>14.841790013881393</v>
      </c>
      <c r="R114" s="3">
        <v>33.220446977933562</v>
      </c>
      <c r="S114" s="3">
        <v>2.5036918992285151</v>
      </c>
      <c r="T114" s="3">
        <v>107.43509441420468</v>
      </c>
      <c r="U114" s="3">
        <v>2.5036918992285151</v>
      </c>
      <c r="V114" s="3">
        <v>33.220446977933562</v>
      </c>
      <c r="W114" s="3">
        <v>4.0355279529481658</v>
      </c>
      <c r="X114" s="3">
        <v>14.841790013881393</v>
      </c>
      <c r="Y114" s="3">
        <v>4.0355279529481658</v>
      </c>
      <c r="Z114" s="3">
        <v>2.5036918992285151</v>
      </c>
      <c r="AA114" s="3">
        <v>4.0355279529481658</v>
      </c>
    </row>
    <row r="115" spans="1:27" x14ac:dyDescent="0.2">
      <c r="A115" s="1">
        <v>2084</v>
      </c>
      <c r="B115" s="3">
        <v>14.956142631938016</v>
      </c>
      <c r="C115" s="3">
        <v>14.956142631938016</v>
      </c>
      <c r="D115" s="3">
        <v>14.956142631938016</v>
      </c>
      <c r="E115" s="3">
        <v>33.520605750480854</v>
      </c>
      <c r="F115" s="3">
        <v>4.0370666983769192</v>
      </c>
      <c r="G115" s="3">
        <v>33.520605750480854</v>
      </c>
      <c r="H115" s="3">
        <v>2.5021531404149848</v>
      </c>
      <c r="I115" s="3">
        <v>33.520605750480854</v>
      </c>
      <c r="J115" s="3">
        <v>33.520605750480854</v>
      </c>
      <c r="K115" s="3">
        <v>33.520605750480854</v>
      </c>
      <c r="L115" s="3">
        <v>33.520605750480854</v>
      </c>
      <c r="M115" s="3">
        <v>14.956142631938016</v>
      </c>
      <c r="N115" s="3">
        <v>33.520605750480854</v>
      </c>
      <c r="O115" s="3">
        <v>2.5021531404149848</v>
      </c>
      <c r="P115" s="3">
        <v>33.520605750480854</v>
      </c>
      <c r="Q115" s="3">
        <v>14.956142631938016</v>
      </c>
      <c r="R115" s="3">
        <v>33.520605750480854</v>
      </c>
      <c r="S115" s="3">
        <v>2.5021531404149848</v>
      </c>
      <c r="T115" s="3">
        <v>109.57520783189663</v>
      </c>
      <c r="U115" s="3">
        <v>2.5021531404149848</v>
      </c>
      <c r="V115" s="3">
        <v>33.520605750480854</v>
      </c>
      <c r="W115" s="3">
        <v>4.0370666983769192</v>
      </c>
      <c r="X115" s="3">
        <v>14.956142631938016</v>
      </c>
      <c r="Y115" s="3">
        <v>4.0370666983769192</v>
      </c>
      <c r="Z115" s="3">
        <v>2.5021531404149848</v>
      </c>
      <c r="AA115" s="3">
        <v>4.0370666983769192</v>
      </c>
    </row>
    <row r="116" spans="1:27" x14ac:dyDescent="0.2">
      <c r="A116" s="1">
        <v>2085</v>
      </c>
      <c r="B116" s="3">
        <v>15.071376310920861</v>
      </c>
      <c r="C116" s="3">
        <v>15.071376310920861</v>
      </c>
      <c r="D116" s="3">
        <v>15.071376310920861</v>
      </c>
      <c r="E116" s="3">
        <v>33.823476566270578</v>
      </c>
      <c r="F116" s="3">
        <v>4.0386060305287792</v>
      </c>
      <c r="G116" s="3">
        <v>33.823476566270578</v>
      </c>
      <c r="H116" s="3">
        <v>2.5006153273163356</v>
      </c>
      <c r="I116" s="3">
        <v>33.823476566270578</v>
      </c>
      <c r="J116" s="3">
        <v>33.823476566270578</v>
      </c>
      <c r="K116" s="3">
        <v>33.823476566270578</v>
      </c>
      <c r="L116" s="3">
        <v>33.823476566270578</v>
      </c>
      <c r="M116" s="3">
        <v>15.071376310920861</v>
      </c>
      <c r="N116" s="3">
        <v>33.823476566270578</v>
      </c>
      <c r="O116" s="3">
        <v>2.5006153273163356</v>
      </c>
      <c r="P116" s="3">
        <v>33.823476566270578</v>
      </c>
      <c r="Q116" s="3">
        <v>15.071376310920861</v>
      </c>
      <c r="R116" s="3">
        <v>33.823476566270578</v>
      </c>
      <c r="S116" s="3">
        <v>2.5006153273163356</v>
      </c>
      <c r="T116" s="3">
        <v>111.75795243510164</v>
      </c>
      <c r="U116" s="3">
        <v>2.5006153273163356</v>
      </c>
      <c r="V116" s="3">
        <v>33.823476566270578</v>
      </c>
      <c r="W116" s="3">
        <v>4.0386060305287792</v>
      </c>
      <c r="X116" s="3">
        <v>15.071376310920861</v>
      </c>
      <c r="Y116" s="3">
        <v>4.0386060305287792</v>
      </c>
      <c r="Z116" s="3">
        <v>2.5006153273163356</v>
      </c>
      <c r="AA116" s="3">
        <v>4.0386060305287792</v>
      </c>
    </row>
    <row r="117" spans="1:27" x14ac:dyDescent="0.2">
      <c r="A117" s="1">
        <v>2086</v>
      </c>
      <c r="B117" s="3">
        <v>15.18749783920407</v>
      </c>
      <c r="C117" s="3">
        <v>15.18749783920407</v>
      </c>
      <c r="D117" s="3">
        <v>15.18749783920407</v>
      </c>
      <c r="E117" s="3">
        <v>34.129083929595872</v>
      </c>
      <c r="F117" s="3">
        <v>4.0401459496274619</v>
      </c>
      <c r="G117" s="3">
        <v>34.129083929595872</v>
      </c>
      <c r="H117" s="3">
        <v>2.4990784593513347</v>
      </c>
      <c r="I117" s="3">
        <v>34.129083929595872</v>
      </c>
      <c r="J117" s="3">
        <v>34.129083929595872</v>
      </c>
      <c r="K117" s="3">
        <v>34.129083929595872</v>
      </c>
      <c r="L117" s="3">
        <v>34.129083929595872</v>
      </c>
      <c r="M117" s="3">
        <v>15.18749783920407</v>
      </c>
      <c r="N117" s="3">
        <v>34.129083929595872</v>
      </c>
      <c r="O117" s="3">
        <v>2.4990784593513347</v>
      </c>
      <c r="P117" s="3">
        <v>34.129083929595872</v>
      </c>
      <c r="Q117" s="3">
        <v>15.18749783920407</v>
      </c>
      <c r="R117" s="3">
        <v>34.129083929595872</v>
      </c>
      <c r="S117" s="3">
        <v>2.4990784593513347</v>
      </c>
      <c r="T117" s="3">
        <v>113.9841774395497</v>
      </c>
      <c r="U117" s="3">
        <v>2.4990784593513347</v>
      </c>
      <c r="V117" s="3">
        <v>34.129083929595872</v>
      </c>
      <c r="W117" s="3">
        <v>4.0401459496274619</v>
      </c>
      <c r="X117" s="3">
        <v>15.18749783920407</v>
      </c>
      <c r="Y117" s="3">
        <v>4.0401459496274619</v>
      </c>
      <c r="Z117" s="3">
        <v>2.4990784593513347</v>
      </c>
      <c r="AA117" s="3">
        <v>4.0401459496274619</v>
      </c>
    </row>
    <row r="118" spans="1:27" x14ac:dyDescent="0.2">
      <c r="A118" s="1">
        <v>2087</v>
      </c>
      <c r="B118" s="3">
        <v>15.304514057464667</v>
      </c>
      <c r="C118" s="3">
        <v>15.304514057464667</v>
      </c>
      <c r="D118" s="3">
        <v>15.304514057464667</v>
      </c>
      <c r="E118" s="3">
        <v>34.437452566155024</v>
      </c>
      <c r="F118" s="3">
        <v>4.0416864558967704</v>
      </c>
      <c r="G118" s="3">
        <v>34.437452566155024</v>
      </c>
      <c r="H118" s="3">
        <v>2.4975425359391066</v>
      </c>
      <c r="I118" s="3">
        <v>34.437452566155024</v>
      </c>
      <c r="J118" s="3">
        <v>34.437452566155024</v>
      </c>
      <c r="K118" s="3">
        <v>34.437452566155024</v>
      </c>
      <c r="L118" s="3">
        <v>34.437452566155024</v>
      </c>
      <c r="M118" s="3">
        <v>15.304514057464667</v>
      </c>
      <c r="N118" s="3">
        <v>34.437452566155024</v>
      </c>
      <c r="O118" s="3">
        <v>2.4975425359391066</v>
      </c>
      <c r="P118" s="3">
        <v>34.437452566155024</v>
      </c>
      <c r="Q118" s="3">
        <v>15.304514057464667</v>
      </c>
      <c r="R118" s="3">
        <v>34.437452566155024</v>
      </c>
      <c r="S118" s="3">
        <v>2.4975425359391066</v>
      </c>
      <c r="T118" s="3">
        <v>116.25474897739821</v>
      </c>
      <c r="U118" s="3">
        <v>2.4975425359391066</v>
      </c>
      <c r="V118" s="3">
        <v>34.437452566155024</v>
      </c>
      <c r="W118" s="3">
        <v>4.0416864558967704</v>
      </c>
      <c r="X118" s="3">
        <v>15.304514057464667</v>
      </c>
      <c r="Y118" s="3">
        <v>4.0416864558967704</v>
      </c>
      <c r="Z118" s="3">
        <v>2.4975425359391066</v>
      </c>
      <c r="AA118" s="3">
        <v>4.0416864558967704</v>
      </c>
    </row>
    <row r="119" spans="1:27" x14ac:dyDescent="0.2">
      <c r="A119" s="1">
        <v>2088</v>
      </c>
      <c r="B119" s="3">
        <v>15.422431859085538</v>
      </c>
      <c r="C119" s="3">
        <v>15.422431859085538</v>
      </c>
      <c r="D119" s="3">
        <v>15.422431859085538</v>
      </c>
      <c r="E119" s="3">
        <v>34.748607425051979</v>
      </c>
      <c r="F119" s="3">
        <v>4.0432275495605925</v>
      </c>
      <c r="G119" s="3">
        <v>34.748607425051979</v>
      </c>
      <c r="H119" s="3">
        <v>2.4960075564991335</v>
      </c>
      <c r="I119" s="3">
        <v>34.748607425051979</v>
      </c>
      <c r="J119" s="3">
        <v>34.748607425051979</v>
      </c>
      <c r="K119" s="3">
        <v>34.748607425051979</v>
      </c>
      <c r="L119" s="3">
        <v>34.748607425051979</v>
      </c>
      <c r="M119" s="3">
        <v>15.422431859085538</v>
      </c>
      <c r="N119" s="3">
        <v>34.748607425051979</v>
      </c>
      <c r="O119" s="3">
        <v>2.4960075564991335</v>
      </c>
      <c r="P119" s="3">
        <v>34.748607425051979</v>
      </c>
      <c r="Q119" s="3">
        <v>15.422431859085538</v>
      </c>
      <c r="R119" s="3">
        <v>34.748607425051979</v>
      </c>
      <c r="S119" s="3">
        <v>2.4960075564991335</v>
      </c>
      <c r="T119" s="3">
        <v>118.57055043420824</v>
      </c>
      <c r="U119" s="3">
        <v>2.4960075564991335</v>
      </c>
      <c r="V119" s="3">
        <v>34.748607425051979</v>
      </c>
      <c r="W119" s="3">
        <v>4.0432275495605925</v>
      </c>
      <c r="X119" s="3">
        <v>15.422431859085538</v>
      </c>
      <c r="Y119" s="3">
        <v>4.0432275495605925</v>
      </c>
      <c r="Z119" s="3">
        <v>2.4960075564991335</v>
      </c>
      <c r="AA119" s="3">
        <v>4.0432275495605925</v>
      </c>
    </row>
    <row r="120" spans="1:27" x14ac:dyDescent="0.2">
      <c r="A120" s="1">
        <v>2089</v>
      </c>
      <c r="B120" s="3">
        <v>15.541258190561514</v>
      </c>
      <c r="C120" s="3">
        <v>15.541258190561514</v>
      </c>
      <c r="D120" s="3">
        <v>15.541258190561514</v>
      </c>
      <c r="E120" s="3">
        <v>35.062573680814864</v>
      </c>
      <c r="F120" s="3">
        <v>4.0447692308429017</v>
      </c>
      <c r="G120" s="3">
        <v>35.062573680814864</v>
      </c>
      <c r="H120" s="3">
        <v>2.4944735204512538</v>
      </c>
      <c r="I120" s="3">
        <v>35.062573680814864</v>
      </c>
      <c r="J120" s="3">
        <v>35.062573680814864</v>
      </c>
      <c r="K120" s="3">
        <v>35.062573680814864</v>
      </c>
      <c r="L120" s="3">
        <v>35.062573680814864</v>
      </c>
      <c r="M120" s="3">
        <v>15.541258190561514</v>
      </c>
      <c r="N120" s="3">
        <v>35.062573680814864</v>
      </c>
      <c r="O120" s="3">
        <v>2.4944735204512538</v>
      </c>
      <c r="P120" s="3">
        <v>35.062573680814864</v>
      </c>
      <c r="Q120" s="3">
        <v>15.541258190561514</v>
      </c>
      <c r="R120" s="3">
        <v>35.062573680814864</v>
      </c>
      <c r="S120" s="3">
        <v>2.4944735204512538</v>
      </c>
      <c r="T120" s="3">
        <v>120.93248279263338</v>
      </c>
      <c r="U120" s="3">
        <v>2.4944735204512538</v>
      </c>
      <c r="V120" s="3">
        <v>35.062573680814864</v>
      </c>
      <c r="W120" s="3">
        <v>4.0447692308429017</v>
      </c>
      <c r="X120" s="3">
        <v>15.541258190561514</v>
      </c>
      <c r="Y120" s="3">
        <v>4.0447692308429017</v>
      </c>
      <c r="Z120" s="3">
        <v>2.4944735204512538</v>
      </c>
      <c r="AA120" s="3">
        <v>4.0447692308429017</v>
      </c>
    </row>
    <row r="121" spans="1:27" x14ac:dyDescent="0.2">
      <c r="A121" s="1">
        <v>2090</v>
      </c>
      <c r="B121" s="3">
        <v>15.661000051908594</v>
      </c>
      <c r="C121" s="3">
        <v>15.661000051908594</v>
      </c>
      <c r="D121" s="3">
        <v>15.661000051908594</v>
      </c>
      <c r="E121" s="3">
        <v>35.379376735432793</v>
      </c>
      <c r="F121" s="3">
        <v>4.0463114999677572</v>
      </c>
      <c r="G121" s="3">
        <v>35.379376735432793</v>
      </c>
      <c r="H121" s="3">
        <v>2.4929404272156623</v>
      </c>
      <c r="I121" s="3">
        <v>35.379376735432793</v>
      </c>
      <c r="J121" s="3">
        <v>35.379376735432793</v>
      </c>
      <c r="K121" s="3">
        <v>35.379376735432793</v>
      </c>
      <c r="L121" s="3">
        <v>35.379376735432793</v>
      </c>
      <c r="M121" s="3">
        <v>15.661000051908594</v>
      </c>
      <c r="N121" s="3">
        <v>35.379376735432793</v>
      </c>
      <c r="O121" s="3">
        <v>2.4929404272156623</v>
      </c>
      <c r="P121" s="3">
        <v>35.379376735432793</v>
      </c>
      <c r="Q121" s="3">
        <v>15.661000051908594</v>
      </c>
      <c r="R121" s="3">
        <v>35.379376735432793</v>
      </c>
      <c r="S121" s="3">
        <v>2.4929404272156623</v>
      </c>
      <c r="T121" s="3">
        <v>123.34146498295476</v>
      </c>
      <c r="U121" s="3">
        <v>2.4929404272156623</v>
      </c>
      <c r="V121" s="3">
        <v>35.379376735432793</v>
      </c>
      <c r="W121" s="3">
        <v>4.0463114999677572</v>
      </c>
      <c r="X121" s="3">
        <v>15.661000051908594</v>
      </c>
      <c r="Y121" s="3">
        <v>4.0463114999677572</v>
      </c>
      <c r="Z121" s="3">
        <v>2.4929404272156623</v>
      </c>
      <c r="AA121" s="3">
        <v>4.0463114999677572</v>
      </c>
    </row>
    <row r="122" spans="1:27" x14ac:dyDescent="0.2">
      <c r="A122" s="1">
        <v>2091</v>
      </c>
      <c r="B122" s="3">
        <v>15.781664497076305</v>
      </c>
      <c r="C122" s="3">
        <v>15.781664497076305</v>
      </c>
      <c r="D122" s="3">
        <v>15.781664497076305</v>
      </c>
      <c r="E122" s="3">
        <v>35.699042220411052</v>
      </c>
      <c r="F122" s="3">
        <v>4.0478543571593022</v>
      </c>
      <c r="G122" s="3">
        <v>35.699042220411052</v>
      </c>
      <c r="H122" s="3">
        <v>2.4914082762129106</v>
      </c>
      <c r="I122" s="3">
        <v>35.699042220411052</v>
      </c>
      <c r="J122" s="3">
        <v>35.699042220411052</v>
      </c>
      <c r="K122" s="3">
        <v>35.699042220411052</v>
      </c>
      <c r="L122" s="3">
        <v>35.699042220411052</v>
      </c>
      <c r="M122" s="3">
        <v>15.781664497076305</v>
      </c>
      <c r="N122" s="3">
        <v>35.699042220411052</v>
      </c>
      <c r="O122" s="3">
        <v>2.4914082762129106</v>
      </c>
      <c r="P122" s="3">
        <v>35.699042220411052</v>
      </c>
      <c r="Q122" s="3">
        <v>15.781664497076305</v>
      </c>
      <c r="R122" s="3">
        <v>35.699042220411052</v>
      </c>
      <c r="S122" s="3">
        <v>2.4914082762129106</v>
      </c>
      <c r="T122" s="3">
        <v>125.79843424059897</v>
      </c>
      <c r="U122" s="3">
        <v>2.4914082762129106</v>
      </c>
      <c r="V122" s="3">
        <v>35.699042220411052</v>
      </c>
      <c r="W122" s="3">
        <v>4.0478543571593022</v>
      </c>
      <c r="X122" s="3">
        <v>15.781664497076305</v>
      </c>
      <c r="Y122" s="3">
        <v>4.0478543571593022</v>
      </c>
      <c r="Z122" s="3">
        <v>2.4914082762129106</v>
      </c>
      <c r="AA122" s="3">
        <v>4.0478543571593022</v>
      </c>
    </row>
    <row r="123" spans="1:27" x14ac:dyDescent="0.2">
      <c r="A123" s="1">
        <v>2092</v>
      </c>
      <c r="B123" s="3">
        <v>15.903258634363253</v>
      </c>
      <c r="C123" s="3">
        <v>15.903258634363253</v>
      </c>
      <c r="D123" s="3">
        <v>15.903258634363253</v>
      </c>
      <c r="E123" s="3">
        <v>36.021595998844859</v>
      </c>
      <c r="F123" s="3">
        <v>4.0493978026417672</v>
      </c>
      <c r="G123" s="3">
        <v>36.021595998844859</v>
      </c>
      <c r="H123" s="3">
        <v>2.4898770668639063</v>
      </c>
      <c r="I123" s="3">
        <v>36.021595998844859</v>
      </c>
      <c r="J123" s="3">
        <v>36.021595998844859</v>
      </c>
      <c r="K123" s="3">
        <v>36.021595998844859</v>
      </c>
      <c r="L123" s="3">
        <v>36.021595998844859</v>
      </c>
      <c r="M123" s="3">
        <v>15.903258634363253</v>
      </c>
      <c r="N123" s="3">
        <v>36.021595998844859</v>
      </c>
      <c r="O123" s="3">
        <v>2.4898770668639063</v>
      </c>
      <c r="P123" s="3">
        <v>36.021595998844859</v>
      </c>
      <c r="Q123" s="3">
        <v>15.903258634363253</v>
      </c>
      <c r="R123" s="3">
        <v>36.021595998844859</v>
      </c>
      <c r="S123" s="3">
        <v>2.4898770668639063</v>
      </c>
      <c r="T123" s="3">
        <v>128.30434647077752</v>
      </c>
      <c r="U123" s="3">
        <v>2.4898770668639063</v>
      </c>
      <c r="V123" s="3">
        <v>36.021595998844859</v>
      </c>
      <c r="W123" s="3">
        <v>4.0493978026417672</v>
      </c>
      <c r="X123" s="3">
        <v>15.903258634363253</v>
      </c>
      <c r="Y123" s="3">
        <v>4.0493978026417672</v>
      </c>
      <c r="Z123" s="3">
        <v>2.4898770668639063</v>
      </c>
      <c r="AA123" s="3">
        <v>4.0493978026417672</v>
      </c>
    </row>
    <row r="124" spans="1:27" x14ac:dyDescent="0.2">
      <c r="A124" s="1">
        <v>2093</v>
      </c>
      <c r="B124" s="3">
        <v>16.02578962683587</v>
      </c>
      <c r="C124" s="3">
        <v>16.02578962683587</v>
      </c>
      <c r="D124" s="3">
        <v>16.02578962683587</v>
      </c>
      <c r="E124" s="3">
        <v>36.347064167511874</v>
      </c>
      <c r="F124" s="3">
        <v>4.0509418366394669</v>
      </c>
      <c r="G124" s="3">
        <v>36.347064167511874</v>
      </c>
      <c r="H124" s="3">
        <v>2.4883467985899128</v>
      </c>
      <c r="I124" s="3">
        <v>36.347064167511874</v>
      </c>
      <c r="J124" s="3">
        <v>36.347064167511874</v>
      </c>
      <c r="K124" s="3">
        <v>36.347064167511874</v>
      </c>
      <c r="L124" s="3">
        <v>36.347064167511874</v>
      </c>
      <c r="M124" s="3">
        <v>16.02578962683587</v>
      </c>
      <c r="N124" s="3">
        <v>36.347064167511874</v>
      </c>
      <c r="O124" s="3">
        <v>2.4883467985899128</v>
      </c>
      <c r="P124" s="3">
        <v>36.347064167511874</v>
      </c>
      <c r="Q124" s="3">
        <v>16.02578962683587</v>
      </c>
      <c r="R124" s="3">
        <v>36.347064167511874</v>
      </c>
      <c r="S124" s="3">
        <v>2.4883467985899128</v>
      </c>
      <c r="T124" s="3">
        <v>130.86017662039018</v>
      </c>
      <c r="U124" s="3">
        <v>2.4883467985899128</v>
      </c>
      <c r="V124" s="3">
        <v>36.347064167511874</v>
      </c>
      <c r="W124" s="3">
        <v>4.0509418366394669</v>
      </c>
      <c r="X124" s="3">
        <v>16.02578962683587</v>
      </c>
      <c r="Y124" s="3">
        <v>4.0509418366394669</v>
      </c>
      <c r="Z124" s="3">
        <v>2.4883467985899128</v>
      </c>
      <c r="AA124" s="3">
        <v>4.0509418366394669</v>
      </c>
    </row>
    <row r="125" spans="1:27" x14ac:dyDescent="0.2">
      <c r="A125" s="1">
        <v>2094</v>
      </c>
      <c r="B125" s="3">
        <v>16.149264692750382</v>
      </c>
      <c r="C125" s="3">
        <v>16.149264692750382</v>
      </c>
      <c r="D125" s="3">
        <v>16.149264692750382</v>
      </c>
      <c r="E125" s="3">
        <v>36.675473058983592</v>
      </c>
      <c r="F125" s="3">
        <v>4.0524864593768024</v>
      </c>
      <c r="G125" s="3">
        <v>36.675473058983592</v>
      </c>
      <c r="H125" s="3">
        <v>2.4868174708125492</v>
      </c>
      <c r="I125" s="3">
        <v>36.675473058983592</v>
      </c>
      <c r="J125" s="3">
        <v>36.675473058983592</v>
      </c>
      <c r="K125" s="3">
        <v>36.675473058983592</v>
      </c>
      <c r="L125" s="3">
        <v>36.675473058983592</v>
      </c>
      <c r="M125" s="3">
        <v>16.149264692750382</v>
      </c>
      <c r="N125" s="3">
        <v>36.675473058983592</v>
      </c>
      <c r="O125" s="3">
        <v>2.4868174708125492</v>
      </c>
      <c r="P125" s="3">
        <v>36.675473058983592</v>
      </c>
      <c r="Q125" s="3">
        <v>16.149264692750382</v>
      </c>
      <c r="R125" s="3">
        <v>36.675473058983592</v>
      </c>
      <c r="S125" s="3">
        <v>2.4868174708125492</v>
      </c>
      <c r="T125" s="3">
        <v>133.46691905733644</v>
      </c>
      <c r="U125" s="3">
        <v>2.4868174708125492</v>
      </c>
      <c r="V125" s="3">
        <v>36.675473058983592</v>
      </c>
      <c r="W125" s="3">
        <v>4.0524864593768024</v>
      </c>
      <c r="X125" s="3">
        <v>16.149264692750382</v>
      </c>
      <c r="Y125" s="3">
        <v>4.0524864593768024</v>
      </c>
      <c r="Z125" s="3">
        <v>2.4868174708125492</v>
      </c>
      <c r="AA125" s="3">
        <v>4.0524864593768024</v>
      </c>
    </row>
    <row r="126" spans="1:27" x14ac:dyDescent="0.2">
      <c r="A126" s="1">
        <v>2095</v>
      </c>
      <c r="B126" s="3">
        <v>16.273691105978045</v>
      </c>
      <c r="C126" s="3">
        <v>16.273691105978045</v>
      </c>
      <c r="D126" s="3">
        <v>16.273691105978045</v>
      </c>
      <c r="E126" s="3">
        <v>37.006849243755823</v>
      </c>
      <c r="F126" s="3">
        <v>4.0540316710782598</v>
      </c>
      <c r="G126" s="3">
        <v>37.006849243755823</v>
      </c>
      <c r="H126" s="3">
        <v>2.4852890829537904</v>
      </c>
      <c r="I126" s="3">
        <v>37.006849243755823</v>
      </c>
      <c r="J126" s="3">
        <v>37.006849243755823</v>
      </c>
      <c r="K126" s="3">
        <v>37.006849243755823</v>
      </c>
      <c r="L126" s="3">
        <v>37.006849243755823</v>
      </c>
      <c r="M126" s="3">
        <v>16.273691105978045</v>
      </c>
      <c r="N126" s="3">
        <v>37.006849243755823</v>
      </c>
      <c r="O126" s="3">
        <v>2.4852890829537904</v>
      </c>
      <c r="P126" s="3">
        <v>37.006849243755823</v>
      </c>
      <c r="Q126" s="3">
        <v>16.273691105978045</v>
      </c>
      <c r="R126" s="3">
        <v>37.006849243755823</v>
      </c>
      <c r="S126" s="3">
        <v>2.4852890829537904</v>
      </c>
      <c r="T126" s="3">
        <v>136.125587957383</v>
      </c>
      <c r="U126" s="3">
        <v>2.4852890829537904</v>
      </c>
      <c r="V126" s="3">
        <v>37.006849243755823</v>
      </c>
      <c r="W126" s="3">
        <v>4.0540316710782598</v>
      </c>
      <c r="X126" s="3">
        <v>16.273691105978045</v>
      </c>
      <c r="Y126" s="3">
        <v>4.0540316710782598</v>
      </c>
      <c r="Z126" s="3">
        <v>2.4852890829537904</v>
      </c>
      <c r="AA126" s="3">
        <v>4.0540316710782598</v>
      </c>
    </row>
    <row r="127" spans="1:27" x14ac:dyDescent="0.2">
      <c r="A127" s="1">
        <v>2096</v>
      </c>
      <c r="B127" s="3">
        <v>16.399076196433633</v>
      </c>
      <c r="C127" s="3">
        <v>16.399076196433633</v>
      </c>
      <c r="D127" s="3">
        <v>16.399076196433633</v>
      </c>
      <c r="E127" s="3">
        <v>37.341219532398441</v>
      </c>
      <c r="F127" s="3">
        <v>4.0555774719684106</v>
      </c>
      <c r="G127" s="3">
        <v>37.341219532398441</v>
      </c>
      <c r="H127" s="3">
        <v>2.4837616344359659</v>
      </c>
      <c r="I127" s="3">
        <v>37.341219532398441</v>
      </c>
      <c r="J127" s="3">
        <v>37.341219532398441</v>
      </c>
      <c r="K127" s="3">
        <v>37.341219532398441</v>
      </c>
      <c r="L127" s="3">
        <v>37.341219532398441</v>
      </c>
      <c r="M127" s="3">
        <v>16.399076196433633</v>
      </c>
      <c r="N127" s="3">
        <v>37.341219532398441</v>
      </c>
      <c r="O127" s="3">
        <v>2.4837616344359659</v>
      </c>
      <c r="P127" s="3">
        <v>37.341219532398441</v>
      </c>
      <c r="Q127" s="3">
        <v>16.399076196433633</v>
      </c>
      <c r="R127" s="3">
        <v>37.341219532398441</v>
      </c>
      <c r="S127" s="3">
        <v>2.4837616344359659</v>
      </c>
      <c r="T127" s="3">
        <v>138.83721769873765</v>
      </c>
      <c r="U127" s="3">
        <v>2.4837616344359659</v>
      </c>
      <c r="V127" s="3">
        <v>37.341219532398441</v>
      </c>
      <c r="W127" s="3">
        <v>4.0555774719684106</v>
      </c>
      <c r="X127" s="3">
        <v>16.399076196433633</v>
      </c>
      <c r="Y127" s="3">
        <v>4.0555774719684106</v>
      </c>
      <c r="Z127" s="3">
        <v>2.4837616344359659</v>
      </c>
      <c r="AA127" s="3">
        <v>4.0555774719684106</v>
      </c>
    </row>
    <row r="128" spans="1:27" x14ac:dyDescent="0.2">
      <c r="A128" s="1">
        <v>2097</v>
      </c>
      <c r="B128" s="3">
        <v>16.525427350507254</v>
      </c>
      <c r="C128" s="3">
        <v>16.525427350507254</v>
      </c>
      <c r="D128" s="3">
        <v>16.525427350507254</v>
      </c>
      <c r="E128" s="3">
        <v>37.678610977724531</v>
      </c>
      <c r="F128" s="3">
        <v>4.0571238622719124</v>
      </c>
      <c r="G128" s="3">
        <v>37.678610977724531</v>
      </c>
      <c r="H128" s="3">
        <v>2.4822351246817607</v>
      </c>
      <c r="I128" s="3">
        <v>37.678610977724531</v>
      </c>
      <c r="J128" s="3">
        <v>37.678610977724531</v>
      </c>
      <c r="K128" s="3">
        <v>37.678610977724531</v>
      </c>
      <c r="L128" s="3">
        <v>37.678610977724531</v>
      </c>
      <c r="M128" s="3">
        <v>16.525427350507254</v>
      </c>
      <c r="N128" s="3">
        <v>37.678610977724531</v>
      </c>
      <c r="O128" s="3">
        <v>2.4822351246817607</v>
      </c>
      <c r="P128" s="3">
        <v>37.678610977724531</v>
      </c>
      <c r="Q128" s="3">
        <v>16.525427350507254</v>
      </c>
      <c r="R128" s="3">
        <v>37.678610977724531</v>
      </c>
      <c r="S128" s="3">
        <v>2.4822351246817607</v>
      </c>
      <c r="T128" s="3">
        <v>141.60286326448306</v>
      </c>
      <c r="U128" s="3">
        <v>2.4822351246817607</v>
      </c>
      <c r="V128" s="3">
        <v>37.678610977724531</v>
      </c>
      <c r="W128" s="3">
        <v>4.0571238622719124</v>
      </c>
      <c r="X128" s="3">
        <v>16.525427350507254</v>
      </c>
      <c r="Y128" s="3">
        <v>4.0571238622719124</v>
      </c>
      <c r="Z128" s="3">
        <v>2.4822351246817607</v>
      </c>
      <c r="AA128" s="3">
        <v>4.0571238622719124</v>
      </c>
    </row>
    <row r="129" spans="1:27" x14ac:dyDescent="0.2">
      <c r="A129" s="1">
        <v>2098</v>
      </c>
      <c r="B129" s="3">
        <v>16.652752011499466</v>
      </c>
      <c r="C129" s="3">
        <v>16.652752011499466</v>
      </c>
      <c r="D129" s="3">
        <v>16.652752011499466</v>
      </c>
      <c r="E129" s="3">
        <v>38.019050876979136</v>
      </c>
      <c r="F129" s="3">
        <v>4.058670842213508</v>
      </c>
      <c r="G129" s="3">
        <v>38.019050876979136</v>
      </c>
      <c r="H129" s="3">
        <v>2.4807095531142145</v>
      </c>
      <c r="I129" s="3">
        <v>38.019050876979136</v>
      </c>
      <c r="J129" s="3">
        <v>38.019050876979136</v>
      </c>
      <c r="K129" s="3">
        <v>38.019050876979136</v>
      </c>
      <c r="L129" s="3">
        <v>38.019050876979136</v>
      </c>
      <c r="M129" s="3">
        <v>16.652752011499466</v>
      </c>
      <c r="N129" s="3">
        <v>38.019050876979136</v>
      </c>
      <c r="O129" s="3">
        <v>2.4807095531142145</v>
      </c>
      <c r="P129" s="3">
        <v>38.019050876979136</v>
      </c>
      <c r="Q129" s="3">
        <v>16.652752011499466</v>
      </c>
      <c r="R129" s="3">
        <v>38.019050876979136</v>
      </c>
      <c r="S129" s="3">
        <v>2.4807095531142145</v>
      </c>
      <c r="T129" s="3">
        <v>144.42360065302722</v>
      </c>
      <c r="U129" s="3">
        <v>2.4807095531142145</v>
      </c>
      <c r="V129" s="3">
        <v>38.019050876979136</v>
      </c>
      <c r="W129" s="3">
        <v>4.058670842213508</v>
      </c>
      <c r="X129" s="3">
        <v>16.652752011499466</v>
      </c>
      <c r="Y129" s="3">
        <v>4.058670842213508</v>
      </c>
      <c r="Z129" s="3">
        <v>2.4807095531142145</v>
      </c>
      <c r="AA129" s="3">
        <v>4.058670842213508</v>
      </c>
    </row>
    <row r="130" spans="1:27" x14ac:dyDescent="0.2">
      <c r="A130" s="1">
        <v>2099</v>
      </c>
      <c r="B130" s="3">
        <v>16.781057680059767</v>
      </c>
      <c r="C130" s="3">
        <v>16.781057680059767</v>
      </c>
      <c r="D130" s="3">
        <v>16.781057680059767</v>
      </c>
      <c r="E130" s="3">
        <v>38.362566774047806</v>
      </c>
      <c r="F130" s="3">
        <v>4.0602184120180267</v>
      </c>
      <c r="G130" s="3">
        <v>38.362566774047806</v>
      </c>
      <c r="H130" s="3">
        <v>2.4791849191567219</v>
      </c>
      <c r="I130" s="3">
        <v>38.362566774047806</v>
      </c>
      <c r="J130" s="3">
        <v>38.362566774047806</v>
      </c>
      <c r="K130" s="3">
        <v>38.362566774047806</v>
      </c>
      <c r="L130" s="3">
        <v>38.362566774047806</v>
      </c>
      <c r="M130" s="3">
        <v>16.781057680059767</v>
      </c>
      <c r="N130" s="3">
        <v>38.362566774047806</v>
      </c>
      <c r="O130" s="3">
        <v>2.4791849191567219</v>
      </c>
      <c r="P130" s="3">
        <v>38.362566774047806</v>
      </c>
      <c r="Q130" s="3">
        <v>16.781057680059767</v>
      </c>
      <c r="R130" s="3">
        <v>38.362566774047806</v>
      </c>
      <c r="S130" s="3">
        <v>2.4791849191567219</v>
      </c>
      <c r="T130" s="3">
        <v>147.3005272967298</v>
      </c>
      <c r="U130" s="3">
        <v>2.4791849191567219</v>
      </c>
      <c r="V130" s="3">
        <v>38.362566774047806</v>
      </c>
      <c r="W130" s="3">
        <v>4.0602184120180267</v>
      </c>
      <c r="X130" s="3">
        <v>16.781057680059767</v>
      </c>
      <c r="Y130" s="3">
        <v>4.0602184120180267</v>
      </c>
      <c r="Z130" s="3">
        <v>2.4791849191567219</v>
      </c>
      <c r="AA130" s="3">
        <v>4.0602184120180267</v>
      </c>
    </row>
    <row r="131" spans="1:27" x14ac:dyDescent="0.2">
      <c r="A131" s="1">
        <v>2100</v>
      </c>
      <c r="B131" s="3">
        <v>16.91035191462846</v>
      </c>
      <c r="C131" s="3">
        <v>16.91035191462846</v>
      </c>
      <c r="D131" s="3">
        <v>16.91035191462846</v>
      </c>
      <c r="E131" s="3">
        <v>38.709186461685071</v>
      </c>
      <c r="F131" s="3">
        <v>4.0617665719103826</v>
      </c>
      <c r="G131" s="3">
        <v>38.709186461685071</v>
      </c>
      <c r="H131" s="3">
        <v>2.4776612222330314</v>
      </c>
      <c r="I131" s="3">
        <v>38.709186461685071</v>
      </c>
      <c r="J131" s="3">
        <v>38.709186461685071</v>
      </c>
      <c r="K131" s="3">
        <v>38.709186461685071</v>
      </c>
      <c r="L131" s="3">
        <v>38.709186461685071</v>
      </c>
      <c r="M131" s="3">
        <v>16.91035191462846</v>
      </c>
      <c r="N131" s="3">
        <v>38.709186461685071</v>
      </c>
      <c r="O131" s="3">
        <v>2.4776612222330314</v>
      </c>
      <c r="P131" s="3">
        <v>38.709186461685071</v>
      </c>
      <c r="Q131" s="3">
        <v>16.91035191462846</v>
      </c>
      <c r="R131" s="3">
        <v>38.709186461685071</v>
      </c>
      <c r="S131" s="3">
        <v>2.4776612222330314</v>
      </c>
      <c r="T131" s="3">
        <v>150.23476248886783</v>
      </c>
      <c r="U131" s="3">
        <v>2.4776612222330314</v>
      </c>
      <c r="V131" s="3">
        <v>38.709186461685071</v>
      </c>
      <c r="W131" s="3">
        <v>4.0617665719103826</v>
      </c>
      <c r="X131" s="3">
        <v>16.91035191462846</v>
      </c>
      <c r="Y131" s="3">
        <v>4.0617665719103826</v>
      </c>
      <c r="Z131" s="3">
        <v>2.4776612222330314</v>
      </c>
      <c r="AA131" s="3">
        <v>4.0617665719103826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0253-E768-427E-8E2F-2667BA68A866}">
  <dimension ref="A1:AA212"/>
  <sheetViews>
    <sheetView showGridLines="0" workbookViewId="0">
      <pane ySplit="1" topLeftCell="A167" activePane="bottomLeft" state="frozen"/>
      <selection pane="bottomLeft" activeCell="Q194" sqref="Q194"/>
    </sheetView>
  </sheetViews>
  <sheetFormatPr defaultRowHeight="12.75" x14ac:dyDescent="0.2"/>
  <sheetData>
    <row r="1" spans="1:27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0</v>
      </c>
      <c r="L1" t="s">
        <v>12</v>
      </c>
      <c r="M1" t="s">
        <v>13</v>
      </c>
      <c r="N1" t="s">
        <v>14</v>
      </c>
      <c r="O1" t="s">
        <v>15</v>
      </c>
      <c r="P1" t="s">
        <v>1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1971</v>
      </c>
      <c r="B2">
        <v>59573530.042016797</v>
      </c>
      <c r="C2">
        <v>167872767.04681799</v>
      </c>
      <c r="D2">
        <v>1513547.7346938699</v>
      </c>
      <c r="E2">
        <v>520297205.282112</v>
      </c>
      <c r="F2">
        <v>1663920189.3757501</v>
      </c>
      <c r="G2">
        <v>2120842402.34093</v>
      </c>
      <c r="H2">
        <v>10612955.8913565</v>
      </c>
      <c r="I2">
        <v>1580197038.95558</v>
      </c>
      <c r="J2">
        <v>7202850</v>
      </c>
      <c r="K2">
        <v>554610087.03481305</v>
      </c>
      <c r="L2">
        <v>6619532.5</v>
      </c>
      <c r="M2">
        <v>7491429.4597839098</v>
      </c>
      <c r="N2">
        <v>1015752.57623049</v>
      </c>
      <c r="O2">
        <v>13974559.147659</v>
      </c>
      <c r="P2">
        <v>54550984.663865499</v>
      </c>
      <c r="Q2">
        <v>57857577.400960296</v>
      </c>
      <c r="R2">
        <v>36954252.9771908</v>
      </c>
      <c r="S2">
        <v>49124656.878751501</v>
      </c>
      <c r="T2">
        <v>2983859222.6890702</v>
      </c>
      <c r="U2">
        <v>425515811.764705</v>
      </c>
      <c r="V2">
        <v>0</v>
      </c>
      <c r="W2">
        <v>181364417.478991</v>
      </c>
      <c r="X2">
        <v>1050519072.62905</v>
      </c>
      <c r="Y2">
        <v>1061436539.31572</v>
      </c>
      <c r="Z2">
        <v>14455433.454381701</v>
      </c>
      <c r="AA2">
        <v>2068804173.16926</v>
      </c>
    </row>
    <row r="3" spans="1:27" x14ac:dyDescent="0.2">
      <c r="A3">
        <v>1972</v>
      </c>
      <c r="B3">
        <v>58087789.225690201</v>
      </c>
      <c r="C3">
        <v>172589646.24849901</v>
      </c>
      <c r="D3">
        <v>1569995.57232893</v>
      </c>
      <c r="E3">
        <v>531427073.52941102</v>
      </c>
      <c r="F3">
        <v>1548390249.6998799</v>
      </c>
      <c r="G3">
        <v>2229079816.20648</v>
      </c>
      <c r="H3">
        <v>5775758.7575030001</v>
      </c>
      <c r="I3">
        <v>1556165721.54861</v>
      </c>
      <c r="J3">
        <v>6828255</v>
      </c>
      <c r="K3">
        <v>537921283.85354102</v>
      </c>
      <c r="L3">
        <v>4722051.4531812696</v>
      </c>
      <c r="M3">
        <v>9001027.0048019197</v>
      </c>
      <c r="N3">
        <v>995860.07623049198</v>
      </c>
      <c r="O3">
        <v>14937460.6212484</v>
      </c>
      <c r="P3">
        <v>43214206.1824729</v>
      </c>
      <c r="Q3">
        <v>44179473.5594237</v>
      </c>
      <c r="R3">
        <v>16903341.677671</v>
      </c>
      <c r="S3">
        <v>49840950.264105603</v>
      </c>
      <c r="T3">
        <v>3037282289.9159598</v>
      </c>
      <c r="U3">
        <v>383238011.22448897</v>
      </c>
      <c r="V3">
        <v>0</v>
      </c>
      <c r="W3">
        <v>185529374.89795899</v>
      </c>
      <c r="X3">
        <v>1166945300.1200399</v>
      </c>
      <c r="Y3">
        <v>1082644895.85834</v>
      </c>
      <c r="Z3">
        <v>16384243.190276099</v>
      </c>
      <c r="AA3">
        <v>1925995055.82232</v>
      </c>
    </row>
    <row r="4" spans="1:27" x14ac:dyDescent="0.2">
      <c r="A4">
        <v>1973</v>
      </c>
      <c r="B4">
        <v>58883557.442977101</v>
      </c>
      <c r="C4">
        <v>179339475.48019201</v>
      </c>
      <c r="D4">
        <v>1626780.91896758</v>
      </c>
      <c r="E4">
        <v>533430180.37214798</v>
      </c>
      <c r="F4">
        <v>1451588532.1128399</v>
      </c>
      <c r="G4">
        <v>2237029005.4021602</v>
      </c>
      <c r="H4">
        <v>8637025.2671068404</v>
      </c>
      <c r="I4">
        <v>1433879855.16206</v>
      </c>
      <c r="J4">
        <v>4340427.5</v>
      </c>
      <c r="K4">
        <v>461234291.11644602</v>
      </c>
      <c r="L4">
        <v>4516694.8385354104</v>
      </c>
      <c r="M4">
        <v>10723046.0204081</v>
      </c>
      <c r="N4">
        <v>981131.33703481394</v>
      </c>
      <c r="O4">
        <v>16079440.9393757</v>
      </c>
      <c r="P4">
        <v>48732118.037214801</v>
      </c>
      <c r="Q4">
        <v>52554683.193277299</v>
      </c>
      <c r="R4">
        <v>18643897.085834298</v>
      </c>
      <c r="S4">
        <v>45308659.207682997</v>
      </c>
      <c r="T4">
        <v>3040640765.3061199</v>
      </c>
      <c r="U4">
        <v>355627652.10083997</v>
      </c>
      <c r="V4">
        <v>0</v>
      </c>
      <c r="W4">
        <v>182737071.16446501</v>
      </c>
      <c r="X4">
        <v>1235706594.5378101</v>
      </c>
      <c r="Y4">
        <v>1083229564.52581</v>
      </c>
      <c r="Z4">
        <v>15587600.690276099</v>
      </c>
      <c r="AA4">
        <v>1899318983.19327</v>
      </c>
    </row>
    <row r="5" spans="1:27" x14ac:dyDescent="0.2">
      <c r="A5">
        <v>1974</v>
      </c>
      <c r="B5">
        <v>65360980.642256901</v>
      </c>
      <c r="C5">
        <v>184036118.097238</v>
      </c>
      <c r="D5">
        <v>1624208.9423769501</v>
      </c>
      <c r="E5">
        <v>541731747.29891896</v>
      </c>
      <c r="F5">
        <v>1416836799.8199201</v>
      </c>
      <c r="G5">
        <v>2213722236.9747901</v>
      </c>
      <c r="H5">
        <v>8339733.3193277298</v>
      </c>
      <c r="I5">
        <v>1461181477.7310901</v>
      </c>
      <c r="J5">
        <v>4854557.5</v>
      </c>
      <c r="K5">
        <v>455914739.49579799</v>
      </c>
      <c r="L5">
        <v>6794324.1338535398</v>
      </c>
      <c r="M5">
        <v>10784236.701680601</v>
      </c>
      <c r="N5">
        <v>971598.07623049198</v>
      </c>
      <c r="O5">
        <v>17080484.3307322</v>
      </c>
      <c r="P5">
        <v>52642074.039615802</v>
      </c>
      <c r="Q5">
        <v>61060128.511404499</v>
      </c>
      <c r="R5">
        <v>24017699.093637399</v>
      </c>
      <c r="S5">
        <v>34445669.291716598</v>
      </c>
      <c r="T5">
        <v>3071269213.6854701</v>
      </c>
      <c r="U5">
        <v>300975184.69387698</v>
      </c>
      <c r="V5">
        <v>0</v>
      </c>
      <c r="W5">
        <v>182329600.38415301</v>
      </c>
      <c r="X5">
        <v>1235485014.7058799</v>
      </c>
      <c r="Y5">
        <v>1093816301.9207599</v>
      </c>
      <c r="Z5">
        <v>6191698.6224489799</v>
      </c>
      <c r="AA5">
        <v>1784892843.9375701</v>
      </c>
    </row>
    <row r="6" spans="1:27" x14ac:dyDescent="0.2">
      <c r="A6">
        <v>1975</v>
      </c>
      <c r="B6">
        <v>66057019.837935098</v>
      </c>
      <c r="C6">
        <v>169803928.39135599</v>
      </c>
      <c r="D6">
        <v>1754277.1158463301</v>
      </c>
      <c r="E6">
        <v>571327018.60744298</v>
      </c>
      <c r="F6">
        <v>1328396163.1452501</v>
      </c>
      <c r="G6">
        <v>2590791490.2761102</v>
      </c>
      <c r="H6">
        <v>5755376.0354141602</v>
      </c>
      <c r="I6">
        <v>1476643855.5222001</v>
      </c>
      <c r="J6">
        <v>7042010</v>
      </c>
      <c r="K6">
        <v>397144629.77190799</v>
      </c>
      <c r="L6">
        <v>8398462.1698679402</v>
      </c>
      <c r="M6">
        <v>10793720.846338499</v>
      </c>
      <c r="N6">
        <v>983530.82623049198</v>
      </c>
      <c r="O6">
        <v>17451493.9645858</v>
      </c>
      <c r="P6">
        <v>55077122.148859501</v>
      </c>
      <c r="Q6">
        <v>55239403.421368502</v>
      </c>
      <c r="R6">
        <v>26868240.654261701</v>
      </c>
      <c r="S6">
        <v>35314110.018007196</v>
      </c>
      <c r="T6">
        <v>3228699780.9123602</v>
      </c>
      <c r="U6">
        <v>326758292.01680601</v>
      </c>
      <c r="V6">
        <v>0</v>
      </c>
      <c r="W6">
        <v>168609080.456182</v>
      </c>
      <c r="X6">
        <v>1123555747.2989099</v>
      </c>
      <c r="Y6">
        <v>1149971988.89555</v>
      </c>
      <c r="Z6">
        <v>4762599.6338535398</v>
      </c>
      <c r="AA6">
        <v>1623647086.13445</v>
      </c>
    </row>
    <row r="7" spans="1:27" x14ac:dyDescent="0.2">
      <c r="A7">
        <v>1976</v>
      </c>
      <c r="B7">
        <v>68086893.187274903</v>
      </c>
      <c r="C7">
        <v>150565208.433373</v>
      </c>
      <c r="D7">
        <v>1941321.2025810301</v>
      </c>
      <c r="E7">
        <v>551506992.79711795</v>
      </c>
      <c r="F7">
        <v>1177160328.6914699</v>
      </c>
      <c r="G7">
        <v>2638876104.68187</v>
      </c>
      <c r="H7">
        <v>7109642.0768307298</v>
      </c>
      <c r="I7">
        <v>1398268476.5906301</v>
      </c>
      <c r="J7">
        <v>5889975</v>
      </c>
      <c r="K7">
        <v>407773210.14405698</v>
      </c>
      <c r="L7">
        <v>6603041.3595438097</v>
      </c>
      <c r="M7">
        <v>10412103.5864345</v>
      </c>
      <c r="N7">
        <v>963301.08703481394</v>
      </c>
      <c r="O7">
        <v>18693952.427971099</v>
      </c>
      <c r="P7">
        <v>55884120.588235296</v>
      </c>
      <c r="Q7">
        <v>59872139.825930297</v>
      </c>
      <c r="R7">
        <v>26785739.621848699</v>
      </c>
      <c r="S7">
        <v>32603651.896758702</v>
      </c>
      <c r="T7">
        <v>3120941386.5546198</v>
      </c>
      <c r="U7">
        <v>249210581.99279699</v>
      </c>
      <c r="V7">
        <v>0</v>
      </c>
      <c r="W7">
        <v>164532609.87394899</v>
      </c>
      <c r="X7">
        <v>1165889436.07442</v>
      </c>
      <c r="Y7">
        <v>1111338979.59183</v>
      </c>
      <c r="Z7">
        <v>6516070.3631452499</v>
      </c>
      <c r="AA7">
        <v>1554679554.9219601</v>
      </c>
    </row>
    <row r="8" spans="1:27" x14ac:dyDescent="0.2">
      <c r="A8">
        <v>1977</v>
      </c>
      <c r="B8">
        <v>65522197.809123598</v>
      </c>
      <c r="C8">
        <v>146745919.41776699</v>
      </c>
      <c r="D8">
        <v>2023091.5768307301</v>
      </c>
      <c r="E8">
        <v>552273213.08523405</v>
      </c>
      <c r="F8">
        <v>1090107634.6938701</v>
      </c>
      <c r="G8">
        <v>2956415827.4909902</v>
      </c>
      <c r="H8">
        <v>7007476.7106842697</v>
      </c>
      <c r="I8">
        <v>1376262321.96878</v>
      </c>
      <c r="J8">
        <v>5822502.5</v>
      </c>
      <c r="K8">
        <v>413612834.81392503</v>
      </c>
      <c r="L8">
        <v>5415763.8385354104</v>
      </c>
      <c r="M8">
        <v>11057389.069627799</v>
      </c>
      <c r="N8">
        <v>1085545.6563625401</v>
      </c>
      <c r="O8">
        <v>19127201.056422502</v>
      </c>
      <c r="P8">
        <v>56642777.4309723</v>
      </c>
      <c r="Q8">
        <v>56167680.402160801</v>
      </c>
      <c r="R8">
        <v>28799310.954381701</v>
      </c>
      <c r="S8">
        <v>26312534.207683001</v>
      </c>
      <c r="T8">
        <v>3108119735.8943501</v>
      </c>
      <c r="U8">
        <v>231733082.62304899</v>
      </c>
      <c r="V8">
        <v>0</v>
      </c>
      <c r="W8">
        <v>138993503.23529401</v>
      </c>
      <c r="X8">
        <v>1163554946.8787501</v>
      </c>
      <c r="Y8">
        <v>1106163760.8043201</v>
      </c>
      <c r="Z8">
        <v>6681437.3169267699</v>
      </c>
      <c r="AA8">
        <v>1523453457.6830699</v>
      </c>
    </row>
    <row r="9" spans="1:27" x14ac:dyDescent="0.2">
      <c r="A9">
        <v>1978</v>
      </c>
      <c r="B9">
        <v>66777570.588235296</v>
      </c>
      <c r="C9">
        <v>151205438.17526999</v>
      </c>
      <c r="D9">
        <v>2108174.9528811499</v>
      </c>
      <c r="E9">
        <v>554027929.17166805</v>
      </c>
      <c r="F9">
        <v>1008536383.2533</v>
      </c>
      <c r="G9">
        <v>2435542509.0036001</v>
      </c>
      <c r="H9">
        <v>5787760.2070828304</v>
      </c>
      <c r="I9">
        <v>1331708390.15606</v>
      </c>
      <c r="J9">
        <v>4864532.5</v>
      </c>
      <c r="K9">
        <v>425219256.00239998</v>
      </c>
      <c r="L9">
        <v>5918430.2370948298</v>
      </c>
      <c r="M9">
        <v>12365938.325330099</v>
      </c>
      <c r="N9">
        <v>1224642.4864945901</v>
      </c>
      <c r="O9">
        <v>19566700.849339701</v>
      </c>
      <c r="P9">
        <v>56714364.015606202</v>
      </c>
      <c r="Q9">
        <v>51344601.890756302</v>
      </c>
      <c r="R9">
        <v>33428447.1068427</v>
      </c>
      <c r="S9">
        <v>26077846.128451299</v>
      </c>
      <c r="T9">
        <v>3108073793.5173998</v>
      </c>
      <c r="U9">
        <v>204919190.996398</v>
      </c>
      <c r="V9">
        <v>0</v>
      </c>
      <c r="W9">
        <v>88569673.295318097</v>
      </c>
      <c r="X9">
        <v>1155117276.4105599</v>
      </c>
      <c r="Y9">
        <v>1106119440.8763499</v>
      </c>
      <c r="Z9">
        <v>1322087.8082232799</v>
      </c>
      <c r="AA9">
        <v>1525335389.8559401</v>
      </c>
    </row>
    <row r="10" spans="1:27" x14ac:dyDescent="0.2">
      <c r="A10">
        <v>1979</v>
      </c>
      <c r="B10">
        <v>71488119.927971095</v>
      </c>
      <c r="C10">
        <v>157298957.112845</v>
      </c>
      <c r="D10">
        <v>2366636.5930372099</v>
      </c>
      <c r="E10">
        <v>548396876.05042005</v>
      </c>
      <c r="F10">
        <v>908735581.03241301</v>
      </c>
      <c r="G10">
        <v>2437863198.4993901</v>
      </c>
      <c r="H10">
        <v>859034.83163265302</v>
      </c>
      <c r="I10">
        <v>1305022980.79231</v>
      </c>
      <c r="J10">
        <v>4176955</v>
      </c>
      <c r="K10">
        <v>431508007.50300097</v>
      </c>
      <c r="L10">
        <v>6019141.6896758704</v>
      </c>
      <c r="M10">
        <v>11994139.246698599</v>
      </c>
      <c r="N10">
        <v>1220742.9864945901</v>
      </c>
      <c r="O10">
        <v>20316225.4411764</v>
      </c>
      <c r="P10">
        <v>57175975.330132</v>
      </c>
      <c r="Q10">
        <v>49209985.414165601</v>
      </c>
      <c r="R10">
        <v>35154400.360143997</v>
      </c>
      <c r="S10">
        <v>29603856.716686599</v>
      </c>
      <c r="T10">
        <v>3064741677.6710601</v>
      </c>
      <c r="U10">
        <v>183503659.48379299</v>
      </c>
      <c r="V10">
        <v>0</v>
      </c>
      <c r="W10">
        <v>83096482.400960296</v>
      </c>
      <c r="X10">
        <v>1185831056.7226801</v>
      </c>
      <c r="Y10">
        <v>1089894569.3277299</v>
      </c>
      <c r="Z10">
        <v>1001727.60264105</v>
      </c>
      <c r="AA10">
        <v>1523586943.2773099</v>
      </c>
    </row>
    <row r="11" spans="1:27" x14ac:dyDescent="0.2">
      <c r="A11">
        <v>1980</v>
      </c>
      <c r="B11">
        <v>74392933.043217197</v>
      </c>
      <c r="C11">
        <v>158821720.378151</v>
      </c>
      <c r="D11">
        <v>2400229.42647058</v>
      </c>
      <c r="E11">
        <v>546344942.07683003</v>
      </c>
      <c r="F11">
        <v>855832666.02640998</v>
      </c>
      <c r="G11">
        <v>2249351664.7659001</v>
      </c>
      <c r="H11">
        <v>945810.63565426099</v>
      </c>
      <c r="I11">
        <v>1321835962.24489</v>
      </c>
      <c r="J11">
        <v>2961060</v>
      </c>
      <c r="K11">
        <v>427154367.94717801</v>
      </c>
      <c r="L11">
        <v>6515142.4609843902</v>
      </c>
      <c r="M11">
        <v>12504994.7298919</v>
      </c>
      <c r="N11">
        <v>1235207.4864945901</v>
      </c>
      <c r="O11">
        <v>21056301.734693799</v>
      </c>
      <c r="P11">
        <v>58161354.471788697</v>
      </c>
      <c r="Q11">
        <v>45927316.926770702</v>
      </c>
      <c r="R11">
        <v>37600913.643457301</v>
      </c>
      <c r="S11">
        <v>32643313.163265299</v>
      </c>
      <c r="T11">
        <v>3044018250.3001199</v>
      </c>
      <c r="U11">
        <v>173813410.984393</v>
      </c>
      <c r="V11">
        <v>15146622.5</v>
      </c>
      <c r="W11">
        <v>75395315.480192006</v>
      </c>
      <c r="X11">
        <v>1130197309.7238801</v>
      </c>
      <c r="Y11">
        <v>1082440102.0408101</v>
      </c>
      <c r="Z11">
        <v>813202.77551020402</v>
      </c>
      <c r="AA11">
        <v>1501712063.0252099</v>
      </c>
    </row>
    <row r="12" spans="1:27" x14ac:dyDescent="0.2">
      <c r="A12">
        <v>1981</v>
      </c>
      <c r="B12">
        <v>74581799.279711798</v>
      </c>
      <c r="C12">
        <v>153389389.70588201</v>
      </c>
      <c r="D12">
        <v>2647211.5666266498</v>
      </c>
      <c r="E12">
        <v>560188963.98559403</v>
      </c>
      <c r="F12">
        <v>790796990.27611005</v>
      </c>
      <c r="G12">
        <v>2379556506.4225602</v>
      </c>
      <c r="H12">
        <v>723726.41716686601</v>
      </c>
      <c r="I12">
        <v>1282116189.55582</v>
      </c>
      <c r="J12">
        <v>2293343.5</v>
      </c>
      <c r="K12">
        <v>412925057.80312097</v>
      </c>
      <c r="L12">
        <v>25547318.7244897</v>
      </c>
      <c r="M12">
        <v>12984550.213085201</v>
      </c>
      <c r="N12">
        <v>1250032.2364945901</v>
      </c>
      <c r="O12">
        <v>22929713.175270099</v>
      </c>
      <c r="P12">
        <v>58484798.739495799</v>
      </c>
      <c r="Q12">
        <v>44504174.189675801</v>
      </c>
      <c r="R12">
        <v>40253262.845137998</v>
      </c>
      <c r="S12">
        <v>27351569.321728598</v>
      </c>
      <c r="T12">
        <v>3114686275.5102</v>
      </c>
      <c r="U12">
        <v>164919628.00119999</v>
      </c>
      <c r="V12">
        <v>11715865</v>
      </c>
      <c r="W12">
        <v>83190399.783913493</v>
      </c>
      <c r="X12">
        <v>1095143615.5462101</v>
      </c>
      <c r="Y12">
        <v>1108967256.30252</v>
      </c>
      <c r="Z12">
        <v>952728.31842737005</v>
      </c>
      <c r="AA12">
        <v>1454448371.8487301</v>
      </c>
    </row>
    <row r="13" spans="1:27" x14ac:dyDescent="0.2">
      <c r="A13">
        <v>1982</v>
      </c>
      <c r="B13">
        <v>75865260.114045605</v>
      </c>
      <c r="C13">
        <v>141975597.719087</v>
      </c>
      <c r="D13">
        <v>2588040.9483793499</v>
      </c>
      <c r="E13">
        <v>554028882.05282104</v>
      </c>
      <c r="F13">
        <v>747456043.75750303</v>
      </c>
      <c r="G13">
        <v>2417200596.9387698</v>
      </c>
      <c r="H13">
        <v>603777.35840336105</v>
      </c>
      <c r="I13">
        <v>1286489855.6422501</v>
      </c>
      <c r="J13">
        <v>1911510.25</v>
      </c>
      <c r="K13">
        <v>406293630.19207603</v>
      </c>
      <c r="L13">
        <v>25958980.795318101</v>
      </c>
      <c r="M13">
        <v>12852297.010804299</v>
      </c>
      <c r="N13">
        <v>1909143.10474189</v>
      </c>
      <c r="O13">
        <v>21302781.551620599</v>
      </c>
      <c r="P13">
        <v>59427861.8247298</v>
      </c>
      <c r="Q13">
        <v>35182923.919567801</v>
      </c>
      <c r="R13">
        <v>47880392.124849901</v>
      </c>
      <c r="S13">
        <v>29724705.3361344</v>
      </c>
      <c r="T13">
        <v>3073171212.4849901</v>
      </c>
      <c r="U13">
        <v>145220359.813925</v>
      </c>
      <c r="V13">
        <v>15266127.5</v>
      </c>
      <c r="W13">
        <v>85915103.967586994</v>
      </c>
      <c r="X13">
        <v>994159119.74789906</v>
      </c>
      <c r="Y13">
        <v>1092803081.0324099</v>
      </c>
      <c r="Z13">
        <v>856030.17887154804</v>
      </c>
      <c r="AA13">
        <v>1411509541.4165599</v>
      </c>
    </row>
    <row r="14" spans="1:27" x14ac:dyDescent="0.2">
      <c r="A14">
        <v>1983</v>
      </c>
      <c r="B14">
        <v>80450229.7719087</v>
      </c>
      <c r="C14">
        <v>133779752.010804</v>
      </c>
      <c r="D14">
        <v>2849243.7845137999</v>
      </c>
      <c r="E14">
        <v>550433957.98319304</v>
      </c>
      <c r="F14">
        <v>736686769.26770699</v>
      </c>
      <c r="G14">
        <v>2390034718.8475299</v>
      </c>
      <c r="H14">
        <v>592329.28112244897</v>
      </c>
      <c r="I14">
        <v>1268795451.5606201</v>
      </c>
      <c r="J14">
        <v>1258906.74999999</v>
      </c>
      <c r="K14">
        <v>402922936.79471701</v>
      </c>
      <c r="L14">
        <v>26896931.7647058</v>
      </c>
      <c r="M14">
        <v>15269853.328331299</v>
      </c>
      <c r="N14">
        <v>1933130.34393757</v>
      </c>
      <c r="O14">
        <v>21549224.5828331</v>
      </c>
      <c r="P14">
        <v>55890545.558223203</v>
      </c>
      <c r="Q14">
        <v>28882863.703481302</v>
      </c>
      <c r="R14">
        <v>54683196.5186074</v>
      </c>
      <c r="S14">
        <v>25504258.640456099</v>
      </c>
      <c r="T14">
        <v>3046251539.61584</v>
      </c>
      <c r="U14">
        <v>124063389.49579801</v>
      </c>
      <c r="V14">
        <v>18794272.5</v>
      </c>
      <c r="W14">
        <v>79122515.9363745</v>
      </c>
      <c r="X14">
        <v>837465589.43577397</v>
      </c>
      <c r="Y14">
        <v>1083538086.4345701</v>
      </c>
      <c r="Z14">
        <v>931275.57052821096</v>
      </c>
      <c r="AA14">
        <v>1350498859.84393</v>
      </c>
    </row>
    <row r="15" spans="1:27" x14ac:dyDescent="0.2">
      <c r="A15">
        <v>1984</v>
      </c>
      <c r="B15">
        <v>82024925.060023993</v>
      </c>
      <c r="C15">
        <v>145255392.22689</v>
      </c>
      <c r="D15">
        <v>3355658.57743097</v>
      </c>
      <c r="E15">
        <v>548859057.02280903</v>
      </c>
      <c r="F15">
        <v>724438433.67346895</v>
      </c>
      <c r="G15">
        <v>2413408182.3529401</v>
      </c>
      <c r="H15">
        <v>620455.23349339701</v>
      </c>
      <c r="I15">
        <v>1168189802.5209999</v>
      </c>
      <c r="J15">
        <v>499094.5</v>
      </c>
      <c r="K15">
        <v>400457125.15006</v>
      </c>
      <c r="L15">
        <v>29852312.3649459</v>
      </c>
      <c r="M15">
        <v>17996441.6236494</v>
      </c>
      <c r="N15">
        <v>1318141.30642256</v>
      </c>
      <c r="O15">
        <v>22905725.636254501</v>
      </c>
      <c r="P15">
        <v>59280713.2653061</v>
      </c>
      <c r="Q15">
        <v>30462896.308523402</v>
      </c>
      <c r="R15">
        <v>54028608.0132052</v>
      </c>
      <c r="S15">
        <v>23186999.039615799</v>
      </c>
      <c r="T15">
        <v>3029263613.4453702</v>
      </c>
      <c r="U15">
        <v>116490258.643457</v>
      </c>
      <c r="V15">
        <v>18916972.5</v>
      </c>
      <c r="W15">
        <v>73359873.739495799</v>
      </c>
      <c r="X15">
        <v>898687559.123649</v>
      </c>
      <c r="Y15">
        <v>1076886652.7611001</v>
      </c>
      <c r="Z15">
        <v>852916.46428571397</v>
      </c>
      <c r="AA15">
        <v>1371042664.7658999</v>
      </c>
    </row>
    <row r="16" spans="1:27" x14ac:dyDescent="0.2">
      <c r="A16">
        <v>1985</v>
      </c>
      <c r="B16">
        <v>81851547.9891956</v>
      </c>
      <c r="C16">
        <v>142429919.837935</v>
      </c>
      <c r="D16">
        <v>3007934.13865546</v>
      </c>
      <c r="E16">
        <v>546941334.93397295</v>
      </c>
      <c r="F16">
        <v>695555251.32052803</v>
      </c>
      <c r="G16">
        <v>2322335404.3217201</v>
      </c>
      <c r="H16">
        <v>517828.23736494599</v>
      </c>
      <c r="I16">
        <v>1193542621.42857</v>
      </c>
      <c r="J16">
        <v>3990070</v>
      </c>
      <c r="K16">
        <v>402688083.37334901</v>
      </c>
      <c r="L16">
        <v>30950209.243697401</v>
      </c>
      <c r="M16">
        <v>18774049.648859501</v>
      </c>
      <c r="N16">
        <v>1976823.08313325</v>
      </c>
      <c r="O16">
        <v>24476158.025210001</v>
      </c>
      <c r="P16">
        <v>62539128.271308497</v>
      </c>
      <c r="Q16">
        <v>27953980.168067198</v>
      </c>
      <c r="R16">
        <v>55881278.781512603</v>
      </c>
      <c r="S16">
        <v>23472775.192076799</v>
      </c>
      <c r="T16">
        <v>3009782382.9531798</v>
      </c>
      <c r="U16">
        <v>101002218.307322</v>
      </c>
      <c r="V16">
        <v>13920682.5</v>
      </c>
      <c r="W16">
        <v>57523638.733493298</v>
      </c>
      <c r="X16">
        <v>841374427.37094796</v>
      </c>
      <c r="Y16">
        <v>1068697378.7515</v>
      </c>
      <c r="Z16">
        <v>783745.06482593005</v>
      </c>
      <c r="AA16">
        <v>1402913995.4981899</v>
      </c>
    </row>
    <row r="17" spans="1:27" x14ac:dyDescent="0.2">
      <c r="A17">
        <v>1986</v>
      </c>
      <c r="B17">
        <v>81155402.731092393</v>
      </c>
      <c r="C17">
        <v>125369776.980792</v>
      </c>
      <c r="D17">
        <v>2909650.9693877501</v>
      </c>
      <c r="E17">
        <v>549654099.93997598</v>
      </c>
      <c r="F17">
        <v>666895642.01680601</v>
      </c>
      <c r="G17">
        <v>2245850603.1212401</v>
      </c>
      <c r="H17">
        <v>1127390.8841536599</v>
      </c>
      <c r="I17">
        <v>1074196975.03001</v>
      </c>
      <c r="J17">
        <v>0</v>
      </c>
      <c r="K17">
        <v>413182880.07202798</v>
      </c>
      <c r="L17">
        <v>33372484.063625399</v>
      </c>
      <c r="M17">
        <v>119759550.930372</v>
      </c>
      <c r="N17">
        <v>1339133.9303721399</v>
      </c>
      <c r="O17">
        <v>26877563.721488498</v>
      </c>
      <c r="P17">
        <v>63363156.602641001</v>
      </c>
      <c r="Q17">
        <v>23490219.5888355</v>
      </c>
      <c r="R17">
        <v>50122172.797118798</v>
      </c>
      <c r="S17">
        <v>34347439.363745399</v>
      </c>
      <c r="T17">
        <v>3016396506.6026402</v>
      </c>
      <c r="U17">
        <v>95188218.067226797</v>
      </c>
      <c r="V17">
        <v>11766567.5</v>
      </c>
      <c r="W17">
        <v>57589582.749099597</v>
      </c>
      <c r="X17">
        <v>811138447.47899103</v>
      </c>
      <c r="Y17">
        <v>1070755906.66266</v>
      </c>
      <c r="Z17">
        <v>1710847.38715486</v>
      </c>
      <c r="AA17">
        <v>1377670396.7586999</v>
      </c>
    </row>
    <row r="18" spans="1:27" x14ac:dyDescent="0.2">
      <c r="A18">
        <v>1987</v>
      </c>
      <c r="B18">
        <v>79246337.515006006</v>
      </c>
      <c r="C18">
        <v>126414421.48859499</v>
      </c>
      <c r="D18">
        <v>2938779.4537815098</v>
      </c>
      <c r="E18">
        <v>551065776.11044395</v>
      </c>
      <c r="F18">
        <v>651570424.66986704</v>
      </c>
      <c r="G18">
        <v>2128407764.04561</v>
      </c>
      <c r="H18">
        <v>815290.94837935094</v>
      </c>
      <c r="I18">
        <v>1044525063.68547</v>
      </c>
      <c r="J18">
        <v>0</v>
      </c>
      <c r="K18">
        <v>417400846.33853501</v>
      </c>
      <c r="L18">
        <v>33678545.228091203</v>
      </c>
      <c r="M18">
        <v>157258388.92557001</v>
      </c>
      <c r="N18">
        <v>1331538.2364945901</v>
      </c>
      <c r="O18">
        <v>26520822.226890702</v>
      </c>
      <c r="P18">
        <v>65333630.432172798</v>
      </c>
      <c r="Q18">
        <v>19254291.536614601</v>
      </c>
      <c r="R18">
        <v>63943429.081632599</v>
      </c>
      <c r="S18">
        <v>35229171.854741797</v>
      </c>
      <c r="T18">
        <v>3014934705.88235</v>
      </c>
      <c r="U18">
        <v>81040603.511404499</v>
      </c>
      <c r="V18">
        <v>16177250.353421301</v>
      </c>
      <c r="W18">
        <v>65669537.743097201</v>
      </c>
      <c r="X18">
        <v>827431978.99159598</v>
      </c>
      <c r="Y18">
        <v>1069326253.9015599</v>
      </c>
      <c r="Z18">
        <v>1420727.3745498201</v>
      </c>
      <c r="AA18">
        <v>1367837270.7082801</v>
      </c>
    </row>
    <row r="19" spans="1:27" x14ac:dyDescent="0.2">
      <c r="A19">
        <v>1988</v>
      </c>
      <c r="B19">
        <v>83052543.997599006</v>
      </c>
      <c r="C19">
        <v>140627758.433373</v>
      </c>
      <c r="D19">
        <v>3095720.7953181202</v>
      </c>
      <c r="E19">
        <v>544234512.00480103</v>
      </c>
      <c r="F19">
        <v>595040062.06482506</v>
      </c>
      <c r="G19">
        <v>2125484368.1872699</v>
      </c>
      <c r="H19">
        <v>412238.48778511398</v>
      </c>
      <c r="I19">
        <v>985138581.15245998</v>
      </c>
      <c r="J19">
        <v>0</v>
      </c>
      <c r="K19">
        <v>433708912.00480098</v>
      </c>
      <c r="L19">
        <v>35238158.043217197</v>
      </c>
      <c r="M19">
        <v>115526110.11404499</v>
      </c>
      <c r="N19">
        <v>1468042.2950180001</v>
      </c>
      <c r="O19">
        <v>22100255.360144001</v>
      </c>
      <c r="P19">
        <v>67519740.576230496</v>
      </c>
      <c r="Q19">
        <v>18170853.847539</v>
      </c>
      <c r="R19">
        <v>58668408.283313297</v>
      </c>
      <c r="S19">
        <v>26849061.662664998</v>
      </c>
      <c r="T19">
        <v>2966819654.8619399</v>
      </c>
      <c r="U19">
        <v>53116592.6470588</v>
      </c>
      <c r="V19">
        <v>22330661.422568999</v>
      </c>
      <c r="W19">
        <v>63703942.995197996</v>
      </c>
      <c r="X19">
        <v>860612883.55342102</v>
      </c>
      <c r="Y19">
        <v>1050610108.34333</v>
      </c>
      <c r="Z19">
        <v>1239186.0834333701</v>
      </c>
      <c r="AA19">
        <v>1363629385.0540199</v>
      </c>
    </row>
    <row r="20" spans="1:27" x14ac:dyDescent="0.2">
      <c r="A20">
        <v>1989</v>
      </c>
      <c r="B20">
        <v>85834286.854741901</v>
      </c>
      <c r="C20">
        <v>150408639.70588201</v>
      </c>
      <c r="D20">
        <v>3539927.4159663799</v>
      </c>
      <c r="E20">
        <v>545067070.82833099</v>
      </c>
      <c r="F20">
        <v>550976433.85354102</v>
      </c>
      <c r="G20">
        <v>2093739902.1008401</v>
      </c>
      <c r="H20">
        <v>387200.14984993997</v>
      </c>
      <c r="I20">
        <v>898238720.16806698</v>
      </c>
      <c r="J20">
        <v>0</v>
      </c>
      <c r="K20">
        <v>450442222.02881098</v>
      </c>
      <c r="L20">
        <v>35661823.829531796</v>
      </c>
      <c r="M20">
        <v>125868032.292917</v>
      </c>
      <c r="N20">
        <v>1872309.27460984</v>
      </c>
      <c r="O20">
        <v>11547148.673469299</v>
      </c>
      <c r="P20">
        <v>67887120.198079199</v>
      </c>
      <c r="Q20">
        <v>17806708.757502999</v>
      </c>
      <c r="R20">
        <v>59927382.803121202</v>
      </c>
      <c r="S20">
        <v>27116193.169267699</v>
      </c>
      <c r="T20">
        <v>2963380621.2484899</v>
      </c>
      <c r="U20">
        <v>29745007.908163201</v>
      </c>
      <c r="V20">
        <v>18415394.840936299</v>
      </c>
      <c r="W20">
        <v>63501665.9363745</v>
      </c>
      <c r="X20">
        <v>844350722.68907499</v>
      </c>
      <c r="Y20">
        <v>1048381072.02881</v>
      </c>
      <c r="Z20">
        <v>1154367.2641056399</v>
      </c>
      <c r="AA20">
        <v>1353320084.33373</v>
      </c>
    </row>
    <row r="21" spans="1:27" x14ac:dyDescent="0.2">
      <c r="A21">
        <v>1990</v>
      </c>
      <c r="B21">
        <v>76128550.330131993</v>
      </c>
      <c r="C21">
        <v>147666349.579831</v>
      </c>
      <c r="D21">
        <v>5405045.4351740601</v>
      </c>
      <c r="E21">
        <v>219509116.02641001</v>
      </c>
      <c r="F21">
        <v>423917874.00960302</v>
      </c>
      <c r="G21">
        <v>1869475388.5354099</v>
      </c>
      <c r="H21">
        <v>412406.09936974698</v>
      </c>
      <c r="I21">
        <v>846756171.66866696</v>
      </c>
      <c r="J21">
        <v>178101.851290516</v>
      </c>
      <c r="K21">
        <v>374075204.86194402</v>
      </c>
      <c r="L21">
        <v>37516690.456182398</v>
      </c>
      <c r="M21">
        <v>117018930.55222</v>
      </c>
      <c r="N21">
        <v>2244576.9825930302</v>
      </c>
      <c r="O21">
        <v>9799799.6968787499</v>
      </c>
      <c r="P21">
        <v>70762665.876350507</v>
      </c>
      <c r="Q21">
        <v>21730101.269507799</v>
      </c>
      <c r="R21">
        <v>63777398.199279703</v>
      </c>
      <c r="S21">
        <v>26027593.751500599</v>
      </c>
      <c r="T21">
        <v>907865700.18007195</v>
      </c>
      <c r="U21">
        <v>20547446.575630199</v>
      </c>
      <c r="V21">
        <v>20365742.049819902</v>
      </c>
      <c r="W21">
        <v>48143177.557022803</v>
      </c>
      <c r="X21">
        <v>846631102.64105594</v>
      </c>
      <c r="Y21">
        <v>240273394.987995</v>
      </c>
      <c r="Z21">
        <v>1077762.9294717801</v>
      </c>
      <c r="AA21">
        <v>1359777868.8475299</v>
      </c>
    </row>
    <row r="22" spans="1:27" x14ac:dyDescent="0.2">
      <c r="A22">
        <v>1991</v>
      </c>
      <c r="B22">
        <v>73375086.074429706</v>
      </c>
      <c r="C22">
        <v>137450077.85113999</v>
      </c>
      <c r="D22">
        <v>3816088.7965186001</v>
      </c>
      <c r="E22">
        <v>242395096.75870299</v>
      </c>
      <c r="F22">
        <v>390330195.31812698</v>
      </c>
      <c r="G22">
        <v>1634523930.13205</v>
      </c>
      <c r="H22">
        <v>322904.79747899098</v>
      </c>
      <c r="I22">
        <v>853780734.15366101</v>
      </c>
      <c r="J22">
        <v>192418.20552220801</v>
      </c>
      <c r="K22">
        <v>395063462.18487298</v>
      </c>
      <c r="L22">
        <v>38780559.423769496</v>
      </c>
      <c r="M22">
        <v>98002631.482593</v>
      </c>
      <c r="N22">
        <v>2376343.31272509</v>
      </c>
      <c r="O22">
        <v>8457617.5360144004</v>
      </c>
      <c r="P22">
        <v>72134719.777911097</v>
      </c>
      <c r="Q22">
        <v>18243984.498799499</v>
      </c>
      <c r="R22">
        <v>65645643.067226797</v>
      </c>
      <c r="S22">
        <v>25401270.474189602</v>
      </c>
      <c r="T22">
        <v>755823530.61224401</v>
      </c>
      <c r="U22">
        <v>16579981.5096038</v>
      </c>
      <c r="V22">
        <v>23716285.0180072</v>
      </c>
      <c r="W22">
        <v>45832859.7238895</v>
      </c>
      <c r="X22">
        <v>801934712.78511405</v>
      </c>
      <c r="Y22">
        <v>225276468.36734599</v>
      </c>
      <c r="Z22">
        <v>730105.48019207595</v>
      </c>
      <c r="AA22">
        <v>1427441406.6626599</v>
      </c>
    </row>
    <row r="23" spans="1:27" x14ac:dyDescent="0.2">
      <c r="A23">
        <v>1992</v>
      </c>
      <c r="B23">
        <v>76760642.346938699</v>
      </c>
      <c r="C23">
        <v>143853464.94597799</v>
      </c>
      <c r="D23">
        <v>2135575.5837334902</v>
      </c>
      <c r="E23">
        <v>232464102.941176</v>
      </c>
      <c r="F23">
        <v>421745233.55342102</v>
      </c>
      <c r="G23">
        <v>1434698489.49579</v>
      </c>
      <c r="H23">
        <v>386215.57433973497</v>
      </c>
      <c r="I23">
        <v>785162245.19807899</v>
      </c>
      <c r="J23">
        <v>216861.93166266501</v>
      </c>
      <c r="K23">
        <v>397525593.397358</v>
      </c>
      <c r="L23">
        <v>40557320.348139197</v>
      </c>
      <c r="M23">
        <v>97036146.818727493</v>
      </c>
      <c r="N23">
        <v>1966823.10474189</v>
      </c>
      <c r="O23">
        <v>9397445.3781512603</v>
      </c>
      <c r="P23">
        <v>69345564.615846306</v>
      </c>
      <c r="Q23">
        <v>19452758.511404499</v>
      </c>
      <c r="R23">
        <v>62292952.1008403</v>
      </c>
      <c r="S23">
        <v>23620649.7719087</v>
      </c>
      <c r="T23">
        <v>661814918.667467</v>
      </c>
      <c r="U23">
        <v>14301919.7418967</v>
      </c>
      <c r="V23">
        <v>23565134.624849901</v>
      </c>
      <c r="W23">
        <v>46417733.037214801</v>
      </c>
      <c r="X23">
        <v>853039536.91476595</v>
      </c>
      <c r="Y23">
        <v>188332594.41776699</v>
      </c>
      <c r="Z23">
        <v>865797.09423769498</v>
      </c>
      <c r="AA23">
        <v>1420964779.11164</v>
      </c>
    </row>
    <row r="24" spans="1:27" x14ac:dyDescent="0.2">
      <c r="A24">
        <v>1993</v>
      </c>
      <c r="B24">
        <v>77611242.496998802</v>
      </c>
      <c r="C24">
        <v>143008723.97959101</v>
      </c>
      <c r="D24">
        <v>1755174.6110444099</v>
      </c>
      <c r="E24">
        <v>176939042.04681799</v>
      </c>
      <c r="F24">
        <v>449733729.77190799</v>
      </c>
      <c r="G24">
        <v>1304870596.99879</v>
      </c>
      <c r="H24">
        <v>411793.66617647</v>
      </c>
      <c r="I24">
        <v>586355146.75870299</v>
      </c>
      <c r="J24">
        <v>253811.21638655401</v>
      </c>
      <c r="K24">
        <v>408672848.49939901</v>
      </c>
      <c r="L24">
        <v>43036172.238895498</v>
      </c>
      <c r="M24">
        <v>95475663.685474098</v>
      </c>
      <c r="N24">
        <v>72481.267707082807</v>
      </c>
      <c r="O24">
        <v>8172233.2004801901</v>
      </c>
      <c r="P24">
        <v>69050013.205282107</v>
      </c>
      <c r="Q24">
        <v>20453291.479591802</v>
      </c>
      <c r="R24">
        <v>62341029.951980703</v>
      </c>
      <c r="S24">
        <v>20858003.7364945</v>
      </c>
      <c r="T24">
        <v>1333470871.8487301</v>
      </c>
      <c r="U24">
        <v>26516058.286314499</v>
      </c>
      <c r="V24">
        <v>21864043.676470499</v>
      </c>
      <c r="W24">
        <v>48512565.402160801</v>
      </c>
      <c r="X24">
        <v>776730822.02881098</v>
      </c>
      <c r="Y24">
        <v>223690166.59663799</v>
      </c>
      <c r="Z24">
        <v>782801.60204081598</v>
      </c>
      <c r="AA24">
        <v>1422886606.84273</v>
      </c>
    </row>
    <row r="25" spans="1:27" x14ac:dyDescent="0.2">
      <c r="A25">
        <v>1994</v>
      </c>
      <c r="B25">
        <v>63795795.828331299</v>
      </c>
      <c r="C25">
        <v>147193606.93277299</v>
      </c>
      <c r="D25">
        <v>1753083.8718487299</v>
      </c>
      <c r="E25">
        <v>134565062.154861</v>
      </c>
      <c r="F25">
        <v>417640536.79471701</v>
      </c>
      <c r="G25">
        <v>1087165041.17647</v>
      </c>
      <c r="H25">
        <v>295411.459873949</v>
      </c>
      <c r="I25">
        <v>456682093.57743001</v>
      </c>
      <c r="J25">
        <v>289084.04759903898</v>
      </c>
      <c r="K25">
        <v>416854524.42977101</v>
      </c>
      <c r="L25">
        <v>44732596.098439299</v>
      </c>
      <c r="M25">
        <v>102112402.010804</v>
      </c>
      <c r="N25">
        <v>0</v>
      </c>
      <c r="O25">
        <v>8122733.4555822304</v>
      </c>
      <c r="P25">
        <v>69794537.635054007</v>
      </c>
      <c r="Q25">
        <v>17141905.978391301</v>
      </c>
      <c r="R25">
        <v>63735930.042016797</v>
      </c>
      <c r="S25">
        <v>5058549.8109243698</v>
      </c>
      <c r="T25">
        <v>1039910056.12244</v>
      </c>
      <c r="U25">
        <v>22378258.505402099</v>
      </c>
      <c r="V25">
        <v>19927599.174669798</v>
      </c>
      <c r="W25">
        <v>49024897.328931503</v>
      </c>
      <c r="X25">
        <v>813021440.27611005</v>
      </c>
      <c r="Y25">
        <v>277770545.31812698</v>
      </c>
      <c r="Z25">
        <v>719875.14915966301</v>
      </c>
      <c r="AA25">
        <v>1434942754.5018001</v>
      </c>
    </row>
    <row r="26" spans="1:27" x14ac:dyDescent="0.2">
      <c r="A26">
        <v>1995</v>
      </c>
      <c r="B26">
        <v>67180387.484993994</v>
      </c>
      <c r="C26">
        <v>133015458.163265</v>
      </c>
      <c r="D26">
        <v>1924662.6230492101</v>
      </c>
      <c r="E26">
        <v>151476310.984393</v>
      </c>
      <c r="F26">
        <v>410549330.79231602</v>
      </c>
      <c r="G26">
        <v>941690801.08043206</v>
      </c>
      <c r="H26">
        <v>207742.87509003599</v>
      </c>
      <c r="I26">
        <v>427269784.15366101</v>
      </c>
      <c r="J26">
        <v>34738.476590636201</v>
      </c>
      <c r="K26">
        <v>427562997.539015</v>
      </c>
      <c r="L26">
        <v>47322890.696278498</v>
      </c>
      <c r="M26">
        <v>91906643.367346898</v>
      </c>
      <c r="N26">
        <v>0</v>
      </c>
      <c r="O26">
        <v>8823843.0216086395</v>
      </c>
      <c r="P26">
        <v>69501255.282112807</v>
      </c>
      <c r="Q26">
        <v>18299390.303121202</v>
      </c>
      <c r="R26">
        <v>64922846.188475303</v>
      </c>
      <c r="S26">
        <v>4622778.6434573801</v>
      </c>
      <c r="T26">
        <v>1010907434.2737</v>
      </c>
      <c r="U26">
        <v>22269220.462184802</v>
      </c>
      <c r="V26">
        <v>20102787.202881102</v>
      </c>
      <c r="W26">
        <v>52100313.793517403</v>
      </c>
      <c r="X26">
        <v>839814300.72028804</v>
      </c>
      <c r="Y26">
        <v>274376852.941176</v>
      </c>
      <c r="Z26">
        <v>696132.37845137995</v>
      </c>
      <c r="AA26">
        <v>1478651997.2989099</v>
      </c>
    </row>
    <row r="27" spans="1:27" x14ac:dyDescent="0.2">
      <c r="A27">
        <v>1996</v>
      </c>
      <c r="B27">
        <v>63179205.3421368</v>
      </c>
      <c r="C27">
        <v>129946734.513805</v>
      </c>
      <c r="D27">
        <v>1796996.4165666201</v>
      </c>
      <c r="E27">
        <v>142192130.342136</v>
      </c>
      <c r="F27">
        <v>419733336.43457299</v>
      </c>
      <c r="G27">
        <v>900364992.43697405</v>
      </c>
      <c r="H27">
        <v>258256.01008403301</v>
      </c>
      <c r="I27">
        <v>438821829.83193201</v>
      </c>
      <c r="J27">
        <v>0</v>
      </c>
      <c r="K27">
        <v>428781370.28811502</v>
      </c>
      <c r="L27">
        <v>48333233.493397303</v>
      </c>
      <c r="M27">
        <v>94801663.895558193</v>
      </c>
      <c r="N27">
        <v>0</v>
      </c>
      <c r="O27">
        <v>8969135.8049219605</v>
      </c>
      <c r="P27">
        <v>71130324.249699801</v>
      </c>
      <c r="Q27">
        <v>19758297.638055202</v>
      </c>
      <c r="R27">
        <v>64670802.460984297</v>
      </c>
      <c r="S27">
        <v>3984578.5414165598</v>
      </c>
      <c r="T27">
        <v>1006832746.09843</v>
      </c>
      <c r="U27">
        <v>17734076.617647</v>
      </c>
      <c r="V27">
        <v>23845193.886554599</v>
      </c>
      <c r="W27">
        <v>56573160.522208802</v>
      </c>
      <c r="X27">
        <v>850280518.30732298</v>
      </c>
      <c r="Y27">
        <v>246982292.22689</v>
      </c>
      <c r="Z27">
        <v>769607.27400960296</v>
      </c>
      <c r="AA27">
        <v>1514917064.52581</v>
      </c>
    </row>
    <row r="28" spans="1:27" x14ac:dyDescent="0.2">
      <c r="A28">
        <v>1997</v>
      </c>
      <c r="B28">
        <v>55497867.857142799</v>
      </c>
      <c r="C28">
        <v>131088385.864345</v>
      </c>
      <c r="D28">
        <v>1965346.4177671</v>
      </c>
      <c r="E28">
        <v>129740358.853541</v>
      </c>
      <c r="F28">
        <v>414984861.88475299</v>
      </c>
      <c r="G28">
        <v>696583403.96158397</v>
      </c>
      <c r="H28">
        <v>283500.09681872698</v>
      </c>
      <c r="I28">
        <v>421490822.388955</v>
      </c>
      <c r="J28">
        <v>0</v>
      </c>
      <c r="K28">
        <v>432683673.04921901</v>
      </c>
      <c r="L28">
        <v>49954052.220888302</v>
      </c>
      <c r="M28">
        <v>102315568.42737</v>
      </c>
      <c r="N28">
        <v>0</v>
      </c>
      <c r="O28">
        <v>10069425.481392501</v>
      </c>
      <c r="P28">
        <v>73110830.672268897</v>
      </c>
      <c r="Q28">
        <v>21493641.4765906</v>
      </c>
      <c r="R28">
        <v>65091023.679471701</v>
      </c>
      <c r="S28">
        <v>4099954.8949579801</v>
      </c>
      <c r="T28">
        <v>963978779.11164403</v>
      </c>
      <c r="U28">
        <v>15132431.6446578</v>
      </c>
      <c r="V28">
        <v>22336202.620048001</v>
      </c>
      <c r="W28">
        <v>44954112.677070796</v>
      </c>
      <c r="X28">
        <v>800005115.54621804</v>
      </c>
      <c r="Y28">
        <v>259775095.58823499</v>
      </c>
      <c r="Z28">
        <v>843229.39255702205</v>
      </c>
      <c r="AA28">
        <v>1543636214.2857101</v>
      </c>
    </row>
    <row r="29" spans="1:27" x14ac:dyDescent="0.2">
      <c r="A29">
        <v>1998</v>
      </c>
      <c r="B29">
        <v>58893410.234093599</v>
      </c>
      <c r="C29">
        <v>124781957.89315701</v>
      </c>
      <c r="D29">
        <v>2397892.7944177599</v>
      </c>
      <c r="E29">
        <v>157456301.80072001</v>
      </c>
      <c r="F29">
        <v>394614584.21368498</v>
      </c>
      <c r="G29">
        <v>547828882.53301299</v>
      </c>
      <c r="H29">
        <v>257635.70837334901</v>
      </c>
      <c r="I29">
        <v>426708282.35294098</v>
      </c>
      <c r="J29">
        <v>0</v>
      </c>
      <c r="K29">
        <v>438795434.573829</v>
      </c>
      <c r="L29">
        <v>48130319.207682997</v>
      </c>
      <c r="M29">
        <v>86050095.978391305</v>
      </c>
      <c r="N29">
        <v>0</v>
      </c>
      <c r="O29">
        <v>10338532.585233999</v>
      </c>
      <c r="P29">
        <v>73103709.873949498</v>
      </c>
      <c r="Q29">
        <v>22799974.8529411</v>
      </c>
      <c r="R29">
        <v>67926241.806722596</v>
      </c>
      <c r="S29">
        <v>3418541.3745498201</v>
      </c>
      <c r="T29">
        <v>867905207.08283305</v>
      </c>
      <c r="U29">
        <v>18158291.149459701</v>
      </c>
      <c r="V29">
        <v>21408613.151260499</v>
      </c>
      <c r="W29">
        <v>44531634.459783897</v>
      </c>
      <c r="X29">
        <v>738289820.82833099</v>
      </c>
      <c r="Y29">
        <v>244140603.331332</v>
      </c>
      <c r="Z29">
        <v>858289.41956782702</v>
      </c>
      <c r="AA29">
        <v>1544767391.35654</v>
      </c>
    </row>
    <row r="30" spans="1:27" x14ac:dyDescent="0.2">
      <c r="A30">
        <v>1999</v>
      </c>
      <c r="B30">
        <v>59759930.852340899</v>
      </c>
      <c r="C30">
        <v>131514815.00600199</v>
      </c>
      <c r="D30">
        <v>2874535.27611044</v>
      </c>
      <c r="E30">
        <v>141667398.49939901</v>
      </c>
      <c r="F30">
        <v>376881596.81872702</v>
      </c>
      <c r="G30">
        <v>473133040.69627798</v>
      </c>
      <c r="H30">
        <v>698886.22178871499</v>
      </c>
      <c r="I30">
        <v>432878279.35174</v>
      </c>
      <c r="J30">
        <v>0</v>
      </c>
      <c r="K30">
        <v>442887903.06122398</v>
      </c>
      <c r="L30">
        <v>51272361.7647058</v>
      </c>
      <c r="M30">
        <v>80178238.445378095</v>
      </c>
      <c r="N30">
        <v>0</v>
      </c>
      <c r="O30">
        <v>9973526.14885954</v>
      </c>
      <c r="P30">
        <v>79038261.914765894</v>
      </c>
      <c r="Q30">
        <v>25523026.485594202</v>
      </c>
      <c r="R30">
        <v>70801801.620648205</v>
      </c>
      <c r="S30">
        <v>3044243.6524609802</v>
      </c>
      <c r="T30">
        <v>961082760.50420105</v>
      </c>
      <c r="U30">
        <v>15210544.7328931</v>
      </c>
      <c r="V30">
        <v>23517397.2599039</v>
      </c>
      <c r="W30">
        <v>46037548.175270103</v>
      </c>
      <c r="X30">
        <v>726620517.40696204</v>
      </c>
      <c r="Y30">
        <v>233190340.57622999</v>
      </c>
      <c r="Z30">
        <v>1012091.6479591799</v>
      </c>
      <c r="AA30">
        <v>1545344623.9495699</v>
      </c>
    </row>
    <row r="31" spans="1:27" x14ac:dyDescent="0.2">
      <c r="A31">
        <v>2000</v>
      </c>
      <c r="B31">
        <v>66688596.248499401</v>
      </c>
      <c r="C31">
        <v>134025639.255702</v>
      </c>
      <c r="D31">
        <v>3057104.86494597</v>
      </c>
      <c r="E31">
        <v>116078608.82352901</v>
      </c>
      <c r="F31">
        <v>379068374.30972302</v>
      </c>
      <c r="G31">
        <v>740104708.88355303</v>
      </c>
      <c r="H31">
        <v>477203.94336734602</v>
      </c>
      <c r="I31">
        <v>450772480.432172</v>
      </c>
      <c r="J31">
        <v>0</v>
      </c>
      <c r="K31">
        <v>442466804.68187201</v>
      </c>
      <c r="L31">
        <v>56759975.990396097</v>
      </c>
      <c r="M31">
        <v>81323906.392556995</v>
      </c>
      <c r="N31">
        <v>0</v>
      </c>
      <c r="O31">
        <v>10388017.742497001</v>
      </c>
      <c r="P31">
        <v>83500221.068427294</v>
      </c>
      <c r="Q31">
        <v>27617866.956782699</v>
      </c>
      <c r="R31">
        <v>70216778.691476494</v>
      </c>
      <c r="S31">
        <v>2697710.5552220801</v>
      </c>
      <c r="T31">
        <v>1090679627.85114</v>
      </c>
      <c r="U31">
        <v>15359465.525210001</v>
      </c>
      <c r="V31">
        <v>24591137.3709483</v>
      </c>
      <c r="W31">
        <v>51843555.2941176</v>
      </c>
      <c r="X31">
        <v>795916457.08283305</v>
      </c>
      <c r="Y31">
        <v>219221166.98679399</v>
      </c>
      <c r="Z31">
        <v>950214.97959183599</v>
      </c>
      <c r="AA31">
        <v>1575387255.70228</v>
      </c>
    </row>
    <row r="32" spans="1:27" x14ac:dyDescent="0.2">
      <c r="A32">
        <v>2001</v>
      </c>
      <c r="B32">
        <v>70767920.378151193</v>
      </c>
      <c r="C32">
        <v>129883481.092436</v>
      </c>
      <c r="D32">
        <v>2994925.9063625401</v>
      </c>
      <c r="E32">
        <v>120925008.343337</v>
      </c>
      <c r="F32">
        <v>346770535.354141</v>
      </c>
      <c r="G32">
        <v>684365946.87875104</v>
      </c>
      <c r="H32">
        <v>279826.612605042</v>
      </c>
      <c r="I32">
        <v>482102945.678271</v>
      </c>
      <c r="J32">
        <v>0</v>
      </c>
      <c r="K32">
        <v>441743669.747899</v>
      </c>
      <c r="L32">
        <v>61020863.715486199</v>
      </c>
      <c r="M32">
        <v>76282593.547418907</v>
      </c>
      <c r="N32">
        <v>0</v>
      </c>
      <c r="O32">
        <v>15872432.030012</v>
      </c>
      <c r="P32">
        <v>84163833.913565397</v>
      </c>
      <c r="Q32">
        <v>27873430.3421368</v>
      </c>
      <c r="R32">
        <v>75417565.606242493</v>
      </c>
      <c r="S32">
        <v>2699113.6635654201</v>
      </c>
      <c r="T32">
        <v>1068971150.66026</v>
      </c>
      <c r="U32">
        <v>15579305.4891956</v>
      </c>
      <c r="V32">
        <v>26885582.731092401</v>
      </c>
      <c r="W32">
        <v>44494808.2653061</v>
      </c>
      <c r="X32">
        <v>769624402.76110399</v>
      </c>
      <c r="Y32">
        <v>216506302.37094799</v>
      </c>
      <c r="Z32">
        <v>953287.25810324098</v>
      </c>
      <c r="AA32">
        <v>1578218761.4045601</v>
      </c>
    </row>
    <row r="33" spans="1:27" x14ac:dyDescent="0.2">
      <c r="A33">
        <v>2002</v>
      </c>
      <c r="B33">
        <v>64351598.2292917</v>
      </c>
      <c r="C33">
        <v>115919525.60024001</v>
      </c>
      <c r="D33">
        <v>3335148.9975990299</v>
      </c>
      <c r="E33">
        <v>126900203.061224</v>
      </c>
      <c r="F33">
        <v>369603472.32893097</v>
      </c>
      <c r="G33">
        <v>674973401.560624</v>
      </c>
      <c r="H33">
        <v>383387.30456182401</v>
      </c>
      <c r="I33">
        <v>517156650.72028798</v>
      </c>
      <c r="J33">
        <v>0</v>
      </c>
      <c r="K33">
        <v>446884300.54021603</v>
      </c>
      <c r="L33">
        <v>61811271.578631401</v>
      </c>
      <c r="M33">
        <v>75735395.8883553</v>
      </c>
      <c r="N33">
        <v>0</v>
      </c>
      <c r="O33">
        <v>17122549.679471701</v>
      </c>
      <c r="P33">
        <v>75485986.254501805</v>
      </c>
      <c r="Q33">
        <v>26835606.452581</v>
      </c>
      <c r="R33">
        <v>76215512.515006006</v>
      </c>
      <c r="S33">
        <v>2312716.7980192001</v>
      </c>
      <c r="T33">
        <v>1144809364.6458499</v>
      </c>
      <c r="U33">
        <v>15575660.255101999</v>
      </c>
      <c r="V33">
        <v>28147545.258103199</v>
      </c>
      <c r="W33">
        <v>46714408.877550997</v>
      </c>
      <c r="X33">
        <v>810088573.82953095</v>
      </c>
      <c r="Y33">
        <v>229664256.332533</v>
      </c>
      <c r="Z33">
        <v>1042864.6620648199</v>
      </c>
      <c r="AA33">
        <v>1588273444.17767</v>
      </c>
    </row>
    <row r="34" spans="1:27" x14ac:dyDescent="0.2">
      <c r="A34">
        <v>2003</v>
      </c>
      <c r="B34">
        <v>74270987.454981998</v>
      </c>
      <c r="C34">
        <v>113542645.468187</v>
      </c>
      <c r="D34">
        <v>3140952.2358943499</v>
      </c>
      <c r="E34">
        <v>126924250.18007199</v>
      </c>
      <c r="F34">
        <v>372852156.30252099</v>
      </c>
      <c r="G34">
        <v>835264609.84393704</v>
      </c>
      <c r="H34">
        <v>435907.575660264</v>
      </c>
      <c r="I34">
        <v>519673520.16806698</v>
      </c>
      <c r="J34">
        <v>0</v>
      </c>
      <c r="K34">
        <v>443528372.26890701</v>
      </c>
      <c r="L34">
        <v>64411903.8115246</v>
      </c>
      <c r="M34">
        <v>74584926.110444099</v>
      </c>
      <c r="N34">
        <v>0</v>
      </c>
      <c r="O34">
        <v>18566034.108643401</v>
      </c>
      <c r="P34">
        <v>83670062.815126002</v>
      </c>
      <c r="Q34">
        <v>26859676.380552199</v>
      </c>
      <c r="R34">
        <v>73580093.187274903</v>
      </c>
      <c r="S34">
        <v>2058906.7632052801</v>
      </c>
      <c r="T34">
        <v>1218761569.0276101</v>
      </c>
      <c r="U34">
        <v>15465725.648259301</v>
      </c>
      <c r="V34">
        <v>26505241.8937575</v>
      </c>
      <c r="W34">
        <v>48259190.378151201</v>
      </c>
      <c r="X34">
        <v>808804312.12484896</v>
      </c>
      <c r="Y34">
        <v>238710593.27731001</v>
      </c>
      <c r="Z34">
        <v>1021587.97659063</v>
      </c>
      <c r="AA34">
        <v>1526508492.49699</v>
      </c>
    </row>
    <row r="35" spans="1:27" x14ac:dyDescent="0.2">
      <c r="A35">
        <v>2004</v>
      </c>
      <c r="B35">
        <v>74733369.297719002</v>
      </c>
      <c r="C35">
        <v>113528862.72509</v>
      </c>
      <c r="D35">
        <v>2718522.8031212399</v>
      </c>
      <c r="E35">
        <v>110861126.320528</v>
      </c>
      <c r="F35">
        <v>374559761.64465702</v>
      </c>
      <c r="G35">
        <v>970476746.69867897</v>
      </c>
      <c r="H35">
        <v>406438.93817526998</v>
      </c>
      <c r="I35">
        <v>527994744.65786302</v>
      </c>
      <c r="J35">
        <v>0</v>
      </c>
      <c r="K35">
        <v>453835337.69507802</v>
      </c>
      <c r="L35">
        <v>63661067.677070796</v>
      </c>
      <c r="M35">
        <v>76113976.5306122</v>
      </c>
      <c r="N35">
        <v>0</v>
      </c>
      <c r="O35">
        <v>15405732.764105599</v>
      </c>
      <c r="P35">
        <v>90593469.717887104</v>
      </c>
      <c r="Q35">
        <v>30288652.1008403</v>
      </c>
      <c r="R35">
        <v>84738349.249699801</v>
      </c>
      <c r="S35">
        <v>1856069.2418967499</v>
      </c>
      <c r="T35">
        <v>1321922408.4633801</v>
      </c>
      <c r="U35">
        <v>15324890.7533013</v>
      </c>
      <c r="V35">
        <v>26861633.901560601</v>
      </c>
      <c r="W35">
        <v>37730030.090035997</v>
      </c>
      <c r="X35">
        <v>848200737.69507802</v>
      </c>
      <c r="Y35">
        <v>259395103.84153599</v>
      </c>
      <c r="Z35">
        <v>1024285.93037214</v>
      </c>
      <c r="AA35">
        <v>1586593735.2941101</v>
      </c>
    </row>
    <row r="36" spans="1:27" x14ac:dyDescent="0.2">
      <c r="A36">
        <v>2005</v>
      </c>
      <c r="B36">
        <v>76381263.775510207</v>
      </c>
      <c r="C36">
        <v>126423527.85114001</v>
      </c>
      <c r="D36">
        <v>3004071.5486194398</v>
      </c>
      <c r="E36">
        <v>93181172.839135602</v>
      </c>
      <c r="F36">
        <v>344835380.49219602</v>
      </c>
      <c r="G36">
        <v>930837959.48379302</v>
      </c>
      <c r="H36">
        <v>393806.18796518602</v>
      </c>
      <c r="I36">
        <v>592806657.32292902</v>
      </c>
      <c r="J36">
        <v>0</v>
      </c>
      <c r="K36">
        <v>463418483.13325298</v>
      </c>
      <c r="L36">
        <v>65516948.289315701</v>
      </c>
      <c r="M36">
        <v>76155124.759903893</v>
      </c>
      <c r="N36">
        <v>0</v>
      </c>
      <c r="O36">
        <v>16344743.3913565</v>
      </c>
      <c r="P36">
        <v>90331108.733493403</v>
      </c>
      <c r="Q36">
        <v>31690237.454981901</v>
      </c>
      <c r="R36">
        <v>75629630.762304902</v>
      </c>
      <c r="S36">
        <v>2115311.9210684202</v>
      </c>
      <c r="T36">
        <v>1402085325.9303701</v>
      </c>
      <c r="U36">
        <v>13761956.143457299</v>
      </c>
      <c r="V36">
        <v>44900883.793517403</v>
      </c>
      <c r="W36">
        <v>43548614.705882303</v>
      </c>
      <c r="X36">
        <v>923487026.71068394</v>
      </c>
      <c r="Y36">
        <v>260241599.639855</v>
      </c>
      <c r="Z36">
        <v>1065631.9162665</v>
      </c>
      <c r="AA36">
        <v>1588149648.2593</v>
      </c>
    </row>
    <row r="37" spans="1:27" x14ac:dyDescent="0.2">
      <c r="A37">
        <v>2006</v>
      </c>
      <c r="B37">
        <v>79614365.636254504</v>
      </c>
      <c r="C37">
        <v>130144962.154861</v>
      </c>
      <c r="D37">
        <v>3164502.83013205</v>
      </c>
      <c r="E37">
        <v>93591800.060023993</v>
      </c>
      <c r="F37">
        <v>326692366.26650602</v>
      </c>
      <c r="G37">
        <v>972662885.95438099</v>
      </c>
      <c r="H37">
        <v>471636.69636854698</v>
      </c>
      <c r="I37">
        <v>603229483.25330102</v>
      </c>
      <c r="J37">
        <v>0</v>
      </c>
      <c r="K37">
        <v>452805901.44057602</v>
      </c>
      <c r="L37">
        <v>61932829.4417767</v>
      </c>
      <c r="M37">
        <v>78405058.403361306</v>
      </c>
      <c r="N37">
        <v>0</v>
      </c>
      <c r="O37">
        <v>18657046.986794699</v>
      </c>
      <c r="P37">
        <v>91464970.828331307</v>
      </c>
      <c r="Q37">
        <v>32506881.092436898</v>
      </c>
      <c r="R37">
        <v>75222096.728691399</v>
      </c>
      <c r="S37">
        <v>2082549.84453781</v>
      </c>
      <c r="T37">
        <v>1444094620.6482501</v>
      </c>
      <c r="U37">
        <v>13528245.591236399</v>
      </c>
      <c r="V37">
        <v>45912372.268907502</v>
      </c>
      <c r="W37">
        <v>43020669.669867903</v>
      </c>
      <c r="X37">
        <v>1004472218.78751</v>
      </c>
      <c r="Y37">
        <v>281300488.53541398</v>
      </c>
      <c r="Z37">
        <v>1182042.0105041999</v>
      </c>
      <c r="AA37">
        <v>1526110510.8043201</v>
      </c>
    </row>
    <row r="38" spans="1:27" x14ac:dyDescent="0.2">
      <c r="A38">
        <v>2007</v>
      </c>
      <c r="B38">
        <v>83593637.605041996</v>
      </c>
      <c r="C38">
        <v>136563802.58103201</v>
      </c>
      <c r="D38">
        <v>4870978.10324129</v>
      </c>
      <c r="E38">
        <v>101052631.212485</v>
      </c>
      <c r="F38">
        <v>347377025.930372</v>
      </c>
      <c r="G38">
        <v>1018915867.04681</v>
      </c>
      <c r="H38">
        <v>420810.11425570201</v>
      </c>
      <c r="I38">
        <v>645233910.20408106</v>
      </c>
      <c r="J38">
        <v>0</v>
      </c>
      <c r="K38">
        <v>453336899.93997598</v>
      </c>
      <c r="L38">
        <v>58479927.010804303</v>
      </c>
      <c r="M38">
        <v>74175444.327730998</v>
      </c>
      <c r="N38">
        <v>0</v>
      </c>
      <c r="O38">
        <v>17290546.854741801</v>
      </c>
      <c r="P38">
        <v>93977548.919567794</v>
      </c>
      <c r="Q38">
        <v>35345595.048019201</v>
      </c>
      <c r="R38">
        <v>81350349.999999896</v>
      </c>
      <c r="S38">
        <v>1939479.6281512601</v>
      </c>
      <c r="T38">
        <v>1411786554.0216</v>
      </c>
      <c r="U38">
        <v>13350644.210684201</v>
      </c>
      <c r="V38">
        <v>45591935.084033601</v>
      </c>
      <c r="W38">
        <v>28093335.330132</v>
      </c>
      <c r="X38">
        <v>965168322.02881098</v>
      </c>
      <c r="Y38">
        <v>296716186.914765</v>
      </c>
      <c r="Z38">
        <v>1273743.6182472899</v>
      </c>
      <c r="AA38">
        <v>1524147959.18367</v>
      </c>
    </row>
    <row r="39" spans="1:27" x14ac:dyDescent="0.2">
      <c r="A39">
        <v>2008</v>
      </c>
      <c r="B39">
        <v>87928590.876350507</v>
      </c>
      <c r="C39">
        <v>143037346.27851099</v>
      </c>
      <c r="D39">
        <v>7933243.2953181202</v>
      </c>
      <c r="E39">
        <v>69624148.949579805</v>
      </c>
      <c r="F39">
        <v>334383666.32652998</v>
      </c>
      <c r="G39">
        <v>1061378459.48379</v>
      </c>
      <c r="H39">
        <v>396473.257803121</v>
      </c>
      <c r="I39">
        <v>690617055.76230395</v>
      </c>
      <c r="J39">
        <v>0</v>
      </c>
      <c r="K39">
        <v>449611428.271308</v>
      </c>
      <c r="L39">
        <v>54145526.380552202</v>
      </c>
      <c r="M39">
        <v>70678433.493397295</v>
      </c>
      <c r="N39">
        <v>0</v>
      </c>
      <c r="O39">
        <v>14627393.784513799</v>
      </c>
      <c r="P39">
        <v>104092331.15245999</v>
      </c>
      <c r="Q39">
        <v>39712122.629051603</v>
      </c>
      <c r="R39">
        <v>77244493.667466894</v>
      </c>
      <c r="S39">
        <v>1626169.99729891</v>
      </c>
      <c r="T39">
        <v>1307046644.05762</v>
      </c>
      <c r="U39">
        <v>12573019.5408163</v>
      </c>
      <c r="V39">
        <v>55821431.332533002</v>
      </c>
      <c r="W39">
        <v>30064182.9711884</v>
      </c>
      <c r="X39">
        <v>774126569.32773101</v>
      </c>
      <c r="Y39">
        <v>310380243.27731001</v>
      </c>
      <c r="Z39">
        <v>1431868.7460984299</v>
      </c>
      <c r="AA39">
        <v>1499518236.49459</v>
      </c>
    </row>
    <row r="40" spans="1:27" x14ac:dyDescent="0.2">
      <c r="A40">
        <v>2009</v>
      </c>
      <c r="B40">
        <v>88383531.842737094</v>
      </c>
      <c r="C40">
        <v>98076758.943577394</v>
      </c>
      <c r="D40">
        <v>8060836.9147659</v>
      </c>
      <c r="E40">
        <v>85556100.750300094</v>
      </c>
      <c r="F40">
        <v>309967358.10324103</v>
      </c>
      <c r="G40">
        <v>1039737412.66506</v>
      </c>
      <c r="H40">
        <v>376340.061104441</v>
      </c>
      <c r="I40">
        <v>720922137.87514997</v>
      </c>
      <c r="J40">
        <v>0</v>
      </c>
      <c r="K40">
        <v>439848897.11884701</v>
      </c>
      <c r="L40">
        <v>51263548.349339701</v>
      </c>
      <c r="M40">
        <v>68663375.360144004</v>
      </c>
      <c r="N40">
        <v>0</v>
      </c>
      <c r="O40">
        <v>35775294.813925497</v>
      </c>
      <c r="P40">
        <v>106312033.103241</v>
      </c>
      <c r="Q40">
        <v>40886846.308523402</v>
      </c>
      <c r="R40">
        <v>73009218.427370906</v>
      </c>
      <c r="S40">
        <v>1782176.1701680601</v>
      </c>
      <c r="T40">
        <v>1328089045.91836</v>
      </c>
      <c r="U40">
        <v>11895255.063025201</v>
      </c>
      <c r="V40">
        <v>62653987.815126002</v>
      </c>
      <c r="W40">
        <v>31263280.9303721</v>
      </c>
      <c r="X40">
        <v>638429376.35054004</v>
      </c>
      <c r="Y40">
        <v>237813302.70107999</v>
      </c>
      <c r="Z40">
        <v>1523867.36284513</v>
      </c>
      <c r="AA40">
        <v>1472647121.54861</v>
      </c>
    </row>
    <row r="41" spans="1:27" x14ac:dyDescent="0.2">
      <c r="A41">
        <v>2010</v>
      </c>
      <c r="B41">
        <v>115282682.172869</v>
      </c>
      <c r="C41">
        <v>117103872.238895</v>
      </c>
      <c r="D41">
        <v>7841176.4225690197</v>
      </c>
      <c r="E41">
        <v>80477130.072028801</v>
      </c>
      <c r="F41">
        <v>307906777.31092399</v>
      </c>
      <c r="G41">
        <v>1084238466.0864301</v>
      </c>
      <c r="H41">
        <v>617483.095228091</v>
      </c>
      <c r="I41">
        <v>760758501.44057596</v>
      </c>
      <c r="J41">
        <v>0</v>
      </c>
      <c r="K41">
        <v>358164456.482593</v>
      </c>
      <c r="L41">
        <v>42779926.080432102</v>
      </c>
      <c r="M41">
        <v>71835248.619447693</v>
      </c>
      <c r="N41">
        <v>0</v>
      </c>
      <c r="O41">
        <v>43562984.189675801</v>
      </c>
      <c r="P41">
        <v>95812669.627851099</v>
      </c>
      <c r="Q41">
        <v>41864383.553421304</v>
      </c>
      <c r="R41">
        <v>70329400.660264105</v>
      </c>
      <c r="S41">
        <v>1907507.3478391301</v>
      </c>
      <c r="T41">
        <v>1321429441.17647</v>
      </c>
      <c r="U41">
        <v>12192988.172268899</v>
      </c>
      <c r="V41">
        <v>70826615.036014393</v>
      </c>
      <c r="W41">
        <v>33710831.806722596</v>
      </c>
      <c r="X41">
        <v>660052440.27611005</v>
      </c>
      <c r="Y41">
        <v>251736255.64225599</v>
      </c>
      <c r="Z41">
        <v>1676115.0912364901</v>
      </c>
      <c r="AA41">
        <v>1381975284.5137999</v>
      </c>
    </row>
    <row r="42" spans="1:27" x14ac:dyDescent="0.2">
      <c r="A42">
        <v>2011</v>
      </c>
      <c r="B42">
        <v>121423491.62665001</v>
      </c>
      <c r="C42">
        <v>132127386.97478899</v>
      </c>
      <c r="D42">
        <v>7856217.99219687</v>
      </c>
      <c r="E42">
        <v>80131430.312124804</v>
      </c>
      <c r="F42">
        <v>322124855.52220798</v>
      </c>
      <c r="G42">
        <v>1110507615.8463299</v>
      </c>
      <c r="H42">
        <v>734284.37124849902</v>
      </c>
      <c r="I42">
        <v>795627705.16206396</v>
      </c>
      <c r="J42">
        <v>24717646.857743099</v>
      </c>
      <c r="K42">
        <v>340477436.01440501</v>
      </c>
      <c r="L42">
        <v>40734259.603841498</v>
      </c>
      <c r="M42">
        <v>73117492.256902695</v>
      </c>
      <c r="N42">
        <v>0</v>
      </c>
      <c r="O42">
        <v>35040661.920768298</v>
      </c>
      <c r="P42">
        <v>96630760.444177598</v>
      </c>
      <c r="Q42">
        <v>44582326.560624197</v>
      </c>
      <c r="R42">
        <v>92003916.5066026</v>
      </c>
      <c r="S42">
        <v>2240928.6935774302</v>
      </c>
      <c r="T42">
        <v>1414363825.63025</v>
      </c>
      <c r="U42">
        <v>13236205.855342099</v>
      </c>
      <c r="V42">
        <v>73775357.863145202</v>
      </c>
      <c r="W42">
        <v>34297028.601440497</v>
      </c>
      <c r="X42">
        <v>852605366.14645803</v>
      </c>
      <c r="Y42">
        <v>277251623.76950699</v>
      </c>
      <c r="Z42">
        <v>1941743.52310924</v>
      </c>
      <c r="AA42">
        <v>1349610927.6710601</v>
      </c>
    </row>
    <row r="43" spans="1:27" x14ac:dyDescent="0.2">
      <c r="A43">
        <v>2012</v>
      </c>
      <c r="B43">
        <v>123907949.03961501</v>
      </c>
      <c r="C43">
        <v>130934836.46458501</v>
      </c>
      <c r="D43">
        <v>7724223.6704681804</v>
      </c>
      <c r="E43">
        <v>84555685.534213603</v>
      </c>
      <c r="F43">
        <v>309108373.949579</v>
      </c>
      <c r="G43">
        <v>1127157382.9531801</v>
      </c>
      <c r="H43">
        <v>830498.06662665005</v>
      </c>
      <c r="I43">
        <v>820329730.13205194</v>
      </c>
      <c r="J43">
        <v>19374672.166866701</v>
      </c>
      <c r="K43">
        <v>325003451.74069601</v>
      </c>
      <c r="L43">
        <v>39940019.087635003</v>
      </c>
      <c r="M43">
        <v>68515456.932773098</v>
      </c>
      <c r="N43">
        <v>0</v>
      </c>
      <c r="O43">
        <v>52098529.231692597</v>
      </c>
      <c r="P43">
        <v>101243863.505402</v>
      </c>
      <c r="Q43">
        <v>43144722.448979497</v>
      </c>
      <c r="R43">
        <v>88153472.779111594</v>
      </c>
      <c r="S43">
        <v>2261116.6002400899</v>
      </c>
      <c r="T43">
        <v>1342692202.28091</v>
      </c>
      <c r="U43">
        <v>13380562.4219687</v>
      </c>
      <c r="V43">
        <v>83655020.918367296</v>
      </c>
      <c r="W43">
        <v>34854156.920768298</v>
      </c>
      <c r="X43">
        <v>745136834.93397295</v>
      </c>
      <c r="Y43">
        <v>254185393.42737001</v>
      </c>
      <c r="Z43">
        <v>3491658.9312725002</v>
      </c>
      <c r="AA43">
        <v>1351190883.5534201</v>
      </c>
    </row>
    <row r="44" spans="1:27" x14ac:dyDescent="0.2">
      <c r="A44">
        <v>2013</v>
      </c>
      <c r="B44">
        <v>121633069.297719</v>
      </c>
      <c r="C44">
        <v>123919980.282112</v>
      </c>
      <c r="D44">
        <v>9346105.9063625392</v>
      </c>
      <c r="E44">
        <v>76730211.734693795</v>
      </c>
      <c r="F44">
        <v>304900173.22929102</v>
      </c>
      <c r="G44">
        <v>1158751495.19807</v>
      </c>
      <c r="H44">
        <v>947785.55822328897</v>
      </c>
      <c r="I44">
        <v>874040278.99159598</v>
      </c>
      <c r="J44">
        <v>22513345.108043201</v>
      </c>
      <c r="K44">
        <v>332492368.42737001</v>
      </c>
      <c r="L44">
        <v>37779378.5714285</v>
      </c>
      <c r="M44">
        <v>72932330.042016804</v>
      </c>
      <c r="N44">
        <v>0</v>
      </c>
      <c r="O44">
        <v>52675270.072028801</v>
      </c>
      <c r="P44">
        <v>109485490.246098</v>
      </c>
      <c r="Q44">
        <v>43393922.4189675</v>
      </c>
      <c r="R44">
        <v>84344452.340936303</v>
      </c>
      <c r="S44">
        <v>2441704.0516206399</v>
      </c>
      <c r="T44">
        <v>1368670490.9963901</v>
      </c>
      <c r="U44">
        <v>15711900.099039599</v>
      </c>
      <c r="V44">
        <v>91815106.002400905</v>
      </c>
      <c r="W44">
        <v>36296685.228091203</v>
      </c>
      <c r="X44">
        <v>793239520.70828295</v>
      </c>
      <c r="Y44">
        <v>248000393.27731001</v>
      </c>
      <c r="Z44">
        <v>3745780.9426770699</v>
      </c>
      <c r="AA44">
        <v>1266755121.7887101</v>
      </c>
    </row>
    <row r="45" spans="1:27" x14ac:dyDescent="0.2">
      <c r="A45">
        <v>2014</v>
      </c>
      <c r="B45">
        <v>121493748.10924301</v>
      </c>
      <c r="C45">
        <v>126402273.199279</v>
      </c>
      <c r="D45">
        <v>9621320.3031212408</v>
      </c>
      <c r="E45">
        <v>117654118.397358</v>
      </c>
      <c r="F45">
        <v>279919462.60504198</v>
      </c>
      <c r="G45">
        <v>1133863070.5282099</v>
      </c>
      <c r="H45">
        <v>1058629.36794717</v>
      </c>
      <c r="I45">
        <v>905122241.056422</v>
      </c>
      <c r="J45">
        <v>22221793.673469301</v>
      </c>
      <c r="K45">
        <v>327837069.08763498</v>
      </c>
      <c r="L45">
        <v>33586121.758703403</v>
      </c>
      <c r="M45">
        <v>72198270.138055205</v>
      </c>
      <c r="N45">
        <v>0</v>
      </c>
      <c r="O45">
        <v>77099301.710684195</v>
      </c>
      <c r="P45">
        <v>110969022.44897901</v>
      </c>
      <c r="Q45">
        <v>34292495.408163197</v>
      </c>
      <c r="R45">
        <v>90305161.614645794</v>
      </c>
      <c r="S45">
        <v>3711564.8169267699</v>
      </c>
      <c r="T45">
        <v>1409741374.8499401</v>
      </c>
      <c r="U45">
        <v>15680091.2394957</v>
      </c>
      <c r="V45">
        <v>99094334.1536614</v>
      </c>
      <c r="W45">
        <v>40365344.7719087</v>
      </c>
      <c r="X45">
        <v>795914682.47298896</v>
      </c>
      <c r="Y45">
        <v>234411272.929171</v>
      </c>
      <c r="Z45">
        <v>4126532.8970588199</v>
      </c>
      <c r="AA45">
        <v>1247691630.4921899</v>
      </c>
    </row>
    <row r="46" spans="1:27" x14ac:dyDescent="0.2">
      <c r="A46">
        <v>2015</v>
      </c>
      <c r="B46">
        <v>121412961.134453</v>
      </c>
      <c r="C46">
        <v>119626539.37575001</v>
      </c>
      <c r="D46">
        <v>10057842.3829531</v>
      </c>
      <c r="E46">
        <v>103749993.57742999</v>
      </c>
      <c r="F46">
        <v>285285022.02881098</v>
      </c>
      <c r="G46">
        <v>1097349017.7070799</v>
      </c>
      <c r="H46">
        <v>1382619.59333733</v>
      </c>
      <c r="I46">
        <v>924314963.80552197</v>
      </c>
      <c r="J46">
        <v>20564605.858343299</v>
      </c>
      <c r="K46">
        <v>327821830.01200402</v>
      </c>
      <c r="L46">
        <v>36312300.600240096</v>
      </c>
      <c r="M46">
        <v>75417708.193277299</v>
      </c>
      <c r="N46">
        <v>0</v>
      </c>
      <c r="O46">
        <v>89635084.513805494</v>
      </c>
      <c r="P46">
        <v>128204929.021608</v>
      </c>
      <c r="Q46">
        <v>32237814.225690201</v>
      </c>
      <c r="R46">
        <v>95798152.851140395</v>
      </c>
      <c r="S46">
        <v>2986274.8265306102</v>
      </c>
      <c r="T46">
        <v>1427919954.3817501</v>
      </c>
      <c r="U46">
        <v>16629582.1968787</v>
      </c>
      <c r="V46">
        <v>107768327.791116</v>
      </c>
      <c r="W46">
        <v>37695055.546218403</v>
      </c>
      <c r="X46">
        <v>847303873.949579</v>
      </c>
      <c r="Y46">
        <v>230969793.247298</v>
      </c>
      <c r="Z46">
        <v>4260310.31062424</v>
      </c>
      <c r="AA46">
        <v>1254467732.4129601</v>
      </c>
    </row>
    <row r="47" spans="1:27" x14ac:dyDescent="0.2">
      <c r="A47">
        <v>2016</v>
      </c>
      <c r="B47">
        <v>121415193.037214</v>
      </c>
      <c r="C47">
        <v>110037538.44537801</v>
      </c>
      <c r="D47">
        <v>9499919.2406962793</v>
      </c>
      <c r="E47">
        <v>120967390.636254</v>
      </c>
      <c r="F47">
        <v>284551903.54141599</v>
      </c>
      <c r="G47">
        <v>1174096882.3529401</v>
      </c>
      <c r="H47">
        <v>1718304.3652460901</v>
      </c>
      <c r="I47">
        <v>889409621.90876305</v>
      </c>
      <c r="J47">
        <v>18873219.867947102</v>
      </c>
      <c r="K47">
        <v>320732525.39015597</v>
      </c>
      <c r="L47">
        <v>41681689.495798297</v>
      </c>
      <c r="M47">
        <v>75529824.819927901</v>
      </c>
      <c r="N47">
        <v>0</v>
      </c>
      <c r="O47">
        <v>96104101.890756294</v>
      </c>
      <c r="P47">
        <v>134839822.11884701</v>
      </c>
      <c r="Q47">
        <v>33834880.972388901</v>
      </c>
      <c r="R47">
        <v>102674978.90155999</v>
      </c>
      <c r="S47">
        <v>2011088.0522208801</v>
      </c>
      <c r="T47">
        <v>1409493458.8835499</v>
      </c>
      <c r="U47">
        <v>16398490.240095999</v>
      </c>
      <c r="V47">
        <v>113965192.436974</v>
      </c>
      <c r="W47">
        <v>34199975.414165601</v>
      </c>
      <c r="X47">
        <v>834563221.788715</v>
      </c>
      <c r="Y47">
        <v>217868202.55102</v>
      </c>
      <c r="Z47">
        <v>4205312.45738295</v>
      </c>
      <c r="AA47">
        <v>1267272229.65186</v>
      </c>
    </row>
    <row r="48" spans="1:27" x14ac:dyDescent="0.2">
      <c r="A48">
        <v>2017</v>
      </c>
      <c r="B48">
        <v>128904303.30132</v>
      </c>
      <c r="C48">
        <v>125327399.129651</v>
      </c>
      <c r="D48">
        <v>9608846.3715486191</v>
      </c>
      <c r="E48">
        <v>137543956.722689</v>
      </c>
      <c r="F48">
        <v>294494592.67707002</v>
      </c>
      <c r="G48">
        <v>1293878590.63625</v>
      </c>
      <c r="H48">
        <v>1398320.0141056399</v>
      </c>
      <c r="I48">
        <v>928394216.08643401</v>
      </c>
      <c r="J48">
        <v>25995761.566626601</v>
      </c>
      <c r="K48">
        <v>320648736.79471701</v>
      </c>
      <c r="L48">
        <v>44946134.093637399</v>
      </c>
      <c r="M48">
        <v>74708678.841536596</v>
      </c>
      <c r="N48">
        <v>0</v>
      </c>
      <c r="O48">
        <v>83955300.060023993</v>
      </c>
      <c r="P48">
        <v>133860478.51140399</v>
      </c>
      <c r="Q48">
        <v>36734984.483793497</v>
      </c>
      <c r="R48">
        <v>111526664.255702</v>
      </c>
      <c r="S48">
        <v>2683510.1524609802</v>
      </c>
      <c r="T48">
        <v>1546622383.2533</v>
      </c>
      <c r="U48">
        <v>19623023.901560601</v>
      </c>
      <c r="V48">
        <v>131453989.015606</v>
      </c>
      <c r="W48">
        <v>38328818.019207597</v>
      </c>
      <c r="X48">
        <v>831325849.03961504</v>
      </c>
      <c r="Y48">
        <v>235590188.17526999</v>
      </c>
      <c r="Z48">
        <v>3558647.1056422498</v>
      </c>
      <c r="AA48">
        <v>1263232914.1056399</v>
      </c>
    </row>
    <row r="49" spans="1:27" x14ac:dyDescent="0.2">
      <c r="A49">
        <v>2018</v>
      </c>
      <c r="B49">
        <v>137720652.58103201</v>
      </c>
      <c r="C49">
        <v>128543228.061224</v>
      </c>
      <c r="D49">
        <v>9629271.1494597793</v>
      </c>
      <c r="E49">
        <v>107366541.89675801</v>
      </c>
      <c r="F49">
        <v>297208796.39855897</v>
      </c>
      <c r="G49">
        <v>1437887439.0756299</v>
      </c>
      <c r="H49">
        <v>1488516.67767106</v>
      </c>
      <c r="I49">
        <v>982945245.55822301</v>
      </c>
      <c r="J49">
        <v>33171423.709483702</v>
      </c>
      <c r="K49">
        <v>314504009.78391302</v>
      </c>
      <c r="L49">
        <v>47075510.894357704</v>
      </c>
      <c r="M49">
        <v>72175915.216086403</v>
      </c>
      <c r="N49">
        <v>0</v>
      </c>
      <c r="O49">
        <v>102758035.80432101</v>
      </c>
      <c r="P49">
        <v>134962662.42497</v>
      </c>
      <c r="Q49">
        <v>34693479.831932701</v>
      </c>
      <c r="R49">
        <v>112463072.44897901</v>
      </c>
      <c r="S49">
        <v>2800965.2878151201</v>
      </c>
      <c r="T49">
        <v>1718029039.9159601</v>
      </c>
      <c r="U49">
        <v>18845519.654861901</v>
      </c>
      <c r="V49">
        <v>140744392.28691399</v>
      </c>
      <c r="W49">
        <v>42229877.334933899</v>
      </c>
      <c r="X49">
        <v>987803255.10204005</v>
      </c>
      <c r="Y49">
        <v>223841868.21728599</v>
      </c>
      <c r="Z49">
        <v>3772608.9252701001</v>
      </c>
      <c r="AA49">
        <v>1257707503.2412901</v>
      </c>
    </row>
    <row r="50" spans="1:27" x14ac:dyDescent="0.2">
      <c r="A50">
        <v>2019</v>
      </c>
      <c r="B50">
        <v>125982512.034813</v>
      </c>
      <c r="C50">
        <v>130061958.463385</v>
      </c>
      <c r="D50">
        <v>9755839.2406962793</v>
      </c>
      <c r="E50">
        <v>124444010.684273</v>
      </c>
      <c r="F50">
        <v>295870300.12004799</v>
      </c>
      <c r="G50">
        <v>1531007281.8127201</v>
      </c>
      <c r="H50">
        <v>1674518.30792316</v>
      </c>
      <c r="I50">
        <v>969155698.61944699</v>
      </c>
      <c r="J50">
        <v>39181992.136854701</v>
      </c>
      <c r="K50">
        <v>319765449.099639</v>
      </c>
      <c r="L50">
        <v>46348622.749099597</v>
      </c>
      <c r="M50">
        <v>74714796.068427294</v>
      </c>
      <c r="N50">
        <v>13354460.4891956</v>
      </c>
      <c r="O50">
        <v>100782237.214885</v>
      </c>
      <c r="P50">
        <v>136045027.40096</v>
      </c>
      <c r="Q50">
        <v>34325234.1536614</v>
      </c>
      <c r="R50">
        <v>105999803.12124801</v>
      </c>
      <c r="S50">
        <v>2787680.4183673402</v>
      </c>
      <c r="T50">
        <v>1941392201.08043</v>
      </c>
      <c r="U50">
        <v>18534014.639855899</v>
      </c>
      <c r="V50">
        <v>149255237.99519801</v>
      </c>
      <c r="W50">
        <v>44285282.755102001</v>
      </c>
      <c r="X50">
        <v>959608103.54141605</v>
      </c>
      <c r="Y50">
        <v>201265851.020408</v>
      </c>
      <c r="Z50">
        <v>4268645.4963985505</v>
      </c>
      <c r="AA50">
        <v>1236531393.8175199</v>
      </c>
    </row>
    <row r="51" spans="1:27" x14ac:dyDescent="0.2">
      <c r="A51">
        <v>2020</v>
      </c>
      <c r="B51">
        <v>125982512.034813</v>
      </c>
      <c r="C51">
        <v>130061958.463385</v>
      </c>
      <c r="D51">
        <v>9755839.2406962793</v>
      </c>
      <c r="E51">
        <v>124444010.684273</v>
      </c>
      <c r="F51">
        <v>295870300.12004799</v>
      </c>
      <c r="G51">
        <v>1531007281.8127201</v>
      </c>
      <c r="H51">
        <v>1674518.30792316</v>
      </c>
      <c r="I51">
        <v>969155698.61944699</v>
      </c>
      <c r="J51">
        <v>39181992.136854701</v>
      </c>
      <c r="K51">
        <v>319765449.099639</v>
      </c>
      <c r="L51">
        <v>46348622.749099597</v>
      </c>
      <c r="M51">
        <v>74714796.068427294</v>
      </c>
      <c r="N51">
        <v>13354460.4891956</v>
      </c>
      <c r="O51">
        <v>100782237.214885</v>
      </c>
      <c r="P51">
        <v>136045027.40096</v>
      </c>
      <c r="Q51">
        <v>34325234.1536614</v>
      </c>
      <c r="R51">
        <v>105999803.12124801</v>
      </c>
      <c r="S51">
        <v>2787680.4183673402</v>
      </c>
      <c r="T51">
        <v>1941392201.08043</v>
      </c>
      <c r="U51">
        <v>18534014.639855899</v>
      </c>
      <c r="V51">
        <v>149255237.99519801</v>
      </c>
      <c r="W51">
        <v>44285282.755102001</v>
      </c>
      <c r="X51">
        <v>959608103.54141605</v>
      </c>
      <c r="Y51">
        <v>201265851.020408</v>
      </c>
      <c r="Z51">
        <v>4268645.4963985505</v>
      </c>
      <c r="AA51">
        <v>1236531393.8175199</v>
      </c>
    </row>
    <row r="52" spans="1:27" x14ac:dyDescent="0.2">
      <c r="A52">
        <v>2021</v>
      </c>
      <c r="B52">
        <v>131590414.82593</v>
      </c>
      <c r="C52">
        <v>133301636.46458501</v>
      </c>
      <c r="D52">
        <v>10350934.978991499</v>
      </c>
      <c r="E52">
        <v>115625127.521008</v>
      </c>
      <c r="F52">
        <v>328665896.21848702</v>
      </c>
      <c r="G52">
        <v>1671772540.8163199</v>
      </c>
      <c r="H52">
        <v>1755433.8790516199</v>
      </c>
      <c r="I52">
        <v>1196519216.32653</v>
      </c>
      <c r="J52">
        <v>35219541.686674602</v>
      </c>
      <c r="K52">
        <v>306411709.66386497</v>
      </c>
      <c r="L52">
        <v>51669984.753901497</v>
      </c>
      <c r="M52">
        <v>73764481.422569007</v>
      </c>
      <c r="N52">
        <v>11187431.8037214</v>
      </c>
      <c r="O52">
        <v>97926375.600240096</v>
      </c>
      <c r="P52">
        <v>132703429.741896</v>
      </c>
      <c r="Q52">
        <v>35522437.214885898</v>
      </c>
      <c r="R52">
        <v>126029322.358943</v>
      </c>
      <c r="S52">
        <v>3385798.4621848701</v>
      </c>
      <c r="T52">
        <v>1655942412.3649399</v>
      </c>
      <c r="U52">
        <v>18779213.475390099</v>
      </c>
      <c r="V52">
        <v>147959452.881152</v>
      </c>
      <c r="W52">
        <v>54817337.262905098</v>
      </c>
      <c r="X52">
        <v>970282036.914765</v>
      </c>
      <c r="Y52">
        <v>216324158.61344501</v>
      </c>
      <c r="Z52">
        <v>4530515.4201680599</v>
      </c>
      <c r="AA52">
        <v>1273512562.78511</v>
      </c>
    </row>
    <row r="53" spans="1:27" x14ac:dyDescent="0.2">
      <c r="A53">
        <v>2022</v>
      </c>
      <c r="B53">
        <v>131590414.82593</v>
      </c>
      <c r="C53">
        <v>133301636.46458501</v>
      </c>
      <c r="D53">
        <v>10350934.978991499</v>
      </c>
      <c r="E53">
        <v>115625127.521008</v>
      </c>
      <c r="F53">
        <v>328665896.21848702</v>
      </c>
      <c r="G53">
        <v>1671772540.8163199</v>
      </c>
      <c r="H53">
        <v>1755433.8790516199</v>
      </c>
      <c r="I53">
        <v>1196519216.32653</v>
      </c>
      <c r="J53">
        <v>35219541.686674602</v>
      </c>
      <c r="K53">
        <v>306411709.66386497</v>
      </c>
      <c r="L53">
        <v>51669984.753901497</v>
      </c>
      <c r="M53">
        <v>73764481.422569007</v>
      </c>
      <c r="N53">
        <v>11187431.8037214</v>
      </c>
      <c r="O53">
        <v>97926375.600240096</v>
      </c>
      <c r="P53">
        <v>132703429.741896</v>
      </c>
      <c r="Q53">
        <v>35522437.214885898</v>
      </c>
      <c r="R53">
        <v>126029322.358943</v>
      </c>
      <c r="S53">
        <v>3385798.4621848701</v>
      </c>
      <c r="T53">
        <v>1655942412.3649399</v>
      </c>
      <c r="U53">
        <v>18779213.475390099</v>
      </c>
      <c r="V53">
        <v>147959452.881152</v>
      </c>
      <c r="W53">
        <v>54817337.262905098</v>
      </c>
      <c r="X53">
        <v>970282036.914765</v>
      </c>
      <c r="Y53">
        <v>216324158.61344501</v>
      </c>
      <c r="Z53">
        <v>4530515.4201680599</v>
      </c>
      <c r="AA53">
        <v>1273512562.78511</v>
      </c>
    </row>
    <row r="54" spans="1:27" x14ac:dyDescent="0.2">
      <c r="A54">
        <v>2023</v>
      </c>
      <c r="B54">
        <v>132574052.370948</v>
      </c>
      <c r="C54">
        <v>135926042.01680601</v>
      </c>
      <c r="D54">
        <v>10480719.4357743</v>
      </c>
      <c r="E54">
        <v>126127678.961584</v>
      </c>
      <c r="F54">
        <v>346754549.27971101</v>
      </c>
      <c r="G54">
        <v>1757810576.5306101</v>
      </c>
      <c r="H54">
        <v>1765438.34693877</v>
      </c>
      <c r="I54">
        <v>1272368875.9303701</v>
      </c>
      <c r="J54">
        <v>35688426.980792299</v>
      </c>
      <c r="K54">
        <v>313725365.96638602</v>
      </c>
      <c r="L54">
        <v>53284041.266506597</v>
      </c>
      <c r="M54">
        <v>75909499.369747907</v>
      </c>
      <c r="N54">
        <v>11399398.5474189</v>
      </c>
      <c r="O54">
        <v>97159391.956782699</v>
      </c>
      <c r="P54">
        <v>135354357.022809</v>
      </c>
      <c r="Q54">
        <v>37321763.415366098</v>
      </c>
      <c r="R54">
        <v>131918542.55702201</v>
      </c>
      <c r="S54">
        <v>3621028.1782713002</v>
      </c>
      <c r="T54">
        <v>1686714320.22809</v>
      </c>
      <c r="U54">
        <v>19169905.1530612</v>
      </c>
      <c r="V54">
        <v>146648752.46098399</v>
      </c>
      <c r="W54">
        <v>60124384.315726198</v>
      </c>
      <c r="X54">
        <v>973985064.22569001</v>
      </c>
      <c r="Y54">
        <v>222326745.28811499</v>
      </c>
      <c r="Z54">
        <v>4707497.8517406899</v>
      </c>
      <c r="AA54">
        <v>1308833192.97719</v>
      </c>
    </row>
    <row r="55" spans="1:27" x14ac:dyDescent="0.2">
      <c r="A55">
        <v>2024</v>
      </c>
      <c r="B55">
        <v>132669820.58823501</v>
      </c>
      <c r="C55">
        <v>138389988.32532999</v>
      </c>
      <c r="D55">
        <v>10635742.6740696</v>
      </c>
      <c r="E55">
        <v>134245612.48499399</v>
      </c>
      <c r="F55">
        <v>363156079.35174</v>
      </c>
      <c r="G55">
        <v>1829826458.2833099</v>
      </c>
      <c r="H55">
        <v>1820333.08373349</v>
      </c>
      <c r="I55">
        <v>1333702789.55582</v>
      </c>
      <c r="J55">
        <v>36399818.937574998</v>
      </c>
      <c r="K55">
        <v>317212279.05162001</v>
      </c>
      <c r="L55">
        <v>54825763.805522203</v>
      </c>
      <c r="M55">
        <v>77669823.619447693</v>
      </c>
      <c r="N55">
        <v>11727656.0414165</v>
      </c>
      <c r="O55">
        <v>96671348.8595438</v>
      </c>
      <c r="P55">
        <v>137006690.72628999</v>
      </c>
      <c r="Q55">
        <v>38714427.280912302</v>
      </c>
      <c r="R55">
        <v>137870624.789915</v>
      </c>
      <c r="S55">
        <v>3823457.87214885</v>
      </c>
      <c r="T55">
        <v>1701594972.9891901</v>
      </c>
      <c r="U55">
        <v>19470238.316326499</v>
      </c>
      <c r="V55">
        <v>147442734.273709</v>
      </c>
      <c r="W55">
        <v>64382750.720288098</v>
      </c>
      <c r="X55">
        <v>975770586.13445306</v>
      </c>
      <c r="Y55">
        <v>224710429.08163199</v>
      </c>
      <c r="Z55">
        <v>4839080.20738295</v>
      </c>
      <c r="AA55">
        <v>1338343236.9147601</v>
      </c>
    </row>
    <row r="56" spans="1:27" x14ac:dyDescent="0.2">
      <c r="A56">
        <v>2025</v>
      </c>
      <c r="B56">
        <v>133331242.28691401</v>
      </c>
      <c r="C56">
        <v>141262547.17887101</v>
      </c>
      <c r="D56">
        <v>10806538.490396099</v>
      </c>
      <c r="E56">
        <v>140915082.953181</v>
      </c>
      <c r="F56">
        <v>377711535.354141</v>
      </c>
      <c r="G56">
        <v>1899570062.72509</v>
      </c>
      <c r="H56">
        <v>1898903.17406962</v>
      </c>
      <c r="I56">
        <v>1397187025.63025</v>
      </c>
      <c r="J56">
        <v>37203683.373349302</v>
      </c>
      <c r="K56">
        <v>319269274.12965101</v>
      </c>
      <c r="L56">
        <v>56405268.667466901</v>
      </c>
      <c r="M56">
        <v>79321088.445378095</v>
      </c>
      <c r="N56">
        <v>12191553.2563025</v>
      </c>
      <c r="O56">
        <v>96751389.795918301</v>
      </c>
      <c r="P56">
        <v>138987460.62424901</v>
      </c>
      <c r="Q56">
        <v>40035896.428571403</v>
      </c>
      <c r="R56">
        <v>144028825.96038401</v>
      </c>
      <c r="S56">
        <v>3970454.5498199202</v>
      </c>
      <c r="T56">
        <v>1716950354.4417701</v>
      </c>
      <c r="U56">
        <v>19751754.114645801</v>
      </c>
      <c r="V56">
        <v>149699686.25450099</v>
      </c>
      <c r="W56">
        <v>68177910.972388893</v>
      </c>
      <c r="X56">
        <v>981965265.60624194</v>
      </c>
      <c r="Y56">
        <v>227344883.25330099</v>
      </c>
      <c r="Z56">
        <v>4979990.9144657804</v>
      </c>
      <c r="AA56">
        <v>1364885936.3745401</v>
      </c>
    </row>
    <row r="57" spans="1:27" x14ac:dyDescent="0.2">
      <c r="A57">
        <v>2026</v>
      </c>
      <c r="B57">
        <v>134898844.62785101</v>
      </c>
      <c r="C57">
        <v>144455061.01440501</v>
      </c>
      <c r="D57">
        <v>11137532.187875099</v>
      </c>
      <c r="E57">
        <v>147821341.77671</v>
      </c>
      <c r="F57">
        <v>391552941.47658998</v>
      </c>
      <c r="G57">
        <v>1982780389.8559401</v>
      </c>
      <c r="H57">
        <v>2000502.2487995101</v>
      </c>
      <c r="I57">
        <v>1482341024.5498199</v>
      </c>
      <c r="J57">
        <v>38846222.238895498</v>
      </c>
      <c r="K57">
        <v>322361882.29291701</v>
      </c>
      <c r="L57">
        <v>58301644.057622999</v>
      </c>
      <c r="M57">
        <v>81679150.330131993</v>
      </c>
      <c r="N57">
        <v>12914231.6746698</v>
      </c>
      <c r="O57">
        <v>97813559.7238895</v>
      </c>
      <c r="P57">
        <v>142323503.961584</v>
      </c>
      <c r="Q57">
        <v>41643091.746698603</v>
      </c>
      <c r="R57">
        <v>153216266.65666199</v>
      </c>
      <c r="S57">
        <v>4195451.5096038403</v>
      </c>
      <c r="T57">
        <v>1735561195.97839</v>
      </c>
      <c r="U57">
        <v>20109769.5348139</v>
      </c>
      <c r="V57">
        <v>154062890.54621801</v>
      </c>
      <c r="W57">
        <v>72604490.918367296</v>
      </c>
      <c r="X57">
        <v>993914430.97238898</v>
      </c>
      <c r="Y57">
        <v>235176520.528211</v>
      </c>
      <c r="Z57">
        <v>5169417.8928571399</v>
      </c>
      <c r="AA57">
        <v>1391385571.0084</v>
      </c>
    </row>
    <row r="58" spans="1:27" x14ac:dyDescent="0.2">
      <c r="A58">
        <v>2027</v>
      </c>
      <c r="B58">
        <v>136489348.34933901</v>
      </c>
      <c r="C58">
        <v>147413954.44177601</v>
      </c>
      <c r="D58">
        <v>11474746.0714285</v>
      </c>
      <c r="E58">
        <v>152518801.860744</v>
      </c>
      <c r="F58">
        <v>402040288.595438</v>
      </c>
      <c r="G58">
        <v>2056791867.0468099</v>
      </c>
      <c r="H58">
        <v>2095053.80192076</v>
      </c>
      <c r="I58">
        <v>1562656871.96878</v>
      </c>
      <c r="J58">
        <v>40599189.885954298</v>
      </c>
      <c r="K58">
        <v>324103345.85834301</v>
      </c>
      <c r="L58">
        <v>59912252.611044399</v>
      </c>
      <c r="M58">
        <v>83631151.500600204</v>
      </c>
      <c r="N58">
        <v>13789169.075630199</v>
      </c>
      <c r="O58">
        <v>98380418.097238898</v>
      </c>
      <c r="P58">
        <v>142146786.94477701</v>
      </c>
      <c r="Q58">
        <v>42988260.894357704</v>
      </c>
      <c r="R58">
        <v>161622154.98199201</v>
      </c>
      <c r="S58">
        <v>4475696.4525810303</v>
      </c>
      <c r="T58">
        <v>1748939428.2713001</v>
      </c>
      <c r="U58">
        <v>20461534.468787499</v>
      </c>
      <c r="V58">
        <v>158403616.386554</v>
      </c>
      <c r="W58">
        <v>76828125.006002396</v>
      </c>
      <c r="X58">
        <v>1006686731.69267</v>
      </c>
      <c r="Y58">
        <v>242188179.32172799</v>
      </c>
      <c r="Z58">
        <v>5344891.8160264101</v>
      </c>
      <c r="AA58">
        <v>1410476163.7454901</v>
      </c>
    </row>
    <row r="59" spans="1:27" x14ac:dyDescent="0.2">
      <c r="A59">
        <v>2028</v>
      </c>
      <c r="B59">
        <v>138052613.32532999</v>
      </c>
      <c r="C59">
        <v>150023339.40576199</v>
      </c>
      <c r="D59">
        <v>11835937.331932699</v>
      </c>
      <c r="E59">
        <v>155743918.63745499</v>
      </c>
      <c r="F59">
        <v>411168376.59063601</v>
      </c>
      <c r="G59">
        <v>2127605056.1224401</v>
      </c>
      <c r="H59">
        <v>2206127.34753901</v>
      </c>
      <c r="I59">
        <v>1644554127.0107999</v>
      </c>
      <c r="J59">
        <v>42202638.385354102</v>
      </c>
      <c r="K59">
        <v>325122001.80071998</v>
      </c>
      <c r="L59">
        <v>61400123.2292917</v>
      </c>
      <c r="M59">
        <v>85910947.839135602</v>
      </c>
      <c r="N59">
        <v>14855776.2905162</v>
      </c>
      <c r="O59">
        <v>99751635.984393701</v>
      </c>
      <c r="P59">
        <v>142318954.77190799</v>
      </c>
      <c r="Q59">
        <v>44140829.891956702</v>
      </c>
      <c r="R59">
        <v>169824445.73829499</v>
      </c>
      <c r="S59">
        <v>4757527.9051620597</v>
      </c>
      <c r="T59">
        <v>1756704152.7611001</v>
      </c>
      <c r="U59">
        <v>20714455.984393701</v>
      </c>
      <c r="V59">
        <v>162557409.273709</v>
      </c>
      <c r="W59">
        <v>80958142.454981998</v>
      </c>
      <c r="X59">
        <v>1021556288.71548</v>
      </c>
      <c r="Y59">
        <v>247959071.938775</v>
      </c>
      <c r="Z59">
        <v>5539506.1245498201</v>
      </c>
      <c r="AA59">
        <v>1427569188.35534</v>
      </c>
    </row>
    <row r="60" spans="1:27" x14ac:dyDescent="0.2">
      <c r="A60">
        <v>2029</v>
      </c>
      <c r="B60">
        <v>139297001.20048001</v>
      </c>
      <c r="C60">
        <v>152551879.80192</v>
      </c>
      <c r="D60">
        <v>12228092.448979501</v>
      </c>
      <c r="E60">
        <v>161531637.00480101</v>
      </c>
      <c r="F60">
        <v>420064830.132052</v>
      </c>
      <c r="G60">
        <v>2194215074.1296501</v>
      </c>
      <c r="H60">
        <v>2332068.8085234002</v>
      </c>
      <c r="I60">
        <v>1731932375.4501801</v>
      </c>
      <c r="J60">
        <v>43772165.606242403</v>
      </c>
      <c r="K60">
        <v>326578723.76950699</v>
      </c>
      <c r="L60">
        <v>62911785.564225599</v>
      </c>
      <c r="M60">
        <v>88386019.207682997</v>
      </c>
      <c r="N60">
        <v>16192565.1980792</v>
      </c>
      <c r="O60">
        <v>100639932.47298899</v>
      </c>
      <c r="P60">
        <v>142749101.14045599</v>
      </c>
      <c r="Q60">
        <v>45547421.188475303</v>
      </c>
      <c r="R60">
        <v>179140081.03241199</v>
      </c>
      <c r="S60">
        <v>5069994.7448979598</v>
      </c>
      <c r="T60">
        <v>1760575727.19087</v>
      </c>
      <c r="U60">
        <v>21082714.3367346</v>
      </c>
      <c r="V60">
        <v>166856836.55462101</v>
      </c>
      <c r="W60">
        <v>85102996.482593</v>
      </c>
      <c r="X60">
        <v>1030765744.5978301</v>
      </c>
      <c r="Y60">
        <v>254740860.02400899</v>
      </c>
      <c r="Z60">
        <v>5793835.8853541398</v>
      </c>
      <c r="AA60">
        <v>1443755857.56302</v>
      </c>
    </row>
    <row r="61" spans="1:27" x14ac:dyDescent="0.2">
      <c r="A61">
        <v>2030</v>
      </c>
      <c r="B61">
        <v>140403079.62184799</v>
      </c>
      <c r="C61">
        <v>154988709.663865</v>
      </c>
      <c r="D61">
        <v>12626230.7563025</v>
      </c>
      <c r="E61">
        <v>168049075.390156</v>
      </c>
      <c r="F61">
        <v>428417343.15726203</v>
      </c>
      <c r="G61">
        <v>2256548891.95678</v>
      </c>
      <c r="H61">
        <v>2462434.6701680599</v>
      </c>
      <c r="I61">
        <v>1820024312.4249699</v>
      </c>
      <c r="J61">
        <v>45306228.031212397</v>
      </c>
      <c r="K61">
        <v>327837641.41656601</v>
      </c>
      <c r="L61">
        <v>64404896.188475303</v>
      </c>
      <c r="M61">
        <v>90886071.518607393</v>
      </c>
      <c r="N61">
        <v>16975595.237094801</v>
      </c>
      <c r="O61">
        <v>101568267.67707001</v>
      </c>
      <c r="P61">
        <v>143240249.93997499</v>
      </c>
      <c r="Q61">
        <v>46998174.1296518</v>
      </c>
      <c r="R61">
        <v>188542978.39135599</v>
      </c>
      <c r="S61">
        <v>5404632.7280912297</v>
      </c>
      <c r="T61">
        <v>1764645956.1824701</v>
      </c>
      <c r="U61">
        <v>21502311.2004801</v>
      </c>
      <c r="V61">
        <v>170765040.12605</v>
      </c>
      <c r="W61">
        <v>89386372.593037203</v>
      </c>
      <c r="X61">
        <v>1039573732.29291</v>
      </c>
      <c r="Y61">
        <v>260845522.388955</v>
      </c>
      <c r="Z61">
        <v>6057406.4333733497</v>
      </c>
      <c r="AA61">
        <v>1458999018.54741</v>
      </c>
    </row>
    <row r="62" spans="1:27" x14ac:dyDescent="0.2">
      <c r="A62">
        <v>2031</v>
      </c>
      <c r="B62">
        <v>142068693.817527</v>
      </c>
      <c r="C62">
        <v>157784824.06962699</v>
      </c>
      <c r="D62">
        <v>13049329.2797118</v>
      </c>
      <c r="E62">
        <v>174988236.70468101</v>
      </c>
      <c r="F62">
        <v>438110514.22569001</v>
      </c>
      <c r="G62">
        <v>2318068449.5798302</v>
      </c>
      <c r="H62">
        <v>2615860.7094837902</v>
      </c>
      <c r="I62">
        <v>1913581639.2557001</v>
      </c>
      <c r="J62">
        <v>46898932.653061204</v>
      </c>
      <c r="K62">
        <v>329390318.42737103</v>
      </c>
      <c r="L62">
        <v>65835778.421368502</v>
      </c>
      <c r="M62">
        <v>93842991.056422502</v>
      </c>
      <c r="N62">
        <v>17834345.1590636</v>
      </c>
      <c r="O62">
        <v>102704081.482593</v>
      </c>
      <c r="P62">
        <v>143919917.466986</v>
      </c>
      <c r="Q62">
        <v>48704066.086434498</v>
      </c>
      <c r="R62">
        <v>198820944.50780299</v>
      </c>
      <c r="S62">
        <v>5794791.7647058796</v>
      </c>
      <c r="T62">
        <v>1773347966.0864301</v>
      </c>
      <c r="U62">
        <v>22051442.049819902</v>
      </c>
      <c r="V62">
        <v>174673199.249699</v>
      </c>
      <c r="W62">
        <v>93776769.597839102</v>
      </c>
      <c r="X62">
        <v>1048765216.3865499</v>
      </c>
      <c r="Y62">
        <v>266803461.04441699</v>
      </c>
      <c r="Z62">
        <v>6389103.8565426096</v>
      </c>
      <c r="AA62">
        <v>1478893055.70228</v>
      </c>
    </row>
    <row r="63" spans="1:27" x14ac:dyDescent="0.2">
      <c r="A63">
        <v>2032</v>
      </c>
      <c r="B63">
        <v>143687246.788715</v>
      </c>
      <c r="C63">
        <v>160742015.03601399</v>
      </c>
      <c r="D63">
        <v>13446268.190276099</v>
      </c>
      <c r="E63">
        <v>182326633.733493</v>
      </c>
      <c r="F63">
        <v>448929439.07563001</v>
      </c>
      <c r="G63">
        <v>2385030616.4465699</v>
      </c>
      <c r="H63">
        <v>2773470.1197478902</v>
      </c>
      <c r="I63">
        <v>2006971181.87274</v>
      </c>
      <c r="J63">
        <v>48544269.4177671</v>
      </c>
      <c r="K63">
        <v>332167639.43577403</v>
      </c>
      <c r="L63">
        <v>67355308.373349294</v>
      </c>
      <c r="M63">
        <v>96770471.668667406</v>
      </c>
      <c r="N63">
        <v>18751090.366146401</v>
      </c>
      <c r="O63">
        <v>103214999.519807</v>
      </c>
      <c r="P63">
        <v>144806833.85354099</v>
      </c>
      <c r="Q63">
        <v>50447573.949579798</v>
      </c>
      <c r="R63">
        <v>209272642.34693801</v>
      </c>
      <c r="S63">
        <v>6207687.9441776704</v>
      </c>
      <c r="T63">
        <v>1783469161.4645801</v>
      </c>
      <c r="U63">
        <v>22644950.954381701</v>
      </c>
      <c r="V63">
        <v>178614959.363745</v>
      </c>
      <c r="W63">
        <v>98475683.721488595</v>
      </c>
      <c r="X63">
        <v>1057842849.03961</v>
      </c>
      <c r="Y63">
        <v>272523605.40215999</v>
      </c>
      <c r="Z63">
        <v>6729185.6662665</v>
      </c>
      <c r="AA63">
        <v>1503012083.73349</v>
      </c>
    </row>
    <row r="64" spans="1:27" x14ac:dyDescent="0.2">
      <c r="A64">
        <v>2033</v>
      </c>
      <c r="B64">
        <v>145363781.27250901</v>
      </c>
      <c r="C64">
        <v>163650044.837935</v>
      </c>
      <c r="D64">
        <v>13861310.7472989</v>
      </c>
      <c r="E64">
        <v>189746894.26770699</v>
      </c>
      <c r="F64">
        <v>459299959.36374497</v>
      </c>
      <c r="G64">
        <v>2450387193.2773099</v>
      </c>
      <c r="H64">
        <v>2934635.79621848</v>
      </c>
      <c r="I64">
        <v>2101411725.6902699</v>
      </c>
      <c r="J64">
        <v>50221631.362544999</v>
      </c>
      <c r="K64">
        <v>334474493.397358</v>
      </c>
      <c r="L64">
        <v>68859366.266506597</v>
      </c>
      <c r="M64">
        <v>99741615.816326499</v>
      </c>
      <c r="N64">
        <v>19678959.267707001</v>
      </c>
      <c r="O64">
        <v>103963170.378151</v>
      </c>
      <c r="P64">
        <v>145885923.19927901</v>
      </c>
      <c r="Q64">
        <v>52199526.380552202</v>
      </c>
      <c r="R64">
        <v>220154317.22689</v>
      </c>
      <c r="S64">
        <v>6628380.5852340898</v>
      </c>
      <c r="T64">
        <v>1793073722.9891901</v>
      </c>
      <c r="U64">
        <v>23227081.131452501</v>
      </c>
      <c r="V64">
        <v>182555862.84513801</v>
      </c>
      <c r="W64">
        <v>103151581.344537</v>
      </c>
      <c r="X64">
        <v>1066948929.7719001</v>
      </c>
      <c r="Y64">
        <v>279846548.13925499</v>
      </c>
      <c r="Z64">
        <v>7078226.0114045599</v>
      </c>
      <c r="AA64">
        <v>1525042666.92677</v>
      </c>
    </row>
    <row r="65" spans="1:27" x14ac:dyDescent="0.2">
      <c r="A65">
        <v>2034</v>
      </c>
      <c r="B65">
        <v>147069934.513805</v>
      </c>
      <c r="C65">
        <v>166688105.07202801</v>
      </c>
      <c r="D65">
        <v>14302879.297719</v>
      </c>
      <c r="E65">
        <v>197048073.04921901</v>
      </c>
      <c r="F65">
        <v>469677017.70708197</v>
      </c>
      <c r="G65">
        <v>2516875882.3529401</v>
      </c>
      <c r="H65">
        <v>3103761.1008403301</v>
      </c>
      <c r="I65">
        <v>2198562024.0096002</v>
      </c>
      <c r="J65">
        <v>51979122.809123598</v>
      </c>
      <c r="K65">
        <v>336581703.54141599</v>
      </c>
      <c r="L65">
        <v>70397257.322929099</v>
      </c>
      <c r="M65">
        <v>102813604.741896</v>
      </c>
      <c r="N65">
        <v>20641323.337334901</v>
      </c>
      <c r="O65">
        <v>104772847.02881099</v>
      </c>
      <c r="P65">
        <v>146866379.86194399</v>
      </c>
      <c r="Q65">
        <v>53980727.1008403</v>
      </c>
      <c r="R65">
        <v>231529551.29051599</v>
      </c>
      <c r="S65">
        <v>7063083.4963985598</v>
      </c>
      <c r="T65">
        <v>1801528176.7707</v>
      </c>
      <c r="U65">
        <v>23812059.3307322</v>
      </c>
      <c r="V65">
        <v>186917805.79231599</v>
      </c>
      <c r="W65">
        <v>107865773.055222</v>
      </c>
      <c r="X65">
        <v>1076648923.4693799</v>
      </c>
      <c r="Y65">
        <v>287139682.23289299</v>
      </c>
      <c r="Z65">
        <v>7435116.1104441704</v>
      </c>
      <c r="AA65">
        <v>1547381735.8943501</v>
      </c>
    </row>
    <row r="66" spans="1:27" x14ac:dyDescent="0.2">
      <c r="A66">
        <v>2035</v>
      </c>
      <c r="B66">
        <v>148935824.96998799</v>
      </c>
      <c r="C66">
        <v>169872606.03241199</v>
      </c>
      <c r="D66">
        <v>14779946.860744201</v>
      </c>
      <c r="E66">
        <v>204458484.273709</v>
      </c>
      <c r="F66">
        <v>479818938.47539002</v>
      </c>
      <c r="G66">
        <v>2585065149.4597802</v>
      </c>
      <c r="H66">
        <v>3280501.6845738199</v>
      </c>
      <c r="I66">
        <v>2301284326.5306101</v>
      </c>
      <c r="J66">
        <v>53819637.094837897</v>
      </c>
      <c r="K66">
        <v>338702174.249699</v>
      </c>
      <c r="L66">
        <v>71962458.313325301</v>
      </c>
      <c r="M66">
        <v>106032922.478991</v>
      </c>
      <c r="N66">
        <v>21643968.631452501</v>
      </c>
      <c r="O66">
        <v>105797834.06362499</v>
      </c>
      <c r="P66">
        <v>147773770.918367</v>
      </c>
      <c r="Q66">
        <v>55808131.932773098</v>
      </c>
      <c r="R66">
        <v>243619753.69147599</v>
      </c>
      <c r="S66">
        <v>7515521.6146458499</v>
      </c>
      <c r="T66">
        <v>1810186015.9063599</v>
      </c>
      <c r="U66">
        <v>24405377.6710684</v>
      </c>
      <c r="V66">
        <v>191736625</v>
      </c>
      <c r="W66">
        <v>112696798.45738199</v>
      </c>
      <c r="X66">
        <v>1087319686.67466</v>
      </c>
      <c r="Y66">
        <v>294535916.56662601</v>
      </c>
      <c r="Z66">
        <v>7803757.3349339701</v>
      </c>
      <c r="AA66">
        <v>1569749965.78631</v>
      </c>
    </row>
    <row r="67" spans="1:27" x14ac:dyDescent="0.2">
      <c r="A67">
        <v>2036</v>
      </c>
      <c r="B67">
        <v>152280195.70828301</v>
      </c>
      <c r="C67">
        <v>173985552.46098399</v>
      </c>
      <c r="D67">
        <v>15680968.907563001</v>
      </c>
      <c r="E67">
        <v>215367562.064825</v>
      </c>
      <c r="F67">
        <v>494989883.31332499</v>
      </c>
      <c r="G67">
        <v>2690879361.9447699</v>
      </c>
      <c r="H67">
        <v>3567537.7220888301</v>
      </c>
      <c r="I67">
        <v>2475192897.65906</v>
      </c>
      <c r="J67">
        <v>57183146.248499401</v>
      </c>
      <c r="K67">
        <v>342787491.056422</v>
      </c>
      <c r="L67">
        <v>74560222.178871498</v>
      </c>
      <c r="M67">
        <v>111660750.630252</v>
      </c>
      <c r="N67">
        <v>23421287.950180002</v>
      </c>
      <c r="O67">
        <v>107801764.795918</v>
      </c>
      <c r="P67">
        <v>148104025.99039599</v>
      </c>
      <c r="Q67">
        <v>58791708.853541397</v>
      </c>
      <c r="R67">
        <v>264914890.81632599</v>
      </c>
      <c r="S67">
        <v>8304756.68067226</v>
      </c>
      <c r="T67">
        <v>1822678846.3385301</v>
      </c>
      <c r="U67">
        <v>25350626.8307322</v>
      </c>
      <c r="V67">
        <v>200620918.697478</v>
      </c>
      <c r="W67">
        <v>120263895.468187</v>
      </c>
      <c r="X67">
        <v>1100338158.16326</v>
      </c>
      <c r="Y67">
        <v>305306771.54861897</v>
      </c>
      <c r="Z67">
        <v>8387198.1422568997</v>
      </c>
      <c r="AA67">
        <v>1600978364.6458499</v>
      </c>
    </row>
    <row r="68" spans="1:27" x14ac:dyDescent="0.2">
      <c r="A68">
        <v>2037</v>
      </c>
      <c r="B68">
        <v>156071683.31332499</v>
      </c>
      <c r="C68">
        <v>177854484.06362501</v>
      </c>
      <c r="D68">
        <v>16678660.345138</v>
      </c>
      <c r="E68">
        <v>226374215.756302</v>
      </c>
      <c r="F68">
        <v>508312983.31332499</v>
      </c>
      <c r="G68">
        <v>2790432253.3013201</v>
      </c>
      <c r="H68">
        <v>3893761.2166866702</v>
      </c>
      <c r="I68">
        <v>2654734035.4141598</v>
      </c>
      <c r="J68">
        <v>60829068.907563001</v>
      </c>
      <c r="K68">
        <v>346351517.34693801</v>
      </c>
      <c r="L68">
        <v>77120336.464585796</v>
      </c>
      <c r="M68">
        <v>117764834.123649</v>
      </c>
      <c r="N68">
        <v>25380283.655462101</v>
      </c>
      <c r="O68">
        <v>110274601.80072001</v>
      </c>
      <c r="P68">
        <v>147993327.46098399</v>
      </c>
      <c r="Q68">
        <v>61901546.188475303</v>
      </c>
      <c r="R68">
        <v>288084624.42977101</v>
      </c>
      <c r="S68">
        <v>9197877.5510204006</v>
      </c>
      <c r="T68">
        <v>1831811144.9579799</v>
      </c>
      <c r="U68">
        <v>26377545.039015599</v>
      </c>
      <c r="V68">
        <v>210368048.43937501</v>
      </c>
      <c r="W68">
        <v>127794071.374549</v>
      </c>
      <c r="X68">
        <v>1112959201.08043</v>
      </c>
      <c r="Y68">
        <v>315598667.40696198</v>
      </c>
      <c r="Z68">
        <v>9046788.4363745395</v>
      </c>
      <c r="AA68">
        <v>1629452848.13925</v>
      </c>
    </row>
    <row r="69" spans="1:27" x14ac:dyDescent="0.2">
      <c r="A69">
        <v>2038</v>
      </c>
      <c r="B69">
        <v>160383823.949579</v>
      </c>
      <c r="C69">
        <v>181531027.04081601</v>
      </c>
      <c r="D69">
        <v>17781416.6356542</v>
      </c>
      <c r="E69">
        <v>237775615.78631401</v>
      </c>
      <c r="F69">
        <v>520101106.24249703</v>
      </c>
      <c r="G69">
        <v>2886074638.6554599</v>
      </c>
      <c r="H69">
        <v>4267436.1713685403</v>
      </c>
      <c r="I69">
        <v>2840209597.8391299</v>
      </c>
      <c r="J69">
        <v>64792799.819927901</v>
      </c>
      <c r="K69">
        <v>349564284.45378101</v>
      </c>
      <c r="L69">
        <v>79673529.411764696</v>
      </c>
      <c r="M69">
        <v>124413317.466986</v>
      </c>
      <c r="N69">
        <v>27541404.4297719</v>
      </c>
      <c r="O69">
        <v>113302265.15606201</v>
      </c>
      <c r="P69">
        <v>147994537.90516201</v>
      </c>
      <c r="Q69">
        <v>65177904.801920697</v>
      </c>
      <c r="R69">
        <v>313408350.72028798</v>
      </c>
      <c r="S69">
        <v>10216352.1998799</v>
      </c>
      <c r="T69">
        <v>1838825777.31092</v>
      </c>
      <c r="U69">
        <v>27498430.8823529</v>
      </c>
      <c r="V69">
        <v>221055925.090036</v>
      </c>
      <c r="W69">
        <v>135329643.505402</v>
      </c>
      <c r="X69">
        <v>1125232027.31092</v>
      </c>
      <c r="Y69">
        <v>325469468.247298</v>
      </c>
      <c r="Z69">
        <v>9803174.9489795901</v>
      </c>
      <c r="AA69">
        <v>1655870353.2412901</v>
      </c>
    </row>
    <row r="70" spans="1:27" x14ac:dyDescent="0.2">
      <c r="A70">
        <v>2039</v>
      </c>
      <c r="B70">
        <v>165225828.39135599</v>
      </c>
      <c r="C70">
        <v>184996195.25810301</v>
      </c>
      <c r="D70">
        <v>18989589.813925501</v>
      </c>
      <c r="E70">
        <v>249672967.25690201</v>
      </c>
      <c r="F70">
        <v>530452704.56182402</v>
      </c>
      <c r="G70">
        <v>2977795006.6026402</v>
      </c>
      <c r="H70">
        <v>4696792.14885954</v>
      </c>
      <c r="I70">
        <v>3031110966.3865499</v>
      </c>
      <c r="J70">
        <v>69093441.536614597</v>
      </c>
      <c r="K70">
        <v>352486048.799519</v>
      </c>
      <c r="L70">
        <v>82210897.629051596</v>
      </c>
      <c r="M70">
        <v>131565680.192076</v>
      </c>
      <c r="N70">
        <v>29919890.456182402</v>
      </c>
      <c r="O70">
        <v>116894764.645858</v>
      </c>
      <c r="P70">
        <v>148082736.70468101</v>
      </c>
      <c r="Q70">
        <v>68636750.030011997</v>
      </c>
      <c r="R70">
        <v>341045559.30372101</v>
      </c>
      <c r="S70">
        <v>11373124.816926699</v>
      </c>
      <c r="T70">
        <v>1844015571.42857</v>
      </c>
      <c r="U70">
        <v>28713700.4411764</v>
      </c>
      <c r="V70">
        <v>232643539.34573799</v>
      </c>
      <c r="W70">
        <v>142848539.77791101</v>
      </c>
      <c r="X70">
        <v>1136999183.9735799</v>
      </c>
      <c r="Y70">
        <v>334967804.80192</v>
      </c>
      <c r="Z70">
        <v>10671774.960984301</v>
      </c>
      <c r="AA70">
        <v>1680394439.0756299</v>
      </c>
    </row>
    <row r="71" spans="1:27" x14ac:dyDescent="0.2">
      <c r="A71">
        <v>2040</v>
      </c>
      <c r="B71">
        <v>170614131.54261699</v>
      </c>
      <c r="C71">
        <v>188237456.36254501</v>
      </c>
      <c r="D71">
        <v>20298338.937575001</v>
      </c>
      <c r="E71">
        <v>261891786.43457299</v>
      </c>
      <c r="F71">
        <v>539405307.44297695</v>
      </c>
      <c r="G71">
        <v>3065613594.8379302</v>
      </c>
      <c r="H71">
        <v>5190020.1410564203</v>
      </c>
      <c r="I71">
        <v>3225944228.0912299</v>
      </c>
      <c r="J71">
        <v>73693053.781512603</v>
      </c>
      <c r="K71">
        <v>355053025.09003597</v>
      </c>
      <c r="L71">
        <v>84704216.7767106</v>
      </c>
      <c r="M71">
        <v>139202585.62424901</v>
      </c>
      <c r="N71">
        <v>32519129.1356542</v>
      </c>
      <c r="O71">
        <v>120933243.937575</v>
      </c>
      <c r="P71">
        <v>148220876.860744</v>
      </c>
      <c r="Q71">
        <v>72254064.915966302</v>
      </c>
      <c r="R71">
        <v>370923162.30492198</v>
      </c>
      <c r="S71">
        <v>12680487.596038399</v>
      </c>
      <c r="T71">
        <v>1846698189.9759901</v>
      </c>
      <c r="U71">
        <v>30019858.934573799</v>
      </c>
      <c r="V71">
        <v>245018105.40215999</v>
      </c>
      <c r="W71">
        <v>150302038.10924301</v>
      </c>
      <c r="X71">
        <v>1148150361.64465</v>
      </c>
      <c r="Y71">
        <v>343963566.44657803</v>
      </c>
      <c r="Z71">
        <v>11664834.6938775</v>
      </c>
      <c r="AA71">
        <v>1703276996.0984299</v>
      </c>
    </row>
    <row r="72" spans="1:27" x14ac:dyDescent="0.2">
      <c r="A72">
        <v>2041</v>
      </c>
      <c r="B72">
        <v>176516739.73589399</v>
      </c>
      <c r="C72">
        <v>191230841.32653001</v>
      </c>
      <c r="D72">
        <v>21684682.142857101</v>
      </c>
      <c r="E72">
        <v>274335620.82833099</v>
      </c>
      <c r="F72">
        <v>547167081.45258105</v>
      </c>
      <c r="G72">
        <v>3147064138.6554599</v>
      </c>
      <c r="H72">
        <v>5777816.4225690197</v>
      </c>
      <c r="I72">
        <v>3419286540.2160802</v>
      </c>
      <c r="J72">
        <v>78505642.557022795</v>
      </c>
      <c r="K72">
        <v>357327607.50300097</v>
      </c>
      <c r="L72">
        <v>87044190.756302506</v>
      </c>
      <c r="M72">
        <v>147166485.23409301</v>
      </c>
      <c r="N72">
        <v>35322616.014405698</v>
      </c>
      <c r="O72">
        <v>125354002.821128</v>
      </c>
      <c r="P72">
        <v>148404959.24369699</v>
      </c>
      <c r="Q72">
        <v>75970945.828331307</v>
      </c>
      <c r="R72">
        <v>402872857.32292902</v>
      </c>
      <c r="S72">
        <v>14172587.4969988</v>
      </c>
      <c r="T72">
        <v>1848197933.9735799</v>
      </c>
      <c r="U72">
        <v>31401713.0942376</v>
      </c>
      <c r="V72">
        <v>257880560.594237</v>
      </c>
      <c r="W72">
        <v>157495996.27851099</v>
      </c>
      <c r="X72">
        <v>1158596207.08283</v>
      </c>
      <c r="Y72">
        <v>352146818.06722599</v>
      </c>
      <c r="Z72">
        <v>12844811.8787515</v>
      </c>
      <c r="AA72">
        <v>1725120657.8631401</v>
      </c>
    </row>
    <row r="73" spans="1:27" x14ac:dyDescent="0.2">
      <c r="A73">
        <v>2042</v>
      </c>
      <c r="B73">
        <v>182915210.53421301</v>
      </c>
      <c r="C73">
        <v>193984766.20648199</v>
      </c>
      <c r="D73">
        <v>23144398.8535414</v>
      </c>
      <c r="E73">
        <v>286846208.88355303</v>
      </c>
      <c r="F73">
        <v>553325686.73469305</v>
      </c>
      <c r="G73">
        <v>3223028447.1788702</v>
      </c>
      <c r="H73">
        <v>6448483.4753901502</v>
      </c>
      <c r="I73">
        <v>3609730602.6410499</v>
      </c>
      <c r="J73">
        <v>83496950.060023993</v>
      </c>
      <c r="K73">
        <v>359106866.20648199</v>
      </c>
      <c r="L73">
        <v>89271268.667466998</v>
      </c>
      <c r="M73">
        <v>155397014.52581</v>
      </c>
      <c r="N73">
        <v>38325023.187274903</v>
      </c>
      <c r="O73">
        <v>130070369.357743</v>
      </c>
      <c r="P73">
        <v>148605993.817527</v>
      </c>
      <c r="Q73">
        <v>79795024.6998799</v>
      </c>
      <c r="R73">
        <v>436560226.17046797</v>
      </c>
      <c r="S73">
        <v>15832949.525810299</v>
      </c>
      <c r="T73">
        <v>1846840039.3157201</v>
      </c>
      <c r="U73">
        <v>32811344.345738199</v>
      </c>
      <c r="V73">
        <v>271109720.58823502</v>
      </c>
      <c r="W73">
        <v>164445655.31812701</v>
      </c>
      <c r="X73">
        <v>1168440645.85834</v>
      </c>
      <c r="Y73">
        <v>359519589.13565397</v>
      </c>
      <c r="Z73">
        <v>14178547.9441776</v>
      </c>
      <c r="AA73">
        <v>1745016655.16206</v>
      </c>
    </row>
    <row r="74" spans="1:27" x14ac:dyDescent="0.2">
      <c r="A74">
        <v>2043</v>
      </c>
      <c r="B74">
        <v>189822077.46098399</v>
      </c>
      <c r="C74">
        <v>196519061.79471701</v>
      </c>
      <c r="D74">
        <v>24678343.4363745</v>
      </c>
      <c r="E74">
        <v>299468531.15246099</v>
      </c>
      <c r="F74">
        <v>558074612.48499405</v>
      </c>
      <c r="G74">
        <v>3294376928.5714202</v>
      </c>
      <c r="H74">
        <v>7211805.4051620597</v>
      </c>
      <c r="I74">
        <v>3797219369.1476498</v>
      </c>
      <c r="J74">
        <v>88664849.519807905</v>
      </c>
      <c r="K74">
        <v>360422446.458583</v>
      </c>
      <c r="L74">
        <v>91400689.885954306</v>
      </c>
      <c r="M74">
        <v>163824167.25690201</v>
      </c>
      <c r="N74">
        <v>41537507.833133198</v>
      </c>
      <c r="O74">
        <v>135089419.38775501</v>
      </c>
      <c r="P74">
        <v>148830774.729891</v>
      </c>
      <c r="Q74">
        <v>83735921.218487397</v>
      </c>
      <c r="R74">
        <v>472077327.19087601</v>
      </c>
      <c r="S74">
        <v>17678225.369147599</v>
      </c>
      <c r="T74">
        <v>1843015206.7827101</v>
      </c>
      <c r="U74">
        <v>34269316.890756302</v>
      </c>
      <c r="V74">
        <v>284657338.53541398</v>
      </c>
      <c r="W74">
        <v>171132340.01200399</v>
      </c>
      <c r="X74">
        <v>1177839823.22929</v>
      </c>
      <c r="Y74">
        <v>366114800.36014402</v>
      </c>
      <c r="Z74">
        <v>15687484.5708283</v>
      </c>
      <c r="AA74">
        <v>1763233693.2773099</v>
      </c>
    </row>
    <row r="75" spans="1:27" x14ac:dyDescent="0.2">
      <c r="A75">
        <v>2044</v>
      </c>
      <c r="B75">
        <v>197277973.409363</v>
      </c>
      <c r="C75">
        <v>198858268.96758699</v>
      </c>
      <c r="D75">
        <v>26283092.881152399</v>
      </c>
      <c r="E75">
        <v>312216665.84633797</v>
      </c>
      <c r="F75">
        <v>561425375.99039602</v>
      </c>
      <c r="G75">
        <v>3362260611.64465</v>
      </c>
      <c r="H75">
        <v>8077744.8079231698</v>
      </c>
      <c r="I75">
        <v>3981498816.32653</v>
      </c>
      <c r="J75">
        <v>94010121.908763498</v>
      </c>
      <c r="K75">
        <v>361321462.72509003</v>
      </c>
      <c r="L75">
        <v>93414395.258103207</v>
      </c>
      <c r="M75">
        <v>172333285.65426099</v>
      </c>
      <c r="N75">
        <v>44968599.267706998</v>
      </c>
      <c r="O75">
        <v>140399279.47178799</v>
      </c>
      <c r="P75">
        <v>149091437.75510201</v>
      </c>
      <c r="Q75">
        <v>87791436.2545017</v>
      </c>
      <c r="R75">
        <v>509481292.19687802</v>
      </c>
      <c r="S75">
        <v>19725197.719087601</v>
      </c>
      <c r="T75">
        <v>1837083966.0864301</v>
      </c>
      <c r="U75">
        <v>35777458.931572601</v>
      </c>
      <c r="V75">
        <v>298480590.93637401</v>
      </c>
      <c r="W75">
        <v>177555107.815126</v>
      </c>
      <c r="X75">
        <v>1186969177.6710601</v>
      </c>
      <c r="Y75">
        <v>371966577.07082802</v>
      </c>
      <c r="Z75">
        <v>17395866.992797099</v>
      </c>
      <c r="AA75">
        <v>1779908633.2533</v>
      </c>
    </row>
    <row r="76" spans="1:27" x14ac:dyDescent="0.2">
      <c r="A76">
        <v>2045</v>
      </c>
      <c r="B76">
        <v>205261670.88835499</v>
      </c>
      <c r="C76">
        <v>201022425.36014399</v>
      </c>
      <c r="D76">
        <v>27954700.246098399</v>
      </c>
      <c r="E76">
        <v>325093541.65666199</v>
      </c>
      <c r="F76">
        <v>563421734.81392503</v>
      </c>
      <c r="G76">
        <v>3426847644.6578598</v>
      </c>
      <c r="H76">
        <v>9059275.8283313308</v>
      </c>
      <c r="I76">
        <v>4162462494.5978298</v>
      </c>
      <c r="J76">
        <v>99535018.937574998</v>
      </c>
      <c r="K76">
        <v>361814229.89195597</v>
      </c>
      <c r="L76">
        <v>95302383.883553401</v>
      </c>
      <c r="M76">
        <v>180805437.18487301</v>
      </c>
      <c r="N76">
        <v>48626922.899159603</v>
      </c>
      <c r="O76">
        <v>146000368.57743001</v>
      </c>
      <c r="P76">
        <v>149384397.539015</v>
      </c>
      <c r="Q76">
        <v>91965043.037214801</v>
      </c>
      <c r="R76">
        <v>548835295.31812704</v>
      </c>
      <c r="S76">
        <v>21992216.704681799</v>
      </c>
      <c r="T76">
        <v>1829301822.02881</v>
      </c>
      <c r="U76">
        <v>37330831.242496997</v>
      </c>
      <c r="V76">
        <v>312520314.22569001</v>
      </c>
      <c r="W76">
        <v>183687739.66986701</v>
      </c>
      <c r="X76">
        <v>1195940322.62905</v>
      </c>
      <c r="Y76">
        <v>377099178.93157202</v>
      </c>
      <c r="Z76">
        <v>19331140.5942376</v>
      </c>
      <c r="AA76">
        <v>1794958683.3733399</v>
      </c>
    </row>
    <row r="77" spans="1:27" x14ac:dyDescent="0.2">
      <c r="A77">
        <v>2046</v>
      </c>
      <c r="B77">
        <v>213607469.837935</v>
      </c>
      <c r="C77">
        <v>203013150.51020399</v>
      </c>
      <c r="D77">
        <v>29655316.902761102</v>
      </c>
      <c r="E77">
        <v>337738013.92557001</v>
      </c>
      <c r="F77">
        <v>564294993.39735794</v>
      </c>
      <c r="G77">
        <v>3483493297.71908</v>
      </c>
      <c r="H77">
        <v>10190903.091236399</v>
      </c>
      <c r="I77">
        <v>4334022966.9867897</v>
      </c>
      <c r="J77">
        <v>105122306.69267701</v>
      </c>
      <c r="K77">
        <v>362005223.28931499</v>
      </c>
      <c r="L77">
        <v>97005159.483793497</v>
      </c>
      <c r="M77">
        <v>188933095.16806701</v>
      </c>
      <c r="N77">
        <v>52460998.7995198</v>
      </c>
      <c r="O77">
        <v>151770664.61584601</v>
      </c>
      <c r="P77">
        <v>149702330.55221999</v>
      </c>
      <c r="Q77">
        <v>96169435.654261693</v>
      </c>
      <c r="R77">
        <v>589760099.03961504</v>
      </c>
      <c r="S77">
        <v>24508914.240696199</v>
      </c>
      <c r="T77">
        <v>1820106272.2088799</v>
      </c>
      <c r="U77">
        <v>38908607.923169203</v>
      </c>
      <c r="V77">
        <v>326359257.50300097</v>
      </c>
      <c r="W77">
        <v>189302425.972388</v>
      </c>
      <c r="X77">
        <v>1204580115.8463299</v>
      </c>
      <c r="Y77">
        <v>381366276.47058803</v>
      </c>
      <c r="Z77">
        <v>21571441.404561799</v>
      </c>
      <c r="AA77">
        <v>1808468036.3145199</v>
      </c>
    </row>
    <row r="78" spans="1:27" x14ac:dyDescent="0.2">
      <c r="A78">
        <v>2047</v>
      </c>
      <c r="B78">
        <v>222379224.21968701</v>
      </c>
      <c r="C78">
        <v>204832264.40576199</v>
      </c>
      <c r="D78">
        <v>31411069.015606198</v>
      </c>
      <c r="E78">
        <v>350387041.89675802</v>
      </c>
      <c r="F78">
        <v>563955103.78151202</v>
      </c>
      <c r="G78">
        <v>3536741015.006</v>
      </c>
      <c r="H78">
        <v>11469543.7304921</v>
      </c>
      <c r="I78">
        <v>4501940590.0360098</v>
      </c>
      <c r="J78">
        <v>110895235.054021</v>
      </c>
      <c r="K78">
        <v>361820991.11644602</v>
      </c>
      <c r="L78">
        <v>98563417.887154803</v>
      </c>
      <c r="M78">
        <v>196761918.757503</v>
      </c>
      <c r="N78">
        <v>56529288.475390099</v>
      </c>
      <c r="O78">
        <v>157856555.432172</v>
      </c>
      <c r="P78">
        <v>150036443.36734599</v>
      </c>
      <c r="Q78">
        <v>100477607.262905</v>
      </c>
      <c r="R78">
        <v>632723066.80672204</v>
      </c>
      <c r="S78">
        <v>27291265.891356502</v>
      </c>
      <c r="T78">
        <v>1809310393.4573801</v>
      </c>
      <c r="U78">
        <v>40521692.767106801</v>
      </c>
      <c r="V78">
        <v>340317540.51620603</v>
      </c>
      <c r="W78">
        <v>194576347.869147</v>
      </c>
      <c r="X78">
        <v>1213616925.57022</v>
      </c>
      <c r="Y78">
        <v>384861853.90156001</v>
      </c>
      <c r="Z78">
        <v>24110931.8247298</v>
      </c>
      <c r="AA78">
        <v>1820007869.74789</v>
      </c>
    </row>
    <row r="79" spans="1:27" x14ac:dyDescent="0.2">
      <c r="A79">
        <v>2048</v>
      </c>
      <c r="B79">
        <v>231531334.78391299</v>
      </c>
      <c r="C79">
        <v>206511720.678271</v>
      </c>
      <c r="D79">
        <v>33214843.889555801</v>
      </c>
      <c r="E79">
        <v>362894022.92917103</v>
      </c>
      <c r="F79">
        <v>562481547.59903896</v>
      </c>
      <c r="G79">
        <v>3585069420.1680598</v>
      </c>
      <c r="H79">
        <v>12913462.5090036</v>
      </c>
      <c r="I79">
        <v>4666286869.7478905</v>
      </c>
      <c r="J79">
        <v>116877040.03601401</v>
      </c>
      <c r="K79">
        <v>361247492.37695003</v>
      </c>
      <c r="L79">
        <v>99965010.654261693</v>
      </c>
      <c r="M79">
        <v>204224834.06362501</v>
      </c>
      <c r="N79">
        <v>60835684.183673397</v>
      </c>
      <c r="O79">
        <v>164260867.88715401</v>
      </c>
      <c r="P79">
        <v>150390683.85354099</v>
      </c>
      <c r="Q79">
        <v>104886407.503001</v>
      </c>
      <c r="R79">
        <v>677689316.386554</v>
      </c>
      <c r="S79">
        <v>30351806.482593</v>
      </c>
      <c r="T79">
        <v>1796905512.0048001</v>
      </c>
      <c r="U79">
        <v>42176153.511404499</v>
      </c>
      <c r="V79">
        <v>354337165.96638602</v>
      </c>
      <c r="W79">
        <v>199485481.764705</v>
      </c>
      <c r="X79">
        <v>1223248279.11164</v>
      </c>
      <c r="Y79">
        <v>387604863.68547398</v>
      </c>
      <c r="Z79">
        <v>26983469.486794699</v>
      </c>
      <c r="AA79">
        <v>1829519618.8475299</v>
      </c>
    </row>
    <row r="80" spans="1:27" x14ac:dyDescent="0.2">
      <c r="A80">
        <v>2049</v>
      </c>
      <c r="B80">
        <v>241013742.82712999</v>
      </c>
      <c r="C80">
        <v>208085360.744297</v>
      </c>
      <c r="D80">
        <v>35060127.094837897</v>
      </c>
      <c r="E80">
        <v>375153353.30132002</v>
      </c>
      <c r="F80">
        <v>559928816.20648205</v>
      </c>
      <c r="G80">
        <v>3628209224.48979</v>
      </c>
      <c r="H80">
        <v>14543890.0330132</v>
      </c>
      <c r="I80">
        <v>4826598461.58463</v>
      </c>
      <c r="J80">
        <v>123084178.39135601</v>
      </c>
      <c r="K80">
        <v>360286110.44417697</v>
      </c>
      <c r="L80">
        <v>101216294.537815</v>
      </c>
      <c r="M80">
        <v>211246292.49699801</v>
      </c>
      <c r="N80">
        <v>65388032.034813903</v>
      </c>
      <c r="O80">
        <v>171003945.43817499</v>
      </c>
      <c r="P80">
        <v>150782028.66146401</v>
      </c>
      <c r="Q80">
        <v>109395537.87515</v>
      </c>
      <c r="R80">
        <v>724620481.39255702</v>
      </c>
      <c r="S80">
        <v>33712571.068427302</v>
      </c>
      <c r="T80">
        <v>1783020812.72509</v>
      </c>
      <c r="U80">
        <v>43886591.146458499</v>
      </c>
      <c r="V80">
        <v>368373341.836734</v>
      </c>
      <c r="W80">
        <v>204033728.95558199</v>
      </c>
      <c r="X80">
        <v>1233634875.1500599</v>
      </c>
      <c r="Y80">
        <v>389564568.36734599</v>
      </c>
      <c r="Z80">
        <v>30215568.766506601</v>
      </c>
      <c r="AA80">
        <v>1836935707.9831901</v>
      </c>
    </row>
    <row r="81" spans="1:27" x14ac:dyDescent="0.2">
      <c r="A81">
        <v>2050</v>
      </c>
      <c r="B81">
        <v>250775159.273709</v>
      </c>
      <c r="C81">
        <v>209589624.03961501</v>
      </c>
      <c r="D81">
        <v>36944521.914765902</v>
      </c>
      <c r="E81">
        <v>387062306.36254501</v>
      </c>
      <c r="F81">
        <v>556358224.42977095</v>
      </c>
      <c r="G81">
        <v>3665910876.3505402</v>
      </c>
      <c r="H81">
        <v>16385088.7454981</v>
      </c>
      <c r="I81">
        <v>4982320198.0792303</v>
      </c>
      <c r="J81">
        <v>129532976.170468</v>
      </c>
      <c r="K81">
        <v>358945165.72628999</v>
      </c>
      <c r="L81">
        <v>102324876.95078</v>
      </c>
      <c r="M81">
        <v>217770373.97959101</v>
      </c>
      <c r="N81">
        <v>70196640.306122407</v>
      </c>
      <c r="O81">
        <v>178108357.412965</v>
      </c>
      <c r="P81">
        <v>151229462.064825</v>
      </c>
      <c r="Q81">
        <v>114006015.306122</v>
      </c>
      <c r="R81">
        <v>773505206.60264099</v>
      </c>
      <c r="S81">
        <v>37381250.600240096</v>
      </c>
      <c r="T81">
        <v>1767654170.7683001</v>
      </c>
      <c r="U81">
        <v>45639403.511404499</v>
      </c>
      <c r="V81">
        <v>382354589.43577403</v>
      </c>
      <c r="W81">
        <v>208237880.86434501</v>
      </c>
      <c r="X81">
        <v>1244711250.3001201</v>
      </c>
      <c r="Y81">
        <v>390706571.96878701</v>
      </c>
      <c r="Z81">
        <v>33852687.935174003</v>
      </c>
      <c r="AA81">
        <v>1842199254.5018001</v>
      </c>
    </row>
    <row r="82" spans="1:27" x14ac:dyDescent="0.2">
      <c r="A82">
        <v>2051</v>
      </c>
      <c r="B82">
        <v>260464284.60384101</v>
      </c>
      <c r="C82">
        <v>211121579.77190799</v>
      </c>
      <c r="D82">
        <v>38821983.613445297</v>
      </c>
      <c r="E82">
        <v>397978315.12605</v>
      </c>
      <c r="F82">
        <v>551878647.47899103</v>
      </c>
      <c r="G82">
        <v>3692828875.1500602</v>
      </c>
      <c r="H82">
        <v>18479129.315726198</v>
      </c>
      <c r="I82">
        <v>5127922336.13445</v>
      </c>
      <c r="J82">
        <v>136135823.82953101</v>
      </c>
      <c r="K82">
        <v>357304450.24009597</v>
      </c>
      <c r="L82">
        <v>103154626.38055199</v>
      </c>
      <c r="M82">
        <v>223569718.247298</v>
      </c>
      <c r="N82">
        <v>75185552.551020399</v>
      </c>
      <c r="O82">
        <v>185405259.513805</v>
      </c>
      <c r="P82">
        <v>151772106.09243599</v>
      </c>
      <c r="Q82">
        <v>118624233.223289</v>
      </c>
      <c r="R82">
        <v>823622061.88475394</v>
      </c>
      <c r="S82">
        <v>41377737.605042003</v>
      </c>
      <c r="T82">
        <v>1750473484.39375</v>
      </c>
      <c r="U82">
        <v>47424775.360143997</v>
      </c>
      <c r="V82">
        <v>395845504.80192</v>
      </c>
      <c r="W82">
        <v>211859010.14405701</v>
      </c>
      <c r="X82">
        <v>1256682437.87515</v>
      </c>
      <c r="Y82">
        <v>390908853.36134398</v>
      </c>
      <c r="Z82">
        <v>38007542.256902702</v>
      </c>
      <c r="AA82">
        <v>1844479045.0179999</v>
      </c>
    </row>
    <row r="83" spans="1:27" x14ac:dyDescent="0.2">
      <c r="A83">
        <v>2052</v>
      </c>
      <c r="B83">
        <v>270484657.50300097</v>
      </c>
      <c r="C83">
        <v>212739816.836734</v>
      </c>
      <c r="D83">
        <v>40762684.567827098</v>
      </c>
      <c r="E83">
        <v>408698025.51020402</v>
      </c>
      <c r="F83">
        <v>547114065.36614597</v>
      </c>
      <c r="G83">
        <v>3717225979.5918298</v>
      </c>
      <c r="H83">
        <v>20858014.855942301</v>
      </c>
      <c r="I83">
        <v>5274000710.6842699</v>
      </c>
      <c r="J83">
        <v>143178648.559423</v>
      </c>
      <c r="K83">
        <v>355587298.85954303</v>
      </c>
      <c r="L83">
        <v>103928490.54621799</v>
      </c>
      <c r="M83">
        <v>229007412.78511399</v>
      </c>
      <c r="N83">
        <v>80500780.492196798</v>
      </c>
      <c r="O83">
        <v>193275052.31092399</v>
      </c>
      <c r="P83">
        <v>152477009.93397301</v>
      </c>
      <c r="Q83">
        <v>123460024.519807</v>
      </c>
      <c r="R83">
        <v>876524196.21848702</v>
      </c>
      <c r="S83">
        <v>45786476.110444099</v>
      </c>
      <c r="T83">
        <v>1733170780.31212</v>
      </c>
      <c r="U83">
        <v>49277327.761104397</v>
      </c>
      <c r="V83">
        <v>409588469.98799503</v>
      </c>
      <c r="W83">
        <v>215308446.062424</v>
      </c>
      <c r="X83">
        <v>1270245458.5834301</v>
      </c>
      <c r="Y83">
        <v>390674227.07082802</v>
      </c>
      <c r="Z83">
        <v>42708554.561824702</v>
      </c>
      <c r="AA83">
        <v>1846055988.89555</v>
      </c>
    </row>
    <row r="84" spans="1:27" x14ac:dyDescent="0.2">
      <c r="A84">
        <v>2053</v>
      </c>
      <c r="B84">
        <v>280812945.078031</v>
      </c>
      <c r="C84">
        <v>214436252.82112801</v>
      </c>
      <c r="D84">
        <v>42765475.360143997</v>
      </c>
      <c r="E84">
        <v>419165718.30732203</v>
      </c>
      <c r="F84">
        <v>542055506.00240099</v>
      </c>
      <c r="G84">
        <v>3738802114.04561</v>
      </c>
      <c r="H84">
        <v>23558471.011404499</v>
      </c>
      <c r="I84">
        <v>5420220967.5870304</v>
      </c>
      <c r="J84">
        <v>150711592.49699801</v>
      </c>
      <c r="K84">
        <v>353822804.56182402</v>
      </c>
      <c r="L84">
        <v>104646755.612244</v>
      </c>
      <c r="M84">
        <v>234127993.247298</v>
      </c>
      <c r="N84">
        <v>86159569.927971199</v>
      </c>
      <c r="O84">
        <v>201731574.96998799</v>
      </c>
      <c r="P84">
        <v>153335081.00240001</v>
      </c>
      <c r="Q84">
        <v>128539257.382953</v>
      </c>
      <c r="R84">
        <v>932329244.65786302</v>
      </c>
      <c r="S84">
        <v>50651027.400960296</v>
      </c>
      <c r="T84">
        <v>1715827850.2400899</v>
      </c>
      <c r="U84">
        <v>51203267.6470588</v>
      </c>
      <c r="V84">
        <v>423608662.665066</v>
      </c>
      <c r="W84">
        <v>218580940.34813899</v>
      </c>
      <c r="X84">
        <v>1285340318.7274899</v>
      </c>
      <c r="Y84">
        <v>390018211.764705</v>
      </c>
      <c r="Z84">
        <v>48025955.252100803</v>
      </c>
      <c r="AA84">
        <v>1847011691.4765899</v>
      </c>
    </row>
    <row r="85" spans="1:27" x14ac:dyDescent="0.2">
      <c r="A85">
        <v>2054</v>
      </c>
      <c r="B85">
        <v>291427198.97959101</v>
      </c>
      <c r="C85">
        <v>216207326.92076799</v>
      </c>
      <c r="D85">
        <v>44829536.722689003</v>
      </c>
      <c r="E85">
        <v>429319212.78511399</v>
      </c>
      <c r="F85">
        <v>536760593.45738298</v>
      </c>
      <c r="G85">
        <v>3757359789.3157201</v>
      </c>
      <c r="H85">
        <v>26619955.8643457</v>
      </c>
      <c r="I85">
        <v>5566228527.6110401</v>
      </c>
      <c r="J85">
        <v>158783346.698679</v>
      </c>
      <c r="K85">
        <v>352041439.79591799</v>
      </c>
      <c r="L85">
        <v>105309513.355342</v>
      </c>
      <c r="M85">
        <v>239002093.48739401</v>
      </c>
      <c r="N85">
        <v>92180620.8883553</v>
      </c>
      <c r="O85">
        <v>210813253.421368</v>
      </c>
      <c r="P85">
        <v>154335962.51500601</v>
      </c>
      <c r="Q85">
        <v>133897439.52581</v>
      </c>
      <c r="R85">
        <v>991088084.69387698</v>
      </c>
      <c r="S85">
        <v>56017966.956782699</v>
      </c>
      <c r="T85">
        <v>1698527975.09003</v>
      </c>
      <c r="U85">
        <v>53208707.9531812</v>
      </c>
      <c r="V85">
        <v>437948626.05041999</v>
      </c>
      <c r="W85">
        <v>221667294.40576199</v>
      </c>
      <c r="X85">
        <v>1301903240.69627</v>
      </c>
      <c r="Y85">
        <v>388955683.01320499</v>
      </c>
      <c r="Z85">
        <v>54038593.097238898</v>
      </c>
      <c r="AA85">
        <v>1847401956.7827101</v>
      </c>
    </row>
    <row r="86" spans="1:27" x14ac:dyDescent="0.2">
      <c r="A86">
        <v>2055</v>
      </c>
      <c r="B86">
        <v>302318352.641056</v>
      </c>
      <c r="C86">
        <v>218053264.135654</v>
      </c>
      <c r="D86">
        <v>46954907.202881098</v>
      </c>
      <c r="E86">
        <v>439124122.869147</v>
      </c>
      <c r="F86">
        <v>531298807.14285702</v>
      </c>
      <c r="G86">
        <v>3772883908.16326</v>
      </c>
      <c r="H86">
        <v>30070220.210083999</v>
      </c>
      <c r="I86">
        <v>5711690413.5654202</v>
      </c>
      <c r="J86">
        <v>167440997.89915901</v>
      </c>
      <c r="K86">
        <v>350268645.31812698</v>
      </c>
      <c r="L86">
        <v>105922059.963985</v>
      </c>
      <c r="M86">
        <v>243725590.81632599</v>
      </c>
      <c r="N86">
        <v>98586462.094837904</v>
      </c>
      <c r="O86">
        <v>220569466.836734</v>
      </c>
      <c r="P86">
        <v>155472290.906362</v>
      </c>
      <c r="Q86">
        <v>139561277.28091201</v>
      </c>
      <c r="R86">
        <v>1052857080.85234</v>
      </c>
      <c r="S86">
        <v>61938732.292917103</v>
      </c>
      <c r="T86">
        <v>1681373924.96998</v>
      </c>
      <c r="U86">
        <v>55300593.787515</v>
      </c>
      <c r="V86">
        <v>452629328.93157202</v>
      </c>
      <c r="W86">
        <v>224597909.747899</v>
      </c>
      <c r="X86">
        <v>1319866480.79231</v>
      </c>
      <c r="Y86">
        <v>387508406.84273702</v>
      </c>
      <c r="Z86">
        <v>60832873.199279703</v>
      </c>
      <c r="AA86">
        <v>1847386333.13325</v>
      </c>
    </row>
    <row r="87" spans="1:27" x14ac:dyDescent="0.2">
      <c r="A87">
        <v>2056</v>
      </c>
      <c r="B87">
        <v>313288475.39015597</v>
      </c>
      <c r="C87">
        <v>219960558.22328901</v>
      </c>
      <c r="D87">
        <v>49099351.026410498</v>
      </c>
      <c r="E87">
        <v>447897141.056422</v>
      </c>
      <c r="F87">
        <v>525853316.20648199</v>
      </c>
      <c r="G87">
        <v>3781876316.32653</v>
      </c>
      <c r="H87">
        <v>33967950.960384101</v>
      </c>
      <c r="I87">
        <v>5851165249.6998796</v>
      </c>
      <c r="J87">
        <v>176584595.678271</v>
      </c>
      <c r="K87">
        <v>348543889.91596597</v>
      </c>
      <c r="L87">
        <v>106388301.170468</v>
      </c>
      <c r="M87">
        <v>248220787.93517399</v>
      </c>
      <c r="N87">
        <v>105269762.51500601</v>
      </c>
      <c r="O87">
        <v>230794229.71188399</v>
      </c>
      <c r="P87">
        <v>156685317.617046</v>
      </c>
      <c r="Q87">
        <v>145440188.115246</v>
      </c>
      <c r="R87">
        <v>1116722849.0996399</v>
      </c>
      <c r="S87">
        <v>68443592.196878701</v>
      </c>
      <c r="T87">
        <v>1664293734.0936301</v>
      </c>
      <c r="U87">
        <v>57461699.099639803</v>
      </c>
      <c r="V87">
        <v>467323587.93517399</v>
      </c>
      <c r="W87">
        <v>227096995.630252</v>
      </c>
      <c r="X87">
        <v>1339108335.2340901</v>
      </c>
      <c r="Y87">
        <v>385720945.31812698</v>
      </c>
      <c r="Z87">
        <v>68541312.815126002</v>
      </c>
      <c r="AA87">
        <v>1846484882.65306</v>
      </c>
    </row>
    <row r="88" spans="1:27" x14ac:dyDescent="0.2">
      <c r="A88">
        <v>2057</v>
      </c>
      <c r="B88">
        <v>324569130.55221999</v>
      </c>
      <c r="C88">
        <v>221957281.122448</v>
      </c>
      <c r="D88">
        <v>51312118.961584598</v>
      </c>
      <c r="E88">
        <v>456352647.59903902</v>
      </c>
      <c r="F88">
        <v>520618330.97238898</v>
      </c>
      <c r="G88">
        <v>3787253934.5738201</v>
      </c>
      <c r="H88">
        <v>38357721.5186074</v>
      </c>
      <c r="I88">
        <v>5989200499.3997602</v>
      </c>
      <c r="J88">
        <v>186397516.056422</v>
      </c>
      <c r="K88">
        <v>346909718.00720203</v>
      </c>
      <c r="L88">
        <v>106845659.003601</v>
      </c>
      <c r="M88">
        <v>252773980.37214801</v>
      </c>
      <c r="N88">
        <v>112384113.32533</v>
      </c>
      <c r="O88">
        <v>241770552.55102</v>
      </c>
      <c r="P88">
        <v>158042781.03241199</v>
      </c>
      <c r="Q88">
        <v>151696698.559423</v>
      </c>
      <c r="R88">
        <v>1183806248.6194401</v>
      </c>
      <c r="S88">
        <v>75642854.411764696</v>
      </c>
      <c r="T88">
        <v>1648023362.24489</v>
      </c>
      <c r="U88">
        <v>59711747.448979497</v>
      </c>
      <c r="V88">
        <v>482564871.84873903</v>
      </c>
      <c r="W88">
        <v>229470258.397358</v>
      </c>
      <c r="X88">
        <v>1359719020.40816</v>
      </c>
      <c r="Y88">
        <v>383637026.29051602</v>
      </c>
      <c r="Z88">
        <v>77260487.755101994</v>
      </c>
      <c r="AA88">
        <v>1845736055.5222001</v>
      </c>
    </row>
    <row r="89" spans="1:27" x14ac:dyDescent="0.2">
      <c r="A89">
        <v>2058</v>
      </c>
      <c r="B89">
        <v>336186586.73469299</v>
      </c>
      <c r="C89">
        <v>224026197.65906301</v>
      </c>
      <c r="D89">
        <v>53585940.054021597</v>
      </c>
      <c r="E89">
        <v>464505800.60023999</v>
      </c>
      <c r="F89">
        <v>515620960.984393</v>
      </c>
      <c r="G89">
        <v>3790391309.7238798</v>
      </c>
      <c r="H89">
        <v>43289029.201680601</v>
      </c>
      <c r="I89">
        <v>6125251281.5125999</v>
      </c>
      <c r="J89">
        <v>196915067.52700999</v>
      </c>
      <c r="K89">
        <v>345381794.35774302</v>
      </c>
      <c r="L89">
        <v>107296744.087635</v>
      </c>
      <c r="M89">
        <v>257474979.95197999</v>
      </c>
      <c r="N89">
        <v>119961110.984393</v>
      </c>
      <c r="O89">
        <v>253526071.008403</v>
      </c>
      <c r="P89">
        <v>159538981.782713</v>
      </c>
      <c r="Q89">
        <v>158373763.895558</v>
      </c>
      <c r="R89">
        <v>1254106922.02881</v>
      </c>
      <c r="S89">
        <v>83603119.267707095</v>
      </c>
      <c r="T89">
        <v>1632633568.7274899</v>
      </c>
      <c r="U89">
        <v>62052629.021608599</v>
      </c>
      <c r="V89">
        <v>498385900.06002402</v>
      </c>
      <c r="W89">
        <v>231734774.23769501</v>
      </c>
      <c r="X89">
        <v>1381654866.74669</v>
      </c>
      <c r="Y89">
        <v>381268389.49579799</v>
      </c>
      <c r="Z89">
        <v>87107702.6710684</v>
      </c>
      <c r="AA89">
        <v>1845285269.5078001</v>
      </c>
    </row>
    <row r="90" spans="1:27" x14ac:dyDescent="0.2">
      <c r="A90">
        <v>2059</v>
      </c>
      <c r="B90">
        <v>348157558.52340901</v>
      </c>
      <c r="C90">
        <v>226150130.07202801</v>
      </c>
      <c r="D90">
        <v>55927460.840336099</v>
      </c>
      <c r="E90">
        <v>472373262.90516198</v>
      </c>
      <c r="F90">
        <v>510888787.27490997</v>
      </c>
      <c r="G90">
        <v>3791495953.7815099</v>
      </c>
      <c r="H90">
        <v>48812746.878751397</v>
      </c>
      <c r="I90">
        <v>6258886215.4861898</v>
      </c>
      <c r="J90">
        <v>208223604.261704</v>
      </c>
      <c r="K90">
        <v>343986228.871548</v>
      </c>
      <c r="L90">
        <v>107746421.728691</v>
      </c>
      <c r="M90">
        <v>262407140.516206</v>
      </c>
      <c r="N90">
        <v>128035885.624249</v>
      </c>
      <c r="O90">
        <v>266075695.73829499</v>
      </c>
      <c r="P90">
        <v>161165620.49819899</v>
      </c>
      <c r="Q90">
        <v>165512507.29291701</v>
      </c>
      <c r="R90">
        <v>1327595251.14045</v>
      </c>
      <c r="S90">
        <v>92390202.3709483</v>
      </c>
      <c r="T90">
        <v>1618180677.6710601</v>
      </c>
      <c r="U90">
        <v>64483694.447779097</v>
      </c>
      <c r="V90">
        <v>514844734.99399698</v>
      </c>
      <c r="W90">
        <v>233900394.55582201</v>
      </c>
      <c r="X90">
        <v>1404848022.5090001</v>
      </c>
      <c r="Y90">
        <v>378635746.57863098</v>
      </c>
      <c r="Z90">
        <v>98230654.801920697</v>
      </c>
      <c r="AA90">
        <v>1845285639.2557001</v>
      </c>
    </row>
    <row r="91" spans="1:27" x14ac:dyDescent="0.2">
      <c r="A91">
        <v>2060</v>
      </c>
      <c r="B91">
        <v>360502228.091236</v>
      </c>
      <c r="C91">
        <v>228170090.03601399</v>
      </c>
      <c r="D91">
        <v>58344360.624249697</v>
      </c>
      <c r="E91">
        <v>479929899.579831</v>
      </c>
      <c r="F91">
        <v>506457217.04681802</v>
      </c>
      <c r="G91">
        <v>3790753856.5426102</v>
      </c>
      <c r="H91">
        <v>54982236.614645801</v>
      </c>
      <c r="I91">
        <v>6388092480.7923098</v>
      </c>
      <c r="J91">
        <v>220356784.753901</v>
      </c>
      <c r="K91">
        <v>342739448.97959101</v>
      </c>
      <c r="L91">
        <v>108199059.06362499</v>
      </c>
      <c r="M91">
        <v>267647563.92557001</v>
      </c>
      <c r="N91">
        <v>136647778.271308</v>
      </c>
      <c r="O91">
        <v>279430086.31452501</v>
      </c>
      <c r="P91">
        <v>162915237.00480101</v>
      </c>
      <c r="Q91">
        <v>173148037.60504201</v>
      </c>
      <c r="R91">
        <v>1404172609.1236401</v>
      </c>
      <c r="S91">
        <v>102091009.60384101</v>
      </c>
      <c r="T91">
        <v>1604647676.7707</v>
      </c>
      <c r="U91">
        <v>66992207.472989097</v>
      </c>
      <c r="V91">
        <v>532008160.26410502</v>
      </c>
      <c r="W91">
        <v>235981120</v>
      </c>
      <c r="X91">
        <v>1429222676.17046</v>
      </c>
      <c r="Y91">
        <v>375774158.76350498</v>
      </c>
      <c r="Z91">
        <v>110765920.408163</v>
      </c>
      <c r="AA91">
        <v>1845867602.6410501</v>
      </c>
    </row>
    <row r="92" spans="1:27" x14ac:dyDescent="0.2">
      <c r="A92">
        <v>2061</v>
      </c>
      <c r="B92">
        <v>372988956.182473</v>
      </c>
      <c r="C92">
        <v>229698265.15606201</v>
      </c>
      <c r="D92">
        <v>60802371.4585834</v>
      </c>
      <c r="E92">
        <v>486626708.94357699</v>
      </c>
      <c r="F92">
        <v>502239938.47539002</v>
      </c>
      <c r="G92">
        <v>3787066681.8727398</v>
      </c>
      <c r="H92">
        <v>61828501.140456103</v>
      </c>
      <c r="I92">
        <v>6506248368.54741</v>
      </c>
      <c r="J92">
        <v>233132952.04081601</v>
      </c>
      <c r="K92">
        <v>341537180.01200402</v>
      </c>
      <c r="L92">
        <v>108628298.73949499</v>
      </c>
      <c r="M92">
        <v>273079150.96038401</v>
      </c>
      <c r="N92">
        <v>145642436.94477701</v>
      </c>
      <c r="O92">
        <v>293240132.95318103</v>
      </c>
      <c r="P92">
        <v>164700639.61584601</v>
      </c>
      <c r="Q92">
        <v>181180478.571428</v>
      </c>
      <c r="R92">
        <v>1482201241.95678</v>
      </c>
      <c r="S92">
        <v>112681190.306122</v>
      </c>
      <c r="T92">
        <v>1591393305.5222001</v>
      </c>
      <c r="U92">
        <v>69588987.274909899</v>
      </c>
      <c r="V92">
        <v>549590800.72028804</v>
      </c>
      <c r="W92">
        <v>237817580.06002399</v>
      </c>
      <c r="X92">
        <v>1454615201.9807899</v>
      </c>
      <c r="Y92">
        <v>372715690.63625401</v>
      </c>
      <c r="Z92">
        <v>124827018.517406</v>
      </c>
      <c r="AA92">
        <v>1846561620.0480101</v>
      </c>
    </row>
    <row r="93" spans="1:27" x14ac:dyDescent="0.2">
      <c r="A93">
        <v>2062</v>
      </c>
      <c r="B93">
        <v>385801406.66266501</v>
      </c>
      <c r="C93">
        <v>231179188.02520999</v>
      </c>
      <c r="D93">
        <v>63347485.516206399</v>
      </c>
      <c r="E93">
        <v>492988719.747899</v>
      </c>
      <c r="F93">
        <v>498339620.40816301</v>
      </c>
      <c r="G93">
        <v>3781866647.0588198</v>
      </c>
      <c r="H93">
        <v>69442820.138055205</v>
      </c>
      <c r="I93">
        <v>6619087147.6590595</v>
      </c>
      <c r="J93">
        <v>246691489.76590601</v>
      </c>
      <c r="K93">
        <v>340495524.30972302</v>
      </c>
      <c r="L93">
        <v>109096689.945978</v>
      </c>
      <c r="M93">
        <v>278879968.18727398</v>
      </c>
      <c r="N93">
        <v>155226168.06722599</v>
      </c>
      <c r="O93">
        <v>307838931.39255702</v>
      </c>
      <c r="P93">
        <v>166591492.25690201</v>
      </c>
      <c r="Q93">
        <v>189750075.21008399</v>
      </c>
      <c r="R93">
        <v>1563118376.65066</v>
      </c>
      <c r="S93">
        <v>124328831.69267701</v>
      </c>
      <c r="T93">
        <v>1578733910.8643401</v>
      </c>
      <c r="U93">
        <v>72298308.103241295</v>
      </c>
      <c r="V93">
        <v>567989317.82712996</v>
      </c>
      <c r="W93">
        <v>239632430.684273</v>
      </c>
      <c r="X93">
        <v>1480914278.5114</v>
      </c>
      <c r="Y93">
        <v>369480330.97238898</v>
      </c>
      <c r="Z93">
        <v>140601455.88235199</v>
      </c>
      <c r="AA93">
        <v>1847863983.4933901</v>
      </c>
    </row>
    <row r="94" spans="1:27" x14ac:dyDescent="0.2">
      <c r="A94">
        <v>2063</v>
      </c>
      <c r="B94">
        <v>398903946.87875098</v>
      </c>
      <c r="C94">
        <v>232606364.435774</v>
      </c>
      <c r="D94">
        <v>65987521.572628997</v>
      </c>
      <c r="E94">
        <v>498999129.59183598</v>
      </c>
      <c r="F94">
        <v>494741030.55221999</v>
      </c>
      <c r="G94">
        <v>3775289286.3145199</v>
      </c>
      <c r="H94">
        <v>77872302.130852297</v>
      </c>
      <c r="I94">
        <v>6726471169.8679399</v>
      </c>
      <c r="J94">
        <v>261003199.93997499</v>
      </c>
      <c r="K94">
        <v>339594087.93517399</v>
      </c>
      <c r="L94">
        <v>109598060.624249</v>
      </c>
      <c r="M94">
        <v>285025465.78631401</v>
      </c>
      <c r="N94">
        <v>165420902.52100801</v>
      </c>
      <c r="O94">
        <v>323238522.68907499</v>
      </c>
      <c r="P94">
        <v>168574877.97118801</v>
      </c>
      <c r="Q94">
        <v>198857090.456182</v>
      </c>
      <c r="R94">
        <v>1646658154.74189</v>
      </c>
      <c r="S94">
        <v>137046495.97839099</v>
      </c>
      <c r="T94">
        <v>1566508088.5354099</v>
      </c>
      <c r="U94">
        <v>75115529.7719087</v>
      </c>
      <c r="V94">
        <v>587152845.43817496</v>
      </c>
      <c r="W94">
        <v>241446354.72388899</v>
      </c>
      <c r="X94">
        <v>1507948412.0648201</v>
      </c>
      <c r="Y94">
        <v>366046690.51620603</v>
      </c>
      <c r="Z94">
        <v>158242312.78511399</v>
      </c>
      <c r="AA94">
        <v>1849721464.8859501</v>
      </c>
    </row>
    <row r="95" spans="1:27" x14ac:dyDescent="0.2">
      <c r="A95">
        <v>2064</v>
      </c>
      <c r="B95">
        <v>412252444.17767102</v>
      </c>
      <c r="C95">
        <v>233908006.42256901</v>
      </c>
      <c r="D95">
        <v>68738105.402160794</v>
      </c>
      <c r="E95">
        <v>504663249.099639</v>
      </c>
      <c r="F95">
        <v>491426071.42857099</v>
      </c>
      <c r="G95">
        <v>3767495262.3049202</v>
      </c>
      <c r="H95">
        <v>87162492.677070796</v>
      </c>
      <c r="I95">
        <v>6828387511.4045601</v>
      </c>
      <c r="J95">
        <v>276032929.17166799</v>
      </c>
      <c r="K95">
        <v>338812248.55942303</v>
      </c>
      <c r="L95">
        <v>110126091.59663799</v>
      </c>
      <c r="M95">
        <v>291495284.21368498</v>
      </c>
      <c r="N95">
        <v>176248460.80432099</v>
      </c>
      <c r="O95">
        <v>339415947.89915901</v>
      </c>
      <c r="P95">
        <v>170637511.58463299</v>
      </c>
      <c r="Q95">
        <v>208490751.20048001</v>
      </c>
      <c r="R95">
        <v>1732564966.14645</v>
      </c>
      <c r="S95">
        <v>150894042.13685399</v>
      </c>
      <c r="T95">
        <v>1554580728.99159</v>
      </c>
      <c r="U95">
        <v>78030862.605041996</v>
      </c>
      <c r="V95">
        <v>607049725.69027603</v>
      </c>
      <c r="W95">
        <v>243274565.27010801</v>
      </c>
      <c r="X95">
        <v>1535535683.07322</v>
      </c>
      <c r="Y95">
        <v>362427567.166866</v>
      </c>
      <c r="Z95">
        <v>177901830.31212401</v>
      </c>
      <c r="AA95">
        <v>1852063837.6350501</v>
      </c>
    </row>
    <row r="96" spans="1:27" x14ac:dyDescent="0.2">
      <c r="A96">
        <v>2065</v>
      </c>
      <c r="B96">
        <v>425797744.297719</v>
      </c>
      <c r="C96">
        <v>235156959.93397301</v>
      </c>
      <c r="D96">
        <v>71606170.366146401</v>
      </c>
      <c r="E96">
        <v>509978141.95678198</v>
      </c>
      <c r="F96">
        <v>488364874.18967497</v>
      </c>
      <c r="G96">
        <v>3758599004.8019199</v>
      </c>
      <c r="H96">
        <v>97334996.128451303</v>
      </c>
      <c r="I96">
        <v>6924781816.3265305</v>
      </c>
      <c r="J96">
        <v>291738277.31092399</v>
      </c>
      <c r="K96">
        <v>338131991.056422</v>
      </c>
      <c r="L96">
        <v>110675668.667466</v>
      </c>
      <c r="M96">
        <v>298255046.81872702</v>
      </c>
      <c r="N96">
        <v>187730262.00480101</v>
      </c>
      <c r="O96">
        <v>356300467.767106</v>
      </c>
      <c r="P96">
        <v>172764065.33613399</v>
      </c>
      <c r="Q96">
        <v>218649717.79711801</v>
      </c>
      <c r="R96">
        <v>1820508960.0239999</v>
      </c>
      <c r="S96">
        <v>165914110.77430901</v>
      </c>
      <c r="T96">
        <v>1542824514.40576</v>
      </c>
      <c r="U96">
        <v>81048687.214885905</v>
      </c>
      <c r="V96">
        <v>627627560.62424898</v>
      </c>
      <c r="W96">
        <v>245119513.259303</v>
      </c>
      <c r="X96">
        <v>1563325869.74789</v>
      </c>
      <c r="Y96">
        <v>358633387.87515002</v>
      </c>
      <c r="Z96">
        <v>199730767.13685399</v>
      </c>
      <c r="AA96">
        <v>1854798457.9831901</v>
      </c>
    </row>
    <row r="97" spans="1:27" x14ac:dyDescent="0.2">
      <c r="A97">
        <v>2066</v>
      </c>
      <c r="B97">
        <v>439214319.62785101</v>
      </c>
      <c r="C97">
        <v>236244242.55702201</v>
      </c>
      <c r="D97">
        <v>74546180.576230496</v>
      </c>
      <c r="E97">
        <v>514597922.68907499</v>
      </c>
      <c r="F97">
        <v>485362810.14405698</v>
      </c>
      <c r="G97">
        <v>3749383036.0144</v>
      </c>
      <c r="H97">
        <v>108359449.879951</v>
      </c>
      <c r="I97">
        <v>7009492195.6782703</v>
      </c>
      <c r="J97">
        <v>307864405.76230401</v>
      </c>
      <c r="K97">
        <v>337397022.02881098</v>
      </c>
      <c r="L97">
        <v>111258921.608643</v>
      </c>
      <c r="M97">
        <v>305074762.60504198</v>
      </c>
      <c r="N97">
        <v>199643914.37575001</v>
      </c>
      <c r="O97">
        <v>373492362.30492198</v>
      </c>
      <c r="P97">
        <v>174858947.50900301</v>
      </c>
      <c r="Q97">
        <v>229160991.95678201</v>
      </c>
      <c r="R97">
        <v>1908174784.7539001</v>
      </c>
      <c r="S97">
        <v>181967586.40456101</v>
      </c>
      <c r="T97">
        <v>1530858539.9159601</v>
      </c>
      <c r="U97">
        <v>84105981.932773098</v>
      </c>
      <c r="V97">
        <v>648346249.69988</v>
      </c>
      <c r="W97">
        <v>246824664.513805</v>
      </c>
      <c r="X97">
        <v>1588480614.04561</v>
      </c>
      <c r="Y97">
        <v>354702361.82472903</v>
      </c>
      <c r="Z97">
        <v>223804282.92316899</v>
      </c>
      <c r="AA97">
        <v>1857781942.37695</v>
      </c>
    </row>
    <row r="98" spans="1:27" x14ac:dyDescent="0.2">
      <c r="A98">
        <v>2067</v>
      </c>
      <c r="B98">
        <v>452662296.51860702</v>
      </c>
      <c r="C98">
        <v>237229982.262905</v>
      </c>
      <c r="D98">
        <v>77611983.529411703</v>
      </c>
      <c r="E98">
        <v>518824966.14645803</v>
      </c>
      <c r="F98">
        <v>482454490.93637401</v>
      </c>
      <c r="G98">
        <v>3738870078.0312099</v>
      </c>
      <c r="H98">
        <v>120358732.59303699</v>
      </c>
      <c r="I98">
        <v>7087862096.0384102</v>
      </c>
      <c r="J98">
        <v>324525059.123649</v>
      </c>
      <c r="K98">
        <v>336721850.36014402</v>
      </c>
      <c r="L98">
        <v>111832793.637454</v>
      </c>
      <c r="M98">
        <v>312091045.91836703</v>
      </c>
      <c r="N98">
        <v>212209402.58103201</v>
      </c>
      <c r="O98">
        <v>391263540.756302</v>
      </c>
      <c r="P98">
        <v>176973997.05882299</v>
      </c>
      <c r="Q98">
        <v>240137762.36494499</v>
      </c>
      <c r="R98">
        <v>1996982909.7238801</v>
      </c>
      <c r="S98">
        <v>199247979.86194399</v>
      </c>
      <c r="T98">
        <v>1518670710.38415</v>
      </c>
      <c r="U98">
        <v>87253465.606242493</v>
      </c>
      <c r="V98">
        <v>669537166.26650596</v>
      </c>
      <c r="W98">
        <v>248547639.95798299</v>
      </c>
      <c r="X98">
        <v>1612656812.72509</v>
      </c>
      <c r="Y98">
        <v>350593670.528211</v>
      </c>
      <c r="Z98">
        <v>250361703.961584</v>
      </c>
      <c r="AA98">
        <v>1860882455.5822301</v>
      </c>
    </row>
    <row r="99" spans="1:27" x14ac:dyDescent="0.2">
      <c r="A99">
        <v>2068</v>
      </c>
      <c r="B99">
        <v>466052955.88235199</v>
      </c>
      <c r="C99">
        <v>238135170.228091</v>
      </c>
      <c r="D99">
        <v>80822466.866746694</v>
      </c>
      <c r="E99">
        <v>522672772.44897902</v>
      </c>
      <c r="F99">
        <v>479611120.76830697</v>
      </c>
      <c r="G99">
        <v>3727137984.9939899</v>
      </c>
      <c r="H99">
        <v>133230912.12484901</v>
      </c>
      <c r="I99">
        <v>7159968887.1548595</v>
      </c>
      <c r="J99">
        <v>341646259.00360101</v>
      </c>
      <c r="K99">
        <v>336092287.51500499</v>
      </c>
      <c r="L99">
        <v>112391544.867947</v>
      </c>
      <c r="M99">
        <v>319269990.39615798</v>
      </c>
      <c r="N99">
        <v>225436624.54981899</v>
      </c>
      <c r="O99">
        <v>409567202.58103198</v>
      </c>
      <c r="P99">
        <v>179023524.69987899</v>
      </c>
      <c r="Q99">
        <v>251545719.86794701</v>
      </c>
      <c r="R99">
        <v>2086454296.9387701</v>
      </c>
      <c r="S99">
        <v>217753074.96998799</v>
      </c>
      <c r="T99">
        <v>1506124349.93997</v>
      </c>
      <c r="U99">
        <v>90481509.783913493</v>
      </c>
      <c r="V99">
        <v>691165460.684273</v>
      </c>
      <c r="W99">
        <v>250295646.09843901</v>
      </c>
      <c r="X99">
        <v>1636366786.61464</v>
      </c>
      <c r="Y99">
        <v>346332781.93277299</v>
      </c>
      <c r="Z99">
        <v>279525443.57743001</v>
      </c>
      <c r="AA99">
        <v>1863979320.5282099</v>
      </c>
    </row>
    <row r="100" spans="1:27" x14ac:dyDescent="0.2">
      <c r="A100">
        <v>2069</v>
      </c>
      <c r="B100">
        <v>479301546.21848702</v>
      </c>
      <c r="C100">
        <v>238946971.42857099</v>
      </c>
      <c r="D100">
        <v>84185470.330131993</v>
      </c>
      <c r="E100">
        <v>526159987.815126</v>
      </c>
      <c r="F100">
        <v>476802496.158463</v>
      </c>
      <c r="G100">
        <v>3714263684.87394</v>
      </c>
      <c r="H100">
        <v>147150036.88475299</v>
      </c>
      <c r="I100">
        <v>7225824291.1164398</v>
      </c>
      <c r="J100">
        <v>359101287.815126</v>
      </c>
      <c r="K100">
        <v>335488119.92797101</v>
      </c>
      <c r="L100">
        <v>112960158.25330099</v>
      </c>
      <c r="M100">
        <v>326575137.75510198</v>
      </c>
      <c r="N100">
        <v>239330750.36014399</v>
      </c>
      <c r="O100">
        <v>428354887.93517399</v>
      </c>
      <c r="P100">
        <v>180902535.02400899</v>
      </c>
      <c r="Q100">
        <v>263345309.18367299</v>
      </c>
      <c r="R100">
        <v>2176107598.4393702</v>
      </c>
      <c r="S100">
        <v>237472935.02400899</v>
      </c>
      <c r="T100">
        <v>1491999636.2544999</v>
      </c>
      <c r="U100">
        <v>93791116.416566595</v>
      </c>
      <c r="V100">
        <v>713174954.98199201</v>
      </c>
      <c r="W100">
        <v>252076359.111644</v>
      </c>
      <c r="X100">
        <v>1659376597.53901</v>
      </c>
      <c r="Y100">
        <v>341934686.97478902</v>
      </c>
      <c r="Z100">
        <v>311406457.68307298</v>
      </c>
      <c r="AA100">
        <v>1866959334.93397</v>
      </c>
    </row>
    <row r="101" spans="1:27" x14ac:dyDescent="0.2">
      <c r="A101">
        <v>2070</v>
      </c>
      <c r="B101">
        <v>492332066.02640998</v>
      </c>
      <c r="C101">
        <v>239668947.98919499</v>
      </c>
      <c r="D101">
        <v>87708403.991596594</v>
      </c>
      <c r="E101">
        <v>529324881.75270098</v>
      </c>
      <c r="F101">
        <v>474022114.045618</v>
      </c>
      <c r="G101">
        <v>3700304939.3757501</v>
      </c>
      <c r="H101">
        <v>162163179.29171601</v>
      </c>
      <c r="I101">
        <v>7286973372.7490997</v>
      </c>
      <c r="J101">
        <v>376723444.47779101</v>
      </c>
      <c r="K101">
        <v>334893159.60384101</v>
      </c>
      <c r="L101">
        <v>113531413.77551</v>
      </c>
      <c r="M101">
        <v>333968228.99159598</v>
      </c>
      <c r="N101">
        <v>253894129.65186</v>
      </c>
      <c r="O101">
        <v>447574328.69147599</v>
      </c>
      <c r="P101">
        <v>182733965.03601399</v>
      </c>
      <c r="Q101">
        <v>275499685.47418898</v>
      </c>
      <c r="R101">
        <v>2265481406.96278</v>
      </c>
      <c r="S101">
        <v>258338467.10684201</v>
      </c>
      <c r="T101">
        <v>1476907037.81512</v>
      </c>
      <c r="U101">
        <v>97158079.081632599</v>
      </c>
      <c r="V101">
        <v>735490900.06002402</v>
      </c>
      <c r="W101">
        <v>253894937.33493301</v>
      </c>
      <c r="X101">
        <v>1681530276.71068</v>
      </c>
      <c r="Y101">
        <v>337412322.14885902</v>
      </c>
      <c r="Z101">
        <v>345933573.52941102</v>
      </c>
      <c r="AA101">
        <v>1869701294.4177599</v>
      </c>
    </row>
    <row r="102" spans="1:27" x14ac:dyDescent="0.2">
      <c r="A102">
        <v>2071</v>
      </c>
      <c r="B102">
        <v>504434905.16206402</v>
      </c>
      <c r="C102">
        <v>240214031.99279699</v>
      </c>
      <c r="D102">
        <v>91341014.225690201</v>
      </c>
      <c r="E102">
        <v>531903047.35894299</v>
      </c>
      <c r="F102">
        <v>471262414.88595402</v>
      </c>
      <c r="G102">
        <v>3688231375.1500602</v>
      </c>
      <c r="H102">
        <v>178140169.057623</v>
      </c>
      <c r="I102">
        <v>7336670400.9603796</v>
      </c>
      <c r="J102">
        <v>394298868.547418</v>
      </c>
      <c r="K102">
        <v>334254553.90156001</v>
      </c>
      <c r="L102">
        <v>114107676.41056401</v>
      </c>
      <c r="M102">
        <v>341244098.13925499</v>
      </c>
      <c r="N102">
        <v>268862936.97478902</v>
      </c>
      <c r="O102">
        <v>466870238.17527002</v>
      </c>
      <c r="P102">
        <v>184413124.15966299</v>
      </c>
      <c r="Q102">
        <v>287781853.18127197</v>
      </c>
      <c r="R102">
        <v>2351690961.2845101</v>
      </c>
      <c r="S102">
        <v>280060400.12004799</v>
      </c>
      <c r="T102">
        <v>1461164463.38535</v>
      </c>
      <c r="U102">
        <v>100535343.57742999</v>
      </c>
      <c r="V102">
        <v>757536861.64465702</v>
      </c>
      <c r="W102">
        <v>255572617.28691399</v>
      </c>
      <c r="X102">
        <v>1702190431.5726199</v>
      </c>
      <c r="Y102">
        <v>332847431.81272501</v>
      </c>
      <c r="Z102">
        <v>383022159.66386497</v>
      </c>
      <c r="AA102">
        <v>1872201407.56302</v>
      </c>
    </row>
    <row r="103" spans="1:27" x14ac:dyDescent="0.2">
      <c r="A103">
        <v>2072</v>
      </c>
      <c r="B103">
        <v>516058723.88955498</v>
      </c>
      <c r="C103">
        <v>240656593.48739401</v>
      </c>
      <c r="D103">
        <v>95142464.009603798</v>
      </c>
      <c r="E103">
        <v>534155799.93997598</v>
      </c>
      <c r="F103">
        <v>468460830.31212401</v>
      </c>
      <c r="G103">
        <v>3676347172.2688999</v>
      </c>
      <c r="H103">
        <v>195321507.47298899</v>
      </c>
      <c r="I103">
        <v>7380880992.1968699</v>
      </c>
      <c r="J103">
        <v>412067622.74909902</v>
      </c>
      <c r="K103">
        <v>333583245.01800698</v>
      </c>
      <c r="L103">
        <v>114646691.98679399</v>
      </c>
      <c r="M103">
        <v>348562035.41416502</v>
      </c>
      <c r="N103">
        <v>284478683.37334901</v>
      </c>
      <c r="O103">
        <v>486473132.65306097</v>
      </c>
      <c r="P103">
        <v>186003851.26050401</v>
      </c>
      <c r="Q103">
        <v>300334146.69867897</v>
      </c>
      <c r="R103">
        <v>2436586698.6794701</v>
      </c>
      <c r="S103">
        <v>302910188.115246</v>
      </c>
      <c r="T103">
        <v>1444640362.5450101</v>
      </c>
      <c r="U103">
        <v>103947408.163265</v>
      </c>
      <c r="V103">
        <v>779708708.88355303</v>
      </c>
      <c r="W103">
        <v>257242539.67587</v>
      </c>
      <c r="X103">
        <v>1721735305.82232</v>
      </c>
      <c r="Y103">
        <v>328178289.07563001</v>
      </c>
      <c r="Z103">
        <v>423086637.75510198</v>
      </c>
      <c r="AA103">
        <v>1874196971.48859</v>
      </c>
    </row>
    <row r="104" spans="1:27" x14ac:dyDescent="0.2">
      <c r="A104">
        <v>2073</v>
      </c>
      <c r="B104">
        <v>527253557.92316902</v>
      </c>
      <c r="C104">
        <v>240934379.261704</v>
      </c>
      <c r="D104">
        <v>99118958.031212404</v>
      </c>
      <c r="E104">
        <v>536101420.58823502</v>
      </c>
      <c r="F104">
        <v>465631686.614645</v>
      </c>
      <c r="G104">
        <v>3664460778.5114002</v>
      </c>
      <c r="H104">
        <v>213778110.86434501</v>
      </c>
      <c r="I104">
        <v>7419502199.2797098</v>
      </c>
      <c r="J104">
        <v>429986449.879951</v>
      </c>
      <c r="K104">
        <v>332868178.091236</v>
      </c>
      <c r="L104">
        <v>115153151.230492</v>
      </c>
      <c r="M104">
        <v>355897291.11644602</v>
      </c>
      <c r="N104">
        <v>300759343.33733398</v>
      </c>
      <c r="O104">
        <v>506337410.56422502</v>
      </c>
      <c r="P104">
        <v>187498922.35894299</v>
      </c>
      <c r="Q104">
        <v>313132865.06602597</v>
      </c>
      <c r="R104">
        <v>2519564786.9147601</v>
      </c>
      <c r="S104">
        <v>326895556.062424</v>
      </c>
      <c r="T104">
        <v>1427357862.24489</v>
      </c>
      <c r="U104">
        <v>107397291.836734</v>
      </c>
      <c r="V104">
        <v>801977426.77070796</v>
      </c>
      <c r="W104">
        <v>258913750.40816301</v>
      </c>
      <c r="X104">
        <v>1740172030.91236</v>
      </c>
      <c r="Y104">
        <v>323446210.684273</v>
      </c>
      <c r="Z104">
        <v>466242537.214885</v>
      </c>
      <c r="AA104">
        <v>1875639004.8019199</v>
      </c>
    </row>
    <row r="105" spans="1:27" x14ac:dyDescent="0.2">
      <c r="A105">
        <v>2074</v>
      </c>
      <c r="B105">
        <v>537987678.57142794</v>
      </c>
      <c r="C105">
        <v>241130819.11764699</v>
      </c>
      <c r="D105">
        <v>103268359.285714</v>
      </c>
      <c r="E105">
        <v>537752526.89075601</v>
      </c>
      <c r="F105">
        <v>462768854.5018</v>
      </c>
      <c r="G105">
        <v>3652394038.41536</v>
      </c>
      <c r="H105">
        <v>233607100.15006</v>
      </c>
      <c r="I105">
        <v>7452456245.4981899</v>
      </c>
      <c r="J105">
        <v>448005093.33733398</v>
      </c>
      <c r="K105">
        <v>332108382.05282098</v>
      </c>
      <c r="L105">
        <v>115631983.313325</v>
      </c>
      <c r="M105">
        <v>363231496.39855897</v>
      </c>
      <c r="N105">
        <v>317721703.36134398</v>
      </c>
      <c r="O105">
        <v>526424705.46218401</v>
      </c>
      <c r="P105">
        <v>188892865.996398</v>
      </c>
      <c r="Q105">
        <v>326159864.10564202</v>
      </c>
      <c r="R105">
        <v>2599801464.5858302</v>
      </c>
      <c r="S105">
        <v>351876004.08163202</v>
      </c>
      <c r="T105">
        <v>1409355255.70228</v>
      </c>
      <c r="U105">
        <v>110873310.894357</v>
      </c>
      <c r="V105">
        <v>824317613.74549794</v>
      </c>
      <c r="W105">
        <v>260592260.08403301</v>
      </c>
      <c r="X105">
        <v>1757454845.7382901</v>
      </c>
      <c r="Y105">
        <v>318665110.02400899</v>
      </c>
      <c r="Z105">
        <v>512601887.75510198</v>
      </c>
      <c r="AA105">
        <v>1876516283.0132</v>
      </c>
    </row>
    <row r="106" spans="1:27" x14ac:dyDescent="0.2">
      <c r="A106">
        <v>2075</v>
      </c>
      <c r="B106">
        <v>548245042.91716599</v>
      </c>
      <c r="C106">
        <v>241265626.20048001</v>
      </c>
      <c r="D106">
        <v>107596608.99759901</v>
      </c>
      <c r="E106">
        <v>539127001.38055205</v>
      </c>
      <c r="F106">
        <v>459868968.60744298</v>
      </c>
      <c r="G106">
        <v>3639984070.82833</v>
      </c>
      <c r="H106">
        <v>254877659.00360101</v>
      </c>
      <c r="I106">
        <v>7479748595.4381704</v>
      </c>
      <c r="J106">
        <v>466081992.49699801</v>
      </c>
      <c r="K106">
        <v>331291385.41416502</v>
      </c>
      <c r="L106">
        <v>116088930.55222</v>
      </c>
      <c r="M106">
        <v>370554577.43097198</v>
      </c>
      <c r="N106">
        <v>335383734.273709</v>
      </c>
      <c r="O106">
        <v>546704116.32652998</v>
      </c>
      <c r="P106">
        <v>190165948.61944699</v>
      </c>
      <c r="Q106">
        <v>339395615.66626602</v>
      </c>
      <c r="R106">
        <v>2677042444.17767</v>
      </c>
      <c r="S106">
        <v>377845485.23409301</v>
      </c>
      <c r="T106">
        <v>1390680366.14645</v>
      </c>
      <c r="U106">
        <v>114376696.428571</v>
      </c>
      <c r="V106">
        <v>846716243.09723794</v>
      </c>
      <c r="W106">
        <v>262281063.28931499</v>
      </c>
      <c r="X106">
        <v>1773530472.68907</v>
      </c>
      <c r="Y106">
        <v>313847596.87875098</v>
      </c>
      <c r="Z106">
        <v>562292003.30131996</v>
      </c>
      <c r="AA106">
        <v>1876843223.28931</v>
      </c>
    </row>
    <row r="107" spans="1:27" x14ac:dyDescent="0.2">
      <c r="A107">
        <v>2076</v>
      </c>
      <c r="B107">
        <v>557718691.17647004</v>
      </c>
      <c r="C107">
        <v>241275575.84033599</v>
      </c>
      <c r="D107">
        <v>112043060.564225</v>
      </c>
      <c r="E107">
        <v>539947429.35174</v>
      </c>
      <c r="F107">
        <v>456994402.82112801</v>
      </c>
      <c r="G107">
        <v>3627608351.7406902</v>
      </c>
      <c r="H107">
        <v>277432556.42256898</v>
      </c>
      <c r="I107">
        <v>7495752862.5450096</v>
      </c>
      <c r="J107">
        <v>483894602.941176</v>
      </c>
      <c r="K107">
        <v>330578218.48739398</v>
      </c>
      <c r="L107">
        <v>116576465.96638601</v>
      </c>
      <c r="M107">
        <v>377664377.25089997</v>
      </c>
      <c r="N107">
        <v>353489961.10444099</v>
      </c>
      <c r="O107">
        <v>566850021.72869098</v>
      </c>
      <c r="P107">
        <v>191210574.51980701</v>
      </c>
      <c r="Q107">
        <v>352597669.80792302</v>
      </c>
      <c r="R107">
        <v>2748284658.4633799</v>
      </c>
      <c r="S107">
        <v>404292480.07202798</v>
      </c>
      <c r="T107">
        <v>1371329541.1164401</v>
      </c>
      <c r="U107">
        <v>117841138.80552199</v>
      </c>
      <c r="V107">
        <v>868671732.29291701</v>
      </c>
      <c r="W107">
        <v>263865292.01680601</v>
      </c>
      <c r="X107">
        <v>1787578694.4777901</v>
      </c>
      <c r="Y107">
        <v>309075496.03841501</v>
      </c>
      <c r="Z107">
        <v>614960750.30012</v>
      </c>
      <c r="AA107">
        <v>1876531602.0408101</v>
      </c>
    </row>
    <row r="108" spans="1:27" x14ac:dyDescent="0.2">
      <c r="A108">
        <v>2077</v>
      </c>
      <c r="B108">
        <v>566683829.83193195</v>
      </c>
      <c r="C108">
        <v>241204904.38175201</v>
      </c>
      <c r="D108">
        <v>116677381.90876301</v>
      </c>
      <c r="E108">
        <v>540502189.91596603</v>
      </c>
      <c r="F108">
        <v>454004696.27851099</v>
      </c>
      <c r="G108">
        <v>3614688560.6242399</v>
      </c>
      <c r="H108">
        <v>301682516.50660199</v>
      </c>
      <c r="I108">
        <v>7505938575.0300102</v>
      </c>
      <c r="J108">
        <v>501685584.93397301</v>
      </c>
      <c r="K108">
        <v>329791726.47058803</v>
      </c>
      <c r="L108">
        <v>117047072.058823</v>
      </c>
      <c r="M108">
        <v>384733213.38535398</v>
      </c>
      <c r="N108">
        <v>372313832.47298902</v>
      </c>
      <c r="O108">
        <v>587130549.45978296</v>
      </c>
      <c r="P108">
        <v>192156439.49579799</v>
      </c>
      <c r="Q108">
        <v>365953866.86674601</v>
      </c>
      <c r="R108">
        <v>2815998346.3385301</v>
      </c>
      <c r="S108">
        <v>431677641.29651803</v>
      </c>
      <c r="T108">
        <v>1351437385.35414</v>
      </c>
      <c r="U108">
        <v>121319698.379351</v>
      </c>
      <c r="V108">
        <v>890614927.37094796</v>
      </c>
      <c r="W108">
        <v>265462421.99279699</v>
      </c>
      <c r="X108">
        <v>1800543021.60864</v>
      </c>
      <c r="Y108">
        <v>304285558.40336102</v>
      </c>
      <c r="Z108">
        <v>671266613.14525795</v>
      </c>
      <c r="AA108">
        <v>1875674916.2665</v>
      </c>
    </row>
    <row r="109" spans="1:27" x14ac:dyDescent="0.2">
      <c r="A109">
        <v>2078</v>
      </c>
      <c r="B109">
        <v>575171722.98919499</v>
      </c>
      <c r="C109">
        <v>241192321.308523</v>
      </c>
      <c r="D109">
        <v>121505220.564225</v>
      </c>
      <c r="E109">
        <v>540790708.82352901</v>
      </c>
      <c r="F109">
        <v>450909109.60384101</v>
      </c>
      <c r="G109">
        <v>3601100091.2364898</v>
      </c>
      <c r="H109">
        <v>327766199.879951</v>
      </c>
      <c r="I109">
        <v>7510468533.0131998</v>
      </c>
      <c r="J109">
        <v>519443890.15606201</v>
      </c>
      <c r="K109">
        <v>328927283.37334901</v>
      </c>
      <c r="L109">
        <v>117525582.35294101</v>
      </c>
      <c r="M109">
        <v>391771888.05522197</v>
      </c>
      <c r="N109">
        <v>391883217.22689003</v>
      </c>
      <c r="O109">
        <v>607544783.55342102</v>
      </c>
      <c r="P109">
        <v>193008355.582232</v>
      </c>
      <c r="Q109">
        <v>379453087.09483701</v>
      </c>
      <c r="R109">
        <v>2880224741.89675</v>
      </c>
      <c r="S109">
        <v>459997908.88355303</v>
      </c>
      <c r="T109">
        <v>1331092922.56902</v>
      </c>
      <c r="U109">
        <v>124811978.211284</v>
      </c>
      <c r="V109">
        <v>912552015.30612195</v>
      </c>
      <c r="W109">
        <v>267075208.091236</v>
      </c>
      <c r="X109">
        <v>1812383566.0264101</v>
      </c>
      <c r="Y109">
        <v>299484497.89915901</v>
      </c>
      <c r="Z109">
        <v>731397667.46698594</v>
      </c>
      <c r="AA109">
        <v>1874302752.7010801</v>
      </c>
    </row>
    <row r="110" spans="1:27" x14ac:dyDescent="0.2">
      <c r="A110">
        <v>2079</v>
      </c>
      <c r="B110">
        <v>583193285.41416502</v>
      </c>
      <c r="C110">
        <v>241079799.66986701</v>
      </c>
      <c r="D110">
        <v>126530127.466986</v>
      </c>
      <c r="E110">
        <v>540814548.319327</v>
      </c>
      <c r="F110">
        <v>447719325.630252</v>
      </c>
      <c r="G110">
        <v>3587404387.7550998</v>
      </c>
      <c r="H110">
        <v>355817632.35294098</v>
      </c>
      <c r="I110">
        <v>7509522574.4297705</v>
      </c>
      <c r="J110">
        <v>537216926.17046797</v>
      </c>
      <c r="K110">
        <v>327982060.26410502</v>
      </c>
      <c r="L110">
        <v>117982359.573829</v>
      </c>
      <c r="M110">
        <v>398792099.03961498</v>
      </c>
      <c r="N110">
        <v>412228616.92676997</v>
      </c>
      <c r="O110">
        <v>628100616.98679399</v>
      </c>
      <c r="P110">
        <v>193766710.26410499</v>
      </c>
      <c r="Q110">
        <v>393086426.05041999</v>
      </c>
      <c r="R110">
        <v>2941026746.6986699</v>
      </c>
      <c r="S110">
        <v>489259236.49459702</v>
      </c>
      <c r="T110">
        <v>1310368316.92677</v>
      </c>
      <c r="U110">
        <v>128315252.85114001</v>
      </c>
      <c r="V110">
        <v>934487965.48619401</v>
      </c>
      <c r="W110">
        <v>268702339.36374497</v>
      </c>
      <c r="X110">
        <v>1823255721.1884699</v>
      </c>
      <c r="Y110">
        <v>294677759.00360101</v>
      </c>
      <c r="Z110">
        <v>795559021.90876305</v>
      </c>
      <c r="AA110">
        <v>1872430949.5798299</v>
      </c>
    </row>
    <row r="111" spans="1:27" x14ac:dyDescent="0.2">
      <c r="A111">
        <v>2080</v>
      </c>
      <c r="B111">
        <v>590780881.15245998</v>
      </c>
      <c r="C111">
        <v>241002526.44057599</v>
      </c>
      <c r="D111">
        <v>131756230.234093</v>
      </c>
      <c r="E111">
        <v>540610356.00240099</v>
      </c>
      <c r="F111">
        <v>444417517.64705801</v>
      </c>
      <c r="G111">
        <v>3573531124.2497001</v>
      </c>
      <c r="H111">
        <v>385975409.36374497</v>
      </c>
      <c r="I111">
        <v>7503275238.8955498</v>
      </c>
      <c r="J111">
        <v>555006977.490996</v>
      </c>
      <c r="K111">
        <v>326952434.51380497</v>
      </c>
      <c r="L111">
        <v>118413140.66626599</v>
      </c>
      <c r="M111">
        <v>405843618.84753901</v>
      </c>
      <c r="N111">
        <v>433381561.58463299</v>
      </c>
      <c r="O111">
        <v>648799205.94237697</v>
      </c>
      <c r="P111">
        <v>194440115.00600201</v>
      </c>
      <c r="Q111">
        <v>406840588.17527002</v>
      </c>
      <c r="R111">
        <v>2998481065.4261699</v>
      </c>
      <c r="S111">
        <v>519472586.43457299</v>
      </c>
      <c r="T111">
        <v>1289347555.82232</v>
      </c>
      <c r="U111">
        <v>131837053.541416</v>
      </c>
      <c r="V111">
        <v>956436185.47418904</v>
      </c>
      <c r="W111">
        <v>270343063.22929102</v>
      </c>
      <c r="X111">
        <v>1833201007.8031199</v>
      </c>
      <c r="Y111">
        <v>289868651.98079199</v>
      </c>
      <c r="Z111">
        <v>863739220.58823502</v>
      </c>
      <c r="AA111">
        <v>1870082640.4561801</v>
      </c>
    </row>
    <row r="112" spans="1:27" x14ac:dyDescent="0.2">
      <c r="A112">
        <v>2081</v>
      </c>
      <c r="B112">
        <v>597810260.20408106</v>
      </c>
      <c r="C112">
        <v>240641677.34093601</v>
      </c>
      <c r="D112">
        <v>137112512.51500601</v>
      </c>
      <c r="E112">
        <v>539956630.13205194</v>
      </c>
      <c r="F112">
        <v>441210067.04681802</v>
      </c>
      <c r="G112">
        <v>3558567492.7971101</v>
      </c>
      <c r="H112">
        <v>417989802.52100801</v>
      </c>
      <c r="I112">
        <v>7488006792.91716</v>
      </c>
      <c r="J112">
        <v>572512177.97118795</v>
      </c>
      <c r="K112">
        <v>326072789.31572598</v>
      </c>
      <c r="L112">
        <v>118865039.405762</v>
      </c>
      <c r="M112">
        <v>412752665.66626602</v>
      </c>
      <c r="N112">
        <v>455109495.19807899</v>
      </c>
      <c r="O112">
        <v>669291426.71068394</v>
      </c>
      <c r="P112">
        <v>194894150.630252</v>
      </c>
      <c r="Q112">
        <v>420489933.61344498</v>
      </c>
      <c r="R112">
        <v>3050080944.17767</v>
      </c>
      <c r="S112">
        <v>549930043.21728694</v>
      </c>
      <c r="T112">
        <v>1268191827.43097</v>
      </c>
      <c r="U112">
        <v>135340431.872749</v>
      </c>
      <c r="V112">
        <v>977891803.12124801</v>
      </c>
      <c r="W112">
        <v>271904133.22929102</v>
      </c>
      <c r="X112">
        <v>1841168376.9507799</v>
      </c>
      <c r="Y112">
        <v>285119257.08283299</v>
      </c>
      <c r="Z112">
        <v>935464274.30972302</v>
      </c>
      <c r="AA112">
        <v>1866868626.65066</v>
      </c>
    </row>
    <row r="113" spans="1:27" x14ac:dyDescent="0.2">
      <c r="A113">
        <v>2082</v>
      </c>
      <c r="B113">
        <v>604431100.54021597</v>
      </c>
      <c r="C113">
        <v>240325522.14885899</v>
      </c>
      <c r="D113">
        <v>142667051.782713</v>
      </c>
      <c r="E113">
        <v>539144526.77070796</v>
      </c>
      <c r="F113">
        <v>437917001.02040797</v>
      </c>
      <c r="G113">
        <v>3542053939.3757501</v>
      </c>
      <c r="H113">
        <v>452351166.26650602</v>
      </c>
      <c r="I113">
        <v>7467522190.2761097</v>
      </c>
      <c r="J113">
        <v>589924186.97478902</v>
      </c>
      <c r="K113">
        <v>325107066.686674</v>
      </c>
      <c r="L113">
        <v>119292149.969987</v>
      </c>
      <c r="M113">
        <v>419694455.582232</v>
      </c>
      <c r="N113">
        <v>477687456.24249703</v>
      </c>
      <c r="O113">
        <v>689917283.13325298</v>
      </c>
      <c r="P113">
        <v>195269704.23169199</v>
      </c>
      <c r="Q113">
        <v>434309884.63385302</v>
      </c>
      <c r="R113">
        <v>3098144342.1368499</v>
      </c>
      <c r="S113">
        <v>581338088.53541398</v>
      </c>
      <c r="T113">
        <v>1246884779.71188</v>
      </c>
      <c r="U113">
        <v>138855553.961584</v>
      </c>
      <c r="V113">
        <v>999370054.62184799</v>
      </c>
      <c r="W113">
        <v>273482223.973589</v>
      </c>
      <c r="X113">
        <v>1848312602.94117</v>
      </c>
      <c r="Y113">
        <v>280365695.79831898</v>
      </c>
      <c r="Z113">
        <v>1011813086.43457</v>
      </c>
      <c r="AA113">
        <v>1863265673.16926</v>
      </c>
    </row>
    <row r="114" spans="1:27" x14ac:dyDescent="0.2">
      <c r="A114">
        <v>2083</v>
      </c>
      <c r="B114">
        <v>610674304.92196798</v>
      </c>
      <c r="C114">
        <v>239971442.316926</v>
      </c>
      <c r="D114">
        <v>148422630.63625401</v>
      </c>
      <c r="E114">
        <v>538202226.29051602</v>
      </c>
      <c r="F114">
        <v>434523533.193277</v>
      </c>
      <c r="G114">
        <v>3524218244.8979502</v>
      </c>
      <c r="H114">
        <v>489175000.90035999</v>
      </c>
      <c r="I114">
        <v>7441999319.9279699</v>
      </c>
      <c r="J114">
        <v>607238292.91716599</v>
      </c>
      <c r="K114">
        <v>324053633.79351699</v>
      </c>
      <c r="L114">
        <v>119694161.224489</v>
      </c>
      <c r="M114">
        <v>426692513.50540203</v>
      </c>
      <c r="N114">
        <v>501146985.11404502</v>
      </c>
      <c r="O114">
        <v>710685040.09603798</v>
      </c>
      <c r="P114">
        <v>195571723.52941099</v>
      </c>
      <c r="Q114">
        <v>448289367.34693801</v>
      </c>
      <c r="R114">
        <v>3142961555.2220802</v>
      </c>
      <c r="S114">
        <v>613718008.10324097</v>
      </c>
      <c r="T114">
        <v>1225502855.0420101</v>
      </c>
      <c r="U114">
        <v>142372456.572629</v>
      </c>
      <c r="V114">
        <v>1020876255.1020401</v>
      </c>
      <c r="W114">
        <v>275072356.09843898</v>
      </c>
      <c r="X114">
        <v>1854536818.12725</v>
      </c>
      <c r="Y114">
        <v>275617017.34693801</v>
      </c>
      <c r="Z114">
        <v>1093036816.32653</v>
      </c>
      <c r="AA114">
        <v>1859301816.32653</v>
      </c>
    </row>
    <row r="115" spans="1:27" x14ac:dyDescent="0.2">
      <c r="A115">
        <v>2084</v>
      </c>
      <c r="B115">
        <v>616580969.38775504</v>
      </c>
      <c r="C115">
        <v>239663866.35654199</v>
      </c>
      <c r="D115">
        <v>154382442.50900301</v>
      </c>
      <c r="E115">
        <v>537159447.77911103</v>
      </c>
      <c r="F115">
        <v>431032503.24129599</v>
      </c>
      <c r="G115">
        <v>3505265411.1644602</v>
      </c>
      <c r="H115">
        <v>528580111.64465702</v>
      </c>
      <c r="I115">
        <v>7411616578.6314497</v>
      </c>
      <c r="J115">
        <v>624472599.63985598</v>
      </c>
      <c r="K115">
        <v>322913249.27971101</v>
      </c>
      <c r="L115">
        <v>120071194.027611</v>
      </c>
      <c r="M115">
        <v>433781190.57622999</v>
      </c>
      <c r="N115">
        <v>525522526.47058803</v>
      </c>
      <c r="O115">
        <v>731603463.44537795</v>
      </c>
      <c r="P115">
        <v>195807093.27731001</v>
      </c>
      <c r="Q115">
        <v>462412420.64825898</v>
      </c>
      <c r="R115">
        <v>3185042531.8127198</v>
      </c>
      <c r="S115">
        <v>647186542.617046</v>
      </c>
      <c r="T115">
        <v>1204104676.4705801</v>
      </c>
      <c r="U115">
        <v>145900122.11884701</v>
      </c>
      <c r="V115">
        <v>1042403065.42617</v>
      </c>
      <c r="W115">
        <v>276669105.66626602</v>
      </c>
      <c r="X115">
        <v>1859811230.4921899</v>
      </c>
      <c r="Y115">
        <v>270880531.332533</v>
      </c>
      <c r="Z115">
        <v>1179419350.8403299</v>
      </c>
      <c r="AA115">
        <v>1855050709.18367</v>
      </c>
    </row>
    <row r="116" spans="1:27" x14ac:dyDescent="0.2">
      <c r="A116">
        <v>2085</v>
      </c>
      <c r="B116">
        <v>622180732.89315701</v>
      </c>
      <c r="C116">
        <v>239247862.84513801</v>
      </c>
      <c r="D116">
        <v>160550885.88835499</v>
      </c>
      <c r="E116">
        <v>536045294.11764699</v>
      </c>
      <c r="F116">
        <v>427446865.48619401</v>
      </c>
      <c r="G116">
        <v>3485369087.6350498</v>
      </c>
      <c r="H116">
        <v>570752373.04921901</v>
      </c>
      <c r="I116">
        <v>7376906671.6686602</v>
      </c>
      <c r="J116">
        <v>641698310.62424898</v>
      </c>
      <c r="K116">
        <v>321686015.306122</v>
      </c>
      <c r="L116">
        <v>120423990.246098</v>
      </c>
      <c r="M116">
        <v>440989581.332533</v>
      </c>
      <c r="N116">
        <v>550846881.99279702</v>
      </c>
      <c r="O116">
        <v>752680240.09603798</v>
      </c>
      <c r="P116">
        <v>195987037.90516201</v>
      </c>
      <c r="Q116">
        <v>476668847.05882299</v>
      </c>
      <c r="R116">
        <v>3224341816.32653</v>
      </c>
      <c r="S116">
        <v>681600123.649459</v>
      </c>
      <c r="T116">
        <v>1182741400.9603801</v>
      </c>
      <c r="U116">
        <v>149436787.454981</v>
      </c>
      <c r="V116">
        <v>1063945510.80432</v>
      </c>
      <c r="W116">
        <v>278267539.00360101</v>
      </c>
      <c r="X116">
        <v>1864186802.22088</v>
      </c>
      <c r="Y116">
        <v>266162671.66866699</v>
      </c>
      <c r="Z116">
        <v>1271264997.2989099</v>
      </c>
      <c r="AA116">
        <v>1850517574.7298901</v>
      </c>
    </row>
    <row r="117" spans="1:27" x14ac:dyDescent="0.2">
      <c r="A117">
        <v>2086</v>
      </c>
      <c r="B117">
        <v>627449540.51620603</v>
      </c>
      <c r="C117">
        <v>238615831.60264099</v>
      </c>
      <c r="D117">
        <v>166859029.14165601</v>
      </c>
      <c r="E117">
        <v>534658132.89315701</v>
      </c>
      <c r="F117">
        <v>423962172.68907499</v>
      </c>
      <c r="G117">
        <v>3466774803.7214799</v>
      </c>
      <c r="H117">
        <v>615122921.66866696</v>
      </c>
      <c r="I117">
        <v>7335940421.3685398</v>
      </c>
      <c r="J117">
        <v>658615979.89195597</v>
      </c>
      <c r="K117">
        <v>320536001.80071998</v>
      </c>
      <c r="L117">
        <v>120770524.519807</v>
      </c>
      <c r="M117">
        <v>448182613.745498</v>
      </c>
      <c r="N117">
        <v>576903666.62664998</v>
      </c>
      <c r="O117">
        <v>773549273.949579</v>
      </c>
      <c r="P117">
        <v>195973766.446578</v>
      </c>
      <c r="Q117">
        <v>490851742.25690198</v>
      </c>
      <c r="R117">
        <v>3258918957.9831901</v>
      </c>
      <c r="S117">
        <v>716154724.78991497</v>
      </c>
      <c r="T117">
        <v>1161625920.7683001</v>
      </c>
      <c r="U117">
        <v>152953192.19687799</v>
      </c>
      <c r="V117">
        <v>1085080587.0348101</v>
      </c>
      <c r="W117">
        <v>279797967.44297701</v>
      </c>
      <c r="X117">
        <v>1866627512.30492</v>
      </c>
      <c r="Y117">
        <v>261528359.24369699</v>
      </c>
      <c r="Z117">
        <v>1367481924.6698599</v>
      </c>
      <c r="AA117">
        <v>1845113815.4261701</v>
      </c>
    </row>
    <row r="118" spans="1:27" x14ac:dyDescent="0.2">
      <c r="A118">
        <v>2087</v>
      </c>
      <c r="B118">
        <v>632463981.99279702</v>
      </c>
      <c r="C118">
        <v>237916865.63625401</v>
      </c>
      <c r="D118">
        <v>173378906.46458501</v>
      </c>
      <c r="E118">
        <v>533240536.43457299</v>
      </c>
      <c r="F118">
        <v>420393042.19687802</v>
      </c>
      <c r="G118">
        <v>3447568648.2593002</v>
      </c>
      <c r="H118">
        <v>662327741.89675796</v>
      </c>
      <c r="I118">
        <v>7290805011.4045601</v>
      </c>
      <c r="J118">
        <v>675529373.34933901</v>
      </c>
      <c r="K118">
        <v>319302424.84994</v>
      </c>
      <c r="L118">
        <v>121100295.468187</v>
      </c>
      <c r="M118">
        <v>455505293.21728599</v>
      </c>
      <c r="N118">
        <v>603957587.15486097</v>
      </c>
      <c r="O118">
        <v>794557744.35774302</v>
      </c>
      <c r="P118">
        <v>195894444.65786299</v>
      </c>
      <c r="Q118">
        <v>505146150.84033602</v>
      </c>
      <c r="R118">
        <v>3290703211.2845101</v>
      </c>
      <c r="S118">
        <v>751710428.27130795</v>
      </c>
      <c r="T118">
        <v>1140728241.29651</v>
      </c>
      <c r="U118">
        <v>156474604.71188399</v>
      </c>
      <c r="V118">
        <v>1106195154.56182</v>
      </c>
      <c r="W118">
        <v>281324005.85834301</v>
      </c>
      <c r="X118">
        <v>1868264352.6410501</v>
      </c>
      <c r="Y118">
        <v>256925997.328931</v>
      </c>
      <c r="Z118">
        <v>1469777207.9831901</v>
      </c>
      <c r="AA118">
        <v>1839500118.54741</v>
      </c>
    </row>
    <row r="119" spans="1:27" x14ac:dyDescent="0.2">
      <c r="A119">
        <v>2088</v>
      </c>
      <c r="B119">
        <v>637232790.81632602</v>
      </c>
      <c r="C119">
        <v>237183395.25810301</v>
      </c>
      <c r="D119">
        <v>180116850.078031</v>
      </c>
      <c r="E119">
        <v>531807370.528211</v>
      </c>
      <c r="F119">
        <v>416737330.25209999</v>
      </c>
      <c r="G119">
        <v>3427863063.0252099</v>
      </c>
      <c r="H119">
        <v>712484503.30131996</v>
      </c>
      <c r="I119">
        <v>7241599136.8547401</v>
      </c>
      <c r="J119">
        <v>692450308.82352901</v>
      </c>
      <c r="K119">
        <v>317985219.56782699</v>
      </c>
      <c r="L119">
        <v>121415749.219687</v>
      </c>
      <c r="M119">
        <v>462969880.55221999</v>
      </c>
      <c r="N119">
        <v>632036916.686674</v>
      </c>
      <c r="O119">
        <v>815699843.27731097</v>
      </c>
      <c r="P119">
        <v>195749465.03601399</v>
      </c>
      <c r="Q119">
        <v>519555601.32052797</v>
      </c>
      <c r="R119">
        <v>3319732756.90276</v>
      </c>
      <c r="S119">
        <v>788286833.73349297</v>
      </c>
      <c r="T119">
        <v>1120025571.7286899</v>
      </c>
      <c r="U119">
        <v>160002950.930372</v>
      </c>
      <c r="V119">
        <v>1127279077.1308501</v>
      </c>
      <c r="W119">
        <v>282836785.078031</v>
      </c>
      <c r="X119">
        <v>1869247705.5822301</v>
      </c>
      <c r="Y119">
        <v>252357656.00240001</v>
      </c>
      <c r="Z119">
        <v>1578155009.0035999</v>
      </c>
      <c r="AA119">
        <v>1833725924.6698599</v>
      </c>
    </row>
    <row r="120" spans="1:27" x14ac:dyDescent="0.2">
      <c r="A120">
        <v>2089</v>
      </c>
      <c r="B120">
        <v>641763508.40336096</v>
      </c>
      <c r="C120">
        <v>236378667.617046</v>
      </c>
      <c r="D120">
        <v>187078681.482593</v>
      </c>
      <c r="E120">
        <v>530384752.70108002</v>
      </c>
      <c r="F120">
        <v>412994714.28571397</v>
      </c>
      <c r="G120">
        <v>3407182477.79111</v>
      </c>
      <c r="H120">
        <v>765703388.95558202</v>
      </c>
      <c r="I120">
        <v>7188425645.8583403</v>
      </c>
      <c r="J120">
        <v>709338321.12845099</v>
      </c>
      <c r="K120">
        <v>316589578.39135599</v>
      </c>
      <c r="L120">
        <v>121722471.038415</v>
      </c>
      <c r="M120">
        <v>470611647.35894299</v>
      </c>
      <c r="N120">
        <v>661167380.37214899</v>
      </c>
      <c r="O120">
        <v>836964106.96278501</v>
      </c>
      <c r="P120">
        <v>195551193.307322</v>
      </c>
      <c r="Q120">
        <v>534085432.95318103</v>
      </c>
      <c r="R120">
        <v>3346077972.9891901</v>
      </c>
      <c r="S120">
        <v>825902127.25090003</v>
      </c>
      <c r="T120">
        <v>1099541641.35654</v>
      </c>
      <c r="U120">
        <v>163539301.59063599</v>
      </c>
      <c r="V120">
        <v>1148315137.4549799</v>
      </c>
      <c r="W120">
        <v>284332557.70708197</v>
      </c>
      <c r="X120">
        <v>1869627551.3205199</v>
      </c>
      <c r="Y120">
        <v>247823687.63505399</v>
      </c>
      <c r="Z120">
        <v>1693022849.93997</v>
      </c>
      <c r="AA120">
        <v>1827806368.8475299</v>
      </c>
    </row>
    <row r="121" spans="1:27" x14ac:dyDescent="0.2">
      <c r="A121">
        <v>2090</v>
      </c>
      <c r="B121">
        <v>646064262.90516198</v>
      </c>
      <c r="C121">
        <v>235495529.98199201</v>
      </c>
      <c r="D121">
        <v>194269162.94717801</v>
      </c>
      <c r="E121">
        <v>528965513.62545002</v>
      </c>
      <c r="F121">
        <v>409169773.04921901</v>
      </c>
      <c r="G121">
        <v>3385537510.2040801</v>
      </c>
      <c r="H121">
        <v>822129228.39135599</v>
      </c>
      <c r="I121">
        <v>7131423094.8379297</v>
      </c>
      <c r="J121">
        <v>726252998.19927895</v>
      </c>
      <c r="K121">
        <v>315116676.35053998</v>
      </c>
      <c r="L121">
        <v>122025910.864345</v>
      </c>
      <c r="M121">
        <v>478375737.39495701</v>
      </c>
      <c r="N121">
        <v>691370769.26770699</v>
      </c>
      <c r="O121">
        <v>858338011.88475394</v>
      </c>
      <c r="P121">
        <v>195303964.585834</v>
      </c>
      <c r="Q121">
        <v>548740855.282112</v>
      </c>
      <c r="R121">
        <v>3369836212.4849901</v>
      </c>
      <c r="S121">
        <v>864572802.82112801</v>
      </c>
      <c r="T121">
        <v>1079266936.07442</v>
      </c>
      <c r="U121">
        <v>167073419.62785101</v>
      </c>
      <c r="V121">
        <v>1169289416.2665</v>
      </c>
      <c r="W121">
        <v>285805828.71548599</v>
      </c>
      <c r="X121">
        <v>1869442775.5102</v>
      </c>
      <c r="Y121">
        <v>243329831.572629</v>
      </c>
      <c r="Z121">
        <v>1814946280.91236</v>
      </c>
      <c r="AA121">
        <v>1821777964.2857101</v>
      </c>
    </row>
    <row r="122" spans="1:27" x14ac:dyDescent="0.2">
      <c r="A122">
        <v>2091</v>
      </c>
      <c r="B122">
        <v>650198903.36134398</v>
      </c>
      <c r="C122">
        <v>234395665.306122</v>
      </c>
      <c r="D122">
        <v>201631018.58943501</v>
      </c>
      <c r="E122">
        <v>527345297.83913499</v>
      </c>
      <c r="F122">
        <v>405430111.70468098</v>
      </c>
      <c r="G122">
        <v>3365676690.8763499</v>
      </c>
      <c r="H122">
        <v>881171235.59423697</v>
      </c>
      <c r="I122">
        <v>7069407372.7490997</v>
      </c>
      <c r="J122">
        <v>742895922.26890695</v>
      </c>
      <c r="K122">
        <v>313631823.46938699</v>
      </c>
      <c r="L122">
        <v>122338531.0024</v>
      </c>
      <c r="M122">
        <v>486094524.60984302</v>
      </c>
      <c r="N122">
        <v>722361410.74429703</v>
      </c>
      <c r="O122">
        <v>879264232.59303701</v>
      </c>
      <c r="P122">
        <v>194896241.86674601</v>
      </c>
      <c r="Q122">
        <v>563362440.27611005</v>
      </c>
      <c r="R122">
        <v>3389287916.5666199</v>
      </c>
      <c r="S122">
        <v>903450960.684273</v>
      </c>
      <c r="T122">
        <v>1059191349.33973</v>
      </c>
      <c r="U122">
        <v>170581681.872749</v>
      </c>
      <c r="V122">
        <v>1189882879.65186</v>
      </c>
      <c r="W122">
        <v>287202857.815126</v>
      </c>
      <c r="X122">
        <v>1867978238.89555</v>
      </c>
      <c r="Y122">
        <v>238897523.88955501</v>
      </c>
      <c r="Z122">
        <v>1942051850.2400899</v>
      </c>
      <c r="AA122">
        <v>1815042470.28811</v>
      </c>
    </row>
    <row r="123" spans="1:27" x14ac:dyDescent="0.2">
      <c r="A123">
        <v>2092</v>
      </c>
      <c r="B123">
        <v>654119120.64825904</v>
      </c>
      <c r="C123">
        <v>233215917.10684201</v>
      </c>
      <c r="D123">
        <v>209227390.32412899</v>
      </c>
      <c r="E123">
        <v>525691389.195678</v>
      </c>
      <c r="F123">
        <v>401620686.25450099</v>
      </c>
      <c r="G123">
        <v>3345060331.9327698</v>
      </c>
      <c r="H123">
        <v>943651514.70588195</v>
      </c>
      <c r="I123">
        <v>7003830431.5726204</v>
      </c>
      <c r="J123">
        <v>759571668.06722605</v>
      </c>
      <c r="K123">
        <v>312072650.06002402</v>
      </c>
      <c r="L123">
        <v>122664643.547418</v>
      </c>
      <c r="M123">
        <v>493853626.35053998</v>
      </c>
      <c r="N123">
        <v>754443486.73469305</v>
      </c>
      <c r="O123">
        <v>900252580.67226803</v>
      </c>
      <c r="P123">
        <v>194457837.00480101</v>
      </c>
      <c r="Q123">
        <v>578029487.45498204</v>
      </c>
      <c r="R123">
        <v>3406254881.7526999</v>
      </c>
      <c r="S123">
        <v>943353260.20408106</v>
      </c>
      <c r="T123">
        <v>1039383340.63625</v>
      </c>
      <c r="U123">
        <v>174090085.41416499</v>
      </c>
      <c r="V123">
        <v>1210374381.1524601</v>
      </c>
      <c r="W123">
        <v>288568489.33973497</v>
      </c>
      <c r="X123">
        <v>1865913942.6770699</v>
      </c>
      <c r="Y123">
        <v>234505627.37094799</v>
      </c>
      <c r="Z123">
        <v>2076800614.6458499</v>
      </c>
      <c r="AA123">
        <v>1808239453.7815101</v>
      </c>
    </row>
    <row r="124" spans="1:27" x14ac:dyDescent="0.2">
      <c r="A124">
        <v>2093</v>
      </c>
      <c r="B124">
        <v>657845044.71788704</v>
      </c>
      <c r="C124">
        <v>231953947.65906301</v>
      </c>
      <c r="D124">
        <v>217061636.72869101</v>
      </c>
      <c r="E124">
        <v>523983248.13925499</v>
      </c>
      <c r="F124">
        <v>397745718.06722599</v>
      </c>
      <c r="G124">
        <v>3323668957.9831901</v>
      </c>
      <c r="H124">
        <v>1009719081.63265</v>
      </c>
      <c r="I124">
        <v>6934890028.2112799</v>
      </c>
      <c r="J124">
        <v>776286891.95678198</v>
      </c>
      <c r="K124">
        <v>310444076.29051602</v>
      </c>
      <c r="L124">
        <v>123012096.188475</v>
      </c>
      <c r="M124">
        <v>501589838.53541398</v>
      </c>
      <c r="N124">
        <v>787630508.28331304</v>
      </c>
      <c r="O124">
        <v>921285025.21008396</v>
      </c>
      <c r="P124">
        <v>193980374.30972299</v>
      </c>
      <c r="Q124">
        <v>592756092.55702198</v>
      </c>
      <c r="R124">
        <v>3420843570.82833</v>
      </c>
      <c r="S124">
        <v>984284120.94837904</v>
      </c>
      <c r="T124">
        <v>1019868342.73709</v>
      </c>
      <c r="U124">
        <v>177603200.33013201</v>
      </c>
      <c r="V124">
        <v>1230743377.5510199</v>
      </c>
      <c r="W124">
        <v>289900790.06002402</v>
      </c>
      <c r="X124">
        <v>1863327798.91956</v>
      </c>
      <c r="Y124">
        <v>230149653.271308</v>
      </c>
      <c r="Z124">
        <v>2219515508.4033599</v>
      </c>
      <c r="AA124">
        <v>1801372819.6278501</v>
      </c>
    </row>
    <row r="125" spans="1:27" x14ac:dyDescent="0.2">
      <c r="A125">
        <v>2094</v>
      </c>
      <c r="B125">
        <v>661397348.73949504</v>
      </c>
      <c r="C125">
        <v>230648941.686674</v>
      </c>
      <c r="D125">
        <v>225137855.684273</v>
      </c>
      <c r="E125">
        <v>522206044.53781497</v>
      </c>
      <c r="F125">
        <v>393814524.96998799</v>
      </c>
      <c r="G125">
        <v>3301464020.4081602</v>
      </c>
      <c r="H125">
        <v>1079320909.0636201</v>
      </c>
      <c r="I125">
        <v>6862777327.1308498</v>
      </c>
      <c r="J125">
        <v>793040686.67466903</v>
      </c>
      <c r="K125">
        <v>308746347.05882299</v>
      </c>
      <c r="L125">
        <v>123388563.205282</v>
      </c>
      <c r="M125">
        <v>509255609.54381698</v>
      </c>
      <c r="N125">
        <v>821935078.45138001</v>
      </c>
      <c r="O125">
        <v>942342139.25570202</v>
      </c>
      <c r="P125">
        <v>193481601.710684</v>
      </c>
      <c r="Q125">
        <v>607566574.66986799</v>
      </c>
      <c r="R125">
        <v>3433181740.69627</v>
      </c>
      <c r="S125">
        <v>1026243261.40456</v>
      </c>
      <c r="T125">
        <v>1000621366.14645</v>
      </c>
      <c r="U125">
        <v>181115041.26650599</v>
      </c>
      <c r="V125">
        <v>1250978574.7298901</v>
      </c>
      <c r="W125">
        <v>291198684.54981899</v>
      </c>
      <c r="X125">
        <v>1860245566.32653</v>
      </c>
      <c r="Y125">
        <v>225827581.75270101</v>
      </c>
      <c r="Z125">
        <v>2370534771.6086402</v>
      </c>
      <c r="AA125">
        <v>1794429796.5186</v>
      </c>
    </row>
    <row r="126" spans="1:27" x14ac:dyDescent="0.2">
      <c r="A126">
        <v>2095</v>
      </c>
      <c r="B126">
        <v>664791535.11404502</v>
      </c>
      <c r="C126">
        <v>229324643.907563</v>
      </c>
      <c r="D126">
        <v>233457553.03721401</v>
      </c>
      <c r="E126">
        <v>520342734.63385302</v>
      </c>
      <c r="F126">
        <v>389837663.62545002</v>
      </c>
      <c r="G126">
        <v>3278486879.3517399</v>
      </c>
      <c r="H126">
        <v>1152645819.6278501</v>
      </c>
      <c r="I126">
        <v>6787619668.6674604</v>
      </c>
      <c r="J126">
        <v>809834807.02280903</v>
      </c>
      <c r="K126">
        <v>306976380.97238898</v>
      </c>
      <c r="L126">
        <v>123805228.721488</v>
      </c>
      <c r="M126">
        <v>516796314.82593</v>
      </c>
      <c r="N126">
        <v>857369931.45258105</v>
      </c>
      <c r="O126">
        <v>963413735.054021</v>
      </c>
      <c r="P126">
        <v>192951722.539015</v>
      </c>
      <c r="Q126">
        <v>622485785.83433294</v>
      </c>
      <c r="R126">
        <v>3443442485.5942302</v>
      </c>
      <c r="S126">
        <v>1069356955.58223</v>
      </c>
      <c r="T126">
        <v>981649346.93877494</v>
      </c>
      <c r="U126">
        <v>184628835.95438099</v>
      </c>
      <c r="V126">
        <v>1271064539.61584</v>
      </c>
      <c r="W126">
        <v>292461697.77911103</v>
      </c>
      <c r="X126">
        <v>1856741030.0120001</v>
      </c>
      <c r="Y126">
        <v>221538632.35294101</v>
      </c>
      <c r="Z126">
        <v>2530182086.13445</v>
      </c>
      <c r="AA126">
        <v>1787409610.7442901</v>
      </c>
    </row>
    <row r="127" spans="1:27" x14ac:dyDescent="0.2">
      <c r="A127">
        <v>2096</v>
      </c>
      <c r="B127">
        <v>668163996.39855897</v>
      </c>
      <c r="C127">
        <v>227891373.34933901</v>
      </c>
      <c r="D127">
        <v>241986768.75150001</v>
      </c>
      <c r="E127">
        <v>518130428.33133203</v>
      </c>
      <c r="F127">
        <v>385908252.10083997</v>
      </c>
      <c r="G127">
        <v>3256233124.2497001</v>
      </c>
      <c r="H127">
        <v>1229019601.74069</v>
      </c>
      <c r="I127">
        <v>6709150943.5774298</v>
      </c>
      <c r="J127">
        <v>826404538.41536605</v>
      </c>
      <c r="K127">
        <v>305117870.76830697</v>
      </c>
      <c r="L127">
        <v>124340591.266506</v>
      </c>
      <c r="M127">
        <v>524034574.12965101</v>
      </c>
      <c r="N127">
        <v>893522998.55942297</v>
      </c>
      <c r="O127">
        <v>983831740.39615798</v>
      </c>
      <c r="P127">
        <v>192343142.767106</v>
      </c>
      <c r="Q127">
        <v>637427325.57022798</v>
      </c>
      <c r="R127">
        <v>3450233258.7034798</v>
      </c>
      <c r="S127">
        <v>1112281036.0144</v>
      </c>
      <c r="T127">
        <v>962515206.48259306</v>
      </c>
      <c r="U127">
        <v>188104843.72749099</v>
      </c>
      <c r="V127">
        <v>1290831784.21368</v>
      </c>
      <c r="W127">
        <v>293655786.19447702</v>
      </c>
      <c r="X127">
        <v>1852290166.86674</v>
      </c>
      <c r="Y127">
        <v>217241377.61104399</v>
      </c>
      <c r="Z127">
        <v>2695787798.3193202</v>
      </c>
      <c r="AA127">
        <v>1779672715.78631</v>
      </c>
    </row>
    <row r="128" spans="1:27" x14ac:dyDescent="0.2">
      <c r="A128">
        <v>2097</v>
      </c>
      <c r="B128">
        <v>671379936.07442904</v>
      </c>
      <c r="C128">
        <v>226421739.73589399</v>
      </c>
      <c r="D128">
        <v>250757577.40696201</v>
      </c>
      <c r="E128">
        <v>515792414.94597799</v>
      </c>
      <c r="F128">
        <v>381968449.879951</v>
      </c>
      <c r="G128">
        <v>3233210913.5654202</v>
      </c>
      <c r="H128">
        <v>1309424305.82232</v>
      </c>
      <c r="I128">
        <v>6628096623.6494598</v>
      </c>
      <c r="J128">
        <v>842999643.15726197</v>
      </c>
      <c r="K128">
        <v>303192283.13325298</v>
      </c>
      <c r="L128">
        <v>124942441.296518</v>
      </c>
      <c r="M128">
        <v>531072683.37334901</v>
      </c>
      <c r="N128">
        <v>930798245.01800704</v>
      </c>
      <c r="O128">
        <v>1004197598.73949</v>
      </c>
      <c r="P128">
        <v>191706892.01680601</v>
      </c>
      <c r="Q128">
        <v>652509895.25810301</v>
      </c>
      <c r="R128">
        <v>3454997134.4537802</v>
      </c>
      <c r="S128">
        <v>1155865004.5018001</v>
      </c>
      <c r="T128">
        <v>943537521.30852306</v>
      </c>
      <c r="U128">
        <v>191576475.930372</v>
      </c>
      <c r="V128">
        <v>1310460421.6686599</v>
      </c>
      <c r="W128">
        <v>294819249.61584598</v>
      </c>
      <c r="X128">
        <v>1847455756.30252</v>
      </c>
      <c r="Y128">
        <v>212975798.10924301</v>
      </c>
      <c r="Z128">
        <v>2869870020.4081602</v>
      </c>
      <c r="AA128">
        <v>1771882991.5966301</v>
      </c>
    </row>
    <row r="129" spans="1:27" x14ac:dyDescent="0.2">
      <c r="A129">
        <v>2098</v>
      </c>
      <c r="B129">
        <v>674439472.98919499</v>
      </c>
      <c r="C129">
        <v>224947930.46218401</v>
      </c>
      <c r="D129">
        <v>259768944.69387701</v>
      </c>
      <c r="E129">
        <v>513317265.42616999</v>
      </c>
      <c r="F129">
        <v>378032502.641056</v>
      </c>
      <c r="G129">
        <v>3209441792.3169198</v>
      </c>
      <c r="H129">
        <v>1393969490.09603</v>
      </c>
      <c r="I129">
        <v>6544740762.90516</v>
      </c>
      <c r="J129">
        <v>859621936.07442904</v>
      </c>
      <c r="K129">
        <v>301200719.56782699</v>
      </c>
      <c r="L129">
        <v>125601933.433373</v>
      </c>
      <c r="M129">
        <v>537854905.46218395</v>
      </c>
      <c r="N129">
        <v>969198894.23769498</v>
      </c>
      <c r="O129">
        <v>1024491616.56662</v>
      </c>
      <c r="P129">
        <v>191092168.69747901</v>
      </c>
      <c r="Q129">
        <v>667878739.07562995</v>
      </c>
      <c r="R129">
        <v>3457825579.8319302</v>
      </c>
      <c r="S129">
        <v>1200089602.6410501</v>
      </c>
      <c r="T129">
        <v>924778387.45498204</v>
      </c>
      <c r="U129">
        <v>195047503.031212</v>
      </c>
      <c r="V129">
        <v>1329962831.33253</v>
      </c>
      <c r="W129">
        <v>295954607.490996</v>
      </c>
      <c r="X129">
        <v>1842308680.3721399</v>
      </c>
      <c r="Y129">
        <v>208747440.906362</v>
      </c>
      <c r="Z129">
        <v>3053210689.0756302</v>
      </c>
      <c r="AA129">
        <v>1764030145.2581</v>
      </c>
    </row>
    <row r="130" spans="1:27" x14ac:dyDescent="0.2">
      <c r="A130">
        <v>2099</v>
      </c>
      <c r="B130">
        <v>677339403.66146398</v>
      </c>
      <c r="C130">
        <v>223478932.412965</v>
      </c>
      <c r="D130">
        <v>269021641.95678198</v>
      </c>
      <c r="E130">
        <v>510672192.01680601</v>
      </c>
      <c r="F130">
        <v>374114862.60504198</v>
      </c>
      <c r="G130">
        <v>3184940927.3709402</v>
      </c>
      <c r="H130">
        <v>1482654334.6338501</v>
      </c>
      <c r="I130">
        <v>6459298264.1056404</v>
      </c>
      <c r="J130">
        <v>876267818.42736995</v>
      </c>
      <c r="K130">
        <v>299143901.98079199</v>
      </c>
      <c r="L130">
        <v>126329165.15606201</v>
      </c>
      <c r="M130">
        <v>544312198.67947102</v>
      </c>
      <c r="N130">
        <v>1008726110.44417</v>
      </c>
      <c r="O130">
        <v>1044692652.28091</v>
      </c>
      <c r="P130">
        <v>190435094.65786299</v>
      </c>
      <c r="Q130">
        <v>683542628.45138001</v>
      </c>
      <c r="R130">
        <v>3458742581.6326499</v>
      </c>
      <c r="S130">
        <v>1244934715.4861901</v>
      </c>
      <c r="T130">
        <v>906256846.03841496</v>
      </c>
      <c r="U130">
        <v>198515292.466986</v>
      </c>
      <c r="V130">
        <v>1349348407.56302</v>
      </c>
      <c r="W130">
        <v>297060442.79711801</v>
      </c>
      <c r="X130">
        <v>1836886404.2616999</v>
      </c>
      <c r="Y130">
        <v>204553642.88715401</v>
      </c>
      <c r="Z130">
        <v>3245709668.0672202</v>
      </c>
      <c r="AA130">
        <v>1756112299.5197999</v>
      </c>
    </row>
    <row r="131" spans="1:27" x14ac:dyDescent="0.2">
      <c r="A131">
        <v>2100</v>
      </c>
      <c r="B131">
        <v>680079550.12004805</v>
      </c>
      <c r="C131">
        <v>222022736.34453699</v>
      </c>
      <c r="D131">
        <v>278514738.30732203</v>
      </c>
      <c r="E131">
        <v>507845177.490996</v>
      </c>
      <c r="F131">
        <v>370225481.75270098</v>
      </c>
      <c r="G131">
        <v>3159730487.3949499</v>
      </c>
      <c r="H131">
        <v>1575324809.7238801</v>
      </c>
      <c r="I131">
        <v>6371989170.4681797</v>
      </c>
      <c r="J131">
        <v>892950919.86794698</v>
      </c>
      <c r="K131">
        <v>297030078.871548</v>
      </c>
      <c r="L131">
        <v>127132856.27250899</v>
      </c>
      <c r="M131">
        <v>550411059.123649</v>
      </c>
      <c r="N131">
        <v>1049378447.2388901</v>
      </c>
      <c r="O131">
        <v>1064782809.36374</v>
      </c>
      <c r="P131">
        <v>189782026.20048001</v>
      </c>
      <c r="Q131">
        <v>699499391.83673406</v>
      </c>
      <c r="R131">
        <v>3457778896.1584601</v>
      </c>
      <c r="S131">
        <v>1290373312.12485</v>
      </c>
      <c r="T131">
        <v>888012732.89315701</v>
      </c>
      <c r="U131">
        <v>201979576.80072001</v>
      </c>
      <c r="V131">
        <v>1368630315.12605</v>
      </c>
      <c r="W131">
        <v>298134433.34933901</v>
      </c>
      <c r="X131">
        <v>1831196166.2665</v>
      </c>
      <c r="Y131">
        <v>200390396.66866699</v>
      </c>
      <c r="Z131">
        <v>3447356181.2725</v>
      </c>
      <c r="AA131">
        <v>1748142661.4645801</v>
      </c>
    </row>
    <row r="134" spans="1:27" x14ac:dyDescent="0.2">
      <c r="A134">
        <v>2030</v>
      </c>
    </row>
    <row r="135" spans="1:27" x14ac:dyDescent="0.2">
      <c r="A135">
        <v>2031</v>
      </c>
      <c r="B135">
        <f>(B62-B61)/B61</f>
        <v>1.1863088759627351E-2</v>
      </c>
      <c r="C135">
        <f>(C62-C61)/C61</f>
        <v>1.8040761884050256E-2</v>
      </c>
      <c r="D135">
        <f>(D62-D61)/D61</f>
        <v>3.3509487635342478E-2</v>
      </c>
      <c r="E135">
        <f>(E62-E61)/E61</f>
        <v>4.1292469467115504E-2</v>
      </c>
      <c r="F135">
        <f>(F62-F61)/F61</f>
        <v>2.2625533777398555E-2</v>
      </c>
      <c r="G135">
        <f>(G62-G61)/G61</f>
        <v>2.7262674361867318E-2</v>
      </c>
      <c r="H135">
        <f>(H62-H61)/H61</f>
        <v>6.2306643572907085E-2</v>
      </c>
      <c r="I135">
        <f>(I62-I61)/I61</f>
        <v>5.1404437947356857E-2</v>
      </c>
      <c r="J135">
        <f>(J62-J61)/J61</f>
        <v>3.5154209278944158E-2</v>
      </c>
      <c r="K135">
        <f>(K62-K61)/K61</f>
        <v>4.7361157312381524E-3</v>
      </c>
      <c r="L135">
        <f>(L62-L61)/L61</f>
        <v>2.2216979105219685E-2</v>
      </c>
      <c r="M135">
        <f>(M62-M61)/M61</f>
        <v>3.2534353046712219E-2</v>
      </c>
      <c r="N135">
        <f>(N62-N61)/N61</f>
        <v>5.0587323152726474E-2</v>
      </c>
      <c r="O135">
        <f>(O62-O61)/O61</f>
        <v>1.1182762406997455E-2</v>
      </c>
      <c r="P135">
        <f>(P62-P61)/P61</f>
        <v>4.7449479269676131E-3</v>
      </c>
      <c r="Q135">
        <f>(Q62-Q61)/Q61</f>
        <v>3.6296983624868689E-2</v>
      </c>
      <c r="R135">
        <f>(R62-R61)/R61</f>
        <v>5.4512590201652444E-2</v>
      </c>
      <c r="S135">
        <f>(S62-S61)/S61</f>
        <v>7.2189740958113827E-2</v>
      </c>
      <c r="T135">
        <f>(T62-T61)/T61</f>
        <v>4.931306403685303E-3</v>
      </c>
      <c r="U135">
        <f>(U62-U61)/U61</f>
        <v>2.5538224436428999E-2</v>
      </c>
      <c r="V135">
        <f>(V62-V61)/V61</f>
        <v>2.2886178112125285E-2</v>
      </c>
      <c r="W135">
        <f>(W62-W61)/W61</f>
        <v>4.9117073189564597E-2</v>
      </c>
      <c r="X135">
        <f>(X62-X61)/X61</f>
        <v>8.841589401616565E-3</v>
      </c>
      <c r="Y135">
        <f>(Y62-Y61)/Y61</f>
        <v>2.2840869955888781E-2</v>
      </c>
      <c r="Z135">
        <f>(Z62-Z61)/Z61</f>
        <v>5.4758984198545635E-2</v>
      </c>
      <c r="AA135">
        <f>(AA62-AA61)/AA61</f>
        <v>1.3635401327875244E-2</v>
      </c>
    </row>
    <row r="136" spans="1:27" x14ac:dyDescent="0.2">
      <c r="A136">
        <v>2032</v>
      </c>
      <c r="B136">
        <f>(B63-B62)/B62</f>
        <v>1.1392749012438152E-2</v>
      </c>
      <c r="C136">
        <f>(C63-C62)/C62</f>
        <v>1.8741922639417211E-2</v>
      </c>
      <c r="D136">
        <f>(D63-D62)/D62</f>
        <v>3.0418338142591973E-2</v>
      </c>
      <c r="E136">
        <f>(E63-E62)/E62</f>
        <v>4.1936516231068956E-2</v>
      </c>
      <c r="F136">
        <f>(F63-F62)/F62</f>
        <v>2.4694510856607055E-2</v>
      </c>
      <c r="G136">
        <f>(G63-G62)/G62</f>
        <v>2.888705330460678E-2</v>
      </c>
      <c r="H136">
        <f>(H63-H62)/H62</f>
        <v>6.0251453639212443E-2</v>
      </c>
      <c r="I136">
        <f>(I63-I62)/I62</f>
        <v>4.8803531922141763E-2</v>
      </c>
      <c r="J136">
        <f>(J63-J62)/J62</f>
        <v>3.508260575730824E-2</v>
      </c>
      <c r="K136">
        <f>(K63-K62)/K62</f>
        <v>8.4317020052773316E-3</v>
      </c>
      <c r="L136">
        <f>(L63-L62)/L62</f>
        <v>2.3080610397819706E-2</v>
      </c>
      <c r="M136">
        <f>(M63-M62)/M62</f>
        <v>3.1195516887188461E-2</v>
      </c>
      <c r="N136">
        <f>(N63-N62)/N62</f>
        <v>5.1403356776287414E-2</v>
      </c>
      <c r="O136">
        <f>(O63-O62)/O62</f>
        <v>4.9746614724419692E-3</v>
      </c>
      <c r="P136">
        <f>(P63-P62)/P62</f>
        <v>6.1625687546578625E-3</v>
      </c>
      <c r="Q136">
        <f>(Q63-Q62)/Q62</f>
        <v>3.5797993950877072E-2</v>
      </c>
      <c r="R136">
        <f>(R63-R62)/R62</f>
        <v>5.2568394466735016E-2</v>
      </c>
      <c r="S136">
        <f>(S63-S62)/S62</f>
        <v>7.125297961293485E-2</v>
      </c>
      <c r="T136">
        <f>(T63-T62)/T62</f>
        <v>5.7073939078556993E-3</v>
      </c>
      <c r="U136">
        <f>(U63-U62)/U62</f>
        <v>2.6914743408658227E-2</v>
      </c>
      <c r="V136">
        <f>(V63-V62)/V62</f>
        <v>2.2566484904253566E-2</v>
      </c>
      <c r="W136">
        <f>(W63-W62)/W62</f>
        <v>5.0107442853925842E-2</v>
      </c>
      <c r="X136">
        <f>(X63-X62)/X62</f>
        <v>8.6555432152264269E-3</v>
      </c>
      <c r="Y136">
        <f>(Y63-Y62)/Y62</f>
        <v>2.1439543307838555E-2</v>
      </c>
      <c r="Z136">
        <f>(Z63-Z62)/Z62</f>
        <v>5.3228405322545774E-2</v>
      </c>
      <c r="AA136">
        <f>(AA63-AA62)/AA62</f>
        <v>1.6308838518250109E-2</v>
      </c>
    </row>
    <row r="137" spans="1:27" x14ac:dyDescent="0.2">
      <c r="A137">
        <v>2033</v>
      </c>
      <c r="B137">
        <f>(B64-B63)/B63</f>
        <v>1.1667942153970455E-2</v>
      </c>
      <c r="C137">
        <f>(C64-C63)/C63</f>
        <v>1.8091286222021483E-2</v>
      </c>
      <c r="D137">
        <f>(D64-D63)/D63</f>
        <v>3.086674690327431E-2</v>
      </c>
      <c r="E137">
        <f>(E64-E63)/E63</f>
        <v>4.0697622625228691E-2</v>
      </c>
      <c r="F137">
        <f>(F64-F63)/F63</f>
        <v>2.3100557427172579E-2</v>
      </c>
      <c r="G137">
        <f>(G64-G63)/G63</f>
        <v>2.7402825095853067E-2</v>
      </c>
      <c r="H137">
        <f>(H64-H63)/H63</f>
        <v>5.8109757636487486E-2</v>
      </c>
      <c r="I137">
        <f>(I64-I63)/I63</f>
        <v>4.7056253059600879E-2</v>
      </c>
      <c r="J137">
        <f>(J64-J63)/J63</f>
        <v>3.4553243150961657E-2</v>
      </c>
      <c r="K137">
        <f>(K64-K63)/K63</f>
        <v>6.9448485876060532E-3</v>
      </c>
      <c r="L137">
        <f>(L64-L63)/L63</f>
        <v>2.2330205732565826E-2</v>
      </c>
      <c r="M137">
        <f>(M64-M63)/M63</f>
        <v>3.0703003678973467E-2</v>
      </c>
      <c r="N137">
        <f>(N64-N63)/N63</f>
        <v>4.9483463811565549E-2</v>
      </c>
      <c r="O137">
        <f>(O64-O63)/O63</f>
        <v>7.2486640684470407E-3</v>
      </c>
      <c r="P137">
        <f>(P64-P63)/P63</f>
        <v>7.4519227927421217E-3</v>
      </c>
      <c r="Q137">
        <f>(Q64-Q63)/Q63</f>
        <v>3.472818004535573E-2</v>
      </c>
      <c r="R137">
        <f>(R64-R63)/R63</f>
        <v>5.1997598720582121E-2</v>
      </c>
      <c r="S137">
        <f>(S64-S63)/S63</f>
        <v>6.776961806706093E-2</v>
      </c>
      <c r="T137">
        <f>(T64-T63)/T63</f>
        <v>5.3853252594077954E-3</v>
      </c>
      <c r="U137">
        <f>(U64-U63)/U63</f>
        <v>2.5706842034831635E-2</v>
      </c>
      <c r="V137">
        <f>(V64-V63)/V63</f>
        <v>2.2063680978520146E-2</v>
      </c>
      <c r="W137">
        <f>(W64-W63)/W63</f>
        <v>4.748276372746902E-2</v>
      </c>
      <c r="X137">
        <f>(X64-X63)/X63</f>
        <v>8.6081602201661805E-3</v>
      </c>
      <c r="Y137">
        <f>(Y64-Y63)/Y63</f>
        <v>2.687085665951254E-2</v>
      </c>
      <c r="Z137">
        <f>(Z64-Z63)/Z63</f>
        <v>5.1869626199764998E-2</v>
      </c>
      <c r="AA137">
        <f>(AA64-AA63)/AA63</f>
        <v>1.4657622138709555E-2</v>
      </c>
    </row>
    <row r="138" spans="1:27" x14ac:dyDescent="0.2">
      <c r="A138">
        <v>2034</v>
      </c>
      <c r="B138">
        <f>(B65-B64)/B64</f>
        <v>1.1737127545530206E-2</v>
      </c>
      <c r="C138">
        <f>(C65-C64)/C64</f>
        <v>1.8564371535013297E-2</v>
      </c>
      <c r="D138">
        <f>(D65-D64)/D64</f>
        <v>3.1856190115797427E-2</v>
      </c>
      <c r="E138">
        <f>(E65-E64)/E64</f>
        <v>3.8478515338496423E-2</v>
      </c>
      <c r="F138">
        <f>(F65-F64)/F64</f>
        <v>2.2593205446201303E-2</v>
      </c>
      <c r="G138">
        <f>(G65-G64)/G64</f>
        <v>2.7133952241524661E-2</v>
      </c>
      <c r="H138">
        <f>(H65-H64)/H64</f>
        <v>5.7630764553401152E-2</v>
      </c>
      <c r="I138">
        <f>(I65-I64)/I64</f>
        <v>4.6230968035270846E-2</v>
      </c>
      <c r="J138">
        <f>(J65-J64)/J64</f>
        <v>3.499471042450697E-2</v>
      </c>
      <c r="K138">
        <f>(K65-K64)/K64</f>
        <v>6.3000622937026442E-3</v>
      </c>
      <c r="L138">
        <f>(L65-L64)/L64</f>
        <v>2.2333796254679395E-2</v>
      </c>
      <c r="M138">
        <f>(M65-M64)/M64</f>
        <v>3.0799470215386836E-2</v>
      </c>
      <c r="N138">
        <f>(N65-N64)/N64</f>
        <v>4.890319942920613E-2</v>
      </c>
      <c r="O138">
        <f>(O65-O64)/O64</f>
        <v>7.7881104213627919E-3</v>
      </c>
      <c r="P138">
        <f>(P65-P64)/P64</f>
        <v>6.7207078048625961E-3</v>
      </c>
      <c r="Q138">
        <f>(Q65-Q64)/Q64</f>
        <v>3.4122928765723697E-2</v>
      </c>
      <c r="R138">
        <f>(R65-R64)/R64</f>
        <v>5.1669366319547251E-2</v>
      </c>
      <c r="S138">
        <f>(S65-S64)/S64</f>
        <v>6.5582068738305244E-2</v>
      </c>
      <c r="T138">
        <f>(T65-T64)/T64</f>
        <v>4.7150620039290185E-3</v>
      </c>
      <c r="U138">
        <f>(U65-U64)/U64</f>
        <v>2.5185179143648945E-2</v>
      </c>
      <c r="V138">
        <f>(V65-V64)/V64</f>
        <v>2.3893743422955464E-2</v>
      </c>
      <c r="W138">
        <f>(W65-W64)/W64</f>
        <v>4.5701594190195781E-2</v>
      </c>
      <c r="X138">
        <f>(X65-X64)/X64</f>
        <v>9.0913383263373053E-3</v>
      </c>
      <c r="Y138">
        <f>(Y65-Y64)/Y64</f>
        <v>2.6061190113407625E-2</v>
      </c>
      <c r="Z138">
        <f>(Z65-Z64)/Z64</f>
        <v>5.0420839694096088E-2</v>
      </c>
      <c r="AA138">
        <f>(AA65-AA64)/AA64</f>
        <v>1.4648159984007035E-2</v>
      </c>
    </row>
    <row r="139" spans="1:27" x14ac:dyDescent="0.2">
      <c r="A139">
        <v>2035</v>
      </c>
      <c r="B139">
        <f>(B66-B65)/B65</f>
        <v>1.2687096532349656E-2</v>
      </c>
      <c r="C139">
        <f>(C66-C65)/C65</f>
        <v>1.9104548335995054E-2</v>
      </c>
      <c r="D139">
        <f>(D66-D65)/D65</f>
        <v>3.3354652101502576E-2</v>
      </c>
      <c r="E139">
        <f>(E66-E65)/E65</f>
        <v>3.7607123529896189E-2</v>
      </c>
      <c r="F139">
        <f>(F66-F65)/F65</f>
        <v>2.1593393727928026E-2</v>
      </c>
      <c r="G139">
        <f>(G66-G65)/G65</f>
        <v>2.7092820740565224E-2</v>
      </c>
      <c r="H139">
        <f>(H66-H65)/H65</f>
        <v>5.6944003739733053E-2</v>
      </c>
      <c r="I139">
        <f>(I66-I65)/I65</f>
        <v>4.6722494703002007E-2</v>
      </c>
      <c r="J139">
        <f>(J66-J65)/J65</f>
        <v>3.5408721545244E-2</v>
      </c>
      <c r="K139">
        <f>(K66-K65)/K65</f>
        <v>6.3000177548928641E-3</v>
      </c>
      <c r="L139">
        <f>(L66-L65)/L65</f>
        <v>2.2233834810016097E-2</v>
      </c>
      <c r="M139">
        <f>(M66-M65)/M65</f>
        <v>3.1312176488479282E-2</v>
      </c>
      <c r="N139">
        <f>(N66-N65)/N65</f>
        <v>4.8574661504578516E-2</v>
      </c>
      <c r="O139">
        <f>(O66-O65)/O65</f>
        <v>9.7829453325072261E-3</v>
      </c>
      <c r="P139">
        <f>(P66-P65)/P65</f>
        <v>6.1783442696413298E-3</v>
      </c>
      <c r="Q139">
        <f>(Q66-Q65)/Q65</f>
        <v>3.385291251299858E-2</v>
      </c>
      <c r="R139">
        <f>(R66-R65)/R65</f>
        <v>5.2218830527553668E-2</v>
      </c>
      <c r="S139">
        <f>(S66-S65)/S65</f>
        <v>6.4056742140735937E-2</v>
      </c>
      <c r="T139">
        <f>(T66-T65)/T65</f>
        <v>4.8058305428113823E-3</v>
      </c>
      <c r="U139">
        <f>(U66-U65)/U65</f>
        <v>2.491671686583001E-2</v>
      </c>
      <c r="V139">
        <f>(V66-V65)/V65</f>
        <v>2.5780418228524418E-2</v>
      </c>
      <c r="W139">
        <f>(W66-W65)/W65</f>
        <v>4.4787380327647952E-2</v>
      </c>
      <c r="X139">
        <f>(X66-X65)/X65</f>
        <v>9.9110889099250036E-3</v>
      </c>
      <c r="Y139">
        <f>(Y66-Y65)/Y65</f>
        <v>2.5758314825096489E-2</v>
      </c>
      <c r="Z139">
        <f>(Z66-Z65)/Z65</f>
        <v>4.9581098534825334E-2</v>
      </c>
      <c r="AA139">
        <f>(AA66-AA65)/AA65</f>
        <v>1.4455534386304229E-2</v>
      </c>
    </row>
    <row r="140" spans="1:27" x14ac:dyDescent="0.2">
      <c r="A140">
        <v>2036</v>
      </c>
      <c r="B140">
        <f>(B67-B66)/B66</f>
        <v>2.2455112723677742E-2</v>
      </c>
      <c r="C140">
        <f>(C67-C66)/C66</f>
        <v>2.4211946379319345E-2</v>
      </c>
      <c r="D140">
        <f>(D67-D66)/D66</f>
        <v>6.0962468627808852E-2</v>
      </c>
      <c r="E140">
        <f>(E67-E66)/E66</f>
        <v>5.3355955512768033E-2</v>
      </c>
      <c r="F140">
        <f>(F67-F66)/F66</f>
        <v>3.1618061775844412E-2</v>
      </c>
      <c r="G140">
        <f>(G67-G66)/G66</f>
        <v>4.0932899701619667E-2</v>
      </c>
      <c r="H140">
        <f>(H67-H66)/H66</f>
        <v>8.7497604060002176E-2</v>
      </c>
      <c r="I140">
        <f>(I67-I66)/I66</f>
        <v>7.5570223602327527E-2</v>
      </c>
      <c r="J140">
        <f>(J67-J66)/J66</f>
        <v>6.2495946372409017E-2</v>
      </c>
      <c r="K140">
        <f>(K67-K66)/K66</f>
        <v>1.2061678717513073E-2</v>
      </c>
      <c r="L140">
        <f>(L67-L66)/L66</f>
        <v>3.6098876086688221E-2</v>
      </c>
      <c r="M140">
        <f>(M67-M66)/M66</f>
        <v>5.3076233491310972E-2</v>
      </c>
      <c r="N140">
        <f>(N67-N66)/N66</f>
        <v>8.2116147412297696E-2</v>
      </c>
      <c r="O140">
        <f>(O67-O66)/O66</f>
        <v>1.8941131924193083E-2</v>
      </c>
      <c r="P140">
        <f>(P67-P66)/P66</f>
        <v>2.2348693545313509E-3</v>
      </c>
      <c r="Q140">
        <f>(Q67-Q66)/Q66</f>
        <v>5.346132933391029E-2</v>
      </c>
      <c r="R140">
        <f>(R67-R66)/R66</f>
        <v>8.7411372855333042E-2</v>
      </c>
      <c r="S140">
        <f>(S67-S66)/S66</f>
        <v>0.10501401053632667</v>
      </c>
      <c r="T140">
        <f>(T67-T66)/T66</f>
        <v>6.9014069948579258E-3</v>
      </c>
      <c r="U140">
        <f>(U67-U66)/U66</f>
        <v>3.8731183446685823E-2</v>
      </c>
      <c r="V140">
        <f>(V67-V66)/V66</f>
        <v>4.633592407020827E-2</v>
      </c>
      <c r="W140">
        <f>(W67-W66)/W66</f>
        <v>6.7145625380534868E-2</v>
      </c>
      <c r="X140">
        <f>(X67-X66)/X66</f>
        <v>1.1972993451828588E-2</v>
      </c>
      <c r="Y140">
        <f>(Y67-Y66)/Y66</f>
        <v>3.6568901706615871E-2</v>
      </c>
      <c r="Z140">
        <f>(Z67-Z66)/Z66</f>
        <v>7.476408892305289E-2</v>
      </c>
      <c r="AA140">
        <f>(AA67-AA66)/AA66</f>
        <v>1.9893868157466237E-2</v>
      </c>
    </row>
    <row r="141" spans="1:27" x14ac:dyDescent="0.2">
      <c r="A141">
        <v>2037</v>
      </c>
      <c r="B141">
        <f>(B68-B67)/B67</f>
        <v>2.4898100422100715E-2</v>
      </c>
      <c r="C141">
        <f>(C68-C67)/C67</f>
        <v>2.2237085481615598E-2</v>
      </c>
      <c r="D141">
        <f>(D68-D67)/D67</f>
        <v>6.362434894528797E-2</v>
      </c>
      <c r="E141">
        <f>(E68-E67)/E67</f>
        <v>5.1106367114672688E-2</v>
      </c>
      <c r="F141">
        <f>(F68-F67)/F67</f>
        <v>2.6915903635886178E-2</v>
      </c>
      <c r="G141">
        <f>(G68-G67)/G67</f>
        <v>3.6996415656702163E-2</v>
      </c>
      <c r="H141">
        <f>(H68-H67)/H67</f>
        <v>9.1442199076968114E-2</v>
      </c>
      <c r="I141">
        <f>(I68-I67)/I67</f>
        <v>7.2536220479988742E-2</v>
      </c>
      <c r="J141">
        <f>(J68-J67)/J67</f>
        <v>6.375869287114079E-2</v>
      </c>
      <c r="K141">
        <f>(K68-K67)/K67</f>
        <v>1.0397188880878353E-2</v>
      </c>
      <c r="L141">
        <f>(L68-L67)/L67</f>
        <v>3.4336194433172852E-2</v>
      </c>
      <c r="M141">
        <f>(M68-M67)/M67</f>
        <v>5.4666330460286475E-2</v>
      </c>
      <c r="N141">
        <f>(N68-N67)/N67</f>
        <v>8.3641672885330962E-2</v>
      </c>
      <c r="O141">
        <f>(O68-O67)/O67</f>
        <v>2.2938743252333468E-2</v>
      </c>
      <c r="P141">
        <f>(P68-P67)/P67</f>
        <v>-7.4743767883244283E-4</v>
      </c>
      <c r="Q141">
        <f>(Q68-Q67)/Q67</f>
        <v>5.2895848676230164E-2</v>
      </c>
      <c r="R141">
        <f>(R68-R67)/R67</f>
        <v>8.7461046610284116E-2</v>
      </c>
      <c r="S141">
        <f>(S68-S67)/S67</f>
        <v>0.10754329171698786</v>
      </c>
      <c r="T141">
        <f>(T68-T67)/T67</f>
        <v>5.0103717601129678E-3</v>
      </c>
      <c r="U141">
        <f>(U68-U67)/U67</f>
        <v>4.0508592357112058E-2</v>
      </c>
      <c r="V141">
        <f>(V68-V67)/V67</f>
        <v>4.8584812616649369E-2</v>
      </c>
      <c r="W141">
        <f>(W68-W67)/W67</f>
        <v>6.2613770134810981E-2</v>
      </c>
      <c r="X141">
        <f>(X68-X67)/X67</f>
        <v>1.147014926596541E-2</v>
      </c>
      <c r="Y141">
        <f>(Y68-Y67)/Y67</f>
        <v>3.3710015032221645E-2</v>
      </c>
      <c r="Z141">
        <f>(Z68-Z67)/Z67</f>
        <v>7.8642507656335334E-2</v>
      </c>
      <c r="AA141">
        <f>(AA68-AA67)/AA67</f>
        <v>1.7785676635111117E-2</v>
      </c>
    </row>
    <row r="142" spans="1:27" x14ac:dyDescent="0.2">
      <c r="A142">
        <v>2038</v>
      </c>
      <c r="B142">
        <f>(B69-B68)/B68</f>
        <v>2.7629231291092595E-2</v>
      </c>
      <c r="C142">
        <f>(C69-C68)/C68</f>
        <v>2.0671634997269837E-2</v>
      </c>
      <c r="D142">
        <f>(D69-D68)/D68</f>
        <v>6.6117797694565092E-2</v>
      </c>
      <c r="E142">
        <f>(E69-E68)/E68</f>
        <v>5.0365276769355788E-2</v>
      </c>
      <c r="F142">
        <f>(F69-F68)/F68</f>
        <v>2.3190678413000165E-2</v>
      </c>
      <c r="G142">
        <f>(G69-G68)/G68</f>
        <v>3.4275114631787486E-2</v>
      </c>
      <c r="H142">
        <f>(H69-H68)/H68</f>
        <v>9.5967609179651345E-2</v>
      </c>
      <c r="I142">
        <f>(I69-I68)/I68</f>
        <v>6.9865967720579764E-2</v>
      </c>
      <c r="J142">
        <f>(J69-J68)/J68</f>
        <v>6.5161788328344461E-2</v>
      </c>
      <c r="K142">
        <f>(K69-K68)/K68</f>
        <v>9.276030119495007E-3</v>
      </c>
      <c r="L142">
        <f>(L69-L68)/L68</f>
        <v>3.3106610580613122E-2</v>
      </c>
      <c r="M142">
        <f>(M69-M68)/M68</f>
        <v>5.6455591287602219E-2</v>
      </c>
      <c r="N142">
        <f>(N69-N68)/N68</f>
        <v>8.5149591062379765E-2</v>
      </c>
      <c r="O142">
        <f>(O69-O68)/O68</f>
        <v>2.7455672529322454E-2</v>
      </c>
      <c r="P142">
        <f>(P69-P68)/P68</f>
        <v>8.1790456284869159E-6</v>
      </c>
      <c r="Q142">
        <f>(Q69-Q68)/Q68</f>
        <v>5.292854242234387E-2</v>
      </c>
      <c r="R142">
        <f>(R69-R68)/R68</f>
        <v>8.7903775984720656E-2</v>
      </c>
      <c r="S142">
        <f>(S69-S68)/S68</f>
        <v>0.11072931154062937</v>
      </c>
      <c r="T142">
        <f>(T69-T68)/T68</f>
        <v>3.8293425456263352E-3</v>
      </c>
      <c r="U142">
        <f>(U69-U68)/U68</f>
        <v>4.2493941027467667E-2</v>
      </c>
      <c r="V142">
        <f>(V69-V68)/V68</f>
        <v>5.0805608218308311E-2</v>
      </c>
      <c r="W142">
        <f>(W69-W68)/W68</f>
        <v>5.8966523640734042E-2</v>
      </c>
      <c r="X142">
        <f>(X69-X68)/X68</f>
        <v>1.1027202271723751E-2</v>
      </c>
      <c r="Y142">
        <f>(Y69-Y68)/Y68</f>
        <v>3.1276433837433497E-2</v>
      </c>
      <c r="Z142">
        <f>(Z69-Z68)/Z68</f>
        <v>8.3608290160056969E-2</v>
      </c>
      <c r="AA142">
        <f>(AA69-AA68)/AA68</f>
        <v>1.6212500491933513E-2</v>
      </c>
    </row>
    <row r="143" spans="1:27" x14ac:dyDescent="0.2">
      <c r="A143">
        <v>2039</v>
      </c>
      <c r="B143">
        <f>(B70-B69)/B69</f>
        <v>3.019010472838711E-2</v>
      </c>
      <c r="C143">
        <f>(C70-C69)/C69</f>
        <v>1.9088572756809693E-2</v>
      </c>
      <c r="D143">
        <f>(D70-D69)/D69</f>
        <v>6.7945833733446565E-2</v>
      </c>
      <c r="E143">
        <f>(E70-E69)/E69</f>
        <v>5.0036045248979609E-2</v>
      </c>
      <c r="F143">
        <f>(F70-F69)/F69</f>
        <v>1.9903049993707504E-2</v>
      </c>
      <c r="G143">
        <f>(G70-G69)/G69</f>
        <v>3.1780317362100581E-2</v>
      </c>
      <c r="H143">
        <f>(H70-H69)/H69</f>
        <v>0.10061216155303571</v>
      </c>
      <c r="I143">
        <f>(I70-I69)/I69</f>
        <v>6.7213831223111267E-2</v>
      </c>
      <c r="J143">
        <f>(J70-J69)/J69</f>
        <v>6.6375302944756756E-2</v>
      </c>
      <c r="K143">
        <f>(K70-K69)/K69</f>
        <v>8.3583033956213734E-3</v>
      </c>
      <c r="L143">
        <f>(L70-L69)/L69</f>
        <v>3.1847066849184022E-2</v>
      </c>
      <c r="M143">
        <f>(M70-M69)/M69</f>
        <v>5.7488722836989935E-2</v>
      </c>
      <c r="N143">
        <f>(N70-N69)/N69</f>
        <v>8.6360375429489322E-2</v>
      </c>
      <c r="O143">
        <f>(O70-O69)/O69</f>
        <v>3.1707216840260927E-2</v>
      </c>
      <c r="P143">
        <f>(P70-P69)/P69</f>
        <v>5.9595982910884231E-4</v>
      </c>
      <c r="Q143">
        <f>(Q70-Q69)/Q69</f>
        <v>5.3067757219304977E-2</v>
      </c>
      <c r="R143">
        <f>(R70-R69)/R69</f>
        <v>8.8182744716010467E-2</v>
      </c>
      <c r="S143">
        <f>(S70-S69)/S69</f>
        <v>0.11322755856639302</v>
      </c>
      <c r="T143">
        <f>(T70-T69)/T69</f>
        <v>2.8223413994334654E-3</v>
      </c>
      <c r="U143">
        <f>(U70-U69)/U69</f>
        <v>4.419414198660325E-2</v>
      </c>
      <c r="V143">
        <f>(V70-V69)/V69</f>
        <v>5.2419378720486035E-2</v>
      </c>
      <c r="W143">
        <f>(W70-W69)/W69</f>
        <v>5.5559861666293939E-2</v>
      </c>
      <c r="X143">
        <f>(X70-X69)/X69</f>
        <v>1.0457537980660788E-2</v>
      </c>
      <c r="Y143">
        <f>(Y70-Y69)/Y69</f>
        <v>2.9183494862888258E-2</v>
      </c>
      <c r="Z143">
        <f>(Z70-Z69)/Z69</f>
        <v>8.8603948876289626E-2</v>
      </c>
      <c r="AA143">
        <f>(AA70-AA69)/AA69</f>
        <v>1.4810390068482769E-2</v>
      </c>
    </row>
    <row r="144" spans="1:27" x14ac:dyDescent="0.2">
      <c r="A144">
        <v>2040</v>
      </c>
      <c r="B144">
        <f>(B71-B70)/B70</f>
        <v>3.2611748439827448E-2</v>
      </c>
      <c r="C144">
        <f>(C71-C70)/C70</f>
        <v>1.7520690627825384E-2</v>
      </c>
      <c r="D144">
        <f>(D71-D70)/D70</f>
        <v>6.8919294017070587E-2</v>
      </c>
      <c r="E144">
        <f>(E71-E70)/E70</f>
        <v>4.893929571918125E-2</v>
      </c>
      <c r="F144">
        <f>(F71-F70)/F70</f>
        <v>1.6877287652908E-2</v>
      </c>
      <c r="G144">
        <f>(G71-G70)/G70</f>
        <v>2.9491146314830477E-2</v>
      </c>
      <c r="H144">
        <f>(H71-H70)/H70</f>
        <v>0.10501380017777545</v>
      </c>
      <c r="I144">
        <f>(I71-I70)/I70</f>
        <v>6.4277838675416338E-2</v>
      </c>
      <c r="J144">
        <f>(J71-J70)/J70</f>
        <v>6.657089504595802E-2</v>
      </c>
      <c r="K144">
        <f>(K71-K70)/K70</f>
        <v>7.2824904680893442E-3</v>
      </c>
      <c r="L144">
        <f>(L71-L70)/L70</f>
        <v>3.0328328963262863E-2</v>
      </c>
      <c r="M144">
        <f>(M71-M70)/M70</f>
        <v>5.8046334127742932E-2</v>
      </c>
      <c r="N144">
        <f>(N71-N70)/N70</f>
        <v>8.6873268579588422E-2</v>
      </c>
      <c r="O144">
        <f>(O71-O70)/O70</f>
        <v>3.4547991126479334E-2</v>
      </c>
      <c r="P144">
        <f>(P71-P70)/P70</f>
        <v>9.3285793561798558E-4</v>
      </c>
      <c r="Q144">
        <f>(Q71-Q70)/Q70</f>
        <v>5.2702304295768727E-2</v>
      </c>
      <c r="R144">
        <f>(R71-R70)/R70</f>
        <v>8.7605899523216554E-2</v>
      </c>
      <c r="S144">
        <f>(S71-S70)/S70</f>
        <v>0.11495194154256913</v>
      </c>
      <c r="T144">
        <f>(T71-T70)/T70</f>
        <v>1.4547700079027988E-3</v>
      </c>
      <c r="U144">
        <f>(U71-U70)/U70</f>
        <v>4.5489033922089861E-2</v>
      </c>
      <c r="V144">
        <f>(V71-V70)/V70</f>
        <v>5.319110124967541E-2</v>
      </c>
      <c r="W144">
        <f>(W71-W70)/W70</f>
        <v>5.2177630537351485E-2</v>
      </c>
      <c r="X144">
        <f>(X71-X70)/X70</f>
        <v>9.8075511647238052E-3</v>
      </c>
      <c r="Y144">
        <f>(Y71-Y70)/Y70</f>
        <v>2.6855600794164641E-2</v>
      </c>
      <c r="Z144">
        <f>(Z71-Z70)/Z70</f>
        <v>9.3054785780603153E-2</v>
      </c>
      <c r="AA144">
        <f>(AA71-AA70)/AA70</f>
        <v>1.3617372499392143E-2</v>
      </c>
    </row>
    <row r="145" spans="1:27" x14ac:dyDescent="0.2">
      <c r="A145">
        <v>2041</v>
      </c>
      <c r="B145">
        <f>(B72-B71)/B71</f>
        <v>3.459624440196276E-2</v>
      </c>
      <c r="C145">
        <f>(C72-C71)/C71</f>
        <v>1.5902174954063032E-2</v>
      </c>
      <c r="D145">
        <f>(D72-D71)/D71</f>
        <v>6.8298357296408554E-2</v>
      </c>
      <c r="E145">
        <f>(E72-E71)/E71</f>
        <v>4.7515176261042361E-2</v>
      </c>
      <c r="F145">
        <f>(F72-F71)/F71</f>
        <v>1.4389502480793868E-2</v>
      </c>
      <c r="G145">
        <f>(G72-G71)/G71</f>
        <v>2.656908357748711E-2</v>
      </c>
      <c r="H145">
        <f>(H72-H71)/H71</f>
        <v>0.1132551060568629</v>
      </c>
      <c r="I145">
        <f>(I72-I71)/I71</f>
        <v>5.9933556954036259E-2</v>
      </c>
      <c r="J145">
        <f>(J72-J71)/J71</f>
        <v>6.5305867087265795E-2</v>
      </c>
      <c r="K145">
        <f>(K72-K71)/K71</f>
        <v>6.4063175138085382E-3</v>
      </c>
      <c r="L145">
        <f>(L72-L71)/L71</f>
        <v>2.7625236011098814E-2</v>
      </c>
      <c r="M145">
        <f>(M72-M71)/M71</f>
        <v>5.7210859799264338E-2</v>
      </c>
      <c r="N145">
        <f>(N72-N71)/N71</f>
        <v>8.6210392260404514E-2</v>
      </c>
      <c r="O145">
        <f>(O72-O71)/O71</f>
        <v>3.6555365089147591E-2</v>
      </c>
      <c r="P145">
        <f>(P72-P71)/P71</f>
        <v>1.2419463900887366E-3</v>
      </c>
      <c r="Q145">
        <f>(Q72-Q71)/Q71</f>
        <v>5.1441824299959471E-2</v>
      </c>
      <c r="R145">
        <f>(R72-R71)/R71</f>
        <v>8.6135615849576949E-2</v>
      </c>
      <c r="S145">
        <f>(S72-S71)/S71</f>
        <v>0.11766896893038704</v>
      </c>
      <c r="T145">
        <f>(T72-T71)/T71</f>
        <v>8.1212187553469451E-4</v>
      </c>
      <c r="U145">
        <f>(U72-U71)/U71</f>
        <v>4.6031334213643554E-2</v>
      </c>
      <c r="V145">
        <f>(V72-V71)/V71</f>
        <v>5.2495937681687831E-2</v>
      </c>
      <c r="W145">
        <f>(W72-W71)/W71</f>
        <v>4.786334410208893E-2</v>
      </c>
      <c r="X145">
        <f>(X72-X71)/X71</f>
        <v>9.0979768740541804E-3</v>
      </c>
      <c r="Y145">
        <f>(Y72-Y71)/Y71</f>
        <v>2.3791041897802078E-2</v>
      </c>
      <c r="Z145">
        <f>(Z72-Z71)/Z71</f>
        <v>0.10115678583026406</v>
      </c>
      <c r="AA145">
        <f>(AA72-AA71)/AA71</f>
        <v>1.2824491738422959E-2</v>
      </c>
    </row>
    <row r="146" spans="1:27" x14ac:dyDescent="0.2">
      <c r="A146">
        <v>2042</v>
      </c>
      <c r="B146">
        <f>(B73-B72)/B72</f>
        <v>3.6248521289779449E-2</v>
      </c>
      <c r="C146">
        <f>(C73-C72)/C72</f>
        <v>1.440104985601987E-2</v>
      </c>
      <c r="D146">
        <f>(D73-D72)/D72</f>
        <v>6.7315568707338777E-2</v>
      </c>
      <c r="E146">
        <f>(E73-E72)/E72</f>
        <v>4.5603221402483109E-2</v>
      </c>
      <c r="F146">
        <f>(F73-F72)/F72</f>
        <v>1.1255438221470791E-2</v>
      </c>
      <c r="G146">
        <f>(G73-G72)/G72</f>
        <v>2.4138150726049402E-2</v>
      </c>
      <c r="H146">
        <f>(H73-H72)/H72</f>
        <v>0.11607621353309255</v>
      </c>
      <c r="I146">
        <f>(I73-I72)/I72</f>
        <v>5.569701754592777E-2</v>
      </c>
      <c r="J146">
        <f>(J73-J72)/J72</f>
        <v>6.3578965032682178E-2</v>
      </c>
      <c r="K146">
        <f>(K73-K72)/K72</f>
        <v>4.9793485477219266E-3</v>
      </c>
      <c r="L146">
        <f>(L73-L72)/L72</f>
        <v>2.5585600736982426E-2</v>
      </c>
      <c r="M146">
        <f>(M73-M72)/M72</f>
        <v>5.5926655302156285E-2</v>
      </c>
      <c r="N146">
        <f>(N73-N72)/N72</f>
        <v>8.4999570010463765E-2</v>
      </c>
      <c r="O146">
        <f>(O73-O72)/O72</f>
        <v>3.7624379201874766E-2</v>
      </c>
      <c r="P146">
        <f>(P73-P72)/P72</f>
        <v>1.3546351473328326E-3</v>
      </c>
      <c r="Q146">
        <f>(Q73-Q72)/Q72</f>
        <v>5.0336070320747626E-2</v>
      </c>
      <c r="R146">
        <f>(R73-R72)/R72</f>
        <v>8.3617866617746131E-2</v>
      </c>
      <c r="S146">
        <f>(S73-S72)/S72</f>
        <v>0.11715306249921542</v>
      </c>
      <c r="T146">
        <f>(T73-T72)/T72</f>
        <v>-7.3471278854876881E-4</v>
      </c>
      <c r="U146">
        <f>(U73-U72)/U72</f>
        <v>4.489026593136012E-2</v>
      </c>
      <c r="V146">
        <f>(V73-V72)/V72</f>
        <v>5.1299562725914363E-2</v>
      </c>
      <c r="W146">
        <f>(W73-W72)/W72</f>
        <v>4.4125941000598259E-2</v>
      </c>
      <c r="X146">
        <f>(X73-X72)/X72</f>
        <v>8.4968677744050973E-3</v>
      </c>
      <c r="Y146">
        <f>(Y73-Y72)/Y72</f>
        <v>2.0936639748425877E-2</v>
      </c>
      <c r="Z146">
        <f>(Z73-Z72)/Z72</f>
        <v>0.10383461260592144</v>
      </c>
      <c r="AA146">
        <f>(AA73-AA72)/AA72</f>
        <v>1.153310477631434E-2</v>
      </c>
    </row>
    <row r="147" spans="1:27" x14ac:dyDescent="0.2">
      <c r="A147">
        <v>2043</v>
      </c>
      <c r="B147">
        <f>(B74-B73)/B73</f>
        <v>3.7759937550295219E-2</v>
      </c>
      <c r="C147">
        <f>(C74-C73)/C73</f>
        <v>1.3064405199413733E-2</v>
      </c>
      <c r="D147">
        <f>(D74-D73)/D73</f>
        <v>6.627714085554598E-2</v>
      </c>
      <c r="E147">
        <f>(E74-E73)/E73</f>
        <v>4.4003796731481547E-2</v>
      </c>
      <c r="F147">
        <f>(F74-F73)/F73</f>
        <v>8.5825145373704739E-3</v>
      </c>
      <c r="G147">
        <f>(G74-G73)/G73</f>
        <v>2.2137093284113459E-2</v>
      </c>
      <c r="H147">
        <f>(H74-H73)/H73</f>
        <v>0.11837231694630752</v>
      </c>
      <c r="I147">
        <f>(I74-I73)/I73</f>
        <v>5.1939822425924043E-2</v>
      </c>
      <c r="J147">
        <f>(J74-J73)/J73</f>
        <v>6.1893272222145003E-2</v>
      </c>
      <c r="K147">
        <f>(K74-K73)/K73</f>
        <v>3.6634784124249015E-3</v>
      </c>
      <c r="L147">
        <f>(L74-L73)/L73</f>
        <v>2.3853376906956957E-2</v>
      </c>
      <c r="M147">
        <f>(M74-M73)/M73</f>
        <v>5.4229823892095005E-2</v>
      </c>
      <c r="N147">
        <f>(N74-N73)/N73</f>
        <v>8.3822118780216157E-2</v>
      </c>
      <c r="O147">
        <f>(O74-O73)/O73</f>
        <v>3.8587189801911878E-2</v>
      </c>
      <c r="P147">
        <f>(P74-P73)/P73</f>
        <v>1.512596541967305E-3</v>
      </c>
      <c r="Q147">
        <f>(Q74-Q73)/Q73</f>
        <v>4.9387747336751296E-2</v>
      </c>
      <c r="R147">
        <f>(R74-R73)/R73</f>
        <v>8.1356703820607154E-2</v>
      </c>
      <c r="S147">
        <f>(S74-S73)/S73</f>
        <v>0.11654656261798836</v>
      </c>
      <c r="T147">
        <f>(T74-T73)/T73</f>
        <v>-2.071014517547042E-3</v>
      </c>
      <c r="U147">
        <f>(U74-U73)/U73</f>
        <v>4.443501398952817E-2</v>
      </c>
      <c r="V147">
        <f>(V74-V73)/V73</f>
        <v>4.9970978236354935E-2</v>
      </c>
      <c r="W147">
        <f>(W74-W73)/W73</f>
        <v>4.0661972375866724E-2</v>
      </c>
      <c r="X147">
        <f>(X74-X73)/X73</f>
        <v>8.0442061000414091E-3</v>
      </c>
      <c r="Y147">
        <f>(Y74-Y73)/Y73</f>
        <v>1.834451146416264E-2</v>
      </c>
      <c r="Z147">
        <f>(Z74-Z73)/Z73</f>
        <v>0.10642391820315726</v>
      </c>
      <c r="AA147">
        <f>(AA74-AA73)/AA73</f>
        <v>1.0439463750309049E-2</v>
      </c>
    </row>
    <row r="148" spans="1:27" x14ac:dyDescent="0.2">
      <c r="A148">
        <v>2044</v>
      </c>
      <c r="B148">
        <f>(B75-B74)/B74</f>
        <v>3.9278339211683604E-2</v>
      </c>
      <c r="C148">
        <f>(C75-C74)/C74</f>
        <v>1.1903207513342937E-2</v>
      </c>
      <c r="D148">
        <f>(D75-D74)/D74</f>
        <v>6.5026627452334881E-2</v>
      </c>
      <c r="E148">
        <f>(E75-E74)/E74</f>
        <v>4.2569196318616997E-2</v>
      </c>
      <c r="F148">
        <f>(F75-F74)/F74</f>
        <v>6.0041496789859207E-3</v>
      </c>
      <c r="G148">
        <f>(G75-G74)/G74</f>
        <v>2.0605924745431908E-2</v>
      </c>
      <c r="H148">
        <f>(H75-H74)/H74</f>
        <v>0.12007248589115962</v>
      </c>
      <c r="I148">
        <f>(I75-I74)/I74</f>
        <v>4.8530103021212828E-2</v>
      </c>
      <c r="J148">
        <f>(J75-J74)/J74</f>
        <v>6.0286262458060659E-2</v>
      </c>
      <c r="K148">
        <f>(K75-K74)/K74</f>
        <v>2.4943403923382936E-3</v>
      </c>
      <c r="L148">
        <f>(L75-L74)/L74</f>
        <v>2.2031621147077914E-2</v>
      </c>
      <c r="M148">
        <f>(M75-M74)/M74</f>
        <v>5.1940556389432763E-2</v>
      </c>
      <c r="N148">
        <f>(N75-N74)/N74</f>
        <v>8.2602245863121398E-2</v>
      </c>
      <c r="O148">
        <f>(O75-O74)/O74</f>
        <v>3.9306261793840294E-2</v>
      </c>
      <c r="P148">
        <f>(P75-P74)/P74</f>
        <v>1.7514054178920774E-3</v>
      </c>
      <c r="Q148">
        <f>(Q75-Q74)/Q74</f>
        <v>4.8432201819724151E-2</v>
      </c>
      <c r="R148">
        <f>(R75-R74)/R74</f>
        <v>7.923270797302745E-2</v>
      </c>
      <c r="S148">
        <f>(S75-S74)/S74</f>
        <v>0.11579060155621843</v>
      </c>
      <c r="T148">
        <f>(T75-T74)/T74</f>
        <v>-3.2182266724939132E-3</v>
      </c>
      <c r="U148">
        <f>(U75-U74)/U74</f>
        <v>4.4008523590474635E-2</v>
      </c>
      <c r="V148">
        <f>(V75-V74)/V74</f>
        <v>4.8561025941160796E-2</v>
      </c>
      <c r="W148">
        <f>(W75-W74)/W74</f>
        <v>3.7530999708596822E-2</v>
      </c>
      <c r="X148">
        <f>(X75-X74)/X74</f>
        <v>7.7509303571856444E-3</v>
      </c>
      <c r="Y148">
        <f>(Y75-Y74)/Y74</f>
        <v>1.5983447555050104E-2</v>
      </c>
      <c r="Z148">
        <f>(Z75-Z74)/Z74</f>
        <v>0.10890097862761412</v>
      </c>
      <c r="AA148">
        <f>(AA75-AA74)/AA74</f>
        <v>9.4570220836674608E-3</v>
      </c>
    </row>
    <row r="149" spans="1:27" x14ac:dyDescent="0.2">
      <c r="A149">
        <v>2045</v>
      </c>
      <c r="B149">
        <f>(B76-B75)/B75</f>
        <v>4.0469279671812929E-2</v>
      </c>
      <c r="C149">
        <f>(C76-C75)/C75</f>
        <v>1.0882908735918561E-2</v>
      </c>
      <c r="D149">
        <f>(D76-D75)/D75</f>
        <v>6.3600101118415547E-2</v>
      </c>
      <c r="E149">
        <f>(E76-E75)/E75</f>
        <v>4.1243396714323879E-2</v>
      </c>
      <c r="F149">
        <f>(F76-F75)/F75</f>
        <v>3.5558756495594449E-3</v>
      </c>
      <c r="G149">
        <f>(G76-G75)/G75</f>
        <v>1.9209407143968255E-2</v>
      </c>
      <c r="H149">
        <f>(H76-H75)/H75</f>
        <v>0.12151052598807187</v>
      </c>
      <c r="I149">
        <f>(I76-I75)/I75</f>
        <v>4.545114456124924E-2</v>
      </c>
      <c r="J149">
        <f>(J76-J75)/J75</f>
        <v>5.8769172049084176E-2</v>
      </c>
      <c r="K149">
        <f>(K76-K75)/K75</f>
        <v>1.3637915753730487E-3</v>
      </c>
      <c r="L149">
        <f>(L76-L75)/L75</f>
        <v>2.0210895978437764E-2</v>
      </c>
      <c r="M149">
        <f>(M76-M75)/M75</f>
        <v>4.9161434475340111E-2</v>
      </c>
      <c r="N149">
        <f>(N76-N75)/N75</f>
        <v>8.13528482324717E-2</v>
      </c>
      <c r="O149">
        <f>(O76-O75)/O75</f>
        <v>3.9894001783445841E-2</v>
      </c>
      <c r="P149">
        <f>(P76-P75)/P75</f>
        <v>1.9649671927787229E-3</v>
      </c>
      <c r="Q149">
        <f>(Q76-Q75)/Q75</f>
        <v>4.7540021678356921E-2</v>
      </c>
      <c r="R149">
        <f>(R76-R75)/R75</f>
        <v>7.7243274137809792E-2</v>
      </c>
      <c r="S149">
        <f>(S76-S75)/S75</f>
        <v>0.11493010198830393</v>
      </c>
      <c r="T149">
        <f>(T76-T75)/T75</f>
        <v>-4.2361395566466549E-3</v>
      </c>
      <c r="U149">
        <f>(U76-U75)/U75</f>
        <v>4.3417625435483026E-2</v>
      </c>
      <c r="V149">
        <f>(V76-V75)/V75</f>
        <v>4.7037307334696327E-2</v>
      </c>
      <c r="W149">
        <f>(W76-W75)/W75</f>
        <v>3.45393153157071E-2</v>
      </c>
      <c r="X149">
        <f>(X76-X75)/X75</f>
        <v>7.5580268862516899E-3</v>
      </c>
      <c r="Y149">
        <f>(Y76-Y75)/Y75</f>
        <v>1.3798556583127293E-2</v>
      </c>
      <c r="Z149">
        <f>(Z76-Z75)/Z75</f>
        <v>0.11124904566365197</v>
      </c>
      <c r="AA149">
        <f>(AA76-AA75)/AA75</f>
        <v>8.4555183557549259E-3</v>
      </c>
    </row>
    <row r="150" spans="1:27" x14ac:dyDescent="0.2">
      <c r="A150">
        <v>2046</v>
      </c>
      <c r="B150">
        <f>(B77-B76)/B76</f>
        <v>4.0659315075533137E-2</v>
      </c>
      <c r="C150">
        <f>(C77-C76)/C76</f>
        <v>9.903000356768615E-3</v>
      </c>
      <c r="D150">
        <f>(D77-D76)/D76</f>
        <v>6.0834730535164847E-2</v>
      </c>
      <c r="E150">
        <f>(E77-E76)/E76</f>
        <v>3.8894873778397336E-2</v>
      </c>
      <c r="F150">
        <f>(F77-F76)/F76</f>
        <v>1.5499199435771041E-3</v>
      </c>
      <c r="G150">
        <f>(G77-G76)/G76</f>
        <v>1.652995958239507E-2</v>
      </c>
      <c r="H150">
        <f>(H77-H76)/H76</f>
        <v>0.12491365583174967</v>
      </c>
      <c r="I150">
        <f>(I77-I76)/I76</f>
        <v>4.121610047216432E-2</v>
      </c>
      <c r="J150">
        <f>(J77-J76)/J76</f>
        <v>5.6133889506829418E-2</v>
      </c>
      <c r="K150">
        <f>(K77-K76)/K76</f>
        <v>5.2787696441913715E-4</v>
      </c>
      <c r="L150">
        <f>(L77-L76)/L76</f>
        <v>1.786708297161441E-2</v>
      </c>
      <c r="M150">
        <f>(M77-M76)/M76</f>
        <v>4.4952508673085353E-2</v>
      </c>
      <c r="N150">
        <f>(N77-N76)/N76</f>
        <v>7.8846771947942026E-2</v>
      </c>
      <c r="O150">
        <f>(O77-O76)/O76</f>
        <v>3.9522475830982388E-2</v>
      </c>
      <c r="P150">
        <f>(P77-P76)/P76</f>
        <v>2.1282879500314393E-3</v>
      </c>
      <c r="Q150">
        <f>(Q77-Q76)/Q76</f>
        <v>4.5717290811743902E-2</v>
      </c>
      <c r="R150">
        <f>(R77-R76)/R76</f>
        <v>7.4566639701563533E-2</v>
      </c>
      <c r="S150">
        <f>(S77-S76)/S76</f>
        <v>0.1144358283573404</v>
      </c>
      <c r="T150">
        <f>(T77-T76)/T76</f>
        <v>-5.0268084299679083E-3</v>
      </c>
      <c r="U150">
        <f>(U77-U76)/U76</f>
        <v>4.2264707968144112E-2</v>
      </c>
      <c r="V150">
        <f>(V77-V76)/V76</f>
        <v>4.4281739929766681E-2</v>
      </c>
      <c r="W150">
        <f>(W77-W76)/W76</f>
        <v>3.0566472822911271E-2</v>
      </c>
      <c r="X150">
        <f>(X77-X76)/X76</f>
        <v>7.2242678449765362E-3</v>
      </c>
      <c r="Y150">
        <f>(Y77-Y76)/Y76</f>
        <v>1.1315584274423231E-2</v>
      </c>
      <c r="Z150">
        <f>(Z77-Z76)/Z76</f>
        <v>0.1158907721664395</v>
      </c>
      <c r="AA150">
        <f>(AA77-AA76)/AA76</f>
        <v>7.5262751540282292E-3</v>
      </c>
    </row>
    <row r="151" spans="1:27" x14ac:dyDescent="0.2">
      <c r="A151">
        <v>2047</v>
      </c>
      <c r="B151">
        <f>(B78-B77)/B77</f>
        <v>4.1064829747794802E-2</v>
      </c>
      <c r="C151">
        <f>(C78-C77)/C77</f>
        <v>8.9605717215179414E-3</v>
      </c>
      <c r="D151">
        <f>(D78-D77)/D77</f>
        <v>5.9205306036760809E-2</v>
      </c>
      <c r="E151">
        <f>(E78-E77)/E77</f>
        <v>3.7452189121878282E-2</v>
      </c>
      <c r="F151">
        <f>(F78-F77)/F77</f>
        <v>-6.0232612343342129E-4</v>
      </c>
      <c r="G151">
        <f>(G78-G77)/G77</f>
        <v>1.5285724052285557E-2</v>
      </c>
      <c r="H151">
        <f>(H78-H77)/H77</f>
        <v>0.12546882526586475</v>
      </c>
      <c r="I151">
        <f>(I78-I77)/I77</f>
        <v>3.8744054733508733E-2</v>
      </c>
      <c r="J151">
        <f>(J78-J77)/J77</f>
        <v>5.4916302190942567E-2</v>
      </c>
      <c r="K151">
        <f>(K78-K77)/K77</f>
        <v>-5.0892131112077494E-4</v>
      </c>
      <c r="L151">
        <f>(L78-L77)/L77</f>
        <v>1.6063665187021743E-2</v>
      </c>
      <c r="M151">
        <f>(M78-M77)/M77</f>
        <v>4.1437015481442248E-2</v>
      </c>
      <c r="N151">
        <f>(N78-N77)/N77</f>
        <v>7.7548841405351551E-2</v>
      </c>
      <c r="O151">
        <f>(O78-O77)/O77</f>
        <v>4.0099256544275416E-2</v>
      </c>
      <c r="P151">
        <f>(P78-P77)/P77</f>
        <v>2.2318477868282401E-3</v>
      </c>
      <c r="Q151">
        <f>(Q78-Q77)/Q77</f>
        <v>4.4797721639249256E-2</v>
      </c>
      <c r="R151">
        <f>(R78-R77)/R77</f>
        <v>7.2848210377523565E-2</v>
      </c>
      <c r="S151">
        <f>(S78-S77)/S77</f>
        <v>0.11352406815477384</v>
      </c>
      <c r="T151">
        <f>(T78-T77)/T77</f>
        <v>-5.9314551662953277E-3</v>
      </c>
      <c r="U151">
        <f>(U78-U77)/U77</f>
        <v>4.1458302674895815E-2</v>
      </c>
      <c r="V151">
        <f>(V78-V77)/V77</f>
        <v>4.2769686142813644E-2</v>
      </c>
      <c r="W151">
        <f>(W78-W77)/W77</f>
        <v>2.7859769200888462E-2</v>
      </c>
      <c r="X151">
        <f>(X78-X77)/X77</f>
        <v>7.5020412548822994E-3</v>
      </c>
      <c r="Y151">
        <f>(Y78-Y77)/Y77</f>
        <v>9.1659321933819926E-3</v>
      </c>
      <c r="Z151">
        <f>(Z78-Z77)/Z77</f>
        <v>0.11772465142876197</v>
      </c>
      <c r="AA151">
        <f>(AA78-AA77)/AA77</f>
        <v>6.3809993882375489E-3</v>
      </c>
    </row>
    <row r="152" spans="1:27" x14ac:dyDescent="0.2">
      <c r="A152">
        <v>2048</v>
      </c>
      <c r="B152">
        <f>(B79-B78)/B78</f>
        <v>4.1155420864247012E-2</v>
      </c>
      <c r="C152">
        <f>(C79-C78)/C78</f>
        <v>8.1991783734914614E-3</v>
      </c>
      <c r="D152">
        <f>(D79-D78)/D78</f>
        <v>5.7424816489162443E-2</v>
      </c>
      <c r="E152">
        <f>(E79-E78)/E78</f>
        <v>3.5694759043338721E-2</v>
      </c>
      <c r="F152">
        <f>(F79-F78)/F78</f>
        <v>-2.6128962617633297E-3</v>
      </c>
      <c r="G152">
        <f>(G79-G78)/G78</f>
        <v>1.3664671785976898E-2</v>
      </c>
      <c r="H152">
        <f>(H79-H78)/H78</f>
        <v>0.12589156224870585</v>
      </c>
      <c r="I152">
        <f>(I79-I78)/I78</f>
        <v>3.6505652712437532E-2</v>
      </c>
      <c r="J152">
        <f>(J79-J78)/J78</f>
        <v>5.39410460609877E-2</v>
      </c>
      <c r="K152">
        <f>(K79-K78)/K78</f>
        <v>-1.585034460622053E-3</v>
      </c>
      <c r="L152">
        <f>(L79-L78)/L78</f>
        <v>1.4220212703171205E-2</v>
      </c>
      <c r="M152">
        <f>(M79-M78)/M78</f>
        <v>3.7928656892798403E-2</v>
      </c>
      <c r="N152">
        <f>(N79-N78)/N78</f>
        <v>7.6179902921616957E-2</v>
      </c>
      <c r="O152">
        <f>(O79-O78)/O78</f>
        <v>4.05704561172553E-2</v>
      </c>
      <c r="P152">
        <f>(P79-P78)/P78</f>
        <v>2.3610296155027032E-3</v>
      </c>
      <c r="Q152">
        <f>(Q79-Q78)/Q78</f>
        <v>4.3878435804707634E-2</v>
      </c>
      <c r="R152">
        <f>(R79-R78)/R78</f>
        <v>7.1067820882161389E-2</v>
      </c>
      <c r="S152">
        <f>(S79-S78)/S78</f>
        <v>0.11214359214483383</v>
      </c>
      <c r="T152">
        <f>(T79-T78)/T78</f>
        <v>-6.8561378398295167E-3</v>
      </c>
      <c r="U152">
        <f>(U79-U78)/U78</f>
        <v>4.0829013580614651E-2</v>
      </c>
      <c r="V152">
        <f>(V79-V78)/V78</f>
        <v>4.1195718060592808E-2</v>
      </c>
      <c r="W152">
        <f>(W79-W78)/W78</f>
        <v>2.5229859380747562E-2</v>
      </c>
      <c r="X152">
        <f>(X79-X78)/X78</f>
        <v>7.9360738454555373E-3</v>
      </c>
      <c r="Y152">
        <f>(Y79-Y78)/Y78</f>
        <v>7.1272581475834628E-3</v>
      </c>
      <c r="Z152">
        <f>(Z79-Z78)/Z78</f>
        <v>0.11913839261569435</v>
      </c>
      <c r="AA152">
        <f>(AA79-AA78)/AA78</f>
        <v>5.226213170692209E-3</v>
      </c>
    </row>
    <row r="153" spans="1:27" x14ac:dyDescent="0.2">
      <c r="A153">
        <v>2049</v>
      </c>
      <c r="B153">
        <f>(B80-B79)/B79</f>
        <v>4.0955182381973855E-2</v>
      </c>
      <c r="C153">
        <f>(C80-C79)/C79</f>
        <v>7.620100500143571E-3</v>
      </c>
      <c r="D153">
        <f>(D80-D79)/D79</f>
        <v>5.5555980073786634E-2</v>
      </c>
      <c r="E153">
        <f>(E80-E79)/E79</f>
        <v>3.3782122596551403E-2</v>
      </c>
      <c r="F153">
        <f>(F80-F79)/F79</f>
        <v>-4.5383380191817467E-3</v>
      </c>
      <c r="G153">
        <f>(G80-G79)/G79</f>
        <v>1.2033185209481339E-2</v>
      </c>
      <c r="H153">
        <f>(H80-H79)/H79</f>
        <v>0.12625796705359418</v>
      </c>
      <c r="I153">
        <f>(I80-I79)/I79</f>
        <v>3.4355279971332073E-2</v>
      </c>
      <c r="J153">
        <f>(J80-J79)/J79</f>
        <v>5.3108278182176408E-2</v>
      </c>
      <c r="K153">
        <f>(K80-K79)/K79</f>
        <v>-2.6612833391515501E-3</v>
      </c>
      <c r="L153">
        <f>(L80-L79)/L79</f>
        <v>1.2517218528400834E-2</v>
      </c>
      <c r="M153">
        <f>(M80-M79)/M79</f>
        <v>3.43810216106505E-2</v>
      </c>
      <c r="N153">
        <f>(N80-N79)/N79</f>
        <v>7.4830223613433611E-2</v>
      </c>
      <c r="O153">
        <f>(O80-O79)/O79</f>
        <v>4.105102839011799E-2</v>
      </c>
      <c r="P153">
        <f>(P80-P79)/P79</f>
        <v>2.6021878343483883E-3</v>
      </c>
      <c r="Q153">
        <f>(Q80-Q79)/Q79</f>
        <v>4.2990607453305858E-2</v>
      </c>
      <c r="R153">
        <f>(R80-R79)/R79</f>
        <v>6.9251740983966595E-2</v>
      </c>
      <c r="S153">
        <f>(S80-S79)/S79</f>
        <v>0.11072700360559187</v>
      </c>
      <c r="T153">
        <f>(T80-T79)/T79</f>
        <v>-7.7270057812995141E-3</v>
      </c>
      <c r="U153">
        <f>(U80-U79)/U79</f>
        <v>4.0554614222738324E-2</v>
      </c>
      <c r="V153">
        <f>(V80-V79)/V79</f>
        <v>3.9612485560375874E-2</v>
      </c>
      <c r="W153">
        <f>(W80-W79)/W79</f>
        <v>2.279989075215855E-2</v>
      </c>
      <c r="X153">
        <f>(X80-X79)/X79</f>
        <v>8.4909958311676706E-3</v>
      </c>
      <c r="Y153">
        <f>(Y80-Y79)/Y79</f>
        <v>5.0559341883342135E-3</v>
      </c>
      <c r="Z153">
        <f>(Z80-Z79)/Z79</f>
        <v>0.11978071542259021</v>
      </c>
      <c r="AA153">
        <f>(AA80-AA79)/AA79</f>
        <v>4.0535718006302615E-3</v>
      </c>
    </row>
    <row r="154" spans="1:27" x14ac:dyDescent="0.2">
      <c r="A154">
        <v>2050</v>
      </c>
      <c r="B154">
        <f>(B81-B80)/B80</f>
        <v>4.0501493118508612E-2</v>
      </c>
      <c r="C154">
        <f>(C81-C80)/C80</f>
        <v>7.2290683493419893E-3</v>
      </c>
      <c r="D154">
        <f>(D81-D80)/D80</f>
        <v>5.3747518222928961E-2</v>
      </c>
      <c r="E154">
        <f>(E81-E80)/E80</f>
        <v>3.1744226611403435E-2</v>
      </c>
      <c r="F154">
        <f>(F81-F80)/F80</f>
        <v>-6.3768673327118022E-3</v>
      </c>
      <c r="G154">
        <f>(G81-G80)/G80</f>
        <v>1.039125627217706E-2</v>
      </c>
      <c r="H154">
        <f>(H81-H80)/H80</f>
        <v>0.12659602818128848</v>
      </c>
      <c r="I154">
        <f>(I81-I80)/I80</f>
        <v>3.2263246618504701E-2</v>
      </c>
      <c r="J154">
        <f>(J81-J80)/J80</f>
        <v>5.239339339462077E-2</v>
      </c>
      <c r="K154">
        <f>(K81-K80)/K80</f>
        <v>-3.721888463126728E-3</v>
      </c>
      <c r="L154">
        <f>(L81-L80)/L80</f>
        <v>1.0952608154913503E-2</v>
      </c>
      <c r="M154">
        <f>(M81-M80)/M80</f>
        <v>3.0883767972806966E-2</v>
      </c>
      <c r="N154">
        <f>(N81-N80)/N80</f>
        <v>7.3539577835104508E-2</v>
      </c>
      <c r="O154">
        <f>(O81-O80)/O80</f>
        <v>4.154531029436713E-2</v>
      </c>
      <c r="P154">
        <f>(P81-P80)/P80</f>
        <v>2.9674186461940413E-3</v>
      </c>
      <c r="Q154">
        <f>(Q81-Q80)/Q80</f>
        <v>4.214502273606275E-2</v>
      </c>
      <c r="R154">
        <f>(R81-R80)/R80</f>
        <v>6.7462522058634816E-2</v>
      </c>
      <c r="S154">
        <f>(S81-S80)/S80</f>
        <v>0.10882230027387642</v>
      </c>
      <c r="T154">
        <f>(T81-T80)/T80</f>
        <v>-8.6183188929265919E-3</v>
      </c>
      <c r="U154">
        <f>(U81-U80)/U80</f>
        <v>3.993958790502794E-2</v>
      </c>
      <c r="V154">
        <f>(V81-V80)/V80</f>
        <v>3.7954015698662122E-2</v>
      </c>
      <c r="W154">
        <f>(W81-W80)/W80</f>
        <v>2.0605180968281289E-2</v>
      </c>
      <c r="X154">
        <f>(X81-X80)/X80</f>
        <v>8.9786494960373432E-3</v>
      </c>
      <c r="Y154">
        <f>(Y81-Y80)/Y80</f>
        <v>2.9314873429766219E-3</v>
      </c>
      <c r="Z154">
        <f>(Z81-Z80)/Z80</f>
        <v>0.12037235495295662</v>
      </c>
      <c r="AA154">
        <f>(AA81-AA80)/AA80</f>
        <v>2.8653950683929803E-3</v>
      </c>
    </row>
    <row r="155" spans="1:27" x14ac:dyDescent="0.2">
      <c r="A155">
        <v>2051</v>
      </c>
      <c r="B155">
        <f>(B82-B81)/B81</f>
        <v>3.8636702926212858E-2</v>
      </c>
      <c r="C155">
        <f>(C82-C81)/C81</f>
        <v>7.3093109418595151E-3</v>
      </c>
      <c r="D155">
        <f>(D82-D81)/D81</f>
        <v>5.0818405581505591E-2</v>
      </c>
      <c r="E155">
        <f>(E82-E81)/E81</f>
        <v>2.8202200483144993E-2</v>
      </c>
      <c r="F155">
        <f>(F82-F81)/F81</f>
        <v>-8.0516055197551433E-3</v>
      </c>
      <c r="G155">
        <f>(G82-G81)/G81</f>
        <v>7.3427859289141306E-3</v>
      </c>
      <c r="H155">
        <f>(H82-H81)/H81</f>
        <v>0.12780160075748434</v>
      </c>
      <c r="I155">
        <f>(I82-I81)/I81</f>
        <v>2.9223761674601275E-2</v>
      </c>
      <c r="J155">
        <f>(J82-J81)/J81</f>
        <v>5.0974260410519182E-2</v>
      </c>
      <c r="K155">
        <f>(K82-K81)/K81</f>
        <v>-4.5709362957269233E-3</v>
      </c>
      <c r="L155">
        <f>(L82-L81)/L81</f>
        <v>8.1089707068117273E-3</v>
      </c>
      <c r="M155">
        <f>(M82-M81)/M81</f>
        <v>2.663054740517869E-2</v>
      </c>
      <c r="N155">
        <f>(N82-N81)/N81</f>
        <v>7.1070527352045776E-2</v>
      </c>
      <c r="O155">
        <f>(O82-O81)/O81</f>
        <v>4.096889223407571E-2</v>
      </c>
      <c r="P155">
        <f>(P82-P81)/P81</f>
        <v>3.5882163448970102E-3</v>
      </c>
      <c r="Q155">
        <f>(Q82-Q81)/Q81</f>
        <v>4.0508546016334628E-2</v>
      </c>
      <c r="R155">
        <f>(R82-R81)/R81</f>
        <v>6.4791878392434138E-2</v>
      </c>
      <c r="S155">
        <f>(S82-S81)/S81</f>
        <v>0.10691153828802714</v>
      </c>
      <c r="T155">
        <f>(T82-T81)/T81</f>
        <v>-9.7194839684521684E-3</v>
      </c>
      <c r="U155">
        <f>(U82-U81)/U81</f>
        <v>3.9119088142625782E-2</v>
      </c>
      <c r="V155">
        <f>(V82-V81)/V81</f>
        <v>3.5283780393623607E-2</v>
      </c>
      <c r="W155">
        <f>(W82-W81)/W81</f>
        <v>1.7389387870648514E-2</v>
      </c>
      <c r="X155">
        <f>(X82-X81)/X81</f>
        <v>9.6176423022957345E-3</v>
      </c>
      <c r="Y155">
        <f>(Y82-Y81)/Y81</f>
        <v>5.1773224990217298E-4</v>
      </c>
      <c r="Z155">
        <f>(Z82-Z81)/Z81</f>
        <v>0.12273336550660355</v>
      </c>
      <c r="AA155">
        <f>(AA82-AA81)/AA81</f>
        <v>1.2375374219855324E-3</v>
      </c>
    </row>
    <row r="156" spans="1:27" x14ac:dyDescent="0.2">
      <c r="A156">
        <v>2052</v>
      </c>
      <c r="B156">
        <f>(B83-B82)/B82</f>
        <v>3.8471197363587409E-2</v>
      </c>
      <c r="C156">
        <f>(C83-C82)/C82</f>
        <v>7.6649533722432652E-3</v>
      </c>
      <c r="D156">
        <f>(D83-D82)/D82</f>
        <v>4.998974224773188E-2</v>
      </c>
      <c r="E156">
        <f>(E83-E82)/E82</f>
        <v>2.6935413254259376E-2</v>
      </c>
      <c r="F156">
        <f>(F83-F82)/F82</f>
        <v>-8.6333873118844325E-3</v>
      </c>
      <c r="G156">
        <f>(G83-G82)/G82</f>
        <v>6.6066165713617609E-3</v>
      </c>
      <c r="H156">
        <f>(H83-H82)/H82</f>
        <v>0.12873363780140942</v>
      </c>
      <c r="I156">
        <f>(I83-I82)/I82</f>
        <v>2.8486853929214791E-2</v>
      </c>
      <c r="J156">
        <f>(J83-J82)/J82</f>
        <v>5.1733809160408768E-2</v>
      </c>
      <c r="K156">
        <f>(K83-K82)/K82</f>
        <v>-4.8058494076944252E-3</v>
      </c>
      <c r="L156">
        <f>(L83-L82)/L82</f>
        <v>7.5019821487317959E-3</v>
      </c>
      <c r="M156">
        <f>(M83-M82)/M82</f>
        <v>2.4322142463860739E-2</v>
      </c>
      <c r="N156">
        <f>(N83-N82)/N82</f>
        <v>7.0694804531356237E-2</v>
      </c>
      <c r="O156">
        <f>(O83-O82)/O82</f>
        <v>4.2446437699535801E-2</v>
      </c>
      <c r="P156">
        <f>(P83-P82)/P82</f>
        <v>4.6444887646726772E-3</v>
      </c>
      <c r="Q156">
        <f>(Q83-Q82)/Q82</f>
        <v>4.0765627436473981E-2</v>
      </c>
      <c r="R156">
        <f>(R83-R82)/R82</f>
        <v>6.4231079741445124E-2</v>
      </c>
      <c r="S156">
        <f>(S83-S82)/S82</f>
        <v>0.10654856356537186</v>
      </c>
      <c r="T156">
        <f>(T83-T82)/T82</f>
        <v>-9.8845850770613204E-3</v>
      </c>
      <c r="U156">
        <f>(U83-U82)/U82</f>
        <v>3.9062966284860771E-2</v>
      </c>
      <c r="V156">
        <f>(V83-V82)/V82</f>
        <v>3.4718002400840636E-2</v>
      </c>
      <c r="W156">
        <f>(W83-W82)/W82</f>
        <v>1.6281752265440576E-2</v>
      </c>
      <c r="X156">
        <f>(X83-X82)/X82</f>
        <v>1.0792719226038519E-2</v>
      </c>
      <c r="Y156">
        <f>(Y83-Y82)/Y82</f>
        <v>-6.0020715442604222E-4</v>
      </c>
      <c r="Z156">
        <f>(Z83-Z82)/Z82</f>
        <v>0.1236863008175234</v>
      </c>
      <c r="AA156">
        <f>(AA83-AA82)/AA82</f>
        <v>8.5495353379562845E-4</v>
      </c>
    </row>
    <row r="157" spans="1:27" x14ac:dyDescent="0.2">
      <c r="A157">
        <v>2053</v>
      </c>
      <c r="B157">
        <f>(B84-B83)/B83</f>
        <v>3.8184374930454006E-2</v>
      </c>
      <c r="C157">
        <f>(C84-C83)/C83</f>
        <v>7.9742288473244969E-3</v>
      </c>
      <c r="D157">
        <f>(D84-D83)/D83</f>
        <v>4.9132946309862237E-2</v>
      </c>
      <c r="E157">
        <f>(E84-E83)/E83</f>
        <v>2.5612291089614426E-2</v>
      </c>
      <c r="F157">
        <f>(F84-F83)/F83</f>
        <v>-9.2458952967323683E-3</v>
      </c>
      <c r="G157">
        <f>(G84-G83)/G83</f>
        <v>5.8043644836866613E-3</v>
      </c>
      <c r="H157">
        <f>(H84-H83)/H83</f>
        <v>0.12946851242139457</v>
      </c>
      <c r="I157">
        <f>(I84-I83)/I83</f>
        <v>2.772473211968705E-2</v>
      </c>
      <c r="J157">
        <f>(J84-J83)/J83</f>
        <v>5.2612201703025836E-2</v>
      </c>
      <c r="K157">
        <f>(K84-K83)/K83</f>
        <v>-4.962197197082613E-3</v>
      </c>
      <c r="L157">
        <f>(L84-L83)/L83</f>
        <v>6.9111469073688016E-3</v>
      </c>
      <c r="M157">
        <f>(M84-M83)/M83</f>
        <v>2.2359889576975569E-2</v>
      </c>
      <c r="N157">
        <f>(N84-N83)/N83</f>
        <v>7.0294839393798492E-2</v>
      </c>
      <c r="O157">
        <f>(O84-O83)/O83</f>
        <v>4.3753824189683217E-2</v>
      </c>
      <c r="P157">
        <f>(P84-P83)/P83</f>
        <v>5.6275439084132505E-3</v>
      </c>
      <c r="Q157">
        <f>(Q84-Q83)/Q83</f>
        <v>4.1140708362091188E-2</v>
      </c>
      <c r="R157">
        <f>(R84-R83)/R83</f>
        <v>6.3666295442990531E-2</v>
      </c>
      <c r="S157">
        <f>(S84-S83)/S83</f>
        <v>0.10624428223701129</v>
      </c>
      <c r="T157">
        <f>(T84-T83)/T83</f>
        <v>-1.0006474993137634E-2</v>
      </c>
      <c r="U157">
        <f>(U84-U83)/U83</f>
        <v>3.9083691698773203E-2</v>
      </c>
      <c r="V157">
        <f>(V84-V83)/V83</f>
        <v>3.4229949582032682E-2</v>
      </c>
      <c r="W157">
        <f>(W84-W83)/W83</f>
        <v>1.519909852847201E-2</v>
      </c>
      <c r="X157">
        <f>(X84-X83)/X83</f>
        <v>1.1883419887124488E-2</v>
      </c>
      <c r="Y157">
        <f>(Y84-Y83)/Y83</f>
        <v>-1.679187570272161E-3</v>
      </c>
      <c r="Z157">
        <f>(Z84-Z83)/Z83</f>
        <v>0.12450434684177047</v>
      </c>
      <c r="AA157">
        <f>(AA84-AA83)/AA83</f>
        <v>5.1769967259318009E-4</v>
      </c>
    </row>
    <row r="158" spans="1:27" x14ac:dyDescent="0.2">
      <c r="A158">
        <v>2054</v>
      </c>
      <c r="B158">
        <f>(B85-B84)/B84</f>
        <v>3.7798306978371561E-2</v>
      </c>
      <c r="C158">
        <f>(C85-C84)/C84</f>
        <v>8.2592102610435161E-3</v>
      </c>
      <c r="D158">
        <f>(D85-D84)/D84</f>
        <v>4.8264665484547442E-2</v>
      </c>
      <c r="E158">
        <f>(E85-E84)/E84</f>
        <v>2.4223103260433317E-2</v>
      </c>
      <c r="F158">
        <f>(F85-F84)/F84</f>
        <v>-9.7682109791069321E-3</v>
      </c>
      <c r="G158">
        <f>(G85-G84)/G84</f>
        <v>4.9635350318205538E-3</v>
      </c>
      <c r="H158">
        <f>(H85-H84)/H84</f>
        <v>0.12995261243648434</v>
      </c>
      <c r="I158">
        <f>(I85-I84)/I84</f>
        <v>2.6937565995396907E-2</v>
      </c>
      <c r="J158">
        <f>(J85-J84)/J84</f>
        <v>5.3557620007510486E-2</v>
      </c>
      <c r="K158">
        <f>(K85-K84)/K84</f>
        <v>-5.0346239500082173E-3</v>
      </c>
      <c r="L158">
        <f>(L85-L84)/L84</f>
        <v>6.3332851479292393E-3</v>
      </c>
      <c r="M158">
        <f>(M85-M84)/M84</f>
        <v>2.0818101127052024E-2</v>
      </c>
      <c r="N158">
        <f>(N85-N84)/N84</f>
        <v>6.9882555883434158E-2</v>
      </c>
      <c r="O158">
        <f>(O85-O84)/O84</f>
        <v>4.5018626621693279E-2</v>
      </c>
      <c r="P158">
        <f>(P85-P84)/P84</f>
        <v>6.5274137272626417E-3</v>
      </c>
      <c r="Q158">
        <f>(Q85-Q84)/Q84</f>
        <v>4.1685180480649078E-2</v>
      </c>
      <c r="R158">
        <f>(R85-R84)/R84</f>
        <v>6.3023701522498851E-2</v>
      </c>
      <c r="S158">
        <f>(S85-S84)/S84</f>
        <v>0.10595914498114702</v>
      </c>
      <c r="T158">
        <f>(T85-T84)/T84</f>
        <v>-1.0082523807758002E-2</v>
      </c>
      <c r="U158">
        <f>(U85-U84)/U84</f>
        <v>3.9166256340235656E-2</v>
      </c>
      <c r="V158">
        <f>(V85-V84)/V84</f>
        <v>3.385191250607672E-2</v>
      </c>
      <c r="W158">
        <f>(W85-W84)/W84</f>
        <v>1.4119959648390617E-2</v>
      </c>
      <c r="X158">
        <f>(X85-X84)/X84</f>
        <v>1.2886020711757982E-2</v>
      </c>
      <c r="Y158">
        <f>(Y85-Y84)/Y84</f>
        <v>-2.7243054797169981E-3</v>
      </c>
      <c r="Z158">
        <f>(Z85-Z84)/Z84</f>
        <v>0.12519559087531287</v>
      </c>
      <c r="AA158">
        <f>(AA85-AA84)/AA84</f>
        <v>2.1129552558931579E-4</v>
      </c>
    </row>
    <row r="159" spans="1:27" x14ac:dyDescent="0.2">
      <c r="A159">
        <v>2055</v>
      </c>
      <c r="B159">
        <f>(B86-B85)/B85</f>
        <v>3.7371781699167037E-2</v>
      </c>
      <c r="C159">
        <f>(C86-C85)/C85</f>
        <v>8.5378106337833659E-3</v>
      </c>
      <c r="D159">
        <f>(D86-D85)/D85</f>
        <v>4.741004782939031E-2</v>
      </c>
      <c r="E159">
        <f>(E86-E85)/E85</f>
        <v>2.283827462653212E-2</v>
      </c>
      <c r="F159">
        <f>(F86-F85)/F85</f>
        <v>-1.0175460682285743E-2</v>
      </c>
      <c r="G159">
        <f>(G86-G85)/G85</f>
        <v>4.1316561942467351E-3</v>
      </c>
      <c r="H159">
        <f>(H86-H85)/H85</f>
        <v>0.12961194839393114</v>
      </c>
      <c r="I159">
        <f>(I86-I85)/I85</f>
        <v>2.6132934577303559E-2</v>
      </c>
      <c r="J159">
        <f>(J86-J85)/J85</f>
        <v>5.4524932119673235E-2</v>
      </c>
      <c r="K159">
        <f>(K86-K85)/K85</f>
        <v>-5.0357551054748505E-3</v>
      </c>
      <c r="L159">
        <f>(L86-L85)/L85</f>
        <v>5.8166312722014194E-3</v>
      </c>
      <c r="M159">
        <f>(M86-M85)/M85</f>
        <v>1.9763414035455402E-2</v>
      </c>
      <c r="N159">
        <f>(N86-N85)/N85</f>
        <v>6.9492276627655267E-2</v>
      </c>
      <c r="O159">
        <f>(O86-O85)/O85</f>
        <v>4.6278937671274063E-2</v>
      </c>
      <c r="P159">
        <f>(P86-P85)/P85</f>
        <v>7.3626935215796302E-3</v>
      </c>
      <c r="Q159">
        <f>(Q86-Q85)/Q85</f>
        <v>4.2299821230041147E-2</v>
      </c>
      <c r="R159">
        <f>(R86-R85)/R85</f>
        <v>6.2324426165956723E-2</v>
      </c>
      <c r="S159">
        <f>(S86-S85)/S85</f>
        <v>0.10569404171169253</v>
      </c>
      <c r="T159">
        <f>(T86-T85)/T85</f>
        <v>-1.00993627256217E-2</v>
      </c>
      <c r="U159">
        <f>(U86-U85)/U85</f>
        <v>3.9314727134033549E-2</v>
      </c>
      <c r="V159">
        <f>(V86-V85)/V85</f>
        <v>3.3521518296673179E-2</v>
      </c>
      <c r="W159">
        <f>(W86-W85)/W85</f>
        <v>1.3220783652334915E-2</v>
      </c>
      <c r="X159">
        <f>(X86-X85)/X85</f>
        <v>1.3797676766234257E-2</v>
      </c>
      <c r="Y159">
        <f>(Y86-Y85)/Y85</f>
        <v>-3.7209282025552457E-3</v>
      </c>
      <c r="Z159">
        <f>(Z86-Z85)/Z85</f>
        <v>0.1257301441918546</v>
      </c>
      <c r="AA159">
        <f>(AA86-AA85)/AA85</f>
        <v>-8.4570926228129606E-6</v>
      </c>
    </row>
    <row r="160" spans="1:27" x14ac:dyDescent="0.2">
      <c r="A160">
        <v>2056</v>
      </c>
      <c r="B160">
        <f>(B87-B86)/B86</f>
        <v>3.6286658263598198E-2</v>
      </c>
      <c r="C160">
        <f>(C87-C86)/C86</f>
        <v>8.7469183054671266E-3</v>
      </c>
      <c r="D160">
        <f>(D87-D86)/D86</f>
        <v>4.5670281367265045E-2</v>
      </c>
      <c r="E160">
        <f>(E87-E86)/E86</f>
        <v>1.9978447391944425E-2</v>
      </c>
      <c r="F160">
        <f>(F87-F86)/F86</f>
        <v>-1.024939424513111E-2</v>
      </c>
      <c r="G160">
        <f>(G87-G86)/G86</f>
        <v>2.3834309197305094E-3</v>
      </c>
      <c r="H160">
        <f>(H87-H86)/H86</f>
        <v>0.12962095797998194</v>
      </c>
      <c r="I160">
        <f>(I87-I86)/I86</f>
        <v>2.4419186971899418E-2</v>
      </c>
      <c r="J160">
        <f>(J87-J86)/J86</f>
        <v>5.4607879156445868E-2</v>
      </c>
      <c r="K160">
        <f>(K87-K86)/K86</f>
        <v>-4.9240930503343097E-3</v>
      </c>
      <c r="L160">
        <f>(L87-L86)/L86</f>
        <v>4.4017384730011396E-3</v>
      </c>
      <c r="M160">
        <f>(M87-M86)/M86</f>
        <v>1.844368128841924E-2</v>
      </c>
      <c r="N160">
        <f>(N87-N86)/N86</f>
        <v>6.7791259348965391E-2</v>
      </c>
      <c r="O160">
        <f>(O87-O86)/O86</f>
        <v>4.6356202523345567E-2</v>
      </c>
      <c r="P160">
        <f>(P87-P86)/P86</f>
        <v>7.802205162169922E-3</v>
      </c>
      <c r="Q160">
        <f>(Q87-Q86)/Q86</f>
        <v>4.2124226353279823E-2</v>
      </c>
      <c r="R160">
        <f>(R87-R86)/R86</f>
        <v>6.065948494699528E-2</v>
      </c>
      <c r="S160">
        <f>(S87-S86)/S86</f>
        <v>0.10502087568081291</v>
      </c>
      <c r="T160">
        <f>(T87-T86)/T86</f>
        <v>-1.01584725578844E-2</v>
      </c>
      <c r="U160">
        <f>(U87-U86)/U86</f>
        <v>3.9079242447713249E-2</v>
      </c>
      <c r="V160">
        <f>(V87-V86)/V86</f>
        <v>3.2464221967868613E-2</v>
      </c>
      <c r="W160">
        <f>(W87-W86)/W86</f>
        <v>1.1126932949456736E-2</v>
      </c>
      <c r="X160">
        <f>(X87-X86)/X86</f>
        <v>1.4578637098374746E-2</v>
      </c>
      <c r="Y160">
        <f>(Y87-Y86)/Y86</f>
        <v>-4.6127038615073196E-3</v>
      </c>
      <c r="Z160">
        <f>(Z87-Z86)/Z86</f>
        <v>0.12671503433011563</v>
      </c>
      <c r="AA160">
        <f>(AA87-AA86)/AA86</f>
        <v>-4.8795991613791916E-4</v>
      </c>
    </row>
    <row r="161" spans="1:27" x14ac:dyDescent="0.2">
      <c r="A161">
        <v>2057</v>
      </c>
      <c r="B161">
        <f>(B88-B87)/B87</f>
        <v>3.6007245871446672E-2</v>
      </c>
      <c r="C161">
        <f>(C88-C87)/C87</f>
        <v>9.0776406246980291E-3</v>
      </c>
      <c r="D161">
        <f>(D88-D87)/D87</f>
        <v>4.5067152394414625E-2</v>
      </c>
      <c r="E161">
        <f>(E88-E87)/E87</f>
        <v>1.8878232896672755E-2</v>
      </c>
      <c r="F161">
        <f>(F88-F87)/F87</f>
        <v>-9.9552195883413179E-3</v>
      </c>
      <c r="G161">
        <f>(G88-G87)/G87</f>
        <v>1.4219445051850889E-3</v>
      </c>
      <c r="H161">
        <f>(H88-H87)/H87</f>
        <v>0.12923271596049377</v>
      </c>
      <c r="I161">
        <f>(I88-I87)/I87</f>
        <v>2.35910701217951E-2</v>
      </c>
      <c r="J161">
        <f>(J88-J87)/J87</f>
        <v>5.5570647827230008E-2</v>
      </c>
      <c r="K161">
        <f>(K88-K87)/K87</f>
        <v>-4.6885685161715054E-3</v>
      </c>
      <c r="L161">
        <f>(L88-L87)/L87</f>
        <v>4.298948550744917E-3</v>
      </c>
      <c r="M161">
        <f>(M88-M87)/M87</f>
        <v>1.8343316346909441E-2</v>
      </c>
      <c r="N161">
        <f>(N88-N87)/N87</f>
        <v>6.7582092334537769E-2</v>
      </c>
      <c r="O161">
        <f>(O88-O87)/O87</f>
        <v>4.7558913638518989E-2</v>
      </c>
      <c r="P161">
        <f>(P88-P87)/P87</f>
        <v>8.6636287050441147E-3</v>
      </c>
      <c r="Q161">
        <f>(Q88-Q87)/Q87</f>
        <v>4.3017755444728779E-2</v>
      </c>
      <c r="R161">
        <f>(R88-R87)/R87</f>
        <v>6.0071663773949208E-2</v>
      </c>
      <c r="S161">
        <f>(S88-S87)/S87</f>
        <v>0.10518533559982127</v>
      </c>
      <c r="T161">
        <f>(T88-T87)/T87</f>
        <v>-9.7761419846965313E-3</v>
      </c>
      <c r="U161">
        <f>(U88-U87)/U87</f>
        <v>3.9157358459555161E-2</v>
      </c>
      <c r="V161">
        <f>(V88-V87)/V87</f>
        <v>3.2613983772801287E-2</v>
      </c>
      <c r="W161">
        <f>(W88-W87)/W87</f>
        <v>1.0450436653816524E-2</v>
      </c>
      <c r="X161">
        <f>(X88-X87)/X87</f>
        <v>1.5391350073604702E-2</v>
      </c>
      <c r="Y161">
        <f>(Y88-Y87)/Y87</f>
        <v>-5.4026597541707924E-3</v>
      </c>
      <c r="Z161">
        <f>(Z88-Z87)/Z87</f>
        <v>0.12721050388243813</v>
      </c>
      <c r="AA161">
        <f>(AA88-AA87)/AA87</f>
        <v>-4.0554197756762818E-4</v>
      </c>
    </row>
    <row r="162" spans="1:27" x14ac:dyDescent="0.2">
      <c r="A162">
        <v>2058</v>
      </c>
      <c r="B162">
        <f>(B89-B88)/B88</f>
        <v>3.5793472295739072E-2</v>
      </c>
      <c r="C162">
        <f>(C89-C88)/C88</f>
        <v>9.3212375199065774E-3</v>
      </c>
      <c r="D162">
        <f>(D89-D88)/D88</f>
        <v>4.4313529404999261E-2</v>
      </c>
      <c r="E162">
        <f>(E89-E88)/E88</f>
        <v>1.7865904896347845E-2</v>
      </c>
      <c r="F162">
        <f>(F89-F88)/F88</f>
        <v>-9.5989128516894614E-3</v>
      </c>
      <c r="G162">
        <f>(G89-G88)/G88</f>
        <v>8.2840369414329993E-4</v>
      </c>
      <c r="H162">
        <f>(H89-H88)/H88</f>
        <v>0.12856101686543123</v>
      </c>
      <c r="I162">
        <f>(I89-I88)/I88</f>
        <v>2.2716017292537586E-2</v>
      </c>
      <c r="J162">
        <f>(J89-J88)/J88</f>
        <v>5.642538427070222E-2</v>
      </c>
      <c r="K162">
        <f>(K89-K88)/K88</f>
        <v>-4.4043841096065347E-3</v>
      </c>
      <c r="L162">
        <f>(L89-L88)/L88</f>
        <v>4.2218381939016633E-3</v>
      </c>
      <c r="M162">
        <f>(M89-M88)/M88</f>
        <v>1.8597640361998149E-2</v>
      </c>
      <c r="N162">
        <f>(N89-N88)/N88</f>
        <v>6.7420540456007969E-2</v>
      </c>
      <c r="O162">
        <f>(O89-O88)/O88</f>
        <v>4.8622623116610864E-2</v>
      </c>
      <c r="P162">
        <f>(P89-P88)/P88</f>
        <v>9.4670616432278362E-3</v>
      </c>
      <c r="Q162">
        <f>(Q89-Q88)/Q88</f>
        <v>4.4015890916172071E-2</v>
      </c>
      <c r="R162">
        <f>(R89-R88)/R88</f>
        <v>5.9385286647502401E-2</v>
      </c>
      <c r="S162">
        <f>(S89-S88)/S88</f>
        <v>0.10523485553057529</v>
      </c>
      <c r="T162">
        <f>(T89-T88)/T88</f>
        <v>-9.3383345588235432E-3</v>
      </c>
      <c r="U162">
        <f>(U89-U88)/U88</f>
        <v>3.9203032445655019E-2</v>
      </c>
      <c r="V162">
        <f>(V89-V88)/V88</f>
        <v>3.2785287811509266E-2</v>
      </c>
      <c r="W162">
        <f>(W89-W88)/W88</f>
        <v>9.8684503000632893E-3</v>
      </c>
      <c r="X162">
        <f>(X89-X88)/X88</f>
        <v>1.6132631822672723E-2</v>
      </c>
      <c r="Y162">
        <f>(Y89-Y88)/Y88</f>
        <v>-6.1741610751730059E-3</v>
      </c>
      <c r="Z162">
        <f>(Z89-Z88)/Z88</f>
        <v>0.12745473400556073</v>
      </c>
      <c r="AA162">
        <f>(AA89-AA88)/AA88</f>
        <v>-2.4423102807755891E-4</v>
      </c>
    </row>
    <row r="163" spans="1:27" x14ac:dyDescent="0.2">
      <c r="A163">
        <v>2059</v>
      </c>
      <c r="B163">
        <f>(B90-B89)/B89</f>
        <v>3.5608118411229482E-2</v>
      </c>
      <c r="C163">
        <f>(C90-C89)/C89</f>
        <v>9.4807323213034755E-3</v>
      </c>
      <c r="D163">
        <f>(D90-D89)/D89</f>
        <v>4.3696551445284802E-2</v>
      </c>
      <c r="E163">
        <f>(E90-E89)/E89</f>
        <v>1.6937274614774574E-2</v>
      </c>
      <c r="F163">
        <f>(F90-F89)/F89</f>
        <v>-9.1776209028598087E-3</v>
      </c>
      <c r="G163">
        <f>(G90-G89)/G89</f>
        <v>2.9143272220897231E-4</v>
      </c>
      <c r="H163">
        <f>(H90-H89)/H89</f>
        <v>0.12760086744695007</v>
      </c>
      <c r="I163">
        <f>(I90-I89)/I89</f>
        <v>2.1817053347171322E-2</v>
      </c>
      <c r="J163">
        <f>(J90-J89)/J89</f>
        <v>5.7428498878801443E-2</v>
      </c>
      <c r="K163">
        <f>(K90-K89)/K89</f>
        <v>-4.0406457693873549E-3</v>
      </c>
      <c r="L163">
        <f>(L90-L89)/L89</f>
        <v>4.1909719151284348E-3</v>
      </c>
      <c r="M163">
        <f>(M90-M89)/M89</f>
        <v>1.9155882894508303E-2</v>
      </c>
      <c r="N163">
        <f>(N90-N89)/N89</f>
        <v>6.7311602681860191E-2</v>
      </c>
      <c r="O163">
        <f>(O90-O89)/O89</f>
        <v>4.950033217481619E-2</v>
      </c>
      <c r="P163">
        <f>(P90-P89)/P89</f>
        <v>1.0195869983057935E-2</v>
      </c>
      <c r="Q163">
        <f>(Q90-Q89)/Q89</f>
        <v>4.5075290387533933E-2</v>
      </c>
      <c r="R163">
        <f>(R90-R89)/R89</f>
        <v>5.8598136905867237E-2</v>
      </c>
      <c r="S163">
        <f>(S90-S89)/S89</f>
        <v>0.10510472791217183</v>
      </c>
      <c r="T163">
        <f>(T90-T89)/T89</f>
        <v>-8.8525014634451994E-3</v>
      </c>
      <c r="U163">
        <f>(U90-U89)/U89</f>
        <v>3.9177476675870217E-2</v>
      </c>
      <c r="V163">
        <f>(V90-V89)/V89</f>
        <v>3.3024278840935721E-2</v>
      </c>
      <c r="W163">
        <f>(W90-W89)/W89</f>
        <v>9.3452539665267766E-3</v>
      </c>
      <c r="X163">
        <f>(X90-X89)/X89</f>
        <v>1.6786504589906544E-2</v>
      </c>
      <c r="Y163">
        <f>(Y90-Y89)/Y89</f>
        <v>-6.9049598385234681E-3</v>
      </c>
      <c r="Z163">
        <f>(Z90-Z89)/Z89</f>
        <v>0.12769194674843182</v>
      </c>
      <c r="AA163">
        <f>(AA90-AA89)/AA89</f>
        <v>2.0037438444830784E-7</v>
      </c>
    </row>
    <row r="164" spans="1:27" x14ac:dyDescent="0.2">
      <c r="A164">
        <v>2060</v>
      </c>
      <c r="B164">
        <f>(B91-B90)/B90</f>
        <v>3.5457135040188908E-2</v>
      </c>
      <c r="C164">
        <f>(C91-C90)/C90</f>
        <v>8.9319425257134693E-3</v>
      </c>
      <c r="D164">
        <f>(D91-D90)/D90</f>
        <v>4.3214902797276231E-2</v>
      </c>
      <c r="E164">
        <f>(E91-E90)/E90</f>
        <v>1.59971727192912E-2</v>
      </c>
      <c r="F164">
        <f>(F91-F90)/F90</f>
        <v>-8.6742366214964915E-3</v>
      </c>
      <c r="G164">
        <f>(G91-G90)/G90</f>
        <v>-1.9572676535750094E-4</v>
      </c>
      <c r="H164">
        <f>(H91-H90)/H90</f>
        <v>0.12639095585460763</v>
      </c>
      <c r="I164">
        <f>(I91-I90)/I90</f>
        <v>2.0643651419389668E-2</v>
      </c>
      <c r="J164">
        <f>(J91-J90)/J90</f>
        <v>5.826995712238045E-2</v>
      </c>
      <c r="K164">
        <f>(K91-K90)/K90</f>
        <v>-3.6245052485009799E-3</v>
      </c>
      <c r="L164">
        <f>(L91-L90)/L90</f>
        <v>4.2009500424408687E-3</v>
      </c>
      <c r="M164">
        <f>(M91-M90)/M90</f>
        <v>1.9970582351741956E-2</v>
      </c>
      <c r="N164">
        <f>(N91-N90)/N90</f>
        <v>6.7261554095330786E-2</v>
      </c>
      <c r="O164">
        <f>(O91-O90)/O90</f>
        <v>5.0190193204887996E-2</v>
      </c>
      <c r="P164">
        <f>(P91-P90)/P90</f>
        <v>1.0856015701075472E-2</v>
      </c>
      <c r="Q164">
        <f>(Q91-Q90)/Q90</f>
        <v>4.6132648444579233E-2</v>
      </c>
      <c r="R164">
        <f>(R91-R90)/R90</f>
        <v>5.7681253316782713E-2</v>
      </c>
      <c r="S164">
        <f>(S91-S90)/S90</f>
        <v>0.10499822474621058</v>
      </c>
      <c r="T164">
        <f>(T91-T90)/T90</f>
        <v>-8.3630963384368519E-3</v>
      </c>
      <c r="U164">
        <f>(U91-U90)/U90</f>
        <v>3.8901509082136611E-2</v>
      </c>
      <c r="V164">
        <f>(V91-V90)/V90</f>
        <v>3.3337090006967184E-2</v>
      </c>
      <c r="W164">
        <f>(W91-W90)/W90</f>
        <v>8.8957756917396099E-3</v>
      </c>
      <c r="X164">
        <f>(X91-X90)/X90</f>
        <v>1.7350384718432251E-2</v>
      </c>
      <c r="Y164">
        <f>(Y91-Y90)/Y90</f>
        <v>-7.5576271944300909E-3</v>
      </c>
      <c r="Z164">
        <f>(Z91-Z90)/Z90</f>
        <v>0.12761052679043322</v>
      </c>
      <c r="AA164">
        <f>(AA91-AA90)/AA90</f>
        <v>3.1537848285901422E-4</v>
      </c>
    </row>
    <row r="165" spans="1:27" x14ac:dyDescent="0.2">
      <c r="A165">
        <v>2061</v>
      </c>
      <c r="B165">
        <f>(B92-B91)/B91</f>
        <v>3.4637034443173717E-2</v>
      </c>
      <c r="C165">
        <f>(C92-C91)/C91</f>
        <v>6.6975260421153872E-3</v>
      </c>
      <c r="D165">
        <f>(D92-D91)/D91</f>
        <v>4.2129364484149966E-2</v>
      </c>
      <c r="E165">
        <f>(E92-E91)/E91</f>
        <v>1.3953724011796119E-2</v>
      </c>
      <c r="F165">
        <f>(F92-F91)/F91</f>
        <v>-8.3270184123729173E-3</v>
      </c>
      <c r="G165">
        <f>(G92-G91)/G91</f>
        <v>-9.7267583425564221E-4</v>
      </c>
      <c r="H165">
        <f>(H92-H91)/H91</f>
        <v>0.12451775241145135</v>
      </c>
      <c r="I165">
        <f>(I92-I91)/I91</f>
        <v>1.8496270695887839E-2</v>
      </c>
      <c r="J165">
        <f>(J92-J91)/J91</f>
        <v>5.7979459544137434E-2</v>
      </c>
      <c r="K165">
        <f>(K92-K91)/K91</f>
        <v>-3.5078219655379828E-3</v>
      </c>
      <c r="L165">
        <f>(L92-L91)/L91</f>
        <v>3.9671294702996697E-3</v>
      </c>
      <c r="M165">
        <f>(M92-M91)/M91</f>
        <v>2.0293803370182991E-2</v>
      </c>
      <c r="N165">
        <f>(N92-N91)/N91</f>
        <v>6.5823673002648589E-2</v>
      </c>
      <c r="O165">
        <f>(O92-O91)/O91</f>
        <v>4.9422189359779628E-2</v>
      </c>
      <c r="P165">
        <f>(P92-P91)/P91</f>
        <v>1.0959089179561444E-2</v>
      </c>
      <c r="Q165">
        <f>(Q92-Q91)/Q91</f>
        <v>4.6390597765296811E-2</v>
      </c>
      <c r="R165">
        <f>(R92-R91)/R91</f>
        <v>5.5569117590064977E-2</v>
      </c>
      <c r="S165">
        <f>(S92-S91)/S91</f>
        <v>0.10373274535510676</v>
      </c>
      <c r="T165">
        <f>(T92-T91)/T91</f>
        <v>-8.2599884325846844E-3</v>
      </c>
      <c r="U165">
        <f>(U92-U91)/U91</f>
        <v>3.8762415807358029E-2</v>
      </c>
      <c r="V165">
        <f>(V92-V91)/V91</f>
        <v>3.3049569103328152E-2</v>
      </c>
      <c r="W165">
        <f>(W92-W91)/W91</f>
        <v>7.7822330024706777E-3</v>
      </c>
      <c r="X165">
        <f>(X92-X91)/X91</f>
        <v>1.776666871698963E-2</v>
      </c>
      <c r="Y165">
        <f>(Y92-Y91)/Y91</f>
        <v>-8.1391124320920345E-3</v>
      </c>
      <c r="Z165">
        <f>(Z92-Z91)/Z91</f>
        <v>0.12694426279697812</v>
      </c>
      <c r="AA165">
        <f>(AA92-AA91)/AA91</f>
        <v>3.7598439127866859E-4</v>
      </c>
    </row>
    <row r="166" spans="1:27" x14ac:dyDescent="0.2">
      <c r="A166">
        <v>2062</v>
      </c>
      <c r="B166">
        <f>(B93-B92)/B92</f>
        <v>3.4350750250964325E-2</v>
      </c>
      <c r="C166">
        <f>(C93-C92)/C92</f>
        <v>6.4472531742536887E-3</v>
      </c>
      <c r="D166">
        <f>(D93-D92)/D92</f>
        <v>4.1858795908259069E-2</v>
      </c>
      <c r="E166">
        <f>(E93-E92)/E92</f>
        <v>1.3073698355220494E-2</v>
      </c>
      <c r="F166">
        <f>(F93-F92)/F92</f>
        <v>-7.7658460995095142E-3</v>
      </c>
      <c r="G166">
        <f>(G93-G92)/G92</f>
        <v>-1.3731035787699823E-3</v>
      </c>
      <c r="H166">
        <f>(H93-H92)/H92</f>
        <v>0.12315224948283345</v>
      </c>
      <c r="I166">
        <f>(I93-I92)/I92</f>
        <v>1.7343140427459887E-2</v>
      </c>
      <c r="J166">
        <f>(J93-J92)/J92</f>
        <v>5.8157963541405427E-2</v>
      </c>
      <c r="K166">
        <f>(K93-K92)/K92</f>
        <v>-3.04990426589687E-3</v>
      </c>
      <c r="L166">
        <f>(L93-L92)/L92</f>
        <v>4.3118709573669234E-3</v>
      </c>
      <c r="M166">
        <f>(M93-M92)/M92</f>
        <v>2.1242255977760457E-2</v>
      </c>
      <c r="N166">
        <f>(N93-N92)/N92</f>
        <v>6.5803149984937609E-2</v>
      </c>
      <c r="O166">
        <f>(O93-O92)/O92</f>
        <v>4.9784448985046852E-2</v>
      </c>
      <c r="P166">
        <f>(P93-P92)/P92</f>
        <v>1.148054218530236E-2</v>
      </c>
      <c r="Q166">
        <f>(Q93-Q92)/Q92</f>
        <v>4.7298675366273198E-2</v>
      </c>
      <c r="R166">
        <f>(R93-R92)/R92</f>
        <v>5.459254276906049E-2</v>
      </c>
      <c r="S166">
        <f>(S93-S92)/S92</f>
        <v>0.10336810744465645</v>
      </c>
      <c r="T166">
        <f>(T93-T92)/T92</f>
        <v>-7.954912600129347E-3</v>
      </c>
      <c r="U166">
        <f>(U93-U92)/U92</f>
        <v>3.8933183746851757E-2</v>
      </c>
      <c r="V166">
        <f>(V93-V92)/V92</f>
        <v>3.3476755947750611E-2</v>
      </c>
      <c r="W166">
        <f>(W93-W92)/W92</f>
        <v>7.6312719345262526E-3</v>
      </c>
      <c r="X166">
        <f>(X93-X92)/X92</f>
        <v>1.8079748166248986E-2</v>
      </c>
      <c r="Y166">
        <f>(Y93-Y92)/Y92</f>
        <v>-8.6805029816212596E-3</v>
      </c>
      <c r="Z166">
        <f>(Z93-Z92)/Z92</f>
        <v>0.12637037680064744</v>
      </c>
      <c r="AA166">
        <f>(AA93-AA92)/AA92</f>
        <v>7.0529108329789249E-4</v>
      </c>
    </row>
    <row r="167" spans="1:27" x14ac:dyDescent="0.2">
      <c r="A167">
        <v>2063</v>
      </c>
      <c r="B167">
        <f>(B94-B93)/B93</f>
        <v>3.3961877768741523E-2</v>
      </c>
      <c r="C167">
        <f>(C94-C93)/C93</f>
        <v>6.1734640680906469E-3</v>
      </c>
      <c r="D167">
        <f>(D94-D93)/D93</f>
        <v>4.167546722509119E-2</v>
      </c>
      <c r="E167">
        <f>(E94-E93)/E93</f>
        <v>1.2191779655750622E-2</v>
      </c>
      <c r="F167">
        <f>(F94-F93)/F93</f>
        <v>-7.2211594434245744E-3</v>
      </c>
      <c r="G167">
        <f>(G94-G93)/G93</f>
        <v>-1.7391836778314596E-3</v>
      </c>
      <c r="H167">
        <f>(H94-H93)/H93</f>
        <v>0.12138737994855238</v>
      </c>
      <c r="I167">
        <f>(I94-I93)/I93</f>
        <v>1.6223388484446592E-2</v>
      </c>
      <c r="J167">
        <f>(J94-J93)/J93</f>
        <v>5.8014608398732598E-2</v>
      </c>
      <c r="K167">
        <f>(K94-K93)/K93</f>
        <v>-2.6474250326094235E-3</v>
      </c>
      <c r="L167">
        <f>(L94-L93)/L93</f>
        <v>4.5956543550428712E-3</v>
      </c>
      <c r="M167">
        <f>(M94-M93)/M93</f>
        <v>2.2036353629075273E-2</v>
      </c>
      <c r="N167">
        <f>(N94-N93)/N93</f>
        <v>6.5676648342996163E-2</v>
      </c>
      <c r="O167">
        <f>(O94-O93)/O93</f>
        <v>5.0024833528545379E-2</v>
      </c>
      <c r="P167">
        <f>(P94-P93)/P93</f>
        <v>1.1905684302457687E-2</v>
      </c>
      <c r="Q167">
        <f>(Q94-Q93)/Q93</f>
        <v>4.7994791232704781E-2</v>
      </c>
      <c r="R167">
        <f>(R94-R93)/R93</f>
        <v>5.3444306803066999E-2</v>
      </c>
      <c r="S167">
        <f>(S94-S93)/S93</f>
        <v>0.1022905476756206</v>
      </c>
      <c r="T167">
        <f>(T94-T93)/T93</f>
        <v>-7.7440677271805938E-3</v>
      </c>
      <c r="U167">
        <f>(U94-U93)/U93</f>
        <v>3.8966633418923723E-2</v>
      </c>
      <c r="V167">
        <f>(V94-V93)/V93</f>
        <v>3.3739239470833689E-2</v>
      </c>
      <c r="W167">
        <f>(W94-W93)/W93</f>
        <v>7.5696099832410369E-3</v>
      </c>
      <c r="X167">
        <f>(X94-X93)/X93</f>
        <v>1.8255029305676289E-2</v>
      </c>
      <c r="Y167">
        <f>(Y94-Y93)/Y93</f>
        <v>-9.293161687785623E-3</v>
      </c>
      <c r="Z167">
        <f>(Z94-Z93)/Z93</f>
        <v>0.12546709983944226</v>
      </c>
      <c r="AA167">
        <f>(AA94-AA93)/AA93</f>
        <v>1.0052046087550412E-3</v>
      </c>
    </row>
    <row r="168" spans="1:27" x14ac:dyDescent="0.2">
      <c r="A168">
        <v>2064</v>
      </c>
      <c r="B168">
        <f>(B95-B94)/B94</f>
        <v>3.3462936136295945E-2</v>
      </c>
      <c r="C168">
        <f>(C95-C94)/C94</f>
        <v>5.5959001377815284E-3</v>
      </c>
      <c r="D168">
        <f>(D95-D94)/D94</f>
        <v>4.1683393526219546E-2</v>
      </c>
      <c r="E168">
        <f>(E95-E94)/E94</f>
        <v>1.1350960696937641E-2</v>
      </c>
      <c r="F168">
        <f>(F95-F94)/F94</f>
        <v>-6.7003925668928455E-3</v>
      </c>
      <c r="G168">
        <f>(G95-G94)/G94</f>
        <v>-2.0644839159354327E-3</v>
      </c>
      <c r="H168">
        <f>(H95-H94)/H94</f>
        <v>0.1193003197800391</v>
      </c>
      <c r="I168">
        <f>(I95-I94)/I94</f>
        <v>1.5151531756081407E-2</v>
      </c>
      <c r="J168">
        <f>(J95-J94)/J94</f>
        <v>5.7584463466921122E-2</v>
      </c>
      <c r="K168">
        <f>(K95-K94)/K94</f>
        <v>-2.3022761688955146E-3</v>
      </c>
      <c r="L168">
        <f>(L95-L94)/L94</f>
        <v>4.8178860956246588E-3</v>
      </c>
      <c r="M168">
        <f>(M95-M94)/M94</f>
        <v>2.269908904287676E-2</v>
      </c>
      <c r="N168">
        <f>(N95-N94)/N94</f>
        <v>6.5454595630306783E-2</v>
      </c>
      <c r="O168">
        <f>(O95-O94)/O94</f>
        <v>5.0047949345583355E-2</v>
      </c>
      <c r="P168">
        <f>(P95-P94)/P94</f>
        <v>1.2235711739904205E-2</v>
      </c>
      <c r="Q168">
        <f>(Q95-Q94)/Q94</f>
        <v>4.8445145819031185E-2</v>
      </c>
      <c r="R168">
        <f>(R95-R94)/R94</f>
        <v>5.2170398061779734E-2</v>
      </c>
      <c r="S168">
        <f>(S95-S94)/S94</f>
        <v>0.10104268671448874</v>
      </c>
      <c r="T168">
        <f>(T95-T94)/T94</f>
        <v>-7.6139789070423904E-3</v>
      </c>
      <c r="U168">
        <f>(U95-U94)/U94</f>
        <v>3.8811319603094321E-2</v>
      </c>
      <c r="V168">
        <f>(V95-V94)/V94</f>
        <v>3.3887054123449924E-2</v>
      </c>
      <c r="W168">
        <f>(W95-W94)/W94</f>
        <v>7.571911981482219E-3</v>
      </c>
      <c r="X168">
        <f>(X95-X94)/X94</f>
        <v>1.8294572140319418E-2</v>
      </c>
      <c r="Y168">
        <f>(Y95-Y94)/Y94</f>
        <v>-9.8870538734724383E-3</v>
      </c>
      <c r="Z168">
        <f>(Z95-Z94)/Z94</f>
        <v>0.12423679344036619</v>
      </c>
      <c r="AA168">
        <f>(AA95-AA94)/AA94</f>
        <v>1.266338091202502E-3</v>
      </c>
    </row>
    <row r="169" spans="1:27" x14ac:dyDescent="0.2">
      <c r="A169">
        <v>2065</v>
      </c>
      <c r="B169">
        <f>(B96-B95)/B95</f>
        <v>3.2856809732364579E-2</v>
      </c>
      <c r="C169">
        <f>(C96-C95)/C95</f>
        <v>5.3395073153147971E-3</v>
      </c>
      <c r="D169">
        <f>(D96-D95)/D95</f>
        <v>4.1724527424863371E-2</v>
      </c>
      <c r="E169">
        <f>(E96-E95)/E95</f>
        <v>1.0531563109905851E-2</v>
      </c>
      <c r="F169">
        <f>(F96-F95)/F95</f>
        <v>-6.2292121172919067E-3</v>
      </c>
      <c r="G169">
        <f>(G96-G95)/G95</f>
        <v>-2.3613188295179455E-3</v>
      </c>
      <c r="H169">
        <f>(H96-H95)/H95</f>
        <v>0.1167073489863205</v>
      </c>
      <c r="I169">
        <f>(I96-I95)/I95</f>
        <v>1.4116701016305182E-2</v>
      </c>
      <c r="J169">
        <f>(J96-J95)/J95</f>
        <v>5.6896647028256066E-2</v>
      </c>
      <c r="K169">
        <f>(K96-K95)/K95</f>
        <v>-2.0077712830435836E-3</v>
      </c>
      <c r="L169">
        <f>(L96-L95)/L95</f>
        <v>4.9904347176957615E-3</v>
      </c>
      <c r="M169">
        <f>(M96-M95)/M95</f>
        <v>2.318995527929946E-2</v>
      </c>
      <c r="N169">
        <f>(N96-N95)/N95</f>
        <v>6.5145540267881427E-2</v>
      </c>
      <c r="O169">
        <f>(O96-O95)/O95</f>
        <v>4.9745805912936647E-2</v>
      </c>
      <c r="P169">
        <f>(P96-P95)/P95</f>
        <v>1.2462404847285079E-2</v>
      </c>
      <c r="Q169">
        <f>(Q96-Q95)/Q95</f>
        <v>4.872622184985731E-2</v>
      </c>
      <c r="R169">
        <f>(R96-R95)/R95</f>
        <v>5.0759420625452127E-2</v>
      </c>
      <c r="S169">
        <f>(S96-S95)/S95</f>
        <v>9.9540501564882866E-2</v>
      </c>
      <c r="T169">
        <f>(T96-T95)/T95</f>
        <v>-7.5623056214365126E-3</v>
      </c>
      <c r="U169">
        <f>(U96-U95)/U95</f>
        <v>3.8674756488580861E-2</v>
      </c>
      <c r="V169">
        <f>(V96-V95)/V95</f>
        <v>3.3898104328395677E-2</v>
      </c>
      <c r="W169">
        <f>(W96-W95)/W95</f>
        <v>7.5838096232811736E-3</v>
      </c>
      <c r="X169">
        <f>(X96-X95)/X95</f>
        <v>1.8098040300210231E-2</v>
      </c>
      <c r="Y169">
        <f>(Y96-Y95)/Y95</f>
        <v>-1.0468793313310777E-2</v>
      </c>
      <c r="Z169">
        <f>(Z96-Z95)/Z95</f>
        <v>0.12270214863125181</v>
      </c>
      <c r="AA169">
        <f>(AA96-AA95)/AA95</f>
        <v>1.4765259666383375E-3</v>
      </c>
    </row>
    <row r="170" spans="1:27" x14ac:dyDescent="0.2">
      <c r="A170">
        <v>2066</v>
      </c>
      <c r="B170">
        <f>(B97-B96)/B96</f>
        <v>3.1509268214326425E-2</v>
      </c>
      <c r="C170">
        <f>(C97-C96)/C96</f>
        <v>4.6236463651948738E-3</v>
      </c>
      <c r="D170">
        <f>(D97-D96)/D96</f>
        <v>4.1058056799446692E-2</v>
      </c>
      <c r="E170">
        <f>(E97-E96)/E96</f>
        <v>9.0587818422314115E-3</v>
      </c>
      <c r="F170">
        <f>(F97-F96)/F96</f>
        <v>-6.1471743859531401E-3</v>
      </c>
      <c r="G170">
        <f>(G97-G96)/G96</f>
        <v>-2.4519691448185274E-3</v>
      </c>
      <c r="H170">
        <f>(H97-H96)/H96</f>
        <v>0.11326300087330272</v>
      </c>
      <c r="I170">
        <f>(I97-I96)/I96</f>
        <v>1.2232931173660744E-2</v>
      </c>
      <c r="J170">
        <f>(J97-J96)/J96</f>
        <v>5.5276011773365538E-2</v>
      </c>
      <c r="K170">
        <f>(K97-K96)/K96</f>
        <v>-2.1736157685487306E-3</v>
      </c>
      <c r="L170">
        <f>(L97-L96)/L96</f>
        <v>5.2699292283421954E-3</v>
      </c>
      <c r="M170">
        <f>(M97-M96)/M96</f>
        <v>2.2865382695300512E-2</v>
      </c>
      <c r="N170">
        <f>(N97-N96)/N96</f>
        <v>6.3461544471952638E-2</v>
      </c>
      <c r="O170">
        <f>(O97-O96)/O96</f>
        <v>4.8251114138456265E-2</v>
      </c>
      <c r="P170">
        <f>(P97-P96)/P96</f>
        <v>1.2125682321686357E-2</v>
      </c>
      <c r="Q170">
        <f>(Q97-Q96)/Q96</f>
        <v>4.8073577526485847E-2</v>
      </c>
      <c r="R170">
        <f>(R97-R96)/R96</f>
        <v>4.815456921933766E-2</v>
      </c>
      <c r="S170">
        <f>(S97-S96)/S96</f>
        <v>9.6757747459402993E-2</v>
      </c>
      <c r="T170">
        <f>(T97-T96)/T96</f>
        <v>-7.755888228421646E-3</v>
      </c>
      <c r="U170">
        <f>(U97-U96)/U96</f>
        <v>3.7721705593840527E-2</v>
      </c>
      <c r="V170">
        <f>(V97-V96)/V96</f>
        <v>3.3011120568102306E-2</v>
      </c>
      <c r="W170">
        <f>(W97-W96)/W96</f>
        <v>6.9564076389878474E-3</v>
      </c>
      <c r="X170">
        <f>(X97-X96)/X96</f>
        <v>1.6090531593247758E-2</v>
      </c>
      <c r="Y170">
        <f>(Y97-Y96)/Y96</f>
        <v>-1.0961126831251685E-2</v>
      </c>
      <c r="Z170">
        <f>(Z97-Z96)/Z96</f>
        <v>0.12052983189024656</v>
      </c>
      <c r="AA170">
        <f>(AA97-AA96)/AA96</f>
        <v>1.6085221447747209E-3</v>
      </c>
    </row>
    <row r="171" spans="1:27" x14ac:dyDescent="0.2">
      <c r="A171">
        <v>2067</v>
      </c>
      <c r="B171">
        <f>(B98-B97)/B97</f>
        <v>3.0618256941509932E-2</v>
      </c>
      <c r="C171">
        <f>(C98-C97)/C97</f>
        <v>4.1725448849618818E-3</v>
      </c>
      <c r="D171">
        <f>(D98-D97)/D97</f>
        <v>4.1126224435417379E-2</v>
      </c>
      <c r="E171">
        <f>(E98-E97)/E97</f>
        <v>8.2142645180032278E-3</v>
      </c>
      <c r="F171">
        <f>(F98-F97)/F97</f>
        <v>-5.9920520214966E-3</v>
      </c>
      <c r="G171">
        <f>(G98-G97)/G97</f>
        <v>-2.8039167730287036E-3</v>
      </c>
      <c r="H171">
        <f>(H98-H97)/H97</f>
        <v>0.11073591390856755</v>
      </c>
      <c r="I171">
        <f>(I98-I97)/I97</f>
        <v>1.1180538928120801E-2</v>
      </c>
      <c r="J171">
        <f>(J98-J97)/J97</f>
        <v>5.4116854853978644E-2</v>
      </c>
      <c r="K171">
        <f>(K98-K97)/K97</f>
        <v>-2.0011192292304957E-3</v>
      </c>
      <c r="L171">
        <f>(L98-L97)/L97</f>
        <v>5.1579866181844002E-3</v>
      </c>
      <c r="M171">
        <f>(M98-M97)/M97</f>
        <v>2.2998570099384188E-2</v>
      </c>
      <c r="N171">
        <f>(N98-N97)/N97</f>
        <v>6.2939500282650662E-2</v>
      </c>
      <c r="O171">
        <f>(O98-O97)/O97</f>
        <v>4.7581102707721479E-2</v>
      </c>
      <c r="P171">
        <f>(P98-P97)/P97</f>
        <v>1.2095746771614749E-2</v>
      </c>
      <c r="Q171">
        <f>(Q98-Q97)/Q97</f>
        <v>4.7899820621448153E-2</v>
      </c>
      <c r="R171">
        <f>(R98-R97)/R97</f>
        <v>4.6540875437379656E-2</v>
      </c>
      <c r="S171">
        <f>(S98-S97)/S97</f>
        <v>9.4964129594840005E-2</v>
      </c>
      <c r="T171">
        <f>(T98-T97)/T97</f>
        <v>-7.9614341978842297E-3</v>
      </c>
      <c r="U171">
        <f>(U98-U97)/U97</f>
        <v>3.7422827736381642E-2</v>
      </c>
      <c r="V171">
        <f>(V98-V97)/V97</f>
        <v>3.2684567199139723E-2</v>
      </c>
      <c r="W171">
        <f>(W98-W97)/W97</f>
        <v>6.9805643109933958E-3</v>
      </c>
      <c r="X171">
        <f>(X98-X97)/X97</f>
        <v>1.5219700174940823E-2</v>
      </c>
      <c r="Y171">
        <f>(Y98-Y97)/Y97</f>
        <v>-1.1583490099646637E-2</v>
      </c>
      <c r="Z171">
        <f>(Z98-Z97)/Z97</f>
        <v>0.11866359611863218</v>
      </c>
      <c r="AA171">
        <f>(AA98-AA97)/AA97</f>
        <v>1.6689327926791536E-3</v>
      </c>
    </row>
    <row r="172" spans="1:27" x14ac:dyDescent="0.2">
      <c r="A172">
        <v>2068</v>
      </c>
      <c r="B172">
        <f>(B99-B98)/B98</f>
        <v>2.9582007308166743E-2</v>
      </c>
      <c r="C172">
        <f>(C99-C98)/C98</f>
        <v>3.8156558313225553E-3</v>
      </c>
      <c r="D172">
        <f>(D99-D98)/D98</f>
        <v>4.1365819958954553E-2</v>
      </c>
      <c r="E172">
        <f>(E99-E98)/E98</f>
        <v>7.416386167960161E-3</v>
      </c>
      <c r="F172">
        <f>(F99-F98)/F98</f>
        <v>-5.8935510426039771E-3</v>
      </c>
      <c r="G172">
        <f>(G99-G98)/G98</f>
        <v>-3.1378712799236424E-3</v>
      </c>
      <c r="H172">
        <f>(H99-H98)/H98</f>
        <v>0.10694844698420075</v>
      </c>
      <c r="I172">
        <f>(I99-I98)/I98</f>
        <v>1.0173277941842536E-2</v>
      </c>
      <c r="J172">
        <f>(J99-J98)/J98</f>
        <v>5.2757712844075239E-2</v>
      </c>
      <c r="K172">
        <f>(K99-K98)/K98</f>
        <v>-1.8696821856546339E-3</v>
      </c>
      <c r="L172">
        <f>(L99-L98)/L98</f>
        <v>4.9963093321658955E-3</v>
      </c>
      <c r="M172">
        <f>(M99-M98)/M98</f>
        <v>2.3002724915307991E-2</v>
      </c>
      <c r="N172">
        <f>(N99-N98)/N98</f>
        <v>6.2330989145196712E-2</v>
      </c>
      <c r="O172">
        <f>(O99-O98)/O98</f>
        <v>4.6780903197240119E-2</v>
      </c>
      <c r="P172">
        <f>(P99-P98)/P98</f>
        <v>1.1580953558814489E-2</v>
      </c>
      <c r="Q172">
        <f>(Q99-Q98)/Q98</f>
        <v>4.7505887415012146E-2</v>
      </c>
      <c r="R172">
        <f>(R99-R98)/R98</f>
        <v>4.4803281379739539E-2</v>
      </c>
      <c r="S172">
        <f>(S99-S98)/S98</f>
        <v>9.2874693740262304E-2</v>
      </c>
      <c r="T172">
        <f>(T99-T98)/T98</f>
        <v>-8.2614093749173514E-3</v>
      </c>
      <c r="U172">
        <f>(U99-U98)/U98</f>
        <v>3.6996171501525461E-2</v>
      </c>
      <c r="V172">
        <f>(V99-V98)/V98</f>
        <v>3.2303351490360746E-2</v>
      </c>
      <c r="W172">
        <f>(W99-W98)/W98</f>
        <v>7.0328816670780763E-3</v>
      </c>
      <c r="X172">
        <f>(X99-X98)/X98</f>
        <v>1.4702429991589175E-2</v>
      </c>
      <c r="Y172">
        <f>(Y99-Y98)/Y98</f>
        <v>-1.2153352880040501E-2</v>
      </c>
      <c r="Z172">
        <f>(Z99-Z98)/Z98</f>
        <v>0.1164864240591722</v>
      </c>
      <c r="AA172">
        <f>(AA99-AA98)/AA98</f>
        <v>1.6641915972123512E-3</v>
      </c>
    </row>
    <row r="173" spans="1:27" x14ac:dyDescent="0.2">
      <c r="A173">
        <v>2069</v>
      </c>
      <c r="B173">
        <f>(B100-B99)/B99</f>
        <v>2.8427220917529028E-2</v>
      </c>
      <c r="C173">
        <f>(C100-C99)/C99</f>
        <v>3.4089933028473851E-3</v>
      </c>
      <c r="D173">
        <f>(D100-D99)/D99</f>
        <v>4.1609760178811878E-2</v>
      </c>
      <c r="E173">
        <f>(E100-E99)/E99</f>
        <v>6.6718902341280613E-3</v>
      </c>
      <c r="F173">
        <f>(F100-F99)/F99</f>
        <v>-5.8560456341060826E-3</v>
      </c>
      <c r="G173">
        <f>(G100-G99)/G99</f>
        <v>-3.4542053908075835E-3</v>
      </c>
      <c r="H173">
        <f>(H100-H99)/H99</f>
        <v>0.10447368810971246</v>
      </c>
      <c r="I173">
        <f>(I100-I99)/I99</f>
        <v>9.1977220850395468E-3</v>
      </c>
      <c r="J173">
        <f>(J100-J99)/J99</f>
        <v>5.1090940853360869E-2</v>
      </c>
      <c r="K173">
        <f>(K100-K99)/K99</f>
        <v>-1.7976240737360382E-3</v>
      </c>
      <c r="L173">
        <f>(L100-L99)/L99</f>
        <v>5.0592185205931848E-3</v>
      </c>
      <c r="M173">
        <f>(M100-M99)/M99</f>
        <v>2.2880782969547479E-2</v>
      </c>
      <c r="N173">
        <f>(N100-N99)/N99</f>
        <v>6.1632069935710687E-2</v>
      </c>
      <c r="O173">
        <f>(O100-O99)/O99</f>
        <v>4.5872045504974014E-2</v>
      </c>
      <c r="P173">
        <f>(P100-P99)/P99</f>
        <v>1.0495884980926582E-2</v>
      </c>
      <c r="Q173">
        <f>(Q100-Q99)/Q99</f>
        <v>4.6908328720203896E-2</v>
      </c>
      <c r="R173">
        <f>(R100-R99)/R99</f>
        <v>4.2969214150599296E-2</v>
      </c>
      <c r="S173">
        <f>(S100-S99)/S99</f>
        <v>9.0560650207758983E-2</v>
      </c>
      <c r="T173">
        <f>(T100-T99)/T99</f>
        <v>-9.3781855967158857E-3</v>
      </c>
      <c r="U173">
        <f>(U100-U99)/U99</f>
        <v>3.6577712292346277E-2</v>
      </c>
      <c r="V173">
        <f>(V100-V99)/V99</f>
        <v>3.1844030915446776E-2</v>
      </c>
      <c r="W173">
        <f>(W100-W99)/W99</f>
        <v>7.1144386287272992E-3</v>
      </c>
      <c r="X173">
        <f>(X100-X99)/X99</f>
        <v>1.4061524049857655E-2</v>
      </c>
      <c r="Y173">
        <f>(Y100-Y99)/Y99</f>
        <v>-1.2699043196083266E-2</v>
      </c>
      <c r="Z173">
        <f>(Z100-Z99)/Z99</f>
        <v>0.11405406855856313</v>
      </c>
      <c r="AA173">
        <f>(AA100-AA99)/AA99</f>
        <v>1.5987379113817533E-3</v>
      </c>
    </row>
    <row r="174" spans="1:27" x14ac:dyDescent="0.2">
      <c r="A174">
        <v>2070</v>
      </c>
      <c r="B174">
        <f>(B101-B100)/B100</f>
        <v>2.7186475634658328E-2</v>
      </c>
      <c r="C174">
        <f>(C101-C100)/C100</f>
        <v>3.0214928287543735E-3</v>
      </c>
      <c r="D174">
        <f>(D101-D100)/D100</f>
        <v>4.1847288464974694E-2</v>
      </c>
      <c r="E174">
        <f>(E101-E100)/E100</f>
        <v>6.0150790840580119E-3</v>
      </c>
      <c r="F174">
        <f>(F101-F100)/F100</f>
        <v>-5.8313077956726068E-3</v>
      </c>
      <c r="G174">
        <f>(G101-G100)/G100</f>
        <v>-3.7581460775216011E-3</v>
      </c>
      <c r="H174">
        <f>(H101-H100)/H100</f>
        <v>0.10202608660384653</v>
      </c>
      <c r="I174">
        <f>(I101-I100)/I100</f>
        <v>8.4625752258932884E-3</v>
      </c>
      <c r="J174">
        <f>(J101-J100)/J100</f>
        <v>4.9072941982144382E-2</v>
      </c>
      <c r="K174">
        <f>(K101-K100)/K100</f>
        <v>-1.7734169670679729E-3</v>
      </c>
      <c r="L174">
        <f>(L101-L100)/L100</f>
        <v>5.0571416598764367E-3</v>
      </c>
      <c r="M174">
        <f>(M101-M100)/M100</f>
        <v>2.2638254973463622E-2</v>
      </c>
      <c r="N174">
        <f>(N101-N100)/N100</f>
        <v>6.0850430919558364E-2</v>
      </c>
      <c r="O174">
        <f>(O101-O100)/O100</f>
        <v>4.4868031853089567E-2</v>
      </c>
      <c r="P174">
        <f>(P101-P100)/P100</f>
        <v>1.0123849352149421E-2</v>
      </c>
      <c r="Q174">
        <f>(Q101-Q100)/Q100</f>
        <v>4.6153760354390019E-2</v>
      </c>
      <c r="R174">
        <f>(R101-R100)/R100</f>
        <v>4.1070491453412357E-2</v>
      </c>
      <c r="S174">
        <f>(S101-S100)/S100</f>
        <v>8.7864884816130626E-2</v>
      </c>
      <c r="T174">
        <f>(T101-T100)/T100</f>
        <v>-1.0115685066296818E-2</v>
      </c>
      <c r="U174">
        <f>(U101-U100)/U100</f>
        <v>3.5898524228156939E-2</v>
      </c>
      <c r="V174">
        <f>(V101-V100)/V100</f>
        <v>3.1290982559245235E-2</v>
      </c>
      <c r="W174">
        <f>(W101-W100)/W100</f>
        <v>7.2143942006222374E-3</v>
      </c>
      <c r="X174">
        <f>(X101-X100)/X100</f>
        <v>1.3350603596872261E-2</v>
      </c>
      <c r="Y174">
        <f>(Y101-Y100)/Y100</f>
        <v>-1.3225814748251718E-2</v>
      </c>
      <c r="Z174">
        <f>(Z101-Z100)/Z100</f>
        <v>0.1108747586778603</v>
      </c>
      <c r="AA174">
        <f>(AA101-AA100)/AA100</f>
        <v>1.4686765975472614E-3</v>
      </c>
    </row>
    <row r="175" spans="1:27" x14ac:dyDescent="0.2">
      <c r="A175">
        <v>2071</v>
      </c>
      <c r="B175">
        <f>(B102-B101)/B101</f>
        <v>2.4582674927789091E-2</v>
      </c>
      <c r="C175">
        <f>(C102-C101)/C101</f>
        <v>2.2743205082477857E-3</v>
      </c>
      <c r="D175">
        <f>(D102-D101)/D101</f>
        <v>4.141690041973229E-2</v>
      </c>
      <c r="E175">
        <f>(E102-E101)/E101</f>
        <v>4.8706677035569856E-3</v>
      </c>
      <c r="F175">
        <f>(F102-F101)/F101</f>
        <v>-5.8218785113438674E-3</v>
      </c>
      <c r="G175">
        <f>(G102-G101)/G101</f>
        <v>-3.2628565546618778E-3</v>
      </c>
      <c r="H175">
        <f>(H102-H101)/H101</f>
        <v>9.8524152250159799E-2</v>
      </c>
      <c r="I175">
        <f>(I102-I101)/I101</f>
        <v>6.8199821337526119E-3</v>
      </c>
      <c r="J175">
        <f>(J102-J101)/J101</f>
        <v>4.6653385466863644E-2</v>
      </c>
      <c r="K175">
        <f>(K102-K101)/K101</f>
        <v>-1.9068938375344285E-3</v>
      </c>
      <c r="L175">
        <f>(L102-L101)/L101</f>
        <v>5.0757989871726018E-3</v>
      </c>
      <c r="M175">
        <f>(M102-M101)/M101</f>
        <v>2.1786111719753122E-2</v>
      </c>
      <c r="N175">
        <f>(N102-N101)/N101</f>
        <v>5.895688625591413E-2</v>
      </c>
      <c r="O175">
        <f>(O102-O101)/O101</f>
        <v>4.3112189968998821E-2</v>
      </c>
      <c r="P175">
        <f>(P102-P101)/P101</f>
        <v>9.1890914932977307E-3</v>
      </c>
      <c r="Q175">
        <f>(Q102-Q101)/Q101</f>
        <v>4.4581421884177352E-2</v>
      </c>
      <c r="R175">
        <f>(R102-R101)/R101</f>
        <v>3.8053525425885998E-2</v>
      </c>
      <c r="S175">
        <f>(S102-S101)/S101</f>
        <v>8.4083231028162578E-2</v>
      </c>
      <c r="T175">
        <f>(T102-T101)/T101</f>
        <v>-1.0659150526534803E-2</v>
      </c>
      <c r="U175">
        <f>(U102-U101)/U101</f>
        <v>3.4760511197013323E-2</v>
      </c>
      <c r="V175">
        <f>(V102-V101)/V101</f>
        <v>2.9974485860849949E-2</v>
      </c>
      <c r="W175">
        <f>(W102-W101)/W101</f>
        <v>6.607772370694486E-3</v>
      </c>
      <c r="X175">
        <f>(X102-X101)/X101</f>
        <v>1.2286519694640409E-2</v>
      </c>
      <c r="Y175">
        <f>(Y102-Y101)/Y101</f>
        <v>-1.3529115673849295E-2</v>
      </c>
      <c r="Z175">
        <f>(Z102-Z101)/Z101</f>
        <v>0.10721302866343706</v>
      </c>
      <c r="AA175">
        <f>(AA102-AA101)/AA101</f>
        <v>1.3371724952667646E-3</v>
      </c>
    </row>
    <row r="176" spans="1:27" x14ac:dyDescent="0.2">
      <c r="A176">
        <v>2072</v>
      </c>
      <c r="B176">
        <f>(B103-B102)/B102</f>
        <v>2.3043248214071308E-2</v>
      </c>
      <c r="C176">
        <f>(C103-C102)/C102</f>
        <v>1.8423632080339434E-3</v>
      </c>
      <c r="D176">
        <f>(D103-D102)/D102</f>
        <v>4.1618212980652644E-2</v>
      </c>
      <c r="E176">
        <f>(E103-E102)/E102</f>
        <v>4.2352691758743982E-3</v>
      </c>
      <c r="F176">
        <f>(F103-F102)/F102</f>
        <v>-5.944850438599044E-3</v>
      </c>
      <c r="G176">
        <f>(G103-G102)/G102</f>
        <v>-3.2221955925085463E-3</v>
      </c>
      <c r="H176">
        <f>(H103-H102)/H102</f>
        <v>9.6448423206606182E-2</v>
      </c>
      <c r="I176">
        <f>(I103-I102)/I102</f>
        <v>6.025974838763784E-3</v>
      </c>
      <c r="J176">
        <f>(J103-J102)/J102</f>
        <v>4.5064177503578516E-2</v>
      </c>
      <c r="K176">
        <f>(K103-K102)/K102</f>
        <v>-2.0083761783264518E-3</v>
      </c>
      <c r="L176">
        <f>(L103-L102)/L102</f>
        <v>4.7237450904756822E-3</v>
      </c>
      <c r="M176">
        <f>(M103-M102)/M102</f>
        <v>2.1444875720381621E-2</v>
      </c>
      <c r="N176">
        <f>(N103-N102)/N102</f>
        <v>5.808069559258091E-2</v>
      </c>
      <c r="O176">
        <f>(O103-O102)/O102</f>
        <v>4.1987886300929152E-2</v>
      </c>
      <c r="P176">
        <f>(P103-P102)/P102</f>
        <v>8.6258887922953924E-3</v>
      </c>
      <c r="Q176">
        <f>(Q103-Q102)/Q102</f>
        <v>4.3617390668133582E-2</v>
      </c>
      <c r="R176">
        <f>(R103-R102)/R102</f>
        <v>3.6099869750143225E-2</v>
      </c>
      <c r="S176">
        <f>(S103-S102)/S102</f>
        <v>8.1588785795504978E-2</v>
      </c>
      <c r="T176">
        <f>(T103-T102)/T102</f>
        <v>-1.1308857595712023E-2</v>
      </c>
      <c r="U176">
        <f>(U103-U102)/U102</f>
        <v>3.3938955838024434E-2</v>
      </c>
      <c r="V176">
        <f>(V103-V102)/V102</f>
        <v>2.9268341068921226E-2</v>
      </c>
      <c r="W176">
        <f>(W103-W102)/W102</f>
        <v>6.5340426790766164E-3</v>
      </c>
      <c r="X176">
        <f>(X103-X102)/X102</f>
        <v>1.1482190175186773E-2</v>
      </c>
      <c r="Y176">
        <f>(Y103-Y102)/Y102</f>
        <v>-1.402787671115957E-2</v>
      </c>
      <c r="Z176">
        <f>(Z103-Z102)/Z102</f>
        <v>0.10460094039049085</v>
      </c>
      <c r="AA176">
        <f>(AA103-AA102)/AA102</f>
        <v>1.0658916917318036E-3</v>
      </c>
    </row>
    <row r="177" spans="1:27" x14ac:dyDescent="0.2">
      <c r="A177">
        <v>2073</v>
      </c>
      <c r="B177">
        <f>(B104-B103)/B103</f>
        <v>2.1692946006683374E-2</v>
      </c>
      <c r="C177">
        <f>(C104-C103)/C103</f>
        <v>1.1542828321657586E-3</v>
      </c>
      <c r="D177">
        <f>(D104-D103)/D103</f>
        <v>4.179515490798319E-2</v>
      </c>
      <c r="E177">
        <f>(E104-E103)/E103</f>
        <v>3.6424216464141668E-3</v>
      </c>
      <c r="F177">
        <f>(F104-F103)/F103</f>
        <v>-6.03923212874387E-3</v>
      </c>
      <c r="G177">
        <f>(G104-G103)/G103</f>
        <v>-3.2332076380490122E-3</v>
      </c>
      <c r="H177">
        <f>(H104-H103)/H103</f>
        <v>9.4493451490017727E-2</v>
      </c>
      <c r="I177">
        <f>(I104-I103)/I103</f>
        <v>5.2326012468796928E-3</v>
      </c>
      <c r="J177">
        <f>(J104-J103)/J103</f>
        <v>4.3485161516226313E-2</v>
      </c>
      <c r="K177">
        <f>(K104-K103)/K103</f>
        <v>-2.1435936530097171E-3</v>
      </c>
      <c r="L177">
        <f>(L104-L103)/L103</f>
        <v>4.4175652600280807E-3</v>
      </c>
      <c r="M177">
        <f>(M104-M103)/M103</f>
        <v>2.1044333452910818E-2</v>
      </c>
      <c r="N177">
        <f>(N104-N103)/N103</f>
        <v>5.7229806363446482E-2</v>
      </c>
      <c r="O177">
        <f>(O104-O103)/O103</f>
        <v>4.0833247671522882E-2</v>
      </c>
      <c r="P177">
        <f>(P104-P103)/P103</f>
        <v>8.0378502289454538E-3</v>
      </c>
      <c r="Q177">
        <f>(Q104-Q103)/Q103</f>
        <v>4.2614929098247947E-2</v>
      </c>
      <c r="R177">
        <f>(R104-R103)/R103</f>
        <v>3.4055052619412544E-2</v>
      </c>
      <c r="S177">
        <f>(S104-S103)/S103</f>
        <v>7.9183100761379716E-2</v>
      </c>
      <c r="T177">
        <f>(T104-T103)/T103</f>
        <v>-1.1963185266174958E-2</v>
      </c>
      <c r="U177">
        <f>(U104-U103)/U103</f>
        <v>3.3188741637987088E-2</v>
      </c>
      <c r="V177">
        <f>(V104-V103)/V103</f>
        <v>2.856030416672016E-2</v>
      </c>
      <c r="W177">
        <f>(W104-W103)/W103</f>
        <v>6.4966343995777835E-3</v>
      </c>
      <c r="X177">
        <f>(X104-X103)/X103</f>
        <v>1.0708222702812256E-2</v>
      </c>
      <c r="Y177">
        <f>(Y104-Y103)/Y103</f>
        <v>-1.4419230488054857E-2</v>
      </c>
      <c r="Z177">
        <f>(Z104-Z103)/Z103</f>
        <v>0.10200251109032479</v>
      </c>
      <c r="AA177">
        <f>(AA104-AA103)/AA103</f>
        <v>7.6941395982760188E-4</v>
      </c>
    </row>
    <row r="178" spans="1:27" x14ac:dyDescent="0.2">
      <c r="A178">
        <v>2074</v>
      </c>
      <c r="B178">
        <f>(B105-B104)/B104</f>
        <v>2.0358555171330096E-2</v>
      </c>
      <c r="C178">
        <f>(C105-C104)/C104</f>
        <v>8.1532513767834062E-4</v>
      </c>
      <c r="D178">
        <f>(D105-D104)/D104</f>
        <v>4.1862841750162021E-2</v>
      </c>
      <c r="E178">
        <f>(E105-E104)/E104</f>
        <v>3.079839446628067E-3</v>
      </c>
      <c r="F178">
        <f>(F105-F104)/F104</f>
        <v>-6.1482759767899397E-3</v>
      </c>
      <c r="G178">
        <f>(G105-G104)/G104</f>
        <v>-3.2929101511470055E-3</v>
      </c>
      <c r="H178">
        <f>(H105-H104)/H104</f>
        <v>9.275500286508595E-2</v>
      </c>
      <c r="I178">
        <f>(I105-I104)/I104</f>
        <v>4.4415441000447862E-3</v>
      </c>
      <c r="J178">
        <f>(J105-J104)/J104</f>
        <v>4.1905142504871137E-2</v>
      </c>
      <c r="K178">
        <f>(K105-K104)/K104</f>
        <v>-2.2825733681480415E-3</v>
      </c>
      <c r="L178">
        <f>(L105-L104)/L104</f>
        <v>4.1582195338672988E-3</v>
      </c>
      <c r="M178">
        <f>(M105-M104)/M104</f>
        <v>2.0607645703359056E-2</v>
      </c>
      <c r="N178">
        <f>(N105-N104)/N104</f>
        <v>5.6398447462311721E-2</v>
      </c>
      <c r="O178">
        <f>(O105-O104)/O104</f>
        <v>3.9671757367434488E-2</v>
      </c>
      <c r="P178">
        <f>(P105-P104)/P104</f>
        <v>7.4344087950888992E-3</v>
      </c>
      <c r="Q178">
        <f>(Q105-Q104)/Q104</f>
        <v>4.1602145584013442E-2</v>
      </c>
      <c r="R178">
        <f>(R105-R104)/R104</f>
        <v>3.1845451281021023E-2</v>
      </c>
      <c r="S178">
        <f>(S105-S104)/S104</f>
        <v>7.6417215088839405E-2</v>
      </c>
      <c r="T178">
        <f>(T105-T104)/T104</f>
        <v>-1.2612538886566377E-2</v>
      </c>
      <c r="U178">
        <f>(U105-U104)/U104</f>
        <v>3.2365984264363608E-2</v>
      </c>
      <c r="V178">
        <f>(V105-V104)/V104</f>
        <v>2.7856378782064178E-2</v>
      </c>
      <c r="W178">
        <f>(W105-W104)/W104</f>
        <v>6.482891206913209E-3</v>
      </c>
      <c r="X178">
        <f>(X105-X104)/X104</f>
        <v>9.9316702710529493E-3</v>
      </c>
      <c r="Y178">
        <f>(Y105-Y104)/Y104</f>
        <v>-1.4781748873017444E-2</v>
      </c>
      <c r="Z178">
        <f>(Z105-Z104)/Z104</f>
        <v>9.9431833948798565E-2</v>
      </c>
      <c r="AA178">
        <f>(AA105-AA104)/AA104</f>
        <v>4.677223117210414E-4</v>
      </c>
    </row>
    <row r="179" spans="1:27" x14ac:dyDescent="0.2">
      <c r="A179">
        <v>2075</v>
      </c>
      <c r="B179">
        <f>(B106-B105)/B105</f>
        <v>1.9066169643467395E-2</v>
      </c>
      <c r="C179">
        <f>(C106-C105)/C105</f>
        <v>5.5906202005331354E-4</v>
      </c>
      <c r="D179">
        <f>(D106-D105)/D105</f>
        <v>4.1912641411392781E-2</v>
      </c>
      <c r="E179">
        <f>(E106-E105)/E105</f>
        <v>2.5559610063445892E-3</v>
      </c>
      <c r="F179">
        <f>(F106-F105)/F105</f>
        <v>-6.2663808641118179E-3</v>
      </c>
      <c r="G179">
        <f>(G106-G105)/G105</f>
        <v>-3.3977625241153235E-3</v>
      </c>
      <c r="H179">
        <f>(H106-H105)/H105</f>
        <v>9.1052707044767256E-2</v>
      </c>
      <c r="I179">
        <f>(I106-I105)/I105</f>
        <v>3.6621952603166259E-3</v>
      </c>
      <c r="J179">
        <f>(J106-J105)/J105</f>
        <v>4.0349762599803052E-2</v>
      </c>
      <c r="K179">
        <f>(K106-K105)/K105</f>
        <v>-2.4600301672784018E-3</v>
      </c>
      <c r="L179">
        <f>(L106-L105)/L105</f>
        <v>3.9517374501552988E-3</v>
      </c>
      <c r="M179">
        <f>(M106-M105)/M105</f>
        <v>2.0160919702782852E-2</v>
      </c>
      <c r="N179">
        <f>(N106-N105)/N105</f>
        <v>5.5589626788189669E-2</v>
      </c>
      <c r="O179">
        <f>(O106-O105)/O105</f>
        <v>3.8522908696964168E-2</v>
      </c>
      <c r="P179">
        <f>(P106-P105)/P105</f>
        <v>6.7397072744571906E-3</v>
      </c>
      <c r="Q179">
        <f>(Q106-Q105)/Q105</f>
        <v>4.0580564984344578E-2</v>
      </c>
      <c r="R179">
        <f>(R106-R105)/R105</f>
        <v>2.9710337748480697E-2</v>
      </c>
      <c r="S179">
        <f>(S106-S105)/S105</f>
        <v>7.3802932996921006E-2</v>
      </c>
      <c r="T179">
        <f>(T106-T105)/T105</f>
        <v>-1.3250661591725024E-2</v>
      </c>
      <c r="U179">
        <f>(U106-U105)/U105</f>
        <v>3.159809611487225E-2</v>
      </c>
      <c r="V179">
        <f>(V106-V105)/V105</f>
        <v>2.717232894001391E-2</v>
      </c>
      <c r="W179">
        <f>(W106-W105)/W105</f>
        <v>6.4806345542933073E-3</v>
      </c>
      <c r="X179">
        <f>(X106-X105)/X105</f>
        <v>9.1471066751798655E-3</v>
      </c>
      <c r="Y179">
        <f>(Y106-Y105)/Y105</f>
        <v>-1.5117792923408046E-2</v>
      </c>
      <c r="Z179">
        <f>(Z106-Z105)/Z105</f>
        <v>9.6937051410075317E-2</v>
      </c>
      <c r="AA179">
        <f>(AA106-AA105)/AA105</f>
        <v>1.7422725241954859E-4</v>
      </c>
    </row>
    <row r="180" spans="1:27" x14ac:dyDescent="0.2">
      <c r="A180">
        <v>2076</v>
      </c>
      <c r="B180">
        <f>(B107-B106)/B106</f>
        <v>1.7279952425826885E-2</v>
      </c>
      <c r="C180">
        <f>(C107-C106)/C106</f>
        <v>4.1239359342939325E-5</v>
      </c>
      <c r="D180">
        <f>(D107-D106)/D106</f>
        <v>4.1325201677361589E-2</v>
      </c>
      <c r="E180">
        <f>(E107-E106)/E106</f>
        <v>1.5217712507202658E-3</v>
      </c>
      <c r="F180">
        <f>(F107-F106)/F106</f>
        <v>-6.250836613350126E-3</v>
      </c>
      <c r="G180">
        <f>(G107-G106)/G106</f>
        <v>-3.399937704898675E-3</v>
      </c>
      <c r="H180">
        <f>(H107-H106)/H106</f>
        <v>8.8493034293952375E-2</v>
      </c>
      <c r="I180">
        <f>(I107-I106)/I106</f>
        <v>2.1396798171264787E-3</v>
      </c>
      <c r="J180">
        <f>(J107-J106)/J106</f>
        <v>3.8217761533219319E-2</v>
      </c>
      <c r="K180">
        <f>(K107-K106)/K106</f>
        <v>-2.1526878094927726E-3</v>
      </c>
      <c r="L180">
        <f>(L107-L106)/L106</f>
        <v>4.1996718536975114E-3</v>
      </c>
      <c r="M180">
        <f>(M107-M106)/M106</f>
        <v>1.918691672686846E-2</v>
      </c>
      <c r="N180">
        <f>(N107-N106)/N106</f>
        <v>5.398659797840813E-2</v>
      </c>
      <c r="O180">
        <f>(O107-O106)/O106</f>
        <v>3.6849741570499639E-2</v>
      </c>
      <c r="P180">
        <f>(P107-P106)/P106</f>
        <v>5.4932331889263964E-3</v>
      </c>
      <c r="Q180">
        <f>(Q107-Q106)/Q106</f>
        <v>3.889871740311112E-2</v>
      </c>
      <c r="R180">
        <f>(R107-R106)/R106</f>
        <v>2.661228417975044E-2</v>
      </c>
      <c r="S180">
        <f>(S107-S106)/S106</f>
        <v>6.9994206286598387E-2</v>
      </c>
      <c r="T180">
        <f>(T107-T106)/T106</f>
        <v>-1.3914646025837533E-2</v>
      </c>
      <c r="U180">
        <f>(U107-U106)/U106</f>
        <v>3.0289757311836342E-2</v>
      </c>
      <c r="V180">
        <f>(V107-V106)/V106</f>
        <v>2.5930161815919804E-2</v>
      </c>
      <c r="W180">
        <f>(W107-W106)/W106</f>
        <v>6.0401948490787618E-3</v>
      </c>
      <c r="X180">
        <f>(X107-X106)/X106</f>
        <v>7.9210490065162939E-3</v>
      </c>
      <c r="Y180">
        <f>(Y107-Y106)/Y106</f>
        <v>-1.5205153354032452E-2</v>
      </c>
      <c r="Z180">
        <f>(Z107-Z106)/Z106</f>
        <v>9.3667963779623609E-2</v>
      </c>
      <c r="AA180">
        <f>(AA107-AA106)/AA106</f>
        <v>-1.6603477830914957E-4</v>
      </c>
    </row>
    <row r="181" spans="1:27" x14ac:dyDescent="0.2">
      <c r="A181">
        <v>2077</v>
      </c>
      <c r="B181">
        <f>(B108-B107)/B107</f>
        <v>1.6074660572251129E-2</v>
      </c>
      <c r="C181">
        <f>(C108-C107)/C107</f>
        <v>-2.9290763616598975E-4</v>
      </c>
      <c r="D181">
        <f>(D108-D107)/D107</f>
        <v>4.1361966740292057E-2</v>
      </c>
      <c r="E181">
        <f>(E108-E107)/E107</f>
        <v>1.0274344020714682E-3</v>
      </c>
      <c r="F181">
        <f>(F108-F107)/F107</f>
        <v>-6.5421075710356625E-3</v>
      </c>
      <c r="G181">
        <f>(G108-G107)/G107</f>
        <v>-3.561517634683692E-3</v>
      </c>
      <c r="H181">
        <f>(H108-H107)/H107</f>
        <v>8.7408487297708837E-2</v>
      </c>
      <c r="I181">
        <f>(I108-I107)/I107</f>
        <v>1.3588645025767682E-3</v>
      </c>
      <c r="J181">
        <f>(J108-J107)/J107</f>
        <v>3.6766233565452174E-2</v>
      </c>
      <c r="K181">
        <f>(K108-K107)/K107</f>
        <v>-2.3791404660738055E-3</v>
      </c>
      <c r="L181">
        <f>(L108-L107)/L107</f>
        <v>4.0368876216636644E-3</v>
      </c>
      <c r="M181">
        <f>(M108-M107)/M107</f>
        <v>1.8717243564006718E-2</v>
      </c>
      <c r="N181">
        <f>(N108-N107)/N107</f>
        <v>5.3251501993818708E-2</v>
      </c>
      <c r="O181">
        <f>(O108-O107)/O107</f>
        <v>3.5777590109714701E-2</v>
      </c>
      <c r="P181">
        <f>(P108-P107)/P107</f>
        <v>4.9467189686886338E-3</v>
      </c>
      <c r="Q181">
        <f>(Q108-Q107)/Q107</f>
        <v>3.7879425198977509E-2</v>
      </c>
      <c r="R181">
        <f>(R108-R107)/R107</f>
        <v>2.4638527769175942E-2</v>
      </c>
      <c r="S181">
        <f>(S108-S107)/S107</f>
        <v>6.7736014332028041E-2</v>
      </c>
      <c r="T181">
        <f>(T108-T107)/T107</f>
        <v>-1.4505744364046311E-2</v>
      </c>
      <c r="U181">
        <f>(U108-U107)/U107</f>
        <v>2.9519059380186556E-2</v>
      </c>
      <c r="V181">
        <f>(V108-V107)/V107</f>
        <v>2.5260629835519587E-2</v>
      </c>
      <c r="W181">
        <f>(W108-W107)/W107</f>
        <v>6.0528232560774116E-3</v>
      </c>
      <c r="X181">
        <f>(X108-X107)/X107</f>
        <v>7.2524511345427173E-3</v>
      </c>
      <c r="Y181">
        <f>(Y108-Y107)/Y107</f>
        <v>-1.5497629855647472E-2</v>
      </c>
      <c r="Z181">
        <f>(Z108-Z107)/Z107</f>
        <v>9.1560091953281478E-2</v>
      </c>
      <c r="AA181">
        <f>(AA108-AA107)/AA107</f>
        <v>-4.5652616421616818E-4</v>
      </c>
    </row>
    <row r="182" spans="1:27" x14ac:dyDescent="0.2">
      <c r="A182">
        <v>2078</v>
      </c>
      <c r="B182">
        <f>(B109-B108)/B108</f>
        <v>1.4978181325167501E-2</v>
      </c>
      <c r="C182">
        <f>(C109-C108)/C108</f>
        <v>-5.2167567907739549E-5</v>
      </c>
      <c r="D182">
        <f>(D109-D108)/D108</f>
        <v>4.1377673860021745E-2</v>
      </c>
      <c r="E182">
        <f>(E109-E108)/E108</f>
        <v>5.3379785123133035E-4</v>
      </c>
      <c r="F182">
        <f>(F109-F108)/F108</f>
        <v>-6.8184023206028267E-3</v>
      </c>
      <c r="G182">
        <f>(G109-G108)/G108</f>
        <v>-3.7592365593464802E-3</v>
      </c>
      <c r="H182">
        <f>(H109-H108)/H108</f>
        <v>8.6460706027616949E-2</v>
      </c>
      <c r="I182">
        <f>(I109-I108)/I108</f>
        <v>6.0351652733468732E-4</v>
      </c>
      <c r="J182">
        <f>(J109-J108)/J108</f>
        <v>3.5397280199761308E-2</v>
      </c>
      <c r="K182">
        <f>(K109-K108)/K108</f>
        <v>-2.6211788466928431E-3</v>
      </c>
      <c r="L182">
        <f>(L109-L108)/L108</f>
        <v>4.0881867927249184E-3</v>
      </c>
      <c r="M182">
        <f>(M109-M108)/M108</f>
        <v>1.8294949396058406E-2</v>
      </c>
      <c r="N182">
        <f>(N109-N108)/N108</f>
        <v>5.2561530212071141E-2</v>
      </c>
      <c r="O182">
        <f>(O109-O108)/O108</f>
        <v>3.4769497367188845E-2</v>
      </c>
      <c r="P182">
        <f>(P109-P108)/P108</f>
        <v>4.433450623197231E-3</v>
      </c>
      <c r="Q182">
        <f>(Q109-Q108)/Q108</f>
        <v>3.6887764962479391E-2</v>
      </c>
      <c r="R182">
        <f>(R109-R108)/R108</f>
        <v>2.280768227074052E-2</v>
      </c>
      <c r="S182">
        <f>(S109-S108)/S108</f>
        <v>6.5605129563756803E-2</v>
      </c>
      <c r="T182">
        <f>(T109-T108)/T108</f>
        <v>-1.5053944049201219E-2</v>
      </c>
      <c r="U182">
        <f>(U109-U108)/U108</f>
        <v>2.8785760915866147E-2</v>
      </c>
      <c r="V182">
        <f>(V109-V108)/V108</f>
        <v>2.4631394849771053E-2</v>
      </c>
      <c r="W182">
        <f>(W109-W108)/W108</f>
        <v>6.0753838013380629E-3</v>
      </c>
      <c r="X182">
        <f>(X109-X108)/X108</f>
        <v>6.5760963640799737E-3</v>
      </c>
      <c r="Y182">
        <f>(Y109-Y108)/Y108</f>
        <v>-1.5778141195375829E-2</v>
      </c>
      <c r="Z182">
        <f>(Z109-Z108)/Z108</f>
        <v>8.9578497044535715E-2</v>
      </c>
      <c r="AA182">
        <f>(AA109-AA108)/AA108</f>
        <v>-7.3155724028723551E-4</v>
      </c>
    </row>
    <row r="183" spans="1:27" x14ac:dyDescent="0.2">
      <c r="A183">
        <v>2079</v>
      </c>
      <c r="B183">
        <f>(B110-B109)/B109</f>
        <v>1.3946378280353538E-2</v>
      </c>
      <c r="C183">
        <f>(C110-C109)/C109</f>
        <v>-4.6652247486791856E-4</v>
      </c>
      <c r="D183">
        <f>(D110-D109)/D109</f>
        <v>4.1355481512869989E-2</v>
      </c>
      <c r="E183">
        <f>(E110-E109)/E109</f>
        <v>4.4082665269626635E-5</v>
      </c>
      <c r="F183">
        <f>(F110-F109)/F109</f>
        <v>-7.0741173900688726E-3</v>
      </c>
      <c r="G183">
        <f>(G110-G109)/G109</f>
        <v>-3.8031998929214383E-3</v>
      </c>
      <c r="H183">
        <f>(H110-H109)/H109</f>
        <v>8.5583664463462703E-2</v>
      </c>
      <c r="I183">
        <f>(I110-I109)/I109</f>
        <v>-1.2595200675846757E-4</v>
      </c>
      <c r="J183">
        <f>(J110-J109)/J109</f>
        <v>3.4215506912722037E-2</v>
      </c>
      <c r="K183">
        <f>(K110-K109)/K109</f>
        <v>-2.8736537132163439E-3</v>
      </c>
      <c r="L183">
        <f>(L110-L109)/L109</f>
        <v>3.8866195065193668E-3</v>
      </c>
      <c r="M183">
        <f>(M110-M109)/M109</f>
        <v>1.7919128958541995E-2</v>
      </c>
      <c r="N183">
        <f>(N110-N109)/N109</f>
        <v>5.191699671103929E-2</v>
      </c>
      <c r="O183">
        <f>(O110-O109)/O109</f>
        <v>3.383426866599952E-2</v>
      </c>
      <c r="P183">
        <f>(P110-P109)/P109</f>
        <v>3.9291287653600761E-3</v>
      </c>
      <c r="Q183">
        <f>(Q110-Q109)/Q109</f>
        <v>3.5928918275411434E-2</v>
      </c>
      <c r="R183">
        <f>(R110-R109)/R109</f>
        <v>2.1110159883523272E-2</v>
      </c>
      <c r="S183">
        <f>(S110-S109)/S109</f>
        <v>6.361187093668158E-2</v>
      </c>
      <c r="T183">
        <f>(T110-T109)/T109</f>
        <v>-1.5569615983121152E-2</v>
      </c>
      <c r="U183">
        <f>(U110-U109)/U109</f>
        <v>2.8068416910479566E-2</v>
      </c>
      <c r="V183">
        <f>(V110-V109)/V109</f>
        <v>2.4038027216140113E-2</v>
      </c>
      <c r="W183">
        <f>(W110-W109)/W109</f>
        <v>6.0924085172036329E-3</v>
      </c>
      <c r="X183">
        <f>(X110-X109)/X109</f>
        <v>5.9988157947694363E-3</v>
      </c>
      <c r="Y183">
        <f>(Y110-Y109)/Y109</f>
        <v>-1.6050042420481147E-2</v>
      </c>
      <c r="Z183">
        <f>(Z110-Z109)/Z109</f>
        <v>8.7724308260353101E-2</v>
      </c>
      <c r="AA183">
        <f>(AA110-AA109)/AA109</f>
        <v>-9.9866636729454444E-4</v>
      </c>
    </row>
    <row r="184" spans="1:27" x14ac:dyDescent="0.2">
      <c r="A184">
        <v>2080</v>
      </c>
      <c r="B184">
        <f>(B111-B110)/B110</f>
        <v>1.3010430552036439E-2</v>
      </c>
      <c r="C184">
        <f>(C111-C110)/C110</f>
        <v>-3.2052967273425329E-4</v>
      </c>
      <c r="D184">
        <f>(D111-D110)/D110</f>
        <v>4.130322850161184E-2</v>
      </c>
      <c r="E184">
        <f>(E111-E110)/E110</f>
        <v>-3.775643934886086E-4</v>
      </c>
      <c r="F184">
        <f>(F111-F110)/F110</f>
        <v>-7.3747274110762514E-3</v>
      </c>
      <c r="G184">
        <f>(G111-G110)/G110</f>
        <v>-3.8672148455728503E-3</v>
      </c>
      <c r="H184">
        <f>(H111-H110)/H110</f>
        <v>8.4756274756193184E-2</v>
      </c>
      <c r="I184">
        <f>(I111-I110)/I110</f>
        <v>-8.3192179959524018E-4</v>
      </c>
      <c r="J184">
        <f>(J111-J110)/J110</f>
        <v>3.3115209990392129E-2</v>
      </c>
      <c r="K184">
        <f>(K111-K110)/K110</f>
        <v>-3.1392745977354723E-3</v>
      </c>
      <c r="L184">
        <f>(L111-L110)/L110</f>
        <v>3.651233065629885E-3</v>
      </c>
      <c r="M184">
        <f>(M111-M110)/M110</f>
        <v>1.7682195371738176E-2</v>
      </c>
      <c r="N184">
        <f>(N111-N110)/N110</f>
        <v>5.1313624986934661E-2</v>
      </c>
      <c r="O184">
        <f>(O111-O110)/O110</f>
        <v>3.2954256684034067E-2</v>
      </c>
      <c r="P184">
        <f>(P111-P110)/P110</f>
        <v>3.4753376417402284E-3</v>
      </c>
      <c r="Q184">
        <f>(Q111-Q110)/Q110</f>
        <v>3.4990173186712457E-2</v>
      </c>
      <c r="R184">
        <f>(R111-R110)/R110</f>
        <v>1.9535462842013584E-2</v>
      </c>
      <c r="S184">
        <f>(S111-S110)/S110</f>
        <v>6.1753254075377337E-2</v>
      </c>
      <c r="T184">
        <f>(T111-T110)/T110</f>
        <v>-1.6041872222422433E-2</v>
      </c>
      <c r="U184">
        <f>(U111-U110)/U110</f>
        <v>2.7446469628686139E-2</v>
      </c>
      <c r="V184">
        <f>(V111-V110)/V110</f>
        <v>2.3486894212250066E-2</v>
      </c>
      <c r="W184">
        <f>(W111-W110)/W110</f>
        <v>6.1061019023172097E-3</v>
      </c>
      <c r="X184">
        <f>(X111-X110)/X110</f>
        <v>5.4546855381138095E-3</v>
      </c>
      <c r="Y184">
        <f>(Y111-Y110)/Y110</f>
        <v>-1.6319884605713528E-2</v>
      </c>
      <c r="Z184">
        <f>(Z111-Z110)/Z110</f>
        <v>8.5700993643298876E-2</v>
      </c>
      <c r="AA184">
        <f>(AA111-AA110)/AA110</f>
        <v>-1.2541499189472338E-3</v>
      </c>
    </row>
    <row r="185" spans="1:27" x14ac:dyDescent="0.2">
      <c r="A185">
        <v>2081</v>
      </c>
      <c r="B185">
        <f>(B112-B111)/B111</f>
        <v>1.1898453852989602E-2</v>
      </c>
      <c r="C185">
        <f>(C112-C111)/C111</f>
        <v>-1.4972834723745378E-3</v>
      </c>
      <c r="D185">
        <f>(D112-D111)/D111</f>
        <v>4.0652971562683861E-2</v>
      </c>
      <c r="E185">
        <f>(E112-E111)/E111</f>
        <v>-1.2092366768241233E-3</v>
      </c>
      <c r="F185">
        <f>(F112-F111)/F111</f>
        <v>-7.2172011067917563E-3</v>
      </c>
      <c r="G185">
        <f>(G112-G111)/G111</f>
        <v>-4.1873516508777455E-3</v>
      </c>
      <c r="H185">
        <f>(H112-H111)/H111</f>
        <v>8.2944126440688687E-2</v>
      </c>
      <c r="I185">
        <f>(I112-I111)/I111</f>
        <v>-2.0349041574859233E-3</v>
      </c>
      <c r="J185">
        <f>(J112-J111)/J111</f>
        <v>3.154050523711828E-2</v>
      </c>
      <c r="K185">
        <f>(K112-K111)/K111</f>
        <v>-2.6904378289370058E-3</v>
      </c>
      <c r="L185">
        <f>(L112-L111)/L111</f>
        <v>3.8162887746524088E-3</v>
      </c>
      <c r="M185">
        <f>(M112-M111)/M111</f>
        <v>1.7023913886699545E-2</v>
      </c>
      <c r="N185">
        <f>(N112-N111)/N111</f>
        <v>5.0135805348984264E-2</v>
      </c>
      <c r="O185">
        <f>(O112-O111)/O111</f>
        <v>3.1584842553162719E-2</v>
      </c>
      <c r="P185">
        <f>(P112-P111)/P111</f>
        <v>2.3350923457126091E-3</v>
      </c>
      <c r="Q185">
        <f>(Q112-Q111)/Q111</f>
        <v>3.3549615832073082E-2</v>
      </c>
      <c r="R185">
        <f>(R112-R111)/R111</f>
        <v>1.7208672533060104E-2</v>
      </c>
      <c r="S185">
        <f>(S112-S111)/S111</f>
        <v>5.8631499675007456E-2</v>
      </c>
      <c r="T185">
        <f>(T112-T111)/T111</f>
        <v>-1.6408088180581638E-2</v>
      </c>
      <c r="U185">
        <f>(U112-U111)/U111</f>
        <v>2.6573548461718513E-2</v>
      </c>
      <c r="V185">
        <f>(V112-V111)/V111</f>
        <v>2.243287944654827E-2</v>
      </c>
      <c r="W185">
        <f>(W112-W111)/W111</f>
        <v>5.7744037570365957E-3</v>
      </c>
      <c r="X185">
        <f>(X112-X111)/X111</f>
        <v>4.3461514115181454E-3</v>
      </c>
      <c r="Y185">
        <f>(Y112-Y111)/Y111</f>
        <v>-1.6384644788266758E-2</v>
      </c>
      <c r="Z185">
        <f>(Z112-Z111)/Z111</f>
        <v>8.3040172324976583E-2</v>
      </c>
      <c r="AA185">
        <f>(AA112-AA111)/AA111</f>
        <v>-1.7186480083768087E-3</v>
      </c>
    </row>
    <row r="186" spans="1:27" x14ac:dyDescent="0.2">
      <c r="A186">
        <v>2082</v>
      </c>
      <c r="B186">
        <f>(B113-B112)/B112</f>
        <v>1.107515340046971E-2</v>
      </c>
      <c r="C186">
        <f>(C113-C112)/C112</f>
        <v>-1.3138006498728354E-3</v>
      </c>
      <c r="D186">
        <f>(D113-D112)/D112</f>
        <v>4.0510812367318301E-2</v>
      </c>
      <c r="E186">
        <f>(E113-E112)/E112</f>
        <v>-1.5040159079912985E-3</v>
      </c>
      <c r="F186">
        <f>(F113-F112)/F112</f>
        <v>-7.463714616603721E-3</v>
      </c>
      <c r="G186">
        <f>(G113-G112)/G112</f>
        <v>-4.6405058931115028E-3</v>
      </c>
      <c r="H186">
        <f>(H113-H112)/H112</f>
        <v>8.2206224980263753E-2</v>
      </c>
      <c r="I186">
        <f>(I113-I112)/I112</f>
        <v>-2.7356549222720449E-3</v>
      </c>
      <c r="J186">
        <f>(J113-J112)/J112</f>
        <v>3.0413342586535067E-2</v>
      </c>
      <c r="K186">
        <f>(K113-K112)/K112</f>
        <v>-2.9616780691163551E-3</v>
      </c>
      <c r="L186">
        <f>(L113-L112)/L112</f>
        <v>3.593239579612665E-3</v>
      </c>
      <c r="M186">
        <f>(M113-M112)/M112</f>
        <v>1.6818280034026009E-2</v>
      </c>
      <c r="N186">
        <f>(N113-N112)/N112</f>
        <v>4.9609953830102679E-2</v>
      </c>
      <c r="O186">
        <f>(O113-O112)/O112</f>
        <v>3.0817452008816811E-2</v>
      </c>
      <c r="P186">
        <f>(P113-P112)/P112</f>
        <v>1.9269618930353274E-3</v>
      </c>
      <c r="Q186">
        <f>(Q113-Q112)/Q112</f>
        <v>3.2866306457439882E-2</v>
      </c>
      <c r="R186">
        <f>(R113-R112)/R112</f>
        <v>1.5758072929483585E-2</v>
      </c>
      <c r="S186">
        <f>(S113-S112)/S112</f>
        <v>5.7112801356293916E-2</v>
      </c>
      <c r="T186">
        <f>(T113-T112)/T112</f>
        <v>-1.6801123661435807E-2</v>
      </c>
      <c r="U186">
        <f>(U113-U112)/U112</f>
        <v>2.5972446224643501E-2</v>
      </c>
      <c r="V186">
        <f>(V113-V112)/V112</f>
        <v>2.1963832227701891E-2</v>
      </c>
      <c r="W186">
        <f>(W113-W112)/W112</f>
        <v>5.8038497817435187E-3</v>
      </c>
      <c r="X186">
        <f>(X113-X112)/X112</f>
        <v>3.8802675952005284E-3</v>
      </c>
      <c r="Y186">
        <f>(Y113-Y112)/Y112</f>
        <v>-1.6672185993852399E-2</v>
      </c>
      <c r="Z186">
        <f>(Z113-Z112)/Z112</f>
        <v>8.1615957147251353E-2</v>
      </c>
      <c r="AA186">
        <f>(AA113-AA112)/AA112</f>
        <v>-1.9299448445196995E-3</v>
      </c>
    </row>
    <row r="187" spans="1:27" x14ac:dyDescent="0.2">
      <c r="A187">
        <v>2083</v>
      </c>
      <c r="B187">
        <f>(B114-B113)/B113</f>
        <v>1.0329058806160193E-2</v>
      </c>
      <c r="C187">
        <f>(C114-C113)/C113</f>
        <v>-1.4733342874572958E-3</v>
      </c>
      <c r="D187">
        <f>(D114-D113)/D113</f>
        <v>4.0342733529721835E-2</v>
      </c>
      <c r="E187">
        <f>(E114-E113)/E113</f>
        <v>-1.7477697229646471E-3</v>
      </c>
      <c r="F187">
        <f>(F114-F113)/F113</f>
        <v>-7.749111861890993E-3</v>
      </c>
      <c r="G187">
        <f>(G114-G113)/G113</f>
        <v>-5.0354101837712974E-3</v>
      </c>
      <c r="H187">
        <f>(H114-H113)/H113</f>
        <v>8.1405415482357663E-2</v>
      </c>
      <c r="I187">
        <f>(I114-I113)/I113</f>
        <v>-3.4178499504661079E-3</v>
      </c>
      <c r="J187">
        <f>(J114-J113)/J113</f>
        <v>2.9349713615178328E-2</v>
      </c>
      <c r="K187">
        <f>(K114-K113)/K113</f>
        <v>-3.2402645192953139E-3</v>
      </c>
      <c r="L187">
        <f>(L114-L113)/L113</f>
        <v>3.369972413131471E-3</v>
      </c>
      <c r="M187">
        <f>(M114-M113)/M113</f>
        <v>1.6674172913391943E-2</v>
      </c>
      <c r="N187">
        <f>(N114-N113)/N113</f>
        <v>4.9110623620057581E-2</v>
      </c>
      <c r="O187">
        <f>(O114-O113)/O113</f>
        <v>3.0101807086885007E-2</v>
      </c>
      <c r="P187">
        <f>(P114-P113)/P113</f>
        <v>1.5466777035758139E-3</v>
      </c>
      <c r="Q187">
        <f>(Q114-Q113)/Q113</f>
        <v>3.2187806927006658E-2</v>
      </c>
      <c r="R187">
        <f>(R114-R113)/R113</f>
        <v>1.4465824744085053E-2</v>
      </c>
      <c r="S187">
        <f>(S114-S113)/S113</f>
        <v>5.5698947318939457E-2</v>
      </c>
      <c r="T187">
        <f>(T114-T113)/T113</f>
        <v>-1.714827626239103E-2</v>
      </c>
      <c r="U187">
        <f>(U114-U113)/U113</f>
        <v>2.5327777756862322E-2</v>
      </c>
      <c r="V187">
        <f>(V114-V113)/V113</f>
        <v>2.1519756751496626E-2</v>
      </c>
      <c r="W187">
        <f>(W114-W113)/W113</f>
        <v>5.8143893293903411E-3</v>
      </c>
      <c r="X187">
        <f>(X114-X113)/X113</f>
        <v>3.3675121709258234E-3</v>
      </c>
      <c r="Y187">
        <f>(Y114-Y113)/Y113</f>
        <v>-1.6937444639435952E-2</v>
      </c>
      <c r="Z187">
        <f>(Z114-Z113)/Z113</f>
        <v>8.0275429306984405E-2</v>
      </c>
      <c r="AA187">
        <f>(AA114-AA113)/AA113</f>
        <v>-2.1273707232462745E-3</v>
      </c>
    </row>
    <row r="188" spans="1:27" x14ac:dyDescent="0.2">
      <c r="A188">
        <v>2084</v>
      </c>
      <c r="B188">
        <f>(B115-B114)/B114</f>
        <v>9.6723644963935523E-3</v>
      </c>
      <c r="C188">
        <f>(C115-C114)/C114</f>
        <v>-1.281719013789154E-3</v>
      </c>
      <c r="D188">
        <f>(D115-D114)/D114</f>
        <v>4.0154333926037053E-2</v>
      </c>
      <c r="E188">
        <f>(E115-E114)/E114</f>
        <v>-1.9375217352633359E-3</v>
      </c>
      <c r="F188">
        <f>(F115-F114)/F114</f>
        <v>-8.034156231598602E-3</v>
      </c>
      <c r="G188">
        <f>(G115-G114)/G114</f>
        <v>-5.3778830981674351E-3</v>
      </c>
      <c r="H188">
        <f>(H115-H114)/H114</f>
        <v>8.0554220211108973E-2</v>
      </c>
      <c r="I188">
        <f>(I115-I114)/I114</f>
        <v>-4.0826046859695634E-3</v>
      </c>
      <c r="J188">
        <f>(J115-J114)/J114</f>
        <v>2.8381455721273059E-2</v>
      </c>
      <c r="K188">
        <f>(K115-K114)/K114</f>
        <v>-3.5191227466149153E-3</v>
      </c>
      <c r="L188">
        <f>(L115-L114)/L114</f>
        <v>3.1499682128593195E-3</v>
      </c>
      <c r="M188">
        <f>(M115-M114)/M114</f>
        <v>1.6613080488786725E-2</v>
      </c>
      <c r="N188">
        <f>(N115-N114)/N114</f>
        <v>4.863950513639409E-2</v>
      </c>
      <c r="O188">
        <f>(O115-O114)/O114</f>
        <v>2.9434168681126541E-2</v>
      </c>
      <c r="P188">
        <f>(P115-P114)/P114</f>
        <v>1.2034958001667848E-3</v>
      </c>
      <c r="Q188">
        <f>(Q115-Q114)/Q114</f>
        <v>3.1504323613347991E-2</v>
      </c>
      <c r="R188">
        <f>(R115-R114)/R114</f>
        <v>1.338895683299765E-2</v>
      </c>
      <c r="S188">
        <f>(S115-S114)/S114</f>
        <v>5.4534059734116326E-2</v>
      </c>
      <c r="T188">
        <f>(T115-T114)/T114</f>
        <v>-1.7460733349900226E-2</v>
      </c>
      <c r="U188">
        <f>(U115-U114)/U114</f>
        <v>2.4777724787086373E-2</v>
      </c>
      <c r="V188">
        <f>(V115-V114)/V114</f>
        <v>2.1086601061142577E-2</v>
      </c>
      <c r="W188">
        <f>(W115-W114)/W114</f>
        <v>5.8048347368487435E-3</v>
      </c>
      <c r="X188">
        <f>(X115-X114)/X114</f>
        <v>2.8440591275325231E-3</v>
      </c>
      <c r="Y188">
        <f>(Y115-Y114)/Y114</f>
        <v>-1.7185027470357075E-2</v>
      </c>
      <c r="Z188">
        <f>(Z115-Z114)/Z114</f>
        <v>7.9029848970791017E-2</v>
      </c>
      <c r="AA188">
        <f>(AA115-AA114)/AA114</f>
        <v>-2.2863997149526571E-3</v>
      </c>
    </row>
    <row r="189" spans="1:27" x14ac:dyDescent="0.2">
      <c r="A189">
        <v>2085</v>
      </c>
      <c r="B189">
        <f>(B116-B115)/B115</f>
        <v>9.0819596831902757E-3</v>
      </c>
      <c r="C189">
        <f>(C116-C115)/C115</f>
        <v>-1.7357790213777982E-3</v>
      </c>
      <c r="D189">
        <f>(D116-D115)/D115</f>
        <v>3.9955601680497138E-2</v>
      </c>
      <c r="E189">
        <f>(E116-E115)/E115</f>
        <v>-2.074158177931172E-3</v>
      </c>
      <c r="F189">
        <f>(F116-F115)/F115</f>
        <v>-8.3187177953832989E-3</v>
      </c>
      <c r="G189">
        <f>(G116-G115)/G115</f>
        <v>-5.6761246854630451E-3</v>
      </c>
      <c r="H189">
        <f>(H116-H115)/H115</f>
        <v>7.9784048766694232E-2</v>
      </c>
      <c r="I189">
        <f>(I116-I115)/I115</f>
        <v>-4.6831762807134714E-3</v>
      </c>
      <c r="J189">
        <f>(J116-J115)/J115</f>
        <v>2.7584414423190644E-2</v>
      </c>
      <c r="K189">
        <f>(K116-K115)/K115</f>
        <v>-3.8005067191466011E-3</v>
      </c>
      <c r="L189">
        <f>(L116-L115)/L115</f>
        <v>2.9382252866234273E-3</v>
      </c>
      <c r="M189">
        <f>(M116-M115)/M115</f>
        <v>1.6617573359341536E-2</v>
      </c>
      <c r="N189">
        <f>(N116-N115)/N115</f>
        <v>4.8188905796840889E-2</v>
      </c>
      <c r="O189">
        <f>(O116-O115)/O115</f>
        <v>2.8809017047844589E-2</v>
      </c>
      <c r="P189">
        <f>(P116-P115)/P115</f>
        <v>9.1898932178696865E-4</v>
      </c>
      <c r="Q189">
        <f>(Q116-Q115)/Q115</f>
        <v>3.0830543847801123E-2</v>
      </c>
      <c r="R189">
        <f>(R116-R115)/R115</f>
        <v>1.233870007112387E-2</v>
      </c>
      <c r="S189">
        <f>(S116-S115)/S115</f>
        <v>5.3174129507164755E-2</v>
      </c>
      <c r="T189">
        <f>(T116-T115)/T115</f>
        <v>-1.7742041807211596E-2</v>
      </c>
      <c r="U189">
        <f>(U116-U115)/U115</f>
        <v>2.4240317861098822E-2</v>
      </c>
      <c r="V189">
        <f>(V116-V115)/V115</f>
        <v>2.0666137785524161E-2</v>
      </c>
      <c r="W189">
        <f>(W116-W115)/W115</f>
        <v>5.7774189622136979E-3</v>
      </c>
      <c r="X189">
        <f>(X116-X115)/X115</f>
        <v>2.3526966914444183E-3</v>
      </c>
      <c r="Y189">
        <f>(Y116-Y115)/Y115</f>
        <v>-1.7416754318435559E-2</v>
      </c>
      <c r="Z189">
        <f>(Z116-Z115)/Z115</f>
        <v>7.7873613310770667E-2</v>
      </c>
      <c r="AA189">
        <f>(AA116-AA115)/AA115</f>
        <v>-2.4436714486229748E-3</v>
      </c>
    </row>
    <row r="190" spans="1:27" x14ac:dyDescent="0.2">
      <c r="A190">
        <v>2086</v>
      </c>
      <c r="B190">
        <f>(B117-B116)/B116</f>
        <v>8.4682911965931907E-3</v>
      </c>
      <c r="C190">
        <f>(C117-C116)/C116</f>
        <v>-2.641742479873822E-3</v>
      </c>
      <c r="D190">
        <f>(D117-D116)/D116</f>
        <v>3.9290616295245023E-2</v>
      </c>
      <c r="E190">
        <f>(E117-E116)/E116</f>
        <v>-2.587768682445599E-3</v>
      </c>
      <c r="F190">
        <f>(F117-F116)/F116</f>
        <v>-8.1523414451885184E-3</v>
      </c>
      <c r="G190">
        <f>(G117-G116)/G116</f>
        <v>-5.3349540453366522E-3</v>
      </c>
      <c r="H190">
        <f>(H117-H116)/H116</f>
        <v>7.7740454029827821E-2</v>
      </c>
      <c r="I190">
        <f>(I117-I116)/I116</f>
        <v>-5.5533100964192846E-3</v>
      </c>
      <c r="J190">
        <f>(J117-J116)/J116</f>
        <v>2.6363898716282037E-2</v>
      </c>
      <c r="K190">
        <f>(K117-K116)/K116</f>
        <v>-3.5749564814238372E-3</v>
      </c>
      <c r="L190">
        <f>(L117-L116)/L116</f>
        <v>2.8776182636102913E-3</v>
      </c>
      <c r="M190">
        <f>(M117-M116)/M116</f>
        <v>1.6311116446855498E-2</v>
      </c>
      <c r="N190">
        <f>(N117-N116)/N116</f>
        <v>4.7303135382354186E-2</v>
      </c>
      <c r="O190">
        <f>(O117-O116)/O116</f>
        <v>2.7726294303777974E-2</v>
      </c>
      <c r="P190">
        <f>(P117-P116)/P116</f>
        <v>-6.7716001659419184E-5</v>
      </c>
      <c r="Q190">
        <f>(Q117-Q116)/Q116</f>
        <v>2.9754189487295694E-2</v>
      </c>
      <c r="R190">
        <f>(R117-R116)/R116</f>
        <v>1.0723782907127872E-2</v>
      </c>
      <c r="S190">
        <f>(S117-S116)/S116</f>
        <v>5.0696295293260675E-2</v>
      </c>
      <c r="T190">
        <f>(T117-T116)/T116</f>
        <v>-1.7852998275814439E-2</v>
      </c>
      <c r="U190">
        <f>(U117-U116)/U116</f>
        <v>2.3531051502002687E-2</v>
      </c>
      <c r="V190">
        <f>(V117-V116)/V116</f>
        <v>1.9864810759446152E-2</v>
      </c>
      <c r="W190">
        <f>(W117-W116)/W116</f>
        <v>5.4998453820953638E-3</v>
      </c>
      <c r="X190">
        <f>(X117-X116)/X116</f>
        <v>1.3092626131309434E-3</v>
      </c>
      <c r="Y190">
        <f>(Y117-Y116)/Y116</f>
        <v>-1.741157915163638E-2</v>
      </c>
      <c r="Z190">
        <f>(Z117-Z116)/Z116</f>
        <v>7.568597229954778E-2</v>
      </c>
      <c r="AA190">
        <f>(AA117-AA116)/AA116</f>
        <v>-2.9201340087292899E-3</v>
      </c>
    </row>
    <row r="191" spans="1:27" x14ac:dyDescent="0.2">
      <c r="A191">
        <v>2087</v>
      </c>
      <c r="B191">
        <f>(B118-B117)/B117</f>
        <v>7.9917844428821858E-3</v>
      </c>
      <c r="C191">
        <f>(C118-C117)/C117</f>
        <v>-2.9292522700293359E-3</v>
      </c>
      <c r="D191">
        <f>(D118-D117)/D117</f>
        <v>3.9074165518450332E-2</v>
      </c>
      <c r="E191">
        <f>(E118-E117)/E117</f>
        <v>-2.6514072663836106E-3</v>
      </c>
      <c r="F191">
        <f>(F118-F117)/F117</f>
        <v>-8.4185116553181331E-3</v>
      </c>
      <c r="G191">
        <f>(G118-G117)/G117</f>
        <v>-5.5400643392130413E-3</v>
      </c>
      <c r="H191">
        <f>(H118-H117)/H117</f>
        <v>7.6740466929823906E-2</v>
      </c>
      <c r="I191">
        <f>(I118-I117)/I117</f>
        <v>-6.1526412936106683E-3</v>
      </c>
      <c r="J191">
        <f>(J118-J117)/J117</f>
        <v>2.5680205117643257E-2</v>
      </c>
      <c r="K191">
        <f>(K118-K117)/K117</f>
        <v>-3.8484817426121761E-3</v>
      </c>
      <c r="L191">
        <f>(L118-L117)/L117</f>
        <v>2.7305582193271356E-3</v>
      </c>
      <c r="M191">
        <f>(M118-M117)/M117</f>
        <v>1.6338606735749453E-2</v>
      </c>
      <c r="N191">
        <f>(N118-N117)/N117</f>
        <v>4.6895040009720133E-2</v>
      </c>
      <c r="O191">
        <f>(O118-O117)/O117</f>
        <v>2.7158541951567243E-2</v>
      </c>
      <c r="P191">
        <f>(P118-P117)/P117</f>
        <v>-4.0475717823501578E-4</v>
      </c>
      <c r="Q191">
        <f>(Q118-Q117)/Q117</f>
        <v>2.9121641735871923E-2</v>
      </c>
      <c r="R191">
        <f>(R118-R117)/R117</f>
        <v>9.7530051256598388E-3</v>
      </c>
      <c r="S191">
        <f>(S118-S117)/S117</f>
        <v>4.9648074990810538E-2</v>
      </c>
      <c r="T191">
        <f>(T118-T117)/T117</f>
        <v>-1.799002510030797E-2</v>
      </c>
      <c r="U191">
        <f>(U118-U117)/U117</f>
        <v>2.3022811517874834E-2</v>
      </c>
      <c r="V191">
        <f>(V118-V117)/V117</f>
        <v>1.9458985608349653E-2</v>
      </c>
      <c r="W191">
        <f>(W118-W117)/W117</f>
        <v>5.4540725556807392E-3</v>
      </c>
      <c r="X191">
        <f>(X118-X117)/X117</f>
        <v>8.7689714489901874E-4</v>
      </c>
      <c r="Y191">
        <f>(Y118-Y117)/Y117</f>
        <v>-1.7597945890362954E-2</v>
      </c>
      <c r="Z191">
        <f>(Z118-Z117)/Z117</f>
        <v>7.4805583509285872E-2</v>
      </c>
      <c r="AA191">
        <f>(AA118-AA117)/AA117</f>
        <v>-3.0424664494008414E-3</v>
      </c>
    </row>
    <row r="192" spans="1:27" x14ac:dyDescent="0.2">
      <c r="A192">
        <v>2088</v>
      </c>
      <c r="B192">
        <f>(B119-B118)/B118</f>
        <v>7.5400480648767062E-3</v>
      </c>
      <c r="C192">
        <f>(C119-C118)/C118</f>
        <v>-3.0828851758344304E-3</v>
      </c>
      <c r="D192">
        <f>(D119-D118)/D118</f>
        <v>3.8862533804377833E-2</v>
      </c>
      <c r="E192">
        <f>(E119-E118)/E118</f>
        <v>-2.6876537105461453E-3</v>
      </c>
      <c r="F192">
        <f>(F119-F118)/F118</f>
        <v>-8.6959382716567078E-3</v>
      </c>
      <c r="G192">
        <f>(G119-G118)/G118</f>
        <v>-5.7157919811226402E-3</v>
      </c>
      <c r="H192">
        <f>(H119-H118)/H118</f>
        <v>7.5728009309898897E-2</v>
      </c>
      <c r="I192">
        <f>(I119-I118)/I118</f>
        <v>-6.7490317561435548E-3</v>
      </c>
      <c r="J192">
        <f>(J119-J118)/J118</f>
        <v>2.5048408169572829E-2</v>
      </c>
      <c r="K192">
        <f>(K119-K118)/K118</f>
        <v>-4.1252592514198789E-3</v>
      </c>
      <c r="L192">
        <f>(L119-L118)/L118</f>
        <v>2.6048966295285809E-3</v>
      </c>
      <c r="M192">
        <f>(M119-M118)/M118</f>
        <v>1.6387487579366557E-2</v>
      </c>
      <c r="N192">
        <f>(N119-N118)/N118</f>
        <v>4.6492220859563761E-2</v>
      </c>
      <c r="O192">
        <f>(O119-O118)/O118</f>
        <v>2.6608637408295006E-2</v>
      </c>
      <c r="P192">
        <f>(P119-P118)/P118</f>
        <v>-7.4009052223105571E-4</v>
      </c>
      <c r="Q192">
        <f>(Q119-Q118)/Q118</f>
        <v>2.8525309865711342E-2</v>
      </c>
      <c r="R192">
        <f>(R119-R118)/R118</f>
        <v>8.8216845319570303E-3</v>
      </c>
      <c r="S192">
        <f>(S119-S118)/S118</f>
        <v>4.8657573563664652E-2</v>
      </c>
      <c r="T192">
        <f>(T119-T118)/T118</f>
        <v>-1.8148642961876859E-2</v>
      </c>
      <c r="U192">
        <f>(U119-U118)/U118</f>
        <v>2.2549002280496163E-2</v>
      </c>
      <c r="V192">
        <f>(V119-V118)/V118</f>
        <v>1.9059858002525507E-2</v>
      </c>
      <c r="W192">
        <f>(W119-W118)/W118</f>
        <v>5.3773556048741121E-3</v>
      </c>
      <c r="X192">
        <f>(X119-X118)/X118</f>
        <v>5.2634571750506578E-4</v>
      </c>
      <c r="Y192">
        <f>(Y119-Y118)/Y118</f>
        <v>-1.7780767123703512E-2</v>
      </c>
      <c r="Z192">
        <f>(Z119-Z118)/Z118</f>
        <v>7.3737570858868118E-2</v>
      </c>
      <c r="AA192">
        <f>(AA119-AA118)/AA118</f>
        <v>-3.1390016338296339E-3</v>
      </c>
    </row>
    <row r="193" spans="1:27" x14ac:dyDescent="0.2">
      <c r="A193">
        <v>2089</v>
      </c>
      <c r="B193">
        <f>(B120-B119)/B119</f>
        <v>7.1099881430000999E-3</v>
      </c>
      <c r="C193">
        <f>(C120-C119)/C119</f>
        <v>-3.3928498248425431E-3</v>
      </c>
      <c r="D193">
        <f>(D120-D119)/D119</f>
        <v>3.8651749692191276E-2</v>
      </c>
      <c r="E193">
        <f>(E120-E119)/E119</f>
        <v>-2.6750622612055491E-3</v>
      </c>
      <c r="F193">
        <f>(F120-F119)/F119</f>
        <v>-8.9807552496484339E-3</v>
      </c>
      <c r="G193">
        <f>(G120-G119)/G119</f>
        <v>-6.0330838349909226E-3</v>
      </c>
      <c r="H193">
        <f>(H120-H119)/H119</f>
        <v>7.4694797441446997E-2</v>
      </c>
      <c r="I193">
        <f>(I120-I119)/I119</f>
        <v>-7.3427829946818681E-3</v>
      </c>
      <c r="J193">
        <f>(J120-J119)/J119</f>
        <v>2.4388771424789551E-2</v>
      </c>
      <c r="K193">
        <f>(K120-K119)/K119</f>
        <v>-4.3890127294841184E-3</v>
      </c>
      <c r="L193">
        <f>(L120-L119)/L119</f>
        <v>2.526211143935077E-3</v>
      </c>
      <c r="M193">
        <f>(M120-M119)/M119</f>
        <v>1.6505969670441784E-2</v>
      </c>
      <c r="N193">
        <f>(N120-N119)/N119</f>
        <v>4.6089813611182036E-2</v>
      </c>
      <c r="O193">
        <f>(O120-O119)/O119</f>
        <v>2.6068735774226318E-2</v>
      </c>
      <c r="P193">
        <f>(P120-P119)/P119</f>
        <v>-1.0128851624474024E-3</v>
      </c>
      <c r="Q193">
        <f>(Q120-Q119)/Q119</f>
        <v>2.796588391256552E-2</v>
      </c>
      <c r="R193">
        <f>(R120-R119)/R119</f>
        <v>7.9359448532868044E-3</v>
      </c>
      <c r="S193">
        <f>(S120-S119)/S119</f>
        <v>4.771777468266606E-2</v>
      </c>
      <c r="T193">
        <f>(T120-T119)/T119</f>
        <v>-1.8288805978361966E-2</v>
      </c>
      <c r="U193">
        <f>(U120-U119)/U119</f>
        <v>2.2101783996489467E-2</v>
      </c>
      <c r="V193">
        <f>(V120-V119)/V119</f>
        <v>1.8660916139480548E-2</v>
      </c>
      <c r="W193">
        <f>(W120-W119)/W119</f>
        <v>5.2884656733681434E-3</v>
      </c>
      <c r="X193">
        <f>(X120-X119)/X119</f>
        <v>2.0320781304450998E-4</v>
      </c>
      <c r="Y193">
        <f>(Y120-Y119)/Y119</f>
        <v>-1.7966438740827814E-2</v>
      </c>
      <c r="Z193">
        <f>(Z120-Z119)/Z119</f>
        <v>7.2786158698627632E-2</v>
      </c>
      <c r="AA193">
        <f>(AA120-AA119)/AA119</f>
        <v>-3.2281573503934306E-3</v>
      </c>
    </row>
    <row r="194" spans="1:27" x14ac:dyDescent="0.2">
      <c r="A194">
        <v>2090</v>
      </c>
      <c r="B194">
        <f>(B121-B120)/B120</f>
        <v>6.7014631487864297E-3</v>
      </c>
      <c r="C194">
        <f>(C121-C120)/C120</f>
        <v>-3.7361139393710099E-3</v>
      </c>
      <c r="D194">
        <f>(D121-D120)/D120</f>
        <v>3.843560050563033E-2</v>
      </c>
      <c r="E194">
        <f>(E121-E120)/E120</f>
        <v>-2.6758670350199138E-3</v>
      </c>
      <c r="F194">
        <f>(F121-F120)/F120</f>
        <v>-9.2614774576723156E-3</v>
      </c>
      <c r="G194">
        <f>(G121-G120)/G120</f>
        <v>-6.3527468012404354E-3</v>
      </c>
      <c r="H194">
        <f>(H121-H120)/H120</f>
        <v>7.3691510641919325E-2</v>
      </c>
      <c r="I194">
        <f>(I121-I120)/I120</f>
        <v>-7.9297684679054785E-3</v>
      </c>
      <c r="J194">
        <f>(J121-J120)/J120</f>
        <v>2.3845711654093698E-2</v>
      </c>
      <c r="K194">
        <f>(K121-K120)/K120</f>
        <v>-4.6524021678163502E-3</v>
      </c>
      <c r="L194">
        <f>(L121-L120)/L120</f>
        <v>2.49288256590055E-3</v>
      </c>
      <c r="M194">
        <f>(M121-M120)/M120</f>
        <v>1.6497870546948502E-2</v>
      </c>
      <c r="N194">
        <f>(N121-N120)/N120</f>
        <v>4.5681910197320263E-2</v>
      </c>
      <c r="O194">
        <f>(O121-O120)/O120</f>
        <v>2.5537421191849641E-2</v>
      </c>
      <c r="P194">
        <f>(P121-P120)/P120</f>
        <v>-1.2642659822559212E-3</v>
      </c>
      <c r="Q194">
        <f>(Q121-Q120)/Q120</f>
        <v>2.7440221029611373E-2</v>
      </c>
      <c r="R194">
        <f>(R121-R120)/R120</f>
        <v>7.1003245254849211E-3</v>
      </c>
      <c r="S194">
        <f>(S121-S120)/S120</f>
        <v>4.682234649152351E-2</v>
      </c>
      <c r="T194">
        <f>(T121-T120)/T120</f>
        <v>-1.843923369478434E-2</v>
      </c>
      <c r="U194">
        <f>(U121-U120)/U120</f>
        <v>2.161020624914655E-2</v>
      </c>
      <c r="V194">
        <f>(V121-V120)/V120</f>
        <v>1.8265263713239523E-2</v>
      </c>
      <c r="W194">
        <f>(W121-W120)/W120</f>
        <v>5.1815065439033301E-3</v>
      </c>
      <c r="X194">
        <f>(X121-X120)/X120</f>
        <v>-9.8830277821587066E-5</v>
      </c>
      <c r="Y194">
        <f>(Y121-Y120)/Y120</f>
        <v>-1.8133278966628304E-2</v>
      </c>
      <c r="Z194">
        <f>(Z121-Z120)/Z120</f>
        <v>7.2015230613522441E-2</v>
      </c>
      <c r="AA194">
        <f>(AA121-AA120)/AA120</f>
        <v>-3.2981636701598905E-3</v>
      </c>
    </row>
    <row r="195" spans="1:27" x14ac:dyDescent="0.2">
      <c r="A195">
        <v>2091</v>
      </c>
      <c r="B195">
        <f>(B122-B121)/B121</f>
        <v>6.3997355891343291E-3</v>
      </c>
      <c r="C195">
        <f>(C122-C121)/C121</f>
        <v>-4.6704269756377382E-3</v>
      </c>
      <c r="D195">
        <f>(D122-D121)/D121</f>
        <v>3.7895132354375263E-2</v>
      </c>
      <c r="E195">
        <f>(E122-E121)/E121</f>
        <v>-3.0629894474789266E-3</v>
      </c>
      <c r="F195">
        <f>(F122-F121)/F121</f>
        <v>-9.1396324725291703E-3</v>
      </c>
      <c r="G195">
        <f>(G122-G121)/G121</f>
        <v>-5.8663710763414258E-3</v>
      </c>
      <c r="H195">
        <f>(H122-H121)/H121</f>
        <v>7.1815969027651902E-2</v>
      </c>
      <c r="I195">
        <f>(I122-I121)/I121</f>
        <v>-8.6961215544370078E-3</v>
      </c>
      <c r="J195">
        <f>(J122-J121)/J121</f>
        <v>2.2916151962048485E-2</v>
      </c>
      <c r="K195">
        <f>(K122-K121)/K121</f>
        <v>-4.7120733131280476E-3</v>
      </c>
      <c r="L195">
        <f>(L122-L121)/L121</f>
        <v>2.5619160376727976E-3</v>
      </c>
      <c r="M195">
        <f>(M122-M121)/M121</f>
        <v>1.6135406985562099E-2</v>
      </c>
      <c r="N195">
        <f>(N122-N121)/N121</f>
        <v>4.482492297065873E-2</v>
      </c>
      <c r="O195">
        <f>(O122-O121)/O121</f>
        <v>2.4379930072458166E-2</v>
      </c>
      <c r="P195">
        <f>(P122-P121)/P121</f>
        <v>-2.0876315539861885E-3</v>
      </c>
      <c r="Q195">
        <f>(Q122-Q121)/Q121</f>
        <v>2.6645701433112682E-2</v>
      </c>
      <c r="R195">
        <f>(R122-R121)/R121</f>
        <v>5.7722995585253222E-3</v>
      </c>
      <c r="S195">
        <f>(S122-S121)/S121</f>
        <v>4.4968055594953198E-2</v>
      </c>
      <c r="T195">
        <f>(T122-T121)/T121</f>
        <v>-1.8601131994008993E-2</v>
      </c>
      <c r="U195">
        <f>(U122-U121)/U121</f>
        <v>2.0998326680045799E-2</v>
      </c>
      <c r="V195">
        <f>(V122-V121)/V121</f>
        <v>1.7611947135478406E-2</v>
      </c>
      <c r="W195">
        <f>(W122-W121)/W121</f>
        <v>4.8880357196309189E-3</v>
      </c>
      <c r="X195">
        <f>(X122-X121)/X121</f>
        <v>-7.8340810097828019E-4</v>
      </c>
      <c r="Y195">
        <f>(Y122-Y121)/Y121</f>
        <v>-1.8215225212741923E-2</v>
      </c>
      <c r="Z195">
        <f>(Z122-Z121)/Z121</f>
        <v>7.0032689487556032E-2</v>
      </c>
      <c r="AA195">
        <f>(AA122-AA121)/AA121</f>
        <v>-3.6972090615010581E-3</v>
      </c>
    </row>
    <row r="196" spans="1:27" x14ac:dyDescent="0.2">
      <c r="A196">
        <v>2092</v>
      </c>
      <c r="B196">
        <f>(B123-B122)/B122</f>
        <v>6.0292585340403562E-3</v>
      </c>
      <c r="C196">
        <f>(C123-C122)/C122</f>
        <v>-5.0331485342923737E-3</v>
      </c>
      <c r="D196">
        <f>(D123-D122)/D122</f>
        <v>3.767461865657612E-2</v>
      </c>
      <c r="E196">
        <f>(E123-E122)/E122</f>
        <v>-3.1362916294771157E-3</v>
      </c>
      <c r="F196">
        <f>(F123-F122)/F122</f>
        <v>-9.3960101635342137E-3</v>
      </c>
      <c r="G196">
        <f>(G123-G122)/G122</f>
        <v>-6.1254721820033445E-3</v>
      </c>
      <c r="H196">
        <f>(H123-H122)/H122</f>
        <v>7.0905944937603466E-2</v>
      </c>
      <c r="I196">
        <f>(I123-I122)/I122</f>
        <v>-9.2761582009353426E-3</v>
      </c>
      <c r="J196">
        <f>(J123-J122)/J122</f>
        <v>2.2446947544669603E-2</v>
      </c>
      <c r="K196">
        <f>(K123-K122)/K122</f>
        <v>-4.9713495018312761E-3</v>
      </c>
      <c r="L196">
        <f>(L123-L122)/L122</f>
        <v>2.6656568649790703E-3</v>
      </c>
      <c r="M196">
        <f>(M123-M122)/M122</f>
        <v>1.5962125364248243E-2</v>
      </c>
      <c r="N196">
        <f>(N123-N122)/N122</f>
        <v>4.4412776642290076E-2</v>
      </c>
      <c r="O196">
        <f>(O123-O122)/O122</f>
        <v>2.3870353531081679E-2</v>
      </c>
      <c r="P196">
        <f>(P123-P122)/P122</f>
        <v>-2.2494269655786814E-3</v>
      </c>
      <c r="Q196">
        <f>(Q123-Q122)/Q122</f>
        <v>2.6034833226871692E-2</v>
      </c>
      <c r="R196">
        <f>(R123-R122)/R122</f>
        <v>5.006056022312696E-3</v>
      </c>
      <c r="S196">
        <f>(S123-S122)/S122</f>
        <v>4.4166536155527562E-2</v>
      </c>
      <c r="T196">
        <f>(T123-T122)/T122</f>
        <v>-1.8701067296129033E-2</v>
      </c>
      <c r="U196">
        <f>(U123-U122)/U122</f>
        <v>2.0567293644303486E-2</v>
      </c>
      <c r="V196">
        <f>(V123-V122)/V122</f>
        <v>1.7221444102629307E-2</v>
      </c>
      <c r="W196">
        <f>(W123-W122)/W122</f>
        <v>4.7549371026385607E-3</v>
      </c>
      <c r="X196">
        <f>(X123-X122)/X122</f>
        <v>-1.1050965024628093E-3</v>
      </c>
      <c r="Y196">
        <f>(Y123-Y122)/Y122</f>
        <v>-1.8384018582952927E-2</v>
      </c>
      <c r="Z196">
        <f>(Z123-Z122)/Z122</f>
        <v>6.9384740880683221E-2</v>
      </c>
      <c r="AA196">
        <f>(AA123-AA122)/AA122</f>
        <v>-3.7481307561470058E-3</v>
      </c>
    </row>
    <row r="197" spans="1:27" x14ac:dyDescent="0.2">
      <c r="A197">
        <v>2093</v>
      </c>
      <c r="B197">
        <f>(B124-B123)/B123</f>
        <v>5.6960941088764622E-3</v>
      </c>
      <c r="C197">
        <f>(C124-C123)/C123</f>
        <v>-5.4111634550263578E-3</v>
      </c>
      <c r="D197">
        <f>(D124-D123)/D123</f>
        <v>3.7443694118754908E-2</v>
      </c>
      <c r="E197">
        <f>(E124-E123)/E123</f>
        <v>-3.2493228756067514E-3</v>
      </c>
      <c r="F197">
        <f>(F124-F123)/F123</f>
        <v>-9.648328186012519E-3</v>
      </c>
      <c r="G197">
        <f>(G124-G123)/G123</f>
        <v>-6.3949142397739115E-3</v>
      </c>
      <c r="H197">
        <f>(H124-H123)/H123</f>
        <v>7.0012675121239071E-2</v>
      </c>
      <c r="I197">
        <f>(I124-I123)/I123</f>
        <v>-9.843242784771538E-3</v>
      </c>
      <c r="J197">
        <f>(J124-J123)/J123</f>
        <v>2.2006118174587506E-2</v>
      </c>
      <c r="K197">
        <f>(K124-K123)/K123</f>
        <v>-5.218572563775661E-3</v>
      </c>
      <c r="L197">
        <f>(L124-L123)/L123</f>
        <v>2.8325410730328836E-3</v>
      </c>
      <c r="M197">
        <f>(M124-M123)/M123</f>
        <v>1.5664990134916602E-2</v>
      </c>
      <c r="N197">
        <f>(N124-N123)/N123</f>
        <v>4.3988744196409912E-2</v>
      </c>
      <c r="O197">
        <f>(O124-O123)/O123</f>
        <v>2.3362826154977361E-2</v>
      </c>
      <c r="P197">
        <f>(P124-P123)/P123</f>
        <v>-2.4553533168541167E-3</v>
      </c>
      <c r="Q197">
        <f>(Q124-Q123)/Q123</f>
        <v>2.5477255783057033E-2</v>
      </c>
      <c r="R197">
        <f>(R124-R123)/R123</f>
        <v>4.2829117556004879E-3</v>
      </c>
      <c r="S197">
        <f>(S124-S123)/S123</f>
        <v>4.338868849135389E-2</v>
      </c>
      <c r="T197">
        <f>(T124-T123)/T123</f>
        <v>-1.8775553865635446E-2</v>
      </c>
      <c r="U197">
        <f>(U124-U123)/U123</f>
        <v>2.0179867840315103E-2</v>
      </c>
      <c r="V197">
        <f>(V124-V123)/V123</f>
        <v>1.6828674429778853E-2</v>
      </c>
      <c r="W197">
        <f>(W124-W123)/W123</f>
        <v>4.6169307097162597E-3</v>
      </c>
      <c r="X197">
        <f>(X124-X123)/X123</f>
        <v>-1.3859930505688524E-3</v>
      </c>
      <c r="Y197">
        <f>(Y124-Y123)/Y123</f>
        <v>-1.8575136761002212E-2</v>
      </c>
      <c r="Z197">
        <f>(Z124-Z123)/Z123</f>
        <v>6.8718630354337923E-2</v>
      </c>
      <c r="AA197">
        <f>(AA124-AA123)/AA123</f>
        <v>-3.797414186102454E-3</v>
      </c>
    </row>
    <row r="198" spans="1:27" x14ac:dyDescent="0.2">
      <c r="A198">
        <v>2094</v>
      </c>
      <c r="B198">
        <f>(B125-B124)/B124</f>
        <v>5.3999099790002668E-3</v>
      </c>
      <c r="C198">
        <f>(C125-C124)/C124</f>
        <v>-5.6261425406183329E-3</v>
      </c>
      <c r="D198">
        <f>(D125-D124)/D124</f>
        <v>3.7207030580335088E-2</v>
      </c>
      <c r="E198">
        <f>(E125-E124)/E124</f>
        <v>-3.3917183569343781E-3</v>
      </c>
      <c r="F198">
        <f>(F125-F124)/F124</f>
        <v>-9.8836842702944294E-3</v>
      </c>
      <c r="G198">
        <f>(G125-G124)/G124</f>
        <v>-6.6808511484560892E-3</v>
      </c>
      <c r="H198">
        <f>(H125-H124)/H124</f>
        <v>6.8931872930863558E-2</v>
      </c>
      <c r="I198">
        <f>(I125-I124)/I124</f>
        <v>-1.0398535634606177E-2</v>
      </c>
      <c r="J198">
        <f>(J125-J124)/J124</f>
        <v>2.1581962662870487E-2</v>
      </c>
      <c r="K198">
        <f>(K125-K124)/K124</f>
        <v>-5.4687119560441573E-3</v>
      </c>
      <c r="L198">
        <f>(L125-L124)/L124</f>
        <v>3.0604064841736759E-3</v>
      </c>
      <c r="M198">
        <f>(M125-M124)/M124</f>
        <v>1.5282947180082822E-2</v>
      </c>
      <c r="N198">
        <f>(N125-N124)/N124</f>
        <v>4.3554140942097079E-2</v>
      </c>
      <c r="O198">
        <f>(O125-O124)/O124</f>
        <v>2.2856242606153647E-2</v>
      </c>
      <c r="P198">
        <f>(P125-P124)/P124</f>
        <v>-2.5712528951130501E-3</v>
      </c>
      <c r="Q198">
        <f>(Q125-Q124)/Q124</f>
        <v>2.4985794829972627E-2</v>
      </c>
      <c r="R198">
        <f>(R125-R124)/R124</f>
        <v>3.6067623708827936E-3</v>
      </c>
      <c r="S198">
        <f>(S125-S124)/S124</f>
        <v>4.2629094143825458E-2</v>
      </c>
      <c r="T198">
        <f>(T125-T124)/T124</f>
        <v>-1.8872020812986046E-2</v>
      </c>
      <c r="U198">
        <f>(U125-U124)/U124</f>
        <v>1.9773522829803214E-2</v>
      </c>
      <c r="V198">
        <f>(V125-V124)/V124</f>
        <v>1.6441443072507094E-2</v>
      </c>
      <c r="W198">
        <f>(W125-W124)/W124</f>
        <v>4.4770298470943812E-3</v>
      </c>
      <c r="X198">
        <f>(X125-X124)/X124</f>
        <v>-1.6541547841540233E-3</v>
      </c>
      <c r="Y198">
        <f>(Y125-Y124)/Y124</f>
        <v>-1.8779396176243593E-2</v>
      </c>
      <c r="Z198">
        <f>(Z125-Z124)/Z124</f>
        <v>6.8041544487300362E-2</v>
      </c>
      <c r="AA198">
        <f>(AA125-AA124)/AA124</f>
        <v>-3.8542954759828367E-3</v>
      </c>
    </row>
    <row r="199" spans="1:27" x14ac:dyDescent="0.2">
      <c r="A199">
        <v>2095</v>
      </c>
      <c r="B199">
        <f>(B126-B125)/B125</f>
        <v>5.1318415185949819E-3</v>
      </c>
      <c r="C199">
        <f>(C126-C125)/C125</f>
        <v>-5.7416165425549434E-3</v>
      </c>
      <c r="D199">
        <f>(D126-D125)/D125</f>
        <v>3.6953791389966489E-2</v>
      </c>
      <c r="E199">
        <f>(E126-E125)/E125</f>
        <v>-3.5681507777473205E-3</v>
      </c>
      <c r="F199">
        <f>(F126-F125)/F125</f>
        <v>-1.0098310479637702E-2</v>
      </c>
      <c r="G199">
        <f>(G126-G125)/G125</f>
        <v>-6.959682405861767E-3</v>
      </c>
      <c r="H199">
        <f>(H126-H125)/H125</f>
        <v>6.7936153138962174E-2</v>
      </c>
      <c r="I199">
        <f>(I126-I125)/I125</f>
        <v>-1.0951493088121347E-2</v>
      </c>
      <c r="J199">
        <f>(J126-J125)/J125</f>
        <v>2.1176871036163485E-2</v>
      </c>
      <c r="K199">
        <f>(K126-K125)/K125</f>
        <v>-5.732751507167756E-3</v>
      </c>
      <c r="L199">
        <f>(L126-L125)/L125</f>
        <v>3.37685686081609E-3</v>
      </c>
      <c r="M199">
        <f>(M126-M125)/M125</f>
        <v>1.4807309219171604E-2</v>
      </c>
      <c r="N199">
        <f>(N126-N125)/N125</f>
        <v>4.3111498620991284E-2</v>
      </c>
      <c r="O199">
        <f>(O126-O125)/O125</f>
        <v>2.2360876077304723E-2</v>
      </c>
      <c r="P199">
        <f>(P126-P125)/P125</f>
        <v>-2.7386540476408852E-3</v>
      </c>
      <c r="Q199">
        <f>(Q126-Q125)/Q125</f>
        <v>2.4555681280807075E-2</v>
      </c>
      <c r="R199">
        <f>(R126-R125)/R125</f>
        <v>2.9886984357196437E-3</v>
      </c>
      <c r="S199">
        <f>(S126-S125)/S125</f>
        <v>4.2011183701866919E-2</v>
      </c>
      <c r="T199">
        <f>(T126-T125)/T125</f>
        <v>-1.8960237957679558E-2</v>
      </c>
      <c r="U199">
        <f>(U126-U125)/U125</f>
        <v>1.9400899358240197E-2</v>
      </c>
      <c r="V199">
        <f>(V126-V125)/V125</f>
        <v>1.6056202153811299E-2</v>
      </c>
      <c r="W199">
        <f>(W126-W125)/W125</f>
        <v>4.3372902980128528E-3</v>
      </c>
      <c r="X199">
        <f>(X126-X125)/X125</f>
        <v>-1.8839105857676548E-3</v>
      </c>
      <c r="Y199">
        <f>(Y126-Y125)/Y125</f>
        <v>-1.8992141555395768E-2</v>
      </c>
      <c r="Z199">
        <f>(Z126-Z125)/Z125</f>
        <v>6.7346539876938158E-2</v>
      </c>
      <c r="AA199">
        <f>(AA126-AA125)/AA125</f>
        <v>-3.912209765982398E-3</v>
      </c>
    </row>
    <row r="200" spans="1:27" x14ac:dyDescent="0.2">
      <c r="A200">
        <v>2096</v>
      </c>
      <c r="B200">
        <f>(B127-B126)/B126</f>
        <v>5.0729606295835351E-3</v>
      </c>
      <c r="C200">
        <f>(C127-C126)/C126</f>
        <v>-6.2499630820389302E-3</v>
      </c>
      <c r="D200">
        <f>(D127-D126)/D126</f>
        <v>3.6534331844583372E-2</v>
      </c>
      <c r="E200">
        <f>(E127-E126)/E126</f>
        <v>-4.2516329243603504E-3</v>
      </c>
      <c r="F200">
        <f>(F127-F126)/F126</f>
        <v>-1.0079609774147836E-2</v>
      </c>
      <c r="G200">
        <f>(G127-G126)/G126</f>
        <v>-6.7878127688100077E-3</v>
      </c>
      <c r="H200">
        <f>(H127-H126)/H126</f>
        <v>6.6259540278815587E-2</v>
      </c>
      <c r="I200">
        <f>(I127-I126)/I126</f>
        <v>-1.1560565989319137E-2</v>
      </c>
      <c r="J200">
        <f>(J127-J126)/J126</f>
        <v>2.0460631290314911E-2</v>
      </c>
      <c r="K200">
        <f>(K127-K126)/K126</f>
        <v>-6.0542449493831774E-3</v>
      </c>
      <c r="L200">
        <f>(L127-L126)/L126</f>
        <v>4.3242321067259032E-3</v>
      </c>
      <c r="M200">
        <f>(M127-M126)/M126</f>
        <v>1.4006019578833566E-2</v>
      </c>
      <c r="N200">
        <f>(N127-N126)/N126</f>
        <v>4.216740730059234E-2</v>
      </c>
      <c r="O200">
        <f>(O127-O126)/O126</f>
        <v>2.1193392412027518E-2</v>
      </c>
      <c r="P200">
        <f>(P127-P126)/P126</f>
        <v>-3.1540520286671356E-3</v>
      </c>
      <c r="Q200">
        <f>(Q127-Q126)/Q126</f>
        <v>2.4003021556337267E-2</v>
      </c>
      <c r="R200">
        <f>(R127-R126)/R126</f>
        <v>1.9720884369810281E-3</v>
      </c>
      <c r="S200">
        <f>(S127-S126)/S126</f>
        <v>4.0140086252863312E-2</v>
      </c>
      <c r="T200">
        <f>(T127-T126)/T126</f>
        <v>-1.9491828233626149E-2</v>
      </c>
      <c r="U200">
        <f>(U127-U126)/U126</f>
        <v>1.8827003675465255E-2</v>
      </c>
      <c r="V200">
        <f>(V127-V126)/V126</f>
        <v>1.5551723757327399E-2</v>
      </c>
      <c r="W200">
        <f>(W127-W126)/W126</f>
        <v>4.082888201886385E-3</v>
      </c>
      <c r="X200">
        <f>(X127-X126)/X126</f>
        <v>-2.3971372815687333E-3</v>
      </c>
      <c r="Y200">
        <f>(Y127-Y126)/Y126</f>
        <v>-1.9397315476114833E-2</v>
      </c>
      <c r="Z200">
        <f>(Z127-Z126)/Z126</f>
        <v>6.5452092595390463E-2</v>
      </c>
      <c r="AA200">
        <f>(AA127-AA126)/AA126</f>
        <v>-4.3285517273001896E-3</v>
      </c>
    </row>
    <row r="201" spans="1:27" x14ac:dyDescent="0.2">
      <c r="A201">
        <v>2097</v>
      </c>
      <c r="B201">
        <f>(B128-B127)/B127</f>
        <v>4.8130993187363493E-3</v>
      </c>
      <c r="C201">
        <f>(C128-C127)/C127</f>
        <v>-6.4488338976841589E-3</v>
      </c>
      <c r="D201">
        <f>(D128-D127)/D127</f>
        <v>3.6244992652754819E-2</v>
      </c>
      <c r="E201">
        <f>(E128-E127)/E127</f>
        <v>-4.5124031662910529E-3</v>
      </c>
      <c r="F201">
        <f>(F128-F127)/F127</f>
        <v>-1.0209168110402263E-2</v>
      </c>
      <c r="G201">
        <f>(G128-G127)/G127</f>
        <v>-7.0701973126032517E-3</v>
      </c>
      <c r="H201">
        <f>(H128-H127)/H127</f>
        <v>6.5421824003255011E-2</v>
      </c>
      <c r="I201">
        <f>(I128-I127)/I127</f>
        <v>-1.2081159092949314E-2</v>
      </c>
      <c r="J201">
        <f>(J128-J127)/J127</f>
        <v>2.0081091003828575E-2</v>
      </c>
      <c r="K201">
        <f>(K128-K127)/K127</f>
        <v>-6.3109631376400055E-3</v>
      </c>
      <c r="L201">
        <f>(L128-L127)/L127</f>
        <v>4.8403343098314408E-3</v>
      </c>
      <c r="M201">
        <f>(M128-M127)/M127</f>
        <v>1.343062002232835E-2</v>
      </c>
      <c r="N201">
        <f>(N128-N127)/N127</f>
        <v>4.1717165107871719E-2</v>
      </c>
      <c r="O201">
        <f>(O128-O127)/O127</f>
        <v>2.0700550213120145E-2</v>
      </c>
      <c r="P201">
        <f>(P128-P127)/P127</f>
        <v>-3.3078941164561238E-3</v>
      </c>
      <c r="Q201">
        <f>(Q128-Q127)/Q127</f>
        <v>2.3661630248409116E-2</v>
      </c>
      <c r="R201">
        <f>(R128-R127)/R127</f>
        <v>1.38074019728468E-3</v>
      </c>
      <c r="S201">
        <f>(S128-S127)/S127</f>
        <v>3.9184313205206711E-2</v>
      </c>
      <c r="T201">
        <f>(T128-T127)/T127</f>
        <v>-1.9716764001497581E-2</v>
      </c>
      <c r="U201">
        <f>(U128-U127)/U127</f>
        <v>1.8455836298986485E-2</v>
      </c>
      <c r="V201">
        <f>(V128-V127)/V127</f>
        <v>1.5206193165546222E-2</v>
      </c>
      <c r="W201">
        <f>(W128-W127)/W127</f>
        <v>3.9619972636889883E-3</v>
      </c>
      <c r="X201">
        <f>(X128-X127)/X127</f>
        <v>-2.6099639520289885E-3</v>
      </c>
      <c r="Y201">
        <f>(Y128-Y127)/Y127</f>
        <v>-1.9635207384102564E-2</v>
      </c>
      <c r="Z201">
        <f>(Z128-Z127)/Z127</f>
        <v>6.4575639891749262E-2</v>
      </c>
      <c r="AA201">
        <f>(AA128-AA127)/AA127</f>
        <v>-4.3770543429599859E-3</v>
      </c>
    </row>
    <row r="202" spans="1:27" x14ac:dyDescent="0.2">
      <c r="A202">
        <v>2098</v>
      </c>
      <c r="B202">
        <f>(B129-B128)/B128</f>
        <v>4.5570872025981644E-3</v>
      </c>
      <c r="C202">
        <f>(C129-C128)/C128</f>
        <v>-6.5091332459024645E-3</v>
      </c>
      <c r="D202">
        <f>(D129-D128)/D128</f>
        <v>3.5936570212951872E-2</v>
      </c>
      <c r="E202">
        <f>(E129-E128)/E128</f>
        <v>-4.7987319085861929E-3</v>
      </c>
      <c r="F202">
        <f>(F129-F128)/F128</f>
        <v>-1.0304377861920348E-2</v>
      </c>
      <c r="G202">
        <f>(G129-G128)/G128</f>
        <v>-7.3515529558475269E-3</v>
      </c>
      <c r="H202">
        <f>(H129-H128)/H128</f>
        <v>6.4566683158226196E-2</v>
      </c>
      <c r="I202">
        <f>(I129-I128)/I128</f>
        <v>-1.2576138441748271E-2</v>
      </c>
      <c r="J202">
        <f>(J129-J128)/J128</f>
        <v>1.9718030786955117E-2</v>
      </c>
      <c r="K202">
        <f>(K129-K128)/K128</f>
        <v>-6.5686485976646711E-3</v>
      </c>
      <c r="L202">
        <f>(L129-L128)/L128</f>
        <v>5.2783676228150148E-3</v>
      </c>
      <c r="M202">
        <f>(M129-M128)/M128</f>
        <v>1.2770798237549298E-2</v>
      </c>
      <c r="N202">
        <f>(N129-N128)/N128</f>
        <v>4.1255609822239241E-2</v>
      </c>
      <c r="O202">
        <f>(O129-O128)/O128</f>
        <v>2.0209187766037126E-2</v>
      </c>
      <c r="P202">
        <f>(P129-P128)/P128</f>
        <v>-3.2065791316104953E-3</v>
      </c>
      <c r="Q202">
        <f>(Q129-Q128)/Q128</f>
        <v>2.3553426437230851E-2</v>
      </c>
      <c r="R202">
        <f>(R129-R128)/R128</f>
        <v>8.1865346571326496E-4</v>
      </c>
      <c r="S202">
        <f>(S129-S128)/S128</f>
        <v>3.8261040836954564E-2</v>
      </c>
      <c r="T202">
        <f>(T129-T128)/T128</f>
        <v>-1.9881704150488205E-2</v>
      </c>
      <c r="U202">
        <f>(U129-U128)/U128</f>
        <v>1.8118232335067791E-2</v>
      </c>
      <c r="V202">
        <f>(V129-V128)/V128</f>
        <v>1.4882105053609268E-2</v>
      </c>
      <c r="W202">
        <f>(W129-W128)/W128</f>
        <v>3.8510303402149409E-3</v>
      </c>
      <c r="X202">
        <f>(X129-X128)/X128</f>
        <v>-2.7860347468788176E-3</v>
      </c>
      <c r="Y202">
        <f>(Y129-Y128)/Y128</f>
        <v>-1.9853698121662305E-2</v>
      </c>
      <c r="Z202">
        <f>(Z129-Z128)/Z128</f>
        <v>6.3884659362166793E-2</v>
      </c>
      <c r="AA202">
        <f>(AA129-AA128)/AA128</f>
        <v>-4.4319215071046674E-3</v>
      </c>
    </row>
    <row r="203" spans="1:27" x14ac:dyDescent="0.2">
      <c r="A203">
        <v>2099</v>
      </c>
      <c r="B203">
        <f>(B130-B129)/B129</f>
        <v>4.2997641573618954E-3</v>
      </c>
      <c r="C203">
        <f>(C130-C129)/C129</f>
        <v>-6.5303914830457423E-3</v>
      </c>
      <c r="D203">
        <f>(D130-D129)/D129</f>
        <v>3.561895080956945E-2</v>
      </c>
      <c r="E203">
        <f>(E130-E129)/E129</f>
        <v>-5.1529016994352863E-3</v>
      </c>
      <c r="F203">
        <f>(F130-F129)/F129</f>
        <v>-1.0363235988027839E-2</v>
      </c>
      <c r="G203">
        <f>(G130-G129)/G129</f>
        <v>-7.6339957324143394E-3</v>
      </c>
      <c r="H203">
        <f>(H130-H129)/H129</f>
        <v>6.3620362689366064E-2</v>
      </c>
      <c r="I203">
        <f>(I130-I129)/I129</f>
        <v>-1.305513875871109E-2</v>
      </c>
      <c r="J203">
        <f>(J130-J129)/J129</f>
        <v>1.9364189830888237E-2</v>
      </c>
      <c r="K203">
        <f>(K130-K129)/K129</f>
        <v>-6.8287273350016962E-3</v>
      </c>
      <c r="L203">
        <f>(L130-L129)/L129</f>
        <v>5.7899723579873967E-3</v>
      </c>
      <c r="M203">
        <f>(M130-M129)/M129</f>
        <v>1.2005641580489536E-2</v>
      </c>
      <c r="N203">
        <f>(N130-N129)/N129</f>
        <v>4.0783389706159745E-2</v>
      </c>
      <c r="O203">
        <f>(O130-O129)/O129</f>
        <v>1.9718107388706389E-2</v>
      </c>
      <c r="P203">
        <f>(P130-P129)/P129</f>
        <v>-3.4385189309157024E-3</v>
      </c>
      <c r="Q203">
        <f>(Q130-Q129)/Q129</f>
        <v>2.3453193610309401E-2</v>
      </c>
      <c r="R203">
        <f>(R130-R129)/R129</f>
        <v>2.6519608336181879E-4</v>
      </c>
      <c r="S203">
        <f>(S130-S129)/S129</f>
        <v>3.7368137134468009E-2</v>
      </c>
      <c r="T203">
        <f>(T130-T129)/T129</f>
        <v>-2.0028086369469476E-2</v>
      </c>
      <c r="U203">
        <f>(U130-U129)/U129</f>
        <v>1.7779204459844194E-2</v>
      </c>
      <c r="V203">
        <f>(V130-V129)/V129</f>
        <v>1.4576028572969196E-2</v>
      </c>
      <c r="W203">
        <f>(W130-W129)/W129</f>
        <v>3.736503092473897E-3</v>
      </c>
      <c r="X203">
        <f>(X130-X129)/X129</f>
        <v>-2.9431963102647569E-3</v>
      </c>
      <c r="Y203">
        <f>(Y130-Y129)/Y129</f>
        <v>-2.0090296680998352E-2</v>
      </c>
      <c r="Z203">
        <f>(Z130-Z129)/Z129</f>
        <v>6.3048049609006757E-2</v>
      </c>
      <c r="AA203">
        <f>(AA130-AA129)/AA129</f>
        <v>-4.4884979769671696E-3</v>
      </c>
    </row>
    <row r="204" spans="1:27" x14ac:dyDescent="0.2">
      <c r="A204">
        <v>2100</v>
      </c>
      <c r="B204">
        <f>(B131-B130)/B130</f>
        <v>4.0454555630039836E-3</v>
      </c>
      <c r="C204">
        <f>(C131-C130)/C130</f>
        <v>-6.5160328658502636E-3</v>
      </c>
      <c r="D204">
        <f>(D131-D130)/D130</f>
        <v>3.5287482008845579E-2</v>
      </c>
      <c r="E204">
        <f>(E131-E130)/E130</f>
        <v>-5.535869330666369E-3</v>
      </c>
      <c r="F204">
        <f>(F131-F130)/F130</f>
        <v>-1.0396221163891762E-2</v>
      </c>
      <c r="G204">
        <f>(G131-G130)/G130</f>
        <v>-7.9155125796322549E-3</v>
      </c>
      <c r="H204">
        <f>(H131-H130)/H130</f>
        <v>6.2503088498315054E-2</v>
      </c>
      <c r="I204">
        <f>(I131-I130)/I130</f>
        <v>-1.3516807874105748E-2</v>
      </c>
      <c r="J204">
        <f>(J131-J130)/J130</f>
        <v>1.9038815633464715E-2</v>
      </c>
      <c r="K204">
        <f>(K131-K130)/K130</f>
        <v>-7.0662416825054237E-3</v>
      </c>
      <c r="L204">
        <f>(L131-L130)/L130</f>
        <v>6.3618810070828766E-3</v>
      </c>
      <c r="M204">
        <f>(M131-M130)/M130</f>
        <v>1.1204710199356416E-2</v>
      </c>
      <c r="N204">
        <f>(N131-N130)/N130</f>
        <v>4.0300668708594951E-2</v>
      </c>
      <c r="O204">
        <f>(O131-O130)/O130</f>
        <v>1.9230686689493303E-2</v>
      </c>
      <c r="P204">
        <f>(P131-P130)/P130</f>
        <v>-3.4293492938173202E-3</v>
      </c>
      <c r="Q204">
        <f>(Q131-Q130)/Q130</f>
        <v>2.3344211057480576E-2</v>
      </c>
      <c r="R204">
        <f>(R131-R130)/R130</f>
        <v>-2.7862306935107738E-4</v>
      </c>
      <c r="S204">
        <f>(S131-S130)/S130</f>
        <v>3.6498778669622534E-2</v>
      </c>
      <c r="T204">
        <f>(T131-T130)/T130</f>
        <v>-2.0131283118036282E-2</v>
      </c>
      <c r="U204">
        <f>(U131-U130)/U130</f>
        <v>1.7450969598778551E-2</v>
      </c>
      <c r="V204">
        <f>(V131-V130)/V130</f>
        <v>1.4289791617165756E-2</v>
      </c>
      <c r="W204">
        <f>(W131-W130)/W130</f>
        <v>3.6153940326363095E-3</v>
      </c>
      <c r="X204">
        <f>(X131-X130)/X130</f>
        <v>-3.0977625954431284E-3</v>
      </c>
      <c r="Y204">
        <f>(Y131-Y130)/Y130</f>
        <v>-2.0352833416825335E-2</v>
      </c>
      <c r="Z204">
        <f>(Z131-Z130)/Z130</f>
        <v>6.2127095097004724E-2</v>
      </c>
      <c r="AA204">
        <f>(AA131-AA130)/AA130</f>
        <v>-4.5382280264190085E-3</v>
      </c>
    </row>
    <row r="206" spans="1:27" x14ac:dyDescent="0.2">
      <c r="A206" t="s">
        <v>32</v>
      </c>
      <c r="B206" s="4">
        <f>AVERAGE(B135:B154)</f>
        <v>2.9491043246129639E-2</v>
      </c>
      <c r="C206" s="4">
        <f t="shared" ref="C206:AA206" si="0">AVERAGE(C135:C154)</f>
        <v>1.5216924320967943E-2</v>
      </c>
      <c r="D206" s="4">
        <f t="shared" si="0"/>
        <v>5.5243065235226776E-2</v>
      </c>
      <c r="E206" s="4">
        <f t="shared" si="0"/>
        <v>4.2615907306814013E-2</v>
      </c>
      <c r="F206" s="4">
        <f t="shared" si="0"/>
        <v>1.3215957774066056E-2</v>
      </c>
      <c r="G206" s="4">
        <f t="shared" si="0"/>
        <v>2.4590983789541172E-2</v>
      </c>
      <c r="H206" s="4">
        <f t="shared" si="0"/>
        <v>9.9709534209293571E-2</v>
      </c>
      <c r="I206" s="4">
        <f t="shared" si="0"/>
        <v>5.1715887319254673E-2</v>
      </c>
      <c r="J206" s="4">
        <f t="shared" si="0"/>
        <v>5.3994128195218441E-2</v>
      </c>
      <c r="K206" s="4">
        <f t="shared" si="0"/>
        <v>4.5523231893189464E-3</v>
      </c>
      <c r="L206" s="4">
        <f t="shared" si="0"/>
        <v>2.3442001076944864E-2</v>
      </c>
      <c r="M206" s="4">
        <f t="shared" si="0"/>
        <v>4.4716501650487239E-2</v>
      </c>
      <c r="N206" s="4">
        <f t="shared" si="0"/>
        <v>7.3651277645678831E-2</v>
      </c>
      <c r="O206" s="4">
        <f t="shared" si="0"/>
        <v>2.8566181211078217E-2</v>
      </c>
      <c r="P206" s="4">
        <f t="shared" si="0"/>
        <v>2.7199621278945116E-3</v>
      </c>
      <c r="Q206" s="4">
        <f t="shared" si="0"/>
        <v>4.5326086237399532E-2</v>
      </c>
      <c r="R206" s="4">
        <f t="shared" si="0"/>
        <v>7.3215736116412647E-2</v>
      </c>
      <c r="S206" s="4">
        <f t="shared" si="0"/>
        <v>0.10170296767742933</v>
      </c>
      <c r="T206" s="4">
        <f t="shared" si="0"/>
        <v>9.7772652780107622E-5</v>
      </c>
      <c r="U206" s="4">
        <f t="shared" si="0"/>
        <v>3.8375379407063336E-2</v>
      </c>
      <c r="V206" s="4">
        <f t="shared" si="0"/>
        <v>4.1185289391686579E-2</v>
      </c>
      <c r="W206" s="4">
        <f t="shared" si="0"/>
        <v>4.3272120563818683E-2</v>
      </c>
      <c r="X206" s="4">
        <f t="shared" si="0"/>
        <v>9.0461595236315615E-3</v>
      </c>
      <c r="Y206" s="4">
        <f t="shared" si="0"/>
        <v>2.0450780724516775E-2</v>
      </c>
      <c r="Z206" s="4">
        <f t="shared" si="0"/>
        <v>9.0150240143158353E-2</v>
      </c>
      <c r="AA206" s="4">
        <f t="shared" si="0"/>
        <v>1.1739370974699098E-2</v>
      </c>
    </row>
    <row r="207" spans="1:27" x14ac:dyDescent="0.2">
      <c r="A207" t="s">
        <v>33</v>
      </c>
      <c r="B207" s="4">
        <f>AVERAGE(B155:B174)</f>
        <v>3.4310381556386285E-2</v>
      </c>
      <c r="C207" s="4">
        <f t="shared" ref="C207:AA207" si="1">AVERAGE(C155:C174)</f>
        <v>6.7299984651989983E-3</v>
      </c>
      <c r="D207" s="4">
        <f t="shared" si="1"/>
        <v>4.418284616342328E-2</v>
      </c>
      <c r="E207" s="4">
        <f t="shared" si="1"/>
        <v>1.5797322145450328E-2</v>
      </c>
      <c r="F207" s="4">
        <f t="shared" si="1"/>
        <v>-7.9746851759303506E-3</v>
      </c>
      <c r="G207" s="4">
        <f t="shared" si="1"/>
        <v>4.7307843917648428E-4</v>
      </c>
      <c r="H207" s="4">
        <f t="shared" si="1"/>
        <v>0.12147435065034977</v>
      </c>
      <c r="I207" s="4">
        <f t="shared" si="1"/>
        <v>1.9213545259186723E-2</v>
      </c>
      <c r="J207" s="4">
        <f t="shared" si="1"/>
        <v>5.4832639747153744E-2</v>
      </c>
      <c r="K207" s="4">
        <f t="shared" si="1"/>
        <v>-3.461110779510447E-3</v>
      </c>
      <c r="L207" s="4">
        <f t="shared" si="1"/>
        <v>5.2105012156725998E-3</v>
      </c>
      <c r="M207" s="4">
        <f t="shared" si="1"/>
        <v>2.1612618540214915E-2</v>
      </c>
      <c r="N207" s="4">
        <f t="shared" si="1"/>
        <v>6.6396009734441569E-2</v>
      </c>
      <c r="O207" s="4">
        <f t="shared" si="1"/>
        <v>4.7153670380390741E-2</v>
      </c>
      <c r="P207" s="4">
        <f t="shared" si="1"/>
        <v>9.5100343350551404E-3</v>
      </c>
      <c r="Q207" s="4">
        <f t="shared" si="1"/>
        <v>4.5108125087129365E-2</v>
      </c>
      <c r="R207" s="4">
        <f t="shared" si="1"/>
        <v>5.5225371217315758E-2</v>
      </c>
      <c r="S207" s="4">
        <f t="shared" si="1"/>
        <v>0.1014949142412996</v>
      </c>
      <c r="T207" s="4">
        <f t="shared" si="1"/>
        <v>-8.9444416613963396E-3</v>
      </c>
      <c r="U207" s="4">
        <f t="shared" si="1"/>
        <v>3.8501529956425938E-2</v>
      </c>
      <c r="V207" s="4">
        <f t="shared" si="1"/>
        <v>3.3250740064269077E-2</v>
      </c>
      <c r="W207" s="4">
        <f t="shared" si="1"/>
        <v>9.9667677249149905E-3</v>
      </c>
      <c r="X207" s="4">
        <f t="shared" si="1"/>
        <v>1.5156791761619709E-2</v>
      </c>
      <c r="Y207" s="4">
        <f t="shared" si="1"/>
        <v>-7.2975229962214446E-3</v>
      </c>
      <c r="Z207" s="4">
        <f t="shared" si="1"/>
        <v>0.12324309274016024</v>
      </c>
      <c r="AA207" s="4">
        <f t="shared" si="1"/>
        <v>7.41464009078444E-4</v>
      </c>
    </row>
    <row r="208" spans="1:27" x14ac:dyDescent="0.2">
      <c r="A208" t="s">
        <v>34</v>
      </c>
      <c r="B208" s="4">
        <f>AVERAGE(B175:B204)</f>
        <v>1.0844898965174966E-2</v>
      </c>
      <c r="C208" s="4">
        <f t="shared" ref="C208:AA208" si="2">AVERAGE(C175:C204)</f>
        <v>-2.5422382347875957E-3</v>
      </c>
      <c r="D208" s="4">
        <f t="shared" si="2"/>
        <v>3.9268567242431544E-2</v>
      </c>
      <c r="E208" s="4">
        <f t="shared" si="2"/>
        <v>-1.3758930846178949E-3</v>
      </c>
      <c r="F208" s="4">
        <f t="shared" si="2"/>
        <v>-8.2030437795957614E-3</v>
      </c>
      <c r="G208" s="4">
        <f t="shared" si="2"/>
        <v>-5.2493439337647834E-3</v>
      </c>
      <c r="H208" s="4">
        <f t="shared" si="2"/>
        <v>7.8781309723796628E-2</v>
      </c>
      <c r="I208" s="4">
        <f t="shared" si="2"/>
        <v>-4.4436867134977067E-3</v>
      </c>
      <c r="J208" s="4">
        <f t="shared" si="2"/>
        <v>2.9218561946145253E-2</v>
      </c>
      <c r="K208" s="4">
        <f t="shared" si="2"/>
        <v>-3.9900603145838895E-3</v>
      </c>
      <c r="L208" s="4">
        <f t="shared" si="2"/>
        <v>3.7793896992077461E-3</v>
      </c>
      <c r="M208" s="4">
        <f t="shared" si="2"/>
        <v>1.6796765349351581E-2</v>
      </c>
      <c r="N208" s="4">
        <f t="shared" si="2"/>
        <v>4.8451631738504669E-2</v>
      </c>
      <c r="O208" s="4">
        <f t="shared" si="2"/>
        <v>2.9334747177406601E-2</v>
      </c>
      <c r="P208" s="4">
        <f t="shared" si="2"/>
        <v>1.2702535236268745E-3</v>
      </c>
      <c r="Q208" s="4">
        <f t="shared" si="2"/>
        <v>3.1568068113930731E-2</v>
      </c>
      <c r="R208" s="4">
        <f t="shared" si="2"/>
        <v>1.4259270202714823E-2</v>
      </c>
      <c r="S208" s="4">
        <f t="shared" si="2"/>
        <v>5.5169505255511307E-2</v>
      </c>
      <c r="T208" s="4">
        <f t="shared" si="2"/>
        <v>-1.6810662119452147E-2</v>
      </c>
      <c r="U208" s="4">
        <f t="shared" si="2"/>
        <v>2.4707319351919495E-2</v>
      </c>
      <c r="V208" s="4">
        <f t="shared" si="2"/>
        <v>2.0927451376814923E-2</v>
      </c>
      <c r="W208" s="4">
        <f t="shared" si="2"/>
        <v>5.3689022157239509E-3</v>
      </c>
      <c r="X208" s="4">
        <f t="shared" si="2"/>
        <v>2.8573239818052601E-3</v>
      </c>
      <c r="Y208" s="4">
        <f t="shared" si="2"/>
        <v>-1.7216265085076208E-2</v>
      </c>
      <c r="Z208" s="4">
        <f t="shared" si="2"/>
        <v>7.9729814628899304E-2</v>
      </c>
      <c r="AA208" s="4">
        <f t="shared" si="2"/>
        <v>-2.2366659145595285E-3</v>
      </c>
    </row>
    <row r="210" spans="2:27" x14ac:dyDescent="0.2">
      <c r="B210">
        <f>B206/3</f>
        <v>9.8303477487098802E-3</v>
      </c>
      <c r="C210">
        <f t="shared" ref="C210:AA212" si="3">C206/3</f>
        <v>5.0723081069893143E-3</v>
      </c>
      <c r="D210">
        <f t="shared" si="3"/>
        <v>1.8414355078408925E-2</v>
      </c>
      <c r="E210">
        <f t="shared" si="3"/>
        <v>1.4205302435604672E-2</v>
      </c>
      <c r="F210">
        <f t="shared" si="3"/>
        <v>4.4053192580220191E-3</v>
      </c>
      <c r="G210">
        <f t="shared" si="3"/>
        <v>8.1969945965137247E-3</v>
      </c>
      <c r="H210">
        <f t="shared" si="3"/>
        <v>3.3236511403097857E-2</v>
      </c>
      <c r="I210">
        <f t="shared" si="3"/>
        <v>1.7238629106418223E-2</v>
      </c>
      <c r="J210">
        <f t="shared" si="3"/>
        <v>1.799804273173948E-2</v>
      </c>
      <c r="K210">
        <f t="shared" si="3"/>
        <v>1.5174410631063155E-3</v>
      </c>
      <c r="L210">
        <f t="shared" si="3"/>
        <v>7.814000358981622E-3</v>
      </c>
      <c r="M210">
        <f t="shared" si="3"/>
        <v>1.4905500550162413E-2</v>
      </c>
      <c r="N210">
        <f t="shared" si="3"/>
        <v>2.4550425881892945E-2</v>
      </c>
      <c r="O210">
        <f t="shared" si="3"/>
        <v>9.5220604036927396E-3</v>
      </c>
      <c r="P210">
        <f t="shared" si="3"/>
        <v>9.0665404263150391E-4</v>
      </c>
      <c r="Q210">
        <f t="shared" si="3"/>
        <v>1.5108695412466511E-2</v>
      </c>
      <c r="R210">
        <f t="shared" si="3"/>
        <v>2.4405245372137549E-2</v>
      </c>
      <c r="S210">
        <f t="shared" si="3"/>
        <v>3.3900989225809773E-2</v>
      </c>
      <c r="T210">
        <f t="shared" si="3"/>
        <v>3.2590884260035872E-5</v>
      </c>
      <c r="U210">
        <f t="shared" si="3"/>
        <v>1.2791793135687778E-2</v>
      </c>
      <c r="V210">
        <f t="shared" si="3"/>
        <v>1.372842979722886E-2</v>
      </c>
      <c r="W210">
        <f t="shared" si="3"/>
        <v>1.4424040187939561E-2</v>
      </c>
      <c r="X210">
        <f t="shared" si="3"/>
        <v>3.015386507877187E-3</v>
      </c>
      <c r="Y210">
        <f t="shared" si="3"/>
        <v>6.8169269081722579E-3</v>
      </c>
      <c r="Z210">
        <f t="shared" si="3"/>
        <v>3.005008004771945E-2</v>
      </c>
      <c r="AA210">
        <f t="shared" si="3"/>
        <v>3.9131236582330324E-3</v>
      </c>
    </row>
    <row r="211" spans="2:27" x14ac:dyDescent="0.2">
      <c r="B211">
        <f t="shared" ref="B211:Q212" si="4">B207/3</f>
        <v>1.1436793852128762E-2</v>
      </c>
      <c r="C211">
        <f t="shared" si="4"/>
        <v>2.2433328217329996E-3</v>
      </c>
      <c r="D211">
        <f t="shared" si="4"/>
        <v>1.4727615387807759E-2</v>
      </c>
      <c r="E211">
        <f t="shared" si="4"/>
        <v>5.2657740484834429E-3</v>
      </c>
      <c r="F211">
        <f t="shared" si="4"/>
        <v>-2.6582283919767834E-3</v>
      </c>
      <c r="G211">
        <f t="shared" si="4"/>
        <v>1.576928130588281E-4</v>
      </c>
      <c r="H211">
        <f t="shared" si="4"/>
        <v>4.0491450216783256E-2</v>
      </c>
      <c r="I211">
        <f t="shared" si="4"/>
        <v>6.4045150863955742E-3</v>
      </c>
      <c r="J211">
        <f t="shared" si="4"/>
        <v>1.827754658238458E-2</v>
      </c>
      <c r="K211">
        <f t="shared" si="4"/>
        <v>-1.1537035931701489E-3</v>
      </c>
      <c r="L211">
        <f t="shared" si="4"/>
        <v>1.7368337385575332E-3</v>
      </c>
      <c r="M211">
        <f t="shared" si="4"/>
        <v>7.2042061800716385E-3</v>
      </c>
      <c r="N211">
        <f t="shared" si="4"/>
        <v>2.2132003244813857E-2</v>
      </c>
      <c r="O211">
        <f t="shared" si="4"/>
        <v>1.5717890126796915E-2</v>
      </c>
      <c r="P211">
        <f t="shared" si="4"/>
        <v>3.1700114450183801E-3</v>
      </c>
      <c r="Q211">
        <f t="shared" si="4"/>
        <v>1.5036041695709788E-2</v>
      </c>
      <c r="R211">
        <f t="shared" si="3"/>
        <v>1.8408457072438586E-2</v>
      </c>
      <c r="S211">
        <f t="shared" si="3"/>
        <v>3.3831638080433199E-2</v>
      </c>
      <c r="T211">
        <f t="shared" si="3"/>
        <v>-2.9814805537987797E-3</v>
      </c>
      <c r="U211">
        <f t="shared" si="3"/>
        <v>1.2833843318808645E-2</v>
      </c>
      <c r="V211">
        <f t="shared" si="3"/>
        <v>1.1083580021423026E-2</v>
      </c>
      <c r="W211">
        <f t="shared" si="3"/>
        <v>3.3222559083049968E-3</v>
      </c>
      <c r="X211">
        <f t="shared" si="3"/>
        <v>5.0522639205399034E-3</v>
      </c>
      <c r="Y211">
        <f t="shared" si="3"/>
        <v>-2.4325076654071482E-3</v>
      </c>
      <c r="Z211">
        <f t="shared" si="3"/>
        <v>4.1081030913386746E-2</v>
      </c>
      <c r="AA211">
        <f t="shared" si="3"/>
        <v>2.4715466969281468E-4</v>
      </c>
    </row>
    <row r="212" spans="2:27" x14ac:dyDescent="0.2">
      <c r="B212">
        <f t="shared" si="4"/>
        <v>3.6149663217249889E-3</v>
      </c>
      <c r="C212">
        <f t="shared" si="3"/>
        <v>-8.4741274492919859E-4</v>
      </c>
      <c r="D212">
        <f t="shared" si="3"/>
        <v>1.3089522414143849E-2</v>
      </c>
      <c r="E212">
        <f t="shared" si="3"/>
        <v>-4.58631028205965E-4</v>
      </c>
      <c r="F212">
        <f t="shared" si="3"/>
        <v>-2.7343479265319205E-3</v>
      </c>
      <c r="G212">
        <f t="shared" si="3"/>
        <v>-1.7497813112549278E-3</v>
      </c>
      <c r="H212">
        <f t="shared" si="3"/>
        <v>2.6260436574598877E-2</v>
      </c>
      <c r="I212">
        <f t="shared" si="3"/>
        <v>-1.4812289044992355E-3</v>
      </c>
      <c r="J212">
        <f t="shared" si="3"/>
        <v>9.7395206487150849E-3</v>
      </c>
      <c r="K212">
        <f t="shared" si="3"/>
        <v>-1.3300201048612964E-3</v>
      </c>
      <c r="L212">
        <f t="shared" si="3"/>
        <v>1.259796566402582E-3</v>
      </c>
      <c r="M212">
        <f t="shared" si="3"/>
        <v>5.5989217831171932E-3</v>
      </c>
      <c r="N212">
        <f t="shared" si="3"/>
        <v>1.6150543912834891E-2</v>
      </c>
      <c r="O212">
        <f t="shared" si="3"/>
        <v>9.7782490591355343E-3</v>
      </c>
      <c r="P212">
        <f t="shared" si="3"/>
        <v>4.2341784120895817E-4</v>
      </c>
      <c r="Q212">
        <f t="shared" si="3"/>
        <v>1.0522689371310243E-2</v>
      </c>
      <c r="R212">
        <f t="shared" si="3"/>
        <v>4.7530900675716078E-3</v>
      </c>
      <c r="S212">
        <f t="shared" si="3"/>
        <v>1.8389835085170437E-2</v>
      </c>
      <c r="T212">
        <f t="shared" si="3"/>
        <v>-5.6035540398173822E-3</v>
      </c>
      <c r="U212">
        <f t="shared" si="3"/>
        <v>8.2357731173064979E-3</v>
      </c>
      <c r="V212">
        <f t="shared" si="3"/>
        <v>6.9758171256049739E-3</v>
      </c>
      <c r="W212">
        <f t="shared" si="3"/>
        <v>1.7896340719079837E-3</v>
      </c>
      <c r="X212">
        <f t="shared" si="3"/>
        <v>9.5244132726841999E-4</v>
      </c>
      <c r="Y212">
        <f t="shared" si="3"/>
        <v>-5.7387550283587363E-3</v>
      </c>
      <c r="Z212">
        <f t="shared" si="3"/>
        <v>2.6576604876299769E-2</v>
      </c>
      <c r="AA212">
        <f t="shared" si="3"/>
        <v>-7.4555530485317619E-4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BC351-05A1-4BE9-B89C-48DAB6501A9B}">
  <dimension ref="A1:AA20"/>
  <sheetViews>
    <sheetView showGridLines="0" workbookViewId="0">
      <selection sqref="A1:AA20"/>
    </sheetView>
  </sheetViews>
  <sheetFormatPr defaultRowHeight="12.75" x14ac:dyDescent="0.2"/>
  <sheetData>
    <row r="1" spans="1:27" x14ac:dyDescent="0.2">
      <c r="A1" t="s">
        <v>2</v>
      </c>
      <c r="B1" t="s">
        <v>4</v>
      </c>
      <c r="C1" t="s">
        <v>23</v>
      </c>
      <c r="D1" t="s">
        <v>13</v>
      </c>
      <c r="E1" t="s">
        <v>5</v>
      </c>
      <c r="F1" t="s">
        <v>3</v>
      </c>
      <c r="G1" t="s">
        <v>16</v>
      </c>
      <c r="H1" t="s">
        <v>15</v>
      </c>
      <c r="I1" t="s">
        <v>25</v>
      </c>
      <c r="J1" t="s">
        <v>9</v>
      </c>
      <c r="K1" t="s">
        <v>20</v>
      </c>
      <c r="L1" t="s">
        <v>26</v>
      </c>
      <c r="M1" t="s">
        <v>7</v>
      </c>
      <c r="N1" t="s">
        <v>22</v>
      </c>
      <c r="O1" t="s">
        <v>24</v>
      </c>
      <c r="P1" t="s">
        <v>6</v>
      </c>
      <c r="Q1" t="s">
        <v>19</v>
      </c>
      <c r="R1" t="s">
        <v>14</v>
      </c>
      <c r="S1" t="s">
        <v>10</v>
      </c>
      <c r="T1" t="s">
        <v>12</v>
      </c>
      <c r="U1" t="s">
        <v>8</v>
      </c>
      <c r="V1" t="s">
        <v>21</v>
      </c>
      <c r="W1" t="s">
        <v>11</v>
      </c>
      <c r="X1" t="s">
        <v>0</v>
      </c>
      <c r="Y1" t="s">
        <v>1</v>
      </c>
      <c r="Z1" t="s">
        <v>17</v>
      </c>
      <c r="AA1" t="s">
        <v>18</v>
      </c>
    </row>
    <row r="2" spans="1:27" x14ac:dyDescent="0.2">
      <c r="A2">
        <v>2004</v>
      </c>
      <c r="B2">
        <v>34958.769999999997</v>
      </c>
      <c r="C2">
        <v>42839.73</v>
      </c>
      <c r="D2">
        <v>12617.23</v>
      </c>
      <c r="E2">
        <v>7541.6719999999996</v>
      </c>
      <c r="F2">
        <v>10728.99</v>
      </c>
      <c r="G2">
        <v>9906.82</v>
      </c>
      <c r="H2">
        <v>8209.884</v>
      </c>
      <c r="I2">
        <v>2319.4540000000002</v>
      </c>
      <c r="J2">
        <v>1454.2159999999999</v>
      </c>
      <c r="K2">
        <v>10029.49</v>
      </c>
      <c r="L2">
        <v>31478.83</v>
      </c>
      <c r="M2">
        <v>12555.67</v>
      </c>
      <c r="N2">
        <v>11032.72</v>
      </c>
      <c r="O2">
        <v>6977.8220000000001</v>
      </c>
      <c r="P2">
        <v>5622.7280000000001</v>
      </c>
      <c r="Q2">
        <v>10449.620000000001</v>
      </c>
      <c r="R2">
        <v>18873.599999999999</v>
      </c>
      <c r="S2">
        <v>2763.6219999999998</v>
      </c>
      <c r="T2">
        <v>16486.36</v>
      </c>
      <c r="U2">
        <v>4660.3329999999996</v>
      </c>
      <c r="V2">
        <v>6234.12</v>
      </c>
      <c r="W2">
        <v>5805.4650000000001</v>
      </c>
      <c r="X2">
        <v>31758.84</v>
      </c>
      <c r="Y2">
        <v>28601.05</v>
      </c>
      <c r="Z2">
        <v>2661.66</v>
      </c>
      <c r="AA2">
        <v>1962.92</v>
      </c>
    </row>
    <row r="3" spans="1:27" x14ac:dyDescent="0.2">
      <c r="A3">
        <v>2005</v>
      </c>
      <c r="B3">
        <v>36358.620000000003</v>
      </c>
      <c r="C3">
        <v>43899.62</v>
      </c>
      <c r="D3">
        <v>12725.2</v>
      </c>
      <c r="E3">
        <v>7791.6459999999997</v>
      </c>
      <c r="F3">
        <v>10949.53</v>
      </c>
      <c r="G3">
        <v>10505.67</v>
      </c>
      <c r="H3">
        <v>8540.1810000000005</v>
      </c>
      <c r="I3">
        <v>2389.3919999999998</v>
      </c>
      <c r="J3">
        <v>1520.433</v>
      </c>
      <c r="K3">
        <v>10459.43</v>
      </c>
      <c r="L3">
        <v>31878.2</v>
      </c>
      <c r="M3">
        <v>13225.83</v>
      </c>
      <c r="N3">
        <v>11863.86</v>
      </c>
      <c r="O3">
        <v>7344.6509999999998</v>
      </c>
      <c r="P3">
        <v>6039.3459999999995</v>
      </c>
      <c r="Q3">
        <v>11223.41</v>
      </c>
      <c r="R3">
        <v>19273.71</v>
      </c>
      <c r="S3">
        <v>2935.1320000000001</v>
      </c>
      <c r="T3">
        <v>17120.21</v>
      </c>
      <c r="U3">
        <v>5151.1760000000004</v>
      </c>
      <c r="V3">
        <v>6504.9780000000001</v>
      </c>
      <c r="W3">
        <v>6056.0839999999998</v>
      </c>
      <c r="X3">
        <v>32299.59</v>
      </c>
      <c r="Y3">
        <v>29142.19</v>
      </c>
      <c r="Z3">
        <v>2779.9340000000002</v>
      </c>
      <c r="AA3">
        <v>2079.4690000000001</v>
      </c>
    </row>
    <row r="4" spans="1:27" x14ac:dyDescent="0.2">
      <c r="A4">
        <v>2006</v>
      </c>
      <c r="B4">
        <v>37505.43</v>
      </c>
      <c r="C4">
        <v>44683.16</v>
      </c>
      <c r="D4">
        <v>13117.52</v>
      </c>
      <c r="E4">
        <v>8160.9539999999997</v>
      </c>
      <c r="F4">
        <v>11261.37</v>
      </c>
      <c r="G4">
        <v>11162.88</v>
      </c>
      <c r="H4">
        <v>8847.0079999999998</v>
      </c>
      <c r="I4">
        <v>2448.056</v>
      </c>
      <c r="J4">
        <v>1583.4059999999999</v>
      </c>
      <c r="K4">
        <v>10939.63</v>
      </c>
      <c r="L4">
        <v>32692.07</v>
      </c>
      <c r="M4">
        <v>14122.22</v>
      </c>
      <c r="N4">
        <v>12524.7</v>
      </c>
      <c r="O4">
        <v>7989.1220000000003</v>
      </c>
      <c r="P4">
        <v>6526.8249999999998</v>
      </c>
      <c r="Q4">
        <v>12274.65</v>
      </c>
      <c r="R4">
        <v>19806.14</v>
      </c>
      <c r="S4">
        <v>3123.7449999999999</v>
      </c>
      <c r="T4">
        <v>17931.61</v>
      </c>
      <c r="U4">
        <v>5759.2529999999997</v>
      </c>
      <c r="V4">
        <v>6822.6030000000001</v>
      </c>
      <c r="W4">
        <v>6303.4210000000003</v>
      </c>
      <c r="X4">
        <v>32716.28</v>
      </c>
      <c r="Y4">
        <v>29532.14</v>
      </c>
      <c r="Z4">
        <v>2900.797</v>
      </c>
      <c r="AA4">
        <v>2194.1880000000001</v>
      </c>
    </row>
    <row r="5" spans="1:27" x14ac:dyDescent="0.2">
      <c r="A5">
        <v>2007</v>
      </c>
      <c r="B5">
        <v>39678.31</v>
      </c>
      <c r="C5">
        <v>45131.29</v>
      </c>
      <c r="D5">
        <v>13242.64</v>
      </c>
      <c r="E5">
        <v>8468.402</v>
      </c>
      <c r="F5">
        <v>11822.28</v>
      </c>
      <c r="G5">
        <v>11862.43</v>
      </c>
      <c r="H5">
        <v>9179.6260000000002</v>
      </c>
      <c r="I5">
        <v>2512.3040000000001</v>
      </c>
      <c r="J5">
        <v>1643.8579999999999</v>
      </c>
      <c r="K5">
        <v>11409.78</v>
      </c>
      <c r="L5">
        <v>33395.4</v>
      </c>
      <c r="M5">
        <v>15072.79</v>
      </c>
      <c r="N5">
        <v>12994.42</v>
      </c>
      <c r="O5">
        <v>8695.8870000000006</v>
      </c>
      <c r="P5">
        <v>7029.9170000000004</v>
      </c>
      <c r="Q5">
        <v>13421.71</v>
      </c>
      <c r="R5">
        <v>20223.41</v>
      </c>
      <c r="S5">
        <v>3314.0949999999998</v>
      </c>
      <c r="T5">
        <v>18877.25</v>
      </c>
      <c r="U5">
        <v>6520.92</v>
      </c>
      <c r="V5">
        <v>7186.6009999999997</v>
      </c>
      <c r="W5">
        <v>6613.23</v>
      </c>
      <c r="X5">
        <v>33174.74</v>
      </c>
      <c r="Y5">
        <v>30118</v>
      </c>
      <c r="Z5">
        <v>3021.6239999999998</v>
      </c>
      <c r="AA5">
        <v>2336.7530000000002</v>
      </c>
    </row>
    <row r="6" spans="1:27" x14ac:dyDescent="0.2">
      <c r="A6">
        <v>2008</v>
      </c>
      <c r="B6">
        <v>39648.51</v>
      </c>
      <c r="C6">
        <v>44750.16</v>
      </c>
      <c r="D6">
        <v>13225.38</v>
      </c>
      <c r="E6">
        <v>8599.1020000000008</v>
      </c>
      <c r="F6">
        <v>12302.47</v>
      </c>
      <c r="G6">
        <v>12306.21</v>
      </c>
      <c r="H6">
        <v>9419.5630000000001</v>
      </c>
      <c r="I6">
        <v>2593.576</v>
      </c>
      <c r="J6">
        <v>1662.0519999999999</v>
      </c>
      <c r="K6">
        <v>11641.22</v>
      </c>
      <c r="L6">
        <v>33285.839999999997</v>
      </c>
      <c r="M6">
        <v>15748.8</v>
      </c>
      <c r="N6">
        <v>12943.86</v>
      </c>
      <c r="O6">
        <v>9106.2739999999994</v>
      </c>
      <c r="P6">
        <v>7347.8760000000002</v>
      </c>
      <c r="Q6">
        <v>14147.03</v>
      </c>
      <c r="R6">
        <v>20498.93</v>
      </c>
      <c r="S6">
        <v>3368.14</v>
      </c>
      <c r="T6">
        <v>19368.7</v>
      </c>
      <c r="U6">
        <v>7085.9750000000004</v>
      </c>
      <c r="V6">
        <v>7363.8310000000001</v>
      </c>
      <c r="W6">
        <v>6913.835</v>
      </c>
      <c r="X6">
        <v>32750.37</v>
      </c>
      <c r="Y6">
        <v>30456.38</v>
      </c>
      <c r="Z6">
        <v>3080.38</v>
      </c>
      <c r="AA6">
        <v>2440.558</v>
      </c>
    </row>
    <row r="7" spans="1:27" x14ac:dyDescent="0.2">
      <c r="A7">
        <v>2009</v>
      </c>
      <c r="B7">
        <v>38057.379999999997</v>
      </c>
      <c r="C7">
        <v>43188.7</v>
      </c>
      <c r="D7">
        <v>12372.35</v>
      </c>
      <c r="E7">
        <v>8444.027</v>
      </c>
      <c r="F7">
        <v>12170.43</v>
      </c>
      <c r="G7">
        <v>11924.92</v>
      </c>
      <c r="H7">
        <v>9471.6869999999999</v>
      </c>
      <c r="I7">
        <v>2675.9569999999999</v>
      </c>
      <c r="J7">
        <v>1712.7950000000001</v>
      </c>
      <c r="K7">
        <v>11326.65</v>
      </c>
      <c r="L7">
        <v>31687.9</v>
      </c>
      <c r="M7">
        <v>15304.57</v>
      </c>
      <c r="N7">
        <v>12165.2</v>
      </c>
      <c r="O7">
        <v>8108.2529999999997</v>
      </c>
      <c r="P7">
        <v>7498.6779999999999</v>
      </c>
      <c r="Q7">
        <v>13141.96</v>
      </c>
      <c r="R7">
        <v>19936.810000000001</v>
      </c>
      <c r="S7">
        <v>3582.748</v>
      </c>
      <c r="T7">
        <v>19437.27</v>
      </c>
      <c r="U7">
        <v>7670.8630000000003</v>
      </c>
      <c r="V7">
        <v>7346.6530000000002</v>
      </c>
      <c r="W7">
        <v>7139.701</v>
      </c>
      <c r="X7">
        <v>30876.31</v>
      </c>
      <c r="Y7">
        <v>30408.14</v>
      </c>
      <c r="Z7">
        <v>3152.2150000000001</v>
      </c>
      <c r="AA7">
        <v>2445.4459999999999</v>
      </c>
    </row>
    <row r="8" spans="1:27" x14ac:dyDescent="0.2">
      <c r="A8">
        <v>2010</v>
      </c>
      <c r="B8">
        <v>38806.339999999997</v>
      </c>
      <c r="C8">
        <v>43977.9</v>
      </c>
      <c r="D8">
        <v>12834.2</v>
      </c>
      <c r="E8">
        <v>8581.86</v>
      </c>
      <c r="F8">
        <v>12964.29</v>
      </c>
      <c r="G8">
        <v>12410.46</v>
      </c>
      <c r="H8">
        <v>9716.4060000000009</v>
      </c>
      <c r="I8">
        <v>2779.14</v>
      </c>
      <c r="J8">
        <v>1791.71</v>
      </c>
      <c r="K8">
        <v>11532.54</v>
      </c>
      <c r="L8">
        <v>32231.74</v>
      </c>
      <c r="M8">
        <v>15608.33</v>
      </c>
      <c r="N8">
        <v>13015.63</v>
      </c>
      <c r="O8">
        <v>8564.8179999999993</v>
      </c>
      <c r="P8">
        <v>7919.8329999999996</v>
      </c>
      <c r="Q8">
        <v>13723.42</v>
      </c>
      <c r="R8">
        <v>20434.080000000002</v>
      </c>
      <c r="S8">
        <v>3834.0129999999999</v>
      </c>
      <c r="T8">
        <v>20648.07</v>
      </c>
      <c r="U8">
        <v>8425.5619999999999</v>
      </c>
      <c r="V8">
        <v>7848.5460000000003</v>
      </c>
      <c r="W8">
        <v>7487.6360000000004</v>
      </c>
      <c r="X8">
        <v>32144.51</v>
      </c>
      <c r="Y8">
        <v>30589.42</v>
      </c>
      <c r="Z8">
        <v>3218.9490000000001</v>
      </c>
      <c r="AA8">
        <v>2536.0790000000002</v>
      </c>
    </row>
    <row r="9" spans="1:27" x14ac:dyDescent="0.2">
      <c r="A9">
        <v>2011</v>
      </c>
      <c r="B9">
        <v>39607.56</v>
      </c>
      <c r="C9">
        <v>44276.23</v>
      </c>
      <c r="D9">
        <v>13115.73</v>
      </c>
      <c r="E9">
        <v>8757.7549999999992</v>
      </c>
      <c r="F9">
        <v>13354.95</v>
      </c>
      <c r="G9">
        <v>12989.33</v>
      </c>
      <c r="H9">
        <v>9039.6190000000006</v>
      </c>
      <c r="I9">
        <v>2830.279</v>
      </c>
      <c r="J9">
        <v>1803.059</v>
      </c>
      <c r="K9">
        <v>11748.58</v>
      </c>
      <c r="L9">
        <v>32596.43</v>
      </c>
      <c r="M9">
        <v>16116.39</v>
      </c>
      <c r="N9">
        <v>14282.46</v>
      </c>
      <c r="O9">
        <v>9072.884</v>
      </c>
      <c r="P9">
        <v>8424.259</v>
      </c>
      <c r="Q9">
        <v>14268.27</v>
      </c>
      <c r="R9">
        <v>21227.96</v>
      </c>
      <c r="S9">
        <v>3980.3980000000001</v>
      </c>
      <c r="T9">
        <v>21270.28</v>
      </c>
      <c r="U9">
        <v>9164.6970000000001</v>
      </c>
      <c r="V9">
        <v>8076.0690000000004</v>
      </c>
      <c r="W9">
        <v>7843.9179999999997</v>
      </c>
      <c r="X9">
        <v>32176.82</v>
      </c>
      <c r="Y9">
        <v>30908.1</v>
      </c>
      <c r="Z9">
        <v>3301.2089999999998</v>
      </c>
      <c r="AA9">
        <v>2599.4380000000001</v>
      </c>
    </row>
    <row r="10" spans="1:27" x14ac:dyDescent="0.2">
      <c r="A10">
        <v>2012</v>
      </c>
      <c r="B10">
        <v>39877.589999999997</v>
      </c>
      <c r="C10">
        <v>44889.21</v>
      </c>
      <c r="D10">
        <v>13404.91</v>
      </c>
      <c r="E10">
        <v>8909.6290000000008</v>
      </c>
      <c r="F10">
        <v>13489.52</v>
      </c>
      <c r="G10">
        <v>13279.93</v>
      </c>
      <c r="H10">
        <v>9708.8060000000005</v>
      </c>
      <c r="I10">
        <v>2890.0219999999999</v>
      </c>
      <c r="J10">
        <v>1793.8910000000001</v>
      </c>
      <c r="K10">
        <v>11871.27</v>
      </c>
      <c r="L10">
        <v>32321.95</v>
      </c>
      <c r="M10">
        <v>16260.36</v>
      </c>
      <c r="N10">
        <v>14746.96</v>
      </c>
      <c r="O10">
        <v>9153.7659999999996</v>
      </c>
      <c r="P10">
        <v>8788.1740000000009</v>
      </c>
      <c r="Q10">
        <v>14803.17</v>
      </c>
      <c r="R10">
        <v>21308.59</v>
      </c>
      <c r="S10">
        <v>4142.0349999999999</v>
      </c>
      <c r="T10">
        <v>21612.43</v>
      </c>
      <c r="U10">
        <v>9803.875</v>
      </c>
      <c r="V10">
        <v>8467.0859999999993</v>
      </c>
      <c r="W10">
        <v>8208.56</v>
      </c>
      <c r="X10">
        <v>32658.35</v>
      </c>
      <c r="Y10">
        <v>31570.560000000001</v>
      </c>
      <c r="Z10">
        <v>3420.819</v>
      </c>
      <c r="AA10">
        <v>2698.6219999999998</v>
      </c>
    </row>
    <row r="11" spans="1:27" x14ac:dyDescent="0.2">
      <c r="A11">
        <v>2013</v>
      </c>
      <c r="B11">
        <v>40373.68</v>
      </c>
      <c r="C11">
        <v>45326.11</v>
      </c>
      <c r="D11">
        <v>13408.65</v>
      </c>
      <c r="E11">
        <v>9066.2209999999995</v>
      </c>
      <c r="F11">
        <v>13774.73</v>
      </c>
      <c r="G11">
        <v>13598.59</v>
      </c>
      <c r="H11">
        <v>9517.8169999999991</v>
      </c>
      <c r="I11">
        <v>2979.3440000000001</v>
      </c>
      <c r="J11">
        <v>1857.12</v>
      </c>
      <c r="K11">
        <v>12001.79</v>
      </c>
      <c r="L11">
        <v>32285.33</v>
      </c>
      <c r="M11">
        <v>16510.96</v>
      </c>
      <c r="N11">
        <v>15727.04</v>
      </c>
      <c r="O11">
        <v>9238.3510000000006</v>
      </c>
      <c r="P11">
        <v>9249.6880000000001</v>
      </c>
      <c r="Q11">
        <v>15059.96</v>
      </c>
      <c r="R11">
        <v>21311.07</v>
      </c>
      <c r="S11">
        <v>4349.7420000000002</v>
      </c>
      <c r="T11">
        <v>22119.42</v>
      </c>
      <c r="U11">
        <v>10483.09</v>
      </c>
      <c r="V11">
        <v>8765.9069999999992</v>
      </c>
      <c r="W11">
        <v>8555.41</v>
      </c>
      <c r="X11">
        <v>33358.78</v>
      </c>
      <c r="Y11">
        <v>31910.74</v>
      </c>
      <c r="Z11">
        <v>3532.8040000000001</v>
      </c>
      <c r="AA11">
        <v>2770.3879999999999</v>
      </c>
    </row>
    <row r="12" spans="1:27" x14ac:dyDescent="0.2">
      <c r="A12">
        <v>2014</v>
      </c>
      <c r="B12">
        <v>41132.49</v>
      </c>
      <c r="C12">
        <v>45980.29</v>
      </c>
      <c r="D12">
        <v>13620.61</v>
      </c>
      <c r="E12">
        <v>9209.1319999999996</v>
      </c>
      <c r="F12">
        <v>13725.89</v>
      </c>
      <c r="G12">
        <v>13490.15</v>
      </c>
      <c r="H12">
        <v>9362.5779999999995</v>
      </c>
      <c r="I12">
        <v>3071.7649999999999</v>
      </c>
      <c r="J12">
        <v>1941.2090000000001</v>
      </c>
      <c r="K12">
        <v>11981.12</v>
      </c>
      <c r="L12">
        <v>32737.41</v>
      </c>
      <c r="M12">
        <v>17006.599999999999</v>
      </c>
      <c r="N12">
        <v>16179.39</v>
      </c>
      <c r="O12">
        <v>8681.2090000000007</v>
      </c>
      <c r="P12">
        <v>9612.5939999999991</v>
      </c>
      <c r="Q12">
        <v>15157.58</v>
      </c>
      <c r="R12">
        <v>21546.26</v>
      </c>
      <c r="S12">
        <v>4614.4750000000004</v>
      </c>
      <c r="T12">
        <v>22646.080000000002</v>
      </c>
      <c r="U12">
        <v>11171.67</v>
      </c>
      <c r="V12">
        <v>9058.5619999999999</v>
      </c>
      <c r="W12">
        <v>8880.6460000000006</v>
      </c>
      <c r="X12">
        <v>33510.660000000003</v>
      </c>
      <c r="Y12">
        <v>32299.29</v>
      </c>
      <c r="Z12">
        <v>3661.6990000000001</v>
      </c>
      <c r="AA12">
        <v>2829.3530000000001</v>
      </c>
    </row>
    <row r="13" spans="1:27" x14ac:dyDescent="0.2">
      <c r="A13">
        <v>2015</v>
      </c>
      <c r="B13">
        <v>41024.129999999997</v>
      </c>
      <c r="C13">
        <v>46850.239999999998</v>
      </c>
      <c r="D13">
        <v>13905.93</v>
      </c>
      <c r="E13">
        <v>9439.4339999999993</v>
      </c>
      <c r="F13">
        <v>13127.67</v>
      </c>
      <c r="G13">
        <v>13442.16</v>
      </c>
      <c r="H13">
        <v>9512.9130000000005</v>
      </c>
      <c r="I13">
        <v>3071.933</v>
      </c>
      <c r="J13">
        <v>1998.6020000000001</v>
      </c>
      <c r="K13">
        <v>11890.31</v>
      </c>
      <c r="L13">
        <v>33346.89</v>
      </c>
      <c r="M13">
        <v>17711.400000000001</v>
      </c>
      <c r="N13">
        <v>16833.22</v>
      </c>
      <c r="O13">
        <v>8044.7039999999997</v>
      </c>
      <c r="P13">
        <v>9805.4030000000002</v>
      </c>
      <c r="Q13">
        <v>14856.49</v>
      </c>
      <c r="R13">
        <v>21533.81</v>
      </c>
      <c r="S13">
        <v>4924.6170000000002</v>
      </c>
      <c r="T13">
        <v>23098.58</v>
      </c>
      <c r="U13">
        <v>11858.58</v>
      </c>
      <c r="V13">
        <v>9379.1820000000007</v>
      </c>
      <c r="W13">
        <v>9207.58</v>
      </c>
      <c r="X13">
        <v>34094.03</v>
      </c>
      <c r="Y13">
        <v>32586.46</v>
      </c>
      <c r="Z13">
        <v>3800.8249999999998</v>
      </c>
      <c r="AA13">
        <v>2815.1170000000002</v>
      </c>
    </row>
    <row r="14" spans="1:27" x14ac:dyDescent="0.2">
      <c r="A14">
        <v>2016</v>
      </c>
      <c r="B14">
        <v>40997.33</v>
      </c>
      <c r="C14">
        <v>47252.63</v>
      </c>
      <c r="D14">
        <v>14110.91</v>
      </c>
      <c r="E14">
        <v>9558.2170000000006</v>
      </c>
      <c r="F14">
        <v>12595.03</v>
      </c>
      <c r="G14">
        <v>12947.88</v>
      </c>
      <c r="H14">
        <v>9615.4719999999998</v>
      </c>
      <c r="I14">
        <v>2987.8110000000001</v>
      </c>
      <c r="J14">
        <v>2046.279</v>
      </c>
      <c r="K14">
        <v>11853.55</v>
      </c>
      <c r="L14">
        <v>33887.67</v>
      </c>
      <c r="M14">
        <v>18318.490000000002</v>
      </c>
      <c r="N14">
        <v>17097.810000000001</v>
      </c>
      <c r="O14">
        <v>8154.8779999999997</v>
      </c>
      <c r="P14">
        <v>9970.4169999999995</v>
      </c>
      <c r="Q14">
        <v>14813.38</v>
      </c>
      <c r="R14">
        <v>22150.18</v>
      </c>
      <c r="S14">
        <v>5268.4040000000005</v>
      </c>
      <c r="T14">
        <v>23642.959999999999</v>
      </c>
      <c r="U14">
        <v>12581.08</v>
      </c>
      <c r="V14">
        <v>9757.2379999999994</v>
      </c>
      <c r="W14">
        <v>9565.02</v>
      </c>
      <c r="X14">
        <v>34420.57</v>
      </c>
      <c r="Y14">
        <v>33012.339999999997</v>
      </c>
      <c r="Z14">
        <v>3963.7829999999999</v>
      </c>
      <c r="AA14">
        <v>2781.627</v>
      </c>
    </row>
    <row r="15" spans="1:27" x14ac:dyDescent="0.2">
      <c r="A15">
        <v>2017</v>
      </c>
      <c r="B15">
        <v>41734.18</v>
      </c>
      <c r="C15">
        <v>47940.34</v>
      </c>
      <c r="D15">
        <v>14254.25</v>
      </c>
      <c r="E15">
        <v>9693.4920000000002</v>
      </c>
      <c r="F15">
        <v>12660.94</v>
      </c>
      <c r="G15">
        <v>12721.39</v>
      </c>
      <c r="H15">
        <v>9957.1689999999999</v>
      </c>
      <c r="I15">
        <v>2967.7489999999998</v>
      </c>
      <c r="J15">
        <v>2096.3139999999999</v>
      </c>
      <c r="K15">
        <v>11944.46</v>
      </c>
      <c r="L15">
        <v>34616.22</v>
      </c>
      <c r="M15">
        <v>19228.830000000002</v>
      </c>
      <c r="N15">
        <v>18140.810000000001</v>
      </c>
      <c r="O15">
        <v>8391.9560000000001</v>
      </c>
      <c r="P15">
        <v>10261.92</v>
      </c>
      <c r="Q15">
        <v>15045.93</v>
      </c>
      <c r="R15">
        <v>21882.11</v>
      </c>
      <c r="S15">
        <v>5561.7669999999998</v>
      </c>
      <c r="T15">
        <v>24268.68</v>
      </c>
      <c r="U15">
        <v>13368.18</v>
      </c>
      <c r="V15">
        <v>10191.23</v>
      </c>
      <c r="W15">
        <v>9943.7260000000006</v>
      </c>
      <c r="X15">
        <v>35088.800000000003</v>
      </c>
      <c r="Y15">
        <v>33310.480000000003</v>
      </c>
      <c r="Z15">
        <v>4110.7579999999998</v>
      </c>
      <c r="AA15">
        <v>2773.4749999999999</v>
      </c>
    </row>
    <row r="16" spans="1:27" x14ac:dyDescent="0.2">
      <c r="A16">
        <v>2018</v>
      </c>
      <c r="B16">
        <v>42336.18</v>
      </c>
      <c r="C16">
        <v>48990.73</v>
      </c>
      <c r="D16">
        <v>14429.16</v>
      </c>
      <c r="E16">
        <v>9816.1200000000008</v>
      </c>
      <c r="F16">
        <v>12784.88</v>
      </c>
      <c r="G16">
        <v>12389.32</v>
      </c>
      <c r="H16">
        <v>10181.469999999999</v>
      </c>
      <c r="I16">
        <v>2972.0129999999999</v>
      </c>
      <c r="J16">
        <v>2143.7379999999998</v>
      </c>
      <c r="K16">
        <v>11974.49</v>
      </c>
      <c r="L16">
        <v>35127.089999999997</v>
      </c>
      <c r="M16">
        <v>20143.21</v>
      </c>
      <c r="N16">
        <v>18519.080000000002</v>
      </c>
      <c r="O16">
        <v>8719.107</v>
      </c>
      <c r="P16">
        <v>10590.55</v>
      </c>
      <c r="Q16">
        <v>15440.72</v>
      </c>
      <c r="R16">
        <v>21697.85</v>
      </c>
      <c r="S16">
        <v>5856.674</v>
      </c>
      <c r="T16">
        <v>24863.83</v>
      </c>
      <c r="U16">
        <v>14191.9</v>
      </c>
      <c r="V16">
        <v>10618.49</v>
      </c>
      <c r="W16">
        <v>10349.27</v>
      </c>
      <c r="X16">
        <v>35407.4</v>
      </c>
      <c r="Y16">
        <v>33752.9</v>
      </c>
      <c r="Z16">
        <v>4300.5569999999998</v>
      </c>
      <c r="AA16">
        <v>2754.5520000000001</v>
      </c>
    </row>
    <row r="17" spans="1:27" x14ac:dyDescent="0.2">
      <c r="A17">
        <v>2019</v>
      </c>
      <c r="B17">
        <v>42571.75</v>
      </c>
      <c r="C17">
        <v>49785.36</v>
      </c>
      <c r="D17">
        <v>14278.96</v>
      </c>
      <c r="E17">
        <v>9921.0609999999997</v>
      </c>
      <c r="F17">
        <v>12842.19</v>
      </c>
      <c r="G17">
        <v>11964.54</v>
      </c>
      <c r="H17">
        <v>10229.959999999999</v>
      </c>
      <c r="I17">
        <v>2983.3739999999998</v>
      </c>
      <c r="J17">
        <v>2190.317</v>
      </c>
      <c r="K17">
        <v>11833.78</v>
      </c>
      <c r="L17">
        <v>35560.35</v>
      </c>
      <c r="M17">
        <v>21022.65</v>
      </c>
      <c r="N17">
        <v>18533.34</v>
      </c>
      <c r="O17">
        <v>9000.098</v>
      </c>
      <c r="P17">
        <v>10966.34</v>
      </c>
      <c r="Q17">
        <v>15783.38</v>
      </c>
      <c r="R17">
        <v>21492.71</v>
      </c>
      <c r="S17">
        <v>6013.6170000000002</v>
      </c>
      <c r="T17">
        <v>25337.19</v>
      </c>
      <c r="U17">
        <v>14960.83</v>
      </c>
      <c r="V17">
        <v>10974.64</v>
      </c>
      <c r="W17">
        <v>10762.1</v>
      </c>
      <c r="X17">
        <v>35452.639999999999</v>
      </c>
      <c r="Y17">
        <v>33915.71</v>
      </c>
      <c r="Z17">
        <v>4425.9750000000004</v>
      </c>
      <c r="AA17">
        <v>2727.922</v>
      </c>
    </row>
    <row r="18" spans="1:27" x14ac:dyDescent="0.2">
      <c r="A18">
        <v>2020</v>
      </c>
      <c r="B18">
        <v>39954.11</v>
      </c>
      <c r="C18">
        <v>47858.13</v>
      </c>
      <c r="D18">
        <v>13017.73</v>
      </c>
      <c r="E18">
        <v>9063.8739999999998</v>
      </c>
      <c r="F18">
        <v>12262.25</v>
      </c>
      <c r="G18">
        <v>10677.89</v>
      </c>
      <c r="H18">
        <v>9774.4740000000002</v>
      </c>
      <c r="I18">
        <v>2878.9029999999998</v>
      </c>
      <c r="J18">
        <v>2137.136</v>
      </c>
      <c r="K18">
        <v>10938.02</v>
      </c>
      <c r="L18">
        <v>33117.26</v>
      </c>
      <c r="M18">
        <v>20316.68</v>
      </c>
      <c r="N18">
        <v>18719.150000000001</v>
      </c>
      <c r="O18">
        <v>8777.1260000000002</v>
      </c>
      <c r="P18">
        <v>10667.52</v>
      </c>
      <c r="Q18">
        <v>15336.45</v>
      </c>
      <c r="R18">
        <v>20397.82</v>
      </c>
      <c r="S18">
        <v>5563.5550000000003</v>
      </c>
      <c r="T18">
        <v>25063.05</v>
      </c>
      <c r="U18">
        <v>15213.38</v>
      </c>
      <c r="V18">
        <v>10402.17</v>
      </c>
      <c r="W18">
        <v>10445.959999999999</v>
      </c>
      <c r="X18">
        <v>34002.660000000003</v>
      </c>
      <c r="Y18">
        <v>33357.25</v>
      </c>
      <c r="Z18">
        <v>4348.4880000000003</v>
      </c>
      <c r="AA18">
        <v>2576.6439999999998</v>
      </c>
    </row>
    <row r="19" spans="1:27" x14ac:dyDescent="0.2">
      <c r="A19">
        <v>2021</v>
      </c>
      <c r="B19">
        <v>41762.49</v>
      </c>
      <c r="C19">
        <v>50505.83</v>
      </c>
      <c r="D19">
        <v>13673.09</v>
      </c>
      <c r="E19">
        <v>9656.8269999999993</v>
      </c>
      <c r="F19">
        <v>12813.92</v>
      </c>
      <c r="G19">
        <v>11632.06</v>
      </c>
      <c r="H19">
        <v>10163.64</v>
      </c>
      <c r="I19">
        <v>2911.9560000000001</v>
      </c>
      <c r="J19">
        <v>2177.9169999999999</v>
      </c>
      <c r="K19">
        <v>11360.42</v>
      </c>
      <c r="L19">
        <v>35052.18</v>
      </c>
      <c r="M19">
        <v>21676.38</v>
      </c>
      <c r="N19">
        <v>20698.63</v>
      </c>
      <c r="O19">
        <v>9352.5030000000006</v>
      </c>
      <c r="P19">
        <v>11076.55</v>
      </c>
      <c r="Q19">
        <v>16215.46</v>
      </c>
      <c r="R19">
        <v>20835.12</v>
      </c>
      <c r="S19">
        <v>6018.9690000000001</v>
      </c>
      <c r="T19">
        <v>26127.29</v>
      </c>
      <c r="U19">
        <v>16474.14</v>
      </c>
      <c r="V19">
        <v>10562.81</v>
      </c>
      <c r="W19">
        <v>10746.96</v>
      </c>
      <c r="X19">
        <v>34931.519999999997</v>
      </c>
      <c r="Y19">
        <v>34837.51</v>
      </c>
      <c r="Z19">
        <v>4500.3</v>
      </c>
      <c r="AA19">
        <v>2605.2060000000001</v>
      </c>
    </row>
    <row r="20" spans="1:27" x14ac:dyDescent="0.2">
      <c r="A20">
        <v>2022</v>
      </c>
      <c r="B20">
        <v>42999.66</v>
      </c>
      <c r="C20">
        <v>51346.61</v>
      </c>
      <c r="D20">
        <v>14099.1</v>
      </c>
      <c r="E20">
        <v>9991.5280000000002</v>
      </c>
      <c r="F20">
        <v>13124.45</v>
      </c>
      <c r="G20">
        <v>12107.65</v>
      </c>
      <c r="H20">
        <v>10369.19</v>
      </c>
      <c r="I20">
        <v>2946.306</v>
      </c>
      <c r="J20">
        <v>2192.6439999999998</v>
      </c>
      <c r="K20">
        <v>11485.18</v>
      </c>
      <c r="L20">
        <v>36245.89</v>
      </c>
      <c r="M20">
        <v>22588.53</v>
      </c>
      <c r="N20">
        <v>21675.77</v>
      </c>
      <c r="O20">
        <v>7650.7529999999997</v>
      </c>
      <c r="P20">
        <v>11361.15</v>
      </c>
      <c r="Q20">
        <v>16000.08</v>
      </c>
      <c r="R20">
        <v>21824.54</v>
      </c>
      <c r="S20">
        <v>6403.9719999999998</v>
      </c>
      <c r="T20">
        <v>26798.25</v>
      </c>
      <c r="U20">
        <v>16932.22</v>
      </c>
      <c r="V20">
        <v>11075</v>
      </c>
      <c r="W20">
        <v>11230.32</v>
      </c>
      <c r="X20">
        <v>35471.160000000003</v>
      </c>
      <c r="Y20">
        <v>35835.68</v>
      </c>
      <c r="Z20">
        <v>4641.4489999999996</v>
      </c>
      <c r="AA20">
        <v>2637.5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6B7C-1435-4CAF-881F-27C996F67F48}">
  <dimension ref="A1:AA131"/>
  <sheetViews>
    <sheetView showGridLines="0" workbookViewId="0">
      <selection activeCell="C11" sqref="A1:AA131"/>
    </sheetView>
  </sheetViews>
  <sheetFormatPr defaultRowHeight="12.75" x14ac:dyDescent="0.2"/>
  <cols>
    <col min="1" max="1" width="9.33203125" style="1"/>
    <col min="2" max="2" width="11" style="1" customWidth="1"/>
    <col min="3" max="4" width="9.6640625" style="1" bestFit="1" customWidth="1"/>
    <col min="5" max="6" width="10.6640625" style="1" bestFit="1" customWidth="1"/>
    <col min="7" max="7" width="11.6640625" style="1" bestFit="1" customWidth="1"/>
    <col min="8" max="8" width="9.6640625" style="1" bestFit="1" customWidth="1"/>
    <col min="9" max="9" width="10.6640625" style="1" bestFit="1" customWidth="1"/>
    <col min="10" max="11" width="9.6640625" style="1" bestFit="1" customWidth="1"/>
    <col min="12" max="12" width="10.6640625" style="1" bestFit="1" customWidth="1"/>
    <col min="13" max="13" width="9.6640625" style="1" bestFit="1" customWidth="1"/>
    <col min="14" max="14" width="10.6640625" style="1" bestFit="1" customWidth="1"/>
    <col min="15" max="15" width="9.6640625" style="1" bestFit="1" customWidth="1"/>
    <col min="16" max="16" width="10.6640625" style="1" bestFit="1" customWidth="1"/>
    <col min="17" max="19" width="9.6640625" style="1" bestFit="1" customWidth="1"/>
    <col min="20" max="20" width="10.6640625" style="1" bestFit="1" customWidth="1"/>
    <col min="21" max="21" width="9.6640625" style="1" bestFit="1" customWidth="1"/>
    <col min="22" max="22" width="10.6640625" style="1" bestFit="1" customWidth="1"/>
    <col min="23" max="23" width="9.6640625" style="1" bestFit="1" customWidth="1"/>
    <col min="24" max="24" width="10.6640625" style="1" bestFit="1" customWidth="1"/>
    <col min="25" max="26" width="9.6640625" style="1" bestFit="1" customWidth="1"/>
    <col min="27" max="27" width="10.6640625" style="1" bestFit="1" customWidth="1"/>
    <col min="28" max="16384" width="9.33203125" style="1"/>
  </cols>
  <sheetData>
    <row r="1" spans="1:2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1">
        <v>1971</v>
      </c>
      <c r="B2" s="2">
        <v>54376.281571126397</v>
      </c>
      <c r="C2" s="2">
        <v>94101.23837089802</v>
      </c>
      <c r="D2" s="2">
        <v>12819.891714944612</v>
      </c>
      <c r="E2" s="2">
        <v>25220.057531211925</v>
      </c>
      <c r="F2" s="2">
        <v>162989.85492654145</v>
      </c>
      <c r="G2" s="2">
        <v>128265.30506657854</v>
      </c>
      <c r="H2" s="2">
        <v>11219.1109565226</v>
      </c>
      <c r="I2" s="2">
        <v>45911.096507378621</v>
      </c>
      <c r="J2" s="2">
        <v>3279.8078300032739</v>
      </c>
      <c r="K2" s="2">
        <v>18652.94168714781</v>
      </c>
      <c r="L2" s="2">
        <v>7483.5874440927128</v>
      </c>
      <c r="M2" s="2">
        <v>31184.113928959337</v>
      </c>
      <c r="N2" s="2">
        <v>12196.773826238557</v>
      </c>
      <c r="O2" s="2">
        <v>19900.306736928495</v>
      </c>
      <c r="P2" s="2">
        <v>88456.968100380036</v>
      </c>
      <c r="Q2" s="2">
        <v>79517.454972695559</v>
      </c>
      <c r="R2" s="2">
        <v>5799.443110807073</v>
      </c>
      <c r="S2" s="2">
        <v>21479.616244876186</v>
      </c>
      <c r="T2" s="2">
        <v>268985.04029586475</v>
      </c>
      <c r="U2" s="2">
        <v>29459.61341656189</v>
      </c>
      <c r="V2" s="2">
        <v>8589.7093072244497</v>
      </c>
      <c r="W2" s="2">
        <v>16015.65676264478</v>
      </c>
      <c r="X2" s="2">
        <v>580153.35123720288</v>
      </c>
      <c r="Y2" s="2">
        <v>75791.120340705223</v>
      </c>
      <c r="Z2" s="2">
        <v>18545.125534729741</v>
      </c>
      <c r="AA2" s="2">
        <v>405916.07387215656</v>
      </c>
    </row>
    <row r="3" spans="1:27" x14ac:dyDescent="0.2">
      <c r="A3" s="1">
        <v>1972</v>
      </c>
      <c r="B3" s="2">
        <v>54119.098321802805</v>
      </c>
      <c r="C3" s="2">
        <v>93656.168175762563</v>
      </c>
      <c r="D3" s="2">
        <v>12759.257531952282</v>
      </c>
      <c r="E3" s="2">
        <v>25694.623324535984</v>
      </c>
      <c r="F3" s="2">
        <v>162898.11205201776</v>
      </c>
      <c r="G3" s="2">
        <v>130678.8731633024</v>
      </c>
      <c r="H3" s="2">
        <v>11251.397186421776</v>
      </c>
      <c r="I3" s="2">
        <v>46775.005557127508</v>
      </c>
      <c r="J3" s="2">
        <v>3341.5239701377554</v>
      </c>
      <c r="K3" s="2">
        <v>19003.934069248189</v>
      </c>
      <c r="L3" s="2">
        <v>7624.4061003515499</v>
      </c>
      <c r="M3" s="2">
        <v>31036.622568465398</v>
      </c>
      <c r="N3" s="2">
        <v>12426.280505185649</v>
      </c>
      <c r="O3" s="2">
        <v>19957.575613300472</v>
      </c>
      <c r="P3" s="2">
        <v>88038.593584432092</v>
      </c>
      <c r="Q3" s="2">
        <v>79141.361630949294</v>
      </c>
      <c r="R3" s="2">
        <v>5908.5712250991128</v>
      </c>
      <c r="S3" s="2">
        <v>21541.430040186318</v>
      </c>
      <c r="T3" s="2">
        <v>269032.81573885918</v>
      </c>
      <c r="U3" s="2">
        <v>29544.391956964417</v>
      </c>
      <c r="V3" s="2">
        <v>8751.3418572993724</v>
      </c>
      <c r="W3" s="2">
        <v>16006.641953781664</v>
      </c>
      <c r="X3" s="2">
        <v>577409.40259514668</v>
      </c>
      <c r="Y3" s="2">
        <v>75748.459432475327</v>
      </c>
      <c r="Z3" s="2">
        <v>18598.49448605251</v>
      </c>
      <c r="AA3" s="2">
        <v>405687.59396186285</v>
      </c>
    </row>
    <row r="4" spans="1:27" x14ac:dyDescent="0.2">
      <c r="A4" s="1">
        <v>1973</v>
      </c>
      <c r="B4" s="2">
        <v>53863.131470912893</v>
      </c>
      <c r="C4" s="2">
        <v>93213.203027085867</v>
      </c>
      <c r="D4" s="2">
        <v>12698.910130176901</v>
      </c>
      <c r="E4" s="2">
        <v>26178.119021842798</v>
      </c>
      <c r="F4" s="2">
        <v>162806.42081724203</v>
      </c>
      <c r="G4" s="2">
        <v>133137.85736810396</v>
      </c>
      <c r="H4" s="2">
        <v>11283.776329266118</v>
      </c>
      <c r="I4" s="2">
        <v>47655.17078246388</v>
      </c>
      <c r="J4" s="2">
        <v>3404.4014228095925</v>
      </c>
      <c r="K4" s="2">
        <v>19361.531074595601</v>
      </c>
      <c r="L4" s="2">
        <v>7767.8745411019408</v>
      </c>
      <c r="M4" s="2">
        <v>30889.828797182105</v>
      </c>
      <c r="N4" s="2">
        <v>12660.105811044392</v>
      </c>
      <c r="O4" s="2">
        <v>20015.009297393473</v>
      </c>
      <c r="P4" s="2">
        <v>87622.197852511599</v>
      </c>
      <c r="Q4" s="2">
        <v>78767.047096154973</v>
      </c>
      <c r="R4" s="2">
        <v>6019.7528029912601</v>
      </c>
      <c r="S4" s="2">
        <v>21603.421722533498</v>
      </c>
      <c r="T4" s="2">
        <v>269080.5996674294</v>
      </c>
      <c r="U4" s="2">
        <v>29629.414472086202</v>
      </c>
      <c r="V4" s="2">
        <v>8916.0158468816535</v>
      </c>
      <c r="W4" s="2">
        <v>15997.632219126872</v>
      </c>
      <c r="X4" s="2">
        <v>574678.43199438625</v>
      </c>
      <c r="Y4" s="2">
        <v>75705.822536993655</v>
      </c>
      <c r="Z4" s="2">
        <v>18652.01702193635</v>
      </c>
      <c r="AA4" s="2">
        <v>405459.24265714252</v>
      </c>
    </row>
    <row r="5" spans="1:27" x14ac:dyDescent="0.2">
      <c r="A5" s="1">
        <v>1974</v>
      </c>
      <c r="B5" s="2">
        <v>53608.375265262577</v>
      </c>
      <c r="C5" s="2">
        <v>92772.33296863937</v>
      </c>
      <c r="D5" s="2">
        <v>12638.848153230661</v>
      </c>
      <c r="E5" s="2">
        <v>26670.712657125259</v>
      </c>
      <c r="F5" s="2">
        <v>162714.78119314753</v>
      </c>
      <c r="G5" s="2">
        <v>135643.11227583626</v>
      </c>
      <c r="H5" s="2">
        <v>11316.248652439443</v>
      </c>
      <c r="I5" s="2">
        <v>48551.898075824924</v>
      </c>
      <c r="J5" s="2">
        <v>3468.4620404354537</v>
      </c>
      <c r="K5" s="2">
        <v>19725.856982378031</v>
      </c>
      <c r="L5" s="2">
        <v>7914.0426273355906</v>
      </c>
      <c r="M5" s="2">
        <v>30743.729315724966</v>
      </c>
      <c r="N5" s="2">
        <v>12898.331007412376</v>
      </c>
      <c r="O5" s="2">
        <v>20072.608263489277</v>
      </c>
      <c r="P5" s="2">
        <v>87207.771545572847</v>
      </c>
      <c r="Q5" s="2">
        <v>78394.502955097516</v>
      </c>
      <c r="R5" s="2">
        <v>6133.0264845056972</v>
      </c>
      <c r="S5" s="2">
        <v>21665.591803839012</v>
      </c>
      <c r="T5" s="2">
        <v>269128.39208308258</v>
      </c>
      <c r="U5" s="2">
        <v>29714.681664034921</v>
      </c>
      <c r="V5" s="2">
        <v>9083.788506734978</v>
      </c>
      <c r="W5" s="2">
        <v>15988.627555824258</v>
      </c>
      <c r="X5" s="2">
        <v>571960.37805273931</v>
      </c>
      <c r="Y5" s="2">
        <v>75663.20964074404</v>
      </c>
      <c r="Z5" s="2">
        <v>18705.693584365166</v>
      </c>
      <c r="AA5" s="2">
        <v>405231.01988560666</v>
      </c>
    </row>
    <row r="6" spans="1:27" x14ac:dyDescent="0.2">
      <c r="A6" s="1">
        <v>1975</v>
      </c>
      <c r="B6" s="2">
        <v>53354.823978868626</v>
      </c>
      <c r="C6" s="2">
        <v>92333.548091284421</v>
      </c>
      <c r="D6" s="2">
        <v>12579.07025114106</v>
      </c>
      <c r="E6" s="2">
        <v>27172.575426271706</v>
      </c>
      <c r="F6" s="2">
        <v>162623.19315068392</v>
      </c>
      <c r="G6" s="2">
        <v>138195.50856226269</v>
      </c>
      <c r="H6" s="2">
        <v>11348.814424095039</v>
      </c>
      <c r="I6" s="2">
        <v>49465.499085625452</v>
      </c>
      <c r="J6" s="2">
        <v>3533.7280866289075</v>
      </c>
      <c r="K6" s="2">
        <v>20097.038410344794</v>
      </c>
      <c r="L6" s="2">
        <v>8062.9611582784282</v>
      </c>
      <c r="M6" s="2">
        <v>30598.320840314584</v>
      </c>
      <c r="N6" s="2">
        <v>13141.038887024213</v>
      </c>
      <c r="O6" s="2">
        <v>20130.372987234554</v>
      </c>
      <c r="P6" s="2">
        <v>86795.305348835522</v>
      </c>
      <c r="Q6" s="2">
        <v>78023.720834353793</v>
      </c>
      <c r="R6" s="2">
        <v>6248.4316367538586</v>
      </c>
      <c r="S6" s="2">
        <v>21727.940797497355</v>
      </c>
      <c r="T6" s="2">
        <v>269176.19298732618</v>
      </c>
      <c r="U6" s="2">
        <v>29800.194236938758</v>
      </c>
      <c r="V6" s="2">
        <v>9254.7181445342412</v>
      </c>
      <c r="W6" s="2">
        <v>15979.627961019287</v>
      </c>
      <c r="X6" s="2">
        <v>569255.17967834254</v>
      </c>
      <c r="Y6" s="2">
        <v>75620.620730217939</v>
      </c>
      <c r="Z6" s="2">
        <v>18759.524616594797</v>
      </c>
      <c r="AA6" s="2">
        <v>405002.92557490722</v>
      </c>
    </row>
    <row r="7" spans="1:27" x14ac:dyDescent="0.2">
      <c r="A7" s="1">
        <v>1976</v>
      </c>
      <c r="B7" s="2">
        <v>53102.471912829962</v>
      </c>
      <c r="C7" s="2">
        <v>91896.838532749578</v>
      </c>
      <c r="D7" s="2">
        <v>12519.575080320552</v>
      </c>
      <c r="E7" s="2">
        <v>27683.881746563307</v>
      </c>
      <c r="F7" s="2">
        <v>162531.65666081719</v>
      </c>
      <c r="G7" s="2">
        <v>140795.9332866515</v>
      </c>
      <c r="H7" s="2">
        <v>11381.473913157886</v>
      </c>
      <c r="I7" s="2">
        <v>50396.291324568148</v>
      </c>
      <c r="J7" s="2">
        <v>3600.222243937912</v>
      </c>
      <c r="K7" s="2">
        <v>20475.20435881125</v>
      </c>
      <c r="L7" s="2">
        <v>8214.6818890453578</v>
      </c>
      <c r="M7" s="2">
        <v>30453.600102702829</v>
      </c>
      <c r="N7" s="2">
        <v>13388.313800525304</v>
      </c>
      <c r="O7" s="2">
        <v>20188.30394564478</v>
      </c>
      <c r="P7" s="2">
        <v>86384.78999157541</v>
      </c>
      <c r="Q7" s="2">
        <v>77654.69240010441</v>
      </c>
      <c r="R7" s="2">
        <v>6366.0083676180702</v>
      </c>
      <c r="S7" s="2">
        <v>21790.469218380462</v>
      </c>
      <c r="T7" s="2">
        <v>269224.00238166784</v>
      </c>
      <c r="U7" s="2">
        <v>29885.95289695224</v>
      </c>
      <c r="V7" s="2">
        <v>9428.864165129793</v>
      </c>
      <c r="W7" s="2">
        <v>15970.633431859029</v>
      </c>
      <c r="X7" s="2">
        <v>566562.77606827847</v>
      </c>
      <c r="Y7" s="2">
        <v>75578.055791914376</v>
      </c>
      <c r="Z7" s="2">
        <v>18813.51056315668</v>
      </c>
      <c r="AA7" s="2">
        <v>404774.95965273684</v>
      </c>
    </row>
    <row r="8" spans="1:27" x14ac:dyDescent="0.2">
      <c r="A8" s="1">
        <v>1977</v>
      </c>
      <c r="B8" s="2">
        <v>52851.313395199577</v>
      </c>
      <c r="C8" s="2">
        <v>91462.19447740895</v>
      </c>
      <c r="D8" s="2">
        <v>12460.361303536351</v>
      </c>
      <c r="E8" s="2">
        <v>28204.809317291016</v>
      </c>
      <c r="F8" s="2">
        <v>162440.17169452968</v>
      </c>
      <c r="G8" s="2">
        <v>143445.29020006416</v>
      </c>
      <c r="H8" s="2">
        <v>11414.227389326874</v>
      </c>
      <c r="I8" s="2">
        <v>51344.598279991842</v>
      </c>
      <c r="J8" s="2">
        <v>3667.9676217279052</v>
      </c>
      <c r="K8" s="2">
        <v>20860.486255491545</v>
      </c>
      <c r="L8" s="2">
        <v>8369.2575486272199</v>
      </c>
      <c r="M8" s="2">
        <v>30309.563850099388</v>
      </c>
      <c r="N8" s="2">
        <v>13640.241685787048</v>
      </c>
      <c r="O8" s="2">
        <v>20246.401617108186</v>
      </c>
      <c r="P8" s="2">
        <v>85976.216246915996</v>
      </c>
      <c r="Q8" s="2">
        <v>77287.40935794641</v>
      </c>
      <c r="R8" s="2">
        <v>6485.7975396906322</v>
      </c>
      <c r="S8" s="2">
        <v>21853.177582841956</v>
      </c>
      <c r="T8" s="2">
        <v>269271.82026761555</v>
      </c>
      <c r="U8" s="2">
        <v>29971.958352262049</v>
      </c>
      <c r="V8" s="2">
        <v>9606.2870911929822</v>
      </c>
      <c r="W8" s="2">
        <v>15961.643965492161</v>
      </c>
      <c r="X8" s="2">
        <v>563883.10670720891</v>
      </c>
      <c r="Y8" s="2">
        <v>75535.514812339999</v>
      </c>
      <c r="Z8" s="2">
        <v>18867.651869861515</v>
      </c>
      <c r="AA8" s="2">
        <v>404547.12204682891</v>
      </c>
    </row>
    <row r="9" spans="1:27" x14ac:dyDescent="0.2">
      <c r="A9" s="1">
        <v>1978</v>
      </c>
      <c r="B9" s="2">
        <v>52601.342780857041</v>
      </c>
      <c r="C9" s="2">
        <v>91029.606156061564</v>
      </c>
      <c r="D9" s="2">
        <v>12401.427589880375</v>
      </c>
      <c r="E9" s="2">
        <v>28735.53918151313</v>
      </c>
      <c r="F9" s="2">
        <v>162348.7382228201</v>
      </c>
      <c r="G9" s="2">
        <v>146144.50005944478</v>
      </c>
      <c r="H9" s="2">
        <v>11447.075123077027</v>
      </c>
      <c r="I9" s="2">
        <v>52310.749526296255</v>
      </c>
      <c r="J9" s="2">
        <v>3736.9877642132274</v>
      </c>
      <c r="K9" s="2">
        <v>21253.018001174969</v>
      </c>
      <c r="L9" s="2">
        <v>8526.7418582162154</v>
      </c>
      <c r="M9" s="2">
        <v>30166.208845098667</v>
      </c>
      <c r="N9" s="2">
        <v>13896.910097773671</v>
      </c>
      <c r="O9" s="2">
        <v>20304.666481389697</v>
      </c>
      <c r="P9" s="2">
        <v>85569.574931621071</v>
      </c>
      <c r="Q9" s="2">
        <v>76921.863452706835</v>
      </c>
      <c r="R9" s="2">
        <v>6607.8407844751973</v>
      </c>
      <c r="S9" s="2">
        <v>21916.066408721425</v>
      </c>
      <c r="T9" s="2">
        <v>269319.64664667757</v>
      </c>
      <c r="U9" s="2">
        <v>30058.211313092881</v>
      </c>
      <c r="V9" s="2">
        <v>9787.0485842501948</v>
      </c>
      <c r="W9" s="2">
        <v>15952.659559068965</v>
      </c>
      <c r="X9" s="2">
        <v>561216.11136601493</v>
      </c>
      <c r="Y9" s="2">
        <v>75492.997778009041</v>
      </c>
      <c r="Z9" s="2">
        <v>18921.948983802955</v>
      </c>
      <c r="AA9" s="2">
        <v>404319.41268495738</v>
      </c>
    </row>
    <row r="10" spans="1:27" x14ac:dyDescent="0.2">
      <c r="A10" s="1">
        <v>1979</v>
      </c>
      <c r="B10" s="2">
        <v>52352.554451381635</v>
      </c>
      <c r="C10" s="2">
        <v>90599.063845711775</v>
      </c>
      <c r="D10" s="2">
        <v>12342.772614739333</v>
      </c>
      <c r="E10" s="2">
        <v>29276.25578897497</v>
      </c>
      <c r="F10" s="2">
        <v>162257.35621670343</v>
      </c>
      <c r="G10" s="2">
        <v>148894.50094761982</v>
      </c>
      <c r="H10" s="2">
        <v>11480.017385661742</v>
      </c>
      <c r="I10" s="2">
        <v>53295.080839482202</v>
      </c>
      <c r="J10" s="2">
        <v>3807.3066586396722</v>
      </c>
      <c r="K10" s="2">
        <v>21652.936016261807</v>
      </c>
      <c r="L10" s="2">
        <v>8687.1895498761551</v>
      </c>
      <c r="M10" s="2">
        <v>30023.531865607001</v>
      </c>
      <c r="N10" s="2">
        <v>14158.408238971058</v>
      </c>
      <c r="O10" s="2">
        <v>20363.099019634908</v>
      </c>
      <c r="P10" s="2">
        <v>85164.856905888344</v>
      </c>
      <c r="Q10" s="2">
        <v>76558.046468257176</v>
      </c>
      <c r="R10" s="2">
        <v>6732.1805168553738</v>
      </c>
      <c r="S10" s="2">
        <v>21979.136215348681</v>
      </c>
      <c r="T10" s="2">
        <v>269367.48152036231</v>
      </c>
      <c r="U10" s="2">
        <v>30144.712491713308</v>
      </c>
      <c r="V10" s="2">
        <v>9971.2114661126852</v>
      </c>
      <c r="W10" s="2">
        <v>15943.680209741326</v>
      </c>
      <c r="X10" s="2">
        <v>558561.730100443</v>
      </c>
      <c r="Y10" s="2">
        <v>75450.504675443328</v>
      </c>
      <c r="Z10" s="2">
        <v>18976.402353361296</v>
      </c>
      <c r="AA10" s="2">
        <v>404091.83149493695</v>
      </c>
    </row>
    <row r="11" spans="1:27" x14ac:dyDescent="0.2">
      <c r="A11" s="1">
        <v>1980</v>
      </c>
      <c r="B11" s="2">
        <v>52104.942814926042</v>
      </c>
      <c r="C11" s="2">
        <v>90170.557869350785</v>
      </c>
      <c r="D11" s="2">
        <v>12284.395059764951</v>
      </c>
      <c r="E11" s="2">
        <v>29827.147060212501</v>
      </c>
      <c r="F11" s="2">
        <v>162166.02564721098</v>
      </c>
      <c r="G11" s="2">
        <v>151696.24859931922</v>
      </c>
      <c r="H11" s="2">
        <v>11513.054449115021</v>
      </c>
      <c r="I11" s="2">
        <v>54297.934313847109</v>
      </c>
      <c r="J11" s="2">
        <v>3878.9487436210097</v>
      </c>
      <c r="K11" s="2">
        <v>22060.379288174856</v>
      </c>
      <c r="L11" s="2">
        <v>8850.6563855640325</v>
      </c>
      <c r="M11" s="2">
        <v>29881.529704770255</v>
      </c>
      <c r="N11" s="2">
        <v>14424.82699038817</v>
      </c>
      <c r="O11" s="2">
        <v>20421.699714374041</v>
      </c>
      <c r="P11" s="2">
        <v>84762.053073143994</v>
      </c>
      <c r="Q11" s="2">
        <v>76195.950227328707</v>
      </c>
      <c r="R11" s="2">
        <v>6858.8599498355852</v>
      </c>
      <c r="S11" s="2">
        <v>22042.387523548063</v>
      </c>
      <c r="T11" s="2">
        <v>269415.32489017863</v>
      </c>
      <c r="U11" s="2">
        <v>30231.462602441665</v>
      </c>
      <c r="V11" s="2">
        <v>10158.83974070966</v>
      </c>
      <c r="W11" s="2">
        <v>15934.705914662733</v>
      </c>
      <c r="X11" s="2">
        <v>555919.90324975748</v>
      </c>
      <c r="Y11" s="2">
        <v>75408.035491172268</v>
      </c>
      <c r="Z11" s="2">
        <v>19031.012428207174</v>
      </c>
      <c r="AA11" s="2">
        <v>403864.3784046229</v>
      </c>
    </row>
    <row r="12" spans="1:27" x14ac:dyDescent="0.2">
      <c r="A12" s="1">
        <v>1981</v>
      </c>
      <c r="B12" s="2">
        <v>51858.50230609069</v>
      </c>
      <c r="C12" s="2">
        <v>89744.078595739062</v>
      </c>
      <c r="D12" s="2">
        <v>12226.293612844338</v>
      </c>
      <c r="E12" s="2">
        <v>30388.404451862192</v>
      </c>
      <c r="F12" s="2">
        <v>162074.74648539038</v>
      </c>
      <c r="G12" s="2">
        <v>154550.71673333226</v>
      </c>
      <c r="H12" s="2">
        <v>11546.186586253727</v>
      </c>
      <c r="I12" s="2">
        <v>55319.658480876409</v>
      </c>
      <c r="J12" s="2">
        <v>3951.9389176323775</v>
      </c>
      <c r="K12" s="2">
        <v>22475.489419663096</v>
      </c>
      <c r="L12" s="2">
        <v>9017.1991765095227</v>
      </c>
      <c r="M12" s="2">
        <v>29740.199170901735</v>
      </c>
      <c r="N12" s="2">
        <v>14696.258943141804</v>
      </c>
      <c r="O12" s="2">
        <v>20480.469049525942</v>
      </c>
      <c r="P12" s="2">
        <v>84361.154379838248</v>
      </c>
      <c r="Q12" s="2">
        <v>75835.566591328694</v>
      </c>
      <c r="R12" s="2">
        <v>6987.9231095593104</v>
      </c>
      <c r="S12" s="2">
        <v>22105.820855642731</v>
      </c>
      <c r="T12" s="2">
        <v>269463.17675763549</v>
      </c>
      <c r="U12" s="2">
        <v>30318.462361651938</v>
      </c>
      <c r="V12" s="2">
        <v>10349.998616332185</v>
      </c>
      <c r="W12" s="2">
        <v>15925.736670988275</v>
      </c>
      <c r="X12" s="2">
        <v>553290.57143539982</v>
      </c>
      <c r="Y12" s="2">
        <v>75365.590211732866</v>
      </c>
      <c r="Z12" s="2">
        <v>19085.779659305281</v>
      </c>
      <c r="AA12" s="2">
        <v>403637.05334191112</v>
      </c>
    </row>
    <row r="13" spans="1:27" x14ac:dyDescent="0.2">
      <c r="A13" s="1">
        <v>1982</v>
      </c>
      <c r="B13" s="2">
        <v>51613.227385798651</v>
      </c>
      <c r="C13" s="2">
        <v>89319.616439189907</v>
      </c>
      <c r="D13" s="2">
        <v>12168.466968070501</v>
      </c>
      <c r="E13" s="2">
        <v>30960.223023199818</v>
      </c>
      <c r="F13" s="2">
        <v>161983.51870230556</v>
      </c>
      <c r="G13" s="2">
        <v>157458.89739091345</v>
      </c>
      <c r="H13" s="2">
        <v>11579.41407067983</v>
      </c>
      <c r="I13" s="2">
        <v>56360.608430372085</v>
      </c>
      <c r="J13" s="2">
        <v>4026.3025476634907</v>
      </c>
      <c r="K13" s="2">
        <v>22898.410678014261</v>
      </c>
      <c r="L13" s="2">
        <v>9186.875802959139</v>
      </c>
      <c r="M13" s="2">
        <v>29599.537087410448</v>
      </c>
      <c r="N13" s="2">
        <v>14972.798430635698</v>
      </c>
      <c r="O13" s="2">
        <v>20539.407510402074</v>
      </c>
      <c r="P13" s="2">
        <v>83962.151815241828</v>
      </c>
      <c r="Q13" s="2">
        <v>75476.887460157464</v>
      </c>
      <c r="R13" s="2">
        <v>7119.4148506099182</v>
      </c>
      <c r="S13" s="2">
        <v>22169.436735458981</v>
      </c>
      <c r="T13" s="2">
        <v>269511.03712424217</v>
      </c>
      <c r="U13" s="2">
        <v>30405.712487779689</v>
      </c>
      <c r="V13" s="2">
        <v>10544.754528295663</v>
      </c>
      <c r="W13" s="2">
        <v>15916.772475874646</v>
      </c>
      <c r="X13" s="2">
        <v>550673.67555965413</v>
      </c>
      <c r="Y13" s="2">
        <v>75323.168823669694</v>
      </c>
      <c r="Z13" s="2">
        <v>19140.704498918094</v>
      </c>
      <c r="AA13" s="2">
        <v>403409.85623473814</v>
      </c>
    </row>
    <row r="14" spans="1:27" x14ac:dyDescent="0.2">
      <c r="A14" s="1">
        <v>1983</v>
      </c>
      <c r="B14" s="2">
        <v>51369.11254117114</v>
      </c>
      <c r="C14" s="2">
        <v>88897.161859354019</v>
      </c>
      <c r="D14" s="2">
        <v>12110.913825712989</v>
      </c>
      <c r="E14" s="2">
        <v>31542.801503931325</v>
      </c>
      <c r="F14" s="2">
        <v>161892.34226903672</v>
      </c>
      <c r="G14" s="2">
        <v>160421.80128055654</v>
      </c>
      <c r="H14" s="2">
        <v>11612.73717678267</v>
      </c>
      <c r="I14" s="2">
        <v>57421.14593386052</v>
      </c>
      <c r="J14" s="2">
        <v>4102.0654780346804</v>
      </c>
      <c r="K14" s="2">
        <v>23329.290045193473</v>
      </c>
      <c r="L14" s="2">
        <v>9359.7452342919314</v>
      </c>
      <c r="M14" s="2">
        <v>29459.540292729718</v>
      </c>
      <c r="N14" s="2">
        <v>15254.541561345139</v>
      </c>
      <c r="O14" s="2">
        <v>20598.515583710519</v>
      </c>
      <c r="P14" s="2">
        <v>83565.036411243491</v>
      </c>
      <c r="Q14" s="2">
        <v>75119.904772026362</v>
      </c>
      <c r="R14" s="2">
        <v>7253.3808715994201</v>
      </c>
      <c r="S14" s="2">
        <v>22233.235688330569</v>
      </c>
      <c r="T14" s="2">
        <v>269558.90599150828</v>
      </c>
      <c r="U14" s="2">
        <v>30493.213701327986</v>
      </c>
      <c r="V14" s="2">
        <v>10743.175162028754</v>
      </c>
      <c r="W14" s="2">
        <v>15907.813326480138</v>
      </c>
      <c r="X14" s="2">
        <v>548069.15680431866</v>
      </c>
      <c r="Y14" s="2">
        <v>75280.771313534904</v>
      </c>
      <c r="Z14" s="2">
        <v>19195.787400609603</v>
      </c>
      <c r="AA14" s="2">
        <v>403182.787011081</v>
      </c>
    </row>
    <row r="15" spans="1:27" x14ac:dyDescent="0.2">
      <c r="A15" s="1">
        <v>1984</v>
      </c>
      <c r="B15" s="2">
        <v>51126.152285403616</v>
      </c>
      <c r="C15" s="2">
        <v>88476.705361005035</v>
      </c>
      <c r="D15" s="2">
        <v>12053.632892188678</v>
      </c>
      <c r="E15" s="2">
        <v>32136.3423632593</v>
      </c>
      <c r="F15" s="2">
        <v>161801.21715668033</v>
      </c>
      <c r="G15" s="2">
        <v>163440.45812925577</v>
      </c>
      <c r="H15" s="2">
        <v>11646.15617974122</v>
      </c>
      <c r="I15" s="2">
        <v>58501.639570322484</v>
      </c>
      <c r="J15" s="2">
        <v>4179.2540393788231</v>
      </c>
      <c r="K15" s="2">
        <v>23768.277268925325</v>
      </c>
      <c r="L15" s="2">
        <v>9535.8675495136831</v>
      </c>
      <c r="M15" s="2">
        <v>29320.205640246113</v>
      </c>
      <c r="N15" s="2">
        <v>15541.586252218478</v>
      </c>
      <c r="O15" s="2">
        <v>20657.793757560008</v>
      </c>
      <c r="P15" s="2">
        <v>83169.799242148423</v>
      </c>
      <c r="Q15" s="2">
        <v>74764.610503276519</v>
      </c>
      <c r="R15" s="2">
        <v>7389.8677310505582</v>
      </c>
      <c r="S15" s="2">
        <v>22297.218241103052</v>
      </c>
      <c r="T15" s="2">
        <v>269606.78336094366</v>
      </c>
      <c r="U15" s="2">
        <v>30580.966724873353</v>
      </c>
      <c r="V15" s="2">
        <v>10945.329476596748</v>
      </c>
      <c r="W15" s="2">
        <v>15898.859219964643</v>
      </c>
      <c r="X15" s="2">
        <v>545476.95662938384</v>
      </c>
      <c r="Y15" s="2">
        <v>75238.397667888203</v>
      </c>
      <c r="Z15" s="2">
        <v>19251.028819249063</v>
      </c>
      <c r="AA15" s="2">
        <v>402955.84559895733</v>
      </c>
    </row>
    <row r="16" spans="1:27" x14ac:dyDescent="0.2">
      <c r="A16" s="1">
        <v>1985</v>
      </c>
      <c r="B16" s="2">
        <v>50884.341157642448</v>
      </c>
      <c r="C16" s="2">
        <v>88058.23749382612</v>
      </c>
      <c r="D16" s="2">
        <v>11996.622880032699</v>
      </c>
      <c r="E16" s="2">
        <v>32741.051880249084</v>
      </c>
      <c r="F16" s="2">
        <v>161710.14333634917</v>
      </c>
      <c r="G16" s="2">
        <v>166515.91704037707</v>
      </c>
      <c r="H16" s="2">
        <v>11679.67135552636</v>
      </c>
      <c r="I16" s="2">
        <v>59602.464854288999</v>
      </c>
      <c r="J16" s="2">
        <v>4257.8950577922842</v>
      </c>
      <c r="K16" s="2">
        <v>24215.524914737165</v>
      </c>
      <c r="L16" s="2">
        <v>9715.303958136763</v>
      </c>
      <c r="M16" s="2">
        <v>29181.529998228722</v>
      </c>
      <c r="N16" s="2">
        <v>15834.032262707175</v>
      </c>
      <c r="O16" s="2">
        <v>20717.242521463944</v>
      </c>
      <c r="P16" s="2">
        <v>82776.431424477632</v>
      </c>
      <c r="Q16" s="2">
        <v>74410.996668198553</v>
      </c>
      <c r="R16" s="2">
        <v>7528.9228635777417</v>
      </c>
      <c r="S16" s="2">
        <v>22361.384922138135</v>
      </c>
      <c r="T16" s="2">
        <v>269654.66923405841</v>
      </c>
      <c r="U16" s="2">
        <v>30668.972283071733</v>
      </c>
      <c r="V16" s="2">
        <v>11151.287728667585</v>
      </c>
      <c r="W16" s="2">
        <v>15889.910153489651</v>
      </c>
      <c r="X16" s="2">
        <v>542897.01677171653</v>
      </c>
      <c r="Y16" s="2">
        <v>75196.047873296891</v>
      </c>
      <c r="Z16" s="2">
        <v>19306.42921101474</v>
      </c>
      <c r="AA16" s="2">
        <v>402729.03192642517</v>
      </c>
    </row>
    <row r="17" spans="1:27" x14ac:dyDescent="0.2">
      <c r="A17" s="1">
        <v>1986</v>
      </c>
      <c r="B17" s="2">
        <v>50643.673722862171</v>
      </c>
      <c r="C17" s="2">
        <v>87641.748852197547</v>
      </c>
      <c r="D17" s="2">
        <v>11939.882507869501</v>
      </c>
      <c r="E17" s="2">
        <v>33357.14021551895</v>
      </c>
      <c r="F17" s="2">
        <v>161619.12077917223</v>
      </c>
      <c r="G17" s="2">
        <v>169649.24685826318</v>
      </c>
      <c r="H17" s="2">
        <v>11713.282980903157</v>
      </c>
      <c r="I17" s="2">
        <v>60724.004366347588</v>
      </c>
      <c r="J17" s="2">
        <v>4338.0158641580529</v>
      </c>
      <c r="K17" s="2">
        <v>24671.188418981699</v>
      </c>
      <c r="L17" s="2">
        <v>9898.1168214528589</v>
      </c>
      <c r="M17" s="2">
        <v>29043.510249758765</v>
      </c>
      <c r="N17" s="2">
        <v>16131.981229436169</v>
      </c>
      <c r="O17" s="2">
        <v>20776.862366344445</v>
      </c>
      <c r="P17" s="2">
        <v>82384.924116768248</v>
      </c>
      <c r="Q17" s="2">
        <v>74059.055318853032</v>
      </c>
      <c r="R17" s="2">
        <v>7670.5945963724653</v>
      </c>
      <c r="S17" s="2">
        <v>22425.736261318038</v>
      </c>
      <c r="T17" s="2">
        <v>269702.56361236289</v>
      </c>
      <c r="U17" s="2">
        <v>30757.231102664478</v>
      </c>
      <c r="V17" s="2">
        <v>11361.121496928845</v>
      </c>
      <c r="W17" s="2">
        <v>15880.966124218252</v>
      </c>
      <c r="X17" s="2">
        <v>540329.27924375038</v>
      </c>
      <c r="Y17" s="2">
        <v>75153.721916335795</v>
      </c>
      <c r="Z17" s="2">
        <v>19361.989033397691</v>
      </c>
      <c r="AA17" s="2">
        <v>402502.34592158318</v>
      </c>
    </row>
    <row r="18" spans="1:27" x14ac:dyDescent="0.2">
      <c r="A18" s="1">
        <v>1987</v>
      </c>
      <c r="B18" s="2">
        <v>50404.144571743353</v>
      </c>
      <c r="C18" s="2">
        <v>87227.230074985331</v>
      </c>
      <c r="D18" s="2">
        <v>11883.410500384047</v>
      </c>
      <c r="E18" s="2">
        <v>33984.82148427928</v>
      </c>
      <c r="F18" s="2">
        <v>161528.14945629478</v>
      </c>
      <c r="G18" s="2">
        <v>172841.53653969962</v>
      </c>
      <c r="H18" s="2">
        <v>11746.991333433149</v>
      </c>
      <c r="I18" s="2">
        <v>61866.647886104241</v>
      </c>
      <c r="J18" s="2">
        <v>4419.6443036443125</v>
      </c>
      <c r="K18" s="2">
        <v>25135.426142857294</v>
      </c>
      <c r="L18" s="2">
        <v>10084.369674206016</v>
      </c>
      <c r="M18" s="2">
        <v>28906.143292659544</v>
      </c>
      <c r="N18" s="2">
        <v>16435.536701526653</v>
      </c>
      <c r="O18" s="2">
        <v>20836.653784536396</v>
      </c>
      <c r="P18" s="2">
        <v>81995.268519374862</v>
      </c>
      <c r="Q18" s="2">
        <v>73708.778544891858</v>
      </c>
      <c r="R18" s="2">
        <v>7814.93216599893</v>
      </c>
      <c r="S18" s="2">
        <v>22490.272790049868</v>
      </c>
      <c r="T18" s="2">
        <v>269750.46649736771</v>
      </c>
      <c r="U18" s="2">
        <v>30845.743912484351</v>
      </c>
      <c r="V18" s="2">
        <v>11574.903706964191</v>
      </c>
      <c r="W18" s="2">
        <v>15872.027129315129</v>
      </c>
      <c r="X18" s="2">
        <v>537773.68633218261</v>
      </c>
      <c r="Y18" s="2">
        <v>75111.41978358732</v>
      </c>
      <c r="Z18" s="2">
        <v>19417.708745205531</v>
      </c>
      <c r="AA18" s="2">
        <v>402275.78751257044</v>
      </c>
    </row>
    <row r="19" spans="1:27" x14ac:dyDescent="0.2">
      <c r="A19" s="1">
        <v>1988</v>
      </c>
      <c r="B19" s="2">
        <v>50165.748320550985</v>
      </c>
      <c r="C19" s="2">
        <v>86814.671845330769</v>
      </c>
      <c r="D19" s="2">
        <v>11827.205588293153</v>
      </c>
      <c r="E19" s="2">
        <v>34624.313830746127</v>
      </c>
      <c r="F19" s="2">
        <v>161437.22933887833</v>
      </c>
      <c r="G19" s="2">
        <v>176093.8955323704</v>
      </c>
      <c r="H19" s="2">
        <v>11780.796691476637</v>
      </c>
      <c r="I19" s="2">
        <v>63030.792527647347</v>
      </c>
      <c r="J19" s="2">
        <v>4502.8087453817434</v>
      </c>
      <c r="K19" s="2">
        <v>25608.399427444809</v>
      </c>
      <c r="L19" s="2">
        <v>10274.127246673484</v>
      </c>
      <c r="M19" s="2">
        <v>28769.426039426711</v>
      </c>
      <c r="N19" s="2">
        <v>16744.804176583515</v>
      </c>
      <c r="O19" s="2">
        <v>20896.617269791524</v>
      </c>
      <c r="P19" s="2">
        <v>81607.455874271691</v>
      </c>
      <c r="Q19" s="2">
        <v>73360.158473380492</v>
      </c>
      <c r="R19" s="2">
        <v>7961.9857355057075</v>
      </c>
      <c r="S19" s="2">
        <v>22554.995041270016</v>
      </c>
      <c r="T19" s="2">
        <v>269798.37789058383</v>
      </c>
      <c r="U19" s="2">
        <v>30934.511443461539</v>
      </c>
      <c r="V19" s="2">
        <v>11792.708656597908</v>
      </c>
      <c r="W19" s="2">
        <v>15863.093165946566</v>
      </c>
      <c r="X19" s="2">
        <v>535230.18059667677</v>
      </c>
      <c r="Y19" s="2">
        <v>75069.141461641411</v>
      </c>
      <c r="Z19" s="2">
        <v>19473.588806566229</v>
      </c>
      <c r="AA19" s="2">
        <v>402049.35662756651</v>
      </c>
    </row>
    <row r="20" spans="1:27" x14ac:dyDescent="0.2">
      <c r="A20" s="1">
        <v>1989</v>
      </c>
      <c r="B20" s="2">
        <v>49928.479611013485</v>
      </c>
      <c r="C20" s="2">
        <v>86404.064890441092</v>
      </c>
      <c r="D20" s="2">
        <v>11771.266508316956</v>
      </c>
      <c r="E20" s="2">
        <v>35275.839503954994</v>
      </c>
      <c r="F20" s="2">
        <v>161346.36039810063</v>
      </c>
      <c r="G20" s="2">
        <v>179407.45416043542</v>
      </c>
      <c r="H20" s="2">
        <v>11814.699334194984</v>
      </c>
      <c r="I20" s="2">
        <v>64216.84287756063</v>
      </c>
      <c r="J20" s="2">
        <v>4587.5380923229241</v>
      </c>
      <c r="K20" s="2">
        <v>26090.272649780029</v>
      </c>
      <c r="L20" s="2">
        <v>10467.455487162064</v>
      </c>
      <c r="M20" s="2">
        <v>28633.355417158869</v>
      </c>
      <c r="N20" s="2">
        <v>17059.891137359948</v>
      </c>
      <c r="O20" s="2">
        <v>20956.753317282466</v>
      </c>
      <c r="P20" s="2">
        <v>81221.477464855736</v>
      </c>
      <c r="Q20" s="2">
        <v>73013.187268620954</v>
      </c>
      <c r="R20" s="2">
        <v>8111.8064118593957</v>
      </c>
      <c r="S20" s="2">
        <v>22619.903549448543</v>
      </c>
      <c r="T20" s="2">
        <v>269846.29779352236</v>
      </c>
      <c r="U20" s="2">
        <v>31023.534428629686</v>
      </c>
      <c r="V20" s="2">
        <v>12014.612041716355</v>
      </c>
      <c r="W20" s="2">
        <v>15854.164231280438</v>
      </c>
      <c r="X20" s="2">
        <v>532698.70486857183</v>
      </c>
      <c r="Y20" s="2">
        <v>75026.88693709558</v>
      </c>
      <c r="Z20" s="2">
        <v>19529.629678931906</v>
      </c>
      <c r="AA20" s="2">
        <v>401823.05319479131</v>
      </c>
    </row>
    <row r="21" spans="1:27" x14ac:dyDescent="0.2">
      <c r="A21" s="1">
        <v>1990</v>
      </c>
      <c r="B21" s="2">
        <v>49692.333110202264</v>
      </c>
      <c r="C21" s="2">
        <v>85995.399981380993</v>
      </c>
      <c r="D21" s="2">
        <v>11715.592003150525</v>
      </c>
      <c r="E21" s="2">
        <v>35939.624935001237</v>
      </c>
      <c r="F21" s="2">
        <v>161255.54260515561</v>
      </c>
      <c r="G21" s="2">
        <v>182783.36401736291</v>
      </c>
      <c r="H21" s="2">
        <v>11848.69954155292</v>
      </c>
      <c r="I21" s="2">
        <v>65425.2111355331</v>
      </c>
      <c r="J21" s="2">
        <v>4673.8617912872596</v>
      </c>
      <c r="K21" s="2">
        <v>26581.213279981235</v>
      </c>
      <c r="L21" s="2">
        <v>10664.421584927766</v>
      </c>
      <c r="M21" s="2">
        <v>28497.928367488512</v>
      </c>
      <c r="N21" s="2">
        <v>17380.907089111992</v>
      </c>
      <c r="O21" s="2">
        <v>21017.062423606862</v>
      </c>
      <c r="P21" s="2">
        <v>80837.324615750898</v>
      </c>
      <c r="Q21" s="2">
        <v>72667.857131975732</v>
      </c>
      <c r="R21" s="2">
        <v>8264.4462637063261</v>
      </c>
      <c r="S21" s="2">
        <v>22684.998850593605</v>
      </c>
      <c r="T21" s="2">
        <v>269894.2262076948</v>
      </c>
      <c r="U21" s="2">
        <v>31112.813603131963</v>
      </c>
      <c r="V21" s="2">
        <v>12240.690982575294</v>
      </c>
      <c r="W21" s="2">
        <v>15845.240322486214</v>
      </c>
      <c r="X21" s="2">
        <v>530179.20224959694</v>
      </c>
      <c r="Y21" s="2">
        <v>74984.656196554861</v>
      </c>
      <c r="Z21" s="2">
        <v>19585.831825082641</v>
      </c>
      <c r="AA21" s="2">
        <v>401596.8771425052</v>
      </c>
    </row>
    <row r="22" spans="1:27" x14ac:dyDescent="0.2">
      <c r="A22" s="1">
        <v>1991</v>
      </c>
      <c r="B22" s="2">
        <v>49457.303510411861</v>
      </c>
      <c r="C22" s="2">
        <v>85588.667932865239</v>
      </c>
      <c r="D22" s="2">
        <v>11660.180821435597</v>
      </c>
      <c r="E22" s="2">
        <v>36615.900815733869</v>
      </c>
      <c r="F22" s="2">
        <v>161164.77593125348</v>
      </c>
      <c r="G22" s="2">
        <v>186222.79836615408</v>
      </c>
      <c r="H22" s="2">
        <v>11882.797594320857</v>
      </c>
      <c r="I22" s="2">
        <v>66656.317257614821</v>
      </c>
      <c r="J22" s="2">
        <v>4761.8098431949211</v>
      </c>
      <c r="K22" s="2">
        <v>27081.391939451729</v>
      </c>
      <c r="L22" s="2">
        <v>10865.093993526758</v>
      </c>
      <c r="M22" s="2">
        <v>28363.141846513281</v>
      </c>
      <c r="N22" s="2">
        <v>17707.963597655958</v>
      </c>
      <c r="O22" s="2">
        <v>21077.545086791455</v>
      </c>
      <c r="P22" s="2">
        <v>80454.988692612955</v>
      </c>
      <c r="Q22" s="2">
        <v>72324.160301692507</v>
      </c>
      <c r="R22" s="2">
        <v>8419.9583394684851</v>
      </c>
      <c r="S22" s="2">
        <v>22750.281482255879</v>
      </c>
      <c r="T22" s="2">
        <v>269942.16313461284</v>
      </c>
      <c r="U22" s="2">
        <v>31202.349704227116</v>
      </c>
      <c r="V22" s="2">
        <v>12471.024050602255</v>
      </c>
      <c r="W22" s="2">
        <v>15836.321436734959</v>
      </c>
      <c r="X22" s="2">
        <v>527671.61611059285</v>
      </c>
      <c r="Y22" s="2">
        <v>74942.449226631841</v>
      </c>
      <c r="Z22" s="2">
        <v>19642.195709130297</v>
      </c>
      <c r="AA22" s="2">
        <v>401370.8283990089</v>
      </c>
    </row>
    <row r="23" spans="1:27" x14ac:dyDescent="0.2">
      <c r="A23" s="1">
        <v>1992</v>
      </c>
      <c r="B23" s="2">
        <v>49223.385529040643</v>
      </c>
      <c r="C23" s="2">
        <v>85183.859603052173</v>
      </c>
      <c r="D23" s="2">
        <v>11605.031717732452</v>
      </c>
      <c r="E23" s="2">
        <v>37304.902178930155</v>
      </c>
      <c r="F23" s="2">
        <v>161074.0603476206</v>
      </c>
      <c r="G23" s="2">
        <v>189726.95254709868</v>
      </c>
      <c r="H23" s="2">
        <v>11916.993774077202</v>
      </c>
      <c r="I23" s="2">
        <v>67910.589102168378</v>
      </c>
      <c r="J23" s="2">
        <v>4851.4128134933599</v>
      </c>
      <c r="K23" s="2">
        <v>27590.982460177558</v>
      </c>
      <c r="L23" s="2">
        <v>11069.542454605693</v>
      </c>
      <c r="M23" s="2">
        <v>28228.992824727546</v>
      </c>
      <c r="N23" s="2">
        <v>18041.174328142002</v>
      </c>
      <c r="O23" s="2">
        <v>21138.201806296202</v>
      </c>
      <c r="P23" s="2">
        <v>80074.461101935507</v>
      </c>
      <c r="Q23" s="2">
        <v>71982.089052729672</v>
      </c>
      <c r="R23" s="2">
        <v>8578.3966857799569</v>
      </c>
      <c r="S23" s="2">
        <v>22815.751983532995</v>
      </c>
      <c r="T23" s="2">
        <v>269990.10857578844</v>
      </c>
      <c r="U23" s="2">
        <v>31292.143471295574</v>
      </c>
      <c r="V23" s="2">
        <v>12705.691295703225</v>
      </c>
      <c r="W23" s="2">
        <v>15827.40757119933</v>
      </c>
      <c r="X23" s="2">
        <v>525175.89009023889</v>
      </c>
      <c r="Y23" s="2">
        <v>74900.266013946646</v>
      </c>
      <c r="Z23" s="2">
        <v>19698.721796522357</v>
      </c>
      <c r="AA23" s="2">
        <v>401144.90689264354</v>
      </c>
    </row>
    <row r="24" spans="1:27" x14ac:dyDescent="0.2">
      <c r="A24" s="1">
        <v>1993</v>
      </c>
      <c r="B24" s="2">
        <v>48990.573908472077</v>
      </c>
      <c r="C24" s="2">
        <v>84780.965893338289</v>
      </c>
      <c r="D24" s="2">
        <v>11550.14345249192</v>
      </c>
      <c r="E24" s="2">
        <v>38006.868479978861</v>
      </c>
      <c r="F24" s="2">
        <v>160983.39582549958</v>
      </c>
      <c r="G24" s="2">
        <v>193297.04439320334</v>
      </c>
      <c r="H24" s="2">
        <v>11951.288363210686</v>
      </c>
      <c r="I24" s="2">
        <v>69188.462578566672</v>
      </c>
      <c r="J24" s="2">
        <v>4942.7018427800167</v>
      </c>
      <c r="K24" s="2">
        <v>28110.161945141055</v>
      </c>
      <c r="L24" s="2">
        <v>11277.838022139707</v>
      </c>
      <c r="M24" s="2">
        <v>28095.478286954316</v>
      </c>
      <c r="N24" s="2">
        <v>18380.655084557267</v>
      </c>
      <c r="O24" s="2">
        <v>21199.033083018399</v>
      </c>
      <c r="P24" s="2">
        <v>79695.733290856806</v>
      </c>
      <c r="Q24" s="2">
        <v>71641.635696582729</v>
      </c>
      <c r="R24" s="2">
        <v>8739.8163662702736</v>
      </c>
      <c r="S24" s="2">
        <v>22881.410895073994</v>
      </c>
      <c r="T24" s="2">
        <v>270038.06253273389</v>
      </c>
      <c r="U24" s="2">
        <v>31382.195645845546</v>
      </c>
      <c r="V24" s="2">
        <v>12944.774274083182</v>
      </c>
      <c r="W24" s="2">
        <v>15818.498723053572</v>
      </c>
      <c r="X24" s="2">
        <v>522691.96809378627</v>
      </c>
      <c r="Y24" s="2">
        <v>74858.106545126924</v>
      </c>
      <c r="Z24" s="2">
        <v>19755.41055404576</v>
      </c>
      <c r="AA24" s="2">
        <v>400919.11255179055</v>
      </c>
    </row>
    <row r="25" spans="1:27" x14ac:dyDescent="0.2">
      <c r="A25" s="1">
        <v>1994</v>
      </c>
      <c r="B25" s="2">
        <v>48758.863415956555</v>
      </c>
      <c r="C25" s="2">
        <v>84379.977748153688</v>
      </c>
      <c r="D25" s="2">
        <v>11495.514792027523</v>
      </c>
      <c r="E25" s="2">
        <v>38722.04368010052</v>
      </c>
      <c r="F25" s="2">
        <v>160892.78233614916</v>
      </c>
      <c r="G25" s="2">
        <v>196934.31465343689</v>
      </c>
      <c r="H25" s="2">
        <v>11985.681644922695</v>
      </c>
      <c r="I25" s="2">
        <v>70490.381798688759</v>
      </c>
      <c r="J25" s="2">
        <v>5035.7086576249176</v>
      </c>
      <c r="K25" s="2">
        <v>28639.110829871159</v>
      </c>
      <c r="L25" s="2">
        <v>11490.053087126507</v>
      </c>
      <c r="M25" s="2">
        <v>27962.595232277472</v>
      </c>
      <c r="N25" s="2">
        <v>18726.523849972396</v>
      </c>
      <c r="O25" s="2">
        <v>21260.039419296827</v>
      </c>
      <c r="P25" s="2">
        <v>79318.79674696755</v>
      </c>
      <c r="Q25" s="2">
        <v>71302.79258111144</v>
      </c>
      <c r="R25" s="2">
        <v>8904.2734807012221</v>
      </c>
      <c r="S25" s="2">
        <v>22947.258759083787</v>
      </c>
      <c r="T25" s="2">
        <v>270086.02500696172</v>
      </c>
      <c r="U25" s="2">
        <v>31472.506971519142</v>
      </c>
      <c r="V25" s="2">
        <v>13188.356076590115</v>
      </c>
      <c r="W25" s="2">
        <v>15809.594889473523</v>
      </c>
      <c r="X25" s="2">
        <v>520219.7942917975</v>
      </c>
      <c r="Y25" s="2">
        <v>74815.970806807847</v>
      </c>
      <c r="Z25" s="2">
        <v>19812.26244983076</v>
      </c>
      <c r="AA25" s="2">
        <v>400693.44530487165</v>
      </c>
    </row>
    <row r="26" spans="1:27" x14ac:dyDescent="0.2">
      <c r="A26" s="1">
        <v>1995</v>
      </c>
      <c r="B26" s="2">
        <v>48528.248843493777</v>
      </c>
      <c r="C26" s="2">
        <v>83980.886154758569</v>
      </c>
      <c r="D26" s="2">
        <v>11441.144508487743</v>
      </c>
      <c r="E26" s="2">
        <v>39450.676331133684</v>
      </c>
      <c r="F26" s="2">
        <v>160802.21985084427</v>
      </c>
      <c r="G26" s="2">
        <v>200640.0274239401</v>
      </c>
      <c r="H26" s="2">
        <v>12020.17390322961</v>
      </c>
      <c r="I26" s="2">
        <v>71816.799231266399</v>
      </c>
      <c r="J26" s="2">
        <v>5130.4655815969209</v>
      </c>
      <c r="K26" s="2">
        <v>29178.012945151953</v>
      </c>
      <c r="L26" s="2">
        <v>11706.261402745116</v>
      </c>
      <c r="M26" s="2">
        <v>27830.340673974311</v>
      </c>
      <c r="N26" s="2">
        <v>19078.900827545334</v>
      </c>
      <c r="O26" s="2">
        <v>21321.221318915879</v>
      </c>
      <c r="P26" s="2">
        <v>78943.64299811954</v>
      </c>
      <c r="Q26" s="2">
        <v>70965.552090367884</v>
      </c>
      <c r="R26" s="2">
        <v>9071.8251844637434</v>
      </c>
      <c r="S26" s="2">
        <v>23013.296119327642</v>
      </c>
      <c r="T26" s="2">
        <v>270133.99599998468</v>
      </c>
      <c r="U26" s="2">
        <v>31563.078194098518</v>
      </c>
      <c r="V26" s="2">
        <v>13436.521357592406</v>
      </c>
      <c r="W26" s="2">
        <v>15800.696067636612</v>
      </c>
      <c r="X26" s="2">
        <v>517759.31311889103</v>
      </c>
      <c r="Y26" s="2">
        <v>74773.85878563211</v>
      </c>
      <c r="Z26" s="2">
        <v>19869.277953354787</v>
      </c>
      <c r="AA26" s="2">
        <v>400467.90508034889</v>
      </c>
    </row>
    <row r="27" spans="1:27" x14ac:dyDescent="0.2">
      <c r="A27" s="1">
        <v>1996</v>
      </c>
      <c r="B27" s="2">
        <v>48298.7250077157</v>
      </c>
      <c r="C27" s="2">
        <v>83583.682143040627</v>
      </c>
      <c r="D27" s="2">
        <v>11387.031379828424</v>
      </c>
      <c r="E27" s="2">
        <v>40193.019661916536</v>
      </c>
      <c r="F27" s="2">
        <v>160711.70834087604</v>
      </c>
      <c r="G27" s="2">
        <v>204415.47058734938</v>
      </c>
      <c r="H27" s="2">
        <v>12054.765422965149</v>
      </c>
      <c r="I27" s="2">
        <v>73168.175859134979</v>
      </c>
      <c r="J27" s="2">
        <v>5227.0055464974421</v>
      </c>
      <c r="K27" s="2">
        <v>29727.055580911172</v>
      </c>
      <c r="L27" s="2">
        <v>11926.538109988043</v>
      </c>
      <c r="M27" s="2">
        <v>27698.711639448422</v>
      </c>
      <c r="N27" s="2">
        <v>19437.908482296709</v>
      </c>
      <c r="O27" s="2">
        <v>21382.579287109744</v>
      </c>
      <c r="P27" s="2">
        <v>78570.263612235256</v>
      </c>
      <c r="Q27" s="2">
        <v>70629.906644425238</v>
      </c>
      <c r="R27" s="2">
        <v>9242.5297084416998</v>
      </c>
      <c r="S27" s="2">
        <v>23079.523521135667</v>
      </c>
      <c r="T27" s="2">
        <v>270181.97551331582</v>
      </c>
      <c r="U27" s="2">
        <v>31653.910061512033</v>
      </c>
      <c r="V27" s="2">
        <v>13689.356364399589</v>
      </c>
      <c r="W27" s="2">
        <v>15791.802254721855</v>
      </c>
      <c r="X27" s="2">
        <v>515310.4692724928</v>
      </c>
      <c r="Y27" s="2">
        <v>74731.770468249946</v>
      </c>
      <c r="Z27" s="2">
        <v>19926.457535446334</v>
      </c>
      <c r="AA27" s="2">
        <v>400242.49180672457</v>
      </c>
    </row>
    <row r="28" spans="1:27" x14ac:dyDescent="0.2">
      <c r="A28" s="1">
        <v>1997</v>
      </c>
      <c r="B28" s="2">
        <v>48070.286749770035</v>
      </c>
      <c r="C28" s="2">
        <v>83188.356785313474</v>
      </c>
      <c r="D28" s="2">
        <v>11333.17418978531</v>
      </c>
      <c r="E28" s="2">
        <v>40949.331666294041</v>
      </c>
      <c r="F28" s="2">
        <v>160621.24777755173</v>
      </c>
      <c r="G28" s="2">
        <v>208261.9562603872</v>
      </c>
      <c r="H28" s="2">
        <v>12089.456489782722</v>
      </c>
      <c r="I28" s="2">
        <v>74544.981339443329</v>
      </c>
      <c r="J28" s="2">
        <v>5325.3621038055653</v>
      </c>
      <c r="K28" s="2">
        <v>30286.429551310895</v>
      </c>
      <c r="L28" s="2">
        <v>12150.959763775767</v>
      </c>
      <c r="M28" s="2">
        <v>27567.705170162862</v>
      </c>
      <c r="N28" s="2">
        <v>19803.671583671297</v>
      </c>
      <c r="O28" s="2">
        <v>21444.113830566563</v>
      </c>
      <c r="P28" s="2">
        <v>78198.650197118332</v>
      </c>
      <c r="Q28" s="2">
        <v>70295.848699207432</v>
      </c>
      <c r="R28" s="2">
        <v>9416.4463792494298</v>
      </c>
      <c r="S28" s="2">
        <v>23145.941511407313</v>
      </c>
      <c r="T28" s="2">
        <v>270229.96354846848</v>
      </c>
      <c r="U28" s="2">
        <v>31745.003323840425</v>
      </c>
      <c r="V28" s="2">
        <v>13946.94896723672</v>
      </c>
      <c r="W28" s="2">
        <v>15782.913447909857</v>
      </c>
      <c r="X28" s="2">
        <v>512873.20771159307</v>
      </c>
      <c r="Y28" s="2">
        <v>74689.705841319083</v>
      </c>
      <c r="Z28" s="2">
        <v>19983.801668288837</v>
      </c>
      <c r="AA28" s="2">
        <v>400017.20541254123</v>
      </c>
    </row>
    <row r="29" spans="1:27" x14ac:dyDescent="0.2">
      <c r="A29" s="1">
        <v>1998</v>
      </c>
      <c r="B29" s="2">
        <v>47842.928935204291</v>
      </c>
      <c r="C29" s="2">
        <v>82794.901196115956</v>
      </c>
      <c r="D29" s="2">
        <v>11279.571727846704</v>
      </c>
      <c r="E29" s="2">
        <v>41719.87519278103</v>
      </c>
      <c r="F29" s="2">
        <v>160530.83813219477</v>
      </c>
      <c r="G29" s="2">
        <v>212180.82124987486</v>
      </c>
      <c r="H29" s="2">
        <v>12124.247390157791</v>
      </c>
      <c r="I29" s="2">
        <v>75947.69416687834</v>
      </c>
      <c r="J29" s="2">
        <v>5425.5694363385182</v>
      </c>
      <c r="K29" s="2">
        <v>30856.329261063082</v>
      </c>
      <c r="L29" s="2">
        <v>12379.604359562614</v>
      </c>
      <c r="M29" s="2">
        <v>27437.318321573679</v>
      </c>
      <c r="N29" s="2">
        <v>20176.317248900377</v>
      </c>
      <c r="O29" s="2">
        <v>21505.825457432617</v>
      </c>
      <c r="P29" s="2">
        <v>77828.794400264931</v>
      </c>
      <c r="Q29" s="2">
        <v>69963.370746319575</v>
      </c>
      <c r="R29" s="2">
        <v>9593.6356398501066</v>
      </c>
      <c r="S29" s="2">
        <v>23212.550638615892</v>
      </c>
      <c r="T29" s="2">
        <v>270277.96010695625</v>
      </c>
      <c r="U29" s="2">
        <v>31836.358733323006</v>
      </c>
      <c r="V29" s="2">
        <v>14209.388689782778</v>
      </c>
      <c r="W29" s="2">
        <v>15774.029644382808</v>
      </c>
      <c r="X29" s="2">
        <v>510447.4736555093</v>
      </c>
      <c r="Y29" s="2">
        <v>74647.664891504755</v>
      </c>
      <c r="Z29" s="2">
        <v>20041.310825424574</v>
      </c>
      <c r="AA29" s="2">
        <v>399792.0458263816</v>
      </c>
    </row>
    <row r="30" spans="1:27" x14ac:dyDescent="0.2">
      <c r="A30" s="1">
        <v>1999</v>
      </c>
      <c r="B30" s="2">
        <v>47616.646453850371</v>
      </c>
      <c r="C30" s="2">
        <v>82403.306532012444</v>
      </c>
      <c r="D30" s="2">
        <v>11226.222789226256</v>
      </c>
      <c r="E30" s="2">
        <v>42504.918035912538</v>
      </c>
      <c r="F30" s="2">
        <v>160440.47937614471</v>
      </c>
      <c r="G30" s="2">
        <v>216173.42751732608</v>
      </c>
      <c r="H30" s="2">
        <v>12159.138411390231</v>
      </c>
      <c r="I30" s="2">
        <v>77376.801839960855</v>
      </c>
      <c r="J30" s="2">
        <v>5527.6623701315611</v>
      </c>
      <c r="K30" s="2">
        <v>31436.952772992918</v>
      </c>
      <c r="L30" s="2">
        <v>12612.551360443285</v>
      </c>
      <c r="M30" s="2">
        <v>27307.548163063704</v>
      </c>
      <c r="N30" s="2">
        <v>20555.974987180016</v>
      </c>
      <c r="O30" s="2">
        <v>21567.71467731653</v>
      </c>
      <c r="P30" s="2">
        <v>77460.687908676016</v>
      </c>
      <c r="Q30" s="2">
        <v>69632.465312879198</v>
      </c>
      <c r="R30" s="2">
        <v>9774.1590705620692</v>
      </c>
      <c r="S30" s="2">
        <v>23279.351452813109</v>
      </c>
      <c r="T30" s="2">
        <v>270325.96519029298</v>
      </c>
      <c r="U30" s="2">
        <v>31927.977044363877</v>
      </c>
      <c r="V30" s="2">
        <v>14476.766740283705</v>
      </c>
      <c r="W30" s="2">
        <v>15765.150841324485</v>
      </c>
      <c r="X30" s="2">
        <v>508033.21258265484</v>
      </c>
      <c r="Y30" s="2">
        <v>74605.647605479724</v>
      </c>
      <c r="Z30" s="2">
        <v>20098.98548175858</v>
      </c>
      <c r="AA30" s="2">
        <v>399567.01297686872</v>
      </c>
    </row>
    <row r="31" spans="1:27" x14ac:dyDescent="0.2">
      <c r="A31" s="1">
        <v>2000</v>
      </c>
      <c r="B31" s="2">
        <v>47391.434219709728</v>
      </c>
      <c r="C31" s="2">
        <v>82013.563991394069</v>
      </c>
      <c r="D31" s="2">
        <v>11173.126174835896</v>
      </c>
      <c r="E31" s="2">
        <v>43304.733029313058</v>
      </c>
      <c r="F31" s="2">
        <v>160350.17148075724</v>
      </c>
      <c r="G31" s="2">
        <v>220241.1626522828</v>
      </c>
      <c r="H31" s="2">
        <v>12194.129841606707</v>
      </c>
      <c r="I31" s="2">
        <v>78832.80103047083</v>
      </c>
      <c r="J31" s="2">
        <v>5631.6763865414187</v>
      </c>
      <c r="K31" s="2">
        <v>32028.501876873546</v>
      </c>
      <c r="L31" s="2">
        <v>12849.881724769444</v>
      </c>
      <c r="M31" s="2">
        <v>27178.391777876703</v>
      </c>
      <c r="N31" s="2">
        <v>20942.776744680679</v>
      </c>
      <c r="O31" s="2">
        <v>21629.782001293468</v>
      </c>
      <c r="P31" s="2">
        <v>77094.322448670515</v>
      </c>
      <c r="Q31" s="2">
        <v>69303.12496134828</v>
      </c>
      <c r="R31" s="2">
        <v>9958.0794104604356</v>
      </c>
      <c r="S31" s="2">
        <v>23346.344505633599</v>
      </c>
      <c r="T31" s="2">
        <v>270373.97879999282</v>
      </c>
      <c r="U31" s="2">
        <v>32019.859013538153</v>
      </c>
      <c r="V31" s="2">
        <v>14749.176043250904</v>
      </c>
      <c r="W31" s="2">
        <v>15756.27703592025</v>
      </c>
      <c r="X31" s="2">
        <v>505630.37022931362</v>
      </c>
      <c r="Y31" s="2">
        <v>74563.653969924228</v>
      </c>
      <c r="Z31" s="2">
        <v>20156.826113562565</v>
      </c>
      <c r="AA31" s="2">
        <v>399342.10679266567</v>
      </c>
    </row>
    <row r="32" spans="1:27" x14ac:dyDescent="0.2">
      <c r="A32" s="1">
        <v>2001</v>
      </c>
      <c r="B32" s="2">
        <v>47167.287170839023</v>
      </c>
      <c r="C32" s="2">
        <v>81625.66481428087</v>
      </c>
      <c r="D32" s="2">
        <v>11120.280691258868</v>
      </c>
      <c r="E32" s="2">
        <v>44119.598140517068</v>
      </c>
      <c r="F32" s="2">
        <v>160259.91441740419</v>
      </c>
      <c r="G32" s="2">
        <v>224385.44035455777</v>
      </c>
      <c r="H32" s="2">
        <v>12229.221969763052</v>
      </c>
      <c r="I32" s="2">
        <v>80316.197756060501</v>
      </c>
      <c r="J32" s="2">
        <v>5737.6476345774645</v>
      </c>
      <c r="K32" s="2">
        <v>32631.182159556043</v>
      </c>
      <c r="L32" s="2">
        <v>13091.677934285961</v>
      </c>
      <c r="M32" s="2">
        <v>27049.846263051804</v>
      </c>
      <c r="N32" s="2">
        <v>21336.856950403766</v>
      </c>
      <c r="O32" s="2">
        <v>21692.027941909364</v>
      </c>
      <c r="P32" s="2">
        <v>76729.689785699346</v>
      </c>
      <c r="Q32" s="2">
        <v>68975.342289366105</v>
      </c>
      <c r="R32" s="2">
        <v>10145.460579181427</v>
      </c>
      <c r="S32" s="2">
        <v>23413.530350299487</v>
      </c>
      <c r="T32" s="2">
        <v>270422.00093757018</v>
      </c>
      <c r="U32" s="2">
        <v>32112.005399598209</v>
      </c>
      <c r="V32" s="2">
        <v>15026.711271756198</v>
      </c>
      <c r="W32" s="2">
        <v>15747.40822535705</v>
      </c>
      <c r="X32" s="2">
        <v>503238.89258842031</v>
      </c>
      <c r="Y32" s="2">
        <v>74521.683971526028</v>
      </c>
      <c r="Z32" s="2">
        <v>20214.833198478849</v>
      </c>
      <c r="AA32" s="2">
        <v>399117.32720247575</v>
      </c>
    </row>
    <row r="33" spans="1:27" x14ac:dyDescent="0.2">
      <c r="A33" s="1">
        <v>2002</v>
      </c>
      <c r="B33" s="2">
        <v>46944.200269236382</v>
      </c>
      <c r="C33" s="2">
        <v>81239.600282124957</v>
      </c>
      <c r="D33" s="2">
        <v>11067.685150722918</v>
      </c>
      <c r="E33" s="2">
        <v>44949.796567573831</v>
      </c>
      <c r="F33" s="2">
        <v>160169.70815747348</v>
      </c>
      <c r="G33" s="2">
        <v>228607.70092555147</v>
      </c>
      <c r="H33" s="2">
        <v>12264.415085646649</v>
      </c>
      <c r="I33" s="2">
        <v>81827.507556115714</v>
      </c>
      <c r="J33" s="2">
        <v>5845.6129434649383</v>
      </c>
      <c r="K33" s="2">
        <v>33245.203076419013</v>
      </c>
      <c r="L33" s="2">
        <v>13338.024022796606</v>
      </c>
      <c r="M33" s="2">
        <v>26921.908729358263</v>
      </c>
      <c r="N33" s="2">
        <v>21738.352562901036</v>
      </c>
      <c r="O33" s="2">
        <v>21754.45301318515</v>
      </c>
      <c r="P33" s="2">
        <v>76366.781724160319</v>
      </c>
      <c r="Q33" s="2">
        <v>68649.109929582861</v>
      </c>
      <c r="R33" s="2">
        <v>10336.367699136987</v>
      </c>
      <c r="S33" s="2">
        <v>23480.909541624947</v>
      </c>
      <c r="T33" s="2">
        <v>270470.03160453966</v>
      </c>
      <c r="U33" s="2">
        <v>32204.416963479951</v>
      </c>
      <c r="V33" s="2">
        <v>15309.468880334494</v>
      </c>
      <c r="W33" s="2">
        <v>15738.544406823417</v>
      </c>
      <c r="X33" s="2">
        <v>500858.72590834665</v>
      </c>
      <c r="Y33" s="2">
        <v>74479.737596980354</v>
      </c>
      <c r="Z33" s="2">
        <v>20273.007215524303</v>
      </c>
      <c r="AA33" s="2">
        <v>398892.67413504241</v>
      </c>
    </row>
    <row r="34" spans="1:27" x14ac:dyDescent="0.2">
      <c r="A34" s="1">
        <v>2003</v>
      </c>
      <c r="B34" s="2">
        <v>46722.168500728134</v>
      </c>
      <c r="C34" s="2">
        <v>80855.361717614476</v>
      </c>
      <c r="D34" s="2">
        <v>11015.338371073592</v>
      </c>
      <c r="E34" s="2">
        <v>45795.616837469963</v>
      </c>
      <c r="F34" s="2">
        <v>160079.55267236914</v>
      </c>
      <c r="G34" s="2">
        <v>232909.41176881417</v>
      </c>
      <c r="H34" s="2">
        <v>12299.709479878833</v>
      </c>
      <c r="I34" s="2">
        <v>83367.255670926315</v>
      </c>
      <c r="J34" s="2">
        <v>5955.6098354445703</v>
      </c>
      <c r="K34" s="2">
        <v>33870.778024162682</v>
      </c>
      <c r="L34" s="2">
        <v>13589.005605369137</v>
      </c>
      <c r="M34" s="2">
        <v>26794.576301230514</v>
      </c>
      <c r="N34" s="2">
        <v>22147.403117873164</v>
      </c>
      <c r="O34" s="2">
        <v>21817.057730621</v>
      </c>
      <c r="P34" s="2">
        <v>76005.590107213968</v>
      </c>
      <c r="Q34" s="2">
        <v>68324.420549494069</v>
      </c>
      <c r="R34" s="2">
        <v>10530.867118147407</v>
      </c>
      <c r="S34" s="2">
        <v>23548.482636020803</v>
      </c>
      <c r="T34" s="2">
        <v>270518.07080241624</v>
      </c>
      <c r="U34" s="2">
        <v>32297.0944683091</v>
      </c>
      <c r="V34" s="2">
        <v>15597.547138505573</v>
      </c>
      <c r="W34" s="2">
        <v>15729.685577509463</v>
      </c>
      <c r="X34" s="2">
        <v>498489.81669169321</v>
      </c>
      <c r="Y34" s="2">
        <v>74437.814832989941</v>
      </c>
      <c r="Z34" s="2">
        <v>20331.348645094313</v>
      </c>
      <c r="AA34" s="2">
        <v>398668.14751914918</v>
      </c>
    </row>
    <row r="35" spans="1:27" x14ac:dyDescent="0.2">
      <c r="A35" s="1">
        <v>2004</v>
      </c>
      <c r="B35" s="2">
        <v>46501.186874856125</v>
      </c>
      <c r="C35" s="2">
        <v>80472.940484478662</v>
      </c>
      <c r="D35" s="2">
        <v>10963.239175747669</v>
      </c>
      <c r="E35" s="2">
        <v>46657.35290640407</v>
      </c>
      <c r="F35" s="2">
        <v>159989.44793351134</v>
      </c>
      <c r="G35" s="2">
        <v>237292.06790002703</v>
      </c>
      <c r="H35" s="2">
        <v>12335.105443917282</v>
      </c>
      <c r="I35" s="2">
        <v>84935.977224228089</v>
      </c>
      <c r="J35" s="2">
        <v>6067.6765388130498</v>
      </c>
      <c r="K35" s="2">
        <v>34508.124414972735</v>
      </c>
      <c r="L35" s="2">
        <v>13844.709908089941</v>
      </c>
      <c r="M35" s="2">
        <v>26667.846116703542</v>
      </c>
      <c r="N35" s="2">
        <v>22564.150776663937</v>
      </c>
      <c r="O35" s="2">
        <v>21879.842611200591</v>
      </c>
      <c r="P35" s="2">
        <v>75646.106816600179</v>
      </c>
      <c r="Q35" s="2">
        <v>68001.266851275737</v>
      </c>
      <c r="R35" s="2">
        <v>10729.026432499841</v>
      </c>
      <c r="S35" s="2">
        <v>23616.250191499101</v>
      </c>
      <c r="T35" s="2">
        <v>270566.11853271519</v>
      </c>
      <c r="U35" s="2">
        <v>32390.038679407488</v>
      </c>
      <c r="V35" s="2">
        <v>15891.046164926653</v>
      </c>
      <c r="W35" s="2">
        <v>15720.83173460688</v>
      </c>
      <c r="X35" s="2">
        <v>496132.11169408687</v>
      </c>
      <c r="Y35" s="2">
        <v>74395.915666265006</v>
      </c>
      <c r="Z35" s="2">
        <v>20389.857968966735</v>
      </c>
      <c r="AA35" s="2">
        <v>398443.74728361965</v>
      </c>
    </row>
    <row r="36" spans="1:27" x14ac:dyDescent="0.2">
      <c r="A36" s="1">
        <v>2005</v>
      </c>
      <c r="B36" s="2">
        <v>46281.250424765545</v>
      </c>
      <c r="C36" s="2">
        <v>80092.32798729364</v>
      </c>
      <c r="D36" s="2">
        <v>10911.386393746707</v>
      </c>
      <c r="E36" s="2">
        <v>47535.304261948193</v>
      </c>
      <c r="F36" s="2">
        <v>159899.39391233627</v>
      </c>
      <c r="G36" s="2">
        <v>241757.19246657958</v>
      </c>
      <c r="H36" s="2">
        <v>12370.603270058431</v>
      </c>
      <c r="I36" s="2">
        <v>86534.217409179517</v>
      </c>
      <c r="J36" s="2">
        <v>6181.8520012088811</v>
      </c>
      <c r="K36" s="2">
        <v>35157.463752079711</v>
      </c>
      <c r="L36" s="2">
        <v>14105.225798378571</v>
      </c>
      <c r="M36" s="2">
        <v>26541.715327348549</v>
      </c>
      <c r="N36" s="2">
        <v>22988.740375666988</v>
      </c>
      <c r="O36" s="2">
        <v>21942.80817339537</v>
      </c>
      <c r="P36" s="2">
        <v>75288.32377245574</v>
      </c>
      <c r="Q36" s="2">
        <v>67679.641571620377</v>
      </c>
      <c r="R36" s="2">
        <v>10930.914510440693</v>
      </c>
      <c r="S36" s="2">
        <v>23684.212767677735</v>
      </c>
      <c r="T36" s="2">
        <v>270614.17479695188</v>
      </c>
      <c r="U36" s="2">
        <v>32483.250364299383</v>
      </c>
      <c r="V36" s="2">
        <v>16190.067962187606</v>
      </c>
      <c r="W36" s="2">
        <v>15711.982875308944</v>
      </c>
      <c r="X36" s="2">
        <v>493785.5579229843</v>
      </c>
      <c r="Y36" s="2">
        <v>74354.040083523243</v>
      </c>
      <c r="Z36" s="2">
        <v>20448.535670305886</v>
      </c>
      <c r="AA36" s="2">
        <v>398219.47335731756</v>
      </c>
    </row>
    <row r="37" spans="1:27" x14ac:dyDescent="0.2">
      <c r="A37" s="1">
        <v>2006</v>
      </c>
      <c r="B37" s="2">
        <v>46062.354207093304</v>
      </c>
      <c r="C37" s="2">
        <v>79713.515671289279</v>
      </c>
      <c r="D37" s="2">
        <v>10859.778859610737</v>
      </c>
      <c r="E37" s="2">
        <v>48429.776027131666</v>
      </c>
      <c r="F37" s="2">
        <v>159809.39058029623</v>
      </c>
      <c r="G37" s="2">
        <v>246306.33727692396</v>
      </c>
      <c r="H37" s="2">
        <v>12406.20325143988</v>
      </c>
      <c r="I37" s="2">
        <v>88162.531677838138</v>
      </c>
      <c r="J37" s="2">
        <v>6298.175903148237</v>
      </c>
      <c r="K37" s="2">
        <v>35819.021706740168</v>
      </c>
      <c r="L37" s="2">
        <v>14370.643815872714</v>
      </c>
      <c r="M37" s="2">
        <v>26416.181098208945</v>
      </c>
      <c r="N37" s="2">
        <v>23421.319476662204</v>
      </c>
      <c r="O37" s="2">
        <v>22005.95493716883</v>
      </c>
      <c r="P37" s="2">
        <v>74932.23293313272</v>
      </c>
      <c r="Q37" s="2">
        <v>67359.53748157373</v>
      </c>
      <c r="R37" s="2">
        <v>11136.601516110084</v>
      </c>
      <c r="S37" s="2">
        <v>23752.370925785057</v>
      </c>
      <c r="T37" s="2">
        <v>270662.23959664215</v>
      </c>
      <c r="U37" s="2">
        <v>32576.730292717824</v>
      </c>
      <c r="V37" s="2">
        <v>16494.716452260927</v>
      </c>
      <c r="W37" s="2">
        <v>15703.13899681051</v>
      </c>
      <c r="X37" s="2">
        <v>491450.10263648065</v>
      </c>
      <c r="Y37" s="2">
        <v>74312.188071489814</v>
      </c>
      <c r="Z37" s="2">
        <v>20507.382233666522</v>
      </c>
      <c r="AA37" s="2">
        <v>397995.32566914661</v>
      </c>
    </row>
    <row r="38" spans="1:27" x14ac:dyDescent="0.2">
      <c r="A38" s="1">
        <v>2007</v>
      </c>
      <c r="B38" s="2">
        <v>45844.493301856914</v>
      </c>
      <c r="C38" s="2">
        <v>79336.495022156931</v>
      </c>
      <c r="D38" s="2">
        <v>10808.415413392057</v>
      </c>
      <c r="E38" s="2">
        <v>49341.079066483529</v>
      </c>
      <c r="F38" s="2">
        <v>159719.43790885957</v>
      </c>
      <c r="G38" s="2">
        <v>250941.0833398902</v>
      </c>
      <c r="H38" s="2">
        <v>12441.905682042818</v>
      </c>
      <c r="I38" s="2">
        <v>89821.48593420221</v>
      </c>
      <c r="J38" s="2">
        <v>6416.6886718155174</v>
      </c>
      <c r="K38" s="2">
        <v>36493.028196666441</v>
      </c>
      <c r="L38" s="2">
        <v>14641.056203894312</v>
      </c>
      <c r="M38" s="2">
        <v>26291.240607736618</v>
      </c>
      <c r="N38" s="2">
        <v>23862.038418099302</v>
      </c>
      <c r="O38" s="2">
        <v>22069.283423980818</v>
      </c>
      <c r="P38" s="2">
        <v>74577.82629501776</v>
      </c>
      <c r="Q38" s="2">
        <v>67040.947386372281</v>
      </c>
      <c r="R38" s="2">
        <v>11346.158933926677</v>
      </c>
      <c r="S38" s="2">
        <v>23820.725228664516</v>
      </c>
      <c r="T38" s="2">
        <v>270710.31293330196</v>
      </c>
      <c r="U38" s="2">
        <v>32670.479236610983</v>
      </c>
      <c r="V38" s="2">
        <v>16805.09751261874</v>
      </c>
      <c r="W38" s="2">
        <v>15694.300096308012</v>
      </c>
      <c r="X38" s="2">
        <v>489125.69334212429</v>
      </c>
      <c r="Y38" s="2">
        <v>74270.359616897375</v>
      </c>
      <c r="Z38" s="2">
        <v>20566.398144997849</v>
      </c>
      <c r="AA38" s="2">
        <v>397771.30414805049</v>
      </c>
    </row>
    <row r="39" spans="1:27" x14ac:dyDescent="0.2">
      <c r="A39" s="1">
        <v>2008</v>
      </c>
      <c r="B39" s="2">
        <v>45627.662812343893</v>
      </c>
      <c r="C39" s="2">
        <v>78961.257565858003</v>
      </c>
      <c r="D39" s="2">
        <v>10757.294900629164</v>
      </c>
      <c r="E39" s="2">
        <v>50269.530094070287</v>
      </c>
      <c r="F39" s="2">
        <v>159629.53586951076</v>
      </c>
      <c r="G39" s="2">
        <v>255663.04141414963</v>
      </c>
      <c r="H39" s="2">
        <v>12477.710856694448</v>
      </c>
      <c r="I39" s="2">
        <v>91511.656730884846</v>
      </c>
      <c r="J39" s="2">
        <v>6537.4314951134029</v>
      </c>
      <c r="K39" s="2">
        <v>37179.717465932197</v>
      </c>
      <c r="L39" s="2">
        <v>14916.55694150779</v>
      </c>
      <c r="M39" s="2">
        <v>26166.891047728517</v>
      </c>
      <c r="N39" s="2">
        <v>24311.050367346441</v>
      </c>
      <c r="O39" s="2">
        <v>22132.794156791824</v>
      </c>
      <c r="P39" s="2">
        <v>74225.095892352125</v>
      </c>
      <c r="Q39" s="2">
        <v>66723.864125281572</v>
      </c>
      <c r="R39" s="2">
        <v>11559.659593431359</v>
      </c>
      <c r="S39" s="2">
        <v>23889.276240779309</v>
      </c>
      <c r="T39" s="2">
        <v>270758.39480844757</v>
      </c>
      <c r="U39" s="2">
        <v>32764.497970148535</v>
      </c>
      <c r="V39" s="2">
        <v>17121.319013029442</v>
      </c>
      <c r="W39" s="2">
        <v>15685.466170999462</v>
      </c>
      <c r="X39" s="2">
        <v>486812.27779573685</v>
      </c>
      <c r="Y39" s="2">
        <v>74228.554706486029</v>
      </c>
      <c r="Z39" s="2">
        <v>20625.58389164753</v>
      </c>
      <c r="AA39" s="2">
        <v>397547.40872301301</v>
      </c>
    </row>
    <row r="40" spans="1:27" x14ac:dyDescent="0.2">
      <c r="A40" s="1">
        <v>2009</v>
      </c>
      <c r="B40" s="2">
        <v>45411.857865001723</v>
      </c>
      <c r="C40" s="2">
        <v>78587.794868433542</v>
      </c>
      <c r="D40" s="2">
        <v>10706.416172320809</v>
      </c>
      <c r="E40" s="2">
        <v>51215.451783566677</v>
      </c>
      <c r="F40" s="2">
        <v>159539.68443375023</v>
      </c>
      <c r="G40" s="2">
        <v>260473.85256801767</v>
      </c>
      <c r="H40" s="2">
        <v>12513.619071070425</v>
      </c>
      <c r="I40" s="2">
        <v>93233.631469489032</v>
      </c>
      <c r="J40" s="2">
        <v>6660.4463359772926</v>
      </c>
      <c r="K40" s="2">
        <v>37879.328166381565</v>
      </c>
      <c r="L40" s="2">
        <v>15197.241776181518</v>
      </c>
      <c r="M40" s="2">
        <v>26043.12962326354</v>
      </c>
      <c r="N40" s="2">
        <v>24768.511373921967</v>
      </c>
      <c r="O40" s="2">
        <v>22196.487660067312</v>
      </c>
      <c r="P40" s="2">
        <v>73874.033797052718</v>
      </c>
      <c r="Q40" s="2">
        <v>66408.280571435214</v>
      </c>
      <c r="R40" s="2">
        <v>11777.177694598402</v>
      </c>
      <c r="S40" s="2">
        <v>23958.024528217033</v>
      </c>
      <c r="T40" s="2">
        <v>270806.48522359558</v>
      </c>
      <c r="U40" s="2">
        <v>32858.787269728047</v>
      </c>
      <c r="V40" s="2">
        <v>17443.49085304674</v>
      </c>
      <c r="W40" s="2">
        <v>15676.637218084448</v>
      </c>
      <c r="X40" s="2">
        <v>484509.80400023906</v>
      </c>
      <c r="Y40" s="2">
        <v>74186.773327003364</v>
      </c>
      <c r="Z40" s="2">
        <v>20684.939962365712</v>
      </c>
      <c r="AA40" s="2">
        <v>397323.63932305784</v>
      </c>
    </row>
    <row r="41" spans="1:27" x14ac:dyDescent="0.2">
      <c r="A41" s="1">
        <v>2010</v>
      </c>
      <c r="B41" s="2">
        <v>45197.073609328305</v>
      </c>
      <c r="C41" s="2">
        <v>78216.098535814657</v>
      </c>
      <c r="D41" s="2">
        <v>10655.778084900167</v>
      </c>
      <c r="E41" s="2">
        <v>52179.172880397593</v>
      </c>
      <c r="F41" s="2">
        <v>159449.88357309453</v>
      </c>
      <c r="G41" s="2">
        <v>265375.18874979025</v>
      </c>
      <c r="H41" s="2">
        <v>12549.630621697297</v>
      </c>
      <c r="I41" s="2">
        <v>94988.008604753035</v>
      </c>
      <c r="J41" s="2">
        <v>6785.7759469590919</v>
      </c>
      <c r="K41" s="2">
        <v>38592.103440570143</v>
      </c>
      <c r="L41" s="2">
        <v>15483.208257063869</v>
      </c>
      <c r="M41" s="2">
        <v>25919.953552639705</v>
      </c>
      <c r="N41" s="2">
        <v>25234.580423727835</v>
      </c>
      <c r="O41" s="2">
        <v>22260.364459782046</v>
      </c>
      <c r="P41" s="2">
        <v>73524.632118533831</v>
      </c>
      <c r="Q41" s="2">
        <v>66094.189631674744</v>
      </c>
      <c r="R41" s="2">
        <v>11998.78883362291</v>
      </c>
      <c r="S41" s="2">
        <v>24026.970658694372</v>
      </c>
      <c r="T41" s="2">
        <v>270854.58418026281</v>
      </c>
      <c r="U41" s="2">
        <v>32953.347913981394</v>
      </c>
      <c r="V41" s="2">
        <v>17771.725000204107</v>
      </c>
      <c r="W41" s="2">
        <v>15667.813234764135</v>
      </c>
      <c r="X41" s="2">
        <v>482218.22020448197</v>
      </c>
      <c r="Y41" s="2">
        <v>74145.0154652044</v>
      </c>
      <c r="Z41" s="2">
        <v>20744.466847309064</v>
      </c>
      <c r="AA41" s="2">
        <v>397099.9958772487</v>
      </c>
    </row>
    <row r="42" spans="1:27" x14ac:dyDescent="0.2">
      <c r="A42" s="1">
        <v>2011</v>
      </c>
      <c r="B42" s="2">
        <v>44983.305217762943</v>
      </c>
      <c r="C42" s="2">
        <v>77846.160213633819</v>
      </c>
      <c r="D42" s="2">
        <v>10605.379500209136</v>
      </c>
      <c r="E42" s="2">
        <v>53161.028315990217</v>
      </c>
      <c r="F42" s="2">
        <v>159360.13325907619</v>
      </c>
      <c r="G42" s="2">
        <v>270368.7533688125</v>
      </c>
      <c r="H42" s="2">
        <v>12585.74580595495</v>
      </c>
      <c r="I42" s="2">
        <v>96775.397852537237</v>
      </c>
      <c r="J42" s="2">
        <v>6913.4638850854253</v>
      </c>
      <c r="K42" s="2">
        <v>39318.291006266714</v>
      </c>
      <c r="L42" s="2">
        <v>15774.555768885426</v>
      </c>
      <c r="M42" s="2">
        <v>25797.360067311642</v>
      </c>
      <c r="N42" s="2">
        <v>25709.419494303529</v>
      </c>
      <c r="O42" s="2">
        <v>22324.425083424434</v>
      </c>
      <c r="P42" s="2">
        <v>73176.883003529845</v>
      </c>
      <c r="Q42" s="2">
        <v>65781.584246390179</v>
      </c>
      <c r="R42" s="2">
        <v>12224.570029193501</v>
      </c>
      <c r="S42" s="2">
        <v>24096.11520156177</v>
      </c>
      <c r="T42" s="2">
        <v>270902.69167996634</v>
      </c>
      <c r="U42" s="2">
        <v>33048.180683781196</v>
      </c>
      <c r="V42" s="2">
        <v>18106.135528927971</v>
      </c>
      <c r="W42" s="2">
        <v>15658.994218241265</v>
      </c>
      <c r="X42" s="2">
        <v>479937.47490208375</v>
      </c>
      <c r="Y42" s="2">
        <v>74103.281107851624</v>
      </c>
      <c r="Z42" s="2">
        <v>20804.165038044819</v>
      </c>
      <c r="AA42" s="2">
        <v>396876.47831468913</v>
      </c>
    </row>
    <row r="43" spans="1:27" x14ac:dyDescent="0.2">
      <c r="A43" s="1">
        <v>2012</v>
      </c>
      <c r="B43" s="2">
        <v>44770.547885577835</v>
      </c>
      <c r="C43" s="2">
        <v>77477.971587037144</v>
      </c>
      <c r="D43" s="2">
        <v>10555.219285472755</v>
      </c>
      <c r="E43" s="2">
        <v>54161.359324176003</v>
      </c>
      <c r="F43" s="2">
        <v>159270.4334632438</v>
      </c>
      <c r="G43" s="2">
        <v>275456.28188748122</v>
      </c>
      <c r="H43" s="2">
        <v>12621.964922079069</v>
      </c>
      <c r="I43" s="2">
        <v>98596.420401724652</v>
      </c>
      <c r="J43" s="2">
        <v>7043.5545269954373</v>
      </c>
      <c r="K43" s="2">
        <v>40058.14324254504</v>
      </c>
      <c r="L43" s="2">
        <v>16071.385566499135</v>
      </c>
      <c r="M43" s="2">
        <v>25675.346411828348</v>
      </c>
      <c r="N43" s="2">
        <v>26193.193611119703</v>
      </c>
      <c r="O43" s="2">
        <v>22388.670060000884</v>
      </c>
      <c r="P43" s="2">
        <v>72830.778635918701</v>
      </c>
      <c r="Q43" s="2">
        <v>65470.457389361327</v>
      </c>
      <c r="R43" s="2">
        <v>12454.599749259367</v>
      </c>
      <c r="S43" s="2">
        <v>24165.458727808149</v>
      </c>
      <c r="T43" s="2">
        <v>270950.80772422353</v>
      </c>
      <c r="U43" s="2">
        <v>33143.286362247258</v>
      </c>
      <c r="V43" s="2">
        <v>18446.838660183108</v>
      </c>
      <c r="W43" s="2">
        <v>15650.180165720152</v>
      </c>
      <c r="X43" s="2">
        <v>477667.51683027216</v>
      </c>
      <c r="Y43" s="2">
        <v>74061.570241714988</v>
      </c>
      <c r="Z43" s="2">
        <v>20864.035027554837</v>
      </c>
      <c r="AA43" s="2">
        <v>396653.08656452264</v>
      </c>
    </row>
    <row r="44" spans="1:27" x14ac:dyDescent="0.2">
      <c r="A44" s="1">
        <v>2013</v>
      </c>
      <c r="B44" s="2">
        <v>44558.796830770058</v>
      </c>
      <c r="C44" s="2">
        <v>77111.524380497445</v>
      </c>
      <c r="D44" s="2">
        <v>10505.296313273744</v>
      </c>
      <c r="E44" s="2">
        <v>55180.513559783009</v>
      </c>
      <c r="F44" s="2">
        <v>159180.78415716192</v>
      </c>
      <c r="G44" s="2">
        <v>280639.54242438718</v>
      </c>
      <c r="H44" s="2">
        <v>12658.288269163597</v>
      </c>
      <c r="I44" s="2">
        <v>100451.70913010878</v>
      </c>
      <c r="J44" s="2">
        <v>7176.0930843634396</v>
      </c>
      <c r="K44" s="2">
        <v>40811.91727749561</v>
      </c>
      <c r="L44" s="2">
        <v>16373.800810070388</v>
      </c>
      <c r="M44" s="2">
        <v>25553.909843771271</v>
      </c>
      <c r="N44" s="2">
        <v>26686.070904931108</v>
      </c>
      <c r="O44" s="2">
        <v>22453.099920040175</v>
      </c>
      <c r="P44" s="2">
        <v>72486.3112365462</v>
      </c>
      <c r="Q44" s="2">
        <v>65160.802067599885</v>
      </c>
      <c r="R44" s="2">
        <v>12688.957938301011</v>
      </c>
      <c r="S44" s="2">
        <v>24235.001810065616</v>
      </c>
      <c r="T44" s="2">
        <v>270998.93231455196</v>
      </c>
      <c r="U44" s="2">
        <v>33238.665734753034</v>
      </c>
      <c r="V44" s="2">
        <v>18793.952801864056</v>
      </c>
      <c r="W44" s="2">
        <v>15641.371074406685</v>
      </c>
      <c r="X44" s="2">
        <v>475408.29496873217</v>
      </c>
      <c r="Y44" s="2">
        <v>74019.882853571879</v>
      </c>
      <c r="Z44" s="2">
        <v>20924.077310239678</v>
      </c>
      <c r="AA44" s="2">
        <v>396429.82055593259</v>
      </c>
    </row>
    <row r="45" spans="1:27" x14ac:dyDescent="0.2">
      <c r="A45" s="1">
        <v>2014</v>
      </c>
      <c r="B45" s="2">
        <v>44348.047293954129</v>
      </c>
      <c r="C45" s="2">
        <v>76746.810357628274</v>
      </c>
      <c r="D45" s="2">
        <v>10455.609461527163</v>
      </c>
      <c r="E45" s="2">
        <v>56218.845219459799</v>
      </c>
      <c r="F45" s="2">
        <v>159091.18531241117</v>
      </c>
      <c r="G45" s="2">
        <v>285920.33636880649</v>
      </c>
      <c r="H45" s="2">
        <v>12694.716147163204</v>
      </c>
      <c r="I45" s="2">
        <v>102341.90882434385</v>
      </c>
      <c r="J45" s="2">
        <v>7311.1256196117674</v>
      </c>
      <c r="K45" s="2">
        <v>41579.875077587902</v>
      </c>
      <c r="L45" s="2">
        <v>16681.906600929295</v>
      </c>
      <c r="M45" s="2">
        <v>25433.047633692659</v>
      </c>
      <c r="N45" s="2">
        <v>27188.22267020871</v>
      </c>
      <c r="O45" s="2">
        <v>22517.71519559783</v>
      </c>
      <c r="P45" s="2">
        <v>72143.473063051177</v>
      </c>
      <c r="Q45" s="2">
        <v>64852.611321192257</v>
      </c>
      <c r="R45" s="2">
        <v>12927.726045114132</v>
      </c>
      <c r="S45" s="2">
        <v>24304.745022614185</v>
      </c>
      <c r="T45" s="2">
        <v>271047.06545246957</v>
      </c>
      <c r="U45" s="2">
        <v>33334.319588932114</v>
      </c>
      <c r="V45" s="2">
        <v>19147.59858994656</v>
      </c>
      <c r="W45" s="2">
        <v>15632.566941508325</v>
      </c>
      <c r="X45" s="2">
        <v>473159.75853845937</v>
      </c>
      <c r="Y45" s="2">
        <v>73978.21893020712</v>
      </c>
      <c r="Z45" s="2">
        <v>20984.292381922678</v>
      </c>
      <c r="AA45" s="2">
        <v>396206.68021814222</v>
      </c>
    </row>
    <row r="46" spans="1:27" x14ac:dyDescent="0.2">
      <c r="A46" s="1">
        <v>2015</v>
      </c>
      <c r="B46" s="2">
        <v>44138.294538254995</v>
      </c>
      <c r="C46" s="2">
        <v>76383.821320998788</v>
      </c>
      <c r="D46" s="2">
        <v>10406.157613455192</v>
      </c>
      <c r="E46" s="2">
        <v>57276.715164772861</v>
      </c>
      <c r="F46" s="2">
        <v>159001.63690058811</v>
      </c>
      <c r="G46" s="2">
        <v>291300.49900675524</v>
      </c>
      <c r="H46" s="2">
        <v>12731.248856895772</v>
      </c>
      <c r="I46" s="2">
        <v>104267.67640403379</v>
      </c>
      <c r="J46" s="2">
        <v>7448.6990619193029</v>
      </c>
      <c r="K46" s="2">
        <v>42362.283538714139</v>
      </c>
      <c r="L46" s="2">
        <v>16995.810018097567</v>
      </c>
      <c r="M46" s="2">
        <v>25312.757065054215</v>
      </c>
      <c r="N46" s="2">
        <v>27699.823424671333</v>
      </c>
      <c r="O46" s="2">
        <v>22582.516420260519</v>
      </c>
      <c r="P46" s="2">
        <v>71802.256409691472</v>
      </c>
      <c r="Q46" s="2">
        <v>64545.878223143111</v>
      </c>
      <c r="R46" s="2">
        <v>13170.987051116321</v>
      </c>
      <c r="S46" s="2">
        <v>24374.688941386536</v>
      </c>
      <c r="T46" s="2">
        <v>271095.20713949454</v>
      </c>
      <c r="U46" s="2">
        <v>33430.248714684742</v>
      </c>
      <c r="V46" s="2">
        <v>19507.898930413387</v>
      </c>
      <c r="W46" s="2">
        <v>15623.767764234106</v>
      </c>
      <c r="X46" s="2">
        <v>470921.85700061853</v>
      </c>
      <c r="Y46" s="2">
        <v>73936.578458412987</v>
      </c>
      <c r="Z46" s="2">
        <v>21044.680739854055</v>
      </c>
      <c r="AA46" s="2">
        <v>395983.66548041464</v>
      </c>
    </row>
    <row r="47" spans="1:27" x14ac:dyDescent="0.2">
      <c r="A47" s="1">
        <v>2016</v>
      </c>
      <c r="B47" s="2">
        <v>43929.533849201587</v>
      </c>
      <c r="C47" s="2">
        <v>76022.549111949498</v>
      </c>
      <c r="D47" s="2">
        <v>10356.93965756203</v>
      </c>
      <c r="E47" s="2">
        <v>58354.491047620359</v>
      </c>
      <c r="F47" s="2">
        <v>158912.13889330535</v>
      </c>
      <c r="G47" s="2">
        <v>296781.9001588244</v>
      </c>
      <c r="H47" s="2">
        <v>12767.886700044868</v>
      </c>
      <c r="I47" s="2">
        <v>106229.68115003798</v>
      </c>
      <c r="J47" s="2">
        <v>7588.861223531233</v>
      </c>
      <c r="K47" s="2">
        <v>43159.414578946249</v>
      </c>
      <c r="L47" s="2">
        <v>17315.620155502747</v>
      </c>
      <c r="M47" s="2">
        <v>25193.03543416605</v>
      </c>
      <c r="N47" s="2">
        <v>28221.050969937514</v>
      </c>
      <c r="O47" s="2">
        <v>22647.504129150464</v>
      </c>
      <c r="P47" s="2">
        <v>71462.653607170752</v>
      </c>
      <c r="Q47" s="2">
        <v>64240.595879219698</v>
      </c>
      <c r="R47" s="2">
        <v>13418.825499186411</v>
      </c>
      <c r="S47" s="2">
        <v>24444.834143972752</v>
      </c>
      <c r="T47" s="2">
        <v>271143.35737714532</v>
      </c>
      <c r="U47" s="2">
        <v>33526.453904184316</v>
      </c>
      <c r="V47" s="2">
        <v>19874.979041969036</v>
      </c>
      <c r="W47" s="2">
        <v>15614.973539794632</v>
      </c>
      <c r="X47" s="2">
        <v>468694.54005540779</v>
      </c>
      <c r="Y47" s="2">
        <v>73894.961424989175</v>
      </c>
      <c r="Z47" s="2">
        <v>21105.242882715</v>
      </c>
      <c r="AA47" s="2">
        <v>395760.77627205272</v>
      </c>
    </row>
    <row r="48" spans="1:27" x14ac:dyDescent="0.2">
      <c r="A48" s="1">
        <v>2017</v>
      </c>
      <c r="B48" s="2">
        <v>43721.760534620851</v>
      </c>
      <c r="C48" s="2">
        <v>75662.985610408869</v>
      </c>
      <c r="D48" s="2">
        <v>10307.954487608913</v>
      </c>
      <c r="E48" s="2">
        <v>59452.547438005793</v>
      </c>
      <c r="F48" s="2">
        <v>158822.69126219145</v>
      </c>
      <c r="G48" s="2">
        <v>302366.44483001676</v>
      </c>
      <c r="H48" s="2">
        <v>12804.629979162242</v>
      </c>
      <c r="I48" s="2">
        <v>108228.60493707295</v>
      </c>
      <c r="J48" s="2">
        <v>7731.6608163757073</v>
      </c>
      <c r="K48" s="2">
        <v>43971.545233038189</v>
      </c>
      <c r="L48" s="2">
        <v>17641.448159892687</v>
      </c>
      <c r="M48" s="2">
        <v>25073.880050125892</v>
      </c>
      <c r="N48" s="2">
        <v>28752.086453318647</v>
      </c>
      <c r="O48" s="2">
        <v>22712.678858929849</v>
      </c>
      <c r="P48" s="2">
        <v>71124.657022466112</v>
      </c>
      <c r="Q48" s="2">
        <v>63936.757427796889</v>
      </c>
      <c r="R48" s="2">
        <v>13671.327523046484</v>
      </c>
      <c r="S48" s="2">
        <v>24515.181209625109</v>
      </c>
      <c r="T48" s="2">
        <v>271191.51616694062</v>
      </c>
      <c r="U48" s="2">
        <v>33622.935951883948</v>
      </c>
      <c r="V48" s="2">
        <v>20248.966499558228</v>
      </c>
      <c r="W48" s="2">
        <v>15606.184265402077</v>
      </c>
      <c r="X48" s="2">
        <v>466477.75764092797</v>
      </c>
      <c r="Y48" s="2">
        <v>73853.367816742815</v>
      </c>
      <c r="Z48" s="2">
        <v>21165.979310621806</v>
      </c>
      <c r="AA48" s="2">
        <v>395538.01252239919</v>
      </c>
    </row>
    <row r="49" spans="1:27" x14ac:dyDescent="0.2">
      <c r="A49" s="1">
        <v>2018</v>
      </c>
      <c r="B49" s="2">
        <v>43514.969924532263</v>
      </c>
      <c r="C49" s="2">
        <v>75305.122734710836</v>
      </c>
      <c r="D49" s="2">
        <v>10259.201002589249</v>
      </c>
      <c r="E49" s="2">
        <v>60571.265954215996</v>
      </c>
      <c r="F49" s="2">
        <v>158733.29397889093</v>
      </c>
      <c r="G49" s="2">
        <v>308056.07387181208</v>
      </c>
      <c r="H49" s="2">
        <v>12841.478997670325</v>
      </c>
      <c r="I49" s="2">
        <v>110265.14247069093</v>
      </c>
      <c r="J49" s="2">
        <v>7877.1474689931711</v>
      </c>
      <c r="K49" s="2">
        <v>44798.957748706576</v>
      </c>
      <c r="L49" s="2">
        <v>17973.40726946346</v>
      </c>
      <c r="M49" s="2">
        <v>24955.288234758627</v>
      </c>
      <c r="N49" s="2">
        <v>29293.114430774865</v>
      </c>
      <c r="O49" s="2">
        <v>22778.041147805267</v>
      </c>
      <c r="P49" s="2">
        <v>70788.25905865652</v>
      </c>
      <c r="Q49" s="2">
        <v>63634.356039702951</v>
      </c>
      <c r="R49" s="2">
        <v>13928.580877196777</v>
      </c>
      <c r="S49" s="2">
        <v>24585.730719262836</v>
      </c>
      <c r="T49" s="2">
        <v>271239.68351039942</v>
      </c>
      <c r="U49" s="2">
        <v>33719.695654523013</v>
      </c>
      <c r="V49" s="2">
        <v>20629.991278703266</v>
      </c>
      <c r="W49" s="2">
        <v>15597.399938270186</v>
      </c>
      <c r="X49" s="2">
        <v>464271.45993205736</v>
      </c>
      <c r="Y49" s="2">
        <v>73811.797620488476</v>
      </c>
      <c r="Z49" s="2">
        <v>21226.890525129998</v>
      </c>
      <c r="AA49" s="2">
        <v>395315.37416083651</v>
      </c>
    </row>
    <row r="50" spans="1:27" x14ac:dyDescent="0.2">
      <c r="A50" s="1">
        <v>2019</v>
      </c>
      <c r="B50" s="2">
        <v>43309.157371042907</v>
      </c>
      <c r="C50" s="2">
        <v>74948.952441413159</v>
      </c>
      <c r="D50" s="2">
        <v>10210.67810670387</v>
      </c>
      <c r="E50" s="2">
        <v>61711.035395448664</v>
      </c>
      <c r="F50" s="2">
        <v>158643.94701506427</v>
      </c>
      <c r="G50" s="2">
        <v>313852.76465669018</v>
      </c>
      <c r="H50" s="2">
        <v>12878.43405986473</v>
      </c>
      <c r="I50" s="2">
        <v>112340.0015287178</v>
      </c>
      <c r="J50" s="2">
        <v>8025.371743784257</v>
      </c>
      <c r="K50" s="2">
        <v>45641.939684722973</v>
      </c>
      <c r="L50" s="2">
        <v>18311.612853214141</v>
      </c>
      <c r="M50" s="2">
        <v>24837.257322556088</v>
      </c>
      <c r="N50" s="2">
        <v>29844.322931055598</v>
      </c>
      <c r="O50" s="2">
        <v>22843.591535532149</v>
      </c>
      <c r="P50" s="2">
        <v>70453.452154752071</v>
      </c>
      <c r="Q50" s="2">
        <v>63333.384918066062</v>
      </c>
      <c r="R50" s="2">
        <v>14190.674967413848</v>
      </c>
      <c r="S50" s="2">
        <v>24656.483255476938</v>
      </c>
      <c r="T50" s="2">
        <v>271287.85940904095</v>
      </c>
      <c r="U50" s="2">
        <v>33816.733811133745</v>
      </c>
      <c r="V50" s="2">
        <v>21018.185800675707</v>
      </c>
      <c r="W50" s="2">
        <v>15588.62055561427</v>
      </c>
      <c r="X50" s="2">
        <v>462075.59733933205</v>
      </c>
      <c r="Y50" s="2">
        <v>73770.250823048133</v>
      </c>
      <c r="Z50" s="2">
        <v>21287.977029238471</v>
      </c>
      <c r="AA50" s="2">
        <v>395092.86111678684</v>
      </c>
    </row>
    <row r="51" spans="1:27" x14ac:dyDescent="0.2">
      <c r="A51" s="1">
        <v>2020</v>
      </c>
      <c r="B51" s="2">
        <v>43104.318248242977</v>
      </c>
      <c r="C51" s="2">
        <v>74594.466725116639</v>
      </c>
      <c r="D51" s="2">
        <v>10162.384709336407</v>
      </c>
      <c r="E51" s="2">
        <v>62872.251876935523</v>
      </c>
      <c r="F51" s="2">
        <v>158554.6503423879</v>
      </c>
      <c r="G51" s="2">
        <v>319758.53176534647</v>
      </c>
      <c r="H51" s="2">
        <v>12915.495470916776</v>
      </c>
      <c r="I51" s="2">
        <v>114453.90320723392</v>
      </c>
      <c r="J51" s="2">
        <v>8176.3851545822317</v>
      </c>
      <c r="K51" s="2">
        <v>46500.784010852018</v>
      </c>
      <c r="L51" s="2">
        <v>18656.182451042136</v>
      </c>
      <c r="M51" s="2">
        <v>24719.784660617155</v>
      </c>
      <c r="N51" s="2">
        <v>30405.903521047028</v>
      </c>
      <c r="O51" s="2">
        <v>22909.330563419229</v>
      </c>
      <c r="P51" s="2">
        <v>70120.228785524028</v>
      </c>
      <c r="Q51" s="2">
        <v>63033.837298161518</v>
      </c>
      <c r="R51" s="2">
        <v>14457.700881822657</v>
      </c>
      <c r="S51" s="2">
        <v>24727.439402534983</v>
      </c>
      <c r="T51" s="2">
        <v>271336.0438643847</v>
      </c>
      <c r="U51" s="2">
        <v>33914.051223047813</v>
      </c>
      <c r="V51" s="2">
        <v>21413.68497851802</v>
      </c>
      <c r="W51" s="2">
        <v>15579.846114651209</v>
      </c>
      <c r="X51" s="2">
        <v>459890.12050783104</v>
      </c>
      <c r="Y51" s="2">
        <v>73728.72741125118</v>
      </c>
      <c r="Z51" s="2">
        <v>21349.23932739364</v>
      </c>
      <c r="AA51" s="2">
        <v>394870.47331971215</v>
      </c>
    </row>
    <row r="52" spans="1:27" x14ac:dyDescent="0.2">
      <c r="A52" s="1">
        <v>2021</v>
      </c>
      <c r="B52" s="2">
        <v>42900.4479521018</v>
      </c>
      <c r="C52" s="2">
        <v>74241.657618285157</v>
      </c>
      <c r="D52" s="2">
        <v>10114.319725028776</v>
      </c>
      <c r="E52" s="2">
        <v>64055.318967608182</v>
      </c>
      <c r="F52" s="2">
        <v>158465.40393255421</v>
      </c>
      <c r="G52" s="2">
        <v>325775.42768683907</v>
      </c>
      <c r="H52" s="2">
        <v>12952.663536875993</v>
      </c>
      <c r="I52" s="2">
        <v>116607.58217118376</v>
      </c>
      <c r="J52" s="2">
        <v>8330.2401845561035</v>
      </c>
      <c r="K52" s="2">
        <v>47375.789209670067</v>
      </c>
      <c r="L52" s="2">
        <v>19007.235814592957</v>
      </c>
      <c r="M52" s="2">
        <v>24602.867608588116</v>
      </c>
      <c r="N52" s="2">
        <v>30978.051372349215</v>
      </c>
      <c r="O52" s="2">
        <v>22975.258774333015</v>
      </c>
      <c r="P52" s="2">
        <v>69788.581461335707</v>
      </c>
      <c r="Q52" s="2">
        <v>62735.706447259712</v>
      </c>
      <c r="R52" s="2">
        <v>14729.7514225533</v>
      </c>
      <c r="S52" s="2">
        <v>24798.599746385942</v>
      </c>
      <c r="T52" s="2">
        <v>271384.23687795049</v>
      </c>
      <c r="U52" s="2">
        <v>34011.648693902949</v>
      </c>
      <c r="V52" s="2">
        <v>21816.626263931241</v>
      </c>
      <c r="W52" s="2">
        <v>15571.076612599447</v>
      </c>
      <c r="X52" s="2">
        <v>457714.98031606723</v>
      </c>
      <c r="Y52" s="2">
        <v>73687.227371934438</v>
      </c>
      <c r="Z52" s="2">
        <v>21410.677925493612</v>
      </c>
      <c r="AA52" s="2">
        <v>394648.21069911408</v>
      </c>
    </row>
    <row r="53" spans="1:27" x14ac:dyDescent="0.2">
      <c r="A53" s="1">
        <v>2022</v>
      </c>
      <c r="B53" s="2">
        <v>42697.541900364384</v>
      </c>
      <c r="C53" s="2">
        <v>73890.517191066625</v>
      </c>
      <c r="D53" s="2">
        <v>10066.482073456773</v>
      </c>
      <c r="E53" s="2">
        <v>65260.647830354348</v>
      </c>
      <c r="F53" s="2">
        <v>158376.20775727151</v>
      </c>
      <c r="G53" s="2">
        <v>331905.54353191028</v>
      </c>
      <c r="H53" s="2">
        <v>12989.938564672659</v>
      </c>
      <c r="I53" s="2">
        <v>118801.78690970123</v>
      </c>
      <c r="J53" s="2">
        <v>8486.99030445061</v>
      </c>
      <c r="K53" s="2">
        <v>48267.259380299773</v>
      </c>
      <c r="L53" s="2">
        <v>19364.894948878697</v>
      </c>
      <c r="M53" s="2">
        <v>24486.503538603331</v>
      </c>
      <c r="N53" s="2">
        <v>31560.965329105995</v>
      </c>
      <c r="O53" s="2">
        <v>23041.376712702269</v>
      </c>
      <c r="P53" s="2">
        <v>69458.502727974119</v>
      </c>
      <c r="Q53" s="2">
        <v>62438.9856644748</v>
      </c>
      <c r="R53" s="2">
        <v>15006.921137993448</v>
      </c>
      <c r="S53" s="2">
        <v>24869.964874665024</v>
      </c>
      <c r="T53" s="2">
        <v>271432.43845125835</v>
      </c>
      <c r="U53" s="2">
        <v>34109.527029649595</v>
      </c>
      <c r="V53" s="2">
        <v>22227.1496950449</v>
      </c>
      <c r="W53" s="2">
        <v>15562.312046678997</v>
      </c>
      <c r="X53" s="2">
        <v>455550.12787488307</v>
      </c>
      <c r="Y53" s="2">
        <v>73645.750691942128</v>
      </c>
      <c r="Z53" s="2">
        <v>21472.293330892364</v>
      </c>
      <c r="AA53" s="2">
        <v>394426.07318453392</v>
      </c>
    </row>
    <row r="54" spans="1:27" x14ac:dyDescent="0.2">
      <c r="A54" s="1">
        <v>2023</v>
      </c>
      <c r="B54" s="2">
        <v>42495.595532448395</v>
      </c>
      <c r="C54" s="2">
        <v>73541.037551114743</v>
      </c>
      <c r="D54" s="2">
        <v>10018.870679405803</v>
      </c>
      <c r="E54" s="2">
        <v>66488.657364913321</v>
      </c>
      <c r="F54" s="2">
        <v>158287.06178826405</v>
      </c>
      <c r="G54" s="2">
        <v>338151.00975973078</v>
      </c>
      <c r="H54" s="2">
        <v>13027.320862120334</v>
      </c>
      <c r="I54" s="2">
        <v>121037.27999623936</v>
      </c>
      <c r="J54" s="2">
        <v>8646.6899911694309</v>
      </c>
      <c r="K54" s="2">
        <v>49175.504344096626</v>
      </c>
      <c r="L54" s="2">
        <v>19729.284154679612</v>
      </c>
      <c r="M54" s="2">
        <v>24370.689835226163</v>
      </c>
      <c r="N54" s="2">
        <v>32154.847977111222</v>
      </c>
      <c r="O54" s="2">
        <v>23107.684924522506</v>
      </c>
      <c r="P54" s="2">
        <v>69129.985166482424</v>
      </c>
      <c r="Q54" s="2">
        <v>62143.668280614082</v>
      </c>
      <c r="R54" s="2">
        <v>15289.306355647675</v>
      </c>
      <c r="S54" s="2">
        <v>24941.535376698524</v>
      </c>
      <c r="T54" s="2">
        <v>271480.64858582866</v>
      </c>
      <c r="U54" s="2">
        <v>34207.687038557538</v>
      </c>
      <c r="V54" s="2">
        <v>22645.397945085853</v>
      </c>
      <c r="W54" s="2">
        <v>15553.552414111435</v>
      </c>
      <c r="X54" s="2">
        <v>453395.51452635182</v>
      </c>
      <c r="Y54" s="2">
        <v>73604.29735812587</v>
      </c>
      <c r="Z54" s="2">
        <v>21534.086052403931</v>
      </c>
      <c r="AA54" s="2">
        <v>394204.06070555269</v>
      </c>
    </row>
    <row r="55" spans="1:27" x14ac:dyDescent="0.2">
      <c r="A55" s="1">
        <v>2024</v>
      </c>
      <c r="B55" s="2">
        <v>42698.506166544299</v>
      </c>
      <c r="C55" s="2">
        <v>73193.210843411594</v>
      </c>
      <c r="D55" s="2">
        <v>9971.4844727467098</v>
      </c>
      <c r="E55" s="2">
        <v>67739.774353460307</v>
      </c>
      <c r="F55" s="2">
        <v>158197.965997272</v>
      </c>
      <c r="G55" s="2">
        <v>344513.99691831903</v>
      </c>
      <c r="H55" s="2">
        <v>13064.8107379184</v>
      </c>
      <c r="I55" s="2">
        <v>123314.838353595</v>
      </c>
      <c r="J55" s="2">
        <v>8809.3947467080798</v>
      </c>
      <c r="K55" s="2">
        <v>50100.839752324202</v>
      </c>
      <c r="L55" s="2">
        <v>20100.5300717436</v>
      </c>
      <c r="M55" s="2">
        <v>24255.423895390199</v>
      </c>
      <c r="N55" s="2">
        <v>32759.905714215402</v>
      </c>
      <c r="O55" s="2">
        <v>23174.183957360499</v>
      </c>
      <c r="P55" s="2">
        <v>68803.021392993207</v>
      </c>
      <c r="Q55" s="2">
        <v>61849.7476580281</v>
      </c>
      <c r="R55" s="2">
        <v>15577.0052156151</v>
      </c>
      <c r="S55" s="2">
        <v>25013.311843508702</v>
      </c>
      <c r="T55" s="2">
        <v>271528.86728318199</v>
      </c>
      <c r="U55" s="2">
        <v>34306.129531222599</v>
      </c>
      <c r="V55" s="2">
        <v>23071.516371962902</v>
      </c>
      <c r="W55" s="2">
        <v>15544.7977121199</v>
      </c>
      <c r="X55" s="2">
        <v>451251.09184268402</v>
      </c>
      <c r="Y55" s="2">
        <v>73562.867357344701</v>
      </c>
      <c r="Z55" s="2">
        <v>21596.056600306601</v>
      </c>
      <c r="AA55" s="2">
        <v>393982.17319179099</v>
      </c>
    </row>
    <row r="56" spans="1:27" x14ac:dyDescent="0.2">
      <c r="A56" s="1">
        <v>2025</v>
      </c>
      <c r="B56" s="2">
        <v>42495.595532448395</v>
      </c>
      <c r="C56" s="2">
        <v>72845.384135708446</v>
      </c>
      <c r="D56" s="2">
        <v>9924.0982660876161</v>
      </c>
      <c r="E56" s="2">
        <v>68990.891342007293</v>
      </c>
      <c r="F56" s="2">
        <v>158108.87020627994</v>
      </c>
      <c r="G56" s="2">
        <v>350876.98407690728</v>
      </c>
      <c r="H56" s="2">
        <v>13102.300613716465</v>
      </c>
      <c r="I56" s="2">
        <v>125592.39671095063</v>
      </c>
      <c r="J56" s="2">
        <v>8972.0995022467287</v>
      </c>
      <c r="K56" s="2">
        <v>51026.175160551778</v>
      </c>
      <c r="L56" s="2">
        <v>20471.775988807589</v>
      </c>
      <c r="M56" s="2">
        <v>24140.157955554234</v>
      </c>
      <c r="N56" s="2">
        <v>33364.963451319578</v>
      </c>
      <c r="O56" s="2">
        <v>23240.682990198489</v>
      </c>
      <c r="P56" s="2">
        <v>68476.05761950399</v>
      </c>
      <c r="Q56" s="2">
        <v>61555.827035442118</v>
      </c>
      <c r="R56" s="2">
        <v>15864.704075582524</v>
      </c>
      <c r="S56" s="2">
        <v>25085.088310318875</v>
      </c>
      <c r="T56" s="2">
        <v>271577.08598053531</v>
      </c>
      <c r="U56" s="2">
        <v>34404.572023887653</v>
      </c>
      <c r="V56" s="2">
        <v>23497.63479883995</v>
      </c>
      <c r="W56" s="2">
        <v>15536.043010128365</v>
      </c>
      <c r="X56" s="2">
        <v>449106.66915901622</v>
      </c>
      <c r="Y56" s="2">
        <v>73521.437356563532</v>
      </c>
      <c r="Z56" s="2">
        <v>21658.027148209272</v>
      </c>
      <c r="AA56" s="2">
        <v>393760.28567802929</v>
      </c>
    </row>
    <row r="57" spans="1:27" x14ac:dyDescent="0.2">
      <c r="A57" s="1">
        <v>2026</v>
      </c>
      <c r="B57" s="2">
        <v>42293.649164532406</v>
      </c>
      <c r="C57" s="2">
        <v>72499.21036025403</v>
      </c>
      <c r="D57" s="2">
        <v>9876.9372468203965</v>
      </c>
      <c r="E57" s="2">
        <v>70265.115784542286</v>
      </c>
      <c r="F57" s="2">
        <v>158019.82459330326</v>
      </c>
      <c r="G57" s="2">
        <v>357357.49216626328</v>
      </c>
      <c r="H57" s="2">
        <v>13139.89806786492</v>
      </c>
      <c r="I57" s="2">
        <v>127912.02033912377</v>
      </c>
      <c r="J57" s="2">
        <v>9137.8093266052074</v>
      </c>
      <c r="K57" s="2">
        <v>51968.601013210078</v>
      </c>
      <c r="L57" s="2">
        <v>20849.878617134651</v>
      </c>
      <c r="M57" s="2">
        <v>24025.439779259468</v>
      </c>
      <c r="N57" s="2">
        <v>33981.196277522708</v>
      </c>
      <c r="O57" s="2">
        <v>23307.372844054233</v>
      </c>
      <c r="P57" s="2">
        <v>68150.647634017238</v>
      </c>
      <c r="Q57" s="2">
        <v>61263.303174130881</v>
      </c>
      <c r="R57" s="2">
        <v>16157.716577863142</v>
      </c>
      <c r="S57" s="2">
        <v>25157.070741905725</v>
      </c>
      <c r="T57" s="2">
        <v>271625.31324067165</v>
      </c>
      <c r="U57" s="2">
        <v>34503.297000309823</v>
      </c>
      <c r="V57" s="2">
        <v>23931.62340255309</v>
      </c>
      <c r="W57" s="2">
        <v>15527.293238712859</v>
      </c>
      <c r="X57" s="2">
        <v>446972.43714021187</v>
      </c>
      <c r="Y57" s="2">
        <v>73480.030688817438</v>
      </c>
      <c r="Z57" s="2">
        <v>21720.175522503047</v>
      </c>
      <c r="AA57" s="2">
        <v>393538.52312948712</v>
      </c>
    </row>
    <row r="58" spans="1:27" x14ac:dyDescent="0.2">
      <c r="A58" s="1">
        <v>2027</v>
      </c>
      <c r="B58" s="2">
        <v>42092.662480437844</v>
      </c>
      <c r="C58" s="2">
        <v>72154.681662030445</v>
      </c>
      <c r="D58" s="2">
        <v>9830.0003448158932</v>
      </c>
      <c r="E58" s="2">
        <v>71562.8744632405</v>
      </c>
      <c r="F58" s="2">
        <v>157930.82913008213</v>
      </c>
      <c r="G58" s="2">
        <v>363957.69173440547</v>
      </c>
      <c r="H58" s="2">
        <v>13177.603409063149</v>
      </c>
      <c r="I58" s="2">
        <v>130274.48616091124</v>
      </c>
      <c r="J58" s="2">
        <v>9306.5797217790278</v>
      </c>
      <c r="K58" s="2">
        <v>52928.432961562678</v>
      </c>
      <c r="L58" s="2">
        <v>21234.964596472684</v>
      </c>
      <c r="M58" s="2">
        <v>23911.266763439486</v>
      </c>
      <c r="N58" s="2">
        <v>34608.810590675297</v>
      </c>
      <c r="O58" s="2">
        <v>23374.254066494505</v>
      </c>
      <c r="P58" s="2">
        <v>67826.784052665535</v>
      </c>
      <c r="Q58" s="2">
        <v>60972.169436444936</v>
      </c>
      <c r="R58" s="2">
        <v>16456.140862556073</v>
      </c>
      <c r="S58" s="2">
        <v>25229.259729291505</v>
      </c>
      <c r="T58" s="2">
        <v>271673.54906511161</v>
      </c>
      <c r="U58" s="2">
        <v>34602.30527108493</v>
      </c>
      <c r="V58" s="2">
        <v>24373.627541011123</v>
      </c>
      <c r="W58" s="2">
        <v>15518.548395096521</v>
      </c>
      <c r="X58" s="2">
        <v>444848.34735848143</v>
      </c>
      <c r="Y58" s="2">
        <v>73438.647340965457</v>
      </c>
      <c r="Z58" s="2">
        <v>21782.502233466221</v>
      </c>
      <c r="AA58" s="2">
        <v>393316.88547578506</v>
      </c>
    </row>
    <row r="59" spans="1:27" x14ac:dyDescent="0.2">
      <c r="A59" s="1">
        <v>2028</v>
      </c>
      <c r="B59" s="2">
        <v>41892.630919582385</v>
      </c>
      <c r="C59" s="2">
        <v>71811.790223348173</v>
      </c>
      <c r="D59" s="2">
        <v>9783.2864950303865</v>
      </c>
      <c r="E59" s="2">
        <v>72884.602042713042</v>
      </c>
      <c r="F59" s="2">
        <v>157841.88378837262</v>
      </c>
      <c r="G59" s="2">
        <v>370679.79341820005</v>
      </c>
      <c r="H59" s="2">
        <v>13215.416946896354</v>
      </c>
      <c r="I59" s="2">
        <v>132680.58544845367</v>
      </c>
      <c r="J59" s="2">
        <v>9478.4672148555364</v>
      </c>
      <c r="K59" s="2">
        <v>53905.992486781244</v>
      </c>
      <c r="L59" s="2">
        <v>21627.162905537225</v>
      </c>
      <c r="M59" s="2">
        <v>23797.63631739809</v>
      </c>
      <c r="N59" s="2">
        <v>35248.016600684496</v>
      </c>
      <c r="O59" s="2">
        <v>23441.327206657337</v>
      </c>
      <c r="P59" s="2">
        <v>67504.459526670864</v>
      </c>
      <c r="Q59" s="2">
        <v>60682.419216278089</v>
      </c>
      <c r="R59" s="2">
        <v>16760.07688235497</v>
      </c>
      <c r="S59" s="2">
        <v>25301.655865194425</v>
      </c>
      <c r="T59" s="2">
        <v>271721.79345537606</v>
      </c>
      <c r="U59" s="2">
        <v>34701.597649134826</v>
      </c>
      <c r="V59" s="2">
        <v>24823.795256804791</v>
      </c>
      <c r="W59" s="2">
        <v>15509.808476504055</v>
      </c>
      <c r="X59" s="2">
        <v>442734.35161617259</v>
      </c>
      <c r="Y59" s="2">
        <v>73397.287299874006</v>
      </c>
      <c r="Z59" s="2">
        <v>21845.007792841345</v>
      </c>
      <c r="AA59" s="2">
        <v>393095.37264658342</v>
      </c>
    </row>
    <row r="60" spans="1:27" x14ac:dyDescent="0.2">
      <c r="A60" s="1">
        <v>2029</v>
      </c>
      <c r="B60" s="2">
        <v>41693.549943056365</v>
      </c>
      <c r="C60" s="2">
        <v>71470.52826366869</v>
      </c>
      <c r="D60" s="2">
        <v>9736.7946374814237</v>
      </c>
      <c r="E60" s="2">
        <v>74230.741215591261</v>
      </c>
      <c r="F60" s="2">
        <v>157752.9885399467</v>
      </c>
      <c r="G60" s="2">
        <v>377526.0486837803</v>
      </c>
      <c r="H60" s="2">
        <v>13253.338991838104</v>
      </c>
      <c r="I60" s="2">
        <v>135131.12408826005</v>
      </c>
      <c r="J60" s="2">
        <v>9653.5293769468044</v>
      </c>
      <c r="K60" s="2">
        <v>54901.607007620776</v>
      </c>
      <c r="L60" s="2">
        <v>22026.604905210916</v>
      </c>
      <c r="M60" s="2">
        <v>23684.545862750514</v>
      </c>
      <c r="N60" s="2">
        <v>35899.028399920731</v>
      </c>
      <c r="O60" s="2">
        <v>23508.592815256532</v>
      </c>
      <c r="P60" s="2">
        <v>67183.666742177855</v>
      </c>
      <c r="Q60" s="2">
        <v>60394.045938917487</v>
      </c>
      <c r="R60" s="2">
        <v>17069.626436025676</v>
      </c>
      <c r="S60" s="2">
        <v>25374.259744033519</v>
      </c>
      <c r="T60" s="2">
        <v>271770.04641298612</v>
      </c>
      <c r="U60" s="2">
        <v>34801.174949714063</v>
      </c>
      <c r="V60" s="2">
        <v>25282.277326791405</v>
      </c>
      <c r="W60" s="2">
        <v>15501.073480161729</v>
      </c>
      <c r="X60" s="2">
        <v>440630.40194467647</v>
      </c>
      <c r="Y60" s="2">
        <v>73355.950552416922</v>
      </c>
      <c r="Z60" s="2">
        <v>21907.692713839431</v>
      </c>
      <c r="AA60" s="2">
        <v>392873.98457158206</v>
      </c>
    </row>
    <row r="61" spans="1:27" x14ac:dyDescent="0.2">
      <c r="A61" s="1">
        <v>2030</v>
      </c>
      <c r="B61" s="2">
        <v>41495.415033519799</v>
      </c>
      <c r="C61" s="2">
        <v>71130.88803942794</v>
      </c>
      <c r="D61" s="2">
        <v>9690.5237172237739</v>
      </c>
      <c r="E61" s="2">
        <v>75601.742850799943</v>
      </c>
      <c r="F61" s="2">
        <v>157664.14335659225</v>
      </c>
      <c r="G61" s="2">
        <v>384498.75058064109</v>
      </c>
      <c r="H61" s="2">
        <v>13291.369855252879</v>
      </c>
      <c r="I61" s="2">
        <v>137626.92285112731</v>
      </c>
      <c r="J61" s="2">
        <v>9831.8248424722005</v>
      </c>
      <c r="K61" s="2">
        <v>55915.609990083562</v>
      </c>
      <c r="L61" s="2">
        <v>22433.424382540841</v>
      </c>
      <c r="M61" s="2">
        <v>23571.992833364919</v>
      </c>
      <c r="N61" s="2">
        <v>36562.06403492469</v>
      </c>
      <c r="O61" s="2">
        <v>23576.051444586181</v>
      </c>
      <c r="P61" s="2">
        <v>66864.398420087833</v>
      </c>
      <c r="Q61" s="2">
        <v>60107.043060894444</v>
      </c>
      <c r="R61" s="2">
        <v>17384.893202502164</v>
      </c>
      <c r="S61" s="2">
        <v>25447.071961933525</v>
      </c>
      <c r="T61" s="2">
        <v>271818.30793946324</v>
      </c>
      <c r="U61" s="2">
        <v>34901.037990416589</v>
      </c>
      <c r="V61" s="2">
        <v>25749.227312595267</v>
      </c>
      <c r="W61" s="2">
        <v>15492.343403297371</v>
      </c>
      <c r="X61" s="2">
        <v>438536.45060333936</v>
      </c>
      <c r="Y61" s="2">
        <v>73314.637085475406</v>
      </c>
      <c r="Z61" s="2">
        <v>21970.557511144172</v>
      </c>
      <c r="AA61" s="2">
        <v>392652.72118052043</v>
      </c>
    </row>
    <row r="62" spans="1:27" x14ac:dyDescent="0.2">
      <c r="A62" s="1">
        <v>2031</v>
      </c>
      <c r="B62" s="2">
        <v>41298.221695099885</v>
      </c>
      <c r="C62" s="2">
        <v>70792.861843860621</v>
      </c>
      <c r="D62" s="2">
        <v>9644.4726843254866</v>
      </c>
      <c r="E62" s="2">
        <v>76998.066144569006</v>
      </c>
      <c r="F62" s="2">
        <v>157575.34821011304</v>
      </c>
      <c r="G62" s="2">
        <v>391600.23450966098</v>
      </c>
      <c r="H62" s="2">
        <v>13329.509849398632</v>
      </c>
      <c r="I62" s="2">
        <v>140168.81766704493</v>
      </c>
      <c r="J62" s="2">
        <v>10013.413328797102</v>
      </c>
      <c r="K62" s="2">
        <v>56948.341059108556</v>
      </c>
      <c r="L62" s="2">
        <v>22847.757595548472</v>
      </c>
      <c r="M62" s="2">
        <v>23459.974675304162</v>
      </c>
      <c r="N62" s="2">
        <v>37237.345579438726</v>
      </c>
      <c r="O62" s="2">
        <v>23643.703648525199</v>
      </c>
      <c r="P62" s="2">
        <v>66546.647315893657</v>
      </c>
      <c r="Q62" s="2">
        <v>59821.404069835968</v>
      </c>
      <c r="R62" s="2">
        <v>17705.982775612239</v>
      </c>
      <c r="S62" s="2">
        <v>25520.093116729779</v>
      </c>
      <c r="T62" s="2">
        <v>271866.57803632907</v>
      </c>
      <c r="U62" s="2">
        <v>35001.187591182468</v>
      </c>
      <c r="V62" s="2">
        <v>26224.80161204081</v>
      </c>
      <c r="W62" s="2">
        <v>15483.618243140372</v>
      </c>
      <c r="X62" s="2">
        <v>436452.4500783793</v>
      </c>
      <c r="Y62" s="2">
        <v>73273.346885938081</v>
      </c>
      <c r="Z62" s="2">
        <v>22033.602700916152</v>
      </c>
      <c r="AA62" s="2">
        <v>392431.58240317757</v>
      </c>
    </row>
    <row r="63" spans="1:27" x14ac:dyDescent="0.2">
      <c r="A63" s="1">
        <v>2032</v>
      </c>
      <c r="B63" s="2">
        <v>41101.965453288976</v>
      </c>
      <c r="C63" s="2">
        <v>70456.44200682528</v>
      </c>
      <c r="D63" s="2">
        <v>9598.6404938440683</v>
      </c>
      <c r="E63" s="2">
        <v>78420.178774234329</v>
      </c>
      <c r="F63" s="2">
        <v>157486.6030723287</v>
      </c>
      <c r="G63" s="2">
        <v>398832.87900530943</v>
      </c>
      <c r="H63" s="2">
        <v>13367.759287429348</v>
      </c>
      <c r="I63" s="2">
        <v>142757.65990517716</v>
      </c>
      <c r="J63" s="2">
        <v>10198.35565623432</v>
      </c>
      <c r="K63" s="2">
        <v>58000.146112323629</v>
      </c>
      <c r="L63" s="2">
        <v>23269.743318867226</v>
      </c>
      <c r="M63" s="2">
        <v>23348.488846767857</v>
      </c>
      <c r="N63" s="2">
        <v>37925.099208787076</v>
      </c>
      <c r="O63" s="2">
        <v>23711.549982541877</v>
      </c>
      <c r="P63" s="2">
        <v>66230.406219515338</v>
      </c>
      <c r="Q63" s="2">
        <v>59537.122484316977</v>
      </c>
      <c r="R63" s="2">
        <v>18033.002699444583</v>
      </c>
      <c r="S63" s="2">
        <v>25593.323807973124</v>
      </c>
      <c r="T63" s="2">
        <v>271914.85670510557</v>
      </c>
      <c r="U63" s="2">
        <v>35101.624574304602</v>
      </c>
      <c r="V63" s="2">
        <v>26709.159511535683</v>
      </c>
      <c r="W63" s="2">
        <v>15474.897996921685</v>
      </c>
      <c r="X63" s="2">
        <v>434378.35308180796</v>
      </c>
      <c r="Y63" s="2">
        <v>73232.079940700933</v>
      </c>
      <c r="Z63" s="2">
        <v>22096.828800797095</v>
      </c>
      <c r="AA63" s="2">
        <v>392210.56816937204</v>
      </c>
    </row>
    <row r="64" spans="1:27" x14ac:dyDescent="0.2">
      <c r="A64" s="1">
        <v>2033</v>
      </c>
      <c r="B64" s="2">
        <v>40906.641854843059</v>
      </c>
      <c r="C64" s="2">
        <v>70121.620894630309</v>
      </c>
      <c r="D64" s="2">
        <v>9553.02610580277</v>
      </c>
      <c r="E64" s="2">
        <v>79868.557054879202</v>
      </c>
      <c r="F64" s="2">
        <v>157397.90791507476</v>
      </c>
      <c r="G64" s="2">
        <v>406199.10653230088</v>
      </c>
      <c r="H64" s="2">
        <v>13406.118483397617</v>
      </c>
      <c r="I64" s="2">
        <v>145394.31665901616</v>
      </c>
      <c r="J64" s="2">
        <v>10386.71376841494</v>
      </c>
      <c r="K64" s="2">
        <v>59071.377435898721</v>
      </c>
      <c r="L64" s="2">
        <v>23699.522890222932</v>
      </c>
      <c r="M64" s="2">
        <v>23237.532818034684</v>
      </c>
      <c r="N64" s="2">
        <v>38625.555275629871</v>
      </c>
      <c r="O64" s="2">
        <v>23779.591003698435</v>
      </c>
      <c r="P64" s="2">
        <v>65915.667955136407</v>
      </c>
      <c r="Q64" s="2">
        <v>59254.191853713237</v>
      </c>
      <c r="R64" s="2">
        <v>18366.06250436902</v>
      </c>
      <c r="S64" s="2">
        <v>25666.764636934833</v>
      </c>
      <c r="T64" s="2">
        <v>271963.14394731494</v>
      </c>
      <c r="U64" s="2">
        <v>35202.349764435494</v>
      </c>
      <c r="V64" s="2">
        <v>27202.463239421319</v>
      </c>
      <c r="W64" s="2">
        <v>15466.182661873818</v>
      </c>
      <c r="X64" s="2">
        <v>432314.11255035765</v>
      </c>
      <c r="Y64" s="2">
        <v>73190.836236667325</v>
      </c>
      <c r="Z64" s="2">
        <v>22160.236329914122</v>
      </c>
      <c r="AA64" s="2">
        <v>391989.67840896198</v>
      </c>
    </row>
    <row r="65" spans="1:27" x14ac:dyDescent="0.2">
      <c r="A65" s="1">
        <v>2034</v>
      </c>
      <c r="B65" s="2">
        <v>40712.246467680692</v>
      </c>
      <c r="C65" s="2">
        <v>69788.390909860726</v>
      </c>
      <c r="D65" s="2">
        <v>9507.6284851669934</v>
      </c>
      <c r="E65" s="2">
        <v>81343.686098868842</v>
      </c>
      <c r="F65" s="2">
        <v>157309.26271020257</v>
      </c>
      <c r="G65" s="2">
        <v>413701.38429696264</v>
      </c>
      <c r="H65" s="2">
        <v>13444.587752257214</v>
      </c>
      <c r="I65" s="2">
        <v>148079.6710368018</v>
      </c>
      <c r="J65" s="2">
        <v>10578.55075303541</v>
      </c>
      <c r="K65" s="2">
        <v>60162.393822538761</v>
      </c>
      <c r="L65" s="2">
        <v>24137.240257772763</v>
      </c>
      <c r="M65" s="2">
        <v>23127.104071404992</v>
      </c>
      <c r="N65" s="2">
        <v>39338.948387116267</v>
      </c>
      <c r="O65" s="2">
        <v>23847.827270655602</v>
      </c>
      <c r="P65" s="2">
        <v>65602.425381041132</v>
      </c>
      <c r="Q65" s="2">
        <v>58972.605758054982</v>
      </c>
      <c r="R65" s="2">
        <v>18705.273743722049</v>
      </c>
      <c r="S65" s="2">
        <v>25740.416206611546</v>
      </c>
      <c r="T65" s="2">
        <v>272011.43976447964</v>
      </c>
      <c r="U65" s="2">
        <v>35303.363988594014</v>
      </c>
      <c r="V65" s="2">
        <v>27704.878020308854</v>
      </c>
      <c r="W65" s="2">
        <v>15457.47223523084</v>
      </c>
      <c r="X65" s="2">
        <v>430259.68164441339</v>
      </c>
      <c r="Y65" s="2">
        <v>73149.615760747998</v>
      </c>
      <c r="Z65" s="2">
        <v>22223.825808883998</v>
      </c>
      <c r="AA65" s="2">
        <v>391768.91305184498</v>
      </c>
    </row>
    <row r="66" spans="1:27" x14ac:dyDescent="0.2">
      <c r="A66" s="1">
        <v>2035</v>
      </c>
      <c r="B66" s="2">
        <v>40518.774880782454</v>
      </c>
      <c r="C66" s="2">
        <v>69456.74449120574</v>
      </c>
      <c r="D66" s="2">
        <v>9462.4466018208004</v>
      </c>
      <c r="E66" s="2">
        <v>82846.059978331425</v>
      </c>
      <c r="F66" s="2">
        <v>157220.66742957939</v>
      </c>
      <c r="G66" s="2">
        <v>421342.2250735882</v>
      </c>
      <c r="H66" s="2">
        <v>13483.16740986568</v>
      </c>
      <c r="I66" s="2">
        <v>150814.62245730544</v>
      </c>
      <c r="J66" s="2">
        <v>10773.9308629878</v>
      </c>
      <c r="K66" s="2">
        <v>61273.560691655846</v>
      </c>
      <c r="L66" s="2">
        <v>24583.042028318476</v>
      </c>
      <c r="M66" s="2">
        <v>23017.200101143673</v>
      </c>
      <c r="N66" s="2">
        <v>40065.517483462543</v>
      </c>
      <c r="O66" s="2">
        <v>23916.2593436772</v>
      </c>
      <c r="P66" s="2">
        <v>65290.671389452407</v>
      </c>
      <c r="Q66" s="2">
        <v>58692.35780788125</v>
      </c>
      <c r="R66" s="2">
        <v>19050.750031169959</v>
      </c>
      <c r="S66" s="2">
        <v>25814.279121730218</v>
      </c>
      <c r="T66" s="2">
        <v>272059.74415812251</v>
      </c>
      <c r="U66" s="2">
        <v>35404.66807617218</v>
      </c>
      <c r="V66" s="2">
        <v>28216.572130418623</v>
      </c>
      <c r="W66" s="2">
        <v>15448.766714228379</v>
      </c>
      <c r="X66" s="2">
        <v>428215.01374695019</v>
      </c>
      <c r="Y66" s="2">
        <v>73108.418499861073</v>
      </c>
      <c r="Z66" s="2">
        <v>22287.597759817414</v>
      </c>
      <c r="AA66" s="2">
        <v>391548.27202795813</v>
      </c>
    </row>
    <row r="67" spans="1:27" x14ac:dyDescent="0.2">
      <c r="A67" s="1">
        <v>2036</v>
      </c>
      <c r="B67" s="2">
        <v>40326.222704090833</v>
      </c>
      <c r="C67" s="2">
        <v>69126.674113287227</v>
      </c>
      <c r="D67" s="2">
        <v>9417.4794305435425</v>
      </c>
      <c r="E67" s="2">
        <v>84376.181890640073</v>
      </c>
      <c r="F67" s="2">
        <v>157132.1220450883</v>
      </c>
      <c r="G67" s="2">
        <v>429124.18804605305</v>
      </c>
      <c r="H67" s="2">
        <v>13521.857772986925</v>
      </c>
      <c r="I67" s="2">
        <v>153600.08695107661</v>
      </c>
      <c r="J67" s="2">
        <v>10972.91953788034</v>
      </c>
      <c r="K67" s="2">
        <v>62405.250211760947</v>
      </c>
      <c r="L67" s="2">
        <v>25037.077516410158</v>
      </c>
      <c r="M67" s="2">
        <v>22907.818413423302</v>
      </c>
      <c r="N67" s="2">
        <v>40805.505917981529</v>
      </c>
      <c r="O67" s="2">
        <v>23984.88778463475</v>
      </c>
      <c r="P67" s="2">
        <v>64980.398906370523</v>
      </c>
      <c r="Q67" s="2">
        <v>58413.441644094892</v>
      </c>
      <c r="R67" s="2">
        <v>19402.607078761986</v>
      </c>
      <c r="S67" s="2">
        <v>25888.353988753086</v>
      </c>
      <c r="T67" s="2">
        <v>272108.05712976656</v>
      </c>
      <c r="U67" s="2">
        <v>35506.262858941984</v>
      </c>
      <c r="V67" s="2">
        <v>28737.716953941715</v>
      </c>
      <c r="W67" s="2">
        <v>15440.066096103619</v>
      </c>
      <c r="X67" s="2">
        <v>426180.06246247503</v>
      </c>
      <c r="Y67" s="2">
        <v>73067.244440932045</v>
      </c>
      <c r="Z67" s="2">
        <v>22351.552706323277</v>
      </c>
      <c r="AA67" s="2">
        <v>391327.75526727794</v>
      </c>
    </row>
    <row r="68" spans="1:27" x14ac:dyDescent="0.2">
      <c r="A68" s="1">
        <v>2037</v>
      </c>
      <c r="B68" s="2">
        <v>40134.585568410643</v>
      </c>
      <c r="C68" s="2">
        <v>68798.172286488931</v>
      </c>
      <c r="D68" s="2">
        <v>9372.7259509865944</v>
      </c>
      <c r="E68" s="2">
        <v>85934.564326951178</v>
      </c>
      <c r="F68" s="2">
        <v>157043.62652862817</v>
      </c>
      <c r="G68" s="2">
        <v>437049.87966497446</v>
      </c>
      <c r="H68" s="2">
        <v>13560.659159293815</v>
      </c>
      <c r="I68" s="2">
        <v>156436.99746725356</v>
      </c>
      <c r="J68" s="2">
        <v>11175.583425955425</v>
      </c>
      <c r="K68" s="2">
        <v>63557.841425116108</v>
      </c>
      <c r="L68" s="2">
        <v>25499.498794356863</v>
      </c>
      <c r="M68" s="2">
        <v>22798.95652626755</v>
      </c>
      <c r="N68" s="2">
        <v>41559.161538590095</v>
      </c>
      <c r="O68" s="2">
        <v>24053.713157012073</v>
      </c>
      <c r="P68" s="2">
        <v>64671.600891412629</v>
      </c>
      <c r="Q68" s="2">
        <v>58135.850937818279</v>
      </c>
      <c r="R68" s="2">
        <v>19760.962735686331</v>
      </c>
      <c r="S68" s="2">
        <v>25962.641415882652</v>
      </c>
      <c r="T68" s="2">
        <v>272156.37868093501</v>
      </c>
      <c r="U68" s="2">
        <v>35608.149171062207</v>
      </c>
      <c r="V68" s="2">
        <v>29268.487040442524</v>
      </c>
      <c r="W68" s="2">
        <v>15431.370378095298</v>
      </c>
      <c r="X68" s="2">
        <v>424154.78161597438</v>
      </c>
      <c r="Y68" s="2">
        <v>73026.093570893761</v>
      </c>
      <c r="Z68" s="2">
        <v>22415.691173513005</v>
      </c>
      <c r="AA68" s="2">
        <v>391107.36269982049</v>
      </c>
    </row>
    <row r="69" spans="1:27" x14ac:dyDescent="0.2">
      <c r="A69" s="1">
        <v>2038</v>
      </c>
      <c r="B69" s="2">
        <v>39943.859125309849</v>
      </c>
      <c r="C69" s="2">
        <v>68471.231556786573</v>
      </c>
      <c r="D69" s="2">
        <v>9328.1851476502015</v>
      </c>
      <c r="E69" s="2">
        <v>87521.729243855574</v>
      </c>
      <c r="F69" s="2">
        <v>156955.18085211376</v>
      </c>
      <c r="G69" s="2">
        <v>445121.95452070259</v>
      </c>
      <c r="H69" s="2">
        <v>13599.571887370794</v>
      </c>
      <c r="I69" s="2">
        <v>159326.30418604048</v>
      </c>
      <c r="J69" s="2">
        <v>11381.990406412435</v>
      </c>
      <c r="K69" s="2">
        <v>64731.720374688906</v>
      </c>
      <c r="L69" s="2">
        <v>25970.460743160929</v>
      </c>
      <c r="M69" s="2">
        <v>22690.611969494868</v>
      </c>
      <c r="N69" s="2">
        <v>42326.736770822063</v>
      </c>
      <c r="O69" s="2">
        <v>24122.73602590993</v>
      </c>
      <c r="P69" s="2">
        <v>64364.270337652983</v>
      </c>
      <c r="Q69" s="2">
        <v>57859.579390249703</v>
      </c>
      <c r="R69" s="2">
        <v>20125.937027741944</v>
      </c>
      <c r="S69" s="2">
        <v>26037.142013066674</v>
      </c>
      <c r="T69" s="2">
        <v>272204.70881315152</v>
      </c>
      <c r="U69" s="2">
        <v>35710.327849085275</v>
      </c>
      <c r="V69" s="2">
        <v>29809.060163321465</v>
      </c>
      <c r="W69" s="2">
        <v>15422.679557443713</v>
      </c>
      <c r="X69" s="2">
        <v>422139.12525186624</v>
      </c>
      <c r="Y69" s="2">
        <v>72984.965876686416</v>
      </c>
      <c r="Z69" s="2">
        <v>22480.013688004838</v>
      </c>
      <c r="AA69" s="2">
        <v>390887.0942556411</v>
      </c>
    </row>
    <row r="70" spans="1:27" x14ac:dyDescent="0.2">
      <c r="A70" s="1">
        <v>2039</v>
      </c>
      <c r="B70" s="2">
        <v>39754.039047020917</v>
      </c>
      <c r="C70" s="2">
        <v>68145.844505578658</v>
      </c>
      <c r="D70" s="2">
        <v>9283.8560098604412</v>
      </c>
      <c r="E70" s="2">
        <v>89138.208238199964</v>
      </c>
      <c r="F70" s="2">
        <v>156866.78498747564</v>
      </c>
      <c r="G70" s="2">
        <v>453343.11623243545</v>
      </c>
      <c r="H70" s="2">
        <v>13638.596276716493</v>
      </c>
      <c r="I70" s="2">
        <v>162268.97483695589</v>
      </c>
      <c r="J70" s="2">
        <v>11592.209612142842</v>
      </c>
      <c r="K70" s="2">
        <v>65927.280233451704</v>
      </c>
      <c r="L70" s="2">
        <v>26450.121104393023</v>
      </c>
      <c r="M70" s="2">
        <v>22582.782284662433</v>
      </c>
      <c r="N70" s="2">
        <v>43108.488702374321</v>
      </c>
      <c r="O70" s="2">
        <v>24191.956958050654</v>
      </c>
      <c r="P70" s="2">
        <v>64058.400271463965</v>
      </c>
      <c r="Q70" s="2">
        <v>57584.620732520438</v>
      </c>
      <c r="R70" s="2">
        <v>20497.652197539355</v>
      </c>
      <c r="S70" s="2">
        <v>26111.85639200317</v>
      </c>
      <c r="T70" s="2">
        <v>272253.0475279399</v>
      </c>
      <c r="U70" s="2">
        <v>35812.799731964129</v>
      </c>
      <c r="V70" s="2">
        <v>30359.617379357504</v>
      </c>
      <c r="W70" s="2">
        <v>15413.993631390711</v>
      </c>
      <c r="X70" s="2">
        <v>420133.0476329574</v>
      </c>
      <c r="Y70" s="2">
        <v>72943.861345257581</v>
      </c>
      <c r="Z70" s="2">
        <v>22544.520777928163</v>
      </c>
      <c r="AA70" s="2">
        <v>390666.94986483461</v>
      </c>
    </row>
    <row r="71" spans="1:27" x14ac:dyDescent="0.2">
      <c r="A71" s="1">
        <v>2040</v>
      </c>
      <c r="B71" s="2">
        <v>39565.121026342604</v>
      </c>
      <c r="C71" s="2">
        <v>67822.00374951816</v>
      </c>
      <c r="D71" s="2">
        <v>9239.7375317462847</v>
      </c>
      <c r="E71" s="2">
        <v>90784.542725137246</v>
      </c>
      <c r="F71" s="2">
        <v>156778.43890666013</v>
      </c>
      <c r="G71" s="2">
        <v>461716.11835375498</v>
      </c>
      <c r="H71" s="2">
        <v>13677.732647746352</v>
      </c>
      <c r="I71" s="2">
        <v>165265.99502295905</v>
      </c>
      <c r="J71" s="2">
        <v>11806.311452885226</v>
      </c>
      <c r="K71" s="2">
        <v>67144.921436068966</v>
      </c>
      <c r="L71" s="2">
        <v>26938.640533025293</v>
      </c>
      <c r="M71" s="2">
        <v>22475.465025010362</v>
      </c>
      <c r="N71" s="2">
        <v>43904.679169214447</v>
      </c>
      <c r="O71" s="2">
        <v>24261.376521782808</v>
      </c>
      <c r="P71" s="2">
        <v>63753.983752357817</v>
      </c>
      <c r="Q71" s="2">
        <v>57310.968725552499</v>
      </c>
      <c r="R71" s="2">
        <v>20876.232745443984</v>
      </c>
      <c r="S71" s="2">
        <v>26186.785166145448</v>
      </c>
      <c r="T71" s="2">
        <v>272301.39482682425</v>
      </c>
      <c r="U71" s="2">
        <v>35915.56566105911</v>
      </c>
      <c r="V71" s="2">
        <v>30920.343089350368</v>
      </c>
      <c r="W71" s="2">
        <v>15405.312597179694</v>
      </c>
      <c r="X71" s="2">
        <v>418136.50323940569</v>
      </c>
      <c r="Y71" s="2">
        <v>72902.779963562178</v>
      </c>
      <c r="Z71" s="2">
        <v>22609.212972927849</v>
      </c>
      <c r="AA71" s="2">
        <v>390446.92945753515</v>
      </c>
    </row>
    <row r="72" spans="1:27" x14ac:dyDescent="0.2">
      <c r="A72" s="1">
        <v>2041</v>
      </c>
      <c r="B72" s="2">
        <v>39377.100776542233</v>
      </c>
      <c r="C72" s="2">
        <v>67499.701940344981</v>
      </c>
      <c r="D72" s="2">
        <v>9195.8287122167785</v>
      </c>
      <c r="E72" s="2">
        <v>92461.284119465301</v>
      </c>
      <c r="F72" s="2">
        <v>156690.14258162942</v>
      </c>
      <c r="G72" s="2">
        <v>470243.76529488841</v>
      </c>
      <c r="H72" s="2">
        <v>13716.981321795254</v>
      </c>
      <c r="I72" s="2">
        <v>168318.36855056268</v>
      </c>
      <c r="J72" s="2">
        <v>12024.367638807951</v>
      </c>
      <c r="K72" s="2">
        <v>68385.051813016806</v>
      </c>
      <c r="L72" s="2">
        <v>27436.182651240317</v>
      </c>
      <c r="M72" s="2">
        <v>22368.657755406199</v>
      </c>
      <c r="N72" s="2">
        <v>44715.574843278693</v>
      </c>
      <c r="O72" s="2">
        <v>24330.995287085843</v>
      </c>
      <c r="P72" s="2">
        <v>63451.013872829179</v>
      </c>
      <c r="Q72" s="2">
        <v>57038.61715991707</v>
      </c>
      <c r="R72" s="2">
        <v>21261.805471275653</v>
      </c>
      <c r="S72" s="2">
        <v>26261.928950707141</v>
      </c>
      <c r="T72" s="2">
        <v>272349.75071132899</v>
      </c>
      <c r="U72" s="2">
        <v>36018.626480144878</v>
      </c>
      <c r="V72" s="2">
        <v>31491.425099882803</v>
      </c>
      <c r="W72" s="2">
        <v>15396.63645205562</v>
      </c>
      <c r="X72" s="2">
        <v>416149.44676768704</v>
      </c>
      <c r="Y72" s="2">
        <v>72861.721718562447</v>
      </c>
      <c r="Z72" s="2">
        <v>22674.090804168605</v>
      </c>
      <c r="AA72" s="2">
        <v>390227.03296391625</v>
      </c>
    </row>
    <row r="73" spans="1:27" x14ac:dyDescent="0.2">
      <c r="A73" s="1">
        <v>2042</v>
      </c>
      <c r="B73" s="2">
        <v>39189.974031258418</v>
      </c>
      <c r="C73" s="2">
        <v>67178.931764719222</v>
      </c>
      <c r="D73" s="2">
        <v>9152.128554938321</v>
      </c>
      <c r="E73" s="2">
        <v>94168.994020315062</v>
      </c>
      <c r="F73" s="2">
        <v>156601.89598436147</v>
      </c>
      <c r="G73" s="2">
        <v>478928.91326200269</v>
      </c>
      <c r="H73" s="2">
        <v>13756.342621120162</v>
      </c>
      <c r="I73" s="2">
        <v>171427.11776604282</v>
      </c>
      <c r="J73" s="2">
        <v>12246.451204527399</v>
      </c>
      <c r="K73" s="2">
        <v>69648.086727179616</v>
      </c>
      <c r="L73" s="2">
        <v>27942.914103233874</v>
      </c>
      <c r="M73" s="2">
        <v>22262.358052289652</v>
      </c>
      <c r="N73" s="2">
        <v>45541.447321789725</v>
      </c>
      <c r="O73" s="2">
        <v>24400.813825574791</v>
      </c>
      <c r="P73" s="2">
        <v>63149.483758198345</v>
      </c>
      <c r="Q73" s="2">
        <v>56767.559855693617</v>
      </c>
      <c r="R73" s="2">
        <v>21654.499516778262</v>
      </c>
      <c r="S73" s="2">
        <v>26337.288362667248</v>
      </c>
      <c r="T73" s="2">
        <v>272398.11518297874</v>
      </c>
      <c r="U73" s="2">
        <v>36121.98303541731</v>
      </c>
      <c r="V73" s="2">
        <v>32073.054686223546</v>
      </c>
      <c r="W73" s="2">
        <v>15387.965193264992</v>
      </c>
      <c r="X73" s="2">
        <v>414171.8331295675</v>
      </c>
      <c r="Y73" s="2">
        <v>72820.686597228007</v>
      </c>
      <c r="Z73" s="2">
        <v>22739.154804339323</v>
      </c>
      <c r="AA73" s="2">
        <v>390007.26031419076</v>
      </c>
    </row>
    <row r="74" spans="1:27" x14ac:dyDescent="0.2">
      <c r="A74" s="1">
        <v>2043</v>
      </c>
      <c r="B74" s="2">
        <v>39003.736544404244</v>
      </c>
      <c r="C74" s="2">
        <v>66859.685944055236</v>
      </c>
      <c r="D74" s="2">
        <v>9108.6360683120602</v>
      </c>
      <c r="E74" s="2">
        <v>95908.244399249597</v>
      </c>
      <c r="F74" s="2">
        <v>156513.69908685001</v>
      </c>
      <c r="G74" s="2">
        <v>487774.47121384769</v>
      </c>
      <c r="H74" s="2">
        <v>13795.816868902766</v>
      </c>
      <c r="I74" s="2">
        <v>174593.2838978582</v>
      </c>
      <c r="J74" s="2">
        <v>12472.636533569806</v>
      </c>
      <c r="K74" s="2">
        <v>70934.449212969572</v>
      </c>
      <c r="L74" s="2">
        <v>28459.004611029894</v>
      </c>
      <c r="M74" s="2">
        <v>22156.563503617606</v>
      </c>
      <c r="N74" s="2">
        <v>46382.573218223988</v>
      </c>
      <c r="O74" s="2">
        <v>24470.832710504943</v>
      </c>
      <c r="P74" s="2">
        <v>62849.386566455258</v>
      </c>
      <c r="Q74" s="2">
        <v>56497.790662329629</v>
      </c>
      <c r="R74" s="2">
        <v>22054.446408873864</v>
      </c>
      <c r="S74" s="2">
        <v>26412.864020775214</v>
      </c>
      <c r="T74" s="2">
        <v>272446.48824329843</v>
      </c>
      <c r="U74" s="2">
        <v>36225.636175500484</v>
      </c>
      <c r="V74" s="2">
        <v>32665.426656392076</v>
      </c>
      <c r="W74" s="2">
        <v>15379.29881805587</v>
      </c>
      <c r="X74" s="2">
        <v>412203.61745108012</v>
      </c>
      <c r="Y74" s="2">
        <v>72779.674586535795</v>
      </c>
      <c r="Z74" s="2">
        <v>22804.40550765747</v>
      </c>
      <c r="AA74" s="2">
        <v>389787.61143861077</v>
      </c>
    </row>
    <row r="75" spans="1:27" x14ac:dyDescent="0.2">
      <c r="A75" s="1">
        <v>2044</v>
      </c>
      <c r="B75" s="2">
        <v>38818.384090070947</v>
      </c>
      <c r="C75" s="2">
        <v>66541.957234356465</v>
      </c>
      <c r="D75" s="2">
        <v>9065.3502654513941</v>
      </c>
      <c r="E75" s="2">
        <v>97679.617791837343</v>
      </c>
      <c r="F75" s="2">
        <v>156425.55186110453</v>
      </c>
      <c r="G75" s="2">
        <v>496783.40183606779</v>
      </c>
      <c r="H75" s="2">
        <v>13835.404389252137</v>
      </c>
      <c r="I75" s="2">
        <v>177817.92740539389</v>
      </c>
      <c r="J75" s="2">
        <v>12702.999383284907</v>
      </c>
      <c r="K75" s="2">
        <v>72244.570118015603</v>
      </c>
      <c r="L75" s="2">
        <v>28984.627031326276</v>
      </c>
      <c r="M75" s="2">
        <v>22051.271708809389</v>
      </c>
      <c r="N75" s="2">
        <v>47239.234254959199</v>
      </c>
      <c r="O75" s="2">
        <v>24541.052516776566</v>
      </c>
      <c r="P75" s="2">
        <v>62550.715488104273</v>
      </c>
      <c r="Q75" s="2">
        <v>56229.303458501097</v>
      </c>
      <c r="R75" s="2">
        <v>22461.78010371561</v>
      </c>
      <c r="S75" s="2">
        <v>26488.656545556008</v>
      </c>
      <c r="T75" s="2">
        <v>272494.86989381327</v>
      </c>
      <c r="U75" s="2">
        <v>36329.586751453622</v>
      </c>
      <c r="V75" s="2">
        <v>33268.739416406606</v>
      </c>
      <c r="W75" s="2">
        <v>15370.63732367786</v>
      </c>
      <c r="X75" s="2">
        <v>410244.75507150678</v>
      </c>
      <c r="Y75" s="2">
        <v>72738.6856734701</v>
      </c>
      <c r="Z75" s="2">
        <v>22869.843449873464</v>
      </c>
      <c r="AA75" s="2">
        <v>389568.0862674677</v>
      </c>
    </row>
    <row r="76" spans="1:27" x14ac:dyDescent="0.2">
      <c r="A76" s="1">
        <v>2045</v>
      </c>
      <c r="B76" s="2">
        <v>38633.912462431988</v>
      </c>
      <c r="C76" s="2">
        <v>66225.738426051059</v>
      </c>
      <c r="D76" s="2">
        <v>9022.2701641595722</v>
      </c>
      <c r="E76" s="2">
        <v>99483.707492763569</v>
      </c>
      <c r="F76" s="2">
        <v>156337.45427915032</v>
      </c>
      <c r="G76" s="2">
        <v>505958.72253350849</v>
      </c>
      <c r="H76" s="2">
        <v>13875.105507207383</v>
      </c>
      <c r="I76" s="2">
        <v>181102.12833414614</v>
      </c>
      <c r="J76" s="2">
        <v>12937.616910219698</v>
      </c>
      <c r="K76" s="2">
        <v>73578.88824746928</v>
      </c>
      <c r="L76" s="2">
        <v>29519.957413390621</v>
      </c>
      <c r="M76" s="2">
        <v>21946.480278692299</v>
      </c>
      <c r="N76" s="2">
        <v>48111.717357633002</v>
      </c>
      <c r="O76" s="2">
        <v>24611.473820939624</v>
      </c>
      <c r="P76" s="2">
        <v>62253.463746009642</v>
      </c>
      <c r="Q76" s="2">
        <v>55962.092151973586</v>
      </c>
      <c r="R76" s="2">
        <v>22876.637031554339</v>
      </c>
      <c r="S76" s="2">
        <v>26564.666559315207</v>
      </c>
      <c r="T76" s="2">
        <v>272543.26013604872</v>
      </c>
      <c r="U76" s="2">
        <v>36433.835616778102</v>
      </c>
      <c r="V76" s="2">
        <v>33883.19503673719</v>
      </c>
      <c r="W76" s="2">
        <v>15361.980707382118</v>
      </c>
      <c r="X76" s="2">
        <v>408295.20154236478</v>
      </c>
      <c r="Y76" s="2">
        <v>72697.719845022511</v>
      </c>
      <c r="Z76" s="2">
        <v>22935.469168275074</v>
      </c>
      <c r="AA76" s="2">
        <v>389348.6847310923</v>
      </c>
    </row>
    <row r="77" spans="1:27" x14ac:dyDescent="0.2">
      <c r="A77" s="1">
        <v>2046</v>
      </c>
      <c r="B77" s="2">
        <v>38450.317475647651</v>
      </c>
      <c r="C77" s="2">
        <v>65911.022343828299</v>
      </c>
      <c r="D77" s="2">
        <v>8979.3947869074145</v>
      </c>
      <c r="E77" s="2">
        <v>101321.11775454543</v>
      </c>
      <c r="F77" s="2">
        <v>156249.40631302839</v>
      </c>
      <c r="G77" s="2">
        <v>515303.50644085062</v>
      </c>
      <c r="H77" s="2">
        <v>13914.920548740325</v>
      </c>
      <c r="I77" s="2">
        <v>184446.98667746733</v>
      </c>
      <c r="J77" s="2">
        <v>13176.567695960865</v>
      </c>
      <c r="K77" s="2">
        <v>74937.850510975943</v>
      </c>
      <c r="L77" s="2">
        <v>30065.175058025274</v>
      </c>
      <c r="M77" s="2">
        <v>21842.186835447395</v>
      </c>
      <c r="N77" s="2">
        <v>49000.314751244347</v>
      </c>
      <c r="O77" s="2">
        <v>24682.097201198507</v>
      </c>
      <c r="P77" s="2">
        <v>61957.62459524173</v>
      </c>
      <c r="Q77" s="2">
        <v>55696.150679464008</v>
      </c>
      <c r="R77" s="2">
        <v>23299.156142433822</v>
      </c>
      <c r="S77" s="2">
        <v>26640.894686144115</v>
      </c>
      <c r="T77" s="2">
        <v>272591.6589715305</v>
      </c>
      <c r="U77" s="2">
        <v>36538.383627424431</v>
      </c>
      <c r="V77" s="2">
        <v>34508.999319986142</v>
      </c>
      <c r="W77" s="2">
        <v>15353.328966421348</v>
      </c>
      <c r="X77" s="2">
        <v>406354.91262639826</v>
      </c>
      <c r="Y77" s="2">
        <v>72656.777088191971</v>
      </c>
      <c r="Z77" s="2">
        <v>23001.283201691833</v>
      </c>
      <c r="AA77" s="2">
        <v>389129.40675985446</v>
      </c>
    </row>
    <row r="78" spans="1:27" x14ac:dyDescent="0.2">
      <c r="A78" s="1">
        <v>2047</v>
      </c>
      <c r="B78" s="2">
        <v>38267.594963770047</v>
      </c>
      <c r="C78" s="2">
        <v>65597.801846475762</v>
      </c>
      <c r="D78" s="2">
        <v>8936.7231608111269</v>
      </c>
      <c r="E78" s="2">
        <v>103192.4639899172</v>
      </c>
      <c r="F78" s="2">
        <v>156161.40793479551</v>
      </c>
      <c r="G78" s="2">
        <v>524820.88345191011</v>
      </c>
      <c r="H78" s="2">
        <v>13954.84984075817</v>
      </c>
      <c r="I78" s="2">
        <v>187853.62274499197</v>
      </c>
      <c r="J78" s="2">
        <v>13419.931773454487</v>
      </c>
      <c r="K78" s="2">
        <v>76321.912072360326</v>
      </c>
      <c r="L78" s="2">
        <v>30620.462577621405</v>
      </c>
      <c r="M78" s="2">
        <v>21738.389012555541</v>
      </c>
      <c r="N78" s="2">
        <v>49905.324058029844</v>
      </c>
      <c r="O78" s="2">
        <v>24752.92323741678</v>
      </c>
      <c r="P78" s="2">
        <v>61663.191322923958</v>
      </c>
      <c r="Q78" s="2">
        <v>55431.473006503031</v>
      </c>
      <c r="R78" s="2">
        <v>23729.478952729969</v>
      </c>
      <c r="S78" s="2">
        <v>26717.341551924888</v>
      </c>
      <c r="T78" s="2">
        <v>272640.0664017846</v>
      </c>
      <c r="U78" s="2">
        <v>36643.231641799299</v>
      </c>
      <c r="V78" s="2">
        <v>35146.361869818516</v>
      </c>
      <c r="W78" s="2">
        <v>15344.682098049801</v>
      </c>
      <c r="X78" s="2">
        <v>404423.8442965743</v>
      </c>
      <c r="Y78" s="2">
        <v>72615.85738998474</v>
      </c>
      <c r="Z78" s="2">
        <v>23067.286090499463</v>
      </c>
      <c r="AA78" s="2">
        <v>388910.25228416326</v>
      </c>
    </row>
    <row r="79" spans="1:27" x14ac:dyDescent="0.2">
      <c r="A79" s="1">
        <v>2048</v>
      </c>
      <c r="B79" s="2">
        <v>38085.740780648586</v>
      </c>
      <c r="C79" s="2">
        <v>65286.069826717307</v>
      </c>
      <c r="D79" s="2">
        <v>8894.2543176102245</v>
      </c>
      <c r="E79" s="2">
        <v>105098.37297795348</v>
      </c>
      <c r="F79" s="2">
        <v>156073.4591165242</v>
      </c>
      <c r="G79" s="2">
        <v>534514.04126794857</v>
      </c>
      <c r="H79" s="2">
        <v>13994.893711106193</v>
      </c>
      <c r="I79" s="2">
        <v>191323.17753786751</v>
      </c>
      <c r="J79" s="2">
        <v>13667.79065381187</v>
      </c>
      <c r="K79" s="2">
        <v>77731.536502076808</v>
      </c>
      <c r="L79" s="2">
        <v>31186.005957322261</v>
      </c>
      <c r="M79" s="2">
        <v>21635.084454743701</v>
      </c>
      <c r="N79" s="2">
        <v>50827.048397147817</v>
      </c>
      <c r="O79" s="2">
        <v>24823.952511121948</v>
      </c>
      <c r="P79" s="2">
        <v>61370.15724808049</v>
      </c>
      <c r="Q79" s="2">
        <v>55168.053127298161</v>
      </c>
      <c r="R79" s="2">
        <v>24167.7495925496</v>
      </c>
      <c r="S79" s="2">
        <v>26794.00778433567</v>
      </c>
      <c r="T79" s="2">
        <v>272688.48242833733</v>
      </c>
      <c r="U79" s="2">
        <v>36748.380520772625</v>
      </c>
      <c r="V79" s="2">
        <v>35795.496161165676</v>
      </c>
      <c r="W79" s="2">
        <v>15336.040099523278</v>
      </c>
      <c r="X79" s="2">
        <v>402501.95273508405</v>
      </c>
      <c r="Y79" s="2">
        <v>72574.960737414382</v>
      </c>
      <c r="Z79" s="2">
        <v>23133.478376624309</v>
      </c>
      <c r="AA79" s="2">
        <v>388691.22123446711</v>
      </c>
    </row>
    <row r="80" spans="1:27" x14ac:dyDescent="0.2">
      <c r="A80" s="1">
        <v>2049</v>
      </c>
      <c r="B80" s="2">
        <v>37904.750799835892</v>
      </c>
      <c r="C80" s="2">
        <v>64975.819211051785</v>
      </c>
      <c r="D80" s="2">
        <v>8851.9872936455649</v>
      </c>
      <c r="E80" s="2">
        <v>107039.48307399926</v>
      </c>
      <c r="F80" s="2">
        <v>155985.55983030269</v>
      </c>
      <c r="G80" s="2">
        <v>544386.22646534548</v>
      </c>
      <c r="H80" s="2">
        <v>14035.052488570434</v>
      </c>
      <c r="I80" s="2">
        <v>194856.81313091537</v>
      </c>
      <c r="J80" s="2">
        <v>13920.227353610446</v>
      </c>
      <c r="K80" s="2">
        <v>79167.195932475253</v>
      </c>
      <c r="L80" s="2">
        <v>31761.994617316082</v>
      </c>
      <c r="M80" s="2">
        <v>21532.270817931505</v>
      </c>
      <c r="N80" s="2">
        <v>51765.796486203464</v>
      </c>
      <c r="O80" s="2">
        <v>24895.185605510218</v>
      </c>
      <c r="P80" s="2">
        <v>61078.51572148464</v>
      </c>
      <c r="Q80" s="2">
        <v>54905.885064597467</v>
      </c>
      <c r="R80" s="2">
        <v>24614.114854004649</v>
      </c>
      <c r="S80" s="2">
        <v>26870.894012855748</v>
      </c>
      <c r="T80" s="2">
        <v>272736.90705271525</v>
      </c>
      <c r="U80" s="2">
        <v>36853.831127684614</v>
      </c>
      <c r="V80" s="2">
        <v>36456.619611725488</v>
      </c>
      <c r="W80" s="2">
        <v>15327.402968099119</v>
      </c>
      <c r="X80" s="2">
        <v>400589.19433234847</v>
      </c>
      <c r="Y80" s="2">
        <v>72534.087117501782</v>
      </c>
      <c r="Z80" s="2">
        <v>23199.860603547793</v>
      </c>
      <c r="AA80" s="2">
        <v>388472.31354125345</v>
      </c>
    </row>
    <row r="81" spans="1:27" x14ac:dyDescent="0.2">
      <c r="A81" s="1">
        <v>2050</v>
      </c>
      <c r="B81" s="2">
        <v>37724.620914494182</v>
      </c>
      <c r="C81" s="2">
        <v>64667.042959592538</v>
      </c>
      <c r="D81" s="2">
        <v>8809.9211298374776</v>
      </c>
      <c r="E81" s="2">
        <v>109016.4444234775</v>
      </c>
      <c r="F81" s="2">
        <v>155897.71004823493</v>
      </c>
      <c r="G81" s="2">
        <v>554440.74558298977</v>
      </c>
      <c r="H81" s="2">
        <v>14075.326502880393</v>
      </c>
      <c r="I81" s="2">
        <v>198455.71306185026</v>
      </c>
      <c r="J81" s="2">
        <v>14177.326422698929</v>
      </c>
      <c r="K81" s="2">
        <v>80629.371215934676</v>
      </c>
      <c r="L81" s="2">
        <v>32348.621476279513</v>
      </c>
      <c r="M81" s="2">
        <v>21429.945769178055</v>
      </c>
      <c r="N81" s="2">
        <v>52721.882744649156</v>
      </c>
      <c r="O81" s="2">
        <v>24966.623105451305</v>
      </c>
      <c r="P81" s="2">
        <v>60788.260125507994</v>
      </c>
      <c r="Q81" s="2">
        <v>54644.962869553943</v>
      </c>
      <c r="R81" s="2">
        <v>25068.724240377942</v>
      </c>
      <c r="S81" s="2">
        <v>26948.000868770712</v>
      </c>
      <c r="T81" s="2">
        <v>272785.34027644515</v>
      </c>
      <c r="U81" s="2">
        <v>36959.584328352859</v>
      </c>
      <c r="V81" s="2">
        <v>37129.953654783087</v>
      </c>
      <c r="W81" s="2">
        <v>15318.770701036214</v>
      </c>
      <c r="X81" s="2">
        <v>398685.5256860287</v>
      </c>
      <c r="Y81" s="2">
        <v>72493.236517275145</v>
      </c>
      <c r="Z81" s="2">
        <v>23266.433316310871</v>
      </c>
      <c r="AA81" s="2">
        <v>388253.52913504891</v>
      </c>
    </row>
    <row r="82" spans="1:27" x14ac:dyDescent="0.2">
      <c r="A82" s="1">
        <v>2051</v>
      </c>
      <c r="B82" s="2">
        <v>37545.347037302075</v>
      </c>
      <c r="C82" s="2">
        <v>64359.734065907658</v>
      </c>
      <c r="D82" s="2">
        <v>8768.0548716640042</v>
      </c>
      <c r="E82" s="2">
        <v>111029.91917964538</v>
      </c>
      <c r="F82" s="2">
        <v>155809.90974244062</v>
      </c>
      <c r="G82" s="2">
        <v>564680.9662297552</v>
      </c>
      <c r="H82" s="2">
        <v>14115.716084711739</v>
      </c>
      <c r="I82" s="2">
        <v>202121.08272768831</v>
      </c>
      <c r="J82" s="2">
        <v>14439.173972515997</v>
      </c>
      <c r="K82" s="2">
        <v>82118.55208591737</v>
      </c>
      <c r="L82" s="2">
        <v>32946.083015992801</v>
      </c>
      <c r="M82" s="2">
        <v>21328.106986628987</v>
      </c>
      <c r="N82" s="2">
        <v>53695.627399094454</v>
      </c>
      <c r="O82" s="2">
        <v>25038.26559749322</v>
      </c>
      <c r="P82" s="2">
        <v>60499.383873970233</v>
      </c>
      <c r="Q82" s="2">
        <v>54385.280621590522</v>
      </c>
      <c r="R82" s="2">
        <v>25531.730016197071</v>
      </c>
      <c r="S82" s="2">
        <v>27025.32898517765</v>
      </c>
      <c r="T82" s="2">
        <v>272833.78210105415</v>
      </c>
      <c r="U82" s="2">
        <v>37065.640991079446</v>
      </c>
      <c r="V82" s="2">
        <v>37815.7238133766</v>
      </c>
      <c r="W82" s="2">
        <v>15310.143295594993</v>
      </c>
      <c r="X82" s="2">
        <v>396790.90360004117</v>
      </c>
      <c r="Y82" s="2">
        <v>72452.408923769966</v>
      </c>
      <c r="Z82" s="2">
        <v>23333.197061518513</v>
      </c>
      <c r="AA82" s="2">
        <v>388034.86794641928</v>
      </c>
    </row>
    <row r="83" spans="1:27" x14ac:dyDescent="0.2">
      <c r="A83" s="1">
        <v>2052</v>
      </c>
      <c r="B83" s="2">
        <v>37366.925100361834</v>
      </c>
      <c r="C83" s="2">
        <v>64053.885556861009</v>
      </c>
      <c r="D83" s="2">
        <v>8726.3875691392386</v>
      </c>
      <c r="E83" s="2">
        <v>113080.58172537258</v>
      </c>
      <c r="F83" s="2">
        <v>155722.15888505511</v>
      </c>
      <c r="G83" s="2">
        <v>575110.31821242953</v>
      </c>
      <c r="H83" s="2">
        <v>14156.221565689026</v>
      </c>
      <c r="I83" s="2">
        <v>205854.14978847641</v>
      </c>
      <c r="J83" s="2">
        <v>14705.857704932023</v>
      </c>
      <c r="K83" s="2">
        <v>83635.237320997781</v>
      </c>
      <c r="L83" s="2">
        <v>33554.579347148385</v>
      </c>
      <c r="M83" s="2">
        <v>21226.752159463791</v>
      </c>
      <c r="N83" s="2">
        <v>54687.356590561183</v>
      </c>
      <c r="O83" s="2">
        <v>25110.1136698671</v>
      </c>
      <c r="P83" s="2">
        <v>60211.880411989703</v>
      </c>
      <c r="Q83" s="2">
        <v>54126.832428265741</v>
      </c>
      <c r="R83" s="2">
        <v>26003.287258233078</v>
      </c>
      <c r="S83" s="2">
        <v>27102.878996990341</v>
      </c>
      <c r="T83" s="2">
        <v>272882.23252806964</v>
      </c>
      <c r="U83" s="2">
        <v>37172.00198665807</v>
      </c>
      <c r="V83" s="2">
        <v>38514.159775832675</v>
      </c>
      <c r="W83" s="2">
        <v>15301.520749037432</v>
      </c>
      <c r="X83" s="2">
        <v>394905.28508357762</v>
      </c>
      <c r="Y83" s="2">
        <v>72411.60432402906</v>
      </c>
      <c r="Z83" s="2">
        <v>23400.152387344187</v>
      </c>
      <c r="AA83" s="2">
        <v>387816.3299059695</v>
      </c>
    </row>
    <row r="84" spans="1:27" x14ac:dyDescent="0.2">
      <c r="A84" s="1">
        <v>2053</v>
      </c>
      <c r="B84" s="2">
        <v>37189.351055107079</v>
      </c>
      <c r="C84" s="2">
        <v>63749.490492453988</v>
      </c>
      <c r="D84" s="2">
        <v>8684.91827679177</v>
      </c>
      <c r="E84" s="2">
        <v>115169.11889901556</v>
      </c>
      <c r="F84" s="2">
        <v>155634.45744822946</v>
      </c>
      <c r="G84" s="2">
        <v>585732.29468447657</v>
      </c>
      <c r="H84" s="2">
        <v>14196.843278388411</v>
      </c>
      <c r="I84" s="2">
        <v>209656.16457847849</v>
      </c>
      <c r="J84" s="2">
        <v>14977.466941623483</v>
      </c>
      <c r="K84" s="2">
        <v>85179.934911920805</v>
      </c>
      <c r="L84" s="2">
        <v>34174.314276374949</v>
      </c>
      <c r="M84" s="2">
        <v>21125.878987843371</v>
      </c>
      <c r="N84" s="2">
        <v>55697.402483719416</v>
      </c>
      <c r="O84" s="2">
        <v>25182.167912492019</v>
      </c>
      <c r="P84" s="2">
        <v>59925.743215834671</v>
      </c>
      <c r="Q84" s="2">
        <v>53869.612425140025</v>
      </c>
      <c r="R84" s="2">
        <v>26483.553907441084</v>
      </c>
      <c r="S84" s="2">
        <v>27180.651540944473</v>
      </c>
      <c r="T84" s="2">
        <v>272930.69155901921</v>
      </c>
      <c r="U84" s="2">
        <v>37278.668188381191</v>
      </c>
      <c r="V84" s="2">
        <v>39225.495472697097</v>
      </c>
      <c r="W84" s="2">
        <v>15292.903058627047</v>
      </c>
      <c r="X84" s="2">
        <v>393028.62735012942</v>
      </c>
      <c r="Y84" s="2">
        <v>72370.822705102517</v>
      </c>
      <c r="Z84" s="2">
        <v>23467.299843534365</v>
      </c>
      <c r="AA84" s="2">
        <v>387597.91494434344</v>
      </c>
    </row>
    <row r="85" spans="1:27" x14ac:dyDescent="0.2">
      <c r="A85" s="1">
        <v>2054</v>
      </c>
      <c r="B85" s="2">
        <v>37012.620872210908</v>
      </c>
      <c r="C85" s="2">
        <v>63446.541965668061</v>
      </c>
      <c r="D85" s="2">
        <v>8643.6460536432314</v>
      </c>
      <c r="E85" s="2">
        <v>117296.2302244637</v>
      </c>
      <c r="F85" s="2">
        <v>155546.80540413043</v>
      </c>
      <c r="G85" s="2">
        <v>596550.45331601507</v>
      </c>
      <c r="H85" s="2">
        <v>14237.581556340394</v>
      </c>
      <c r="I85" s="2">
        <v>213528.40052495591</v>
      </c>
      <c r="J85" s="2">
        <v>15254.092653989896</v>
      </c>
      <c r="K85" s="2">
        <v>86753.162231745606</v>
      </c>
      <c r="L85" s="2">
        <v>34805.495374499355</v>
      </c>
      <c r="M85" s="2">
        <v>21025.485182857861</v>
      </c>
      <c r="N85" s="2">
        <v>56726.103378140993</v>
      </c>
      <c r="O85" s="2">
        <v>25254.428916979847</v>
      </c>
      <c r="P85" s="2">
        <v>59640.9657927753</v>
      </c>
      <c r="Q85" s="2">
        <v>53613.614775642622</v>
      </c>
      <c r="R85" s="2">
        <v>26972.690821860211</v>
      </c>
      <c r="S85" s="2">
        <v>27258.64725560286</v>
      </c>
      <c r="T85" s="2">
        <v>272979.15919543075</v>
      </c>
      <c r="U85" s="2">
        <v>37385.640472047227</v>
      </c>
      <c r="V85" s="2">
        <v>39949.969155086284</v>
      </c>
      <c r="W85" s="2">
        <v>15284.290221628897</v>
      </c>
      <c r="X85" s="2">
        <v>391160.8878165168</v>
      </c>
      <c r="Y85" s="2">
        <v>72330.064054047747</v>
      </c>
      <c r="Z85" s="2">
        <v>23534.639981413027</v>
      </c>
      <c r="AA85" s="2">
        <v>387379.62299222418</v>
      </c>
    </row>
    <row r="86" spans="1:27" x14ac:dyDescent="0.2">
      <c r="A86" s="1">
        <v>2055</v>
      </c>
      <c r="B86" s="2">
        <v>36836.730541494464</v>
      </c>
      <c r="C86" s="2">
        <v>63145.033102308036</v>
      </c>
      <c r="D86" s="2">
        <v>8602.5699631869447</v>
      </c>
      <c r="E86" s="2">
        <v>119462.62814543417</v>
      </c>
      <c r="F86" s="2">
        <v>155459.20272494043</v>
      </c>
      <c r="G86" s="2">
        <v>607568.41748540627</v>
      </c>
      <c r="H86" s="2">
        <v>14278.436734032548</v>
      </c>
      <c r="I86" s="2">
        <v>217472.1545746827</v>
      </c>
      <c r="J86" s="2">
        <v>15535.827493623321</v>
      </c>
      <c r="K86" s="2">
        <v>88355.446209131856</v>
      </c>
      <c r="L86" s="2">
        <v>35448.334046069351</v>
      </c>
      <c r="M86" s="2">
        <v>20925.568466474691</v>
      </c>
      <c r="N86" s="2">
        <v>57773.803821607842</v>
      </c>
      <c r="O86" s="2">
        <v>25326.897276640102</v>
      </c>
      <c r="P86" s="2">
        <v>59357.541680936323</v>
      </c>
      <c r="Q86" s="2">
        <v>53358.833670939173</v>
      </c>
      <c r="R86" s="2">
        <v>27470.861830490547</v>
      </c>
      <c r="S86" s="2">
        <v>27336.866781360692</v>
      </c>
      <c r="T86" s="2">
        <v>273027.63543883245</v>
      </c>
      <c r="U86" s="2">
        <v>37492.919715967713</v>
      </c>
      <c r="V86" s="2">
        <v>40687.823474485907</v>
      </c>
      <c r="W86" s="2">
        <v>15275.682235309579</v>
      </c>
      <c r="X86" s="2">
        <v>389302.02410192264</v>
      </c>
      <c r="Y86" s="2">
        <v>72289.328357929422</v>
      </c>
      <c r="Z86" s="2">
        <v>23602.173353886199</v>
      </c>
      <c r="AA86" s="2">
        <v>387161.45398033375</v>
      </c>
    </row>
    <row r="87" spans="1:27" x14ac:dyDescent="0.2">
      <c r="A87" s="1">
        <v>2056</v>
      </c>
      <c r="B87" s="2">
        <v>36661.676071835966</v>
      </c>
      <c r="C87" s="2">
        <v>62844.957060846071</v>
      </c>
      <c r="D87" s="2">
        <v>8561.6890733666751</v>
      </c>
      <c r="E87" s="2">
        <v>121669.03826409423</v>
      </c>
      <c r="F87" s="2">
        <v>155371.64938285755</v>
      </c>
      <c r="G87" s="2">
        <v>618789.87749284972</v>
      </c>
      <c r="H87" s="2">
        <v>14319.40914691227</v>
      </c>
      <c r="I87" s="2">
        <v>221488.74762833823</v>
      </c>
      <c r="J87" s="2">
        <v>15822.765823340604</v>
      </c>
      <c r="K87" s="2">
        <v>89987.323504826563</v>
      </c>
      <c r="L87" s="2">
        <v>36103.045600160323</v>
      </c>
      <c r="M87" s="2">
        <v>20826.12657148689</v>
      </c>
      <c r="N87" s="2">
        <v>58840.854725513047</v>
      </c>
      <c r="O87" s="2">
        <v>25399.573586484825</v>
      </c>
      <c r="P87" s="2">
        <v>59075.464449150408</v>
      </c>
      <c r="Q87" s="2">
        <v>53105.263329799898</v>
      </c>
      <c r="R87" s="2">
        <v>27978.233788165187</v>
      </c>
      <c r="S87" s="2">
        <v>27415.310760450797</v>
      </c>
      <c r="T87" s="2">
        <v>273076.12029075279</v>
      </c>
      <c r="U87" s="2">
        <v>37600.506800974537</v>
      </c>
      <c r="V87" s="2">
        <v>41439.305564023307</v>
      </c>
      <c r="W87" s="2">
        <v>15267.079096937232</v>
      </c>
      <c r="X87" s="2">
        <v>387451.99402693065</v>
      </c>
      <c r="Y87" s="2">
        <v>72248.615603819504</v>
      </c>
      <c r="Z87" s="2">
        <v>23669.900515446487</v>
      </c>
      <c r="AA87" s="2">
        <v>386943.40783943323</v>
      </c>
    </row>
    <row r="88" spans="1:27" x14ac:dyDescent="0.2">
      <c r="A88" s="1">
        <v>2057</v>
      </c>
      <c r="B88" s="2">
        <v>36487.453491080123</v>
      </c>
      <c r="C88" s="2">
        <v>62546.307032266443</v>
      </c>
      <c r="D88" s="2">
        <v>8521.0024565554759</v>
      </c>
      <c r="E88" s="2">
        <v>123916.19958409065</v>
      </c>
      <c r="F88" s="2">
        <v>155284.14535009555</v>
      </c>
      <c r="G88" s="2">
        <v>630218.59179639339</v>
      </c>
      <c r="H88" s="2">
        <v>14360.499131389532</v>
      </c>
      <c r="I88" s="2">
        <v>225579.52498292289</v>
      </c>
      <c r="J88" s="2">
        <v>16115.003748788769</v>
      </c>
      <c r="K88" s="2">
        <v>91649.340691410398</v>
      </c>
      <c r="L88" s="2">
        <v>36769.849322489812</v>
      </c>
      <c r="M88" s="2">
        <v>20727.157241461638</v>
      </c>
      <c r="N88" s="2">
        <v>59927.613482393288</v>
      </c>
      <c r="O88" s="2">
        <v>25472.458443233452</v>
      </c>
      <c r="P88" s="2">
        <v>58794.727696812239</v>
      </c>
      <c r="Q88" s="2">
        <v>52852.897998468412</v>
      </c>
      <c r="R88" s="2">
        <v>28494.97663143574</v>
      </c>
      <c r="S88" s="2">
        <v>27493.979836948911</v>
      </c>
      <c r="T88" s="2">
        <v>273124.61375272047</v>
      </c>
      <c r="U88" s="2">
        <v>37708.402610427147</v>
      </c>
      <c r="V88" s="2">
        <v>42204.667121240993</v>
      </c>
      <c r="W88" s="2">
        <v>15258.480803781531</v>
      </c>
      <c r="X88" s="2">
        <v>385610.75561256841</v>
      </c>
      <c r="Y88" s="2">
        <v>72207.92577879726</v>
      </c>
      <c r="Z88" s="2">
        <v>23737.822022177632</v>
      </c>
      <c r="AA88" s="2">
        <v>386725.48450032272</v>
      </c>
    </row>
    <row r="89" spans="1:27" x14ac:dyDescent="0.2">
      <c r="A89" s="1">
        <v>2058</v>
      </c>
      <c r="B89" s="2">
        <v>36314.058845947999</v>
      </c>
      <c r="C89" s="2">
        <v>62249.076239911039</v>
      </c>
      <c r="D89" s="2">
        <v>8480.5091895346468</v>
      </c>
      <c r="E89" s="2">
        <v>126204.86475806779</v>
      </c>
      <c r="F89" s="2">
        <v>155196.69059888381</v>
      </c>
      <c r="G89" s="2">
        <v>641858.3882707723</v>
      </c>
      <c r="H89" s="2">
        <v>14401.707024839643</v>
      </c>
      <c r="I89" s="2">
        <v>229745.8567823449</v>
      </c>
      <c r="J89" s="2">
        <v>16412.639150634157</v>
      </c>
      <c r="K89" s="2">
        <v>93342.054436363949</v>
      </c>
      <c r="L89" s="2">
        <v>37448.968548863937</v>
      </c>
      <c r="M89" s="2">
        <v>20628.658230689085</v>
      </c>
      <c r="N89" s="2">
        <v>61034.444085632073</v>
      </c>
      <c r="O89" s="2">
        <v>25545.552445317739</v>
      </c>
      <c r="P89" s="2">
        <v>58515.325053733271</v>
      </c>
      <c r="Q89" s="2">
        <v>52601.731950531161</v>
      </c>
      <c r="R89" s="2">
        <v>29021.263435489989</v>
      </c>
      <c r="S89" s="2">
        <v>27572.874656778957</v>
      </c>
      <c r="T89" s="2">
        <v>273173.11582626449</v>
      </c>
      <c r="U89" s="2">
        <v>37816.608030219824</v>
      </c>
      <c r="V89" s="2">
        <v>42984.164492398944</v>
      </c>
      <c r="W89" s="2">
        <v>15249.887353113691</v>
      </c>
      <c r="X89" s="2">
        <v>383778.26707935473</v>
      </c>
      <c r="Y89" s="2">
        <v>72167.258869949204</v>
      </c>
      <c r="Z89" s="2">
        <v>23805.93843175907</v>
      </c>
      <c r="AA89" s="2">
        <v>386507.68389384123</v>
      </c>
    </row>
    <row r="90" spans="1:27" x14ac:dyDescent="0.2">
      <c r="A90" s="1">
        <v>2059</v>
      </c>
      <c r="B90" s="2">
        <v>36141.48820194733</v>
      </c>
      <c r="C90" s="2">
        <v>61953.257939325587</v>
      </c>
      <c r="D90" s="2">
        <v>8440.208353472779</v>
      </c>
      <c r="E90" s="2">
        <v>128535.80033975722</v>
      </c>
      <c r="F90" s="2">
        <v>155109.28510146739</v>
      </c>
      <c r="G90" s="2">
        <v>653713.16548949701</v>
      </c>
      <c r="H90" s="2">
        <v>14443.033165606026</v>
      </c>
      <c r="I90" s="2">
        <v>233989.13847632933</v>
      </c>
      <c r="J90" s="2">
        <v>16715.771717346062</v>
      </c>
      <c r="K90" s="2">
        <v>95066.031688515024</v>
      </c>
      <c r="L90" s="2">
        <v>38140.630739980348</v>
      </c>
      <c r="M90" s="2">
        <v>20530.627304131369</v>
      </c>
      <c r="N90" s="2">
        <v>62161.717251373797</v>
      </c>
      <c r="O90" s="2">
        <v>25618.856192886647</v>
      </c>
      <c r="P90" s="2">
        <v>58237.250179997194</v>
      </c>
      <c r="Q90" s="2">
        <v>52351.759486787501</v>
      </c>
      <c r="R90" s="2">
        <v>29557.270472120814</v>
      </c>
      <c r="S90" s="2">
        <v>27651.995867718364</v>
      </c>
      <c r="T90" s="2">
        <v>273221.62651291408</v>
      </c>
      <c r="U90" s="2">
        <v>37925.123948788954</v>
      </c>
      <c r="V90" s="2">
        <v>43778.058758333878</v>
      </c>
      <c r="W90" s="2">
        <v>15241.298742206462</v>
      </c>
      <c r="X90" s="2">
        <v>381954.48684635176</v>
      </c>
      <c r="Y90" s="2">
        <v>72126.614864369141</v>
      </c>
      <c r="Z90" s="2">
        <v>23874.250303470519</v>
      </c>
      <c r="AA90" s="2">
        <v>386290.00595086673</v>
      </c>
    </row>
    <row r="91" spans="1:27" x14ac:dyDescent="0.2">
      <c r="A91" s="1">
        <v>2060</v>
      </c>
      <c r="B91" s="2">
        <v>35969.737643283224</v>
      </c>
      <c r="C91" s="2">
        <v>61658.845418106634</v>
      </c>
      <c r="D91" s="2">
        <v>8400.0990339049076</v>
      </c>
      <c r="E91" s="2">
        <v>130909.78704072324</v>
      </c>
      <c r="F91" s="2">
        <v>155021.92883010695</v>
      </c>
      <c r="G91" s="2">
        <v>665786.89403062197</v>
      </c>
      <c r="H91" s="2">
        <v>14484.477893002986</v>
      </c>
      <c r="I91" s="2">
        <v>238310.79128780277</v>
      </c>
      <c r="J91" s="2">
        <v>17024.502978585886</v>
      </c>
      <c r="K91" s="2">
        <v>96821.849867929603</v>
      </c>
      <c r="L91" s="2">
        <v>38845.067557612725</v>
      </c>
      <c r="M91" s="2">
        <v>20433.062237371912</v>
      </c>
      <c r="N91" s="2">
        <v>63309.810542689513</v>
      </c>
      <c r="O91" s="2">
        <v>25692.370287811289</v>
      </c>
      <c r="P91" s="2">
        <v>57960.496765816075</v>
      </c>
      <c r="Q91" s="2">
        <v>52102.974935120365</v>
      </c>
      <c r="R91" s="2">
        <v>30103.177268765754</v>
      </c>
      <c r="S91" s="2">
        <v>27731.344119403373</v>
      </c>
      <c r="T91" s="2">
        <v>273270.14581419883</v>
      </c>
      <c r="U91" s="2">
        <v>38033.951257120316</v>
      </c>
      <c r="V91" s="2">
        <v>44586.615821904343</v>
      </c>
      <c r="W91" s="2">
        <v>15232.71496833413</v>
      </c>
      <c r="X91" s="2">
        <v>380139.3735302214</v>
      </c>
      <c r="Y91" s="2">
        <v>72085.993749158137</v>
      </c>
      <c r="Z91" s="2">
        <v>23942.758198196563</v>
      </c>
      <c r="AA91" s="2">
        <v>386072.45060231618</v>
      </c>
    </row>
    <row r="92" spans="1:27" x14ac:dyDescent="0.2">
      <c r="A92" s="1">
        <v>2061</v>
      </c>
      <c r="B92" s="2">
        <v>35798.803272769335</v>
      </c>
      <c r="C92" s="2">
        <v>61365.831995749199</v>
      </c>
      <c r="D92" s="2">
        <v>8360.1803207117628</v>
      </c>
      <c r="E92" s="2">
        <v>133327.61999185043</v>
      </c>
      <c r="F92" s="2">
        <v>154934.62175707877</v>
      </c>
      <c r="G92" s="2">
        <v>678083.61780663044</v>
      </c>
      <c r="H92" s="2">
        <v>14526.041547318504</v>
      </c>
      <c r="I92" s="2">
        <v>242712.26268891047</v>
      </c>
      <c r="J92" s="2">
        <v>17338.936339212949</v>
      </c>
      <c r="K92" s="2">
        <v>98610.097059309934</v>
      </c>
      <c r="L92" s="2">
        <v>39562.514942202397</v>
      </c>
      <c r="M92" s="2">
        <v>20335.960816564955</v>
      </c>
      <c r="N92" s="2">
        <v>64479.108496035937</v>
      </c>
      <c r="O92" s="2">
        <v>25766.095333689864</v>
      </c>
      <c r="P92" s="2">
        <v>57685.058531387156</v>
      </c>
      <c r="Q92" s="2">
        <v>51855.372650367557</v>
      </c>
      <c r="R92" s="2">
        <v>30659.166668637004</v>
      </c>
      <c r="S92" s="2">
        <v>27810.920063334383</v>
      </c>
      <c r="T92" s="2">
        <v>273318.67373164848</v>
      </c>
      <c r="U92" s="2">
        <v>38143.090848756401</v>
      </c>
      <c r="V92" s="2">
        <v>45410.106497050838</v>
      </c>
      <c r="W92" s="2">
        <v>15224.136028772518</v>
      </c>
      <c r="X92" s="2">
        <v>378332.8859442863</v>
      </c>
      <c r="Y92" s="2">
        <v>72045.395511424533</v>
      </c>
      <c r="Z92" s="2">
        <v>24011.462678431271</v>
      </c>
      <c r="AA92" s="2">
        <v>385855.01777914539</v>
      </c>
    </row>
    <row r="93" spans="1:27" x14ac:dyDescent="0.2">
      <c r="A93" s="1">
        <v>2062</v>
      </c>
      <c r="B93" s="2">
        <v>35628.6812117394</v>
      </c>
      <c r="C93" s="2">
        <v>61074.211023495227</v>
      </c>
      <c r="D93" s="2">
        <v>8320.4513080991183</v>
      </c>
      <c r="E93" s="2">
        <v>135790.10900966069</v>
      </c>
      <c r="F93" s="2">
        <v>154847.36385467477</v>
      </c>
      <c r="G93" s="2">
        <v>690607.45541888161</v>
      </c>
      <c r="H93" s="2">
        <v>14567.724469817025</v>
      </c>
      <c r="I93" s="2">
        <v>247195.02688582521</v>
      </c>
      <c r="J93" s="2">
        <v>17659.177113918391</v>
      </c>
      <c r="K93" s="2">
        <v>100431.37220896457</v>
      </c>
      <c r="L93" s="2">
        <v>40293.213191883013</v>
      </c>
      <c r="M93" s="2">
        <v>20239.320838385302</v>
      </c>
      <c r="N93" s="2">
        <v>65670.002750050146</v>
      </c>
      <c r="O93" s="2">
        <v>25840.031935852618</v>
      </c>
      <c r="P93" s="2">
        <v>57410.929226750399</v>
      </c>
      <c r="Q93" s="2">
        <v>51608.947014193669</v>
      </c>
      <c r="R93" s="2">
        <v>31225.424891961982</v>
      </c>
      <c r="S93" s="2">
        <v>27890.724352881287</v>
      </c>
      <c r="T93" s="2">
        <v>273367.21026679315</v>
      </c>
      <c r="U93" s="2">
        <v>38252.543619803742</v>
      </c>
      <c r="V93" s="2">
        <v>46248.806599500858</v>
      </c>
      <c r="W93" s="2">
        <v>15215.561920798982</v>
      </c>
      <c r="X93" s="2">
        <v>376534.98309759522</v>
      </c>
      <c r="Y93" s="2">
        <v>72004.820138283918</v>
      </c>
      <c r="Z93" s="2">
        <v>24080.364308282795</v>
      </c>
      <c r="AA93" s="2">
        <v>385637.70741234912</v>
      </c>
    </row>
    <row r="94" spans="1:27" x14ac:dyDescent="0.2">
      <c r="A94" s="1">
        <v>2063</v>
      </c>
      <c r="B94" s="2">
        <v>35459.367599959245</v>
      </c>
      <c r="C94" s="2">
        <v>60783.975884182692</v>
      </c>
      <c r="D94" s="2">
        <v>8280.9110945772391</v>
      </c>
      <c r="E94" s="2">
        <v>138298.07886754899</v>
      </c>
      <c r="F94" s="2">
        <v>154760.15509520244</v>
      </c>
      <c r="G94" s="2">
        <v>703362.60153707396</v>
      </c>
      <c r="H94" s="2">
        <v>14609.527002742267</v>
      </c>
      <c r="I94" s="2">
        <v>251760.58531251026</v>
      </c>
      <c r="J94" s="2">
        <v>17985.332562498726</v>
      </c>
      <c r="K94" s="2">
        <v>102286.28532541641</v>
      </c>
      <c r="L94" s="2">
        <v>41037.407042964762</v>
      </c>
      <c r="M94" s="2">
        <v>20143.140109978347</v>
      </c>
      <c r="N94" s="2">
        <v>66882.892176722977</v>
      </c>
      <c r="O94" s="2">
        <v>25914.180701366804</v>
      </c>
      <c r="P94" s="2">
        <v>57138.102631646645</v>
      </c>
      <c r="Q94" s="2">
        <v>51363.692434962584</v>
      </c>
      <c r="R94" s="2">
        <v>31802.141598354967</v>
      </c>
      <c r="S94" s="2">
        <v>27970.757643288845</v>
      </c>
      <c r="T94" s="2">
        <v>273415.75542116317</v>
      </c>
      <c r="U94" s="2">
        <v>38362.310468940283</v>
      </c>
      <c r="V94" s="2">
        <v>47102.997039149166</v>
      </c>
      <c r="W94" s="2">
        <v>15206.992641692412</v>
      </c>
      <c r="X94" s="2">
        <v>374745.62419399293</v>
      </c>
      <c r="Y94" s="2">
        <v>71964.267616859128</v>
      </c>
      <c r="Z94" s="2">
        <v>24149.463653478018</v>
      </c>
      <c r="AA94" s="2">
        <v>385420.51943296089</v>
      </c>
    </row>
    <row r="95" spans="1:27" x14ac:dyDescent="0.2">
      <c r="A95" s="1">
        <v>2064</v>
      </c>
      <c r="B95" s="2">
        <v>35290.858595539205</v>
      </c>
      <c r="C95" s="2">
        <v>60495.119992095453</v>
      </c>
      <c r="D95" s="2">
        <v>8241.5587829404212</v>
      </c>
      <c r="E95" s="2">
        <v>140852.36957202878</v>
      </c>
      <c r="F95" s="2">
        <v>154672.99545098489</v>
      </c>
      <c r="G95" s="2">
        <v>716353.32830418611</v>
      </c>
      <c r="H95" s="2">
        <v>14651.449489320021</v>
      </c>
      <c r="I95" s="2">
        <v>256410.46713360204</v>
      </c>
      <c r="J95" s="2">
        <v>18317.511925780884</v>
      </c>
      <c r="K95" s="2">
        <v>104175.45768371577</v>
      </c>
      <c r="L95" s="2">
        <v>41795.345751905093</v>
      </c>
      <c r="M95" s="2">
        <v>20047.416448910299</v>
      </c>
      <c r="N95" s="2">
        <v>68118.183014995157</v>
      </c>
      <c r="O95" s="2">
        <v>25988.542239041682</v>
      </c>
      <c r="P95" s="2">
        <v>56866.572555376479</v>
      </c>
      <c r="Q95" s="2">
        <v>51119.603347610595</v>
      </c>
      <c r="R95" s="2">
        <v>32389.509950340718</v>
      </c>
      <c r="S95" s="2">
        <v>28051.020591682063</v>
      </c>
      <c r="T95" s="2">
        <v>273464.30919628916</v>
      </c>
      <c r="U95" s="2">
        <v>38472.392297422746</v>
      </c>
      <c r="V95" s="2">
        <v>47972.96391414434</v>
      </c>
      <c r="W95" s="2">
        <v>15198.428188733229</v>
      </c>
      <c r="X95" s="2">
        <v>372964.76863119466</v>
      </c>
      <c r="Y95" s="2">
        <v>71923.737934280274</v>
      </c>
      <c r="Z95" s="2">
        <v>24218.761281367195</v>
      </c>
      <c r="AA95" s="2">
        <v>385203.45377205318</v>
      </c>
    </row>
    <row r="96" spans="1:27" x14ac:dyDescent="0.2">
      <c r="A96" s="1">
        <v>2065</v>
      </c>
      <c r="B96" s="2">
        <v>35123.150374846919</v>
      </c>
      <c r="C96" s="2">
        <v>60207.636792813842</v>
      </c>
      <c r="D96" s="2">
        <v>8202.3934802466374</v>
      </c>
      <c r="E96" s="2">
        <v>143453.83664407936</v>
      </c>
      <c r="F96" s="2">
        <v>154585.88489436082</v>
      </c>
      <c r="G96" s="2">
        <v>729583.98676736653</v>
      </c>
      <c r="H96" s="2">
        <v>14693.49227376098</v>
      </c>
      <c r="I96" s="2">
        <v>261146.22975658058</v>
      </c>
      <c r="J96" s="2">
        <v>18655.826462210778</v>
      </c>
      <c r="K96" s="2">
        <v>106099.52203352706</v>
      </c>
      <c r="L96" s="2">
        <v>42567.283178793383</v>
      </c>
      <c r="M96" s="2">
        <v>19952.14768311867</v>
      </c>
      <c r="N96" s="2">
        <v>69376.289006820909</v>
      </c>
      <c r="O96" s="2">
        <v>26063.117159433503</v>
      </c>
      <c r="P96" s="2">
        <v>56596.332836659734</v>
      </c>
      <c r="Q96" s="2">
        <v>50876.674213520142</v>
      </c>
      <c r="R96" s="2">
        <v>32987.726678051338</v>
      </c>
      <c r="S96" s="2">
        <v>28131.513857071583</v>
      </c>
      <c r="T96" s="2">
        <v>273512.87159370206</v>
      </c>
      <c r="U96" s="2">
        <v>38582.790009094046</v>
      </c>
      <c r="V96" s="2">
        <v>48858.998606712987</v>
      </c>
      <c r="W96" s="2">
        <v>15189.868559203385</v>
      </c>
      <c r="X96" s="2">
        <v>371192.37599986454</v>
      </c>
      <c r="Y96" s="2">
        <v>71883.231077684715</v>
      </c>
      <c r="Z96" s="2">
        <v>24288.257760928605</v>
      </c>
      <c r="AA96" s="2">
        <v>384986.51036073721</v>
      </c>
    </row>
    <row r="97" spans="1:27" x14ac:dyDescent="0.2">
      <c r="A97" s="1">
        <v>2066</v>
      </c>
      <c r="B97" s="2">
        <v>34956.239132420596</v>
      </c>
      <c r="C97" s="2">
        <v>59921.51976306591</v>
      </c>
      <c r="D97" s="2">
        <v>8163.414297797276</v>
      </c>
      <c r="E97" s="2">
        <v>146103.35140568978</v>
      </c>
      <c r="F97" s="2">
        <v>154498.82339768449</v>
      </c>
      <c r="G97" s="2">
        <v>743059.00833525078</v>
      </c>
      <c r="H97" s="2">
        <v>14735.655701263559</v>
      </c>
      <c r="I97" s="2">
        <v>265969.45935339964</v>
      </c>
      <c r="J97" s="2">
        <v>19000.38948511763</v>
      </c>
      <c r="K97" s="2">
        <v>108059.12281105873</v>
      </c>
      <c r="L97" s="2">
        <v>43353.477872377538</v>
      </c>
      <c r="M97" s="2">
        <v>19857.331650862983</v>
      </c>
      <c r="N97" s="2">
        <v>70657.631535744542</v>
      </c>
      <c r="O97" s="2">
        <v>26137.906074850525</v>
      </c>
      <c r="P97" s="2">
        <v>56327.377343495726</v>
      </c>
      <c r="Q97" s="2">
        <v>50634.899520394116</v>
      </c>
      <c r="R97" s="2">
        <v>33596.992145118049</v>
      </c>
      <c r="S97" s="2">
        <v>28212.238100359107</v>
      </c>
      <c r="T97" s="2">
        <v>273561.44261493295</v>
      </c>
      <c r="U97" s="2">
        <v>38693.504510390696</v>
      </c>
      <c r="V97" s="2">
        <v>49761.397880753815</v>
      </c>
      <c r="W97" s="2">
        <v>15181.313750386367</v>
      </c>
      <c r="X97" s="2">
        <v>369428.4060826989</v>
      </c>
      <c r="Y97" s="2">
        <v>71842.747034217042</v>
      </c>
      <c r="Z97" s="2">
        <v>24357.953662773234</v>
      </c>
      <c r="AA97" s="2">
        <v>384769.68913016299</v>
      </c>
    </row>
    <row r="98" spans="1:27" x14ac:dyDescent="0.2">
      <c r="A98" s="1">
        <v>2067</v>
      </c>
      <c r="B98" s="2">
        <v>34790.121080882651</v>
      </c>
      <c r="C98" s="2">
        <v>59636.762410579409</v>
      </c>
      <c r="D98" s="2">
        <v>8124.6203511169715</v>
      </c>
      <c r="E98" s="2">
        <v>148801.80127169486</v>
      </c>
      <c r="F98" s="2">
        <v>154411.81093332576</v>
      </c>
      <c r="G98" s="2">
        <v>756782.90626219474</v>
      </c>
      <c r="H98" s="2">
        <v>14777.940118016728</v>
      </c>
      <c r="I98" s="2">
        <v>270881.77139175084</v>
      </c>
      <c r="J98" s="2">
        <v>19351.316400666557</v>
      </c>
      <c r="K98" s="2">
        <v>110054.91635490739</v>
      </c>
      <c r="L98" s="2">
        <v>44154.193156660986</v>
      </c>
      <c r="M98" s="2">
        <v>19762.966200675728</v>
      </c>
      <c r="N98" s="2">
        <v>71962.639768036475</v>
      </c>
      <c r="O98" s="2">
        <v>26212.909599358052</v>
      </c>
      <c r="P98" s="2">
        <v>56059.699973024086</v>
      </c>
      <c r="Q98" s="2">
        <v>50394.273782130804</v>
      </c>
      <c r="R98" s="2">
        <v>34217.510415779951</v>
      </c>
      <c r="S98" s="2">
        <v>28293.193984342804</v>
      </c>
      <c r="T98" s="2">
        <v>273610.02226151334</v>
      </c>
      <c r="U98" s="2">
        <v>38804.536710350258</v>
      </c>
      <c r="V98" s="2">
        <v>50680.463981234214</v>
      </c>
      <c r="W98" s="2">
        <v>15172.763759567188</v>
      </c>
      <c r="X98" s="2">
        <v>367672.81885351351</v>
      </c>
      <c r="Y98" s="2">
        <v>71802.285791029077</v>
      </c>
      <c r="Z98" s="2">
        <v>24427.84955914945</v>
      </c>
      <c r="AA98" s="2">
        <v>384552.99001151934</v>
      </c>
    </row>
    <row r="99" spans="1:27" x14ac:dyDescent="0.2">
      <c r="A99" s="1">
        <v>2068</v>
      </c>
      <c r="B99" s="2">
        <v>34624.792450853754</v>
      </c>
      <c r="C99" s="2">
        <v>59353.358273934493</v>
      </c>
      <c r="D99" s="2">
        <v>8086.0107599335379</v>
      </c>
      <c r="E99" s="2">
        <v>151550.09004700134</v>
      </c>
      <c r="F99" s="2">
        <v>154324.84747367003</v>
      </c>
      <c r="G99" s="2">
        <v>770760.27715992089</v>
      </c>
      <c r="H99" s="2">
        <v>14820.345871202861</v>
      </c>
      <c r="I99" s="2">
        <v>275884.81117614021</v>
      </c>
      <c r="J99" s="2">
        <v>19708.724746512118</v>
      </c>
      <c r="K99" s="2">
        <v>112087.57112588845</v>
      </c>
      <c r="L99" s="2">
        <v>44969.697219099035</v>
      </c>
      <c r="M99" s="2">
        <v>19669.049191313534</v>
      </c>
      <c r="N99" s="2">
        <v>73291.750796435968</v>
      </c>
      <c r="O99" s="2">
        <v>26288.128348783459</v>
      </c>
      <c r="P99" s="2">
        <v>55793.294651386277</v>
      </c>
      <c r="Q99" s="2">
        <v>50154.791538699377</v>
      </c>
      <c r="R99" s="2">
        <v>34849.489323232257</v>
      </c>
      <c r="S99" s="2">
        <v>28374.382173722774</v>
      </c>
      <c r="T99" s="2">
        <v>273658.6105349749</v>
      </c>
      <c r="U99" s="2">
        <v>38915.88752061881</v>
      </c>
      <c r="V99" s="2">
        <v>51616.504735422626</v>
      </c>
      <c r="W99" s="2">
        <v>15164.218584032391</v>
      </c>
      <c r="X99" s="2">
        <v>365925.57447633555</v>
      </c>
      <c r="Y99" s="2">
        <v>71761.847335279905</v>
      </c>
      <c r="Z99" s="2">
        <v>24497.946023947705</v>
      </c>
      <c r="AA99" s="2">
        <v>384336.41293603386</v>
      </c>
    </row>
    <row r="100" spans="1:27" x14ac:dyDescent="0.2">
      <c r="A100" s="1">
        <v>2069</v>
      </c>
      <c r="B100" s="2">
        <v>34460.249490867332</v>
      </c>
      <c r="C100" s="2">
        <v>59071.300922417082</v>
      </c>
      <c r="D100" s="2">
        <v>8047.5846481579938</v>
      </c>
      <c r="E100" s="2">
        <v>154349.13822930376</v>
      </c>
      <c r="F100" s="2">
        <v>154237.93299111826</v>
      </c>
      <c r="G100" s="2">
        <v>784995.80253708363</v>
      </c>
      <c r="H100" s="2">
        <v>14862.873309000577</v>
      </c>
      <c r="I100" s="2">
        <v>280980.254398958</v>
      </c>
      <c r="J100" s="2">
        <v>20072.73423116577</v>
      </c>
      <c r="K100" s="2">
        <v>114157.76793092703</v>
      </c>
      <c r="L100" s="2">
        <v>45800.263200424226</v>
      </c>
      <c r="M100" s="2">
        <v>19575.578491708591</v>
      </c>
      <c r="N100" s="2">
        <v>74645.409786548757</v>
      </c>
      <c r="O100" s="2">
        <v>26363.562940721262</v>
      </c>
      <c r="P100" s="2">
        <v>55528.155333587783</v>
      </c>
      <c r="Q100" s="2">
        <v>49916.447356016019</v>
      </c>
      <c r="R100" s="2">
        <v>35493.140539236869</v>
      </c>
      <c r="S100" s="2">
        <v>28455.803335106484</v>
      </c>
      <c r="T100" s="2">
        <v>273707.20743684965</v>
      </c>
      <c r="U100" s="2">
        <v>39027.557855458421</v>
      </c>
      <c r="V100" s="2">
        <v>52569.833655990609</v>
      </c>
      <c r="W100" s="2">
        <v>15155.678221070049</v>
      </c>
      <c r="X100" s="2">
        <v>364186.6333044995</v>
      </c>
      <c r="Y100" s="2">
        <v>71721.431654135813</v>
      </c>
      <c r="Z100" s="2">
        <v>24568.243632705246</v>
      </c>
      <c r="AA100" s="2">
        <v>384119.95783497283</v>
      </c>
    </row>
    <row r="101" spans="1:27" x14ac:dyDescent="0.2">
      <c r="A101" s="1">
        <v>2070</v>
      </c>
      <c r="B101" s="2">
        <v>34296.488467284413</v>
      </c>
      <c r="C101" s="2">
        <v>58790.583955872971</v>
      </c>
      <c r="D101" s="2">
        <v>8009.3411438646835</v>
      </c>
      <c r="E101" s="2">
        <v>157199.88331739107</v>
      </c>
      <c r="F101" s="2">
        <v>154151.06745808694</v>
      </c>
      <c r="G101" s="2">
        <v>799494.25036726973</v>
      </c>
      <c r="H101" s="2">
        <v>14905.522780587609</v>
      </c>
      <c r="I101" s="2">
        <v>286169.80770172644</v>
      </c>
      <c r="J101" s="2">
        <v>20443.466774090419</v>
      </c>
      <c r="K101" s="2">
        <v>116266.20015108383</v>
      </c>
      <c r="L101" s="2">
        <v>46646.16928613068</v>
      </c>
      <c r="M101" s="2">
        <v>19482.551980920281</v>
      </c>
      <c r="N101" s="2">
        <v>76024.070125948492</v>
      </c>
      <c r="O101" s="2">
        <v>26439.213994538179</v>
      </c>
      <c r="P101" s="2">
        <v>55264.276003360952</v>
      </c>
      <c r="Q101" s="2">
        <v>49679.235825820615</v>
      </c>
      <c r="R101" s="2">
        <v>36148.679645018623</v>
      </c>
      <c r="S101" s="2">
        <v>28537.458137014259</v>
      </c>
      <c r="T101" s="2">
        <v>273755.81296866981</v>
      </c>
      <c r="U101" s="2">
        <v>39139.54863175466</v>
      </c>
      <c r="V101" s="2">
        <v>53540.770046019185</v>
      </c>
      <c r="W101" s="2">
        <v>15147.14266796976</v>
      </c>
      <c r="X101" s="2">
        <v>362455.95587974763</v>
      </c>
      <c r="Y101" s="2">
        <v>71681.038734770351</v>
      </c>
      <c r="Z101" s="2">
        <v>24638.742962610846</v>
      </c>
      <c r="AA101" s="2">
        <v>383903.62463964126</v>
      </c>
    </row>
    <row r="102" spans="1:27" x14ac:dyDescent="0.2">
      <c r="A102" s="1">
        <v>2071</v>
      </c>
      <c r="B102" s="2">
        <v>34133.505664208926</v>
      </c>
      <c r="C102" s="2">
        <v>58511.201004562572</v>
      </c>
      <c r="D102" s="2">
        <v>7971.2793792714911</v>
      </c>
      <c r="E102" s="2">
        <v>160103.28012514772</v>
      </c>
      <c r="F102" s="2">
        <v>154064.25084700808</v>
      </c>
      <c r="G102" s="2">
        <v>814260.47668595891</v>
      </c>
      <c r="H102" s="2">
        <v>14948.294636143666</v>
      </c>
      <c r="I102" s="2">
        <v>291455.20924671349</v>
      </c>
      <c r="J102" s="2">
        <v>20821.046546535494</v>
      </c>
      <c r="K102" s="2">
        <v>118413.57397379268</v>
      </c>
      <c r="L102" s="2">
        <v>47507.698799648104</v>
      </c>
      <c r="M102" s="2">
        <v>19389.967548087068</v>
      </c>
      <c r="N102" s="2">
        <v>77428.193576032034</v>
      </c>
      <c r="O102" s="2">
        <v>26515.082131378225</v>
      </c>
      <c r="P102" s="2">
        <v>55001.650673028453</v>
      </c>
      <c r="Q102" s="2">
        <v>49443.151565554028</v>
      </c>
      <c r="R102" s="2">
        <v>36816.326203470955</v>
      </c>
      <c r="S102" s="2">
        <v>28619.347249884762</v>
      </c>
      <c r="T102" s="2">
        <v>273804.42713196791</v>
      </c>
      <c r="U102" s="2">
        <v>39251.860769024133</v>
      </c>
      <c r="V102" s="2">
        <v>54529.639105944545</v>
      </c>
      <c r="W102" s="2">
        <v>15138.611922022648</v>
      </c>
      <c r="X102" s="2">
        <v>360733.5029313346</v>
      </c>
      <c r="Y102" s="2">
        <v>71640.668564364256</v>
      </c>
      <c r="Z102" s="2">
        <v>24709.444592509535</v>
      </c>
      <c r="AA102" s="2">
        <v>383687.41328138282</v>
      </c>
    </row>
    <row r="103" spans="1:27" x14ac:dyDescent="0.2">
      <c r="A103" s="1">
        <v>2072</v>
      </c>
      <c r="B103" s="2">
        <v>33971.297383403369</v>
      </c>
      <c r="C103" s="2">
        <v>58233.145729016396</v>
      </c>
      <c r="D103" s="2">
        <v>7933.3984907201511</v>
      </c>
      <c r="E103" s="2">
        <v>163060.3011013541</v>
      </c>
      <c r="F103" s="2">
        <v>153977.48313032929</v>
      </c>
      <c r="G103" s="2">
        <v>829299.42721697921</v>
      </c>
      <c r="H103" s="2">
        <v>14991.189226853305</v>
      </c>
      <c r="I103" s="2">
        <v>296838.2292991039</v>
      </c>
      <c r="J103" s="2">
        <v>21205.600013126241</v>
      </c>
      <c r="K103" s="2">
        <v>120600.60862938729</v>
      </c>
      <c r="L103" s="2">
        <v>48385.140297236692</v>
      </c>
      <c r="M103" s="2">
        <v>19297.823092378592</v>
      </c>
      <c r="N103" s="2">
        <v>78858.250426679486</v>
      </c>
      <c r="O103" s="2">
        <v>26591.167974167805</v>
      </c>
      <c r="P103" s="2">
        <v>54740.273383367436</v>
      </c>
      <c r="Q103" s="2">
        <v>49208.189218235959</v>
      </c>
      <c r="R103" s="2">
        <v>37496.303832695186</v>
      </c>
      <c r="S103" s="2">
        <v>28701.471346080496</v>
      </c>
      <c r="T103" s="2">
        <v>273853.04992827674</v>
      </c>
      <c r="U103" s="2">
        <v>39364.495189422028</v>
      </c>
      <c r="V103" s="2">
        <v>55536.772042479024</v>
      </c>
      <c r="W103" s="2">
        <v>15130.085980521366</v>
      </c>
      <c r="X103" s="2">
        <v>359019.23537513649</v>
      </c>
      <c r="Y103" s="2">
        <v>71600.321130105513</v>
      </c>
      <c r="Z103" s="2">
        <v>24780.349102907359</v>
      </c>
      <c r="AA103" s="2">
        <v>383471.32369157992</v>
      </c>
    </row>
    <row r="104" spans="1:27" x14ac:dyDescent="0.2">
      <c r="A104" s="1">
        <v>2073</v>
      </c>
      <c r="B104" s="2">
        <v>33809.859944204902</v>
      </c>
      <c r="C104" s="2">
        <v>57956.411819891211</v>
      </c>
      <c r="D104" s="2">
        <v>7895.6976186566499</v>
      </c>
      <c r="E104" s="2">
        <v>166071.93665539354</v>
      </c>
      <c r="F104" s="2">
        <v>153890.7642805136</v>
      </c>
      <c r="G104" s="2">
        <v>844616.13902900263</v>
      </c>
      <c r="H104" s="2">
        <v>15034.20690490882</v>
      </c>
      <c r="I104" s="2">
        <v>302320.67081992282</v>
      </c>
      <c r="J104" s="2">
        <v>21597.255974221116</v>
      </c>
      <c r="K104" s="2">
        <v>122828.0366319966</v>
      </c>
      <c r="L104" s="2">
        <v>49278.787664634663</v>
      </c>
      <c r="M104" s="2">
        <v>19206.116522947992</v>
      </c>
      <c r="N104" s="2">
        <v>80314.719653770604</v>
      </c>
      <c r="O104" s="2">
        <v>26667.472147620829</v>
      </c>
      <c r="P104" s="2">
        <v>54480.1382034743</v>
      </c>
      <c r="Q104" s="2">
        <v>48974.343452343412</v>
      </c>
      <c r="R104" s="2">
        <v>38188.840280897988</v>
      </c>
      <c r="S104" s="2">
        <v>28783.831099893334</v>
      </c>
      <c r="T104" s="2">
        <v>273901.68135912938</v>
      </c>
      <c r="U104" s="2">
        <v>39477.452817749683</v>
      </c>
      <c r="V104" s="2">
        <v>56562.506179543765</v>
      </c>
      <c r="W104" s="2">
        <v>15121.564840760089</v>
      </c>
      <c r="X104" s="2">
        <v>357313.11431276373</v>
      </c>
      <c r="Y104" s="2">
        <v>71559.996419189294</v>
      </c>
      <c r="Z104" s="2">
        <v>24851.457075976145</v>
      </c>
      <c r="AA104" s="2">
        <v>383255.35580165352</v>
      </c>
    </row>
    <row r="105" spans="1:27" x14ac:dyDescent="0.2">
      <c r="A105" s="1">
        <v>2074</v>
      </c>
      <c r="B105" s="2">
        <v>33649.189683441829</v>
      </c>
      <c r="C105" s="2">
        <v>57680.992997826856</v>
      </c>
      <c r="D105" s="2">
        <v>7858.1759076117223</v>
      </c>
      <c r="E105" s="2">
        <v>169139.19548897495</v>
      </c>
      <c r="F105" s="2">
        <v>153804.09427003961</v>
      </c>
      <c r="G105" s="2">
        <v>860215.74222263461</v>
      </c>
      <c r="H105" s="2">
        <v>15077.348023513134</v>
      </c>
      <c r="I105" s="2">
        <v>307904.37006991013</v>
      </c>
      <c r="J105" s="2">
        <v>21996.145609051524</v>
      </c>
      <c r="K105" s="2">
        <v>125096.60402488919</v>
      </c>
      <c r="L105" s="2">
        <v>50188.940215490846</v>
      </c>
      <c r="M105" s="2">
        <v>19114.845758884479</v>
      </c>
      <c r="N105" s="2">
        <v>81798.089079610567</v>
      </c>
      <c r="O105" s="2">
        <v>26743.995278243841</v>
      </c>
      <c r="P105" s="2">
        <v>54221.239230630119</v>
      </c>
      <c r="Q105" s="2">
        <v>48741.608961689693</v>
      </c>
      <c r="R105" s="2">
        <v>38894.167502672215</v>
      </c>
      <c r="S105" s="2">
        <v>28866.427187550049</v>
      </c>
      <c r="T105" s="2">
        <v>273950.32142605918</v>
      </c>
      <c r="U105" s="2">
        <v>39590.734581462188</v>
      </c>
      <c r="V105" s="2">
        <v>57607.185071250264</v>
      </c>
      <c r="W105" s="2">
        <v>15113.048500034516</v>
      </c>
      <c r="X105" s="2">
        <v>355615.10103067866</v>
      </c>
      <c r="Y105" s="2">
        <v>71519.69441881802</v>
      </c>
      <c r="Z105" s="2">
        <v>24922.769095558277</v>
      </c>
      <c r="AA105" s="2">
        <v>383039.50954306329</v>
      </c>
    </row>
    <row r="106" spans="1:27" x14ac:dyDescent="0.2">
      <c r="A106" s="1">
        <v>2075</v>
      </c>
      <c r="B106" s="2">
        <v>33489.282955350478</v>
      </c>
      <c r="C106" s="2">
        <v>57406.88301330377</v>
      </c>
      <c r="D106" s="2">
        <v>7820.8325061814403</v>
      </c>
      <c r="E106" s="2">
        <v>172263.10493398207</v>
      </c>
      <c r="F106" s="2">
        <v>153717.47307140141</v>
      </c>
      <c r="G106" s="2">
        <v>876103.46164866362</v>
      </c>
      <c r="H106" s="2">
        <v>15120.612936882691</v>
      </c>
      <c r="I106" s="2">
        <v>313591.19722454832</v>
      </c>
      <c r="J106" s="2">
        <v>22402.40251965831</v>
      </c>
      <c r="K106" s="2">
        <v>127407.07063034932</v>
      </c>
      <c r="L106" s="2">
        <v>51115.902791615255</v>
      </c>
      <c r="M106" s="2">
        <v>19024.008729166104</v>
      </c>
      <c r="N106" s="2">
        <v>83308.855536318617</v>
      </c>
      <c r="O106" s="2">
        <v>26820.737994341169</v>
      </c>
      <c r="P106" s="2">
        <v>53963.570590166695</v>
      </c>
      <c r="Q106" s="2">
        <v>48509.980465304026</v>
      </c>
      <c r="R106" s="2">
        <v>39612.521736686569</v>
      </c>
      <c r="S106" s="2">
        <v>28949.260287217865</v>
      </c>
      <c r="T106" s="2">
        <v>273998.97013059974</v>
      </c>
      <c r="U106" s="2">
        <v>39704.341410675981</v>
      </c>
      <c r="V106" s="2">
        <v>58671.158616968605</v>
      </c>
      <c r="W106" s="2">
        <v>15104.53695564187</v>
      </c>
      <c r="X106" s="2">
        <v>353925.15699931694</v>
      </c>
      <c r="Y106" s="2">
        <v>71479.415116201286</v>
      </c>
      <c r="Z106" s="2">
        <v>24994.285747171496</v>
      </c>
      <c r="AA106" s="2">
        <v>382823.78484730748</v>
      </c>
    </row>
    <row r="107" spans="1:27" x14ac:dyDescent="0.2">
      <c r="A107" s="1">
        <v>2076</v>
      </c>
      <c r="B107" s="2">
        <v>33330.136131492465</v>
      </c>
      <c r="C107" s="2">
        <v>57134.075646501187</v>
      </c>
      <c r="D107" s="2">
        <v>7783.6665670078928</v>
      </c>
      <c r="E107" s="2">
        <v>175444.71129656289</v>
      </c>
      <c r="F107" s="2">
        <v>153630.90065710858</v>
      </c>
      <c r="G107" s="2">
        <v>892284.61865804589</v>
      </c>
      <c r="H107" s="2">
        <v>15164.002000250377</v>
      </c>
      <c r="I107" s="2">
        <v>319383.05700044939</v>
      </c>
      <c r="J107" s="2">
        <v>22816.162775639743</v>
      </c>
      <c r="K107" s="2">
        <v>129760.21030416775</v>
      </c>
      <c r="L107" s="2">
        <v>52059.985865081224</v>
      </c>
      <c r="M107" s="2">
        <v>18933.603372612772</v>
      </c>
      <c r="N107" s="2">
        <v>84847.525032234509</v>
      </c>
      <c r="O107" s="2">
        <v>26897.700926020079</v>
      </c>
      <c r="P107" s="2">
        <v>53707.126435333259</v>
      </c>
      <c r="Q107" s="2">
        <v>48279.452707311706</v>
      </c>
      <c r="R107" s="2">
        <v>40344.143584810183</v>
      </c>
      <c r="S107" s="2">
        <v>29032.331079010029</v>
      </c>
      <c r="T107" s="2">
        <v>274047.62747428496</v>
      </c>
      <c r="U107" s="2">
        <v>39818.274238176506</v>
      </c>
      <c r="V107" s="2">
        <v>59754.783178520964</v>
      </c>
      <c r="W107" s="2">
        <v>15096.030204880895</v>
      </c>
      <c r="X107" s="2">
        <v>352243.24387221341</v>
      </c>
      <c r="Y107" s="2">
        <v>71439.158498555917</v>
      </c>
      <c r="Z107" s="2">
        <v>25066.0076180137</v>
      </c>
      <c r="AA107" s="2">
        <v>382608.18164592289</v>
      </c>
    </row>
    <row r="108" spans="1:27" x14ac:dyDescent="0.2">
      <c r="A108" s="1">
        <v>2077</v>
      </c>
      <c r="B108" s="2">
        <v>33171.745600672373</v>
      </c>
      <c r="C108" s="2">
        <v>56862.564707156002</v>
      </c>
      <c r="D108" s="2">
        <v>7746.6772467599603</v>
      </c>
      <c r="E108" s="2">
        <v>178685.08020757386</v>
      </c>
      <c r="F108" s="2">
        <v>153544.37699968618</v>
      </c>
      <c r="G108" s="2">
        <v>908764.63288421114</v>
      </c>
      <c r="H108" s="2">
        <v>15207.515569868423</v>
      </c>
      <c r="I108" s="2">
        <v>325281.88929331076</v>
      </c>
      <c r="J108" s="2">
        <v>23237.564959725969</v>
      </c>
      <c r="K108" s="2">
        <v>132156.81119483311</v>
      </c>
      <c r="L108" s="2">
        <v>53021.505642213342</v>
      </c>
      <c r="M108" s="2">
        <v>18843.627637839472</v>
      </c>
      <c r="N108" s="2">
        <v>86414.612921398279</v>
      </c>
      <c r="O108" s="2">
        <v>26974.884705195946</v>
      </c>
      <c r="P108" s="2">
        <v>53451.90094716382</v>
      </c>
      <c r="Q108" s="2">
        <v>48050.020456814862</v>
      </c>
      <c r="R108" s="2">
        <v>41089.278092698551</v>
      </c>
      <c r="S108" s="2">
        <v>29115.640244991399</v>
      </c>
      <c r="T108" s="2">
        <v>274096.29345864896</v>
      </c>
      <c r="U108" s="2">
        <v>39932.533999425861</v>
      </c>
      <c r="V108" s="2">
        <v>60858.421699539605</v>
      </c>
      <c r="W108" s="2">
        <v>15087.528245051859</v>
      </c>
      <c r="X108" s="2">
        <v>350569.32348513178</v>
      </c>
      <c r="Y108" s="2">
        <v>71398.924553105913</v>
      </c>
      <c r="Z108" s="2">
        <v>25137.935296967771</v>
      </c>
      <c r="AA108" s="2">
        <v>382392.69987048482</v>
      </c>
    </row>
    <row r="109" spans="1:27" x14ac:dyDescent="0.2">
      <c r="A109" s="1">
        <v>2078</v>
      </c>
      <c r="B109" s="2">
        <v>33014.107768855807</v>
      </c>
      <c r="C109" s="2">
        <v>56592.344034422291</v>
      </c>
      <c r="D109" s="2">
        <v>7709.8637061141762</v>
      </c>
      <c r="E109" s="2">
        <v>181985.29697949698</v>
      </c>
      <c r="F109" s="2">
        <v>153457.90207167473</v>
      </c>
      <c r="G109" s="2">
        <v>925549.02405828692</v>
      </c>
      <c r="H109" s="2">
        <v>15251.154003011339</v>
      </c>
      <c r="I109" s="2">
        <v>331289.66982765397</v>
      </c>
      <c r="J109" s="2">
        <v>23666.750214195188</v>
      </c>
      <c r="K109" s="2">
        <v>134597.67600751028</v>
      </c>
      <c r="L109" s="2">
        <v>54000.78416949595</v>
      </c>
      <c r="M109" s="2">
        <v>18754.079483209724</v>
      </c>
      <c r="N109" s="2">
        <v>88010.644076160315</v>
      </c>
      <c r="O109" s="2">
        <v>27052.289965597447</v>
      </c>
      <c r="P109" s="2">
        <v>53197.888334345094</v>
      </c>
      <c r="Q109" s="2">
        <v>47821.678507773737</v>
      </c>
      <c r="R109" s="2">
        <v>41848.174831867873</v>
      </c>
      <c r="S109" s="2">
        <v>29199.188469184028</v>
      </c>
      <c r="T109" s="2">
        <v>274144.9680852262</v>
      </c>
      <c r="U109" s="2">
        <v>40047.121632570481</v>
      </c>
      <c r="V109" s="2">
        <v>61982.443827029332</v>
      </c>
      <c r="W109" s="2">
        <v>15079.031073456548</v>
      </c>
      <c r="X109" s="2">
        <v>348903.3578551989</v>
      </c>
      <c r="Y109" s="2">
        <v>71358.713267082479</v>
      </c>
      <c r="Z109" s="2">
        <v>25210.06937460641</v>
      </c>
      <c r="AA109" s="2">
        <v>382177.33945260727</v>
      </c>
    </row>
    <row r="110" spans="1:27" x14ac:dyDescent="0.2">
      <c r="A110" s="1">
        <v>2079</v>
      </c>
      <c r="B110" s="2">
        <v>32857.219059087838</v>
      </c>
      <c r="C110" s="2">
        <v>56323.407496731532</v>
      </c>
      <c r="D110" s="2">
        <v>7673.2251097356839</v>
      </c>
      <c r="E110" s="2">
        <v>185346.46696994864</v>
      </c>
      <c r="F110" s="2">
        <v>153371.47584563025</v>
      </c>
      <c r="G110" s="2">
        <v>942643.41385784862</v>
      </c>
      <c r="H110" s="2">
        <v>15294.917657978847</v>
      </c>
      <c r="I110" s="2">
        <v>337408.41081856377</v>
      </c>
      <c r="J110" s="2">
        <v>24103.862288147131</v>
      </c>
      <c r="K110" s="2">
        <v>137083.62227289428</v>
      </c>
      <c r="L110" s="2">
        <v>54998.149441437759</v>
      </c>
      <c r="M110" s="2">
        <v>18664.956876789252</v>
      </c>
      <c r="N110" s="2">
        <v>89636.1530629794</v>
      </c>
      <c r="O110" s="2">
        <v>27129.917342771765</v>
      </c>
      <c r="P110" s="2">
        <v>52945.082833085129</v>
      </c>
      <c r="Q110" s="2">
        <v>47594.421678888568</v>
      </c>
      <c r="R110" s="2">
        <v>42621.087983285237</v>
      </c>
      <c r="S110" s="2">
        <v>29282.976437572801</v>
      </c>
      <c r="T110" s="2">
        <v>274193.65135555138</v>
      </c>
      <c r="U110" s="2">
        <v>40162.038078448844</v>
      </c>
      <c r="V110" s="2">
        <v>63127.226035175176</v>
      </c>
      <c r="W110" s="2">
        <v>15070.538687398268</v>
      </c>
      <c r="X110" s="2">
        <v>347245.30918004271</v>
      </c>
      <c r="Y110" s="2">
        <v>71318.524627724022</v>
      </c>
      <c r="Z110" s="2">
        <v>25282.410443196983</v>
      </c>
      <c r="AA110" s="2">
        <v>381962.10032394261</v>
      </c>
    </row>
    <row r="111" spans="1:27" x14ac:dyDescent="0.2">
      <c r="A111" s="1">
        <v>2080</v>
      </c>
      <c r="B111" s="2">
        <v>32701.075911411834</v>
      </c>
      <c r="C111" s="2">
        <v>56055.748991653469</v>
      </c>
      <c r="D111" s="2">
        <v>7636.7606262592808</v>
      </c>
      <c r="E111" s="2">
        <v>188769.71595190247</v>
      </c>
      <c r="F111" s="2">
        <v>153285.09829412415</v>
      </c>
      <c r="G111" s="2">
        <v>960053.52778981568</v>
      </c>
      <c r="H111" s="2">
        <v>15338.80689409882</v>
      </c>
      <c r="I111" s="2">
        <v>343640.16164564906</v>
      </c>
      <c r="J111" s="2">
        <v>24549.047585649638</v>
      </c>
      <c r="K111" s="2">
        <v>139615.48262102983</v>
      </c>
      <c r="L111" s="2">
        <v>56013.935510428608</v>
      </c>
      <c r="M111" s="2">
        <v>18576.257796299888</v>
      </c>
      <c r="N111" s="2">
        <v>91291.684321467605</v>
      </c>
      <c r="O111" s="2">
        <v>27207.767474089804</v>
      </c>
      <c r="P111" s="2">
        <v>52693.478706982496</v>
      </c>
      <c r="Q111" s="2">
        <v>47368.244813482022</v>
      </c>
      <c r="R111" s="2">
        <v>43408.276422502706</v>
      </c>
      <c r="S111" s="2">
        <v>29367.004838111054</v>
      </c>
      <c r="T111" s="2">
        <v>274242.34327115951</v>
      </c>
      <c r="U111" s="2">
        <v>40277.284280599197</v>
      </c>
      <c r="V111" s="2">
        <v>64293.151751436715</v>
      </c>
      <c r="W111" s="2">
        <v>15062.051084181843</v>
      </c>
      <c r="X111" s="2">
        <v>345595.13983693445</v>
      </c>
      <c r="Y111" s="2">
        <v>71278.358622276108</v>
      </c>
      <c r="Z111" s="2">
        <v>25354.959096706385</v>
      </c>
      <c r="AA111" s="2">
        <v>381746.98241618177</v>
      </c>
    </row>
    <row r="112" spans="1:27" x14ac:dyDescent="0.2">
      <c r="A112" s="1">
        <v>2081</v>
      </c>
      <c r="B112" s="2">
        <v>32545.674782788701</v>
      </c>
      <c r="C112" s="2">
        <v>55789.362445757652</v>
      </c>
      <c r="D112" s="2">
        <v>7600.469428270555</v>
      </c>
      <c r="E112" s="2">
        <v>192256.19049074998</v>
      </c>
      <c r="F112" s="2">
        <v>153198.76938974336</v>
      </c>
      <c r="G112" s="2">
        <v>977785.19710812287</v>
      </c>
      <c r="H112" s="2">
        <v>15382.822071730232</v>
      </c>
      <c r="I112" s="2">
        <v>349987.00953945139</v>
      </c>
      <c r="J112" s="2">
        <v>25002.455214774487</v>
      </c>
      <c r="K112" s="2">
        <v>142194.10506018819</v>
      </c>
      <c r="L112" s="2">
        <v>57048.482598625291</v>
      </c>
      <c r="M112" s="2">
        <v>18487.98022907367</v>
      </c>
      <c r="N112" s="2">
        <v>92977.79234674215</v>
      </c>
      <c r="O112" s="2">
        <v>27285.840998751424</v>
      </c>
      <c r="P112" s="2">
        <v>52443.070246896124</v>
      </c>
      <c r="Q112" s="2">
        <v>47143.142779382186</v>
      </c>
      <c r="R112" s="2">
        <v>44210.00380636374</v>
      </c>
      <c r="S112" s="2">
        <v>29451.274360726227</v>
      </c>
      <c r="T112" s="2">
        <v>274291.04383358581</v>
      </c>
      <c r="U112" s="2">
        <v>40392.861185267284</v>
      </c>
      <c r="V112" s="2">
        <v>65480.611484971283</v>
      </c>
      <c r="W112" s="2">
        <v>15053.568261113616</v>
      </c>
      <c r="X112" s="2">
        <v>343952.81238193513</v>
      </c>
      <c r="Y112" s="2">
        <v>71238.215237991521</v>
      </c>
      <c r="Z112" s="2">
        <v>25427.71593080592</v>
      </c>
      <c r="AA112" s="2">
        <v>381531.98566105415</v>
      </c>
    </row>
    <row r="113" spans="1:27" x14ac:dyDescent="0.2">
      <c r="A113" s="1">
        <v>2082</v>
      </c>
      <c r="B113" s="2">
        <v>32391.01214701647</v>
      </c>
      <c r="C113" s="2">
        <v>55524.241814475601</v>
      </c>
      <c r="D113" s="2">
        <v>7564.3506922871102</v>
      </c>
      <c r="E113" s="2">
        <v>195807.05832832516</v>
      </c>
      <c r="F113" s="2">
        <v>153112.48910509024</v>
      </c>
      <c r="G113" s="2">
        <v>995844.36076681083</v>
      </c>
      <c r="H113" s="2">
        <v>15426.963552266121</v>
      </c>
      <c r="I113" s="2">
        <v>356451.08028053137</v>
      </c>
      <c r="J113" s="2">
        <v>25464.237037538878</v>
      </c>
      <c r="K113" s="2">
        <v>144820.35326089466</v>
      </c>
      <c r="L113" s="2">
        <v>58102.137211903777</v>
      </c>
      <c r="M113" s="2">
        <v>18400.122172007188</v>
      </c>
      <c r="N113" s="2">
        <v>94695.041875145122</v>
      </c>
      <c r="O113" s="2">
        <v>27364.138557790688</v>
      </c>
      <c r="P113" s="2">
        <v>52193.851770815774</v>
      </c>
      <c r="Q113" s="2">
        <v>46919.110468806102</v>
      </c>
      <c r="R113" s="2">
        <v>45026.538661311082</v>
      </c>
      <c r="S113" s="2">
        <v>29535.785697325526</v>
      </c>
      <c r="T113" s="2">
        <v>274339.75304436579</v>
      </c>
      <c r="U113" s="2">
        <v>40508.769741414144</v>
      </c>
      <c r="V113" s="2">
        <v>66690.002957429111</v>
      </c>
      <c r="W113" s="2">
        <v>15045.090215501448</v>
      </c>
      <c r="X113" s="2">
        <v>342318.28954904567</v>
      </c>
      <c r="Y113" s="2">
        <v>71198.094462130204</v>
      </c>
      <c r="Z113" s="2">
        <v>25500.681542876187</v>
      </c>
      <c r="AA113" s="2">
        <v>381317.10999032756</v>
      </c>
    </row>
    <row r="114" spans="1:27" x14ac:dyDescent="0.2">
      <c r="A114" s="1">
        <v>2083</v>
      </c>
      <c r="B114" s="2">
        <v>32237.084494650288</v>
      </c>
      <c r="C114" s="2">
        <v>55260.381081963678</v>
      </c>
      <c r="D114" s="2">
        <v>7528.4035987398802</v>
      </c>
      <c r="E114" s="2">
        <v>199423.50877402205</v>
      </c>
      <c r="F114" s="2">
        <v>153026.25741278252</v>
      </c>
      <c r="G114" s="2">
        <v>1014237.0674091887</v>
      </c>
      <c r="H114" s="2">
        <v>15471.231698136551</v>
      </c>
      <c r="I114" s="2">
        <v>363034.53891146666</v>
      </c>
      <c r="J114" s="2">
        <v>25934.547720769326</v>
      </c>
      <c r="K114" s="2">
        <v>147495.1068452019</v>
      </c>
      <c r="L114" s="2">
        <v>59175.252255916137</v>
      </c>
      <c r="M114" s="2">
        <v>18312.681631516116</v>
      </c>
      <c r="N114" s="2">
        <v>96444.008073393314</v>
      </c>
      <c r="O114" s="2">
        <v>27442.660794081123</v>
      </c>
      <c r="P114" s="2">
        <v>51945.817623733084</v>
      </c>
      <c r="Q114" s="2">
        <v>46696.142798243876</v>
      </c>
      <c r="R114" s="2">
        <v>45858.154473325616</v>
      </c>
      <c r="S114" s="2">
        <v>29620.539541801609</v>
      </c>
      <c r="T114" s="2">
        <v>274388.47090503521</v>
      </c>
      <c r="U114" s="2">
        <v>40625.010900723886</v>
      </c>
      <c r="V114" s="2">
        <v>67921.731236164167</v>
      </c>
      <c r="W114" s="2">
        <v>15036.616944654716</v>
      </c>
      <c r="X114" s="2">
        <v>340691.53424936155</v>
      </c>
      <c r="Y114" s="2">
        <v>71157.996281959291</v>
      </c>
      <c r="Z114" s="2">
        <v>25573.856532011985</v>
      </c>
      <c r="AA114" s="2">
        <v>381102.3553358083</v>
      </c>
    </row>
    <row r="115" spans="1:27" x14ac:dyDescent="0.2">
      <c r="A115" s="1">
        <v>2084</v>
      </c>
      <c r="B115" s="2">
        <v>32083.888332922787</v>
      </c>
      <c r="C115" s="2">
        <v>54997.774260966551</v>
      </c>
      <c r="D115" s="2">
        <v>7492.6273319545307</v>
      </c>
      <c r="E115" s="2">
        <v>203106.75310313579</v>
      </c>
      <c r="F115" s="2">
        <v>152940.07428545342</v>
      </c>
      <c r="G115" s="2">
        <v>1032969.4773937355</v>
      </c>
      <c r="H115" s="2">
        <v>15515.626872811592</v>
      </c>
      <c r="I115" s="2">
        <v>369739.59046200017</v>
      </c>
      <c r="J115" s="2">
        <v>26413.544787904957</v>
      </c>
      <c r="K115" s="2">
        <v>150219.26168130609</v>
      </c>
      <c r="L115" s="2">
        <v>60268.187154290921</v>
      </c>
      <c r="M115" s="2">
        <v>18225.656623489984</v>
      </c>
      <c r="N115" s="2">
        <v>98225.276731221689</v>
      </c>
      <c r="O115" s="2">
        <v>27521.408352341005</v>
      </c>
      <c r="P115" s="2">
        <v>51698.962177513269</v>
      </c>
      <c r="Q115" s="2">
        <v>46474.234708343334</v>
      </c>
      <c r="R115" s="2">
        <v>46705.129779526338</v>
      </c>
      <c r="S115" s="2">
        <v>29705.536590038279</v>
      </c>
      <c r="T115" s="2">
        <v>274437.19741713023</v>
      </c>
      <c r="U115" s="2">
        <v>40741.585617611505</v>
      </c>
      <c r="V115" s="2">
        <v>69176.208869905298</v>
      </c>
      <c r="W115" s="2">
        <v>15028.14844588431</v>
      </c>
      <c r="X115" s="2">
        <v>339072.50957023102</v>
      </c>
      <c r="Y115" s="2">
        <v>71117.920684753059</v>
      </c>
      <c r="Z115" s="2">
        <v>25647.241499027237</v>
      </c>
      <c r="AA115" s="2">
        <v>380887.72162934102</v>
      </c>
    </row>
    <row r="116" spans="1:27" x14ac:dyDescent="0.2">
      <c r="A116" s="1">
        <v>2085</v>
      </c>
      <c r="B116" s="2">
        <v>31931.420185664829</v>
      </c>
      <c r="C116" s="2">
        <v>54736.415392681367</v>
      </c>
      <c r="D116" s="2">
        <v>7457.0210801329531</v>
      </c>
      <c r="E116" s="2">
        <v>206858.02496256103</v>
      </c>
      <c r="F116" s="2">
        <v>152853.93969575153</v>
      </c>
      <c r="G116" s="2">
        <v>1052047.8648574189</v>
      </c>
      <c r="H116" s="2">
        <v>15560.1494408043</v>
      </c>
      <c r="I116" s="2">
        <v>376568.48068758124</v>
      </c>
      <c r="J116" s="2">
        <v>26901.388671757613</v>
      </c>
      <c r="K116" s="2">
        <v>152993.73018360435</v>
      </c>
      <c r="L116" s="2">
        <v>61381.307969016678</v>
      </c>
      <c r="M116" s="2">
        <v>18139.045173247159</v>
      </c>
      <c r="N116" s="2">
        <v>100039.4444575847</v>
      </c>
      <c r="O116" s="2">
        <v>27600.381879138644</v>
      </c>
      <c r="P116" s="2">
        <v>51453.279830767409</v>
      </c>
      <c r="Q116" s="2">
        <v>46253.381163795202</v>
      </c>
      <c r="R116" s="2">
        <v>47567.748261462162</v>
      </c>
      <c r="S116" s="2">
        <v>29790.777539916198</v>
      </c>
      <c r="T116" s="2">
        <v>274485.93258218712</v>
      </c>
      <c r="U116" s="2">
        <v>40858.494849230716</v>
      </c>
      <c r="V116" s="2">
        <v>70453.856026933252</v>
      </c>
      <c r="W116" s="2">
        <v>15019.684716502636</v>
      </c>
      <c r="X116" s="2">
        <v>337461.17877441755</v>
      </c>
      <c r="Y116" s="2">
        <v>71077.867657792973</v>
      </c>
      <c r="Z116" s="2">
        <v>25720.837046459921</v>
      </c>
      <c r="AA116" s="2">
        <v>380673.20880280872</v>
      </c>
    </row>
    <row r="117" spans="1:27" x14ac:dyDescent="0.2">
      <c r="A117" s="1">
        <v>2086</v>
      </c>
      <c r="B117" s="2">
        <v>31779.676593226632</v>
      </c>
      <c r="C117" s="2">
        <v>54476.298546622522</v>
      </c>
      <c r="D117" s="2">
        <v>7421.5840353348412</v>
      </c>
      <c r="E117" s="2">
        <v>210678.5807839832</v>
      </c>
      <c r="F117" s="2">
        <v>152767.85361634087</v>
      </c>
      <c r="G117" s="2">
        <v>1071478.6198171226</v>
      </c>
      <c r="H117" s="2">
        <v>15604.799767673714</v>
      </c>
      <c r="I117" s="2">
        <v>383523.49682154763</v>
      </c>
      <c r="J117" s="2">
        <v>27398.242768246379</v>
      </c>
      <c r="K117" s="2">
        <v>155819.44161829416</v>
      </c>
      <c r="L117" s="2">
        <v>62514.987523048854</v>
      </c>
      <c r="M117" s="2">
        <v>18052.845315490034</v>
      </c>
      <c r="N117" s="2">
        <v>101887.11888048147</v>
      </c>
      <c r="O117" s="2">
        <v>27679.582022897706</v>
      </c>
      <c r="P117" s="2">
        <v>51208.765008725335</v>
      </c>
      <c r="Q117" s="2">
        <v>46033.577153218859</v>
      </c>
      <c r="R117" s="2">
        <v>48446.298840126758</v>
      </c>
      <c r="S117" s="2">
        <v>29876.263091318622</v>
      </c>
      <c r="T117" s="2">
        <v>274534.6764017425</v>
      </c>
      <c r="U117" s="2">
        <v>40975.739555481821</v>
      </c>
      <c r="V117" s="2">
        <v>71755.100635809591</v>
      </c>
      <c r="W117" s="2">
        <v>15011.225753823612</v>
      </c>
      <c r="X117" s="2">
        <v>335857.50529926637</v>
      </c>
      <c r="Y117" s="2">
        <v>71037.837188367659</v>
      </c>
      <c r="Z117" s="2">
        <v>25794.643778577014</v>
      </c>
      <c r="AA117" s="2">
        <v>380458.81678813288</v>
      </c>
    </row>
    <row r="118" spans="1:27" x14ac:dyDescent="0.2">
      <c r="A118" s="1">
        <v>2087</v>
      </c>
      <c r="B118" s="2">
        <v>31628.654112399261</v>
      </c>
      <c r="C118" s="2">
        <v>54217.417820487099</v>
      </c>
      <c r="D118" s="2">
        <v>7386.315393459362</v>
      </c>
      <c r="E118" s="2">
        <v>214569.70020470128</v>
      </c>
      <c r="F118" s="2">
        <v>152681.81601990084</v>
      </c>
      <c r="G118" s="2">
        <v>1091268.250309885</v>
      </c>
      <c r="H118" s="2">
        <v>15649.578220027855</v>
      </c>
      <c r="I118" s="2">
        <v>390606.96834119956</v>
      </c>
      <c r="J118" s="2">
        <v>27904.273491124579</v>
      </c>
      <c r="K118" s="2">
        <v>158697.34241461701</v>
      </c>
      <c r="L118" s="2">
        <v>63669.605525181214</v>
      </c>
      <c r="M118" s="2">
        <v>17967.055094260435</v>
      </c>
      <c r="N118" s="2">
        <v>103768.91885047156</v>
      </c>
      <c r="O118" s="2">
        <v>27759.009433902524</v>
      </c>
      <c r="P118" s="2">
        <v>50965.412163109155</v>
      </c>
      <c r="Q118" s="2">
        <v>45814.817689048636</v>
      </c>
      <c r="R118" s="2">
        <v>49341.075772728254</v>
      </c>
      <c r="S118" s="2">
        <v>29961.993946137136</v>
      </c>
      <c r="T118" s="2">
        <v>274583.42887733324</v>
      </c>
      <c r="U118" s="2">
        <v>41093.320699019583</v>
      </c>
      <c r="V118" s="2">
        <v>73080.37852870494</v>
      </c>
      <c r="W118" s="2">
        <v>15002.771555162673</v>
      </c>
      <c r="X118" s="2">
        <v>334261.4527558746</v>
      </c>
      <c r="Y118" s="2">
        <v>70997.829263772903</v>
      </c>
      <c r="Z118" s="2">
        <v>25868.662301379456</v>
      </c>
      <c r="AA118" s="2">
        <v>380244.54551727325</v>
      </c>
    </row>
    <row r="119" spans="1:27" x14ac:dyDescent="0.2">
      <c r="A119" s="1">
        <v>2088</v>
      </c>
      <c r="B119" s="2">
        <v>31478.349316336502</v>
      </c>
      <c r="C119" s="2">
        <v>53959.767340020939</v>
      </c>
      <c r="D119" s="2">
        <v>7351.2143542269059</v>
      </c>
      <c r="E119" s="2">
        <v>218532.68649622297</v>
      </c>
      <c r="F119" s="2">
        <v>152595.82687912622</v>
      </c>
      <c r="G119" s="2">
        <v>1111423.3845726685</v>
      </c>
      <c r="H119" s="2">
        <v>15694.485165526741</v>
      </c>
      <c r="I119" s="2">
        <v>397821.2677480228</v>
      </c>
      <c r="J119" s="2">
        <v>28419.65032771754</v>
      </c>
      <c r="K119" s="2">
        <v>161628.39648185045</v>
      </c>
      <c r="L119" s="2">
        <v>64845.548697223538</v>
      </c>
      <c r="M119" s="2">
        <v>17881.67256289523</v>
      </c>
      <c r="N119" s="2">
        <v>105685.4746479496</v>
      </c>
      <c r="O119" s="2">
        <v>27838.664764303441</v>
      </c>
      <c r="P119" s="2">
        <v>50723.215772007345</v>
      </c>
      <c r="Q119" s="2">
        <v>45597.097807420621</v>
      </c>
      <c r="R119" s="2">
        <v>50252.378751246237</v>
      </c>
      <c r="S119" s="2">
        <v>30047.97080827743</v>
      </c>
      <c r="T119" s="2">
        <v>274632.19001049653</v>
      </c>
      <c r="U119" s="2">
        <v>41211.239245261131</v>
      </c>
      <c r="V119" s="2">
        <v>74430.133587374352</v>
      </c>
      <c r="W119" s="2">
        <v>14994.322117836762</v>
      </c>
      <c r="X119" s="2">
        <v>332672.9849282658</v>
      </c>
      <c r="Y119" s="2">
        <v>70957.843871311634</v>
      </c>
      <c r="Z119" s="2">
        <v>25942.893222607123</v>
      </c>
      <c r="AA119" s="2">
        <v>380030.39492222789</v>
      </c>
    </row>
    <row r="120" spans="1:27" x14ac:dyDescent="0.2">
      <c r="A120" s="1">
        <v>2089</v>
      </c>
      <c r="B120" s="2">
        <v>31328.758794477104</v>
      </c>
      <c r="C120" s="2">
        <v>53703.341258885346</v>
      </c>
      <c r="D120" s="2">
        <v>7316.2801211609303</v>
      </c>
      <c r="E120" s="2">
        <v>222568.8670007757</v>
      </c>
      <c r="F120" s="2">
        <v>152509.8861667272</v>
      </c>
      <c r="G120" s="2">
        <v>1131950.7732623862</v>
      </c>
      <c r="H120" s="2">
        <v>15739.520972885395</v>
      </c>
      <c r="I120" s="2">
        <v>405168.81136232225</v>
      </c>
      <c r="J120" s="2">
        <v>28944.5458956898</v>
      </c>
      <c r="K120" s="2">
        <v>164613.585532155</v>
      </c>
      <c r="L120" s="2">
        <v>66043.210903528234</v>
      </c>
      <c r="M120" s="2">
        <v>17796.69578398217</v>
      </c>
      <c r="N120" s="2">
        <v>107637.42819424816</v>
      </c>
      <c r="O120" s="2">
        <v>27918.548668122166</v>
      </c>
      <c r="P120" s="2">
        <v>50482.170339749449</v>
      </c>
      <c r="Q120" s="2">
        <v>45380.412568060048</v>
      </c>
      <c r="R120" s="2">
        <v>51180.513002809035</v>
      </c>
      <c r="S120" s="2">
        <v>30134.194383665075</v>
      </c>
      <c r="T120" s="2">
        <v>274680.95980276982</v>
      </c>
      <c r="U120" s="2">
        <v>41329.496162393887</v>
      </c>
      <c r="V120" s="2">
        <v>75804.817891828774</v>
      </c>
      <c r="W120" s="2">
        <v>14985.877439164335</v>
      </c>
      <c r="X120" s="2">
        <v>331092.06577256799</v>
      </c>
      <c r="Y120" s="2">
        <v>70917.880998293942</v>
      </c>
      <c r="Z120" s="2">
        <v>26017.337151743825</v>
      </c>
      <c r="AA120" s="2">
        <v>379816.3649350332</v>
      </c>
    </row>
    <row r="121" spans="1:27" x14ac:dyDescent="0.2">
      <c r="A121" s="1">
        <v>2090</v>
      </c>
      <c r="B121" s="2">
        <v>31179.879152467383</v>
      </c>
      <c r="C121" s="2">
        <v>53448.133758524426</v>
      </c>
      <c r="D121" s="2">
        <v>7281.5119015698856</v>
      </c>
      <c r="E121" s="2">
        <v>226679.59357587982</v>
      </c>
      <c r="F121" s="2">
        <v>152423.99385542929</v>
      </c>
      <c r="G121" s="2">
        <v>1152857.2917169333</v>
      </c>
      <c r="H121" s="2">
        <v>15784.686011876885</v>
      </c>
      <c r="I121" s="2">
        <v>412652.06013253157</v>
      </c>
      <c r="J121" s="2">
        <v>29479.136000860788</v>
      </c>
      <c r="K121" s="2">
        <v>167653.90940938372</v>
      </c>
      <c r="L121" s="2">
        <v>67262.993282909229</v>
      </c>
      <c r="M121" s="2">
        <v>17712.122829315922</v>
      </c>
      <c r="N121" s="2">
        <v>109625.43326663959</v>
      </c>
      <c r="O121" s="2">
        <v>27998.661801257145</v>
      </c>
      <c r="P121" s="2">
        <v>50242.27039678138</v>
      </c>
      <c r="Q121" s="2">
        <v>45164.757054169175</v>
      </c>
      <c r="R121" s="2">
        <v>52125.789391924925</v>
      </c>
      <c r="S121" s="2">
        <v>30220.66538025131</v>
      </c>
      <c r="T121" s="2">
        <v>274729.73825569078</v>
      </c>
      <c r="U121" s="2">
        <v>41448.092421383524</v>
      </c>
      <c r="V121" s="2">
        <v>77204.891871752407</v>
      </c>
      <c r="W121" s="2">
        <v>14977.437516465357</v>
      </c>
      <c r="X121" s="2">
        <v>329518.65941619588</v>
      </c>
      <c r="Y121" s="2">
        <v>70877.940632037062</v>
      </c>
      <c r="Z121" s="2">
        <v>26091.994700022296</v>
      </c>
      <c r="AA121" s="2">
        <v>379602.4554877638</v>
      </c>
    </row>
    <row r="122" spans="1:27" x14ac:dyDescent="0.2">
      <c r="A122" s="1">
        <v>2091</v>
      </c>
      <c r="B122" s="2">
        <v>31031.707012084218</v>
      </c>
      <c r="C122" s="2">
        <v>53194.139048033074</v>
      </c>
      <c r="D122" s="2">
        <v>7246.9089065292283</v>
      </c>
      <c r="E122" s="2">
        <v>230866.24304713277</v>
      </c>
      <c r="F122" s="2">
        <v>152338.14991797341</v>
      </c>
      <c r="G122" s="2">
        <v>1174149.9422579762</v>
      </c>
      <c r="H122" s="2">
        <v>15829.980653335351</v>
      </c>
      <c r="I122" s="2">
        <v>420273.52045947092</v>
      </c>
      <c r="J122" s="2">
        <v>30023.599696088317</v>
      </c>
      <c r="K122" s="2">
        <v>170750.38642396478</v>
      </c>
      <c r="L122" s="2">
        <v>68505.304382997361</v>
      </c>
      <c r="M122" s="2">
        <v>17627.951779854313</v>
      </c>
      <c r="N122" s="2">
        <v>111650.15571730879</v>
      </c>
      <c r="O122" s="2">
        <v>28079.004821488943</v>
      </c>
      <c r="P122" s="2">
        <v>50003.510499541306</v>
      </c>
      <c r="Q122" s="2">
        <v>44950.126372315732</v>
      </c>
      <c r="R122" s="2">
        <v>53088.524524601497</v>
      </c>
      <c r="S122" s="2">
        <v>30307.384508018869</v>
      </c>
      <c r="T122" s="2">
        <v>274778.52537079738</v>
      </c>
      <c r="U122" s="2">
        <v>41567.02899598192</v>
      </c>
      <c r="V122" s="2">
        <v>78630.824460716642</v>
      </c>
      <c r="W122" s="2">
        <v>14969.002347061303</v>
      </c>
      <c r="X122" s="2">
        <v>327952.73015703692</v>
      </c>
      <c r="Y122" s="2">
        <v>70838.022759865373</v>
      </c>
      <c r="Z122" s="2">
        <v>26166.866480429231</v>
      </c>
      <c r="AA122" s="2">
        <v>379388.66651253263</v>
      </c>
    </row>
    <row r="123" spans="1:27" x14ac:dyDescent="0.2">
      <c r="A123" s="1">
        <v>2092</v>
      </c>
      <c r="B123" s="2">
        <v>30884.23901115837</v>
      </c>
      <c r="C123" s="2">
        <v>52941.351364025548</v>
      </c>
      <c r="D123" s="2">
        <v>7212.4703508635212</v>
      </c>
      <c r="E123" s="2">
        <v>235130.21766935603</v>
      </c>
      <c r="F123" s="2">
        <v>152252.35432711578</v>
      </c>
      <c r="G123" s="2">
        <v>1195835.8565362745</v>
      </c>
      <c r="H123" s="2">
        <v>15875.405269159053</v>
      </c>
      <c r="I123" s="2">
        <v>428035.74503582774</v>
      </c>
      <c r="J123" s="2">
        <v>30578.119341239621</v>
      </c>
      <c r="K123" s="2">
        <v>173904.05369396909</v>
      </c>
      <c r="L123" s="2">
        <v>69770.560297077216</v>
      </c>
      <c r="M123" s="2">
        <v>17544.180725674792</v>
      </c>
      <c r="N123" s="2">
        <v>113712.27369637032</v>
      </c>
      <c r="O123" s="2">
        <v>28159.578388485646</v>
      </c>
      <c r="P123" s="2">
        <v>49765.885230336156</v>
      </c>
      <c r="Q123" s="2">
        <v>44736.515652321883</v>
      </c>
      <c r="R123" s="2">
        <v>54069.040854388018</v>
      </c>
      <c r="S123" s="2">
        <v>30394.352478987799</v>
      </c>
      <c r="T123" s="2">
        <v>274827.32114962791</v>
      </c>
      <c r="U123" s="2">
        <v>41686.306862735175</v>
      </c>
      <c r="V123" s="2">
        <v>80083.093253242274</v>
      </c>
      <c r="W123" s="2">
        <v>14960.571928275156</v>
      </c>
      <c r="X123" s="2">
        <v>326394.24246264104</v>
      </c>
      <c r="Y123" s="2">
        <v>70798.127369110385</v>
      </c>
      <c r="Z123" s="2">
        <v>26241.953107710306</v>
      </c>
      <c r="AA123" s="2">
        <v>379174.99794149079</v>
      </c>
    </row>
    <row r="124" spans="1:27" x14ac:dyDescent="0.2">
      <c r="A124" s="1">
        <v>2093</v>
      </c>
      <c r="B124" s="2">
        <v>30737.471803498218</v>
      </c>
      <c r="C124" s="2">
        <v>52689.764970504708</v>
      </c>
      <c r="D124" s="2">
        <v>7178.1954531286137</v>
      </c>
      <c r="E124" s="2">
        <v>239472.94559625906</v>
      </c>
      <c r="F124" s="2">
        <v>152166.60705562803</v>
      </c>
      <c r="G124" s="2">
        <v>1217922.29792032</v>
      </c>
      <c r="H124" s="2">
        <v>15920.960232313426</v>
      </c>
      <c r="I124" s="2">
        <v>435941.33370114246</v>
      </c>
      <c r="J124" s="2">
        <v>31142.880664270037</v>
      </c>
      <c r="K124" s="2">
        <v>177115.9674924773</v>
      </c>
      <c r="L124" s="2">
        <v>71059.184803451237</v>
      </c>
      <c r="M124" s="2">
        <v>17460.807765931084</v>
      </c>
      <c r="N124" s="2">
        <v>115812.47787900451</v>
      </c>
      <c r="O124" s="2">
        <v>28240.383163808277</v>
      </c>
      <c r="P124" s="2">
        <v>49529.389197218647</v>
      </c>
      <c r="Q124" s="2">
        <v>44523.920047153704</v>
      </c>
      <c r="R124" s="2">
        <v>55067.666790376396</v>
      </c>
      <c r="S124" s="2">
        <v>30481.570007221311</v>
      </c>
      <c r="T124" s="2">
        <v>274876.12559372082</v>
      </c>
      <c r="U124" s="2">
        <v>41805.927000991614</v>
      </c>
      <c r="V124" s="2">
        <v>81562.184664762535</v>
      </c>
      <c r="W124" s="2">
        <v>14952.146257431408</v>
      </c>
      <c r="X124" s="2">
        <v>324843.16096941452</v>
      </c>
      <c r="Y124" s="2">
        <v>70758.254447110769</v>
      </c>
      <c r="Z124" s="2">
        <v>26317.255198375224</v>
      </c>
      <c r="AA124" s="2">
        <v>378961.4497068277</v>
      </c>
    </row>
    <row r="125" spans="1:27" x14ac:dyDescent="0.2">
      <c r="A125" s="1">
        <v>2094</v>
      </c>
      <c r="B125" s="2">
        <v>30591.402058813812</v>
      </c>
      <c r="C125" s="2">
        <v>52439.374158731858</v>
      </c>
      <c r="D125" s="2">
        <v>7144.0834355939141</v>
      </c>
      <c r="E125" s="2">
        <v>243895.88135877778</v>
      </c>
      <c r="F125" s="2">
        <v>152080.90807629708</v>
      </c>
      <c r="G125" s="2">
        <v>1240416.6639290911</v>
      </c>
      <c r="H125" s="2">
        <v>15966.645916834139</v>
      </c>
      <c r="I125" s="2">
        <v>443992.93431258545</v>
      </c>
      <c r="J125" s="2">
        <v>31718.072823429768</v>
      </c>
      <c r="K125" s="2">
        <v>180387.20360136247</v>
      </c>
      <c r="L125" s="2">
        <v>72371.609507377885</v>
      </c>
      <c r="M125" s="2">
        <v>17377.831008810062</v>
      </c>
      <c r="N125" s="2">
        <v>117951.47169678865</v>
      </c>
      <c r="O125" s="2">
        <v>28321.419810916235</v>
      </c>
      <c r="P125" s="2">
        <v>49294.017033864962</v>
      </c>
      <c r="Q125" s="2">
        <v>44312.334732811214</v>
      </c>
      <c r="R125" s="2">
        <v>56084.736807196809</v>
      </c>
      <c r="S125" s="2">
        <v>30569.037808831643</v>
      </c>
      <c r="T125" s="2">
        <v>274924.93870461499</v>
      </c>
      <c r="U125" s="2">
        <v>41925.890392909823</v>
      </c>
      <c r="V125" s="2">
        <v>83068.594094540604</v>
      </c>
      <c r="W125" s="2">
        <v>14943.725331856058</v>
      </c>
      <c r="X125" s="2">
        <v>323299.45048181748</v>
      </c>
      <c r="Y125" s="2">
        <v>70718.403981212294</v>
      </c>
      <c r="Z125" s="2">
        <v>26392.773370702784</v>
      </c>
      <c r="AA125" s="2">
        <v>378748.02174077084</v>
      </c>
    </row>
    <row r="126" spans="1:27" x14ac:dyDescent="0.2">
      <c r="A126" s="1">
        <v>2095</v>
      </c>
      <c r="B126" s="2">
        <v>30446.026462641312</v>
      </c>
      <c r="C126" s="2">
        <v>52190.173247097213</v>
      </c>
      <c r="D126" s="2">
        <v>7110.1335242247387</v>
      </c>
      <c r="E126" s="2">
        <v>248400.50635224767</v>
      </c>
      <c r="F126" s="2">
        <v>151995.25736192518</v>
      </c>
      <c r="G126" s="2">
        <v>1263326.4887097399</v>
      </c>
      <c r="H126" s="2">
        <v>16012.462697830169</v>
      </c>
      <c r="I126" s="2">
        <v>452193.2436318167</v>
      </c>
      <c r="J126" s="2">
        <v>32303.888470619568</v>
      </c>
      <c r="K126" s="2">
        <v>183718.85767160697</v>
      </c>
      <c r="L126" s="2">
        <v>73708.273985631255</v>
      </c>
      <c r="M126" s="2">
        <v>17295.248571488828</v>
      </c>
      <c r="N126" s="2">
        <v>120129.97157330076</v>
      </c>
      <c r="O126" s="2">
        <v>28402.688995172728</v>
      </c>
      <c r="P126" s="2">
        <v>49059.763399452975</v>
      </c>
      <c r="Q126" s="2">
        <v>44101.754908218907</v>
      </c>
      <c r="R126" s="2">
        <v>57120.591557044907</v>
      </c>
      <c r="S126" s="2">
        <v>30656.756601985937</v>
      </c>
      <c r="T126" s="2">
        <v>274973.76048384944</v>
      </c>
      <c r="U126" s="2">
        <v>42046.198023466735</v>
      </c>
      <c r="V126" s="2">
        <v>84602.826091596027</v>
      </c>
      <c r="W126" s="2">
        <v>14935.309148876608</v>
      </c>
      <c r="X126" s="2">
        <v>321763.07597156533</v>
      </c>
      <c r="Y126" s="2">
        <v>70678.575958767862</v>
      </c>
      <c r="Z126" s="2">
        <v>26468.508244745957</v>
      </c>
      <c r="AA126" s="2">
        <v>378534.71397558594</v>
      </c>
    </row>
    <row r="127" spans="1:27" x14ac:dyDescent="0.2">
      <c r="A127" s="1">
        <v>2096</v>
      </c>
      <c r="B127" s="2">
        <v>30301.34171626778</v>
      </c>
      <c r="C127" s="2">
        <v>51942.156580990966</v>
      </c>
      <c r="D127" s="2">
        <v>7076.3449486647487</v>
      </c>
      <c r="E127" s="2">
        <v>252988.32933257468</v>
      </c>
      <c r="F127" s="2">
        <v>151909.65488532989</v>
      </c>
      <c r="G127" s="2">
        <v>1286659.4455610411</v>
      </c>
      <c r="H127" s="2">
        <v>16058.410951486881</v>
      </c>
      <c r="I127" s="2">
        <v>460545.00822822523</v>
      </c>
      <c r="J127" s="2">
        <v>32900.523815916589</v>
      </c>
      <c r="K127" s="2">
        <v>187112.04559027401</v>
      </c>
      <c r="L127" s="2">
        <v>75069.625933730684</v>
      </c>
      <c r="M127" s="2">
        <v>17213.058580091969</v>
      </c>
      <c r="N127" s="2">
        <v>122348.70716407477</v>
      </c>
      <c r="O127" s="2">
        <v>28484.191383850251</v>
      </c>
      <c r="P127" s="2">
        <v>48826.622978541069</v>
      </c>
      <c r="Q127" s="2">
        <v>43892.175795116811</v>
      </c>
      <c r="R127" s="2">
        <v>58175.577983778137</v>
      </c>
      <c r="S127" s="2">
        <v>30744.727106912142</v>
      </c>
      <c r="T127" s="2">
        <v>275022.59093296353</v>
      </c>
      <c r="U127" s="2">
        <v>42166.850880465703</v>
      </c>
      <c r="V127" s="2">
        <v>86165.394523695853</v>
      </c>
      <c r="W127" s="2">
        <v>14926.897705822066</v>
      </c>
      <c r="X127" s="2">
        <v>320234.00257683394</v>
      </c>
      <c r="Y127" s="2">
        <v>70638.770367137506</v>
      </c>
      <c r="Z127" s="2">
        <v>26544.460442336971</v>
      </c>
      <c r="AA127" s="2">
        <v>378321.52634357684</v>
      </c>
    </row>
    <row r="128" spans="1:27" x14ac:dyDescent="0.2">
      <c r="A128" s="1">
        <v>2097</v>
      </c>
      <c r="B128" s="2">
        <v>30157.344536656328</v>
      </c>
      <c r="C128" s="2">
        <v>51695.318532674988</v>
      </c>
      <c r="D128" s="2">
        <v>7042.7169422184734</v>
      </c>
      <c r="E128" s="2">
        <v>257660.88692157017</v>
      </c>
      <c r="F128" s="2">
        <v>151824.1006193441</v>
      </c>
      <c r="G128" s="2">
        <v>1310423.3495034468</v>
      </c>
      <c r="H128" s="2">
        <v>16104.491055069113</v>
      </c>
      <c r="I128" s="2">
        <v>469051.02539885091</v>
      </c>
      <c r="J128" s="2">
        <v>33508.178693291971</v>
      </c>
      <c r="K128" s="2">
        <v>190567.90385425731</v>
      </c>
      <c r="L128" s="2">
        <v>76456.12131588957</v>
      </c>
      <c r="M128" s="2">
        <v>17131.259169649056</v>
      </c>
      <c r="N128" s="2">
        <v>124608.42160098764</v>
      </c>
      <c r="O128" s="2">
        <v>28565.927646136053</v>
      </c>
      <c r="P128" s="2">
        <v>48594.590480947511</v>
      </c>
      <c r="Q128" s="2">
        <v>43683.592637952075</v>
      </c>
      <c r="R128" s="2">
        <v>59250.049439119306</v>
      </c>
      <c r="S128" s="2">
        <v>30832.95004590492</v>
      </c>
      <c r="T128" s="2">
        <v>275071.43005349685</v>
      </c>
      <c r="U128" s="2">
        <v>42287.849954544603</v>
      </c>
      <c r="V128" s="2">
        <v>87756.822749466766</v>
      </c>
      <c r="W128" s="2">
        <v>14918.491000022948</v>
      </c>
      <c r="X128" s="2">
        <v>318712.19560146844</v>
      </c>
      <c r="Y128" s="2">
        <v>70598.987193688386</v>
      </c>
      <c r="Z128" s="2">
        <v>26620.630587092426</v>
      </c>
      <c r="AA128" s="2">
        <v>378108.45877708559</v>
      </c>
    </row>
    <row r="129" spans="1:27" x14ac:dyDescent="0.2">
      <c r="A129" s="1">
        <v>2098</v>
      </c>
      <c r="B129" s="2">
        <v>30014.03165637163</v>
      </c>
      <c r="C129" s="2">
        <v>51449.653501155139</v>
      </c>
      <c r="D129" s="2">
        <v>7009.2487418339078</v>
      </c>
      <c r="E129" s="2">
        <v>262419.74412161921</v>
      </c>
      <c r="F129" s="2">
        <v>151738.594536816</v>
      </c>
      <c r="G129" s="2">
        <v>1334626.1598966094</v>
      </c>
      <c r="H129" s="2">
        <v>16150.703386924277</v>
      </c>
      <c r="I129" s="2">
        <v>477714.14410529681</v>
      </c>
      <c r="J129" s="2">
        <v>34127.056627542195</v>
      </c>
      <c r="K129" s="2">
        <v>194087.58995093341</v>
      </c>
      <c r="L129" s="2">
        <v>77868.224517733674</v>
      </c>
      <c r="M129" s="2">
        <v>17049.848484052323</v>
      </c>
      <c r="N129" s="2">
        <v>126909.87174116008</v>
      </c>
      <c r="O129" s="2">
        <v>28647.898453137641</v>
      </c>
      <c r="P129" s="2">
        <v>48363.660641630428</v>
      </c>
      <c r="Q129" s="2">
        <v>43476.000703771038</v>
      </c>
      <c r="R129" s="2">
        <v>60344.365801006395</v>
      </c>
      <c r="S129" s="2">
        <v>30921.426143331577</v>
      </c>
      <c r="T129" s="2">
        <v>275120.27784698934</v>
      </c>
      <c r="U129" s="2">
        <v>42409.196239183984</v>
      </c>
      <c r="V129" s="2">
        <v>89377.643793686206</v>
      </c>
      <c r="W129" s="2">
        <v>14910.08902881127</v>
      </c>
      <c r="X129" s="2">
        <v>317197.62051419611</v>
      </c>
      <c r="Y129" s="2">
        <v>70559.226425794768</v>
      </c>
      <c r="Z129" s="2">
        <v>26697.019304418405</v>
      </c>
      <c r="AA129" s="2">
        <v>377895.51120849221</v>
      </c>
    </row>
    <row r="130" spans="1:27" x14ac:dyDescent="0.2">
      <c r="A130" s="1">
        <v>2099</v>
      </c>
      <c r="B130" s="2">
        <v>29871.399823505762</v>
      </c>
      <c r="C130" s="2">
        <v>51205.15591205415</v>
      </c>
      <c r="D130" s="2">
        <v>6975.9395880852035</v>
      </c>
      <c r="E130" s="2">
        <v>267266.49483985419</v>
      </c>
      <c r="F130" s="2">
        <v>151653.13661060907</v>
      </c>
      <c r="G130" s="2">
        <v>1359275.9831052481</v>
      </c>
      <c r="H130" s="2">
        <v>16197.048326485465</v>
      </c>
      <c r="I130" s="2">
        <v>486537.26592794561</v>
      </c>
      <c r="J130" s="2">
        <v>34757.364902456633</v>
      </c>
      <c r="K130" s="2">
        <v>197672.28274584454</v>
      </c>
      <c r="L130" s="2">
        <v>79306.408501840066</v>
      </c>
      <c r="M130" s="2">
        <v>16968.824676014541</v>
      </c>
      <c r="N130" s="2">
        <v>129253.82842045442</v>
      </c>
      <c r="O130" s="2">
        <v>28730.104477888279</v>
      </c>
      <c r="P130" s="2">
        <v>48133.828220568321</v>
      </c>
      <c r="Q130" s="2">
        <v>43269.395282111858</v>
      </c>
      <c r="R130" s="2">
        <v>61458.893594128225</v>
      </c>
      <c r="S130" s="2">
        <v>31010.156125638023</v>
      </c>
      <c r="T130" s="2">
        <v>275169.13431498111</v>
      </c>
      <c r="U130" s="2">
        <v>42530.890730715219</v>
      </c>
      <c r="V130" s="2">
        <v>91028.400525810895</v>
      </c>
      <c r="W130" s="2">
        <v>14901.691789520552</v>
      </c>
      <c r="X130" s="2">
        <v>315690.24294784281</v>
      </c>
      <c r="Y130" s="2">
        <v>70519.488050838016</v>
      </c>
      <c r="Z130" s="2">
        <v>26773.627221515617</v>
      </c>
      <c r="AA130" s="2">
        <v>377682.6835702149</v>
      </c>
    </row>
    <row r="131" spans="1:27" x14ac:dyDescent="0.2">
      <c r="A131" s="1">
        <v>2100</v>
      </c>
      <c r="B131" s="2">
        <v>29729.44580160443</v>
      </c>
      <c r="C131" s="2">
        <v>50961.820217485161</v>
      </c>
      <c r="D131" s="2">
        <v>6942.788725155433</v>
      </c>
      <c r="E131" s="2">
        <v>272202.76242201019</v>
      </c>
      <c r="F131" s="2">
        <v>151567.72681360206</v>
      </c>
      <c r="G131" s="2">
        <v>1384381.0752142537</v>
      </c>
      <c r="H131" s="2">
        <v>16243.526254274562</v>
      </c>
      <c r="I131" s="2">
        <v>495523.34603780002</v>
      </c>
      <c r="J131" s="2">
        <v>35399.314630244131</v>
      </c>
      <c r="K131" s="2">
        <v>201323.18287754178</v>
      </c>
      <c r="L131" s="2">
        <v>80771.154966148752</v>
      </c>
      <c r="M131" s="2">
        <v>16888.185907027113</v>
      </c>
      <c r="N131" s="2">
        <v>131641.07671165437</v>
      </c>
      <c r="O131" s="2">
        <v>28812.546395352525</v>
      </c>
      <c r="P131" s="2">
        <v>47905.088002641183</v>
      </c>
      <c r="Q131" s="2">
        <v>43063.771684897612</v>
      </c>
      <c r="R131" s="2">
        <v>62594.006112686351</v>
      </c>
      <c r="S131" s="2">
        <v>31099.140721354717</v>
      </c>
      <c r="T131" s="2">
        <v>275217.99945901264</v>
      </c>
      <c r="U131" s="2">
        <v>42652.934428328677</v>
      </c>
      <c r="V131" s="2">
        <v>92709.645841802761</v>
      </c>
      <c r="W131" s="2">
        <v>14893.299279485813</v>
      </c>
      <c r="X131" s="2">
        <v>314190.02869855304</v>
      </c>
      <c r="Y131" s="2">
        <v>70479.772056206624</v>
      </c>
      <c r="Z131" s="2">
        <v>26850.454967384536</v>
      </c>
      <c r="AA131" s="2">
        <v>377469.97579470987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B195-484A-45BA-BED0-09A086585239}">
  <dimension ref="A1:AA132"/>
  <sheetViews>
    <sheetView showGridLines="0" workbookViewId="0">
      <selection activeCell="K3" sqref="K3"/>
    </sheetView>
  </sheetViews>
  <sheetFormatPr defaultRowHeight="12.75" x14ac:dyDescent="0.2"/>
  <sheetData>
    <row r="1" spans="1:27" x14ac:dyDescent="0.2">
      <c r="B1" t="s">
        <v>27</v>
      </c>
      <c r="C1" t="s">
        <v>27</v>
      </c>
      <c r="D1" t="s">
        <v>27</v>
      </c>
      <c r="E1" t="s">
        <v>28</v>
      </c>
      <c r="F1" t="s">
        <v>29</v>
      </c>
      <c r="G1" t="s">
        <v>28</v>
      </c>
      <c r="H1" t="s">
        <v>30</v>
      </c>
      <c r="I1" t="s">
        <v>28</v>
      </c>
      <c r="J1" t="s">
        <v>28</v>
      </c>
      <c r="K1" t="s">
        <v>28</v>
      </c>
      <c r="L1" t="s">
        <v>28</v>
      </c>
      <c r="M1" t="s">
        <v>27</v>
      </c>
      <c r="N1" t="s">
        <v>28</v>
      </c>
      <c r="O1" t="s">
        <v>30</v>
      </c>
      <c r="P1" t="s">
        <v>28</v>
      </c>
      <c r="Q1" t="s">
        <v>27</v>
      </c>
      <c r="R1" t="s">
        <v>28</v>
      </c>
      <c r="S1" t="s">
        <v>30</v>
      </c>
      <c r="T1" t="s">
        <v>31</v>
      </c>
      <c r="U1" t="s">
        <v>30</v>
      </c>
      <c r="V1" t="s">
        <v>28</v>
      </c>
      <c r="W1" t="s">
        <v>29</v>
      </c>
      <c r="X1" t="s">
        <v>27</v>
      </c>
      <c r="Y1" t="s">
        <v>29</v>
      </c>
      <c r="Z1" t="s">
        <v>30</v>
      </c>
      <c r="AA1" t="s">
        <v>29</v>
      </c>
    </row>
    <row r="2" spans="1:27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0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x14ac:dyDescent="0.2">
      <c r="A3" s="1">
        <v>1971</v>
      </c>
      <c r="B3" s="3">
        <f>B4*(1-(_xlfn.XLOOKUP(B$1,'[1]Table 2'!$H$55:$L$55,'[1]Table 2'!$H$56:$L$56)))</f>
        <v>6.4377571396663429</v>
      </c>
      <c r="C3" s="3">
        <f>C4*(1-(_xlfn.XLOOKUP(C$1,'[1]Table 2'!$H$55:$L$55,'[1]Table 2'!$H$56:$L$56)))</f>
        <v>6.4377571396663429</v>
      </c>
      <c r="D3" s="3">
        <f>D4*(1-(_xlfn.XLOOKUP(D$1,'[1]Table 2'!$H$55:$L$55,'[1]Table 2'!$H$56:$L$56)))</f>
        <v>6.4377571396663429</v>
      </c>
      <c r="E3" s="3">
        <f>E4*(1-(_xlfn.XLOOKUP(E$1,'[1]Table 2'!$H$55:$L$55,'[1]Table 2'!$H$56:$L$56)))</f>
        <v>12.498309159692159</v>
      </c>
      <c r="F3" s="3">
        <f>F4*(1-(_xlfn.XLOOKUP(F$1,'[1]Table 2'!$H$55:$L$55,'[1]Table 2'!$H$56:$L$56)))</f>
        <v>4.0950488380330023</v>
      </c>
      <c r="G3" s="3">
        <f>G4*(1-(_xlfn.XLOOKUP(G$1,'[1]Table 2'!$H$55:$L$55,'[1]Table 2'!$H$56:$L$56)))</f>
        <v>12.498309159692159</v>
      </c>
      <c r="H3" s="3">
        <f>H4*(1-(_xlfn.XLOOKUP(H$1,'[1]Table 2'!$H$55:$L$55,'[1]Table 2'!$H$56:$L$56)))</f>
        <v>2.7111225186272332</v>
      </c>
      <c r="I3" s="3">
        <f>I4*(1-(_xlfn.XLOOKUP(I$1,'[1]Table 2'!$H$55:$L$55,'[1]Table 2'!$H$56:$L$56)))</f>
        <v>12.498309159692159</v>
      </c>
      <c r="J3" s="3">
        <f>J4*(1-(_xlfn.XLOOKUP(J$1,'[1]Table 2'!$H$55:$L$55,'[1]Table 2'!$H$56:$L$56)))</f>
        <v>12.498309159692159</v>
      </c>
      <c r="K3" s="3">
        <f>K4*(1-(_xlfn.XLOOKUP(K$1,'[1]Table 2'!$H$55:$L$55,'[1]Table 2'!$H$56:$L$56)))</f>
        <v>12.498309159692159</v>
      </c>
      <c r="L3" s="3">
        <f>L4*(1-(_xlfn.XLOOKUP(L$1,'[1]Table 2'!$H$55:$L$55,'[1]Table 2'!$H$56:$L$56)))</f>
        <v>12.498309159692159</v>
      </c>
      <c r="M3" s="3">
        <f>M4*(1-(_xlfn.XLOOKUP(M$1,'[1]Table 2'!$H$55:$L$55,'[1]Table 2'!$H$56:$L$56)))</f>
        <v>6.4377571396663429</v>
      </c>
      <c r="N3" s="3">
        <f>N4*(1-(_xlfn.XLOOKUP(N$1,'[1]Table 2'!$H$55:$L$55,'[1]Table 2'!$H$56:$L$56)))</f>
        <v>12.498309159692159</v>
      </c>
      <c r="O3" s="3">
        <f>O4*(1-(_xlfn.XLOOKUP(O$1,'[1]Table 2'!$H$55:$L$55,'[1]Table 2'!$H$56:$L$56)))</f>
        <v>2.7111225186272332</v>
      </c>
      <c r="P3" s="3">
        <f>P4*(1-(_xlfn.XLOOKUP(P$1,'[1]Table 2'!$H$55:$L$55,'[1]Table 2'!$H$56:$L$56)))</f>
        <v>12.498309159692159</v>
      </c>
      <c r="Q3" s="3">
        <f>Q4*(1-(_xlfn.XLOOKUP(Q$1,'[1]Table 2'!$H$55:$L$55,'[1]Table 2'!$H$56:$L$56)))</f>
        <v>6.4377571396663429</v>
      </c>
      <c r="R3" s="3">
        <f>R4*(1-(_xlfn.XLOOKUP(R$1,'[1]Table 2'!$H$55:$L$55,'[1]Table 2'!$H$56:$L$56)))</f>
        <v>12.498309159692159</v>
      </c>
      <c r="S3" s="3">
        <f>S4*(1-(_xlfn.XLOOKUP(S$1,'[1]Table 2'!$H$55:$L$55,'[1]Table 2'!$H$56:$L$56)))</f>
        <v>2.7111225186272332</v>
      </c>
      <c r="T3" s="3">
        <f>T4*(1-(_xlfn.XLOOKUP(T$1,'[1]Table 2'!$H$55:$L$55,'[1]Table 2'!$H$56:$L$56)))</f>
        <v>11.866072971469379</v>
      </c>
      <c r="U3" s="3">
        <f>U4*(1-(_xlfn.XLOOKUP(U$1,'[1]Table 2'!$H$55:$L$55,'[1]Table 2'!$H$56:$L$56)))</f>
        <v>2.7111225186272332</v>
      </c>
      <c r="V3" s="3">
        <f>V4*(1-(_xlfn.XLOOKUP(V$1,'[1]Table 2'!$H$55:$L$55,'[1]Table 2'!$H$56:$L$56)))</f>
        <v>12.498309159692159</v>
      </c>
      <c r="W3" s="3">
        <f>W4*(1-(_xlfn.XLOOKUP(W$1,'[1]Table 2'!$H$55:$L$55,'[1]Table 2'!$H$56:$L$56)))</f>
        <v>4.0950488380330023</v>
      </c>
      <c r="X3" s="3">
        <f>X4*(1-(_xlfn.XLOOKUP(X$1,'[1]Table 2'!$H$55:$L$55,'[1]Table 2'!$H$56:$L$56)))</f>
        <v>6.4377571396663429</v>
      </c>
      <c r="Y3" s="3">
        <f>Y4*(1-(_xlfn.XLOOKUP(Y$1,'[1]Table 2'!$H$55:$L$55,'[1]Table 2'!$H$56:$L$56)))</f>
        <v>4.0950488380330023</v>
      </c>
      <c r="Z3" s="3">
        <f>Z4*(1-(_xlfn.XLOOKUP(Z$1,'[1]Table 2'!$H$55:$L$55,'[1]Table 2'!$H$56:$L$56)))</f>
        <v>2.7111225186272332</v>
      </c>
      <c r="AA3" s="3">
        <f>AA4*(1-(_xlfn.XLOOKUP(AA$1,'[1]Table 2'!$H$55:$L$55,'[1]Table 2'!$H$56:$L$56)))</f>
        <v>4.0950488380330023</v>
      </c>
    </row>
    <row r="4" spans="1:27" x14ac:dyDescent="0.2">
      <c r="A4" s="1">
        <v>1972</v>
      </c>
      <c r="B4" s="3">
        <f>B5*(1-(_xlfn.XLOOKUP(B$1,'[1]Table 2'!$H$55:$L$55,'[1]Table 2'!$H$56:$L$56)))</f>
        <v>6.4877437302419896</v>
      </c>
      <c r="C4" s="3">
        <f>C5*(1-(_xlfn.XLOOKUP(C$1,'[1]Table 2'!$H$55:$L$55,'[1]Table 2'!$H$56:$L$56)))</f>
        <v>6.4877437302419896</v>
      </c>
      <c r="D4" s="3">
        <f>D5*(1-(_xlfn.XLOOKUP(D$1,'[1]Table 2'!$H$55:$L$55,'[1]Table 2'!$H$56:$L$56)))</f>
        <v>6.4877437302419896</v>
      </c>
      <c r="E4" s="3">
        <f>E5*(1-(_xlfn.XLOOKUP(E$1,'[1]Table 2'!$H$55:$L$55,'[1]Table 2'!$H$56:$L$56)))</f>
        <v>12.61226554770689</v>
      </c>
      <c r="F4" s="3">
        <f>F5*(1-(_xlfn.XLOOKUP(F$1,'[1]Table 2'!$H$55:$L$55,'[1]Table 2'!$H$56:$L$56)))</f>
        <v>4.0966108743588059</v>
      </c>
      <c r="G4" s="3">
        <f>G5*(1-(_xlfn.XLOOKUP(G$1,'[1]Table 2'!$H$55:$L$55,'[1]Table 2'!$H$56:$L$56)))</f>
        <v>12.61226554770689</v>
      </c>
      <c r="H4" s="3">
        <f>H5*(1-(_xlfn.XLOOKUP(H$1,'[1]Table 2'!$H$55:$L$55,'[1]Table 2'!$H$56:$L$56)))</f>
        <v>2.709457297240649</v>
      </c>
      <c r="I4" s="3">
        <f>I5*(1-(_xlfn.XLOOKUP(I$1,'[1]Table 2'!$H$55:$L$55,'[1]Table 2'!$H$56:$L$56)))</f>
        <v>12.61226554770689</v>
      </c>
      <c r="J4" s="3">
        <f>J5*(1-(_xlfn.XLOOKUP(J$1,'[1]Table 2'!$H$55:$L$55,'[1]Table 2'!$H$56:$L$56)))</f>
        <v>12.61226554770689</v>
      </c>
      <c r="K4" s="3">
        <f>K5*(1-(_xlfn.XLOOKUP(K$1,'[1]Table 2'!$H$55:$L$55,'[1]Table 2'!$H$56:$L$56)))</f>
        <v>12.61226554770689</v>
      </c>
      <c r="L4" s="3">
        <f>L5*(1-(_xlfn.XLOOKUP(L$1,'[1]Table 2'!$H$55:$L$55,'[1]Table 2'!$H$56:$L$56)))</f>
        <v>12.61226554770689</v>
      </c>
      <c r="M4" s="3">
        <f>M5*(1-(_xlfn.XLOOKUP(M$1,'[1]Table 2'!$H$55:$L$55,'[1]Table 2'!$H$56:$L$56)))</f>
        <v>6.4877437302419896</v>
      </c>
      <c r="N4" s="3">
        <f>N5*(1-(_xlfn.XLOOKUP(N$1,'[1]Table 2'!$H$55:$L$55,'[1]Table 2'!$H$56:$L$56)))</f>
        <v>12.61226554770689</v>
      </c>
      <c r="O4" s="3">
        <f>O5*(1-(_xlfn.XLOOKUP(O$1,'[1]Table 2'!$H$55:$L$55,'[1]Table 2'!$H$56:$L$56)))</f>
        <v>2.709457297240649</v>
      </c>
      <c r="P4" s="3">
        <f>P5*(1-(_xlfn.XLOOKUP(P$1,'[1]Table 2'!$H$55:$L$55,'[1]Table 2'!$H$56:$L$56)))</f>
        <v>12.61226554770689</v>
      </c>
      <c r="Q4" s="3">
        <f>Q5*(1-(_xlfn.XLOOKUP(Q$1,'[1]Table 2'!$H$55:$L$55,'[1]Table 2'!$H$56:$L$56)))</f>
        <v>6.4877437302419896</v>
      </c>
      <c r="R4" s="3">
        <f>R5*(1-(_xlfn.XLOOKUP(R$1,'[1]Table 2'!$H$55:$L$55,'[1]Table 2'!$H$56:$L$56)))</f>
        <v>12.61226554770689</v>
      </c>
      <c r="S4" s="3">
        <f>S5*(1-(_xlfn.XLOOKUP(S$1,'[1]Table 2'!$H$55:$L$55,'[1]Table 2'!$H$56:$L$56)))</f>
        <v>2.709457297240649</v>
      </c>
      <c r="T4" s="3">
        <f>T5*(1-(_xlfn.XLOOKUP(T$1,'[1]Table 2'!$H$55:$L$55,'[1]Table 2'!$H$56:$L$56)))</f>
        <v>12.107250107750874</v>
      </c>
      <c r="U4" s="3">
        <f>U5*(1-(_xlfn.XLOOKUP(U$1,'[1]Table 2'!$H$55:$L$55,'[1]Table 2'!$H$56:$L$56)))</f>
        <v>2.709457297240649</v>
      </c>
      <c r="V4" s="3">
        <f>V5*(1-(_xlfn.XLOOKUP(V$1,'[1]Table 2'!$H$55:$L$55,'[1]Table 2'!$H$56:$L$56)))</f>
        <v>12.61226554770689</v>
      </c>
      <c r="W4" s="3">
        <f>W5*(1-(_xlfn.XLOOKUP(W$1,'[1]Table 2'!$H$55:$L$55,'[1]Table 2'!$H$56:$L$56)))</f>
        <v>4.0966108743588059</v>
      </c>
      <c r="X4" s="3">
        <f>X5*(1-(_xlfn.XLOOKUP(X$1,'[1]Table 2'!$H$55:$L$55,'[1]Table 2'!$H$56:$L$56)))</f>
        <v>6.4877437302419896</v>
      </c>
      <c r="Y4" s="3">
        <f>Y5*(1-(_xlfn.XLOOKUP(Y$1,'[1]Table 2'!$H$55:$L$55,'[1]Table 2'!$H$56:$L$56)))</f>
        <v>4.0966108743588059</v>
      </c>
      <c r="Z4" s="3">
        <f>Z5*(1-(_xlfn.XLOOKUP(Z$1,'[1]Table 2'!$H$55:$L$55,'[1]Table 2'!$H$56:$L$56)))</f>
        <v>2.709457297240649</v>
      </c>
      <c r="AA4" s="3">
        <f>AA5*(1-(_xlfn.XLOOKUP(AA$1,'[1]Table 2'!$H$55:$L$55,'[1]Table 2'!$H$56:$L$56)))</f>
        <v>4.0966108743588059</v>
      </c>
    </row>
    <row r="5" spans="1:27" x14ac:dyDescent="0.2">
      <c r="A5" s="1">
        <v>1973</v>
      </c>
      <c r="B5" s="3">
        <f>B6*(1-(_xlfn.XLOOKUP(B$1,'[1]Table 2'!$H$55:$L$55,'[1]Table 2'!$H$56:$L$56)))</f>
        <v>6.5381184465550897</v>
      </c>
      <c r="C5" s="3">
        <f>C6*(1-(_xlfn.XLOOKUP(C$1,'[1]Table 2'!$H$55:$L$55,'[1]Table 2'!$H$56:$L$56)))</f>
        <v>6.5381184465550897</v>
      </c>
      <c r="D5" s="3">
        <f>D6*(1-(_xlfn.XLOOKUP(D$1,'[1]Table 2'!$H$55:$L$55,'[1]Table 2'!$H$56:$L$56)))</f>
        <v>6.5381184465550897</v>
      </c>
      <c r="E5" s="3">
        <f>E6*(1-(_xlfn.XLOOKUP(E$1,'[1]Table 2'!$H$55:$L$55,'[1]Table 2'!$H$56:$L$56)))</f>
        <v>12.727260960937228</v>
      </c>
      <c r="F5" s="3">
        <f>F6*(1-(_xlfn.XLOOKUP(F$1,'[1]Table 2'!$H$55:$L$55,'[1]Table 2'!$H$56:$L$56)))</f>
        <v>4.0981735065157165</v>
      </c>
      <c r="G5" s="3">
        <f>G6*(1-(_xlfn.XLOOKUP(G$1,'[1]Table 2'!$H$55:$L$55,'[1]Table 2'!$H$56:$L$56)))</f>
        <v>12.727260960937228</v>
      </c>
      <c r="H5" s="3">
        <f>H6*(1-(_xlfn.XLOOKUP(H$1,'[1]Table 2'!$H$55:$L$55,'[1]Table 2'!$H$56:$L$56)))</f>
        <v>2.707793098663712</v>
      </c>
      <c r="I5" s="3">
        <f>I6*(1-(_xlfn.XLOOKUP(I$1,'[1]Table 2'!$H$55:$L$55,'[1]Table 2'!$H$56:$L$56)))</f>
        <v>12.727260960937228</v>
      </c>
      <c r="J5" s="3">
        <f>J6*(1-(_xlfn.XLOOKUP(J$1,'[1]Table 2'!$H$55:$L$55,'[1]Table 2'!$H$56:$L$56)))</f>
        <v>12.727260960937228</v>
      </c>
      <c r="K5" s="3">
        <f>K6*(1-(_xlfn.XLOOKUP(K$1,'[1]Table 2'!$H$55:$L$55,'[1]Table 2'!$H$56:$L$56)))</f>
        <v>12.727260960937228</v>
      </c>
      <c r="L5" s="3">
        <f>L6*(1-(_xlfn.XLOOKUP(L$1,'[1]Table 2'!$H$55:$L$55,'[1]Table 2'!$H$56:$L$56)))</f>
        <v>12.727260960937228</v>
      </c>
      <c r="M5" s="3">
        <f>M6*(1-(_xlfn.XLOOKUP(M$1,'[1]Table 2'!$H$55:$L$55,'[1]Table 2'!$H$56:$L$56)))</f>
        <v>6.5381184465550897</v>
      </c>
      <c r="N5" s="3">
        <f>N6*(1-(_xlfn.XLOOKUP(N$1,'[1]Table 2'!$H$55:$L$55,'[1]Table 2'!$H$56:$L$56)))</f>
        <v>12.727260960937228</v>
      </c>
      <c r="O5" s="3">
        <f>O6*(1-(_xlfn.XLOOKUP(O$1,'[1]Table 2'!$H$55:$L$55,'[1]Table 2'!$H$56:$L$56)))</f>
        <v>2.707793098663712</v>
      </c>
      <c r="P5" s="3">
        <f>P6*(1-(_xlfn.XLOOKUP(P$1,'[1]Table 2'!$H$55:$L$55,'[1]Table 2'!$H$56:$L$56)))</f>
        <v>12.727260960937228</v>
      </c>
      <c r="Q5" s="3">
        <f>Q6*(1-(_xlfn.XLOOKUP(Q$1,'[1]Table 2'!$H$55:$L$55,'[1]Table 2'!$H$56:$L$56)))</f>
        <v>6.5381184465550897</v>
      </c>
      <c r="R5" s="3">
        <f>R6*(1-(_xlfn.XLOOKUP(R$1,'[1]Table 2'!$H$55:$L$55,'[1]Table 2'!$H$56:$L$56)))</f>
        <v>12.727260960937228</v>
      </c>
      <c r="S5" s="3">
        <f>S6*(1-(_xlfn.XLOOKUP(S$1,'[1]Table 2'!$H$55:$L$55,'[1]Table 2'!$H$56:$L$56)))</f>
        <v>2.707793098663712</v>
      </c>
      <c r="T5" s="3">
        <f>T6*(1-(_xlfn.XLOOKUP(T$1,'[1]Table 2'!$H$55:$L$55,'[1]Table 2'!$H$56:$L$56)))</f>
        <v>12.35332915313109</v>
      </c>
      <c r="U5" s="3">
        <f>U6*(1-(_xlfn.XLOOKUP(U$1,'[1]Table 2'!$H$55:$L$55,'[1]Table 2'!$H$56:$L$56)))</f>
        <v>2.707793098663712</v>
      </c>
      <c r="V5" s="3">
        <f>V6*(1-(_xlfn.XLOOKUP(V$1,'[1]Table 2'!$H$55:$L$55,'[1]Table 2'!$H$56:$L$56)))</f>
        <v>12.727260960937228</v>
      </c>
      <c r="W5" s="3">
        <f>W6*(1-(_xlfn.XLOOKUP(W$1,'[1]Table 2'!$H$55:$L$55,'[1]Table 2'!$H$56:$L$56)))</f>
        <v>4.0981735065157165</v>
      </c>
      <c r="X5" s="3">
        <f>X6*(1-(_xlfn.XLOOKUP(X$1,'[1]Table 2'!$H$55:$L$55,'[1]Table 2'!$H$56:$L$56)))</f>
        <v>6.5381184465550897</v>
      </c>
      <c r="Y5" s="3">
        <f>Y6*(1-(_xlfn.XLOOKUP(Y$1,'[1]Table 2'!$H$55:$L$55,'[1]Table 2'!$H$56:$L$56)))</f>
        <v>4.0981735065157165</v>
      </c>
      <c r="Z5" s="3">
        <f>Z6*(1-(_xlfn.XLOOKUP(Z$1,'[1]Table 2'!$H$55:$L$55,'[1]Table 2'!$H$56:$L$56)))</f>
        <v>2.707793098663712</v>
      </c>
      <c r="AA5" s="3">
        <f>AA6*(1-(_xlfn.XLOOKUP(AA$1,'[1]Table 2'!$H$55:$L$55,'[1]Table 2'!$H$56:$L$56)))</f>
        <v>4.0981735065157165</v>
      </c>
    </row>
    <row r="6" spans="1:27" x14ac:dyDescent="0.2">
      <c r="A6" s="1">
        <v>1974</v>
      </c>
      <c r="B6" s="3">
        <f>B7*(1-(_xlfn.XLOOKUP(B$1,'[1]Table 2'!$H$55:$L$55,'[1]Table 2'!$H$56:$L$56)))</f>
        <v>6.5888843022456278</v>
      </c>
      <c r="C6" s="3">
        <f>C7*(1-(_xlfn.XLOOKUP(C$1,'[1]Table 2'!$H$55:$L$55,'[1]Table 2'!$H$56:$L$56)))</f>
        <v>6.5888843022456278</v>
      </c>
      <c r="D6" s="3">
        <f>D7*(1-(_xlfn.XLOOKUP(D$1,'[1]Table 2'!$H$55:$L$55,'[1]Table 2'!$H$56:$L$56)))</f>
        <v>6.5888843022456278</v>
      </c>
      <c r="E6" s="3">
        <f>E7*(1-(_xlfn.XLOOKUP(E$1,'[1]Table 2'!$H$55:$L$55,'[1]Table 2'!$H$56:$L$56)))</f>
        <v>12.843304872949485</v>
      </c>
      <c r="F6" s="3">
        <f>F7*(1-(_xlfn.XLOOKUP(F$1,'[1]Table 2'!$H$55:$L$55,'[1]Table 2'!$H$56:$L$56)))</f>
        <v>4.0997367347310121</v>
      </c>
      <c r="G6" s="3">
        <f>G7*(1-(_xlfn.XLOOKUP(G$1,'[1]Table 2'!$H$55:$L$55,'[1]Table 2'!$H$56:$L$56)))</f>
        <v>12.843304872949485</v>
      </c>
      <c r="H6" s="3">
        <f>H7*(1-(_xlfn.XLOOKUP(H$1,'[1]Table 2'!$H$55:$L$55,'[1]Table 2'!$H$56:$L$56)))</f>
        <v>2.7061299222681936</v>
      </c>
      <c r="I6" s="3">
        <f>I7*(1-(_xlfn.XLOOKUP(I$1,'[1]Table 2'!$H$55:$L$55,'[1]Table 2'!$H$56:$L$56)))</f>
        <v>12.843304872949485</v>
      </c>
      <c r="J6" s="3">
        <f>J7*(1-(_xlfn.XLOOKUP(J$1,'[1]Table 2'!$H$55:$L$55,'[1]Table 2'!$H$56:$L$56)))</f>
        <v>12.843304872949485</v>
      </c>
      <c r="K6" s="3">
        <f>K7*(1-(_xlfn.XLOOKUP(K$1,'[1]Table 2'!$H$55:$L$55,'[1]Table 2'!$H$56:$L$56)))</f>
        <v>12.843304872949485</v>
      </c>
      <c r="L6" s="3">
        <f>L7*(1-(_xlfn.XLOOKUP(L$1,'[1]Table 2'!$H$55:$L$55,'[1]Table 2'!$H$56:$L$56)))</f>
        <v>12.843304872949485</v>
      </c>
      <c r="M6" s="3">
        <f>M7*(1-(_xlfn.XLOOKUP(M$1,'[1]Table 2'!$H$55:$L$55,'[1]Table 2'!$H$56:$L$56)))</f>
        <v>6.5888843022456278</v>
      </c>
      <c r="N6" s="3">
        <f>N7*(1-(_xlfn.XLOOKUP(N$1,'[1]Table 2'!$H$55:$L$55,'[1]Table 2'!$H$56:$L$56)))</f>
        <v>12.843304872949485</v>
      </c>
      <c r="O6" s="3">
        <f>O7*(1-(_xlfn.XLOOKUP(O$1,'[1]Table 2'!$H$55:$L$55,'[1]Table 2'!$H$56:$L$56)))</f>
        <v>2.7061299222681936</v>
      </c>
      <c r="P6" s="3">
        <f>P7*(1-(_xlfn.XLOOKUP(P$1,'[1]Table 2'!$H$55:$L$55,'[1]Table 2'!$H$56:$L$56)))</f>
        <v>12.843304872949485</v>
      </c>
      <c r="Q6" s="3">
        <f>Q7*(1-(_xlfn.XLOOKUP(Q$1,'[1]Table 2'!$H$55:$L$55,'[1]Table 2'!$H$56:$L$56)))</f>
        <v>6.5888843022456278</v>
      </c>
      <c r="R6" s="3">
        <f>R7*(1-(_xlfn.XLOOKUP(R$1,'[1]Table 2'!$H$55:$L$55,'[1]Table 2'!$H$56:$L$56)))</f>
        <v>12.843304872949485</v>
      </c>
      <c r="S6" s="3">
        <f>S7*(1-(_xlfn.XLOOKUP(S$1,'[1]Table 2'!$H$55:$L$55,'[1]Table 2'!$H$56:$L$56)))</f>
        <v>2.7061299222681936</v>
      </c>
      <c r="T6" s="3">
        <f>T7*(1-(_xlfn.XLOOKUP(T$1,'[1]Table 2'!$H$55:$L$55,'[1]Table 2'!$H$56:$L$56)))</f>
        <v>12.604409738583275</v>
      </c>
      <c r="U6" s="3">
        <f>U7*(1-(_xlfn.XLOOKUP(U$1,'[1]Table 2'!$H$55:$L$55,'[1]Table 2'!$H$56:$L$56)))</f>
        <v>2.7061299222681936</v>
      </c>
      <c r="V6" s="3">
        <f>V7*(1-(_xlfn.XLOOKUP(V$1,'[1]Table 2'!$H$55:$L$55,'[1]Table 2'!$H$56:$L$56)))</f>
        <v>12.843304872949485</v>
      </c>
      <c r="W6" s="3">
        <f>W7*(1-(_xlfn.XLOOKUP(W$1,'[1]Table 2'!$H$55:$L$55,'[1]Table 2'!$H$56:$L$56)))</f>
        <v>4.0997367347310121</v>
      </c>
      <c r="X6" s="3">
        <f>X7*(1-(_xlfn.XLOOKUP(X$1,'[1]Table 2'!$H$55:$L$55,'[1]Table 2'!$H$56:$L$56)))</f>
        <v>6.5888843022456278</v>
      </c>
      <c r="Y6" s="3">
        <f>Y7*(1-(_xlfn.XLOOKUP(Y$1,'[1]Table 2'!$H$55:$L$55,'[1]Table 2'!$H$56:$L$56)))</f>
        <v>4.0997367347310121</v>
      </c>
      <c r="Z6" s="3">
        <f>Z7*(1-(_xlfn.XLOOKUP(Z$1,'[1]Table 2'!$H$55:$L$55,'[1]Table 2'!$H$56:$L$56)))</f>
        <v>2.7061299222681936</v>
      </c>
      <c r="AA6" s="3">
        <f>AA7*(1-(_xlfn.XLOOKUP(AA$1,'[1]Table 2'!$H$55:$L$55,'[1]Table 2'!$H$56:$L$56)))</f>
        <v>4.0997367347310121</v>
      </c>
    </row>
    <row r="7" spans="1:27" x14ac:dyDescent="0.2">
      <c r="A7" s="1">
        <v>1975</v>
      </c>
      <c r="B7" s="3">
        <f>B8*(1-(_xlfn.XLOOKUP(B$1,'[1]Table 2'!$H$55:$L$55,'[1]Table 2'!$H$56:$L$56)))</f>
        <v>6.6400443343532896</v>
      </c>
      <c r="C7" s="3">
        <f>C8*(1-(_xlfn.XLOOKUP(C$1,'[1]Table 2'!$H$55:$L$55,'[1]Table 2'!$H$56:$L$56)))</f>
        <v>6.6400443343532896</v>
      </c>
      <c r="D7" s="3">
        <f>D8*(1-(_xlfn.XLOOKUP(D$1,'[1]Table 2'!$H$55:$L$55,'[1]Table 2'!$H$56:$L$56)))</f>
        <v>6.6400443343532896</v>
      </c>
      <c r="E7" s="3">
        <f>E8*(1-(_xlfn.XLOOKUP(E$1,'[1]Table 2'!$H$55:$L$55,'[1]Table 2'!$H$56:$L$56)))</f>
        <v>12.960406843687531</v>
      </c>
      <c r="F7" s="3">
        <f>F8*(1-(_xlfn.XLOOKUP(F$1,'[1]Table 2'!$H$55:$L$55,'[1]Table 2'!$H$56:$L$56)))</f>
        <v>4.1013005592320546</v>
      </c>
      <c r="G7" s="3">
        <f>G8*(1-(_xlfn.XLOOKUP(G$1,'[1]Table 2'!$H$55:$L$55,'[1]Table 2'!$H$56:$L$56)))</f>
        <v>12.960406843687531</v>
      </c>
      <c r="H7" s="3">
        <f>H8*(1-(_xlfn.XLOOKUP(H$1,'[1]Table 2'!$H$55:$L$55,'[1]Table 2'!$H$56:$L$56)))</f>
        <v>2.7044677674262507</v>
      </c>
      <c r="I7" s="3">
        <f>I8*(1-(_xlfn.XLOOKUP(I$1,'[1]Table 2'!$H$55:$L$55,'[1]Table 2'!$H$56:$L$56)))</f>
        <v>12.960406843687531</v>
      </c>
      <c r="J7" s="3">
        <f>J8*(1-(_xlfn.XLOOKUP(J$1,'[1]Table 2'!$H$55:$L$55,'[1]Table 2'!$H$56:$L$56)))</f>
        <v>12.960406843687531</v>
      </c>
      <c r="K7" s="3">
        <f>K8*(1-(_xlfn.XLOOKUP(K$1,'[1]Table 2'!$H$55:$L$55,'[1]Table 2'!$H$56:$L$56)))</f>
        <v>12.960406843687531</v>
      </c>
      <c r="L7" s="3">
        <f>L8*(1-(_xlfn.XLOOKUP(L$1,'[1]Table 2'!$H$55:$L$55,'[1]Table 2'!$H$56:$L$56)))</f>
        <v>12.960406843687531</v>
      </c>
      <c r="M7" s="3">
        <f>M8*(1-(_xlfn.XLOOKUP(M$1,'[1]Table 2'!$H$55:$L$55,'[1]Table 2'!$H$56:$L$56)))</f>
        <v>6.6400443343532896</v>
      </c>
      <c r="N7" s="3">
        <f>N8*(1-(_xlfn.XLOOKUP(N$1,'[1]Table 2'!$H$55:$L$55,'[1]Table 2'!$H$56:$L$56)))</f>
        <v>12.960406843687531</v>
      </c>
      <c r="O7" s="3">
        <f>O8*(1-(_xlfn.XLOOKUP(O$1,'[1]Table 2'!$H$55:$L$55,'[1]Table 2'!$H$56:$L$56)))</f>
        <v>2.7044677674262507</v>
      </c>
      <c r="P7" s="3">
        <f>P8*(1-(_xlfn.XLOOKUP(P$1,'[1]Table 2'!$H$55:$L$55,'[1]Table 2'!$H$56:$L$56)))</f>
        <v>12.960406843687531</v>
      </c>
      <c r="Q7" s="3">
        <f>Q8*(1-(_xlfn.XLOOKUP(Q$1,'[1]Table 2'!$H$55:$L$55,'[1]Table 2'!$H$56:$L$56)))</f>
        <v>6.6400443343532896</v>
      </c>
      <c r="R7" s="3">
        <f>R8*(1-(_xlfn.XLOOKUP(R$1,'[1]Table 2'!$H$55:$L$55,'[1]Table 2'!$H$56:$L$56)))</f>
        <v>12.960406843687531</v>
      </c>
      <c r="S7" s="3">
        <f>S8*(1-(_xlfn.XLOOKUP(S$1,'[1]Table 2'!$H$55:$L$55,'[1]Table 2'!$H$56:$L$56)))</f>
        <v>2.7044677674262507</v>
      </c>
      <c r="T7" s="3">
        <f>T8*(1-(_xlfn.XLOOKUP(T$1,'[1]Table 2'!$H$55:$L$55,'[1]Table 2'!$H$56:$L$56)))</f>
        <v>12.860593520073511</v>
      </c>
      <c r="U7" s="3">
        <f>U8*(1-(_xlfn.XLOOKUP(U$1,'[1]Table 2'!$H$55:$L$55,'[1]Table 2'!$H$56:$L$56)))</f>
        <v>2.7044677674262507</v>
      </c>
      <c r="V7" s="3">
        <f>V8*(1-(_xlfn.XLOOKUP(V$1,'[1]Table 2'!$H$55:$L$55,'[1]Table 2'!$H$56:$L$56)))</f>
        <v>12.960406843687531</v>
      </c>
      <c r="W7" s="3">
        <f>W8*(1-(_xlfn.XLOOKUP(W$1,'[1]Table 2'!$H$55:$L$55,'[1]Table 2'!$H$56:$L$56)))</f>
        <v>4.1013005592320546</v>
      </c>
      <c r="X7" s="3">
        <f>X8*(1-(_xlfn.XLOOKUP(X$1,'[1]Table 2'!$H$55:$L$55,'[1]Table 2'!$H$56:$L$56)))</f>
        <v>6.6400443343532896</v>
      </c>
      <c r="Y7" s="3">
        <f>Y8*(1-(_xlfn.XLOOKUP(Y$1,'[1]Table 2'!$H$55:$L$55,'[1]Table 2'!$H$56:$L$56)))</f>
        <v>4.1013005592320546</v>
      </c>
      <c r="Z7" s="3">
        <f>Z8*(1-(_xlfn.XLOOKUP(Z$1,'[1]Table 2'!$H$55:$L$55,'[1]Table 2'!$H$56:$L$56)))</f>
        <v>2.7044677674262507</v>
      </c>
      <c r="AA7" s="3">
        <f>AA8*(1-(_xlfn.XLOOKUP(AA$1,'[1]Table 2'!$H$55:$L$55,'[1]Table 2'!$H$56:$L$56)))</f>
        <v>4.1013005592320546</v>
      </c>
    </row>
    <row r="8" spans="1:27" x14ac:dyDescent="0.2">
      <c r="A8" s="1">
        <v>1976</v>
      </c>
      <c r="B8" s="3">
        <f>B9*(1-(_xlfn.XLOOKUP(B$1,'[1]Table 2'!$H$55:$L$55,'[1]Table 2'!$H$56:$L$56)))</f>
        <v>6.6916016034991497</v>
      </c>
      <c r="C8" s="3">
        <f>C9*(1-(_xlfn.XLOOKUP(C$1,'[1]Table 2'!$H$55:$L$55,'[1]Table 2'!$H$56:$L$56)))</f>
        <v>6.6916016034991497</v>
      </c>
      <c r="D8" s="3">
        <f>D9*(1-(_xlfn.XLOOKUP(D$1,'[1]Table 2'!$H$55:$L$55,'[1]Table 2'!$H$56:$L$56)))</f>
        <v>6.6916016034991497</v>
      </c>
      <c r="E8" s="3">
        <f>E9*(1-(_xlfn.XLOOKUP(E$1,'[1]Table 2'!$H$55:$L$55,'[1]Table 2'!$H$56:$L$56)))</f>
        <v>13.078576520260359</v>
      </c>
      <c r="F8" s="3">
        <f>F9*(1-(_xlfn.XLOOKUP(F$1,'[1]Table 2'!$H$55:$L$55,'[1]Table 2'!$H$56:$L$56)))</f>
        <v>4.1028649802462951</v>
      </c>
      <c r="G8" s="3">
        <f>G9*(1-(_xlfn.XLOOKUP(G$1,'[1]Table 2'!$H$55:$L$55,'[1]Table 2'!$H$56:$L$56)))</f>
        <v>13.078576520260359</v>
      </c>
      <c r="H8" s="3">
        <f>H9*(1-(_xlfn.XLOOKUP(H$1,'[1]Table 2'!$H$55:$L$55,'[1]Table 2'!$H$56:$L$56)))</f>
        <v>2.7028066335104266</v>
      </c>
      <c r="I8" s="3">
        <f>I9*(1-(_xlfn.XLOOKUP(I$1,'[1]Table 2'!$H$55:$L$55,'[1]Table 2'!$H$56:$L$56)))</f>
        <v>13.078576520260359</v>
      </c>
      <c r="J8" s="3">
        <f>J9*(1-(_xlfn.XLOOKUP(J$1,'[1]Table 2'!$H$55:$L$55,'[1]Table 2'!$H$56:$L$56)))</f>
        <v>13.078576520260359</v>
      </c>
      <c r="K8" s="3">
        <f>K9*(1-(_xlfn.XLOOKUP(K$1,'[1]Table 2'!$H$55:$L$55,'[1]Table 2'!$H$56:$L$56)))</f>
        <v>13.078576520260359</v>
      </c>
      <c r="L8" s="3">
        <f>L9*(1-(_xlfn.XLOOKUP(L$1,'[1]Table 2'!$H$55:$L$55,'[1]Table 2'!$H$56:$L$56)))</f>
        <v>13.078576520260359</v>
      </c>
      <c r="M8" s="3">
        <f>M9*(1-(_xlfn.XLOOKUP(M$1,'[1]Table 2'!$H$55:$L$55,'[1]Table 2'!$H$56:$L$56)))</f>
        <v>6.6916016034991497</v>
      </c>
      <c r="N8" s="3">
        <f>N9*(1-(_xlfn.XLOOKUP(N$1,'[1]Table 2'!$H$55:$L$55,'[1]Table 2'!$H$56:$L$56)))</f>
        <v>13.078576520260359</v>
      </c>
      <c r="O8" s="3">
        <f>O9*(1-(_xlfn.XLOOKUP(O$1,'[1]Table 2'!$H$55:$L$55,'[1]Table 2'!$H$56:$L$56)))</f>
        <v>2.7028066335104266</v>
      </c>
      <c r="P8" s="3">
        <f>P9*(1-(_xlfn.XLOOKUP(P$1,'[1]Table 2'!$H$55:$L$55,'[1]Table 2'!$H$56:$L$56)))</f>
        <v>13.078576520260359</v>
      </c>
      <c r="Q8" s="3">
        <f>Q9*(1-(_xlfn.XLOOKUP(Q$1,'[1]Table 2'!$H$55:$L$55,'[1]Table 2'!$H$56:$L$56)))</f>
        <v>6.6916016034991497</v>
      </c>
      <c r="R8" s="3">
        <f>R9*(1-(_xlfn.XLOOKUP(R$1,'[1]Table 2'!$H$55:$L$55,'[1]Table 2'!$H$56:$L$56)))</f>
        <v>13.078576520260359</v>
      </c>
      <c r="S8" s="3">
        <f>S9*(1-(_xlfn.XLOOKUP(S$1,'[1]Table 2'!$H$55:$L$55,'[1]Table 2'!$H$56:$L$56)))</f>
        <v>2.7028066335104266</v>
      </c>
      <c r="T8" s="3">
        <f>T9*(1-(_xlfn.XLOOKUP(T$1,'[1]Table 2'!$H$55:$L$55,'[1]Table 2'!$H$56:$L$56)))</f>
        <v>13.121984219718568</v>
      </c>
      <c r="U8" s="3">
        <f>U9*(1-(_xlfn.XLOOKUP(U$1,'[1]Table 2'!$H$55:$L$55,'[1]Table 2'!$H$56:$L$56)))</f>
        <v>2.7028066335104266</v>
      </c>
      <c r="V8" s="3">
        <f>V9*(1-(_xlfn.XLOOKUP(V$1,'[1]Table 2'!$H$55:$L$55,'[1]Table 2'!$H$56:$L$56)))</f>
        <v>13.078576520260359</v>
      </c>
      <c r="W8" s="3">
        <f>W9*(1-(_xlfn.XLOOKUP(W$1,'[1]Table 2'!$H$55:$L$55,'[1]Table 2'!$H$56:$L$56)))</f>
        <v>4.1028649802462951</v>
      </c>
      <c r="X8" s="3">
        <f>X9*(1-(_xlfn.XLOOKUP(X$1,'[1]Table 2'!$H$55:$L$55,'[1]Table 2'!$H$56:$L$56)))</f>
        <v>6.6916016034991497</v>
      </c>
      <c r="Y8" s="3">
        <f>Y9*(1-(_xlfn.XLOOKUP(Y$1,'[1]Table 2'!$H$55:$L$55,'[1]Table 2'!$H$56:$L$56)))</f>
        <v>4.1028649802462951</v>
      </c>
      <c r="Z8" s="3">
        <f>Z9*(1-(_xlfn.XLOOKUP(Z$1,'[1]Table 2'!$H$55:$L$55,'[1]Table 2'!$H$56:$L$56)))</f>
        <v>2.7028066335104266</v>
      </c>
      <c r="AA8" s="3">
        <f>AA9*(1-(_xlfn.XLOOKUP(AA$1,'[1]Table 2'!$H$55:$L$55,'[1]Table 2'!$H$56:$L$56)))</f>
        <v>4.1028649802462951</v>
      </c>
    </row>
    <row r="9" spans="1:27" x14ac:dyDescent="0.2">
      <c r="A9" s="1">
        <v>1977</v>
      </c>
      <c r="B9" s="3">
        <f>B10*(1-(_xlfn.XLOOKUP(B$1,'[1]Table 2'!$H$55:$L$55,'[1]Table 2'!$H$56:$L$56)))</f>
        <v>6.7435591940687729</v>
      </c>
      <c r="C9" s="3">
        <f>C10*(1-(_xlfn.XLOOKUP(C$1,'[1]Table 2'!$H$55:$L$55,'[1]Table 2'!$H$56:$L$56)))</f>
        <v>6.7435591940687729</v>
      </c>
      <c r="D9" s="3">
        <f>D10*(1-(_xlfn.XLOOKUP(D$1,'[1]Table 2'!$H$55:$L$55,'[1]Table 2'!$H$56:$L$56)))</f>
        <v>6.7435591940687729</v>
      </c>
      <c r="E9" s="3">
        <f>E10*(1-(_xlfn.XLOOKUP(E$1,'[1]Table 2'!$H$55:$L$55,'[1]Table 2'!$H$56:$L$56)))</f>
        <v>13.197823637736837</v>
      </c>
      <c r="F9" s="3">
        <f>F10*(1-(_xlfn.XLOOKUP(F$1,'[1]Table 2'!$H$55:$L$55,'[1]Table 2'!$H$56:$L$56)))</f>
        <v>4.1044299980012706</v>
      </c>
      <c r="G9" s="3">
        <f>G10*(1-(_xlfn.XLOOKUP(G$1,'[1]Table 2'!$H$55:$L$55,'[1]Table 2'!$H$56:$L$56)))</f>
        <v>13.197823637736837</v>
      </c>
      <c r="H9" s="3">
        <f>H10*(1-(_xlfn.XLOOKUP(H$1,'[1]Table 2'!$H$55:$L$55,'[1]Table 2'!$H$56:$L$56)))</f>
        <v>2.70114651989365</v>
      </c>
      <c r="I9" s="3">
        <f>I10*(1-(_xlfn.XLOOKUP(I$1,'[1]Table 2'!$H$55:$L$55,'[1]Table 2'!$H$56:$L$56)))</f>
        <v>13.197823637736837</v>
      </c>
      <c r="J9" s="3">
        <f>J10*(1-(_xlfn.XLOOKUP(J$1,'[1]Table 2'!$H$55:$L$55,'[1]Table 2'!$H$56:$L$56)))</f>
        <v>13.197823637736837</v>
      </c>
      <c r="K9" s="3">
        <f>K10*(1-(_xlfn.XLOOKUP(K$1,'[1]Table 2'!$H$55:$L$55,'[1]Table 2'!$H$56:$L$56)))</f>
        <v>13.197823637736837</v>
      </c>
      <c r="L9" s="3">
        <f>L10*(1-(_xlfn.XLOOKUP(L$1,'[1]Table 2'!$H$55:$L$55,'[1]Table 2'!$H$56:$L$56)))</f>
        <v>13.197823637736837</v>
      </c>
      <c r="M9" s="3">
        <f>M10*(1-(_xlfn.XLOOKUP(M$1,'[1]Table 2'!$H$55:$L$55,'[1]Table 2'!$H$56:$L$56)))</f>
        <v>6.7435591940687729</v>
      </c>
      <c r="N9" s="3">
        <f>N10*(1-(_xlfn.XLOOKUP(N$1,'[1]Table 2'!$H$55:$L$55,'[1]Table 2'!$H$56:$L$56)))</f>
        <v>13.197823637736837</v>
      </c>
      <c r="O9" s="3">
        <f>O10*(1-(_xlfn.XLOOKUP(O$1,'[1]Table 2'!$H$55:$L$55,'[1]Table 2'!$H$56:$L$56)))</f>
        <v>2.70114651989365</v>
      </c>
      <c r="P9" s="3">
        <f>P10*(1-(_xlfn.XLOOKUP(P$1,'[1]Table 2'!$H$55:$L$55,'[1]Table 2'!$H$56:$L$56)))</f>
        <v>13.197823637736837</v>
      </c>
      <c r="Q9" s="3">
        <f>Q10*(1-(_xlfn.XLOOKUP(Q$1,'[1]Table 2'!$H$55:$L$55,'[1]Table 2'!$H$56:$L$56)))</f>
        <v>6.7435591940687729</v>
      </c>
      <c r="R9" s="3">
        <f>R10*(1-(_xlfn.XLOOKUP(R$1,'[1]Table 2'!$H$55:$L$55,'[1]Table 2'!$H$56:$L$56)))</f>
        <v>13.197823637736837</v>
      </c>
      <c r="S9" s="3">
        <f>S10*(1-(_xlfn.XLOOKUP(S$1,'[1]Table 2'!$H$55:$L$55,'[1]Table 2'!$H$56:$L$56)))</f>
        <v>2.70114651989365</v>
      </c>
      <c r="T9" s="3">
        <f>T10*(1-(_xlfn.XLOOKUP(T$1,'[1]Table 2'!$H$55:$L$55,'[1]Table 2'!$H$56:$L$56)))</f>
        <v>13.388687667780275</v>
      </c>
      <c r="U9" s="3">
        <f>U10*(1-(_xlfn.XLOOKUP(U$1,'[1]Table 2'!$H$55:$L$55,'[1]Table 2'!$H$56:$L$56)))</f>
        <v>2.70114651989365</v>
      </c>
      <c r="V9" s="3">
        <f>V10*(1-(_xlfn.XLOOKUP(V$1,'[1]Table 2'!$H$55:$L$55,'[1]Table 2'!$H$56:$L$56)))</f>
        <v>13.197823637736837</v>
      </c>
      <c r="W9" s="3">
        <f>W10*(1-(_xlfn.XLOOKUP(W$1,'[1]Table 2'!$H$55:$L$55,'[1]Table 2'!$H$56:$L$56)))</f>
        <v>4.1044299980012706</v>
      </c>
      <c r="X9" s="3">
        <f>X10*(1-(_xlfn.XLOOKUP(X$1,'[1]Table 2'!$H$55:$L$55,'[1]Table 2'!$H$56:$L$56)))</f>
        <v>6.7435591940687729</v>
      </c>
      <c r="Y9" s="3">
        <f>Y10*(1-(_xlfn.XLOOKUP(Y$1,'[1]Table 2'!$H$55:$L$55,'[1]Table 2'!$H$56:$L$56)))</f>
        <v>4.1044299980012706</v>
      </c>
      <c r="Z9" s="3">
        <f>Z10*(1-(_xlfn.XLOOKUP(Z$1,'[1]Table 2'!$H$55:$L$55,'[1]Table 2'!$H$56:$L$56)))</f>
        <v>2.70114651989365</v>
      </c>
      <c r="AA9" s="3">
        <f>AA10*(1-(_xlfn.XLOOKUP(AA$1,'[1]Table 2'!$H$55:$L$55,'[1]Table 2'!$H$56:$L$56)))</f>
        <v>4.1044299980012706</v>
      </c>
    </row>
    <row r="10" spans="1:27" x14ac:dyDescent="0.2">
      <c r="A10" s="1">
        <v>1978</v>
      </c>
      <c r="B10" s="3">
        <f>B11*(1-(_xlfn.XLOOKUP(B$1,'[1]Table 2'!$H$55:$L$55,'[1]Table 2'!$H$56:$L$56)))</f>
        <v>6.7959202143967357</v>
      </c>
      <c r="C10" s="3">
        <f>C11*(1-(_xlfn.XLOOKUP(C$1,'[1]Table 2'!$H$55:$L$55,'[1]Table 2'!$H$56:$L$56)))</f>
        <v>6.7959202143967357</v>
      </c>
      <c r="D10" s="3">
        <f>D11*(1-(_xlfn.XLOOKUP(D$1,'[1]Table 2'!$H$55:$L$55,'[1]Table 2'!$H$56:$L$56)))</f>
        <v>6.7959202143967357</v>
      </c>
      <c r="E10" s="3">
        <f>E11*(1-(_xlfn.XLOOKUP(E$1,'[1]Table 2'!$H$55:$L$55,'[1]Table 2'!$H$56:$L$56)))</f>
        <v>13.318158019947701</v>
      </c>
      <c r="F10" s="3">
        <f>F11*(1-(_xlfn.XLOOKUP(F$1,'[1]Table 2'!$H$55:$L$55,'[1]Table 2'!$H$56:$L$56)))</f>
        <v>4.1059956127246044</v>
      </c>
      <c r="G10" s="3">
        <f>G11*(1-(_xlfn.XLOOKUP(G$1,'[1]Table 2'!$H$55:$L$55,'[1]Table 2'!$H$56:$L$56)))</f>
        <v>13.318158019947701</v>
      </c>
      <c r="H10" s="3">
        <f>H11*(1-(_xlfn.XLOOKUP(H$1,'[1]Table 2'!$H$55:$L$55,'[1]Table 2'!$H$56:$L$56)))</f>
        <v>2.6994874259492341</v>
      </c>
      <c r="I10" s="3">
        <f>I11*(1-(_xlfn.XLOOKUP(I$1,'[1]Table 2'!$H$55:$L$55,'[1]Table 2'!$H$56:$L$56)))</f>
        <v>13.318158019947701</v>
      </c>
      <c r="J10" s="3">
        <f>J11*(1-(_xlfn.XLOOKUP(J$1,'[1]Table 2'!$H$55:$L$55,'[1]Table 2'!$H$56:$L$56)))</f>
        <v>13.318158019947701</v>
      </c>
      <c r="K10" s="3">
        <f>K11*(1-(_xlfn.XLOOKUP(K$1,'[1]Table 2'!$H$55:$L$55,'[1]Table 2'!$H$56:$L$56)))</f>
        <v>13.318158019947701</v>
      </c>
      <c r="L10" s="3">
        <f>L11*(1-(_xlfn.XLOOKUP(L$1,'[1]Table 2'!$H$55:$L$55,'[1]Table 2'!$H$56:$L$56)))</f>
        <v>13.318158019947701</v>
      </c>
      <c r="M10" s="3">
        <f>M11*(1-(_xlfn.XLOOKUP(M$1,'[1]Table 2'!$H$55:$L$55,'[1]Table 2'!$H$56:$L$56)))</f>
        <v>6.7959202143967357</v>
      </c>
      <c r="N10" s="3">
        <f>N11*(1-(_xlfn.XLOOKUP(N$1,'[1]Table 2'!$H$55:$L$55,'[1]Table 2'!$H$56:$L$56)))</f>
        <v>13.318158019947701</v>
      </c>
      <c r="O10" s="3">
        <f>O11*(1-(_xlfn.XLOOKUP(O$1,'[1]Table 2'!$H$55:$L$55,'[1]Table 2'!$H$56:$L$56)))</f>
        <v>2.6994874259492341</v>
      </c>
      <c r="P10" s="3">
        <f>P11*(1-(_xlfn.XLOOKUP(P$1,'[1]Table 2'!$H$55:$L$55,'[1]Table 2'!$H$56:$L$56)))</f>
        <v>13.318158019947701</v>
      </c>
      <c r="Q10" s="3">
        <f>Q11*(1-(_xlfn.XLOOKUP(Q$1,'[1]Table 2'!$H$55:$L$55,'[1]Table 2'!$H$56:$L$56)))</f>
        <v>6.7959202143967357</v>
      </c>
      <c r="R10" s="3">
        <f>R11*(1-(_xlfn.XLOOKUP(R$1,'[1]Table 2'!$H$55:$L$55,'[1]Table 2'!$H$56:$L$56)))</f>
        <v>13.318158019947701</v>
      </c>
      <c r="S10" s="3">
        <f>S11*(1-(_xlfn.XLOOKUP(S$1,'[1]Table 2'!$H$55:$L$55,'[1]Table 2'!$H$56:$L$56)))</f>
        <v>2.6994874259492341</v>
      </c>
      <c r="T10" s="3">
        <f>T11*(1-(_xlfn.XLOOKUP(T$1,'[1]Table 2'!$H$55:$L$55,'[1]Table 2'!$H$56:$L$56)))</f>
        <v>13.66081184551342</v>
      </c>
      <c r="U10" s="3">
        <f>U11*(1-(_xlfn.XLOOKUP(U$1,'[1]Table 2'!$H$55:$L$55,'[1]Table 2'!$H$56:$L$56)))</f>
        <v>2.6994874259492341</v>
      </c>
      <c r="V10" s="3">
        <f>V11*(1-(_xlfn.XLOOKUP(V$1,'[1]Table 2'!$H$55:$L$55,'[1]Table 2'!$H$56:$L$56)))</f>
        <v>13.318158019947701</v>
      </c>
      <c r="W10" s="3">
        <f>W11*(1-(_xlfn.XLOOKUP(W$1,'[1]Table 2'!$H$55:$L$55,'[1]Table 2'!$H$56:$L$56)))</f>
        <v>4.1059956127246044</v>
      </c>
      <c r="X10" s="3">
        <f>X11*(1-(_xlfn.XLOOKUP(X$1,'[1]Table 2'!$H$55:$L$55,'[1]Table 2'!$H$56:$L$56)))</f>
        <v>6.7959202143967357</v>
      </c>
      <c r="Y10" s="3">
        <f>Y11*(1-(_xlfn.XLOOKUP(Y$1,'[1]Table 2'!$H$55:$L$55,'[1]Table 2'!$H$56:$L$56)))</f>
        <v>4.1059956127246044</v>
      </c>
      <c r="Z10" s="3">
        <f>Z11*(1-(_xlfn.XLOOKUP(Z$1,'[1]Table 2'!$H$55:$L$55,'[1]Table 2'!$H$56:$L$56)))</f>
        <v>2.6994874259492341</v>
      </c>
      <c r="AA10" s="3">
        <f>AA11*(1-(_xlfn.XLOOKUP(AA$1,'[1]Table 2'!$H$55:$L$55,'[1]Table 2'!$H$56:$L$56)))</f>
        <v>4.1059956127246044</v>
      </c>
    </row>
    <row r="11" spans="1:27" x14ac:dyDescent="0.2">
      <c r="A11" s="1">
        <v>1979</v>
      </c>
      <c r="B11" s="3">
        <f>B12*(1-(_xlfn.XLOOKUP(B$1,'[1]Table 2'!$H$55:$L$55,'[1]Table 2'!$H$56:$L$56)))</f>
        <v>6.8486877969525786</v>
      </c>
      <c r="C11" s="3">
        <f>C12*(1-(_xlfn.XLOOKUP(C$1,'[1]Table 2'!$H$55:$L$55,'[1]Table 2'!$H$56:$L$56)))</f>
        <v>6.8486877969525786</v>
      </c>
      <c r="D11" s="3">
        <f>D12*(1-(_xlfn.XLOOKUP(D$1,'[1]Table 2'!$H$55:$L$55,'[1]Table 2'!$H$56:$L$56)))</f>
        <v>6.8486877969525786</v>
      </c>
      <c r="E11" s="3">
        <f>E12*(1-(_xlfn.XLOOKUP(E$1,'[1]Table 2'!$H$55:$L$55,'[1]Table 2'!$H$56:$L$56)))</f>
        <v>13.439589580294864</v>
      </c>
      <c r="F11" s="3">
        <f>F12*(1-(_xlfn.XLOOKUP(F$1,'[1]Table 2'!$H$55:$L$55,'[1]Table 2'!$H$56:$L$56)))</f>
        <v>4.1075618246440078</v>
      </c>
      <c r="G11" s="3">
        <f>G12*(1-(_xlfn.XLOOKUP(G$1,'[1]Table 2'!$H$55:$L$55,'[1]Table 2'!$H$56:$L$56)))</f>
        <v>13.439589580294864</v>
      </c>
      <c r="H11" s="3">
        <f>H12*(1-(_xlfn.XLOOKUP(H$1,'[1]Table 2'!$H$55:$L$55,'[1]Table 2'!$H$56:$L$56)))</f>
        <v>2.6978293510508773</v>
      </c>
      <c r="I11" s="3">
        <f>I12*(1-(_xlfn.XLOOKUP(I$1,'[1]Table 2'!$H$55:$L$55,'[1]Table 2'!$H$56:$L$56)))</f>
        <v>13.439589580294864</v>
      </c>
      <c r="J11" s="3">
        <f>J12*(1-(_xlfn.XLOOKUP(J$1,'[1]Table 2'!$H$55:$L$55,'[1]Table 2'!$H$56:$L$56)))</f>
        <v>13.439589580294864</v>
      </c>
      <c r="K11" s="3">
        <f>K12*(1-(_xlfn.XLOOKUP(K$1,'[1]Table 2'!$H$55:$L$55,'[1]Table 2'!$H$56:$L$56)))</f>
        <v>13.439589580294864</v>
      </c>
      <c r="L11" s="3">
        <f>L12*(1-(_xlfn.XLOOKUP(L$1,'[1]Table 2'!$H$55:$L$55,'[1]Table 2'!$H$56:$L$56)))</f>
        <v>13.439589580294864</v>
      </c>
      <c r="M11" s="3">
        <f>M12*(1-(_xlfn.XLOOKUP(M$1,'[1]Table 2'!$H$55:$L$55,'[1]Table 2'!$H$56:$L$56)))</f>
        <v>6.8486877969525786</v>
      </c>
      <c r="N11" s="3">
        <f>N12*(1-(_xlfn.XLOOKUP(N$1,'[1]Table 2'!$H$55:$L$55,'[1]Table 2'!$H$56:$L$56)))</f>
        <v>13.439589580294864</v>
      </c>
      <c r="O11" s="3">
        <f>O12*(1-(_xlfn.XLOOKUP(O$1,'[1]Table 2'!$H$55:$L$55,'[1]Table 2'!$H$56:$L$56)))</f>
        <v>2.6978293510508773</v>
      </c>
      <c r="P11" s="3">
        <f>P12*(1-(_xlfn.XLOOKUP(P$1,'[1]Table 2'!$H$55:$L$55,'[1]Table 2'!$H$56:$L$56)))</f>
        <v>13.439589580294864</v>
      </c>
      <c r="Q11" s="3">
        <f>Q12*(1-(_xlfn.XLOOKUP(Q$1,'[1]Table 2'!$H$55:$L$55,'[1]Table 2'!$H$56:$L$56)))</f>
        <v>6.8486877969525786</v>
      </c>
      <c r="R11" s="3">
        <f>R12*(1-(_xlfn.XLOOKUP(R$1,'[1]Table 2'!$H$55:$L$55,'[1]Table 2'!$H$56:$L$56)))</f>
        <v>13.439589580294864</v>
      </c>
      <c r="S11" s="3">
        <f>S12*(1-(_xlfn.XLOOKUP(S$1,'[1]Table 2'!$H$55:$L$55,'[1]Table 2'!$H$56:$L$56)))</f>
        <v>2.6978293510508773</v>
      </c>
      <c r="T11" s="3">
        <f>T12*(1-(_xlfn.XLOOKUP(T$1,'[1]Table 2'!$H$55:$L$55,'[1]Table 2'!$H$56:$L$56)))</f>
        <v>13.938466928884552</v>
      </c>
      <c r="U11" s="3">
        <f>U12*(1-(_xlfn.XLOOKUP(U$1,'[1]Table 2'!$H$55:$L$55,'[1]Table 2'!$H$56:$L$56)))</f>
        <v>2.6978293510508773</v>
      </c>
      <c r="V11" s="3">
        <f>V12*(1-(_xlfn.XLOOKUP(V$1,'[1]Table 2'!$H$55:$L$55,'[1]Table 2'!$H$56:$L$56)))</f>
        <v>13.439589580294864</v>
      </c>
      <c r="W11" s="3">
        <f>W12*(1-(_xlfn.XLOOKUP(W$1,'[1]Table 2'!$H$55:$L$55,'[1]Table 2'!$H$56:$L$56)))</f>
        <v>4.1075618246440078</v>
      </c>
      <c r="X11" s="3">
        <f>X12*(1-(_xlfn.XLOOKUP(X$1,'[1]Table 2'!$H$55:$L$55,'[1]Table 2'!$H$56:$L$56)))</f>
        <v>6.8486877969525786</v>
      </c>
      <c r="Y11" s="3">
        <f>Y12*(1-(_xlfn.XLOOKUP(Y$1,'[1]Table 2'!$H$55:$L$55,'[1]Table 2'!$H$56:$L$56)))</f>
        <v>4.1075618246440078</v>
      </c>
      <c r="Z11" s="3">
        <f>Z12*(1-(_xlfn.XLOOKUP(Z$1,'[1]Table 2'!$H$55:$L$55,'[1]Table 2'!$H$56:$L$56)))</f>
        <v>2.6978293510508773</v>
      </c>
      <c r="AA11" s="3">
        <f>AA12*(1-(_xlfn.XLOOKUP(AA$1,'[1]Table 2'!$H$55:$L$55,'[1]Table 2'!$H$56:$L$56)))</f>
        <v>4.1075618246440078</v>
      </c>
    </row>
    <row r="12" spans="1:27" x14ac:dyDescent="0.2">
      <c r="A12" s="1">
        <v>1980</v>
      </c>
      <c r="B12" s="3">
        <f>B13*(1-(_xlfn.XLOOKUP(B$1,'[1]Table 2'!$H$55:$L$55,'[1]Table 2'!$H$56:$L$56)))</f>
        <v>6.9018650985282077</v>
      </c>
      <c r="C12" s="3">
        <f>C13*(1-(_xlfn.XLOOKUP(C$1,'[1]Table 2'!$H$55:$L$55,'[1]Table 2'!$H$56:$L$56)))</f>
        <v>6.9018650985282077</v>
      </c>
      <c r="D12" s="3">
        <f>D13*(1-(_xlfn.XLOOKUP(D$1,'[1]Table 2'!$H$55:$L$55,'[1]Table 2'!$H$56:$L$56)))</f>
        <v>6.9018650985282077</v>
      </c>
      <c r="E12" s="3">
        <f>E13*(1-(_xlfn.XLOOKUP(E$1,'[1]Table 2'!$H$55:$L$55,'[1]Table 2'!$H$56:$L$56)))</f>
        <v>13.562128322568107</v>
      </c>
      <c r="F12" s="3">
        <f>F13*(1-(_xlfn.XLOOKUP(F$1,'[1]Table 2'!$H$55:$L$55,'[1]Table 2'!$H$56:$L$56)))</f>
        <v>4.1091286339872779</v>
      </c>
      <c r="G12" s="3">
        <f>G13*(1-(_xlfn.XLOOKUP(G$1,'[1]Table 2'!$H$55:$L$55,'[1]Table 2'!$H$56:$L$56)))</f>
        <v>13.562128322568107</v>
      </c>
      <c r="H12" s="3">
        <f>H13*(1-(_xlfn.XLOOKUP(H$1,'[1]Table 2'!$H$55:$L$55,'[1]Table 2'!$H$56:$L$56)))</f>
        <v>2.6961722945726629</v>
      </c>
      <c r="I12" s="3">
        <f>I13*(1-(_xlfn.XLOOKUP(I$1,'[1]Table 2'!$H$55:$L$55,'[1]Table 2'!$H$56:$L$56)))</f>
        <v>13.562128322568107</v>
      </c>
      <c r="J12" s="3">
        <f>J13*(1-(_xlfn.XLOOKUP(J$1,'[1]Table 2'!$H$55:$L$55,'[1]Table 2'!$H$56:$L$56)))</f>
        <v>13.562128322568107</v>
      </c>
      <c r="K12" s="3">
        <f>K13*(1-(_xlfn.XLOOKUP(K$1,'[1]Table 2'!$H$55:$L$55,'[1]Table 2'!$H$56:$L$56)))</f>
        <v>13.562128322568107</v>
      </c>
      <c r="L12" s="3">
        <f>L13*(1-(_xlfn.XLOOKUP(L$1,'[1]Table 2'!$H$55:$L$55,'[1]Table 2'!$H$56:$L$56)))</f>
        <v>13.562128322568107</v>
      </c>
      <c r="M12" s="3">
        <f>M13*(1-(_xlfn.XLOOKUP(M$1,'[1]Table 2'!$H$55:$L$55,'[1]Table 2'!$H$56:$L$56)))</f>
        <v>6.9018650985282077</v>
      </c>
      <c r="N12" s="3">
        <f>N13*(1-(_xlfn.XLOOKUP(N$1,'[1]Table 2'!$H$55:$L$55,'[1]Table 2'!$H$56:$L$56)))</f>
        <v>13.562128322568107</v>
      </c>
      <c r="O12" s="3">
        <f>O13*(1-(_xlfn.XLOOKUP(O$1,'[1]Table 2'!$H$55:$L$55,'[1]Table 2'!$H$56:$L$56)))</f>
        <v>2.6961722945726629</v>
      </c>
      <c r="P12" s="3">
        <f>P13*(1-(_xlfn.XLOOKUP(P$1,'[1]Table 2'!$H$55:$L$55,'[1]Table 2'!$H$56:$L$56)))</f>
        <v>13.562128322568107</v>
      </c>
      <c r="Q12" s="3">
        <f>Q13*(1-(_xlfn.XLOOKUP(Q$1,'[1]Table 2'!$H$55:$L$55,'[1]Table 2'!$H$56:$L$56)))</f>
        <v>6.9018650985282077</v>
      </c>
      <c r="R12" s="3">
        <f>R13*(1-(_xlfn.XLOOKUP(R$1,'[1]Table 2'!$H$55:$L$55,'[1]Table 2'!$H$56:$L$56)))</f>
        <v>13.562128322568107</v>
      </c>
      <c r="S12" s="3">
        <f>S13*(1-(_xlfn.XLOOKUP(S$1,'[1]Table 2'!$H$55:$L$55,'[1]Table 2'!$H$56:$L$56)))</f>
        <v>2.6961722945726629</v>
      </c>
      <c r="T12" s="3">
        <f>T13*(1-(_xlfn.XLOOKUP(T$1,'[1]Table 2'!$H$55:$L$55,'[1]Table 2'!$H$56:$L$56)))</f>
        <v>14.221765333179333</v>
      </c>
      <c r="U12" s="3">
        <f>U13*(1-(_xlfn.XLOOKUP(U$1,'[1]Table 2'!$H$55:$L$55,'[1]Table 2'!$H$56:$L$56)))</f>
        <v>2.6961722945726629</v>
      </c>
      <c r="V12" s="3">
        <f>V13*(1-(_xlfn.XLOOKUP(V$1,'[1]Table 2'!$H$55:$L$55,'[1]Table 2'!$H$56:$L$56)))</f>
        <v>13.562128322568107</v>
      </c>
      <c r="W12" s="3">
        <f>W13*(1-(_xlfn.XLOOKUP(W$1,'[1]Table 2'!$H$55:$L$55,'[1]Table 2'!$H$56:$L$56)))</f>
        <v>4.1091286339872779</v>
      </c>
      <c r="X12" s="3">
        <f>X13*(1-(_xlfn.XLOOKUP(X$1,'[1]Table 2'!$H$55:$L$55,'[1]Table 2'!$H$56:$L$56)))</f>
        <v>6.9018650985282077</v>
      </c>
      <c r="Y12" s="3">
        <f>Y13*(1-(_xlfn.XLOOKUP(Y$1,'[1]Table 2'!$H$55:$L$55,'[1]Table 2'!$H$56:$L$56)))</f>
        <v>4.1091286339872779</v>
      </c>
      <c r="Z12" s="3">
        <f>Z13*(1-(_xlfn.XLOOKUP(Z$1,'[1]Table 2'!$H$55:$L$55,'[1]Table 2'!$H$56:$L$56)))</f>
        <v>2.6961722945726629</v>
      </c>
      <c r="AA12" s="3">
        <f>AA13*(1-(_xlfn.XLOOKUP(AA$1,'[1]Table 2'!$H$55:$L$55,'[1]Table 2'!$H$56:$L$56)))</f>
        <v>4.1091286339872779</v>
      </c>
    </row>
    <row r="13" spans="1:27" x14ac:dyDescent="0.2">
      <c r="A13" s="1">
        <v>1981</v>
      </c>
      <c r="B13" s="3">
        <f>B14*(1-(_xlfn.XLOOKUP(B$1,'[1]Table 2'!$H$55:$L$55,'[1]Table 2'!$H$56:$L$56)))</f>
        <v>6.9554553004267463</v>
      </c>
      <c r="C13" s="3">
        <f>C14*(1-(_xlfn.XLOOKUP(C$1,'[1]Table 2'!$H$55:$L$55,'[1]Table 2'!$H$56:$L$56)))</f>
        <v>6.9554553004267463</v>
      </c>
      <c r="D13" s="3">
        <f>D14*(1-(_xlfn.XLOOKUP(D$1,'[1]Table 2'!$H$55:$L$55,'[1]Table 2'!$H$56:$L$56)))</f>
        <v>6.9554553004267463</v>
      </c>
      <c r="E13" s="3">
        <f>E14*(1-(_xlfn.XLOOKUP(E$1,'[1]Table 2'!$H$55:$L$55,'[1]Table 2'!$H$56:$L$56)))</f>
        <v>13.685784341769205</v>
      </c>
      <c r="F13" s="3">
        <f>F14*(1-(_xlfn.XLOOKUP(F$1,'[1]Table 2'!$H$55:$L$55,'[1]Table 2'!$H$56:$L$56)))</f>
        <v>4.1106960409823001</v>
      </c>
      <c r="G13" s="3">
        <f>G14*(1-(_xlfn.XLOOKUP(G$1,'[1]Table 2'!$H$55:$L$55,'[1]Table 2'!$H$56:$L$56)))</f>
        <v>13.685784341769205</v>
      </c>
      <c r="H13" s="3">
        <f>H14*(1-(_xlfn.XLOOKUP(H$1,'[1]Table 2'!$H$55:$L$55,'[1]Table 2'!$H$56:$L$56)))</f>
        <v>2.6945162558890585</v>
      </c>
      <c r="I13" s="3">
        <f>I14*(1-(_xlfn.XLOOKUP(I$1,'[1]Table 2'!$H$55:$L$55,'[1]Table 2'!$H$56:$L$56)))</f>
        <v>13.685784341769205</v>
      </c>
      <c r="J13" s="3">
        <f>J14*(1-(_xlfn.XLOOKUP(J$1,'[1]Table 2'!$H$55:$L$55,'[1]Table 2'!$H$56:$L$56)))</f>
        <v>13.685784341769205</v>
      </c>
      <c r="K13" s="3">
        <f>K14*(1-(_xlfn.XLOOKUP(K$1,'[1]Table 2'!$H$55:$L$55,'[1]Table 2'!$H$56:$L$56)))</f>
        <v>13.685784341769205</v>
      </c>
      <c r="L13" s="3">
        <f>L14*(1-(_xlfn.XLOOKUP(L$1,'[1]Table 2'!$H$55:$L$55,'[1]Table 2'!$H$56:$L$56)))</f>
        <v>13.685784341769205</v>
      </c>
      <c r="M13" s="3">
        <f>M14*(1-(_xlfn.XLOOKUP(M$1,'[1]Table 2'!$H$55:$L$55,'[1]Table 2'!$H$56:$L$56)))</f>
        <v>6.9554553004267463</v>
      </c>
      <c r="N13" s="3">
        <f>N14*(1-(_xlfn.XLOOKUP(N$1,'[1]Table 2'!$H$55:$L$55,'[1]Table 2'!$H$56:$L$56)))</f>
        <v>13.685784341769205</v>
      </c>
      <c r="O13" s="3">
        <f>O14*(1-(_xlfn.XLOOKUP(O$1,'[1]Table 2'!$H$55:$L$55,'[1]Table 2'!$H$56:$L$56)))</f>
        <v>2.6945162558890585</v>
      </c>
      <c r="P13" s="3">
        <f>P14*(1-(_xlfn.XLOOKUP(P$1,'[1]Table 2'!$H$55:$L$55,'[1]Table 2'!$H$56:$L$56)))</f>
        <v>13.685784341769205</v>
      </c>
      <c r="Q13" s="3">
        <f>Q14*(1-(_xlfn.XLOOKUP(Q$1,'[1]Table 2'!$H$55:$L$55,'[1]Table 2'!$H$56:$L$56)))</f>
        <v>6.9554553004267463</v>
      </c>
      <c r="R13" s="3">
        <f>R14*(1-(_xlfn.XLOOKUP(R$1,'[1]Table 2'!$H$55:$L$55,'[1]Table 2'!$H$56:$L$56)))</f>
        <v>13.685784341769205</v>
      </c>
      <c r="S13" s="3">
        <f>S14*(1-(_xlfn.XLOOKUP(S$1,'[1]Table 2'!$H$55:$L$55,'[1]Table 2'!$H$56:$L$56)))</f>
        <v>2.6945162558890585</v>
      </c>
      <c r="T13" s="3">
        <f>T14*(1-(_xlfn.XLOOKUP(T$1,'[1]Table 2'!$H$55:$L$55,'[1]Table 2'!$H$56:$L$56)))</f>
        <v>14.51082175851656</v>
      </c>
      <c r="U13" s="3">
        <f>U14*(1-(_xlfn.XLOOKUP(U$1,'[1]Table 2'!$H$55:$L$55,'[1]Table 2'!$H$56:$L$56)))</f>
        <v>2.6945162558890585</v>
      </c>
      <c r="V13" s="3">
        <f>V14*(1-(_xlfn.XLOOKUP(V$1,'[1]Table 2'!$H$55:$L$55,'[1]Table 2'!$H$56:$L$56)))</f>
        <v>13.685784341769205</v>
      </c>
      <c r="W13" s="3">
        <f>W14*(1-(_xlfn.XLOOKUP(W$1,'[1]Table 2'!$H$55:$L$55,'[1]Table 2'!$H$56:$L$56)))</f>
        <v>4.1106960409823001</v>
      </c>
      <c r="X13" s="3">
        <f>X14*(1-(_xlfn.XLOOKUP(X$1,'[1]Table 2'!$H$55:$L$55,'[1]Table 2'!$H$56:$L$56)))</f>
        <v>6.9554553004267463</v>
      </c>
      <c r="Y13" s="3">
        <f>Y14*(1-(_xlfn.XLOOKUP(Y$1,'[1]Table 2'!$H$55:$L$55,'[1]Table 2'!$H$56:$L$56)))</f>
        <v>4.1106960409823001</v>
      </c>
      <c r="Z13" s="3">
        <f>Z14*(1-(_xlfn.XLOOKUP(Z$1,'[1]Table 2'!$H$55:$L$55,'[1]Table 2'!$H$56:$L$56)))</f>
        <v>2.6945162558890585</v>
      </c>
      <c r="AA13" s="3">
        <f>AA14*(1-(_xlfn.XLOOKUP(AA$1,'[1]Table 2'!$H$55:$L$55,'[1]Table 2'!$H$56:$L$56)))</f>
        <v>4.1106960409823001</v>
      </c>
    </row>
    <row r="14" spans="1:27" x14ac:dyDescent="0.2">
      <c r="A14" s="1">
        <v>1982</v>
      </c>
      <c r="B14" s="3">
        <f>B15*(1-(_xlfn.XLOOKUP(B$1,'[1]Table 2'!$H$55:$L$55,'[1]Table 2'!$H$56:$L$56)))</f>
        <v>7.0094616086528543</v>
      </c>
      <c r="C14" s="3">
        <f>C15*(1-(_xlfn.XLOOKUP(C$1,'[1]Table 2'!$H$55:$L$55,'[1]Table 2'!$H$56:$L$56)))</f>
        <v>7.0094616086528543</v>
      </c>
      <c r="D14" s="3">
        <f>D15*(1-(_xlfn.XLOOKUP(D$1,'[1]Table 2'!$H$55:$L$55,'[1]Table 2'!$H$56:$L$56)))</f>
        <v>7.0094616086528543</v>
      </c>
      <c r="E14" s="3">
        <f>E15*(1-(_xlfn.XLOOKUP(E$1,'[1]Table 2'!$H$55:$L$55,'[1]Table 2'!$H$56:$L$56)))</f>
        <v>13.810567824943581</v>
      </c>
      <c r="F14" s="3">
        <f>F15*(1-(_xlfn.XLOOKUP(F$1,'[1]Table 2'!$H$55:$L$55,'[1]Table 2'!$H$56:$L$56)))</f>
        <v>4.112264045857045</v>
      </c>
      <c r="G14" s="3">
        <f>G15*(1-(_xlfn.XLOOKUP(G$1,'[1]Table 2'!$H$55:$L$55,'[1]Table 2'!$H$56:$L$56)))</f>
        <v>13.810567824943581</v>
      </c>
      <c r="H14" s="3">
        <f>H15*(1-(_xlfn.XLOOKUP(H$1,'[1]Table 2'!$H$55:$L$55,'[1]Table 2'!$H$56:$L$56)))</f>
        <v>2.6928612343749156</v>
      </c>
      <c r="I14" s="3">
        <f>I15*(1-(_xlfn.XLOOKUP(I$1,'[1]Table 2'!$H$55:$L$55,'[1]Table 2'!$H$56:$L$56)))</f>
        <v>13.810567824943581</v>
      </c>
      <c r="J14" s="3">
        <f>J15*(1-(_xlfn.XLOOKUP(J$1,'[1]Table 2'!$H$55:$L$55,'[1]Table 2'!$H$56:$L$56)))</f>
        <v>13.810567824943581</v>
      </c>
      <c r="K14" s="3">
        <f>K15*(1-(_xlfn.XLOOKUP(K$1,'[1]Table 2'!$H$55:$L$55,'[1]Table 2'!$H$56:$L$56)))</f>
        <v>13.810567824943581</v>
      </c>
      <c r="L14" s="3">
        <f>L15*(1-(_xlfn.XLOOKUP(L$1,'[1]Table 2'!$H$55:$L$55,'[1]Table 2'!$H$56:$L$56)))</f>
        <v>13.810567824943581</v>
      </c>
      <c r="M14" s="3">
        <f>M15*(1-(_xlfn.XLOOKUP(M$1,'[1]Table 2'!$H$55:$L$55,'[1]Table 2'!$H$56:$L$56)))</f>
        <v>7.0094616086528543</v>
      </c>
      <c r="N14" s="3">
        <f>N15*(1-(_xlfn.XLOOKUP(N$1,'[1]Table 2'!$H$55:$L$55,'[1]Table 2'!$H$56:$L$56)))</f>
        <v>13.810567824943581</v>
      </c>
      <c r="O14" s="3">
        <f>O15*(1-(_xlfn.XLOOKUP(O$1,'[1]Table 2'!$H$55:$L$55,'[1]Table 2'!$H$56:$L$56)))</f>
        <v>2.6928612343749156</v>
      </c>
      <c r="P14" s="3">
        <f>P15*(1-(_xlfn.XLOOKUP(P$1,'[1]Table 2'!$H$55:$L$55,'[1]Table 2'!$H$56:$L$56)))</f>
        <v>13.810567824943581</v>
      </c>
      <c r="Q14" s="3">
        <f>Q15*(1-(_xlfn.XLOOKUP(Q$1,'[1]Table 2'!$H$55:$L$55,'[1]Table 2'!$H$56:$L$56)))</f>
        <v>7.0094616086528543</v>
      </c>
      <c r="R14" s="3">
        <f>R15*(1-(_xlfn.XLOOKUP(R$1,'[1]Table 2'!$H$55:$L$55,'[1]Table 2'!$H$56:$L$56)))</f>
        <v>13.810567824943581</v>
      </c>
      <c r="S14" s="3">
        <f>S15*(1-(_xlfn.XLOOKUP(S$1,'[1]Table 2'!$H$55:$L$55,'[1]Table 2'!$H$56:$L$56)))</f>
        <v>2.6928612343749156</v>
      </c>
      <c r="T14" s="3">
        <f>T15*(1-(_xlfn.XLOOKUP(T$1,'[1]Table 2'!$H$55:$L$55,'[1]Table 2'!$H$56:$L$56)))</f>
        <v>14.805753236287243</v>
      </c>
      <c r="U14" s="3">
        <f>U15*(1-(_xlfn.XLOOKUP(U$1,'[1]Table 2'!$H$55:$L$55,'[1]Table 2'!$H$56:$L$56)))</f>
        <v>2.6928612343749156</v>
      </c>
      <c r="V14" s="3">
        <f>V15*(1-(_xlfn.XLOOKUP(V$1,'[1]Table 2'!$H$55:$L$55,'[1]Table 2'!$H$56:$L$56)))</f>
        <v>13.810567824943581</v>
      </c>
      <c r="W14" s="3">
        <f>W15*(1-(_xlfn.XLOOKUP(W$1,'[1]Table 2'!$H$55:$L$55,'[1]Table 2'!$H$56:$L$56)))</f>
        <v>4.112264045857045</v>
      </c>
      <c r="X14" s="3">
        <f>X15*(1-(_xlfn.XLOOKUP(X$1,'[1]Table 2'!$H$55:$L$55,'[1]Table 2'!$H$56:$L$56)))</f>
        <v>7.0094616086528543</v>
      </c>
      <c r="Y14" s="3">
        <f>Y15*(1-(_xlfn.XLOOKUP(Y$1,'[1]Table 2'!$H$55:$L$55,'[1]Table 2'!$H$56:$L$56)))</f>
        <v>4.112264045857045</v>
      </c>
      <c r="Z14" s="3">
        <f>Z15*(1-(_xlfn.XLOOKUP(Z$1,'[1]Table 2'!$H$55:$L$55,'[1]Table 2'!$H$56:$L$56)))</f>
        <v>2.6928612343749156</v>
      </c>
      <c r="AA14" s="3">
        <f>AA15*(1-(_xlfn.XLOOKUP(AA$1,'[1]Table 2'!$H$55:$L$55,'[1]Table 2'!$H$56:$L$56)))</f>
        <v>4.112264045857045</v>
      </c>
    </row>
    <row r="15" spans="1:27" x14ac:dyDescent="0.2">
      <c r="A15" s="1">
        <v>1983</v>
      </c>
      <c r="B15" s="3">
        <f>B16*(1-(_xlfn.XLOOKUP(B$1,'[1]Table 2'!$H$55:$L$55,'[1]Table 2'!$H$56:$L$56)))</f>
        <v>7.0638872541045261</v>
      </c>
      <c r="C15" s="3">
        <f>C16*(1-(_xlfn.XLOOKUP(C$1,'[1]Table 2'!$H$55:$L$55,'[1]Table 2'!$H$56:$L$56)))</f>
        <v>7.0638872541045261</v>
      </c>
      <c r="D15" s="3">
        <f>D16*(1-(_xlfn.XLOOKUP(D$1,'[1]Table 2'!$H$55:$L$55,'[1]Table 2'!$H$56:$L$56)))</f>
        <v>7.0638872541045261</v>
      </c>
      <c r="E15" s="3">
        <f>E16*(1-(_xlfn.XLOOKUP(E$1,'[1]Table 2'!$H$55:$L$55,'[1]Table 2'!$H$56:$L$56)))</f>
        <v>13.936489052019532</v>
      </c>
      <c r="F15" s="3">
        <f>F16*(1-(_xlfn.XLOOKUP(F$1,'[1]Table 2'!$H$55:$L$55,'[1]Table 2'!$H$56:$L$56)))</f>
        <v>4.11383264883957</v>
      </c>
      <c r="G15" s="3">
        <f>G16*(1-(_xlfn.XLOOKUP(G$1,'[1]Table 2'!$H$55:$L$55,'[1]Table 2'!$H$56:$L$56)))</f>
        <v>13.936489052019532</v>
      </c>
      <c r="H15" s="3">
        <f>H16*(1-(_xlfn.XLOOKUP(H$1,'[1]Table 2'!$H$55:$L$55,'[1]Table 2'!$H$56:$L$56)))</f>
        <v>2.6912072294054705</v>
      </c>
      <c r="I15" s="3">
        <f>I16*(1-(_xlfn.XLOOKUP(I$1,'[1]Table 2'!$H$55:$L$55,'[1]Table 2'!$H$56:$L$56)))</f>
        <v>13.936489052019532</v>
      </c>
      <c r="J15" s="3">
        <f>J16*(1-(_xlfn.XLOOKUP(J$1,'[1]Table 2'!$H$55:$L$55,'[1]Table 2'!$H$56:$L$56)))</f>
        <v>13.936489052019532</v>
      </c>
      <c r="K15" s="3">
        <f>K16*(1-(_xlfn.XLOOKUP(K$1,'[1]Table 2'!$H$55:$L$55,'[1]Table 2'!$H$56:$L$56)))</f>
        <v>13.936489052019532</v>
      </c>
      <c r="L15" s="3">
        <f>L16*(1-(_xlfn.XLOOKUP(L$1,'[1]Table 2'!$H$55:$L$55,'[1]Table 2'!$H$56:$L$56)))</f>
        <v>13.936489052019532</v>
      </c>
      <c r="M15" s="3">
        <f>M16*(1-(_xlfn.XLOOKUP(M$1,'[1]Table 2'!$H$55:$L$55,'[1]Table 2'!$H$56:$L$56)))</f>
        <v>7.0638872541045261</v>
      </c>
      <c r="N15" s="3">
        <f>N16*(1-(_xlfn.XLOOKUP(N$1,'[1]Table 2'!$H$55:$L$55,'[1]Table 2'!$H$56:$L$56)))</f>
        <v>13.936489052019532</v>
      </c>
      <c r="O15" s="3">
        <f>O16*(1-(_xlfn.XLOOKUP(O$1,'[1]Table 2'!$H$55:$L$55,'[1]Table 2'!$H$56:$L$56)))</f>
        <v>2.6912072294054705</v>
      </c>
      <c r="P15" s="3">
        <f>P16*(1-(_xlfn.XLOOKUP(P$1,'[1]Table 2'!$H$55:$L$55,'[1]Table 2'!$H$56:$L$56)))</f>
        <v>13.936489052019532</v>
      </c>
      <c r="Q15" s="3">
        <f>Q16*(1-(_xlfn.XLOOKUP(Q$1,'[1]Table 2'!$H$55:$L$55,'[1]Table 2'!$H$56:$L$56)))</f>
        <v>7.0638872541045261</v>
      </c>
      <c r="R15" s="3">
        <f>R16*(1-(_xlfn.XLOOKUP(R$1,'[1]Table 2'!$H$55:$L$55,'[1]Table 2'!$H$56:$L$56)))</f>
        <v>13.936489052019532</v>
      </c>
      <c r="S15" s="3">
        <f>S16*(1-(_xlfn.XLOOKUP(S$1,'[1]Table 2'!$H$55:$L$55,'[1]Table 2'!$H$56:$L$56)))</f>
        <v>2.6912072294054705</v>
      </c>
      <c r="T15" s="3">
        <f>T16*(1-(_xlfn.XLOOKUP(T$1,'[1]Table 2'!$H$55:$L$55,'[1]Table 2'!$H$56:$L$56)))</f>
        <v>15.106679176537556</v>
      </c>
      <c r="U15" s="3">
        <f>U16*(1-(_xlfn.XLOOKUP(U$1,'[1]Table 2'!$H$55:$L$55,'[1]Table 2'!$H$56:$L$56)))</f>
        <v>2.6912072294054705</v>
      </c>
      <c r="V15" s="3">
        <f>V16*(1-(_xlfn.XLOOKUP(V$1,'[1]Table 2'!$H$55:$L$55,'[1]Table 2'!$H$56:$L$56)))</f>
        <v>13.936489052019532</v>
      </c>
      <c r="W15" s="3">
        <f>W16*(1-(_xlfn.XLOOKUP(W$1,'[1]Table 2'!$H$55:$L$55,'[1]Table 2'!$H$56:$L$56)))</f>
        <v>4.11383264883957</v>
      </c>
      <c r="X15" s="3">
        <f>X16*(1-(_xlfn.XLOOKUP(X$1,'[1]Table 2'!$H$55:$L$55,'[1]Table 2'!$H$56:$L$56)))</f>
        <v>7.0638872541045261</v>
      </c>
      <c r="Y15" s="3">
        <f>Y16*(1-(_xlfn.XLOOKUP(Y$1,'[1]Table 2'!$H$55:$L$55,'[1]Table 2'!$H$56:$L$56)))</f>
        <v>4.11383264883957</v>
      </c>
      <c r="Z15" s="3">
        <f>Z16*(1-(_xlfn.XLOOKUP(Z$1,'[1]Table 2'!$H$55:$L$55,'[1]Table 2'!$H$56:$L$56)))</f>
        <v>2.6912072294054705</v>
      </c>
      <c r="AA15" s="3">
        <f>AA16*(1-(_xlfn.XLOOKUP(AA$1,'[1]Table 2'!$H$55:$L$55,'[1]Table 2'!$H$56:$L$56)))</f>
        <v>4.11383264883957</v>
      </c>
    </row>
    <row r="16" spans="1:27" x14ac:dyDescent="0.2">
      <c r="A16" s="1">
        <v>1984</v>
      </c>
      <c r="B16" s="3">
        <f>B17*(1-(_xlfn.XLOOKUP(B$1,'[1]Table 2'!$H$55:$L$55,'[1]Table 2'!$H$56:$L$56)))</f>
        <v>7.1187354927663771</v>
      </c>
      <c r="C16" s="3">
        <f>C17*(1-(_xlfn.XLOOKUP(C$1,'[1]Table 2'!$H$55:$L$55,'[1]Table 2'!$H$56:$L$56)))</f>
        <v>7.1187354927663771</v>
      </c>
      <c r="D16" s="3">
        <f>D17*(1-(_xlfn.XLOOKUP(D$1,'[1]Table 2'!$H$55:$L$55,'[1]Table 2'!$H$56:$L$56)))</f>
        <v>7.1187354927663771</v>
      </c>
      <c r="E16" s="3">
        <f>E17*(1-(_xlfn.XLOOKUP(E$1,'[1]Table 2'!$H$55:$L$55,'[1]Table 2'!$H$56:$L$56)))</f>
        <v>14.063558396655115</v>
      </c>
      <c r="F16" s="3">
        <f>F17*(1-(_xlfn.XLOOKUP(F$1,'[1]Table 2'!$H$55:$L$55,'[1]Table 2'!$H$56:$L$56)))</f>
        <v>4.1154018501580216</v>
      </c>
      <c r="G16" s="3">
        <f>G17*(1-(_xlfn.XLOOKUP(G$1,'[1]Table 2'!$H$55:$L$55,'[1]Table 2'!$H$56:$L$56)))</f>
        <v>14.063558396655115</v>
      </c>
      <c r="H16" s="3">
        <f>H17*(1-(_xlfn.XLOOKUP(H$1,'[1]Table 2'!$H$55:$L$55,'[1]Table 2'!$H$56:$L$56)))</f>
        <v>2.6895542403563422</v>
      </c>
      <c r="I16" s="3">
        <f>I17*(1-(_xlfn.XLOOKUP(I$1,'[1]Table 2'!$H$55:$L$55,'[1]Table 2'!$H$56:$L$56)))</f>
        <v>14.063558396655115</v>
      </c>
      <c r="J16" s="3">
        <f>J17*(1-(_xlfn.XLOOKUP(J$1,'[1]Table 2'!$H$55:$L$55,'[1]Table 2'!$H$56:$L$56)))</f>
        <v>14.063558396655115</v>
      </c>
      <c r="K16" s="3">
        <f>K17*(1-(_xlfn.XLOOKUP(K$1,'[1]Table 2'!$H$55:$L$55,'[1]Table 2'!$H$56:$L$56)))</f>
        <v>14.063558396655115</v>
      </c>
      <c r="L16" s="3">
        <f>L17*(1-(_xlfn.XLOOKUP(L$1,'[1]Table 2'!$H$55:$L$55,'[1]Table 2'!$H$56:$L$56)))</f>
        <v>14.063558396655115</v>
      </c>
      <c r="M16" s="3">
        <f>M17*(1-(_xlfn.XLOOKUP(M$1,'[1]Table 2'!$H$55:$L$55,'[1]Table 2'!$H$56:$L$56)))</f>
        <v>7.1187354927663771</v>
      </c>
      <c r="N16" s="3">
        <f>N17*(1-(_xlfn.XLOOKUP(N$1,'[1]Table 2'!$H$55:$L$55,'[1]Table 2'!$H$56:$L$56)))</f>
        <v>14.063558396655115</v>
      </c>
      <c r="O16" s="3">
        <f>O17*(1-(_xlfn.XLOOKUP(O$1,'[1]Table 2'!$H$55:$L$55,'[1]Table 2'!$H$56:$L$56)))</f>
        <v>2.6895542403563422</v>
      </c>
      <c r="P16" s="3">
        <f>P17*(1-(_xlfn.XLOOKUP(P$1,'[1]Table 2'!$H$55:$L$55,'[1]Table 2'!$H$56:$L$56)))</f>
        <v>14.063558396655115</v>
      </c>
      <c r="Q16" s="3">
        <f>Q17*(1-(_xlfn.XLOOKUP(Q$1,'[1]Table 2'!$H$55:$L$55,'[1]Table 2'!$H$56:$L$56)))</f>
        <v>7.1187354927663771</v>
      </c>
      <c r="R16" s="3">
        <f>R17*(1-(_xlfn.XLOOKUP(R$1,'[1]Table 2'!$H$55:$L$55,'[1]Table 2'!$H$56:$L$56)))</f>
        <v>14.063558396655115</v>
      </c>
      <c r="S16" s="3">
        <f>S17*(1-(_xlfn.XLOOKUP(S$1,'[1]Table 2'!$H$55:$L$55,'[1]Table 2'!$H$56:$L$56)))</f>
        <v>2.6895542403563422</v>
      </c>
      <c r="T16" s="3">
        <f>T17*(1-(_xlfn.XLOOKUP(T$1,'[1]Table 2'!$H$55:$L$55,'[1]Table 2'!$H$56:$L$56)))</f>
        <v>15.413721416314837</v>
      </c>
      <c r="U16" s="3">
        <f>U17*(1-(_xlfn.XLOOKUP(U$1,'[1]Table 2'!$H$55:$L$55,'[1]Table 2'!$H$56:$L$56)))</f>
        <v>2.6895542403563422</v>
      </c>
      <c r="V16" s="3">
        <f>V17*(1-(_xlfn.XLOOKUP(V$1,'[1]Table 2'!$H$55:$L$55,'[1]Table 2'!$H$56:$L$56)))</f>
        <v>14.063558396655115</v>
      </c>
      <c r="W16" s="3">
        <f>W17*(1-(_xlfn.XLOOKUP(W$1,'[1]Table 2'!$H$55:$L$55,'[1]Table 2'!$H$56:$L$56)))</f>
        <v>4.1154018501580216</v>
      </c>
      <c r="X16" s="3">
        <f>X17*(1-(_xlfn.XLOOKUP(X$1,'[1]Table 2'!$H$55:$L$55,'[1]Table 2'!$H$56:$L$56)))</f>
        <v>7.1187354927663771</v>
      </c>
      <c r="Y16" s="3">
        <f>Y17*(1-(_xlfn.XLOOKUP(Y$1,'[1]Table 2'!$H$55:$L$55,'[1]Table 2'!$H$56:$L$56)))</f>
        <v>4.1154018501580216</v>
      </c>
      <c r="Z16" s="3">
        <f>Z17*(1-(_xlfn.XLOOKUP(Z$1,'[1]Table 2'!$H$55:$L$55,'[1]Table 2'!$H$56:$L$56)))</f>
        <v>2.6895542403563422</v>
      </c>
      <c r="AA16" s="3">
        <f>AA17*(1-(_xlfn.XLOOKUP(AA$1,'[1]Table 2'!$H$55:$L$55,'[1]Table 2'!$H$56:$L$56)))</f>
        <v>4.1154018501580216</v>
      </c>
    </row>
    <row r="17" spans="1:27" x14ac:dyDescent="0.2">
      <c r="A17" s="1">
        <v>1985</v>
      </c>
      <c r="B17" s="3">
        <f>B18*(1-(_xlfn.XLOOKUP(B$1,'[1]Table 2'!$H$55:$L$55,'[1]Table 2'!$H$56:$L$56)))</f>
        <v>7.1740096059044323</v>
      </c>
      <c r="C17" s="3">
        <f>C18*(1-(_xlfn.XLOOKUP(C$1,'[1]Table 2'!$H$55:$L$55,'[1]Table 2'!$H$56:$L$56)))</f>
        <v>7.1740096059044323</v>
      </c>
      <c r="D17" s="3">
        <f>D18*(1-(_xlfn.XLOOKUP(D$1,'[1]Table 2'!$H$55:$L$55,'[1]Table 2'!$H$56:$L$56)))</f>
        <v>7.1740096059044323</v>
      </c>
      <c r="E17" s="3">
        <f>E18*(1-(_xlfn.XLOOKUP(E$1,'[1]Table 2'!$H$55:$L$55,'[1]Table 2'!$H$56:$L$56)))</f>
        <v>14.19178632709275</v>
      </c>
      <c r="F17" s="3">
        <f>F18*(1-(_xlfn.XLOOKUP(F$1,'[1]Table 2'!$H$55:$L$55,'[1]Table 2'!$H$56:$L$56)))</f>
        <v>4.1169716500406315</v>
      </c>
      <c r="G17" s="3">
        <f>G18*(1-(_xlfn.XLOOKUP(G$1,'[1]Table 2'!$H$55:$L$55,'[1]Table 2'!$H$56:$L$56)))</f>
        <v>14.19178632709275</v>
      </c>
      <c r="H17" s="3">
        <f>H18*(1-(_xlfn.XLOOKUP(H$1,'[1]Table 2'!$H$55:$L$55,'[1]Table 2'!$H$56:$L$56)))</f>
        <v>2.6879022666035342</v>
      </c>
      <c r="I17" s="3">
        <f>I18*(1-(_xlfn.XLOOKUP(I$1,'[1]Table 2'!$H$55:$L$55,'[1]Table 2'!$H$56:$L$56)))</f>
        <v>14.19178632709275</v>
      </c>
      <c r="J17" s="3">
        <f>J18*(1-(_xlfn.XLOOKUP(J$1,'[1]Table 2'!$H$55:$L$55,'[1]Table 2'!$H$56:$L$56)))</f>
        <v>14.19178632709275</v>
      </c>
      <c r="K17" s="3">
        <f>K18*(1-(_xlfn.XLOOKUP(K$1,'[1]Table 2'!$H$55:$L$55,'[1]Table 2'!$H$56:$L$56)))</f>
        <v>14.19178632709275</v>
      </c>
      <c r="L17" s="3">
        <f>L18*(1-(_xlfn.XLOOKUP(L$1,'[1]Table 2'!$H$55:$L$55,'[1]Table 2'!$H$56:$L$56)))</f>
        <v>14.19178632709275</v>
      </c>
      <c r="M17" s="3">
        <f>M18*(1-(_xlfn.XLOOKUP(M$1,'[1]Table 2'!$H$55:$L$55,'[1]Table 2'!$H$56:$L$56)))</f>
        <v>7.1740096059044323</v>
      </c>
      <c r="N17" s="3">
        <f>N18*(1-(_xlfn.XLOOKUP(N$1,'[1]Table 2'!$H$55:$L$55,'[1]Table 2'!$H$56:$L$56)))</f>
        <v>14.19178632709275</v>
      </c>
      <c r="O17" s="3">
        <f>O18*(1-(_xlfn.XLOOKUP(O$1,'[1]Table 2'!$H$55:$L$55,'[1]Table 2'!$H$56:$L$56)))</f>
        <v>2.6879022666035342</v>
      </c>
      <c r="P17" s="3">
        <f>P18*(1-(_xlfn.XLOOKUP(P$1,'[1]Table 2'!$H$55:$L$55,'[1]Table 2'!$H$56:$L$56)))</f>
        <v>14.19178632709275</v>
      </c>
      <c r="Q17" s="3">
        <f>Q18*(1-(_xlfn.XLOOKUP(Q$1,'[1]Table 2'!$H$55:$L$55,'[1]Table 2'!$H$56:$L$56)))</f>
        <v>7.1740096059044323</v>
      </c>
      <c r="R17" s="3">
        <f>R18*(1-(_xlfn.XLOOKUP(R$1,'[1]Table 2'!$H$55:$L$55,'[1]Table 2'!$H$56:$L$56)))</f>
        <v>14.19178632709275</v>
      </c>
      <c r="S17" s="3">
        <f>S18*(1-(_xlfn.XLOOKUP(S$1,'[1]Table 2'!$H$55:$L$55,'[1]Table 2'!$H$56:$L$56)))</f>
        <v>2.6879022666035342</v>
      </c>
      <c r="T17" s="3">
        <f>T18*(1-(_xlfn.XLOOKUP(T$1,'[1]Table 2'!$H$55:$L$55,'[1]Table 2'!$H$56:$L$56)))</f>
        <v>15.727004268996236</v>
      </c>
      <c r="U17" s="3">
        <f>U18*(1-(_xlfn.XLOOKUP(U$1,'[1]Table 2'!$H$55:$L$55,'[1]Table 2'!$H$56:$L$56)))</f>
        <v>2.6879022666035342</v>
      </c>
      <c r="V17" s="3">
        <f>V18*(1-(_xlfn.XLOOKUP(V$1,'[1]Table 2'!$H$55:$L$55,'[1]Table 2'!$H$56:$L$56)))</f>
        <v>14.19178632709275</v>
      </c>
      <c r="W17" s="3">
        <f>W18*(1-(_xlfn.XLOOKUP(W$1,'[1]Table 2'!$H$55:$L$55,'[1]Table 2'!$H$56:$L$56)))</f>
        <v>4.1169716500406315</v>
      </c>
      <c r="X17" s="3">
        <f>X18*(1-(_xlfn.XLOOKUP(X$1,'[1]Table 2'!$H$55:$L$55,'[1]Table 2'!$H$56:$L$56)))</f>
        <v>7.1740096059044323</v>
      </c>
      <c r="Y17" s="3">
        <f>Y18*(1-(_xlfn.XLOOKUP(Y$1,'[1]Table 2'!$H$55:$L$55,'[1]Table 2'!$H$56:$L$56)))</f>
        <v>4.1169716500406315</v>
      </c>
      <c r="Z17" s="3">
        <f>Z18*(1-(_xlfn.XLOOKUP(Z$1,'[1]Table 2'!$H$55:$L$55,'[1]Table 2'!$H$56:$L$56)))</f>
        <v>2.6879022666035342</v>
      </c>
      <c r="AA17" s="3">
        <f>AA18*(1-(_xlfn.XLOOKUP(AA$1,'[1]Table 2'!$H$55:$L$55,'[1]Table 2'!$H$56:$L$56)))</f>
        <v>4.1169716500406315</v>
      </c>
    </row>
    <row r="18" spans="1:27" x14ac:dyDescent="0.2">
      <c r="A18" s="1">
        <v>1986</v>
      </c>
      <c r="B18" s="3">
        <f>B19*(1-(_xlfn.XLOOKUP(B$1,'[1]Table 2'!$H$55:$L$55,'[1]Table 2'!$H$56:$L$56)))</f>
        <v>7.2297129002624247</v>
      </c>
      <c r="C18" s="3">
        <f>C19*(1-(_xlfn.XLOOKUP(C$1,'[1]Table 2'!$H$55:$L$55,'[1]Table 2'!$H$56:$L$56)))</f>
        <v>7.2297129002624247</v>
      </c>
      <c r="D18" s="3">
        <f>D19*(1-(_xlfn.XLOOKUP(D$1,'[1]Table 2'!$H$55:$L$55,'[1]Table 2'!$H$56:$L$56)))</f>
        <v>7.2297129002624247</v>
      </c>
      <c r="E18" s="3">
        <f>E19*(1-(_xlfn.XLOOKUP(E$1,'[1]Table 2'!$H$55:$L$55,'[1]Table 2'!$H$56:$L$56)))</f>
        <v>14.321183407021614</v>
      </c>
      <c r="F18" s="3">
        <f>F19*(1-(_xlfn.XLOOKUP(F$1,'[1]Table 2'!$H$55:$L$55,'[1]Table 2'!$H$56:$L$56)))</f>
        <v>4.11854204871572</v>
      </c>
      <c r="G18" s="3">
        <f>G19*(1-(_xlfn.XLOOKUP(G$1,'[1]Table 2'!$H$55:$L$55,'[1]Table 2'!$H$56:$L$56)))</f>
        <v>14.321183407021614</v>
      </c>
      <c r="H18" s="3">
        <f>H19*(1-(_xlfn.XLOOKUP(H$1,'[1]Table 2'!$H$55:$L$55,'[1]Table 2'!$H$56:$L$56)))</f>
        <v>2.6862513075234324</v>
      </c>
      <c r="I18" s="3">
        <f>I19*(1-(_xlfn.XLOOKUP(I$1,'[1]Table 2'!$H$55:$L$55,'[1]Table 2'!$H$56:$L$56)))</f>
        <v>14.321183407021614</v>
      </c>
      <c r="J18" s="3">
        <f>J19*(1-(_xlfn.XLOOKUP(J$1,'[1]Table 2'!$H$55:$L$55,'[1]Table 2'!$H$56:$L$56)))</f>
        <v>14.321183407021614</v>
      </c>
      <c r="K18" s="3">
        <f>K19*(1-(_xlfn.XLOOKUP(K$1,'[1]Table 2'!$H$55:$L$55,'[1]Table 2'!$H$56:$L$56)))</f>
        <v>14.321183407021614</v>
      </c>
      <c r="L18" s="3">
        <f>L19*(1-(_xlfn.XLOOKUP(L$1,'[1]Table 2'!$H$55:$L$55,'[1]Table 2'!$H$56:$L$56)))</f>
        <v>14.321183407021614</v>
      </c>
      <c r="M18" s="3">
        <f>M19*(1-(_xlfn.XLOOKUP(M$1,'[1]Table 2'!$H$55:$L$55,'[1]Table 2'!$H$56:$L$56)))</f>
        <v>7.2297129002624247</v>
      </c>
      <c r="N18" s="3">
        <f>N19*(1-(_xlfn.XLOOKUP(N$1,'[1]Table 2'!$H$55:$L$55,'[1]Table 2'!$H$56:$L$56)))</f>
        <v>14.321183407021614</v>
      </c>
      <c r="O18" s="3">
        <f>O19*(1-(_xlfn.XLOOKUP(O$1,'[1]Table 2'!$H$55:$L$55,'[1]Table 2'!$H$56:$L$56)))</f>
        <v>2.6862513075234324</v>
      </c>
      <c r="P18" s="3">
        <f>P19*(1-(_xlfn.XLOOKUP(P$1,'[1]Table 2'!$H$55:$L$55,'[1]Table 2'!$H$56:$L$56)))</f>
        <v>14.321183407021614</v>
      </c>
      <c r="Q18" s="3">
        <f>Q19*(1-(_xlfn.XLOOKUP(Q$1,'[1]Table 2'!$H$55:$L$55,'[1]Table 2'!$H$56:$L$56)))</f>
        <v>7.2297129002624247</v>
      </c>
      <c r="R18" s="3">
        <f>R19*(1-(_xlfn.XLOOKUP(R$1,'[1]Table 2'!$H$55:$L$55,'[1]Table 2'!$H$56:$L$56)))</f>
        <v>14.321183407021614</v>
      </c>
      <c r="S18" s="3">
        <f>S19*(1-(_xlfn.XLOOKUP(S$1,'[1]Table 2'!$H$55:$L$55,'[1]Table 2'!$H$56:$L$56)))</f>
        <v>2.6862513075234324</v>
      </c>
      <c r="T18" s="3">
        <f>T19*(1-(_xlfn.XLOOKUP(T$1,'[1]Table 2'!$H$55:$L$55,'[1]Table 2'!$H$56:$L$56)))</f>
        <v>16.046654574619939</v>
      </c>
      <c r="U18" s="3">
        <f>U19*(1-(_xlfn.XLOOKUP(U$1,'[1]Table 2'!$H$55:$L$55,'[1]Table 2'!$H$56:$L$56)))</f>
        <v>2.6862513075234324</v>
      </c>
      <c r="V18" s="3">
        <f>V19*(1-(_xlfn.XLOOKUP(V$1,'[1]Table 2'!$H$55:$L$55,'[1]Table 2'!$H$56:$L$56)))</f>
        <v>14.321183407021614</v>
      </c>
      <c r="W18" s="3">
        <f>W19*(1-(_xlfn.XLOOKUP(W$1,'[1]Table 2'!$H$55:$L$55,'[1]Table 2'!$H$56:$L$56)))</f>
        <v>4.11854204871572</v>
      </c>
      <c r="X18" s="3">
        <f>X19*(1-(_xlfn.XLOOKUP(X$1,'[1]Table 2'!$H$55:$L$55,'[1]Table 2'!$H$56:$L$56)))</f>
        <v>7.2297129002624247</v>
      </c>
      <c r="Y18" s="3">
        <f>Y19*(1-(_xlfn.XLOOKUP(Y$1,'[1]Table 2'!$H$55:$L$55,'[1]Table 2'!$H$56:$L$56)))</f>
        <v>4.11854204871572</v>
      </c>
      <c r="Z18" s="3">
        <f>Z19*(1-(_xlfn.XLOOKUP(Z$1,'[1]Table 2'!$H$55:$L$55,'[1]Table 2'!$H$56:$L$56)))</f>
        <v>2.6862513075234324</v>
      </c>
      <c r="AA18" s="3">
        <f>AA19*(1-(_xlfn.XLOOKUP(AA$1,'[1]Table 2'!$H$55:$L$55,'[1]Table 2'!$H$56:$L$56)))</f>
        <v>4.11854204871572</v>
      </c>
    </row>
    <row r="19" spans="1:27" x14ac:dyDescent="0.2">
      <c r="A19" s="1">
        <v>1987</v>
      </c>
      <c r="B19" s="3">
        <f>B20*(1-(_xlfn.XLOOKUP(B$1,'[1]Table 2'!$H$55:$L$55,'[1]Table 2'!$H$56:$L$56)))</f>
        <v>7.2858487082596213</v>
      </c>
      <c r="C19" s="3">
        <f>C20*(1-(_xlfn.XLOOKUP(C$1,'[1]Table 2'!$H$55:$L$55,'[1]Table 2'!$H$56:$L$56)))</f>
        <v>7.2858487082596213</v>
      </c>
      <c r="D19" s="3">
        <f>D20*(1-(_xlfn.XLOOKUP(D$1,'[1]Table 2'!$H$55:$L$55,'[1]Table 2'!$H$56:$L$56)))</f>
        <v>7.2858487082596213</v>
      </c>
      <c r="E19" s="3">
        <f>E20*(1-(_xlfn.XLOOKUP(E$1,'[1]Table 2'!$H$55:$L$55,'[1]Table 2'!$H$56:$L$56)))</f>
        <v>14.451760296447903</v>
      </c>
      <c r="F19" s="3">
        <f>F20*(1-(_xlfn.XLOOKUP(F$1,'[1]Table 2'!$H$55:$L$55,'[1]Table 2'!$H$56:$L$56)))</f>
        <v>4.1201130464116922</v>
      </c>
      <c r="G19" s="3">
        <f>G20*(1-(_xlfn.XLOOKUP(G$1,'[1]Table 2'!$H$55:$L$55,'[1]Table 2'!$H$56:$L$56)))</f>
        <v>14.451760296447903</v>
      </c>
      <c r="H19" s="3">
        <f>H20*(1-(_xlfn.XLOOKUP(H$1,'[1]Table 2'!$H$55:$L$55,'[1]Table 2'!$H$56:$L$56)))</f>
        <v>2.6846013624928062</v>
      </c>
      <c r="I19" s="3">
        <f>I20*(1-(_xlfn.XLOOKUP(I$1,'[1]Table 2'!$H$55:$L$55,'[1]Table 2'!$H$56:$L$56)))</f>
        <v>14.451760296447903</v>
      </c>
      <c r="J19" s="3">
        <f>J20*(1-(_xlfn.XLOOKUP(J$1,'[1]Table 2'!$H$55:$L$55,'[1]Table 2'!$H$56:$L$56)))</f>
        <v>14.451760296447903</v>
      </c>
      <c r="K19" s="3">
        <f>K20*(1-(_xlfn.XLOOKUP(K$1,'[1]Table 2'!$H$55:$L$55,'[1]Table 2'!$H$56:$L$56)))</f>
        <v>14.451760296447903</v>
      </c>
      <c r="L19" s="3">
        <f>L20*(1-(_xlfn.XLOOKUP(L$1,'[1]Table 2'!$H$55:$L$55,'[1]Table 2'!$H$56:$L$56)))</f>
        <v>14.451760296447903</v>
      </c>
      <c r="M19" s="3">
        <f>M20*(1-(_xlfn.XLOOKUP(M$1,'[1]Table 2'!$H$55:$L$55,'[1]Table 2'!$H$56:$L$56)))</f>
        <v>7.2858487082596213</v>
      </c>
      <c r="N19" s="3">
        <f>N20*(1-(_xlfn.XLOOKUP(N$1,'[1]Table 2'!$H$55:$L$55,'[1]Table 2'!$H$56:$L$56)))</f>
        <v>14.451760296447903</v>
      </c>
      <c r="O19" s="3">
        <f>O20*(1-(_xlfn.XLOOKUP(O$1,'[1]Table 2'!$H$55:$L$55,'[1]Table 2'!$H$56:$L$56)))</f>
        <v>2.6846013624928062</v>
      </c>
      <c r="P19" s="3">
        <f>P20*(1-(_xlfn.XLOOKUP(P$1,'[1]Table 2'!$H$55:$L$55,'[1]Table 2'!$H$56:$L$56)))</f>
        <v>14.451760296447903</v>
      </c>
      <c r="Q19" s="3">
        <f>Q20*(1-(_xlfn.XLOOKUP(Q$1,'[1]Table 2'!$H$55:$L$55,'[1]Table 2'!$H$56:$L$56)))</f>
        <v>7.2858487082596213</v>
      </c>
      <c r="R19" s="3">
        <f>R20*(1-(_xlfn.XLOOKUP(R$1,'[1]Table 2'!$H$55:$L$55,'[1]Table 2'!$H$56:$L$56)))</f>
        <v>14.451760296447903</v>
      </c>
      <c r="S19" s="3">
        <f>S20*(1-(_xlfn.XLOOKUP(S$1,'[1]Table 2'!$H$55:$L$55,'[1]Table 2'!$H$56:$L$56)))</f>
        <v>2.6846013624928062</v>
      </c>
      <c r="T19" s="3">
        <f>T20*(1-(_xlfn.XLOOKUP(T$1,'[1]Table 2'!$H$55:$L$55,'[1]Table 2'!$H$56:$L$56)))</f>
        <v>16.372801751239397</v>
      </c>
      <c r="U19" s="3">
        <f>U20*(1-(_xlfn.XLOOKUP(U$1,'[1]Table 2'!$H$55:$L$55,'[1]Table 2'!$H$56:$L$56)))</f>
        <v>2.6846013624928062</v>
      </c>
      <c r="V19" s="3">
        <f>V20*(1-(_xlfn.XLOOKUP(V$1,'[1]Table 2'!$H$55:$L$55,'[1]Table 2'!$H$56:$L$56)))</f>
        <v>14.451760296447903</v>
      </c>
      <c r="W19" s="3">
        <f>W20*(1-(_xlfn.XLOOKUP(W$1,'[1]Table 2'!$H$55:$L$55,'[1]Table 2'!$H$56:$L$56)))</f>
        <v>4.1201130464116922</v>
      </c>
      <c r="X19" s="3">
        <f>X20*(1-(_xlfn.XLOOKUP(X$1,'[1]Table 2'!$H$55:$L$55,'[1]Table 2'!$H$56:$L$56)))</f>
        <v>7.2858487082596213</v>
      </c>
      <c r="Y19" s="3">
        <f>Y20*(1-(_xlfn.XLOOKUP(Y$1,'[1]Table 2'!$H$55:$L$55,'[1]Table 2'!$H$56:$L$56)))</f>
        <v>4.1201130464116922</v>
      </c>
      <c r="Z19" s="3">
        <f>Z20*(1-(_xlfn.XLOOKUP(Z$1,'[1]Table 2'!$H$55:$L$55,'[1]Table 2'!$H$56:$L$56)))</f>
        <v>2.6846013624928062</v>
      </c>
      <c r="AA19" s="3">
        <f>AA20*(1-(_xlfn.XLOOKUP(AA$1,'[1]Table 2'!$H$55:$L$55,'[1]Table 2'!$H$56:$L$56)))</f>
        <v>4.1201130464116922</v>
      </c>
    </row>
    <row r="20" spans="1:27" x14ac:dyDescent="0.2">
      <c r="A20" s="1">
        <v>1988</v>
      </c>
      <c r="B20" s="3">
        <f>B21*(1-(_xlfn.XLOOKUP(B$1,'[1]Table 2'!$H$55:$L$55,'[1]Table 2'!$H$56:$L$56)))</f>
        <v>7.3424203881901811</v>
      </c>
      <c r="C20" s="3">
        <f>C21*(1-(_xlfn.XLOOKUP(C$1,'[1]Table 2'!$H$55:$L$55,'[1]Table 2'!$H$56:$L$56)))</f>
        <v>7.3424203881901811</v>
      </c>
      <c r="D20" s="3">
        <f>D21*(1-(_xlfn.XLOOKUP(D$1,'[1]Table 2'!$H$55:$L$55,'[1]Table 2'!$H$56:$L$56)))</f>
        <v>7.3424203881901811</v>
      </c>
      <c r="E20" s="3">
        <f>E21*(1-(_xlfn.XLOOKUP(E$1,'[1]Table 2'!$H$55:$L$55,'[1]Table 2'!$H$56:$L$56)))</f>
        <v>14.583527752573021</v>
      </c>
      <c r="F20" s="3">
        <f>F21*(1-(_xlfn.XLOOKUP(F$1,'[1]Table 2'!$H$55:$L$55,'[1]Table 2'!$H$56:$L$56)))</f>
        <v>4.1216846433570424</v>
      </c>
      <c r="G20" s="3">
        <f>G21*(1-(_xlfn.XLOOKUP(G$1,'[1]Table 2'!$H$55:$L$55,'[1]Table 2'!$H$56:$L$56)))</f>
        <v>14.583527752573021</v>
      </c>
      <c r="H20" s="3">
        <f>H21*(1-(_xlfn.XLOOKUP(H$1,'[1]Table 2'!$H$55:$L$55,'[1]Table 2'!$H$56:$L$56)))</f>
        <v>2.682952430888808</v>
      </c>
      <c r="I20" s="3">
        <f>I21*(1-(_xlfn.XLOOKUP(I$1,'[1]Table 2'!$H$55:$L$55,'[1]Table 2'!$H$56:$L$56)))</f>
        <v>14.583527752573021</v>
      </c>
      <c r="J20" s="3">
        <f>J21*(1-(_xlfn.XLOOKUP(J$1,'[1]Table 2'!$H$55:$L$55,'[1]Table 2'!$H$56:$L$56)))</f>
        <v>14.583527752573021</v>
      </c>
      <c r="K20" s="3">
        <f>K21*(1-(_xlfn.XLOOKUP(K$1,'[1]Table 2'!$H$55:$L$55,'[1]Table 2'!$H$56:$L$56)))</f>
        <v>14.583527752573021</v>
      </c>
      <c r="L20" s="3">
        <f>L21*(1-(_xlfn.XLOOKUP(L$1,'[1]Table 2'!$H$55:$L$55,'[1]Table 2'!$H$56:$L$56)))</f>
        <v>14.583527752573021</v>
      </c>
      <c r="M20" s="3">
        <f>M21*(1-(_xlfn.XLOOKUP(M$1,'[1]Table 2'!$H$55:$L$55,'[1]Table 2'!$H$56:$L$56)))</f>
        <v>7.3424203881901811</v>
      </c>
      <c r="N20" s="3">
        <f>N21*(1-(_xlfn.XLOOKUP(N$1,'[1]Table 2'!$H$55:$L$55,'[1]Table 2'!$H$56:$L$56)))</f>
        <v>14.583527752573021</v>
      </c>
      <c r="O20" s="3">
        <f>O21*(1-(_xlfn.XLOOKUP(O$1,'[1]Table 2'!$H$55:$L$55,'[1]Table 2'!$H$56:$L$56)))</f>
        <v>2.682952430888808</v>
      </c>
      <c r="P20" s="3">
        <f>P21*(1-(_xlfn.XLOOKUP(P$1,'[1]Table 2'!$H$55:$L$55,'[1]Table 2'!$H$56:$L$56)))</f>
        <v>14.583527752573021</v>
      </c>
      <c r="Q20" s="3">
        <f>Q21*(1-(_xlfn.XLOOKUP(Q$1,'[1]Table 2'!$H$55:$L$55,'[1]Table 2'!$H$56:$L$56)))</f>
        <v>7.3424203881901811</v>
      </c>
      <c r="R20" s="3">
        <f>R21*(1-(_xlfn.XLOOKUP(R$1,'[1]Table 2'!$H$55:$L$55,'[1]Table 2'!$H$56:$L$56)))</f>
        <v>14.583527752573021</v>
      </c>
      <c r="S20" s="3">
        <f>S21*(1-(_xlfn.XLOOKUP(S$1,'[1]Table 2'!$H$55:$L$55,'[1]Table 2'!$H$56:$L$56)))</f>
        <v>2.682952430888808</v>
      </c>
      <c r="T20" s="3">
        <f>T21*(1-(_xlfn.XLOOKUP(T$1,'[1]Table 2'!$H$55:$L$55,'[1]Table 2'!$H$56:$L$56)))</f>
        <v>16.705577847321301</v>
      </c>
      <c r="U20" s="3">
        <f>U21*(1-(_xlfn.XLOOKUP(U$1,'[1]Table 2'!$H$55:$L$55,'[1]Table 2'!$H$56:$L$56)))</f>
        <v>2.682952430888808</v>
      </c>
      <c r="V20" s="3">
        <f>V21*(1-(_xlfn.XLOOKUP(V$1,'[1]Table 2'!$H$55:$L$55,'[1]Table 2'!$H$56:$L$56)))</f>
        <v>14.583527752573021</v>
      </c>
      <c r="W20" s="3">
        <f>W21*(1-(_xlfn.XLOOKUP(W$1,'[1]Table 2'!$H$55:$L$55,'[1]Table 2'!$H$56:$L$56)))</f>
        <v>4.1216846433570424</v>
      </c>
      <c r="X20" s="3">
        <f>X21*(1-(_xlfn.XLOOKUP(X$1,'[1]Table 2'!$H$55:$L$55,'[1]Table 2'!$H$56:$L$56)))</f>
        <v>7.3424203881901811</v>
      </c>
      <c r="Y20" s="3">
        <f>Y21*(1-(_xlfn.XLOOKUP(Y$1,'[1]Table 2'!$H$55:$L$55,'[1]Table 2'!$H$56:$L$56)))</f>
        <v>4.1216846433570424</v>
      </c>
      <c r="Z20" s="3">
        <f>Z21*(1-(_xlfn.XLOOKUP(Z$1,'[1]Table 2'!$H$55:$L$55,'[1]Table 2'!$H$56:$L$56)))</f>
        <v>2.682952430888808</v>
      </c>
      <c r="AA20" s="3">
        <f>AA21*(1-(_xlfn.XLOOKUP(AA$1,'[1]Table 2'!$H$55:$L$55,'[1]Table 2'!$H$56:$L$56)))</f>
        <v>4.1216846433570424</v>
      </c>
    </row>
    <row r="21" spans="1:27" x14ac:dyDescent="0.2">
      <c r="A21" s="1">
        <v>1989</v>
      </c>
      <c r="B21" s="3">
        <f>B22*(1-(_xlfn.XLOOKUP(B$1,'[1]Table 2'!$H$55:$L$55,'[1]Table 2'!$H$56:$L$56)))</f>
        <v>7.3994313244240644</v>
      </c>
      <c r="C21" s="3">
        <f>C22*(1-(_xlfn.XLOOKUP(C$1,'[1]Table 2'!$H$55:$L$55,'[1]Table 2'!$H$56:$L$56)))</f>
        <v>7.3994313244240644</v>
      </c>
      <c r="D21" s="3">
        <f>D22*(1-(_xlfn.XLOOKUP(D$1,'[1]Table 2'!$H$55:$L$55,'[1]Table 2'!$H$56:$L$56)))</f>
        <v>7.3994313244240644</v>
      </c>
      <c r="E21" s="3">
        <f>E22*(1-(_xlfn.XLOOKUP(E$1,'[1]Table 2'!$H$55:$L$55,'[1]Table 2'!$H$56:$L$56)))</f>
        <v>14.716496630679789</v>
      </c>
      <c r="F21" s="3">
        <f>F22*(1-(_xlfn.XLOOKUP(F$1,'[1]Table 2'!$H$55:$L$55,'[1]Table 2'!$H$56:$L$56)))</f>
        <v>4.1232568397803515</v>
      </c>
      <c r="G21" s="3">
        <f>G22*(1-(_xlfn.XLOOKUP(G$1,'[1]Table 2'!$H$55:$L$55,'[1]Table 2'!$H$56:$L$56)))</f>
        <v>14.716496630679789</v>
      </c>
      <c r="H21" s="3">
        <f>H22*(1-(_xlfn.XLOOKUP(H$1,'[1]Table 2'!$H$55:$L$55,'[1]Table 2'!$H$56:$L$56)))</f>
        <v>2.681304512088972</v>
      </c>
      <c r="I21" s="3">
        <f>I22*(1-(_xlfn.XLOOKUP(I$1,'[1]Table 2'!$H$55:$L$55,'[1]Table 2'!$H$56:$L$56)))</f>
        <v>14.716496630679789</v>
      </c>
      <c r="J21" s="3">
        <f>J22*(1-(_xlfn.XLOOKUP(J$1,'[1]Table 2'!$H$55:$L$55,'[1]Table 2'!$H$56:$L$56)))</f>
        <v>14.716496630679789</v>
      </c>
      <c r="K21" s="3">
        <f>K22*(1-(_xlfn.XLOOKUP(K$1,'[1]Table 2'!$H$55:$L$55,'[1]Table 2'!$H$56:$L$56)))</f>
        <v>14.716496630679789</v>
      </c>
      <c r="L21" s="3">
        <f>L22*(1-(_xlfn.XLOOKUP(L$1,'[1]Table 2'!$H$55:$L$55,'[1]Table 2'!$H$56:$L$56)))</f>
        <v>14.716496630679789</v>
      </c>
      <c r="M21" s="3">
        <f>M22*(1-(_xlfn.XLOOKUP(M$1,'[1]Table 2'!$H$55:$L$55,'[1]Table 2'!$H$56:$L$56)))</f>
        <v>7.3994313244240644</v>
      </c>
      <c r="N21" s="3">
        <f>N22*(1-(_xlfn.XLOOKUP(N$1,'[1]Table 2'!$H$55:$L$55,'[1]Table 2'!$H$56:$L$56)))</f>
        <v>14.716496630679789</v>
      </c>
      <c r="O21" s="3">
        <f>O22*(1-(_xlfn.XLOOKUP(O$1,'[1]Table 2'!$H$55:$L$55,'[1]Table 2'!$H$56:$L$56)))</f>
        <v>2.681304512088972</v>
      </c>
      <c r="P21" s="3">
        <f>P22*(1-(_xlfn.XLOOKUP(P$1,'[1]Table 2'!$H$55:$L$55,'[1]Table 2'!$H$56:$L$56)))</f>
        <v>14.716496630679789</v>
      </c>
      <c r="Q21" s="3">
        <f>Q22*(1-(_xlfn.XLOOKUP(Q$1,'[1]Table 2'!$H$55:$L$55,'[1]Table 2'!$H$56:$L$56)))</f>
        <v>7.3994313244240644</v>
      </c>
      <c r="R21" s="3">
        <f>R22*(1-(_xlfn.XLOOKUP(R$1,'[1]Table 2'!$H$55:$L$55,'[1]Table 2'!$H$56:$L$56)))</f>
        <v>14.716496630679789</v>
      </c>
      <c r="S21" s="3">
        <f>S22*(1-(_xlfn.XLOOKUP(S$1,'[1]Table 2'!$H$55:$L$55,'[1]Table 2'!$H$56:$L$56)))</f>
        <v>2.681304512088972</v>
      </c>
      <c r="T21" s="3">
        <f>T22*(1-(_xlfn.XLOOKUP(T$1,'[1]Table 2'!$H$55:$L$55,'[1]Table 2'!$H$56:$L$56)))</f>
        <v>17.045117595208559</v>
      </c>
      <c r="U21" s="3">
        <f>U22*(1-(_xlfn.XLOOKUP(U$1,'[1]Table 2'!$H$55:$L$55,'[1]Table 2'!$H$56:$L$56)))</f>
        <v>2.681304512088972</v>
      </c>
      <c r="V21" s="3">
        <f>V22*(1-(_xlfn.XLOOKUP(V$1,'[1]Table 2'!$H$55:$L$55,'[1]Table 2'!$H$56:$L$56)))</f>
        <v>14.716496630679789</v>
      </c>
      <c r="W21" s="3">
        <f>W22*(1-(_xlfn.XLOOKUP(W$1,'[1]Table 2'!$H$55:$L$55,'[1]Table 2'!$H$56:$L$56)))</f>
        <v>4.1232568397803515</v>
      </c>
      <c r="X21" s="3">
        <f>X22*(1-(_xlfn.XLOOKUP(X$1,'[1]Table 2'!$H$55:$L$55,'[1]Table 2'!$H$56:$L$56)))</f>
        <v>7.3994313244240644</v>
      </c>
      <c r="Y21" s="3">
        <f>Y22*(1-(_xlfn.XLOOKUP(Y$1,'[1]Table 2'!$H$55:$L$55,'[1]Table 2'!$H$56:$L$56)))</f>
        <v>4.1232568397803515</v>
      </c>
      <c r="Z21" s="3">
        <f>Z22*(1-(_xlfn.XLOOKUP(Z$1,'[1]Table 2'!$H$55:$L$55,'[1]Table 2'!$H$56:$L$56)))</f>
        <v>2.681304512088972</v>
      </c>
      <c r="AA21" s="3">
        <f>AA22*(1-(_xlfn.XLOOKUP(AA$1,'[1]Table 2'!$H$55:$L$55,'[1]Table 2'!$H$56:$L$56)))</f>
        <v>4.1232568397803515</v>
      </c>
    </row>
    <row r="22" spans="1:27" x14ac:dyDescent="0.2">
      <c r="A22" s="1">
        <v>1990</v>
      </c>
      <c r="B22" s="3">
        <f>B23*(1-(_xlfn.XLOOKUP(B$1,'[1]Table 2'!$H$55:$L$55,'[1]Table 2'!$H$56:$L$56)))</f>
        <v>7.4568849276095017</v>
      </c>
      <c r="C22" s="3">
        <f>C23*(1-(_xlfn.XLOOKUP(C$1,'[1]Table 2'!$H$55:$L$55,'[1]Table 2'!$H$56:$L$56)))</f>
        <v>7.4568849276095017</v>
      </c>
      <c r="D22" s="3">
        <f>D23*(1-(_xlfn.XLOOKUP(D$1,'[1]Table 2'!$H$55:$L$55,'[1]Table 2'!$H$56:$L$56)))</f>
        <v>7.4568849276095017</v>
      </c>
      <c r="E22" s="3">
        <f>E23*(1-(_xlfn.XLOOKUP(E$1,'[1]Table 2'!$H$55:$L$55,'[1]Table 2'!$H$56:$L$56)))</f>
        <v>14.85067788502672</v>
      </c>
      <c r="F22" s="3">
        <f>F23*(1-(_xlfn.XLOOKUP(F$1,'[1]Table 2'!$H$55:$L$55,'[1]Table 2'!$H$56:$L$56)))</f>
        <v>4.1248296359102872</v>
      </c>
      <c r="G22" s="3">
        <f>G23*(1-(_xlfn.XLOOKUP(G$1,'[1]Table 2'!$H$55:$L$55,'[1]Table 2'!$H$56:$L$56)))</f>
        <v>14.85067788502672</v>
      </c>
      <c r="H22" s="3">
        <f>H23*(1-(_xlfn.XLOOKUP(H$1,'[1]Table 2'!$H$55:$L$55,'[1]Table 2'!$H$56:$L$56)))</f>
        <v>2.679657605471216</v>
      </c>
      <c r="I22" s="3">
        <f>I23*(1-(_xlfn.XLOOKUP(I$1,'[1]Table 2'!$H$55:$L$55,'[1]Table 2'!$H$56:$L$56)))</f>
        <v>14.85067788502672</v>
      </c>
      <c r="J22" s="3">
        <f>J23*(1-(_xlfn.XLOOKUP(J$1,'[1]Table 2'!$H$55:$L$55,'[1]Table 2'!$H$56:$L$56)))</f>
        <v>14.85067788502672</v>
      </c>
      <c r="K22" s="3">
        <f>K23*(1-(_xlfn.XLOOKUP(K$1,'[1]Table 2'!$H$55:$L$55,'[1]Table 2'!$H$56:$L$56)))</f>
        <v>14.85067788502672</v>
      </c>
      <c r="L22" s="3">
        <f>L23*(1-(_xlfn.XLOOKUP(L$1,'[1]Table 2'!$H$55:$L$55,'[1]Table 2'!$H$56:$L$56)))</f>
        <v>14.85067788502672</v>
      </c>
      <c r="M22" s="3">
        <f>M23*(1-(_xlfn.XLOOKUP(M$1,'[1]Table 2'!$H$55:$L$55,'[1]Table 2'!$H$56:$L$56)))</f>
        <v>7.4568849276095017</v>
      </c>
      <c r="N22" s="3">
        <f>N23*(1-(_xlfn.XLOOKUP(N$1,'[1]Table 2'!$H$55:$L$55,'[1]Table 2'!$H$56:$L$56)))</f>
        <v>14.85067788502672</v>
      </c>
      <c r="O22" s="3">
        <f>O23*(1-(_xlfn.XLOOKUP(O$1,'[1]Table 2'!$H$55:$L$55,'[1]Table 2'!$H$56:$L$56)))</f>
        <v>2.679657605471216</v>
      </c>
      <c r="P22" s="3">
        <f>P23*(1-(_xlfn.XLOOKUP(P$1,'[1]Table 2'!$H$55:$L$55,'[1]Table 2'!$H$56:$L$56)))</f>
        <v>14.85067788502672</v>
      </c>
      <c r="Q22" s="3">
        <f>Q23*(1-(_xlfn.XLOOKUP(Q$1,'[1]Table 2'!$H$55:$L$55,'[1]Table 2'!$H$56:$L$56)))</f>
        <v>7.4568849276095017</v>
      </c>
      <c r="R22" s="3">
        <f>R23*(1-(_xlfn.XLOOKUP(R$1,'[1]Table 2'!$H$55:$L$55,'[1]Table 2'!$H$56:$L$56)))</f>
        <v>14.85067788502672</v>
      </c>
      <c r="S22" s="3">
        <f>S23*(1-(_xlfn.XLOOKUP(S$1,'[1]Table 2'!$H$55:$L$55,'[1]Table 2'!$H$56:$L$56)))</f>
        <v>2.679657605471216</v>
      </c>
      <c r="T22" s="3">
        <f>T23*(1-(_xlfn.XLOOKUP(T$1,'[1]Table 2'!$H$55:$L$55,'[1]Table 2'!$H$56:$L$56)))</f>
        <v>17.391558465669906</v>
      </c>
      <c r="U22" s="3">
        <f>U23*(1-(_xlfn.XLOOKUP(U$1,'[1]Table 2'!$H$55:$L$55,'[1]Table 2'!$H$56:$L$56)))</f>
        <v>2.679657605471216</v>
      </c>
      <c r="V22" s="3">
        <f>V23*(1-(_xlfn.XLOOKUP(V$1,'[1]Table 2'!$H$55:$L$55,'[1]Table 2'!$H$56:$L$56)))</f>
        <v>14.85067788502672</v>
      </c>
      <c r="W22" s="3">
        <f>W23*(1-(_xlfn.XLOOKUP(W$1,'[1]Table 2'!$H$55:$L$55,'[1]Table 2'!$H$56:$L$56)))</f>
        <v>4.1248296359102872</v>
      </c>
      <c r="X22" s="3">
        <f>X23*(1-(_xlfn.XLOOKUP(X$1,'[1]Table 2'!$H$55:$L$55,'[1]Table 2'!$H$56:$L$56)))</f>
        <v>7.4568849276095017</v>
      </c>
      <c r="Y22" s="3">
        <f>Y23*(1-(_xlfn.XLOOKUP(Y$1,'[1]Table 2'!$H$55:$L$55,'[1]Table 2'!$H$56:$L$56)))</f>
        <v>4.1248296359102872</v>
      </c>
      <c r="Z22" s="3">
        <f>Z23*(1-(_xlfn.XLOOKUP(Z$1,'[1]Table 2'!$H$55:$L$55,'[1]Table 2'!$H$56:$L$56)))</f>
        <v>2.679657605471216</v>
      </c>
      <c r="AA22" s="3">
        <f>AA23*(1-(_xlfn.XLOOKUP(AA$1,'[1]Table 2'!$H$55:$L$55,'[1]Table 2'!$H$56:$L$56)))</f>
        <v>4.1248296359102872</v>
      </c>
    </row>
    <row r="23" spans="1:27" x14ac:dyDescent="0.2">
      <c r="A23" s="1">
        <v>1991</v>
      </c>
      <c r="B23" s="3">
        <f>B24*(1-(_xlfn.XLOOKUP(B$1,'[1]Table 2'!$H$55:$L$55,'[1]Table 2'!$H$56:$L$56)))</f>
        <v>7.5147846348770315</v>
      </c>
      <c r="C23" s="3">
        <f>C24*(1-(_xlfn.XLOOKUP(C$1,'[1]Table 2'!$H$55:$L$55,'[1]Table 2'!$H$56:$L$56)))</f>
        <v>7.5147846348770315</v>
      </c>
      <c r="D23" s="3">
        <f>D24*(1-(_xlfn.XLOOKUP(D$1,'[1]Table 2'!$H$55:$L$55,'[1]Table 2'!$H$56:$L$56)))</f>
        <v>7.5147846348770315</v>
      </c>
      <c r="E23" s="3">
        <f>E24*(1-(_xlfn.XLOOKUP(E$1,'[1]Table 2'!$H$55:$L$55,'[1]Table 2'!$H$56:$L$56)))</f>
        <v>14.986082569750454</v>
      </c>
      <c r="F23" s="3">
        <f>F24*(1-(_xlfn.XLOOKUP(F$1,'[1]Table 2'!$H$55:$L$55,'[1]Table 2'!$H$56:$L$56)))</f>
        <v>4.1264030319756051</v>
      </c>
      <c r="G23" s="3">
        <f>G24*(1-(_xlfn.XLOOKUP(G$1,'[1]Table 2'!$H$55:$L$55,'[1]Table 2'!$H$56:$L$56)))</f>
        <v>14.986082569750454</v>
      </c>
      <c r="H23" s="3">
        <f>H24*(1-(_xlfn.XLOOKUP(H$1,'[1]Table 2'!$H$55:$L$55,'[1]Table 2'!$H$56:$L$56)))</f>
        <v>2.6780117104138386</v>
      </c>
      <c r="I23" s="3">
        <f>I24*(1-(_xlfn.XLOOKUP(I$1,'[1]Table 2'!$H$55:$L$55,'[1]Table 2'!$H$56:$L$56)))</f>
        <v>14.986082569750454</v>
      </c>
      <c r="J23" s="3">
        <f>J24*(1-(_xlfn.XLOOKUP(J$1,'[1]Table 2'!$H$55:$L$55,'[1]Table 2'!$H$56:$L$56)))</f>
        <v>14.986082569750454</v>
      </c>
      <c r="K23" s="3">
        <f>K24*(1-(_xlfn.XLOOKUP(K$1,'[1]Table 2'!$H$55:$L$55,'[1]Table 2'!$H$56:$L$56)))</f>
        <v>14.986082569750454</v>
      </c>
      <c r="L23" s="3">
        <f>L24*(1-(_xlfn.XLOOKUP(L$1,'[1]Table 2'!$H$55:$L$55,'[1]Table 2'!$H$56:$L$56)))</f>
        <v>14.986082569750454</v>
      </c>
      <c r="M23" s="3">
        <f>M24*(1-(_xlfn.XLOOKUP(M$1,'[1]Table 2'!$H$55:$L$55,'[1]Table 2'!$H$56:$L$56)))</f>
        <v>7.5147846348770315</v>
      </c>
      <c r="N23" s="3">
        <f>N24*(1-(_xlfn.XLOOKUP(N$1,'[1]Table 2'!$H$55:$L$55,'[1]Table 2'!$H$56:$L$56)))</f>
        <v>14.986082569750454</v>
      </c>
      <c r="O23" s="3">
        <f>O24*(1-(_xlfn.XLOOKUP(O$1,'[1]Table 2'!$H$55:$L$55,'[1]Table 2'!$H$56:$L$56)))</f>
        <v>2.6780117104138386</v>
      </c>
      <c r="P23" s="3">
        <f>P24*(1-(_xlfn.XLOOKUP(P$1,'[1]Table 2'!$H$55:$L$55,'[1]Table 2'!$H$56:$L$56)))</f>
        <v>14.986082569750454</v>
      </c>
      <c r="Q23" s="3">
        <f>Q24*(1-(_xlfn.XLOOKUP(Q$1,'[1]Table 2'!$H$55:$L$55,'[1]Table 2'!$H$56:$L$56)))</f>
        <v>7.5147846348770315</v>
      </c>
      <c r="R23" s="3">
        <f>R24*(1-(_xlfn.XLOOKUP(R$1,'[1]Table 2'!$H$55:$L$55,'[1]Table 2'!$H$56:$L$56)))</f>
        <v>14.986082569750454</v>
      </c>
      <c r="S23" s="3">
        <f>S24*(1-(_xlfn.XLOOKUP(S$1,'[1]Table 2'!$H$55:$L$55,'[1]Table 2'!$H$56:$L$56)))</f>
        <v>2.6780117104138386</v>
      </c>
      <c r="T23" s="3">
        <f>T24*(1-(_xlfn.XLOOKUP(T$1,'[1]Table 2'!$H$55:$L$55,'[1]Table 2'!$H$56:$L$56)))</f>
        <v>17.745040723558219</v>
      </c>
      <c r="U23" s="3">
        <f>U24*(1-(_xlfn.XLOOKUP(U$1,'[1]Table 2'!$H$55:$L$55,'[1]Table 2'!$H$56:$L$56)))</f>
        <v>2.6780117104138386</v>
      </c>
      <c r="V23" s="3">
        <f>V24*(1-(_xlfn.XLOOKUP(V$1,'[1]Table 2'!$H$55:$L$55,'[1]Table 2'!$H$56:$L$56)))</f>
        <v>14.986082569750454</v>
      </c>
      <c r="W23" s="3">
        <f>W24*(1-(_xlfn.XLOOKUP(W$1,'[1]Table 2'!$H$55:$L$55,'[1]Table 2'!$H$56:$L$56)))</f>
        <v>4.1264030319756051</v>
      </c>
      <c r="X23" s="3">
        <f>X24*(1-(_xlfn.XLOOKUP(X$1,'[1]Table 2'!$H$55:$L$55,'[1]Table 2'!$H$56:$L$56)))</f>
        <v>7.5147846348770315</v>
      </c>
      <c r="Y23" s="3">
        <f>Y24*(1-(_xlfn.XLOOKUP(Y$1,'[1]Table 2'!$H$55:$L$55,'[1]Table 2'!$H$56:$L$56)))</f>
        <v>4.1264030319756051</v>
      </c>
      <c r="Z23" s="3">
        <f>Z24*(1-(_xlfn.XLOOKUP(Z$1,'[1]Table 2'!$H$55:$L$55,'[1]Table 2'!$H$56:$L$56)))</f>
        <v>2.6780117104138386</v>
      </c>
      <c r="AA23" s="3">
        <f>AA24*(1-(_xlfn.XLOOKUP(AA$1,'[1]Table 2'!$H$55:$L$55,'[1]Table 2'!$H$56:$L$56)))</f>
        <v>4.1264030319756051</v>
      </c>
    </row>
    <row r="24" spans="1:27" x14ac:dyDescent="0.2">
      <c r="A24" s="1">
        <v>1992</v>
      </c>
      <c r="B24" s="3">
        <f>B25*(1-(_xlfn.XLOOKUP(B$1,'[1]Table 2'!$H$55:$L$55,'[1]Table 2'!$H$56:$L$56)))</f>
        <v>7.5731339100451267</v>
      </c>
      <c r="C24" s="3">
        <f>C25*(1-(_xlfn.XLOOKUP(C$1,'[1]Table 2'!$H$55:$L$55,'[1]Table 2'!$H$56:$L$56)))</f>
        <v>7.5731339100451267</v>
      </c>
      <c r="D24" s="3">
        <f>D25*(1-(_xlfn.XLOOKUP(D$1,'[1]Table 2'!$H$55:$L$55,'[1]Table 2'!$H$56:$L$56)))</f>
        <v>7.5731339100451267</v>
      </c>
      <c r="E24" s="3">
        <f>E25*(1-(_xlfn.XLOOKUP(E$1,'[1]Table 2'!$H$55:$L$55,'[1]Table 2'!$H$56:$L$56)))</f>
        <v>15.122721839776428</v>
      </c>
      <c r="F24" s="3">
        <f>F25*(1-(_xlfn.XLOOKUP(F$1,'[1]Table 2'!$H$55:$L$55,'[1]Table 2'!$H$56:$L$56)))</f>
        <v>4.1279770282051471</v>
      </c>
      <c r="G24" s="3">
        <f>G25*(1-(_xlfn.XLOOKUP(G$1,'[1]Table 2'!$H$55:$L$55,'[1]Table 2'!$H$56:$L$56)))</f>
        <v>15.122721839776428</v>
      </c>
      <c r="H24" s="3">
        <f>H25*(1-(_xlfn.XLOOKUP(H$1,'[1]Table 2'!$H$55:$L$55,'[1]Table 2'!$H$56:$L$56)))</f>
        <v>2.6763668262955207</v>
      </c>
      <c r="I24" s="3">
        <f>I25*(1-(_xlfn.XLOOKUP(I$1,'[1]Table 2'!$H$55:$L$55,'[1]Table 2'!$H$56:$L$56)))</f>
        <v>15.122721839776428</v>
      </c>
      <c r="J24" s="3">
        <f>J25*(1-(_xlfn.XLOOKUP(J$1,'[1]Table 2'!$H$55:$L$55,'[1]Table 2'!$H$56:$L$56)))</f>
        <v>15.122721839776428</v>
      </c>
      <c r="K24" s="3">
        <f>K25*(1-(_xlfn.XLOOKUP(K$1,'[1]Table 2'!$H$55:$L$55,'[1]Table 2'!$H$56:$L$56)))</f>
        <v>15.122721839776428</v>
      </c>
      <c r="L24" s="3">
        <f>L25*(1-(_xlfn.XLOOKUP(L$1,'[1]Table 2'!$H$55:$L$55,'[1]Table 2'!$H$56:$L$56)))</f>
        <v>15.122721839776428</v>
      </c>
      <c r="M24" s="3">
        <f>M25*(1-(_xlfn.XLOOKUP(M$1,'[1]Table 2'!$H$55:$L$55,'[1]Table 2'!$H$56:$L$56)))</f>
        <v>7.5731339100451267</v>
      </c>
      <c r="N24" s="3">
        <f>N25*(1-(_xlfn.XLOOKUP(N$1,'[1]Table 2'!$H$55:$L$55,'[1]Table 2'!$H$56:$L$56)))</f>
        <v>15.122721839776428</v>
      </c>
      <c r="O24" s="3">
        <f>O25*(1-(_xlfn.XLOOKUP(O$1,'[1]Table 2'!$H$55:$L$55,'[1]Table 2'!$H$56:$L$56)))</f>
        <v>2.6763668262955207</v>
      </c>
      <c r="P24" s="3">
        <f>P25*(1-(_xlfn.XLOOKUP(P$1,'[1]Table 2'!$H$55:$L$55,'[1]Table 2'!$H$56:$L$56)))</f>
        <v>15.122721839776428</v>
      </c>
      <c r="Q24" s="3">
        <f>Q25*(1-(_xlfn.XLOOKUP(Q$1,'[1]Table 2'!$H$55:$L$55,'[1]Table 2'!$H$56:$L$56)))</f>
        <v>7.5731339100451267</v>
      </c>
      <c r="R24" s="3">
        <f>R25*(1-(_xlfn.XLOOKUP(R$1,'[1]Table 2'!$H$55:$L$55,'[1]Table 2'!$H$56:$L$56)))</f>
        <v>15.122721839776428</v>
      </c>
      <c r="S24" s="3">
        <f>S25*(1-(_xlfn.XLOOKUP(S$1,'[1]Table 2'!$H$55:$L$55,'[1]Table 2'!$H$56:$L$56)))</f>
        <v>2.6763668262955207</v>
      </c>
      <c r="T24" s="3">
        <f>T25*(1-(_xlfn.XLOOKUP(T$1,'[1]Table 2'!$H$55:$L$55,'[1]Table 2'!$H$56:$L$56)))</f>
        <v>18.105707484600085</v>
      </c>
      <c r="U24" s="3">
        <f>U25*(1-(_xlfn.XLOOKUP(U$1,'[1]Table 2'!$H$55:$L$55,'[1]Table 2'!$H$56:$L$56)))</f>
        <v>2.6763668262955207</v>
      </c>
      <c r="V24" s="3">
        <f>V25*(1-(_xlfn.XLOOKUP(V$1,'[1]Table 2'!$H$55:$L$55,'[1]Table 2'!$H$56:$L$56)))</f>
        <v>15.122721839776428</v>
      </c>
      <c r="W24" s="3">
        <f>W25*(1-(_xlfn.XLOOKUP(W$1,'[1]Table 2'!$H$55:$L$55,'[1]Table 2'!$H$56:$L$56)))</f>
        <v>4.1279770282051471</v>
      </c>
      <c r="X24" s="3">
        <f>X25*(1-(_xlfn.XLOOKUP(X$1,'[1]Table 2'!$H$55:$L$55,'[1]Table 2'!$H$56:$L$56)))</f>
        <v>7.5731339100451267</v>
      </c>
      <c r="Y24" s="3">
        <f>Y25*(1-(_xlfn.XLOOKUP(Y$1,'[1]Table 2'!$H$55:$L$55,'[1]Table 2'!$H$56:$L$56)))</f>
        <v>4.1279770282051471</v>
      </c>
      <c r="Z24" s="3">
        <f>Z25*(1-(_xlfn.XLOOKUP(Z$1,'[1]Table 2'!$H$55:$L$55,'[1]Table 2'!$H$56:$L$56)))</f>
        <v>2.6763668262955207</v>
      </c>
      <c r="AA24" s="3">
        <f>AA25*(1-(_xlfn.XLOOKUP(AA$1,'[1]Table 2'!$H$55:$L$55,'[1]Table 2'!$H$56:$L$56)))</f>
        <v>4.1279770282051471</v>
      </c>
    </row>
    <row r="25" spans="1:27" x14ac:dyDescent="0.2">
      <c r="A25" s="1">
        <v>1993</v>
      </c>
      <c r="B25" s="3">
        <f>B26*(1-(_xlfn.XLOOKUP(B$1,'[1]Table 2'!$H$55:$L$55,'[1]Table 2'!$H$56:$L$56)))</f>
        <v>7.6319362438274156</v>
      </c>
      <c r="C25" s="3">
        <f>C26*(1-(_xlfn.XLOOKUP(C$1,'[1]Table 2'!$H$55:$L$55,'[1]Table 2'!$H$56:$L$56)))</f>
        <v>7.6319362438274156</v>
      </c>
      <c r="D25" s="3">
        <f>D26*(1-(_xlfn.XLOOKUP(D$1,'[1]Table 2'!$H$55:$L$55,'[1]Table 2'!$H$56:$L$56)))</f>
        <v>7.6319362438274156</v>
      </c>
      <c r="E25" s="3">
        <f>E26*(1-(_xlfn.XLOOKUP(E$1,'[1]Table 2'!$H$55:$L$55,'[1]Table 2'!$H$56:$L$56)))</f>
        <v>15.260606951737834</v>
      </c>
      <c r="F25" s="3">
        <f>F26*(1-(_xlfn.XLOOKUP(F$1,'[1]Table 2'!$H$55:$L$55,'[1]Table 2'!$H$56:$L$56)))</f>
        <v>4.129551624827843</v>
      </c>
      <c r="G25" s="3">
        <f>G26*(1-(_xlfn.XLOOKUP(G$1,'[1]Table 2'!$H$55:$L$55,'[1]Table 2'!$H$56:$L$56)))</f>
        <v>15.260606951737834</v>
      </c>
      <c r="H25" s="3">
        <f>H26*(1-(_xlfn.XLOOKUP(H$1,'[1]Table 2'!$H$55:$L$55,'[1]Table 2'!$H$56:$L$56)))</f>
        <v>2.6747229524953249</v>
      </c>
      <c r="I25" s="3">
        <f>I26*(1-(_xlfn.XLOOKUP(I$1,'[1]Table 2'!$H$55:$L$55,'[1]Table 2'!$H$56:$L$56)))</f>
        <v>15.260606951737834</v>
      </c>
      <c r="J25" s="3">
        <f>J26*(1-(_xlfn.XLOOKUP(J$1,'[1]Table 2'!$H$55:$L$55,'[1]Table 2'!$H$56:$L$56)))</f>
        <v>15.260606951737834</v>
      </c>
      <c r="K25" s="3">
        <f>K26*(1-(_xlfn.XLOOKUP(K$1,'[1]Table 2'!$H$55:$L$55,'[1]Table 2'!$H$56:$L$56)))</f>
        <v>15.260606951737834</v>
      </c>
      <c r="L25" s="3">
        <f>L26*(1-(_xlfn.XLOOKUP(L$1,'[1]Table 2'!$H$55:$L$55,'[1]Table 2'!$H$56:$L$56)))</f>
        <v>15.260606951737834</v>
      </c>
      <c r="M25" s="3">
        <f>M26*(1-(_xlfn.XLOOKUP(M$1,'[1]Table 2'!$H$55:$L$55,'[1]Table 2'!$H$56:$L$56)))</f>
        <v>7.6319362438274156</v>
      </c>
      <c r="N25" s="3">
        <f>N26*(1-(_xlfn.XLOOKUP(N$1,'[1]Table 2'!$H$55:$L$55,'[1]Table 2'!$H$56:$L$56)))</f>
        <v>15.260606951737834</v>
      </c>
      <c r="O25" s="3">
        <f>O26*(1-(_xlfn.XLOOKUP(O$1,'[1]Table 2'!$H$55:$L$55,'[1]Table 2'!$H$56:$L$56)))</f>
        <v>2.6747229524953249</v>
      </c>
      <c r="P25" s="3">
        <f>P26*(1-(_xlfn.XLOOKUP(P$1,'[1]Table 2'!$H$55:$L$55,'[1]Table 2'!$H$56:$L$56)))</f>
        <v>15.260606951737834</v>
      </c>
      <c r="Q25" s="3">
        <f>Q26*(1-(_xlfn.XLOOKUP(Q$1,'[1]Table 2'!$H$55:$L$55,'[1]Table 2'!$H$56:$L$56)))</f>
        <v>7.6319362438274156</v>
      </c>
      <c r="R25" s="3">
        <f>R26*(1-(_xlfn.XLOOKUP(R$1,'[1]Table 2'!$H$55:$L$55,'[1]Table 2'!$H$56:$L$56)))</f>
        <v>15.260606951737834</v>
      </c>
      <c r="S25" s="3">
        <f>S26*(1-(_xlfn.XLOOKUP(S$1,'[1]Table 2'!$H$55:$L$55,'[1]Table 2'!$H$56:$L$56)))</f>
        <v>2.6747229524953249</v>
      </c>
      <c r="T25" s="3">
        <f>T26*(1-(_xlfn.XLOOKUP(T$1,'[1]Table 2'!$H$55:$L$55,'[1]Table 2'!$H$56:$L$56)))</f>
        <v>18.473704773339627</v>
      </c>
      <c r="U25" s="3">
        <f>U26*(1-(_xlfn.XLOOKUP(U$1,'[1]Table 2'!$H$55:$L$55,'[1]Table 2'!$H$56:$L$56)))</f>
        <v>2.6747229524953249</v>
      </c>
      <c r="V25" s="3">
        <f>V26*(1-(_xlfn.XLOOKUP(V$1,'[1]Table 2'!$H$55:$L$55,'[1]Table 2'!$H$56:$L$56)))</f>
        <v>15.260606951737834</v>
      </c>
      <c r="W25" s="3">
        <f>W26*(1-(_xlfn.XLOOKUP(W$1,'[1]Table 2'!$H$55:$L$55,'[1]Table 2'!$H$56:$L$56)))</f>
        <v>4.129551624827843</v>
      </c>
      <c r="X25" s="3">
        <f>X26*(1-(_xlfn.XLOOKUP(X$1,'[1]Table 2'!$H$55:$L$55,'[1]Table 2'!$H$56:$L$56)))</f>
        <v>7.6319362438274156</v>
      </c>
      <c r="Y25" s="3">
        <f>Y26*(1-(_xlfn.XLOOKUP(Y$1,'[1]Table 2'!$H$55:$L$55,'[1]Table 2'!$H$56:$L$56)))</f>
        <v>4.129551624827843</v>
      </c>
      <c r="Z25" s="3">
        <f>Z26*(1-(_xlfn.XLOOKUP(Z$1,'[1]Table 2'!$H$55:$L$55,'[1]Table 2'!$H$56:$L$56)))</f>
        <v>2.6747229524953249</v>
      </c>
      <c r="AA25" s="3">
        <f>AA26*(1-(_xlfn.XLOOKUP(AA$1,'[1]Table 2'!$H$55:$L$55,'[1]Table 2'!$H$56:$L$56)))</f>
        <v>4.129551624827843</v>
      </c>
    </row>
    <row r="26" spans="1:27" x14ac:dyDescent="0.2">
      <c r="A26" s="1">
        <v>1994</v>
      </c>
      <c r="B26" s="3">
        <f>B27*(1-(_xlfn.XLOOKUP(B$1,'[1]Table 2'!$H$55:$L$55,'[1]Table 2'!$H$56:$L$56)))</f>
        <v>7.6911951540415116</v>
      </c>
      <c r="C26" s="3">
        <f>C27*(1-(_xlfn.XLOOKUP(C$1,'[1]Table 2'!$H$55:$L$55,'[1]Table 2'!$H$56:$L$56)))</f>
        <v>7.6911951540415116</v>
      </c>
      <c r="D26" s="3">
        <f>D27*(1-(_xlfn.XLOOKUP(D$1,'[1]Table 2'!$H$55:$L$55,'[1]Table 2'!$H$56:$L$56)))</f>
        <v>7.6911951540415116</v>
      </c>
      <c r="E26" s="3">
        <f>E27*(1-(_xlfn.XLOOKUP(E$1,'[1]Table 2'!$H$55:$L$55,'[1]Table 2'!$H$56:$L$56)))</f>
        <v>15.399749264902967</v>
      </c>
      <c r="F26" s="3">
        <f>F27*(1-(_xlfn.XLOOKUP(F$1,'[1]Table 2'!$H$55:$L$55,'[1]Table 2'!$H$56:$L$56)))</f>
        <v>4.1311268220727095</v>
      </c>
      <c r="G26" s="3">
        <f>G27*(1-(_xlfn.XLOOKUP(G$1,'[1]Table 2'!$H$55:$L$55,'[1]Table 2'!$H$56:$L$56)))</f>
        <v>15.399749264902967</v>
      </c>
      <c r="H26" s="3">
        <f>H27*(1-(_xlfn.XLOOKUP(H$1,'[1]Table 2'!$H$55:$L$55,'[1]Table 2'!$H$56:$L$56)))</f>
        <v>2.6730800883926955</v>
      </c>
      <c r="I26" s="3">
        <f>I27*(1-(_xlfn.XLOOKUP(I$1,'[1]Table 2'!$H$55:$L$55,'[1]Table 2'!$H$56:$L$56)))</f>
        <v>15.399749264902967</v>
      </c>
      <c r="J26" s="3">
        <f>J27*(1-(_xlfn.XLOOKUP(J$1,'[1]Table 2'!$H$55:$L$55,'[1]Table 2'!$H$56:$L$56)))</f>
        <v>15.399749264902967</v>
      </c>
      <c r="K26" s="3">
        <f>K27*(1-(_xlfn.XLOOKUP(K$1,'[1]Table 2'!$H$55:$L$55,'[1]Table 2'!$H$56:$L$56)))</f>
        <v>15.399749264902967</v>
      </c>
      <c r="L26" s="3">
        <f>L27*(1-(_xlfn.XLOOKUP(L$1,'[1]Table 2'!$H$55:$L$55,'[1]Table 2'!$H$56:$L$56)))</f>
        <v>15.399749264902967</v>
      </c>
      <c r="M26" s="3">
        <f>M27*(1-(_xlfn.XLOOKUP(M$1,'[1]Table 2'!$H$55:$L$55,'[1]Table 2'!$H$56:$L$56)))</f>
        <v>7.6911951540415116</v>
      </c>
      <c r="N26" s="3">
        <f>N27*(1-(_xlfn.XLOOKUP(N$1,'[1]Table 2'!$H$55:$L$55,'[1]Table 2'!$H$56:$L$56)))</f>
        <v>15.399749264902967</v>
      </c>
      <c r="O26" s="3">
        <f>O27*(1-(_xlfn.XLOOKUP(O$1,'[1]Table 2'!$H$55:$L$55,'[1]Table 2'!$H$56:$L$56)))</f>
        <v>2.6730800883926955</v>
      </c>
      <c r="P26" s="3">
        <f>P27*(1-(_xlfn.XLOOKUP(P$1,'[1]Table 2'!$H$55:$L$55,'[1]Table 2'!$H$56:$L$56)))</f>
        <v>15.399749264902967</v>
      </c>
      <c r="Q26" s="3">
        <f>Q27*(1-(_xlfn.XLOOKUP(Q$1,'[1]Table 2'!$H$55:$L$55,'[1]Table 2'!$H$56:$L$56)))</f>
        <v>7.6911951540415116</v>
      </c>
      <c r="R26" s="3">
        <f>R27*(1-(_xlfn.XLOOKUP(R$1,'[1]Table 2'!$H$55:$L$55,'[1]Table 2'!$H$56:$L$56)))</f>
        <v>15.399749264902967</v>
      </c>
      <c r="S26" s="3">
        <f>S27*(1-(_xlfn.XLOOKUP(S$1,'[1]Table 2'!$H$55:$L$55,'[1]Table 2'!$H$56:$L$56)))</f>
        <v>2.6730800883926955</v>
      </c>
      <c r="T26" s="3">
        <f>T27*(1-(_xlfn.XLOOKUP(T$1,'[1]Table 2'!$H$55:$L$55,'[1]Table 2'!$H$56:$L$56)))</f>
        <v>18.849181582260019</v>
      </c>
      <c r="U26" s="3">
        <f>U27*(1-(_xlfn.XLOOKUP(U$1,'[1]Table 2'!$H$55:$L$55,'[1]Table 2'!$H$56:$L$56)))</f>
        <v>2.6730800883926955</v>
      </c>
      <c r="V26" s="3">
        <f>V27*(1-(_xlfn.XLOOKUP(V$1,'[1]Table 2'!$H$55:$L$55,'[1]Table 2'!$H$56:$L$56)))</f>
        <v>15.399749264902967</v>
      </c>
      <c r="W26" s="3">
        <f>W27*(1-(_xlfn.XLOOKUP(W$1,'[1]Table 2'!$H$55:$L$55,'[1]Table 2'!$H$56:$L$56)))</f>
        <v>4.1311268220727095</v>
      </c>
      <c r="X26" s="3">
        <f>X27*(1-(_xlfn.XLOOKUP(X$1,'[1]Table 2'!$H$55:$L$55,'[1]Table 2'!$H$56:$L$56)))</f>
        <v>7.6911951540415116</v>
      </c>
      <c r="Y26" s="3">
        <f>Y27*(1-(_xlfn.XLOOKUP(Y$1,'[1]Table 2'!$H$55:$L$55,'[1]Table 2'!$H$56:$L$56)))</f>
        <v>4.1311268220727095</v>
      </c>
      <c r="Z26" s="3">
        <f>Z27*(1-(_xlfn.XLOOKUP(Z$1,'[1]Table 2'!$H$55:$L$55,'[1]Table 2'!$H$56:$L$56)))</f>
        <v>2.6730800883926955</v>
      </c>
      <c r="AA26" s="3">
        <f>AA27*(1-(_xlfn.XLOOKUP(AA$1,'[1]Table 2'!$H$55:$L$55,'[1]Table 2'!$H$56:$L$56)))</f>
        <v>4.1311268220727095</v>
      </c>
    </row>
    <row r="27" spans="1:27" x14ac:dyDescent="0.2">
      <c r="A27" s="1">
        <v>1995</v>
      </c>
      <c r="B27" s="3">
        <f>B28*(1-(_xlfn.XLOOKUP(B$1,'[1]Table 2'!$H$55:$L$55,'[1]Table 2'!$H$56:$L$56)))</f>
        <v>7.7509141858194637</v>
      </c>
      <c r="C27" s="3">
        <f>C28*(1-(_xlfn.XLOOKUP(C$1,'[1]Table 2'!$H$55:$L$55,'[1]Table 2'!$H$56:$L$56)))</f>
        <v>7.7509141858194637</v>
      </c>
      <c r="D27" s="3">
        <f>D28*(1-(_xlfn.XLOOKUP(D$1,'[1]Table 2'!$H$55:$L$55,'[1]Table 2'!$H$56:$L$56)))</f>
        <v>7.7509141858194637</v>
      </c>
      <c r="E27" s="3">
        <f>E28*(1-(_xlfn.XLOOKUP(E$1,'[1]Table 2'!$H$55:$L$55,'[1]Table 2'!$H$56:$L$56)))</f>
        <v>15.54016024211103</v>
      </c>
      <c r="F27" s="3">
        <f>F28*(1-(_xlfn.XLOOKUP(F$1,'[1]Table 2'!$H$55:$L$55,'[1]Table 2'!$H$56:$L$56)))</f>
        <v>4.1327026201688515</v>
      </c>
      <c r="G27" s="3">
        <f>G28*(1-(_xlfn.XLOOKUP(G$1,'[1]Table 2'!$H$55:$L$55,'[1]Table 2'!$H$56:$L$56)))</f>
        <v>15.54016024211103</v>
      </c>
      <c r="H27" s="3">
        <f>H28*(1-(_xlfn.XLOOKUP(H$1,'[1]Table 2'!$H$55:$L$55,'[1]Table 2'!$H$56:$L$56)))</f>
        <v>2.6714382333674576</v>
      </c>
      <c r="I27" s="3">
        <f>I28*(1-(_xlfn.XLOOKUP(I$1,'[1]Table 2'!$H$55:$L$55,'[1]Table 2'!$H$56:$L$56)))</f>
        <v>15.54016024211103</v>
      </c>
      <c r="J27" s="3">
        <f>J28*(1-(_xlfn.XLOOKUP(J$1,'[1]Table 2'!$H$55:$L$55,'[1]Table 2'!$H$56:$L$56)))</f>
        <v>15.54016024211103</v>
      </c>
      <c r="K27" s="3">
        <f>K28*(1-(_xlfn.XLOOKUP(K$1,'[1]Table 2'!$H$55:$L$55,'[1]Table 2'!$H$56:$L$56)))</f>
        <v>15.54016024211103</v>
      </c>
      <c r="L27" s="3">
        <f>L28*(1-(_xlfn.XLOOKUP(L$1,'[1]Table 2'!$H$55:$L$55,'[1]Table 2'!$H$56:$L$56)))</f>
        <v>15.54016024211103</v>
      </c>
      <c r="M27" s="3">
        <f>M28*(1-(_xlfn.XLOOKUP(M$1,'[1]Table 2'!$H$55:$L$55,'[1]Table 2'!$H$56:$L$56)))</f>
        <v>7.7509141858194637</v>
      </c>
      <c r="N27" s="3">
        <f>N28*(1-(_xlfn.XLOOKUP(N$1,'[1]Table 2'!$H$55:$L$55,'[1]Table 2'!$H$56:$L$56)))</f>
        <v>15.54016024211103</v>
      </c>
      <c r="O27" s="3">
        <f>O28*(1-(_xlfn.XLOOKUP(O$1,'[1]Table 2'!$H$55:$L$55,'[1]Table 2'!$H$56:$L$56)))</f>
        <v>2.6714382333674576</v>
      </c>
      <c r="P27" s="3">
        <f>P28*(1-(_xlfn.XLOOKUP(P$1,'[1]Table 2'!$H$55:$L$55,'[1]Table 2'!$H$56:$L$56)))</f>
        <v>15.54016024211103</v>
      </c>
      <c r="Q27" s="3">
        <f>Q28*(1-(_xlfn.XLOOKUP(Q$1,'[1]Table 2'!$H$55:$L$55,'[1]Table 2'!$H$56:$L$56)))</f>
        <v>7.7509141858194637</v>
      </c>
      <c r="R27" s="3">
        <f>R28*(1-(_xlfn.XLOOKUP(R$1,'[1]Table 2'!$H$55:$L$55,'[1]Table 2'!$H$56:$L$56)))</f>
        <v>15.54016024211103</v>
      </c>
      <c r="S27" s="3">
        <f>S28*(1-(_xlfn.XLOOKUP(S$1,'[1]Table 2'!$H$55:$L$55,'[1]Table 2'!$H$56:$L$56)))</f>
        <v>2.6714382333674576</v>
      </c>
      <c r="T27" s="3">
        <f>T28*(1-(_xlfn.XLOOKUP(T$1,'[1]Table 2'!$H$55:$L$55,'[1]Table 2'!$H$56:$L$56)))</f>
        <v>19.232289932106653</v>
      </c>
      <c r="U27" s="3">
        <f>U28*(1-(_xlfn.XLOOKUP(U$1,'[1]Table 2'!$H$55:$L$55,'[1]Table 2'!$H$56:$L$56)))</f>
        <v>2.6714382333674576</v>
      </c>
      <c r="V27" s="3">
        <f>V28*(1-(_xlfn.XLOOKUP(V$1,'[1]Table 2'!$H$55:$L$55,'[1]Table 2'!$H$56:$L$56)))</f>
        <v>15.54016024211103</v>
      </c>
      <c r="W27" s="3">
        <f>W28*(1-(_xlfn.XLOOKUP(W$1,'[1]Table 2'!$H$55:$L$55,'[1]Table 2'!$H$56:$L$56)))</f>
        <v>4.1327026201688515</v>
      </c>
      <c r="X27" s="3">
        <f>X28*(1-(_xlfn.XLOOKUP(X$1,'[1]Table 2'!$H$55:$L$55,'[1]Table 2'!$H$56:$L$56)))</f>
        <v>7.7509141858194637</v>
      </c>
      <c r="Y27" s="3">
        <f>Y28*(1-(_xlfn.XLOOKUP(Y$1,'[1]Table 2'!$H$55:$L$55,'[1]Table 2'!$H$56:$L$56)))</f>
        <v>4.1327026201688515</v>
      </c>
      <c r="Z27" s="3">
        <f>Z28*(1-(_xlfn.XLOOKUP(Z$1,'[1]Table 2'!$H$55:$L$55,'[1]Table 2'!$H$56:$L$56)))</f>
        <v>2.6714382333674576</v>
      </c>
      <c r="AA27" s="3">
        <f>AA28*(1-(_xlfn.XLOOKUP(AA$1,'[1]Table 2'!$H$55:$L$55,'[1]Table 2'!$H$56:$L$56)))</f>
        <v>4.1327026201688515</v>
      </c>
    </row>
    <row r="28" spans="1:27" x14ac:dyDescent="0.2">
      <c r="A28" s="1">
        <v>1996</v>
      </c>
      <c r="B28" s="3">
        <f>B29*(1-(_xlfn.XLOOKUP(B$1,'[1]Table 2'!$H$55:$L$55,'[1]Table 2'!$H$56:$L$56)))</f>
        <v>7.8110969118198446</v>
      </c>
      <c r="C28" s="3">
        <f>C29*(1-(_xlfn.XLOOKUP(C$1,'[1]Table 2'!$H$55:$L$55,'[1]Table 2'!$H$56:$L$56)))</f>
        <v>7.8110969118198446</v>
      </c>
      <c r="D28" s="3">
        <f>D29*(1-(_xlfn.XLOOKUP(D$1,'[1]Table 2'!$H$55:$L$55,'[1]Table 2'!$H$56:$L$56)))</f>
        <v>7.8110969118198446</v>
      </c>
      <c r="E28" s="3">
        <f>E29*(1-(_xlfn.XLOOKUP(E$1,'[1]Table 2'!$H$55:$L$55,'[1]Table 2'!$H$56:$L$56)))</f>
        <v>15.68185145071646</v>
      </c>
      <c r="F28" s="3">
        <f>F29*(1-(_xlfn.XLOOKUP(F$1,'[1]Table 2'!$H$55:$L$55,'[1]Table 2'!$H$56:$L$56)))</f>
        <v>4.1342790193454606</v>
      </c>
      <c r="G28" s="3">
        <f>G29*(1-(_xlfn.XLOOKUP(G$1,'[1]Table 2'!$H$55:$L$55,'[1]Table 2'!$H$56:$L$56)))</f>
        <v>15.68185145071646</v>
      </c>
      <c r="H28" s="3">
        <f>H29*(1-(_xlfn.XLOOKUP(H$1,'[1]Table 2'!$H$55:$L$55,'[1]Table 2'!$H$56:$L$56)))</f>
        <v>2.669797386799817</v>
      </c>
      <c r="I28" s="3">
        <f>I29*(1-(_xlfn.XLOOKUP(I$1,'[1]Table 2'!$H$55:$L$55,'[1]Table 2'!$H$56:$L$56)))</f>
        <v>15.68185145071646</v>
      </c>
      <c r="J28" s="3">
        <f>J29*(1-(_xlfn.XLOOKUP(J$1,'[1]Table 2'!$H$55:$L$55,'[1]Table 2'!$H$56:$L$56)))</f>
        <v>15.68185145071646</v>
      </c>
      <c r="K28" s="3">
        <f>K29*(1-(_xlfn.XLOOKUP(K$1,'[1]Table 2'!$H$55:$L$55,'[1]Table 2'!$H$56:$L$56)))</f>
        <v>15.68185145071646</v>
      </c>
      <c r="L28" s="3">
        <f>L29*(1-(_xlfn.XLOOKUP(L$1,'[1]Table 2'!$H$55:$L$55,'[1]Table 2'!$H$56:$L$56)))</f>
        <v>15.68185145071646</v>
      </c>
      <c r="M28" s="3">
        <f>M29*(1-(_xlfn.XLOOKUP(M$1,'[1]Table 2'!$H$55:$L$55,'[1]Table 2'!$H$56:$L$56)))</f>
        <v>7.8110969118198446</v>
      </c>
      <c r="N28" s="3">
        <f>N29*(1-(_xlfn.XLOOKUP(N$1,'[1]Table 2'!$H$55:$L$55,'[1]Table 2'!$H$56:$L$56)))</f>
        <v>15.68185145071646</v>
      </c>
      <c r="O28" s="3">
        <f>O29*(1-(_xlfn.XLOOKUP(O$1,'[1]Table 2'!$H$55:$L$55,'[1]Table 2'!$H$56:$L$56)))</f>
        <v>2.669797386799817</v>
      </c>
      <c r="P28" s="3">
        <f>P29*(1-(_xlfn.XLOOKUP(P$1,'[1]Table 2'!$H$55:$L$55,'[1]Table 2'!$H$56:$L$56)))</f>
        <v>15.68185145071646</v>
      </c>
      <c r="Q28" s="3">
        <f>Q29*(1-(_xlfn.XLOOKUP(Q$1,'[1]Table 2'!$H$55:$L$55,'[1]Table 2'!$H$56:$L$56)))</f>
        <v>7.8110969118198446</v>
      </c>
      <c r="R28" s="3">
        <f>R29*(1-(_xlfn.XLOOKUP(R$1,'[1]Table 2'!$H$55:$L$55,'[1]Table 2'!$H$56:$L$56)))</f>
        <v>15.68185145071646</v>
      </c>
      <c r="S28" s="3">
        <f>S29*(1-(_xlfn.XLOOKUP(S$1,'[1]Table 2'!$H$55:$L$55,'[1]Table 2'!$H$56:$L$56)))</f>
        <v>2.669797386799817</v>
      </c>
      <c r="T28" s="3">
        <f>T29*(1-(_xlfn.XLOOKUP(T$1,'[1]Table 2'!$H$55:$L$55,'[1]Table 2'!$H$56:$L$56)))</f>
        <v>19.62318493343636</v>
      </c>
      <c r="U28" s="3">
        <f>U29*(1-(_xlfn.XLOOKUP(U$1,'[1]Table 2'!$H$55:$L$55,'[1]Table 2'!$H$56:$L$56)))</f>
        <v>2.669797386799817</v>
      </c>
      <c r="V28" s="3">
        <f>V29*(1-(_xlfn.XLOOKUP(V$1,'[1]Table 2'!$H$55:$L$55,'[1]Table 2'!$H$56:$L$56)))</f>
        <v>15.68185145071646</v>
      </c>
      <c r="W28" s="3">
        <f>W29*(1-(_xlfn.XLOOKUP(W$1,'[1]Table 2'!$H$55:$L$55,'[1]Table 2'!$H$56:$L$56)))</f>
        <v>4.1342790193454606</v>
      </c>
      <c r="X28" s="3">
        <f>X29*(1-(_xlfn.XLOOKUP(X$1,'[1]Table 2'!$H$55:$L$55,'[1]Table 2'!$H$56:$L$56)))</f>
        <v>7.8110969118198446</v>
      </c>
      <c r="Y28" s="3">
        <f>Y29*(1-(_xlfn.XLOOKUP(Y$1,'[1]Table 2'!$H$55:$L$55,'[1]Table 2'!$H$56:$L$56)))</f>
        <v>4.1342790193454606</v>
      </c>
      <c r="Z28" s="3">
        <f>Z29*(1-(_xlfn.XLOOKUP(Z$1,'[1]Table 2'!$H$55:$L$55,'[1]Table 2'!$H$56:$L$56)))</f>
        <v>2.669797386799817</v>
      </c>
      <c r="AA28" s="3">
        <f>AA29*(1-(_xlfn.XLOOKUP(AA$1,'[1]Table 2'!$H$55:$L$55,'[1]Table 2'!$H$56:$L$56)))</f>
        <v>4.1342790193454606</v>
      </c>
    </row>
    <row r="29" spans="1:27" x14ac:dyDescent="0.2">
      <c r="A29" s="1">
        <v>1997</v>
      </c>
      <c r="B29" s="3">
        <f>B30*(1-(_xlfn.XLOOKUP(B$1,'[1]Table 2'!$H$55:$L$55,'[1]Table 2'!$H$56:$L$56)))</f>
        <v>7.8717469324414795</v>
      </c>
      <c r="C29" s="3">
        <f>C30*(1-(_xlfn.XLOOKUP(C$1,'[1]Table 2'!$H$55:$L$55,'[1]Table 2'!$H$56:$L$56)))</f>
        <v>7.8717469324414795</v>
      </c>
      <c r="D29" s="3">
        <f>D30*(1-(_xlfn.XLOOKUP(D$1,'[1]Table 2'!$H$55:$L$55,'[1]Table 2'!$H$56:$L$56)))</f>
        <v>7.8717469324414795</v>
      </c>
      <c r="E29" s="3">
        <f>E30*(1-(_xlfn.XLOOKUP(E$1,'[1]Table 2'!$H$55:$L$55,'[1]Table 2'!$H$56:$L$56)))</f>
        <v>15.824834563541877</v>
      </c>
      <c r="F29" s="3">
        <f>F30*(1-(_xlfn.XLOOKUP(F$1,'[1]Table 2'!$H$55:$L$55,'[1]Table 2'!$H$56:$L$56)))</f>
        <v>4.1358560198318157</v>
      </c>
      <c r="G29" s="3">
        <f>G30*(1-(_xlfn.XLOOKUP(G$1,'[1]Table 2'!$H$55:$L$55,'[1]Table 2'!$H$56:$L$56)))</f>
        <v>15.824834563541877</v>
      </c>
      <c r="H29" s="3">
        <f>H30*(1-(_xlfn.XLOOKUP(H$1,'[1]Table 2'!$H$55:$L$55,'[1]Table 2'!$H$56:$L$56)))</f>
        <v>2.668157548070361</v>
      </c>
      <c r="I29" s="3">
        <f>I30*(1-(_xlfn.XLOOKUP(I$1,'[1]Table 2'!$H$55:$L$55,'[1]Table 2'!$H$56:$L$56)))</f>
        <v>15.824834563541877</v>
      </c>
      <c r="J29" s="3">
        <f>J30*(1-(_xlfn.XLOOKUP(J$1,'[1]Table 2'!$H$55:$L$55,'[1]Table 2'!$H$56:$L$56)))</f>
        <v>15.824834563541877</v>
      </c>
      <c r="K29" s="3">
        <f>K30*(1-(_xlfn.XLOOKUP(K$1,'[1]Table 2'!$H$55:$L$55,'[1]Table 2'!$H$56:$L$56)))</f>
        <v>15.824834563541877</v>
      </c>
      <c r="L29" s="3">
        <f>L30*(1-(_xlfn.XLOOKUP(L$1,'[1]Table 2'!$H$55:$L$55,'[1]Table 2'!$H$56:$L$56)))</f>
        <v>15.824834563541877</v>
      </c>
      <c r="M29" s="3">
        <f>M30*(1-(_xlfn.XLOOKUP(M$1,'[1]Table 2'!$H$55:$L$55,'[1]Table 2'!$H$56:$L$56)))</f>
        <v>7.8717469324414795</v>
      </c>
      <c r="N29" s="3">
        <f>N30*(1-(_xlfn.XLOOKUP(N$1,'[1]Table 2'!$H$55:$L$55,'[1]Table 2'!$H$56:$L$56)))</f>
        <v>15.824834563541877</v>
      </c>
      <c r="O29" s="3">
        <f>O30*(1-(_xlfn.XLOOKUP(O$1,'[1]Table 2'!$H$55:$L$55,'[1]Table 2'!$H$56:$L$56)))</f>
        <v>2.668157548070361</v>
      </c>
      <c r="P29" s="3">
        <f>P30*(1-(_xlfn.XLOOKUP(P$1,'[1]Table 2'!$H$55:$L$55,'[1]Table 2'!$H$56:$L$56)))</f>
        <v>15.824834563541877</v>
      </c>
      <c r="Q29" s="3">
        <f>Q30*(1-(_xlfn.XLOOKUP(Q$1,'[1]Table 2'!$H$55:$L$55,'[1]Table 2'!$H$56:$L$56)))</f>
        <v>7.8717469324414795</v>
      </c>
      <c r="R29" s="3">
        <f>R30*(1-(_xlfn.XLOOKUP(R$1,'[1]Table 2'!$H$55:$L$55,'[1]Table 2'!$H$56:$L$56)))</f>
        <v>15.824834563541877</v>
      </c>
      <c r="S29" s="3">
        <f>S30*(1-(_xlfn.XLOOKUP(S$1,'[1]Table 2'!$H$55:$L$55,'[1]Table 2'!$H$56:$L$56)))</f>
        <v>2.668157548070361</v>
      </c>
      <c r="T29" s="3">
        <f>T30*(1-(_xlfn.XLOOKUP(T$1,'[1]Table 2'!$H$55:$L$55,'[1]Table 2'!$H$56:$L$56)))</f>
        <v>20.022024849417619</v>
      </c>
      <c r="U29" s="3">
        <f>U30*(1-(_xlfn.XLOOKUP(U$1,'[1]Table 2'!$H$55:$L$55,'[1]Table 2'!$H$56:$L$56)))</f>
        <v>2.668157548070361</v>
      </c>
      <c r="V29" s="3">
        <f>V30*(1-(_xlfn.XLOOKUP(V$1,'[1]Table 2'!$H$55:$L$55,'[1]Table 2'!$H$56:$L$56)))</f>
        <v>15.824834563541877</v>
      </c>
      <c r="W29" s="3">
        <f>W30*(1-(_xlfn.XLOOKUP(W$1,'[1]Table 2'!$H$55:$L$55,'[1]Table 2'!$H$56:$L$56)))</f>
        <v>4.1358560198318157</v>
      </c>
      <c r="X29" s="3">
        <f>X30*(1-(_xlfn.XLOOKUP(X$1,'[1]Table 2'!$H$55:$L$55,'[1]Table 2'!$H$56:$L$56)))</f>
        <v>7.8717469324414795</v>
      </c>
      <c r="Y29" s="3">
        <f>Y30*(1-(_xlfn.XLOOKUP(Y$1,'[1]Table 2'!$H$55:$L$55,'[1]Table 2'!$H$56:$L$56)))</f>
        <v>4.1358560198318157</v>
      </c>
      <c r="Z29" s="3">
        <f>Z30*(1-(_xlfn.XLOOKUP(Z$1,'[1]Table 2'!$H$55:$L$55,'[1]Table 2'!$H$56:$L$56)))</f>
        <v>2.668157548070361</v>
      </c>
      <c r="AA29" s="3">
        <f>AA30*(1-(_xlfn.XLOOKUP(AA$1,'[1]Table 2'!$H$55:$L$55,'[1]Table 2'!$H$56:$L$56)))</f>
        <v>4.1358560198318157</v>
      </c>
    </row>
    <row r="30" spans="1:27" x14ac:dyDescent="0.2">
      <c r="A30" s="1">
        <v>1998</v>
      </c>
      <c r="B30" s="3">
        <f>B31*(1-(_xlfn.XLOOKUP(B$1,'[1]Table 2'!$H$55:$L$55,'[1]Table 2'!$H$56:$L$56)))</f>
        <v>7.9328678760388414</v>
      </c>
      <c r="C30" s="3">
        <f>C31*(1-(_xlfn.XLOOKUP(C$1,'[1]Table 2'!$H$55:$L$55,'[1]Table 2'!$H$56:$L$56)))</f>
        <v>7.9328678760388414</v>
      </c>
      <c r="D30" s="3">
        <f>D31*(1-(_xlfn.XLOOKUP(D$1,'[1]Table 2'!$H$55:$L$55,'[1]Table 2'!$H$56:$L$56)))</f>
        <v>7.9328678760388414</v>
      </c>
      <c r="E30" s="3">
        <f>E31*(1-(_xlfn.XLOOKUP(E$1,'[1]Table 2'!$H$55:$L$55,'[1]Table 2'!$H$56:$L$56)))</f>
        <v>15.969121359839715</v>
      </c>
      <c r="F30" s="3">
        <f>F31*(1-(_xlfn.XLOOKUP(F$1,'[1]Table 2'!$H$55:$L$55,'[1]Table 2'!$H$56:$L$56)))</f>
        <v>4.1374336218572836</v>
      </c>
      <c r="G30" s="3">
        <f>G31*(1-(_xlfn.XLOOKUP(G$1,'[1]Table 2'!$H$55:$L$55,'[1]Table 2'!$H$56:$L$56)))</f>
        <v>15.969121359839715</v>
      </c>
      <c r="H30" s="3">
        <f>H31*(1-(_xlfn.XLOOKUP(H$1,'[1]Table 2'!$H$55:$L$55,'[1]Table 2'!$H$56:$L$56)))</f>
        <v>2.6665187165600566</v>
      </c>
      <c r="I30" s="3">
        <f>I31*(1-(_xlfn.XLOOKUP(I$1,'[1]Table 2'!$H$55:$L$55,'[1]Table 2'!$H$56:$L$56)))</f>
        <v>15.969121359839715</v>
      </c>
      <c r="J30" s="3">
        <f>J31*(1-(_xlfn.XLOOKUP(J$1,'[1]Table 2'!$H$55:$L$55,'[1]Table 2'!$H$56:$L$56)))</f>
        <v>15.969121359839715</v>
      </c>
      <c r="K30" s="3">
        <f>K31*(1-(_xlfn.XLOOKUP(K$1,'[1]Table 2'!$H$55:$L$55,'[1]Table 2'!$H$56:$L$56)))</f>
        <v>15.969121359839715</v>
      </c>
      <c r="L30" s="3">
        <f>L31*(1-(_xlfn.XLOOKUP(L$1,'[1]Table 2'!$H$55:$L$55,'[1]Table 2'!$H$56:$L$56)))</f>
        <v>15.969121359839715</v>
      </c>
      <c r="M30" s="3">
        <f>M31*(1-(_xlfn.XLOOKUP(M$1,'[1]Table 2'!$H$55:$L$55,'[1]Table 2'!$H$56:$L$56)))</f>
        <v>7.9328678760388414</v>
      </c>
      <c r="N30" s="3">
        <f>N31*(1-(_xlfn.XLOOKUP(N$1,'[1]Table 2'!$H$55:$L$55,'[1]Table 2'!$H$56:$L$56)))</f>
        <v>15.969121359839715</v>
      </c>
      <c r="O30" s="3">
        <f>O31*(1-(_xlfn.XLOOKUP(O$1,'[1]Table 2'!$H$55:$L$55,'[1]Table 2'!$H$56:$L$56)))</f>
        <v>2.6665187165600566</v>
      </c>
      <c r="P30" s="3">
        <f>P31*(1-(_xlfn.XLOOKUP(P$1,'[1]Table 2'!$H$55:$L$55,'[1]Table 2'!$H$56:$L$56)))</f>
        <v>15.969121359839715</v>
      </c>
      <c r="Q30" s="3">
        <f>Q31*(1-(_xlfn.XLOOKUP(Q$1,'[1]Table 2'!$H$55:$L$55,'[1]Table 2'!$H$56:$L$56)))</f>
        <v>7.9328678760388414</v>
      </c>
      <c r="R30" s="3">
        <f>R31*(1-(_xlfn.XLOOKUP(R$1,'[1]Table 2'!$H$55:$L$55,'[1]Table 2'!$H$56:$L$56)))</f>
        <v>15.969121359839715</v>
      </c>
      <c r="S30" s="3">
        <f>S31*(1-(_xlfn.XLOOKUP(S$1,'[1]Table 2'!$H$55:$L$55,'[1]Table 2'!$H$56:$L$56)))</f>
        <v>2.6665187165600566</v>
      </c>
      <c r="T30" s="3">
        <f>T31*(1-(_xlfn.XLOOKUP(T$1,'[1]Table 2'!$H$55:$L$55,'[1]Table 2'!$H$56:$L$56)))</f>
        <v>20.428971159907189</v>
      </c>
      <c r="U30" s="3">
        <f>U31*(1-(_xlfn.XLOOKUP(U$1,'[1]Table 2'!$H$55:$L$55,'[1]Table 2'!$H$56:$L$56)))</f>
        <v>2.6665187165600566</v>
      </c>
      <c r="V30" s="3">
        <f>V31*(1-(_xlfn.XLOOKUP(V$1,'[1]Table 2'!$H$55:$L$55,'[1]Table 2'!$H$56:$L$56)))</f>
        <v>15.969121359839715</v>
      </c>
      <c r="W30" s="3">
        <f>W31*(1-(_xlfn.XLOOKUP(W$1,'[1]Table 2'!$H$55:$L$55,'[1]Table 2'!$H$56:$L$56)))</f>
        <v>4.1374336218572836</v>
      </c>
      <c r="X30" s="3">
        <f>X31*(1-(_xlfn.XLOOKUP(X$1,'[1]Table 2'!$H$55:$L$55,'[1]Table 2'!$H$56:$L$56)))</f>
        <v>7.9328678760388414</v>
      </c>
      <c r="Y30" s="3">
        <f>Y31*(1-(_xlfn.XLOOKUP(Y$1,'[1]Table 2'!$H$55:$L$55,'[1]Table 2'!$H$56:$L$56)))</f>
        <v>4.1374336218572836</v>
      </c>
      <c r="Z30" s="3">
        <f>Z31*(1-(_xlfn.XLOOKUP(Z$1,'[1]Table 2'!$H$55:$L$55,'[1]Table 2'!$H$56:$L$56)))</f>
        <v>2.6665187165600566</v>
      </c>
      <c r="AA30" s="3">
        <f>AA31*(1-(_xlfn.XLOOKUP(AA$1,'[1]Table 2'!$H$55:$L$55,'[1]Table 2'!$H$56:$L$56)))</f>
        <v>4.1374336218572836</v>
      </c>
    </row>
    <row r="31" spans="1:27" x14ac:dyDescent="0.2">
      <c r="A31" s="1">
        <v>1999</v>
      </c>
      <c r="B31" s="3">
        <f>B32*(1-(_xlfn.XLOOKUP(B$1,'[1]Table 2'!$H$55:$L$55,'[1]Table 2'!$H$56:$L$56)))</f>
        <v>7.9944633991391125</v>
      </c>
      <c r="C31" s="3">
        <f>C32*(1-(_xlfn.XLOOKUP(C$1,'[1]Table 2'!$H$55:$L$55,'[1]Table 2'!$H$56:$L$56)))</f>
        <v>7.9944633991391125</v>
      </c>
      <c r="D31" s="3">
        <f>D32*(1-(_xlfn.XLOOKUP(D$1,'[1]Table 2'!$H$55:$L$55,'[1]Table 2'!$H$56:$L$56)))</f>
        <v>7.9944633991391125</v>
      </c>
      <c r="E31" s="3">
        <f>E32*(1-(_xlfn.XLOOKUP(E$1,'[1]Table 2'!$H$55:$L$55,'[1]Table 2'!$H$56:$L$56)))</f>
        <v>16.114723726262618</v>
      </c>
      <c r="F31" s="3">
        <f>F32*(1-(_xlfn.XLOOKUP(F$1,'[1]Table 2'!$H$55:$L$55,'[1]Table 2'!$H$56:$L$56)))</f>
        <v>4.1390118256513189</v>
      </c>
      <c r="G31" s="3">
        <f>G32*(1-(_xlfn.XLOOKUP(G$1,'[1]Table 2'!$H$55:$L$55,'[1]Table 2'!$H$56:$L$56)))</f>
        <v>16.114723726262618</v>
      </c>
      <c r="H31" s="3">
        <f>H32*(1-(_xlfn.XLOOKUP(H$1,'[1]Table 2'!$H$55:$L$55,'[1]Table 2'!$H$56:$L$56)))</f>
        <v>2.6648808916502511</v>
      </c>
      <c r="I31" s="3">
        <f>I32*(1-(_xlfn.XLOOKUP(I$1,'[1]Table 2'!$H$55:$L$55,'[1]Table 2'!$H$56:$L$56)))</f>
        <v>16.114723726262618</v>
      </c>
      <c r="J31" s="3">
        <f>J32*(1-(_xlfn.XLOOKUP(J$1,'[1]Table 2'!$H$55:$L$55,'[1]Table 2'!$H$56:$L$56)))</f>
        <v>16.114723726262618</v>
      </c>
      <c r="K31" s="3">
        <f>K32*(1-(_xlfn.XLOOKUP(K$1,'[1]Table 2'!$H$55:$L$55,'[1]Table 2'!$H$56:$L$56)))</f>
        <v>16.114723726262618</v>
      </c>
      <c r="L31" s="3">
        <f>L32*(1-(_xlfn.XLOOKUP(L$1,'[1]Table 2'!$H$55:$L$55,'[1]Table 2'!$H$56:$L$56)))</f>
        <v>16.114723726262618</v>
      </c>
      <c r="M31" s="3">
        <f>M32*(1-(_xlfn.XLOOKUP(M$1,'[1]Table 2'!$H$55:$L$55,'[1]Table 2'!$H$56:$L$56)))</f>
        <v>7.9944633991391125</v>
      </c>
      <c r="N31" s="3">
        <f>N32*(1-(_xlfn.XLOOKUP(N$1,'[1]Table 2'!$H$55:$L$55,'[1]Table 2'!$H$56:$L$56)))</f>
        <v>16.114723726262618</v>
      </c>
      <c r="O31" s="3">
        <f>O32*(1-(_xlfn.XLOOKUP(O$1,'[1]Table 2'!$H$55:$L$55,'[1]Table 2'!$H$56:$L$56)))</f>
        <v>2.6648808916502511</v>
      </c>
      <c r="P31" s="3">
        <f>P32*(1-(_xlfn.XLOOKUP(P$1,'[1]Table 2'!$H$55:$L$55,'[1]Table 2'!$H$56:$L$56)))</f>
        <v>16.114723726262618</v>
      </c>
      <c r="Q31" s="3">
        <f>Q32*(1-(_xlfn.XLOOKUP(Q$1,'[1]Table 2'!$H$55:$L$55,'[1]Table 2'!$H$56:$L$56)))</f>
        <v>7.9944633991391125</v>
      </c>
      <c r="R31" s="3">
        <f>R32*(1-(_xlfn.XLOOKUP(R$1,'[1]Table 2'!$H$55:$L$55,'[1]Table 2'!$H$56:$L$56)))</f>
        <v>16.114723726262618</v>
      </c>
      <c r="S31" s="3">
        <f>S32*(1-(_xlfn.XLOOKUP(S$1,'[1]Table 2'!$H$55:$L$55,'[1]Table 2'!$H$56:$L$56)))</f>
        <v>2.6648808916502511</v>
      </c>
      <c r="T31" s="3">
        <f>T32*(1-(_xlfn.XLOOKUP(T$1,'[1]Table 2'!$H$55:$L$55,'[1]Table 2'!$H$56:$L$56)))</f>
        <v>20.844188626829066</v>
      </c>
      <c r="U31" s="3">
        <f>U32*(1-(_xlfn.XLOOKUP(U$1,'[1]Table 2'!$H$55:$L$55,'[1]Table 2'!$H$56:$L$56)))</f>
        <v>2.6648808916502511</v>
      </c>
      <c r="V31" s="3">
        <f>V32*(1-(_xlfn.XLOOKUP(V$1,'[1]Table 2'!$H$55:$L$55,'[1]Table 2'!$H$56:$L$56)))</f>
        <v>16.114723726262618</v>
      </c>
      <c r="W31" s="3">
        <f>W32*(1-(_xlfn.XLOOKUP(W$1,'[1]Table 2'!$H$55:$L$55,'[1]Table 2'!$H$56:$L$56)))</f>
        <v>4.1390118256513189</v>
      </c>
      <c r="X31" s="3">
        <f>X32*(1-(_xlfn.XLOOKUP(X$1,'[1]Table 2'!$H$55:$L$55,'[1]Table 2'!$H$56:$L$56)))</f>
        <v>7.9944633991391125</v>
      </c>
      <c r="Y31" s="3">
        <f>Y32*(1-(_xlfn.XLOOKUP(Y$1,'[1]Table 2'!$H$55:$L$55,'[1]Table 2'!$H$56:$L$56)))</f>
        <v>4.1390118256513189</v>
      </c>
      <c r="Z31" s="3">
        <f>Z32*(1-(_xlfn.XLOOKUP(Z$1,'[1]Table 2'!$H$55:$L$55,'[1]Table 2'!$H$56:$L$56)))</f>
        <v>2.6648808916502511</v>
      </c>
      <c r="AA31" s="3">
        <f>AA32*(1-(_xlfn.XLOOKUP(AA$1,'[1]Table 2'!$H$55:$L$55,'[1]Table 2'!$H$56:$L$56)))</f>
        <v>4.1390118256513189</v>
      </c>
    </row>
    <row r="32" spans="1:27" x14ac:dyDescent="0.2">
      <c r="A32" s="1">
        <v>2000</v>
      </c>
      <c r="B32" s="3">
        <f>B33*(1-(_xlfn.XLOOKUP(B$1,'[1]Table 2'!$H$55:$L$55,'[1]Table 2'!$H$56:$L$56)))</f>
        <v>8.0565371866609379</v>
      </c>
      <c r="C32" s="3">
        <f>C33*(1-(_xlfn.XLOOKUP(C$1,'[1]Table 2'!$H$55:$L$55,'[1]Table 2'!$H$56:$L$56)))</f>
        <v>8.0565371866609379</v>
      </c>
      <c r="D32" s="3">
        <f>D33*(1-(_xlfn.XLOOKUP(D$1,'[1]Table 2'!$H$55:$L$55,'[1]Table 2'!$H$56:$L$56)))</f>
        <v>8.0565371866609379</v>
      </c>
      <c r="E32" s="3">
        <f>E33*(1-(_xlfn.XLOOKUP(E$1,'[1]Table 2'!$H$55:$L$55,'[1]Table 2'!$H$56:$L$56)))</f>
        <v>16.261653657842693</v>
      </c>
      <c r="F32" s="3">
        <f>F33*(1-(_xlfn.XLOOKUP(F$1,'[1]Table 2'!$H$55:$L$55,'[1]Table 2'!$H$56:$L$56)))</f>
        <v>4.1405906314434633</v>
      </c>
      <c r="G32" s="3">
        <f>G33*(1-(_xlfn.XLOOKUP(G$1,'[1]Table 2'!$H$55:$L$55,'[1]Table 2'!$H$56:$L$56)))</f>
        <v>16.261653657842693</v>
      </c>
      <c r="H32" s="3">
        <f>H33*(1-(_xlfn.XLOOKUP(H$1,'[1]Table 2'!$H$55:$L$55,'[1]Table 2'!$H$56:$L$56)))</f>
        <v>2.6632440727226721</v>
      </c>
      <c r="I32" s="3">
        <f>I33*(1-(_xlfn.XLOOKUP(I$1,'[1]Table 2'!$H$55:$L$55,'[1]Table 2'!$H$56:$L$56)))</f>
        <v>16.261653657842693</v>
      </c>
      <c r="J32" s="3">
        <f>J33*(1-(_xlfn.XLOOKUP(J$1,'[1]Table 2'!$H$55:$L$55,'[1]Table 2'!$H$56:$L$56)))</f>
        <v>16.261653657842693</v>
      </c>
      <c r="K32" s="3">
        <f>K33*(1-(_xlfn.XLOOKUP(K$1,'[1]Table 2'!$H$55:$L$55,'[1]Table 2'!$H$56:$L$56)))</f>
        <v>16.261653657842693</v>
      </c>
      <c r="L32" s="3">
        <f>L33*(1-(_xlfn.XLOOKUP(L$1,'[1]Table 2'!$H$55:$L$55,'[1]Table 2'!$H$56:$L$56)))</f>
        <v>16.261653657842693</v>
      </c>
      <c r="M32" s="3">
        <f>M33*(1-(_xlfn.XLOOKUP(M$1,'[1]Table 2'!$H$55:$L$55,'[1]Table 2'!$H$56:$L$56)))</f>
        <v>8.0565371866609379</v>
      </c>
      <c r="N32" s="3">
        <f>N33*(1-(_xlfn.XLOOKUP(N$1,'[1]Table 2'!$H$55:$L$55,'[1]Table 2'!$H$56:$L$56)))</f>
        <v>16.261653657842693</v>
      </c>
      <c r="O32" s="3">
        <f>O33*(1-(_xlfn.XLOOKUP(O$1,'[1]Table 2'!$H$55:$L$55,'[1]Table 2'!$H$56:$L$56)))</f>
        <v>2.6632440727226721</v>
      </c>
      <c r="P32" s="3">
        <f>P33*(1-(_xlfn.XLOOKUP(P$1,'[1]Table 2'!$H$55:$L$55,'[1]Table 2'!$H$56:$L$56)))</f>
        <v>16.261653657842693</v>
      </c>
      <c r="Q32" s="3">
        <f>Q33*(1-(_xlfn.XLOOKUP(Q$1,'[1]Table 2'!$H$55:$L$55,'[1]Table 2'!$H$56:$L$56)))</f>
        <v>8.0565371866609379</v>
      </c>
      <c r="R32" s="3">
        <f>R33*(1-(_xlfn.XLOOKUP(R$1,'[1]Table 2'!$H$55:$L$55,'[1]Table 2'!$H$56:$L$56)))</f>
        <v>16.261653657842693</v>
      </c>
      <c r="S32" s="3">
        <f>S33*(1-(_xlfn.XLOOKUP(S$1,'[1]Table 2'!$H$55:$L$55,'[1]Table 2'!$H$56:$L$56)))</f>
        <v>2.6632440727226721</v>
      </c>
      <c r="T32" s="3">
        <f>T33*(1-(_xlfn.XLOOKUP(T$1,'[1]Table 2'!$H$55:$L$55,'[1]Table 2'!$H$56:$L$56)))</f>
        <v>21.267845360882291</v>
      </c>
      <c r="U32" s="3">
        <f>U33*(1-(_xlfn.XLOOKUP(U$1,'[1]Table 2'!$H$55:$L$55,'[1]Table 2'!$H$56:$L$56)))</f>
        <v>2.6632440727226721</v>
      </c>
      <c r="V32" s="3">
        <f>V33*(1-(_xlfn.XLOOKUP(V$1,'[1]Table 2'!$H$55:$L$55,'[1]Table 2'!$H$56:$L$56)))</f>
        <v>16.261653657842693</v>
      </c>
      <c r="W32" s="3">
        <f>W33*(1-(_xlfn.XLOOKUP(W$1,'[1]Table 2'!$H$55:$L$55,'[1]Table 2'!$H$56:$L$56)))</f>
        <v>4.1405906314434633</v>
      </c>
      <c r="X32" s="3">
        <f>X33*(1-(_xlfn.XLOOKUP(X$1,'[1]Table 2'!$H$55:$L$55,'[1]Table 2'!$H$56:$L$56)))</f>
        <v>8.0565371866609379</v>
      </c>
      <c r="Y32" s="3">
        <f>Y33*(1-(_xlfn.XLOOKUP(Y$1,'[1]Table 2'!$H$55:$L$55,'[1]Table 2'!$H$56:$L$56)))</f>
        <v>4.1405906314434633</v>
      </c>
      <c r="Z32" s="3">
        <f>Z33*(1-(_xlfn.XLOOKUP(Z$1,'[1]Table 2'!$H$55:$L$55,'[1]Table 2'!$H$56:$L$56)))</f>
        <v>2.6632440727226721</v>
      </c>
      <c r="AA32" s="3">
        <f>AA33*(1-(_xlfn.XLOOKUP(AA$1,'[1]Table 2'!$H$55:$L$55,'[1]Table 2'!$H$56:$L$56)))</f>
        <v>4.1405906314434633</v>
      </c>
    </row>
    <row r="33" spans="1:27" x14ac:dyDescent="0.2">
      <c r="A33" s="1">
        <v>2001</v>
      </c>
      <c r="B33" s="3">
        <f>B34*(1-(_xlfn.XLOOKUP(B$1,'[1]Table 2'!$H$55:$L$55,'[1]Table 2'!$H$56:$L$56)))</f>
        <v>8.1190929521348689</v>
      </c>
      <c r="C33" s="3">
        <f>C34*(1-(_xlfn.XLOOKUP(C$1,'[1]Table 2'!$H$55:$L$55,'[1]Table 2'!$H$56:$L$56)))</f>
        <v>8.1190929521348689</v>
      </c>
      <c r="D33" s="3">
        <f>D34*(1-(_xlfn.XLOOKUP(D$1,'[1]Table 2'!$H$55:$L$55,'[1]Table 2'!$H$56:$L$56)))</f>
        <v>8.1190929521348689</v>
      </c>
      <c r="E33" s="3">
        <f>E34*(1-(_xlfn.XLOOKUP(E$1,'[1]Table 2'!$H$55:$L$55,'[1]Table 2'!$H$56:$L$56)))</f>
        <v>16.409923258979678</v>
      </c>
      <c r="F33" s="3">
        <f>F34*(1-(_xlfn.XLOOKUP(F$1,'[1]Table 2'!$H$55:$L$55,'[1]Table 2'!$H$56:$L$56)))</f>
        <v>4.1421700394633456</v>
      </c>
      <c r="G33" s="3">
        <f>G34*(1-(_xlfn.XLOOKUP(G$1,'[1]Table 2'!$H$55:$L$55,'[1]Table 2'!$H$56:$L$56)))</f>
        <v>16.409923258979678</v>
      </c>
      <c r="H33" s="3">
        <f>H34*(1-(_xlfn.XLOOKUP(H$1,'[1]Table 2'!$H$55:$L$55,'[1]Table 2'!$H$56:$L$56)))</f>
        <v>2.6616082591594266</v>
      </c>
      <c r="I33" s="3">
        <f>I34*(1-(_xlfn.XLOOKUP(I$1,'[1]Table 2'!$H$55:$L$55,'[1]Table 2'!$H$56:$L$56)))</f>
        <v>16.409923258979678</v>
      </c>
      <c r="J33" s="3">
        <f>J34*(1-(_xlfn.XLOOKUP(J$1,'[1]Table 2'!$H$55:$L$55,'[1]Table 2'!$H$56:$L$56)))</f>
        <v>16.409923258979678</v>
      </c>
      <c r="K33" s="3">
        <f>K34*(1-(_xlfn.XLOOKUP(K$1,'[1]Table 2'!$H$55:$L$55,'[1]Table 2'!$H$56:$L$56)))</f>
        <v>16.409923258979678</v>
      </c>
      <c r="L33" s="3">
        <f>L34*(1-(_xlfn.XLOOKUP(L$1,'[1]Table 2'!$H$55:$L$55,'[1]Table 2'!$H$56:$L$56)))</f>
        <v>16.409923258979678</v>
      </c>
      <c r="M33" s="3">
        <f>M34*(1-(_xlfn.XLOOKUP(M$1,'[1]Table 2'!$H$55:$L$55,'[1]Table 2'!$H$56:$L$56)))</f>
        <v>8.1190929521348689</v>
      </c>
      <c r="N33" s="3">
        <f>N34*(1-(_xlfn.XLOOKUP(N$1,'[1]Table 2'!$H$55:$L$55,'[1]Table 2'!$H$56:$L$56)))</f>
        <v>16.409923258979678</v>
      </c>
      <c r="O33" s="3">
        <f>O34*(1-(_xlfn.XLOOKUP(O$1,'[1]Table 2'!$H$55:$L$55,'[1]Table 2'!$H$56:$L$56)))</f>
        <v>2.6616082591594266</v>
      </c>
      <c r="P33" s="3">
        <f>P34*(1-(_xlfn.XLOOKUP(P$1,'[1]Table 2'!$H$55:$L$55,'[1]Table 2'!$H$56:$L$56)))</f>
        <v>16.409923258979678</v>
      </c>
      <c r="Q33" s="3">
        <f>Q34*(1-(_xlfn.XLOOKUP(Q$1,'[1]Table 2'!$H$55:$L$55,'[1]Table 2'!$H$56:$L$56)))</f>
        <v>8.1190929521348689</v>
      </c>
      <c r="R33" s="3">
        <f>R34*(1-(_xlfn.XLOOKUP(R$1,'[1]Table 2'!$H$55:$L$55,'[1]Table 2'!$H$56:$L$56)))</f>
        <v>16.409923258979678</v>
      </c>
      <c r="S33" s="3">
        <f>S34*(1-(_xlfn.XLOOKUP(S$1,'[1]Table 2'!$H$55:$L$55,'[1]Table 2'!$H$56:$L$56)))</f>
        <v>2.6616082591594266</v>
      </c>
      <c r="T33" s="3">
        <f>T34*(1-(_xlfn.XLOOKUP(T$1,'[1]Table 2'!$H$55:$L$55,'[1]Table 2'!$H$56:$L$56)))</f>
        <v>21.700112889604569</v>
      </c>
      <c r="U33" s="3">
        <f>U34*(1-(_xlfn.XLOOKUP(U$1,'[1]Table 2'!$H$55:$L$55,'[1]Table 2'!$H$56:$L$56)))</f>
        <v>2.6616082591594266</v>
      </c>
      <c r="V33" s="3">
        <f>V34*(1-(_xlfn.XLOOKUP(V$1,'[1]Table 2'!$H$55:$L$55,'[1]Table 2'!$H$56:$L$56)))</f>
        <v>16.409923258979678</v>
      </c>
      <c r="W33" s="3">
        <f>W34*(1-(_xlfn.XLOOKUP(W$1,'[1]Table 2'!$H$55:$L$55,'[1]Table 2'!$H$56:$L$56)))</f>
        <v>4.1421700394633456</v>
      </c>
      <c r="X33" s="3">
        <f>X34*(1-(_xlfn.XLOOKUP(X$1,'[1]Table 2'!$H$55:$L$55,'[1]Table 2'!$H$56:$L$56)))</f>
        <v>8.1190929521348689</v>
      </c>
      <c r="Y33" s="3">
        <f>Y34*(1-(_xlfn.XLOOKUP(Y$1,'[1]Table 2'!$H$55:$L$55,'[1]Table 2'!$H$56:$L$56)))</f>
        <v>4.1421700394633456</v>
      </c>
      <c r="Z33" s="3">
        <f>Z34*(1-(_xlfn.XLOOKUP(Z$1,'[1]Table 2'!$H$55:$L$55,'[1]Table 2'!$H$56:$L$56)))</f>
        <v>2.6616082591594266</v>
      </c>
      <c r="AA33" s="3">
        <f>AA34*(1-(_xlfn.XLOOKUP(AA$1,'[1]Table 2'!$H$55:$L$55,'[1]Table 2'!$H$56:$L$56)))</f>
        <v>4.1421700394633456</v>
      </c>
    </row>
    <row r="34" spans="1:27" x14ac:dyDescent="0.2">
      <c r="A34" s="1">
        <v>2002</v>
      </c>
      <c r="B34" s="3">
        <f>B35*(1-(_xlfn.XLOOKUP(B$1,'[1]Table 2'!$H$55:$L$55,'[1]Table 2'!$H$56:$L$56)))</f>
        <v>8.1821344379255283</v>
      </c>
      <c r="C34" s="3">
        <f>C35*(1-(_xlfn.XLOOKUP(C$1,'[1]Table 2'!$H$55:$L$55,'[1]Table 2'!$H$56:$L$56)))</f>
        <v>8.1821344379255283</v>
      </c>
      <c r="D34" s="3">
        <f>D35*(1-(_xlfn.XLOOKUP(D$1,'[1]Table 2'!$H$55:$L$55,'[1]Table 2'!$H$56:$L$56)))</f>
        <v>8.1821344379255283</v>
      </c>
      <c r="E34" s="3">
        <f>E35*(1-(_xlfn.XLOOKUP(E$1,'[1]Table 2'!$H$55:$L$55,'[1]Table 2'!$H$56:$L$56)))</f>
        <v>16.559544744438142</v>
      </c>
      <c r="F34" s="3">
        <f>F35*(1-(_xlfn.XLOOKUP(F$1,'[1]Table 2'!$H$55:$L$55,'[1]Table 2'!$H$56:$L$56)))</f>
        <v>4.1437500499406825</v>
      </c>
      <c r="G34" s="3">
        <f>G35*(1-(_xlfn.XLOOKUP(G$1,'[1]Table 2'!$H$55:$L$55,'[1]Table 2'!$H$56:$L$56)))</f>
        <v>16.559544744438142</v>
      </c>
      <c r="H34" s="3">
        <f>H35*(1-(_xlfn.XLOOKUP(H$1,'[1]Table 2'!$H$55:$L$55,'[1]Table 2'!$H$56:$L$56)))</f>
        <v>2.659973450343001</v>
      </c>
      <c r="I34" s="3">
        <f>I35*(1-(_xlfn.XLOOKUP(I$1,'[1]Table 2'!$H$55:$L$55,'[1]Table 2'!$H$56:$L$56)))</f>
        <v>16.559544744438142</v>
      </c>
      <c r="J34" s="3">
        <f>J35*(1-(_xlfn.XLOOKUP(J$1,'[1]Table 2'!$H$55:$L$55,'[1]Table 2'!$H$56:$L$56)))</f>
        <v>16.559544744438142</v>
      </c>
      <c r="K34" s="3">
        <f>K35*(1-(_xlfn.XLOOKUP(K$1,'[1]Table 2'!$H$55:$L$55,'[1]Table 2'!$H$56:$L$56)))</f>
        <v>16.559544744438142</v>
      </c>
      <c r="L34" s="3">
        <f>L35*(1-(_xlfn.XLOOKUP(L$1,'[1]Table 2'!$H$55:$L$55,'[1]Table 2'!$H$56:$L$56)))</f>
        <v>16.559544744438142</v>
      </c>
      <c r="M34" s="3">
        <f>M35*(1-(_xlfn.XLOOKUP(M$1,'[1]Table 2'!$H$55:$L$55,'[1]Table 2'!$H$56:$L$56)))</f>
        <v>8.1821344379255283</v>
      </c>
      <c r="N34" s="3">
        <f>N35*(1-(_xlfn.XLOOKUP(N$1,'[1]Table 2'!$H$55:$L$55,'[1]Table 2'!$H$56:$L$56)))</f>
        <v>16.559544744438142</v>
      </c>
      <c r="O34" s="3">
        <f>O35*(1-(_xlfn.XLOOKUP(O$1,'[1]Table 2'!$H$55:$L$55,'[1]Table 2'!$H$56:$L$56)))</f>
        <v>2.659973450343001</v>
      </c>
      <c r="P34" s="3">
        <f>P35*(1-(_xlfn.XLOOKUP(P$1,'[1]Table 2'!$H$55:$L$55,'[1]Table 2'!$H$56:$L$56)))</f>
        <v>16.559544744438142</v>
      </c>
      <c r="Q34" s="3">
        <f>Q35*(1-(_xlfn.XLOOKUP(Q$1,'[1]Table 2'!$H$55:$L$55,'[1]Table 2'!$H$56:$L$56)))</f>
        <v>8.1821344379255283</v>
      </c>
      <c r="R34" s="3">
        <f>R35*(1-(_xlfn.XLOOKUP(R$1,'[1]Table 2'!$H$55:$L$55,'[1]Table 2'!$H$56:$L$56)))</f>
        <v>16.559544744438142</v>
      </c>
      <c r="S34" s="3">
        <f>S35*(1-(_xlfn.XLOOKUP(S$1,'[1]Table 2'!$H$55:$L$55,'[1]Table 2'!$H$56:$L$56)))</f>
        <v>2.659973450343001</v>
      </c>
      <c r="T34" s="3">
        <f>T35*(1-(_xlfn.XLOOKUP(T$1,'[1]Table 2'!$H$55:$L$55,'[1]Table 2'!$H$56:$L$56)))</f>
        <v>22.141166226819291</v>
      </c>
      <c r="U34" s="3">
        <f>U35*(1-(_xlfn.XLOOKUP(U$1,'[1]Table 2'!$H$55:$L$55,'[1]Table 2'!$H$56:$L$56)))</f>
        <v>2.659973450343001</v>
      </c>
      <c r="V34" s="3">
        <f>V35*(1-(_xlfn.XLOOKUP(V$1,'[1]Table 2'!$H$55:$L$55,'[1]Table 2'!$H$56:$L$56)))</f>
        <v>16.559544744438142</v>
      </c>
      <c r="W34" s="3">
        <f>W35*(1-(_xlfn.XLOOKUP(W$1,'[1]Table 2'!$H$55:$L$55,'[1]Table 2'!$H$56:$L$56)))</f>
        <v>4.1437500499406825</v>
      </c>
      <c r="X34" s="3">
        <f>X35*(1-(_xlfn.XLOOKUP(X$1,'[1]Table 2'!$H$55:$L$55,'[1]Table 2'!$H$56:$L$56)))</f>
        <v>8.1821344379255283</v>
      </c>
      <c r="Y34" s="3">
        <f>Y35*(1-(_xlfn.XLOOKUP(Y$1,'[1]Table 2'!$H$55:$L$55,'[1]Table 2'!$H$56:$L$56)))</f>
        <v>4.1437500499406825</v>
      </c>
      <c r="Z34" s="3">
        <f>Z35*(1-(_xlfn.XLOOKUP(Z$1,'[1]Table 2'!$H$55:$L$55,'[1]Table 2'!$H$56:$L$56)))</f>
        <v>2.659973450343001</v>
      </c>
      <c r="AA34" s="3">
        <f>AA35*(1-(_xlfn.XLOOKUP(AA$1,'[1]Table 2'!$H$55:$L$55,'[1]Table 2'!$H$56:$L$56)))</f>
        <v>4.1437500499406825</v>
      </c>
    </row>
    <row r="35" spans="1:27" x14ac:dyDescent="0.2">
      <c r="A35" s="1">
        <v>2003</v>
      </c>
      <c r="B35" s="3">
        <f>B36*(1-(_xlfn.XLOOKUP(B$1,'[1]Table 2'!$H$55:$L$55,'[1]Table 2'!$H$56:$L$56)))</f>
        <v>8.2456654154554894</v>
      </c>
      <c r="C35" s="3">
        <f>C36*(1-(_xlfn.XLOOKUP(C$1,'[1]Table 2'!$H$55:$L$55,'[1]Table 2'!$H$56:$L$56)))</f>
        <v>8.2456654154554894</v>
      </c>
      <c r="D35" s="3">
        <f>D36*(1-(_xlfn.XLOOKUP(D$1,'[1]Table 2'!$H$55:$L$55,'[1]Table 2'!$H$56:$L$56)))</f>
        <v>8.2456654154554894</v>
      </c>
      <c r="E35" s="3">
        <f>E36*(1-(_xlfn.XLOOKUP(E$1,'[1]Table 2'!$H$55:$L$55,'[1]Table 2'!$H$56:$L$56)))</f>
        <v>16.710530440353747</v>
      </c>
      <c r="F35" s="3">
        <f>F36*(1-(_xlfn.XLOOKUP(F$1,'[1]Table 2'!$H$55:$L$55,'[1]Table 2'!$H$56:$L$56)))</f>
        <v>4.1453306631052786</v>
      </c>
      <c r="G35" s="3">
        <f>G36*(1-(_xlfn.XLOOKUP(G$1,'[1]Table 2'!$H$55:$L$55,'[1]Table 2'!$H$56:$L$56)))</f>
        <v>16.710530440353747</v>
      </c>
      <c r="H35" s="3">
        <f>H36*(1-(_xlfn.XLOOKUP(H$1,'[1]Table 2'!$H$55:$L$55,'[1]Table 2'!$H$56:$L$56)))</f>
        <v>2.658339645656262</v>
      </c>
      <c r="I35" s="3">
        <f>I36*(1-(_xlfn.XLOOKUP(I$1,'[1]Table 2'!$H$55:$L$55,'[1]Table 2'!$H$56:$L$56)))</f>
        <v>16.710530440353747</v>
      </c>
      <c r="J35" s="3">
        <f>J36*(1-(_xlfn.XLOOKUP(J$1,'[1]Table 2'!$H$55:$L$55,'[1]Table 2'!$H$56:$L$56)))</f>
        <v>16.710530440353747</v>
      </c>
      <c r="K35" s="3">
        <f>K36*(1-(_xlfn.XLOOKUP(K$1,'[1]Table 2'!$H$55:$L$55,'[1]Table 2'!$H$56:$L$56)))</f>
        <v>16.710530440353747</v>
      </c>
      <c r="L35" s="3">
        <f>L36*(1-(_xlfn.XLOOKUP(L$1,'[1]Table 2'!$H$55:$L$55,'[1]Table 2'!$H$56:$L$56)))</f>
        <v>16.710530440353747</v>
      </c>
      <c r="M35" s="3">
        <f>M36*(1-(_xlfn.XLOOKUP(M$1,'[1]Table 2'!$H$55:$L$55,'[1]Table 2'!$H$56:$L$56)))</f>
        <v>8.2456654154554894</v>
      </c>
      <c r="N35" s="3">
        <f>N36*(1-(_xlfn.XLOOKUP(N$1,'[1]Table 2'!$H$55:$L$55,'[1]Table 2'!$H$56:$L$56)))</f>
        <v>16.710530440353747</v>
      </c>
      <c r="O35" s="3">
        <f>O36*(1-(_xlfn.XLOOKUP(O$1,'[1]Table 2'!$H$55:$L$55,'[1]Table 2'!$H$56:$L$56)))</f>
        <v>2.658339645656262</v>
      </c>
      <c r="P35" s="3">
        <f>P36*(1-(_xlfn.XLOOKUP(P$1,'[1]Table 2'!$H$55:$L$55,'[1]Table 2'!$H$56:$L$56)))</f>
        <v>16.710530440353747</v>
      </c>
      <c r="Q35" s="3">
        <f>Q36*(1-(_xlfn.XLOOKUP(Q$1,'[1]Table 2'!$H$55:$L$55,'[1]Table 2'!$H$56:$L$56)))</f>
        <v>8.2456654154554894</v>
      </c>
      <c r="R35" s="3">
        <f>R36*(1-(_xlfn.XLOOKUP(R$1,'[1]Table 2'!$H$55:$L$55,'[1]Table 2'!$H$56:$L$56)))</f>
        <v>16.710530440353747</v>
      </c>
      <c r="S35" s="3">
        <f>S36*(1-(_xlfn.XLOOKUP(S$1,'[1]Table 2'!$H$55:$L$55,'[1]Table 2'!$H$56:$L$56)))</f>
        <v>2.658339645656262</v>
      </c>
      <c r="T35" s="3">
        <f>T36*(1-(_xlfn.XLOOKUP(T$1,'[1]Table 2'!$H$55:$L$55,'[1]Table 2'!$H$56:$L$56)))</f>
        <v>22.591183943494059</v>
      </c>
      <c r="U35" s="3">
        <f>U36*(1-(_xlfn.XLOOKUP(U$1,'[1]Table 2'!$H$55:$L$55,'[1]Table 2'!$H$56:$L$56)))</f>
        <v>2.658339645656262</v>
      </c>
      <c r="V35" s="3">
        <f>V36*(1-(_xlfn.XLOOKUP(V$1,'[1]Table 2'!$H$55:$L$55,'[1]Table 2'!$H$56:$L$56)))</f>
        <v>16.710530440353747</v>
      </c>
      <c r="W35" s="3">
        <f>W36*(1-(_xlfn.XLOOKUP(W$1,'[1]Table 2'!$H$55:$L$55,'[1]Table 2'!$H$56:$L$56)))</f>
        <v>4.1453306631052786</v>
      </c>
      <c r="X35" s="3">
        <f>X36*(1-(_xlfn.XLOOKUP(X$1,'[1]Table 2'!$H$55:$L$55,'[1]Table 2'!$H$56:$L$56)))</f>
        <v>8.2456654154554894</v>
      </c>
      <c r="Y35" s="3">
        <f>Y36*(1-(_xlfn.XLOOKUP(Y$1,'[1]Table 2'!$H$55:$L$55,'[1]Table 2'!$H$56:$L$56)))</f>
        <v>4.1453306631052786</v>
      </c>
      <c r="Z35" s="3">
        <f>Z36*(1-(_xlfn.XLOOKUP(Z$1,'[1]Table 2'!$H$55:$L$55,'[1]Table 2'!$H$56:$L$56)))</f>
        <v>2.658339645656262</v>
      </c>
      <c r="AA35" s="3">
        <f>AA36*(1-(_xlfn.XLOOKUP(AA$1,'[1]Table 2'!$H$55:$L$55,'[1]Table 2'!$H$56:$L$56)))</f>
        <v>4.1453306631052786</v>
      </c>
    </row>
    <row r="36" spans="1:27" x14ac:dyDescent="0.2">
      <c r="A36" s="1">
        <v>2004</v>
      </c>
      <c r="B36" s="3">
        <f>_xlfn.XLOOKUP(B$1,'[1]Table 2'!$B$55:$F$55,'[1]Table 2'!$B56:$F56)</f>
        <v>8.3096896854309037</v>
      </c>
      <c r="C36" s="3">
        <f>_xlfn.XLOOKUP(C$1,'[1]Table 2'!$B$55:$F$55,'[1]Table 2'!$B56:$F56)</f>
        <v>8.3096896854309037</v>
      </c>
      <c r="D36" s="3">
        <f>_xlfn.XLOOKUP(D$1,'[1]Table 2'!$B$55:$F$55,'[1]Table 2'!$B56:$F56)</f>
        <v>8.3096896854309037</v>
      </c>
      <c r="E36" s="3">
        <f>_xlfn.XLOOKUP(E$1,'[1]Table 2'!$B$55:$F$55,'[1]Table 2'!$B56:$F56)</f>
        <v>16.862892785248711</v>
      </c>
      <c r="F36" s="3">
        <f>_xlfn.XLOOKUP(F$1,'[1]Table 2'!$B$55:$F$55,'[1]Table 2'!$B56:$F56)</f>
        <v>4.1469118791870265</v>
      </c>
      <c r="G36" s="3">
        <f>_xlfn.XLOOKUP(G$1,'[1]Table 2'!$B$55:$F$55,'[1]Table 2'!$B56:$F56)</f>
        <v>16.862892785248711</v>
      </c>
      <c r="H36" s="3">
        <f>_xlfn.XLOOKUP(H$1,'[1]Table 2'!$B$55:$F$55,'[1]Table 2'!$B56:$F56)</f>
        <v>2.6567068444824544</v>
      </c>
      <c r="I36" s="3">
        <f>_xlfn.XLOOKUP(I$1,'[1]Table 2'!$B$55:$F$55,'[1]Table 2'!$B56:$F56)</f>
        <v>16.862892785248711</v>
      </c>
      <c r="J36" s="3">
        <f>_xlfn.XLOOKUP(J$1,'[1]Table 2'!$B$55:$F$55,'[1]Table 2'!$B56:$F56)</f>
        <v>16.862892785248711</v>
      </c>
      <c r="K36" s="3">
        <f>_xlfn.XLOOKUP(K$1,'[1]Table 2'!$B$55:$F$55,'[1]Table 2'!$B56:$F56)</f>
        <v>16.862892785248711</v>
      </c>
      <c r="L36" s="3">
        <f>_xlfn.XLOOKUP(L$1,'[1]Table 2'!$B$55:$F$55,'[1]Table 2'!$B56:$F56)</f>
        <v>16.862892785248711</v>
      </c>
      <c r="M36" s="3">
        <f>_xlfn.XLOOKUP(M$1,'[1]Table 2'!$B$55:$F$55,'[1]Table 2'!$B56:$F56)</f>
        <v>8.3096896854309037</v>
      </c>
      <c r="N36" s="3">
        <f>_xlfn.XLOOKUP(N$1,'[1]Table 2'!$B$55:$F$55,'[1]Table 2'!$B56:$F56)</f>
        <v>16.862892785248711</v>
      </c>
      <c r="O36" s="3">
        <f>_xlfn.XLOOKUP(O$1,'[1]Table 2'!$B$55:$F$55,'[1]Table 2'!$B56:$F56)</f>
        <v>2.6567068444824544</v>
      </c>
      <c r="P36" s="3">
        <f>_xlfn.XLOOKUP(P$1,'[1]Table 2'!$B$55:$F$55,'[1]Table 2'!$B56:$F56)</f>
        <v>16.862892785248711</v>
      </c>
      <c r="Q36" s="3">
        <f>_xlfn.XLOOKUP(Q$1,'[1]Table 2'!$B$55:$F$55,'[1]Table 2'!$B56:$F56)</f>
        <v>8.3096896854309037</v>
      </c>
      <c r="R36" s="3">
        <f>_xlfn.XLOOKUP(R$1,'[1]Table 2'!$B$55:$F$55,'[1]Table 2'!$B56:$F56)</f>
        <v>16.862892785248711</v>
      </c>
      <c r="S36" s="3">
        <f>_xlfn.XLOOKUP(S$1,'[1]Table 2'!$B$55:$F$55,'[1]Table 2'!$B56:$F56)</f>
        <v>2.6567068444824544</v>
      </c>
      <c r="T36" s="3">
        <f>_xlfn.XLOOKUP(T$1,'[1]Table 2'!$B$55:$F$55,'[1]Table 2'!$B56:$F56)</f>
        <v>23.050348240039398</v>
      </c>
      <c r="U36" s="3">
        <f>_xlfn.XLOOKUP(U$1,'[1]Table 2'!$B$55:$F$55,'[1]Table 2'!$B56:$F56)</f>
        <v>2.6567068444824544</v>
      </c>
      <c r="V36" s="3">
        <f>_xlfn.XLOOKUP(V$1,'[1]Table 2'!$B$55:$F$55,'[1]Table 2'!$B56:$F56)</f>
        <v>16.862892785248711</v>
      </c>
      <c r="W36" s="3">
        <f>_xlfn.XLOOKUP(W$1,'[1]Table 2'!$B$55:$F$55,'[1]Table 2'!$B56:$F56)</f>
        <v>4.1469118791870265</v>
      </c>
      <c r="X36" s="3">
        <f>_xlfn.XLOOKUP(X$1,'[1]Table 2'!$B$55:$F$55,'[1]Table 2'!$B56:$F56)</f>
        <v>8.3096896854309037</v>
      </c>
      <c r="Y36" s="3">
        <f>_xlfn.XLOOKUP(Y$1,'[1]Table 2'!$B$55:$F$55,'[1]Table 2'!$B56:$F56)</f>
        <v>4.1469118791870265</v>
      </c>
      <c r="Z36" s="3">
        <f>_xlfn.XLOOKUP(Z$1,'[1]Table 2'!$B$55:$F$55,'[1]Table 2'!$B56:$F56)</f>
        <v>2.6567068444824544</v>
      </c>
      <c r="AA36" s="3">
        <f>_xlfn.XLOOKUP(AA$1,'[1]Table 2'!$B$55:$F$55,'[1]Table 2'!$B56:$F56)</f>
        <v>4.1469118791870265</v>
      </c>
    </row>
    <row r="37" spans="1:27" x14ac:dyDescent="0.2">
      <c r="A37" s="1">
        <v>2005</v>
      </c>
      <c r="B37" s="3">
        <f>_xlfn.XLOOKUP(B$1,'[1]Table 2'!$B$55:$F$55,'[1]Table 2'!$B57:$F57)</f>
        <v>8.7148460240427301</v>
      </c>
      <c r="C37" s="3">
        <f>_xlfn.XLOOKUP(C$1,'[1]Table 2'!$B$55:$F$55,'[1]Table 2'!$B57:$F57)</f>
        <v>8.7148460240427301</v>
      </c>
      <c r="D37" s="3">
        <f>_xlfn.XLOOKUP(D$1,'[1]Table 2'!$B$55:$F$55,'[1]Table 2'!$B57:$F57)</f>
        <v>8.7148460240427301</v>
      </c>
      <c r="E37" s="3">
        <f>_xlfn.XLOOKUP(E$1,'[1]Table 2'!$B$55:$F$55,'[1]Table 2'!$B57:$F57)</f>
        <v>17.65029157094893</v>
      </c>
      <c r="F37" s="3">
        <f>_xlfn.XLOOKUP(F$1,'[1]Table 2'!$B$55:$F$55,'[1]Table 2'!$B57:$F57)</f>
        <v>4.1422083493054416</v>
      </c>
      <c r="G37" s="3">
        <f>_xlfn.XLOOKUP(G$1,'[1]Table 2'!$B$55:$F$55,'[1]Table 2'!$B57:$F57)</f>
        <v>17.65029157094893</v>
      </c>
      <c r="H37" s="3">
        <f>_xlfn.XLOOKUP(H$1,'[1]Table 2'!$B$55:$F$55,'[1]Table 2'!$B57:$F57)</f>
        <v>2.6636704518256522</v>
      </c>
      <c r="I37" s="3">
        <f>_xlfn.XLOOKUP(I$1,'[1]Table 2'!$B$55:$F$55,'[1]Table 2'!$B57:$F57)</f>
        <v>17.65029157094893</v>
      </c>
      <c r="J37" s="3">
        <f>_xlfn.XLOOKUP(J$1,'[1]Table 2'!$B$55:$F$55,'[1]Table 2'!$B57:$F57)</f>
        <v>17.65029157094893</v>
      </c>
      <c r="K37" s="3">
        <f>_xlfn.XLOOKUP(K$1,'[1]Table 2'!$B$55:$F$55,'[1]Table 2'!$B57:$F57)</f>
        <v>17.65029157094893</v>
      </c>
      <c r="L37" s="3">
        <f>_xlfn.XLOOKUP(L$1,'[1]Table 2'!$B$55:$F$55,'[1]Table 2'!$B57:$F57)</f>
        <v>17.65029157094893</v>
      </c>
      <c r="M37" s="3">
        <f>_xlfn.XLOOKUP(M$1,'[1]Table 2'!$B$55:$F$55,'[1]Table 2'!$B57:$F57)</f>
        <v>8.7148460240427301</v>
      </c>
      <c r="N37" s="3">
        <f>_xlfn.XLOOKUP(N$1,'[1]Table 2'!$B$55:$F$55,'[1]Table 2'!$B57:$F57)</f>
        <v>17.65029157094893</v>
      </c>
      <c r="O37" s="3">
        <f>_xlfn.XLOOKUP(O$1,'[1]Table 2'!$B$55:$F$55,'[1]Table 2'!$B57:$F57)</f>
        <v>2.6636704518256522</v>
      </c>
      <c r="P37" s="3">
        <f>_xlfn.XLOOKUP(P$1,'[1]Table 2'!$B$55:$F$55,'[1]Table 2'!$B57:$F57)</f>
        <v>17.65029157094893</v>
      </c>
      <c r="Q37" s="3">
        <f>_xlfn.XLOOKUP(Q$1,'[1]Table 2'!$B$55:$F$55,'[1]Table 2'!$B57:$F57)</f>
        <v>8.7148460240427301</v>
      </c>
      <c r="R37" s="3">
        <f>_xlfn.XLOOKUP(R$1,'[1]Table 2'!$B$55:$F$55,'[1]Table 2'!$B57:$F57)</f>
        <v>17.65029157094893</v>
      </c>
      <c r="S37" s="3">
        <f>_xlfn.XLOOKUP(S$1,'[1]Table 2'!$B$55:$F$55,'[1]Table 2'!$B57:$F57)</f>
        <v>2.6636704518256522</v>
      </c>
      <c r="T37" s="3">
        <f>_xlfn.XLOOKUP(T$1,'[1]Table 2'!$B$55:$F$55,'[1]Table 2'!$B57:$F57)</f>
        <v>23.734656659886372</v>
      </c>
      <c r="U37" s="3">
        <f>_xlfn.XLOOKUP(U$1,'[1]Table 2'!$B$55:$F$55,'[1]Table 2'!$B57:$F57)</f>
        <v>2.6636704518256522</v>
      </c>
      <c r="V37" s="3">
        <f>_xlfn.XLOOKUP(V$1,'[1]Table 2'!$B$55:$F$55,'[1]Table 2'!$B57:$F57)</f>
        <v>17.65029157094893</v>
      </c>
      <c r="W37" s="3">
        <f>_xlfn.XLOOKUP(W$1,'[1]Table 2'!$B$55:$F$55,'[1]Table 2'!$B57:$F57)</f>
        <v>4.1422083493054416</v>
      </c>
      <c r="X37" s="3">
        <f>_xlfn.XLOOKUP(X$1,'[1]Table 2'!$B$55:$F$55,'[1]Table 2'!$B57:$F57)</f>
        <v>8.7148460240427301</v>
      </c>
      <c r="Y37" s="3">
        <f>_xlfn.XLOOKUP(Y$1,'[1]Table 2'!$B$55:$F$55,'[1]Table 2'!$B57:$F57)</f>
        <v>4.1422083493054416</v>
      </c>
      <c r="Z37" s="3">
        <f>_xlfn.XLOOKUP(Z$1,'[1]Table 2'!$B$55:$F$55,'[1]Table 2'!$B57:$F57)</f>
        <v>2.6636704518256522</v>
      </c>
      <c r="AA37" s="3">
        <f>_xlfn.XLOOKUP(AA$1,'[1]Table 2'!$B$55:$F$55,'[1]Table 2'!$B57:$F57)</f>
        <v>4.1422083493054416</v>
      </c>
    </row>
    <row r="38" spans="1:27" x14ac:dyDescent="0.2">
      <c r="A38" s="1">
        <v>2006</v>
      </c>
      <c r="B38" s="3">
        <f>_xlfn.XLOOKUP(B$1,'[1]Table 2'!$B$55:$F$55,'[1]Table 2'!$B58:$F58)</f>
        <v>9.3054554985989029</v>
      </c>
      <c r="C38" s="3">
        <f>_xlfn.XLOOKUP(C$1,'[1]Table 2'!$B$55:$F$55,'[1]Table 2'!$B58:$F58)</f>
        <v>9.3054554985989029</v>
      </c>
      <c r="D38" s="3">
        <f>_xlfn.XLOOKUP(D$1,'[1]Table 2'!$B$55:$F$55,'[1]Table 2'!$B58:$F58)</f>
        <v>9.3054554985989029</v>
      </c>
      <c r="E38" s="3">
        <f>_xlfn.XLOOKUP(E$1,'[1]Table 2'!$B$55:$F$55,'[1]Table 2'!$B58:$F58)</f>
        <v>18.815252326322032</v>
      </c>
      <c r="F38" s="3">
        <f>_xlfn.XLOOKUP(F$1,'[1]Table 2'!$B$55:$F$55,'[1]Table 2'!$B58:$F58)</f>
        <v>4.3546079107423665</v>
      </c>
      <c r="G38" s="3">
        <f>_xlfn.XLOOKUP(G$1,'[1]Table 2'!$B$55:$F$55,'[1]Table 2'!$B58:$F58)</f>
        <v>18.815252326322032</v>
      </c>
      <c r="H38" s="3">
        <f>_xlfn.XLOOKUP(H$1,'[1]Table 2'!$B$55:$F$55,'[1]Table 2'!$B58:$F58)</f>
        <v>2.6553932838101821</v>
      </c>
      <c r="I38" s="3">
        <f>_xlfn.XLOOKUP(I$1,'[1]Table 2'!$B$55:$F$55,'[1]Table 2'!$B58:$F58)</f>
        <v>18.815252326322032</v>
      </c>
      <c r="J38" s="3">
        <f>_xlfn.XLOOKUP(J$1,'[1]Table 2'!$B$55:$F$55,'[1]Table 2'!$B58:$F58)</f>
        <v>18.815252326322032</v>
      </c>
      <c r="K38" s="3">
        <f>_xlfn.XLOOKUP(K$1,'[1]Table 2'!$B$55:$F$55,'[1]Table 2'!$B58:$F58)</f>
        <v>18.815252326322032</v>
      </c>
      <c r="L38" s="3">
        <f>_xlfn.XLOOKUP(L$1,'[1]Table 2'!$B$55:$F$55,'[1]Table 2'!$B58:$F58)</f>
        <v>18.815252326322032</v>
      </c>
      <c r="M38" s="3">
        <f>_xlfn.XLOOKUP(M$1,'[1]Table 2'!$B$55:$F$55,'[1]Table 2'!$B58:$F58)</f>
        <v>9.3054554985989029</v>
      </c>
      <c r="N38" s="3">
        <f>_xlfn.XLOOKUP(N$1,'[1]Table 2'!$B$55:$F$55,'[1]Table 2'!$B58:$F58)</f>
        <v>18.815252326322032</v>
      </c>
      <c r="O38" s="3">
        <f>_xlfn.XLOOKUP(O$1,'[1]Table 2'!$B$55:$F$55,'[1]Table 2'!$B58:$F58)</f>
        <v>2.6553932838101821</v>
      </c>
      <c r="P38" s="3">
        <f>_xlfn.XLOOKUP(P$1,'[1]Table 2'!$B$55:$F$55,'[1]Table 2'!$B58:$F58)</f>
        <v>18.815252326322032</v>
      </c>
      <c r="Q38" s="3">
        <f>_xlfn.XLOOKUP(Q$1,'[1]Table 2'!$B$55:$F$55,'[1]Table 2'!$B58:$F58)</f>
        <v>9.3054554985989029</v>
      </c>
      <c r="R38" s="3">
        <f>_xlfn.XLOOKUP(R$1,'[1]Table 2'!$B$55:$F$55,'[1]Table 2'!$B58:$F58)</f>
        <v>18.815252326322032</v>
      </c>
      <c r="S38" s="3">
        <f>_xlfn.XLOOKUP(S$1,'[1]Table 2'!$B$55:$F$55,'[1]Table 2'!$B58:$F58)</f>
        <v>2.6553932838101821</v>
      </c>
      <c r="T38" s="3">
        <f>_xlfn.XLOOKUP(T$1,'[1]Table 2'!$B$55:$F$55,'[1]Table 2'!$B58:$F58)</f>
        <v>24.968833941327578</v>
      </c>
      <c r="U38" s="3">
        <f>_xlfn.XLOOKUP(U$1,'[1]Table 2'!$B$55:$F$55,'[1]Table 2'!$B58:$F58)</f>
        <v>2.6553932838101821</v>
      </c>
      <c r="V38" s="3">
        <f>_xlfn.XLOOKUP(V$1,'[1]Table 2'!$B$55:$F$55,'[1]Table 2'!$B58:$F58)</f>
        <v>18.815252326322032</v>
      </c>
      <c r="W38" s="3">
        <f>_xlfn.XLOOKUP(W$1,'[1]Table 2'!$B$55:$F$55,'[1]Table 2'!$B58:$F58)</f>
        <v>4.3546079107423665</v>
      </c>
      <c r="X38" s="3">
        <f>_xlfn.XLOOKUP(X$1,'[1]Table 2'!$B$55:$F$55,'[1]Table 2'!$B58:$F58)</f>
        <v>9.3054554985989029</v>
      </c>
      <c r="Y38" s="3">
        <f>_xlfn.XLOOKUP(Y$1,'[1]Table 2'!$B$55:$F$55,'[1]Table 2'!$B58:$F58)</f>
        <v>4.3546079107423665</v>
      </c>
      <c r="Z38" s="3">
        <f>_xlfn.XLOOKUP(Z$1,'[1]Table 2'!$B$55:$F$55,'[1]Table 2'!$B58:$F58)</f>
        <v>2.6553932838101821</v>
      </c>
      <c r="AA38" s="3">
        <f>_xlfn.XLOOKUP(AA$1,'[1]Table 2'!$B$55:$F$55,'[1]Table 2'!$B58:$F58)</f>
        <v>4.3546079107423665</v>
      </c>
    </row>
    <row r="39" spans="1:27" x14ac:dyDescent="0.2">
      <c r="A39" s="1">
        <v>2007</v>
      </c>
      <c r="B39" s="3">
        <f>_xlfn.XLOOKUP(B$1,'[1]Table 2'!$B$55:$F$55,'[1]Table 2'!$B59:$F59)</f>
        <v>9.3060639692174938</v>
      </c>
      <c r="C39" s="3">
        <f>_xlfn.XLOOKUP(C$1,'[1]Table 2'!$B$55:$F$55,'[1]Table 2'!$B59:$F59)</f>
        <v>9.3060639692174938</v>
      </c>
      <c r="D39" s="3">
        <f>_xlfn.XLOOKUP(D$1,'[1]Table 2'!$B$55:$F$55,'[1]Table 2'!$B59:$F59)</f>
        <v>9.3060639692174938</v>
      </c>
      <c r="E39" s="3">
        <f>_xlfn.XLOOKUP(E$1,'[1]Table 2'!$B$55:$F$55,'[1]Table 2'!$B59:$F59)</f>
        <v>20.111274538358479</v>
      </c>
      <c r="F39" s="3">
        <f>_xlfn.XLOOKUP(F$1,'[1]Table 2'!$B$55:$F$55,'[1]Table 2'!$B59:$F59)</f>
        <v>4.5405776413162133</v>
      </c>
      <c r="G39" s="3">
        <f>_xlfn.XLOOKUP(G$1,'[1]Table 2'!$B$55:$F$55,'[1]Table 2'!$B59:$F59)</f>
        <v>20.111274538358479</v>
      </c>
      <c r="H39" s="3">
        <f>_xlfn.XLOOKUP(H$1,'[1]Table 2'!$B$55:$F$55,'[1]Table 2'!$B59:$F59)</f>
        <v>2.6672779948435799</v>
      </c>
      <c r="I39" s="3">
        <f>_xlfn.XLOOKUP(I$1,'[1]Table 2'!$B$55:$F$55,'[1]Table 2'!$B59:$F59)</f>
        <v>20.111274538358479</v>
      </c>
      <c r="J39" s="3">
        <f>_xlfn.XLOOKUP(J$1,'[1]Table 2'!$B$55:$F$55,'[1]Table 2'!$B59:$F59)</f>
        <v>20.111274538358479</v>
      </c>
      <c r="K39" s="3">
        <f>_xlfn.XLOOKUP(K$1,'[1]Table 2'!$B$55:$F$55,'[1]Table 2'!$B59:$F59)</f>
        <v>20.111274538358479</v>
      </c>
      <c r="L39" s="3">
        <f>_xlfn.XLOOKUP(L$1,'[1]Table 2'!$B$55:$F$55,'[1]Table 2'!$B59:$F59)</f>
        <v>20.111274538358479</v>
      </c>
      <c r="M39" s="3">
        <f>_xlfn.XLOOKUP(M$1,'[1]Table 2'!$B$55:$F$55,'[1]Table 2'!$B59:$F59)</f>
        <v>9.3060639692174938</v>
      </c>
      <c r="N39" s="3">
        <f>_xlfn.XLOOKUP(N$1,'[1]Table 2'!$B$55:$F$55,'[1]Table 2'!$B59:$F59)</f>
        <v>20.111274538358479</v>
      </c>
      <c r="O39" s="3">
        <f>_xlfn.XLOOKUP(O$1,'[1]Table 2'!$B$55:$F$55,'[1]Table 2'!$B59:$F59)</f>
        <v>2.6672779948435799</v>
      </c>
      <c r="P39" s="3">
        <f>_xlfn.XLOOKUP(P$1,'[1]Table 2'!$B$55:$F$55,'[1]Table 2'!$B59:$F59)</f>
        <v>20.111274538358479</v>
      </c>
      <c r="Q39" s="3">
        <f>_xlfn.XLOOKUP(Q$1,'[1]Table 2'!$B$55:$F$55,'[1]Table 2'!$B59:$F59)</f>
        <v>9.3060639692174938</v>
      </c>
      <c r="R39" s="3">
        <f>_xlfn.XLOOKUP(R$1,'[1]Table 2'!$B$55:$F$55,'[1]Table 2'!$B59:$F59)</f>
        <v>20.111274538358479</v>
      </c>
      <c r="S39" s="3">
        <f>_xlfn.XLOOKUP(S$1,'[1]Table 2'!$B$55:$F$55,'[1]Table 2'!$B59:$F59)</f>
        <v>2.6672779948435799</v>
      </c>
      <c r="T39" s="3">
        <f>_xlfn.XLOOKUP(T$1,'[1]Table 2'!$B$55:$F$55,'[1]Table 2'!$B59:$F59)</f>
        <v>26.906794362983913</v>
      </c>
      <c r="U39" s="3">
        <f>_xlfn.XLOOKUP(U$1,'[1]Table 2'!$B$55:$F$55,'[1]Table 2'!$B59:$F59)</f>
        <v>2.6672779948435799</v>
      </c>
      <c r="V39" s="3">
        <f>_xlfn.XLOOKUP(V$1,'[1]Table 2'!$B$55:$F$55,'[1]Table 2'!$B59:$F59)</f>
        <v>20.111274538358479</v>
      </c>
      <c r="W39" s="3">
        <f>_xlfn.XLOOKUP(W$1,'[1]Table 2'!$B$55:$F$55,'[1]Table 2'!$B59:$F59)</f>
        <v>4.5405776413162133</v>
      </c>
      <c r="X39" s="3">
        <f>_xlfn.XLOOKUP(X$1,'[1]Table 2'!$B$55:$F$55,'[1]Table 2'!$B59:$F59)</f>
        <v>9.3060639692174938</v>
      </c>
      <c r="Y39" s="3">
        <f>_xlfn.XLOOKUP(Y$1,'[1]Table 2'!$B$55:$F$55,'[1]Table 2'!$B59:$F59)</f>
        <v>4.5405776413162133</v>
      </c>
      <c r="Z39" s="3">
        <f>_xlfn.XLOOKUP(Z$1,'[1]Table 2'!$B$55:$F$55,'[1]Table 2'!$B59:$F59)</f>
        <v>2.6672779948435799</v>
      </c>
      <c r="AA39" s="3">
        <f>_xlfn.XLOOKUP(AA$1,'[1]Table 2'!$B$55:$F$55,'[1]Table 2'!$B59:$F59)</f>
        <v>4.5405776413162133</v>
      </c>
    </row>
    <row r="40" spans="1:27" x14ac:dyDescent="0.2">
      <c r="A40" s="1">
        <v>2008</v>
      </c>
      <c r="B40" s="3">
        <f>_xlfn.XLOOKUP(B$1,'[1]Table 2'!$B$55:$F$55,'[1]Table 2'!$B60:$F60)</f>
        <v>8.8381019676051746</v>
      </c>
      <c r="C40" s="3">
        <f>_xlfn.XLOOKUP(C$1,'[1]Table 2'!$B$55:$F$55,'[1]Table 2'!$B60:$F60)</f>
        <v>8.8381019676051746</v>
      </c>
      <c r="D40" s="3">
        <f>_xlfn.XLOOKUP(D$1,'[1]Table 2'!$B$55:$F$55,'[1]Table 2'!$B60:$F60)</f>
        <v>8.8381019676051746</v>
      </c>
      <c r="E40" s="3">
        <f>_xlfn.XLOOKUP(E$1,'[1]Table 2'!$B$55:$F$55,'[1]Table 2'!$B60:$F60)</f>
        <v>21.049175855731679</v>
      </c>
      <c r="F40" s="3">
        <f>_xlfn.XLOOKUP(F$1,'[1]Table 2'!$B$55:$F$55,'[1]Table 2'!$B60:$F60)</f>
        <v>4.5303617830763443</v>
      </c>
      <c r="G40" s="3">
        <f>_xlfn.XLOOKUP(G$1,'[1]Table 2'!$B$55:$F$55,'[1]Table 2'!$B60:$F60)</f>
        <v>21.049175855731679</v>
      </c>
      <c r="H40" s="3">
        <f>_xlfn.XLOOKUP(H$1,'[1]Table 2'!$B$55:$F$55,'[1]Table 2'!$B60:$F60)</f>
        <v>2.6555954676315996</v>
      </c>
      <c r="I40" s="3">
        <f>_xlfn.XLOOKUP(I$1,'[1]Table 2'!$B$55:$F$55,'[1]Table 2'!$B60:$F60)</f>
        <v>21.049175855731679</v>
      </c>
      <c r="J40" s="3">
        <f>_xlfn.XLOOKUP(J$1,'[1]Table 2'!$B$55:$F$55,'[1]Table 2'!$B60:$F60)</f>
        <v>21.049175855731679</v>
      </c>
      <c r="K40" s="3">
        <f>_xlfn.XLOOKUP(K$1,'[1]Table 2'!$B$55:$F$55,'[1]Table 2'!$B60:$F60)</f>
        <v>21.049175855731679</v>
      </c>
      <c r="L40" s="3">
        <f>_xlfn.XLOOKUP(L$1,'[1]Table 2'!$B$55:$F$55,'[1]Table 2'!$B60:$F60)</f>
        <v>21.049175855731679</v>
      </c>
      <c r="M40" s="3">
        <f>_xlfn.XLOOKUP(M$1,'[1]Table 2'!$B$55:$F$55,'[1]Table 2'!$B60:$F60)</f>
        <v>8.8381019676051746</v>
      </c>
      <c r="N40" s="3">
        <f>_xlfn.XLOOKUP(N$1,'[1]Table 2'!$B$55:$F$55,'[1]Table 2'!$B60:$F60)</f>
        <v>21.049175855731679</v>
      </c>
      <c r="O40" s="3">
        <f>_xlfn.XLOOKUP(O$1,'[1]Table 2'!$B$55:$F$55,'[1]Table 2'!$B60:$F60)</f>
        <v>2.6555954676315996</v>
      </c>
      <c r="P40" s="3">
        <f>_xlfn.XLOOKUP(P$1,'[1]Table 2'!$B$55:$F$55,'[1]Table 2'!$B60:$F60)</f>
        <v>21.049175855731679</v>
      </c>
      <c r="Q40" s="3">
        <f>_xlfn.XLOOKUP(Q$1,'[1]Table 2'!$B$55:$F$55,'[1]Table 2'!$B60:$F60)</f>
        <v>8.8381019676051746</v>
      </c>
      <c r="R40" s="3">
        <f>_xlfn.XLOOKUP(R$1,'[1]Table 2'!$B$55:$F$55,'[1]Table 2'!$B60:$F60)</f>
        <v>21.049175855731679</v>
      </c>
      <c r="S40" s="3">
        <f>_xlfn.XLOOKUP(S$1,'[1]Table 2'!$B$55:$F$55,'[1]Table 2'!$B60:$F60)</f>
        <v>2.6555954676315996</v>
      </c>
      <c r="T40" s="3">
        <f>_xlfn.XLOOKUP(T$1,'[1]Table 2'!$B$55:$F$55,'[1]Table 2'!$B60:$F60)</f>
        <v>26.904617696081885</v>
      </c>
      <c r="U40" s="3">
        <f>_xlfn.XLOOKUP(U$1,'[1]Table 2'!$B$55:$F$55,'[1]Table 2'!$B60:$F60)</f>
        <v>2.6555954676315996</v>
      </c>
      <c r="V40" s="3">
        <f>_xlfn.XLOOKUP(V$1,'[1]Table 2'!$B$55:$F$55,'[1]Table 2'!$B60:$F60)</f>
        <v>21.049175855731679</v>
      </c>
      <c r="W40" s="3">
        <f>_xlfn.XLOOKUP(W$1,'[1]Table 2'!$B$55:$F$55,'[1]Table 2'!$B60:$F60)</f>
        <v>4.5303617830763443</v>
      </c>
      <c r="X40" s="3">
        <f>_xlfn.XLOOKUP(X$1,'[1]Table 2'!$B$55:$F$55,'[1]Table 2'!$B60:$F60)</f>
        <v>8.8381019676051746</v>
      </c>
      <c r="Y40" s="3">
        <f>_xlfn.XLOOKUP(Y$1,'[1]Table 2'!$B$55:$F$55,'[1]Table 2'!$B60:$F60)</f>
        <v>4.5303617830763443</v>
      </c>
      <c r="Z40" s="3">
        <f>_xlfn.XLOOKUP(Z$1,'[1]Table 2'!$B$55:$F$55,'[1]Table 2'!$B60:$F60)</f>
        <v>2.6555954676315996</v>
      </c>
      <c r="AA40" s="3">
        <f>_xlfn.XLOOKUP(AA$1,'[1]Table 2'!$B$55:$F$55,'[1]Table 2'!$B60:$F60)</f>
        <v>4.5303617830763443</v>
      </c>
    </row>
    <row r="41" spans="1:27" x14ac:dyDescent="0.2">
      <c r="A41" s="1">
        <v>2009</v>
      </c>
      <c r="B41" s="3">
        <f>_xlfn.XLOOKUP(B$1,'[1]Table 2'!$B$55:$F$55,'[1]Table 2'!$B61:$F61)</f>
        <v>8.2368164115470979</v>
      </c>
      <c r="C41" s="3">
        <f>_xlfn.XLOOKUP(C$1,'[1]Table 2'!$B$55:$F$55,'[1]Table 2'!$B61:$F61)</f>
        <v>8.2368164115470979</v>
      </c>
      <c r="D41" s="3">
        <f>_xlfn.XLOOKUP(D$1,'[1]Table 2'!$B$55:$F$55,'[1]Table 2'!$B61:$F61)</f>
        <v>8.2368164115470979</v>
      </c>
      <c r="E41" s="3">
        <f>_xlfn.XLOOKUP(E$1,'[1]Table 2'!$B$55:$F$55,'[1]Table 2'!$B61:$F61)</f>
        <v>21.258792069292479</v>
      </c>
      <c r="F41" s="3">
        <f>_xlfn.XLOOKUP(F$1,'[1]Table 2'!$B$55:$F$55,'[1]Table 2'!$B61:$F61)</f>
        <v>3.9544970680440579</v>
      </c>
      <c r="G41" s="3">
        <f>_xlfn.XLOOKUP(G$1,'[1]Table 2'!$B$55:$F$55,'[1]Table 2'!$B61:$F61)</f>
        <v>21.258792069292479</v>
      </c>
      <c r="H41" s="3">
        <f>_xlfn.XLOOKUP(H$1,'[1]Table 2'!$B$55:$F$55,'[1]Table 2'!$B61:$F61)</f>
        <v>2.6269473245454074</v>
      </c>
      <c r="I41" s="3">
        <f>_xlfn.XLOOKUP(I$1,'[1]Table 2'!$B$55:$F$55,'[1]Table 2'!$B61:$F61)</f>
        <v>21.258792069292479</v>
      </c>
      <c r="J41" s="3">
        <f>_xlfn.XLOOKUP(J$1,'[1]Table 2'!$B$55:$F$55,'[1]Table 2'!$B61:$F61)</f>
        <v>21.258792069292479</v>
      </c>
      <c r="K41" s="3">
        <f>_xlfn.XLOOKUP(K$1,'[1]Table 2'!$B$55:$F$55,'[1]Table 2'!$B61:$F61)</f>
        <v>21.258792069292479</v>
      </c>
      <c r="L41" s="3">
        <f>_xlfn.XLOOKUP(L$1,'[1]Table 2'!$B$55:$F$55,'[1]Table 2'!$B61:$F61)</f>
        <v>21.258792069292479</v>
      </c>
      <c r="M41" s="3">
        <f>_xlfn.XLOOKUP(M$1,'[1]Table 2'!$B$55:$F$55,'[1]Table 2'!$B61:$F61)</f>
        <v>8.2368164115470979</v>
      </c>
      <c r="N41" s="3">
        <f>_xlfn.XLOOKUP(N$1,'[1]Table 2'!$B$55:$F$55,'[1]Table 2'!$B61:$F61)</f>
        <v>21.258792069292479</v>
      </c>
      <c r="O41" s="3">
        <f>_xlfn.XLOOKUP(O$1,'[1]Table 2'!$B$55:$F$55,'[1]Table 2'!$B61:$F61)</f>
        <v>2.6269473245454074</v>
      </c>
      <c r="P41" s="3">
        <f>_xlfn.XLOOKUP(P$1,'[1]Table 2'!$B$55:$F$55,'[1]Table 2'!$B61:$F61)</f>
        <v>21.258792069292479</v>
      </c>
      <c r="Q41" s="3">
        <f>_xlfn.XLOOKUP(Q$1,'[1]Table 2'!$B$55:$F$55,'[1]Table 2'!$B61:$F61)</f>
        <v>8.2368164115470979</v>
      </c>
      <c r="R41" s="3">
        <f>_xlfn.XLOOKUP(R$1,'[1]Table 2'!$B$55:$F$55,'[1]Table 2'!$B61:$F61)</f>
        <v>21.258792069292479</v>
      </c>
      <c r="S41" s="3">
        <f>_xlfn.XLOOKUP(S$1,'[1]Table 2'!$B$55:$F$55,'[1]Table 2'!$B61:$F61)</f>
        <v>2.6269473245454074</v>
      </c>
      <c r="T41" s="3">
        <f>_xlfn.XLOOKUP(T$1,'[1]Table 2'!$B$55:$F$55,'[1]Table 2'!$B61:$F61)</f>
        <v>23.648550087358263</v>
      </c>
      <c r="U41" s="3">
        <f>_xlfn.XLOOKUP(U$1,'[1]Table 2'!$B$55:$F$55,'[1]Table 2'!$B61:$F61)</f>
        <v>2.6269473245454074</v>
      </c>
      <c r="V41" s="3">
        <f>_xlfn.XLOOKUP(V$1,'[1]Table 2'!$B$55:$F$55,'[1]Table 2'!$B61:$F61)</f>
        <v>21.258792069292479</v>
      </c>
      <c r="W41" s="3">
        <f>_xlfn.XLOOKUP(W$1,'[1]Table 2'!$B$55:$F$55,'[1]Table 2'!$B61:$F61)</f>
        <v>3.9544970680440579</v>
      </c>
      <c r="X41" s="3">
        <f>_xlfn.XLOOKUP(X$1,'[1]Table 2'!$B$55:$F$55,'[1]Table 2'!$B61:$F61)</f>
        <v>8.2368164115470979</v>
      </c>
      <c r="Y41" s="3">
        <f>_xlfn.XLOOKUP(Y$1,'[1]Table 2'!$B$55:$F$55,'[1]Table 2'!$B61:$F61)</f>
        <v>3.9544970680440579</v>
      </c>
      <c r="Z41" s="3">
        <f>_xlfn.XLOOKUP(Z$1,'[1]Table 2'!$B$55:$F$55,'[1]Table 2'!$B61:$F61)</f>
        <v>2.6269473245454074</v>
      </c>
      <c r="AA41" s="3">
        <f>_xlfn.XLOOKUP(AA$1,'[1]Table 2'!$B$55:$F$55,'[1]Table 2'!$B61:$F61)</f>
        <v>3.9544970680440579</v>
      </c>
    </row>
    <row r="42" spans="1:27" x14ac:dyDescent="0.2">
      <c r="A42" s="1">
        <v>2010</v>
      </c>
      <c r="B42" s="3">
        <f>_xlfn.XLOOKUP(B$1,'[1]Table 2'!$B$55:$F$55,'[1]Table 2'!$B62:$F62)</f>
        <v>8.9479835426922882</v>
      </c>
      <c r="C42" s="3">
        <f>_xlfn.XLOOKUP(C$1,'[1]Table 2'!$B$55:$F$55,'[1]Table 2'!$B62:$F62)</f>
        <v>8.9479835426922882</v>
      </c>
      <c r="D42" s="3">
        <f>_xlfn.XLOOKUP(D$1,'[1]Table 2'!$B$55:$F$55,'[1]Table 2'!$B62:$F62)</f>
        <v>8.9479835426922882</v>
      </c>
      <c r="E42" s="3">
        <f>_xlfn.XLOOKUP(E$1,'[1]Table 2'!$B$55:$F$55,'[1]Table 2'!$B62:$F62)</f>
        <v>22.530634085125666</v>
      </c>
      <c r="F42" s="3">
        <f>_xlfn.XLOOKUP(F$1,'[1]Table 2'!$B$55:$F$55,'[1]Table 2'!$B62:$F62)</f>
        <v>4.1766301165310065</v>
      </c>
      <c r="G42" s="3">
        <f>_xlfn.XLOOKUP(G$1,'[1]Table 2'!$B$55:$F$55,'[1]Table 2'!$B62:$F62)</f>
        <v>22.530634085125666</v>
      </c>
      <c r="H42" s="3">
        <f>_xlfn.XLOOKUP(H$1,'[1]Table 2'!$B$55:$F$55,'[1]Table 2'!$B62:$F62)</f>
        <v>2.691537547807699</v>
      </c>
      <c r="I42" s="3">
        <f>_xlfn.XLOOKUP(I$1,'[1]Table 2'!$B$55:$F$55,'[1]Table 2'!$B62:$F62)</f>
        <v>22.530634085125666</v>
      </c>
      <c r="J42" s="3">
        <f>_xlfn.XLOOKUP(J$1,'[1]Table 2'!$B$55:$F$55,'[1]Table 2'!$B62:$F62)</f>
        <v>22.530634085125666</v>
      </c>
      <c r="K42" s="3">
        <f>_xlfn.XLOOKUP(K$1,'[1]Table 2'!$B$55:$F$55,'[1]Table 2'!$B62:$F62)</f>
        <v>22.530634085125666</v>
      </c>
      <c r="L42" s="3">
        <f>_xlfn.XLOOKUP(L$1,'[1]Table 2'!$B$55:$F$55,'[1]Table 2'!$B62:$F62)</f>
        <v>22.530634085125666</v>
      </c>
      <c r="M42" s="3">
        <f>_xlfn.XLOOKUP(M$1,'[1]Table 2'!$B$55:$F$55,'[1]Table 2'!$B62:$F62)</f>
        <v>8.9479835426922882</v>
      </c>
      <c r="N42" s="3">
        <f>_xlfn.XLOOKUP(N$1,'[1]Table 2'!$B$55:$F$55,'[1]Table 2'!$B62:$F62)</f>
        <v>22.530634085125666</v>
      </c>
      <c r="O42" s="3">
        <f>_xlfn.XLOOKUP(O$1,'[1]Table 2'!$B$55:$F$55,'[1]Table 2'!$B62:$F62)</f>
        <v>2.691537547807699</v>
      </c>
      <c r="P42" s="3">
        <f>_xlfn.XLOOKUP(P$1,'[1]Table 2'!$B$55:$F$55,'[1]Table 2'!$B62:$F62)</f>
        <v>22.530634085125666</v>
      </c>
      <c r="Q42" s="3">
        <f>_xlfn.XLOOKUP(Q$1,'[1]Table 2'!$B$55:$F$55,'[1]Table 2'!$B62:$F62)</f>
        <v>8.9479835426922882</v>
      </c>
      <c r="R42" s="3">
        <f>_xlfn.XLOOKUP(R$1,'[1]Table 2'!$B$55:$F$55,'[1]Table 2'!$B62:$F62)</f>
        <v>22.530634085125666</v>
      </c>
      <c r="S42" s="3">
        <f>_xlfn.XLOOKUP(S$1,'[1]Table 2'!$B$55:$F$55,'[1]Table 2'!$B62:$F62)</f>
        <v>2.691537547807699</v>
      </c>
      <c r="T42" s="3">
        <f>_xlfn.XLOOKUP(T$1,'[1]Table 2'!$B$55:$F$55,'[1]Table 2'!$B62:$F62)</f>
        <v>25.20978520846035</v>
      </c>
      <c r="U42" s="3">
        <f>_xlfn.XLOOKUP(U$1,'[1]Table 2'!$B$55:$F$55,'[1]Table 2'!$B62:$F62)</f>
        <v>2.691537547807699</v>
      </c>
      <c r="V42" s="3">
        <f>_xlfn.XLOOKUP(V$1,'[1]Table 2'!$B$55:$F$55,'[1]Table 2'!$B62:$F62)</f>
        <v>22.530634085125666</v>
      </c>
      <c r="W42" s="3">
        <f>_xlfn.XLOOKUP(W$1,'[1]Table 2'!$B$55:$F$55,'[1]Table 2'!$B62:$F62)</f>
        <v>4.1766301165310065</v>
      </c>
      <c r="X42" s="3">
        <f>_xlfn.XLOOKUP(X$1,'[1]Table 2'!$B$55:$F$55,'[1]Table 2'!$B62:$F62)</f>
        <v>8.9479835426922882</v>
      </c>
      <c r="Y42" s="3">
        <f>_xlfn.XLOOKUP(Y$1,'[1]Table 2'!$B$55:$F$55,'[1]Table 2'!$B62:$F62)</f>
        <v>4.1766301165310065</v>
      </c>
      <c r="Z42" s="3">
        <f>_xlfn.XLOOKUP(Z$1,'[1]Table 2'!$B$55:$F$55,'[1]Table 2'!$B62:$F62)</f>
        <v>2.691537547807699</v>
      </c>
      <c r="AA42" s="3">
        <f>_xlfn.XLOOKUP(AA$1,'[1]Table 2'!$B$55:$F$55,'[1]Table 2'!$B62:$F62)</f>
        <v>4.1766301165310065</v>
      </c>
    </row>
    <row r="43" spans="1:27" x14ac:dyDescent="0.2">
      <c r="A43" s="1">
        <v>2011</v>
      </c>
      <c r="B43" s="3">
        <f>_xlfn.XLOOKUP(B$1,'[1]Table 2'!$B$55:$F$55,'[1]Table 2'!$B63:$F63)</f>
        <v>9.4207001564989348</v>
      </c>
      <c r="C43" s="3">
        <f>_xlfn.XLOOKUP(C$1,'[1]Table 2'!$B$55:$F$55,'[1]Table 2'!$B63:$F63)</f>
        <v>9.4207001564989348</v>
      </c>
      <c r="D43" s="3">
        <f>_xlfn.XLOOKUP(D$1,'[1]Table 2'!$B$55:$F$55,'[1]Table 2'!$B63:$F63)</f>
        <v>9.4207001564989348</v>
      </c>
      <c r="E43" s="3">
        <f>_xlfn.XLOOKUP(E$1,'[1]Table 2'!$B$55:$F$55,'[1]Table 2'!$B63:$F63)</f>
        <v>23.459787898202041</v>
      </c>
      <c r="F43" s="3">
        <f>_xlfn.XLOOKUP(F$1,'[1]Table 2'!$B$55:$F$55,'[1]Table 2'!$B63:$F63)</f>
        <v>4.451550160007046</v>
      </c>
      <c r="G43" s="3">
        <f>_xlfn.XLOOKUP(G$1,'[1]Table 2'!$B$55:$F$55,'[1]Table 2'!$B63:$F63)</f>
        <v>23.459787898202041</v>
      </c>
      <c r="H43" s="3">
        <f>_xlfn.XLOOKUP(H$1,'[1]Table 2'!$B$55:$F$55,'[1]Table 2'!$B63:$F63)</f>
        <v>2.8056523823716164</v>
      </c>
      <c r="I43" s="3">
        <f>_xlfn.XLOOKUP(I$1,'[1]Table 2'!$B$55:$F$55,'[1]Table 2'!$B63:$F63)</f>
        <v>23.459787898202041</v>
      </c>
      <c r="J43" s="3">
        <f>_xlfn.XLOOKUP(J$1,'[1]Table 2'!$B$55:$F$55,'[1]Table 2'!$B63:$F63)</f>
        <v>23.459787898202041</v>
      </c>
      <c r="K43" s="3">
        <f>_xlfn.XLOOKUP(K$1,'[1]Table 2'!$B$55:$F$55,'[1]Table 2'!$B63:$F63)</f>
        <v>23.459787898202041</v>
      </c>
      <c r="L43" s="3">
        <f>_xlfn.XLOOKUP(L$1,'[1]Table 2'!$B$55:$F$55,'[1]Table 2'!$B63:$F63)</f>
        <v>23.459787898202041</v>
      </c>
      <c r="M43" s="3">
        <f>_xlfn.XLOOKUP(M$1,'[1]Table 2'!$B$55:$F$55,'[1]Table 2'!$B63:$F63)</f>
        <v>9.4207001564989348</v>
      </c>
      <c r="N43" s="3">
        <f>_xlfn.XLOOKUP(N$1,'[1]Table 2'!$B$55:$F$55,'[1]Table 2'!$B63:$F63)</f>
        <v>23.459787898202041</v>
      </c>
      <c r="O43" s="3">
        <f>_xlfn.XLOOKUP(O$1,'[1]Table 2'!$B$55:$F$55,'[1]Table 2'!$B63:$F63)</f>
        <v>2.8056523823716164</v>
      </c>
      <c r="P43" s="3">
        <f>_xlfn.XLOOKUP(P$1,'[1]Table 2'!$B$55:$F$55,'[1]Table 2'!$B63:$F63)</f>
        <v>23.459787898202041</v>
      </c>
      <c r="Q43" s="3">
        <f>_xlfn.XLOOKUP(Q$1,'[1]Table 2'!$B$55:$F$55,'[1]Table 2'!$B63:$F63)</f>
        <v>9.4207001564989348</v>
      </c>
      <c r="R43" s="3">
        <f>_xlfn.XLOOKUP(R$1,'[1]Table 2'!$B$55:$F$55,'[1]Table 2'!$B63:$F63)</f>
        <v>23.459787898202041</v>
      </c>
      <c r="S43" s="3">
        <f>_xlfn.XLOOKUP(S$1,'[1]Table 2'!$B$55:$F$55,'[1]Table 2'!$B63:$F63)</f>
        <v>2.8056523823716164</v>
      </c>
      <c r="T43" s="3">
        <f>_xlfn.XLOOKUP(T$1,'[1]Table 2'!$B$55:$F$55,'[1]Table 2'!$B63:$F63)</f>
        <v>26.625378672240096</v>
      </c>
      <c r="U43" s="3">
        <f>_xlfn.XLOOKUP(U$1,'[1]Table 2'!$B$55:$F$55,'[1]Table 2'!$B63:$F63)</f>
        <v>2.8056523823716164</v>
      </c>
      <c r="V43" s="3">
        <f>_xlfn.XLOOKUP(V$1,'[1]Table 2'!$B$55:$F$55,'[1]Table 2'!$B63:$F63)</f>
        <v>23.459787898202041</v>
      </c>
      <c r="W43" s="3">
        <f>_xlfn.XLOOKUP(W$1,'[1]Table 2'!$B$55:$F$55,'[1]Table 2'!$B63:$F63)</f>
        <v>4.451550160007046</v>
      </c>
      <c r="X43" s="3">
        <f>_xlfn.XLOOKUP(X$1,'[1]Table 2'!$B$55:$F$55,'[1]Table 2'!$B63:$F63)</f>
        <v>9.4207001564989348</v>
      </c>
      <c r="Y43" s="3">
        <f>_xlfn.XLOOKUP(Y$1,'[1]Table 2'!$B$55:$F$55,'[1]Table 2'!$B63:$F63)</f>
        <v>4.451550160007046</v>
      </c>
      <c r="Z43" s="3">
        <f>_xlfn.XLOOKUP(Z$1,'[1]Table 2'!$B$55:$F$55,'[1]Table 2'!$B63:$F63)</f>
        <v>2.8056523823716164</v>
      </c>
      <c r="AA43" s="3">
        <f>_xlfn.XLOOKUP(AA$1,'[1]Table 2'!$B$55:$F$55,'[1]Table 2'!$B63:$F63)</f>
        <v>4.451550160007046</v>
      </c>
    </row>
    <row r="44" spans="1:27" x14ac:dyDescent="0.2">
      <c r="A44" s="1">
        <v>2012</v>
      </c>
      <c r="B44" s="3">
        <f>_xlfn.XLOOKUP(B$1,'[1]Table 2'!$B$55:$F$55,'[1]Table 2'!$B64:$F64)</f>
        <v>9.5597666554133305</v>
      </c>
      <c r="C44" s="3">
        <f>_xlfn.XLOOKUP(C$1,'[1]Table 2'!$B$55:$F$55,'[1]Table 2'!$B64:$F64)</f>
        <v>9.5597666554133305</v>
      </c>
      <c r="D44" s="3">
        <f>_xlfn.XLOOKUP(D$1,'[1]Table 2'!$B$55:$F$55,'[1]Table 2'!$B64:$F64)</f>
        <v>9.5597666554133305</v>
      </c>
      <c r="E44" s="3">
        <f>_xlfn.XLOOKUP(E$1,'[1]Table 2'!$B$55:$F$55,'[1]Table 2'!$B64:$F64)</f>
        <v>23.304039789960317</v>
      </c>
      <c r="F44" s="3">
        <f>_xlfn.XLOOKUP(F$1,'[1]Table 2'!$B$55:$F$55,'[1]Table 2'!$B64:$F64)</f>
        <v>4.3973740798637868</v>
      </c>
      <c r="G44" s="3">
        <f>_xlfn.XLOOKUP(G$1,'[1]Table 2'!$B$55:$F$55,'[1]Table 2'!$B64:$F64)</f>
        <v>23.304039789960317</v>
      </c>
      <c r="H44" s="3">
        <f>_xlfn.XLOOKUP(H$1,'[1]Table 2'!$B$55:$F$55,'[1]Table 2'!$B64:$F64)</f>
        <v>2.883315699413509</v>
      </c>
      <c r="I44" s="3">
        <f>_xlfn.XLOOKUP(I$1,'[1]Table 2'!$B$55:$F$55,'[1]Table 2'!$B64:$F64)</f>
        <v>23.304039789960317</v>
      </c>
      <c r="J44" s="3">
        <f>_xlfn.XLOOKUP(J$1,'[1]Table 2'!$B$55:$F$55,'[1]Table 2'!$B64:$F64)</f>
        <v>23.304039789960317</v>
      </c>
      <c r="K44" s="3">
        <f>_xlfn.XLOOKUP(K$1,'[1]Table 2'!$B$55:$F$55,'[1]Table 2'!$B64:$F64)</f>
        <v>23.304039789960317</v>
      </c>
      <c r="L44" s="3">
        <f>_xlfn.XLOOKUP(L$1,'[1]Table 2'!$B$55:$F$55,'[1]Table 2'!$B64:$F64)</f>
        <v>23.304039789960317</v>
      </c>
      <c r="M44" s="3">
        <f>_xlfn.XLOOKUP(M$1,'[1]Table 2'!$B$55:$F$55,'[1]Table 2'!$B64:$F64)</f>
        <v>9.5597666554133305</v>
      </c>
      <c r="N44" s="3">
        <f>_xlfn.XLOOKUP(N$1,'[1]Table 2'!$B$55:$F$55,'[1]Table 2'!$B64:$F64)</f>
        <v>23.304039789960317</v>
      </c>
      <c r="O44" s="3">
        <f>_xlfn.XLOOKUP(O$1,'[1]Table 2'!$B$55:$F$55,'[1]Table 2'!$B64:$F64)</f>
        <v>2.883315699413509</v>
      </c>
      <c r="P44" s="3">
        <f>_xlfn.XLOOKUP(P$1,'[1]Table 2'!$B$55:$F$55,'[1]Table 2'!$B64:$F64)</f>
        <v>23.304039789960317</v>
      </c>
      <c r="Q44" s="3">
        <f>_xlfn.XLOOKUP(Q$1,'[1]Table 2'!$B$55:$F$55,'[1]Table 2'!$B64:$F64)</f>
        <v>9.5597666554133305</v>
      </c>
      <c r="R44" s="3">
        <f>_xlfn.XLOOKUP(R$1,'[1]Table 2'!$B$55:$F$55,'[1]Table 2'!$B64:$F64)</f>
        <v>23.304039789960317</v>
      </c>
      <c r="S44" s="3">
        <f>_xlfn.XLOOKUP(S$1,'[1]Table 2'!$B$55:$F$55,'[1]Table 2'!$B64:$F64)</f>
        <v>2.883315699413509</v>
      </c>
      <c r="T44" s="3">
        <f>_xlfn.XLOOKUP(T$1,'[1]Table 2'!$B$55:$F$55,'[1]Table 2'!$B64:$F64)</f>
        <v>27.79866820124959</v>
      </c>
      <c r="U44" s="3">
        <f>_xlfn.XLOOKUP(U$1,'[1]Table 2'!$B$55:$F$55,'[1]Table 2'!$B64:$F64)</f>
        <v>2.883315699413509</v>
      </c>
      <c r="V44" s="3">
        <f>_xlfn.XLOOKUP(V$1,'[1]Table 2'!$B$55:$F$55,'[1]Table 2'!$B64:$F64)</f>
        <v>23.304039789960317</v>
      </c>
      <c r="W44" s="3">
        <f>_xlfn.XLOOKUP(W$1,'[1]Table 2'!$B$55:$F$55,'[1]Table 2'!$B64:$F64)</f>
        <v>4.3973740798637868</v>
      </c>
      <c r="X44" s="3">
        <f>_xlfn.XLOOKUP(X$1,'[1]Table 2'!$B$55:$F$55,'[1]Table 2'!$B64:$F64)</f>
        <v>9.5597666554133305</v>
      </c>
      <c r="Y44" s="3">
        <f>_xlfn.XLOOKUP(Y$1,'[1]Table 2'!$B$55:$F$55,'[1]Table 2'!$B64:$F64)</f>
        <v>4.3973740798637868</v>
      </c>
      <c r="Z44" s="3">
        <f>_xlfn.XLOOKUP(Z$1,'[1]Table 2'!$B$55:$F$55,'[1]Table 2'!$B64:$F64)</f>
        <v>2.883315699413509</v>
      </c>
      <c r="AA44" s="3">
        <f>_xlfn.XLOOKUP(AA$1,'[1]Table 2'!$B$55:$F$55,'[1]Table 2'!$B64:$F64)</f>
        <v>4.3973740798637868</v>
      </c>
    </row>
    <row r="45" spans="1:27" x14ac:dyDescent="0.2">
      <c r="A45" s="1">
        <v>2013</v>
      </c>
      <c r="B45" s="3">
        <f>_xlfn.XLOOKUP(B$1,'[1]Table 2'!$B$55:$F$55,'[1]Table 2'!$B65:$F65)</f>
        <v>9.860706505859584</v>
      </c>
      <c r="C45" s="3">
        <f>_xlfn.XLOOKUP(C$1,'[1]Table 2'!$B$55:$F$55,'[1]Table 2'!$B65:$F65)</f>
        <v>9.860706505859584</v>
      </c>
      <c r="D45" s="3">
        <f>_xlfn.XLOOKUP(D$1,'[1]Table 2'!$B$55:$F$55,'[1]Table 2'!$B65:$F65)</f>
        <v>9.860706505859584</v>
      </c>
      <c r="E45" s="3">
        <f>_xlfn.XLOOKUP(E$1,'[1]Table 2'!$B$55:$F$55,'[1]Table 2'!$B65:$F65)</f>
        <v>23.402419534432845</v>
      </c>
      <c r="F45" s="3">
        <f>_xlfn.XLOOKUP(F$1,'[1]Table 2'!$B$55:$F$55,'[1]Table 2'!$B65:$F65)</f>
        <v>4.3322037507526474</v>
      </c>
      <c r="G45" s="3">
        <f>_xlfn.XLOOKUP(G$1,'[1]Table 2'!$B$55:$F$55,'[1]Table 2'!$B65:$F65)</f>
        <v>23.402419534432845</v>
      </c>
      <c r="H45" s="3">
        <f>_xlfn.XLOOKUP(H$1,'[1]Table 2'!$B$55:$F$55,'[1]Table 2'!$B65:$F65)</f>
        <v>2.9134505834129989</v>
      </c>
      <c r="I45" s="3">
        <f>_xlfn.XLOOKUP(I$1,'[1]Table 2'!$B$55:$F$55,'[1]Table 2'!$B65:$F65)</f>
        <v>23.402419534432845</v>
      </c>
      <c r="J45" s="3">
        <f>_xlfn.XLOOKUP(J$1,'[1]Table 2'!$B$55:$F$55,'[1]Table 2'!$B65:$F65)</f>
        <v>23.402419534432845</v>
      </c>
      <c r="K45" s="3">
        <f>_xlfn.XLOOKUP(K$1,'[1]Table 2'!$B$55:$F$55,'[1]Table 2'!$B65:$F65)</f>
        <v>23.402419534432845</v>
      </c>
      <c r="L45" s="3">
        <f>_xlfn.XLOOKUP(L$1,'[1]Table 2'!$B$55:$F$55,'[1]Table 2'!$B65:$F65)</f>
        <v>23.402419534432845</v>
      </c>
      <c r="M45" s="3">
        <f>_xlfn.XLOOKUP(M$1,'[1]Table 2'!$B$55:$F$55,'[1]Table 2'!$B65:$F65)</f>
        <v>9.860706505859584</v>
      </c>
      <c r="N45" s="3">
        <f>_xlfn.XLOOKUP(N$1,'[1]Table 2'!$B$55:$F$55,'[1]Table 2'!$B65:$F65)</f>
        <v>23.402419534432845</v>
      </c>
      <c r="O45" s="3">
        <f>_xlfn.XLOOKUP(O$1,'[1]Table 2'!$B$55:$F$55,'[1]Table 2'!$B65:$F65)</f>
        <v>2.9134505834129989</v>
      </c>
      <c r="P45" s="3">
        <f>_xlfn.XLOOKUP(P$1,'[1]Table 2'!$B$55:$F$55,'[1]Table 2'!$B65:$F65)</f>
        <v>23.402419534432845</v>
      </c>
      <c r="Q45" s="3">
        <f>_xlfn.XLOOKUP(Q$1,'[1]Table 2'!$B$55:$F$55,'[1]Table 2'!$B65:$F65)</f>
        <v>9.860706505859584</v>
      </c>
      <c r="R45" s="3">
        <f>_xlfn.XLOOKUP(R$1,'[1]Table 2'!$B$55:$F$55,'[1]Table 2'!$B65:$F65)</f>
        <v>23.402419534432845</v>
      </c>
      <c r="S45" s="3">
        <f>_xlfn.XLOOKUP(S$1,'[1]Table 2'!$B$55:$F$55,'[1]Table 2'!$B65:$F65)</f>
        <v>2.9134505834129989</v>
      </c>
      <c r="T45" s="3">
        <f>_xlfn.XLOOKUP(T$1,'[1]Table 2'!$B$55:$F$55,'[1]Table 2'!$B65:$F65)</f>
        <v>27.381769990383038</v>
      </c>
      <c r="U45" s="3">
        <f>_xlfn.XLOOKUP(U$1,'[1]Table 2'!$B$55:$F$55,'[1]Table 2'!$B65:$F65)</f>
        <v>2.9134505834129989</v>
      </c>
      <c r="V45" s="3">
        <f>_xlfn.XLOOKUP(V$1,'[1]Table 2'!$B$55:$F$55,'[1]Table 2'!$B65:$F65)</f>
        <v>23.402419534432845</v>
      </c>
      <c r="W45" s="3">
        <f>_xlfn.XLOOKUP(W$1,'[1]Table 2'!$B$55:$F$55,'[1]Table 2'!$B65:$F65)</f>
        <v>4.3322037507526474</v>
      </c>
      <c r="X45" s="3">
        <f>_xlfn.XLOOKUP(X$1,'[1]Table 2'!$B$55:$F$55,'[1]Table 2'!$B65:$F65)</f>
        <v>9.860706505859584</v>
      </c>
      <c r="Y45" s="3">
        <f>_xlfn.XLOOKUP(Y$1,'[1]Table 2'!$B$55:$F$55,'[1]Table 2'!$B65:$F65)</f>
        <v>4.3322037507526474</v>
      </c>
      <c r="Z45" s="3">
        <f>_xlfn.XLOOKUP(Z$1,'[1]Table 2'!$B$55:$F$55,'[1]Table 2'!$B65:$F65)</f>
        <v>2.9134505834129989</v>
      </c>
      <c r="AA45" s="3">
        <f>_xlfn.XLOOKUP(AA$1,'[1]Table 2'!$B$55:$F$55,'[1]Table 2'!$B65:$F65)</f>
        <v>4.3322037507526474</v>
      </c>
    </row>
    <row r="46" spans="1:27" x14ac:dyDescent="0.2">
      <c r="A46" s="1">
        <v>2014</v>
      </c>
      <c r="B46" s="3">
        <f>_xlfn.XLOOKUP(B$1,'[1]Table 2'!$B$55:$F$55,'[1]Table 2'!$B66:$F66)</f>
        <v>10.424591861298097</v>
      </c>
      <c r="C46" s="3">
        <f>_xlfn.XLOOKUP(C$1,'[1]Table 2'!$B$55:$F$55,'[1]Table 2'!$B66:$F66)</f>
        <v>10.424591861298097</v>
      </c>
      <c r="D46" s="3">
        <f>_xlfn.XLOOKUP(D$1,'[1]Table 2'!$B$55:$F$55,'[1]Table 2'!$B66:$F66)</f>
        <v>10.424591861298097</v>
      </c>
      <c r="E46" s="3">
        <f>_xlfn.XLOOKUP(E$1,'[1]Table 2'!$B$55:$F$55,'[1]Table 2'!$B66:$F66)</f>
        <v>22.512637432475373</v>
      </c>
      <c r="F46" s="3">
        <f>_xlfn.XLOOKUP(F$1,'[1]Table 2'!$B$55:$F$55,'[1]Table 2'!$B66:$F66)</f>
        <v>4.3425757756207943</v>
      </c>
      <c r="G46" s="3">
        <f>_xlfn.XLOOKUP(G$1,'[1]Table 2'!$B$55:$F$55,'[1]Table 2'!$B66:$F66)</f>
        <v>22.512637432475373</v>
      </c>
      <c r="H46" s="3">
        <f>_xlfn.XLOOKUP(H$1,'[1]Table 2'!$B$55:$F$55,'[1]Table 2'!$B66:$F66)</f>
        <v>2.890236294158933</v>
      </c>
      <c r="I46" s="3">
        <f>_xlfn.XLOOKUP(I$1,'[1]Table 2'!$B$55:$F$55,'[1]Table 2'!$B66:$F66)</f>
        <v>22.512637432475373</v>
      </c>
      <c r="J46" s="3">
        <f>_xlfn.XLOOKUP(J$1,'[1]Table 2'!$B$55:$F$55,'[1]Table 2'!$B66:$F66)</f>
        <v>22.512637432475373</v>
      </c>
      <c r="K46" s="3">
        <f>_xlfn.XLOOKUP(K$1,'[1]Table 2'!$B$55:$F$55,'[1]Table 2'!$B66:$F66)</f>
        <v>22.512637432475373</v>
      </c>
      <c r="L46" s="3">
        <f>_xlfn.XLOOKUP(L$1,'[1]Table 2'!$B$55:$F$55,'[1]Table 2'!$B66:$F66)</f>
        <v>22.512637432475373</v>
      </c>
      <c r="M46" s="3">
        <f>_xlfn.XLOOKUP(M$1,'[1]Table 2'!$B$55:$F$55,'[1]Table 2'!$B66:$F66)</f>
        <v>10.424591861298097</v>
      </c>
      <c r="N46" s="3">
        <f>_xlfn.XLOOKUP(N$1,'[1]Table 2'!$B$55:$F$55,'[1]Table 2'!$B66:$F66)</f>
        <v>22.512637432475373</v>
      </c>
      <c r="O46" s="3">
        <f>_xlfn.XLOOKUP(O$1,'[1]Table 2'!$B$55:$F$55,'[1]Table 2'!$B66:$F66)</f>
        <v>2.890236294158933</v>
      </c>
      <c r="P46" s="3">
        <f>_xlfn.XLOOKUP(P$1,'[1]Table 2'!$B$55:$F$55,'[1]Table 2'!$B66:$F66)</f>
        <v>22.512637432475373</v>
      </c>
      <c r="Q46" s="3">
        <f>_xlfn.XLOOKUP(Q$1,'[1]Table 2'!$B$55:$F$55,'[1]Table 2'!$B66:$F66)</f>
        <v>10.424591861298097</v>
      </c>
      <c r="R46" s="3">
        <f>_xlfn.XLOOKUP(R$1,'[1]Table 2'!$B$55:$F$55,'[1]Table 2'!$B66:$F66)</f>
        <v>22.512637432475373</v>
      </c>
      <c r="S46" s="3">
        <f>_xlfn.XLOOKUP(S$1,'[1]Table 2'!$B$55:$F$55,'[1]Table 2'!$B66:$F66)</f>
        <v>2.890236294158933</v>
      </c>
      <c r="T46" s="3">
        <f>_xlfn.XLOOKUP(T$1,'[1]Table 2'!$B$55:$F$55,'[1]Table 2'!$B66:$F66)</f>
        <v>28.505605985973308</v>
      </c>
      <c r="U46" s="3">
        <f>_xlfn.XLOOKUP(U$1,'[1]Table 2'!$B$55:$F$55,'[1]Table 2'!$B66:$F66)</f>
        <v>2.890236294158933</v>
      </c>
      <c r="V46" s="3">
        <f>_xlfn.XLOOKUP(V$1,'[1]Table 2'!$B$55:$F$55,'[1]Table 2'!$B66:$F66)</f>
        <v>22.512637432475373</v>
      </c>
      <c r="W46" s="3">
        <f>_xlfn.XLOOKUP(W$1,'[1]Table 2'!$B$55:$F$55,'[1]Table 2'!$B66:$F66)</f>
        <v>4.3425757756207943</v>
      </c>
      <c r="X46" s="3">
        <f>_xlfn.XLOOKUP(X$1,'[1]Table 2'!$B$55:$F$55,'[1]Table 2'!$B66:$F66)</f>
        <v>10.424591861298097</v>
      </c>
      <c r="Y46" s="3">
        <f>_xlfn.XLOOKUP(Y$1,'[1]Table 2'!$B$55:$F$55,'[1]Table 2'!$B66:$F66)</f>
        <v>4.3425757756207943</v>
      </c>
      <c r="Z46" s="3">
        <f>_xlfn.XLOOKUP(Z$1,'[1]Table 2'!$B$55:$F$55,'[1]Table 2'!$B66:$F66)</f>
        <v>2.890236294158933</v>
      </c>
      <c r="AA46" s="3">
        <f>_xlfn.XLOOKUP(AA$1,'[1]Table 2'!$B$55:$F$55,'[1]Table 2'!$B66:$F66)</f>
        <v>4.3425757756207943</v>
      </c>
    </row>
    <row r="47" spans="1:27" x14ac:dyDescent="0.2">
      <c r="A47" s="1">
        <v>2015</v>
      </c>
      <c r="B47" s="3">
        <f>_xlfn.XLOOKUP(B$1,'[1]Table 2'!$B$55:$F$55,'[1]Table 2'!$B67:$F67)</f>
        <v>10.073602874799354</v>
      </c>
      <c r="C47" s="3">
        <f>_xlfn.XLOOKUP(C$1,'[1]Table 2'!$B$55:$F$55,'[1]Table 2'!$B67:$F67)</f>
        <v>10.073602874799354</v>
      </c>
      <c r="D47" s="3">
        <f>_xlfn.XLOOKUP(D$1,'[1]Table 2'!$B$55:$F$55,'[1]Table 2'!$B67:$F67)</f>
        <v>10.073602874799354</v>
      </c>
      <c r="E47" s="3">
        <f>_xlfn.XLOOKUP(E$1,'[1]Table 2'!$B$55:$F$55,'[1]Table 2'!$B67:$F67)</f>
        <v>20.593866697532182</v>
      </c>
      <c r="F47" s="3">
        <f>_xlfn.XLOOKUP(F$1,'[1]Table 2'!$B$55:$F$55,'[1]Table 2'!$B67:$F67)</f>
        <v>4.308153846725058</v>
      </c>
      <c r="G47" s="3">
        <f>_xlfn.XLOOKUP(G$1,'[1]Table 2'!$B$55:$F$55,'[1]Table 2'!$B67:$F67)</f>
        <v>20.593866697532182</v>
      </c>
      <c r="H47" s="3">
        <f>_xlfn.XLOOKUP(H$1,'[1]Table 2'!$B$55:$F$55,'[1]Table 2'!$B67:$F67)</f>
        <v>3.0170903458419565</v>
      </c>
      <c r="I47" s="3">
        <f>_xlfn.XLOOKUP(I$1,'[1]Table 2'!$B$55:$F$55,'[1]Table 2'!$B67:$F67)</f>
        <v>20.593866697532182</v>
      </c>
      <c r="J47" s="3">
        <f>_xlfn.XLOOKUP(J$1,'[1]Table 2'!$B$55:$F$55,'[1]Table 2'!$B67:$F67)</f>
        <v>20.593866697532182</v>
      </c>
      <c r="K47" s="3">
        <f>_xlfn.XLOOKUP(K$1,'[1]Table 2'!$B$55:$F$55,'[1]Table 2'!$B67:$F67)</f>
        <v>20.593866697532182</v>
      </c>
      <c r="L47" s="3">
        <f>_xlfn.XLOOKUP(L$1,'[1]Table 2'!$B$55:$F$55,'[1]Table 2'!$B67:$F67)</f>
        <v>20.593866697532182</v>
      </c>
      <c r="M47" s="3">
        <f>_xlfn.XLOOKUP(M$1,'[1]Table 2'!$B$55:$F$55,'[1]Table 2'!$B67:$F67)</f>
        <v>10.073602874799354</v>
      </c>
      <c r="N47" s="3">
        <f>_xlfn.XLOOKUP(N$1,'[1]Table 2'!$B$55:$F$55,'[1]Table 2'!$B67:$F67)</f>
        <v>20.593866697532182</v>
      </c>
      <c r="O47" s="3">
        <f>_xlfn.XLOOKUP(O$1,'[1]Table 2'!$B$55:$F$55,'[1]Table 2'!$B67:$F67)</f>
        <v>3.0170903458419565</v>
      </c>
      <c r="P47" s="3">
        <f>_xlfn.XLOOKUP(P$1,'[1]Table 2'!$B$55:$F$55,'[1]Table 2'!$B67:$F67)</f>
        <v>20.593866697532182</v>
      </c>
      <c r="Q47" s="3">
        <f>_xlfn.XLOOKUP(Q$1,'[1]Table 2'!$B$55:$F$55,'[1]Table 2'!$B67:$F67)</f>
        <v>10.073602874799354</v>
      </c>
      <c r="R47" s="3">
        <f>_xlfn.XLOOKUP(R$1,'[1]Table 2'!$B$55:$F$55,'[1]Table 2'!$B67:$F67)</f>
        <v>20.593866697532182</v>
      </c>
      <c r="S47" s="3">
        <f>_xlfn.XLOOKUP(S$1,'[1]Table 2'!$B$55:$F$55,'[1]Table 2'!$B67:$F67)</f>
        <v>3.0170903458419565</v>
      </c>
      <c r="T47" s="3">
        <f>_xlfn.XLOOKUP(T$1,'[1]Table 2'!$B$55:$F$55,'[1]Table 2'!$B67:$F67)</f>
        <v>28.46038094344491</v>
      </c>
      <c r="U47" s="3">
        <f>_xlfn.XLOOKUP(U$1,'[1]Table 2'!$B$55:$F$55,'[1]Table 2'!$B67:$F67)</f>
        <v>3.0170903458419565</v>
      </c>
      <c r="V47" s="3">
        <f>_xlfn.XLOOKUP(V$1,'[1]Table 2'!$B$55:$F$55,'[1]Table 2'!$B67:$F67)</f>
        <v>20.593866697532182</v>
      </c>
      <c r="W47" s="3">
        <f>_xlfn.XLOOKUP(W$1,'[1]Table 2'!$B$55:$F$55,'[1]Table 2'!$B67:$F67)</f>
        <v>4.308153846725058</v>
      </c>
      <c r="X47" s="3">
        <f>_xlfn.XLOOKUP(X$1,'[1]Table 2'!$B$55:$F$55,'[1]Table 2'!$B67:$F67)</f>
        <v>10.073602874799354</v>
      </c>
      <c r="Y47" s="3">
        <f>_xlfn.XLOOKUP(Y$1,'[1]Table 2'!$B$55:$F$55,'[1]Table 2'!$B67:$F67)</f>
        <v>4.308153846725058</v>
      </c>
      <c r="Z47" s="3">
        <f>_xlfn.XLOOKUP(Z$1,'[1]Table 2'!$B$55:$F$55,'[1]Table 2'!$B67:$F67)</f>
        <v>3.0170903458419565</v>
      </c>
      <c r="AA47" s="3">
        <f>_xlfn.XLOOKUP(AA$1,'[1]Table 2'!$B$55:$F$55,'[1]Table 2'!$B67:$F67)</f>
        <v>4.308153846725058</v>
      </c>
    </row>
    <row r="48" spans="1:27" x14ac:dyDescent="0.2">
      <c r="A48" s="1">
        <v>2016</v>
      </c>
      <c r="B48" s="3">
        <f>_xlfn.XLOOKUP(B$1,'[1]Table 2'!$B$55:$F$55,'[1]Table 2'!$B68:$F68)</f>
        <v>9.4641762373809613</v>
      </c>
      <c r="C48" s="3">
        <f>_xlfn.XLOOKUP(C$1,'[1]Table 2'!$B$55:$F$55,'[1]Table 2'!$B68:$F68)</f>
        <v>9.4641762373809613</v>
      </c>
      <c r="D48" s="3">
        <f>_xlfn.XLOOKUP(D$1,'[1]Table 2'!$B$55:$F$55,'[1]Table 2'!$B68:$F68)</f>
        <v>9.4641762373809613</v>
      </c>
      <c r="E48" s="3">
        <f>_xlfn.XLOOKUP(E$1,'[1]Table 2'!$B$55:$F$55,'[1]Table 2'!$B68:$F68)</f>
        <v>20.666597592619286</v>
      </c>
      <c r="F48" s="3">
        <f>_xlfn.XLOOKUP(F$1,'[1]Table 2'!$B$55:$F$55,'[1]Table 2'!$B68:$F68)</f>
        <v>4.3615264640960074</v>
      </c>
      <c r="G48" s="3">
        <f>_xlfn.XLOOKUP(G$1,'[1]Table 2'!$B$55:$F$55,'[1]Table 2'!$B68:$F68)</f>
        <v>20.666597592619286</v>
      </c>
      <c r="H48" s="3">
        <f>_xlfn.XLOOKUP(H$1,'[1]Table 2'!$B$55:$F$55,'[1]Table 2'!$B68:$F68)</f>
        <v>2.8607752581599293</v>
      </c>
      <c r="I48" s="3">
        <f>_xlfn.XLOOKUP(I$1,'[1]Table 2'!$B$55:$F$55,'[1]Table 2'!$B68:$F68)</f>
        <v>20.666597592619286</v>
      </c>
      <c r="J48" s="3">
        <f>_xlfn.XLOOKUP(J$1,'[1]Table 2'!$B$55:$F$55,'[1]Table 2'!$B68:$F68)</f>
        <v>20.666597592619286</v>
      </c>
      <c r="K48" s="3">
        <f>_xlfn.XLOOKUP(K$1,'[1]Table 2'!$B$55:$F$55,'[1]Table 2'!$B68:$F68)</f>
        <v>20.666597592619286</v>
      </c>
      <c r="L48" s="3">
        <f>_xlfn.XLOOKUP(L$1,'[1]Table 2'!$B$55:$F$55,'[1]Table 2'!$B68:$F68)</f>
        <v>20.666597592619286</v>
      </c>
      <c r="M48" s="3">
        <f>_xlfn.XLOOKUP(M$1,'[1]Table 2'!$B$55:$F$55,'[1]Table 2'!$B68:$F68)</f>
        <v>9.4641762373809613</v>
      </c>
      <c r="N48" s="3">
        <f>_xlfn.XLOOKUP(N$1,'[1]Table 2'!$B$55:$F$55,'[1]Table 2'!$B68:$F68)</f>
        <v>20.666597592619286</v>
      </c>
      <c r="O48" s="3">
        <f>_xlfn.XLOOKUP(O$1,'[1]Table 2'!$B$55:$F$55,'[1]Table 2'!$B68:$F68)</f>
        <v>2.8607752581599293</v>
      </c>
      <c r="P48" s="3">
        <f>_xlfn.XLOOKUP(P$1,'[1]Table 2'!$B$55:$F$55,'[1]Table 2'!$B68:$F68)</f>
        <v>20.666597592619286</v>
      </c>
      <c r="Q48" s="3">
        <f>_xlfn.XLOOKUP(Q$1,'[1]Table 2'!$B$55:$F$55,'[1]Table 2'!$B68:$F68)</f>
        <v>9.4641762373809613</v>
      </c>
      <c r="R48" s="3">
        <f>_xlfn.XLOOKUP(R$1,'[1]Table 2'!$B$55:$F$55,'[1]Table 2'!$B68:$F68)</f>
        <v>20.666597592619286</v>
      </c>
      <c r="S48" s="3">
        <f>_xlfn.XLOOKUP(S$1,'[1]Table 2'!$B$55:$F$55,'[1]Table 2'!$B68:$F68)</f>
        <v>2.8607752581599293</v>
      </c>
      <c r="T48" s="3">
        <f>_xlfn.XLOOKUP(T$1,'[1]Table 2'!$B$55:$F$55,'[1]Table 2'!$B68:$F68)</f>
        <v>28.916040995607613</v>
      </c>
      <c r="U48" s="3">
        <f>_xlfn.XLOOKUP(U$1,'[1]Table 2'!$B$55:$F$55,'[1]Table 2'!$B68:$F68)</f>
        <v>2.8607752581599293</v>
      </c>
      <c r="V48" s="3">
        <f>_xlfn.XLOOKUP(V$1,'[1]Table 2'!$B$55:$F$55,'[1]Table 2'!$B68:$F68)</f>
        <v>20.666597592619286</v>
      </c>
      <c r="W48" s="3">
        <f>_xlfn.XLOOKUP(W$1,'[1]Table 2'!$B$55:$F$55,'[1]Table 2'!$B68:$F68)</f>
        <v>4.3615264640960074</v>
      </c>
      <c r="X48" s="3">
        <f>_xlfn.XLOOKUP(X$1,'[1]Table 2'!$B$55:$F$55,'[1]Table 2'!$B68:$F68)</f>
        <v>9.4641762373809613</v>
      </c>
      <c r="Y48" s="3">
        <f>_xlfn.XLOOKUP(Y$1,'[1]Table 2'!$B$55:$F$55,'[1]Table 2'!$B68:$F68)</f>
        <v>4.3615264640960074</v>
      </c>
      <c r="Z48" s="3">
        <f>_xlfn.XLOOKUP(Z$1,'[1]Table 2'!$B$55:$F$55,'[1]Table 2'!$B68:$F68)</f>
        <v>2.8607752581599293</v>
      </c>
      <c r="AA48" s="3">
        <f>_xlfn.XLOOKUP(AA$1,'[1]Table 2'!$B$55:$F$55,'[1]Table 2'!$B68:$F68)</f>
        <v>4.3615264640960074</v>
      </c>
    </row>
    <row r="49" spans="1:27" x14ac:dyDescent="0.2">
      <c r="A49" s="1">
        <v>2017</v>
      </c>
      <c r="B49" s="3">
        <f>_xlfn.XLOOKUP(B$1,'[1]Table 2'!$B$55:$F$55,'[1]Table 2'!$B69:$F69)</f>
        <v>9.9753735085898221</v>
      </c>
      <c r="C49" s="3">
        <f>_xlfn.XLOOKUP(C$1,'[1]Table 2'!$B$55:$F$55,'[1]Table 2'!$B69:$F69)</f>
        <v>9.9753735085898221</v>
      </c>
      <c r="D49" s="3">
        <f>_xlfn.XLOOKUP(D$1,'[1]Table 2'!$B$55:$F$55,'[1]Table 2'!$B69:$F69)</f>
        <v>9.9753735085898221</v>
      </c>
      <c r="E49" s="3">
        <f>_xlfn.XLOOKUP(E$1,'[1]Table 2'!$B$55:$F$55,'[1]Table 2'!$B69:$F69)</f>
        <v>21.173919479411261</v>
      </c>
      <c r="F49" s="3">
        <f>_xlfn.XLOOKUP(F$1,'[1]Table 2'!$B$55:$F$55,'[1]Table 2'!$B69:$F69)</f>
        <v>4.5163785072080396</v>
      </c>
      <c r="G49" s="3">
        <f>_xlfn.XLOOKUP(G$1,'[1]Table 2'!$B$55:$F$55,'[1]Table 2'!$B69:$F69)</f>
        <v>21.173919479411261</v>
      </c>
      <c r="H49" s="3">
        <f>_xlfn.XLOOKUP(H$1,'[1]Table 2'!$B$55:$F$55,'[1]Table 2'!$B69:$F69)</f>
        <v>2.8917774075652498</v>
      </c>
      <c r="I49" s="3">
        <f>_xlfn.XLOOKUP(I$1,'[1]Table 2'!$B$55:$F$55,'[1]Table 2'!$B69:$F69)</f>
        <v>21.173919479411261</v>
      </c>
      <c r="J49" s="3">
        <f>_xlfn.XLOOKUP(J$1,'[1]Table 2'!$B$55:$F$55,'[1]Table 2'!$B69:$F69)</f>
        <v>21.173919479411261</v>
      </c>
      <c r="K49" s="3">
        <f>_xlfn.XLOOKUP(K$1,'[1]Table 2'!$B$55:$F$55,'[1]Table 2'!$B69:$F69)</f>
        <v>21.173919479411261</v>
      </c>
      <c r="L49" s="3">
        <f>_xlfn.XLOOKUP(L$1,'[1]Table 2'!$B$55:$F$55,'[1]Table 2'!$B69:$F69)</f>
        <v>21.173919479411261</v>
      </c>
      <c r="M49" s="3">
        <f>_xlfn.XLOOKUP(M$1,'[1]Table 2'!$B$55:$F$55,'[1]Table 2'!$B69:$F69)</f>
        <v>9.9753735085898221</v>
      </c>
      <c r="N49" s="3">
        <f>_xlfn.XLOOKUP(N$1,'[1]Table 2'!$B$55:$F$55,'[1]Table 2'!$B69:$F69)</f>
        <v>21.173919479411261</v>
      </c>
      <c r="O49" s="3">
        <f>_xlfn.XLOOKUP(O$1,'[1]Table 2'!$B$55:$F$55,'[1]Table 2'!$B69:$F69)</f>
        <v>2.8917774075652498</v>
      </c>
      <c r="P49" s="3">
        <f>_xlfn.XLOOKUP(P$1,'[1]Table 2'!$B$55:$F$55,'[1]Table 2'!$B69:$F69)</f>
        <v>21.173919479411261</v>
      </c>
      <c r="Q49" s="3">
        <f>_xlfn.XLOOKUP(Q$1,'[1]Table 2'!$B$55:$F$55,'[1]Table 2'!$B69:$F69)</f>
        <v>9.9753735085898221</v>
      </c>
      <c r="R49" s="3">
        <f>_xlfn.XLOOKUP(R$1,'[1]Table 2'!$B$55:$F$55,'[1]Table 2'!$B69:$F69)</f>
        <v>21.173919479411261</v>
      </c>
      <c r="S49" s="3">
        <f>_xlfn.XLOOKUP(S$1,'[1]Table 2'!$B$55:$F$55,'[1]Table 2'!$B69:$F69)</f>
        <v>2.8917774075652498</v>
      </c>
      <c r="T49" s="3">
        <f>_xlfn.XLOOKUP(T$1,'[1]Table 2'!$B$55:$F$55,'[1]Table 2'!$B69:$F69)</f>
        <v>30.566321818925712</v>
      </c>
      <c r="U49" s="3">
        <f>_xlfn.XLOOKUP(U$1,'[1]Table 2'!$B$55:$F$55,'[1]Table 2'!$B69:$F69)</f>
        <v>2.8917774075652498</v>
      </c>
      <c r="V49" s="3">
        <f>_xlfn.XLOOKUP(V$1,'[1]Table 2'!$B$55:$F$55,'[1]Table 2'!$B69:$F69)</f>
        <v>21.173919479411261</v>
      </c>
      <c r="W49" s="3">
        <f>_xlfn.XLOOKUP(W$1,'[1]Table 2'!$B$55:$F$55,'[1]Table 2'!$B69:$F69)</f>
        <v>4.5163785072080396</v>
      </c>
      <c r="X49" s="3">
        <f>_xlfn.XLOOKUP(X$1,'[1]Table 2'!$B$55:$F$55,'[1]Table 2'!$B69:$F69)</f>
        <v>9.9753735085898221</v>
      </c>
      <c r="Y49" s="3">
        <f>_xlfn.XLOOKUP(Y$1,'[1]Table 2'!$B$55:$F$55,'[1]Table 2'!$B69:$F69)</f>
        <v>4.5163785072080396</v>
      </c>
      <c r="Z49" s="3">
        <f>_xlfn.XLOOKUP(Z$1,'[1]Table 2'!$B$55:$F$55,'[1]Table 2'!$B69:$F69)</f>
        <v>2.8917774075652498</v>
      </c>
      <c r="AA49" s="3">
        <f>_xlfn.XLOOKUP(AA$1,'[1]Table 2'!$B$55:$F$55,'[1]Table 2'!$B69:$F69)</f>
        <v>4.5163785072080396</v>
      </c>
    </row>
    <row r="50" spans="1:27" x14ac:dyDescent="0.2">
      <c r="A50" s="1">
        <v>2018</v>
      </c>
      <c r="B50" s="3">
        <f>_xlfn.XLOOKUP(B$1,'[1]Table 2'!$B$55:$F$55,'[1]Table 2'!$B70:$F70)</f>
        <v>10.355460821911427</v>
      </c>
      <c r="C50" s="3">
        <f>_xlfn.XLOOKUP(C$1,'[1]Table 2'!$B$55:$F$55,'[1]Table 2'!$B70:$F70)</f>
        <v>10.355460821911427</v>
      </c>
      <c r="D50" s="3">
        <f>_xlfn.XLOOKUP(D$1,'[1]Table 2'!$B$55:$F$55,'[1]Table 2'!$B70:$F70)</f>
        <v>10.355460821911427</v>
      </c>
      <c r="E50" s="3">
        <f>_xlfn.XLOOKUP(E$1,'[1]Table 2'!$B$55:$F$55,'[1]Table 2'!$B70:$F70)</f>
        <v>22.125207788099278</v>
      </c>
      <c r="F50" s="3">
        <f>_xlfn.XLOOKUP(F$1,'[1]Table 2'!$B$55:$F$55,'[1]Table 2'!$B70:$F70)</f>
        <v>4.5119244233515143</v>
      </c>
      <c r="G50" s="3">
        <f>_xlfn.XLOOKUP(G$1,'[1]Table 2'!$B$55:$F$55,'[1]Table 2'!$B70:$F70)</f>
        <v>22.125207788099278</v>
      </c>
      <c r="H50" s="3">
        <f>_xlfn.XLOOKUP(H$1,'[1]Table 2'!$B$55:$F$55,'[1]Table 2'!$B70:$F70)</f>
        <v>2.8945519354797349</v>
      </c>
      <c r="I50" s="3">
        <f>_xlfn.XLOOKUP(I$1,'[1]Table 2'!$B$55:$F$55,'[1]Table 2'!$B70:$F70)</f>
        <v>22.125207788099278</v>
      </c>
      <c r="J50" s="3">
        <f>_xlfn.XLOOKUP(J$1,'[1]Table 2'!$B$55:$F$55,'[1]Table 2'!$B70:$F70)</f>
        <v>22.125207788099278</v>
      </c>
      <c r="K50" s="3">
        <f>_xlfn.XLOOKUP(K$1,'[1]Table 2'!$B$55:$F$55,'[1]Table 2'!$B70:$F70)</f>
        <v>22.125207788099278</v>
      </c>
      <c r="L50" s="3">
        <f>_xlfn.XLOOKUP(L$1,'[1]Table 2'!$B$55:$F$55,'[1]Table 2'!$B70:$F70)</f>
        <v>22.125207788099278</v>
      </c>
      <c r="M50" s="3">
        <f>_xlfn.XLOOKUP(M$1,'[1]Table 2'!$B$55:$F$55,'[1]Table 2'!$B70:$F70)</f>
        <v>10.355460821911427</v>
      </c>
      <c r="N50" s="3">
        <f>_xlfn.XLOOKUP(N$1,'[1]Table 2'!$B$55:$F$55,'[1]Table 2'!$B70:$F70)</f>
        <v>22.125207788099278</v>
      </c>
      <c r="O50" s="3">
        <f>_xlfn.XLOOKUP(O$1,'[1]Table 2'!$B$55:$F$55,'[1]Table 2'!$B70:$F70)</f>
        <v>2.8945519354797349</v>
      </c>
      <c r="P50" s="3">
        <f>_xlfn.XLOOKUP(P$1,'[1]Table 2'!$B$55:$F$55,'[1]Table 2'!$B70:$F70)</f>
        <v>22.125207788099278</v>
      </c>
      <c r="Q50" s="3">
        <f>_xlfn.XLOOKUP(Q$1,'[1]Table 2'!$B$55:$F$55,'[1]Table 2'!$B70:$F70)</f>
        <v>10.355460821911427</v>
      </c>
      <c r="R50" s="3">
        <f>_xlfn.XLOOKUP(R$1,'[1]Table 2'!$B$55:$F$55,'[1]Table 2'!$B70:$F70)</f>
        <v>22.125207788099278</v>
      </c>
      <c r="S50" s="3">
        <f>_xlfn.XLOOKUP(S$1,'[1]Table 2'!$B$55:$F$55,'[1]Table 2'!$B70:$F70)</f>
        <v>2.8945519354797349</v>
      </c>
      <c r="T50" s="3">
        <f>_xlfn.XLOOKUP(T$1,'[1]Table 2'!$B$55:$F$55,'[1]Table 2'!$B70:$F70)</f>
        <v>31.84954336299722</v>
      </c>
      <c r="U50" s="3">
        <f>_xlfn.XLOOKUP(U$1,'[1]Table 2'!$B$55:$F$55,'[1]Table 2'!$B70:$F70)</f>
        <v>2.8945519354797349</v>
      </c>
      <c r="V50" s="3">
        <f>_xlfn.XLOOKUP(V$1,'[1]Table 2'!$B$55:$F$55,'[1]Table 2'!$B70:$F70)</f>
        <v>22.125207788099278</v>
      </c>
      <c r="W50" s="3">
        <f>_xlfn.XLOOKUP(W$1,'[1]Table 2'!$B$55:$F$55,'[1]Table 2'!$B70:$F70)</f>
        <v>4.5119244233515143</v>
      </c>
      <c r="X50" s="3">
        <f>_xlfn.XLOOKUP(X$1,'[1]Table 2'!$B$55:$F$55,'[1]Table 2'!$B70:$F70)</f>
        <v>10.355460821911427</v>
      </c>
      <c r="Y50" s="3">
        <f>_xlfn.XLOOKUP(Y$1,'[1]Table 2'!$B$55:$F$55,'[1]Table 2'!$B70:$F70)</f>
        <v>4.5119244233515143</v>
      </c>
      <c r="Z50" s="3">
        <f>_xlfn.XLOOKUP(Z$1,'[1]Table 2'!$B$55:$F$55,'[1]Table 2'!$B70:$F70)</f>
        <v>2.8945519354797349</v>
      </c>
      <c r="AA50" s="3">
        <f>_xlfn.XLOOKUP(AA$1,'[1]Table 2'!$B$55:$F$55,'[1]Table 2'!$B70:$F70)</f>
        <v>4.5119244233515143</v>
      </c>
    </row>
    <row r="51" spans="1:27" x14ac:dyDescent="0.2">
      <c r="A51" s="1">
        <v>2019</v>
      </c>
      <c r="B51" s="3">
        <f>_xlfn.XLOOKUP(B$1,'[1]Table 2'!$B$55:$F$55,'[1]Table 2'!$B71:$F71)</f>
        <v>9.7174717963552215</v>
      </c>
      <c r="C51" s="3">
        <f>_xlfn.XLOOKUP(C$1,'[1]Table 2'!$B$55:$F$55,'[1]Table 2'!$B71:$F71)</f>
        <v>9.7174717963552215</v>
      </c>
      <c r="D51" s="3">
        <f>_xlfn.XLOOKUP(D$1,'[1]Table 2'!$B$55:$F$55,'[1]Table 2'!$B71:$F71)</f>
        <v>9.7174717963552215</v>
      </c>
      <c r="E51" s="3">
        <f>_xlfn.XLOOKUP(E$1,'[1]Table 2'!$B$55:$F$55,'[1]Table 2'!$B71:$F71)</f>
        <v>22.410748110738794</v>
      </c>
      <c r="F51" s="3">
        <f>_xlfn.XLOOKUP(F$1,'[1]Table 2'!$B$55:$F$55,'[1]Table 2'!$B71:$F71)</f>
        <v>4.492375903686221</v>
      </c>
      <c r="G51" s="3">
        <f>_xlfn.XLOOKUP(G$1,'[1]Table 2'!$B$55:$F$55,'[1]Table 2'!$B71:$F71)</f>
        <v>22.410748110738794</v>
      </c>
      <c r="H51" s="3">
        <f>_xlfn.XLOOKUP(H$1,'[1]Table 2'!$B$55:$F$55,'[1]Table 2'!$B71:$F71)</f>
        <v>2.8840278750971424</v>
      </c>
      <c r="I51" s="3">
        <f>_xlfn.XLOOKUP(I$1,'[1]Table 2'!$B$55:$F$55,'[1]Table 2'!$B71:$F71)</f>
        <v>22.410748110738794</v>
      </c>
      <c r="J51" s="3">
        <f>_xlfn.XLOOKUP(J$1,'[1]Table 2'!$B$55:$F$55,'[1]Table 2'!$B71:$F71)</f>
        <v>22.410748110738794</v>
      </c>
      <c r="K51" s="3">
        <f>_xlfn.XLOOKUP(K$1,'[1]Table 2'!$B$55:$F$55,'[1]Table 2'!$B71:$F71)</f>
        <v>22.410748110738794</v>
      </c>
      <c r="L51" s="3">
        <f>_xlfn.XLOOKUP(L$1,'[1]Table 2'!$B$55:$F$55,'[1]Table 2'!$B71:$F71)</f>
        <v>22.410748110738794</v>
      </c>
      <c r="M51" s="3">
        <f>_xlfn.XLOOKUP(M$1,'[1]Table 2'!$B$55:$F$55,'[1]Table 2'!$B71:$F71)</f>
        <v>9.7174717963552215</v>
      </c>
      <c r="N51" s="3">
        <f>_xlfn.XLOOKUP(N$1,'[1]Table 2'!$B$55:$F$55,'[1]Table 2'!$B71:$F71)</f>
        <v>22.410748110738794</v>
      </c>
      <c r="O51" s="3">
        <f>_xlfn.XLOOKUP(O$1,'[1]Table 2'!$B$55:$F$55,'[1]Table 2'!$B71:$F71)</f>
        <v>2.8840278750971424</v>
      </c>
      <c r="P51" s="3">
        <f>_xlfn.XLOOKUP(P$1,'[1]Table 2'!$B$55:$F$55,'[1]Table 2'!$B71:$F71)</f>
        <v>22.410748110738794</v>
      </c>
      <c r="Q51" s="3">
        <f>_xlfn.XLOOKUP(Q$1,'[1]Table 2'!$B$55:$F$55,'[1]Table 2'!$B71:$F71)</f>
        <v>9.7174717963552215</v>
      </c>
      <c r="R51" s="3">
        <f>_xlfn.XLOOKUP(R$1,'[1]Table 2'!$B$55:$F$55,'[1]Table 2'!$B71:$F71)</f>
        <v>22.410748110738794</v>
      </c>
      <c r="S51" s="3">
        <f>_xlfn.XLOOKUP(S$1,'[1]Table 2'!$B$55:$F$55,'[1]Table 2'!$B71:$F71)</f>
        <v>2.8840278750971424</v>
      </c>
      <c r="T51" s="3">
        <f>_xlfn.XLOOKUP(T$1,'[1]Table 2'!$B$55:$F$55,'[1]Table 2'!$B71:$F71)</f>
        <v>31.994163333099397</v>
      </c>
      <c r="U51" s="3">
        <f>_xlfn.XLOOKUP(U$1,'[1]Table 2'!$B$55:$F$55,'[1]Table 2'!$B71:$F71)</f>
        <v>2.8840278750971424</v>
      </c>
      <c r="V51" s="3">
        <f>_xlfn.XLOOKUP(V$1,'[1]Table 2'!$B$55:$F$55,'[1]Table 2'!$B71:$F71)</f>
        <v>22.410748110738794</v>
      </c>
      <c r="W51" s="3">
        <f>_xlfn.XLOOKUP(W$1,'[1]Table 2'!$B$55:$F$55,'[1]Table 2'!$B71:$F71)</f>
        <v>4.492375903686221</v>
      </c>
      <c r="X51" s="3">
        <f>_xlfn.XLOOKUP(X$1,'[1]Table 2'!$B$55:$F$55,'[1]Table 2'!$B71:$F71)</f>
        <v>9.7174717963552215</v>
      </c>
      <c r="Y51" s="3">
        <f>_xlfn.XLOOKUP(Y$1,'[1]Table 2'!$B$55:$F$55,'[1]Table 2'!$B71:$F71)</f>
        <v>4.492375903686221</v>
      </c>
      <c r="Z51" s="3">
        <f>_xlfn.XLOOKUP(Z$1,'[1]Table 2'!$B$55:$F$55,'[1]Table 2'!$B71:$F71)</f>
        <v>2.8840278750971424</v>
      </c>
      <c r="AA51" s="3">
        <f>_xlfn.XLOOKUP(AA$1,'[1]Table 2'!$B$55:$F$55,'[1]Table 2'!$B71:$F71)</f>
        <v>4.492375903686221</v>
      </c>
    </row>
    <row r="52" spans="1:27" x14ac:dyDescent="0.2">
      <c r="A52" s="1">
        <v>2020</v>
      </c>
      <c r="B52" s="3">
        <f>_xlfn.XLOOKUP(B$1,'[1]Table 2'!$B$55:$F$55,'[1]Table 2'!$B72:$F72)</f>
        <v>8.8300457429029109</v>
      </c>
      <c r="C52" s="3">
        <f>_xlfn.XLOOKUP(C$1,'[1]Table 2'!$B$55:$F$55,'[1]Table 2'!$B72:$F72)</f>
        <v>8.8300457429029109</v>
      </c>
      <c r="D52" s="3">
        <f>_xlfn.XLOOKUP(D$1,'[1]Table 2'!$B$55:$F$55,'[1]Table 2'!$B72:$F72)</f>
        <v>8.8300457429029109</v>
      </c>
      <c r="E52" s="3">
        <f>_xlfn.XLOOKUP(E$1,'[1]Table 2'!$B$55:$F$55,'[1]Table 2'!$B72:$F72)</f>
        <v>18.876844665689287</v>
      </c>
      <c r="F52" s="3">
        <f>_xlfn.XLOOKUP(F$1,'[1]Table 2'!$B$55:$F$55,'[1]Table 2'!$B72:$F72)</f>
        <v>3.3932714574186256</v>
      </c>
      <c r="G52" s="3">
        <f>_xlfn.XLOOKUP(G$1,'[1]Table 2'!$B$55:$F$55,'[1]Table 2'!$B72:$F72)</f>
        <v>18.876844665689287</v>
      </c>
      <c r="H52" s="3">
        <f>_xlfn.XLOOKUP(H$1,'[1]Table 2'!$B$55:$F$55,'[1]Table 2'!$B72:$F72)</f>
        <v>2.6690915113449605</v>
      </c>
      <c r="I52" s="3">
        <f>_xlfn.XLOOKUP(I$1,'[1]Table 2'!$B$55:$F$55,'[1]Table 2'!$B72:$F72)</f>
        <v>18.876844665689287</v>
      </c>
      <c r="J52" s="3">
        <f>_xlfn.XLOOKUP(J$1,'[1]Table 2'!$B$55:$F$55,'[1]Table 2'!$B72:$F72)</f>
        <v>18.876844665689287</v>
      </c>
      <c r="K52" s="3">
        <f>_xlfn.XLOOKUP(K$1,'[1]Table 2'!$B$55:$F$55,'[1]Table 2'!$B72:$F72)</f>
        <v>18.876844665689287</v>
      </c>
      <c r="L52" s="3">
        <f>_xlfn.XLOOKUP(L$1,'[1]Table 2'!$B$55:$F$55,'[1]Table 2'!$B72:$F72)</f>
        <v>18.876844665689287</v>
      </c>
      <c r="M52" s="3">
        <f>_xlfn.XLOOKUP(M$1,'[1]Table 2'!$B$55:$F$55,'[1]Table 2'!$B72:$F72)</f>
        <v>8.8300457429029109</v>
      </c>
      <c r="N52" s="3">
        <f>_xlfn.XLOOKUP(N$1,'[1]Table 2'!$B$55:$F$55,'[1]Table 2'!$B72:$F72)</f>
        <v>18.876844665689287</v>
      </c>
      <c r="O52" s="3">
        <f>_xlfn.XLOOKUP(O$1,'[1]Table 2'!$B$55:$F$55,'[1]Table 2'!$B72:$F72)</f>
        <v>2.6690915113449605</v>
      </c>
      <c r="P52" s="3">
        <f>_xlfn.XLOOKUP(P$1,'[1]Table 2'!$B$55:$F$55,'[1]Table 2'!$B72:$F72)</f>
        <v>18.876844665689287</v>
      </c>
      <c r="Q52" s="3">
        <f>_xlfn.XLOOKUP(Q$1,'[1]Table 2'!$B$55:$F$55,'[1]Table 2'!$B72:$F72)</f>
        <v>8.8300457429029109</v>
      </c>
      <c r="R52" s="3">
        <f>_xlfn.XLOOKUP(R$1,'[1]Table 2'!$B$55:$F$55,'[1]Table 2'!$B72:$F72)</f>
        <v>18.876844665689287</v>
      </c>
      <c r="S52" s="3">
        <f>_xlfn.XLOOKUP(S$1,'[1]Table 2'!$B$55:$F$55,'[1]Table 2'!$B72:$F72)</f>
        <v>2.6690915113449605</v>
      </c>
      <c r="T52" s="3">
        <f>_xlfn.XLOOKUP(T$1,'[1]Table 2'!$B$55:$F$55,'[1]Table 2'!$B72:$F72)</f>
        <v>30.663339372333585</v>
      </c>
      <c r="U52" s="3">
        <f>_xlfn.XLOOKUP(U$1,'[1]Table 2'!$B$55:$F$55,'[1]Table 2'!$B72:$F72)</f>
        <v>2.6690915113449605</v>
      </c>
      <c r="V52" s="3">
        <f>_xlfn.XLOOKUP(V$1,'[1]Table 2'!$B$55:$F$55,'[1]Table 2'!$B72:$F72)</f>
        <v>18.876844665689287</v>
      </c>
      <c r="W52" s="3">
        <f>_xlfn.XLOOKUP(W$1,'[1]Table 2'!$B$55:$F$55,'[1]Table 2'!$B72:$F72)</f>
        <v>3.3932714574186256</v>
      </c>
      <c r="X52" s="3">
        <f>_xlfn.XLOOKUP(X$1,'[1]Table 2'!$B$55:$F$55,'[1]Table 2'!$B72:$F72)</f>
        <v>8.8300457429029109</v>
      </c>
      <c r="Y52" s="3">
        <f>_xlfn.XLOOKUP(Y$1,'[1]Table 2'!$B$55:$F$55,'[1]Table 2'!$B72:$F72)</f>
        <v>3.3932714574186256</v>
      </c>
      <c r="Z52" s="3">
        <f>_xlfn.XLOOKUP(Z$1,'[1]Table 2'!$B$55:$F$55,'[1]Table 2'!$B72:$F72)</f>
        <v>2.6690915113449605</v>
      </c>
      <c r="AA52" s="3">
        <f>_xlfn.XLOOKUP(AA$1,'[1]Table 2'!$B$55:$F$55,'[1]Table 2'!$B72:$F72)</f>
        <v>3.3932714574186256</v>
      </c>
    </row>
    <row r="53" spans="1:27" x14ac:dyDescent="0.2">
      <c r="A53" s="1">
        <v>2021</v>
      </c>
      <c r="B53" s="3">
        <f>_xlfn.XLOOKUP(B$1,'[1]Table 2'!$B$55:$F$55,'[1]Table 2'!$B73:$F73)</f>
        <v>9.3519555190128809</v>
      </c>
      <c r="C53" s="3">
        <f>_xlfn.XLOOKUP(C$1,'[1]Table 2'!$B$55:$F$55,'[1]Table 2'!$B73:$F73)</f>
        <v>9.3519555190128809</v>
      </c>
      <c r="D53" s="3">
        <f>_xlfn.XLOOKUP(D$1,'[1]Table 2'!$B$55:$F$55,'[1]Table 2'!$B73:$F73)</f>
        <v>9.3519555190128809</v>
      </c>
      <c r="E53" s="3">
        <f>_xlfn.XLOOKUP(E$1,'[1]Table 2'!$B$55:$F$55,'[1]Table 2'!$B73:$F73)</f>
        <v>17.840608871330534</v>
      </c>
      <c r="F53" s="3">
        <f>_xlfn.XLOOKUP(F$1,'[1]Table 2'!$B$55:$F$55,'[1]Table 2'!$B73:$F73)</f>
        <v>3.6975899147200595</v>
      </c>
      <c r="G53" s="3">
        <f>_xlfn.XLOOKUP(G$1,'[1]Table 2'!$B$55:$F$55,'[1]Table 2'!$B73:$F73)</f>
        <v>17.840608871330534</v>
      </c>
      <c r="H53" s="3">
        <f>_xlfn.XLOOKUP(H$1,'[1]Table 2'!$B$55:$F$55,'[1]Table 2'!$B73:$F73)</f>
        <v>2.4807562457798786</v>
      </c>
      <c r="I53" s="3">
        <f>_xlfn.XLOOKUP(I$1,'[1]Table 2'!$B$55:$F$55,'[1]Table 2'!$B73:$F73)</f>
        <v>17.840608871330534</v>
      </c>
      <c r="J53" s="3">
        <f>_xlfn.XLOOKUP(J$1,'[1]Table 2'!$B$55:$F$55,'[1]Table 2'!$B73:$F73)</f>
        <v>17.840608871330534</v>
      </c>
      <c r="K53" s="3">
        <f>_xlfn.XLOOKUP(K$1,'[1]Table 2'!$B$55:$F$55,'[1]Table 2'!$B73:$F73)</f>
        <v>17.840608871330534</v>
      </c>
      <c r="L53" s="3">
        <f>_xlfn.XLOOKUP(L$1,'[1]Table 2'!$B$55:$F$55,'[1]Table 2'!$B73:$F73)</f>
        <v>17.840608871330534</v>
      </c>
      <c r="M53" s="3">
        <f>_xlfn.XLOOKUP(M$1,'[1]Table 2'!$B$55:$F$55,'[1]Table 2'!$B73:$F73)</f>
        <v>9.3519555190128809</v>
      </c>
      <c r="N53" s="3">
        <f>_xlfn.XLOOKUP(N$1,'[1]Table 2'!$B$55:$F$55,'[1]Table 2'!$B73:$F73)</f>
        <v>17.840608871330534</v>
      </c>
      <c r="O53" s="3">
        <f>_xlfn.XLOOKUP(O$1,'[1]Table 2'!$B$55:$F$55,'[1]Table 2'!$B73:$F73)</f>
        <v>2.4807562457798786</v>
      </c>
      <c r="P53" s="3">
        <f>_xlfn.XLOOKUP(P$1,'[1]Table 2'!$B$55:$F$55,'[1]Table 2'!$B73:$F73)</f>
        <v>17.840608871330534</v>
      </c>
      <c r="Q53" s="3">
        <f>_xlfn.XLOOKUP(Q$1,'[1]Table 2'!$B$55:$F$55,'[1]Table 2'!$B73:$F73)</f>
        <v>9.3519555190128809</v>
      </c>
      <c r="R53" s="3">
        <f>_xlfn.XLOOKUP(R$1,'[1]Table 2'!$B$55:$F$55,'[1]Table 2'!$B73:$F73)</f>
        <v>17.840608871330534</v>
      </c>
      <c r="S53" s="3">
        <f>_xlfn.XLOOKUP(S$1,'[1]Table 2'!$B$55:$F$55,'[1]Table 2'!$B73:$F73)</f>
        <v>2.4807562457798786</v>
      </c>
      <c r="T53" s="3">
        <f>_xlfn.XLOOKUP(T$1,'[1]Table 2'!$B$55:$F$55,'[1]Table 2'!$B73:$F73)</f>
        <v>32.053785186570657</v>
      </c>
      <c r="U53" s="3">
        <f>_xlfn.XLOOKUP(U$1,'[1]Table 2'!$B$55:$F$55,'[1]Table 2'!$B73:$F73)</f>
        <v>2.4807562457798786</v>
      </c>
      <c r="V53" s="3">
        <f>_xlfn.XLOOKUP(V$1,'[1]Table 2'!$B$55:$F$55,'[1]Table 2'!$B73:$F73)</f>
        <v>17.840608871330534</v>
      </c>
      <c r="W53" s="3">
        <f>_xlfn.XLOOKUP(W$1,'[1]Table 2'!$B$55:$F$55,'[1]Table 2'!$B73:$F73)</f>
        <v>3.6975899147200595</v>
      </c>
      <c r="X53" s="3">
        <f>_xlfn.XLOOKUP(X$1,'[1]Table 2'!$B$55:$F$55,'[1]Table 2'!$B73:$F73)</f>
        <v>9.3519555190128809</v>
      </c>
      <c r="Y53" s="3">
        <f>_xlfn.XLOOKUP(Y$1,'[1]Table 2'!$B$55:$F$55,'[1]Table 2'!$B73:$F73)</f>
        <v>3.6975899147200595</v>
      </c>
      <c r="Z53" s="3">
        <f>_xlfn.XLOOKUP(Z$1,'[1]Table 2'!$B$55:$F$55,'[1]Table 2'!$B73:$F73)</f>
        <v>2.4807562457798786</v>
      </c>
      <c r="AA53" s="3">
        <f>_xlfn.XLOOKUP(AA$1,'[1]Table 2'!$B$55:$F$55,'[1]Table 2'!$B73:$F73)</f>
        <v>3.6975899147200595</v>
      </c>
    </row>
    <row r="54" spans="1:27" x14ac:dyDescent="0.2">
      <c r="A54" s="1">
        <v>2022</v>
      </c>
      <c r="B54" s="3">
        <f>_xlfn.XLOOKUP(B$1,'[1]Table 2'!$B$55:$F$55,'[1]Table 2'!$B74:$F74)</f>
        <v>9.2929593960723835</v>
      </c>
      <c r="C54" s="3">
        <f>_xlfn.XLOOKUP(C$1,'[1]Table 2'!$B$55:$F$55,'[1]Table 2'!$B74:$F74)</f>
        <v>9.2929593960723835</v>
      </c>
      <c r="D54" s="3">
        <f>_xlfn.XLOOKUP(D$1,'[1]Table 2'!$B$55:$F$55,'[1]Table 2'!$B74:$F74)</f>
        <v>9.2929593960723835</v>
      </c>
      <c r="E54" s="3">
        <f>_xlfn.XLOOKUP(E$1,'[1]Table 2'!$B$55:$F$55,'[1]Table 2'!$B74:$F74)</f>
        <v>19.191807906560786</v>
      </c>
      <c r="F54" s="3">
        <f>_xlfn.XLOOKUP(F$1,'[1]Table 2'!$B$55:$F$55,'[1]Table 2'!$B74:$F74)</f>
        <v>3.9427651450811259</v>
      </c>
      <c r="G54" s="3">
        <f>_xlfn.XLOOKUP(G$1,'[1]Table 2'!$B$55:$F$55,'[1]Table 2'!$B74:$F74)</f>
        <v>19.191807906560786</v>
      </c>
      <c r="H54" s="3">
        <f>_xlfn.XLOOKUP(H$1,'[1]Table 2'!$B$55:$F$55,'[1]Table 2'!$B74:$F74)</f>
        <v>2.5993678438142629</v>
      </c>
      <c r="I54" s="3">
        <f>_xlfn.XLOOKUP(I$1,'[1]Table 2'!$B$55:$F$55,'[1]Table 2'!$B74:$F74)</f>
        <v>19.191807906560786</v>
      </c>
      <c r="J54" s="3">
        <f>_xlfn.XLOOKUP(J$1,'[1]Table 2'!$B$55:$F$55,'[1]Table 2'!$B74:$F74)</f>
        <v>19.191807906560786</v>
      </c>
      <c r="K54" s="3">
        <f>_xlfn.XLOOKUP(K$1,'[1]Table 2'!$B$55:$F$55,'[1]Table 2'!$B74:$F74)</f>
        <v>19.191807906560786</v>
      </c>
      <c r="L54" s="3">
        <f>_xlfn.XLOOKUP(L$1,'[1]Table 2'!$B$55:$F$55,'[1]Table 2'!$B74:$F74)</f>
        <v>19.191807906560786</v>
      </c>
      <c r="M54" s="3">
        <f>_xlfn.XLOOKUP(M$1,'[1]Table 2'!$B$55:$F$55,'[1]Table 2'!$B74:$F74)</f>
        <v>9.2929593960723835</v>
      </c>
      <c r="N54" s="3">
        <f>_xlfn.XLOOKUP(N$1,'[1]Table 2'!$B$55:$F$55,'[1]Table 2'!$B74:$F74)</f>
        <v>19.191807906560786</v>
      </c>
      <c r="O54" s="3">
        <f>_xlfn.XLOOKUP(O$1,'[1]Table 2'!$B$55:$F$55,'[1]Table 2'!$B74:$F74)</f>
        <v>2.5993678438142629</v>
      </c>
      <c r="P54" s="3">
        <f>_xlfn.XLOOKUP(P$1,'[1]Table 2'!$B$55:$F$55,'[1]Table 2'!$B74:$F74)</f>
        <v>19.191807906560786</v>
      </c>
      <c r="Q54" s="3">
        <f>_xlfn.XLOOKUP(Q$1,'[1]Table 2'!$B$55:$F$55,'[1]Table 2'!$B74:$F74)</f>
        <v>9.2929593960723835</v>
      </c>
      <c r="R54" s="3">
        <f>_xlfn.XLOOKUP(R$1,'[1]Table 2'!$B$55:$F$55,'[1]Table 2'!$B74:$F74)</f>
        <v>19.191807906560786</v>
      </c>
      <c r="S54" s="3">
        <f>_xlfn.XLOOKUP(S$1,'[1]Table 2'!$B$55:$F$55,'[1]Table 2'!$B74:$F74)</f>
        <v>2.5993678438142629</v>
      </c>
      <c r="T54" s="3">
        <f>_xlfn.XLOOKUP(T$1,'[1]Table 2'!$B$55:$F$55,'[1]Table 2'!$B74:$F74)</f>
        <v>32.256113812774714</v>
      </c>
      <c r="U54" s="3">
        <f>_xlfn.XLOOKUP(U$1,'[1]Table 2'!$B$55:$F$55,'[1]Table 2'!$B74:$F74)</f>
        <v>2.5993678438142629</v>
      </c>
      <c r="V54" s="3">
        <f>_xlfn.XLOOKUP(V$1,'[1]Table 2'!$B$55:$F$55,'[1]Table 2'!$B74:$F74)</f>
        <v>19.191807906560786</v>
      </c>
      <c r="W54" s="3">
        <f>_xlfn.XLOOKUP(W$1,'[1]Table 2'!$B$55:$F$55,'[1]Table 2'!$B74:$F74)</f>
        <v>3.9427651450811259</v>
      </c>
      <c r="X54" s="3">
        <f>_xlfn.XLOOKUP(X$1,'[1]Table 2'!$B$55:$F$55,'[1]Table 2'!$B74:$F74)</f>
        <v>9.2929593960723835</v>
      </c>
      <c r="Y54" s="3">
        <f>_xlfn.XLOOKUP(Y$1,'[1]Table 2'!$B$55:$F$55,'[1]Table 2'!$B74:$F74)</f>
        <v>3.9427651450811259</v>
      </c>
      <c r="Z54" s="3">
        <f>_xlfn.XLOOKUP(Z$1,'[1]Table 2'!$B$55:$F$55,'[1]Table 2'!$B74:$F74)</f>
        <v>2.5993678438142629</v>
      </c>
      <c r="AA54" s="3">
        <f>_xlfn.XLOOKUP(AA$1,'[1]Table 2'!$B$55:$F$55,'[1]Table 2'!$B74:$F74)</f>
        <v>3.9427651450811259</v>
      </c>
    </row>
    <row r="55" spans="1:27" x14ac:dyDescent="0.2">
      <c r="A55" s="1">
        <v>2023</v>
      </c>
      <c r="B55" s="3">
        <f>B54*(1+(_xlfn.XLOOKUP(B$1,'[1]Table 2'!$H$55:$L$55,'[1]Table 2'!$H$56:$L$56)))</f>
        <v>9.3645595356405131</v>
      </c>
      <c r="C55" s="3">
        <f>C54*(1+(_xlfn.XLOOKUP(C$1,'[1]Table 2'!$H$55:$L$55,'[1]Table 2'!$H$56:$L$56)))</f>
        <v>9.3645595356405131</v>
      </c>
      <c r="D55" s="3">
        <f>D54*(1+(_xlfn.XLOOKUP(D$1,'[1]Table 2'!$H$55:$L$55,'[1]Table 2'!$H$56:$L$56)))</f>
        <v>9.3645595356405131</v>
      </c>
      <c r="E55" s="3">
        <f>E54*(1+(_xlfn.XLOOKUP(E$1,'[1]Table 2'!$H$55:$L$55,'[1]Table 2'!$H$56:$L$56)))</f>
        <v>19.36521284322594</v>
      </c>
      <c r="F55" s="3">
        <f>F54*(1+(_xlfn.XLOOKUP(F$1,'[1]Table 2'!$H$55:$L$55,'[1]Table 2'!$H$56:$L$56)))</f>
        <v>3.9442685200829546</v>
      </c>
      <c r="G55" s="3">
        <f>G54*(1+(_xlfn.XLOOKUP(G$1,'[1]Table 2'!$H$55:$L$55,'[1]Table 2'!$H$56:$L$56)))</f>
        <v>19.36521284322594</v>
      </c>
      <c r="H55" s="3">
        <f>H54*(1+(_xlfn.XLOOKUP(H$1,'[1]Table 2'!$H$55:$L$55,'[1]Table 2'!$H$56:$L$56)))</f>
        <v>2.5977702829560325</v>
      </c>
      <c r="I55" s="3">
        <f>I54*(1+(_xlfn.XLOOKUP(I$1,'[1]Table 2'!$H$55:$L$55,'[1]Table 2'!$H$56:$L$56)))</f>
        <v>19.36521284322594</v>
      </c>
      <c r="J55" s="3">
        <f>J54*(1+(_xlfn.XLOOKUP(J$1,'[1]Table 2'!$H$55:$L$55,'[1]Table 2'!$H$56:$L$56)))</f>
        <v>19.36521284322594</v>
      </c>
      <c r="K55" s="3">
        <f>K54*(1+(_xlfn.XLOOKUP(K$1,'[1]Table 2'!$H$55:$L$55,'[1]Table 2'!$H$56:$L$56)))</f>
        <v>19.36521284322594</v>
      </c>
      <c r="L55" s="3">
        <f>L54*(1+(_xlfn.XLOOKUP(L$1,'[1]Table 2'!$H$55:$L$55,'[1]Table 2'!$H$56:$L$56)))</f>
        <v>19.36521284322594</v>
      </c>
      <c r="M55" s="3">
        <f>M54*(1+(_xlfn.XLOOKUP(M$1,'[1]Table 2'!$H$55:$L$55,'[1]Table 2'!$H$56:$L$56)))</f>
        <v>9.3645595356405131</v>
      </c>
      <c r="N55" s="3">
        <f>N54*(1+(_xlfn.XLOOKUP(N$1,'[1]Table 2'!$H$55:$L$55,'[1]Table 2'!$H$56:$L$56)))</f>
        <v>19.36521284322594</v>
      </c>
      <c r="O55" s="3">
        <f>O54*(1+(_xlfn.XLOOKUP(O$1,'[1]Table 2'!$H$55:$L$55,'[1]Table 2'!$H$56:$L$56)))</f>
        <v>2.5977702829560325</v>
      </c>
      <c r="P55" s="3">
        <f>P54*(1+(_xlfn.XLOOKUP(P$1,'[1]Table 2'!$H$55:$L$55,'[1]Table 2'!$H$56:$L$56)))</f>
        <v>19.36521284322594</v>
      </c>
      <c r="Q55" s="3">
        <f>Q54*(1+(_xlfn.XLOOKUP(Q$1,'[1]Table 2'!$H$55:$L$55,'[1]Table 2'!$H$56:$L$56)))</f>
        <v>9.3645595356405131</v>
      </c>
      <c r="R55" s="3">
        <f>R54*(1+(_xlfn.XLOOKUP(R$1,'[1]Table 2'!$H$55:$L$55,'[1]Table 2'!$H$56:$L$56)))</f>
        <v>19.36521284322594</v>
      </c>
      <c r="S55" s="3">
        <f>S54*(1+(_xlfn.XLOOKUP(S$1,'[1]Table 2'!$H$55:$L$55,'[1]Table 2'!$H$56:$L$56)))</f>
        <v>2.5977702829560325</v>
      </c>
      <c r="T55" s="3">
        <f>T54*(1+(_xlfn.XLOOKUP(T$1,'[1]Table 2'!$H$55:$L$55,'[1]Table 2'!$H$56:$L$56)))</f>
        <v>32.898657502522617</v>
      </c>
      <c r="U55" s="3">
        <f>U54*(1+(_xlfn.XLOOKUP(U$1,'[1]Table 2'!$H$55:$L$55,'[1]Table 2'!$H$56:$L$56)))</f>
        <v>2.5977702829560325</v>
      </c>
      <c r="V55" s="3">
        <f>V54*(1+(_xlfn.XLOOKUP(V$1,'[1]Table 2'!$H$55:$L$55,'[1]Table 2'!$H$56:$L$56)))</f>
        <v>19.36521284322594</v>
      </c>
      <c r="W55" s="3">
        <f>W54*(1+(_xlfn.XLOOKUP(W$1,'[1]Table 2'!$H$55:$L$55,'[1]Table 2'!$H$56:$L$56)))</f>
        <v>3.9442685200829546</v>
      </c>
      <c r="X55" s="3">
        <f>X54*(1+(_xlfn.XLOOKUP(X$1,'[1]Table 2'!$H$55:$L$55,'[1]Table 2'!$H$56:$L$56)))</f>
        <v>9.3645595356405131</v>
      </c>
      <c r="Y55" s="3">
        <f>Y54*(1+(_xlfn.XLOOKUP(Y$1,'[1]Table 2'!$H$55:$L$55,'[1]Table 2'!$H$56:$L$56)))</f>
        <v>3.9442685200829546</v>
      </c>
      <c r="Z55" s="3">
        <f>Z54*(1+(_xlfn.XLOOKUP(Z$1,'[1]Table 2'!$H$55:$L$55,'[1]Table 2'!$H$56:$L$56)))</f>
        <v>2.5977702829560325</v>
      </c>
      <c r="AA55" s="3">
        <f>AA54*(1+(_xlfn.XLOOKUP(AA$1,'[1]Table 2'!$H$55:$L$55,'[1]Table 2'!$H$56:$L$56)))</f>
        <v>3.9442685200829546</v>
      </c>
    </row>
    <row r="56" spans="1:27" x14ac:dyDescent="0.2">
      <c r="A56" s="1">
        <v>2024</v>
      </c>
      <c r="B56" s="3">
        <f>B55*(1+(_xlfn.XLOOKUP(B$1,'[1]Table 2'!$H$55:$L$55,'[1]Table 2'!$H$56:$L$56)))</f>
        <v>9.4367113380070773</v>
      </c>
      <c r="C56" s="3">
        <f>C55*(1+(_xlfn.XLOOKUP(C$1,'[1]Table 2'!$H$55:$L$55,'[1]Table 2'!$H$56:$L$56)))</f>
        <v>9.4367113380070773</v>
      </c>
      <c r="D56" s="3">
        <f>D55*(1+(_xlfn.XLOOKUP(D$1,'[1]Table 2'!$H$55:$L$55,'[1]Table 2'!$H$56:$L$56)))</f>
        <v>9.4367113380070773</v>
      </c>
      <c r="E56" s="3">
        <f>E55*(1+(_xlfn.XLOOKUP(E$1,'[1]Table 2'!$H$55:$L$55,'[1]Table 2'!$H$56:$L$56)))</f>
        <v>19.540184556309775</v>
      </c>
      <c r="F56" s="3">
        <f>F55*(1+(_xlfn.XLOOKUP(F$1,'[1]Table 2'!$H$55:$L$55,'[1]Table 2'!$H$56:$L$56)))</f>
        <v>3.9457724683211572</v>
      </c>
      <c r="G56" s="3">
        <f>G55*(1+(_xlfn.XLOOKUP(G$1,'[1]Table 2'!$H$55:$L$55,'[1]Table 2'!$H$56:$L$56)))</f>
        <v>19.540184556309775</v>
      </c>
      <c r="H56" s="3">
        <f>H55*(1+(_xlfn.XLOOKUP(H$1,'[1]Table 2'!$H$55:$L$55,'[1]Table 2'!$H$56:$L$56)))</f>
        <v>2.5961737039521795</v>
      </c>
      <c r="I56" s="3">
        <f>I55*(1+(_xlfn.XLOOKUP(I$1,'[1]Table 2'!$H$55:$L$55,'[1]Table 2'!$H$56:$L$56)))</f>
        <v>19.540184556309775</v>
      </c>
      <c r="J56" s="3">
        <f>J55*(1+(_xlfn.XLOOKUP(J$1,'[1]Table 2'!$H$55:$L$55,'[1]Table 2'!$H$56:$L$56)))</f>
        <v>19.540184556309775</v>
      </c>
      <c r="K56" s="3">
        <f>K55*(1+(_xlfn.XLOOKUP(K$1,'[1]Table 2'!$H$55:$L$55,'[1]Table 2'!$H$56:$L$56)))</f>
        <v>19.540184556309775</v>
      </c>
      <c r="L56" s="3">
        <f>L55*(1+(_xlfn.XLOOKUP(L$1,'[1]Table 2'!$H$55:$L$55,'[1]Table 2'!$H$56:$L$56)))</f>
        <v>19.540184556309775</v>
      </c>
      <c r="M56" s="3">
        <f>M55*(1+(_xlfn.XLOOKUP(M$1,'[1]Table 2'!$H$55:$L$55,'[1]Table 2'!$H$56:$L$56)))</f>
        <v>9.4367113380070773</v>
      </c>
      <c r="N56" s="3">
        <f>N55*(1+(_xlfn.XLOOKUP(N$1,'[1]Table 2'!$H$55:$L$55,'[1]Table 2'!$H$56:$L$56)))</f>
        <v>19.540184556309775</v>
      </c>
      <c r="O56" s="3">
        <f>O55*(1+(_xlfn.XLOOKUP(O$1,'[1]Table 2'!$H$55:$L$55,'[1]Table 2'!$H$56:$L$56)))</f>
        <v>2.5961737039521795</v>
      </c>
      <c r="P56" s="3">
        <f>P55*(1+(_xlfn.XLOOKUP(P$1,'[1]Table 2'!$H$55:$L$55,'[1]Table 2'!$H$56:$L$56)))</f>
        <v>19.540184556309775</v>
      </c>
      <c r="Q56" s="3">
        <f>Q55*(1+(_xlfn.XLOOKUP(Q$1,'[1]Table 2'!$H$55:$L$55,'[1]Table 2'!$H$56:$L$56)))</f>
        <v>9.4367113380070773</v>
      </c>
      <c r="R56" s="3">
        <f>R55*(1+(_xlfn.XLOOKUP(R$1,'[1]Table 2'!$H$55:$L$55,'[1]Table 2'!$H$56:$L$56)))</f>
        <v>19.540184556309775</v>
      </c>
      <c r="S56" s="3">
        <f>S55*(1+(_xlfn.XLOOKUP(S$1,'[1]Table 2'!$H$55:$L$55,'[1]Table 2'!$H$56:$L$56)))</f>
        <v>2.5961737039521795</v>
      </c>
      <c r="T56" s="3">
        <f>T55*(1+(_xlfn.XLOOKUP(T$1,'[1]Table 2'!$H$55:$L$55,'[1]Table 2'!$H$56:$L$56)))</f>
        <v>33.554000700470155</v>
      </c>
      <c r="U56" s="3">
        <f>U55*(1+(_xlfn.XLOOKUP(U$1,'[1]Table 2'!$H$55:$L$55,'[1]Table 2'!$H$56:$L$56)))</f>
        <v>2.5961737039521795</v>
      </c>
      <c r="V56" s="3">
        <f>V55*(1+(_xlfn.XLOOKUP(V$1,'[1]Table 2'!$H$55:$L$55,'[1]Table 2'!$H$56:$L$56)))</f>
        <v>19.540184556309775</v>
      </c>
      <c r="W56" s="3">
        <f>W55*(1+(_xlfn.XLOOKUP(W$1,'[1]Table 2'!$H$55:$L$55,'[1]Table 2'!$H$56:$L$56)))</f>
        <v>3.9457724683211572</v>
      </c>
      <c r="X56" s="3">
        <f>X55*(1+(_xlfn.XLOOKUP(X$1,'[1]Table 2'!$H$55:$L$55,'[1]Table 2'!$H$56:$L$56)))</f>
        <v>9.4367113380070773</v>
      </c>
      <c r="Y56" s="3">
        <f>Y55*(1+(_xlfn.XLOOKUP(Y$1,'[1]Table 2'!$H$55:$L$55,'[1]Table 2'!$H$56:$L$56)))</f>
        <v>3.9457724683211572</v>
      </c>
      <c r="Z56" s="3">
        <f>Z55*(1+(_xlfn.XLOOKUP(Z$1,'[1]Table 2'!$H$55:$L$55,'[1]Table 2'!$H$56:$L$56)))</f>
        <v>2.5961737039521795</v>
      </c>
      <c r="AA56" s="3">
        <f>AA55*(1+(_xlfn.XLOOKUP(AA$1,'[1]Table 2'!$H$55:$L$55,'[1]Table 2'!$H$56:$L$56)))</f>
        <v>3.9457724683211572</v>
      </c>
    </row>
    <row r="57" spans="1:27" x14ac:dyDescent="0.2">
      <c r="A57" s="1">
        <v>2025</v>
      </c>
      <c r="B57" s="3">
        <f>B56*(1+(_xlfn.XLOOKUP(B$1,'[1]Table 2'!$H$55:$L$55,'[1]Table 2'!$H$56:$L$56)))</f>
        <v>9.5094190536085268</v>
      </c>
      <c r="C57" s="3">
        <f>C56*(1+(_xlfn.XLOOKUP(C$1,'[1]Table 2'!$H$55:$L$55,'[1]Table 2'!$H$56:$L$56)))</f>
        <v>9.5094190536085268</v>
      </c>
      <c r="D57" s="3">
        <f>D56*(1+(_xlfn.XLOOKUP(D$1,'[1]Table 2'!$H$55:$L$55,'[1]Table 2'!$H$56:$L$56)))</f>
        <v>9.5094190536085268</v>
      </c>
      <c r="E57" s="3">
        <f>E56*(1+(_xlfn.XLOOKUP(E$1,'[1]Table 2'!$H$55:$L$55,'[1]Table 2'!$H$56:$L$56)))</f>
        <v>19.716737202204797</v>
      </c>
      <c r="F57" s="3">
        <f>F56*(1+(_xlfn.XLOOKUP(F$1,'[1]Table 2'!$H$55:$L$55,'[1]Table 2'!$H$56:$L$56)))</f>
        <v>3.9472769900143092</v>
      </c>
      <c r="G57" s="3">
        <f>G56*(1+(_xlfn.XLOOKUP(G$1,'[1]Table 2'!$H$55:$L$55,'[1]Table 2'!$H$56:$L$56)))</f>
        <v>19.716737202204797</v>
      </c>
      <c r="H57" s="3">
        <f>H56*(1+(_xlfn.XLOOKUP(H$1,'[1]Table 2'!$H$55:$L$55,'[1]Table 2'!$H$56:$L$56)))</f>
        <v>2.5945781061992599</v>
      </c>
      <c r="I57" s="3">
        <f>I56*(1+(_xlfn.XLOOKUP(I$1,'[1]Table 2'!$H$55:$L$55,'[1]Table 2'!$H$56:$L$56)))</f>
        <v>19.716737202204797</v>
      </c>
      <c r="J57" s="3">
        <f>J56*(1+(_xlfn.XLOOKUP(J$1,'[1]Table 2'!$H$55:$L$55,'[1]Table 2'!$H$56:$L$56)))</f>
        <v>19.716737202204797</v>
      </c>
      <c r="K57" s="3">
        <f>K56*(1+(_xlfn.XLOOKUP(K$1,'[1]Table 2'!$H$55:$L$55,'[1]Table 2'!$H$56:$L$56)))</f>
        <v>19.716737202204797</v>
      </c>
      <c r="L57" s="3">
        <f>L56*(1+(_xlfn.XLOOKUP(L$1,'[1]Table 2'!$H$55:$L$55,'[1]Table 2'!$H$56:$L$56)))</f>
        <v>19.716737202204797</v>
      </c>
      <c r="M57" s="3">
        <f>M56*(1+(_xlfn.XLOOKUP(M$1,'[1]Table 2'!$H$55:$L$55,'[1]Table 2'!$H$56:$L$56)))</f>
        <v>9.5094190536085268</v>
      </c>
      <c r="N57" s="3">
        <f>N56*(1+(_xlfn.XLOOKUP(N$1,'[1]Table 2'!$H$55:$L$55,'[1]Table 2'!$H$56:$L$56)))</f>
        <v>19.716737202204797</v>
      </c>
      <c r="O57" s="3">
        <f>O56*(1+(_xlfn.XLOOKUP(O$1,'[1]Table 2'!$H$55:$L$55,'[1]Table 2'!$H$56:$L$56)))</f>
        <v>2.5945781061992599</v>
      </c>
      <c r="P57" s="3">
        <f>P56*(1+(_xlfn.XLOOKUP(P$1,'[1]Table 2'!$H$55:$L$55,'[1]Table 2'!$H$56:$L$56)))</f>
        <v>19.716737202204797</v>
      </c>
      <c r="Q57" s="3">
        <f>Q56*(1+(_xlfn.XLOOKUP(Q$1,'[1]Table 2'!$H$55:$L$55,'[1]Table 2'!$H$56:$L$56)))</f>
        <v>9.5094190536085268</v>
      </c>
      <c r="R57" s="3">
        <f>R56*(1+(_xlfn.XLOOKUP(R$1,'[1]Table 2'!$H$55:$L$55,'[1]Table 2'!$H$56:$L$56)))</f>
        <v>19.716737202204797</v>
      </c>
      <c r="S57" s="3">
        <f>S56*(1+(_xlfn.XLOOKUP(S$1,'[1]Table 2'!$H$55:$L$55,'[1]Table 2'!$H$56:$L$56)))</f>
        <v>2.5945781061992599</v>
      </c>
      <c r="T57" s="3">
        <f>T56*(1+(_xlfn.XLOOKUP(T$1,'[1]Table 2'!$H$55:$L$55,'[1]Table 2'!$H$56:$L$56)))</f>
        <v>34.222398373575629</v>
      </c>
      <c r="U57" s="3">
        <f>U56*(1+(_xlfn.XLOOKUP(U$1,'[1]Table 2'!$H$55:$L$55,'[1]Table 2'!$H$56:$L$56)))</f>
        <v>2.5945781061992599</v>
      </c>
      <c r="V57" s="3">
        <f>V56*(1+(_xlfn.XLOOKUP(V$1,'[1]Table 2'!$H$55:$L$55,'[1]Table 2'!$H$56:$L$56)))</f>
        <v>19.716737202204797</v>
      </c>
      <c r="W57" s="3">
        <f>W56*(1+(_xlfn.XLOOKUP(W$1,'[1]Table 2'!$H$55:$L$55,'[1]Table 2'!$H$56:$L$56)))</f>
        <v>3.9472769900143092</v>
      </c>
      <c r="X57" s="3">
        <f>X56*(1+(_xlfn.XLOOKUP(X$1,'[1]Table 2'!$H$55:$L$55,'[1]Table 2'!$H$56:$L$56)))</f>
        <v>9.5094190536085268</v>
      </c>
      <c r="Y57" s="3">
        <f>Y56*(1+(_xlfn.XLOOKUP(Y$1,'[1]Table 2'!$H$55:$L$55,'[1]Table 2'!$H$56:$L$56)))</f>
        <v>3.9472769900143092</v>
      </c>
      <c r="Z57" s="3">
        <f>Z56*(1+(_xlfn.XLOOKUP(Z$1,'[1]Table 2'!$H$55:$L$55,'[1]Table 2'!$H$56:$L$56)))</f>
        <v>2.5945781061992599</v>
      </c>
      <c r="AA57" s="3">
        <f>AA56*(1+(_xlfn.XLOOKUP(AA$1,'[1]Table 2'!$H$55:$L$55,'[1]Table 2'!$H$56:$L$56)))</f>
        <v>3.9472769900143092</v>
      </c>
    </row>
    <row r="58" spans="1:27" x14ac:dyDescent="0.2">
      <c r="A58" s="1">
        <v>2026</v>
      </c>
      <c r="B58" s="3">
        <f>B57*(1+(_xlfn.XLOOKUP(B$1,'[1]Table 2'!$H$55:$L$55,'[1]Table 2'!$H$56:$L$56)))</f>
        <v>9.5826869656299625</v>
      </c>
      <c r="C58" s="3">
        <f>C57*(1+(_xlfn.XLOOKUP(C$1,'[1]Table 2'!$H$55:$L$55,'[1]Table 2'!$H$56:$L$56)))</f>
        <v>9.5826869656299625</v>
      </c>
      <c r="D58" s="3">
        <f>D57*(1+(_xlfn.XLOOKUP(D$1,'[1]Table 2'!$H$55:$L$55,'[1]Table 2'!$H$56:$L$56)))</f>
        <v>9.5826869656299625</v>
      </c>
      <c r="E58" s="3">
        <f>E57*(1+(_xlfn.XLOOKUP(E$1,'[1]Table 2'!$H$55:$L$55,'[1]Table 2'!$H$56:$L$56)))</f>
        <v>19.89488506521165</v>
      </c>
      <c r="F58" s="3">
        <f>F57*(1+(_xlfn.XLOOKUP(F$1,'[1]Table 2'!$H$55:$L$55,'[1]Table 2'!$H$56:$L$56)))</f>
        <v>3.9487820853810685</v>
      </c>
      <c r="G58" s="3">
        <f>G57*(1+(_xlfn.XLOOKUP(G$1,'[1]Table 2'!$H$55:$L$55,'[1]Table 2'!$H$56:$L$56)))</f>
        <v>19.89488506521165</v>
      </c>
      <c r="H58" s="3">
        <f>H57*(1+(_xlfn.XLOOKUP(H$1,'[1]Table 2'!$H$55:$L$55,'[1]Table 2'!$H$56:$L$56)))</f>
        <v>2.5929834890942014</v>
      </c>
      <c r="I58" s="3">
        <f>I57*(1+(_xlfn.XLOOKUP(I$1,'[1]Table 2'!$H$55:$L$55,'[1]Table 2'!$H$56:$L$56)))</f>
        <v>19.89488506521165</v>
      </c>
      <c r="J58" s="3">
        <f>J57*(1+(_xlfn.XLOOKUP(J$1,'[1]Table 2'!$H$55:$L$55,'[1]Table 2'!$H$56:$L$56)))</f>
        <v>19.89488506521165</v>
      </c>
      <c r="K58" s="3">
        <f>K57*(1+(_xlfn.XLOOKUP(K$1,'[1]Table 2'!$H$55:$L$55,'[1]Table 2'!$H$56:$L$56)))</f>
        <v>19.89488506521165</v>
      </c>
      <c r="L58" s="3">
        <f>L57*(1+(_xlfn.XLOOKUP(L$1,'[1]Table 2'!$H$55:$L$55,'[1]Table 2'!$H$56:$L$56)))</f>
        <v>19.89488506521165</v>
      </c>
      <c r="M58" s="3">
        <f>M57*(1+(_xlfn.XLOOKUP(M$1,'[1]Table 2'!$H$55:$L$55,'[1]Table 2'!$H$56:$L$56)))</f>
        <v>9.5826869656299625</v>
      </c>
      <c r="N58" s="3">
        <f>N57*(1+(_xlfn.XLOOKUP(N$1,'[1]Table 2'!$H$55:$L$55,'[1]Table 2'!$H$56:$L$56)))</f>
        <v>19.89488506521165</v>
      </c>
      <c r="O58" s="3">
        <f>O57*(1+(_xlfn.XLOOKUP(O$1,'[1]Table 2'!$H$55:$L$55,'[1]Table 2'!$H$56:$L$56)))</f>
        <v>2.5929834890942014</v>
      </c>
      <c r="P58" s="3">
        <f>P57*(1+(_xlfn.XLOOKUP(P$1,'[1]Table 2'!$H$55:$L$55,'[1]Table 2'!$H$56:$L$56)))</f>
        <v>19.89488506521165</v>
      </c>
      <c r="Q58" s="3">
        <f>Q57*(1+(_xlfn.XLOOKUP(Q$1,'[1]Table 2'!$H$55:$L$55,'[1]Table 2'!$H$56:$L$56)))</f>
        <v>9.5826869656299625</v>
      </c>
      <c r="R58" s="3">
        <f>R57*(1+(_xlfn.XLOOKUP(R$1,'[1]Table 2'!$H$55:$L$55,'[1]Table 2'!$H$56:$L$56)))</f>
        <v>19.89488506521165</v>
      </c>
      <c r="S58" s="3">
        <f>S57*(1+(_xlfn.XLOOKUP(S$1,'[1]Table 2'!$H$55:$L$55,'[1]Table 2'!$H$56:$L$56)))</f>
        <v>2.5929834890942014</v>
      </c>
      <c r="T58" s="3">
        <f>T57*(1+(_xlfn.XLOOKUP(T$1,'[1]Table 2'!$H$55:$L$55,'[1]Table 2'!$H$56:$L$56)))</f>
        <v>34.904110567754188</v>
      </c>
      <c r="U58" s="3">
        <f>U57*(1+(_xlfn.XLOOKUP(U$1,'[1]Table 2'!$H$55:$L$55,'[1]Table 2'!$H$56:$L$56)))</f>
        <v>2.5929834890942014</v>
      </c>
      <c r="V58" s="3">
        <f>V57*(1+(_xlfn.XLOOKUP(V$1,'[1]Table 2'!$H$55:$L$55,'[1]Table 2'!$H$56:$L$56)))</f>
        <v>19.89488506521165</v>
      </c>
      <c r="W58" s="3">
        <f>W57*(1+(_xlfn.XLOOKUP(W$1,'[1]Table 2'!$H$55:$L$55,'[1]Table 2'!$H$56:$L$56)))</f>
        <v>3.9487820853810685</v>
      </c>
      <c r="X58" s="3">
        <f>X57*(1+(_xlfn.XLOOKUP(X$1,'[1]Table 2'!$H$55:$L$55,'[1]Table 2'!$H$56:$L$56)))</f>
        <v>9.5826869656299625</v>
      </c>
      <c r="Y58" s="3">
        <f>Y57*(1+(_xlfn.XLOOKUP(Y$1,'[1]Table 2'!$H$55:$L$55,'[1]Table 2'!$H$56:$L$56)))</f>
        <v>3.9487820853810685</v>
      </c>
      <c r="Z58" s="3">
        <f>Z57*(1+(_xlfn.XLOOKUP(Z$1,'[1]Table 2'!$H$55:$L$55,'[1]Table 2'!$H$56:$L$56)))</f>
        <v>2.5929834890942014</v>
      </c>
      <c r="AA58" s="3">
        <f>AA57*(1+(_xlfn.XLOOKUP(AA$1,'[1]Table 2'!$H$55:$L$55,'[1]Table 2'!$H$56:$L$56)))</f>
        <v>3.9487820853810685</v>
      </c>
    </row>
    <row r="59" spans="1:27" x14ac:dyDescent="0.2">
      <c r="A59" s="1">
        <v>2027</v>
      </c>
      <c r="B59" s="3">
        <f>B58*(1+(_xlfn.XLOOKUP(B$1,'[1]Table 2'!$H$55:$L$55,'[1]Table 2'!$H$56:$L$56)))</f>
        <v>9.6565193902574489</v>
      </c>
      <c r="C59" s="3">
        <f>C58*(1+(_xlfn.XLOOKUP(C$1,'[1]Table 2'!$H$55:$L$55,'[1]Table 2'!$H$56:$L$56)))</f>
        <v>9.6565193902574489</v>
      </c>
      <c r="D59" s="3">
        <f>D58*(1+(_xlfn.XLOOKUP(D$1,'[1]Table 2'!$H$55:$L$55,'[1]Table 2'!$H$56:$L$56)))</f>
        <v>9.6565193902574489</v>
      </c>
      <c r="E59" s="3">
        <f>E58*(1+(_xlfn.XLOOKUP(E$1,'[1]Table 2'!$H$55:$L$55,'[1]Table 2'!$H$56:$L$56)))</f>
        <v>20.074642558694805</v>
      </c>
      <c r="F59" s="3">
        <f>F58*(1+(_xlfn.XLOOKUP(F$1,'[1]Table 2'!$H$55:$L$55,'[1]Table 2'!$H$56:$L$56)))</f>
        <v>3.9502877546401765</v>
      </c>
      <c r="G59" s="3">
        <f>G58*(1+(_xlfn.XLOOKUP(G$1,'[1]Table 2'!$H$55:$L$55,'[1]Table 2'!$H$56:$L$56)))</f>
        <v>20.074642558694805</v>
      </c>
      <c r="H59" s="3">
        <f>H58*(1+(_xlfn.XLOOKUP(H$1,'[1]Table 2'!$H$55:$L$55,'[1]Table 2'!$H$56:$L$56)))</f>
        <v>2.5913898520343013</v>
      </c>
      <c r="I59" s="3">
        <f>I58*(1+(_xlfn.XLOOKUP(I$1,'[1]Table 2'!$H$55:$L$55,'[1]Table 2'!$H$56:$L$56)))</f>
        <v>20.074642558694805</v>
      </c>
      <c r="J59" s="3">
        <f>J58*(1+(_xlfn.XLOOKUP(J$1,'[1]Table 2'!$H$55:$L$55,'[1]Table 2'!$H$56:$L$56)))</f>
        <v>20.074642558694805</v>
      </c>
      <c r="K59" s="3">
        <f>K58*(1+(_xlfn.XLOOKUP(K$1,'[1]Table 2'!$H$55:$L$55,'[1]Table 2'!$H$56:$L$56)))</f>
        <v>20.074642558694805</v>
      </c>
      <c r="L59" s="3">
        <f>L58*(1+(_xlfn.XLOOKUP(L$1,'[1]Table 2'!$H$55:$L$55,'[1]Table 2'!$H$56:$L$56)))</f>
        <v>20.074642558694805</v>
      </c>
      <c r="M59" s="3">
        <f>M58*(1+(_xlfn.XLOOKUP(M$1,'[1]Table 2'!$H$55:$L$55,'[1]Table 2'!$H$56:$L$56)))</f>
        <v>9.6565193902574489</v>
      </c>
      <c r="N59" s="3">
        <f>N58*(1+(_xlfn.XLOOKUP(N$1,'[1]Table 2'!$H$55:$L$55,'[1]Table 2'!$H$56:$L$56)))</f>
        <v>20.074642558694805</v>
      </c>
      <c r="O59" s="3">
        <f>O58*(1+(_xlfn.XLOOKUP(O$1,'[1]Table 2'!$H$55:$L$55,'[1]Table 2'!$H$56:$L$56)))</f>
        <v>2.5913898520343013</v>
      </c>
      <c r="P59" s="3">
        <f>P58*(1+(_xlfn.XLOOKUP(P$1,'[1]Table 2'!$H$55:$L$55,'[1]Table 2'!$H$56:$L$56)))</f>
        <v>20.074642558694805</v>
      </c>
      <c r="Q59" s="3">
        <f>Q58*(1+(_xlfn.XLOOKUP(Q$1,'[1]Table 2'!$H$55:$L$55,'[1]Table 2'!$H$56:$L$56)))</f>
        <v>9.6565193902574489</v>
      </c>
      <c r="R59" s="3">
        <f>R58*(1+(_xlfn.XLOOKUP(R$1,'[1]Table 2'!$H$55:$L$55,'[1]Table 2'!$H$56:$L$56)))</f>
        <v>20.074642558694805</v>
      </c>
      <c r="S59" s="3">
        <f>S58*(1+(_xlfn.XLOOKUP(S$1,'[1]Table 2'!$H$55:$L$55,'[1]Table 2'!$H$56:$L$56)))</f>
        <v>2.5913898520343013</v>
      </c>
      <c r="T59" s="3">
        <f>T58*(1+(_xlfn.XLOOKUP(T$1,'[1]Table 2'!$H$55:$L$55,'[1]Table 2'!$H$56:$L$56)))</f>
        <v>35.599402509050954</v>
      </c>
      <c r="U59" s="3">
        <f>U58*(1+(_xlfn.XLOOKUP(U$1,'[1]Table 2'!$H$55:$L$55,'[1]Table 2'!$H$56:$L$56)))</f>
        <v>2.5913898520343013</v>
      </c>
      <c r="V59" s="3">
        <f>V58*(1+(_xlfn.XLOOKUP(V$1,'[1]Table 2'!$H$55:$L$55,'[1]Table 2'!$H$56:$L$56)))</f>
        <v>20.074642558694805</v>
      </c>
      <c r="W59" s="3">
        <f>W58*(1+(_xlfn.XLOOKUP(W$1,'[1]Table 2'!$H$55:$L$55,'[1]Table 2'!$H$56:$L$56)))</f>
        <v>3.9502877546401765</v>
      </c>
      <c r="X59" s="3">
        <f>X58*(1+(_xlfn.XLOOKUP(X$1,'[1]Table 2'!$H$55:$L$55,'[1]Table 2'!$H$56:$L$56)))</f>
        <v>9.6565193902574489</v>
      </c>
      <c r="Y59" s="3">
        <f>Y58*(1+(_xlfn.XLOOKUP(Y$1,'[1]Table 2'!$H$55:$L$55,'[1]Table 2'!$H$56:$L$56)))</f>
        <v>3.9502877546401765</v>
      </c>
      <c r="Z59" s="3">
        <f>Z58*(1+(_xlfn.XLOOKUP(Z$1,'[1]Table 2'!$H$55:$L$55,'[1]Table 2'!$H$56:$L$56)))</f>
        <v>2.5913898520343013</v>
      </c>
      <c r="AA59" s="3">
        <f>AA58*(1+(_xlfn.XLOOKUP(AA$1,'[1]Table 2'!$H$55:$L$55,'[1]Table 2'!$H$56:$L$56)))</f>
        <v>3.9502877546401765</v>
      </c>
    </row>
    <row r="60" spans="1:27" x14ac:dyDescent="0.2">
      <c r="A60" s="1">
        <v>2028</v>
      </c>
      <c r="B60" s="3">
        <f>B59*(1+(_xlfn.XLOOKUP(B$1,'[1]Table 2'!$H$55:$L$55,'[1]Table 2'!$H$56:$L$56)))</f>
        <v>9.7309206769322838</v>
      </c>
      <c r="C60" s="3">
        <f>C59*(1+(_xlfn.XLOOKUP(C$1,'[1]Table 2'!$H$55:$L$55,'[1]Table 2'!$H$56:$L$56)))</f>
        <v>9.7309206769322838</v>
      </c>
      <c r="D60" s="3">
        <f>D59*(1+(_xlfn.XLOOKUP(D$1,'[1]Table 2'!$H$55:$L$55,'[1]Table 2'!$H$56:$L$56)))</f>
        <v>9.7309206769322838</v>
      </c>
      <c r="E60" s="3">
        <f>E59*(1+(_xlfn.XLOOKUP(E$1,'[1]Table 2'!$H$55:$L$55,'[1]Table 2'!$H$56:$L$56)))</f>
        <v>20.256024226248705</v>
      </c>
      <c r="F60" s="3">
        <f>F59*(1+(_xlfn.XLOOKUP(F$1,'[1]Table 2'!$H$55:$L$55,'[1]Table 2'!$H$56:$L$56)))</f>
        <v>3.9517939980104582</v>
      </c>
      <c r="G60" s="3">
        <f>G59*(1+(_xlfn.XLOOKUP(G$1,'[1]Table 2'!$H$55:$L$55,'[1]Table 2'!$H$56:$L$56)))</f>
        <v>20.256024226248705</v>
      </c>
      <c r="H60" s="3">
        <f>H59*(1+(_xlfn.XLOOKUP(H$1,'[1]Table 2'!$H$55:$L$55,'[1]Table 2'!$H$56:$L$56)))</f>
        <v>2.589797194417228</v>
      </c>
      <c r="I60" s="3">
        <f>I59*(1+(_xlfn.XLOOKUP(I$1,'[1]Table 2'!$H$55:$L$55,'[1]Table 2'!$H$56:$L$56)))</f>
        <v>20.256024226248705</v>
      </c>
      <c r="J60" s="3">
        <f>J59*(1+(_xlfn.XLOOKUP(J$1,'[1]Table 2'!$H$55:$L$55,'[1]Table 2'!$H$56:$L$56)))</f>
        <v>20.256024226248705</v>
      </c>
      <c r="K60" s="3">
        <f>K59*(1+(_xlfn.XLOOKUP(K$1,'[1]Table 2'!$H$55:$L$55,'[1]Table 2'!$H$56:$L$56)))</f>
        <v>20.256024226248705</v>
      </c>
      <c r="L60" s="3">
        <f>L59*(1+(_xlfn.XLOOKUP(L$1,'[1]Table 2'!$H$55:$L$55,'[1]Table 2'!$H$56:$L$56)))</f>
        <v>20.256024226248705</v>
      </c>
      <c r="M60" s="3">
        <f>M59*(1+(_xlfn.XLOOKUP(M$1,'[1]Table 2'!$H$55:$L$55,'[1]Table 2'!$H$56:$L$56)))</f>
        <v>9.7309206769322838</v>
      </c>
      <c r="N60" s="3">
        <f>N59*(1+(_xlfn.XLOOKUP(N$1,'[1]Table 2'!$H$55:$L$55,'[1]Table 2'!$H$56:$L$56)))</f>
        <v>20.256024226248705</v>
      </c>
      <c r="O60" s="3">
        <f>O59*(1+(_xlfn.XLOOKUP(O$1,'[1]Table 2'!$H$55:$L$55,'[1]Table 2'!$H$56:$L$56)))</f>
        <v>2.589797194417228</v>
      </c>
      <c r="P60" s="3">
        <f>P59*(1+(_xlfn.XLOOKUP(P$1,'[1]Table 2'!$H$55:$L$55,'[1]Table 2'!$H$56:$L$56)))</f>
        <v>20.256024226248705</v>
      </c>
      <c r="Q60" s="3">
        <f>Q59*(1+(_xlfn.XLOOKUP(Q$1,'[1]Table 2'!$H$55:$L$55,'[1]Table 2'!$H$56:$L$56)))</f>
        <v>9.7309206769322838</v>
      </c>
      <c r="R60" s="3">
        <f>R59*(1+(_xlfn.XLOOKUP(R$1,'[1]Table 2'!$H$55:$L$55,'[1]Table 2'!$H$56:$L$56)))</f>
        <v>20.256024226248705</v>
      </c>
      <c r="S60" s="3">
        <f>S59*(1+(_xlfn.XLOOKUP(S$1,'[1]Table 2'!$H$55:$L$55,'[1]Table 2'!$H$56:$L$56)))</f>
        <v>2.589797194417228</v>
      </c>
      <c r="T60" s="3">
        <f>T59*(1+(_xlfn.XLOOKUP(T$1,'[1]Table 2'!$H$55:$L$55,'[1]Table 2'!$H$56:$L$56)))</f>
        <v>36.308544706829515</v>
      </c>
      <c r="U60" s="3">
        <f>U59*(1+(_xlfn.XLOOKUP(U$1,'[1]Table 2'!$H$55:$L$55,'[1]Table 2'!$H$56:$L$56)))</f>
        <v>2.589797194417228</v>
      </c>
      <c r="V60" s="3">
        <f>V59*(1+(_xlfn.XLOOKUP(V$1,'[1]Table 2'!$H$55:$L$55,'[1]Table 2'!$H$56:$L$56)))</f>
        <v>20.256024226248705</v>
      </c>
      <c r="W60" s="3">
        <f>W59*(1+(_xlfn.XLOOKUP(W$1,'[1]Table 2'!$H$55:$L$55,'[1]Table 2'!$H$56:$L$56)))</f>
        <v>3.9517939980104582</v>
      </c>
      <c r="X60" s="3">
        <f>X59*(1+(_xlfn.XLOOKUP(X$1,'[1]Table 2'!$H$55:$L$55,'[1]Table 2'!$H$56:$L$56)))</f>
        <v>9.7309206769322838</v>
      </c>
      <c r="Y60" s="3">
        <f>Y59*(1+(_xlfn.XLOOKUP(Y$1,'[1]Table 2'!$H$55:$L$55,'[1]Table 2'!$H$56:$L$56)))</f>
        <v>3.9517939980104582</v>
      </c>
      <c r="Z60" s="3">
        <f>Z59*(1+(_xlfn.XLOOKUP(Z$1,'[1]Table 2'!$H$55:$L$55,'[1]Table 2'!$H$56:$L$56)))</f>
        <v>2.589797194417228</v>
      </c>
      <c r="AA60" s="3">
        <f>AA59*(1+(_xlfn.XLOOKUP(AA$1,'[1]Table 2'!$H$55:$L$55,'[1]Table 2'!$H$56:$L$56)))</f>
        <v>3.9517939980104582</v>
      </c>
    </row>
    <row r="61" spans="1:27" x14ac:dyDescent="0.2">
      <c r="A61" s="1">
        <v>2029</v>
      </c>
      <c r="B61" s="3">
        <f>B60*(1+(_xlfn.XLOOKUP(B$1,'[1]Table 2'!$H$55:$L$55,'[1]Table 2'!$H$56:$L$56)))</f>
        <v>9.8058952086072217</v>
      </c>
      <c r="C61" s="3">
        <f>C60*(1+(_xlfn.XLOOKUP(C$1,'[1]Table 2'!$H$55:$L$55,'[1]Table 2'!$H$56:$L$56)))</f>
        <v>9.8058952086072217</v>
      </c>
      <c r="D61" s="3">
        <f>D60*(1+(_xlfn.XLOOKUP(D$1,'[1]Table 2'!$H$55:$L$55,'[1]Table 2'!$H$56:$L$56)))</f>
        <v>9.8058952086072217</v>
      </c>
      <c r="E61" s="3">
        <f>E60*(1+(_xlfn.XLOOKUP(E$1,'[1]Table 2'!$H$55:$L$55,'[1]Table 2'!$H$56:$L$56)))</f>
        <v>20.439044742874433</v>
      </c>
      <c r="F61" s="3">
        <f>F60*(1+(_xlfn.XLOOKUP(F$1,'[1]Table 2'!$H$55:$L$55,'[1]Table 2'!$H$56:$L$56)))</f>
        <v>3.953300815710822</v>
      </c>
      <c r="G61" s="3">
        <f>G60*(1+(_xlfn.XLOOKUP(G$1,'[1]Table 2'!$H$55:$L$55,'[1]Table 2'!$H$56:$L$56)))</f>
        <v>20.439044742874433</v>
      </c>
      <c r="H61" s="3">
        <f>H60*(1+(_xlfn.XLOOKUP(H$1,'[1]Table 2'!$H$55:$L$55,'[1]Table 2'!$H$56:$L$56)))</f>
        <v>2.5882055156410204</v>
      </c>
      <c r="I61" s="3">
        <f>I60*(1+(_xlfn.XLOOKUP(I$1,'[1]Table 2'!$H$55:$L$55,'[1]Table 2'!$H$56:$L$56)))</f>
        <v>20.439044742874433</v>
      </c>
      <c r="J61" s="3">
        <f>J60*(1+(_xlfn.XLOOKUP(J$1,'[1]Table 2'!$H$55:$L$55,'[1]Table 2'!$H$56:$L$56)))</f>
        <v>20.439044742874433</v>
      </c>
      <c r="K61" s="3">
        <f>K60*(1+(_xlfn.XLOOKUP(K$1,'[1]Table 2'!$H$55:$L$55,'[1]Table 2'!$H$56:$L$56)))</f>
        <v>20.439044742874433</v>
      </c>
      <c r="L61" s="3">
        <f>L60*(1+(_xlfn.XLOOKUP(L$1,'[1]Table 2'!$H$55:$L$55,'[1]Table 2'!$H$56:$L$56)))</f>
        <v>20.439044742874433</v>
      </c>
      <c r="M61" s="3">
        <f>M60*(1+(_xlfn.XLOOKUP(M$1,'[1]Table 2'!$H$55:$L$55,'[1]Table 2'!$H$56:$L$56)))</f>
        <v>9.8058952086072217</v>
      </c>
      <c r="N61" s="3">
        <f>N60*(1+(_xlfn.XLOOKUP(N$1,'[1]Table 2'!$H$55:$L$55,'[1]Table 2'!$H$56:$L$56)))</f>
        <v>20.439044742874433</v>
      </c>
      <c r="O61" s="3">
        <f>O60*(1+(_xlfn.XLOOKUP(O$1,'[1]Table 2'!$H$55:$L$55,'[1]Table 2'!$H$56:$L$56)))</f>
        <v>2.5882055156410204</v>
      </c>
      <c r="P61" s="3">
        <f>P60*(1+(_xlfn.XLOOKUP(P$1,'[1]Table 2'!$H$55:$L$55,'[1]Table 2'!$H$56:$L$56)))</f>
        <v>20.439044742874433</v>
      </c>
      <c r="Q61" s="3">
        <f>Q60*(1+(_xlfn.XLOOKUP(Q$1,'[1]Table 2'!$H$55:$L$55,'[1]Table 2'!$H$56:$L$56)))</f>
        <v>9.8058952086072217</v>
      </c>
      <c r="R61" s="3">
        <f>R60*(1+(_xlfn.XLOOKUP(R$1,'[1]Table 2'!$H$55:$L$55,'[1]Table 2'!$H$56:$L$56)))</f>
        <v>20.439044742874433</v>
      </c>
      <c r="S61" s="3">
        <f>S60*(1+(_xlfn.XLOOKUP(S$1,'[1]Table 2'!$H$55:$L$55,'[1]Table 2'!$H$56:$L$56)))</f>
        <v>2.5882055156410204</v>
      </c>
      <c r="T61" s="3">
        <f>T60*(1+(_xlfn.XLOOKUP(T$1,'[1]Table 2'!$H$55:$L$55,'[1]Table 2'!$H$56:$L$56)))</f>
        <v>37.031813059015931</v>
      </c>
      <c r="U61" s="3">
        <f>U60*(1+(_xlfn.XLOOKUP(U$1,'[1]Table 2'!$H$55:$L$55,'[1]Table 2'!$H$56:$L$56)))</f>
        <v>2.5882055156410204</v>
      </c>
      <c r="V61" s="3">
        <f>V60*(1+(_xlfn.XLOOKUP(V$1,'[1]Table 2'!$H$55:$L$55,'[1]Table 2'!$H$56:$L$56)))</f>
        <v>20.439044742874433</v>
      </c>
      <c r="W61" s="3">
        <f>W60*(1+(_xlfn.XLOOKUP(W$1,'[1]Table 2'!$H$55:$L$55,'[1]Table 2'!$H$56:$L$56)))</f>
        <v>3.953300815710822</v>
      </c>
      <c r="X61" s="3">
        <f>X60*(1+(_xlfn.XLOOKUP(X$1,'[1]Table 2'!$H$55:$L$55,'[1]Table 2'!$H$56:$L$56)))</f>
        <v>9.8058952086072217</v>
      </c>
      <c r="Y61" s="3">
        <f>Y60*(1+(_xlfn.XLOOKUP(Y$1,'[1]Table 2'!$H$55:$L$55,'[1]Table 2'!$H$56:$L$56)))</f>
        <v>3.953300815710822</v>
      </c>
      <c r="Z61" s="3">
        <f>Z60*(1+(_xlfn.XLOOKUP(Z$1,'[1]Table 2'!$H$55:$L$55,'[1]Table 2'!$H$56:$L$56)))</f>
        <v>2.5882055156410204</v>
      </c>
      <c r="AA61" s="3">
        <f>AA60*(1+(_xlfn.XLOOKUP(AA$1,'[1]Table 2'!$H$55:$L$55,'[1]Table 2'!$H$56:$L$56)))</f>
        <v>3.953300815710822</v>
      </c>
    </row>
    <row r="62" spans="1:27" x14ac:dyDescent="0.2">
      <c r="A62" s="1">
        <v>2030</v>
      </c>
      <c r="B62" s="3">
        <f>B61*(1+(_xlfn.XLOOKUP(B$1,'[1]Table 2'!$H$55:$L$55,'[1]Table 2'!$H$56:$L$56)))</f>
        <v>9.8814474020046728</v>
      </c>
      <c r="C62" s="3">
        <f>C61*(1+(_xlfn.XLOOKUP(C$1,'[1]Table 2'!$H$55:$L$55,'[1]Table 2'!$H$56:$L$56)))</f>
        <v>9.8814474020046728</v>
      </c>
      <c r="D62" s="3">
        <f>D61*(1+(_xlfn.XLOOKUP(D$1,'[1]Table 2'!$H$55:$L$55,'[1]Table 2'!$H$56:$L$56)))</f>
        <v>9.8814474020046728</v>
      </c>
      <c r="E62" s="3">
        <f>E61*(1+(_xlfn.XLOOKUP(E$1,'[1]Table 2'!$H$55:$L$55,'[1]Table 2'!$H$56:$L$56)))</f>
        <v>20.623718916167029</v>
      </c>
      <c r="F62" s="3">
        <f>F61*(1+(_xlfn.XLOOKUP(F$1,'[1]Table 2'!$H$55:$L$55,'[1]Table 2'!$H$56:$L$56)))</f>
        <v>3.9548082079602596</v>
      </c>
      <c r="G62" s="3">
        <f>G61*(1+(_xlfn.XLOOKUP(G$1,'[1]Table 2'!$H$55:$L$55,'[1]Table 2'!$H$56:$L$56)))</f>
        <v>20.623718916167029</v>
      </c>
      <c r="H62" s="3">
        <f>H61*(1+(_xlfn.XLOOKUP(H$1,'[1]Table 2'!$H$55:$L$55,'[1]Table 2'!$H$56:$L$56)))</f>
        <v>2.5866148151040864</v>
      </c>
      <c r="I62" s="3">
        <f>I61*(1+(_xlfn.XLOOKUP(I$1,'[1]Table 2'!$H$55:$L$55,'[1]Table 2'!$H$56:$L$56)))</f>
        <v>20.623718916167029</v>
      </c>
      <c r="J62" s="3">
        <f>J61*(1+(_xlfn.XLOOKUP(J$1,'[1]Table 2'!$H$55:$L$55,'[1]Table 2'!$H$56:$L$56)))</f>
        <v>20.623718916167029</v>
      </c>
      <c r="K62" s="3">
        <f>K61*(1+(_xlfn.XLOOKUP(K$1,'[1]Table 2'!$H$55:$L$55,'[1]Table 2'!$H$56:$L$56)))</f>
        <v>20.623718916167029</v>
      </c>
      <c r="L62" s="3">
        <f>L61*(1+(_xlfn.XLOOKUP(L$1,'[1]Table 2'!$H$55:$L$55,'[1]Table 2'!$H$56:$L$56)))</f>
        <v>20.623718916167029</v>
      </c>
      <c r="M62" s="3">
        <f>M61*(1+(_xlfn.XLOOKUP(M$1,'[1]Table 2'!$H$55:$L$55,'[1]Table 2'!$H$56:$L$56)))</f>
        <v>9.8814474020046728</v>
      </c>
      <c r="N62" s="3">
        <f>N61*(1+(_xlfn.XLOOKUP(N$1,'[1]Table 2'!$H$55:$L$55,'[1]Table 2'!$H$56:$L$56)))</f>
        <v>20.623718916167029</v>
      </c>
      <c r="O62" s="3">
        <f>O61*(1+(_xlfn.XLOOKUP(O$1,'[1]Table 2'!$H$55:$L$55,'[1]Table 2'!$H$56:$L$56)))</f>
        <v>2.5866148151040864</v>
      </c>
      <c r="P62" s="3">
        <f>P61*(1+(_xlfn.XLOOKUP(P$1,'[1]Table 2'!$H$55:$L$55,'[1]Table 2'!$H$56:$L$56)))</f>
        <v>20.623718916167029</v>
      </c>
      <c r="Q62" s="3">
        <f>Q61*(1+(_xlfn.XLOOKUP(Q$1,'[1]Table 2'!$H$55:$L$55,'[1]Table 2'!$H$56:$L$56)))</f>
        <v>9.8814474020046728</v>
      </c>
      <c r="R62" s="3">
        <f>R61*(1+(_xlfn.XLOOKUP(R$1,'[1]Table 2'!$H$55:$L$55,'[1]Table 2'!$H$56:$L$56)))</f>
        <v>20.623718916167029</v>
      </c>
      <c r="S62" s="3">
        <f>S61*(1+(_xlfn.XLOOKUP(S$1,'[1]Table 2'!$H$55:$L$55,'[1]Table 2'!$H$56:$L$56)))</f>
        <v>2.5866148151040864</v>
      </c>
      <c r="T62" s="3">
        <f>T61*(1+(_xlfn.XLOOKUP(T$1,'[1]Table 2'!$H$55:$L$55,'[1]Table 2'!$H$56:$L$56)))</f>
        <v>37.769488959439222</v>
      </c>
      <c r="U62" s="3">
        <f>U61*(1+(_xlfn.XLOOKUP(U$1,'[1]Table 2'!$H$55:$L$55,'[1]Table 2'!$H$56:$L$56)))</f>
        <v>2.5866148151040864</v>
      </c>
      <c r="V62" s="3">
        <f>V61*(1+(_xlfn.XLOOKUP(V$1,'[1]Table 2'!$H$55:$L$55,'[1]Table 2'!$H$56:$L$56)))</f>
        <v>20.623718916167029</v>
      </c>
      <c r="W62" s="3">
        <f>W61*(1+(_xlfn.XLOOKUP(W$1,'[1]Table 2'!$H$55:$L$55,'[1]Table 2'!$H$56:$L$56)))</f>
        <v>3.9548082079602596</v>
      </c>
      <c r="X62" s="3">
        <f>X61*(1+(_xlfn.XLOOKUP(X$1,'[1]Table 2'!$H$55:$L$55,'[1]Table 2'!$H$56:$L$56)))</f>
        <v>9.8814474020046728</v>
      </c>
      <c r="Y62" s="3">
        <f>Y61*(1+(_xlfn.XLOOKUP(Y$1,'[1]Table 2'!$H$55:$L$55,'[1]Table 2'!$H$56:$L$56)))</f>
        <v>3.9548082079602596</v>
      </c>
      <c r="Z62" s="3">
        <f>Z61*(1+(_xlfn.XLOOKUP(Z$1,'[1]Table 2'!$H$55:$L$55,'[1]Table 2'!$H$56:$L$56)))</f>
        <v>2.5866148151040864</v>
      </c>
      <c r="AA62" s="3">
        <f>AA61*(1+(_xlfn.XLOOKUP(AA$1,'[1]Table 2'!$H$55:$L$55,'[1]Table 2'!$H$56:$L$56)))</f>
        <v>3.9548082079602596</v>
      </c>
    </row>
    <row r="63" spans="1:27" x14ac:dyDescent="0.2">
      <c r="A63" s="1">
        <v>2031</v>
      </c>
      <c r="B63" s="3">
        <f>B62*(1+(_xlfn.XLOOKUP(B$1,'[1]Table 2'!$H$55:$L$55,'[1]Table 2'!$H$56:$L$56)))</f>
        <v>9.9575817078768889</v>
      </c>
      <c r="C63" s="3">
        <f>C62*(1+(_xlfn.XLOOKUP(C$1,'[1]Table 2'!$H$55:$L$55,'[1]Table 2'!$H$56:$L$56)))</f>
        <v>9.9575817078768889</v>
      </c>
      <c r="D63" s="3">
        <f>D62*(1+(_xlfn.XLOOKUP(D$1,'[1]Table 2'!$H$55:$L$55,'[1]Table 2'!$H$56:$L$56)))</f>
        <v>9.9575817078768889</v>
      </c>
      <c r="E63" s="3">
        <f>E62*(1+(_xlfn.XLOOKUP(E$1,'[1]Table 2'!$H$55:$L$55,'[1]Table 2'!$H$56:$L$56)))</f>
        <v>20.810061687513514</v>
      </c>
      <c r="F63" s="3">
        <f>F62*(1+(_xlfn.XLOOKUP(F$1,'[1]Table 2'!$H$55:$L$55,'[1]Table 2'!$H$56:$L$56)))</f>
        <v>3.9563161749778466</v>
      </c>
      <c r="G63" s="3">
        <f>G62*(1+(_xlfn.XLOOKUP(G$1,'[1]Table 2'!$H$55:$L$55,'[1]Table 2'!$H$56:$L$56)))</f>
        <v>20.810061687513514</v>
      </c>
      <c r="H63" s="3">
        <f>H62*(1+(_xlfn.XLOOKUP(H$1,'[1]Table 2'!$H$55:$L$55,'[1]Table 2'!$H$56:$L$56)))</f>
        <v>2.5850250922052043</v>
      </c>
      <c r="I63" s="3">
        <f>I62*(1+(_xlfn.XLOOKUP(I$1,'[1]Table 2'!$H$55:$L$55,'[1]Table 2'!$H$56:$L$56)))</f>
        <v>20.810061687513514</v>
      </c>
      <c r="J63" s="3">
        <f>J62*(1+(_xlfn.XLOOKUP(J$1,'[1]Table 2'!$H$55:$L$55,'[1]Table 2'!$H$56:$L$56)))</f>
        <v>20.810061687513514</v>
      </c>
      <c r="K63" s="3">
        <f>K62*(1+(_xlfn.XLOOKUP(K$1,'[1]Table 2'!$H$55:$L$55,'[1]Table 2'!$H$56:$L$56)))</f>
        <v>20.810061687513514</v>
      </c>
      <c r="L63" s="3">
        <f>L62*(1+(_xlfn.XLOOKUP(L$1,'[1]Table 2'!$H$55:$L$55,'[1]Table 2'!$H$56:$L$56)))</f>
        <v>20.810061687513514</v>
      </c>
      <c r="M63" s="3">
        <f>M62*(1+(_xlfn.XLOOKUP(M$1,'[1]Table 2'!$H$55:$L$55,'[1]Table 2'!$H$56:$L$56)))</f>
        <v>9.9575817078768889</v>
      </c>
      <c r="N63" s="3">
        <f>N62*(1+(_xlfn.XLOOKUP(N$1,'[1]Table 2'!$H$55:$L$55,'[1]Table 2'!$H$56:$L$56)))</f>
        <v>20.810061687513514</v>
      </c>
      <c r="O63" s="3">
        <f>O62*(1+(_xlfn.XLOOKUP(O$1,'[1]Table 2'!$H$55:$L$55,'[1]Table 2'!$H$56:$L$56)))</f>
        <v>2.5850250922052043</v>
      </c>
      <c r="P63" s="3">
        <f>P62*(1+(_xlfn.XLOOKUP(P$1,'[1]Table 2'!$H$55:$L$55,'[1]Table 2'!$H$56:$L$56)))</f>
        <v>20.810061687513514</v>
      </c>
      <c r="Q63" s="3">
        <f>Q62*(1+(_xlfn.XLOOKUP(Q$1,'[1]Table 2'!$H$55:$L$55,'[1]Table 2'!$H$56:$L$56)))</f>
        <v>9.9575817078768889</v>
      </c>
      <c r="R63" s="3">
        <f>R62*(1+(_xlfn.XLOOKUP(R$1,'[1]Table 2'!$H$55:$L$55,'[1]Table 2'!$H$56:$L$56)))</f>
        <v>20.810061687513514</v>
      </c>
      <c r="S63" s="3">
        <f>S62*(1+(_xlfn.XLOOKUP(S$1,'[1]Table 2'!$H$55:$L$55,'[1]Table 2'!$H$56:$L$56)))</f>
        <v>2.5850250922052043</v>
      </c>
      <c r="T63" s="3">
        <f>T62*(1+(_xlfn.XLOOKUP(T$1,'[1]Table 2'!$H$55:$L$55,'[1]Table 2'!$H$56:$L$56)))</f>
        <v>38.521859407310089</v>
      </c>
      <c r="U63" s="3">
        <f>U62*(1+(_xlfn.XLOOKUP(U$1,'[1]Table 2'!$H$55:$L$55,'[1]Table 2'!$H$56:$L$56)))</f>
        <v>2.5850250922052043</v>
      </c>
      <c r="V63" s="3">
        <f>V62*(1+(_xlfn.XLOOKUP(V$1,'[1]Table 2'!$H$55:$L$55,'[1]Table 2'!$H$56:$L$56)))</f>
        <v>20.810061687513514</v>
      </c>
      <c r="W63" s="3">
        <f>W62*(1+(_xlfn.XLOOKUP(W$1,'[1]Table 2'!$H$55:$L$55,'[1]Table 2'!$H$56:$L$56)))</f>
        <v>3.9563161749778466</v>
      </c>
      <c r="X63" s="3">
        <f>X62*(1+(_xlfn.XLOOKUP(X$1,'[1]Table 2'!$H$55:$L$55,'[1]Table 2'!$H$56:$L$56)))</f>
        <v>9.9575817078768889</v>
      </c>
      <c r="Y63" s="3">
        <f>Y62*(1+(_xlfn.XLOOKUP(Y$1,'[1]Table 2'!$H$55:$L$55,'[1]Table 2'!$H$56:$L$56)))</f>
        <v>3.9563161749778466</v>
      </c>
      <c r="Z63" s="3">
        <f>Z62*(1+(_xlfn.XLOOKUP(Z$1,'[1]Table 2'!$H$55:$L$55,'[1]Table 2'!$H$56:$L$56)))</f>
        <v>2.5850250922052043</v>
      </c>
      <c r="AA63" s="3">
        <f>AA62*(1+(_xlfn.XLOOKUP(AA$1,'[1]Table 2'!$H$55:$L$55,'[1]Table 2'!$H$56:$L$56)))</f>
        <v>3.9563161749778466</v>
      </c>
    </row>
    <row r="64" spans="1:27" x14ac:dyDescent="0.2">
      <c r="A64" s="1">
        <v>2032</v>
      </c>
      <c r="B64" s="3">
        <f>B63*(1+(_xlfn.XLOOKUP(B$1,'[1]Table 2'!$H$55:$L$55,'[1]Table 2'!$H$56:$L$56)))</f>
        <v>10.034302611268156</v>
      </c>
      <c r="C64" s="3">
        <f>C63*(1+(_xlfn.XLOOKUP(C$1,'[1]Table 2'!$H$55:$L$55,'[1]Table 2'!$H$56:$L$56)))</f>
        <v>10.034302611268156</v>
      </c>
      <c r="D64" s="3">
        <f>D63*(1+(_xlfn.XLOOKUP(D$1,'[1]Table 2'!$H$55:$L$55,'[1]Table 2'!$H$56:$L$56)))</f>
        <v>10.034302611268156</v>
      </c>
      <c r="E64" s="3">
        <f>E63*(1+(_xlfn.XLOOKUP(E$1,'[1]Table 2'!$H$55:$L$55,'[1]Table 2'!$H$56:$L$56)))</f>
        <v>20.998088133301753</v>
      </c>
      <c r="F64" s="3">
        <f>F63*(1+(_xlfn.XLOOKUP(F$1,'[1]Table 2'!$H$55:$L$55,'[1]Table 2'!$H$56:$L$56)))</f>
        <v>3.9578247169827421</v>
      </c>
      <c r="G64" s="3">
        <f>G63*(1+(_xlfn.XLOOKUP(G$1,'[1]Table 2'!$H$55:$L$55,'[1]Table 2'!$H$56:$L$56)))</f>
        <v>20.998088133301753</v>
      </c>
      <c r="H64" s="3">
        <f>H63*(1+(_xlfn.XLOOKUP(H$1,'[1]Table 2'!$H$55:$L$55,'[1]Table 2'!$H$56:$L$56)))</f>
        <v>2.5834363463435217</v>
      </c>
      <c r="I64" s="3">
        <f>I63*(1+(_xlfn.XLOOKUP(I$1,'[1]Table 2'!$H$55:$L$55,'[1]Table 2'!$H$56:$L$56)))</f>
        <v>20.998088133301753</v>
      </c>
      <c r="J64" s="3">
        <f>J63*(1+(_xlfn.XLOOKUP(J$1,'[1]Table 2'!$H$55:$L$55,'[1]Table 2'!$H$56:$L$56)))</f>
        <v>20.998088133301753</v>
      </c>
      <c r="K64" s="3">
        <f>K63*(1+(_xlfn.XLOOKUP(K$1,'[1]Table 2'!$H$55:$L$55,'[1]Table 2'!$H$56:$L$56)))</f>
        <v>20.998088133301753</v>
      </c>
      <c r="L64" s="3">
        <f>L63*(1+(_xlfn.XLOOKUP(L$1,'[1]Table 2'!$H$55:$L$55,'[1]Table 2'!$H$56:$L$56)))</f>
        <v>20.998088133301753</v>
      </c>
      <c r="M64" s="3">
        <f>M63*(1+(_xlfn.XLOOKUP(M$1,'[1]Table 2'!$H$55:$L$55,'[1]Table 2'!$H$56:$L$56)))</f>
        <v>10.034302611268156</v>
      </c>
      <c r="N64" s="3">
        <f>N63*(1+(_xlfn.XLOOKUP(N$1,'[1]Table 2'!$H$55:$L$55,'[1]Table 2'!$H$56:$L$56)))</f>
        <v>20.998088133301753</v>
      </c>
      <c r="O64" s="3">
        <f>O63*(1+(_xlfn.XLOOKUP(O$1,'[1]Table 2'!$H$55:$L$55,'[1]Table 2'!$H$56:$L$56)))</f>
        <v>2.5834363463435217</v>
      </c>
      <c r="P64" s="3">
        <f>P63*(1+(_xlfn.XLOOKUP(P$1,'[1]Table 2'!$H$55:$L$55,'[1]Table 2'!$H$56:$L$56)))</f>
        <v>20.998088133301753</v>
      </c>
      <c r="Q64" s="3">
        <f>Q63*(1+(_xlfn.XLOOKUP(Q$1,'[1]Table 2'!$H$55:$L$55,'[1]Table 2'!$H$56:$L$56)))</f>
        <v>10.034302611268156</v>
      </c>
      <c r="R64" s="3">
        <f>R63*(1+(_xlfn.XLOOKUP(R$1,'[1]Table 2'!$H$55:$L$55,'[1]Table 2'!$H$56:$L$56)))</f>
        <v>20.998088133301753</v>
      </c>
      <c r="S64" s="3">
        <f>S63*(1+(_xlfn.XLOOKUP(S$1,'[1]Table 2'!$H$55:$L$55,'[1]Table 2'!$H$56:$L$56)))</f>
        <v>2.5834363463435217</v>
      </c>
      <c r="T64" s="3">
        <f>T63*(1+(_xlfn.XLOOKUP(T$1,'[1]Table 2'!$H$55:$L$55,'[1]Table 2'!$H$56:$L$56)))</f>
        <v>39.289217118880423</v>
      </c>
      <c r="U64" s="3">
        <f>U63*(1+(_xlfn.XLOOKUP(U$1,'[1]Table 2'!$H$55:$L$55,'[1]Table 2'!$H$56:$L$56)))</f>
        <v>2.5834363463435217</v>
      </c>
      <c r="V64" s="3">
        <f>V63*(1+(_xlfn.XLOOKUP(V$1,'[1]Table 2'!$H$55:$L$55,'[1]Table 2'!$H$56:$L$56)))</f>
        <v>20.998088133301753</v>
      </c>
      <c r="W64" s="3">
        <f>W63*(1+(_xlfn.XLOOKUP(W$1,'[1]Table 2'!$H$55:$L$55,'[1]Table 2'!$H$56:$L$56)))</f>
        <v>3.9578247169827421</v>
      </c>
      <c r="X64" s="3">
        <f>X63*(1+(_xlfn.XLOOKUP(X$1,'[1]Table 2'!$H$55:$L$55,'[1]Table 2'!$H$56:$L$56)))</f>
        <v>10.034302611268156</v>
      </c>
      <c r="Y64" s="3">
        <f>Y63*(1+(_xlfn.XLOOKUP(Y$1,'[1]Table 2'!$H$55:$L$55,'[1]Table 2'!$H$56:$L$56)))</f>
        <v>3.9578247169827421</v>
      </c>
      <c r="Z64" s="3">
        <f>Z63*(1+(_xlfn.XLOOKUP(Z$1,'[1]Table 2'!$H$55:$L$55,'[1]Table 2'!$H$56:$L$56)))</f>
        <v>2.5834363463435217</v>
      </c>
      <c r="AA64" s="3">
        <f>AA63*(1+(_xlfn.XLOOKUP(AA$1,'[1]Table 2'!$H$55:$L$55,'[1]Table 2'!$H$56:$L$56)))</f>
        <v>3.9578247169827421</v>
      </c>
    </row>
    <row r="65" spans="1:27" x14ac:dyDescent="0.2">
      <c r="A65" s="1">
        <v>2033</v>
      </c>
      <c r="B65" s="3">
        <f>B64*(1+(_xlfn.XLOOKUP(B$1,'[1]Table 2'!$H$55:$L$55,'[1]Table 2'!$H$56:$L$56)))</f>
        <v>10.111614631779007</v>
      </c>
      <c r="C65" s="3">
        <f>C64*(1+(_xlfn.XLOOKUP(C$1,'[1]Table 2'!$H$55:$L$55,'[1]Table 2'!$H$56:$L$56)))</f>
        <v>10.111614631779007</v>
      </c>
      <c r="D65" s="3">
        <f>D64*(1+(_xlfn.XLOOKUP(D$1,'[1]Table 2'!$H$55:$L$55,'[1]Table 2'!$H$56:$L$56)))</f>
        <v>10.111614631779007</v>
      </c>
      <c r="E65" s="3">
        <f>E64*(1+(_xlfn.XLOOKUP(E$1,'[1]Table 2'!$H$55:$L$55,'[1]Table 2'!$H$56:$L$56)))</f>
        <v>21.187813466140238</v>
      </c>
      <c r="F65" s="3">
        <f>F64*(1+(_xlfn.XLOOKUP(F$1,'[1]Table 2'!$H$55:$L$55,'[1]Table 2'!$H$56:$L$56)))</f>
        <v>3.9593338341941879</v>
      </c>
      <c r="G65" s="3">
        <f>G64*(1+(_xlfn.XLOOKUP(G$1,'[1]Table 2'!$H$55:$L$55,'[1]Table 2'!$H$56:$L$56)))</f>
        <v>21.187813466140238</v>
      </c>
      <c r="H65" s="3">
        <f>H64*(1+(_xlfn.XLOOKUP(H$1,'[1]Table 2'!$H$55:$L$55,'[1]Table 2'!$H$56:$L$56)))</f>
        <v>2.5818485769185555</v>
      </c>
      <c r="I65" s="3">
        <f>I64*(1+(_xlfn.XLOOKUP(I$1,'[1]Table 2'!$H$55:$L$55,'[1]Table 2'!$H$56:$L$56)))</f>
        <v>21.187813466140238</v>
      </c>
      <c r="J65" s="3">
        <f>J64*(1+(_xlfn.XLOOKUP(J$1,'[1]Table 2'!$H$55:$L$55,'[1]Table 2'!$H$56:$L$56)))</f>
        <v>21.187813466140238</v>
      </c>
      <c r="K65" s="3">
        <f>K64*(1+(_xlfn.XLOOKUP(K$1,'[1]Table 2'!$H$55:$L$55,'[1]Table 2'!$H$56:$L$56)))</f>
        <v>21.187813466140238</v>
      </c>
      <c r="L65" s="3">
        <f>L64*(1+(_xlfn.XLOOKUP(L$1,'[1]Table 2'!$H$55:$L$55,'[1]Table 2'!$H$56:$L$56)))</f>
        <v>21.187813466140238</v>
      </c>
      <c r="M65" s="3">
        <f>M64*(1+(_xlfn.XLOOKUP(M$1,'[1]Table 2'!$H$55:$L$55,'[1]Table 2'!$H$56:$L$56)))</f>
        <v>10.111614631779007</v>
      </c>
      <c r="N65" s="3">
        <f>N64*(1+(_xlfn.XLOOKUP(N$1,'[1]Table 2'!$H$55:$L$55,'[1]Table 2'!$H$56:$L$56)))</f>
        <v>21.187813466140238</v>
      </c>
      <c r="O65" s="3">
        <f>O64*(1+(_xlfn.XLOOKUP(O$1,'[1]Table 2'!$H$55:$L$55,'[1]Table 2'!$H$56:$L$56)))</f>
        <v>2.5818485769185555</v>
      </c>
      <c r="P65" s="3">
        <f>P64*(1+(_xlfn.XLOOKUP(P$1,'[1]Table 2'!$H$55:$L$55,'[1]Table 2'!$H$56:$L$56)))</f>
        <v>21.187813466140238</v>
      </c>
      <c r="Q65" s="3">
        <f>Q64*(1+(_xlfn.XLOOKUP(Q$1,'[1]Table 2'!$H$55:$L$55,'[1]Table 2'!$H$56:$L$56)))</f>
        <v>10.111614631779007</v>
      </c>
      <c r="R65" s="3">
        <f>R64*(1+(_xlfn.XLOOKUP(R$1,'[1]Table 2'!$H$55:$L$55,'[1]Table 2'!$H$56:$L$56)))</f>
        <v>21.187813466140238</v>
      </c>
      <c r="S65" s="3">
        <f>S64*(1+(_xlfn.XLOOKUP(S$1,'[1]Table 2'!$H$55:$L$55,'[1]Table 2'!$H$56:$L$56)))</f>
        <v>2.5818485769185555</v>
      </c>
      <c r="T65" s="3">
        <f>T64*(1+(_xlfn.XLOOKUP(T$1,'[1]Table 2'!$H$55:$L$55,'[1]Table 2'!$H$56:$L$56)))</f>
        <v>40.071860641327135</v>
      </c>
      <c r="U65" s="3">
        <f>U64*(1+(_xlfn.XLOOKUP(U$1,'[1]Table 2'!$H$55:$L$55,'[1]Table 2'!$H$56:$L$56)))</f>
        <v>2.5818485769185555</v>
      </c>
      <c r="V65" s="3">
        <f>V64*(1+(_xlfn.XLOOKUP(V$1,'[1]Table 2'!$H$55:$L$55,'[1]Table 2'!$H$56:$L$56)))</f>
        <v>21.187813466140238</v>
      </c>
      <c r="W65" s="3">
        <f>W64*(1+(_xlfn.XLOOKUP(W$1,'[1]Table 2'!$H$55:$L$55,'[1]Table 2'!$H$56:$L$56)))</f>
        <v>3.9593338341941879</v>
      </c>
      <c r="X65" s="3">
        <f>X64*(1+(_xlfn.XLOOKUP(X$1,'[1]Table 2'!$H$55:$L$55,'[1]Table 2'!$H$56:$L$56)))</f>
        <v>10.111614631779007</v>
      </c>
      <c r="Y65" s="3">
        <f>Y64*(1+(_xlfn.XLOOKUP(Y$1,'[1]Table 2'!$H$55:$L$55,'[1]Table 2'!$H$56:$L$56)))</f>
        <v>3.9593338341941879</v>
      </c>
      <c r="Z65" s="3">
        <f>Z64*(1+(_xlfn.XLOOKUP(Z$1,'[1]Table 2'!$H$55:$L$55,'[1]Table 2'!$H$56:$L$56)))</f>
        <v>2.5818485769185555</v>
      </c>
      <c r="AA65" s="3">
        <f>AA64*(1+(_xlfn.XLOOKUP(AA$1,'[1]Table 2'!$H$55:$L$55,'[1]Table 2'!$H$56:$L$56)))</f>
        <v>3.9593338341941879</v>
      </c>
    </row>
    <row r="66" spans="1:27" x14ac:dyDescent="0.2">
      <c r="A66" s="1">
        <v>2034</v>
      </c>
      <c r="B66" s="3">
        <f>B65*(1+(_xlfn.XLOOKUP(B$1,'[1]Table 2'!$H$55:$L$55,'[1]Table 2'!$H$56:$L$56)))</f>
        <v>10.189522323832467</v>
      </c>
      <c r="C66" s="3">
        <f>C65*(1+(_xlfn.XLOOKUP(C$1,'[1]Table 2'!$H$55:$L$55,'[1]Table 2'!$H$56:$L$56)))</f>
        <v>10.189522323832467</v>
      </c>
      <c r="D66" s="3">
        <f>D65*(1+(_xlfn.XLOOKUP(D$1,'[1]Table 2'!$H$55:$L$55,'[1]Table 2'!$H$56:$L$56)))</f>
        <v>10.189522323832467</v>
      </c>
      <c r="E66" s="3">
        <f>E65*(1+(_xlfn.XLOOKUP(E$1,'[1]Table 2'!$H$55:$L$55,'[1]Table 2'!$H$56:$L$56)))</f>
        <v>21.37925303608889</v>
      </c>
      <c r="F66" s="3">
        <f>F65*(1+(_xlfn.XLOOKUP(F$1,'[1]Table 2'!$H$55:$L$55,'[1]Table 2'!$H$56:$L$56)))</f>
        <v>3.9608435268315105</v>
      </c>
      <c r="G66" s="3">
        <f>G65*(1+(_xlfn.XLOOKUP(G$1,'[1]Table 2'!$H$55:$L$55,'[1]Table 2'!$H$56:$L$56)))</f>
        <v>21.37925303608889</v>
      </c>
      <c r="H66" s="3">
        <f>H65*(1+(_xlfn.XLOOKUP(H$1,'[1]Table 2'!$H$55:$L$55,'[1]Table 2'!$H$56:$L$56)))</f>
        <v>2.580261783330192</v>
      </c>
      <c r="I66" s="3">
        <f>I65*(1+(_xlfn.XLOOKUP(I$1,'[1]Table 2'!$H$55:$L$55,'[1]Table 2'!$H$56:$L$56)))</f>
        <v>21.37925303608889</v>
      </c>
      <c r="J66" s="3">
        <f>J65*(1+(_xlfn.XLOOKUP(J$1,'[1]Table 2'!$H$55:$L$55,'[1]Table 2'!$H$56:$L$56)))</f>
        <v>21.37925303608889</v>
      </c>
      <c r="K66" s="3">
        <f>K65*(1+(_xlfn.XLOOKUP(K$1,'[1]Table 2'!$H$55:$L$55,'[1]Table 2'!$H$56:$L$56)))</f>
        <v>21.37925303608889</v>
      </c>
      <c r="L66" s="3">
        <f>L65*(1+(_xlfn.XLOOKUP(L$1,'[1]Table 2'!$H$55:$L$55,'[1]Table 2'!$H$56:$L$56)))</f>
        <v>21.37925303608889</v>
      </c>
      <c r="M66" s="3">
        <f>M65*(1+(_xlfn.XLOOKUP(M$1,'[1]Table 2'!$H$55:$L$55,'[1]Table 2'!$H$56:$L$56)))</f>
        <v>10.189522323832467</v>
      </c>
      <c r="N66" s="3">
        <f>N65*(1+(_xlfn.XLOOKUP(N$1,'[1]Table 2'!$H$55:$L$55,'[1]Table 2'!$H$56:$L$56)))</f>
        <v>21.37925303608889</v>
      </c>
      <c r="O66" s="3">
        <f>O65*(1+(_xlfn.XLOOKUP(O$1,'[1]Table 2'!$H$55:$L$55,'[1]Table 2'!$H$56:$L$56)))</f>
        <v>2.580261783330192</v>
      </c>
      <c r="P66" s="3">
        <f>P65*(1+(_xlfn.XLOOKUP(P$1,'[1]Table 2'!$H$55:$L$55,'[1]Table 2'!$H$56:$L$56)))</f>
        <v>21.37925303608889</v>
      </c>
      <c r="Q66" s="3">
        <f>Q65*(1+(_xlfn.XLOOKUP(Q$1,'[1]Table 2'!$H$55:$L$55,'[1]Table 2'!$H$56:$L$56)))</f>
        <v>10.189522323832467</v>
      </c>
      <c r="R66" s="3">
        <f>R65*(1+(_xlfn.XLOOKUP(R$1,'[1]Table 2'!$H$55:$L$55,'[1]Table 2'!$H$56:$L$56)))</f>
        <v>21.37925303608889</v>
      </c>
      <c r="S66" s="3">
        <f>S65*(1+(_xlfn.XLOOKUP(S$1,'[1]Table 2'!$H$55:$L$55,'[1]Table 2'!$H$56:$L$56)))</f>
        <v>2.580261783330192</v>
      </c>
      <c r="T66" s="3">
        <f>T65*(1+(_xlfn.XLOOKUP(T$1,'[1]Table 2'!$H$55:$L$55,'[1]Table 2'!$H$56:$L$56)))</f>
        <v>40.870094468904497</v>
      </c>
      <c r="U66" s="3">
        <f>U65*(1+(_xlfn.XLOOKUP(U$1,'[1]Table 2'!$H$55:$L$55,'[1]Table 2'!$H$56:$L$56)))</f>
        <v>2.580261783330192</v>
      </c>
      <c r="V66" s="3">
        <f>V65*(1+(_xlfn.XLOOKUP(V$1,'[1]Table 2'!$H$55:$L$55,'[1]Table 2'!$H$56:$L$56)))</f>
        <v>21.37925303608889</v>
      </c>
      <c r="W66" s="3">
        <f>W65*(1+(_xlfn.XLOOKUP(W$1,'[1]Table 2'!$H$55:$L$55,'[1]Table 2'!$H$56:$L$56)))</f>
        <v>3.9608435268315105</v>
      </c>
      <c r="X66" s="3">
        <f>X65*(1+(_xlfn.XLOOKUP(X$1,'[1]Table 2'!$H$55:$L$55,'[1]Table 2'!$H$56:$L$56)))</f>
        <v>10.189522323832467</v>
      </c>
      <c r="Y66" s="3">
        <f>Y65*(1+(_xlfn.XLOOKUP(Y$1,'[1]Table 2'!$H$55:$L$55,'[1]Table 2'!$H$56:$L$56)))</f>
        <v>3.9608435268315105</v>
      </c>
      <c r="Z66" s="3">
        <f>Z65*(1+(_xlfn.XLOOKUP(Z$1,'[1]Table 2'!$H$55:$L$55,'[1]Table 2'!$H$56:$L$56)))</f>
        <v>2.580261783330192</v>
      </c>
      <c r="AA66" s="3">
        <f>AA65*(1+(_xlfn.XLOOKUP(AA$1,'[1]Table 2'!$H$55:$L$55,'[1]Table 2'!$H$56:$L$56)))</f>
        <v>3.9608435268315105</v>
      </c>
    </row>
    <row r="67" spans="1:27" x14ac:dyDescent="0.2">
      <c r="A67" s="1">
        <v>2035</v>
      </c>
      <c r="B67" s="3">
        <f>B66*(1+(_xlfn.XLOOKUP(B$1,'[1]Table 2'!$H$55:$L$55,'[1]Table 2'!$H$56:$L$56)))</f>
        <v>10.268030276942358</v>
      </c>
      <c r="C67" s="3">
        <f>C66*(1+(_xlfn.XLOOKUP(C$1,'[1]Table 2'!$H$55:$L$55,'[1]Table 2'!$H$56:$L$56)))</f>
        <v>10.268030276942358</v>
      </c>
      <c r="D67" s="3">
        <f>D66*(1+(_xlfn.XLOOKUP(D$1,'[1]Table 2'!$H$55:$L$55,'[1]Table 2'!$H$56:$L$56)))</f>
        <v>10.268030276942358</v>
      </c>
      <c r="E67" s="3">
        <f>E66*(1+(_xlfn.XLOOKUP(E$1,'[1]Table 2'!$H$55:$L$55,'[1]Table 2'!$H$56:$L$56)))</f>
        <v>21.572422331900984</v>
      </c>
      <c r="F67" s="3">
        <f>F66*(1+(_xlfn.XLOOKUP(F$1,'[1]Table 2'!$H$55:$L$55,'[1]Table 2'!$H$56:$L$56)))</f>
        <v>3.9623537951141197</v>
      </c>
      <c r="G67" s="3">
        <f>G66*(1+(_xlfn.XLOOKUP(G$1,'[1]Table 2'!$H$55:$L$55,'[1]Table 2'!$H$56:$L$56)))</f>
        <v>21.572422331900984</v>
      </c>
      <c r="H67" s="3">
        <f>H66*(1+(_xlfn.XLOOKUP(H$1,'[1]Table 2'!$H$55:$L$55,'[1]Table 2'!$H$56:$L$56)))</f>
        <v>2.5786759649786855</v>
      </c>
      <c r="I67" s="3">
        <f>I66*(1+(_xlfn.XLOOKUP(I$1,'[1]Table 2'!$H$55:$L$55,'[1]Table 2'!$H$56:$L$56)))</f>
        <v>21.572422331900984</v>
      </c>
      <c r="J67" s="3">
        <f>J66*(1+(_xlfn.XLOOKUP(J$1,'[1]Table 2'!$H$55:$L$55,'[1]Table 2'!$H$56:$L$56)))</f>
        <v>21.572422331900984</v>
      </c>
      <c r="K67" s="3">
        <f>K66*(1+(_xlfn.XLOOKUP(K$1,'[1]Table 2'!$H$55:$L$55,'[1]Table 2'!$H$56:$L$56)))</f>
        <v>21.572422331900984</v>
      </c>
      <c r="L67" s="3">
        <f>L66*(1+(_xlfn.XLOOKUP(L$1,'[1]Table 2'!$H$55:$L$55,'[1]Table 2'!$H$56:$L$56)))</f>
        <v>21.572422331900984</v>
      </c>
      <c r="M67" s="3">
        <f>M66*(1+(_xlfn.XLOOKUP(M$1,'[1]Table 2'!$H$55:$L$55,'[1]Table 2'!$H$56:$L$56)))</f>
        <v>10.268030276942358</v>
      </c>
      <c r="N67" s="3">
        <f>N66*(1+(_xlfn.XLOOKUP(N$1,'[1]Table 2'!$H$55:$L$55,'[1]Table 2'!$H$56:$L$56)))</f>
        <v>21.572422331900984</v>
      </c>
      <c r="O67" s="3">
        <f>O66*(1+(_xlfn.XLOOKUP(O$1,'[1]Table 2'!$H$55:$L$55,'[1]Table 2'!$H$56:$L$56)))</f>
        <v>2.5786759649786855</v>
      </c>
      <c r="P67" s="3">
        <f>P66*(1+(_xlfn.XLOOKUP(P$1,'[1]Table 2'!$H$55:$L$55,'[1]Table 2'!$H$56:$L$56)))</f>
        <v>21.572422331900984</v>
      </c>
      <c r="Q67" s="3">
        <f>Q66*(1+(_xlfn.XLOOKUP(Q$1,'[1]Table 2'!$H$55:$L$55,'[1]Table 2'!$H$56:$L$56)))</f>
        <v>10.268030276942358</v>
      </c>
      <c r="R67" s="3">
        <f>R66*(1+(_xlfn.XLOOKUP(R$1,'[1]Table 2'!$H$55:$L$55,'[1]Table 2'!$H$56:$L$56)))</f>
        <v>21.572422331900984</v>
      </c>
      <c r="S67" s="3">
        <f>S66*(1+(_xlfn.XLOOKUP(S$1,'[1]Table 2'!$H$55:$L$55,'[1]Table 2'!$H$56:$L$56)))</f>
        <v>2.5786759649786855</v>
      </c>
      <c r="T67" s="3">
        <f>T66*(1+(_xlfn.XLOOKUP(T$1,'[1]Table 2'!$H$55:$L$55,'[1]Table 2'!$H$56:$L$56)))</f>
        <v>41.684229161410293</v>
      </c>
      <c r="U67" s="3">
        <f>U66*(1+(_xlfn.XLOOKUP(U$1,'[1]Table 2'!$H$55:$L$55,'[1]Table 2'!$H$56:$L$56)))</f>
        <v>2.5786759649786855</v>
      </c>
      <c r="V67" s="3">
        <f>V66*(1+(_xlfn.XLOOKUP(V$1,'[1]Table 2'!$H$55:$L$55,'[1]Table 2'!$H$56:$L$56)))</f>
        <v>21.572422331900984</v>
      </c>
      <c r="W67" s="3">
        <f>W66*(1+(_xlfn.XLOOKUP(W$1,'[1]Table 2'!$H$55:$L$55,'[1]Table 2'!$H$56:$L$56)))</f>
        <v>3.9623537951141197</v>
      </c>
      <c r="X67" s="3">
        <f>X66*(1+(_xlfn.XLOOKUP(X$1,'[1]Table 2'!$H$55:$L$55,'[1]Table 2'!$H$56:$L$56)))</f>
        <v>10.268030276942358</v>
      </c>
      <c r="Y67" s="3">
        <f>Y66*(1+(_xlfn.XLOOKUP(Y$1,'[1]Table 2'!$H$55:$L$55,'[1]Table 2'!$H$56:$L$56)))</f>
        <v>3.9623537951141197</v>
      </c>
      <c r="Z67" s="3">
        <f>Z66*(1+(_xlfn.XLOOKUP(Z$1,'[1]Table 2'!$H$55:$L$55,'[1]Table 2'!$H$56:$L$56)))</f>
        <v>2.5786759649786855</v>
      </c>
      <c r="AA67" s="3">
        <f>AA66*(1+(_xlfn.XLOOKUP(AA$1,'[1]Table 2'!$H$55:$L$55,'[1]Table 2'!$H$56:$L$56)))</f>
        <v>3.9623537951141197</v>
      </c>
    </row>
    <row r="68" spans="1:27" x14ac:dyDescent="0.2">
      <c r="A68" s="1">
        <v>2036</v>
      </c>
      <c r="B68" s="3">
        <f>B67*(1+(_xlfn.XLOOKUP(B$1,'[1]Table 2'!$H$55:$L$55,'[1]Table 2'!$H$56:$L$56)))</f>
        <v>10.347143115983663</v>
      </c>
      <c r="C68" s="3">
        <f>C67*(1+(_xlfn.XLOOKUP(C$1,'[1]Table 2'!$H$55:$L$55,'[1]Table 2'!$H$56:$L$56)))</f>
        <v>10.347143115983663</v>
      </c>
      <c r="D68" s="3">
        <f>D67*(1+(_xlfn.XLOOKUP(D$1,'[1]Table 2'!$H$55:$L$55,'[1]Table 2'!$H$56:$L$56)))</f>
        <v>10.347143115983663</v>
      </c>
      <c r="E68" s="3">
        <f>E67*(1+(_xlfn.XLOOKUP(E$1,'[1]Table 2'!$H$55:$L$55,'[1]Table 2'!$H$56:$L$56)))</f>
        <v>21.767336982276287</v>
      </c>
      <c r="F68" s="3">
        <f>F67*(1+(_xlfn.XLOOKUP(F$1,'[1]Table 2'!$H$55:$L$55,'[1]Table 2'!$H$56:$L$56)))</f>
        <v>3.9638646392615087</v>
      </c>
      <c r="G68" s="3">
        <f>G67*(1+(_xlfn.XLOOKUP(G$1,'[1]Table 2'!$H$55:$L$55,'[1]Table 2'!$H$56:$L$56)))</f>
        <v>21.767336982276287</v>
      </c>
      <c r="H68" s="3">
        <f>H67*(1+(_xlfn.XLOOKUP(H$1,'[1]Table 2'!$H$55:$L$55,'[1]Table 2'!$H$56:$L$56)))</f>
        <v>2.5770911212646599</v>
      </c>
      <c r="I68" s="3">
        <f>I67*(1+(_xlfn.XLOOKUP(I$1,'[1]Table 2'!$H$55:$L$55,'[1]Table 2'!$H$56:$L$56)))</f>
        <v>21.767336982276287</v>
      </c>
      <c r="J68" s="3">
        <f>J67*(1+(_xlfn.XLOOKUP(J$1,'[1]Table 2'!$H$55:$L$55,'[1]Table 2'!$H$56:$L$56)))</f>
        <v>21.767336982276287</v>
      </c>
      <c r="K68" s="3">
        <f>K67*(1+(_xlfn.XLOOKUP(K$1,'[1]Table 2'!$H$55:$L$55,'[1]Table 2'!$H$56:$L$56)))</f>
        <v>21.767336982276287</v>
      </c>
      <c r="L68" s="3">
        <f>L67*(1+(_xlfn.XLOOKUP(L$1,'[1]Table 2'!$H$55:$L$55,'[1]Table 2'!$H$56:$L$56)))</f>
        <v>21.767336982276287</v>
      </c>
      <c r="M68" s="3">
        <f>M67*(1+(_xlfn.XLOOKUP(M$1,'[1]Table 2'!$H$55:$L$55,'[1]Table 2'!$H$56:$L$56)))</f>
        <v>10.347143115983663</v>
      </c>
      <c r="N68" s="3">
        <f>N67*(1+(_xlfn.XLOOKUP(N$1,'[1]Table 2'!$H$55:$L$55,'[1]Table 2'!$H$56:$L$56)))</f>
        <v>21.767336982276287</v>
      </c>
      <c r="O68" s="3">
        <f>O67*(1+(_xlfn.XLOOKUP(O$1,'[1]Table 2'!$H$55:$L$55,'[1]Table 2'!$H$56:$L$56)))</f>
        <v>2.5770911212646599</v>
      </c>
      <c r="P68" s="3">
        <f>P67*(1+(_xlfn.XLOOKUP(P$1,'[1]Table 2'!$H$55:$L$55,'[1]Table 2'!$H$56:$L$56)))</f>
        <v>21.767336982276287</v>
      </c>
      <c r="Q68" s="3">
        <f>Q67*(1+(_xlfn.XLOOKUP(Q$1,'[1]Table 2'!$H$55:$L$55,'[1]Table 2'!$H$56:$L$56)))</f>
        <v>10.347143115983663</v>
      </c>
      <c r="R68" s="3">
        <f>R67*(1+(_xlfn.XLOOKUP(R$1,'[1]Table 2'!$H$55:$L$55,'[1]Table 2'!$H$56:$L$56)))</f>
        <v>21.767336982276287</v>
      </c>
      <c r="S68" s="3">
        <f>S67*(1+(_xlfn.XLOOKUP(S$1,'[1]Table 2'!$H$55:$L$55,'[1]Table 2'!$H$56:$L$56)))</f>
        <v>2.5770911212646599</v>
      </c>
      <c r="T68" s="3">
        <f>T67*(1+(_xlfn.XLOOKUP(T$1,'[1]Table 2'!$H$55:$L$55,'[1]Table 2'!$H$56:$L$56)))</f>
        <v>42.514581465011801</v>
      </c>
      <c r="U68" s="3">
        <f>U67*(1+(_xlfn.XLOOKUP(U$1,'[1]Table 2'!$H$55:$L$55,'[1]Table 2'!$H$56:$L$56)))</f>
        <v>2.5770911212646599</v>
      </c>
      <c r="V68" s="3">
        <f>V67*(1+(_xlfn.XLOOKUP(V$1,'[1]Table 2'!$H$55:$L$55,'[1]Table 2'!$H$56:$L$56)))</f>
        <v>21.767336982276287</v>
      </c>
      <c r="W68" s="3">
        <f>W67*(1+(_xlfn.XLOOKUP(W$1,'[1]Table 2'!$H$55:$L$55,'[1]Table 2'!$H$56:$L$56)))</f>
        <v>3.9638646392615087</v>
      </c>
      <c r="X68" s="3">
        <f>X67*(1+(_xlfn.XLOOKUP(X$1,'[1]Table 2'!$H$55:$L$55,'[1]Table 2'!$H$56:$L$56)))</f>
        <v>10.347143115983663</v>
      </c>
      <c r="Y68" s="3">
        <f>Y67*(1+(_xlfn.XLOOKUP(Y$1,'[1]Table 2'!$H$55:$L$55,'[1]Table 2'!$H$56:$L$56)))</f>
        <v>3.9638646392615087</v>
      </c>
      <c r="Z68" s="3">
        <f>Z67*(1+(_xlfn.XLOOKUP(Z$1,'[1]Table 2'!$H$55:$L$55,'[1]Table 2'!$H$56:$L$56)))</f>
        <v>2.5770911212646599</v>
      </c>
      <c r="AA68" s="3">
        <f>AA67*(1+(_xlfn.XLOOKUP(AA$1,'[1]Table 2'!$H$55:$L$55,'[1]Table 2'!$H$56:$L$56)))</f>
        <v>3.9638646392615087</v>
      </c>
    </row>
    <row r="69" spans="1:27" x14ac:dyDescent="0.2">
      <c r="A69" s="1">
        <v>2037</v>
      </c>
      <c r="B69" s="3">
        <f>B68*(1+(_xlfn.XLOOKUP(B$1,'[1]Table 2'!$H$55:$L$55,'[1]Table 2'!$H$56:$L$56)))</f>
        <v>10.426865501464972</v>
      </c>
      <c r="C69" s="3">
        <f>C68*(1+(_xlfn.XLOOKUP(C$1,'[1]Table 2'!$H$55:$L$55,'[1]Table 2'!$H$56:$L$56)))</f>
        <v>10.426865501464972</v>
      </c>
      <c r="D69" s="3">
        <f>D68*(1+(_xlfn.XLOOKUP(D$1,'[1]Table 2'!$H$55:$L$55,'[1]Table 2'!$H$56:$L$56)))</f>
        <v>10.426865501464972</v>
      </c>
      <c r="E69" s="3">
        <f>E68*(1+(_xlfn.XLOOKUP(E$1,'[1]Table 2'!$H$55:$L$55,'[1]Table 2'!$H$56:$L$56)))</f>
        <v>21.964012757125531</v>
      </c>
      <c r="F69" s="3">
        <f>F68*(1+(_xlfn.XLOOKUP(F$1,'[1]Table 2'!$H$55:$L$55,'[1]Table 2'!$H$56:$L$56)))</f>
        <v>3.9653760594932543</v>
      </c>
      <c r="G69" s="3">
        <f>G68*(1+(_xlfn.XLOOKUP(G$1,'[1]Table 2'!$H$55:$L$55,'[1]Table 2'!$H$56:$L$56)))</f>
        <v>21.964012757125531</v>
      </c>
      <c r="H69" s="3">
        <f>H68*(1+(_xlfn.XLOOKUP(H$1,'[1]Table 2'!$H$55:$L$55,'[1]Table 2'!$H$56:$L$56)))</f>
        <v>2.5755072515891064</v>
      </c>
      <c r="I69" s="3">
        <f>I68*(1+(_xlfn.XLOOKUP(I$1,'[1]Table 2'!$H$55:$L$55,'[1]Table 2'!$H$56:$L$56)))</f>
        <v>21.964012757125531</v>
      </c>
      <c r="J69" s="3">
        <f>J68*(1+(_xlfn.XLOOKUP(J$1,'[1]Table 2'!$H$55:$L$55,'[1]Table 2'!$H$56:$L$56)))</f>
        <v>21.964012757125531</v>
      </c>
      <c r="K69" s="3">
        <f>K68*(1+(_xlfn.XLOOKUP(K$1,'[1]Table 2'!$H$55:$L$55,'[1]Table 2'!$H$56:$L$56)))</f>
        <v>21.964012757125531</v>
      </c>
      <c r="L69" s="3">
        <f>L68*(1+(_xlfn.XLOOKUP(L$1,'[1]Table 2'!$H$55:$L$55,'[1]Table 2'!$H$56:$L$56)))</f>
        <v>21.964012757125531</v>
      </c>
      <c r="M69" s="3">
        <f>M68*(1+(_xlfn.XLOOKUP(M$1,'[1]Table 2'!$H$55:$L$55,'[1]Table 2'!$H$56:$L$56)))</f>
        <v>10.426865501464972</v>
      </c>
      <c r="N69" s="3">
        <f>N68*(1+(_xlfn.XLOOKUP(N$1,'[1]Table 2'!$H$55:$L$55,'[1]Table 2'!$H$56:$L$56)))</f>
        <v>21.964012757125531</v>
      </c>
      <c r="O69" s="3">
        <f>O68*(1+(_xlfn.XLOOKUP(O$1,'[1]Table 2'!$H$55:$L$55,'[1]Table 2'!$H$56:$L$56)))</f>
        <v>2.5755072515891064</v>
      </c>
      <c r="P69" s="3">
        <f>P68*(1+(_xlfn.XLOOKUP(P$1,'[1]Table 2'!$H$55:$L$55,'[1]Table 2'!$H$56:$L$56)))</f>
        <v>21.964012757125531</v>
      </c>
      <c r="Q69" s="3">
        <f>Q68*(1+(_xlfn.XLOOKUP(Q$1,'[1]Table 2'!$H$55:$L$55,'[1]Table 2'!$H$56:$L$56)))</f>
        <v>10.426865501464972</v>
      </c>
      <c r="R69" s="3">
        <f>R68*(1+(_xlfn.XLOOKUP(R$1,'[1]Table 2'!$H$55:$L$55,'[1]Table 2'!$H$56:$L$56)))</f>
        <v>21.964012757125531</v>
      </c>
      <c r="S69" s="3">
        <f>S68*(1+(_xlfn.XLOOKUP(S$1,'[1]Table 2'!$H$55:$L$55,'[1]Table 2'!$H$56:$L$56)))</f>
        <v>2.5755072515891064</v>
      </c>
      <c r="T69" s="3">
        <f>T68*(1+(_xlfn.XLOOKUP(T$1,'[1]Table 2'!$H$55:$L$55,'[1]Table 2'!$H$56:$L$56)))</f>
        <v>43.36147443547862</v>
      </c>
      <c r="U69" s="3">
        <f>U68*(1+(_xlfn.XLOOKUP(U$1,'[1]Table 2'!$H$55:$L$55,'[1]Table 2'!$H$56:$L$56)))</f>
        <v>2.5755072515891064</v>
      </c>
      <c r="V69" s="3">
        <f>V68*(1+(_xlfn.XLOOKUP(V$1,'[1]Table 2'!$H$55:$L$55,'[1]Table 2'!$H$56:$L$56)))</f>
        <v>21.964012757125531</v>
      </c>
      <c r="W69" s="3">
        <f>W68*(1+(_xlfn.XLOOKUP(W$1,'[1]Table 2'!$H$55:$L$55,'[1]Table 2'!$H$56:$L$56)))</f>
        <v>3.9653760594932543</v>
      </c>
      <c r="X69" s="3">
        <f>X68*(1+(_xlfn.XLOOKUP(X$1,'[1]Table 2'!$H$55:$L$55,'[1]Table 2'!$H$56:$L$56)))</f>
        <v>10.426865501464972</v>
      </c>
      <c r="Y69" s="3">
        <f>Y68*(1+(_xlfn.XLOOKUP(Y$1,'[1]Table 2'!$H$55:$L$55,'[1]Table 2'!$H$56:$L$56)))</f>
        <v>3.9653760594932543</v>
      </c>
      <c r="Z69" s="3">
        <f>Z68*(1+(_xlfn.XLOOKUP(Z$1,'[1]Table 2'!$H$55:$L$55,'[1]Table 2'!$H$56:$L$56)))</f>
        <v>2.5755072515891064</v>
      </c>
      <c r="AA69" s="3">
        <f>AA68*(1+(_xlfn.XLOOKUP(AA$1,'[1]Table 2'!$H$55:$L$55,'[1]Table 2'!$H$56:$L$56)))</f>
        <v>3.9653760594932543</v>
      </c>
    </row>
    <row r="70" spans="1:27" x14ac:dyDescent="0.2">
      <c r="A70" s="1">
        <v>2038</v>
      </c>
      <c r="B70" s="3">
        <f>B69*(1+(_xlfn.XLOOKUP(B$1,'[1]Table 2'!$H$55:$L$55,'[1]Table 2'!$H$56:$L$56)))</f>
        <v>10.507202129803037</v>
      </c>
      <c r="C70" s="3">
        <f>C69*(1+(_xlfn.XLOOKUP(C$1,'[1]Table 2'!$H$55:$L$55,'[1]Table 2'!$H$56:$L$56)))</f>
        <v>10.507202129803037</v>
      </c>
      <c r="D70" s="3">
        <f>D69*(1+(_xlfn.XLOOKUP(D$1,'[1]Table 2'!$H$55:$L$55,'[1]Table 2'!$H$56:$L$56)))</f>
        <v>10.507202129803037</v>
      </c>
      <c r="E70" s="3">
        <f>E69*(1+(_xlfn.XLOOKUP(E$1,'[1]Table 2'!$H$55:$L$55,'[1]Table 2'!$H$56:$L$56)))</f>
        <v>22.162465568846308</v>
      </c>
      <c r="F70" s="3">
        <f>F69*(1+(_xlfn.XLOOKUP(F$1,'[1]Table 2'!$H$55:$L$55,'[1]Table 2'!$H$56:$L$56)))</f>
        <v>3.9668880560290178</v>
      </c>
      <c r="G70" s="3">
        <f>G69*(1+(_xlfn.XLOOKUP(G$1,'[1]Table 2'!$H$55:$L$55,'[1]Table 2'!$H$56:$L$56)))</f>
        <v>22.162465568846308</v>
      </c>
      <c r="H70" s="3">
        <f>H69*(1+(_xlfn.XLOOKUP(H$1,'[1]Table 2'!$H$55:$L$55,'[1]Table 2'!$H$56:$L$56)))</f>
        <v>2.5739243553533857</v>
      </c>
      <c r="I70" s="3">
        <f>I69*(1+(_xlfn.XLOOKUP(I$1,'[1]Table 2'!$H$55:$L$55,'[1]Table 2'!$H$56:$L$56)))</f>
        <v>22.162465568846308</v>
      </c>
      <c r="J70" s="3">
        <f>J69*(1+(_xlfn.XLOOKUP(J$1,'[1]Table 2'!$H$55:$L$55,'[1]Table 2'!$H$56:$L$56)))</f>
        <v>22.162465568846308</v>
      </c>
      <c r="K70" s="3">
        <f>K69*(1+(_xlfn.XLOOKUP(K$1,'[1]Table 2'!$H$55:$L$55,'[1]Table 2'!$H$56:$L$56)))</f>
        <v>22.162465568846308</v>
      </c>
      <c r="L70" s="3">
        <f>L69*(1+(_xlfn.XLOOKUP(L$1,'[1]Table 2'!$H$55:$L$55,'[1]Table 2'!$H$56:$L$56)))</f>
        <v>22.162465568846308</v>
      </c>
      <c r="M70" s="3">
        <f>M69*(1+(_xlfn.XLOOKUP(M$1,'[1]Table 2'!$H$55:$L$55,'[1]Table 2'!$H$56:$L$56)))</f>
        <v>10.507202129803037</v>
      </c>
      <c r="N70" s="3">
        <f>N69*(1+(_xlfn.XLOOKUP(N$1,'[1]Table 2'!$H$55:$L$55,'[1]Table 2'!$H$56:$L$56)))</f>
        <v>22.162465568846308</v>
      </c>
      <c r="O70" s="3">
        <f>O69*(1+(_xlfn.XLOOKUP(O$1,'[1]Table 2'!$H$55:$L$55,'[1]Table 2'!$H$56:$L$56)))</f>
        <v>2.5739243553533857</v>
      </c>
      <c r="P70" s="3">
        <f>P69*(1+(_xlfn.XLOOKUP(P$1,'[1]Table 2'!$H$55:$L$55,'[1]Table 2'!$H$56:$L$56)))</f>
        <v>22.162465568846308</v>
      </c>
      <c r="Q70" s="3">
        <f>Q69*(1+(_xlfn.XLOOKUP(Q$1,'[1]Table 2'!$H$55:$L$55,'[1]Table 2'!$H$56:$L$56)))</f>
        <v>10.507202129803037</v>
      </c>
      <c r="R70" s="3">
        <f>R69*(1+(_xlfn.XLOOKUP(R$1,'[1]Table 2'!$H$55:$L$55,'[1]Table 2'!$H$56:$L$56)))</f>
        <v>22.162465568846308</v>
      </c>
      <c r="S70" s="3">
        <f>S69*(1+(_xlfn.XLOOKUP(S$1,'[1]Table 2'!$H$55:$L$55,'[1]Table 2'!$H$56:$L$56)))</f>
        <v>2.5739243553533857</v>
      </c>
      <c r="T70" s="3">
        <f>T69*(1+(_xlfn.XLOOKUP(T$1,'[1]Table 2'!$H$55:$L$55,'[1]Table 2'!$H$56:$L$56)))</f>
        <v>44.225237563870351</v>
      </c>
      <c r="U70" s="3">
        <f>U69*(1+(_xlfn.XLOOKUP(U$1,'[1]Table 2'!$H$55:$L$55,'[1]Table 2'!$H$56:$L$56)))</f>
        <v>2.5739243553533857</v>
      </c>
      <c r="V70" s="3">
        <f>V69*(1+(_xlfn.XLOOKUP(V$1,'[1]Table 2'!$H$55:$L$55,'[1]Table 2'!$H$56:$L$56)))</f>
        <v>22.162465568846308</v>
      </c>
      <c r="W70" s="3">
        <f>W69*(1+(_xlfn.XLOOKUP(W$1,'[1]Table 2'!$H$55:$L$55,'[1]Table 2'!$H$56:$L$56)))</f>
        <v>3.9668880560290178</v>
      </c>
      <c r="X70" s="3">
        <f>X69*(1+(_xlfn.XLOOKUP(X$1,'[1]Table 2'!$H$55:$L$55,'[1]Table 2'!$H$56:$L$56)))</f>
        <v>10.507202129803037</v>
      </c>
      <c r="Y70" s="3">
        <f>Y69*(1+(_xlfn.XLOOKUP(Y$1,'[1]Table 2'!$H$55:$L$55,'[1]Table 2'!$H$56:$L$56)))</f>
        <v>3.9668880560290178</v>
      </c>
      <c r="Z70" s="3">
        <f>Z69*(1+(_xlfn.XLOOKUP(Z$1,'[1]Table 2'!$H$55:$L$55,'[1]Table 2'!$H$56:$L$56)))</f>
        <v>2.5739243553533857</v>
      </c>
      <c r="AA70" s="3">
        <f>AA69*(1+(_xlfn.XLOOKUP(AA$1,'[1]Table 2'!$H$55:$L$55,'[1]Table 2'!$H$56:$L$56)))</f>
        <v>3.9668880560290178</v>
      </c>
    </row>
    <row r="71" spans="1:27" x14ac:dyDescent="0.2">
      <c r="A71" s="1">
        <v>2039</v>
      </c>
      <c r="B71" s="3">
        <f>B70*(1+(_xlfn.XLOOKUP(B$1,'[1]Table 2'!$H$55:$L$55,'[1]Table 2'!$H$56:$L$56)))</f>
        <v>10.588157733599434</v>
      </c>
      <c r="C71" s="3">
        <f>C70*(1+(_xlfn.XLOOKUP(C$1,'[1]Table 2'!$H$55:$L$55,'[1]Table 2'!$H$56:$L$56)))</f>
        <v>10.588157733599434</v>
      </c>
      <c r="D71" s="3">
        <f>D70*(1+(_xlfn.XLOOKUP(D$1,'[1]Table 2'!$H$55:$L$55,'[1]Table 2'!$H$56:$L$56)))</f>
        <v>10.588157733599434</v>
      </c>
      <c r="E71" s="3">
        <f>E70*(1+(_xlfn.XLOOKUP(E$1,'[1]Table 2'!$H$55:$L$55,'[1]Table 2'!$H$56:$L$56)))</f>
        <v>22.362711473610482</v>
      </c>
      <c r="F71" s="3">
        <f>F70*(1+(_xlfn.XLOOKUP(F$1,'[1]Table 2'!$H$55:$L$55,'[1]Table 2'!$H$56:$L$56)))</f>
        <v>3.9684006290885434</v>
      </c>
      <c r="G71" s="3">
        <f>G70*(1+(_xlfn.XLOOKUP(G$1,'[1]Table 2'!$H$55:$L$55,'[1]Table 2'!$H$56:$L$56)))</f>
        <v>22.362711473610482</v>
      </c>
      <c r="H71" s="3">
        <f>H70*(1+(_xlfn.XLOOKUP(H$1,'[1]Table 2'!$H$55:$L$55,'[1]Table 2'!$H$56:$L$56)))</f>
        <v>2.5723424319592252</v>
      </c>
      <c r="I71" s="3">
        <f>I70*(1+(_xlfn.XLOOKUP(I$1,'[1]Table 2'!$H$55:$L$55,'[1]Table 2'!$H$56:$L$56)))</f>
        <v>22.362711473610482</v>
      </c>
      <c r="J71" s="3">
        <f>J70*(1+(_xlfn.XLOOKUP(J$1,'[1]Table 2'!$H$55:$L$55,'[1]Table 2'!$H$56:$L$56)))</f>
        <v>22.362711473610482</v>
      </c>
      <c r="K71" s="3">
        <f>K70*(1+(_xlfn.XLOOKUP(K$1,'[1]Table 2'!$H$55:$L$55,'[1]Table 2'!$H$56:$L$56)))</f>
        <v>22.362711473610482</v>
      </c>
      <c r="L71" s="3">
        <f>L70*(1+(_xlfn.XLOOKUP(L$1,'[1]Table 2'!$H$55:$L$55,'[1]Table 2'!$H$56:$L$56)))</f>
        <v>22.362711473610482</v>
      </c>
      <c r="M71" s="3">
        <f>M70*(1+(_xlfn.XLOOKUP(M$1,'[1]Table 2'!$H$55:$L$55,'[1]Table 2'!$H$56:$L$56)))</f>
        <v>10.588157733599434</v>
      </c>
      <c r="N71" s="3">
        <f>N70*(1+(_xlfn.XLOOKUP(N$1,'[1]Table 2'!$H$55:$L$55,'[1]Table 2'!$H$56:$L$56)))</f>
        <v>22.362711473610482</v>
      </c>
      <c r="O71" s="3">
        <f>O70*(1+(_xlfn.XLOOKUP(O$1,'[1]Table 2'!$H$55:$L$55,'[1]Table 2'!$H$56:$L$56)))</f>
        <v>2.5723424319592252</v>
      </c>
      <c r="P71" s="3">
        <f>P70*(1+(_xlfn.XLOOKUP(P$1,'[1]Table 2'!$H$55:$L$55,'[1]Table 2'!$H$56:$L$56)))</f>
        <v>22.362711473610482</v>
      </c>
      <c r="Q71" s="3">
        <f>Q70*(1+(_xlfn.XLOOKUP(Q$1,'[1]Table 2'!$H$55:$L$55,'[1]Table 2'!$H$56:$L$56)))</f>
        <v>10.588157733599434</v>
      </c>
      <c r="R71" s="3">
        <f>R70*(1+(_xlfn.XLOOKUP(R$1,'[1]Table 2'!$H$55:$L$55,'[1]Table 2'!$H$56:$L$56)))</f>
        <v>22.362711473610482</v>
      </c>
      <c r="S71" s="3">
        <f>S70*(1+(_xlfn.XLOOKUP(S$1,'[1]Table 2'!$H$55:$L$55,'[1]Table 2'!$H$56:$L$56)))</f>
        <v>2.5723424319592252</v>
      </c>
      <c r="T71" s="3">
        <f>T70*(1+(_xlfn.XLOOKUP(T$1,'[1]Table 2'!$H$55:$L$55,'[1]Table 2'!$H$56:$L$56)))</f>
        <v>45.106206904727927</v>
      </c>
      <c r="U71" s="3">
        <f>U70*(1+(_xlfn.XLOOKUP(U$1,'[1]Table 2'!$H$55:$L$55,'[1]Table 2'!$H$56:$L$56)))</f>
        <v>2.5723424319592252</v>
      </c>
      <c r="V71" s="3">
        <f>V70*(1+(_xlfn.XLOOKUP(V$1,'[1]Table 2'!$H$55:$L$55,'[1]Table 2'!$H$56:$L$56)))</f>
        <v>22.362711473610482</v>
      </c>
      <c r="W71" s="3">
        <f>W70*(1+(_xlfn.XLOOKUP(W$1,'[1]Table 2'!$H$55:$L$55,'[1]Table 2'!$H$56:$L$56)))</f>
        <v>3.9684006290885434</v>
      </c>
      <c r="X71" s="3">
        <f>X70*(1+(_xlfn.XLOOKUP(X$1,'[1]Table 2'!$H$55:$L$55,'[1]Table 2'!$H$56:$L$56)))</f>
        <v>10.588157733599434</v>
      </c>
      <c r="Y71" s="3">
        <f>Y70*(1+(_xlfn.XLOOKUP(Y$1,'[1]Table 2'!$H$55:$L$55,'[1]Table 2'!$H$56:$L$56)))</f>
        <v>3.9684006290885434</v>
      </c>
      <c r="Z71" s="3">
        <f>Z70*(1+(_xlfn.XLOOKUP(Z$1,'[1]Table 2'!$H$55:$L$55,'[1]Table 2'!$H$56:$L$56)))</f>
        <v>2.5723424319592252</v>
      </c>
      <c r="AA71" s="3">
        <f>AA70*(1+(_xlfn.XLOOKUP(AA$1,'[1]Table 2'!$H$55:$L$55,'[1]Table 2'!$H$56:$L$56)))</f>
        <v>3.9684006290885434</v>
      </c>
    </row>
    <row r="72" spans="1:27" x14ac:dyDescent="0.2">
      <c r="A72" s="1">
        <v>2040</v>
      </c>
      <c r="B72" s="3">
        <f>B71*(1+(_xlfn.XLOOKUP(B$1,'[1]Table 2'!$H$55:$L$55,'[1]Table 2'!$H$56:$L$56)))</f>
        <v>10.669737081919356</v>
      </c>
      <c r="C72" s="3">
        <f>C71*(1+(_xlfn.XLOOKUP(C$1,'[1]Table 2'!$H$55:$L$55,'[1]Table 2'!$H$56:$L$56)))</f>
        <v>10.669737081919356</v>
      </c>
      <c r="D72" s="3">
        <f>D71*(1+(_xlfn.XLOOKUP(D$1,'[1]Table 2'!$H$55:$L$55,'[1]Table 2'!$H$56:$L$56)))</f>
        <v>10.669737081919356</v>
      </c>
      <c r="E72" s="3">
        <f>E71*(1+(_xlfn.XLOOKUP(E$1,'[1]Table 2'!$H$55:$L$55,'[1]Table 2'!$H$56:$L$56)))</f>
        <v>22.564766672663247</v>
      </c>
      <c r="F72" s="3">
        <f>F71*(1+(_xlfn.XLOOKUP(F$1,'[1]Table 2'!$H$55:$L$55,'[1]Table 2'!$H$56:$L$56)))</f>
        <v>3.9699137788916596</v>
      </c>
      <c r="G72" s="3">
        <f>G71*(1+(_xlfn.XLOOKUP(G$1,'[1]Table 2'!$H$55:$L$55,'[1]Table 2'!$H$56:$L$56)))</f>
        <v>22.564766672663247</v>
      </c>
      <c r="H72" s="3">
        <f>H71*(1+(_xlfn.XLOOKUP(H$1,'[1]Table 2'!$H$55:$L$55,'[1]Table 2'!$H$56:$L$56)))</f>
        <v>2.5707614808087205</v>
      </c>
      <c r="I72" s="3">
        <f>I71*(1+(_xlfn.XLOOKUP(I$1,'[1]Table 2'!$H$55:$L$55,'[1]Table 2'!$H$56:$L$56)))</f>
        <v>22.564766672663247</v>
      </c>
      <c r="J72" s="3">
        <f>J71*(1+(_xlfn.XLOOKUP(J$1,'[1]Table 2'!$H$55:$L$55,'[1]Table 2'!$H$56:$L$56)))</f>
        <v>22.564766672663247</v>
      </c>
      <c r="K72" s="3">
        <f>K71*(1+(_xlfn.XLOOKUP(K$1,'[1]Table 2'!$H$55:$L$55,'[1]Table 2'!$H$56:$L$56)))</f>
        <v>22.564766672663247</v>
      </c>
      <c r="L72" s="3">
        <f>L71*(1+(_xlfn.XLOOKUP(L$1,'[1]Table 2'!$H$55:$L$55,'[1]Table 2'!$H$56:$L$56)))</f>
        <v>22.564766672663247</v>
      </c>
      <c r="M72" s="3">
        <f>M71*(1+(_xlfn.XLOOKUP(M$1,'[1]Table 2'!$H$55:$L$55,'[1]Table 2'!$H$56:$L$56)))</f>
        <v>10.669737081919356</v>
      </c>
      <c r="N72" s="3">
        <f>N71*(1+(_xlfn.XLOOKUP(N$1,'[1]Table 2'!$H$55:$L$55,'[1]Table 2'!$H$56:$L$56)))</f>
        <v>22.564766672663247</v>
      </c>
      <c r="O72" s="3">
        <f>O71*(1+(_xlfn.XLOOKUP(O$1,'[1]Table 2'!$H$55:$L$55,'[1]Table 2'!$H$56:$L$56)))</f>
        <v>2.5707614808087205</v>
      </c>
      <c r="P72" s="3">
        <f>P71*(1+(_xlfn.XLOOKUP(P$1,'[1]Table 2'!$H$55:$L$55,'[1]Table 2'!$H$56:$L$56)))</f>
        <v>22.564766672663247</v>
      </c>
      <c r="Q72" s="3">
        <f>Q71*(1+(_xlfn.XLOOKUP(Q$1,'[1]Table 2'!$H$55:$L$55,'[1]Table 2'!$H$56:$L$56)))</f>
        <v>10.669737081919356</v>
      </c>
      <c r="R72" s="3">
        <f>R71*(1+(_xlfn.XLOOKUP(R$1,'[1]Table 2'!$H$55:$L$55,'[1]Table 2'!$H$56:$L$56)))</f>
        <v>22.564766672663247</v>
      </c>
      <c r="S72" s="3">
        <f>S71*(1+(_xlfn.XLOOKUP(S$1,'[1]Table 2'!$H$55:$L$55,'[1]Table 2'!$H$56:$L$56)))</f>
        <v>2.5707614808087205</v>
      </c>
      <c r="T72" s="3">
        <f>T71*(1+(_xlfn.XLOOKUP(T$1,'[1]Table 2'!$H$55:$L$55,'[1]Table 2'!$H$56:$L$56)))</f>
        <v>46.004725206818556</v>
      </c>
      <c r="U72" s="3">
        <f>U71*(1+(_xlfn.XLOOKUP(U$1,'[1]Table 2'!$H$55:$L$55,'[1]Table 2'!$H$56:$L$56)))</f>
        <v>2.5707614808087205</v>
      </c>
      <c r="V72" s="3">
        <f>V71*(1+(_xlfn.XLOOKUP(V$1,'[1]Table 2'!$H$55:$L$55,'[1]Table 2'!$H$56:$L$56)))</f>
        <v>22.564766672663247</v>
      </c>
      <c r="W72" s="3">
        <f>W71*(1+(_xlfn.XLOOKUP(W$1,'[1]Table 2'!$H$55:$L$55,'[1]Table 2'!$H$56:$L$56)))</f>
        <v>3.9699137788916596</v>
      </c>
      <c r="X72" s="3">
        <f>X71*(1+(_xlfn.XLOOKUP(X$1,'[1]Table 2'!$H$55:$L$55,'[1]Table 2'!$H$56:$L$56)))</f>
        <v>10.669737081919356</v>
      </c>
      <c r="Y72" s="3">
        <f>Y71*(1+(_xlfn.XLOOKUP(Y$1,'[1]Table 2'!$H$55:$L$55,'[1]Table 2'!$H$56:$L$56)))</f>
        <v>3.9699137788916596</v>
      </c>
      <c r="Z72" s="3">
        <f>Z71*(1+(_xlfn.XLOOKUP(Z$1,'[1]Table 2'!$H$55:$L$55,'[1]Table 2'!$H$56:$L$56)))</f>
        <v>2.5707614808087205</v>
      </c>
      <c r="AA72" s="3">
        <f>AA71*(1+(_xlfn.XLOOKUP(AA$1,'[1]Table 2'!$H$55:$L$55,'[1]Table 2'!$H$56:$L$56)))</f>
        <v>3.9699137788916596</v>
      </c>
    </row>
    <row r="73" spans="1:27" x14ac:dyDescent="0.2">
      <c r="A73" s="1">
        <v>2041</v>
      </c>
      <c r="B73" s="3">
        <f>B72*(1+(_xlfn.XLOOKUP(B$1,'[1]Table 2'!$H$55:$L$55,'[1]Table 2'!$H$56:$L$56)))</f>
        <v>10.751944980572562</v>
      </c>
      <c r="C73" s="3">
        <f>C72*(1+(_xlfn.XLOOKUP(C$1,'[1]Table 2'!$H$55:$L$55,'[1]Table 2'!$H$56:$L$56)))</f>
        <v>10.751944980572562</v>
      </c>
      <c r="D73" s="3">
        <f>D72*(1+(_xlfn.XLOOKUP(D$1,'[1]Table 2'!$H$55:$L$55,'[1]Table 2'!$H$56:$L$56)))</f>
        <v>10.751944980572562</v>
      </c>
      <c r="E73" s="3">
        <f>E72*(1+(_xlfn.XLOOKUP(E$1,'[1]Table 2'!$H$55:$L$55,'[1]Table 2'!$H$56:$L$56)))</f>
        <v>22.768647513633915</v>
      </c>
      <c r="F73" s="3">
        <f>F72*(1+(_xlfn.XLOOKUP(F$1,'[1]Table 2'!$H$55:$L$55,'[1]Table 2'!$H$56:$L$56)))</f>
        <v>3.9714275056582782</v>
      </c>
      <c r="G73" s="3">
        <f>G72*(1+(_xlfn.XLOOKUP(G$1,'[1]Table 2'!$H$55:$L$55,'[1]Table 2'!$H$56:$L$56)))</f>
        <v>22.768647513633915</v>
      </c>
      <c r="H73" s="3">
        <f>H72*(1+(_xlfn.XLOOKUP(H$1,'[1]Table 2'!$H$55:$L$55,'[1]Table 2'!$H$56:$L$56)))</f>
        <v>2.5691815013043344</v>
      </c>
      <c r="I73" s="3">
        <f>I72*(1+(_xlfn.XLOOKUP(I$1,'[1]Table 2'!$H$55:$L$55,'[1]Table 2'!$H$56:$L$56)))</f>
        <v>22.768647513633915</v>
      </c>
      <c r="J73" s="3">
        <f>J72*(1+(_xlfn.XLOOKUP(J$1,'[1]Table 2'!$H$55:$L$55,'[1]Table 2'!$H$56:$L$56)))</f>
        <v>22.768647513633915</v>
      </c>
      <c r="K73" s="3">
        <f>K72*(1+(_xlfn.XLOOKUP(K$1,'[1]Table 2'!$H$55:$L$55,'[1]Table 2'!$H$56:$L$56)))</f>
        <v>22.768647513633915</v>
      </c>
      <c r="L73" s="3">
        <f>L72*(1+(_xlfn.XLOOKUP(L$1,'[1]Table 2'!$H$55:$L$55,'[1]Table 2'!$H$56:$L$56)))</f>
        <v>22.768647513633915</v>
      </c>
      <c r="M73" s="3">
        <f>M72*(1+(_xlfn.XLOOKUP(M$1,'[1]Table 2'!$H$55:$L$55,'[1]Table 2'!$H$56:$L$56)))</f>
        <v>10.751944980572562</v>
      </c>
      <c r="N73" s="3">
        <f>N72*(1+(_xlfn.XLOOKUP(N$1,'[1]Table 2'!$H$55:$L$55,'[1]Table 2'!$H$56:$L$56)))</f>
        <v>22.768647513633915</v>
      </c>
      <c r="O73" s="3">
        <f>O72*(1+(_xlfn.XLOOKUP(O$1,'[1]Table 2'!$H$55:$L$55,'[1]Table 2'!$H$56:$L$56)))</f>
        <v>2.5691815013043344</v>
      </c>
      <c r="P73" s="3">
        <f>P72*(1+(_xlfn.XLOOKUP(P$1,'[1]Table 2'!$H$55:$L$55,'[1]Table 2'!$H$56:$L$56)))</f>
        <v>22.768647513633915</v>
      </c>
      <c r="Q73" s="3">
        <f>Q72*(1+(_xlfn.XLOOKUP(Q$1,'[1]Table 2'!$H$55:$L$55,'[1]Table 2'!$H$56:$L$56)))</f>
        <v>10.751944980572562</v>
      </c>
      <c r="R73" s="3">
        <f>R72*(1+(_xlfn.XLOOKUP(R$1,'[1]Table 2'!$H$55:$L$55,'[1]Table 2'!$H$56:$L$56)))</f>
        <v>22.768647513633915</v>
      </c>
      <c r="S73" s="3">
        <f>S72*(1+(_xlfn.XLOOKUP(S$1,'[1]Table 2'!$H$55:$L$55,'[1]Table 2'!$H$56:$L$56)))</f>
        <v>2.5691815013043344</v>
      </c>
      <c r="T73" s="3">
        <f>T72*(1+(_xlfn.XLOOKUP(T$1,'[1]Table 2'!$H$55:$L$55,'[1]Table 2'!$H$56:$L$56)))</f>
        <v>46.921142046485109</v>
      </c>
      <c r="U73" s="3">
        <f>U72*(1+(_xlfn.XLOOKUP(U$1,'[1]Table 2'!$H$55:$L$55,'[1]Table 2'!$H$56:$L$56)))</f>
        <v>2.5691815013043344</v>
      </c>
      <c r="V73" s="3">
        <f>V72*(1+(_xlfn.XLOOKUP(V$1,'[1]Table 2'!$H$55:$L$55,'[1]Table 2'!$H$56:$L$56)))</f>
        <v>22.768647513633915</v>
      </c>
      <c r="W73" s="3">
        <f>W72*(1+(_xlfn.XLOOKUP(W$1,'[1]Table 2'!$H$55:$L$55,'[1]Table 2'!$H$56:$L$56)))</f>
        <v>3.9714275056582782</v>
      </c>
      <c r="X73" s="3">
        <f>X72*(1+(_xlfn.XLOOKUP(X$1,'[1]Table 2'!$H$55:$L$55,'[1]Table 2'!$H$56:$L$56)))</f>
        <v>10.751944980572562</v>
      </c>
      <c r="Y73" s="3">
        <f>Y72*(1+(_xlfn.XLOOKUP(Y$1,'[1]Table 2'!$H$55:$L$55,'[1]Table 2'!$H$56:$L$56)))</f>
        <v>3.9714275056582782</v>
      </c>
      <c r="Z73" s="3">
        <f>Z72*(1+(_xlfn.XLOOKUP(Z$1,'[1]Table 2'!$H$55:$L$55,'[1]Table 2'!$H$56:$L$56)))</f>
        <v>2.5691815013043344</v>
      </c>
      <c r="AA73" s="3">
        <f>AA72*(1+(_xlfn.XLOOKUP(AA$1,'[1]Table 2'!$H$55:$L$55,'[1]Table 2'!$H$56:$L$56)))</f>
        <v>3.9714275056582782</v>
      </c>
    </row>
    <row r="74" spans="1:27" x14ac:dyDescent="0.2">
      <c r="A74" s="1">
        <v>2042</v>
      </c>
      <c r="B74" s="3">
        <f>B73*(1+(_xlfn.XLOOKUP(B$1,'[1]Table 2'!$H$55:$L$55,'[1]Table 2'!$H$56:$L$56)))</f>
        <v>10.834786272396478</v>
      </c>
      <c r="C74" s="3">
        <f>C73*(1+(_xlfn.XLOOKUP(C$1,'[1]Table 2'!$H$55:$L$55,'[1]Table 2'!$H$56:$L$56)))</f>
        <v>10.834786272396478</v>
      </c>
      <c r="D74" s="3">
        <f>D73*(1+(_xlfn.XLOOKUP(D$1,'[1]Table 2'!$H$55:$L$55,'[1]Table 2'!$H$56:$L$56)))</f>
        <v>10.834786272396478</v>
      </c>
      <c r="E74" s="3">
        <f>E73*(1+(_xlfn.XLOOKUP(E$1,'[1]Table 2'!$H$55:$L$55,'[1]Table 2'!$H$56:$L$56)))</f>
        <v>22.974370491858558</v>
      </c>
      <c r="F74" s="3">
        <f>F73*(1+(_xlfn.XLOOKUP(F$1,'[1]Table 2'!$H$55:$L$55,'[1]Table 2'!$H$56:$L$56)))</f>
        <v>3.9729418096083955</v>
      </c>
      <c r="G74" s="3">
        <f>G73*(1+(_xlfn.XLOOKUP(G$1,'[1]Table 2'!$H$55:$L$55,'[1]Table 2'!$H$56:$L$56)))</f>
        <v>22.974370491858558</v>
      </c>
      <c r="H74" s="3">
        <f>H73*(1+(_xlfn.XLOOKUP(H$1,'[1]Table 2'!$H$55:$L$55,'[1]Table 2'!$H$56:$L$56)))</f>
        <v>2.5676024928488976</v>
      </c>
      <c r="I74" s="3">
        <f>I73*(1+(_xlfn.XLOOKUP(I$1,'[1]Table 2'!$H$55:$L$55,'[1]Table 2'!$H$56:$L$56)))</f>
        <v>22.974370491858558</v>
      </c>
      <c r="J74" s="3">
        <f>J73*(1+(_xlfn.XLOOKUP(J$1,'[1]Table 2'!$H$55:$L$55,'[1]Table 2'!$H$56:$L$56)))</f>
        <v>22.974370491858558</v>
      </c>
      <c r="K74" s="3">
        <f>K73*(1+(_xlfn.XLOOKUP(K$1,'[1]Table 2'!$H$55:$L$55,'[1]Table 2'!$H$56:$L$56)))</f>
        <v>22.974370491858558</v>
      </c>
      <c r="L74" s="3">
        <f>L73*(1+(_xlfn.XLOOKUP(L$1,'[1]Table 2'!$H$55:$L$55,'[1]Table 2'!$H$56:$L$56)))</f>
        <v>22.974370491858558</v>
      </c>
      <c r="M74" s="3">
        <f>M73*(1+(_xlfn.XLOOKUP(M$1,'[1]Table 2'!$H$55:$L$55,'[1]Table 2'!$H$56:$L$56)))</f>
        <v>10.834786272396478</v>
      </c>
      <c r="N74" s="3">
        <f>N73*(1+(_xlfn.XLOOKUP(N$1,'[1]Table 2'!$H$55:$L$55,'[1]Table 2'!$H$56:$L$56)))</f>
        <v>22.974370491858558</v>
      </c>
      <c r="O74" s="3">
        <f>O73*(1+(_xlfn.XLOOKUP(O$1,'[1]Table 2'!$H$55:$L$55,'[1]Table 2'!$H$56:$L$56)))</f>
        <v>2.5676024928488976</v>
      </c>
      <c r="P74" s="3">
        <f>P73*(1+(_xlfn.XLOOKUP(P$1,'[1]Table 2'!$H$55:$L$55,'[1]Table 2'!$H$56:$L$56)))</f>
        <v>22.974370491858558</v>
      </c>
      <c r="Q74" s="3">
        <f>Q73*(1+(_xlfn.XLOOKUP(Q$1,'[1]Table 2'!$H$55:$L$55,'[1]Table 2'!$H$56:$L$56)))</f>
        <v>10.834786272396478</v>
      </c>
      <c r="R74" s="3">
        <f>R73*(1+(_xlfn.XLOOKUP(R$1,'[1]Table 2'!$H$55:$L$55,'[1]Table 2'!$H$56:$L$56)))</f>
        <v>22.974370491858558</v>
      </c>
      <c r="S74" s="3">
        <f>S73*(1+(_xlfn.XLOOKUP(S$1,'[1]Table 2'!$H$55:$L$55,'[1]Table 2'!$H$56:$L$56)))</f>
        <v>2.5676024928488976</v>
      </c>
      <c r="T74" s="3">
        <f>T73*(1+(_xlfn.XLOOKUP(T$1,'[1]Table 2'!$H$55:$L$55,'[1]Table 2'!$H$56:$L$56)))</f>
        <v>47.855813963651833</v>
      </c>
      <c r="U74" s="3">
        <f>U73*(1+(_xlfn.XLOOKUP(U$1,'[1]Table 2'!$H$55:$L$55,'[1]Table 2'!$H$56:$L$56)))</f>
        <v>2.5676024928488976</v>
      </c>
      <c r="V74" s="3">
        <f>V73*(1+(_xlfn.XLOOKUP(V$1,'[1]Table 2'!$H$55:$L$55,'[1]Table 2'!$H$56:$L$56)))</f>
        <v>22.974370491858558</v>
      </c>
      <c r="W74" s="3">
        <f>W73*(1+(_xlfn.XLOOKUP(W$1,'[1]Table 2'!$H$55:$L$55,'[1]Table 2'!$H$56:$L$56)))</f>
        <v>3.9729418096083955</v>
      </c>
      <c r="X74" s="3">
        <f>X73*(1+(_xlfn.XLOOKUP(X$1,'[1]Table 2'!$H$55:$L$55,'[1]Table 2'!$H$56:$L$56)))</f>
        <v>10.834786272396478</v>
      </c>
      <c r="Y74" s="3">
        <f>Y73*(1+(_xlfn.XLOOKUP(Y$1,'[1]Table 2'!$H$55:$L$55,'[1]Table 2'!$H$56:$L$56)))</f>
        <v>3.9729418096083955</v>
      </c>
      <c r="Z74" s="3">
        <f>Z73*(1+(_xlfn.XLOOKUP(Z$1,'[1]Table 2'!$H$55:$L$55,'[1]Table 2'!$H$56:$L$56)))</f>
        <v>2.5676024928488976</v>
      </c>
      <c r="AA74" s="3">
        <f>AA73*(1+(_xlfn.XLOOKUP(AA$1,'[1]Table 2'!$H$55:$L$55,'[1]Table 2'!$H$56:$L$56)))</f>
        <v>3.9729418096083955</v>
      </c>
    </row>
    <row r="75" spans="1:27" x14ac:dyDescent="0.2">
      <c r="A75" s="1">
        <v>2043</v>
      </c>
      <c r="B75" s="3">
        <f>B74*(1+(_xlfn.XLOOKUP(B$1,'[1]Table 2'!$H$55:$L$55,'[1]Table 2'!$H$56:$L$56)))</f>
        <v>10.918265837541497</v>
      </c>
      <c r="C75" s="3">
        <f>C74*(1+(_xlfn.XLOOKUP(C$1,'[1]Table 2'!$H$55:$L$55,'[1]Table 2'!$H$56:$L$56)))</f>
        <v>10.918265837541497</v>
      </c>
      <c r="D75" s="3">
        <f>D74*(1+(_xlfn.XLOOKUP(D$1,'[1]Table 2'!$H$55:$L$55,'[1]Table 2'!$H$56:$L$56)))</f>
        <v>10.918265837541497</v>
      </c>
      <c r="E75" s="3">
        <f>E74*(1+(_xlfn.XLOOKUP(E$1,'[1]Table 2'!$H$55:$L$55,'[1]Table 2'!$H$56:$L$56)))</f>
        <v>23.181952251714577</v>
      </c>
      <c r="F75" s="3">
        <f>F74*(1+(_xlfn.XLOOKUP(F$1,'[1]Table 2'!$H$55:$L$55,'[1]Table 2'!$H$56:$L$56)))</f>
        <v>3.9744566909620911</v>
      </c>
      <c r="G75" s="3">
        <f>G74*(1+(_xlfn.XLOOKUP(G$1,'[1]Table 2'!$H$55:$L$55,'[1]Table 2'!$H$56:$L$56)))</f>
        <v>23.181952251714577</v>
      </c>
      <c r="H75" s="3">
        <f>H74*(1+(_xlfn.XLOOKUP(H$1,'[1]Table 2'!$H$55:$L$55,'[1]Table 2'!$H$56:$L$56)))</f>
        <v>2.566024454845607</v>
      </c>
      <c r="I75" s="3">
        <f>I74*(1+(_xlfn.XLOOKUP(I$1,'[1]Table 2'!$H$55:$L$55,'[1]Table 2'!$H$56:$L$56)))</f>
        <v>23.181952251714577</v>
      </c>
      <c r="J75" s="3">
        <f>J74*(1+(_xlfn.XLOOKUP(J$1,'[1]Table 2'!$H$55:$L$55,'[1]Table 2'!$H$56:$L$56)))</f>
        <v>23.181952251714577</v>
      </c>
      <c r="K75" s="3">
        <f>K74*(1+(_xlfn.XLOOKUP(K$1,'[1]Table 2'!$H$55:$L$55,'[1]Table 2'!$H$56:$L$56)))</f>
        <v>23.181952251714577</v>
      </c>
      <c r="L75" s="3">
        <f>L74*(1+(_xlfn.XLOOKUP(L$1,'[1]Table 2'!$H$55:$L$55,'[1]Table 2'!$H$56:$L$56)))</f>
        <v>23.181952251714577</v>
      </c>
      <c r="M75" s="3">
        <f>M74*(1+(_xlfn.XLOOKUP(M$1,'[1]Table 2'!$H$55:$L$55,'[1]Table 2'!$H$56:$L$56)))</f>
        <v>10.918265837541497</v>
      </c>
      <c r="N75" s="3">
        <f>N74*(1+(_xlfn.XLOOKUP(N$1,'[1]Table 2'!$H$55:$L$55,'[1]Table 2'!$H$56:$L$56)))</f>
        <v>23.181952251714577</v>
      </c>
      <c r="O75" s="3">
        <f>O74*(1+(_xlfn.XLOOKUP(O$1,'[1]Table 2'!$H$55:$L$55,'[1]Table 2'!$H$56:$L$56)))</f>
        <v>2.566024454845607</v>
      </c>
      <c r="P75" s="3">
        <f>P74*(1+(_xlfn.XLOOKUP(P$1,'[1]Table 2'!$H$55:$L$55,'[1]Table 2'!$H$56:$L$56)))</f>
        <v>23.181952251714577</v>
      </c>
      <c r="Q75" s="3">
        <f>Q74*(1+(_xlfn.XLOOKUP(Q$1,'[1]Table 2'!$H$55:$L$55,'[1]Table 2'!$H$56:$L$56)))</f>
        <v>10.918265837541497</v>
      </c>
      <c r="R75" s="3">
        <f>R74*(1+(_xlfn.XLOOKUP(R$1,'[1]Table 2'!$H$55:$L$55,'[1]Table 2'!$H$56:$L$56)))</f>
        <v>23.181952251714577</v>
      </c>
      <c r="S75" s="3">
        <f>S74*(1+(_xlfn.XLOOKUP(S$1,'[1]Table 2'!$H$55:$L$55,'[1]Table 2'!$H$56:$L$56)))</f>
        <v>2.566024454845607</v>
      </c>
      <c r="T75" s="3">
        <f>T74*(1+(_xlfn.XLOOKUP(T$1,'[1]Table 2'!$H$55:$L$55,'[1]Table 2'!$H$56:$L$56)))</f>
        <v>48.809104600539285</v>
      </c>
      <c r="U75" s="3">
        <f>U74*(1+(_xlfn.XLOOKUP(U$1,'[1]Table 2'!$H$55:$L$55,'[1]Table 2'!$H$56:$L$56)))</f>
        <v>2.566024454845607</v>
      </c>
      <c r="V75" s="3">
        <f>V74*(1+(_xlfn.XLOOKUP(V$1,'[1]Table 2'!$H$55:$L$55,'[1]Table 2'!$H$56:$L$56)))</f>
        <v>23.181952251714577</v>
      </c>
      <c r="W75" s="3">
        <f>W74*(1+(_xlfn.XLOOKUP(W$1,'[1]Table 2'!$H$55:$L$55,'[1]Table 2'!$H$56:$L$56)))</f>
        <v>3.9744566909620911</v>
      </c>
      <c r="X75" s="3">
        <f>X74*(1+(_xlfn.XLOOKUP(X$1,'[1]Table 2'!$H$55:$L$55,'[1]Table 2'!$H$56:$L$56)))</f>
        <v>10.918265837541497</v>
      </c>
      <c r="Y75" s="3">
        <f>Y74*(1+(_xlfn.XLOOKUP(Y$1,'[1]Table 2'!$H$55:$L$55,'[1]Table 2'!$H$56:$L$56)))</f>
        <v>3.9744566909620911</v>
      </c>
      <c r="Z75" s="3">
        <f>Z74*(1+(_xlfn.XLOOKUP(Z$1,'[1]Table 2'!$H$55:$L$55,'[1]Table 2'!$H$56:$L$56)))</f>
        <v>2.566024454845607</v>
      </c>
      <c r="AA75" s="3">
        <f>AA74*(1+(_xlfn.XLOOKUP(AA$1,'[1]Table 2'!$H$55:$L$55,'[1]Table 2'!$H$56:$L$56)))</f>
        <v>3.9744566909620911</v>
      </c>
    </row>
    <row r="76" spans="1:27" x14ac:dyDescent="0.2">
      <c r="A76" s="1">
        <v>2044</v>
      </c>
      <c r="B76" s="3">
        <f>B75*(1+(_xlfn.XLOOKUP(B$1,'[1]Table 2'!$H$55:$L$55,'[1]Table 2'!$H$56:$L$56)))</f>
        <v>11.002388593758457</v>
      </c>
      <c r="C76" s="3">
        <f>C75*(1+(_xlfn.XLOOKUP(C$1,'[1]Table 2'!$H$55:$L$55,'[1]Table 2'!$H$56:$L$56)))</f>
        <v>11.002388593758457</v>
      </c>
      <c r="D76" s="3">
        <f>D75*(1+(_xlfn.XLOOKUP(D$1,'[1]Table 2'!$H$55:$L$55,'[1]Table 2'!$H$56:$L$56)))</f>
        <v>11.002388593758457</v>
      </c>
      <c r="E76" s="3">
        <f>E75*(1+(_xlfn.XLOOKUP(E$1,'[1]Table 2'!$H$55:$L$55,'[1]Table 2'!$H$56:$L$56)))</f>
        <v>23.391409587967352</v>
      </c>
      <c r="F76" s="3">
        <f>F75*(1+(_xlfn.XLOOKUP(F$1,'[1]Table 2'!$H$55:$L$55,'[1]Table 2'!$H$56:$L$56)))</f>
        <v>3.9759721499395293</v>
      </c>
      <c r="G76" s="3">
        <f>G75*(1+(_xlfn.XLOOKUP(G$1,'[1]Table 2'!$H$55:$L$55,'[1]Table 2'!$H$56:$L$56)))</f>
        <v>23.391409587967352</v>
      </c>
      <c r="H76" s="3">
        <f>H75*(1+(_xlfn.XLOOKUP(H$1,'[1]Table 2'!$H$55:$L$55,'[1]Table 2'!$H$56:$L$56)))</f>
        <v>2.5644473866980269</v>
      </c>
      <c r="I76" s="3">
        <f>I75*(1+(_xlfn.XLOOKUP(I$1,'[1]Table 2'!$H$55:$L$55,'[1]Table 2'!$H$56:$L$56)))</f>
        <v>23.391409587967352</v>
      </c>
      <c r="J76" s="3">
        <f>J75*(1+(_xlfn.XLOOKUP(J$1,'[1]Table 2'!$H$55:$L$55,'[1]Table 2'!$H$56:$L$56)))</f>
        <v>23.391409587967352</v>
      </c>
      <c r="K76" s="3">
        <f>K75*(1+(_xlfn.XLOOKUP(K$1,'[1]Table 2'!$H$55:$L$55,'[1]Table 2'!$H$56:$L$56)))</f>
        <v>23.391409587967352</v>
      </c>
      <c r="L76" s="3">
        <f>L75*(1+(_xlfn.XLOOKUP(L$1,'[1]Table 2'!$H$55:$L$55,'[1]Table 2'!$H$56:$L$56)))</f>
        <v>23.391409587967352</v>
      </c>
      <c r="M76" s="3">
        <f>M75*(1+(_xlfn.XLOOKUP(M$1,'[1]Table 2'!$H$55:$L$55,'[1]Table 2'!$H$56:$L$56)))</f>
        <v>11.002388593758457</v>
      </c>
      <c r="N76" s="3">
        <f>N75*(1+(_xlfn.XLOOKUP(N$1,'[1]Table 2'!$H$55:$L$55,'[1]Table 2'!$H$56:$L$56)))</f>
        <v>23.391409587967352</v>
      </c>
      <c r="O76" s="3">
        <f>O75*(1+(_xlfn.XLOOKUP(O$1,'[1]Table 2'!$H$55:$L$55,'[1]Table 2'!$H$56:$L$56)))</f>
        <v>2.5644473866980269</v>
      </c>
      <c r="P76" s="3">
        <f>P75*(1+(_xlfn.XLOOKUP(P$1,'[1]Table 2'!$H$55:$L$55,'[1]Table 2'!$H$56:$L$56)))</f>
        <v>23.391409587967352</v>
      </c>
      <c r="Q76" s="3">
        <f>Q75*(1+(_xlfn.XLOOKUP(Q$1,'[1]Table 2'!$H$55:$L$55,'[1]Table 2'!$H$56:$L$56)))</f>
        <v>11.002388593758457</v>
      </c>
      <c r="R76" s="3">
        <f>R75*(1+(_xlfn.XLOOKUP(R$1,'[1]Table 2'!$H$55:$L$55,'[1]Table 2'!$H$56:$L$56)))</f>
        <v>23.391409587967352</v>
      </c>
      <c r="S76" s="3">
        <f>S75*(1+(_xlfn.XLOOKUP(S$1,'[1]Table 2'!$H$55:$L$55,'[1]Table 2'!$H$56:$L$56)))</f>
        <v>2.5644473866980269</v>
      </c>
      <c r="T76" s="3">
        <f>T75*(1+(_xlfn.XLOOKUP(T$1,'[1]Table 2'!$H$55:$L$55,'[1]Table 2'!$H$56:$L$56)))</f>
        <v>49.781384843142519</v>
      </c>
      <c r="U76" s="3">
        <f>U75*(1+(_xlfn.XLOOKUP(U$1,'[1]Table 2'!$H$55:$L$55,'[1]Table 2'!$H$56:$L$56)))</f>
        <v>2.5644473866980269</v>
      </c>
      <c r="V76" s="3">
        <f>V75*(1+(_xlfn.XLOOKUP(V$1,'[1]Table 2'!$H$55:$L$55,'[1]Table 2'!$H$56:$L$56)))</f>
        <v>23.391409587967352</v>
      </c>
      <c r="W76" s="3">
        <f>W75*(1+(_xlfn.XLOOKUP(W$1,'[1]Table 2'!$H$55:$L$55,'[1]Table 2'!$H$56:$L$56)))</f>
        <v>3.9759721499395293</v>
      </c>
      <c r="X76" s="3">
        <f>X75*(1+(_xlfn.XLOOKUP(X$1,'[1]Table 2'!$H$55:$L$55,'[1]Table 2'!$H$56:$L$56)))</f>
        <v>11.002388593758457</v>
      </c>
      <c r="Y76" s="3">
        <f>Y75*(1+(_xlfn.XLOOKUP(Y$1,'[1]Table 2'!$H$55:$L$55,'[1]Table 2'!$H$56:$L$56)))</f>
        <v>3.9759721499395293</v>
      </c>
      <c r="Z76" s="3">
        <f>Z75*(1+(_xlfn.XLOOKUP(Z$1,'[1]Table 2'!$H$55:$L$55,'[1]Table 2'!$H$56:$L$56)))</f>
        <v>2.5644473866980269</v>
      </c>
      <c r="AA76" s="3">
        <f>AA75*(1+(_xlfn.XLOOKUP(AA$1,'[1]Table 2'!$H$55:$L$55,'[1]Table 2'!$H$56:$L$56)))</f>
        <v>3.9759721499395293</v>
      </c>
    </row>
    <row r="77" spans="1:27" x14ac:dyDescent="0.2">
      <c r="A77" s="1">
        <v>2045</v>
      </c>
      <c r="B77" s="3">
        <f>B76*(1+(_xlfn.XLOOKUP(B$1,'[1]Table 2'!$H$55:$L$55,'[1]Table 2'!$H$56:$L$56)))</f>
        <v>11.087159496688351</v>
      </c>
      <c r="C77" s="3">
        <f>C76*(1+(_xlfn.XLOOKUP(C$1,'[1]Table 2'!$H$55:$L$55,'[1]Table 2'!$H$56:$L$56)))</f>
        <v>11.087159496688351</v>
      </c>
      <c r="D77" s="3">
        <f>D76*(1+(_xlfn.XLOOKUP(D$1,'[1]Table 2'!$H$55:$L$55,'[1]Table 2'!$H$56:$L$56)))</f>
        <v>11.087159496688351</v>
      </c>
      <c r="E77" s="3">
        <f>E76*(1+(_xlfn.XLOOKUP(E$1,'[1]Table 2'!$H$55:$L$55,'[1]Table 2'!$H$56:$L$56)))</f>
        <v>23.60275944712906</v>
      </c>
      <c r="F77" s="3">
        <f>F76*(1+(_xlfn.XLOOKUP(F$1,'[1]Table 2'!$H$55:$L$55,'[1]Table 2'!$H$56:$L$56)))</f>
        <v>3.9774881867609571</v>
      </c>
      <c r="G77" s="3">
        <f>G76*(1+(_xlfn.XLOOKUP(G$1,'[1]Table 2'!$H$55:$L$55,'[1]Table 2'!$H$56:$L$56)))</f>
        <v>23.60275944712906</v>
      </c>
      <c r="H77" s="3">
        <f>H76*(1+(_xlfn.XLOOKUP(H$1,'[1]Table 2'!$H$55:$L$55,'[1]Table 2'!$H$56:$L$56)))</f>
        <v>2.5628712878100877</v>
      </c>
      <c r="I77" s="3">
        <f>I76*(1+(_xlfn.XLOOKUP(I$1,'[1]Table 2'!$H$55:$L$55,'[1]Table 2'!$H$56:$L$56)))</f>
        <v>23.60275944712906</v>
      </c>
      <c r="J77" s="3">
        <f>J76*(1+(_xlfn.XLOOKUP(J$1,'[1]Table 2'!$H$55:$L$55,'[1]Table 2'!$H$56:$L$56)))</f>
        <v>23.60275944712906</v>
      </c>
      <c r="K77" s="3">
        <f>K76*(1+(_xlfn.XLOOKUP(K$1,'[1]Table 2'!$H$55:$L$55,'[1]Table 2'!$H$56:$L$56)))</f>
        <v>23.60275944712906</v>
      </c>
      <c r="L77" s="3">
        <f>L76*(1+(_xlfn.XLOOKUP(L$1,'[1]Table 2'!$H$55:$L$55,'[1]Table 2'!$H$56:$L$56)))</f>
        <v>23.60275944712906</v>
      </c>
      <c r="M77" s="3">
        <f>M76*(1+(_xlfn.XLOOKUP(M$1,'[1]Table 2'!$H$55:$L$55,'[1]Table 2'!$H$56:$L$56)))</f>
        <v>11.087159496688351</v>
      </c>
      <c r="N77" s="3">
        <f>N76*(1+(_xlfn.XLOOKUP(N$1,'[1]Table 2'!$H$55:$L$55,'[1]Table 2'!$H$56:$L$56)))</f>
        <v>23.60275944712906</v>
      </c>
      <c r="O77" s="3">
        <f>O76*(1+(_xlfn.XLOOKUP(O$1,'[1]Table 2'!$H$55:$L$55,'[1]Table 2'!$H$56:$L$56)))</f>
        <v>2.5628712878100877</v>
      </c>
      <c r="P77" s="3">
        <f>P76*(1+(_xlfn.XLOOKUP(P$1,'[1]Table 2'!$H$55:$L$55,'[1]Table 2'!$H$56:$L$56)))</f>
        <v>23.60275944712906</v>
      </c>
      <c r="Q77" s="3">
        <f>Q76*(1+(_xlfn.XLOOKUP(Q$1,'[1]Table 2'!$H$55:$L$55,'[1]Table 2'!$H$56:$L$56)))</f>
        <v>11.087159496688351</v>
      </c>
      <c r="R77" s="3">
        <f>R76*(1+(_xlfn.XLOOKUP(R$1,'[1]Table 2'!$H$55:$L$55,'[1]Table 2'!$H$56:$L$56)))</f>
        <v>23.60275944712906</v>
      </c>
      <c r="S77" s="3">
        <f>S76*(1+(_xlfn.XLOOKUP(S$1,'[1]Table 2'!$H$55:$L$55,'[1]Table 2'!$H$56:$L$56)))</f>
        <v>2.5628712878100877</v>
      </c>
      <c r="T77" s="3">
        <f>T76*(1+(_xlfn.XLOOKUP(T$1,'[1]Table 2'!$H$55:$L$55,'[1]Table 2'!$H$56:$L$56)))</f>
        <v>50.77303296552747</v>
      </c>
      <c r="U77" s="3">
        <f>U76*(1+(_xlfn.XLOOKUP(U$1,'[1]Table 2'!$H$55:$L$55,'[1]Table 2'!$H$56:$L$56)))</f>
        <v>2.5628712878100877</v>
      </c>
      <c r="V77" s="3">
        <f>V76*(1+(_xlfn.XLOOKUP(V$1,'[1]Table 2'!$H$55:$L$55,'[1]Table 2'!$H$56:$L$56)))</f>
        <v>23.60275944712906</v>
      </c>
      <c r="W77" s="3">
        <f>W76*(1+(_xlfn.XLOOKUP(W$1,'[1]Table 2'!$H$55:$L$55,'[1]Table 2'!$H$56:$L$56)))</f>
        <v>3.9774881867609571</v>
      </c>
      <c r="X77" s="3">
        <f>X76*(1+(_xlfn.XLOOKUP(X$1,'[1]Table 2'!$H$55:$L$55,'[1]Table 2'!$H$56:$L$56)))</f>
        <v>11.087159496688351</v>
      </c>
      <c r="Y77" s="3">
        <f>Y76*(1+(_xlfn.XLOOKUP(Y$1,'[1]Table 2'!$H$55:$L$55,'[1]Table 2'!$H$56:$L$56)))</f>
        <v>3.9774881867609571</v>
      </c>
      <c r="Z77" s="3">
        <f>Z76*(1+(_xlfn.XLOOKUP(Z$1,'[1]Table 2'!$H$55:$L$55,'[1]Table 2'!$H$56:$L$56)))</f>
        <v>2.5628712878100877</v>
      </c>
      <c r="AA77" s="3">
        <f>AA76*(1+(_xlfn.XLOOKUP(AA$1,'[1]Table 2'!$H$55:$L$55,'[1]Table 2'!$H$56:$L$56)))</f>
        <v>3.9774881867609571</v>
      </c>
    </row>
    <row r="78" spans="1:27" x14ac:dyDescent="0.2">
      <c r="A78" s="1">
        <v>2046</v>
      </c>
      <c r="B78" s="3">
        <f>B77*(1+(_xlfn.XLOOKUP(B$1,'[1]Table 2'!$H$55:$L$55,'[1]Table 2'!$H$56:$L$56)))</f>
        <v>11.172583540154259</v>
      </c>
      <c r="C78" s="3">
        <f>C77*(1+(_xlfn.XLOOKUP(C$1,'[1]Table 2'!$H$55:$L$55,'[1]Table 2'!$H$56:$L$56)))</f>
        <v>11.172583540154259</v>
      </c>
      <c r="D78" s="3">
        <f>D77*(1+(_xlfn.XLOOKUP(D$1,'[1]Table 2'!$H$55:$L$55,'[1]Table 2'!$H$56:$L$56)))</f>
        <v>11.172583540154259</v>
      </c>
      <c r="E78" s="3">
        <f>E77*(1+(_xlfn.XLOOKUP(E$1,'[1]Table 2'!$H$55:$L$55,'[1]Table 2'!$H$56:$L$56)))</f>
        <v>23.816018928829745</v>
      </c>
      <c r="F78" s="3">
        <f>F77*(1+(_xlfn.XLOOKUP(F$1,'[1]Table 2'!$H$55:$L$55,'[1]Table 2'!$H$56:$L$56)))</f>
        <v>3.9790048016467066</v>
      </c>
      <c r="G78" s="3">
        <f>G77*(1+(_xlfn.XLOOKUP(G$1,'[1]Table 2'!$H$55:$L$55,'[1]Table 2'!$H$56:$L$56)))</f>
        <v>23.816018928829745</v>
      </c>
      <c r="H78" s="3">
        <f>H77*(1+(_xlfn.XLOOKUP(H$1,'[1]Table 2'!$H$55:$L$55,'[1]Table 2'!$H$56:$L$56)))</f>
        <v>2.5612961575860869</v>
      </c>
      <c r="I78" s="3">
        <f>I77*(1+(_xlfn.XLOOKUP(I$1,'[1]Table 2'!$H$55:$L$55,'[1]Table 2'!$H$56:$L$56)))</f>
        <v>23.816018928829745</v>
      </c>
      <c r="J78" s="3">
        <f>J77*(1+(_xlfn.XLOOKUP(J$1,'[1]Table 2'!$H$55:$L$55,'[1]Table 2'!$H$56:$L$56)))</f>
        <v>23.816018928829745</v>
      </c>
      <c r="K78" s="3">
        <f>K77*(1+(_xlfn.XLOOKUP(K$1,'[1]Table 2'!$H$55:$L$55,'[1]Table 2'!$H$56:$L$56)))</f>
        <v>23.816018928829745</v>
      </c>
      <c r="L78" s="3">
        <f>L77*(1+(_xlfn.XLOOKUP(L$1,'[1]Table 2'!$H$55:$L$55,'[1]Table 2'!$H$56:$L$56)))</f>
        <v>23.816018928829745</v>
      </c>
      <c r="M78" s="3">
        <f>M77*(1+(_xlfn.XLOOKUP(M$1,'[1]Table 2'!$H$55:$L$55,'[1]Table 2'!$H$56:$L$56)))</f>
        <v>11.172583540154259</v>
      </c>
      <c r="N78" s="3">
        <f>N77*(1+(_xlfn.XLOOKUP(N$1,'[1]Table 2'!$H$55:$L$55,'[1]Table 2'!$H$56:$L$56)))</f>
        <v>23.816018928829745</v>
      </c>
      <c r="O78" s="3">
        <f>O77*(1+(_xlfn.XLOOKUP(O$1,'[1]Table 2'!$H$55:$L$55,'[1]Table 2'!$H$56:$L$56)))</f>
        <v>2.5612961575860869</v>
      </c>
      <c r="P78" s="3">
        <f>P77*(1+(_xlfn.XLOOKUP(P$1,'[1]Table 2'!$H$55:$L$55,'[1]Table 2'!$H$56:$L$56)))</f>
        <v>23.816018928829745</v>
      </c>
      <c r="Q78" s="3">
        <f>Q77*(1+(_xlfn.XLOOKUP(Q$1,'[1]Table 2'!$H$55:$L$55,'[1]Table 2'!$H$56:$L$56)))</f>
        <v>11.172583540154259</v>
      </c>
      <c r="R78" s="3">
        <f>R77*(1+(_xlfn.XLOOKUP(R$1,'[1]Table 2'!$H$55:$L$55,'[1]Table 2'!$H$56:$L$56)))</f>
        <v>23.816018928829745</v>
      </c>
      <c r="S78" s="3">
        <f>S77*(1+(_xlfn.XLOOKUP(S$1,'[1]Table 2'!$H$55:$L$55,'[1]Table 2'!$H$56:$L$56)))</f>
        <v>2.5612961575860869</v>
      </c>
      <c r="T78" s="3">
        <f>T77*(1+(_xlfn.XLOOKUP(T$1,'[1]Table 2'!$H$55:$L$55,'[1]Table 2'!$H$56:$L$56)))</f>
        <v>51.784434777001785</v>
      </c>
      <c r="U78" s="3">
        <f>U77*(1+(_xlfn.XLOOKUP(U$1,'[1]Table 2'!$H$55:$L$55,'[1]Table 2'!$H$56:$L$56)))</f>
        <v>2.5612961575860869</v>
      </c>
      <c r="V78" s="3">
        <f>V77*(1+(_xlfn.XLOOKUP(V$1,'[1]Table 2'!$H$55:$L$55,'[1]Table 2'!$H$56:$L$56)))</f>
        <v>23.816018928829745</v>
      </c>
      <c r="W78" s="3">
        <f>W77*(1+(_xlfn.XLOOKUP(W$1,'[1]Table 2'!$H$55:$L$55,'[1]Table 2'!$H$56:$L$56)))</f>
        <v>3.9790048016467066</v>
      </c>
      <c r="X78" s="3">
        <f>X77*(1+(_xlfn.XLOOKUP(X$1,'[1]Table 2'!$H$55:$L$55,'[1]Table 2'!$H$56:$L$56)))</f>
        <v>11.172583540154259</v>
      </c>
      <c r="Y78" s="3">
        <f>Y77*(1+(_xlfn.XLOOKUP(Y$1,'[1]Table 2'!$H$55:$L$55,'[1]Table 2'!$H$56:$L$56)))</f>
        <v>3.9790048016467066</v>
      </c>
      <c r="Z78" s="3">
        <f>Z77*(1+(_xlfn.XLOOKUP(Z$1,'[1]Table 2'!$H$55:$L$55,'[1]Table 2'!$H$56:$L$56)))</f>
        <v>2.5612961575860869</v>
      </c>
      <c r="AA78" s="3">
        <f>AA77*(1+(_xlfn.XLOOKUP(AA$1,'[1]Table 2'!$H$55:$L$55,'[1]Table 2'!$H$56:$L$56)))</f>
        <v>3.9790048016467066</v>
      </c>
    </row>
    <row r="79" spans="1:27" x14ac:dyDescent="0.2">
      <c r="A79" s="1">
        <v>2047</v>
      </c>
      <c r="B79" s="3">
        <f>B78*(1+(_xlfn.XLOOKUP(B$1,'[1]Table 2'!$H$55:$L$55,'[1]Table 2'!$H$56:$L$56)))</f>
        <v>11.25866575645553</v>
      </c>
      <c r="C79" s="3">
        <f>C78*(1+(_xlfn.XLOOKUP(C$1,'[1]Table 2'!$H$55:$L$55,'[1]Table 2'!$H$56:$L$56)))</f>
        <v>11.25866575645553</v>
      </c>
      <c r="D79" s="3">
        <f>D78*(1+(_xlfn.XLOOKUP(D$1,'[1]Table 2'!$H$55:$L$55,'[1]Table 2'!$H$56:$L$56)))</f>
        <v>11.25866575645553</v>
      </c>
      <c r="E79" s="3">
        <f>E78*(1+(_xlfn.XLOOKUP(E$1,'[1]Table 2'!$H$55:$L$55,'[1]Table 2'!$H$56:$L$56)))</f>
        <v>24.031205287200812</v>
      </c>
      <c r="F79" s="3">
        <f>F78*(1+(_xlfn.XLOOKUP(F$1,'[1]Table 2'!$H$55:$L$55,'[1]Table 2'!$H$56:$L$56)))</f>
        <v>3.9805219948171935</v>
      </c>
      <c r="G79" s="3">
        <f>G78*(1+(_xlfn.XLOOKUP(G$1,'[1]Table 2'!$H$55:$L$55,'[1]Table 2'!$H$56:$L$56)))</f>
        <v>24.031205287200812</v>
      </c>
      <c r="H79" s="3">
        <f>H78*(1+(_xlfn.XLOOKUP(H$1,'[1]Table 2'!$H$55:$L$55,'[1]Table 2'!$H$56:$L$56)))</f>
        <v>2.5597219954306869</v>
      </c>
      <c r="I79" s="3">
        <f>I78*(1+(_xlfn.XLOOKUP(I$1,'[1]Table 2'!$H$55:$L$55,'[1]Table 2'!$H$56:$L$56)))</f>
        <v>24.031205287200812</v>
      </c>
      <c r="J79" s="3">
        <f>J78*(1+(_xlfn.XLOOKUP(J$1,'[1]Table 2'!$H$55:$L$55,'[1]Table 2'!$H$56:$L$56)))</f>
        <v>24.031205287200812</v>
      </c>
      <c r="K79" s="3">
        <f>K78*(1+(_xlfn.XLOOKUP(K$1,'[1]Table 2'!$H$55:$L$55,'[1]Table 2'!$H$56:$L$56)))</f>
        <v>24.031205287200812</v>
      </c>
      <c r="L79" s="3">
        <f>L78*(1+(_xlfn.XLOOKUP(L$1,'[1]Table 2'!$H$55:$L$55,'[1]Table 2'!$H$56:$L$56)))</f>
        <v>24.031205287200812</v>
      </c>
      <c r="M79" s="3">
        <f>M78*(1+(_xlfn.XLOOKUP(M$1,'[1]Table 2'!$H$55:$L$55,'[1]Table 2'!$H$56:$L$56)))</f>
        <v>11.25866575645553</v>
      </c>
      <c r="N79" s="3">
        <f>N78*(1+(_xlfn.XLOOKUP(N$1,'[1]Table 2'!$H$55:$L$55,'[1]Table 2'!$H$56:$L$56)))</f>
        <v>24.031205287200812</v>
      </c>
      <c r="O79" s="3">
        <f>O78*(1+(_xlfn.XLOOKUP(O$1,'[1]Table 2'!$H$55:$L$55,'[1]Table 2'!$H$56:$L$56)))</f>
        <v>2.5597219954306869</v>
      </c>
      <c r="P79" s="3">
        <f>P78*(1+(_xlfn.XLOOKUP(P$1,'[1]Table 2'!$H$55:$L$55,'[1]Table 2'!$H$56:$L$56)))</f>
        <v>24.031205287200812</v>
      </c>
      <c r="Q79" s="3">
        <f>Q78*(1+(_xlfn.XLOOKUP(Q$1,'[1]Table 2'!$H$55:$L$55,'[1]Table 2'!$H$56:$L$56)))</f>
        <v>11.25866575645553</v>
      </c>
      <c r="R79" s="3">
        <f>R78*(1+(_xlfn.XLOOKUP(R$1,'[1]Table 2'!$H$55:$L$55,'[1]Table 2'!$H$56:$L$56)))</f>
        <v>24.031205287200812</v>
      </c>
      <c r="S79" s="3">
        <f>S78*(1+(_xlfn.XLOOKUP(S$1,'[1]Table 2'!$H$55:$L$55,'[1]Table 2'!$H$56:$L$56)))</f>
        <v>2.5597219954306869</v>
      </c>
      <c r="T79" s="3">
        <f>T78*(1+(_xlfn.XLOOKUP(T$1,'[1]Table 2'!$H$55:$L$55,'[1]Table 2'!$H$56:$L$56)))</f>
        <v>52.815983772217287</v>
      </c>
      <c r="U79" s="3">
        <f>U78*(1+(_xlfn.XLOOKUP(U$1,'[1]Table 2'!$H$55:$L$55,'[1]Table 2'!$H$56:$L$56)))</f>
        <v>2.5597219954306869</v>
      </c>
      <c r="V79" s="3">
        <f>V78*(1+(_xlfn.XLOOKUP(V$1,'[1]Table 2'!$H$55:$L$55,'[1]Table 2'!$H$56:$L$56)))</f>
        <v>24.031205287200812</v>
      </c>
      <c r="W79" s="3">
        <f>W78*(1+(_xlfn.XLOOKUP(W$1,'[1]Table 2'!$H$55:$L$55,'[1]Table 2'!$H$56:$L$56)))</f>
        <v>3.9805219948171935</v>
      </c>
      <c r="X79" s="3">
        <f>X78*(1+(_xlfn.XLOOKUP(X$1,'[1]Table 2'!$H$55:$L$55,'[1]Table 2'!$H$56:$L$56)))</f>
        <v>11.25866575645553</v>
      </c>
      <c r="Y79" s="3">
        <f>Y78*(1+(_xlfn.XLOOKUP(Y$1,'[1]Table 2'!$H$55:$L$55,'[1]Table 2'!$H$56:$L$56)))</f>
        <v>3.9805219948171935</v>
      </c>
      <c r="Z79" s="3">
        <f>Z78*(1+(_xlfn.XLOOKUP(Z$1,'[1]Table 2'!$H$55:$L$55,'[1]Table 2'!$H$56:$L$56)))</f>
        <v>2.5597219954306869</v>
      </c>
      <c r="AA79" s="3">
        <f>AA78*(1+(_xlfn.XLOOKUP(AA$1,'[1]Table 2'!$H$55:$L$55,'[1]Table 2'!$H$56:$L$56)))</f>
        <v>3.9805219948171935</v>
      </c>
    </row>
    <row r="80" spans="1:27" x14ac:dyDescent="0.2">
      <c r="A80" s="1">
        <v>2048</v>
      </c>
      <c r="B80" s="3">
        <f>B79*(1+(_xlfn.XLOOKUP(B$1,'[1]Table 2'!$H$55:$L$55,'[1]Table 2'!$H$56:$L$56)))</f>
        <v>11.345411216664237</v>
      </c>
      <c r="C80" s="3">
        <f>C79*(1+(_xlfn.XLOOKUP(C$1,'[1]Table 2'!$H$55:$L$55,'[1]Table 2'!$H$56:$L$56)))</f>
        <v>11.345411216664237</v>
      </c>
      <c r="D80" s="3">
        <f>D79*(1+(_xlfn.XLOOKUP(D$1,'[1]Table 2'!$H$55:$L$55,'[1]Table 2'!$H$56:$L$56)))</f>
        <v>11.345411216664237</v>
      </c>
      <c r="E80" s="3">
        <f>E79*(1+(_xlfn.XLOOKUP(E$1,'[1]Table 2'!$H$55:$L$55,'[1]Table 2'!$H$56:$L$56)))</f>
        <v>24.248335932270987</v>
      </c>
      <c r="F80" s="3">
        <f>F79*(1+(_xlfn.XLOOKUP(F$1,'[1]Table 2'!$H$55:$L$55,'[1]Table 2'!$H$56:$L$56)))</f>
        <v>3.9820397664929179</v>
      </c>
      <c r="G80" s="3">
        <f>G79*(1+(_xlfn.XLOOKUP(G$1,'[1]Table 2'!$H$55:$L$55,'[1]Table 2'!$H$56:$L$56)))</f>
        <v>24.248335932270987</v>
      </c>
      <c r="H80" s="3">
        <f>H79*(1+(_xlfn.XLOOKUP(H$1,'[1]Table 2'!$H$55:$L$55,'[1]Table 2'!$H$56:$L$56)))</f>
        <v>2.558148800748917</v>
      </c>
      <c r="I80" s="3">
        <f>I79*(1+(_xlfn.XLOOKUP(I$1,'[1]Table 2'!$H$55:$L$55,'[1]Table 2'!$H$56:$L$56)))</f>
        <v>24.248335932270987</v>
      </c>
      <c r="J80" s="3">
        <f>J79*(1+(_xlfn.XLOOKUP(J$1,'[1]Table 2'!$H$55:$L$55,'[1]Table 2'!$H$56:$L$56)))</f>
        <v>24.248335932270987</v>
      </c>
      <c r="K80" s="3">
        <f>K79*(1+(_xlfn.XLOOKUP(K$1,'[1]Table 2'!$H$55:$L$55,'[1]Table 2'!$H$56:$L$56)))</f>
        <v>24.248335932270987</v>
      </c>
      <c r="L80" s="3">
        <f>L79*(1+(_xlfn.XLOOKUP(L$1,'[1]Table 2'!$H$55:$L$55,'[1]Table 2'!$H$56:$L$56)))</f>
        <v>24.248335932270987</v>
      </c>
      <c r="M80" s="3">
        <f>M79*(1+(_xlfn.XLOOKUP(M$1,'[1]Table 2'!$H$55:$L$55,'[1]Table 2'!$H$56:$L$56)))</f>
        <v>11.345411216664237</v>
      </c>
      <c r="N80" s="3">
        <f>N79*(1+(_xlfn.XLOOKUP(N$1,'[1]Table 2'!$H$55:$L$55,'[1]Table 2'!$H$56:$L$56)))</f>
        <v>24.248335932270987</v>
      </c>
      <c r="O80" s="3">
        <f>O79*(1+(_xlfn.XLOOKUP(O$1,'[1]Table 2'!$H$55:$L$55,'[1]Table 2'!$H$56:$L$56)))</f>
        <v>2.558148800748917</v>
      </c>
      <c r="P80" s="3">
        <f>P79*(1+(_xlfn.XLOOKUP(P$1,'[1]Table 2'!$H$55:$L$55,'[1]Table 2'!$H$56:$L$56)))</f>
        <v>24.248335932270987</v>
      </c>
      <c r="Q80" s="3">
        <f>Q79*(1+(_xlfn.XLOOKUP(Q$1,'[1]Table 2'!$H$55:$L$55,'[1]Table 2'!$H$56:$L$56)))</f>
        <v>11.345411216664237</v>
      </c>
      <c r="R80" s="3">
        <f>R79*(1+(_xlfn.XLOOKUP(R$1,'[1]Table 2'!$H$55:$L$55,'[1]Table 2'!$H$56:$L$56)))</f>
        <v>24.248335932270987</v>
      </c>
      <c r="S80" s="3">
        <f>S79*(1+(_xlfn.XLOOKUP(S$1,'[1]Table 2'!$H$55:$L$55,'[1]Table 2'!$H$56:$L$56)))</f>
        <v>2.558148800748917</v>
      </c>
      <c r="T80" s="3">
        <f>T79*(1+(_xlfn.XLOOKUP(T$1,'[1]Table 2'!$H$55:$L$55,'[1]Table 2'!$H$56:$L$56)))</f>
        <v>53.868081284262452</v>
      </c>
      <c r="U80" s="3">
        <f>U79*(1+(_xlfn.XLOOKUP(U$1,'[1]Table 2'!$H$55:$L$55,'[1]Table 2'!$H$56:$L$56)))</f>
        <v>2.558148800748917</v>
      </c>
      <c r="V80" s="3">
        <f>V79*(1+(_xlfn.XLOOKUP(V$1,'[1]Table 2'!$H$55:$L$55,'[1]Table 2'!$H$56:$L$56)))</f>
        <v>24.248335932270987</v>
      </c>
      <c r="W80" s="3">
        <f>W79*(1+(_xlfn.XLOOKUP(W$1,'[1]Table 2'!$H$55:$L$55,'[1]Table 2'!$H$56:$L$56)))</f>
        <v>3.9820397664929179</v>
      </c>
      <c r="X80" s="3">
        <f>X79*(1+(_xlfn.XLOOKUP(X$1,'[1]Table 2'!$H$55:$L$55,'[1]Table 2'!$H$56:$L$56)))</f>
        <v>11.345411216664237</v>
      </c>
      <c r="Y80" s="3">
        <f>Y79*(1+(_xlfn.XLOOKUP(Y$1,'[1]Table 2'!$H$55:$L$55,'[1]Table 2'!$H$56:$L$56)))</f>
        <v>3.9820397664929179</v>
      </c>
      <c r="Z80" s="3">
        <f>Z79*(1+(_xlfn.XLOOKUP(Z$1,'[1]Table 2'!$H$55:$L$55,'[1]Table 2'!$H$56:$L$56)))</f>
        <v>2.558148800748917</v>
      </c>
      <c r="AA80" s="3">
        <f>AA79*(1+(_xlfn.XLOOKUP(AA$1,'[1]Table 2'!$H$55:$L$55,'[1]Table 2'!$H$56:$L$56)))</f>
        <v>3.9820397664929179</v>
      </c>
    </row>
    <row r="81" spans="1:27" x14ac:dyDescent="0.2">
      <c r="A81" s="1">
        <v>2049</v>
      </c>
      <c r="B81" s="3">
        <f>B80*(1+(_xlfn.XLOOKUP(B$1,'[1]Table 2'!$H$55:$L$55,'[1]Table 2'!$H$56:$L$56)))</f>
        <v>11.432825030923913</v>
      </c>
      <c r="C81" s="3">
        <f>C80*(1+(_xlfn.XLOOKUP(C$1,'[1]Table 2'!$H$55:$L$55,'[1]Table 2'!$H$56:$L$56)))</f>
        <v>11.432825030923913</v>
      </c>
      <c r="D81" s="3">
        <f>D80*(1+(_xlfn.XLOOKUP(D$1,'[1]Table 2'!$H$55:$L$55,'[1]Table 2'!$H$56:$L$56)))</f>
        <v>11.432825030923913</v>
      </c>
      <c r="E81" s="3">
        <f>E80*(1+(_xlfn.XLOOKUP(E$1,'[1]Table 2'!$H$55:$L$55,'[1]Table 2'!$H$56:$L$56)))</f>
        <v>24.467428431374909</v>
      </c>
      <c r="F81" s="3">
        <f>F80*(1+(_xlfn.XLOOKUP(F$1,'[1]Table 2'!$H$55:$L$55,'[1]Table 2'!$H$56:$L$56)))</f>
        <v>3.9835581168944634</v>
      </c>
      <c r="G81" s="3">
        <f>G80*(1+(_xlfn.XLOOKUP(G$1,'[1]Table 2'!$H$55:$L$55,'[1]Table 2'!$H$56:$L$56)))</f>
        <v>24.467428431374909</v>
      </c>
      <c r="H81" s="3">
        <f>H80*(1+(_xlfn.XLOOKUP(H$1,'[1]Table 2'!$H$55:$L$55,'[1]Table 2'!$H$56:$L$56)))</f>
        <v>2.556576572946172</v>
      </c>
      <c r="I81" s="3">
        <f>I80*(1+(_xlfn.XLOOKUP(I$1,'[1]Table 2'!$H$55:$L$55,'[1]Table 2'!$H$56:$L$56)))</f>
        <v>24.467428431374909</v>
      </c>
      <c r="J81" s="3">
        <f>J80*(1+(_xlfn.XLOOKUP(J$1,'[1]Table 2'!$H$55:$L$55,'[1]Table 2'!$H$56:$L$56)))</f>
        <v>24.467428431374909</v>
      </c>
      <c r="K81" s="3">
        <f>K80*(1+(_xlfn.XLOOKUP(K$1,'[1]Table 2'!$H$55:$L$55,'[1]Table 2'!$H$56:$L$56)))</f>
        <v>24.467428431374909</v>
      </c>
      <c r="L81" s="3">
        <f>L80*(1+(_xlfn.XLOOKUP(L$1,'[1]Table 2'!$H$55:$L$55,'[1]Table 2'!$H$56:$L$56)))</f>
        <v>24.467428431374909</v>
      </c>
      <c r="M81" s="3">
        <f>M80*(1+(_xlfn.XLOOKUP(M$1,'[1]Table 2'!$H$55:$L$55,'[1]Table 2'!$H$56:$L$56)))</f>
        <v>11.432825030923913</v>
      </c>
      <c r="N81" s="3">
        <f>N80*(1+(_xlfn.XLOOKUP(N$1,'[1]Table 2'!$H$55:$L$55,'[1]Table 2'!$H$56:$L$56)))</f>
        <v>24.467428431374909</v>
      </c>
      <c r="O81" s="3">
        <f>O80*(1+(_xlfn.XLOOKUP(O$1,'[1]Table 2'!$H$55:$L$55,'[1]Table 2'!$H$56:$L$56)))</f>
        <v>2.556576572946172</v>
      </c>
      <c r="P81" s="3">
        <f>P80*(1+(_xlfn.XLOOKUP(P$1,'[1]Table 2'!$H$55:$L$55,'[1]Table 2'!$H$56:$L$56)))</f>
        <v>24.467428431374909</v>
      </c>
      <c r="Q81" s="3">
        <f>Q80*(1+(_xlfn.XLOOKUP(Q$1,'[1]Table 2'!$H$55:$L$55,'[1]Table 2'!$H$56:$L$56)))</f>
        <v>11.432825030923913</v>
      </c>
      <c r="R81" s="3">
        <f>R80*(1+(_xlfn.XLOOKUP(R$1,'[1]Table 2'!$H$55:$L$55,'[1]Table 2'!$H$56:$L$56)))</f>
        <v>24.467428431374909</v>
      </c>
      <c r="S81" s="3">
        <f>S80*(1+(_xlfn.XLOOKUP(S$1,'[1]Table 2'!$H$55:$L$55,'[1]Table 2'!$H$56:$L$56)))</f>
        <v>2.556576572946172</v>
      </c>
      <c r="T81" s="3">
        <f>T80*(1+(_xlfn.XLOOKUP(T$1,'[1]Table 2'!$H$55:$L$55,'[1]Table 2'!$H$56:$L$56)))</f>
        <v>54.941136640804572</v>
      </c>
      <c r="U81" s="3">
        <f>U80*(1+(_xlfn.XLOOKUP(U$1,'[1]Table 2'!$H$55:$L$55,'[1]Table 2'!$H$56:$L$56)))</f>
        <v>2.556576572946172</v>
      </c>
      <c r="V81" s="3">
        <f>V80*(1+(_xlfn.XLOOKUP(V$1,'[1]Table 2'!$H$55:$L$55,'[1]Table 2'!$H$56:$L$56)))</f>
        <v>24.467428431374909</v>
      </c>
      <c r="W81" s="3">
        <f>W80*(1+(_xlfn.XLOOKUP(W$1,'[1]Table 2'!$H$55:$L$55,'[1]Table 2'!$H$56:$L$56)))</f>
        <v>3.9835581168944634</v>
      </c>
      <c r="X81" s="3">
        <f>X80*(1+(_xlfn.XLOOKUP(X$1,'[1]Table 2'!$H$55:$L$55,'[1]Table 2'!$H$56:$L$56)))</f>
        <v>11.432825030923913</v>
      </c>
      <c r="Y81" s="3">
        <f>Y80*(1+(_xlfn.XLOOKUP(Y$1,'[1]Table 2'!$H$55:$L$55,'[1]Table 2'!$H$56:$L$56)))</f>
        <v>3.9835581168944634</v>
      </c>
      <c r="Z81" s="3">
        <f>Z80*(1+(_xlfn.XLOOKUP(Z$1,'[1]Table 2'!$H$55:$L$55,'[1]Table 2'!$H$56:$L$56)))</f>
        <v>2.556576572946172</v>
      </c>
      <c r="AA81" s="3">
        <f>AA80*(1+(_xlfn.XLOOKUP(AA$1,'[1]Table 2'!$H$55:$L$55,'[1]Table 2'!$H$56:$L$56)))</f>
        <v>3.9835581168944634</v>
      </c>
    </row>
    <row r="82" spans="1:27" x14ac:dyDescent="0.2">
      <c r="A82" s="1">
        <v>2050</v>
      </c>
      <c r="B82" s="3">
        <f>B81*(1+(_xlfn.XLOOKUP(B$1,'[1]Table 2'!$H$55:$L$55,'[1]Table 2'!$H$56:$L$56)))</f>
        <v>11.520912348750581</v>
      </c>
      <c r="C82" s="3">
        <f>C81*(1+(_xlfn.XLOOKUP(C$1,'[1]Table 2'!$H$55:$L$55,'[1]Table 2'!$H$56:$L$56)))</f>
        <v>11.520912348750581</v>
      </c>
      <c r="D82" s="3">
        <f>D81*(1+(_xlfn.XLOOKUP(D$1,'[1]Table 2'!$H$55:$L$55,'[1]Table 2'!$H$56:$L$56)))</f>
        <v>11.520912348750581</v>
      </c>
      <c r="E82" s="3">
        <f>E81*(1+(_xlfn.XLOOKUP(E$1,'[1]Table 2'!$H$55:$L$55,'[1]Table 2'!$H$56:$L$56)))</f>
        <v>24.68850051057446</v>
      </c>
      <c r="F82" s="3">
        <f>F81*(1+(_xlfn.XLOOKUP(F$1,'[1]Table 2'!$H$55:$L$55,'[1]Table 2'!$H$56:$L$56)))</f>
        <v>3.9850770462424978</v>
      </c>
      <c r="G82" s="3">
        <f>G81*(1+(_xlfn.XLOOKUP(G$1,'[1]Table 2'!$H$55:$L$55,'[1]Table 2'!$H$56:$L$56)))</f>
        <v>24.68850051057446</v>
      </c>
      <c r="H82" s="3">
        <f>H81*(1+(_xlfn.XLOOKUP(H$1,'[1]Table 2'!$H$55:$L$55,'[1]Table 2'!$H$56:$L$56)))</f>
        <v>2.5550053114282121</v>
      </c>
      <c r="I82" s="3">
        <f>I81*(1+(_xlfn.XLOOKUP(I$1,'[1]Table 2'!$H$55:$L$55,'[1]Table 2'!$H$56:$L$56)))</f>
        <v>24.68850051057446</v>
      </c>
      <c r="J82" s="3">
        <f>J81*(1+(_xlfn.XLOOKUP(J$1,'[1]Table 2'!$H$55:$L$55,'[1]Table 2'!$H$56:$L$56)))</f>
        <v>24.68850051057446</v>
      </c>
      <c r="K82" s="3">
        <f>K81*(1+(_xlfn.XLOOKUP(K$1,'[1]Table 2'!$H$55:$L$55,'[1]Table 2'!$H$56:$L$56)))</f>
        <v>24.68850051057446</v>
      </c>
      <c r="L82" s="3">
        <f>L81*(1+(_xlfn.XLOOKUP(L$1,'[1]Table 2'!$H$55:$L$55,'[1]Table 2'!$H$56:$L$56)))</f>
        <v>24.68850051057446</v>
      </c>
      <c r="M82" s="3">
        <f>M81*(1+(_xlfn.XLOOKUP(M$1,'[1]Table 2'!$H$55:$L$55,'[1]Table 2'!$H$56:$L$56)))</f>
        <v>11.520912348750581</v>
      </c>
      <c r="N82" s="3">
        <f>N81*(1+(_xlfn.XLOOKUP(N$1,'[1]Table 2'!$H$55:$L$55,'[1]Table 2'!$H$56:$L$56)))</f>
        <v>24.68850051057446</v>
      </c>
      <c r="O82" s="3">
        <f>O81*(1+(_xlfn.XLOOKUP(O$1,'[1]Table 2'!$H$55:$L$55,'[1]Table 2'!$H$56:$L$56)))</f>
        <v>2.5550053114282121</v>
      </c>
      <c r="P82" s="3">
        <f>P81*(1+(_xlfn.XLOOKUP(P$1,'[1]Table 2'!$H$55:$L$55,'[1]Table 2'!$H$56:$L$56)))</f>
        <v>24.68850051057446</v>
      </c>
      <c r="Q82" s="3">
        <f>Q81*(1+(_xlfn.XLOOKUP(Q$1,'[1]Table 2'!$H$55:$L$55,'[1]Table 2'!$H$56:$L$56)))</f>
        <v>11.520912348750581</v>
      </c>
      <c r="R82" s="3">
        <f>R81*(1+(_xlfn.XLOOKUP(R$1,'[1]Table 2'!$H$55:$L$55,'[1]Table 2'!$H$56:$L$56)))</f>
        <v>24.68850051057446</v>
      </c>
      <c r="S82" s="3">
        <f>S81*(1+(_xlfn.XLOOKUP(S$1,'[1]Table 2'!$H$55:$L$55,'[1]Table 2'!$H$56:$L$56)))</f>
        <v>2.5550053114282121</v>
      </c>
      <c r="T82" s="3">
        <f>T81*(1+(_xlfn.XLOOKUP(T$1,'[1]Table 2'!$H$55:$L$55,'[1]Table 2'!$H$56:$L$56)))</f>
        <v>56.0355673233422</v>
      </c>
      <c r="U82" s="3">
        <f>U81*(1+(_xlfn.XLOOKUP(U$1,'[1]Table 2'!$H$55:$L$55,'[1]Table 2'!$H$56:$L$56)))</f>
        <v>2.5550053114282121</v>
      </c>
      <c r="V82" s="3">
        <f>V81*(1+(_xlfn.XLOOKUP(V$1,'[1]Table 2'!$H$55:$L$55,'[1]Table 2'!$H$56:$L$56)))</f>
        <v>24.68850051057446</v>
      </c>
      <c r="W82" s="3">
        <f>W81*(1+(_xlfn.XLOOKUP(W$1,'[1]Table 2'!$H$55:$L$55,'[1]Table 2'!$H$56:$L$56)))</f>
        <v>3.9850770462424978</v>
      </c>
      <c r="X82" s="3">
        <f>X81*(1+(_xlfn.XLOOKUP(X$1,'[1]Table 2'!$H$55:$L$55,'[1]Table 2'!$H$56:$L$56)))</f>
        <v>11.520912348750581</v>
      </c>
      <c r="Y82" s="3">
        <f>Y81*(1+(_xlfn.XLOOKUP(Y$1,'[1]Table 2'!$H$55:$L$55,'[1]Table 2'!$H$56:$L$56)))</f>
        <v>3.9850770462424978</v>
      </c>
      <c r="Z82" s="3">
        <f>Z81*(1+(_xlfn.XLOOKUP(Z$1,'[1]Table 2'!$H$55:$L$55,'[1]Table 2'!$H$56:$L$56)))</f>
        <v>2.5550053114282121</v>
      </c>
      <c r="AA82" s="3">
        <f>AA81*(1+(_xlfn.XLOOKUP(AA$1,'[1]Table 2'!$H$55:$L$55,'[1]Table 2'!$H$56:$L$56)))</f>
        <v>3.9850770462424978</v>
      </c>
    </row>
    <row r="83" spans="1:27" x14ac:dyDescent="0.2">
      <c r="A83" s="1">
        <v>2051</v>
      </c>
      <c r="B83" s="3">
        <f>B82*(1+(_xlfn.XLOOKUP(B$1,'[1]Table 2'!$H$55:$L$55,'[1]Table 2'!$H$56:$L$56)))</f>
        <v>11.609678359336119</v>
      </c>
      <c r="C83" s="3">
        <f>C82*(1+(_xlfn.XLOOKUP(C$1,'[1]Table 2'!$H$55:$L$55,'[1]Table 2'!$H$56:$L$56)))</f>
        <v>11.609678359336119</v>
      </c>
      <c r="D83" s="3">
        <f>D82*(1+(_xlfn.XLOOKUP(D$1,'[1]Table 2'!$H$55:$L$55,'[1]Table 2'!$H$56:$L$56)))</f>
        <v>11.609678359336119</v>
      </c>
      <c r="E83" s="3">
        <f>E82*(1+(_xlfn.XLOOKUP(E$1,'[1]Table 2'!$H$55:$L$55,'[1]Table 2'!$H$56:$L$56)))</f>
        <v>24.911570056092906</v>
      </c>
      <c r="F83" s="3">
        <f>F82*(1+(_xlfn.XLOOKUP(F$1,'[1]Table 2'!$H$55:$L$55,'[1]Table 2'!$H$56:$L$56)))</f>
        <v>3.9865965547577731</v>
      </c>
      <c r="G83" s="3">
        <f>G82*(1+(_xlfn.XLOOKUP(G$1,'[1]Table 2'!$H$55:$L$55,'[1]Table 2'!$H$56:$L$56)))</f>
        <v>24.911570056092906</v>
      </c>
      <c r="H83" s="3">
        <f>H82*(1+(_xlfn.XLOOKUP(H$1,'[1]Table 2'!$H$55:$L$55,'[1]Table 2'!$H$56:$L$56)))</f>
        <v>2.5534350156011625</v>
      </c>
      <c r="I83" s="3">
        <f>I82*(1+(_xlfn.XLOOKUP(I$1,'[1]Table 2'!$H$55:$L$55,'[1]Table 2'!$H$56:$L$56)))</f>
        <v>24.911570056092906</v>
      </c>
      <c r="J83" s="3">
        <f>J82*(1+(_xlfn.XLOOKUP(J$1,'[1]Table 2'!$H$55:$L$55,'[1]Table 2'!$H$56:$L$56)))</f>
        <v>24.911570056092906</v>
      </c>
      <c r="K83" s="3">
        <f>K82*(1+(_xlfn.XLOOKUP(K$1,'[1]Table 2'!$H$55:$L$55,'[1]Table 2'!$H$56:$L$56)))</f>
        <v>24.911570056092906</v>
      </c>
      <c r="L83" s="3">
        <f>L82*(1+(_xlfn.XLOOKUP(L$1,'[1]Table 2'!$H$55:$L$55,'[1]Table 2'!$H$56:$L$56)))</f>
        <v>24.911570056092906</v>
      </c>
      <c r="M83" s="3">
        <f>M82*(1+(_xlfn.XLOOKUP(M$1,'[1]Table 2'!$H$55:$L$55,'[1]Table 2'!$H$56:$L$56)))</f>
        <v>11.609678359336119</v>
      </c>
      <c r="N83" s="3">
        <f>N82*(1+(_xlfn.XLOOKUP(N$1,'[1]Table 2'!$H$55:$L$55,'[1]Table 2'!$H$56:$L$56)))</f>
        <v>24.911570056092906</v>
      </c>
      <c r="O83" s="3">
        <f>O82*(1+(_xlfn.XLOOKUP(O$1,'[1]Table 2'!$H$55:$L$55,'[1]Table 2'!$H$56:$L$56)))</f>
        <v>2.5534350156011625</v>
      </c>
      <c r="P83" s="3">
        <f>P82*(1+(_xlfn.XLOOKUP(P$1,'[1]Table 2'!$H$55:$L$55,'[1]Table 2'!$H$56:$L$56)))</f>
        <v>24.911570056092906</v>
      </c>
      <c r="Q83" s="3">
        <f>Q82*(1+(_xlfn.XLOOKUP(Q$1,'[1]Table 2'!$H$55:$L$55,'[1]Table 2'!$H$56:$L$56)))</f>
        <v>11.609678359336119</v>
      </c>
      <c r="R83" s="3">
        <f>R82*(1+(_xlfn.XLOOKUP(R$1,'[1]Table 2'!$H$55:$L$55,'[1]Table 2'!$H$56:$L$56)))</f>
        <v>24.911570056092906</v>
      </c>
      <c r="S83" s="3">
        <f>S82*(1+(_xlfn.XLOOKUP(S$1,'[1]Table 2'!$H$55:$L$55,'[1]Table 2'!$H$56:$L$56)))</f>
        <v>2.5534350156011625</v>
      </c>
      <c r="T83" s="3">
        <f>T82*(1+(_xlfn.XLOOKUP(T$1,'[1]Table 2'!$H$55:$L$55,'[1]Table 2'!$H$56:$L$56)))</f>
        <v>57.151799129629971</v>
      </c>
      <c r="U83" s="3">
        <f>U82*(1+(_xlfn.XLOOKUP(U$1,'[1]Table 2'!$H$55:$L$55,'[1]Table 2'!$H$56:$L$56)))</f>
        <v>2.5534350156011625</v>
      </c>
      <c r="V83" s="3">
        <f>V82*(1+(_xlfn.XLOOKUP(V$1,'[1]Table 2'!$H$55:$L$55,'[1]Table 2'!$H$56:$L$56)))</f>
        <v>24.911570056092906</v>
      </c>
      <c r="W83" s="3">
        <f>W82*(1+(_xlfn.XLOOKUP(W$1,'[1]Table 2'!$H$55:$L$55,'[1]Table 2'!$H$56:$L$56)))</f>
        <v>3.9865965547577731</v>
      </c>
      <c r="X83" s="3">
        <f>X82*(1+(_xlfn.XLOOKUP(X$1,'[1]Table 2'!$H$55:$L$55,'[1]Table 2'!$H$56:$L$56)))</f>
        <v>11.609678359336119</v>
      </c>
      <c r="Y83" s="3">
        <f>Y82*(1+(_xlfn.XLOOKUP(Y$1,'[1]Table 2'!$H$55:$L$55,'[1]Table 2'!$H$56:$L$56)))</f>
        <v>3.9865965547577731</v>
      </c>
      <c r="Z83" s="3">
        <f>Z82*(1+(_xlfn.XLOOKUP(Z$1,'[1]Table 2'!$H$55:$L$55,'[1]Table 2'!$H$56:$L$56)))</f>
        <v>2.5534350156011625</v>
      </c>
      <c r="AA83" s="3">
        <f>AA82*(1+(_xlfn.XLOOKUP(AA$1,'[1]Table 2'!$H$55:$L$55,'[1]Table 2'!$H$56:$L$56)))</f>
        <v>3.9865965547577731</v>
      </c>
    </row>
    <row r="84" spans="1:27" x14ac:dyDescent="0.2">
      <c r="A84" s="1">
        <v>2052</v>
      </c>
      <c r="B84" s="3">
        <f>B83*(1+(_xlfn.XLOOKUP(B$1,'[1]Table 2'!$H$55:$L$55,'[1]Table 2'!$H$56:$L$56)))</f>
        <v>11.699128291853944</v>
      </c>
      <c r="C84" s="3">
        <f>C83*(1+(_xlfn.XLOOKUP(C$1,'[1]Table 2'!$H$55:$L$55,'[1]Table 2'!$H$56:$L$56)))</f>
        <v>11.699128291853944</v>
      </c>
      <c r="D84" s="3">
        <f>D83*(1+(_xlfn.XLOOKUP(D$1,'[1]Table 2'!$H$55:$L$55,'[1]Table 2'!$H$56:$L$56)))</f>
        <v>11.699128291853944</v>
      </c>
      <c r="E84" s="3">
        <f>E83*(1+(_xlfn.XLOOKUP(E$1,'[1]Table 2'!$H$55:$L$55,'[1]Table 2'!$H$56:$L$56)))</f>
        <v>25.136655115762018</v>
      </c>
      <c r="F84" s="3">
        <f>F83*(1+(_xlfn.XLOOKUP(F$1,'[1]Table 2'!$H$55:$L$55,'[1]Table 2'!$H$56:$L$56)))</f>
        <v>3.9881166426611259</v>
      </c>
      <c r="G84" s="3">
        <f>G83*(1+(_xlfn.XLOOKUP(G$1,'[1]Table 2'!$H$55:$L$55,'[1]Table 2'!$H$56:$L$56)))</f>
        <v>25.136655115762018</v>
      </c>
      <c r="H84" s="3">
        <f>H83*(1+(_xlfn.XLOOKUP(H$1,'[1]Table 2'!$H$55:$L$55,'[1]Table 2'!$H$56:$L$56)))</f>
        <v>2.5518656848715136</v>
      </c>
      <c r="I84" s="3">
        <f>I83*(1+(_xlfn.XLOOKUP(I$1,'[1]Table 2'!$H$55:$L$55,'[1]Table 2'!$H$56:$L$56)))</f>
        <v>25.136655115762018</v>
      </c>
      <c r="J84" s="3">
        <f>J83*(1+(_xlfn.XLOOKUP(J$1,'[1]Table 2'!$H$55:$L$55,'[1]Table 2'!$H$56:$L$56)))</f>
        <v>25.136655115762018</v>
      </c>
      <c r="K84" s="3">
        <f>K83*(1+(_xlfn.XLOOKUP(K$1,'[1]Table 2'!$H$55:$L$55,'[1]Table 2'!$H$56:$L$56)))</f>
        <v>25.136655115762018</v>
      </c>
      <c r="L84" s="3">
        <f>L83*(1+(_xlfn.XLOOKUP(L$1,'[1]Table 2'!$H$55:$L$55,'[1]Table 2'!$H$56:$L$56)))</f>
        <v>25.136655115762018</v>
      </c>
      <c r="M84" s="3">
        <f>M83*(1+(_xlfn.XLOOKUP(M$1,'[1]Table 2'!$H$55:$L$55,'[1]Table 2'!$H$56:$L$56)))</f>
        <v>11.699128291853944</v>
      </c>
      <c r="N84" s="3">
        <f>N83*(1+(_xlfn.XLOOKUP(N$1,'[1]Table 2'!$H$55:$L$55,'[1]Table 2'!$H$56:$L$56)))</f>
        <v>25.136655115762018</v>
      </c>
      <c r="O84" s="3">
        <f>O83*(1+(_xlfn.XLOOKUP(O$1,'[1]Table 2'!$H$55:$L$55,'[1]Table 2'!$H$56:$L$56)))</f>
        <v>2.5518656848715136</v>
      </c>
      <c r="P84" s="3">
        <f>P83*(1+(_xlfn.XLOOKUP(P$1,'[1]Table 2'!$H$55:$L$55,'[1]Table 2'!$H$56:$L$56)))</f>
        <v>25.136655115762018</v>
      </c>
      <c r="Q84" s="3">
        <f>Q83*(1+(_xlfn.XLOOKUP(Q$1,'[1]Table 2'!$H$55:$L$55,'[1]Table 2'!$H$56:$L$56)))</f>
        <v>11.699128291853944</v>
      </c>
      <c r="R84" s="3">
        <f>R83*(1+(_xlfn.XLOOKUP(R$1,'[1]Table 2'!$H$55:$L$55,'[1]Table 2'!$H$56:$L$56)))</f>
        <v>25.136655115762018</v>
      </c>
      <c r="S84" s="3">
        <f>S83*(1+(_xlfn.XLOOKUP(S$1,'[1]Table 2'!$H$55:$L$55,'[1]Table 2'!$H$56:$L$56)))</f>
        <v>2.5518656848715136</v>
      </c>
      <c r="T84" s="3">
        <f>T83*(1+(_xlfn.XLOOKUP(T$1,'[1]Table 2'!$H$55:$L$55,'[1]Table 2'!$H$56:$L$56)))</f>
        <v>58.290266339338913</v>
      </c>
      <c r="U84" s="3">
        <f>U83*(1+(_xlfn.XLOOKUP(U$1,'[1]Table 2'!$H$55:$L$55,'[1]Table 2'!$H$56:$L$56)))</f>
        <v>2.5518656848715136</v>
      </c>
      <c r="V84" s="3">
        <f>V83*(1+(_xlfn.XLOOKUP(V$1,'[1]Table 2'!$H$55:$L$55,'[1]Table 2'!$H$56:$L$56)))</f>
        <v>25.136655115762018</v>
      </c>
      <c r="W84" s="3">
        <f>W83*(1+(_xlfn.XLOOKUP(W$1,'[1]Table 2'!$H$55:$L$55,'[1]Table 2'!$H$56:$L$56)))</f>
        <v>3.9881166426611259</v>
      </c>
      <c r="X84" s="3">
        <f>X83*(1+(_xlfn.XLOOKUP(X$1,'[1]Table 2'!$H$55:$L$55,'[1]Table 2'!$H$56:$L$56)))</f>
        <v>11.699128291853944</v>
      </c>
      <c r="Y84" s="3">
        <f>Y83*(1+(_xlfn.XLOOKUP(Y$1,'[1]Table 2'!$H$55:$L$55,'[1]Table 2'!$H$56:$L$56)))</f>
        <v>3.9881166426611259</v>
      </c>
      <c r="Z84" s="3">
        <f>Z83*(1+(_xlfn.XLOOKUP(Z$1,'[1]Table 2'!$H$55:$L$55,'[1]Table 2'!$H$56:$L$56)))</f>
        <v>2.5518656848715136</v>
      </c>
      <c r="AA84" s="3">
        <f>AA83*(1+(_xlfn.XLOOKUP(AA$1,'[1]Table 2'!$H$55:$L$55,'[1]Table 2'!$H$56:$L$56)))</f>
        <v>3.9881166426611259</v>
      </c>
    </row>
    <row r="85" spans="1:27" x14ac:dyDescent="0.2">
      <c r="A85" s="1">
        <v>2053</v>
      </c>
      <c r="B85" s="3">
        <f>B84*(1+(_xlfn.XLOOKUP(B$1,'[1]Table 2'!$H$55:$L$55,'[1]Table 2'!$H$56:$L$56)))</f>
        <v>11.789267415767068</v>
      </c>
      <c r="C85" s="3">
        <f>C84*(1+(_xlfn.XLOOKUP(C$1,'[1]Table 2'!$H$55:$L$55,'[1]Table 2'!$H$56:$L$56)))</f>
        <v>11.789267415767068</v>
      </c>
      <c r="D85" s="3">
        <f>D84*(1+(_xlfn.XLOOKUP(D$1,'[1]Table 2'!$H$55:$L$55,'[1]Table 2'!$H$56:$L$56)))</f>
        <v>11.789267415767068</v>
      </c>
      <c r="E85" s="3">
        <f>E84*(1+(_xlfn.XLOOKUP(E$1,'[1]Table 2'!$H$55:$L$55,'[1]Table 2'!$H$56:$L$56)))</f>
        <v>25.363773900482268</v>
      </c>
      <c r="F85" s="3">
        <f>F84*(1+(_xlfn.XLOOKUP(F$1,'[1]Table 2'!$H$55:$L$55,'[1]Table 2'!$H$56:$L$56)))</f>
        <v>3.9896373101734763</v>
      </c>
      <c r="G85" s="3">
        <f>G84*(1+(_xlfn.XLOOKUP(G$1,'[1]Table 2'!$H$55:$L$55,'[1]Table 2'!$H$56:$L$56)))</f>
        <v>25.363773900482268</v>
      </c>
      <c r="H85" s="3">
        <f>H84*(1+(_xlfn.XLOOKUP(H$1,'[1]Table 2'!$H$55:$L$55,'[1]Table 2'!$H$56:$L$56)))</f>
        <v>2.5502973186461202</v>
      </c>
      <c r="I85" s="3">
        <f>I84*(1+(_xlfn.XLOOKUP(I$1,'[1]Table 2'!$H$55:$L$55,'[1]Table 2'!$H$56:$L$56)))</f>
        <v>25.363773900482268</v>
      </c>
      <c r="J85" s="3">
        <f>J84*(1+(_xlfn.XLOOKUP(J$1,'[1]Table 2'!$H$55:$L$55,'[1]Table 2'!$H$56:$L$56)))</f>
        <v>25.363773900482268</v>
      </c>
      <c r="K85" s="3">
        <f>K84*(1+(_xlfn.XLOOKUP(K$1,'[1]Table 2'!$H$55:$L$55,'[1]Table 2'!$H$56:$L$56)))</f>
        <v>25.363773900482268</v>
      </c>
      <c r="L85" s="3">
        <f>L84*(1+(_xlfn.XLOOKUP(L$1,'[1]Table 2'!$H$55:$L$55,'[1]Table 2'!$H$56:$L$56)))</f>
        <v>25.363773900482268</v>
      </c>
      <c r="M85" s="3">
        <f>M84*(1+(_xlfn.XLOOKUP(M$1,'[1]Table 2'!$H$55:$L$55,'[1]Table 2'!$H$56:$L$56)))</f>
        <v>11.789267415767068</v>
      </c>
      <c r="N85" s="3">
        <f>N84*(1+(_xlfn.XLOOKUP(N$1,'[1]Table 2'!$H$55:$L$55,'[1]Table 2'!$H$56:$L$56)))</f>
        <v>25.363773900482268</v>
      </c>
      <c r="O85" s="3">
        <f>O84*(1+(_xlfn.XLOOKUP(O$1,'[1]Table 2'!$H$55:$L$55,'[1]Table 2'!$H$56:$L$56)))</f>
        <v>2.5502973186461202</v>
      </c>
      <c r="P85" s="3">
        <f>P84*(1+(_xlfn.XLOOKUP(P$1,'[1]Table 2'!$H$55:$L$55,'[1]Table 2'!$H$56:$L$56)))</f>
        <v>25.363773900482268</v>
      </c>
      <c r="Q85" s="3">
        <f>Q84*(1+(_xlfn.XLOOKUP(Q$1,'[1]Table 2'!$H$55:$L$55,'[1]Table 2'!$H$56:$L$56)))</f>
        <v>11.789267415767068</v>
      </c>
      <c r="R85" s="3">
        <f>R84*(1+(_xlfn.XLOOKUP(R$1,'[1]Table 2'!$H$55:$L$55,'[1]Table 2'!$H$56:$L$56)))</f>
        <v>25.363773900482268</v>
      </c>
      <c r="S85" s="3">
        <f>S84*(1+(_xlfn.XLOOKUP(S$1,'[1]Table 2'!$H$55:$L$55,'[1]Table 2'!$H$56:$L$56)))</f>
        <v>2.5502973186461202</v>
      </c>
      <c r="T85" s="3">
        <f>T84*(1+(_xlfn.XLOOKUP(T$1,'[1]Table 2'!$H$55:$L$55,'[1]Table 2'!$H$56:$L$56)))</f>
        <v>59.451411883016704</v>
      </c>
      <c r="U85" s="3">
        <f>U84*(1+(_xlfn.XLOOKUP(U$1,'[1]Table 2'!$H$55:$L$55,'[1]Table 2'!$H$56:$L$56)))</f>
        <v>2.5502973186461202</v>
      </c>
      <c r="V85" s="3">
        <f>V84*(1+(_xlfn.XLOOKUP(V$1,'[1]Table 2'!$H$55:$L$55,'[1]Table 2'!$H$56:$L$56)))</f>
        <v>25.363773900482268</v>
      </c>
      <c r="W85" s="3">
        <f>W84*(1+(_xlfn.XLOOKUP(W$1,'[1]Table 2'!$H$55:$L$55,'[1]Table 2'!$H$56:$L$56)))</f>
        <v>3.9896373101734763</v>
      </c>
      <c r="X85" s="3">
        <f>X84*(1+(_xlfn.XLOOKUP(X$1,'[1]Table 2'!$H$55:$L$55,'[1]Table 2'!$H$56:$L$56)))</f>
        <v>11.789267415767068</v>
      </c>
      <c r="Y85" s="3">
        <f>Y84*(1+(_xlfn.XLOOKUP(Y$1,'[1]Table 2'!$H$55:$L$55,'[1]Table 2'!$H$56:$L$56)))</f>
        <v>3.9896373101734763</v>
      </c>
      <c r="Z85" s="3">
        <f>Z84*(1+(_xlfn.XLOOKUP(Z$1,'[1]Table 2'!$H$55:$L$55,'[1]Table 2'!$H$56:$L$56)))</f>
        <v>2.5502973186461202</v>
      </c>
      <c r="AA85" s="3">
        <f>AA84*(1+(_xlfn.XLOOKUP(AA$1,'[1]Table 2'!$H$55:$L$55,'[1]Table 2'!$H$56:$L$56)))</f>
        <v>3.9896373101734763</v>
      </c>
    </row>
    <row r="86" spans="1:27" x14ac:dyDescent="0.2">
      <c r="A86" s="1">
        <v>2054</v>
      </c>
      <c r="B86" s="3">
        <f>B85*(1+(_xlfn.XLOOKUP(B$1,'[1]Table 2'!$H$55:$L$55,'[1]Table 2'!$H$56:$L$56)))</f>
        <v>11.880101041138516</v>
      </c>
      <c r="C86" s="3">
        <f>C85*(1+(_xlfn.XLOOKUP(C$1,'[1]Table 2'!$H$55:$L$55,'[1]Table 2'!$H$56:$L$56)))</f>
        <v>11.880101041138516</v>
      </c>
      <c r="D86" s="3">
        <f>D85*(1+(_xlfn.XLOOKUP(D$1,'[1]Table 2'!$H$55:$L$55,'[1]Table 2'!$H$56:$L$56)))</f>
        <v>11.880101041138516</v>
      </c>
      <c r="E86" s="3">
        <f>E85*(1+(_xlfn.XLOOKUP(E$1,'[1]Table 2'!$H$55:$L$55,'[1]Table 2'!$H$56:$L$56)))</f>
        <v>25.592944785696208</v>
      </c>
      <c r="F86" s="3">
        <f>F85*(1+(_xlfn.XLOOKUP(F$1,'[1]Table 2'!$H$55:$L$55,'[1]Table 2'!$H$56:$L$56)))</f>
        <v>3.9911585575158295</v>
      </c>
      <c r="G86" s="3">
        <f>G85*(1+(_xlfn.XLOOKUP(G$1,'[1]Table 2'!$H$55:$L$55,'[1]Table 2'!$H$56:$L$56)))</f>
        <v>25.592944785696208</v>
      </c>
      <c r="H86" s="3">
        <f>H85*(1+(_xlfn.XLOOKUP(H$1,'[1]Table 2'!$H$55:$L$55,'[1]Table 2'!$H$56:$L$56)))</f>
        <v>2.5487299163322019</v>
      </c>
      <c r="I86" s="3">
        <f>I85*(1+(_xlfn.XLOOKUP(I$1,'[1]Table 2'!$H$55:$L$55,'[1]Table 2'!$H$56:$L$56)))</f>
        <v>25.592944785696208</v>
      </c>
      <c r="J86" s="3">
        <f>J85*(1+(_xlfn.XLOOKUP(J$1,'[1]Table 2'!$H$55:$L$55,'[1]Table 2'!$H$56:$L$56)))</f>
        <v>25.592944785696208</v>
      </c>
      <c r="K86" s="3">
        <f>K85*(1+(_xlfn.XLOOKUP(K$1,'[1]Table 2'!$H$55:$L$55,'[1]Table 2'!$H$56:$L$56)))</f>
        <v>25.592944785696208</v>
      </c>
      <c r="L86" s="3">
        <f>L85*(1+(_xlfn.XLOOKUP(L$1,'[1]Table 2'!$H$55:$L$55,'[1]Table 2'!$H$56:$L$56)))</f>
        <v>25.592944785696208</v>
      </c>
      <c r="M86" s="3">
        <f>M85*(1+(_xlfn.XLOOKUP(M$1,'[1]Table 2'!$H$55:$L$55,'[1]Table 2'!$H$56:$L$56)))</f>
        <v>11.880101041138516</v>
      </c>
      <c r="N86" s="3">
        <f>N85*(1+(_xlfn.XLOOKUP(N$1,'[1]Table 2'!$H$55:$L$55,'[1]Table 2'!$H$56:$L$56)))</f>
        <v>25.592944785696208</v>
      </c>
      <c r="O86" s="3">
        <f>O85*(1+(_xlfn.XLOOKUP(O$1,'[1]Table 2'!$H$55:$L$55,'[1]Table 2'!$H$56:$L$56)))</f>
        <v>2.5487299163322019</v>
      </c>
      <c r="P86" s="3">
        <f>P85*(1+(_xlfn.XLOOKUP(P$1,'[1]Table 2'!$H$55:$L$55,'[1]Table 2'!$H$56:$L$56)))</f>
        <v>25.592944785696208</v>
      </c>
      <c r="Q86" s="3">
        <f>Q85*(1+(_xlfn.XLOOKUP(Q$1,'[1]Table 2'!$H$55:$L$55,'[1]Table 2'!$H$56:$L$56)))</f>
        <v>11.880101041138516</v>
      </c>
      <c r="R86" s="3">
        <f>R85*(1+(_xlfn.XLOOKUP(R$1,'[1]Table 2'!$H$55:$L$55,'[1]Table 2'!$H$56:$L$56)))</f>
        <v>25.592944785696208</v>
      </c>
      <c r="S86" s="3">
        <f>S85*(1+(_xlfn.XLOOKUP(S$1,'[1]Table 2'!$H$55:$L$55,'[1]Table 2'!$H$56:$L$56)))</f>
        <v>2.5487299163322019</v>
      </c>
      <c r="T86" s="3">
        <f>T85*(1+(_xlfn.XLOOKUP(T$1,'[1]Table 2'!$H$55:$L$55,'[1]Table 2'!$H$56:$L$56)))</f>
        <v>60.635687514413668</v>
      </c>
      <c r="U86" s="3">
        <f>U85*(1+(_xlfn.XLOOKUP(U$1,'[1]Table 2'!$H$55:$L$55,'[1]Table 2'!$H$56:$L$56)))</f>
        <v>2.5487299163322019</v>
      </c>
      <c r="V86" s="3">
        <f>V85*(1+(_xlfn.XLOOKUP(V$1,'[1]Table 2'!$H$55:$L$55,'[1]Table 2'!$H$56:$L$56)))</f>
        <v>25.592944785696208</v>
      </c>
      <c r="W86" s="3">
        <f>W85*(1+(_xlfn.XLOOKUP(W$1,'[1]Table 2'!$H$55:$L$55,'[1]Table 2'!$H$56:$L$56)))</f>
        <v>3.9911585575158295</v>
      </c>
      <c r="X86" s="3">
        <f>X85*(1+(_xlfn.XLOOKUP(X$1,'[1]Table 2'!$H$55:$L$55,'[1]Table 2'!$H$56:$L$56)))</f>
        <v>11.880101041138516</v>
      </c>
      <c r="Y86" s="3">
        <f>Y85*(1+(_xlfn.XLOOKUP(Y$1,'[1]Table 2'!$H$55:$L$55,'[1]Table 2'!$H$56:$L$56)))</f>
        <v>3.9911585575158295</v>
      </c>
      <c r="Z86" s="3">
        <f>Z85*(1+(_xlfn.XLOOKUP(Z$1,'[1]Table 2'!$H$55:$L$55,'[1]Table 2'!$H$56:$L$56)))</f>
        <v>2.5487299163322019</v>
      </c>
      <c r="AA86" s="3">
        <f>AA85*(1+(_xlfn.XLOOKUP(AA$1,'[1]Table 2'!$H$55:$L$55,'[1]Table 2'!$H$56:$L$56)))</f>
        <v>3.9911585575158295</v>
      </c>
    </row>
    <row r="87" spans="1:27" x14ac:dyDescent="0.2">
      <c r="A87" s="1">
        <v>2055</v>
      </c>
      <c r="B87" s="3">
        <f>B86*(1+(_xlfn.XLOOKUP(B$1,'[1]Table 2'!$H$55:$L$55,'[1]Table 2'!$H$56:$L$56)))</f>
        <v>11.971634518944144</v>
      </c>
      <c r="C87" s="3">
        <f>C86*(1+(_xlfn.XLOOKUP(C$1,'[1]Table 2'!$H$55:$L$55,'[1]Table 2'!$H$56:$L$56)))</f>
        <v>11.971634518944144</v>
      </c>
      <c r="D87" s="3">
        <f>D86*(1+(_xlfn.XLOOKUP(D$1,'[1]Table 2'!$H$55:$L$55,'[1]Table 2'!$H$56:$L$56)))</f>
        <v>11.971634518944144</v>
      </c>
      <c r="E87" s="3">
        <f>E86*(1+(_xlfn.XLOOKUP(E$1,'[1]Table 2'!$H$55:$L$55,'[1]Table 2'!$H$56:$L$56)))</f>
        <v>25.824186312875174</v>
      </c>
      <c r="F87" s="3">
        <f>F86*(1+(_xlfn.XLOOKUP(F$1,'[1]Table 2'!$H$55:$L$55,'[1]Table 2'!$H$56:$L$56)))</f>
        <v>3.9926803849092742</v>
      </c>
      <c r="G87" s="3">
        <f>G86*(1+(_xlfn.XLOOKUP(G$1,'[1]Table 2'!$H$55:$L$55,'[1]Table 2'!$H$56:$L$56)))</f>
        <v>25.824186312875174</v>
      </c>
      <c r="H87" s="3">
        <f>H86*(1+(_xlfn.XLOOKUP(H$1,'[1]Table 2'!$H$55:$L$55,'[1]Table 2'!$H$56:$L$56)))</f>
        <v>2.5471634773373428</v>
      </c>
      <c r="I87" s="3">
        <f>I86*(1+(_xlfn.XLOOKUP(I$1,'[1]Table 2'!$H$55:$L$55,'[1]Table 2'!$H$56:$L$56)))</f>
        <v>25.824186312875174</v>
      </c>
      <c r="J87" s="3">
        <f>J86*(1+(_xlfn.XLOOKUP(J$1,'[1]Table 2'!$H$55:$L$55,'[1]Table 2'!$H$56:$L$56)))</f>
        <v>25.824186312875174</v>
      </c>
      <c r="K87" s="3">
        <f>K86*(1+(_xlfn.XLOOKUP(K$1,'[1]Table 2'!$H$55:$L$55,'[1]Table 2'!$H$56:$L$56)))</f>
        <v>25.824186312875174</v>
      </c>
      <c r="L87" s="3">
        <f>L86*(1+(_xlfn.XLOOKUP(L$1,'[1]Table 2'!$H$55:$L$55,'[1]Table 2'!$H$56:$L$56)))</f>
        <v>25.824186312875174</v>
      </c>
      <c r="M87" s="3">
        <f>M86*(1+(_xlfn.XLOOKUP(M$1,'[1]Table 2'!$H$55:$L$55,'[1]Table 2'!$H$56:$L$56)))</f>
        <v>11.971634518944144</v>
      </c>
      <c r="N87" s="3">
        <f>N86*(1+(_xlfn.XLOOKUP(N$1,'[1]Table 2'!$H$55:$L$55,'[1]Table 2'!$H$56:$L$56)))</f>
        <v>25.824186312875174</v>
      </c>
      <c r="O87" s="3">
        <f>O86*(1+(_xlfn.XLOOKUP(O$1,'[1]Table 2'!$H$55:$L$55,'[1]Table 2'!$H$56:$L$56)))</f>
        <v>2.5471634773373428</v>
      </c>
      <c r="P87" s="3">
        <f>P86*(1+(_xlfn.XLOOKUP(P$1,'[1]Table 2'!$H$55:$L$55,'[1]Table 2'!$H$56:$L$56)))</f>
        <v>25.824186312875174</v>
      </c>
      <c r="Q87" s="3">
        <f>Q86*(1+(_xlfn.XLOOKUP(Q$1,'[1]Table 2'!$H$55:$L$55,'[1]Table 2'!$H$56:$L$56)))</f>
        <v>11.971634518944144</v>
      </c>
      <c r="R87" s="3">
        <f>R86*(1+(_xlfn.XLOOKUP(R$1,'[1]Table 2'!$H$55:$L$55,'[1]Table 2'!$H$56:$L$56)))</f>
        <v>25.824186312875174</v>
      </c>
      <c r="S87" s="3">
        <f>S86*(1+(_xlfn.XLOOKUP(S$1,'[1]Table 2'!$H$55:$L$55,'[1]Table 2'!$H$56:$L$56)))</f>
        <v>2.5471634773373428</v>
      </c>
      <c r="T87" s="3">
        <f>T86*(1+(_xlfn.XLOOKUP(T$1,'[1]Table 2'!$H$55:$L$55,'[1]Table 2'!$H$56:$L$56)))</f>
        <v>61.843553986241474</v>
      </c>
      <c r="U87" s="3">
        <f>U86*(1+(_xlfn.XLOOKUP(U$1,'[1]Table 2'!$H$55:$L$55,'[1]Table 2'!$H$56:$L$56)))</f>
        <v>2.5471634773373428</v>
      </c>
      <c r="V87" s="3">
        <f>V86*(1+(_xlfn.XLOOKUP(V$1,'[1]Table 2'!$H$55:$L$55,'[1]Table 2'!$H$56:$L$56)))</f>
        <v>25.824186312875174</v>
      </c>
      <c r="W87" s="3">
        <f>W86*(1+(_xlfn.XLOOKUP(W$1,'[1]Table 2'!$H$55:$L$55,'[1]Table 2'!$H$56:$L$56)))</f>
        <v>3.9926803849092742</v>
      </c>
      <c r="X87" s="3">
        <f>X86*(1+(_xlfn.XLOOKUP(X$1,'[1]Table 2'!$H$55:$L$55,'[1]Table 2'!$H$56:$L$56)))</f>
        <v>11.971634518944144</v>
      </c>
      <c r="Y87" s="3">
        <f>Y86*(1+(_xlfn.XLOOKUP(Y$1,'[1]Table 2'!$H$55:$L$55,'[1]Table 2'!$H$56:$L$56)))</f>
        <v>3.9926803849092742</v>
      </c>
      <c r="Z87" s="3">
        <f>Z86*(1+(_xlfn.XLOOKUP(Z$1,'[1]Table 2'!$H$55:$L$55,'[1]Table 2'!$H$56:$L$56)))</f>
        <v>2.5471634773373428</v>
      </c>
      <c r="AA87" s="3">
        <f>AA86*(1+(_xlfn.XLOOKUP(AA$1,'[1]Table 2'!$H$55:$L$55,'[1]Table 2'!$H$56:$L$56)))</f>
        <v>3.9926803849092742</v>
      </c>
    </row>
    <row r="88" spans="1:27" x14ac:dyDescent="0.2">
      <c r="A88" s="1">
        <v>2056</v>
      </c>
      <c r="B88" s="3">
        <f>B87*(1+(_xlfn.XLOOKUP(B$1,'[1]Table 2'!$H$55:$L$55,'[1]Table 2'!$H$56:$L$56)))</f>
        <v>12.06387324138786</v>
      </c>
      <c r="C88" s="3">
        <f>C87*(1+(_xlfn.XLOOKUP(C$1,'[1]Table 2'!$H$55:$L$55,'[1]Table 2'!$H$56:$L$56)))</f>
        <v>12.06387324138786</v>
      </c>
      <c r="D88" s="3">
        <f>D87*(1+(_xlfn.XLOOKUP(D$1,'[1]Table 2'!$H$55:$L$55,'[1]Table 2'!$H$56:$L$56)))</f>
        <v>12.06387324138786</v>
      </c>
      <c r="E88" s="3">
        <f>E87*(1+(_xlfn.XLOOKUP(E$1,'[1]Table 2'!$H$55:$L$55,'[1]Table 2'!$H$56:$L$56)))</f>
        <v>26.057517191019407</v>
      </c>
      <c r="F88" s="3">
        <f>F87*(1+(_xlfn.XLOOKUP(F$1,'[1]Table 2'!$H$55:$L$55,'[1]Table 2'!$H$56:$L$56)))</f>
        <v>3.9942027925749839</v>
      </c>
      <c r="G88" s="3">
        <f>G87*(1+(_xlfn.XLOOKUP(G$1,'[1]Table 2'!$H$55:$L$55,'[1]Table 2'!$H$56:$L$56)))</f>
        <v>26.057517191019407</v>
      </c>
      <c r="H88" s="3">
        <f>H87*(1+(_xlfn.XLOOKUP(H$1,'[1]Table 2'!$H$55:$L$55,'[1]Table 2'!$H$56:$L$56)))</f>
        <v>2.5455980010694912</v>
      </c>
      <c r="I88" s="3">
        <f>I87*(1+(_xlfn.XLOOKUP(I$1,'[1]Table 2'!$H$55:$L$55,'[1]Table 2'!$H$56:$L$56)))</f>
        <v>26.057517191019407</v>
      </c>
      <c r="J88" s="3">
        <f>J87*(1+(_xlfn.XLOOKUP(J$1,'[1]Table 2'!$H$55:$L$55,'[1]Table 2'!$H$56:$L$56)))</f>
        <v>26.057517191019407</v>
      </c>
      <c r="K88" s="3">
        <f>K87*(1+(_xlfn.XLOOKUP(K$1,'[1]Table 2'!$H$55:$L$55,'[1]Table 2'!$H$56:$L$56)))</f>
        <v>26.057517191019407</v>
      </c>
      <c r="L88" s="3">
        <f>L87*(1+(_xlfn.XLOOKUP(L$1,'[1]Table 2'!$H$55:$L$55,'[1]Table 2'!$H$56:$L$56)))</f>
        <v>26.057517191019407</v>
      </c>
      <c r="M88" s="3">
        <f>M87*(1+(_xlfn.XLOOKUP(M$1,'[1]Table 2'!$H$55:$L$55,'[1]Table 2'!$H$56:$L$56)))</f>
        <v>12.06387324138786</v>
      </c>
      <c r="N88" s="3">
        <f>N87*(1+(_xlfn.XLOOKUP(N$1,'[1]Table 2'!$H$55:$L$55,'[1]Table 2'!$H$56:$L$56)))</f>
        <v>26.057517191019407</v>
      </c>
      <c r="O88" s="3">
        <f>O87*(1+(_xlfn.XLOOKUP(O$1,'[1]Table 2'!$H$55:$L$55,'[1]Table 2'!$H$56:$L$56)))</f>
        <v>2.5455980010694912</v>
      </c>
      <c r="P88" s="3">
        <f>P87*(1+(_xlfn.XLOOKUP(P$1,'[1]Table 2'!$H$55:$L$55,'[1]Table 2'!$H$56:$L$56)))</f>
        <v>26.057517191019407</v>
      </c>
      <c r="Q88" s="3">
        <f>Q87*(1+(_xlfn.XLOOKUP(Q$1,'[1]Table 2'!$H$55:$L$55,'[1]Table 2'!$H$56:$L$56)))</f>
        <v>12.06387324138786</v>
      </c>
      <c r="R88" s="3">
        <f>R87*(1+(_xlfn.XLOOKUP(R$1,'[1]Table 2'!$H$55:$L$55,'[1]Table 2'!$H$56:$L$56)))</f>
        <v>26.057517191019407</v>
      </c>
      <c r="S88" s="3">
        <f>S87*(1+(_xlfn.XLOOKUP(S$1,'[1]Table 2'!$H$55:$L$55,'[1]Table 2'!$H$56:$L$56)))</f>
        <v>2.5455980010694912</v>
      </c>
      <c r="T88" s="3">
        <f>T87*(1+(_xlfn.XLOOKUP(T$1,'[1]Table 2'!$H$55:$L$55,'[1]Table 2'!$H$56:$L$56)))</f>
        <v>63.075481229432995</v>
      </c>
      <c r="U88" s="3">
        <f>U87*(1+(_xlfn.XLOOKUP(U$1,'[1]Table 2'!$H$55:$L$55,'[1]Table 2'!$H$56:$L$56)))</f>
        <v>2.5455980010694912</v>
      </c>
      <c r="V88" s="3">
        <f>V87*(1+(_xlfn.XLOOKUP(V$1,'[1]Table 2'!$H$55:$L$55,'[1]Table 2'!$H$56:$L$56)))</f>
        <v>26.057517191019407</v>
      </c>
      <c r="W88" s="3">
        <f>W87*(1+(_xlfn.XLOOKUP(W$1,'[1]Table 2'!$H$55:$L$55,'[1]Table 2'!$H$56:$L$56)))</f>
        <v>3.9942027925749839</v>
      </c>
      <c r="X88" s="3">
        <f>X87*(1+(_xlfn.XLOOKUP(X$1,'[1]Table 2'!$H$55:$L$55,'[1]Table 2'!$H$56:$L$56)))</f>
        <v>12.06387324138786</v>
      </c>
      <c r="Y88" s="3">
        <f>Y87*(1+(_xlfn.XLOOKUP(Y$1,'[1]Table 2'!$H$55:$L$55,'[1]Table 2'!$H$56:$L$56)))</f>
        <v>3.9942027925749839</v>
      </c>
      <c r="Z88" s="3">
        <f>Z87*(1+(_xlfn.XLOOKUP(Z$1,'[1]Table 2'!$H$55:$L$55,'[1]Table 2'!$H$56:$L$56)))</f>
        <v>2.5455980010694912</v>
      </c>
      <c r="AA88" s="3">
        <f>AA87*(1+(_xlfn.XLOOKUP(AA$1,'[1]Table 2'!$H$55:$L$55,'[1]Table 2'!$H$56:$L$56)))</f>
        <v>3.9942027925749839</v>
      </c>
    </row>
    <row r="89" spans="1:27" x14ac:dyDescent="0.2">
      <c r="A89" s="1">
        <v>2057</v>
      </c>
      <c r="B89" s="3">
        <f>B88*(1+(_xlfn.XLOOKUP(B$1,'[1]Table 2'!$H$55:$L$55,'[1]Table 2'!$H$56:$L$56)))</f>
        <v>12.156822642219275</v>
      </c>
      <c r="C89" s="3">
        <f>C88*(1+(_xlfn.XLOOKUP(C$1,'[1]Table 2'!$H$55:$L$55,'[1]Table 2'!$H$56:$L$56)))</f>
        <v>12.156822642219275</v>
      </c>
      <c r="D89" s="3">
        <f>D88*(1+(_xlfn.XLOOKUP(D$1,'[1]Table 2'!$H$55:$L$55,'[1]Table 2'!$H$56:$L$56)))</f>
        <v>12.156822642219275</v>
      </c>
      <c r="E89" s="3">
        <f>E88*(1+(_xlfn.XLOOKUP(E$1,'[1]Table 2'!$H$55:$L$55,'[1]Table 2'!$H$56:$L$56)))</f>
        <v>26.292956298171749</v>
      </c>
      <c r="F89" s="3">
        <f>F88*(1+(_xlfn.XLOOKUP(F$1,'[1]Table 2'!$H$55:$L$55,'[1]Table 2'!$H$56:$L$56)))</f>
        <v>3.9957257807342157</v>
      </c>
      <c r="G89" s="3">
        <f>G88*(1+(_xlfn.XLOOKUP(G$1,'[1]Table 2'!$H$55:$L$55,'[1]Table 2'!$H$56:$L$56)))</f>
        <v>26.292956298171749</v>
      </c>
      <c r="H89" s="3">
        <f>H88*(1+(_xlfn.XLOOKUP(H$1,'[1]Table 2'!$H$55:$L$55,'[1]Table 2'!$H$56:$L$56)))</f>
        <v>2.5440334869369585</v>
      </c>
      <c r="I89" s="3">
        <f>I88*(1+(_xlfn.XLOOKUP(I$1,'[1]Table 2'!$H$55:$L$55,'[1]Table 2'!$H$56:$L$56)))</f>
        <v>26.292956298171749</v>
      </c>
      <c r="J89" s="3">
        <f>J88*(1+(_xlfn.XLOOKUP(J$1,'[1]Table 2'!$H$55:$L$55,'[1]Table 2'!$H$56:$L$56)))</f>
        <v>26.292956298171749</v>
      </c>
      <c r="K89" s="3">
        <f>K88*(1+(_xlfn.XLOOKUP(K$1,'[1]Table 2'!$H$55:$L$55,'[1]Table 2'!$H$56:$L$56)))</f>
        <v>26.292956298171749</v>
      </c>
      <c r="L89" s="3">
        <f>L88*(1+(_xlfn.XLOOKUP(L$1,'[1]Table 2'!$H$55:$L$55,'[1]Table 2'!$H$56:$L$56)))</f>
        <v>26.292956298171749</v>
      </c>
      <c r="M89" s="3">
        <f>M88*(1+(_xlfn.XLOOKUP(M$1,'[1]Table 2'!$H$55:$L$55,'[1]Table 2'!$H$56:$L$56)))</f>
        <v>12.156822642219275</v>
      </c>
      <c r="N89" s="3">
        <f>N88*(1+(_xlfn.XLOOKUP(N$1,'[1]Table 2'!$H$55:$L$55,'[1]Table 2'!$H$56:$L$56)))</f>
        <v>26.292956298171749</v>
      </c>
      <c r="O89" s="3">
        <f>O88*(1+(_xlfn.XLOOKUP(O$1,'[1]Table 2'!$H$55:$L$55,'[1]Table 2'!$H$56:$L$56)))</f>
        <v>2.5440334869369585</v>
      </c>
      <c r="P89" s="3">
        <f>P88*(1+(_xlfn.XLOOKUP(P$1,'[1]Table 2'!$H$55:$L$55,'[1]Table 2'!$H$56:$L$56)))</f>
        <v>26.292956298171749</v>
      </c>
      <c r="Q89" s="3">
        <f>Q88*(1+(_xlfn.XLOOKUP(Q$1,'[1]Table 2'!$H$55:$L$55,'[1]Table 2'!$H$56:$L$56)))</f>
        <v>12.156822642219275</v>
      </c>
      <c r="R89" s="3">
        <f>R88*(1+(_xlfn.XLOOKUP(R$1,'[1]Table 2'!$H$55:$L$55,'[1]Table 2'!$H$56:$L$56)))</f>
        <v>26.292956298171749</v>
      </c>
      <c r="S89" s="3">
        <f>S88*(1+(_xlfn.XLOOKUP(S$1,'[1]Table 2'!$H$55:$L$55,'[1]Table 2'!$H$56:$L$56)))</f>
        <v>2.5440334869369585</v>
      </c>
      <c r="T89" s="3">
        <f>T88*(1+(_xlfn.XLOOKUP(T$1,'[1]Table 2'!$H$55:$L$55,'[1]Table 2'!$H$56:$L$56)))</f>
        <v>64.331948535972998</v>
      </c>
      <c r="U89" s="3">
        <f>U88*(1+(_xlfn.XLOOKUP(U$1,'[1]Table 2'!$H$55:$L$55,'[1]Table 2'!$H$56:$L$56)))</f>
        <v>2.5440334869369585</v>
      </c>
      <c r="V89" s="3">
        <f>V88*(1+(_xlfn.XLOOKUP(V$1,'[1]Table 2'!$H$55:$L$55,'[1]Table 2'!$H$56:$L$56)))</f>
        <v>26.292956298171749</v>
      </c>
      <c r="W89" s="3">
        <f>W88*(1+(_xlfn.XLOOKUP(W$1,'[1]Table 2'!$H$55:$L$55,'[1]Table 2'!$H$56:$L$56)))</f>
        <v>3.9957257807342157</v>
      </c>
      <c r="X89" s="3">
        <f>X88*(1+(_xlfn.XLOOKUP(X$1,'[1]Table 2'!$H$55:$L$55,'[1]Table 2'!$H$56:$L$56)))</f>
        <v>12.156822642219275</v>
      </c>
      <c r="Y89" s="3">
        <f>Y88*(1+(_xlfn.XLOOKUP(Y$1,'[1]Table 2'!$H$55:$L$55,'[1]Table 2'!$H$56:$L$56)))</f>
        <v>3.9957257807342157</v>
      </c>
      <c r="Z89" s="3">
        <f>Z88*(1+(_xlfn.XLOOKUP(Z$1,'[1]Table 2'!$H$55:$L$55,'[1]Table 2'!$H$56:$L$56)))</f>
        <v>2.5440334869369585</v>
      </c>
      <c r="AA89" s="3">
        <f>AA88*(1+(_xlfn.XLOOKUP(AA$1,'[1]Table 2'!$H$55:$L$55,'[1]Table 2'!$H$56:$L$56)))</f>
        <v>3.9957257807342157</v>
      </c>
    </row>
    <row r="90" spans="1:27" x14ac:dyDescent="0.2">
      <c r="A90" s="1">
        <v>2058</v>
      </c>
      <c r="B90" s="3">
        <f>B89*(1+(_xlfn.XLOOKUP(B$1,'[1]Table 2'!$H$55:$L$55,'[1]Table 2'!$H$56:$L$56)))</f>
        <v>12.250488197053807</v>
      </c>
      <c r="C90" s="3">
        <f>C89*(1+(_xlfn.XLOOKUP(C$1,'[1]Table 2'!$H$55:$L$55,'[1]Table 2'!$H$56:$L$56)))</f>
        <v>12.250488197053807</v>
      </c>
      <c r="D90" s="3">
        <f>D89*(1+(_xlfn.XLOOKUP(D$1,'[1]Table 2'!$H$55:$L$55,'[1]Table 2'!$H$56:$L$56)))</f>
        <v>12.250488197053807</v>
      </c>
      <c r="E90" s="3">
        <f>E89*(1+(_xlfn.XLOOKUP(E$1,'[1]Table 2'!$H$55:$L$55,'[1]Table 2'!$H$56:$L$56)))</f>
        <v>26.530522682944991</v>
      </c>
      <c r="F90" s="3">
        <f>F89*(1+(_xlfn.XLOOKUP(F$1,'[1]Table 2'!$H$55:$L$55,'[1]Table 2'!$H$56:$L$56)))</f>
        <v>3.9972493496083121</v>
      </c>
      <c r="G90" s="3">
        <f>G89*(1+(_xlfn.XLOOKUP(G$1,'[1]Table 2'!$H$55:$L$55,'[1]Table 2'!$H$56:$L$56)))</f>
        <v>26.530522682944991</v>
      </c>
      <c r="H90" s="3">
        <f>H89*(1+(_xlfn.XLOOKUP(H$1,'[1]Table 2'!$H$55:$L$55,'[1]Table 2'!$H$56:$L$56)))</f>
        <v>2.5424699343484205</v>
      </c>
      <c r="I90" s="3">
        <f>I89*(1+(_xlfn.XLOOKUP(I$1,'[1]Table 2'!$H$55:$L$55,'[1]Table 2'!$H$56:$L$56)))</f>
        <v>26.530522682944991</v>
      </c>
      <c r="J90" s="3">
        <f>J89*(1+(_xlfn.XLOOKUP(J$1,'[1]Table 2'!$H$55:$L$55,'[1]Table 2'!$H$56:$L$56)))</f>
        <v>26.530522682944991</v>
      </c>
      <c r="K90" s="3">
        <f>K89*(1+(_xlfn.XLOOKUP(K$1,'[1]Table 2'!$H$55:$L$55,'[1]Table 2'!$H$56:$L$56)))</f>
        <v>26.530522682944991</v>
      </c>
      <c r="L90" s="3">
        <f>L89*(1+(_xlfn.XLOOKUP(L$1,'[1]Table 2'!$H$55:$L$55,'[1]Table 2'!$H$56:$L$56)))</f>
        <v>26.530522682944991</v>
      </c>
      <c r="M90" s="3">
        <f>M89*(1+(_xlfn.XLOOKUP(M$1,'[1]Table 2'!$H$55:$L$55,'[1]Table 2'!$H$56:$L$56)))</f>
        <v>12.250488197053807</v>
      </c>
      <c r="N90" s="3">
        <f>N89*(1+(_xlfn.XLOOKUP(N$1,'[1]Table 2'!$H$55:$L$55,'[1]Table 2'!$H$56:$L$56)))</f>
        <v>26.530522682944991</v>
      </c>
      <c r="O90" s="3">
        <f>O89*(1+(_xlfn.XLOOKUP(O$1,'[1]Table 2'!$H$55:$L$55,'[1]Table 2'!$H$56:$L$56)))</f>
        <v>2.5424699343484205</v>
      </c>
      <c r="P90" s="3">
        <f>P89*(1+(_xlfn.XLOOKUP(P$1,'[1]Table 2'!$H$55:$L$55,'[1]Table 2'!$H$56:$L$56)))</f>
        <v>26.530522682944991</v>
      </c>
      <c r="Q90" s="3">
        <f>Q89*(1+(_xlfn.XLOOKUP(Q$1,'[1]Table 2'!$H$55:$L$55,'[1]Table 2'!$H$56:$L$56)))</f>
        <v>12.250488197053807</v>
      </c>
      <c r="R90" s="3">
        <f>R89*(1+(_xlfn.XLOOKUP(R$1,'[1]Table 2'!$H$55:$L$55,'[1]Table 2'!$H$56:$L$56)))</f>
        <v>26.530522682944991</v>
      </c>
      <c r="S90" s="3">
        <f>S89*(1+(_xlfn.XLOOKUP(S$1,'[1]Table 2'!$H$55:$L$55,'[1]Table 2'!$H$56:$L$56)))</f>
        <v>2.5424699343484205</v>
      </c>
      <c r="T90" s="3">
        <f>T89*(1+(_xlfn.XLOOKUP(T$1,'[1]Table 2'!$H$55:$L$55,'[1]Table 2'!$H$56:$L$56)))</f>
        <v>65.613444745370856</v>
      </c>
      <c r="U90" s="3">
        <f>U89*(1+(_xlfn.XLOOKUP(U$1,'[1]Table 2'!$H$55:$L$55,'[1]Table 2'!$H$56:$L$56)))</f>
        <v>2.5424699343484205</v>
      </c>
      <c r="V90" s="3">
        <f>V89*(1+(_xlfn.XLOOKUP(V$1,'[1]Table 2'!$H$55:$L$55,'[1]Table 2'!$H$56:$L$56)))</f>
        <v>26.530522682944991</v>
      </c>
      <c r="W90" s="3">
        <f>W89*(1+(_xlfn.XLOOKUP(W$1,'[1]Table 2'!$H$55:$L$55,'[1]Table 2'!$H$56:$L$56)))</f>
        <v>3.9972493496083121</v>
      </c>
      <c r="X90" s="3">
        <f>X89*(1+(_xlfn.XLOOKUP(X$1,'[1]Table 2'!$H$55:$L$55,'[1]Table 2'!$H$56:$L$56)))</f>
        <v>12.250488197053807</v>
      </c>
      <c r="Y90" s="3">
        <f>Y89*(1+(_xlfn.XLOOKUP(Y$1,'[1]Table 2'!$H$55:$L$55,'[1]Table 2'!$H$56:$L$56)))</f>
        <v>3.9972493496083121</v>
      </c>
      <c r="Z90" s="3">
        <f>Z89*(1+(_xlfn.XLOOKUP(Z$1,'[1]Table 2'!$H$55:$L$55,'[1]Table 2'!$H$56:$L$56)))</f>
        <v>2.5424699343484205</v>
      </c>
      <c r="AA90" s="3">
        <f>AA89*(1+(_xlfn.XLOOKUP(AA$1,'[1]Table 2'!$H$55:$L$55,'[1]Table 2'!$H$56:$L$56)))</f>
        <v>3.9972493496083121</v>
      </c>
    </row>
    <row r="91" spans="1:27" x14ac:dyDescent="0.2">
      <c r="A91" s="1">
        <v>2059</v>
      </c>
      <c r="B91" s="3">
        <f>B90*(1+(_xlfn.XLOOKUP(B$1,'[1]Table 2'!$H$55:$L$55,'[1]Table 2'!$H$56:$L$56)))</f>
        <v>12.344875423695246</v>
      </c>
      <c r="C91" s="3">
        <f>C90*(1+(_xlfn.XLOOKUP(C$1,'[1]Table 2'!$H$55:$L$55,'[1]Table 2'!$H$56:$L$56)))</f>
        <v>12.344875423695246</v>
      </c>
      <c r="D91" s="3">
        <f>D90*(1+(_xlfn.XLOOKUP(D$1,'[1]Table 2'!$H$55:$L$55,'[1]Table 2'!$H$56:$L$56)))</f>
        <v>12.344875423695246</v>
      </c>
      <c r="E91" s="3">
        <f>E90*(1+(_xlfn.XLOOKUP(E$1,'[1]Table 2'!$H$55:$L$55,'[1]Table 2'!$H$56:$L$56)))</f>
        <v>26.770235566063043</v>
      </c>
      <c r="F91" s="3">
        <f>F90*(1+(_xlfn.XLOOKUP(F$1,'[1]Table 2'!$H$55:$L$55,'[1]Table 2'!$H$56:$L$56)))</f>
        <v>3.9987734994186992</v>
      </c>
      <c r="G91" s="3">
        <f>G90*(1+(_xlfn.XLOOKUP(G$1,'[1]Table 2'!$H$55:$L$55,'[1]Table 2'!$H$56:$L$56)))</f>
        <v>26.770235566063043</v>
      </c>
      <c r="H91" s="3">
        <f>H90*(1+(_xlfn.XLOOKUP(H$1,'[1]Table 2'!$H$55:$L$55,'[1]Table 2'!$H$56:$L$56)))</f>
        <v>2.5409073427129161</v>
      </c>
      <c r="I91" s="3">
        <f>I90*(1+(_xlfn.XLOOKUP(I$1,'[1]Table 2'!$H$55:$L$55,'[1]Table 2'!$H$56:$L$56)))</f>
        <v>26.770235566063043</v>
      </c>
      <c r="J91" s="3">
        <f>J90*(1+(_xlfn.XLOOKUP(J$1,'[1]Table 2'!$H$55:$L$55,'[1]Table 2'!$H$56:$L$56)))</f>
        <v>26.770235566063043</v>
      </c>
      <c r="K91" s="3">
        <f>K90*(1+(_xlfn.XLOOKUP(K$1,'[1]Table 2'!$H$55:$L$55,'[1]Table 2'!$H$56:$L$56)))</f>
        <v>26.770235566063043</v>
      </c>
      <c r="L91" s="3">
        <f>L90*(1+(_xlfn.XLOOKUP(L$1,'[1]Table 2'!$H$55:$L$55,'[1]Table 2'!$H$56:$L$56)))</f>
        <v>26.770235566063043</v>
      </c>
      <c r="M91" s="3">
        <f>M90*(1+(_xlfn.XLOOKUP(M$1,'[1]Table 2'!$H$55:$L$55,'[1]Table 2'!$H$56:$L$56)))</f>
        <v>12.344875423695246</v>
      </c>
      <c r="N91" s="3">
        <f>N90*(1+(_xlfn.XLOOKUP(N$1,'[1]Table 2'!$H$55:$L$55,'[1]Table 2'!$H$56:$L$56)))</f>
        <v>26.770235566063043</v>
      </c>
      <c r="O91" s="3">
        <f>O90*(1+(_xlfn.XLOOKUP(O$1,'[1]Table 2'!$H$55:$L$55,'[1]Table 2'!$H$56:$L$56)))</f>
        <v>2.5409073427129161</v>
      </c>
      <c r="P91" s="3">
        <f>P90*(1+(_xlfn.XLOOKUP(P$1,'[1]Table 2'!$H$55:$L$55,'[1]Table 2'!$H$56:$L$56)))</f>
        <v>26.770235566063043</v>
      </c>
      <c r="Q91" s="3">
        <f>Q90*(1+(_xlfn.XLOOKUP(Q$1,'[1]Table 2'!$H$55:$L$55,'[1]Table 2'!$H$56:$L$56)))</f>
        <v>12.344875423695246</v>
      </c>
      <c r="R91" s="3">
        <f>R90*(1+(_xlfn.XLOOKUP(R$1,'[1]Table 2'!$H$55:$L$55,'[1]Table 2'!$H$56:$L$56)))</f>
        <v>26.770235566063043</v>
      </c>
      <c r="S91" s="3">
        <f>S90*(1+(_xlfn.XLOOKUP(S$1,'[1]Table 2'!$H$55:$L$55,'[1]Table 2'!$H$56:$L$56)))</f>
        <v>2.5409073427129161</v>
      </c>
      <c r="T91" s="3">
        <f>T90*(1+(_xlfn.XLOOKUP(T$1,'[1]Table 2'!$H$55:$L$55,'[1]Table 2'!$H$56:$L$56)))</f>
        <v>66.920468434847805</v>
      </c>
      <c r="U91" s="3">
        <f>U90*(1+(_xlfn.XLOOKUP(U$1,'[1]Table 2'!$H$55:$L$55,'[1]Table 2'!$H$56:$L$56)))</f>
        <v>2.5409073427129161</v>
      </c>
      <c r="V91" s="3">
        <f>V90*(1+(_xlfn.XLOOKUP(V$1,'[1]Table 2'!$H$55:$L$55,'[1]Table 2'!$H$56:$L$56)))</f>
        <v>26.770235566063043</v>
      </c>
      <c r="W91" s="3">
        <f>W90*(1+(_xlfn.XLOOKUP(W$1,'[1]Table 2'!$H$55:$L$55,'[1]Table 2'!$H$56:$L$56)))</f>
        <v>3.9987734994186992</v>
      </c>
      <c r="X91" s="3">
        <f>X90*(1+(_xlfn.XLOOKUP(X$1,'[1]Table 2'!$H$55:$L$55,'[1]Table 2'!$H$56:$L$56)))</f>
        <v>12.344875423695246</v>
      </c>
      <c r="Y91" s="3">
        <f>Y90*(1+(_xlfn.XLOOKUP(Y$1,'[1]Table 2'!$H$55:$L$55,'[1]Table 2'!$H$56:$L$56)))</f>
        <v>3.9987734994186992</v>
      </c>
      <c r="Z91" s="3">
        <f>Z90*(1+(_xlfn.XLOOKUP(Z$1,'[1]Table 2'!$H$55:$L$55,'[1]Table 2'!$H$56:$L$56)))</f>
        <v>2.5409073427129161</v>
      </c>
      <c r="AA91" s="3">
        <f>AA90*(1+(_xlfn.XLOOKUP(AA$1,'[1]Table 2'!$H$55:$L$55,'[1]Table 2'!$H$56:$L$56)))</f>
        <v>3.9987734994186992</v>
      </c>
    </row>
    <row r="92" spans="1:27" x14ac:dyDescent="0.2">
      <c r="A92" s="1">
        <v>2060</v>
      </c>
      <c r="B92" s="3">
        <f>B91*(1+(_xlfn.XLOOKUP(B$1,'[1]Table 2'!$H$55:$L$55,'[1]Table 2'!$H$56:$L$56)))</f>
        <v>12.439989882460806</v>
      </c>
      <c r="C92" s="3">
        <f>C91*(1+(_xlfn.XLOOKUP(C$1,'[1]Table 2'!$H$55:$L$55,'[1]Table 2'!$H$56:$L$56)))</f>
        <v>12.439989882460806</v>
      </c>
      <c r="D92" s="3">
        <f>D91*(1+(_xlfn.XLOOKUP(D$1,'[1]Table 2'!$H$55:$L$55,'[1]Table 2'!$H$56:$L$56)))</f>
        <v>12.439989882460806</v>
      </c>
      <c r="E92" s="3">
        <f>E91*(1+(_xlfn.XLOOKUP(E$1,'[1]Table 2'!$H$55:$L$55,'[1]Table 2'!$H$56:$L$56)))</f>
        <v>27.012114341916021</v>
      </c>
      <c r="F92" s="3">
        <f>F91*(1+(_xlfn.XLOOKUP(F$1,'[1]Table 2'!$H$55:$L$55,'[1]Table 2'!$H$56:$L$56)))</f>
        <v>4.0002982303868881</v>
      </c>
      <c r="G92" s="3">
        <f>G91*(1+(_xlfn.XLOOKUP(G$1,'[1]Table 2'!$H$55:$L$55,'[1]Table 2'!$H$56:$L$56)))</f>
        <v>27.012114341916021</v>
      </c>
      <c r="H92" s="3">
        <f>H91*(1+(_xlfn.XLOOKUP(H$1,'[1]Table 2'!$H$55:$L$55,'[1]Table 2'!$H$56:$L$56)))</f>
        <v>2.5393457114398479</v>
      </c>
      <c r="I92" s="3">
        <f>I91*(1+(_xlfn.XLOOKUP(I$1,'[1]Table 2'!$H$55:$L$55,'[1]Table 2'!$H$56:$L$56)))</f>
        <v>27.012114341916021</v>
      </c>
      <c r="J92" s="3">
        <f>J91*(1+(_xlfn.XLOOKUP(J$1,'[1]Table 2'!$H$55:$L$55,'[1]Table 2'!$H$56:$L$56)))</f>
        <v>27.012114341916021</v>
      </c>
      <c r="K92" s="3">
        <f>K91*(1+(_xlfn.XLOOKUP(K$1,'[1]Table 2'!$H$55:$L$55,'[1]Table 2'!$H$56:$L$56)))</f>
        <v>27.012114341916021</v>
      </c>
      <c r="L92" s="3">
        <f>L91*(1+(_xlfn.XLOOKUP(L$1,'[1]Table 2'!$H$55:$L$55,'[1]Table 2'!$H$56:$L$56)))</f>
        <v>27.012114341916021</v>
      </c>
      <c r="M92" s="3">
        <f>M91*(1+(_xlfn.XLOOKUP(M$1,'[1]Table 2'!$H$55:$L$55,'[1]Table 2'!$H$56:$L$56)))</f>
        <v>12.439989882460806</v>
      </c>
      <c r="N92" s="3">
        <f>N91*(1+(_xlfn.XLOOKUP(N$1,'[1]Table 2'!$H$55:$L$55,'[1]Table 2'!$H$56:$L$56)))</f>
        <v>27.012114341916021</v>
      </c>
      <c r="O92" s="3">
        <f>O91*(1+(_xlfn.XLOOKUP(O$1,'[1]Table 2'!$H$55:$L$55,'[1]Table 2'!$H$56:$L$56)))</f>
        <v>2.5393457114398479</v>
      </c>
      <c r="P92" s="3">
        <f>P91*(1+(_xlfn.XLOOKUP(P$1,'[1]Table 2'!$H$55:$L$55,'[1]Table 2'!$H$56:$L$56)))</f>
        <v>27.012114341916021</v>
      </c>
      <c r="Q92" s="3">
        <f>Q91*(1+(_xlfn.XLOOKUP(Q$1,'[1]Table 2'!$H$55:$L$55,'[1]Table 2'!$H$56:$L$56)))</f>
        <v>12.439989882460806</v>
      </c>
      <c r="R92" s="3">
        <f>R91*(1+(_xlfn.XLOOKUP(R$1,'[1]Table 2'!$H$55:$L$55,'[1]Table 2'!$H$56:$L$56)))</f>
        <v>27.012114341916021</v>
      </c>
      <c r="S92" s="3">
        <f>S91*(1+(_xlfn.XLOOKUP(S$1,'[1]Table 2'!$H$55:$L$55,'[1]Table 2'!$H$56:$L$56)))</f>
        <v>2.5393457114398479</v>
      </c>
      <c r="T92" s="3">
        <f>T91*(1+(_xlfn.XLOOKUP(T$1,'[1]Table 2'!$H$55:$L$55,'[1]Table 2'!$H$56:$L$56)))</f>
        <v>68.253528113312726</v>
      </c>
      <c r="U92" s="3">
        <f>U91*(1+(_xlfn.XLOOKUP(U$1,'[1]Table 2'!$H$55:$L$55,'[1]Table 2'!$H$56:$L$56)))</f>
        <v>2.5393457114398479</v>
      </c>
      <c r="V92" s="3">
        <f>V91*(1+(_xlfn.XLOOKUP(V$1,'[1]Table 2'!$H$55:$L$55,'[1]Table 2'!$H$56:$L$56)))</f>
        <v>27.012114341916021</v>
      </c>
      <c r="W92" s="3">
        <f>W91*(1+(_xlfn.XLOOKUP(W$1,'[1]Table 2'!$H$55:$L$55,'[1]Table 2'!$H$56:$L$56)))</f>
        <v>4.0002982303868881</v>
      </c>
      <c r="X92" s="3">
        <f>X91*(1+(_xlfn.XLOOKUP(X$1,'[1]Table 2'!$H$55:$L$55,'[1]Table 2'!$H$56:$L$56)))</f>
        <v>12.439989882460806</v>
      </c>
      <c r="Y92" s="3">
        <f>Y91*(1+(_xlfn.XLOOKUP(Y$1,'[1]Table 2'!$H$55:$L$55,'[1]Table 2'!$H$56:$L$56)))</f>
        <v>4.0002982303868881</v>
      </c>
      <c r="Z92" s="3">
        <f>Z91*(1+(_xlfn.XLOOKUP(Z$1,'[1]Table 2'!$H$55:$L$55,'[1]Table 2'!$H$56:$L$56)))</f>
        <v>2.5393457114398479</v>
      </c>
      <c r="AA92" s="3">
        <f>AA91*(1+(_xlfn.XLOOKUP(AA$1,'[1]Table 2'!$H$55:$L$55,'[1]Table 2'!$H$56:$L$56)))</f>
        <v>4.0002982303868881</v>
      </c>
    </row>
    <row r="93" spans="1:27" x14ac:dyDescent="0.2">
      <c r="A93" s="1">
        <v>2061</v>
      </c>
      <c r="B93" s="3">
        <f>B92*(1+(_xlfn.XLOOKUP(B$1,'[1]Table 2'!$H$55:$L$55,'[1]Table 2'!$H$56:$L$56)))</f>
        <v>12.53583717650868</v>
      </c>
      <c r="C93" s="3">
        <f>C92*(1+(_xlfn.XLOOKUP(C$1,'[1]Table 2'!$H$55:$L$55,'[1]Table 2'!$H$56:$L$56)))</f>
        <v>12.53583717650868</v>
      </c>
      <c r="D93" s="3">
        <f>D92*(1+(_xlfn.XLOOKUP(D$1,'[1]Table 2'!$H$55:$L$55,'[1]Table 2'!$H$56:$L$56)))</f>
        <v>12.53583717650868</v>
      </c>
      <c r="E93" s="3">
        <f>E92*(1+(_xlfn.XLOOKUP(E$1,'[1]Table 2'!$H$55:$L$55,'[1]Table 2'!$H$56:$L$56)))</f>
        <v>27.256178580129379</v>
      </c>
      <c r="F93" s="3">
        <f>F92*(1+(_xlfn.XLOOKUP(F$1,'[1]Table 2'!$H$55:$L$55,'[1]Table 2'!$H$56:$L$56)))</f>
        <v>4.0018235427344742</v>
      </c>
      <c r="G93" s="3">
        <f>G92*(1+(_xlfn.XLOOKUP(G$1,'[1]Table 2'!$H$55:$L$55,'[1]Table 2'!$H$56:$L$56)))</f>
        <v>27.256178580129379</v>
      </c>
      <c r="H93" s="3">
        <f>H92*(1+(_xlfn.XLOOKUP(H$1,'[1]Table 2'!$H$55:$L$55,'[1]Table 2'!$H$56:$L$56)))</f>
        <v>2.5377850399389805</v>
      </c>
      <c r="I93" s="3">
        <f>I92*(1+(_xlfn.XLOOKUP(I$1,'[1]Table 2'!$H$55:$L$55,'[1]Table 2'!$H$56:$L$56)))</f>
        <v>27.256178580129379</v>
      </c>
      <c r="J93" s="3">
        <f>J92*(1+(_xlfn.XLOOKUP(J$1,'[1]Table 2'!$H$55:$L$55,'[1]Table 2'!$H$56:$L$56)))</f>
        <v>27.256178580129379</v>
      </c>
      <c r="K93" s="3">
        <f>K92*(1+(_xlfn.XLOOKUP(K$1,'[1]Table 2'!$H$55:$L$55,'[1]Table 2'!$H$56:$L$56)))</f>
        <v>27.256178580129379</v>
      </c>
      <c r="L93" s="3">
        <f>L92*(1+(_xlfn.XLOOKUP(L$1,'[1]Table 2'!$H$55:$L$55,'[1]Table 2'!$H$56:$L$56)))</f>
        <v>27.256178580129379</v>
      </c>
      <c r="M93" s="3">
        <f>M92*(1+(_xlfn.XLOOKUP(M$1,'[1]Table 2'!$H$55:$L$55,'[1]Table 2'!$H$56:$L$56)))</f>
        <v>12.53583717650868</v>
      </c>
      <c r="N93" s="3">
        <f>N92*(1+(_xlfn.XLOOKUP(N$1,'[1]Table 2'!$H$55:$L$55,'[1]Table 2'!$H$56:$L$56)))</f>
        <v>27.256178580129379</v>
      </c>
      <c r="O93" s="3">
        <f>O92*(1+(_xlfn.XLOOKUP(O$1,'[1]Table 2'!$H$55:$L$55,'[1]Table 2'!$H$56:$L$56)))</f>
        <v>2.5377850399389805</v>
      </c>
      <c r="P93" s="3">
        <f>P92*(1+(_xlfn.XLOOKUP(P$1,'[1]Table 2'!$H$55:$L$55,'[1]Table 2'!$H$56:$L$56)))</f>
        <v>27.256178580129379</v>
      </c>
      <c r="Q93" s="3">
        <f>Q92*(1+(_xlfn.XLOOKUP(Q$1,'[1]Table 2'!$H$55:$L$55,'[1]Table 2'!$H$56:$L$56)))</f>
        <v>12.53583717650868</v>
      </c>
      <c r="R93" s="3">
        <f>R92*(1+(_xlfn.XLOOKUP(R$1,'[1]Table 2'!$H$55:$L$55,'[1]Table 2'!$H$56:$L$56)))</f>
        <v>27.256178580129379</v>
      </c>
      <c r="S93" s="3">
        <f>S92*(1+(_xlfn.XLOOKUP(S$1,'[1]Table 2'!$H$55:$L$55,'[1]Table 2'!$H$56:$L$56)))</f>
        <v>2.5377850399389805</v>
      </c>
      <c r="T93" s="3">
        <f>T92*(1+(_xlfn.XLOOKUP(T$1,'[1]Table 2'!$H$55:$L$55,'[1]Table 2'!$H$56:$L$56)))</f>
        <v>69.613142419201978</v>
      </c>
      <c r="U93" s="3">
        <f>U92*(1+(_xlfn.XLOOKUP(U$1,'[1]Table 2'!$H$55:$L$55,'[1]Table 2'!$H$56:$L$56)))</f>
        <v>2.5377850399389805</v>
      </c>
      <c r="V93" s="3">
        <f>V92*(1+(_xlfn.XLOOKUP(V$1,'[1]Table 2'!$H$55:$L$55,'[1]Table 2'!$H$56:$L$56)))</f>
        <v>27.256178580129379</v>
      </c>
      <c r="W93" s="3">
        <f>W92*(1+(_xlfn.XLOOKUP(W$1,'[1]Table 2'!$H$55:$L$55,'[1]Table 2'!$H$56:$L$56)))</f>
        <v>4.0018235427344742</v>
      </c>
      <c r="X93" s="3">
        <f>X92*(1+(_xlfn.XLOOKUP(X$1,'[1]Table 2'!$H$55:$L$55,'[1]Table 2'!$H$56:$L$56)))</f>
        <v>12.53583717650868</v>
      </c>
      <c r="Y93" s="3">
        <f>Y92*(1+(_xlfn.XLOOKUP(Y$1,'[1]Table 2'!$H$55:$L$55,'[1]Table 2'!$H$56:$L$56)))</f>
        <v>4.0018235427344742</v>
      </c>
      <c r="Z93" s="3">
        <f>Z92*(1+(_xlfn.XLOOKUP(Z$1,'[1]Table 2'!$H$55:$L$55,'[1]Table 2'!$H$56:$L$56)))</f>
        <v>2.5377850399389805</v>
      </c>
      <c r="AA93" s="3">
        <f>AA92*(1+(_xlfn.XLOOKUP(AA$1,'[1]Table 2'!$H$55:$L$55,'[1]Table 2'!$H$56:$L$56)))</f>
        <v>4.0018235427344742</v>
      </c>
    </row>
    <row r="94" spans="1:27" x14ac:dyDescent="0.2">
      <c r="A94" s="1">
        <v>2062</v>
      </c>
      <c r="B94" s="3">
        <f>B93*(1+(_xlfn.XLOOKUP(B$1,'[1]Table 2'!$H$55:$L$55,'[1]Table 2'!$H$56:$L$56)))</f>
        <v>12.632422952168124</v>
      </c>
      <c r="C94" s="3">
        <f>C93*(1+(_xlfn.XLOOKUP(C$1,'[1]Table 2'!$H$55:$L$55,'[1]Table 2'!$H$56:$L$56)))</f>
        <v>12.632422952168124</v>
      </c>
      <c r="D94" s="3">
        <f>D93*(1+(_xlfn.XLOOKUP(D$1,'[1]Table 2'!$H$55:$L$55,'[1]Table 2'!$H$56:$L$56)))</f>
        <v>12.632422952168124</v>
      </c>
      <c r="E94" s="3">
        <f>E93*(1+(_xlfn.XLOOKUP(E$1,'[1]Table 2'!$H$55:$L$55,'[1]Table 2'!$H$56:$L$56)))</f>
        <v>27.502448027147228</v>
      </c>
      <c r="F94" s="3">
        <f>F93*(1+(_xlfn.XLOOKUP(F$1,'[1]Table 2'!$H$55:$L$55,'[1]Table 2'!$H$56:$L$56)))</f>
        <v>4.0033494366831368</v>
      </c>
      <c r="G94" s="3">
        <f>G93*(1+(_xlfn.XLOOKUP(G$1,'[1]Table 2'!$H$55:$L$55,'[1]Table 2'!$H$56:$L$56)))</f>
        <v>27.502448027147228</v>
      </c>
      <c r="H94" s="3">
        <f>H93*(1+(_xlfn.XLOOKUP(H$1,'[1]Table 2'!$H$55:$L$55,'[1]Table 2'!$H$56:$L$56)))</f>
        <v>2.5362253276204423</v>
      </c>
      <c r="I94" s="3">
        <f>I93*(1+(_xlfn.XLOOKUP(I$1,'[1]Table 2'!$H$55:$L$55,'[1]Table 2'!$H$56:$L$56)))</f>
        <v>27.502448027147228</v>
      </c>
      <c r="J94" s="3">
        <f>J93*(1+(_xlfn.XLOOKUP(J$1,'[1]Table 2'!$H$55:$L$55,'[1]Table 2'!$H$56:$L$56)))</f>
        <v>27.502448027147228</v>
      </c>
      <c r="K94" s="3">
        <f>K93*(1+(_xlfn.XLOOKUP(K$1,'[1]Table 2'!$H$55:$L$55,'[1]Table 2'!$H$56:$L$56)))</f>
        <v>27.502448027147228</v>
      </c>
      <c r="L94" s="3">
        <f>L93*(1+(_xlfn.XLOOKUP(L$1,'[1]Table 2'!$H$55:$L$55,'[1]Table 2'!$H$56:$L$56)))</f>
        <v>27.502448027147228</v>
      </c>
      <c r="M94" s="3">
        <f>M93*(1+(_xlfn.XLOOKUP(M$1,'[1]Table 2'!$H$55:$L$55,'[1]Table 2'!$H$56:$L$56)))</f>
        <v>12.632422952168124</v>
      </c>
      <c r="N94" s="3">
        <f>N93*(1+(_xlfn.XLOOKUP(N$1,'[1]Table 2'!$H$55:$L$55,'[1]Table 2'!$H$56:$L$56)))</f>
        <v>27.502448027147228</v>
      </c>
      <c r="O94" s="3">
        <f>O93*(1+(_xlfn.XLOOKUP(O$1,'[1]Table 2'!$H$55:$L$55,'[1]Table 2'!$H$56:$L$56)))</f>
        <v>2.5362253276204423</v>
      </c>
      <c r="P94" s="3">
        <f>P93*(1+(_xlfn.XLOOKUP(P$1,'[1]Table 2'!$H$55:$L$55,'[1]Table 2'!$H$56:$L$56)))</f>
        <v>27.502448027147228</v>
      </c>
      <c r="Q94" s="3">
        <f>Q93*(1+(_xlfn.XLOOKUP(Q$1,'[1]Table 2'!$H$55:$L$55,'[1]Table 2'!$H$56:$L$56)))</f>
        <v>12.632422952168124</v>
      </c>
      <c r="R94" s="3">
        <f>R93*(1+(_xlfn.XLOOKUP(R$1,'[1]Table 2'!$H$55:$L$55,'[1]Table 2'!$H$56:$L$56)))</f>
        <v>27.502448027147228</v>
      </c>
      <c r="S94" s="3">
        <f>S93*(1+(_xlfn.XLOOKUP(S$1,'[1]Table 2'!$H$55:$L$55,'[1]Table 2'!$H$56:$L$56)))</f>
        <v>2.5362253276204423</v>
      </c>
      <c r="T94" s="3">
        <f>T93*(1+(_xlfn.XLOOKUP(T$1,'[1]Table 2'!$H$55:$L$55,'[1]Table 2'!$H$56:$L$56)))</f>
        <v>70.999840322260155</v>
      </c>
      <c r="U94" s="3">
        <f>U93*(1+(_xlfn.XLOOKUP(U$1,'[1]Table 2'!$H$55:$L$55,'[1]Table 2'!$H$56:$L$56)))</f>
        <v>2.5362253276204423</v>
      </c>
      <c r="V94" s="3">
        <f>V93*(1+(_xlfn.XLOOKUP(V$1,'[1]Table 2'!$H$55:$L$55,'[1]Table 2'!$H$56:$L$56)))</f>
        <v>27.502448027147228</v>
      </c>
      <c r="W94" s="3">
        <f>W93*(1+(_xlfn.XLOOKUP(W$1,'[1]Table 2'!$H$55:$L$55,'[1]Table 2'!$H$56:$L$56)))</f>
        <v>4.0033494366831368</v>
      </c>
      <c r="X94" s="3">
        <f>X93*(1+(_xlfn.XLOOKUP(X$1,'[1]Table 2'!$H$55:$L$55,'[1]Table 2'!$H$56:$L$56)))</f>
        <v>12.632422952168124</v>
      </c>
      <c r="Y94" s="3">
        <f>Y93*(1+(_xlfn.XLOOKUP(Y$1,'[1]Table 2'!$H$55:$L$55,'[1]Table 2'!$H$56:$L$56)))</f>
        <v>4.0033494366831368</v>
      </c>
      <c r="Z94" s="3">
        <f>Z93*(1+(_xlfn.XLOOKUP(Z$1,'[1]Table 2'!$H$55:$L$55,'[1]Table 2'!$H$56:$L$56)))</f>
        <v>2.5362253276204423</v>
      </c>
      <c r="AA94" s="3">
        <f>AA93*(1+(_xlfn.XLOOKUP(AA$1,'[1]Table 2'!$H$55:$L$55,'[1]Table 2'!$H$56:$L$56)))</f>
        <v>4.0033494366831368</v>
      </c>
    </row>
    <row r="95" spans="1:27" x14ac:dyDescent="0.2">
      <c r="A95" s="1">
        <v>2063</v>
      </c>
      <c r="B95" s="3">
        <f>B94*(1+(_xlfn.XLOOKUP(B$1,'[1]Table 2'!$H$55:$L$55,'[1]Table 2'!$H$56:$L$56)))</f>
        <v>12.729752899272073</v>
      </c>
      <c r="C95" s="3">
        <f>C94*(1+(_xlfn.XLOOKUP(C$1,'[1]Table 2'!$H$55:$L$55,'[1]Table 2'!$H$56:$L$56)))</f>
        <v>12.729752899272073</v>
      </c>
      <c r="D95" s="3">
        <f>D94*(1+(_xlfn.XLOOKUP(D$1,'[1]Table 2'!$H$55:$L$55,'[1]Table 2'!$H$56:$L$56)))</f>
        <v>12.729752899272073</v>
      </c>
      <c r="E95" s="3">
        <f>E94*(1+(_xlfn.XLOOKUP(E$1,'[1]Table 2'!$H$55:$L$55,'[1]Table 2'!$H$56:$L$56)))</f>
        <v>27.750942607829948</v>
      </c>
      <c r="F95" s="3">
        <f>F94*(1+(_xlfn.XLOOKUP(F$1,'[1]Table 2'!$H$55:$L$55,'[1]Table 2'!$H$56:$L$56)))</f>
        <v>4.00487591245464</v>
      </c>
      <c r="G95" s="3">
        <f>G94*(1+(_xlfn.XLOOKUP(G$1,'[1]Table 2'!$H$55:$L$55,'[1]Table 2'!$H$56:$L$56)))</f>
        <v>27.750942607829948</v>
      </c>
      <c r="H95" s="3">
        <f>H94*(1+(_xlfn.XLOOKUP(H$1,'[1]Table 2'!$H$55:$L$55,'[1]Table 2'!$H$56:$L$56)))</f>
        <v>2.5346665738947234</v>
      </c>
      <c r="I95" s="3">
        <f>I94*(1+(_xlfn.XLOOKUP(I$1,'[1]Table 2'!$H$55:$L$55,'[1]Table 2'!$H$56:$L$56)))</f>
        <v>27.750942607829948</v>
      </c>
      <c r="J95" s="3">
        <f>J94*(1+(_xlfn.XLOOKUP(J$1,'[1]Table 2'!$H$55:$L$55,'[1]Table 2'!$H$56:$L$56)))</f>
        <v>27.750942607829948</v>
      </c>
      <c r="K95" s="3">
        <f>K94*(1+(_xlfn.XLOOKUP(K$1,'[1]Table 2'!$H$55:$L$55,'[1]Table 2'!$H$56:$L$56)))</f>
        <v>27.750942607829948</v>
      </c>
      <c r="L95" s="3">
        <f>L94*(1+(_xlfn.XLOOKUP(L$1,'[1]Table 2'!$H$55:$L$55,'[1]Table 2'!$H$56:$L$56)))</f>
        <v>27.750942607829948</v>
      </c>
      <c r="M95" s="3">
        <f>M94*(1+(_xlfn.XLOOKUP(M$1,'[1]Table 2'!$H$55:$L$55,'[1]Table 2'!$H$56:$L$56)))</f>
        <v>12.729752899272073</v>
      </c>
      <c r="N95" s="3">
        <f>N94*(1+(_xlfn.XLOOKUP(N$1,'[1]Table 2'!$H$55:$L$55,'[1]Table 2'!$H$56:$L$56)))</f>
        <v>27.750942607829948</v>
      </c>
      <c r="O95" s="3">
        <f>O94*(1+(_xlfn.XLOOKUP(O$1,'[1]Table 2'!$H$55:$L$55,'[1]Table 2'!$H$56:$L$56)))</f>
        <v>2.5346665738947234</v>
      </c>
      <c r="P95" s="3">
        <f>P94*(1+(_xlfn.XLOOKUP(P$1,'[1]Table 2'!$H$55:$L$55,'[1]Table 2'!$H$56:$L$56)))</f>
        <v>27.750942607829948</v>
      </c>
      <c r="Q95" s="3">
        <f>Q94*(1+(_xlfn.XLOOKUP(Q$1,'[1]Table 2'!$H$55:$L$55,'[1]Table 2'!$H$56:$L$56)))</f>
        <v>12.729752899272073</v>
      </c>
      <c r="R95" s="3">
        <f>R94*(1+(_xlfn.XLOOKUP(R$1,'[1]Table 2'!$H$55:$L$55,'[1]Table 2'!$H$56:$L$56)))</f>
        <v>27.750942607829948</v>
      </c>
      <c r="S95" s="3">
        <f>S94*(1+(_xlfn.XLOOKUP(S$1,'[1]Table 2'!$H$55:$L$55,'[1]Table 2'!$H$56:$L$56)))</f>
        <v>2.5346665738947234</v>
      </c>
      <c r="T95" s="3">
        <f>T94*(1+(_xlfn.XLOOKUP(T$1,'[1]Table 2'!$H$55:$L$55,'[1]Table 2'!$H$56:$L$56)))</f>
        <v>72.414161329340359</v>
      </c>
      <c r="U95" s="3">
        <f>U94*(1+(_xlfn.XLOOKUP(U$1,'[1]Table 2'!$H$55:$L$55,'[1]Table 2'!$H$56:$L$56)))</f>
        <v>2.5346665738947234</v>
      </c>
      <c r="V95" s="3">
        <f>V94*(1+(_xlfn.XLOOKUP(V$1,'[1]Table 2'!$H$55:$L$55,'[1]Table 2'!$H$56:$L$56)))</f>
        <v>27.750942607829948</v>
      </c>
      <c r="W95" s="3">
        <f>W94*(1+(_xlfn.XLOOKUP(W$1,'[1]Table 2'!$H$55:$L$55,'[1]Table 2'!$H$56:$L$56)))</f>
        <v>4.00487591245464</v>
      </c>
      <c r="X95" s="3">
        <f>X94*(1+(_xlfn.XLOOKUP(X$1,'[1]Table 2'!$H$55:$L$55,'[1]Table 2'!$H$56:$L$56)))</f>
        <v>12.729752899272073</v>
      </c>
      <c r="Y95" s="3">
        <f>Y94*(1+(_xlfn.XLOOKUP(Y$1,'[1]Table 2'!$H$55:$L$55,'[1]Table 2'!$H$56:$L$56)))</f>
        <v>4.00487591245464</v>
      </c>
      <c r="Z95" s="3">
        <f>Z94*(1+(_xlfn.XLOOKUP(Z$1,'[1]Table 2'!$H$55:$L$55,'[1]Table 2'!$H$56:$L$56)))</f>
        <v>2.5346665738947234</v>
      </c>
      <c r="AA95" s="3">
        <f>AA94*(1+(_xlfn.XLOOKUP(AA$1,'[1]Table 2'!$H$55:$L$55,'[1]Table 2'!$H$56:$L$56)))</f>
        <v>4.00487591245464</v>
      </c>
    </row>
    <row r="96" spans="1:27" x14ac:dyDescent="0.2">
      <c r="A96" s="1">
        <v>2064</v>
      </c>
      <c r="B96" s="3">
        <f>B95*(1+(_xlfn.XLOOKUP(B$1,'[1]Table 2'!$H$55:$L$55,'[1]Table 2'!$H$56:$L$56)))</f>
        <v>12.827832751492336</v>
      </c>
      <c r="C96" s="3">
        <f>C95*(1+(_xlfn.XLOOKUP(C$1,'[1]Table 2'!$H$55:$L$55,'[1]Table 2'!$H$56:$L$56)))</f>
        <v>12.827832751492336</v>
      </c>
      <c r="D96" s="3">
        <f>D95*(1+(_xlfn.XLOOKUP(D$1,'[1]Table 2'!$H$55:$L$55,'[1]Table 2'!$H$56:$L$56)))</f>
        <v>12.827832751492336</v>
      </c>
      <c r="E96" s="3">
        <f>E95*(1+(_xlfn.XLOOKUP(E$1,'[1]Table 2'!$H$55:$L$55,'[1]Table 2'!$H$56:$L$56)))</f>
        <v>28.00168242706626</v>
      </c>
      <c r="F96" s="3">
        <f>F95*(1+(_xlfn.XLOOKUP(F$1,'[1]Table 2'!$H$55:$L$55,'[1]Table 2'!$H$56:$L$56)))</f>
        <v>4.006402970270833</v>
      </c>
      <c r="G96" s="3">
        <f>G95*(1+(_xlfn.XLOOKUP(G$1,'[1]Table 2'!$H$55:$L$55,'[1]Table 2'!$H$56:$L$56)))</f>
        <v>28.00168242706626</v>
      </c>
      <c r="H96" s="3">
        <f>H95*(1+(_xlfn.XLOOKUP(H$1,'[1]Table 2'!$H$55:$L$55,'[1]Table 2'!$H$56:$L$56)))</f>
        <v>2.5331087781726769</v>
      </c>
      <c r="I96" s="3">
        <f>I95*(1+(_xlfn.XLOOKUP(I$1,'[1]Table 2'!$H$55:$L$55,'[1]Table 2'!$H$56:$L$56)))</f>
        <v>28.00168242706626</v>
      </c>
      <c r="J96" s="3">
        <f>J95*(1+(_xlfn.XLOOKUP(J$1,'[1]Table 2'!$H$55:$L$55,'[1]Table 2'!$H$56:$L$56)))</f>
        <v>28.00168242706626</v>
      </c>
      <c r="K96" s="3">
        <f>K95*(1+(_xlfn.XLOOKUP(K$1,'[1]Table 2'!$H$55:$L$55,'[1]Table 2'!$H$56:$L$56)))</f>
        <v>28.00168242706626</v>
      </c>
      <c r="L96" s="3">
        <f>L95*(1+(_xlfn.XLOOKUP(L$1,'[1]Table 2'!$H$55:$L$55,'[1]Table 2'!$H$56:$L$56)))</f>
        <v>28.00168242706626</v>
      </c>
      <c r="M96" s="3">
        <f>M95*(1+(_xlfn.XLOOKUP(M$1,'[1]Table 2'!$H$55:$L$55,'[1]Table 2'!$H$56:$L$56)))</f>
        <v>12.827832751492336</v>
      </c>
      <c r="N96" s="3">
        <f>N95*(1+(_xlfn.XLOOKUP(N$1,'[1]Table 2'!$H$55:$L$55,'[1]Table 2'!$H$56:$L$56)))</f>
        <v>28.00168242706626</v>
      </c>
      <c r="O96" s="3">
        <f>O95*(1+(_xlfn.XLOOKUP(O$1,'[1]Table 2'!$H$55:$L$55,'[1]Table 2'!$H$56:$L$56)))</f>
        <v>2.5331087781726769</v>
      </c>
      <c r="P96" s="3">
        <f>P95*(1+(_xlfn.XLOOKUP(P$1,'[1]Table 2'!$H$55:$L$55,'[1]Table 2'!$H$56:$L$56)))</f>
        <v>28.00168242706626</v>
      </c>
      <c r="Q96" s="3">
        <f>Q95*(1+(_xlfn.XLOOKUP(Q$1,'[1]Table 2'!$H$55:$L$55,'[1]Table 2'!$H$56:$L$56)))</f>
        <v>12.827832751492336</v>
      </c>
      <c r="R96" s="3">
        <f>R95*(1+(_xlfn.XLOOKUP(R$1,'[1]Table 2'!$H$55:$L$55,'[1]Table 2'!$H$56:$L$56)))</f>
        <v>28.00168242706626</v>
      </c>
      <c r="S96" s="3">
        <f>S95*(1+(_xlfn.XLOOKUP(S$1,'[1]Table 2'!$H$55:$L$55,'[1]Table 2'!$H$56:$L$56)))</f>
        <v>2.5331087781726769</v>
      </c>
      <c r="T96" s="3">
        <f>T95*(1+(_xlfn.XLOOKUP(T$1,'[1]Table 2'!$H$55:$L$55,'[1]Table 2'!$H$56:$L$56)))</f>
        <v>73.856655694304038</v>
      </c>
      <c r="U96" s="3">
        <f>U95*(1+(_xlfn.XLOOKUP(U$1,'[1]Table 2'!$H$55:$L$55,'[1]Table 2'!$H$56:$L$56)))</f>
        <v>2.5331087781726769</v>
      </c>
      <c r="V96" s="3">
        <f>V95*(1+(_xlfn.XLOOKUP(V$1,'[1]Table 2'!$H$55:$L$55,'[1]Table 2'!$H$56:$L$56)))</f>
        <v>28.00168242706626</v>
      </c>
      <c r="W96" s="3">
        <f>W95*(1+(_xlfn.XLOOKUP(W$1,'[1]Table 2'!$H$55:$L$55,'[1]Table 2'!$H$56:$L$56)))</f>
        <v>4.006402970270833</v>
      </c>
      <c r="X96" s="3">
        <f>X95*(1+(_xlfn.XLOOKUP(X$1,'[1]Table 2'!$H$55:$L$55,'[1]Table 2'!$H$56:$L$56)))</f>
        <v>12.827832751492336</v>
      </c>
      <c r="Y96" s="3">
        <f>Y95*(1+(_xlfn.XLOOKUP(Y$1,'[1]Table 2'!$H$55:$L$55,'[1]Table 2'!$H$56:$L$56)))</f>
        <v>4.006402970270833</v>
      </c>
      <c r="Z96" s="3">
        <f>Z95*(1+(_xlfn.XLOOKUP(Z$1,'[1]Table 2'!$H$55:$L$55,'[1]Table 2'!$H$56:$L$56)))</f>
        <v>2.5331087781726769</v>
      </c>
      <c r="AA96" s="3">
        <f>AA95*(1+(_xlfn.XLOOKUP(AA$1,'[1]Table 2'!$H$55:$L$55,'[1]Table 2'!$H$56:$L$56)))</f>
        <v>4.006402970270833</v>
      </c>
    </row>
    <row r="97" spans="1:27" x14ac:dyDescent="0.2">
      <c r="A97" s="1">
        <v>2065</v>
      </c>
      <c r="B97" s="3">
        <f>B96*(1+(_xlfn.XLOOKUP(B$1,'[1]Table 2'!$H$55:$L$55,'[1]Table 2'!$H$56:$L$56)))</f>
        <v>12.926668286677355</v>
      </c>
      <c r="C97" s="3">
        <f>C96*(1+(_xlfn.XLOOKUP(C$1,'[1]Table 2'!$H$55:$L$55,'[1]Table 2'!$H$56:$L$56)))</f>
        <v>12.926668286677355</v>
      </c>
      <c r="D97" s="3">
        <f>D96*(1+(_xlfn.XLOOKUP(D$1,'[1]Table 2'!$H$55:$L$55,'[1]Table 2'!$H$56:$L$56)))</f>
        <v>12.926668286677355</v>
      </c>
      <c r="E97" s="3">
        <f>E96*(1+(_xlfn.XLOOKUP(E$1,'[1]Table 2'!$H$55:$L$55,'[1]Table 2'!$H$56:$L$56)))</f>
        <v>28.254687771399833</v>
      </c>
      <c r="F97" s="3">
        <f>F96*(1+(_xlfn.XLOOKUP(F$1,'[1]Table 2'!$H$55:$L$55,'[1]Table 2'!$H$56:$L$56)))</f>
        <v>4.0079306103536494</v>
      </c>
      <c r="G97" s="3">
        <f>G96*(1+(_xlfn.XLOOKUP(G$1,'[1]Table 2'!$H$55:$L$55,'[1]Table 2'!$H$56:$L$56)))</f>
        <v>28.254687771399833</v>
      </c>
      <c r="H97" s="3">
        <f>H96*(1+(_xlfn.XLOOKUP(H$1,'[1]Table 2'!$H$55:$L$55,'[1]Table 2'!$H$56:$L$56)))</f>
        <v>2.5315519398655173</v>
      </c>
      <c r="I97" s="3">
        <f>I96*(1+(_xlfn.XLOOKUP(I$1,'[1]Table 2'!$H$55:$L$55,'[1]Table 2'!$H$56:$L$56)))</f>
        <v>28.254687771399833</v>
      </c>
      <c r="J97" s="3">
        <f>J96*(1+(_xlfn.XLOOKUP(J$1,'[1]Table 2'!$H$55:$L$55,'[1]Table 2'!$H$56:$L$56)))</f>
        <v>28.254687771399833</v>
      </c>
      <c r="K97" s="3">
        <f>K96*(1+(_xlfn.XLOOKUP(K$1,'[1]Table 2'!$H$55:$L$55,'[1]Table 2'!$H$56:$L$56)))</f>
        <v>28.254687771399833</v>
      </c>
      <c r="L97" s="3">
        <f>L96*(1+(_xlfn.XLOOKUP(L$1,'[1]Table 2'!$H$55:$L$55,'[1]Table 2'!$H$56:$L$56)))</f>
        <v>28.254687771399833</v>
      </c>
      <c r="M97" s="3">
        <f>M96*(1+(_xlfn.XLOOKUP(M$1,'[1]Table 2'!$H$55:$L$55,'[1]Table 2'!$H$56:$L$56)))</f>
        <v>12.926668286677355</v>
      </c>
      <c r="N97" s="3">
        <f>N96*(1+(_xlfn.XLOOKUP(N$1,'[1]Table 2'!$H$55:$L$55,'[1]Table 2'!$H$56:$L$56)))</f>
        <v>28.254687771399833</v>
      </c>
      <c r="O97" s="3">
        <f>O96*(1+(_xlfn.XLOOKUP(O$1,'[1]Table 2'!$H$55:$L$55,'[1]Table 2'!$H$56:$L$56)))</f>
        <v>2.5315519398655173</v>
      </c>
      <c r="P97" s="3">
        <f>P96*(1+(_xlfn.XLOOKUP(P$1,'[1]Table 2'!$H$55:$L$55,'[1]Table 2'!$H$56:$L$56)))</f>
        <v>28.254687771399833</v>
      </c>
      <c r="Q97" s="3">
        <f>Q96*(1+(_xlfn.XLOOKUP(Q$1,'[1]Table 2'!$H$55:$L$55,'[1]Table 2'!$H$56:$L$56)))</f>
        <v>12.926668286677355</v>
      </c>
      <c r="R97" s="3">
        <f>R96*(1+(_xlfn.XLOOKUP(R$1,'[1]Table 2'!$H$55:$L$55,'[1]Table 2'!$H$56:$L$56)))</f>
        <v>28.254687771399833</v>
      </c>
      <c r="S97" s="3">
        <f>S96*(1+(_xlfn.XLOOKUP(S$1,'[1]Table 2'!$H$55:$L$55,'[1]Table 2'!$H$56:$L$56)))</f>
        <v>2.5315519398655173</v>
      </c>
      <c r="T97" s="3">
        <f>T96*(1+(_xlfn.XLOOKUP(T$1,'[1]Table 2'!$H$55:$L$55,'[1]Table 2'!$H$56:$L$56)))</f>
        <v>75.327884632101998</v>
      </c>
      <c r="U97" s="3">
        <f>U96*(1+(_xlfn.XLOOKUP(U$1,'[1]Table 2'!$H$55:$L$55,'[1]Table 2'!$H$56:$L$56)))</f>
        <v>2.5315519398655173</v>
      </c>
      <c r="V97" s="3">
        <f>V96*(1+(_xlfn.XLOOKUP(V$1,'[1]Table 2'!$H$55:$L$55,'[1]Table 2'!$H$56:$L$56)))</f>
        <v>28.254687771399833</v>
      </c>
      <c r="W97" s="3">
        <f>W96*(1+(_xlfn.XLOOKUP(W$1,'[1]Table 2'!$H$55:$L$55,'[1]Table 2'!$H$56:$L$56)))</f>
        <v>4.0079306103536494</v>
      </c>
      <c r="X97" s="3">
        <f>X96*(1+(_xlfn.XLOOKUP(X$1,'[1]Table 2'!$H$55:$L$55,'[1]Table 2'!$H$56:$L$56)))</f>
        <v>12.926668286677355</v>
      </c>
      <c r="Y97" s="3">
        <f>Y96*(1+(_xlfn.XLOOKUP(Y$1,'[1]Table 2'!$H$55:$L$55,'[1]Table 2'!$H$56:$L$56)))</f>
        <v>4.0079306103536494</v>
      </c>
      <c r="Z97" s="3">
        <f>Z96*(1+(_xlfn.XLOOKUP(Z$1,'[1]Table 2'!$H$55:$L$55,'[1]Table 2'!$H$56:$L$56)))</f>
        <v>2.5315519398655173</v>
      </c>
      <c r="AA97" s="3">
        <f>AA96*(1+(_xlfn.XLOOKUP(AA$1,'[1]Table 2'!$H$55:$L$55,'[1]Table 2'!$H$56:$L$56)))</f>
        <v>4.0079306103536494</v>
      </c>
    </row>
    <row r="98" spans="1:27" x14ac:dyDescent="0.2">
      <c r="A98" s="1">
        <v>2066</v>
      </c>
      <c r="B98" s="3">
        <f>B97*(1+(_xlfn.XLOOKUP(B$1,'[1]Table 2'!$H$55:$L$55,'[1]Table 2'!$H$56:$L$56)))</f>
        <v>13.026265327192585</v>
      </c>
      <c r="C98" s="3">
        <f>C97*(1+(_xlfn.XLOOKUP(C$1,'[1]Table 2'!$H$55:$L$55,'[1]Table 2'!$H$56:$L$56)))</f>
        <v>13.026265327192585</v>
      </c>
      <c r="D98" s="3">
        <f>D97*(1+(_xlfn.XLOOKUP(D$1,'[1]Table 2'!$H$55:$L$55,'[1]Table 2'!$H$56:$L$56)))</f>
        <v>13.026265327192585</v>
      </c>
      <c r="E98" s="3">
        <f>E97*(1+(_xlfn.XLOOKUP(E$1,'[1]Table 2'!$H$55:$L$55,'[1]Table 2'!$H$56:$L$56)))</f>
        <v>28.509979110670606</v>
      </c>
      <c r="F98" s="3">
        <f>F97*(1+(_xlfn.XLOOKUP(F$1,'[1]Table 2'!$H$55:$L$55,'[1]Table 2'!$H$56:$L$56)))</f>
        <v>4.0094588329251071</v>
      </c>
      <c r="G98" s="3">
        <f>G97*(1+(_xlfn.XLOOKUP(G$1,'[1]Table 2'!$H$55:$L$55,'[1]Table 2'!$H$56:$L$56)))</f>
        <v>28.509979110670606</v>
      </c>
      <c r="H98" s="3">
        <f>H97*(1+(_xlfn.XLOOKUP(H$1,'[1]Table 2'!$H$55:$L$55,'[1]Table 2'!$H$56:$L$56)))</f>
        <v>2.5299960583848216</v>
      </c>
      <c r="I98" s="3">
        <f>I97*(1+(_xlfn.XLOOKUP(I$1,'[1]Table 2'!$H$55:$L$55,'[1]Table 2'!$H$56:$L$56)))</f>
        <v>28.509979110670606</v>
      </c>
      <c r="J98" s="3">
        <f>J97*(1+(_xlfn.XLOOKUP(J$1,'[1]Table 2'!$H$55:$L$55,'[1]Table 2'!$H$56:$L$56)))</f>
        <v>28.509979110670606</v>
      </c>
      <c r="K98" s="3">
        <f>K97*(1+(_xlfn.XLOOKUP(K$1,'[1]Table 2'!$H$55:$L$55,'[1]Table 2'!$H$56:$L$56)))</f>
        <v>28.509979110670606</v>
      </c>
      <c r="L98" s="3">
        <f>L97*(1+(_xlfn.XLOOKUP(L$1,'[1]Table 2'!$H$55:$L$55,'[1]Table 2'!$H$56:$L$56)))</f>
        <v>28.509979110670606</v>
      </c>
      <c r="M98" s="3">
        <f>M97*(1+(_xlfn.XLOOKUP(M$1,'[1]Table 2'!$H$55:$L$55,'[1]Table 2'!$H$56:$L$56)))</f>
        <v>13.026265327192585</v>
      </c>
      <c r="N98" s="3">
        <f>N97*(1+(_xlfn.XLOOKUP(N$1,'[1]Table 2'!$H$55:$L$55,'[1]Table 2'!$H$56:$L$56)))</f>
        <v>28.509979110670606</v>
      </c>
      <c r="O98" s="3">
        <f>O97*(1+(_xlfn.XLOOKUP(O$1,'[1]Table 2'!$H$55:$L$55,'[1]Table 2'!$H$56:$L$56)))</f>
        <v>2.5299960583848216</v>
      </c>
      <c r="P98" s="3">
        <f>P97*(1+(_xlfn.XLOOKUP(P$1,'[1]Table 2'!$H$55:$L$55,'[1]Table 2'!$H$56:$L$56)))</f>
        <v>28.509979110670606</v>
      </c>
      <c r="Q98" s="3">
        <f>Q97*(1+(_xlfn.XLOOKUP(Q$1,'[1]Table 2'!$H$55:$L$55,'[1]Table 2'!$H$56:$L$56)))</f>
        <v>13.026265327192585</v>
      </c>
      <c r="R98" s="3">
        <f>R97*(1+(_xlfn.XLOOKUP(R$1,'[1]Table 2'!$H$55:$L$55,'[1]Table 2'!$H$56:$L$56)))</f>
        <v>28.509979110670606</v>
      </c>
      <c r="S98" s="3">
        <f>S97*(1+(_xlfn.XLOOKUP(S$1,'[1]Table 2'!$H$55:$L$55,'[1]Table 2'!$H$56:$L$56)))</f>
        <v>2.5299960583848216</v>
      </c>
      <c r="T98" s="3">
        <f>T97*(1+(_xlfn.XLOOKUP(T$1,'[1]Table 2'!$H$55:$L$55,'[1]Table 2'!$H$56:$L$56)))</f>
        <v>76.828420537119996</v>
      </c>
      <c r="U98" s="3">
        <f>U97*(1+(_xlfn.XLOOKUP(U$1,'[1]Table 2'!$H$55:$L$55,'[1]Table 2'!$H$56:$L$56)))</f>
        <v>2.5299960583848216</v>
      </c>
      <c r="V98" s="3">
        <f>V97*(1+(_xlfn.XLOOKUP(V$1,'[1]Table 2'!$H$55:$L$55,'[1]Table 2'!$H$56:$L$56)))</f>
        <v>28.509979110670606</v>
      </c>
      <c r="W98" s="3">
        <f>W97*(1+(_xlfn.XLOOKUP(W$1,'[1]Table 2'!$H$55:$L$55,'[1]Table 2'!$H$56:$L$56)))</f>
        <v>4.0094588329251071</v>
      </c>
      <c r="X98" s="3">
        <f>X97*(1+(_xlfn.XLOOKUP(X$1,'[1]Table 2'!$H$55:$L$55,'[1]Table 2'!$H$56:$L$56)))</f>
        <v>13.026265327192585</v>
      </c>
      <c r="Y98" s="3">
        <f>Y97*(1+(_xlfn.XLOOKUP(Y$1,'[1]Table 2'!$H$55:$L$55,'[1]Table 2'!$H$56:$L$56)))</f>
        <v>4.0094588329251071</v>
      </c>
      <c r="Z98" s="3">
        <f>Z97*(1+(_xlfn.XLOOKUP(Z$1,'[1]Table 2'!$H$55:$L$55,'[1]Table 2'!$H$56:$L$56)))</f>
        <v>2.5299960583848216</v>
      </c>
      <c r="AA98" s="3">
        <f>AA97*(1+(_xlfn.XLOOKUP(AA$1,'[1]Table 2'!$H$55:$L$55,'[1]Table 2'!$H$56:$L$56)))</f>
        <v>4.0094588329251071</v>
      </c>
    </row>
    <row r="99" spans="1:27" x14ac:dyDescent="0.2">
      <c r="A99" s="1">
        <v>2067</v>
      </c>
      <c r="B99" s="3">
        <f>B98*(1+(_xlfn.XLOOKUP(B$1,'[1]Table 2'!$H$55:$L$55,'[1]Table 2'!$H$56:$L$56)))</f>
        <v>13.12662974026348</v>
      </c>
      <c r="C99" s="3">
        <f>C98*(1+(_xlfn.XLOOKUP(C$1,'[1]Table 2'!$H$55:$L$55,'[1]Table 2'!$H$56:$L$56)))</f>
        <v>13.12662974026348</v>
      </c>
      <c r="D99" s="3">
        <f>D98*(1+(_xlfn.XLOOKUP(D$1,'[1]Table 2'!$H$55:$L$55,'[1]Table 2'!$H$56:$L$56)))</f>
        <v>13.12662974026348</v>
      </c>
      <c r="E99" s="3">
        <f>E98*(1+(_xlfn.XLOOKUP(E$1,'[1]Table 2'!$H$55:$L$55,'[1]Table 2'!$H$56:$L$56)))</f>
        <v>28.767577099670937</v>
      </c>
      <c r="F99" s="3">
        <f>F98*(1+(_xlfn.XLOOKUP(F$1,'[1]Table 2'!$H$55:$L$55,'[1]Table 2'!$H$56:$L$56)))</f>
        <v>4.0109876382073084</v>
      </c>
      <c r="G99" s="3">
        <f>G98*(1+(_xlfn.XLOOKUP(G$1,'[1]Table 2'!$H$55:$L$55,'[1]Table 2'!$H$56:$L$56)))</f>
        <v>28.767577099670937</v>
      </c>
      <c r="H99" s="3">
        <f>H98*(1+(_xlfn.XLOOKUP(H$1,'[1]Table 2'!$H$55:$L$55,'[1]Table 2'!$H$56:$L$56)))</f>
        <v>2.5284411331425281</v>
      </c>
      <c r="I99" s="3">
        <f>I98*(1+(_xlfn.XLOOKUP(I$1,'[1]Table 2'!$H$55:$L$55,'[1]Table 2'!$H$56:$L$56)))</f>
        <v>28.767577099670937</v>
      </c>
      <c r="J99" s="3">
        <f>J98*(1+(_xlfn.XLOOKUP(J$1,'[1]Table 2'!$H$55:$L$55,'[1]Table 2'!$H$56:$L$56)))</f>
        <v>28.767577099670937</v>
      </c>
      <c r="K99" s="3">
        <f>K98*(1+(_xlfn.XLOOKUP(K$1,'[1]Table 2'!$H$55:$L$55,'[1]Table 2'!$H$56:$L$56)))</f>
        <v>28.767577099670937</v>
      </c>
      <c r="L99" s="3">
        <f>L98*(1+(_xlfn.XLOOKUP(L$1,'[1]Table 2'!$H$55:$L$55,'[1]Table 2'!$H$56:$L$56)))</f>
        <v>28.767577099670937</v>
      </c>
      <c r="M99" s="3">
        <f>M98*(1+(_xlfn.XLOOKUP(M$1,'[1]Table 2'!$H$55:$L$55,'[1]Table 2'!$H$56:$L$56)))</f>
        <v>13.12662974026348</v>
      </c>
      <c r="N99" s="3">
        <f>N98*(1+(_xlfn.XLOOKUP(N$1,'[1]Table 2'!$H$55:$L$55,'[1]Table 2'!$H$56:$L$56)))</f>
        <v>28.767577099670937</v>
      </c>
      <c r="O99" s="3">
        <f>O98*(1+(_xlfn.XLOOKUP(O$1,'[1]Table 2'!$H$55:$L$55,'[1]Table 2'!$H$56:$L$56)))</f>
        <v>2.5284411331425281</v>
      </c>
      <c r="P99" s="3">
        <f>P98*(1+(_xlfn.XLOOKUP(P$1,'[1]Table 2'!$H$55:$L$55,'[1]Table 2'!$H$56:$L$56)))</f>
        <v>28.767577099670937</v>
      </c>
      <c r="Q99" s="3">
        <f>Q98*(1+(_xlfn.XLOOKUP(Q$1,'[1]Table 2'!$H$55:$L$55,'[1]Table 2'!$H$56:$L$56)))</f>
        <v>13.12662974026348</v>
      </c>
      <c r="R99" s="3">
        <f>R98*(1+(_xlfn.XLOOKUP(R$1,'[1]Table 2'!$H$55:$L$55,'[1]Table 2'!$H$56:$L$56)))</f>
        <v>28.767577099670937</v>
      </c>
      <c r="S99" s="3">
        <f>S98*(1+(_xlfn.XLOOKUP(S$1,'[1]Table 2'!$H$55:$L$55,'[1]Table 2'!$H$56:$L$56)))</f>
        <v>2.5284411331425281</v>
      </c>
      <c r="T99" s="3">
        <f>T98*(1+(_xlfn.XLOOKUP(T$1,'[1]Table 2'!$H$55:$L$55,'[1]Table 2'!$H$56:$L$56)))</f>
        <v>78.358847205873687</v>
      </c>
      <c r="U99" s="3">
        <f>U98*(1+(_xlfn.XLOOKUP(U$1,'[1]Table 2'!$H$55:$L$55,'[1]Table 2'!$H$56:$L$56)))</f>
        <v>2.5284411331425281</v>
      </c>
      <c r="V99" s="3">
        <f>V98*(1+(_xlfn.XLOOKUP(V$1,'[1]Table 2'!$H$55:$L$55,'[1]Table 2'!$H$56:$L$56)))</f>
        <v>28.767577099670937</v>
      </c>
      <c r="W99" s="3">
        <f>W98*(1+(_xlfn.XLOOKUP(W$1,'[1]Table 2'!$H$55:$L$55,'[1]Table 2'!$H$56:$L$56)))</f>
        <v>4.0109876382073084</v>
      </c>
      <c r="X99" s="3">
        <f>X98*(1+(_xlfn.XLOOKUP(X$1,'[1]Table 2'!$H$55:$L$55,'[1]Table 2'!$H$56:$L$56)))</f>
        <v>13.12662974026348</v>
      </c>
      <c r="Y99" s="3">
        <f>Y98*(1+(_xlfn.XLOOKUP(Y$1,'[1]Table 2'!$H$55:$L$55,'[1]Table 2'!$H$56:$L$56)))</f>
        <v>4.0109876382073084</v>
      </c>
      <c r="Z99" s="3">
        <f>Z98*(1+(_xlfn.XLOOKUP(Z$1,'[1]Table 2'!$H$55:$L$55,'[1]Table 2'!$H$56:$L$56)))</f>
        <v>2.5284411331425281</v>
      </c>
      <c r="AA99" s="3">
        <f>AA98*(1+(_xlfn.XLOOKUP(AA$1,'[1]Table 2'!$H$55:$L$55,'[1]Table 2'!$H$56:$L$56)))</f>
        <v>4.0109876382073084</v>
      </c>
    </row>
    <row r="100" spans="1:27" x14ac:dyDescent="0.2">
      <c r="A100" s="1">
        <v>2068</v>
      </c>
      <c r="B100" s="3">
        <f>B99*(1+(_xlfn.XLOOKUP(B$1,'[1]Table 2'!$H$55:$L$55,'[1]Table 2'!$H$56:$L$56)))</f>
        <v>13.227767438321136</v>
      </c>
      <c r="C100" s="3">
        <f>C99*(1+(_xlfn.XLOOKUP(C$1,'[1]Table 2'!$H$55:$L$55,'[1]Table 2'!$H$56:$L$56)))</f>
        <v>13.227767438321136</v>
      </c>
      <c r="D100" s="3">
        <f>D99*(1+(_xlfn.XLOOKUP(D$1,'[1]Table 2'!$H$55:$L$55,'[1]Table 2'!$H$56:$L$56)))</f>
        <v>13.227767438321136</v>
      </c>
      <c r="E100" s="3">
        <f>E99*(1+(_xlfn.XLOOKUP(E$1,'[1]Table 2'!$H$55:$L$55,'[1]Table 2'!$H$56:$L$56)))</f>
        <v>29.027502579816719</v>
      </c>
      <c r="F100" s="3">
        <f>F99*(1+(_xlfn.XLOOKUP(F$1,'[1]Table 2'!$H$55:$L$55,'[1]Table 2'!$H$56:$L$56)))</f>
        <v>4.0125170264224419</v>
      </c>
      <c r="G100" s="3">
        <f>G99*(1+(_xlfn.XLOOKUP(G$1,'[1]Table 2'!$H$55:$L$55,'[1]Table 2'!$H$56:$L$56)))</f>
        <v>29.027502579816719</v>
      </c>
      <c r="H100" s="3">
        <f>H99*(1+(_xlfn.XLOOKUP(H$1,'[1]Table 2'!$H$55:$L$55,'[1]Table 2'!$H$56:$L$56)))</f>
        <v>2.5268871635509362</v>
      </c>
      <c r="I100" s="3">
        <f>I99*(1+(_xlfn.XLOOKUP(I$1,'[1]Table 2'!$H$55:$L$55,'[1]Table 2'!$H$56:$L$56)))</f>
        <v>29.027502579816719</v>
      </c>
      <c r="J100" s="3">
        <f>J99*(1+(_xlfn.XLOOKUP(J$1,'[1]Table 2'!$H$55:$L$55,'[1]Table 2'!$H$56:$L$56)))</f>
        <v>29.027502579816719</v>
      </c>
      <c r="K100" s="3">
        <f>K99*(1+(_xlfn.XLOOKUP(K$1,'[1]Table 2'!$H$55:$L$55,'[1]Table 2'!$H$56:$L$56)))</f>
        <v>29.027502579816719</v>
      </c>
      <c r="L100" s="3">
        <f>L99*(1+(_xlfn.XLOOKUP(L$1,'[1]Table 2'!$H$55:$L$55,'[1]Table 2'!$H$56:$L$56)))</f>
        <v>29.027502579816719</v>
      </c>
      <c r="M100" s="3">
        <f>M99*(1+(_xlfn.XLOOKUP(M$1,'[1]Table 2'!$H$55:$L$55,'[1]Table 2'!$H$56:$L$56)))</f>
        <v>13.227767438321136</v>
      </c>
      <c r="N100" s="3">
        <f>N99*(1+(_xlfn.XLOOKUP(N$1,'[1]Table 2'!$H$55:$L$55,'[1]Table 2'!$H$56:$L$56)))</f>
        <v>29.027502579816719</v>
      </c>
      <c r="O100" s="3">
        <f>O99*(1+(_xlfn.XLOOKUP(O$1,'[1]Table 2'!$H$55:$L$55,'[1]Table 2'!$H$56:$L$56)))</f>
        <v>2.5268871635509362</v>
      </c>
      <c r="P100" s="3">
        <f>P99*(1+(_xlfn.XLOOKUP(P$1,'[1]Table 2'!$H$55:$L$55,'[1]Table 2'!$H$56:$L$56)))</f>
        <v>29.027502579816719</v>
      </c>
      <c r="Q100" s="3">
        <f>Q99*(1+(_xlfn.XLOOKUP(Q$1,'[1]Table 2'!$H$55:$L$55,'[1]Table 2'!$H$56:$L$56)))</f>
        <v>13.227767438321136</v>
      </c>
      <c r="R100" s="3">
        <f>R99*(1+(_xlfn.XLOOKUP(R$1,'[1]Table 2'!$H$55:$L$55,'[1]Table 2'!$H$56:$L$56)))</f>
        <v>29.027502579816719</v>
      </c>
      <c r="S100" s="3">
        <f>S99*(1+(_xlfn.XLOOKUP(S$1,'[1]Table 2'!$H$55:$L$55,'[1]Table 2'!$H$56:$L$56)))</f>
        <v>2.5268871635509362</v>
      </c>
      <c r="T100" s="3">
        <f>T99*(1+(_xlfn.XLOOKUP(T$1,'[1]Table 2'!$H$55:$L$55,'[1]Table 2'!$H$56:$L$56)))</f>
        <v>79.91976006413978</v>
      </c>
      <c r="U100" s="3">
        <f>U99*(1+(_xlfn.XLOOKUP(U$1,'[1]Table 2'!$H$55:$L$55,'[1]Table 2'!$H$56:$L$56)))</f>
        <v>2.5268871635509362</v>
      </c>
      <c r="V100" s="3">
        <f>V99*(1+(_xlfn.XLOOKUP(V$1,'[1]Table 2'!$H$55:$L$55,'[1]Table 2'!$H$56:$L$56)))</f>
        <v>29.027502579816719</v>
      </c>
      <c r="W100" s="3">
        <f>W99*(1+(_xlfn.XLOOKUP(W$1,'[1]Table 2'!$H$55:$L$55,'[1]Table 2'!$H$56:$L$56)))</f>
        <v>4.0125170264224419</v>
      </c>
      <c r="X100" s="3">
        <f>X99*(1+(_xlfn.XLOOKUP(X$1,'[1]Table 2'!$H$55:$L$55,'[1]Table 2'!$H$56:$L$56)))</f>
        <v>13.227767438321136</v>
      </c>
      <c r="Y100" s="3">
        <f>Y99*(1+(_xlfn.XLOOKUP(Y$1,'[1]Table 2'!$H$55:$L$55,'[1]Table 2'!$H$56:$L$56)))</f>
        <v>4.0125170264224419</v>
      </c>
      <c r="Z100" s="3">
        <f>Z99*(1+(_xlfn.XLOOKUP(Z$1,'[1]Table 2'!$H$55:$L$55,'[1]Table 2'!$H$56:$L$56)))</f>
        <v>2.5268871635509362</v>
      </c>
      <c r="AA100" s="3">
        <f>AA99*(1+(_xlfn.XLOOKUP(AA$1,'[1]Table 2'!$H$55:$L$55,'[1]Table 2'!$H$56:$L$56)))</f>
        <v>4.0125170264224419</v>
      </c>
    </row>
    <row r="101" spans="1:27" x14ac:dyDescent="0.2">
      <c r="A101" s="1">
        <v>2069</v>
      </c>
      <c r="B101" s="3">
        <f>B100*(1+(_xlfn.XLOOKUP(B$1,'[1]Table 2'!$H$55:$L$55,'[1]Table 2'!$H$56:$L$56)))</f>
        <v>13.329684379350583</v>
      </c>
      <c r="C101" s="3">
        <f>C100*(1+(_xlfn.XLOOKUP(C$1,'[1]Table 2'!$H$55:$L$55,'[1]Table 2'!$H$56:$L$56)))</f>
        <v>13.329684379350583</v>
      </c>
      <c r="D101" s="3">
        <f>D100*(1+(_xlfn.XLOOKUP(D$1,'[1]Table 2'!$H$55:$L$55,'[1]Table 2'!$H$56:$L$56)))</f>
        <v>13.329684379350583</v>
      </c>
      <c r="E101" s="3">
        <f>E100*(1+(_xlfn.XLOOKUP(E$1,'[1]Table 2'!$H$55:$L$55,'[1]Table 2'!$H$56:$L$56)))</f>
        <v>29.289776580833582</v>
      </c>
      <c r="F101" s="3">
        <f>F100*(1+(_xlfn.XLOOKUP(F$1,'[1]Table 2'!$H$55:$L$55,'[1]Table 2'!$H$56:$L$56)))</f>
        <v>4.0140469977927786</v>
      </c>
      <c r="G101" s="3">
        <f>G100*(1+(_xlfn.XLOOKUP(G$1,'[1]Table 2'!$H$55:$L$55,'[1]Table 2'!$H$56:$L$56)))</f>
        <v>29.289776580833582</v>
      </c>
      <c r="H101" s="3">
        <f>H100*(1+(_xlfn.XLOOKUP(H$1,'[1]Table 2'!$H$55:$L$55,'[1]Table 2'!$H$56:$L$56)))</f>
        <v>2.5253341490227075</v>
      </c>
      <c r="I101" s="3">
        <f>I100*(1+(_xlfn.XLOOKUP(I$1,'[1]Table 2'!$H$55:$L$55,'[1]Table 2'!$H$56:$L$56)))</f>
        <v>29.289776580833582</v>
      </c>
      <c r="J101" s="3">
        <f>J100*(1+(_xlfn.XLOOKUP(J$1,'[1]Table 2'!$H$55:$L$55,'[1]Table 2'!$H$56:$L$56)))</f>
        <v>29.289776580833582</v>
      </c>
      <c r="K101" s="3">
        <f>K100*(1+(_xlfn.XLOOKUP(K$1,'[1]Table 2'!$H$55:$L$55,'[1]Table 2'!$H$56:$L$56)))</f>
        <v>29.289776580833582</v>
      </c>
      <c r="L101" s="3">
        <f>L100*(1+(_xlfn.XLOOKUP(L$1,'[1]Table 2'!$H$55:$L$55,'[1]Table 2'!$H$56:$L$56)))</f>
        <v>29.289776580833582</v>
      </c>
      <c r="M101" s="3">
        <f>M100*(1+(_xlfn.XLOOKUP(M$1,'[1]Table 2'!$H$55:$L$55,'[1]Table 2'!$H$56:$L$56)))</f>
        <v>13.329684379350583</v>
      </c>
      <c r="N101" s="3">
        <f>N100*(1+(_xlfn.XLOOKUP(N$1,'[1]Table 2'!$H$55:$L$55,'[1]Table 2'!$H$56:$L$56)))</f>
        <v>29.289776580833582</v>
      </c>
      <c r="O101" s="3">
        <f>O100*(1+(_xlfn.XLOOKUP(O$1,'[1]Table 2'!$H$55:$L$55,'[1]Table 2'!$H$56:$L$56)))</f>
        <v>2.5253341490227075</v>
      </c>
      <c r="P101" s="3">
        <f>P100*(1+(_xlfn.XLOOKUP(P$1,'[1]Table 2'!$H$55:$L$55,'[1]Table 2'!$H$56:$L$56)))</f>
        <v>29.289776580833582</v>
      </c>
      <c r="Q101" s="3">
        <f>Q100*(1+(_xlfn.XLOOKUP(Q$1,'[1]Table 2'!$H$55:$L$55,'[1]Table 2'!$H$56:$L$56)))</f>
        <v>13.329684379350583</v>
      </c>
      <c r="R101" s="3">
        <f>R100*(1+(_xlfn.XLOOKUP(R$1,'[1]Table 2'!$H$55:$L$55,'[1]Table 2'!$H$56:$L$56)))</f>
        <v>29.289776580833582</v>
      </c>
      <c r="S101" s="3">
        <f>S100*(1+(_xlfn.XLOOKUP(S$1,'[1]Table 2'!$H$55:$L$55,'[1]Table 2'!$H$56:$L$56)))</f>
        <v>2.5253341490227075</v>
      </c>
      <c r="T101" s="3">
        <f>T100*(1+(_xlfn.XLOOKUP(T$1,'[1]Table 2'!$H$55:$L$55,'[1]Table 2'!$H$56:$L$56)))</f>
        <v>81.511766398611556</v>
      </c>
      <c r="U101" s="3">
        <f>U100*(1+(_xlfn.XLOOKUP(U$1,'[1]Table 2'!$H$55:$L$55,'[1]Table 2'!$H$56:$L$56)))</f>
        <v>2.5253341490227075</v>
      </c>
      <c r="V101" s="3">
        <f>V100*(1+(_xlfn.XLOOKUP(V$1,'[1]Table 2'!$H$55:$L$55,'[1]Table 2'!$H$56:$L$56)))</f>
        <v>29.289776580833582</v>
      </c>
      <c r="W101" s="3">
        <f>W100*(1+(_xlfn.XLOOKUP(W$1,'[1]Table 2'!$H$55:$L$55,'[1]Table 2'!$H$56:$L$56)))</f>
        <v>4.0140469977927786</v>
      </c>
      <c r="X101" s="3">
        <f>X100*(1+(_xlfn.XLOOKUP(X$1,'[1]Table 2'!$H$55:$L$55,'[1]Table 2'!$H$56:$L$56)))</f>
        <v>13.329684379350583</v>
      </c>
      <c r="Y101" s="3">
        <f>Y100*(1+(_xlfn.XLOOKUP(Y$1,'[1]Table 2'!$H$55:$L$55,'[1]Table 2'!$H$56:$L$56)))</f>
        <v>4.0140469977927786</v>
      </c>
      <c r="Z101" s="3">
        <f>Z100*(1+(_xlfn.XLOOKUP(Z$1,'[1]Table 2'!$H$55:$L$55,'[1]Table 2'!$H$56:$L$56)))</f>
        <v>2.5253341490227075</v>
      </c>
      <c r="AA101" s="3">
        <f>AA100*(1+(_xlfn.XLOOKUP(AA$1,'[1]Table 2'!$H$55:$L$55,'[1]Table 2'!$H$56:$L$56)))</f>
        <v>4.0140469977927786</v>
      </c>
    </row>
    <row r="102" spans="1:27" x14ac:dyDescent="0.2">
      <c r="A102" s="1">
        <v>2070</v>
      </c>
      <c r="B102" s="3">
        <f>B101*(1+(_xlfn.XLOOKUP(B$1,'[1]Table 2'!$H$55:$L$55,'[1]Table 2'!$H$56:$L$56)))</f>
        <v>13.432386567241773</v>
      </c>
      <c r="C102" s="3">
        <f>C101*(1+(_xlfn.XLOOKUP(C$1,'[1]Table 2'!$H$55:$L$55,'[1]Table 2'!$H$56:$L$56)))</f>
        <v>13.432386567241773</v>
      </c>
      <c r="D102" s="3">
        <f>D101*(1+(_xlfn.XLOOKUP(D$1,'[1]Table 2'!$H$55:$L$55,'[1]Table 2'!$H$56:$L$56)))</f>
        <v>13.432386567241773</v>
      </c>
      <c r="E102" s="3">
        <f>E101*(1+(_xlfn.XLOOKUP(E$1,'[1]Table 2'!$H$55:$L$55,'[1]Table 2'!$H$56:$L$56)))</f>
        <v>29.554420322458345</v>
      </c>
      <c r="F102" s="3">
        <f>F101*(1+(_xlfn.XLOOKUP(F$1,'[1]Table 2'!$H$55:$L$55,'[1]Table 2'!$H$56:$L$56)))</f>
        <v>4.0155775525406758</v>
      </c>
      <c r="G102" s="3">
        <f>G101*(1+(_xlfn.XLOOKUP(G$1,'[1]Table 2'!$H$55:$L$55,'[1]Table 2'!$H$56:$L$56)))</f>
        <v>29.554420322458345</v>
      </c>
      <c r="H102" s="3">
        <f>H101*(1+(_xlfn.XLOOKUP(H$1,'[1]Table 2'!$H$55:$L$55,'[1]Table 2'!$H$56:$L$56)))</f>
        <v>2.5237820889708638</v>
      </c>
      <c r="I102" s="3">
        <f>I101*(1+(_xlfn.XLOOKUP(I$1,'[1]Table 2'!$H$55:$L$55,'[1]Table 2'!$H$56:$L$56)))</f>
        <v>29.554420322458345</v>
      </c>
      <c r="J102" s="3">
        <f>J101*(1+(_xlfn.XLOOKUP(J$1,'[1]Table 2'!$H$55:$L$55,'[1]Table 2'!$H$56:$L$56)))</f>
        <v>29.554420322458345</v>
      </c>
      <c r="K102" s="3">
        <f>K101*(1+(_xlfn.XLOOKUP(K$1,'[1]Table 2'!$H$55:$L$55,'[1]Table 2'!$H$56:$L$56)))</f>
        <v>29.554420322458345</v>
      </c>
      <c r="L102" s="3">
        <f>L101*(1+(_xlfn.XLOOKUP(L$1,'[1]Table 2'!$H$55:$L$55,'[1]Table 2'!$H$56:$L$56)))</f>
        <v>29.554420322458345</v>
      </c>
      <c r="M102" s="3">
        <f>M101*(1+(_xlfn.XLOOKUP(M$1,'[1]Table 2'!$H$55:$L$55,'[1]Table 2'!$H$56:$L$56)))</f>
        <v>13.432386567241773</v>
      </c>
      <c r="N102" s="3">
        <f>N101*(1+(_xlfn.XLOOKUP(N$1,'[1]Table 2'!$H$55:$L$55,'[1]Table 2'!$H$56:$L$56)))</f>
        <v>29.554420322458345</v>
      </c>
      <c r="O102" s="3">
        <f>O101*(1+(_xlfn.XLOOKUP(O$1,'[1]Table 2'!$H$55:$L$55,'[1]Table 2'!$H$56:$L$56)))</f>
        <v>2.5237820889708638</v>
      </c>
      <c r="P102" s="3">
        <f>P101*(1+(_xlfn.XLOOKUP(P$1,'[1]Table 2'!$H$55:$L$55,'[1]Table 2'!$H$56:$L$56)))</f>
        <v>29.554420322458345</v>
      </c>
      <c r="Q102" s="3">
        <f>Q101*(1+(_xlfn.XLOOKUP(Q$1,'[1]Table 2'!$H$55:$L$55,'[1]Table 2'!$H$56:$L$56)))</f>
        <v>13.432386567241773</v>
      </c>
      <c r="R102" s="3">
        <f>R101*(1+(_xlfn.XLOOKUP(R$1,'[1]Table 2'!$H$55:$L$55,'[1]Table 2'!$H$56:$L$56)))</f>
        <v>29.554420322458345</v>
      </c>
      <c r="S102" s="3">
        <f>S101*(1+(_xlfn.XLOOKUP(S$1,'[1]Table 2'!$H$55:$L$55,'[1]Table 2'!$H$56:$L$56)))</f>
        <v>2.5237820889708638</v>
      </c>
      <c r="T102" s="3">
        <f>T101*(1+(_xlfn.XLOOKUP(T$1,'[1]Table 2'!$H$55:$L$55,'[1]Table 2'!$H$56:$L$56)))</f>
        <v>83.135485593169051</v>
      </c>
      <c r="U102" s="3">
        <f>U101*(1+(_xlfn.XLOOKUP(U$1,'[1]Table 2'!$H$55:$L$55,'[1]Table 2'!$H$56:$L$56)))</f>
        <v>2.5237820889708638</v>
      </c>
      <c r="V102" s="3">
        <f>V101*(1+(_xlfn.XLOOKUP(V$1,'[1]Table 2'!$H$55:$L$55,'[1]Table 2'!$H$56:$L$56)))</f>
        <v>29.554420322458345</v>
      </c>
      <c r="W102" s="3">
        <f>W101*(1+(_xlfn.XLOOKUP(W$1,'[1]Table 2'!$H$55:$L$55,'[1]Table 2'!$H$56:$L$56)))</f>
        <v>4.0155775525406758</v>
      </c>
      <c r="X102" s="3">
        <f>X101*(1+(_xlfn.XLOOKUP(X$1,'[1]Table 2'!$H$55:$L$55,'[1]Table 2'!$H$56:$L$56)))</f>
        <v>13.432386567241773</v>
      </c>
      <c r="Y102" s="3">
        <f>Y101*(1+(_xlfn.XLOOKUP(Y$1,'[1]Table 2'!$H$55:$L$55,'[1]Table 2'!$H$56:$L$56)))</f>
        <v>4.0155775525406758</v>
      </c>
      <c r="Z102" s="3">
        <f>Z101*(1+(_xlfn.XLOOKUP(Z$1,'[1]Table 2'!$H$55:$L$55,'[1]Table 2'!$H$56:$L$56)))</f>
        <v>2.5237820889708638</v>
      </c>
      <c r="AA102" s="3">
        <f>AA101*(1+(_xlfn.XLOOKUP(AA$1,'[1]Table 2'!$H$55:$L$55,'[1]Table 2'!$H$56:$L$56)))</f>
        <v>4.0155775525406758</v>
      </c>
    </row>
    <row r="103" spans="1:27" x14ac:dyDescent="0.2">
      <c r="A103" s="1">
        <v>2071</v>
      </c>
      <c r="B103" s="3">
        <f>B102*(1+(_xlfn.XLOOKUP(B$1,'[1]Table 2'!$H$55:$L$55,'[1]Table 2'!$H$56:$L$56)))</f>
        <v>13.535880052143263</v>
      </c>
      <c r="C103" s="3">
        <f>C102*(1+(_xlfn.XLOOKUP(C$1,'[1]Table 2'!$H$55:$L$55,'[1]Table 2'!$H$56:$L$56)))</f>
        <v>13.535880052143263</v>
      </c>
      <c r="D103" s="3">
        <f>D102*(1+(_xlfn.XLOOKUP(D$1,'[1]Table 2'!$H$55:$L$55,'[1]Table 2'!$H$56:$L$56)))</f>
        <v>13.535880052143263</v>
      </c>
      <c r="E103" s="3">
        <f>E102*(1+(_xlfn.XLOOKUP(E$1,'[1]Table 2'!$H$55:$L$55,'[1]Table 2'!$H$56:$L$56)))</f>
        <v>29.821455216155844</v>
      </c>
      <c r="F103" s="3">
        <f>F102*(1+(_xlfn.XLOOKUP(F$1,'[1]Table 2'!$H$55:$L$55,'[1]Table 2'!$H$56:$L$56)))</f>
        <v>4.0171086908885751</v>
      </c>
      <c r="G103" s="3">
        <f>G102*(1+(_xlfn.XLOOKUP(G$1,'[1]Table 2'!$H$55:$L$55,'[1]Table 2'!$H$56:$L$56)))</f>
        <v>29.821455216155844</v>
      </c>
      <c r="H103" s="3">
        <f>H102*(1+(_xlfn.XLOOKUP(H$1,'[1]Table 2'!$H$55:$L$55,'[1]Table 2'!$H$56:$L$56)))</f>
        <v>2.5222309828087877</v>
      </c>
      <c r="I103" s="3">
        <f>I102*(1+(_xlfn.XLOOKUP(I$1,'[1]Table 2'!$H$55:$L$55,'[1]Table 2'!$H$56:$L$56)))</f>
        <v>29.821455216155844</v>
      </c>
      <c r="J103" s="3">
        <f>J102*(1+(_xlfn.XLOOKUP(J$1,'[1]Table 2'!$H$55:$L$55,'[1]Table 2'!$H$56:$L$56)))</f>
        <v>29.821455216155844</v>
      </c>
      <c r="K103" s="3">
        <f>K102*(1+(_xlfn.XLOOKUP(K$1,'[1]Table 2'!$H$55:$L$55,'[1]Table 2'!$H$56:$L$56)))</f>
        <v>29.821455216155844</v>
      </c>
      <c r="L103" s="3">
        <f>L102*(1+(_xlfn.XLOOKUP(L$1,'[1]Table 2'!$H$55:$L$55,'[1]Table 2'!$H$56:$L$56)))</f>
        <v>29.821455216155844</v>
      </c>
      <c r="M103" s="3">
        <f>M102*(1+(_xlfn.XLOOKUP(M$1,'[1]Table 2'!$H$55:$L$55,'[1]Table 2'!$H$56:$L$56)))</f>
        <v>13.535880052143263</v>
      </c>
      <c r="N103" s="3">
        <f>N102*(1+(_xlfn.XLOOKUP(N$1,'[1]Table 2'!$H$55:$L$55,'[1]Table 2'!$H$56:$L$56)))</f>
        <v>29.821455216155844</v>
      </c>
      <c r="O103" s="3">
        <f>O102*(1+(_xlfn.XLOOKUP(O$1,'[1]Table 2'!$H$55:$L$55,'[1]Table 2'!$H$56:$L$56)))</f>
        <v>2.5222309828087877</v>
      </c>
      <c r="P103" s="3">
        <f>P102*(1+(_xlfn.XLOOKUP(P$1,'[1]Table 2'!$H$55:$L$55,'[1]Table 2'!$H$56:$L$56)))</f>
        <v>29.821455216155844</v>
      </c>
      <c r="Q103" s="3">
        <f>Q102*(1+(_xlfn.XLOOKUP(Q$1,'[1]Table 2'!$H$55:$L$55,'[1]Table 2'!$H$56:$L$56)))</f>
        <v>13.535880052143263</v>
      </c>
      <c r="R103" s="3">
        <f>R102*(1+(_xlfn.XLOOKUP(R$1,'[1]Table 2'!$H$55:$L$55,'[1]Table 2'!$H$56:$L$56)))</f>
        <v>29.821455216155844</v>
      </c>
      <c r="S103" s="3">
        <f>S102*(1+(_xlfn.XLOOKUP(S$1,'[1]Table 2'!$H$55:$L$55,'[1]Table 2'!$H$56:$L$56)))</f>
        <v>2.5222309828087877</v>
      </c>
      <c r="T103" s="3">
        <f>T102*(1+(_xlfn.XLOOKUP(T$1,'[1]Table 2'!$H$55:$L$55,'[1]Table 2'!$H$56:$L$56)))</f>
        <v>84.791549369855716</v>
      </c>
      <c r="U103" s="3">
        <f>U102*(1+(_xlfn.XLOOKUP(U$1,'[1]Table 2'!$H$55:$L$55,'[1]Table 2'!$H$56:$L$56)))</f>
        <v>2.5222309828087877</v>
      </c>
      <c r="V103" s="3">
        <f>V102*(1+(_xlfn.XLOOKUP(V$1,'[1]Table 2'!$H$55:$L$55,'[1]Table 2'!$H$56:$L$56)))</f>
        <v>29.821455216155844</v>
      </c>
      <c r="W103" s="3">
        <f>W102*(1+(_xlfn.XLOOKUP(W$1,'[1]Table 2'!$H$55:$L$55,'[1]Table 2'!$H$56:$L$56)))</f>
        <v>4.0171086908885751</v>
      </c>
      <c r="X103" s="3">
        <f>X102*(1+(_xlfn.XLOOKUP(X$1,'[1]Table 2'!$H$55:$L$55,'[1]Table 2'!$H$56:$L$56)))</f>
        <v>13.535880052143263</v>
      </c>
      <c r="Y103" s="3">
        <f>Y102*(1+(_xlfn.XLOOKUP(Y$1,'[1]Table 2'!$H$55:$L$55,'[1]Table 2'!$H$56:$L$56)))</f>
        <v>4.0171086908885751</v>
      </c>
      <c r="Z103" s="3">
        <f>Z102*(1+(_xlfn.XLOOKUP(Z$1,'[1]Table 2'!$H$55:$L$55,'[1]Table 2'!$H$56:$L$56)))</f>
        <v>2.5222309828087877</v>
      </c>
      <c r="AA103" s="3">
        <f>AA102*(1+(_xlfn.XLOOKUP(AA$1,'[1]Table 2'!$H$55:$L$55,'[1]Table 2'!$H$56:$L$56)))</f>
        <v>4.0171086908885751</v>
      </c>
    </row>
    <row r="104" spans="1:27" x14ac:dyDescent="0.2">
      <c r="A104" s="1">
        <v>2072</v>
      </c>
      <c r="B104" s="3">
        <f>B103*(1+(_xlfn.XLOOKUP(B$1,'[1]Table 2'!$H$55:$L$55,'[1]Table 2'!$H$56:$L$56)))</f>
        <v>13.640170930818632</v>
      </c>
      <c r="C104" s="3">
        <f>C103*(1+(_xlfn.XLOOKUP(C$1,'[1]Table 2'!$H$55:$L$55,'[1]Table 2'!$H$56:$L$56)))</f>
        <v>13.640170930818632</v>
      </c>
      <c r="D104" s="3">
        <f>D103*(1+(_xlfn.XLOOKUP(D$1,'[1]Table 2'!$H$55:$L$55,'[1]Table 2'!$H$56:$L$56)))</f>
        <v>13.640170930818632</v>
      </c>
      <c r="E104" s="3">
        <f>E103*(1+(_xlfn.XLOOKUP(E$1,'[1]Table 2'!$H$55:$L$55,'[1]Table 2'!$H$56:$L$56)))</f>
        <v>30.090902866851245</v>
      </c>
      <c r="F104" s="3">
        <f>F103*(1+(_xlfn.XLOOKUP(F$1,'[1]Table 2'!$H$55:$L$55,'[1]Table 2'!$H$56:$L$56)))</f>
        <v>4.0186404130590025</v>
      </c>
      <c r="G104" s="3">
        <f>G103*(1+(_xlfn.XLOOKUP(G$1,'[1]Table 2'!$H$55:$L$55,'[1]Table 2'!$H$56:$L$56)))</f>
        <v>30.090902866851245</v>
      </c>
      <c r="H104" s="3">
        <f>H103*(1+(_xlfn.XLOOKUP(H$1,'[1]Table 2'!$H$55:$L$55,'[1]Table 2'!$H$56:$L$56)))</f>
        <v>2.5206808299502224</v>
      </c>
      <c r="I104" s="3">
        <f>I103*(1+(_xlfn.XLOOKUP(I$1,'[1]Table 2'!$H$55:$L$55,'[1]Table 2'!$H$56:$L$56)))</f>
        <v>30.090902866851245</v>
      </c>
      <c r="J104" s="3">
        <f>J103*(1+(_xlfn.XLOOKUP(J$1,'[1]Table 2'!$H$55:$L$55,'[1]Table 2'!$H$56:$L$56)))</f>
        <v>30.090902866851245</v>
      </c>
      <c r="K104" s="3">
        <f>K103*(1+(_xlfn.XLOOKUP(K$1,'[1]Table 2'!$H$55:$L$55,'[1]Table 2'!$H$56:$L$56)))</f>
        <v>30.090902866851245</v>
      </c>
      <c r="L104" s="3">
        <f>L103*(1+(_xlfn.XLOOKUP(L$1,'[1]Table 2'!$H$55:$L$55,'[1]Table 2'!$H$56:$L$56)))</f>
        <v>30.090902866851245</v>
      </c>
      <c r="M104" s="3">
        <f>M103*(1+(_xlfn.XLOOKUP(M$1,'[1]Table 2'!$H$55:$L$55,'[1]Table 2'!$H$56:$L$56)))</f>
        <v>13.640170930818632</v>
      </c>
      <c r="N104" s="3">
        <f>N103*(1+(_xlfn.XLOOKUP(N$1,'[1]Table 2'!$H$55:$L$55,'[1]Table 2'!$H$56:$L$56)))</f>
        <v>30.090902866851245</v>
      </c>
      <c r="O104" s="3">
        <f>O103*(1+(_xlfn.XLOOKUP(O$1,'[1]Table 2'!$H$55:$L$55,'[1]Table 2'!$H$56:$L$56)))</f>
        <v>2.5206808299502224</v>
      </c>
      <c r="P104" s="3">
        <f>P103*(1+(_xlfn.XLOOKUP(P$1,'[1]Table 2'!$H$55:$L$55,'[1]Table 2'!$H$56:$L$56)))</f>
        <v>30.090902866851245</v>
      </c>
      <c r="Q104" s="3">
        <f>Q103*(1+(_xlfn.XLOOKUP(Q$1,'[1]Table 2'!$H$55:$L$55,'[1]Table 2'!$H$56:$L$56)))</f>
        <v>13.640170930818632</v>
      </c>
      <c r="R104" s="3">
        <f>R103*(1+(_xlfn.XLOOKUP(R$1,'[1]Table 2'!$H$55:$L$55,'[1]Table 2'!$H$56:$L$56)))</f>
        <v>30.090902866851245</v>
      </c>
      <c r="S104" s="3">
        <f>S103*(1+(_xlfn.XLOOKUP(S$1,'[1]Table 2'!$H$55:$L$55,'[1]Table 2'!$H$56:$L$56)))</f>
        <v>2.5206808299502224</v>
      </c>
      <c r="T104" s="3">
        <f>T103*(1+(_xlfn.XLOOKUP(T$1,'[1]Table 2'!$H$55:$L$55,'[1]Table 2'!$H$56:$L$56)))</f>
        <v>86.480602034655391</v>
      </c>
      <c r="U104" s="3">
        <f>U103*(1+(_xlfn.XLOOKUP(U$1,'[1]Table 2'!$H$55:$L$55,'[1]Table 2'!$H$56:$L$56)))</f>
        <v>2.5206808299502224</v>
      </c>
      <c r="V104" s="3">
        <f>V103*(1+(_xlfn.XLOOKUP(V$1,'[1]Table 2'!$H$55:$L$55,'[1]Table 2'!$H$56:$L$56)))</f>
        <v>30.090902866851245</v>
      </c>
      <c r="W104" s="3">
        <f>W103*(1+(_xlfn.XLOOKUP(W$1,'[1]Table 2'!$H$55:$L$55,'[1]Table 2'!$H$56:$L$56)))</f>
        <v>4.0186404130590025</v>
      </c>
      <c r="X104" s="3">
        <f>X103*(1+(_xlfn.XLOOKUP(X$1,'[1]Table 2'!$H$55:$L$55,'[1]Table 2'!$H$56:$L$56)))</f>
        <v>13.640170930818632</v>
      </c>
      <c r="Y104" s="3">
        <f>Y103*(1+(_xlfn.XLOOKUP(Y$1,'[1]Table 2'!$H$55:$L$55,'[1]Table 2'!$H$56:$L$56)))</f>
        <v>4.0186404130590025</v>
      </c>
      <c r="Z104" s="3">
        <f>Z103*(1+(_xlfn.XLOOKUP(Z$1,'[1]Table 2'!$H$55:$L$55,'[1]Table 2'!$H$56:$L$56)))</f>
        <v>2.5206808299502224</v>
      </c>
      <c r="AA104" s="3">
        <f>AA103*(1+(_xlfn.XLOOKUP(AA$1,'[1]Table 2'!$H$55:$L$55,'[1]Table 2'!$H$56:$L$56)))</f>
        <v>4.0186404130590025</v>
      </c>
    </row>
    <row r="105" spans="1:27" x14ac:dyDescent="0.2">
      <c r="A105" s="1">
        <v>2073</v>
      </c>
      <c r="B105" s="3">
        <f>B104*(1+(_xlfn.XLOOKUP(B$1,'[1]Table 2'!$H$55:$L$55,'[1]Table 2'!$H$56:$L$56)))</f>
        <v>13.745265347005637</v>
      </c>
      <c r="C105" s="3">
        <f>C104*(1+(_xlfn.XLOOKUP(C$1,'[1]Table 2'!$H$55:$L$55,'[1]Table 2'!$H$56:$L$56)))</f>
        <v>13.745265347005637</v>
      </c>
      <c r="D105" s="3">
        <f>D104*(1+(_xlfn.XLOOKUP(D$1,'[1]Table 2'!$H$55:$L$55,'[1]Table 2'!$H$56:$L$56)))</f>
        <v>13.745265347005637</v>
      </c>
      <c r="E105" s="3">
        <f>E104*(1+(_xlfn.XLOOKUP(E$1,'[1]Table 2'!$H$55:$L$55,'[1]Table 2'!$H$56:$L$56)))</f>
        <v>30.362785074678047</v>
      </c>
      <c r="F105" s="3">
        <f>F104*(1+(_xlfn.XLOOKUP(F$1,'[1]Table 2'!$H$55:$L$55,'[1]Table 2'!$H$56:$L$56)))</f>
        <v>4.0201727192745702</v>
      </c>
      <c r="G105" s="3">
        <f>G104*(1+(_xlfn.XLOOKUP(G$1,'[1]Table 2'!$H$55:$L$55,'[1]Table 2'!$H$56:$L$56)))</f>
        <v>30.362785074678047</v>
      </c>
      <c r="H105" s="3">
        <f>H104*(1+(_xlfn.XLOOKUP(H$1,'[1]Table 2'!$H$55:$L$55,'[1]Table 2'!$H$56:$L$56)))</f>
        <v>2.5191316298092716</v>
      </c>
      <c r="I105" s="3">
        <f>I104*(1+(_xlfn.XLOOKUP(I$1,'[1]Table 2'!$H$55:$L$55,'[1]Table 2'!$H$56:$L$56)))</f>
        <v>30.362785074678047</v>
      </c>
      <c r="J105" s="3">
        <f>J104*(1+(_xlfn.XLOOKUP(J$1,'[1]Table 2'!$H$55:$L$55,'[1]Table 2'!$H$56:$L$56)))</f>
        <v>30.362785074678047</v>
      </c>
      <c r="K105" s="3">
        <f>K104*(1+(_xlfn.XLOOKUP(K$1,'[1]Table 2'!$H$55:$L$55,'[1]Table 2'!$H$56:$L$56)))</f>
        <v>30.362785074678047</v>
      </c>
      <c r="L105" s="3">
        <f>L104*(1+(_xlfn.XLOOKUP(L$1,'[1]Table 2'!$H$55:$L$55,'[1]Table 2'!$H$56:$L$56)))</f>
        <v>30.362785074678047</v>
      </c>
      <c r="M105" s="3">
        <f>M104*(1+(_xlfn.XLOOKUP(M$1,'[1]Table 2'!$H$55:$L$55,'[1]Table 2'!$H$56:$L$56)))</f>
        <v>13.745265347005637</v>
      </c>
      <c r="N105" s="3">
        <f>N104*(1+(_xlfn.XLOOKUP(N$1,'[1]Table 2'!$H$55:$L$55,'[1]Table 2'!$H$56:$L$56)))</f>
        <v>30.362785074678047</v>
      </c>
      <c r="O105" s="3">
        <f>O104*(1+(_xlfn.XLOOKUP(O$1,'[1]Table 2'!$H$55:$L$55,'[1]Table 2'!$H$56:$L$56)))</f>
        <v>2.5191316298092716</v>
      </c>
      <c r="P105" s="3">
        <f>P104*(1+(_xlfn.XLOOKUP(P$1,'[1]Table 2'!$H$55:$L$55,'[1]Table 2'!$H$56:$L$56)))</f>
        <v>30.362785074678047</v>
      </c>
      <c r="Q105" s="3">
        <f>Q104*(1+(_xlfn.XLOOKUP(Q$1,'[1]Table 2'!$H$55:$L$55,'[1]Table 2'!$H$56:$L$56)))</f>
        <v>13.745265347005637</v>
      </c>
      <c r="R105" s="3">
        <f>R104*(1+(_xlfn.XLOOKUP(R$1,'[1]Table 2'!$H$55:$L$55,'[1]Table 2'!$H$56:$L$56)))</f>
        <v>30.362785074678047</v>
      </c>
      <c r="S105" s="3">
        <f>S104*(1+(_xlfn.XLOOKUP(S$1,'[1]Table 2'!$H$55:$L$55,'[1]Table 2'!$H$56:$L$56)))</f>
        <v>2.5191316298092716</v>
      </c>
      <c r="T105" s="3">
        <f>T104*(1+(_xlfn.XLOOKUP(T$1,'[1]Table 2'!$H$55:$L$55,'[1]Table 2'!$H$56:$L$56)))</f>
        <v>88.203300728165104</v>
      </c>
      <c r="U105" s="3">
        <f>U104*(1+(_xlfn.XLOOKUP(U$1,'[1]Table 2'!$H$55:$L$55,'[1]Table 2'!$H$56:$L$56)))</f>
        <v>2.5191316298092716</v>
      </c>
      <c r="V105" s="3">
        <f>V104*(1+(_xlfn.XLOOKUP(V$1,'[1]Table 2'!$H$55:$L$55,'[1]Table 2'!$H$56:$L$56)))</f>
        <v>30.362785074678047</v>
      </c>
      <c r="W105" s="3">
        <f>W104*(1+(_xlfn.XLOOKUP(W$1,'[1]Table 2'!$H$55:$L$55,'[1]Table 2'!$H$56:$L$56)))</f>
        <v>4.0201727192745702</v>
      </c>
      <c r="X105" s="3">
        <f>X104*(1+(_xlfn.XLOOKUP(X$1,'[1]Table 2'!$H$55:$L$55,'[1]Table 2'!$H$56:$L$56)))</f>
        <v>13.745265347005637</v>
      </c>
      <c r="Y105" s="3">
        <f>Y104*(1+(_xlfn.XLOOKUP(Y$1,'[1]Table 2'!$H$55:$L$55,'[1]Table 2'!$H$56:$L$56)))</f>
        <v>4.0201727192745702</v>
      </c>
      <c r="Z105" s="3">
        <f>Z104*(1+(_xlfn.XLOOKUP(Z$1,'[1]Table 2'!$H$55:$L$55,'[1]Table 2'!$H$56:$L$56)))</f>
        <v>2.5191316298092716</v>
      </c>
      <c r="AA105" s="3">
        <f>AA104*(1+(_xlfn.XLOOKUP(AA$1,'[1]Table 2'!$H$55:$L$55,'[1]Table 2'!$H$56:$L$56)))</f>
        <v>4.0201727192745702</v>
      </c>
    </row>
    <row r="106" spans="1:27" x14ac:dyDescent="0.2">
      <c r="A106" s="1">
        <v>2074</v>
      </c>
      <c r="B106" s="3">
        <f>B105*(1+(_xlfn.XLOOKUP(B$1,'[1]Table 2'!$H$55:$L$55,'[1]Table 2'!$H$56:$L$56)))</f>
        <v>13.851169491778132</v>
      </c>
      <c r="C106" s="3">
        <f>C105*(1+(_xlfn.XLOOKUP(C$1,'[1]Table 2'!$H$55:$L$55,'[1]Table 2'!$H$56:$L$56)))</f>
        <v>13.851169491778132</v>
      </c>
      <c r="D106" s="3">
        <f>D105*(1+(_xlfn.XLOOKUP(D$1,'[1]Table 2'!$H$55:$L$55,'[1]Table 2'!$H$56:$L$56)))</f>
        <v>13.851169491778132</v>
      </c>
      <c r="E106" s="3">
        <f>E105*(1+(_xlfn.XLOOKUP(E$1,'[1]Table 2'!$H$55:$L$55,'[1]Table 2'!$H$56:$L$56)))</f>
        <v>30.637123836741853</v>
      </c>
      <c r="F106" s="3">
        <f>F105*(1+(_xlfn.XLOOKUP(F$1,'[1]Table 2'!$H$55:$L$55,'[1]Table 2'!$H$56:$L$56)))</f>
        <v>4.0217056097579738</v>
      </c>
      <c r="G106" s="3">
        <f>G105*(1+(_xlfn.XLOOKUP(G$1,'[1]Table 2'!$H$55:$L$55,'[1]Table 2'!$H$56:$L$56)))</f>
        <v>30.637123836741853</v>
      </c>
      <c r="H106" s="3">
        <f>H105*(1+(_xlfn.XLOOKUP(H$1,'[1]Table 2'!$H$55:$L$55,'[1]Table 2'!$H$56:$L$56)))</f>
        <v>2.5175833818003985</v>
      </c>
      <c r="I106" s="3">
        <f>I105*(1+(_xlfn.XLOOKUP(I$1,'[1]Table 2'!$H$55:$L$55,'[1]Table 2'!$H$56:$L$56)))</f>
        <v>30.637123836741853</v>
      </c>
      <c r="J106" s="3">
        <f>J105*(1+(_xlfn.XLOOKUP(J$1,'[1]Table 2'!$H$55:$L$55,'[1]Table 2'!$H$56:$L$56)))</f>
        <v>30.637123836741853</v>
      </c>
      <c r="K106" s="3">
        <f>K105*(1+(_xlfn.XLOOKUP(K$1,'[1]Table 2'!$H$55:$L$55,'[1]Table 2'!$H$56:$L$56)))</f>
        <v>30.637123836741853</v>
      </c>
      <c r="L106" s="3">
        <f>L105*(1+(_xlfn.XLOOKUP(L$1,'[1]Table 2'!$H$55:$L$55,'[1]Table 2'!$H$56:$L$56)))</f>
        <v>30.637123836741853</v>
      </c>
      <c r="M106" s="3">
        <f>M105*(1+(_xlfn.XLOOKUP(M$1,'[1]Table 2'!$H$55:$L$55,'[1]Table 2'!$H$56:$L$56)))</f>
        <v>13.851169491778132</v>
      </c>
      <c r="N106" s="3">
        <f>N105*(1+(_xlfn.XLOOKUP(N$1,'[1]Table 2'!$H$55:$L$55,'[1]Table 2'!$H$56:$L$56)))</f>
        <v>30.637123836741853</v>
      </c>
      <c r="O106" s="3">
        <f>O105*(1+(_xlfn.XLOOKUP(O$1,'[1]Table 2'!$H$55:$L$55,'[1]Table 2'!$H$56:$L$56)))</f>
        <v>2.5175833818003985</v>
      </c>
      <c r="P106" s="3">
        <f>P105*(1+(_xlfn.XLOOKUP(P$1,'[1]Table 2'!$H$55:$L$55,'[1]Table 2'!$H$56:$L$56)))</f>
        <v>30.637123836741853</v>
      </c>
      <c r="Q106" s="3">
        <f>Q105*(1+(_xlfn.XLOOKUP(Q$1,'[1]Table 2'!$H$55:$L$55,'[1]Table 2'!$H$56:$L$56)))</f>
        <v>13.851169491778132</v>
      </c>
      <c r="R106" s="3">
        <f>R105*(1+(_xlfn.XLOOKUP(R$1,'[1]Table 2'!$H$55:$L$55,'[1]Table 2'!$H$56:$L$56)))</f>
        <v>30.637123836741853</v>
      </c>
      <c r="S106" s="3">
        <f>S105*(1+(_xlfn.XLOOKUP(S$1,'[1]Table 2'!$H$55:$L$55,'[1]Table 2'!$H$56:$L$56)))</f>
        <v>2.5175833818003985</v>
      </c>
      <c r="T106" s="3">
        <f>T105*(1+(_xlfn.XLOOKUP(T$1,'[1]Table 2'!$H$55:$L$55,'[1]Table 2'!$H$56:$L$56)))</f>
        <v>89.960315681261349</v>
      </c>
      <c r="U106" s="3">
        <f>U105*(1+(_xlfn.XLOOKUP(U$1,'[1]Table 2'!$H$55:$L$55,'[1]Table 2'!$H$56:$L$56)))</f>
        <v>2.5175833818003985</v>
      </c>
      <c r="V106" s="3">
        <f>V105*(1+(_xlfn.XLOOKUP(V$1,'[1]Table 2'!$H$55:$L$55,'[1]Table 2'!$H$56:$L$56)))</f>
        <v>30.637123836741853</v>
      </c>
      <c r="W106" s="3">
        <f>W105*(1+(_xlfn.XLOOKUP(W$1,'[1]Table 2'!$H$55:$L$55,'[1]Table 2'!$H$56:$L$56)))</f>
        <v>4.0217056097579738</v>
      </c>
      <c r="X106" s="3">
        <f>X105*(1+(_xlfn.XLOOKUP(X$1,'[1]Table 2'!$H$55:$L$55,'[1]Table 2'!$H$56:$L$56)))</f>
        <v>13.851169491778132</v>
      </c>
      <c r="Y106" s="3">
        <f>Y105*(1+(_xlfn.XLOOKUP(Y$1,'[1]Table 2'!$H$55:$L$55,'[1]Table 2'!$H$56:$L$56)))</f>
        <v>4.0217056097579738</v>
      </c>
      <c r="Z106" s="3">
        <f>Z105*(1+(_xlfn.XLOOKUP(Z$1,'[1]Table 2'!$H$55:$L$55,'[1]Table 2'!$H$56:$L$56)))</f>
        <v>2.5175833818003985</v>
      </c>
      <c r="AA106" s="3">
        <f>AA105*(1+(_xlfn.XLOOKUP(AA$1,'[1]Table 2'!$H$55:$L$55,'[1]Table 2'!$H$56:$L$56)))</f>
        <v>4.0217056097579738</v>
      </c>
    </row>
    <row r="107" spans="1:27" x14ac:dyDescent="0.2">
      <c r="A107" s="1">
        <v>2075</v>
      </c>
      <c r="B107" s="3">
        <f>B106*(1+(_xlfn.XLOOKUP(B$1,'[1]Table 2'!$H$55:$L$55,'[1]Table 2'!$H$56:$L$56)))</f>
        <v>13.957889603910795</v>
      </c>
      <c r="C107" s="3">
        <f>C106*(1+(_xlfn.XLOOKUP(C$1,'[1]Table 2'!$H$55:$L$55,'[1]Table 2'!$H$56:$L$56)))</f>
        <v>13.957889603910795</v>
      </c>
      <c r="D107" s="3">
        <f>D106*(1+(_xlfn.XLOOKUP(D$1,'[1]Table 2'!$H$55:$L$55,'[1]Table 2'!$H$56:$L$56)))</f>
        <v>13.957889603910795</v>
      </c>
      <c r="E107" s="3">
        <f>E106*(1+(_xlfn.XLOOKUP(E$1,'[1]Table 2'!$H$55:$L$55,'[1]Table 2'!$H$56:$L$56)))</f>
        <v>30.913941348900078</v>
      </c>
      <c r="F107" s="3">
        <f>F106*(1+(_xlfn.XLOOKUP(F$1,'[1]Table 2'!$H$55:$L$55,'[1]Table 2'!$H$56:$L$56)))</f>
        <v>4.023239084731995</v>
      </c>
      <c r="G107" s="3">
        <f>G106*(1+(_xlfn.XLOOKUP(G$1,'[1]Table 2'!$H$55:$L$55,'[1]Table 2'!$H$56:$L$56)))</f>
        <v>30.913941348900078</v>
      </c>
      <c r="H107" s="3">
        <f>H106*(1+(_xlfn.XLOOKUP(H$1,'[1]Table 2'!$H$55:$L$55,'[1]Table 2'!$H$56:$L$56)))</f>
        <v>2.5160360853384272</v>
      </c>
      <c r="I107" s="3">
        <f>I106*(1+(_xlfn.XLOOKUP(I$1,'[1]Table 2'!$H$55:$L$55,'[1]Table 2'!$H$56:$L$56)))</f>
        <v>30.913941348900078</v>
      </c>
      <c r="J107" s="3">
        <f>J106*(1+(_xlfn.XLOOKUP(J$1,'[1]Table 2'!$H$55:$L$55,'[1]Table 2'!$H$56:$L$56)))</f>
        <v>30.913941348900078</v>
      </c>
      <c r="K107" s="3">
        <f>K106*(1+(_xlfn.XLOOKUP(K$1,'[1]Table 2'!$H$55:$L$55,'[1]Table 2'!$H$56:$L$56)))</f>
        <v>30.913941348900078</v>
      </c>
      <c r="L107" s="3">
        <f>L106*(1+(_xlfn.XLOOKUP(L$1,'[1]Table 2'!$H$55:$L$55,'[1]Table 2'!$H$56:$L$56)))</f>
        <v>30.913941348900078</v>
      </c>
      <c r="M107" s="3">
        <f>M106*(1+(_xlfn.XLOOKUP(M$1,'[1]Table 2'!$H$55:$L$55,'[1]Table 2'!$H$56:$L$56)))</f>
        <v>13.957889603910795</v>
      </c>
      <c r="N107" s="3">
        <f>N106*(1+(_xlfn.XLOOKUP(N$1,'[1]Table 2'!$H$55:$L$55,'[1]Table 2'!$H$56:$L$56)))</f>
        <v>30.913941348900078</v>
      </c>
      <c r="O107" s="3">
        <f>O106*(1+(_xlfn.XLOOKUP(O$1,'[1]Table 2'!$H$55:$L$55,'[1]Table 2'!$H$56:$L$56)))</f>
        <v>2.5160360853384272</v>
      </c>
      <c r="P107" s="3">
        <f>P106*(1+(_xlfn.XLOOKUP(P$1,'[1]Table 2'!$H$55:$L$55,'[1]Table 2'!$H$56:$L$56)))</f>
        <v>30.913941348900078</v>
      </c>
      <c r="Q107" s="3">
        <f>Q106*(1+(_xlfn.XLOOKUP(Q$1,'[1]Table 2'!$H$55:$L$55,'[1]Table 2'!$H$56:$L$56)))</f>
        <v>13.957889603910795</v>
      </c>
      <c r="R107" s="3">
        <f>R106*(1+(_xlfn.XLOOKUP(R$1,'[1]Table 2'!$H$55:$L$55,'[1]Table 2'!$H$56:$L$56)))</f>
        <v>30.913941348900078</v>
      </c>
      <c r="S107" s="3">
        <f>S106*(1+(_xlfn.XLOOKUP(S$1,'[1]Table 2'!$H$55:$L$55,'[1]Table 2'!$H$56:$L$56)))</f>
        <v>2.5160360853384272</v>
      </c>
      <c r="T107" s="3">
        <f>T106*(1+(_xlfn.XLOOKUP(T$1,'[1]Table 2'!$H$55:$L$55,'[1]Table 2'!$H$56:$L$56)))</f>
        <v>91.752330475859196</v>
      </c>
      <c r="U107" s="3">
        <f>U106*(1+(_xlfn.XLOOKUP(U$1,'[1]Table 2'!$H$55:$L$55,'[1]Table 2'!$H$56:$L$56)))</f>
        <v>2.5160360853384272</v>
      </c>
      <c r="V107" s="3">
        <f>V106*(1+(_xlfn.XLOOKUP(V$1,'[1]Table 2'!$H$55:$L$55,'[1]Table 2'!$H$56:$L$56)))</f>
        <v>30.913941348900078</v>
      </c>
      <c r="W107" s="3">
        <f>W106*(1+(_xlfn.XLOOKUP(W$1,'[1]Table 2'!$H$55:$L$55,'[1]Table 2'!$H$56:$L$56)))</f>
        <v>4.023239084731995</v>
      </c>
      <c r="X107" s="3">
        <f>X106*(1+(_xlfn.XLOOKUP(X$1,'[1]Table 2'!$H$55:$L$55,'[1]Table 2'!$H$56:$L$56)))</f>
        <v>13.957889603910795</v>
      </c>
      <c r="Y107" s="3">
        <f>Y106*(1+(_xlfn.XLOOKUP(Y$1,'[1]Table 2'!$H$55:$L$55,'[1]Table 2'!$H$56:$L$56)))</f>
        <v>4.023239084731995</v>
      </c>
      <c r="Z107" s="3">
        <f>Z106*(1+(_xlfn.XLOOKUP(Z$1,'[1]Table 2'!$H$55:$L$55,'[1]Table 2'!$H$56:$L$56)))</f>
        <v>2.5160360853384272</v>
      </c>
      <c r="AA107" s="3">
        <f>AA106*(1+(_xlfn.XLOOKUP(AA$1,'[1]Table 2'!$H$55:$L$55,'[1]Table 2'!$H$56:$L$56)))</f>
        <v>4.023239084731995</v>
      </c>
    </row>
    <row r="108" spans="1:27" x14ac:dyDescent="0.2">
      <c r="A108" s="1">
        <v>2076</v>
      </c>
      <c r="B108" s="3">
        <f>B107*(1+(_xlfn.XLOOKUP(B$1,'[1]Table 2'!$H$55:$L$55,'[1]Table 2'!$H$56:$L$56)))</f>
        <v>14.065431970246641</v>
      </c>
      <c r="C108" s="3">
        <f>C107*(1+(_xlfn.XLOOKUP(C$1,'[1]Table 2'!$H$55:$L$55,'[1]Table 2'!$H$56:$L$56)))</f>
        <v>14.065431970246641</v>
      </c>
      <c r="D108" s="3">
        <f>D107*(1+(_xlfn.XLOOKUP(D$1,'[1]Table 2'!$H$55:$L$55,'[1]Table 2'!$H$56:$L$56)))</f>
        <v>14.065431970246641</v>
      </c>
      <c r="E108" s="3">
        <f>E107*(1+(_xlfn.XLOOKUP(E$1,'[1]Table 2'!$H$55:$L$55,'[1]Table 2'!$H$56:$L$56)))</f>
        <v>31.193260007557754</v>
      </c>
      <c r="F108" s="3">
        <f>F107*(1+(_xlfn.XLOOKUP(F$1,'[1]Table 2'!$H$55:$L$55,'[1]Table 2'!$H$56:$L$56)))</f>
        <v>4.0247731444194992</v>
      </c>
      <c r="G108" s="3">
        <f>G107*(1+(_xlfn.XLOOKUP(G$1,'[1]Table 2'!$H$55:$L$55,'[1]Table 2'!$H$56:$L$56)))</f>
        <v>31.193260007557754</v>
      </c>
      <c r="H108" s="3">
        <f>H107*(1+(_xlfn.XLOOKUP(H$1,'[1]Table 2'!$H$55:$L$55,'[1]Table 2'!$H$56:$L$56)))</f>
        <v>2.5144897398385404</v>
      </c>
      <c r="I108" s="3">
        <f>I107*(1+(_xlfn.XLOOKUP(I$1,'[1]Table 2'!$H$55:$L$55,'[1]Table 2'!$H$56:$L$56)))</f>
        <v>31.193260007557754</v>
      </c>
      <c r="J108" s="3">
        <f>J107*(1+(_xlfn.XLOOKUP(J$1,'[1]Table 2'!$H$55:$L$55,'[1]Table 2'!$H$56:$L$56)))</f>
        <v>31.193260007557754</v>
      </c>
      <c r="K108" s="3">
        <f>K107*(1+(_xlfn.XLOOKUP(K$1,'[1]Table 2'!$H$55:$L$55,'[1]Table 2'!$H$56:$L$56)))</f>
        <v>31.193260007557754</v>
      </c>
      <c r="L108" s="3">
        <f>L107*(1+(_xlfn.XLOOKUP(L$1,'[1]Table 2'!$H$55:$L$55,'[1]Table 2'!$H$56:$L$56)))</f>
        <v>31.193260007557754</v>
      </c>
      <c r="M108" s="3">
        <f>M107*(1+(_xlfn.XLOOKUP(M$1,'[1]Table 2'!$H$55:$L$55,'[1]Table 2'!$H$56:$L$56)))</f>
        <v>14.065431970246641</v>
      </c>
      <c r="N108" s="3">
        <f>N107*(1+(_xlfn.XLOOKUP(N$1,'[1]Table 2'!$H$55:$L$55,'[1]Table 2'!$H$56:$L$56)))</f>
        <v>31.193260007557754</v>
      </c>
      <c r="O108" s="3">
        <f>O107*(1+(_xlfn.XLOOKUP(O$1,'[1]Table 2'!$H$55:$L$55,'[1]Table 2'!$H$56:$L$56)))</f>
        <v>2.5144897398385404</v>
      </c>
      <c r="P108" s="3">
        <f>P107*(1+(_xlfn.XLOOKUP(P$1,'[1]Table 2'!$H$55:$L$55,'[1]Table 2'!$H$56:$L$56)))</f>
        <v>31.193260007557754</v>
      </c>
      <c r="Q108" s="3">
        <f>Q107*(1+(_xlfn.XLOOKUP(Q$1,'[1]Table 2'!$H$55:$L$55,'[1]Table 2'!$H$56:$L$56)))</f>
        <v>14.065431970246641</v>
      </c>
      <c r="R108" s="3">
        <f>R107*(1+(_xlfn.XLOOKUP(R$1,'[1]Table 2'!$H$55:$L$55,'[1]Table 2'!$H$56:$L$56)))</f>
        <v>31.193260007557754</v>
      </c>
      <c r="S108" s="3">
        <f>S107*(1+(_xlfn.XLOOKUP(S$1,'[1]Table 2'!$H$55:$L$55,'[1]Table 2'!$H$56:$L$56)))</f>
        <v>2.5144897398385404</v>
      </c>
      <c r="T108" s="3">
        <f>T107*(1+(_xlfn.XLOOKUP(T$1,'[1]Table 2'!$H$55:$L$55,'[1]Table 2'!$H$56:$L$56)))</f>
        <v>93.580042310865778</v>
      </c>
      <c r="U108" s="3">
        <f>U107*(1+(_xlfn.XLOOKUP(U$1,'[1]Table 2'!$H$55:$L$55,'[1]Table 2'!$H$56:$L$56)))</f>
        <v>2.5144897398385404</v>
      </c>
      <c r="V108" s="3">
        <f>V107*(1+(_xlfn.XLOOKUP(V$1,'[1]Table 2'!$H$55:$L$55,'[1]Table 2'!$H$56:$L$56)))</f>
        <v>31.193260007557754</v>
      </c>
      <c r="W108" s="3">
        <f>W107*(1+(_xlfn.XLOOKUP(W$1,'[1]Table 2'!$H$55:$L$55,'[1]Table 2'!$H$56:$L$56)))</f>
        <v>4.0247731444194992</v>
      </c>
      <c r="X108" s="3">
        <f>X107*(1+(_xlfn.XLOOKUP(X$1,'[1]Table 2'!$H$55:$L$55,'[1]Table 2'!$H$56:$L$56)))</f>
        <v>14.065431970246641</v>
      </c>
      <c r="Y108" s="3">
        <f>Y107*(1+(_xlfn.XLOOKUP(Y$1,'[1]Table 2'!$H$55:$L$55,'[1]Table 2'!$H$56:$L$56)))</f>
        <v>4.0247731444194992</v>
      </c>
      <c r="Z108" s="3">
        <f>Z107*(1+(_xlfn.XLOOKUP(Z$1,'[1]Table 2'!$H$55:$L$55,'[1]Table 2'!$H$56:$L$56)))</f>
        <v>2.5144897398385404</v>
      </c>
      <c r="AA108" s="3">
        <f>AA107*(1+(_xlfn.XLOOKUP(AA$1,'[1]Table 2'!$H$55:$L$55,'[1]Table 2'!$H$56:$L$56)))</f>
        <v>4.0247731444194992</v>
      </c>
    </row>
    <row r="109" spans="1:27" x14ac:dyDescent="0.2">
      <c r="A109" s="1">
        <v>2077</v>
      </c>
      <c r="B109" s="3">
        <f>B108*(1+(_xlfn.XLOOKUP(B$1,'[1]Table 2'!$H$55:$L$55,'[1]Table 2'!$H$56:$L$56)))</f>
        <v>14.173802926067379</v>
      </c>
      <c r="C109" s="3">
        <f>C108*(1+(_xlfn.XLOOKUP(C$1,'[1]Table 2'!$H$55:$L$55,'[1]Table 2'!$H$56:$L$56)))</f>
        <v>14.173802926067379</v>
      </c>
      <c r="D109" s="3">
        <f>D108*(1+(_xlfn.XLOOKUP(D$1,'[1]Table 2'!$H$55:$L$55,'[1]Table 2'!$H$56:$L$56)))</f>
        <v>14.173802926067379</v>
      </c>
      <c r="E109" s="3">
        <f>E108*(1+(_xlfn.XLOOKUP(E$1,'[1]Table 2'!$H$55:$L$55,'[1]Table 2'!$H$56:$L$56)))</f>
        <v>31.47510241147954</v>
      </c>
      <c r="F109" s="3">
        <f>F108*(1+(_xlfn.XLOOKUP(F$1,'[1]Table 2'!$H$55:$L$55,'[1]Table 2'!$H$56:$L$56)))</f>
        <v>4.0263077890434378</v>
      </c>
      <c r="G109" s="3">
        <f>G108*(1+(_xlfn.XLOOKUP(G$1,'[1]Table 2'!$H$55:$L$55,'[1]Table 2'!$H$56:$L$56)))</f>
        <v>31.47510241147954</v>
      </c>
      <c r="H109" s="3">
        <f>H108*(1+(_xlfn.XLOOKUP(H$1,'[1]Table 2'!$H$55:$L$55,'[1]Table 2'!$H$56:$L$56)))</f>
        <v>2.5129443447162809</v>
      </c>
      <c r="I109" s="3">
        <f>I108*(1+(_xlfn.XLOOKUP(I$1,'[1]Table 2'!$H$55:$L$55,'[1]Table 2'!$H$56:$L$56)))</f>
        <v>31.47510241147954</v>
      </c>
      <c r="J109" s="3">
        <f>J108*(1+(_xlfn.XLOOKUP(J$1,'[1]Table 2'!$H$55:$L$55,'[1]Table 2'!$H$56:$L$56)))</f>
        <v>31.47510241147954</v>
      </c>
      <c r="K109" s="3">
        <f>K108*(1+(_xlfn.XLOOKUP(K$1,'[1]Table 2'!$H$55:$L$55,'[1]Table 2'!$H$56:$L$56)))</f>
        <v>31.47510241147954</v>
      </c>
      <c r="L109" s="3">
        <f>L108*(1+(_xlfn.XLOOKUP(L$1,'[1]Table 2'!$H$55:$L$55,'[1]Table 2'!$H$56:$L$56)))</f>
        <v>31.47510241147954</v>
      </c>
      <c r="M109" s="3">
        <f>M108*(1+(_xlfn.XLOOKUP(M$1,'[1]Table 2'!$H$55:$L$55,'[1]Table 2'!$H$56:$L$56)))</f>
        <v>14.173802926067379</v>
      </c>
      <c r="N109" s="3">
        <f>N108*(1+(_xlfn.XLOOKUP(N$1,'[1]Table 2'!$H$55:$L$55,'[1]Table 2'!$H$56:$L$56)))</f>
        <v>31.47510241147954</v>
      </c>
      <c r="O109" s="3">
        <f>O108*(1+(_xlfn.XLOOKUP(O$1,'[1]Table 2'!$H$55:$L$55,'[1]Table 2'!$H$56:$L$56)))</f>
        <v>2.5129443447162809</v>
      </c>
      <c r="P109" s="3">
        <f>P108*(1+(_xlfn.XLOOKUP(P$1,'[1]Table 2'!$H$55:$L$55,'[1]Table 2'!$H$56:$L$56)))</f>
        <v>31.47510241147954</v>
      </c>
      <c r="Q109" s="3">
        <f>Q108*(1+(_xlfn.XLOOKUP(Q$1,'[1]Table 2'!$H$55:$L$55,'[1]Table 2'!$H$56:$L$56)))</f>
        <v>14.173802926067379</v>
      </c>
      <c r="R109" s="3">
        <f>R108*(1+(_xlfn.XLOOKUP(R$1,'[1]Table 2'!$H$55:$L$55,'[1]Table 2'!$H$56:$L$56)))</f>
        <v>31.47510241147954</v>
      </c>
      <c r="S109" s="3">
        <f>S108*(1+(_xlfn.XLOOKUP(S$1,'[1]Table 2'!$H$55:$L$55,'[1]Table 2'!$H$56:$L$56)))</f>
        <v>2.5129443447162809</v>
      </c>
      <c r="T109" s="3">
        <f>T108*(1+(_xlfn.XLOOKUP(T$1,'[1]Table 2'!$H$55:$L$55,'[1]Table 2'!$H$56:$L$56)))</f>
        <v>95.444162273431616</v>
      </c>
      <c r="U109" s="3">
        <f>U108*(1+(_xlfn.XLOOKUP(U$1,'[1]Table 2'!$H$55:$L$55,'[1]Table 2'!$H$56:$L$56)))</f>
        <v>2.5129443447162809</v>
      </c>
      <c r="V109" s="3">
        <f>V108*(1+(_xlfn.XLOOKUP(V$1,'[1]Table 2'!$H$55:$L$55,'[1]Table 2'!$H$56:$L$56)))</f>
        <v>31.47510241147954</v>
      </c>
      <c r="W109" s="3">
        <f>W108*(1+(_xlfn.XLOOKUP(W$1,'[1]Table 2'!$H$55:$L$55,'[1]Table 2'!$H$56:$L$56)))</f>
        <v>4.0263077890434378</v>
      </c>
      <c r="X109" s="3">
        <f>X108*(1+(_xlfn.XLOOKUP(X$1,'[1]Table 2'!$H$55:$L$55,'[1]Table 2'!$H$56:$L$56)))</f>
        <v>14.173802926067379</v>
      </c>
      <c r="Y109" s="3">
        <f>Y108*(1+(_xlfn.XLOOKUP(Y$1,'[1]Table 2'!$H$55:$L$55,'[1]Table 2'!$H$56:$L$56)))</f>
        <v>4.0263077890434378</v>
      </c>
      <c r="Z109" s="3">
        <f>Z108*(1+(_xlfn.XLOOKUP(Z$1,'[1]Table 2'!$H$55:$L$55,'[1]Table 2'!$H$56:$L$56)))</f>
        <v>2.5129443447162809</v>
      </c>
      <c r="AA109" s="3">
        <f>AA108*(1+(_xlfn.XLOOKUP(AA$1,'[1]Table 2'!$H$55:$L$55,'[1]Table 2'!$H$56:$L$56)))</f>
        <v>4.0263077890434378</v>
      </c>
    </row>
    <row r="110" spans="1:27" x14ac:dyDescent="0.2">
      <c r="A110" s="1">
        <v>2078</v>
      </c>
      <c r="B110" s="3">
        <f>B109*(1+(_xlfn.XLOOKUP(B$1,'[1]Table 2'!$H$55:$L$55,'[1]Table 2'!$H$56:$L$56)))</f>
        <v>14.28300885546663</v>
      </c>
      <c r="C110" s="3">
        <f>C109*(1+(_xlfn.XLOOKUP(C$1,'[1]Table 2'!$H$55:$L$55,'[1]Table 2'!$H$56:$L$56)))</f>
        <v>14.28300885546663</v>
      </c>
      <c r="D110" s="3">
        <f>D109*(1+(_xlfn.XLOOKUP(D$1,'[1]Table 2'!$H$55:$L$55,'[1]Table 2'!$H$56:$L$56)))</f>
        <v>14.28300885546663</v>
      </c>
      <c r="E110" s="3">
        <f>E109*(1+(_xlfn.XLOOKUP(E$1,'[1]Table 2'!$H$55:$L$55,'[1]Table 2'!$H$56:$L$56)))</f>
        <v>31.759491363618128</v>
      </c>
      <c r="F110" s="3">
        <f>F109*(1+(_xlfn.XLOOKUP(F$1,'[1]Table 2'!$H$55:$L$55,'[1]Table 2'!$H$56:$L$56)))</f>
        <v>4.0278430188268466</v>
      </c>
      <c r="G110" s="3">
        <f>G109*(1+(_xlfn.XLOOKUP(G$1,'[1]Table 2'!$H$55:$L$55,'[1]Table 2'!$H$56:$L$56)))</f>
        <v>31.759491363618128</v>
      </c>
      <c r="H110" s="3">
        <f>H109*(1+(_xlfn.XLOOKUP(H$1,'[1]Table 2'!$H$55:$L$55,'[1]Table 2'!$H$56:$L$56)))</f>
        <v>2.5113998993875506</v>
      </c>
      <c r="I110" s="3">
        <f>I109*(1+(_xlfn.XLOOKUP(I$1,'[1]Table 2'!$H$55:$L$55,'[1]Table 2'!$H$56:$L$56)))</f>
        <v>31.759491363618128</v>
      </c>
      <c r="J110" s="3">
        <f>J109*(1+(_xlfn.XLOOKUP(J$1,'[1]Table 2'!$H$55:$L$55,'[1]Table 2'!$H$56:$L$56)))</f>
        <v>31.759491363618128</v>
      </c>
      <c r="K110" s="3">
        <f>K109*(1+(_xlfn.XLOOKUP(K$1,'[1]Table 2'!$H$55:$L$55,'[1]Table 2'!$H$56:$L$56)))</f>
        <v>31.759491363618128</v>
      </c>
      <c r="L110" s="3">
        <f>L109*(1+(_xlfn.XLOOKUP(L$1,'[1]Table 2'!$H$55:$L$55,'[1]Table 2'!$H$56:$L$56)))</f>
        <v>31.759491363618128</v>
      </c>
      <c r="M110" s="3">
        <f>M109*(1+(_xlfn.XLOOKUP(M$1,'[1]Table 2'!$H$55:$L$55,'[1]Table 2'!$H$56:$L$56)))</f>
        <v>14.28300885546663</v>
      </c>
      <c r="N110" s="3">
        <f>N109*(1+(_xlfn.XLOOKUP(N$1,'[1]Table 2'!$H$55:$L$55,'[1]Table 2'!$H$56:$L$56)))</f>
        <v>31.759491363618128</v>
      </c>
      <c r="O110" s="3">
        <f>O109*(1+(_xlfn.XLOOKUP(O$1,'[1]Table 2'!$H$55:$L$55,'[1]Table 2'!$H$56:$L$56)))</f>
        <v>2.5113998993875506</v>
      </c>
      <c r="P110" s="3">
        <f>P109*(1+(_xlfn.XLOOKUP(P$1,'[1]Table 2'!$H$55:$L$55,'[1]Table 2'!$H$56:$L$56)))</f>
        <v>31.759491363618128</v>
      </c>
      <c r="Q110" s="3">
        <f>Q109*(1+(_xlfn.XLOOKUP(Q$1,'[1]Table 2'!$H$55:$L$55,'[1]Table 2'!$H$56:$L$56)))</f>
        <v>14.28300885546663</v>
      </c>
      <c r="R110" s="3">
        <f>R109*(1+(_xlfn.XLOOKUP(R$1,'[1]Table 2'!$H$55:$L$55,'[1]Table 2'!$H$56:$L$56)))</f>
        <v>31.759491363618128</v>
      </c>
      <c r="S110" s="3">
        <f>S109*(1+(_xlfn.XLOOKUP(S$1,'[1]Table 2'!$H$55:$L$55,'[1]Table 2'!$H$56:$L$56)))</f>
        <v>2.5113998993875506</v>
      </c>
      <c r="T110" s="3">
        <f>T109*(1+(_xlfn.XLOOKUP(T$1,'[1]Table 2'!$H$55:$L$55,'[1]Table 2'!$H$56:$L$56)))</f>
        <v>97.345415615605177</v>
      </c>
      <c r="U110" s="3">
        <f>U109*(1+(_xlfn.XLOOKUP(U$1,'[1]Table 2'!$H$55:$L$55,'[1]Table 2'!$H$56:$L$56)))</f>
        <v>2.5113998993875506</v>
      </c>
      <c r="V110" s="3">
        <f>V109*(1+(_xlfn.XLOOKUP(V$1,'[1]Table 2'!$H$55:$L$55,'[1]Table 2'!$H$56:$L$56)))</f>
        <v>31.759491363618128</v>
      </c>
      <c r="W110" s="3">
        <f>W109*(1+(_xlfn.XLOOKUP(W$1,'[1]Table 2'!$H$55:$L$55,'[1]Table 2'!$H$56:$L$56)))</f>
        <v>4.0278430188268466</v>
      </c>
      <c r="X110" s="3">
        <f>X109*(1+(_xlfn.XLOOKUP(X$1,'[1]Table 2'!$H$55:$L$55,'[1]Table 2'!$H$56:$L$56)))</f>
        <v>14.28300885546663</v>
      </c>
      <c r="Y110" s="3">
        <f>Y109*(1+(_xlfn.XLOOKUP(Y$1,'[1]Table 2'!$H$55:$L$55,'[1]Table 2'!$H$56:$L$56)))</f>
        <v>4.0278430188268466</v>
      </c>
      <c r="Z110" s="3">
        <f>Z109*(1+(_xlfn.XLOOKUP(Z$1,'[1]Table 2'!$H$55:$L$55,'[1]Table 2'!$H$56:$L$56)))</f>
        <v>2.5113998993875506</v>
      </c>
      <c r="AA110" s="3">
        <f>AA109*(1+(_xlfn.XLOOKUP(AA$1,'[1]Table 2'!$H$55:$L$55,'[1]Table 2'!$H$56:$L$56)))</f>
        <v>4.0278430188268466</v>
      </c>
    </row>
    <row r="111" spans="1:27" x14ac:dyDescent="0.2">
      <c r="A111" s="1">
        <v>2079</v>
      </c>
      <c r="B111" s="3">
        <f>B110*(1+(_xlfn.XLOOKUP(B$1,'[1]Table 2'!$H$55:$L$55,'[1]Table 2'!$H$56:$L$56)))</f>
        <v>14.393056191725998</v>
      </c>
      <c r="C111" s="3">
        <f>C110*(1+(_xlfn.XLOOKUP(C$1,'[1]Table 2'!$H$55:$L$55,'[1]Table 2'!$H$56:$L$56)))</f>
        <v>14.393056191725998</v>
      </c>
      <c r="D111" s="3">
        <f>D110*(1+(_xlfn.XLOOKUP(D$1,'[1]Table 2'!$H$55:$L$55,'[1]Table 2'!$H$56:$L$56)))</f>
        <v>14.393056191725998</v>
      </c>
      <c r="E111" s="3">
        <f>E110*(1+(_xlfn.XLOOKUP(E$1,'[1]Table 2'!$H$55:$L$55,'[1]Table 2'!$H$56:$L$56)))</f>
        <v>32.046449872959137</v>
      </c>
      <c r="F111" s="3">
        <f>F110*(1+(_xlfn.XLOOKUP(F$1,'[1]Table 2'!$H$55:$L$55,'[1]Table 2'!$H$56:$L$56)))</f>
        <v>4.0293788339928476</v>
      </c>
      <c r="G111" s="3">
        <f>G110*(1+(_xlfn.XLOOKUP(G$1,'[1]Table 2'!$H$55:$L$55,'[1]Table 2'!$H$56:$L$56)))</f>
        <v>32.046449872959137</v>
      </c>
      <c r="H111" s="3">
        <f>H110*(1+(_xlfn.XLOOKUP(H$1,'[1]Table 2'!$H$55:$L$55,'[1]Table 2'!$H$56:$L$56)))</f>
        <v>2.5098564032686101</v>
      </c>
      <c r="I111" s="3">
        <f>I110*(1+(_xlfn.XLOOKUP(I$1,'[1]Table 2'!$H$55:$L$55,'[1]Table 2'!$H$56:$L$56)))</f>
        <v>32.046449872959137</v>
      </c>
      <c r="J111" s="3">
        <f>J110*(1+(_xlfn.XLOOKUP(J$1,'[1]Table 2'!$H$55:$L$55,'[1]Table 2'!$H$56:$L$56)))</f>
        <v>32.046449872959137</v>
      </c>
      <c r="K111" s="3">
        <f>K110*(1+(_xlfn.XLOOKUP(K$1,'[1]Table 2'!$H$55:$L$55,'[1]Table 2'!$H$56:$L$56)))</f>
        <v>32.046449872959137</v>
      </c>
      <c r="L111" s="3">
        <f>L110*(1+(_xlfn.XLOOKUP(L$1,'[1]Table 2'!$H$55:$L$55,'[1]Table 2'!$H$56:$L$56)))</f>
        <v>32.046449872959137</v>
      </c>
      <c r="M111" s="3">
        <f>M110*(1+(_xlfn.XLOOKUP(M$1,'[1]Table 2'!$H$55:$L$55,'[1]Table 2'!$H$56:$L$56)))</f>
        <v>14.393056191725998</v>
      </c>
      <c r="N111" s="3">
        <f>N110*(1+(_xlfn.XLOOKUP(N$1,'[1]Table 2'!$H$55:$L$55,'[1]Table 2'!$H$56:$L$56)))</f>
        <v>32.046449872959137</v>
      </c>
      <c r="O111" s="3">
        <f>O110*(1+(_xlfn.XLOOKUP(O$1,'[1]Table 2'!$H$55:$L$55,'[1]Table 2'!$H$56:$L$56)))</f>
        <v>2.5098564032686101</v>
      </c>
      <c r="P111" s="3">
        <f>P110*(1+(_xlfn.XLOOKUP(P$1,'[1]Table 2'!$H$55:$L$55,'[1]Table 2'!$H$56:$L$56)))</f>
        <v>32.046449872959137</v>
      </c>
      <c r="Q111" s="3">
        <f>Q110*(1+(_xlfn.XLOOKUP(Q$1,'[1]Table 2'!$H$55:$L$55,'[1]Table 2'!$H$56:$L$56)))</f>
        <v>14.393056191725998</v>
      </c>
      <c r="R111" s="3">
        <f>R110*(1+(_xlfn.XLOOKUP(R$1,'[1]Table 2'!$H$55:$L$55,'[1]Table 2'!$H$56:$L$56)))</f>
        <v>32.046449872959137</v>
      </c>
      <c r="S111" s="3">
        <f>S110*(1+(_xlfn.XLOOKUP(S$1,'[1]Table 2'!$H$55:$L$55,'[1]Table 2'!$H$56:$L$56)))</f>
        <v>2.5098564032686101</v>
      </c>
      <c r="T111" s="3">
        <f>T110*(1+(_xlfn.XLOOKUP(T$1,'[1]Table 2'!$H$55:$L$55,'[1]Table 2'!$H$56:$L$56)))</f>
        <v>99.284542036498522</v>
      </c>
      <c r="U111" s="3">
        <f>U110*(1+(_xlfn.XLOOKUP(U$1,'[1]Table 2'!$H$55:$L$55,'[1]Table 2'!$H$56:$L$56)))</f>
        <v>2.5098564032686101</v>
      </c>
      <c r="V111" s="3">
        <f>V110*(1+(_xlfn.XLOOKUP(V$1,'[1]Table 2'!$H$55:$L$55,'[1]Table 2'!$H$56:$L$56)))</f>
        <v>32.046449872959137</v>
      </c>
      <c r="W111" s="3">
        <f>W110*(1+(_xlfn.XLOOKUP(W$1,'[1]Table 2'!$H$55:$L$55,'[1]Table 2'!$H$56:$L$56)))</f>
        <v>4.0293788339928476</v>
      </c>
      <c r="X111" s="3">
        <f>X110*(1+(_xlfn.XLOOKUP(X$1,'[1]Table 2'!$H$55:$L$55,'[1]Table 2'!$H$56:$L$56)))</f>
        <v>14.393056191725998</v>
      </c>
      <c r="Y111" s="3">
        <f>Y110*(1+(_xlfn.XLOOKUP(Y$1,'[1]Table 2'!$H$55:$L$55,'[1]Table 2'!$H$56:$L$56)))</f>
        <v>4.0293788339928476</v>
      </c>
      <c r="Z111" s="3">
        <f>Z110*(1+(_xlfn.XLOOKUP(Z$1,'[1]Table 2'!$H$55:$L$55,'[1]Table 2'!$H$56:$L$56)))</f>
        <v>2.5098564032686101</v>
      </c>
      <c r="AA111" s="3">
        <f>AA110*(1+(_xlfn.XLOOKUP(AA$1,'[1]Table 2'!$H$55:$L$55,'[1]Table 2'!$H$56:$L$56)))</f>
        <v>4.0293788339928476</v>
      </c>
    </row>
    <row r="112" spans="1:27" x14ac:dyDescent="0.2">
      <c r="A112" s="1">
        <v>2080</v>
      </c>
      <c r="B112" s="3">
        <f>B111*(1+(_xlfn.XLOOKUP(B$1,'[1]Table 2'!$H$55:$L$55,'[1]Table 2'!$H$56:$L$56)))</f>
        <v>14.503951417694065</v>
      </c>
      <c r="C112" s="3">
        <f>C111*(1+(_xlfn.XLOOKUP(C$1,'[1]Table 2'!$H$55:$L$55,'[1]Table 2'!$H$56:$L$56)))</f>
        <v>14.503951417694065</v>
      </c>
      <c r="D112" s="3">
        <f>D111*(1+(_xlfn.XLOOKUP(D$1,'[1]Table 2'!$H$55:$L$55,'[1]Table 2'!$H$56:$L$56)))</f>
        <v>14.503951417694065</v>
      </c>
      <c r="E112" s="3">
        <f>E111*(1+(_xlfn.XLOOKUP(E$1,'[1]Table 2'!$H$55:$L$55,'[1]Table 2'!$H$56:$L$56)))</f>
        <v>32.336001156382721</v>
      </c>
      <c r="F112" s="3">
        <f>F111*(1+(_xlfn.XLOOKUP(F$1,'[1]Table 2'!$H$55:$L$55,'[1]Table 2'!$H$56:$L$56)))</f>
        <v>4.0309152347646462</v>
      </c>
      <c r="G112" s="3">
        <f>G111*(1+(_xlfn.XLOOKUP(G$1,'[1]Table 2'!$H$55:$L$55,'[1]Table 2'!$H$56:$L$56)))</f>
        <v>32.336001156382721</v>
      </c>
      <c r="H112" s="3">
        <f>H111*(1+(_xlfn.XLOOKUP(H$1,'[1]Table 2'!$H$55:$L$55,'[1]Table 2'!$H$56:$L$56)))</f>
        <v>2.5083138557760791</v>
      </c>
      <c r="I112" s="3">
        <f>I111*(1+(_xlfn.XLOOKUP(I$1,'[1]Table 2'!$H$55:$L$55,'[1]Table 2'!$H$56:$L$56)))</f>
        <v>32.336001156382721</v>
      </c>
      <c r="J112" s="3">
        <f>J111*(1+(_xlfn.XLOOKUP(J$1,'[1]Table 2'!$H$55:$L$55,'[1]Table 2'!$H$56:$L$56)))</f>
        <v>32.336001156382721</v>
      </c>
      <c r="K112" s="3">
        <f>K111*(1+(_xlfn.XLOOKUP(K$1,'[1]Table 2'!$H$55:$L$55,'[1]Table 2'!$H$56:$L$56)))</f>
        <v>32.336001156382721</v>
      </c>
      <c r="L112" s="3">
        <f>L111*(1+(_xlfn.XLOOKUP(L$1,'[1]Table 2'!$H$55:$L$55,'[1]Table 2'!$H$56:$L$56)))</f>
        <v>32.336001156382721</v>
      </c>
      <c r="M112" s="3">
        <f>M111*(1+(_xlfn.XLOOKUP(M$1,'[1]Table 2'!$H$55:$L$55,'[1]Table 2'!$H$56:$L$56)))</f>
        <v>14.503951417694065</v>
      </c>
      <c r="N112" s="3">
        <f>N111*(1+(_xlfn.XLOOKUP(N$1,'[1]Table 2'!$H$55:$L$55,'[1]Table 2'!$H$56:$L$56)))</f>
        <v>32.336001156382721</v>
      </c>
      <c r="O112" s="3">
        <f>O111*(1+(_xlfn.XLOOKUP(O$1,'[1]Table 2'!$H$55:$L$55,'[1]Table 2'!$H$56:$L$56)))</f>
        <v>2.5083138557760791</v>
      </c>
      <c r="P112" s="3">
        <f>P111*(1+(_xlfn.XLOOKUP(P$1,'[1]Table 2'!$H$55:$L$55,'[1]Table 2'!$H$56:$L$56)))</f>
        <v>32.336001156382721</v>
      </c>
      <c r="Q112" s="3">
        <f>Q111*(1+(_xlfn.XLOOKUP(Q$1,'[1]Table 2'!$H$55:$L$55,'[1]Table 2'!$H$56:$L$56)))</f>
        <v>14.503951417694065</v>
      </c>
      <c r="R112" s="3">
        <f>R111*(1+(_xlfn.XLOOKUP(R$1,'[1]Table 2'!$H$55:$L$55,'[1]Table 2'!$H$56:$L$56)))</f>
        <v>32.336001156382721</v>
      </c>
      <c r="S112" s="3">
        <f>S111*(1+(_xlfn.XLOOKUP(S$1,'[1]Table 2'!$H$55:$L$55,'[1]Table 2'!$H$56:$L$56)))</f>
        <v>2.5083138557760791</v>
      </c>
      <c r="T112" s="3">
        <f>T111*(1+(_xlfn.XLOOKUP(T$1,'[1]Table 2'!$H$55:$L$55,'[1]Table 2'!$H$56:$L$56)))</f>
        <v>101.26229597007367</v>
      </c>
      <c r="U112" s="3">
        <f>U111*(1+(_xlfn.XLOOKUP(U$1,'[1]Table 2'!$H$55:$L$55,'[1]Table 2'!$H$56:$L$56)))</f>
        <v>2.5083138557760791</v>
      </c>
      <c r="V112" s="3">
        <f>V111*(1+(_xlfn.XLOOKUP(V$1,'[1]Table 2'!$H$55:$L$55,'[1]Table 2'!$H$56:$L$56)))</f>
        <v>32.336001156382721</v>
      </c>
      <c r="W112" s="3">
        <f>W111*(1+(_xlfn.XLOOKUP(W$1,'[1]Table 2'!$H$55:$L$55,'[1]Table 2'!$H$56:$L$56)))</f>
        <v>4.0309152347646462</v>
      </c>
      <c r="X112" s="3">
        <f>X111*(1+(_xlfn.XLOOKUP(X$1,'[1]Table 2'!$H$55:$L$55,'[1]Table 2'!$H$56:$L$56)))</f>
        <v>14.503951417694065</v>
      </c>
      <c r="Y112" s="3">
        <f>Y111*(1+(_xlfn.XLOOKUP(Y$1,'[1]Table 2'!$H$55:$L$55,'[1]Table 2'!$H$56:$L$56)))</f>
        <v>4.0309152347646462</v>
      </c>
      <c r="Z112" s="3">
        <f>Z111*(1+(_xlfn.XLOOKUP(Z$1,'[1]Table 2'!$H$55:$L$55,'[1]Table 2'!$H$56:$L$56)))</f>
        <v>2.5083138557760791</v>
      </c>
      <c r="AA112" s="3">
        <f>AA111*(1+(_xlfn.XLOOKUP(AA$1,'[1]Table 2'!$H$55:$L$55,'[1]Table 2'!$H$56:$L$56)))</f>
        <v>4.0309152347646462</v>
      </c>
    </row>
    <row r="113" spans="1:27" x14ac:dyDescent="0.2">
      <c r="A113" s="1">
        <v>2081</v>
      </c>
      <c r="B113" s="3">
        <f>B112*(1+(_xlfn.XLOOKUP(B$1,'[1]Table 2'!$H$55:$L$55,'[1]Table 2'!$H$56:$L$56)))</f>
        <v>14.615701066168283</v>
      </c>
      <c r="C113" s="3">
        <f>C112*(1+(_xlfn.XLOOKUP(C$1,'[1]Table 2'!$H$55:$L$55,'[1]Table 2'!$H$56:$L$56)))</f>
        <v>14.615701066168283</v>
      </c>
      <c r="D113" s="3">
        <f>D112*(1+(_xlfn.XLOOKUP(D$1,'[1]Table 2'!$H$55:$L$55,'[1]Table 2'!$H$56:$L$56)))</f>
        <v>14.615701066168283</v>
      </c>
      <c r="E113" s="3">
        <f>E112*(1+(_xlfn.XLOOKUP(E$1,'[1]Table 2'!$H$55:$L$55,'[1]Table 2'!$H$56:$L$56)))</f>
        <v>32.628168640541944</v>
      </c>
      <c r="F113" s="3">
        <f>F112*(1+(_xlfn.XLOOKUP(F$1,'[1]Table 2'!$H$55:$L$55,'[1]Table 2'!$H$56:$L$56)))</f>
        <v>4.0324522213655332</v>
      </c>
      <c r="G113" s="3">
        <f>G112*(1+(_xlfn.XLOOKUP(G$1,'[1]Table 2'!$H$55:$L$55,'[1]Table 2'!$H$56:$L$56)))</f>
        <v>32.628168640541944</v>
      </c>
      <c r="H113" s="3">
        <f>H112*(1+(_xlfn.XLOOKUP(H$1,'[1]Table 2'!$H$55:$L$55,'[1]Table 2'!$H$56:$L$56)))</f>
        <v>2.5067722563269359</v>
      </c>
      <c r="I113" s="3">
        <f>I112*(1+(_xlfn.XLOOKUP(I$1,'[1]Table 2'!$H$55:$L$55,'[1]Table 2'!$H$56:$L$56)))</f>
        <v>32.628168640541944</v>
      </c>
      <c r="J113" s="3">
        <f>J112*(1+(_xlfn.XLOOKUP(J$1,'[1]Table 2'!$H$55:$L$55,'[1]Table 2'!$H$56:$L$56)))</f>
        <v>32.628168640541944</v>
      </c>
      <c r="K113" s="3">
        <f>K112*(1+(_xlfn.XLOOKUP(K$1,'[1]Table 2'!$H$55:$L$55,'[1]Table 2'!$H$56:$L$56)))</f>
        <v>32.628168640541944</v>
      </c>
      <c r="L113" s="3">
        <f>L112*(1+(_xlfn.XLOOKUP(L$1,'[1]Table 2'!$H$55:$L$55,'[1]Table 2'!$H$56:$L$56)))</f>
        <v>32.628168640541944</v>
      </c>
      <c r="M113" s="3">
        <f>M112*(1+(_xlfn.XLOOKUP(M$1,'[1]Table 2'!$H$55:$L$55,'[1]Table 2'!$H$56:$L$56)))</f>
        <v>14.615701066168283</v>
      </c>
      <c r="N113" s="3">
        <f>N112*(1+(_xlfn.XLOOKUP(N$1,'[1]Table 2'!$H$55:$L$55,'[1]Table 2'!$H$56:$L$56)))</f>
        <v>32.628168640541944</v>
      </c>
      <c r="O113" s="3">
        <f>O112*(1+(_xlfn.XLOOKUP(O$1,'[1]Table 2'!$H$55:$L$55,'[1]Table 2'!$H$56:$L$56)))</f>
        <v>2.5067722563269359</v>
      </c>
      <c r="P113" s="3">
        <f>P112*(1+(_xlfn.XLOOKUP(P$1,'[1]Table 2'!$H$55:$L$55,'[1]Table 2'!$H$56:$L$56)))</f>
        <v>32.628168640541944</v>
      </c>
      <c r="Q113" s="3">
        <f>Q112*(1+(_xlfn.XLOOKUP(Q$1,'[1]Table 2'!$H$55:$L$55,'[1]Table 2'!$H$56:$L$56)))</f>
        <v>14.615701066168283</v>
      </c>
      <c r="R113" s="3">
        <f>R112*(1+(_xlfn.XLOOKUP(R$1,'[1]Table 2'!$H$55:$L$55,'[1]Table 2'!$H$56:$L$56)))</f>
        <v>32.628168640541944</v>
      </c>
      <c r="S113" s="3">
        <f>S112*(1+(_xlfn.XLOOKUP(S$1,'[1]Table 2'!$H$55:$L$55,'[1]Table 2'!$H$56:$L$56)))</f>
        <v>2.5067722563269359</v>
      </c>
      <c r="T113" s="3">
        <f>T112*(1+(_xlfn.XLOOKUP(T$1,'[1]Table 2'!$H$55:$L$55,'[1]Table 2'!$H$56:$L$56)))</f>
        <v>103.27944687866164</v>
      </c>
      <c r="U113" s="3">
        <f>U112*(1+(_xlfn.XLOOKUP(U$1,'[1]Table 2'!$H$55:$L$55,'[1]Table 2'!$H$56:$L$56)))</f>
        <v>2.5067722563269359</v>
      </c>
      <c r="V113" s="3">
        <f>V112*(1+(_xlfn.XLOOKUP(V$1,'[1]Table 2'!$H$55:$L$55,'[1]Table 2'!$H$56:$L$56)))</f>
        <v>32.628168640541944</v>
      </c>
      <c r="W113" s="3">
        <f>W112*(1+(_xlfn.XLOOKUP(W$1,'[1]Table 2'!$H$55:$L$55,'[1]Table 2'!$H$56:$L$56)))</f>
        <v>4.0324522213655332</v>
      </c>
      <c r="X113" s="3">
        <f>X112*(1+(_xlfn.XLOOKUP(X$1,'[1]Table 2'!$H$55:$L$55,'[1]Table 2'!$H$56:$L$56)))</f>
        <v>14.615701066168283</v>
      </c>
      <c r="Y113" s="3">
        <f>Y112*(1+(_xlfn.XLOOKUP(Y$1,'[1]Table 2'!$H$55:$L$55,'[1]Table 2'!$H$56:$L$56)))</f>
        <v>4.0324522213655332</v>
      </c>
      <c r="Z113" s="3">
        <f>Z112*(1+(_xlfn.XLOOKUP(Z$1,'[1]Table 2'!$H$55:$L$55,'[1]Table 2'!$H$56:$L$56)))</f>
        <v>2.5067722563269359</v>
      </c>
      <c r="AA113" s="3">
        <f>AA112*(1+(_xlfn.XLOOKUP(AA$1,'[1]Table 2'!$H$55:$L$55,'[1]Table 2'!$H$56:$L$56)))</f>
        <v>4.0324522213655332</v>
      </c>
    </row>
    <row r="114" spans="1:27" x14ac:dyDescent="0.2">
      <c r="A114" s="1">
        <v>2082</v>
      </c>
      <c r="B114" s="3">
        <f>B113*(1+(_xlfn.XLOOKUP(B$1,'[1]Table 2'!$H$55:$L$55,'[1]Table 2'!$H$56:$L$56)))</f>
        <v>14.728311720279825</v>
      </c>
      <c r="C114" s="3">
        <f>C113*(1+(_xlfn.XLOOKUP(C$1,'[1]Table 2'!$H$55:$L$55,'[1]Table 2'!$H$56:$L$56)))</f>
        <v>14.728311720279825</v>
      </c>
      <c r="D114" s="3">
        <f>D113*(1+(_xlfn.XLOOKUP(D$1,'[1]Table 2'!$H$55:$L$55,'[1]Table 2'!$H$56:$L$56)))</f>
        <v>14.728311720279825</v>
      </c>
      <c r="E114" s="3">
        <f>E113*(1+(_xlfn.XLOOKUP(E$1,'[1]Table 2'!$H$55:$L$55,'[1]Table 2'!$H$56:$L$56)))</f>
        <v>32.922975963758169</v>
      </c>
      <c r="F114" s="3">
        <f>F113*(1+(_xlfn.XLOOKUP(F$1,'[1]Table 2'!$H$55:$L$55,'[1]Table 2'!$H$56:$L$56)))</f>
        <v>4.0339897940188862</v>
      </c>
      <c r="G114" s="3">
        <f>G113*(1+(_xlfn.XLOOKUP(G$1,'[1]Table 2'!$H$55:$L$55,'[1]Table 2'!$H$56:$L$56)))</f>
        <v>32.922975963758169</v>
      </c>
      <c r="H114" s="3">
        <f>H113*(1+(_xlfn.XLOOKUP(H$1,'[1]Table 2'!$H$55:$L$55,'[1]Table 2'!$H$56:$L$56)))</f>
        <v>2.5052316043385163</v>
      </c>
      <c r="I114" s="3">
        <f>I113*(1+(_xlfn.XLOOKUP(I$1,'[1]Table 2'!$H$55:$L$55,'[1]Table 2'!$H$56:$L$56)))</f>
        <v>32.922975963758169</v>
      </c>
      <c r="J114" s="3">
        <f>J113*(1+(_xlfn.XLOOKUP(J$1,'[1]Table 2'!$H$55:$L$55,'[1]Table 2'!$H$56:$L$56)))</f>
        <v>32.922975963758169</v>
      </c>
      <c r="K114" s="3">
        <f>K113*(1+(_xlfn.XLOOKUP(K$1,'[1]Table 2'!$H$55:$L$55,'[1]Table 2'!$H$56:$L$56)))</f>
        <v>32.922975963758169</v>
      </c>
      <c r="L114" s="3">
        <f>L113*(1+(_xlfn.XLOOKUP(L$1,'[1]Table 2'!$H$55:$L$55,'[1]Table 2'!$H$56:$L$56)))</f>
        <v>32.922975963758169</v>
      </c>
      <c r="M114" s="3">
        <f>M113*(1+(_xlfn.XLOOKUP(M$1,'[1]Table 2'!$H$55:$L$55,'[1]Table 2'!$H$56:$L$56)))</f>
        <v>14.728311720279825</v>
      </c>
      <c r="N114" s="3">
        <f>N113*(1+(_xlfn.XLOOKUP(N$1,'[1]Table 2'!$H$55:$L$55,'[1]Table 2'!$H$56:$L$56)))</f>
        <v>32.922975963758169</v>
      </c>
      <c r="O114" s="3">
        <f>O113*(1+(_xlfn.XLOOKUP(O$1,'[1]Table 2'!$H$55:$L$55,'[1]Table 2'!$H$56:$L$56)))</f>
        <v>2.5052316043385163</v>
      </c>
      <c r="P114" s="3">
        <f>P113*(1+(_xlfn.XLOOKUP(P$1,'[1]Table 2'!$H$55:$L$55,'[1]Table 2'!$H$56:$L$56)))</f>
        <v>32.922975963758169</v>
      </c>
      <c r="Q114" s="3">
        <f>Q113*(1+(_xlfn.XLOOKUP(Q$1,'[1]Table 2'!$H$55:$L$55,'[1]Table 2'!$H$56:$L$56)))</f>
        <v>14.728311720279825</v>
      </c>
      <c r="R114" s="3">
        <f>R113*(1+(_xlfn.XLOOKUP(R$1,'[1]Table 2'!$H$55:$L$55,'[1]Table 2'!$H$56:$L$56)))</f>
        <v>32.922975963758169</v>
      </c>
      <c r="S114" s="3">
        <f>S113*(1+(_xlfn.XLOOKUP(S$1,'[1]Table 2'!$H$55:$L$55,'[1]Table 2'!$H$56:$L$56)))</f>
        <v>2.5052316043385163</v>
      </c>
      <c r="T114" s="3">
        <f>T113*(1+(_xlfn.XLOOKUP(T$1,'[1]Table 2'!$H$55:$L$55,'[1]Table 2'!$H$56:$L$56)))</f>
        <v>105.33677955232849</v>
      </c>
      <c r="U114" s="3">
        <f>U113*(1+(_xlfn.XLOOKUP(U$1,'[1]Table 2'!$H$55:$L$55,'[1]Table 2'!$H$56:$L$56)))</f>
        <v>2.5052316043385163</v>
      </c>
      <c r="V114" s="3">
        <f>V113*(1+(_xlfn.XLOOKUP(V$1,'[1]Table 2'!$H$55:$L$55,'[1]Table 2'!$H$56:$L$56)))</f>
        <v>32.922975963758169</v>
      </c>
      <c r="W114" s="3">
        <f>W113*(1+(_xlfn.XLOOKUP(W$1,'[1]Table 2'!$H$55:$L$55,'[1]Table 2'!$H$56:$L$56)))</f>
        <v>4.0339897940188862</v>
      </c>
      <c r="X114" s="3">
        <f>X113*(1+(_xlfn.XLOOKUP(X$1,'[1]Table 2'!$H$55:$L$55,'[1]Table 2'!$H$56:$L$56)))</f>
        <v>14.728311720279825</v>
      </c>
      <c r="Y114" s="3">
        <f>Y113*(1+(_xlfn.XLOOKUP(Y$1,'[1]Table 2'!$H$55:$L$55,'[1]Table 2'!$H$56:$L$56)))</f>
        <v>4.0339897940188862</v>
      </c>
      <c r="Z114" s="3">
        <f>Z113*(1+(_xlfn.XLOOKUP(Z$1,'[1]Table 2'!$H$55:$L$55,'[1]Table 2'!$H$56:$L$56)))</f>
        <v>2.5052316043385163</v>
      </c>
      <c r="AA114" s="3">
        <f>AA113*(1+(_xlfn.XLOOKUP(AA$1,'[1]Table 2'!$H$55:$L$55,'[1]Table 2'!$H$56:$L$56)))</f>
        <v>4.0339897940188862</v>
      </c>
    </row>
    <row r="115" spans="1:27" x14ac:dyDescent="0.2">
      <c r="A115" s="1">
        <v>2083</v>
      </c>
      <c r="B115" s="3">
        <f>B114*(1+(_xlfn.XLOOKUP(B$1,'[1]Table 2'!$H$55:$L$55,'[1]Table 2'!$H$56:$L$56)))</f>
        <v>14.841790013881393</v>
      </c>
      <c r="C115" s="3">
        <f>C114*(1+(_xlfn.XLOOKUP(C$1,'[1]Table 2'!$H$55:$L$55,'[1]Table 2'!$H$56:$L$56)))</f>
        <v>14.841790013881393</v>
      </c>
      <c r="D115" s="3">
        <f>D114*(1+(_xlfn.XLOOKUP(D$1,'[1]Table 2'!$H$55:$L$55,'[1]Table 2'!$H$56:$L$56)))</f>
        <v>14.841790013881393</v>
      </c>
      <c r="E115" s="3">
        <f>E114*(1+(_xlfn.XLOOKUP(E$1,'[1]Table 2'!$H$55:$L$55,'[1]Table 2'!$H$56:$L$56)))</f>
        <v>33.220446977933562</v>
      </c>
      <c r="F115" s="3">
        <f>F114*(1+(_xlfn.XLOOKUP(F$1,'[1]Table 2'!$H$55:$L$55,'[1]Table 2'!$H$56:$L$56)))</f>
        <v>4.0355279529481658</v>
      </c>
      <c r="G115" s="3">
        <f>G114*(1+(_xlfn.XLOOKUP(G$1,'[1]Table 2'!$H$55:$L$55,'[1]Table 2'!$H$56:$L$56)))</f>
        <v>33.220446977933562</v>
      </c>
      <c r="H115" s="3">
        <f>H114*(1+(_xlfn.XLOOKUP(H$1,'[1]Table 2'!$H$55:$L$55,'[1]Table 2'!$H$56:$L$56)))</f>
        <v>2.5036918992285151</v>
      </c>
      <c r="I115" s="3">
        <f>I114*(1+(_xlfn.XLOOKUP(I$1,'[1]Table 2'!$H$55:$L$55,'[1]Table 2'!$H$56:$L$56)))</f>
        <v>33.220446977933562</v>
      </c>
      <c r="J115" s="3">
        <f>J114*(1+(_xlfn.XLOOKUP(J$1,'[1]Table 2'!$H$55:$L$55,'[1]Table 2'!$H$56:$L$56)))</f>
        <v>33.220446977933562</v>
      </c>
      <c r="K115" s="3">
        <f>K114*(1+(_xlfn.XLOOKUP(K$1,'[1]Table 2'!$H$55:$L$55,'[1]Table 2'!$H$56:$L$56)))</f>
        <v>33.220446977933562</v>
      </c>
      <c r="L115" s="3">
        <f>L114*(1+(_xlfn.XLOOKUP(L$1,'[1]Table 2'!$H$55:$L$55,'[1]Table 2'!$H$56:$L$56)))</f>
        <v>33.220446977933562</v>
      </c>
      <c r="M115" s="3">
        <f>M114*(1+(_xlfn.XLOOKUP(M$1,'[1]Table 2'!$H$55:$L$55,'[1]Table 2'!$H$56:$L$56)))</f>
        <v>14.841790013881393</v>
      </c>
      <c r="N115" s="3">
        <f>N114*(1+(_xlfn.XLOOKUP(N$1,'[1]Table 2'!$H$55:$L$55,'[1]Table 2'!$H$56:$L$56)))</f>
        <v>33.220446977933562</v>
      </c>
      <c r="O115" s="3">
        <f>O114*(1+(_xlfn.XLOOKUP(O$1,'[1]Table 2'!$H$55:$L$55,'[1]Table 2'!$H$56:$L$56)))</f>
        <v>2.5036918992285151</v>
      </c>
      <c r="P115" s="3">
        <f>P114*(1+(_xlfn.XLOOKUP(P$1,'[1]Table 2'!$H$55:$L$55,'[1]Table 2'!$H$56:$L$56)))</f>
        <v>33.220446977933562</v>
      </c>
      <c r="Q115" s="3">
        <f>Q114*(1+(_xlfn.XLOOKUP(Q$1,'[1]Table 2'!$H$55:$L$55,'[1]Table 2'!$H$56:$L$56)))</f>
        <v>14.841790013881393</v>
      </c>
      <c r="R115" s="3">
        <f>R114*(1+(_xlfn.XLOOKUP(R$1,'[1]Table 2'!$H$55:$L$55,'[1]Table 2'!$H$56:$L$56)))</f>
        <v>33.220446977933562</v>
      </c>
      <c r="S115" s="3">
        <f>S114*(1+(_xlfn.XLOOKUP(S$1,'[1]Table 2'!$H$55:$L$55,'[1]Table 2'!$H$56:$L$56)))</f>
        <v>2.5036918992285151</v>
      </c>
      <c r="T115" s="3">
        <f>T114*(1+(_xlfn.XLOOKUP(T$1,'[1]Table 2'!$H$55:$L$55,'[1]Table 2'!$H$56:$L$56)))</f>
        <v>107.43509441420468</v>
      </c>
      <c r="U115" s="3">
        <f>U114*(1+(_xlfn.XLOOKUP(U$1,'[1]Table 2'!$H$55:$L$55,'[1]Table 2'!$H$56:$L$56)))</f>
        <v>2.5036918992285151</v>
      </c>
      <c r="V115" s="3">
        <f>V114*(1+(_xlfn.XLOOKUP(V$1,'[1]Table 2'!$H$55:$L$55,'[1]Table 2'!$H$56:$L$56)))</f>
        <v>33.220446977933562</v>
      </c>
      <c r="W115" s="3">
        <f>W114*(1+(_xlfn.XLOOKUP(W$1,'[1]Table 2'!$H$55:$L$55,'[1]Table 2'!$H$56:$L$56)))</f>
        <v>4.0355279529481658</v>
      </c>
      <c r="X115" s="3">
        <f>X114*(1+(_xlfn.XLOOKUP(X$1,'[1]Table 2'!$H$55:$L$55,'[1]Table 2'!$H$56:$L$56)))</f>
        <v>14.841790013881393</v>
      </c>
      <c r="Y115" s="3">
        <f>Y114*(1+(_xlfn.XLOOKUP(Y$1,'[1]Table 2'!$H$55:$L$55,'[1]Table 2'!$H$56:$L$56)))</f>
        <v>4.0355279529481658</v>
      </c>
      <c r="Z115" s="3">
        <f>Z114*(1+(_xlfn.XLOOKUP(Z$1,'[1]Table 2'!$H$55:$L$55,'[1]Table 2'!$H$56:$L$56)))</f>
        <v>2.5036918992285151</v>
      </c>
      <c r="AA115" s="3">
        <f>AA114*(1+(_xlfn.XLOOKUP(AA$1,'[1]Table 2'!$H$55:$L$55,'[1]Table 2'!$H$56:$L$56)))</f>
        <v>4.0355279529481658</v>
      </c>
    </row>
    <row r="116" spans="1:27" x14ac:dyDescent="0.2">
      <c r="A116" s="1">
        <v>2084</v>
      </c>
      <c r="B116" s="3">
        <f>B115*(1+(_xlfn.XLOOKUP(B$1,'[1]Table 2'!$H$55:$L$55,'[1]Table 2'!$H$56:$L$56)))</f>
        <v>14.956142631938016</v>
      </c>
      <c r="C116" s="3">
        <f>C115*(1+(_xlfn.XLOOKUP(C$1,'[1]Table 2'!$H$55:$L$55,'[1]Table 2'!$H$56:$L$56)))</f>
        <v>14.956142631938016</v>
      </c>
      <c r="D116" s="3">
        <f>D115*(1+(_xlfn.XLOOKUP(D$1,'[1]Table 2'!$H$55:$L$55,'[1]Table 2'!$H$56:$L$56)))</f>
        <v>14.956142631938016</v>
      </c>
      <c r="E116" s="3">
        <f>E115*(1+(_xlfn.XLOOKUP(E$1,'[1]Table 2'!$H$55:$L$55,'[1]Table 2'!$H$56:$L$56)))</f>
        <v>33.520605750480854</v>
      </c>
      <c r="F116" s="3">
        <f>F115*(1+(_xlfn.XLOOKUP(F$1,'[1]Table 2'!$H$55:$L$55,'[1]Table 2'!$H$56:$L$56)))</f>
        <v>4.0370666983769192</v>
      </c>
      <c r="G116" s="3">
        <f>G115*(1+(_xlfn.XLOOKUP(G$1,'[1]Table 2'!$H$55:$L$55,'[1]Table 2'!$H$56:$L$56)))</f>
        <v>33.520605750480854</v>
      </c>
      <c r="H116" s="3">
        <f>H115*(1+(_xlfn.XLOOKUP(H$1,'[1]Table 2'!$H$55:$L$55,'[1]Table 2'!$H$56:$L$56)))</f>
        <v>2.5021531404149848</v>
      </c>
      <c r="I116" s="3">
        <f>I115*(1+(_xlfn.XLOOKUP(I$1,'[1]Table 2'!$H$55:$L$55,'[1]Table 2'!$H$56:$L$56)))</f>
        <v>33.520605750480854</v>
      </c>
      <c r="J116" s="3">
        <f>J115*(1+(_xlfn.XLOOKUP(J$1,'[1]Table 2'!$H$55:$L$55,'[1]Table 2'!$H$56:$L$56)))</f>
        <v>33.520605750480854</v>
      </c>
      <c r="K116" s="3">
        <f>K115*(1+(_xlfn.XLOOKUP(K$1,'[1]Table 2'!$H$55:$L$55,'[1]Table 2'!$H$56:$L$56)))</f>
        <v>33.520605750480854</v>
      </c>
      <c r="L116" s="3">
        <f>L115*(1+(_xlfn.XLOOKUP(L$1,'[1]Table 2'!$H$55:$L$55,'[1]Table 2'!$H$56:$L$56)))</f>
        <v>33.520605750480854</v>
      </c>
      <c r="M116" s="3">
        <f>M115*(1+(_xlfn.XLOOKUP(M$1,'[1]Table 2'!$H$55:$L$55,'[1]Table 2'!$H$56:$L$56)))</f>
        <v>14.956142631938016</v>
      </c>
      <c r="N116" s="3">
        <f>N115*(1+(_xlfn.XLOOKUP(N$1,'[1]Table 2'!$H$55:$L$55,'[1]Table 2'!$H$56:$L$56)))</f>
        <v>33.520605750480854</v>
      </c>
      <c r="O116" s="3">
        <f>O115*(1+(_xlfn.XLOOKUP(O$1,'[1]Table 2'!$H$55:$L$55,'[1]Table 2'!$H$56:$L$56)))</f>
        <v>2.5021531404149848</v>
      </c>
      <c r="P116" s="3">
        <f>P115*(1+(_xlfn.XLOOKUP(P$1,'[1]Table 2'!$H$55:$L$55,'[1]Table 2'!$H$56:$L$56)))</f>
        <v>33.520605750480854</v>
      </c>
      <c r="Q116" s="3">
        <f>Q115*(1+(_xlfn.XLOOKUP(Q$1,'[1]Table 2'!$H$55:$L$55,'[1]Table 2'!$H$56:$L$56)))</f>
        <v>14.956142631938016</v>
      </c>
      <c r="R116" s="3">
        <f>R115*(1+(_xlfn.XLOOKUP(R$1,'[1]Table 2'!$H$55:$L$55,'[1]Table 2'!$H$56:$L$56)))</f>
        <v>33.520605750480854</v>
      </c>
      <c r="S116" s="3">
        <f>S115*(1+(_xlfn.XLOOKUP(S$1,'[1]Table 2'!$H$55:$L$55,'[1]Table 2'!$H$56:$L$56)))</f>
        <v>2.5021531404149848</v>
      </c>
      <c r="T116" s="3">
        <f>T115*(1+(_xlfn.XLOOKUP(T$1,'[1]Table 2'!$H$55:$L$55,'[1]Table 2'!$H$56:$L$56)))</f>
        <v>109.57520783189663</v>
      </c>
      <c r="U116" s="3">
        <f>U115*(1+(_xlfn.XLOOKUP(U$1,'[1]Table 2'!$H$55:$L$55,'[1]Table 2'!$H$56:$L$56)))</f>
        <v>2.5021531404149848</v>
      </c>
      <c r="V116" s="3">
        <f>V115*(1+(_xlfn.XLOOKUP(V$1,'[1]Table 2'!$H$55:$L$55,'[1]Table 2'!$H$56:$L$56)))</f>
        <v>33.520605750480854</v>
      </c>
      <c r="W116" s="3">
        <f>W115*(1+(_xlfn.XLOOKUP(W$1,'[1]Table 2'!$H$55:$L$55,'[1]Table 2'!$H$56:$L$56)))</f>
        <v>4.0370666983769192</v>
      </c>
      <c r="X116" s="3">
        <f>X115*(1+(_xlfn.XLOOKUP(X$1,'[1]Table 2'!$H$55:$L$55,'[1]Table 2'!$H$56:$L$56)))</f>
        <v>14.956142631938016</v>
      </c>
      <c r="Y116" s="3">
        <f>Y115*(1+(_xlfn.XLOOKUP(Y$1,'[1]Table 2'!$H$55:$L$55,'[1]Table 2'!$H$56:$L$56)))</f>
        <v>4.0370666983769192</v>
      </c>
      <c r="Z116" s="3">
        <f>Z115*(1+(_xlfn.XLOOKUP(Z$1,'[1]Table 2'!$H$55:$L$55,'[1]Table 2'!$H$56:$L$56)))</f>
        <v>2.5021531404149848</v>
      </c>
      <c r="AA116" s="3">
        <f>AA115*(1+(_xlfn.XLOOKUP(AA$1,'[1]Table 2'!$H$55:$L$55,'[1]Table 2'!$H$56:$L$56)))</f>
        <v>4.0370666983769192</v>
      </c>
    </row>
    <row r="117" spans="1:27" x14ac:dyDescent="0.2">
      <c r="A117" s="1">
        <v>2085</v>
      </c>
      <c r="B117" s="3">
        <f>B116*(1+(_xlfn.XLOOKUP(B$1,'[1]Table 2'!$H$55:$L$55,'[1]Table 2'!$H$56:$L$56)))</f>
        <v>15.071376310920861</v>
      </c>
      <c r="C117" s="3">
        <f>C116*(1+(_xlfn.XLOOKUP(C$1,'[1]Table 2'!$H$55:$L$55,'[1]Table 2'!$H$56:$L$56)))</f>
        <v>15.071376310920861</v>
      </c>
      <c r="D117" s="3">
        <f>D116*(1+(_xlfn.XLOOKUP(D$1,'[1]Table 2'!$H$55:$L$55,'[1]Table 2'!$H$56:$L$56)))</f>
        <v>15.071376310920861</v>
      </c>
      <c r="E117" s="3">
        <f>E116*(1+(_xlfn.XLOOKUP(E$1,'[1]Table 2'!$H$55:$L$55,'[1]Table 2'!$H$56:$L$56)))</f>
        <v>33.823476566270578</v>
      </c>
      <c r="F117" s="3">
        <f>F116*(1+(_xlfn.XLOOKUP(F$1,'[1]Table 2'!$H$55:$L$55,'[1]Table 2'!$H$56:$L$56)))</f>
        <v>4.0386060305287792</v>
      </c>
      <c r="G117" s="3">
        <f>G116*(1+(_xlfn.XLOOKUP(G$1,'[1]Table 2'!$H$55:$L$55,'[1]Table 2'!$H$56:$L$56)))</f>
        <v>33.823476566270578</v>
      </c>
      <c r="H117" s="3">
        <f>H116*(1+(_xlfn.XLOOKUP(H$1,'[1]Table 2'!$H$55:$L$55,'[1]Table 2'!$H$56:$L$56)))</f>
        <v>2.5006153273163356</v>
      </c>
      <c r="I117" s="3">
        <f>I116*(1+(_xlfn.XLOOKUP(I$1,'[1]Table 2'!$H$55:$L$55,'[1]Table 2'!$H$56:$L$56)))</f>
        <v>33.823476566270578</v>
      </c>
      <c r="J117" s="3">
        <f>J116*(1+(_xlfn.XLOOKUP(J$1,'[1]Table 2'!$H$55:$L$55,'[1]Table 2'!$H$56:$L$56)))</f>
        <v>33.823476566270578</v>
      </c>
      <c r="K117" s="3">
        <f>K116*(1+(_xlfn.XLOOKUP(K$1,'[1]Table 2'!$H$55:$L$55,'[1]Table 2'!$H$56:$L$56)))</f>
        <v>33.823476566270578</v>
      </c>
      <c r="L117" s="3">
        <f>L116*(1+(_xlfn.XLOOKUP(L$1,'[1]Table 2'!$H$55:$L$55,'[1]Table 2'!$H$56:$L$56)))</f>
        <v>33.823476566270578</v>
      </c>
      <c r="M117" s="3">
        <f>M116*(1+(_xlfn.XLOOKUP(M$1,'[1]Table 2'!$H$55:$L$55,'[1]Table 2'!$H$56:$L$56)))</f>
        <v>15.071376310920861</v>
      </c>
      <c r="N117" s="3">
        <f>N116*(1+(_xlfn.XLOOKUP(N$1,'[1]Table 2'!$H$55:$L$55,'[1]Table 2'!$H$56:$L$56)))</f>
        <v>33.823476566270578</v>
      </c>
      <c r="O117" s="3">
        <f>O116*(1+(_xlfn.XLOOKUP(O$1,'[1]Table 2'!$H$55:$L$55,'[1]Table 2'!$H$56:$L$56)))</f>
        <v>2.5006153273163356</v>
      </c>
      <c r="P117" s="3">
        <f>P116*(1+(_xlfn.XLOOKUP(P$1,'[1]Table 2'!$H$55:$L$55,'[1]Table 2'!$H$56:$L$56)))</f>
        <v>33.823476566270578</v>
      </c>
      <c r="Q117" s="3">
        <f>Q116*(1+(_xlfn.XLOOKUP(Q$1,'[1]Table 2'!$H$55:$L$55,'[1]Table 2'!$H$56:$L$56)))</f>
        <v>15.071376310920861</v>
      </c>
      <c r="R117" s="3">
        <f>R116*(1+(_xlfn.XLOOKUP(R$1,'[1]Table 2'!$H$55:$L$55,'[1]Table 2'!$H$56:$L$56)))</f>
        <v>33.823476566270578</v>
      </c>
      <c r="S117" s="3">
        <f>S116*(1+(_xlfn.XLOOKUP(S$1,'[1]Table 2'!$H$55:$L$55,'[1]Table 2'!$H$56:$L$56)))</f>
        <v>2.5006153273163356</v>
      </c>
      <c r="T117" s="3">
        <f>T116*(1+(_xlfn.XLOOKUP(T$1,'[1]Table 2'!$H$55:$L$55,'[1]Table 2'!$H$56:$L$56)))</f>
        <v>111.75795243510164</v>
      </c>
      <c r="U117" s="3">
        <f>U116*(1+(_xlfn.XLOOKUP(U$1,'[1]Table 2'!$H$55:$L$55,'[1]Table 2'!$H$56:$L$56)))</f>
        <v>2.5006153273163356</v>
      </c>
      <c r="V117" s="3">
        <f>V116*(1+(_xlfn.XLOOKUP(V$1,'[1]Table 2'!$H$55:$L$55,'[1]Table 2'!$H$56:$L$56)))</f>
        <v>33.823476566270578</v>
      </c>
      <c r="W117" s="3">
        <f>W116*(1+(_xlfn.XLOOKUP(W$1,'[1]Table 2'!$H$55:$L$55,'[1]Table 2'!$H$56:$L$56)))</f>
        <v>4.0386060305287792</v>
      </c>
      <c r="X117" s="3">
        <f>X116*(1+(_xlfn.XLOOKUP(X$1,'[1]Table 2'!$H$55:$L$55,'[1]Table 2'!$H$56:$L$56)))</f>
        <v>15.071376310920861</v>
      </c>
      <c r="Y117" s="3">
        <f>Y116*(1+(_xlfn.XLOOKUP(Y$1,'[1]Table 2'!$H$55:$L$55,'[1]Table 2'!$H$56:$L$56)))</f>
        <v>4.0386060305287792</v>
      </c>
      <c r="Z117" s="3">
        <f>Z116*(1+(_xlfn.XLOOKUP(Z$1,'[1]Table 2'!$H$55:$L$55,'[1]Table 2'!$H$56:$L$56)))</f>
        <v>2.5006153273163356</v>
      </c>
      <c r="AA117" s="3">
        <f>AA116*(1+(_xlfn.XLOOKUP(AA$1,'[1]Table 2'!$H$55:$L$55,'[1]Table 2'!$H$56:$L$56)))</f>
        <v>4.0386060305287792</v>
      </c>
    </row>
    <row r="118" spans="1:27" x14ac:dyDescent="0.2">
      <c r="A118" s="1">
        <v>2086</v>
      </c>
      <c r="B118" s="3">
        <f>B117*(1+(_xlfn.XLOOKUP(B$1,'[1]Table 2'!$H$55:$L$55,'[1]Table 2'!$H$56:$L$56)))</f>
        <v>15.18749783920407</v>
      </c>
      <c r="C118" s="3">
        <f>C117*(1+(_xlfn.XLOOKUP(C$1,'[1]Table 2'!$H$55:$L$55,'[1]Table 2'!$H$56:$L$56)))</f>
        <v>15.18749783920407</v>
      </c>
      <c r="D118" s="3">
        <f>D117*(1+(_xlfn.XLOOKUP(D$1,'[1]Table 2'!$H$55:$L$55,'[1]Table 2'!$H$56:$L$56)))</f>
        <v>15.18749783920407</v>
      </c>
      <c r="E118" s="3">
        <f>E117*(1+(_xlfn.XLOOKUP(E$1,'[1]Table 2'!$H$55:$L$55,'[1]Table 2'!$H$56:$L$56)))</f>
        <v>34.129083929595872</v>
      </c>
      <c r="F118" s="3">
        <f>F117*(1+(_xlfn.XLOOKUP(F$1,'[1]Table 2'!$H$55:$L$55,'[1]Table 2'!$H$56:$L$56)))</f>
        <v>4.0401459496274619</v>
      </c>
      <c r="G118" s="3">
        <f>G117*(1+(_xlfn.XLOOKUP(G$1,'[1]Table 2'!$H$55:$L$55,'[1]Table 2'!$H$56:$L$56)))</f>
        <v>34.129083929595872</v>
      </c>
      <c r="H118" s="3">
        <f>H117*(1+(_xlfn.XLOOKUP(H$1,'[1]Table 2'!$H$55:$L$55,'[1]Table 2'!$H$56:$L$56)))</f>
        <v>2.4990784593513347</v>
      </c>
      <c r="I118" s="3">
        <f>I117*(1+(_xlfn.XLOOKUP(I$1,'[1]Table 2'!$H$55:$L$55,'[1]Table 2'!$H$56:$L$56)))</f>
        <v>34.129083929595872</v>
      </c>
      <c r="J118" s="3">
        <f>J117*(1+(_xlfn.XLOOKUP(J$1,'[1]Table 2'!$H$55:$L$55,'[1]Table 2'!$H$56:$L$56)))</f>
        <v>34.129083929595872</v>
      </c>
      <c r="K118" s="3">
        <f>K117*(1+(_xlfn.XLOOKUP(K$1,'[1]Table 2'!$H$55:$L$55,'[1]Table 2'!$H$56:$L$56)))</f>
        <v>34.129083929595872</v>
      </c>
      <c r="L118" s="3">
        <f>L117*(1+(_xlfn.XLOOKUP(L$1,'[1]Table 2'!$H$55:$L$55,'[1]Table 2'!$H$56:$L$56)))</f>
        <v>34.129083929595872</v>
      </c>
      <c r="M118" s="3">
        <f>M117*(1+(_xlfn.XLOOKUP(M$1,'[1]Table 2'!$H$55:$L$55,'[1]Table 2'!$H$56:$L$56)))</f>
        <v>15.18749783920407</v>
      </c>
      <c r="N118" s="3">
        <f>N117*(1+(_xlfn.XLOOKUP(N$1,'[1]Table 2'!$H$55:$L$55,'[1]Table 2'!$H$56:$L$56)))</f>
        <v>34.129083929595872</v>
      </c>
      <c r="O118" s="3">
        <f>O117*(1+(_xlfn.XLOOKUP(O$1,'[1]Table 2'!$H$55:$L$55,'[1]Table 2'!$H$56:$L$56)))</f>
        <v>2.4990784593513347</v>
      </c>
      <c r="P118" s="3">
        <f>P117*(1+(_xlfn.XLOOKUP(P$1,'[1]Table 2'!$H$55:$L$55,'[1]Table 2'!$H$56:$L$56)))</f>
        <v>34.129083929595872</v>
      </c>
      <c r="Q118" s="3">
        <f>Q117*(1+(_xlfn.XLOOKUP(Q$1,'[1]Table 2'!$H$55:$L$55,'[1]Table 2'!$H$56:$L$56)))</f>
        <v>15.18749783920407</v>
      </c>
      <c r="R118" s="3">
        <f>R117*(1+(_xlfn.XLOOKUP(R$1,'[1]Table 2'!$H$55:$L$55,'[1]Table 2'!$H$56:$L$56)))</f>
        <v>34.129083929595872</v>
      </c>
      <c r="S118" s="3">
        <f>S117*(1+(_xlfn.XLOOKUP(S$1,'[1]Table 2'!$H$55:$L$55,'[1]Table 2'!$H$56:$L$56)))</f>
        <v>2.4990784593513347</v>
      </c>
      <c r="T118" s="3">
        <f>T117*(1+(_xlfn.XLOOKUP(T$1,'[1]Table 2'!$H$55:$L$55,'[1]Table 2'!$H$56:$L$56)))</f>
        <v>113.9841774395497</v>
      </c>
      <c r="U118" s="3">
        <f>U117*(1+(_xlfn.XLOOKUP(U$1,'[1]Table 2'!$H$55:$L$55,'[1]Table 2'!$H$56:$L$56)))</f>
        <v>2.4990784593513347</v>
      </c>
      <c r="V118" s="3">
        <f>V117*(1+(_xlfn.XLOOKUP(V$1,'[1]Table 2'!$H$55:$L$55,'[1]Table 2'!$H$56:$L$56)))</f>
        <v>34.129083929595872</v>
      </c>
      <c r="W118" s="3">
        <f>W117*(1+(_xlfn.XLOOKUP(W$1,'[1]Table 2'!$H$55:$L$55,'[1]Table 2'!$H$56:$L$56)))</f>
        <v>4.0401459496274619</v>
      </c>
      <c r="X118" s="3">
        <f>X117*(1+(_xlfn.XLOOKUP(X$1,'[1]Table 2'!$H$55:$L$55,'[1]Table 2'!$H$56:$L$56)))</f>
        <v>15.18749783920407</v>
      </c>
      <c r="Y118" s="3">
        <f>Y117*(1+(_xlfn.XLOOKUP(Y$1,'[1]Table 2'!$H$55:$L$55,'[1]Table 2'!$H$56:$L$56)))</f>
        <v>4.0401459496274619</v>
      </c>
      <c r="Z118" s="3">
        <f>Z117*(1+(_xlfn.XLOOKUP(Z$1,'[1]Table 2'!$H$55:$L$55,'[1]Table 2'!$H$56:$L$56)))</f>
        <v>2.4990784593513347</v>
      </c>
      <c r="AA118" s="3">
        <f>AA117*(1+(_xlfn.XLOOKUP(AA$1,'[1]Table 2'!$H$55:$L$55,'[1]Table 2'!$H$56:$L$56)))</f>
        <v>4.0401459496274619</v>
      </c>
    </row>
    <row r="119" spans="1:27" x14ac:dyDescent="0.2">
      <c r="A119" s="1">
        <v>2087</v>
      </c>
      <c r="B119" s="3">
        <f>B118*(1+(_xlfn.XLOOKUP(B$1,'[1]Table 2'!$H$55:$L$55,'[1]Table 2'!$H$56:$L$56)))</f>
        <v>15.304514057464667</v>
      </c>
      <c r="C119" s="3">
        <f>C118*(1+(_xlfn.XLOOKUP(C$1,'[1]Table 2'!$H$55:$L$55,'[1]Table 2'!$H$56:$L$56)))</f>
        <v>15.304514057464667</v>
      </c>
      <c r="D119" s="3">
        <f>D118*(1+(_xlfn.XLOOKUP(D$1,'[1]Table 2'!$H$55:$L$55,'[1]Table 2'!$H$56:$L$56)))</f>
        <v>15.304514057464667</v>
      </c>
      <c r="E119" s="3">
        <f>E118*(1+(_xlfn.XLOOKUP(E$1,'[1]Table 2'!$H$55:$L$55,'[1]Table 2'!$H$56:$L$56)))</f>
        <v>34.437452566155024</v>
      </c>
      <c r="F119" s="3">
        <f>F118*(1+(_xlfn.XLOOKUP(F$1,'[1]Table 2'!$H$55:$L$55,'[1]Table 2'!$H$56:$L$56)))</f>
        <v>4.0416864558967704</v>
      </c>
      <c r="G119" s="3">
        <f>G118*(1+(_xlfn.XLOOKUP(G$1,'[1]Table 2'!$H$55:$L$55,'[1]Table 2'!$H$56:$L$56)))</f>
        <v>34.437452566155024</v>
      </c>
      <c r="H119" s="3">
        <f>H118*(1+(_xlfn.XLOOKUP(H$1,'[1]Table 2'!$H$55:$L$55,'[1]Table 2'!$H$56:$L$56)))</f>
        <v>2.4975425359391066</v>
      </c>
      <c r="I119" s="3">
        <f>I118*(1+(_xlfn.XLOOKUP(I$1,'[1]Table 2'!$H$55:$L$55,'[1]Table 2'!$H$56:$L$56)))</f>
        <v>34.437452566155024</v>
      </c>
      <c r="J119" s="3">
        <f>J118*(1+(_xlfn.XLOOKUP(J$1,'[1]Table 2'!$H$55:$L$55,'[1]Table 2'!$H$56:$L$56)))</f>
        <v>34.437452566155024</v>
      </c>
      <c r="K119" s="3">
        <f>K118*(1+(_xlfn.XLOOKUP(K$1,'[1]Table 2'!$H$55:$L$55,'[1]Table 2'!$H$56:$L$56)))</f>
        <v>34.437452566155024</v>
      </c>
      <c r="L119" s="3">
        <f>L118*(1+(_xlfn.XLOOKUP(L$1,'[1]Table 2'!$H$55:$L$55,'[1]Table 2'!$H$56:$L$56)))</f>
        <v>34.437452566155024</v>
      </c>
      <c r="M119" s="3">
        <f>M118*(1+(_xlfn.XLOOKUP(M$1,'[1]Table 2'!$H$55:$L$55,'[1]Table 2'!$H$56:$L$56)))</f>
        <v>15.304514057464667</v>
      </c>
      <c r="N119" s="3">
        <f>N118*(1+(_xlfn.XLOOKUP(N$1,'[1]Table 2'!$H$55:$L$55,'[1]Table 2'!$H$56:$L$56)))</f>
        <v>34.437452566155024</v>
      </c>
      <c r="O119" s="3">
        <f>O118*(1+(_xlfn.XLOOKUP(O$1,'[1]Table 2'!$H$55:$L$55,'[1]Table 2'!$H$56:$L$56)))</f>
        <v>2.4975425359391066</v>
      </c>
      <c r="P119" s="3">
        <f>P118*(1+(_xlfn.XLOOKUP(P$1,'[1]Table 2'!$H$55:$L$55,'[1]Table 2'!$H$56:$L$56)))</f>
        <v>34.437452566155024</v>
      </c>
      <c r="Q119" s="3">
        <f>Q118*(1+(_xlfn.XLOOKUP(Q$1,'[1]Table 2'!$H$55:$L$55,'[1]Table 2'!$H$56:$L$56)))</f>
        <v>15.304514057464667</v>
      </c>
      <c r="R119" s="3">
        <f>R118*(1+(_xlfn.XLOOKUP(R$1,'[1]Table 2'!$H$55:$L$55,'[1]Table 2'!$H$56:$L$56)))</f>
        <v>34.437452566155024</v>
      </c>
      <c r="S119" s="3">
        <f>S118*(1+(_xlfn.XLOOKUP(S$1,'[1]Table 2'!$H$55:$L$55,'[1]Table 2'!$H$56:$L$56)))</f>
        <v>2.4975425359391066</v>
      </c>
      <c r="T119" s="3">
        <f>T118*(1+(_xlfn.XLOOKUP(T$1,'[1]Table 2'!$H$55:$L$55,'[1]Table 2'!$H$56:$L$56)))</f>
        <v>116.25474897739821</v>
      </c>
      <c r="U119" s="3">
        <f>U118*(1+(_xlfn.XLOOKUP(U$1,'[1]Table 2'!$H$55:$L$55,'[1]Table 2'!$H$56:$L$56)))</f>
        <v>2.4975425359391066</v>
      </c>
      <c r="V119" s="3">
        <f>V118*(1+(_xlfn.XLOOKUP(V$1,'[1]Table 2'!$H$55:$L$55,'[1]Table 2'!$H$56:$L$56)))</f>
        <v>34.437452566155024</v>
      </c>
      <c r="W119" s="3">
        <f>W118*(1+(_xlfn.XLOOKUP(W$1,'[1]Table 2'!$H$55:$L$55,'[1]Table 2'!$H$56:$L$56)))</f>
        <v>4.0416864558967704</v>
      </c>
      <c r="X119" s="3">
        <f>X118*(1+(_xlfn.XLOOKUP(X$1,'[1]Table 2'!$H$55:$L$55,'[1]Table 2'!$H$56:$L$56)))</f>
        <v>15.304514057464667</v>
      </c>
      <c r="Y119" s="3">
        <f>Y118*(1+(_xlfn.XLOOKUP(Y$1,'[1]Table 2'!$H$55:$L$55,'[1]Table 2'!$H$56:$L$56)))</f>
        <v>4.0416864558967704</v>
      </c>
      <c r="Z119" s="3">
        <f>Z118*(1+(_xlfn.XLOOKUP(Z$1,'[1]Table 2'!$H$55:$L$55,'[1]Table 2'!$H$56:$L$56)))</f>
        <v>2.4975425359391066</v>
      </c>
      <c r="AA119" s="3">
        <f>AA118*(1+(_xlfn.XLOOKUP(AA$1,'[1]Table 2'!$H$55:$L$55,'[1]Table 2'!$H$56:$L$56)))</f>
        <v>4.0416864558967704</v>
      </c>
    </row>
    <row r="120" spans="1:27" x14ac:dyDescent="0.2">
      <c r="A120" s="1">
        <v>2088</v>
      </c>
      <c r="B120" s="3">
        <f>B119*(1+(_xlfn.XLOOKUP(B$1,'[1]Table 2'!$H$55:$L$55,'[1]Table 2'!$H$56:$L$56)))</f>
        <v>15.422431859085538</v>
      </c>
      <c r="C120" s="3">
        <f>C119*(1+(_xlfn.XLOOKUP(C$1,'[1]Table 2'!$H$55:$L$55,'[1]Table 2'!$H$56:$L$56)))</f>
        <v>15.422431859085538</v>
      </c>
      <c r="D120" s="3">
        <f>D119*(1+(_xlfn.XLOOKUP(D$1,'[1]Table 2'!$H$55:$L$55,'[1]Table 2'!$H$56:$L$56)))</f>
        <v>15.422431859085538</v>
      </c>
      <c r="E120" s="3">
        <f>E119*(1+(_xlfn.XLOOKUP(E$1,'[1]Table 2'!$H$55:$L$55,'[1]Table 2'!$H$56:$L$56)))</f>
        <v>34.748607425051979</v>
      </c>
      <c r="F120" s="3">
        <f>F119*(1+(_xlfn.XLOOKUP(F$1,'[1]Table 2'!$H$55:$L$55,'[1]Table 2'!$H$56:$L$56)))</f>
        <v>4.0432275495605925</v>
      </c>
      <c r="G120" s="3">
        <f>G119*(1+(_xlfn.XLOOKUP(G$1,'[1]Table 2'!$H$55:$L$55,'[1]Table 2'!$H$56:$L$56)))</f>
        <v>34.748607425051979</v>
      </c>
      <c r="H120" s="3">
        <f>H119*(1+(_xlfn.XLOOKUP(H$1,'[1]Table 2'!$H$55:$L$55,'[1]Table 2'!$H$56:$L$56)))</f>
        <v>2.4960075564991335</v>
      </c>
      <c r="I120" s="3">
        <f>I119*(1+(_xlfn.XLOOKUP(I$1,'[1]Table 2'!$H$55:$L$55,'[1]Table 2'!$H$56:$L$56)))</f>
        <v>34.748607425051979</v>
      </c>
      <c r="J120" s="3">
        <f>J119*(1+(_xlfn.XLOOKUP(J$1,'[1]Table 2'!$H$55:$L$55,'[1]Table 2'!$H$56:$L$56)))</f>
        <v>34.748607425051979</v>
      </c>
      <c r="K120" s="3">
        <f>K119*(1+(_xlfn.XLOOKUP(K$1,'[1]Table 2'!$H$55:$L$55,'[1]Table 2'!$H$56:$L$56)))</f>
        <v>34.748607425051979</v>
      </c>
      <c r="L120" s="3">
        <f>L119*(1+(_xlfn.XLOOKUP(L$1,'[1]Table 2'!$H$55:$L$55,'[1]Table 2'!$H$56:$L$56)))</f>
        <v>34.748607425051979</v>
      </c>
      <c r="M120" s="3">
        <f>M119*(1+(_xlfn.XLOOKUP(M$1,'[1]Table 2'!$H$55:$L$55,'[1]Table 2'!$H$56:$L$56)))</f>
        <v>15.422431859085538</v>
      </c>
      <c r="N120" s="3">
        <f>N119*(1+(_xlfn.XLOOKUP(N$1,'[1]Table 2'!$H$55:$L$55,'[1]Table 2'!$H$56:$L$56)))</f>
        <v>34.748607425051979</v>
      </c>
      <c r="O120" s="3">
        <f>O119*(1+(_xlfn.XLOOKUP(O$1,'[1]Table 2'!$H$55:$L$55,'[1]Table 2'!$H$56:$L$56)))</f>
        <v>2.4960075564991335</v>
      </c>
      <c r="P120" s="3">
        <f>P119*(1+(_xlfn.XLOOKUP(P$1,'[1]Table 2'!$H$55:$L$55,'[1]Table 2'!$H$56:$L$56)))</f>
        <v>34.748607425051979</v>
      </c>
      <c r="Q120" s="3">
        <f>Q119*(1+(_xlfn.XLOOKUP(Q$1,'[1]Table 2'!$H$55:$L$55,'[1]Table 2'!$H$56:$L$56)))</f>
        <v>15.422431859085538</v>
      </c>
      <c r="R120" s="3">
        <f>R119*(1+(_xlfn.XLOOKUP(R$1,'[1]Table 2'!$H$55:$L$55,'[1]Table 2'!$H$56:$L$56)))</f>
        <v>34.748607425051979</v>
      </c>
      <c r="S120" s="3">
        <f>S119*(1+(_xlfn.XLOOKUP(S$1,'[1]Table 2'!$H$55:$L$55,'[1]Table 2'!$H$56:$L$56)))</f>
        <v>2.4960075564991335</v>
      </c>
      <c r="T120" s="3">
        <f>T119*(1+(_xlfn.XLOOKUP(T$1,'[1]Table 2'!$H$55:$L$55,'[1]Table 2'!$H$56:$L$56)))</f>
        <v>118.57055043420824</v>
      </c>
      <c r="U120" s="3">
        <f>U119*(1+(_xlfn.XLOOKUP(U$1,'[1]Table 2'!$H$55:$L$55,'[1]Table 2'!$H$56:$L$56)))</f>
        <v>2.4960075564991335</v>
      </c>
      <c r="V120" s="3">
        <f>V119*(1+(_xlfn.XLOOKUP(V$1,'[1]Table 2'!$H$55:$L$55,'[1]Table 2'!$H$56:$L$56)))</f>
        <v>34.748607425051979</v>
      </c>
      <c r="W120" s="3">
        <f>W119*(1+(_xlfn.XLOOKUP(W$1,'[1]Table 2'!$H$55:$L$55,'[1]Table 2'!$H$56:$L$56)))</f>
        <v>4.0432275495605925</v>
      </c>
      <c r="X120" s="3">
        <f>X119*(1+(_xlfn.XLOOKUP(X$1,'[1]Table 2'!$H$55:$L$55,'[1]Table 2'!$H$56:$L$56)))</f>
        <v>15.422431859085538</v>
      </c>
      <c r="Y120" s="3">
        <f>Y119*(1+(_xlfn.XLOOKUP(Y$1,'[1]Table 2'!$H$55:$L$55,'[1]Table 2'!$H$56:$L$56)))</f>
        <v>4.0432275495605925</v>
      </c>
      <c r="Z120" s="3">
        <f>Z119*(1+(_xlfn.XLOOKUP(Z$1,'[1]Table 2'!$H$55:$L$55,'[1]Table 2'!$H$56:$L$56)))</f>
        <v>2.4960075564991335</v>
      </c>
      <c r="AA120" s="3">
        <f>AA119*(1+(_xlfn.XLOOKUP(AA$1,'[1]Table 2'!$H$55:$L$55,'[1]Table 2'!$H$56:$L$56)))</f>
        <v>4.0432275495605925</v>
      </c>
    </row>
    <row r="121" spans="1:27" x14ac:dyDescent="0.2">
      <c r="A121" s="1">
        <v>2089</v>
      </c>
      <c r="B121" s="3">
        <f>B120*(1+(_xlfn.XLOOKUP(B$1,'[1]Table 2'!$H$55:$L$55,'[1]Table 2'!$H$56:$L$56)))</f>
        <v>15.541258190561514</v>
      </c>
      <c r="C121" s="3">
        <f>C120*(1+(_xlfn.XLOOKUP(C$1,'[1]Table 2'!$H$55:$L$55,'[1]Table 2'!$H$56:$L$56)))</f>
        <v>15.541258190561514</v>
      </c>
      <c r="D121" s="3">
        <f>D120*(1+(_xlfn.XLOOKUP(D$1,'[1]Table 2'!$H$55:$L$55,'[1]Table 2'!$H$56:$L$56)))</f>
        <v>15.541258190561514</v>
      </c>
      <c r="E121" s="3">
        <f>E120*(1+(_xlfn.XLOOKUP(E$1,'[1]Table 2'!$H$55:$L$55,'[1]Table 2'!$H$56:$L$56)))</f>
        <v>35.062573680814864</v>
      </c>
      <c r="F121" s="3">
        <f>F120*(1+(_xlfn.XLOOKUP(F$1,'[1]Table 2'!$H$55:$L$55,'[1]Table 2'!$H$56:$L$56)))</f>
        <v>4.0447692308429017</v>
      </c>
      <c r="G121" s="3">
        <f>G120*(1+(_xlfn.XLOOKUP(G$1,'[1]Table 2'!$H$55:$L$55,'[1]Table 2'!$H$56:$L$56)))</f>
        <v>35.062573680814864</v>
      </c>
      <c r="H121" s="3">
        <f>H120*(1+(_xlfn.XLOOKUP(H$1,'[1]Table 2'!$H$55:$L$55,'[1]Table 2'!$H$56:$L$56)))</f>
        <v>2.4944735204512538</v>
      </c>
      <c r="I121" s="3">
        <f>I120*(1+(_xlfn.XLOOKUP(I$1,'[1]Table 2'!$H$55:$L$55,'[1]Table 2'!$H$56:$L$56)))</f>
        <v>35.062573680814864</v>
      </c>
      <c r="J121" s="3">
        <f>J120*(1+(_xlfn.XLOOKUP(J$1,'[1]Table 2'!$H$55:$L$55,'[1]Table 2'!$H$56:$L$56)))</f>
        <v>35.062573680814864</v>
      </c>
      <c r="K121" s="3">
        <f>K120*(1+(_xlfn.XLOOKUP(K$1,'[1]Table 2'!$H$55:$L$55,'[1]Table 2'!$H$56:$L$56)))</f>
        <v>35.062573680814864</v>
      </c>
      <c r="L121" s="3">
        <f>L120*(1+(_xlfn.XLOOKUP(L$1,'[1]Table 2'!$H$55:$L$55,'[1]Table 2'!$H$56:$L$56)))</f>
        <v>35.062573680814864</v>
      </c>
      <c r="M121" s="3">
        <f>M120*(1+(_xlfn.XLOOKUP(M$1,'[1]Table 2'!$H$55:$L$55,'[1]Table 2'!$H$56:$L$56)))</f>
        <v>15.541258190561514</v>
      </c>
      <c r="N121" s="3">
        <f>N120*(1+(_xlfn.XLOOKUP(N$1,'[1]Table 2'!$H$55:$L$55,'[1]Table 2'!$H$56:$L$56)))</f>
        <v>35.062573680814864</v>
      </c>
      <c r="O121" s="3">
        <f>O120*(1+(_xlfn.XLOOKUP(O$1,'[1]Table 2'!$H$55:$L$55,'[1]Table 2'!$H$56:$L$56)))</f>
        <v>2.4944735204512538</v>
      </c>
      <c r="P121" s="3">
        <f>P120*(1+(_xlfn.XLOOKUP(P$1,'[1]Table 2'!$H$55:$L$55,'[1]Table 2'!$H$56:$L$56)))</f>
        <v>35.062573680814864</v>
      </c>
      <c r="Q121" s="3">
        <f>Q120*(1+(_xlfn.XLOOKUP(Q$1,'[1]Table 2'!$H$55:$L$55,'[1]Table 2'!$H$56:$L$56)))</f>
        <v>15.541258190561514</v>
      </c>
      <c r="R121" s="3">
        <f>R120*(1+(_xlfn.XLOOKUP(R$1,'[1]Table 2'!$H$55:$L$55,'[1]Table 2'!$H$56:$L$56)))</f>
        <v>35.062573680814864</v>
      </c>
      <c r="S121" s="3">
        <f>S120*(1+(_xlfn.XLOOKUP(S$1,'[1]Table 2'!$H$55:$L$55,'[1]Table 2'!$H$56:$L$56)))</f>
        <v>2.4944735204512538</v>
      </c>
      <c r="T121" s="3">
        <f>T120*(1+(_xlfn.XLOOKUP(T$1,'[1]Table 2'!$H$55:$L$55,'[1]Table 2'!$H$56:$L$56)))</f>
        <v>120.93248279263338</v>
      </c>
      <c r="U121" s="3">
        <f>U120*(1+(_xlfn.XLOOKUP(U$1,'[1]Table 2'!$H$55:$L$55,'[1]Table 2'!$H$56:$L$56)))</f>
        <v>2.4944735204512538</v>
      </c>
      <c r="V121" s="3">
        <f>V120*(1+(_xlfn.XLOOKUP(V$1,'[1]Table 2'!$H$55:$L$55,'[1]Table 2'!$H$56:$L$56)))</f>
        <v>35.062573680814864</v>
      </c>
      <c r="W121" s="3">
        <f>W120*(1+(_xlfn.XLOOKUP(W$1,'[1]Table 2'!$H$55:$L$55,'[1]Table 2'!$H$56:$L$56)))</f>
        <v>4.0447692308429017</v>
      </c>
      <c r="X121" s="3">
        <f>X120*(1+(_xlfn.XLOOKUP(X$1,'[1]Table 2'!$H$55:$L$55,'[1]Table 2'!$H$56:$L$56)))</f>
        <v>15.541258190561514</v>
      </c>
      <c r="Y121" s="3">
        <f>Y120*(1+(_xlfn.XLOOKUP(Y$1,'[1]Table 2'!$H$55:$L$55,'[1]Table 2'!$H$56:$L$56)))</f>
        <v>4.0447692308429017</v>
      </c>
      <c r="Z121" s="3">
        <f>Z120*(1+(_xlfn.XLOOKUP(Z$1,'[1]Table 2'!$H$55:$L$55,'[1]Table 2'!$H$56:$L$56)))</f>
        <v>2.4944735204512538</v>
      </c>
      <c r="AA121" s="3">
        <f>AA120*(1+(_xlfn.XLOOKUP(AA$1,'[1]Table 2'!$H$55:$L$55,'[1]Table 2'!$H$56:$L$56)))</f>
        <v>4.0447692308429017</v>
      </c>
    </row>
    <row r="122" spans="1:27" x14ac:dyDescent="0.2">
      <c r="A122" s="1">
        <v>2090</v>
      </c>
      <c r="B122" s="3">
        <f>B121*(1+(_xlfn.XLOOKUP(B$1,'[1]Table 2'!$H$55:$L$55,'[1]Table 2'!$H$56:$L$56)))</f>
        <v>15.661000051908594</v>
      </c>
      <c r="C122" s="3">
        <f>C121*(1+(_xlfn.XLOOKUP(C$1,'[1]Table 2'!$H$55:$L$55,'[1]Table 2'!$H$56:$L$56)))</f>
        <v>15.661000051908594</v>
      </c>
      <c r="D122" s="3">
        <f>D121*(1+(_xlfn.XLOOKUP(D$1,'[1]Table 2'!$H$55:$L$55,'[1]Table 2'!$H$56:$L$56)))</f>
        <v>15.661000051908594</v>
      </c>
      <c r="E122" s="3">
        <f>E121*(1+(_xlfn.XLOOKUP(E$1,'[1]Table 2'!$H$55:$L$55,'[1]Table 2'!$H$56:$L$56)))</f>
        <v>35.379376735432793</v>
      </c>
      <c r="F122" s="3">
        <f>F121*(1+(_xlfn.XLOOKUP(F$1,'[1]Table 2'!$H$55:$L$55,'[1]Table 2'!$H$56:$L$56)))</f>
        <v>4.0463114999677572</v>
      </c>
      <c r="G122" s="3">
        <f>G121*(1+(_xlfn.XLOOKUP(G$1,'[1]Table 2'!$H$55:$L$55,'[1]Table 2'!$H$56:$L$56)))</f>
        <v>35.379376735432793</v>
      </c>
      <c r="H122" s="3">
        <f>H121*(1+(_xlfn.XLOOKUP(H$1,'[1]Table 2'!$H$55:$L$55,'[1]Table 2'!$H$56:$L$56)))</f>
        <v>2.4929404272156623</v>
      </c>
      <c r="I122" s="3">
        <f>I121*(1+(_xlfn.XLOOKUP(I$1,'[1]Table 2'!$H$55:$L$55,'[1]Table 2'!$H$56:$L$56)))</f>
        <v>35.379376735432793</v>
      </c>
      <c r="J122" s="3">
        <f>J121*(1+(_xlfn.XLOOKUP(J$1,'[1]Table 2'!$H$55:$L$55,'[1]Table 2'!$H$56:$L$56)))</f>
        <v>35.379376735432793</v>
      </c>
      <c r="K122" s="3">
        <f>K121*(1+(_xlfn.XLOOKUP(K$1,'[1]Table 2'!$H$55:$L$55,'[1]Table 2'!$H$56:$L$56)))</f>
        <v>35.379376735432793</v>
      </c>
      <c r="L122" s="3">
        <f>L121*(1+(_xlfn.XLOOKUP(L$1,'[1]Table 2'!$H$55:$L$55,'[1]Table 2'!$H$56:$L$56)))</f>
        <v>35.379376735432793</v>
      </c>
      <c r="M122" s="3">
        <f>M121*(1+(_xlfn.XLOOKUP(M$1,'[1]Table 2'!$H$55:$L$55,'[1]Table 2'!$H$56:$L$56)))</f>
        <v>15.661000051908594</v>
      </c>
      <c r="N122" s="3">
        <f>N121*(1+(_xlfn.XLOOKUP(N$1,'[1]Table 2'!$H$55:$L$55,'[1]Table 2'!$H$56:$L$56)))</f>
        <v>35.379376735432793</v>
      </c>
      <c r="O122" s="3">
        <f>O121*(1+(_xlfn.XLOOKUP(O$1,'[1]Table 2'!$H$55:$L$55,'[1]Table 2'!$H$56:$L$56)))</f>
        <v>2.4929404272156623</v>
      </c>
      <c r="P122" s="3">
        <f>P121*(1+(_xlfn.XLOOKUP(P$1,'[1]Table 2'!$H$55:$L$55,'[1]Table 2'!$H$56:$L$56)))</f>
        <v>35.379376735432793</v>
      </c>
      <c r="Q122" s="3">
        <f>Q121*(1+(_xlfn.XLOOKUP(Q$1,'[1]Table 2'!$H$55:$L$55,'[1]Table 2'!$H$56:$L$56)))</f>
        <v>15.661000051908594</v>
      </c>
      <c r="R122" s="3">
        <f>R121*(1+(_xlfn.XLOOKUP(R$1,'[1]Table 2'!$H$55:$L$55,'[1]Table 2'!$H$56:$L$56)))</f>
        <v>35.379376735432793</v>
      </c>
      <c r="S122" s="3">
        <f>S121*(1+(_xlfn.XLOOKUP(S$1,'[1]Table 2'!$H$55:$L$55,'[1]Table 2'!$H$56:$L$56)))</f>
        <v>2.4929404272156623</v>
      </c>
      <c r="T122" s="3">
        <f>T121*(1+(_xlfn.XLOOKUP(T$1,'[1]Table 2'!$H$55:$L$55,'[1]Table 2'!$H$56:$L$56)))</f>
        <v>123.34146498295476</v>
      </c>
      <c r="U122" s="3">
        <f>U121*(1+(_xlfn.XLOOKUP(U$1,'[1]Table 2'!$H$55:$L$55,'[1]Table 2'!$H$56:$L$56)))</f>
        <v>2.4929404272156623</v>
      </c>
      <c r="V122" s="3">
        <f>V121*(1+(_xlfn.XLOOKUP(V$1,'[1]Table 2'!$H$55:$L$55,'[1]Table 2'!$H$56:$L$56)))</f>
        <v>35.379376735432793</v>
      </c>
      <c r="W122" s="3">
        <f>W121*(1+(_xlfn.XLOOKUP(W$1,'[1]Table 2'!$H$55:$L$55,'[1]Table 2'!$H$56:$L$56)))</f>
        <v>4.0463114999677572</v>
      </c>
      <c r="X122" s="3">
        <f>X121*(1+(_xlfn.XLOOKUP(X$1,'[1]Table 2'!$H$55:$L$55,'[1]Table 2'!$H$56:$L$56)))</f>
        <v>15.661000051908594</v>
      </c>
      <c r="Y122" s="3">
        <f>Y121*(1+(_xlfn.XLOOKUP(Y$1,'[1]Table 2'!$H$55:$L$55,'[1]Table 2'!$H$56:$L$56)))</f>
        <v>4.0463114999677572</v>
      </c>
      <c r="Z122" s="3">
        <f>Z121*(1+(_xlfn.XLOOKUP(Z$1,'[1]Table 2'!$H$55:$L$55,'[1]Table 2'!$H$56:$L$56)))</f>
        <v>2.4929404272156623</v>
      </c>
      <c r="AA122" s="3">
        <f>AA121*(1+(_xlfn.XLOOKUP(AA$1,'[1]Table 2'!$H$55:$L$55,'[1]Table 2'!$H$56:$L$56)))</f>
        <v>4.0463114999677572</v>
      </c>
    </row>
    <row r="123" spans="1:27" x14ac:dyDescent="0.2">
      <c r="A123" s="1">
        <v>2091</v>
      </c>
      <c r="B123" s="3">
        <f>B122*(1+(_xlfn.XLOOKUP(B$1,'[1]Table 2'!$H$55:$L$55,'[1]Table 2'!$H$56:$L$56)))</f>
        <v>15.781664497076305</v>
      </c>
      <c r="C123" s="3">
        <f>C122*(1+(_xlfn.XLOOKUP(C$1,'[1]Table 2'!$H$55:$L$55,'[1]Table 2'!$H$56:$L$56)))</f>
        <v>15.781664497076305</v>
      </c>
      <c r="D123" s="3">
        <f>D122*(1+(_xlfn.XLOOKUP(D$1,'[1]Table 2'!$H$55:$L$55,'[1]Table 2'!$H$56:$L$56)))</f>
        <v>15.781664497076305</v>
      </c>
      <c r="E123" s="3">
        <f>E122*(1+(_xlfn.XLOOKUP(E$1,'[1]Table 2'!$H$55:$L$55,'[1]Table 2'!$H$56:$L$56)))</f>
        <v>35.699042220411052</v>
      </c>
      <c r="F123" s="3">
        <f>F122*(1+(_xlfn.XLOOKUP(F$1,'[1]Table 2'!$H$55:$L$55,'[1]Table 2'!$H$56:$L$56)))</f>
        <v>4.0478543571593022</v>
      </c>
      <c r="G123" s="3">
        <f>G122*(1+(_xlfn.XLOOKUP(G$1,'[1]Table 2'!$H$55:$L$55,'[1]Table 2'!$H$56:$L$56)))</f>
        <v>35.699042220411052</v>
      </c>
      <c r="H123" s="3">
        <f>H122*(1+(_xlfn.XLOOKUP(H$1,'[1]Table 2'!$H$55:$L$55,'[1]Table 2'!$H$56:$L$56)))</f>
        <v>2.4914082762129106</v>
      </c>
      <c r="I123" s="3">
        <f>I122*(1+(_xlfn.XLOOKUP(I$1,'[1]Table 2'!$H$55:$L$55,'[1]Table 2'!$H$56:$L$56)))</f>
        <v>35.699042220411052</v>
      </c>
      <c r="J123" s="3">
        <f>J122*(1+(_xlfn.XLOOKUP(J$1,'[1]Table 2'!$H$55:$L$55,'[1]Table 2'!$H$56:$L$56)))</f>
        <v>35.699042220411052</v>
      </c>
      <c r="K123" s="3">
        <f>K122*(1+(_xlfn.XLOOKUP(K$1,'[1]Table 2'!$H$55:$L$55,'[1]Table 2'!$H$56:$L$56)))</f>
        <v>35.699042220411052</v>
      </c>
      <c r="L123" s="3">
        <f>L122*(1+(_xlfn.XLOOKUP(L$1,'[1]Table 2'!$H$55:$L$55,'[1]Table 2'!$H$56:$L$56)))</f>
        <v>35.699042220411052</v>
      </c>
      <c r="M123" s="3">
        <f>M122*(1+(_xlfn.XLOOKUP(M$1,'[1]Table 2'!$H$55:$L$55,'[1]Table 2'!$H$56:$L$56)))</f>
        <v>15.781664497076305</v>
      </c>
      <c r="N123" s="3">
        <f>N122*(1+(_xlfn.XLOOKUP(N$1,'[1]Table 2'!$H$55:$L$55,'[1]Table 2'!$H$56:$L$56)))</f>
        <v>35.699042220411052</v>
      </c>
      <c r="O123" s="3">
        <f>O122*(1+(_xlfn.XLOOKUP(O$1,'[1]Table 2'!$H$55:$L$55,'[1]Table 2'!$H$56:$L$56)))</f>
        <v>2.4914082762129106</v>
      </c>
      <c r="P123" s="3">
        <f>P122*(1+(_xlfn.XLOOKUP(P$1,'[1]Table 2'!$H$55:$L$55,'[1]Table 2'!$H$56:$L$56)))</f>
        <v>35.699042220411052</v>
      </c>
      <c r="Q123" s="3">
        <f>Q122*(1+(_xlfn.XLOOKUP(Q$1,'[1]Table 2'!$H$55:$L$55,'[1]Table 2'!$H$56:$L$56)))</f>
        <v>15.781664497076305</v>
      </c>
      <c r="R123" s="3">
        <f>R122*(1+(_xlfn.XLOOKUP(R$1,'[1]Table 2'!$H$55:$L$55,'[1]Table 2'!$H$56:$L$56)))</f>
        <v>35.699042220411052</v>
      </c>
      <c r="S123" s="3">
        <f>S122*(1+(_xlfn.XLOOKUP(S$1,'[1]Table 2'!$H$55:$L$55,'[1]Table 2'!$H$56:$L$56)))</f>
        <v>2.4914082762129106</v>
      </c>
      <c r="T123" s="3">
        <f>T122*(1+(_xlfn.XLOOKUP(T$1,'[1]Table 2'!$H$55:$L$55,'[1]Table 2'!$H$56:$L$56)))</f>
        <v>125.79843424059897</v>
      </c>
      <c r="U123" s="3">
        <f>U122*(1+(_xlfn.XLOOKUP(U$1,'[1]Table 2'!$H$55:$L$55,'[1]Table 2'!$H$56:$L$56)))</f>
        <v>2.4914082762129106</v>
      </c>
      <c r="V123" s="3">
        <f>V122*(1+(_xlfn.XLOOKUP(V$1,'[1]Table 2'!$H$55:$L$55,'[1]Table 2'!$H$56:$L$56)))</f>
        <v>35.699042220411052</v>
      </c>
      <c r="W123" s="3">
        <f>W122*(1+(_xlfn.XLOOKUP(W$1,'[1]Table 2'!$H$55:$L$55,'[1]Table 2'!$H$56:$L$56)))</f>
        <v>4.0478543571593022</v>
      </c>
      <c r="X123" s="3">
        <f>X122*(1+(_xlfn.XLOOKUP(X$1,'[1]Table 2'!$H$55:$L$55,'[1]Table 2'!$H$56:$L$56)))</f>
        <v>15.781664497076305</v>
      </c>
      <c r="Y123" s="3">
        <f>Y122*(1+(_xlfn.XLOOKUP(Y$1,'[1]Table 2'!$H$55:$L$55,'[1]Table 2'!$H$56:$L$56)))</f>
        <v>4.0478543571593022</v>
      </c>
      <c r="Z123" s="3">
        <f>Z122*(1+(_xlfn.XLOOKUP(Z$1,'[1]Table 2'!$H$55:$L$55,'[1]Table 2'!$H$56:$L$56)))</f>
        <v>2.4914082762129106</v>
      </c>
      <c r="AA123" s="3">
        <f>AA122*(1+(_xlfn.XLOOKUP(AA$1,'[1]Table 2'!$H$55:$L$55,'[1]Table 2'!$H$56:$L$56)))</f>
        <v>4.0478543571593022</v>
      </c>
    </row>
    <row r="124" spans="1:27" x14ac:dyDescent="0.2">
      <c r="A124" s="1">
        <v>2092</v>
      </c>
      <c r="B124" s="3">
        <f>B123*(1+(_xlfn.XLOOKUP(B$1,'[1]Table 2'!$H$55:$L$55,'[1]Table 2'!$H$56:$L$56)))</f>
        <v>15.903258634363253</v>
      </c>
      <c r="C124" s="3">
        <f>C123*(1+(_xlfn.XLOOKUP(C$1,'[1]Table 2'!$H$55:$L$55,'[1]Table 2'!$H$56:$L$56)))</f>
        <v>15.903258634363253</v>
      </c>
      <c r="D124" s="3">
        <f>D123*(1+(_xlfn.XLOOKUP(D$1,'[1]Table 2'!$H$55:$L$55,'[1]Table 2'!$H$56:$L$56)))</f>
        <v>15.903258634363253</v>
      </c>
      <c r="E124" s="3">
        <f>E123*(1+(_xlfn.XLOOKUP(E$1,'[1]Table 2'!$H$55:$L$55,'[1]Table 2'!$H$56:$L$56)))</f>
        <v>36.021595998844859</v>
      </c>
      <c r="F124" s="3">
        <f>F123*(1+(_xlfn.XLOOKUP(F$1,'[1]Table 2'!$H$55:$L$55,'[1]Table 2'!$H$56:$L$56)))</f>
        <v>4.0493978026417672</v>
      </c>
      <c r="G124" s="3">
        <f>G123*(1+(_xlfn.XLOOKUP(G$1,'[1]Table 2'!$H$55:$L$55,'[1]Table 2'!$H$56:$L$56)))</f>
        <v>36.021595998844859</v>
      </c>
      <c r="H124" s="3">
        <f>H123*(1+(_xlfn.XLOOKUP(H$1,'[1]Table 2'!$H$55:$L$55,'[1]Table 2'!$H$56:$L$56)))</f>
        <v>2.4898770668639063</v>
      </c>
      <c r="I124" s="3">
        <f>I123*(1+(_xlfn.XLOOKUP(I$1,'[1]Table 2'!$H$55:$L$55,'[1]Table 2'!$H$56:$L$56)))</f>
        <v>36.021595998844859</v>
      </c>
      <c r="J124" s="3">
        <f>J123*(1+(_xlfn.XLOOKUP(J$1,'[1]Table 2'!$H$55:$L$55,'[1]Table 2'!$H$56:$L$56)))</f>
        <v>36.021595998844859</v>
      </c>
      <c r="K124" s="3">
        <f>K123*(1+(_xlfn.XLOOKUP(K$1,'[1]Table 2'!$H$55:$L$55,'[1]Table 2'!$H$56:$L$56)))</f>
        <v>36.021595998844859</v>
      </c>
      <c r="L124" s="3">
        <f>L123*(1+(_xlfn.XLOOKUP(L$1,'[1]Table 2'!$H$55:$L$55,'[1]Table 2'!$H$56:$L$56)))</f>
        <v>36.021595998844859</v>
      </c>
      <c r="M124" s="3">
        <f>M123*(1+(_xlfn.XLOOKUP(M$1,'[1]Table 2'!$H$55:$L$55,'[1]Table 2'!$H$56:$L$56)))</f>
        <v>15.903258634363253</v>
      </c>
      <c r="N124" s="3">
        <f>N123*(1+(_xlfn.XLOOKUP(N$1,'[1]Table 2'!$H$55:$L$55,'[1]Table 2'!$H$56:$L$56)))</f>
        <v>36.021595998844859</v>
      </c>
      <c r="O124" s="3">
        <f>O123*(1+(_xlfn.XLOOKUP(O$1,'[1]Table 2'!$H$55:$L$55,'[1]Table 2'!$H$56:$L$56)))</f>
        <v>2.4898770668639063</v>
      </c>
      <c r="P124" s="3">
        <f>P123*(1+(_xlfn.XLOOKUP(P$1,'[1]Table 2'!$H$55:$L$55,'[1]Table 2'!$H$56:$L$56)))</f>
        <v>36.021595998844859</v>
      </c>
      <c r="Q124" s="3">
        <f>Q123*(1+(_xlfn.XLOOKUP(Q$1,'[1]Table 2'!$H$55:$L$55,'[1]Table 2'!$H$56:$L$56)))</f>
        <v>15.903258634363253</v>
      </c>
      <c r="R124" s="3">
        <f>R123*(1+(_xlfn.XLOOKUP(R$1,'[1]Table 2'!$H$55:$L$55,'[1]Table 2'!$H$56:$L$56)))</f>
        <v>36.021595998844859</v>
      </c>
      <c r="S124" s="3">
        <f>S123*(1+(_xlfn.XLOOKUP(S$1,'[1]Table 2'!$H$55:$L$55,'[1]Table 2'!$H$56:$L$56)))</f>
        <v>2.4898770668639063</v>
      </c>
      <c r="T124" s="3">
        <f>T123*(1+(_xlfn.XLOOKUP(T$1,'[1]Table 2'!$H$55:$L$55,'[1]Table 2'!$H$56:$L$56)))</f>
        <v>128.30434647077752</v>
      </c>
      <c r="U124" s="3">
        <f>U123*(1+(_xlfn.XLOOKUP(U$1,'[1]Table 2'!$H$55:$L$55,'[1]Table 2'!$H$56:$L$56)))</f>
        <v>2.4898770668639063</v>
      </c>
      <c r="V124" s="3">
        <f>V123*(1+(_xlfn.XLOOKUP(V$1,'[1]Table 2'!$H$55:$L$55,'[1]Table 2'!$H$56:$L$56)))</f>
        <v>36.021595998844859</v>
      </c>
      <c r="W124" s="3">
        <f>W123*(1+(_xlfn.XLOOKUP(W$1,'[1]Table 2'!$H$55:$L$55,'[1]Table 2'!$H$56:$L$56)))</f>
        <v>4.0493978026417672</v>
      </c>
      <c r="X124" s="3">
        <f>X123*(1+(_xlfn.XLOOKUP(X$1,'[1]Table 2'!$H$55:$L$55,'[1]Table 2'!$H$56:$L$56)))</f>
        <v>15.903258634363253</v>
      </c>
      <c r="Y124" s="3">
        <f>Y123*(1+(_xlfn.XLOOKUP(Y$1,'[1]Table 2'!$H$55:$L$55,'[1]Table 2'!$H$56:$L$56)))</f>
        <v>4.0493978026417672</v>
      </c>
      <c r="Z124" s="3">
        <f>Z123*(1+(_xlfn.XLOOKUP(Z$1,'[1]Table 2'!$H$55:$L$55,'[1]Table 2'!$H$56:$L$56)))</f>
        <v>2.4898770668639063</v>
      </c>
      <c r="AA124" s="3">
        <f>AA123*(1+(_xlfn.XLOOKUP(AA$1,'[1]Table 2'!$H$55:$L$55,'[1]Table 2'!$H$56:$L$56)))</f>
        <v>4.0493978026417672</v>
      </c>
    </row>
    <row r="125" spans="1:27" x14ac:dyDescent="0.2">
      <c r="A125" s="1">
        <v>2093</v>
      </c>
      <c r="B125" s="3">
        <f>B124*(1+(_xlfn.XLOOKUP(B$1,'[1]Table 2'!$H$55:$L$55,'[1]Table 2'!$H$56:$L$56)))</f>
        <v>16.02578962683587</v>
      </c>
      <c r="C125" s="3">
        <f>C124*(1+(_xlfn.XLOOKUP(C$1,'[1]Table 2'!$H$55:$L$55,'[1]Table 2'!$H$56:$L$56)))</f>
        <v>16.02578962683587</v>
      </c>
      <c r="D125" s="3">
        <f>D124*(1+(_xlfn.XLOOKUP(D$1,'[1]Table 2'!$H$55:$L$55,'[1]Table 2'!$H$56:$L$56)))</f>
        <v>16.02578962683587</v>
      </c>
      <c r="E125" s="3">
        <f>E124*(1+(_xlfn.XLOOKUP(E$1,'[1]Table 2'!$H$55:$L$55,'[1]Table 2'!$H$56:$L$56)))</f>
        <v>36.347064167511874</v>
      </c>
      <c r="F125" s="3">
        <f>F124*(1+(_xlfn.XLOOKUP(F$1,'[1]Table 2'!$H$55:$L$55,'[1]Table 2'!$H$56:$L$56)))</f>
        <v>4.0509418366394669</v>
      </c>
      <c r="G125" s="3">
        <f>G124*(1+(_xlfn.XLOOKUP(G$1,'[1]Table 2'!$H$55:$L$55,'[1]Table 2'!$H$56:$L$56)))</f>
        <v>36.347064167511874</v>
      </c>
      <c r="H125" s="3">
        <f>H124*(1+(_xlfn.XLOOKUP(H$1,'[1]Table 2'!$H$55:$L$55,'[1]Table 2'!$H$56:$L$56)))</f>
        <v>2.4883467985899128</v>
      </c>
      <c r="I125" s="3">
        <f>I124*(1+(_xlfn.XLOOKUP(I$1,'[1]Table 2'!$H$55:$L$55,'[1]Table 2'!$H$56:$L$56)))</f>
        <v>36.347064167511874</v>
      </c>
      <c r="J125" s="3">
        <f>J124*(1+(_xlfn.XLOOKUP(J$1,'[1]Table 2'!$H$55:$L$55,'[1]Table 2'!$H$56:$L$56)))</f>
        <v>36.347064167511874</v>
      </c>
      <c r="K125" s="3">
        <f>K124*(1+(_xlfn.XLOOKUP(K$1,'[1]Table 2'!$H$55:$L$55,'[1]Table 2'!$H$56:$L$56)))</f>
        <v>36.347064167511874</v>
      </c>
      <c r="L125" s="3">
        <f>L124*(1+(_xlfn.XLOOKUP(L$1,'[1]Table 2'!$H$55:$L$55,'[1]Table 2'!$H$56:$L$56)))</f>
        <v>36.347064167511874</v>
      </c>
      <c r="M125" s="3">
        <f>M124*(1+(_xlfn.XLOOKUP(M$1,'[1]Table 2'!$H$55:$L$55,'[1]Table 2'!$H$56:$L$56)))</f>
        <v>16.02578962683587</v>
      </c>
      <c r="N125" s="3">
        <f>N124*(1+(_xlfn.XLOOKUP(N$1,'[1]Table 2'!$H$55:$L$55,'[1]Table 2'!$H$56:$L$56)))</f>
        <v>36.347064167511874</v>
      </c>
      <c r="O125" s="3">
        <f>O124*(1+(_xlfn.XLOOKUP(O$1,'[1]Table 2'!$H$55:$L$55,'[1]Table 2'!$H$56:$L$56)))</f>
        <v>2.4883467985899128</v>
      </c>
      <c r="P125" s="3">
        <f>P124*(1+(_xlfn.XLOOKUP(P$1,'[1]Table 2'!$H$55:$L$55,'[1]Table 2'!$H$56:$L$56)))</f>
        <v>36.347064167511874</v>
      </c>
      <c r="Q125" s="3">
        <f>Q124*(1+(_xlfn.XLOOKUP(Q$1,'[1]Table 2'!$H$55:$L$55,'[1]Table 2'!$H$56:$L$56)))</f>
        <v>16.02578962683587</v>
      </c>
      <c r="R125" s="3">
        <f>R124*(1+(_xlfn.XLOOKUP(R$1,'[1]Table 2'!$H$55:$L$55,'[1]Table 2'!$H$56:$L$56)))</f>
        <v>36.347064167511874</v>
      </c>
      <c r="S125" s="3">
        <f>S124*(1+(_xlfn.XLOOKUP(S$1,'[1]Table 2'!$H$55:$L$55,'[1]Table 2'!$H$56:$L$56)))</f>
        <v>2.4883467985899128</v>
      </c>
      <c r="T125" s="3">
        <f>T124*(1+(_xlfn.XLOOKUP(T$1,'[1]Table 2'!$H$55:$L$55,'[1]Table 2'!$H$56:$L$56)))</f>
        <v>130.86017662039018</v>
      </c>
      <c r="U125" s="3">
        <f>U124*(1+(_xlfn.XLOOKUP(U$1,'[1]Table 2'!$H$55:$L$55,'[1]Table 2'!$H$56:$L$56)))</f>
        <v>2.4883467985899128</v>
      </c>
      <c r="V125" s="3">
        <f>V124*(1+(_xlfn.XLOOKUP(V$1,'[1]Table 2'!$H$55:$L$55,'[1]Table 2'!$H$56:$L$56)))</f>
        <v>36.347064167511874</v>
      </c>
      <c r="W125" s="3">
        <f>W124*(1+(_xlfn.XLOOKUP(W$1,'[1]Table 2'!$H$55:$L$55,'[1]Table 2'!$H$56:$L$56)))</f>
        <v>4.0509418366394669</v>
      </c>
      <c r="X125" s="3">
        <f>X124*(1+(_xlfn.XLOOKUP(X$1,'[1]Table 2'!$H$55:$L$55,'[1]Table 2'!$H$56:$L$56)))</f>
        <v>16.02578962683587</v>
      </c>
      <c r="Y125" s="3">
        <f>Y124*(1+(_xlfn.XLOOKUP(Y$1,'[1]Table 2'!$H$55:$L$55,'[1]Table 2'!$H$56:$L$56)))</f>
        <v>4.0509418366394669</v>
      </c>
      <c r="Z125" s="3">
        <f>Z124*(1+(_xlfn.XLOOKUP(Z$1,'[1]Table 2'!$H$55:$L$55,'[1]Table 2'!$H$56:$L$56)))</f>
        <v>2.4883467985899128</v>
      </c>
      <c r="AA125" s="3">
        <f>AA124*(1+(_xlfn.XLOOKUP(AA$1,'[1]Table 2'!$H$55:$L$55,'[1]Table 2'!$H$56:$L$56)))</f>
        <v>4.0509418366394669</v>
      </c>
    </row>
    <row r="126" spans="1:27" x14ac:dyDescent="0.2">
      <c r="A126" s="1">
        <v>2094</v>
      </c>
      <c r="B126" s="3">
        <f>B125*(1+(_xlfn.XLOOKUP(B$1,'[1]Table 2'!$H$55:$L$55,'[1]Table 2'!$H$56:$L$56)))</f>
        <v>16.149264692750382</v>
      </c>
      <c r="C126" s="3">
        <f>C125*(1+(_xlfn.XLOOKUP(C$1,'[1]Table 2'!$H$55:$L$55,'[1]Table 2'!$H$56:$L$56)))</f>
        <v>16.149264692750382</v>
      </c>
      <c r="D126" s="3">
        <f>D125*(1+(_xlfn.XLOOKUP(D$1,'[1]Table 2'!$H$55:$L$55,'[1]Table 2'!$H$56:$L$56)))</f>
        <v>16.149264692750382</v>
      </c>
      <c r="E126" s="3">
        <f>E125*(1+(_xlfn.XLOOKUP(E$1,'[1]Table 2'!$H$55:$L$55,'[1]Table 2'!$H$56:$L$56)))</f>
        <v>36.675473058983592</v>
      </c>
      <c r="F126" s="3">
        <f>F125*(1+(_xlfn.XLOOKUP(F$1,'[1]Table 2'!$H$55:$L$55,'[1]Table 2'!$H$56:$L$56)))</f>
        <v>4.0524864593768024</v>
      </c>
      <c r="G126" s="3">
        <f>G125*(1+(_xlfn.XLOOKUP(G$1,'[1]Table 2'!$H$55:$L$55,'[1]Table 2'!$H$56:$L$56)))</f>
        <v>36.675473058983592</v>
      </c>
      <c r="H126" s="3">
        <f>H125*(1+(_xlfn.XLOOKUP(H$1,'[1]Table 2'!$H$55:$L$55,'[1]Table 2'!$H$56:$L$56)))</f>
        <v>2.4868174708125492</v>
      </c>
      <c r="I126" s="3">
        <f>I125*(1+(_xlfn.XLOOKUP(I$1,'[1]Table 2'!$H$55:$L$55,'[1]Table 2'!$H$56:$L$56)))</f>
        <v>36.675473058983592</v>
      </c>
      <c r="J126" s="3">
        <f>J125*(1+(_xlfn.XLOOKUP(J$1,'[1]Table 2'!$H$55:$L$55,'[1]Table 2'!$H$56:$L$56)))</f>
        <v>36.675473058983592</v>
      </c>
      <c r="K126" s="3">
        <f>K125*(1+(_xlfn.XLOOKUP(K$1,'[1]Table 2'!$H$55:$L$55,'[1]Table 2'!$H$56:$L$56)))</f>
        <v>36.675473058983592</v>
      </c>
      <c r="L126" s="3">
        <f>L125*(1+(_xlfn.XLOOKUP(L$1,'[1]Table 2'!$H$55:$L$55,'[1]Table 2'!$H$56:$L$56)))</f>
        <v>36.675473058983592</v>
      </c>
      <c r="M126" s="3">
        <f>M125*(1+(_xlfn.XLOOKUP(M$1,'[1]Table 2'!$H$55:$L$55,'[1]Table 2'!$H$56:$L$56)))</f>
        <v>16.149264692750382</v>
      </c>
      <c r="N126" s="3">
        <f>N125*(1+(_xlfn.XLOOKUP(N$1,'[1]Table 2'!$H$55:$L$55,'[1]Table 2'!$H$56:$L$56)))</f>
        <v>36.675473058983592</v>
      </c>
      <c r="O126" s="3">
        <f>O125*(1+(_xlfn.XLOOKUP(O$1,'[1]Table 2'!$H$55:$L$55,'[1]Table 2'!$H$56:$L$56)))</f>
        <v>2.4868174708125492</v>
      </c>
      <c r="P126" s="3">
        <f>P125*(1+(_xlfn.XLOOKUP(P$1,'[1]Table 2'!$H$55:$L$55,'[1]Table 2'!$H$56:$L$56)))</f>
        <v>36.675473058983592</v>
      </c>
      <c r="Q126" s="3">
        <f>Q125*(1+(_xlfn.XLOOKUP(Q$1,'[1]Table 2'!$H$55:$L$55,'[1]Table 2'!$H$56:$L$56)))</f>
        <v>16.149264692750382</v>
      </c>
      <c r="R126" s="3">
        <f>R125*(1+(_xlfn.XLOOKUP(R$1,'[1]Table 2'!$H$55:$L$55,'[1]Table 2'!$H$56:$L$56)))</f>
        <v>36.675473058983592</v>
      </c>
      <c r="S126" s="3">
        <f>S125*(1+(_xlfn.XLOOKUP(S$1,'[1]Table 2'!$H$55:$L$55,'[1]Table 2'!$H$56:$L$56)))</f>
        <v>2.4868174708125492</v>
      </c>
      <c r="T126" s="3">
        <f>T125*(1+(_xlfn.XLOOKUP(T$1,'[1]Table 2'!$H$55:$L$55,'[1]Table 2'!$H$56:$L$56)))</f>
        <v>133.46691905733644</v>
      </c>
      <c r="U126" s="3">
        <f>U125*(1+(_xlfn.XLOOKUP(U$1,'[1]Table 2'!$H$55:$L$55,'[1]Table 2'!$H$56:$L$56)))</f>
        <v>2.4868174708125492</v>
      </c>
      <c r="V126" s="3">
        <f>V125*(1+(_xlfn.XLOOKUP(V$1,'[1]Table 2'!$H$55:$L$55,'[1]Table 2'!$H$56:$L$56)))</f>
        <v>36.675473058983592</v>
      </c>
      <c r="W126" s="3">
        <f>W125*(1+(_xlfn.XLOOKUP(W$1,'[1]Table 2'!$H$55:$L$55,'[1]Table 2'!$H$56:$L$56)))</f>
        <v>4.0524864593768024</v>
      </c>
      <c r="X126" s="3">
        <f>X125*(1+(_xlfn.XLOOKUP(X$1,'[1]Table 2'!$H$55:$L$55,'[1]Table 2'!$H$56:$L$56)))</f>
        <v>16.149264692750382</v>
      </c>
      <c r="Y126" s="3">
        <f>Y125*(1+(_xlfn.XLOOKUP(Y$1,'[1]Table 2'!$H$55:$L$55,'[1]Table 2'!$H$56:$L$56)))</f>
        <v>4.0524864593768024</v>
      </c>
      <c r="Z126" s="3">
        <f>Z125*(1+(_xlfn.XLOOKUP(Z$1,'[1]Table 2'!$H$55:$L$55,'[1]Table 2'!$H$56:$L$56)))</f>
        <v>2.4868174708125492</v>
      </c>
      <c r="AA126" s="3">
        <f>AA125*(1+(_xlfn.XLOOKUP(AA$1,'[1]Table 2'!$H$55:$L$55,'[1]Table 2'!$H$56:$L$56)))</f>
        <v>4.0524864593768024</v>
      </c>
    </row>
    <row r="127" spans="1:27" x14ac:dyDescent="0.2">
      <c r="A127" s="1">
        <v>2095</v>
      </c>
      <c r="B127" s="3">
        <f>B126*(1+(_xlfn.XLOOKUP(B$1,'[1]Table 2'!$H$55:$L$55,'[1]Table 2'!$H$56:$L$56)))</f>
        <v>16.273691105978045</v>
      </c>
      <c r="C127" s="3">
        <f>C126*(1+(_xlfn.XLOOKUP(C$1,'[1]Table 2'!$H$55:$L$55,'[1]Table 2'!$H$56:$L$56)))</f>
        <v>16.273691105978045</v>
      </c>
      <c r="D127" s="3">
        <f>D126*(1+(_xlfn.XLOOKUP(D$1,'[1]Table 2'!$H$55:$L$55,'[1]Table 2'!$H$56:$L$56)))</f>
        <v>16.273691105978045</v>
      </c>
      <c r="E127" s="3">
        <f>E126*(1+(_xlfn.XLOOKUP(E$1,'[1]Table 2'!$H$55:$L$55,'[1]Table 2'!$H$56:$L$56)))</f>
        <v>37.006849243755823</v>
      </c>
      <c r="F127" s="3">
        <f>F126*(1+(_xlfn.XLOOKUP(F$1,'[1]Table 2'!$H$55:$L$55,'[1]Table 2'!$H$56:$L$56)))</f>
        <v>4.0540316710782598</v>
      </c>
      <c r="G127" s="3">
        <f>G126*(1+(_xlfn.XLOOKUP(G$1,'[1]Table 2'!$H$55:$L$55,'[1]Table 2'!$H$56:$L$56)))</f>
        <v>37.006849243755823</v>
      </c>
      <c r="H127" s="3">
        <f>H126*(1+(_xlfn.XLOOKUP(H$1,'[1]Table 2'!$H$55:$L$55,'[1]Table 2'!$H$56:$L$56)))</f>
        <v>2.4852890829537904</v>
      </c>
      <c r="I127" s="3">
        <f>I126*(1+(_xlfn.XLOOKUP(I$1,'[1]Table 2'!$H$55:$L$55,'[1]Table 2'!$H$56:$L$56)))</f>
        <v>37.006849243755823</v>
      </c>
      <c r="J127" s="3">
        <f>J126*(1+(_xlfn.XLOOKUP(J$1,'[1]Table 2'!$H$55:$L$55,'[1]Table 2'!$H$56:$L$56)))</f>
        <v>37.006849243755823</v>
      </c>
      <c r="K127" s="3">
        <f>K126*(1+(_xlfn.XLOOKUP(K$1,'[1]Table 2'!$H$55:$L$55,'[1]Table 2'!$H$56:$L$56)))</f>
        <v>37.006849243755823</v>
      </c>
      <c r="L127" s="3">
        <f>L126*(1+(_xlfn.XLOOKUP(L$1,'[1]Table 2'!$H$55:$L$55,'[1]Table 2'!$H$56:$L$56)))</f>
        <v>37.006849243755823</v>
      </c>
      <c r="M127" s="3">
        <f>M126*(1+(_xlfn.XLOOKUP(M$1,'[1]Table 2'!$H$55:$L$55,'[1]Table 2'!$H$56:$L$56)))</f>
        <v>16.273691105978045</v>
      </c>
      <c r="N127" s="3">
        <f>N126*(1+(_xlfn.XLOOKUP(N$1,'[1]Table 2'!$H$55:$L$55,'[1]Table 2'!$H$56:$L$56)))</f>
        <v>37.006849243755823</v>
      </c>
      <c r="O127" s="3">
        <f>O126*(1+(_xlfn.XLOOKUP(O$1,'[1]Table 2'!$H$55:$L$55,'[1]Table 2'!$H$56:$L$56)))</f>
        <v>2.4852890829537904</v>
      </c>
      <c r="P127" s="3">
        <f>P126*(1+(_xlfn.XLOOKUP(P$1,'[1]Table 2'!$H$55:$L$55,'[1]Table 2'!$H$56:$L$56)))</f>
        <v>37.006849243755823</v>
      </c>
      <c r="Q127" s="3">
        <f>Q126*(1+(_xlfn.XLOOKUP(Q$1,'[1]Table 2'!$H$55:$L$55,'[1]Table 2'!$H$56:$L$56)))</f>
        <v>16.273691105978045</v>
      </c>
      <c r="R127" s="3">
        <f>R126*(1+(_xlfn.XLOOKUP(R$1,'[1]Table 2'!$H$55:$L$55,'[1]Table 2'!$H$56:$L$56)))</f>
        <v>37.006849243755823</v>
      </c>
      <c r="S127" s="3">
        <f>S126*(1+(_xlfn.XLOOKUP(S$1,'[1]Table 2'!$H$55:$L$55,'[1]Table 2'!$H$56:$L$56)))</f>
        <v>2.4852890829537904</v>
      </c>
      <c r="T127" s="3">
        <f>T126*(1+(_xlfn.XLOOKUP(T$1,'[1]Table 2'!$H$55:$L$55,'[1]Table 2'!$H$56:$L$56)))</f>
        <v>136.125587957383</v>
      </c>
      <c r="U127" s="3">
        <f>U126*(1+(_xlfn.XLOOKUP(U$1,'[1]Table 2'!$H$55:$L$55,'[1]Table 2'!$H$56:$L$56)))</f>
        <v>2.4852890829537904</v>
      </c>
      <c r="V127" s="3">
        <f>V126*(1+(_xlfn.XLOOKUP(V$1,'[1]Table 2'!$H$55:$L$55,'[1]Table 2'!$H$56:$L$56)))</f>
        <v>37.006849243755823</v>
      </c>
      <c r="W127" s="3">
        <f>W126*(1+(_xlfn.XLOOKUP(W$1,'[1]Table 2'!$H$55:$L$55,'[1]Table 2'!$H$56:$L$56)))</f>
        <v>4.0540316710782598</v>
      </c>
      <c r="X127" s="3">
        <f>X126*(1+(_xlfn.XLOOKUP(X$1,'[1]Table 2'!$H$55:$L$55,'[1]Table 2'!$H$56:$L$56)))</f>
        <v>16.273691105978045</v>
      </c>
      <c r="Y127" s="3">
        <f>Y126*(1+(_xlfn.XLOOKUP(Y$1,'[1]Table 2'!$H$55:$L$55,'[1]Table 2'!$H$56:$L$56)))</f>
        <v>4.0540316710782598</v>
      </c>
      <c r="Z127" s="3">
        <f>Z126*(1+(_xlfn.XLOOKUP(Z$1,'[1]Table 2'!$H$55:$L$55,'[1]Table 2'!$H$56:$L$56)))</f>
        <v>2.4852890829537904</v>
      </c>
      <c r="AA127" s="3">
        <f>AA126*(1+(_xlfn.XLOOKUP(AA$1,'[1]Table 2'!$H$55:$L$55,'[1]Table 2'!$H$56:$L$56)))</f>
        <v>4.0540316710782598</v>
      </c>
    </row>
    <row r="128" spans="1:27" x14ac:dyDescent="0.2">
      <c r="A128" s="1">
        <v>2096</v>
      </c>
      <c r="B128" s="3">
        <f>B127*(1+(_xlfn.XLOOKUP(B$1,'[1]Table 2'!$H$55:$L$55,'[1]Table 2'!$H$56:$L$56)))</f>
        <v>16.399076196433633</v>
      </c>
      <c r="C128" s="3">
        <f>C127*(1+(_xlfn.XLOOKUP(C$1,'[1]Table 2'!$H$55:$L$55,'[1]Table 2'!$H$56:$L$56)))</f>
        <v>16.399076196433633</v>
      </c>
      <c r="D128" s="3">
        <f>D127*(1+(_xlfn.XLOOKUP(D$1,'[1]Table 2'!$H$55:$L$55,'[1]Table 2'!$H$56:$L$56)))</f>
        <v>16.399076196433633</v>
      </c>
      <c r="E128" s="3">
        <f>E127*(1+(_xlfn.XLOOKUP(E$1,'[1]Table 2'!$H$55:$L$55,'[1]Table 2'!$H$56:$L$56)))</f>
        <v>37.341219532398441</v>
      </c>
      <c r="F128" s="3">
        <f>F127*(1+(_xlfn.XLOOKUP(F$1,'[1]Table 2'!$H$55:$L$55,'[1]Table 2'!$H$56:$L$56)))</f>
        <v>4.0555774719684106</v>
      </c>
      <c r="G128" s="3">
        <f>G127*(1+(_xlfn.XLOOKUP(G$1,'[1]Table 2'!$H$55:$L$55,'[1]Table 2'!$H$56:$L$56)))</f>
        <v>37.341219532398441</v>
      </c>
      <c r="H128" s="3">
        <f>H127*(1+(_xlfn.XLOOKUP(H$1,'[1]Table 2'!$H$55:$L$55,'[1]Table 2'!$H$56:$L$56)))</f>
        <v>2.4837616344359659</v>
      </c>
      <c r="I128" s="3">
        <f>I127*(1+(_xlfn.XLOOKUP(I$1,'[1]Table 2'!$H$55:$L$55,'[1]Table 2'!$H$56:$L$56)))</f>
        <v>37.341219532398441</v>
      </c>
      <c r="J128" s="3">
        <f>J127*(1+(_xlfn.XLOOKUP(J$1,'[1]Table 2'!$H$55:$L$55,'[1]Table 2'!$H$56:$L$56)))</f>
        <v>37.341219532398441</v>
      </c>
      <c r="K128" s="3">
        <f>K127*(1+(_xlfn.XLOOKUP(K$1,'[1]Table 2'!$H$55:$L$55,'[1]Table 2'!$H$56:$L$56)))</f>
        <v>37.341219532398441</v>
      </c>
      <c r="L128" s="3">
        <f>L127*(1+(_xlfn.XLOOKUP(L$1,'[1]Table 2'!$H$55:$L$55,'[1]Table 2'!$H$56:$L$56)))</f>
        <v>37.341219532398441</v>
      </c>
      <c r="M128" s="3">
        <f>M127*(1+(_xlfn.XLOOKUP(M$1,'[1]Table 2'!$H$55:$L$55,'[1]Table 2'!$H$56:$L$56)))</f>
        <v>16.399076196433633</v>
      </c>
      <c r="N128" s="3">
        <f>N127*(1+(_xlfn.XLOOKUP(N$1,'[1]Table 2'!$H$55:$L$55,'[1]Table 2'!$H$56:$L$56)))</f>
        <v>37.341219532398441</v>
      </c>
      <c r="O128" s="3">
        <f>O127*(1+(_xlfn.XLOOKUP(O$1,'[1]Table 2'!$H$55:$L$55,'[1]Table 2'!$H$56:$L$56)))</f>
        <v>2.4837616344359659</v>
      </c>
      <c r="P128" s="3">
        <f>P127*(1+(_xlfn.XLOOKUP(P$1,'[1]Table 2'!$H$55:$L$55,'[1]Table 2'!$H$56:$L$56)))</f>
        <v>37.341219532398441</v>
      </c>
      <c r="Q128" s="3">
        <f>Q127*(1+(_xlfn.XLOOKUP(Q$1,'[1]Table 2'!$H$55:$L$55,'[1]Table 2'!$H$56:$L$56)))</f>
        <v>16.399076196433633</v>
      </c>
      <c r="R128" s="3">
        <f>R127*(1+(_xlfn.XLOOKUP(R$1,'[1]Table 2'!$H$55:$L$55,'[1]Table 2'!$H$56:$L$56)))</f>
        <v>37.341219532398441</v>
      </c>
      <c r="S128" s="3">
        <f>S127*(1+(_xlfn.XLOOKUP(S$1,'[1]Table 2'!$H$55:$L$55,'[1]Table 2'!$H$56:$L$56)))</f>
        <v>2.4837616344359659</v>
      </c>
      <c r="T128" s="3">
        <f>T127*(1+(_xlfn.XLOOKUP(T$1,'[1]Table 2'!$H$55:$L$55,'[1]Table 2'!$H$56:$L$56)))</f>
        <v>138.83721769873765</v>
      </c>
      <c r="U128" s="3">
        <f>U127*(1+(_xlfn.XLOOKUP(U$1,'[1]Table 2'!$H$55:$L$55,'[1]Table 2'!$H$56:$L$56)))</f>
        <v>2.4837616344359659</v>
      </c>
      <c r="V128" s="3">
        <f>V127*(1+(_xlfn.XLOOKUP(V$1,'[1]Table 2'!$H$55:$L$55,'[1]Table 2'!$H$56:$L$56)))</f>
        <v>37.341219532398441</v>
      </c>
      <c r="W128" s="3">
        <f>W127*(1+(_xlfn.XLOOKUP(W$1,'[1]Table 2'!$H$55:$L$55,'[1]Table 2'!$H$56:$L$56)))</f>
        <v>4.0555774719684106</v>
      </c>
      <c r="X128" s="3">
        <f>X127*(1+(_xlfn.XLOOKUP(X$1,'[1]Table 2'!$H$55:$L$55,'[1]Table 2'!$H$56:$L$56)))</f>
        <v>16.399076196433633</v>
      </c>
      <c r="Y128" s="3">
        <f>Y127*(1+(_xlfn.XLOOKUP(Y$1,'[1]Table 2'!$H$55:$L$55,'[1]Table 2'!$H$56:$L$56)))</f>
        <v>4.0555774719684106</v>
      </c>
      <c r="Z128" s="3">
        <f>Z127*(1+(_xlfn.XLOOKUP(Z$1,'[1]Table 2'!$H$55:$L$55,'[1]Table 2'!$H$56:$L$56)))</f>
        <v>2.4837616344359659</v>
      </c>
      <c r="AA128" s="3">
        <f>AA127*(1+(_xlfn.XLOOKUP(AA$1,'[1]Table 2'!$H$55:$L$55,'[1]Table 2'!$H$56:$L$56)))</f>
        <v>4.0555774719684106</v>
      </c>
    </row>
    <row r="129" spans="1:27" x14ac:dyDescent="0.2">
      <c r="A129" s="1">
        <v>2097</v>
      </c>
      <c r="B129" s="3">
        <f>B128*(1+(_xlfn.XLOOKUP(B$1,'[1]Table 2'!$H$55:$L$55,'[1]Table 2'!$H$56:$L$56)))</f>
        <v>16.525427350507254</v>
      </c>
      <c r="C129" s="3">
        <f>C128*(1+(_xlfn.XLOOKUP(C$1,'[1]Table 2'!$H$55:$L$55,'[1]Table 2'!$H$56:$L$56)))</f>
        <v>16.525427350507254</v>
      </c>
      <c r="D129" s="3">
        <f>D128*(1+(_xlfn.XLOOKUP(D$1,'[1]Table 2'!$H$55:$L$55,'[1]Table 2'!$H$56:$L$56)))</f>
        <v>16.525427350507254</v>
      </c>
      <c r="E129" s="3">
        <f>E128*(1+(_xlfn.XLOOKUP(E$1,'[1]Table 2'!$H$55:$L$55,'[1]Table 2'!$H$56:$L$56)))</f>
        <v>37.678610977724531</v>
      </c>
      <c r="F129" s="3">
        <f>F128*(1+(_xlfn.XLOOKUP(F$1,'[1]Table 2'!$H$55:$L$55,'[1]Table 2'!$H$56:$L$56)))</f>
        <v>4.0571238622719124</v>
      </c>
      <c r="G129" s="3">
        <f>G128*(1+(_xlfn.XLOOKUP(G$1,'[1]Table 2'!$H$55:$L$55,'[1]Table 2'!$H$56:$L$56)))</f>
        <v>37.678610977724531</v>
      </c>
      <c r="H129" s="3">
        <f>H128*(1+(_xlfn.XLOOKUP(H$1,'[1]Table 2'!$H$55:$L$55,'[1]Table 2'!$H$56:$L$56)))</f>
        <v>2.4822351246817607</v>
      </c>
      <c r="I129" s="3">
        <f>I128*(1+(_xlfn.XLOOKUP(I$1,'[1]Table 2'!$H$55:$L$55,'[1]Table 2'!$H$56:$L$56)))</f>
        <v>37.678610977724531</v>
      </c>
      <c r="J129" s="3">
        <f>J128*(1+(_xlfn.XLOOKUP(J$1,'[1]Table 2'!$H$55:$L$55,'[1]Table 2'!$H$56:$L$56)))</f>
        <v>37.678610977724531</v>
      </c>
      <c r="K129" s="3">
        <f>K128*(1+(_xlfn.XLOOKUP(K$1,'[1]Table 2'!$H$55:$L$55,'[1]Table 2'!$H$56:$L$56)))</f>
        <v>37.678610977724531</v>
      </c>
      <c r="L129" s="3">
        <f>L128*(1+(_xlfn.XLOOKUP(L$1,'[1]Table 2'!$H$55:$L$55,'[1]Table 2'!$H$56:$L$56)))</f>
        <v>37.678610977724531</v>
      </c>
      <c r="M129" s="3">
        <f>M128*(1+(_xlfn.XLOOKUP(M$1,'[1]Table 2'!$H$55:$L$55,'[1]Table 2'!$H$56:$L$56)))</f>
        <v>16.525427350507254</v>
      </c>
      <c r="N129" s="3">
        <f>N128*(1+(_xlfn.XLOOKUP(N$1,'[1]Table 2'!$H$55:$L$55,'[1]Table 2'!$H$56:$L$56)))</f>
        <v>37.678610977724531</v>
      </c>
      <c r="O129" s="3">
        <f>O128*(1+(_xlfn.XLOOKUP(O$1,'[1]Table 2'!$H$55:$L$55,'[1]Table 2'!$H$56:$L$56)))</f>
        <v>2.4822351246817607</v>
      </c>
      <c r="P129" s="3">
        <f>P128*(1+(_xlfn.XLOOKUP(P$1,'[1]Table 2'!$H$55:$L$55,'[1]Table 2'!$H$56:$L$56)))</f>
        <v>37.678610977724531</v>
      </c>
      <c r="Q129" s="3">
        <f>Q128*(1+(_xlfn.XLOOKUP(Q$1,'[1]Table 2'!$H$55:$L$55,'[1]Table 2'!$H$56:$L$56)))</f>
        <v>16.525427350507254</v>
      </c>
      <c r="R129" s="3">
        <f>R128*(1+(_xlfn.XLOOKUP(R$1,'[1]Table 2'!$H$55:$L$55,'[1]Table 2'!$H$56:$L$56)))</f>
        <v>37.678610977724531</v>
      </c>
      <c r="S129" s="3">
        <f>S128*(1+(_xlfn.XLOOKUP(S$1,'[1]Table 2'!$H$55:$L$55,'[1]Table 2'!$H$56:$L$56)))</f>
        <v>2.4822351246817607</v>
      </c>
      <c r="T129" s="3">
        <f>T128*(1+(_xlfn.XLOOKUP(T$1,'[1]Table 2'!$H$55:$L$55,'[1]Table 2'!$H$56:$L$56)))</f>
        <v>141.60286326448306</v>
      </c>
      <c r="U129" s="3">
        <f>U128*(1+(_xlfn.XLOOKUP(U$1,'[1]Table 2'!$H$55:$L$55,'[1]Table 2'!$H$56:$L$56)))</f>
        <v>2.4822351246817607</v>
      </c>
      <c r="V129" s="3">
        <f>V128*(1+(_xlfn.XLOOKUP(V$1,'[1]Table 2'!$H$55:$L$55,'[1]Table 2'!$H$56:$L$56)))</f>
        <v>37.678610977724531</v>
      </c>
      <c r="W129" s="3">
        <f>W128*(1+(_xlfn.XLOOKUP(W$1,'[1]Table 2'!$H$55:$L$55,'[1]Table 2'!$H$56:$L$56)))</f>
        <v>4.0571238622719124</v>
      </c>
      <c r="X129" s="3">
        <f>X128*(1+(_xlfn.XLOOKUP(X$1,'[1]Table 2'!$H$55:$L$55,'[1]Table 2'!$H$56:$L$56)))</f>
        <v>16.525427350507254</v>
      </c>
      <c r="Y129" s="3">
        <f>Y128*(1+(_xlfn.XLOOKUP(Y$1,'[1]Table 2'!$H$55:$L$55,'[1]Table 2'!$H$56:$L$56)))</f>
        <v>4.0571238622719124</v>
      </c>
      <c r="Z129" s="3">
        <f>Z128*(1+(_xlfn.XLOOKUP(Z$1,'[1]Table 2'!$H$55:$L$55,'[1]Table 2'!$H$56:$L$56)))</f>
        <v>2.4822351246817607</v>
      </c>
      <c r="AA129" s="3">
        <f>AA128*(1+(_xlfn.XLOOKUP(AA$1,'[1]Table 2'!$H$55:$L$55,'[1]Table 2'!$H$56:$L$56)))</f>
        <v>4.0571238622719124</v>
      </c>
    </row>
    <row r="130" spans="1:27" x14ac:dyDescent="0.2">
      <c r="A130" s="1">
        <v>2098</v>
      </c>
      <c r="B130" s="3">
        <f>B129*(1+(_xlfn.XLOOKUP(B$1,'[1]Table 2'!$H$55:$L$55,'[1]Table 2'!$H$56:$L$56)))</f>
        <v>16.652752011499466</v>
      </c>
      <c r="C130" s="3">
        <f>C129*(1+(_xlfn.XLOOKUP(C$1,'[1]Table 2'!$H$55:$L$55,'[1]Table 2'!$H$56:$L$56)))</f>
        <v>16.652752011499466</v>
      </c>
      <c r="D130" s="3">
        <f>D129*(1+(_xlfn.XLOOKUP(D$1,'[1]Table 2'!$H$55:$L$55,'[1]Table 2'!$H$56:$L$56)))</f>
        <v>16.652752011499466</v>
      </c>
      <c r="E130" s="3">
        <f>E129*(1+(_xlfn.XLOOKUP(E$1,'[1]Table 2'!$H$55:$L$55,'[1]Table 2'!$H$56:$L$56)))</f>
        <v>38.019050876979136</v>
      </c>
      <c r="F130" s="3">
        <f>F129*(1+(_xlfn.XLOOKUP(F$1,'[1]Table 2'!$H$55:$L$55,'[1]Table 2'!$H$56:$L$56)))</f>
        <v>4.058670842213508</v>
      </c>
      <c r="G130" s="3">
        <f>G129*(1+(_xlfn.XLOOKUP(G$1,'[1]Table 2'!$H$55:$L$55,'[1]Table 2'!$H$56:$L$56)))</f>
        <v>38.019050876979136</v>
      </c>
      <c r="H130" s="3">
        <f>H129*(1+(_xlfn.XLOOKUP(H$1,'[1]Table 2'!$H$55:$L$55,'[1]Table 2'!$H$56:$L$56)))</f>
        <v>2.4807095531142145</v>
      </c>
      <c r="I130" s="3">
        <f>I129*(1+(_xlfn.XLOOKUP(I$1,'[1]Table 2'!$H$55:$L$55,'[1]Table 2'!$H$56:$L$56)))</f>
        <v>38.019050876979136</v>
      </c>
      <c r="J130" s="3">
        <f>J129*(1+(_xlfn.XLOOKUP(J$1,'[1]Table 2'!$H$55:$L$55,'[1]Table 2'!$H$56:$L$56)))</f>
        <v>38.019050876979136</v>
      </c>
      <c r="K130" s="3">
        <f>K129*(1+(_xlfn.XLOOKUP(K$1,'[1]Table 2'!$H$55:$L$55,'[1]Table 2'!$H$56:$L$56)))</f>
        <v>38.019050876979136</v>
      </c>
      <c r="L130" s="3">
        <f>L129*(1+(_xlfn.XLOOKUP(L$1,'[1]Table 2'!$H$55:$L$55,'[1]Table 2'!$H$56:$L$56)))</f>
        <v>38.019050876979136</v>
      </c>
      <c r="M130" s="3">
        <f>M129*(1+(_xlfn.XLOOKUP(M$1,'[1]Table 2'!$H$55:$L$55,'[1]Table 2'!$H$56:$L$56)))</f>
        <v>16.652752011499466</v>
      </c>
      <c r="N130" s="3">
        <f>N129*(1+(_xlfn.XLOOKUP(N$1,'[1]Table 2'!$H$55:$L$55,'[1]Table 2'!$H$56:$L$56)))</f>
        <v>38.019050876979136</v>
      </c>
      <c r="O130" s="3">
        <f>O129*(1+(_xlfn.XLOOKUP(O$1,'[1]Table 2'!$H$55:$L$55,'[1]Table 2'!$H$56:$L$56)))</f>
        <v>2.4807095531142145</v>
      </c>
      <c r="P130" s="3">
        <f>P129*(1+(_xlfn.XLOOKUP(P$1,'[1]Table 2'!$H$55:$L$55,'[1]Table 2'!$H$56:$L$56)))</f>
        <v>38.019050876979136</v>
      </c>
      <c r="Q130" s="3">
        <f>Q129*(1+(_xlfn.XLOOKUP(Q$1,'[1]Table 2'!$H$55:$L$55,'[1]Table 2'!$H$56:$L$56)))</f>
        <v>16.652752011499466</v>
      </c>
      <c r="R130" s="3">
        <f>R129*(1+(_xlfn.XLOOKUP(R$1,'[1]Table 2'!$H$55:$L$55,'[1]Table 2'!$H$56:$L$56)))</f>
        <v>38.019050876979136</v>
      </c>
      <c r="S130" s="3">
        <f>S129*(1+(_xlfn.XLOOKUP(S$1,'[1]Table 2'!$H$55:$L$55,'[1]Table 2'!$H$56:$L$56)))</f>
        <v>2.4807095531142145</v>
      </c>
      <c r="T130" s="3">
        <f>T129*(1+(_xlfn.XLOOKUP(T$1,'[1]Table 2'!$H$55:$L$55,'[1]Table 2'!$H$56:$L$56)))</f>
        <v>144.42360065302722</v>
      </c>
      <c r="U130" s="3">
        <f>U129*(1+(_xlfn.XLOOKUP(U$1,'[1]Table 2'!$H$55:$L$55,'[1]Table 2'!$H$56:$L$56)))</f>
        <v>2.4807095531142145</v>
      </c>
      <c r="V130" s="3">
        <f>V129*(1+(_xlfn.XLOOKUP(V$1,'[1]Table 2'!$H$55:$L$55,'[1]Table 2'!$H$56:$L$56)))</f>
        <v>38.019050876979136</v>
      </c>
      <c r="W130" s="3">
        <f>W129*(1+(_xlfn.XLOOKUP(W$1,'[1]Table 2'!$H$55:$L$55,'[1]Table 2'!$H$56:$L$56)))</f>
        <v>4.058670842213508</v>
      </c>
      <c r="X130" s="3">
        <f>X129*(1+(_xlfn.XLOOKUP(X$1,'[1]Table 2'!$H$55:$L$55,'[1]Table 2'!$H$56:$L$56)))</f>
        <v>16.652752011499466</v>
      </c>
      <c r="Y130" s="3">
        <f>Y129*(1+(_xlfn.XLOOKUP(Y$1,'[1]Table 2'!$H$55:$L$55,'[1]Table 2'!$H$56:$L$56)))</f>
        <v>4.058670842213508</v>
      </c>
      <c r="Z130" s="3">
        <f>Z129*(1+(_xlfn.XLOOKUP(Z$1,'[1]Table 2'!$H$55:$L$55,'[1]Table 2'!$H$56:$L$56)))</f>
        <v>2.4807095531142145</v>
      </c>
      <c r="AA130" s="3">
        <f>AA129*(1+(_xlfn.XLOOKUP(AA$1,'[1]Table 2'!$H$55:$L$55,'[1]Table 2'!$H$56:$L$56)))</f>
        <v>4.058670842213508</v>
      </c>
    </row>
    <row r="131" spans="1:27" x14ac:dyDescent="0.2">
      <c r="A131" s="1">
        <v>2099</v>
      </c>
      <c r="B131" s="3">
        <f>B130*(1+(_xlfn.XLOOKUP(B$1,'[1]Table 2'!$H$55:$L$55,'[1]Table 2'!$H$56:$L$56)))</f>
        <v>16.781057680059767</v>
      </c>
      <c r="C131" s="3">
        <f>C130*(1+(_xlfn.XLOOKUP(C$1,'[1]Table 2'!$H$55:$L$55,'[1]Table 2'!$H$56:$L$56)))</f>
        <v>16.781057680059767</v>
      </c>
      <c r="D131" s="3">
        <f>D130*(1+(_xlfn.XLOOKUP(D$1,'[1]Table 2'!$H$55:$L$55,'[1]Table 2'!$H$56:$L$56)))</f>
        <v>16.781057680059767</v>
      </c>
      <c r="E131" s="3">
        <f>E130*(1+(_xlfn.XLOOKUP(E$1,'[1]Table 2'!$H$55:$L$55,'[1]Table 2'!$H$56:$L$56)))</f>
        <v>38.362566774047806</v>
      </c>
      <c r="F131" s="3">
        <f>F130*(1+(_xlfn.XLOOKUP(F$1,'[1]Table 2'!$H$55:$L$55,'[1]Table 2'!$H$56:$L$56)))</f>
        <v>4.0602184120180267</v>
      </c>
      <c r="G131" s="3">
        <f>G130*(1+(_xlfn.XLOOKUP(G$1,'[1]Table 2'!$H$55:$L$55,'[1]Table 2'!$H$56:$L$56)))</f>
        <v>38.362566774047806</v>
      </c>
      <c r="H131" s="3">
        <f>H130*(1+(_xlfn.XLOOKUP(H$1,'[1]Table 2'!$H$55:$L$55,'[1]Table 2'!$H$56:$L$56)))</f>
        <v>2.4791849191567219</v>
      </c>
      <c r="I131" s="3">
        <f>I130*(1+(_xlfn.XLOOKUP(I$1,'[1]Table 2'!$H$55:$L$55,'[1]Table 2'!$H$56:$L$56)))</f>
        <v>38.362566774047806</v>
      </c>
      <c r="J131" s="3">
        <f>J130*(1+(_xlfn.XLOOKUP(J$1,'[1]Table 2'!$H$55:$L$55,'[1]Table 2'!$H$56:$L$56)))</f>
        <v>38.362566774047806</v>
      </c>
      <c r="K131" s="3">
        <f>K130*(1+(_xlfn.XLOOKUP(K$1,'[1]Table 2'!$H$55:$L$55,'[1]Table 2'!$H$56:$L$56)))</f>
        <v>38.362566774047806</v>
      </c>
      <c r="L131" s="3">
        <f>L130*(1+(_xlfn.XLOOKUP(L$1,'[1]Table 2'!$H$55:$L$55,'[1]Table 2'!$H$56:$L$56)))</f>
        <v>38.362566774047806</v>
      </c>
      <c r="M131" s="3">
        <f>M130*(1+(_xlfn.XLOOKUP(M$1,'[1]Table 2'!$H$55:$L$55,'[1]Table 2'!$H$56:$L$56)))</f>
        <v>16.781057680059767</v>
      </c>
      <c r="N131" s="3">
        <f>N130*(1+(_xlfn.XLOOKUP(N$1,'[1]Table 2'!$H$55:$L$55,'[1]Table 2'!$H$56:$L$56)))</f>
        <v>38.362566774047806</v>
      </c>
      <c r="O131" s="3">
        <f>O130*(1+(_xlfn.XLOOKUP(O$1,'[1]Table 2'!$H$55:$L$55,'[1]Table 2'!$H$56:$L$56)))</f>
        <v>2.4791849191567219</v>
      </c>
      <c r="P131" s="3">
        <f>P130*(1+(_xlfn.XLOOKUP(P$1,'[1]Table 2'!$H$55:$L$55,'[1]Table 2'!$H$56:$L$56)))</f>
        <v>38.362566774047806</v>
      </c>
      <c r="Q131" s="3">
        <f>Q130*(1+(_xlfn.XLOOKUP(Q$1,'[1]Table 2'!$H$55:$L$55,'[1]Table 2'!$H$56:$L$56)))</f>
        <v>16.781057680059767</v>
      </c>
      <c r="R131" s="3">
        <f>R130*(1+(_xlfn.XLOOKUP(R$1,'[1]Table 2'!$H$55:$L$55,'[1]Table 2'!$H$56:$L$56)))</f>
        <v>38.362566774047806</v>
      </c>
      <c r="S131" s="3">
        <f>S130*(1+(_xlfn.XLOOKUP(S$1,'[1]Table 2'!$H$55:$L$55,'[1]Table 2'!$H$56:$L$56)))</f>
        <v>2.4791849191567219</v>
      </c>
      <c r="T131" s="3">
        <f>T130*(1+(_xlfn.XLOOKUP(T$1,'[1]Table 2'!$H$55:$L$55,'[1]Table 2'!$H$56:$L$56)))</f>
        <v>147.3005272967298</v>
      </c>
      <c r="U131" s="3">
        <f>U130*(1+(_xlfn.XLOOKUP(U$1,'[1]Table 2'!$H$55:$L$55,'[1]Table 2'!$H$56:$L$56)))</f>
        <v>2.4791849191567219</v>
      </c>
      <c r="V131" s="3">
        <f>V130*(1+(_xlfn.XLOOKUP(V$1,'[1]Table 2'!$H$55:$L$55,'[1]Table 2'!$H$56:$L$56)))</f>
        <v>38.362566774047806</v>
      </c>
      <c r="W131" s="3">
        <f>W130*(1+(_xlfn.XLOOKUP(W$1,'[1]Table 2'!$H$55:$L$55,'[1]Table 2'!$H$56:$L$56)))</f>
        <v>4.0602184120180267</v>
      </c>
      <c r="X131" s="3">
        <f>X130*(1+(_xlfn.XLOOKUP(X$1,'[1]Table 2'!$H$55:$L$55,'[1]Table 2'!$H$56:$L$56)))</f>
        <v>16.781057680059767</v>
      </c>
      <c r="Y131" s="3">
        <f>Y130*(1+(_xlfn.XLOOKUP(Y$1,'[1]Table 2'!$H$55:$L$55,'[1]Table 2'!$H$56:$L$56)))</f>
        <v>4.0602184120180267</v>
      </c>
      <c r="Z131" s="3">
        <f>Z130*(1+(_xlfn.XLOOKUP(Z$1,'[1]Table 2'!$H$55:$L$55,'[1]Table 2'!$H$56:$L$56)))</f>
        <v>2.4791849191567219</v>
      </c>
      <c r="AA131" s="3">
        <f>AA130*(1+(_xlfn.XLOOKUP(AA$1,'[1]Table 2'!$H$55:$L$55,'[1]Table 2'!$H$56:$L$56)))</f>
        <v>4.0602184120180267</v>
      </c>
    </row>
    <row r="132" spans="1:27" x14ac:dyDescent="0.2">
      <c r="A132" s="1">
        <v>2100</v>
      </c>
      <c r="B132" s="3">
        <f>B131*(1+(_xlfn.XLOOKUP(B$1,'[1]Table 2'!$H$55:$L$55,'[1]Table 2'!$H$56:$L$56)))</f>
        <v>16.91035191462846</v>
      </c>
      <c r="C132" s="3">
        <f>C131*(1+(_xlfn.XLOOKUP(C$1,'[1]Table 2'!$H$55:$L$55,'[1]Table 2'!$H$56:$L$56)))</f>
        <v>16.91035191462846</v>
      </c>
      <c r="D132" s="3">
        <f>D131*(1+(_xlfn.XLOOKUP(D$1,'[1]Table 2'!$H$55:$L$55,'[1]Table 2'!$H$56:$L$56)))</f>
        <v>16.91035191462846</v>
      </c>
      <c r="E132" s="3">
        <f>E131*(1+(_xlfn.XLOOKUP(E$1,'[1]Table 2'!$H$55:$L$55,'[1]Table 2'!$H$56:$L$56)))</f>
        <v>38.709186461685071</v>
      </c>
      <c r="F132" s="3">
        <f>F131*(1+(_xlfn.XLOOKUP(F$1,'[1]Table 2'!$H$55:$L$55,'[1]Table 2'!$H$56:$L$56)))</f>
        <v>4.0617665719103826</v>
      </c>
      <c r="G132" s="3">
        <f>G131*(1+(_xlfn.XLOOKUP(G$1,'[1]Table 2'!$H$55:$L$55,'[1]Table 2'!$H$56:$L$56)))</f>
        <v>38.709186461685071</v>
      </c>
      <c r="H132" s="3">
        <f>H131*(1+(_xlfn.XLOOKUP(H$1,'[1]Table 2'!$H$55:$L$55,'[1]Table 2'!$H$56:$L$56)))</f>
        <v>2.4776612222330314</v>
      </c>
      <c r="I132" s="3">
        <f>I131*(1+(_xlfn.XLOOKUP(I$1,'[1]Table 2'!$H$55:$L$55,'[1]Table 2'!$H$56:$L$56)))</f>
        <v>38.709186461685071</v>
      </c>
      <c r="J132" s="3">
        <f>J131*(1+(_xlfn.XLOOKUP(J$1,'[1]Table 2'!$H$55:$L$55,'[1]Table 2'!$H$56:$L$56)))</f>
        <v>38.709186461685071</v>
      </c>
      <c r="K132" s="3">
        <f>K131*(1+(_xlfn.XLOOKUP(K$1,'[1]Table 2'!$H$55:$L$55,'[1]Table 2'!$H$56:$L$56)))</f>
        <v>38.709186461685071</v>
      </c>
      <c r="L132" s="3">
        <f>L131*(1+(_xlfn.XLOOKUP(L$1,'[1]Table 2'!$H$55:$L$55,'[1]Table 2'!$H$56:$L$56)))</f>
        <v>38.709186461685071</v>
      </c>
      <c r="M132" s="3">
        <f>M131*(1+(_xlfn.XLOOKUP(M$1,'[1]Table 2'!$H$55:$L$55,'[1]Table 2'!$H$56:$L$56)))</f>
        <v>16.91035191462846</v>
      </c>
      <c r="N132" s="3">
        <f>N131*(1+(_xlfn.XLOOKUP(N$1,'[1]Table 2'!$H$55:$L$55,'[1]Table 2'!$H$56:$L$56)))</f>
        <v>38.709186461685071</v>
      </c>
      <c r="O132" s="3">
        <f>O131*(1+(_xlfn.XLOOKUP(O$1,'[1]Table 2'!$H$55:$L$55,'[1]Table 2'!$H$56:$L$56)))</f>
        <v>2.4776612222330314</v>
      </c>
      <c r="P132" s="3">
        <f>P131*(1+(_xlfn.XLOOKUP(P$1,'[1]Table 2'!$H$55:$L$55,'[1]Table 2'!$H$56:$L$56)))</f>
        <v>38.709186461685071</v>
      </c>
      <c r="Q132" s="3">
        <f>Q131*(1+(_xlfn.XLOOKUP(Q$1,'[1]Table 2'!$H$55:$L$55,'[1]Table 2'!$H$56:$L$56)))</f>
        <v>16.91035191462846</v>
      </c>
      <c r="R132" s="3">
        <f>R131*(1+(_xlfn.XLOOKUP(R$1,'[1]Table 2'!$H$55:$L$55,'[1]Table 2'!$H$56:$L$56)))</f>
        <v>38.709186461685071</v>
      </c>
      <c r="S132" s="3">
        <f>S131*(1+(_xlfn.XLOOKUP(S$1,'[1]Table 2'!$H$55:$L$55,'[1]Table 2'!$H$56:$L$56)))</f>
        <v>2.4776612222330314</v>
      </c>
      <c r="T132" s="3">
        <f>T131*(1+(_xlfn.XLOOKUP(T$1,'[1]Table 2'!$H$55:$L$55,'[1]Table 2'!$H$56:$L$56)))</f>
        <v>150.23476248886783</v>
      </c>
      <c r="U132" s="3">
        <f>U131*(1+(_xlfn.XLOOKUP(U$1,'[1]Table 2'!$H$55:$L$55,'[1]Table 2'!$H$56:$L$56)))</f>
        <v>2.4776612222330314</v>
      </c>
      <c r="V132" s="3">
        <f>V131*(1+(_xlfn.XLOOKUP(V$1,'[1]Table 2'!$H$55:$L$55,'[1]Table 2'!$H$56:$L$56)))</f>
        <v>38.709186461685071</v>
      </c>
      <c r="W132" s="3">
        <f>W131*(1+(_xlfn.XLOOKUP(W$1,'[1]Table 2'!$H$55:$L$55,'[1]Table 2'!$H$56:$L$56)))</f>
        <v>4.0617665719103826</v>
      </c>
      <c r="X132" s="3">
        <f>X131*(1+(_xlfn.XLOOKUP(X$1,'[1]Table 2'!$H$55:$L$55,'[1]Table 2'!$H$56:$L$56)))</f>
        <v>16.91035191462846</v>
      </c>
      <c r="Y132" s="3">
        <f>Y131*(1+(_xlfn.XLOOKUP(Y$1,'[1]Table 2'!$H$55:$L$55,'[1]Table 2'!$H$56:$L$56)))</f>
        <v>4.0617665719103826</v>
      </c>
      <c r="Z132" s="3">
        <f>Z131*(1+(_xlfn.XLOOKUP(Z$1,'[1]Table 2'!$H$55:$L$55,'[1]Table 2'!$H$56:$L$56)))</f>
        <v>2.4776612222330314</v>
      </c>
      <c r="AA132" s="3">
        <f>AA131*(1+(_xlfn.XLOOKUP(AA$1,'[1]Table 2'!$H$55:$L$55,'[1]Table 2'!$H$56:$L$56)))</f>
        <v>4.0617665719103826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Vehicle intensity</vt:lpstr>
      <vt:lpstr>Sheet1</vt:lpstr>
      <vt:lpstr>Sheet2</vt:lpstr>
      <vt:lpstr>Sheet1 (2)</vt:lpstr>
      <vt:lpstr>Formula - Vehicle 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2025-06-17T08:39:38Z</dcterms:created>
  <dcterms:modified xsi:type="dcterms:W3CDTF">2025-06-24T18:05:36Z</dcterms:modified>
</cp:coreProperties>
</file>