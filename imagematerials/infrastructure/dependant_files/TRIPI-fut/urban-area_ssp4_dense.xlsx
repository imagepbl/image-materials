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B9F73CAC-C1EB-49CA-81EB-CB35FCAD67A0}" xr6:coauthVersionLast="47" xr6:coauthVersionMax="47" xr10:uidLastSave="{00000000-0000-0000-0000-000000000000}"/>
  <bookViews>
    <workbookView xWindow="-120" yWindow="-120" windowWidth="38640" windowHeight="21120" xr2:uid="{1DC4E38F-0686-4FC1-91A9-3BC676CC3414}"/>
  </bookViews>
  <sheets>
    <sheet name="Sheet2" sheetId="9" r:id="rId1"/>
    <sheet name="Input_final" sheetId="8" r:id="rId2"/>
    <sheet name="SSP3" sheetId="5" r:id="rId3"/>
    <sheet name="Sheet1" sheetId="4" r:id="rId4"/>
    <sheet name="Urban_area_finals" sheetId="2" r:id="rId5"/>
    <sheet name="Urban_area_urban_share" sheetId="3" r:id="rId6"/>
    <sheet name="SSP3 (2)" sheetId="7" r:id="rId7"/>
  </sheets>
  <externalReferences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70" i="8" l="1"/>
  <c r="AT167" i="8"/>
  <c r="AU167" i="8"/>
  <c r="AV167" i="8"/>
  <c r="AW167" i="8"/>
  <c r="AX167" i="8"/>
  <c r="AY167" i="8"/>
  <c r="AS167" i="8"/>
  <c r="AY164" i="8"/>
  <c r="AX164" i="8"/>
  <c r="AW164" i="8"/>
  <c r="AV164" i="8"/>
  <c r="AU164" i="8"/>
  <c r="AT164" i="8"/>
  <c r="AY163" i="8"/>
  <c r="AX163" i="8"/>
  <c r="AW163" i="8"/>
  <c r="AV163" i="8"/>
  <c r="AU163" i="8"/>
  <c r="AT163" i="8"/>
  <c r="AY162" i="8"/>
  <c r="AX162" i="8"/>
  <c r="AW162" i="8"/>
  <c r="AV162" i="8"/>
  <c r="AU162" i="8"/>
  <c r="AT162" i="8"/>
  <c r="AY160" i="8"/>
  <c r="AX160" i="8"/>
  <c r="AW160" i="8"/>
  <c r="AV160" i="8"/>
  <c r="AU160" i="8"/>
  <c r="AT160" i="8"/>
  <c r="AY159" i="8"/>
  <c r="AX159" i="8"/>
  <c r="AW159" i="8"/>
  <c r="AV159" i="8"/>
  <c r="AU159" i="8"/>
  <c r="AT159" i="8"/>
  <c r="AY158" i="8"/>
  <c r="AX158" i="8"/>
  <c r="AW158" i="8"/>
  <c r="AV158" i="8"/>
  <c r="AU158" i="8"/>
  <c r="AT158" i="8"/>
  <c r="AY157" i="8"/>
  <c r="AX157" i="8"/>
  <c r="AW157" i="8"/>
  <c r="AV157" i="8"/>
  <c r="AU157" i="8"/>
  <c r="AT157" i="8"/>
  <c r="AY156" i="8"/>
  <c r="AX156" i="8"/>
  <c r="AW156" i="8"/>
  <c r="AV156" i="8"/>
  <c r="AU156" i="8"/>
  <c r="AT156" i="8"/>
  <c r="AY155" i="8"/>
  <c r="AX155" i="8"/>
  <c r="AW155" i="8"/>
  <c r="AV155" i="8"/>
  <c r="AU155" i="8"/>
  <c r="AT155" i="8"/>
  <c r="AY154" i="8"/>
  <c r="AX154" i="8"/>
  <c r="AW154" i="8"/>
  <c r="AV154" i="8"/>
  <c r="AU154" i="8"/>
  <c r="AT154" i="8"/>
  <c r="AY153" i="8"/>
  <c r="AX153" i="8"/>
  <c r="AW153" i="8"/>
  <c r="AV153" i="8"/>
  <c r="AU153" i="8"/>
  <c r="AT153" i="8"/>
  <c r="AY151" i="8"/>
  <c r="AX151" i="8"/>
  <c r="AW151" i="8"/>
  <c r="AV151" i="8"/>
  <c r="AU151" i="8"/>
  <c r="AT151" i="8"/>
  <c r="AY150" i="8"/>
  <c r="AX150" i="8"/>
  <c r="AW150" i="8"/>
  <c r="AV150" i="8"/>
  <c r="AU150" i="8"/>
  <c r="AT150" i="8"/>
  <c r="AY149" i="8"/>
  <c r="AX149" i="8"/>
  <c r="AW149" i="8"/>
  <c r="AV149" i="8"/>
  <c r="AU149" i="8"/>
  <c r="AT149" i="8"/>
  <c r="AY148" i="8"/>
  <c r="AX148" i="8"/>
  <c r="AW148" i="8"/>
  <c r="AV148" i="8"/>
  <c r="AU148" i="8"/>
  <c r="AT148" i="8"/>
  <c r="AY147" i="8"/>
  <c r="AX147" i="8"/>
  <c r="AW147" i="8"/>
  <c r="AV147" i="8"/>
  <c r="AU147" i="8"/>
  <c r="AT147" i="8"/>
  <c r="AY146" i="8"/>
  <c r="AX146" i="8"/>
  <c r="AW146" i="8"/>
  <c r="AV146" i="8"/>
  <c r="AU146" i="8"/>
  <c r="AT146" i="8"/>
  <c r="AY145" i="8"/>
  <c r="AX145" i="8"/>
  <c r="AW145" i="8"/>
  <c r="AV145" i="8"/>
  <c r="AU145" i="8"/>
  <c r="AT145" i="8"/>
  <c r="AY144" i="8"/>
  <c r="AX144" i="8"/>
  <c r="AW144" i="8"/>
  <c r="AV144" i="8"/>
  <c r="AU144" i="8"/>
  <c r="AT144" i="8"/>
  <c r="AY143" i="8"/>
  <c r="AX143" i="8"/>
  <c r="AW143" i="8"/>
  <c r="AV143" i="8"/>
  <c r="AU143" i="8"/>
  <c r="AT143" i="8"/>
  <c r="AY142" i="8"/>
  <c r="AX142" i="8"/>
  <c r="AW142" i="8"/>
  <c r="AV142" i="8"/>
  <c r="AU142" i="8"/>
  <c r="AT142" i="8"/>
  <c r="AY141" i="8"/>
  <c r="AX141" i="8"/>
  <c r="AW141" i="8"/>
  <c r="AV141" i="8"/>
  <c r="AU141" i="8"/>
  <c r="AT141" i="8"/>
  <c r="AY140" i="8"/>
  <c r="AX140" i="8"/>
  <c r="AW140" i="8"/>
  <c r="AV140" i="8"/>
  <c r="AU140" i="8"/>
  <c r="AT140" i="8"/>
  <c r="AY139" i="8"/>
  <c r="AX139" i="8"/>
  <c r="AW139" i="8"/>
  <c r="AV139" i="8"/>
  <c r="AU139" i="8"/>
  <c r="AT139" i="8"/>
  <c r="AY137" i="8"/>
  <c r="AX137" i="8"/>
  <c r="AW137" i="8"/>
  <c r="AV137" i="8"/>
  <c r="AU137" i="8"/>
  <c r="AT137" i="8"/>
  <c r="AY135" i="8"/>
  <c r="AX135" i="8"/>
  <c r="AW135" i="8"/>
  <c r="AV135" i="8"/>
  <c r="AU135" i="8"/>
  <c r="AT135" i="8"/>
  <c r="AY133" i="8"/>
  <c r="AX133" i="8"/>
  <c r="AW133" i="8"/>
  <c r="AV133" i="8"/>
  <c r="AU133" i="8"/>
  <c r="AT133" i="8"/>
  <c r="AY132" i="8"/>
  <c r="AX132" i="8"/>
  <c r="AW132" i="8"/>
  <c r="AV132" i="8"/>
  <c r="AU132" i="8"/>
  <c r="AT132" i="8"/>
  <c r="AY131" i="8"/>
  <c r="AX131" i="8"/>
  <c r="AW131" i="8"/>
  <c r="AV131" i="8"/>
  <c r="AU131" i="8"/>
  <c r="AT131" i="8"/>
  <c r="AY130" i="8"/>
  <c r="AX130" i="8"/>
  <c r="AW130" i="8"/>
  <c r="AV130" i="8"/>
  <c r="AU130" i="8"/>
  <c r="AT130" i="8"/>
  <c r="AY129" i="8"/>
  <c r="AX129" i="8"/>
  <c r="AW129" i="8"/>
  <c r="AV129" i="8"/>
  <c r="AU129" i="8"/>
  <c r="AT129" i="8"/>
  <c r="AY128" i="8"/>
  <c r="AX128" i="8"/>
  <c r="AW128" i="8"/>
  <c r="AV128" i="8"/>
  <c r="AU128" i="8"/>
  <c r="AT128" i="8"/>
  <c r="AY127" i="8"/>
  <c r="AX127" i="8"/>
  <c r="AW127" i="8"/>
  <c r="AV127" i="8"/>
  <c r="AU127" i="8"/>
  <c r="AT127" i="8"/>
  <c r="AY124" i="8"/>
  <c r="AX124" i="8"/>
  <c r="AW124" i="8"/>
  <c r="AV124" i="8"/>
  <c r="AU124" i="8"/>
  <c r="AT124" i="8"/>
  <c r="AY123" i="8"/>
  <c r="AX123" i="8"/>
  <c r="AW123" i="8"/>
  <c r="AV123" i="8"/>
  <c r="AU123" i="8"/>
  <c r="AT123" i="8"/>
  <c r="AY121" i="8"/>
  <c r="AX121" i="8"/>
  <c r="AW121" i="8"/>
  <c r="AV121" i="8"/>
  <c r="AU121" i="8"/>
  <c r="AT121" i="8"/>
  <c r="AY120" i="8"/>
  <c r="AX120" i="8"/>
  <c r="AW120" i="8"/>
  <c r="AV120" i="8"/>
  <c r="AU120" i="8"/>
  <c r="AT120" i="8"/>
  <c r="AY119" i="8"/>
  <c r="AX119" i="8"/>
  <c r="AW119" i="8"/>
  <c r="AV119" i="8"/>
  <c r="AU119" i="8"/>
  <c r="AT119" i="8"/>
  <c r="AY118" i="8"/>
  <c r="AX118" i="8"/>
  <c r="AW118" i="8"/>
  <c r="AV118" i="8"/>
  <c r="AU118" i="8"/>
  <c r="AT118" i="8"/>
  <c r="AY117" i="8"/>
  <c r="AX117" i="8"/>
  <c r="AW117" i="8"/>
  <c r="AV117" i="8"/>
  <c r="AU117" i="8"/>
  <c r="AT117" i="8"/>
  <c r="AY116" i="8"/>
  <c r="AX116" i="8"/>
  <c r="AW116" i="8"/>
  <c r="AV116" i="8"/>
  <c r="AU116" i="8"/>
  <c r="AT116" i="8"/>
  <c r="AY115" i="8"/>
  <c r="AX115" i="8"/>
  <c r="AW115" i="8"/>
  <c r="AV115" i="8"/>
  <c r="AU115" i="8"/>
  <c r="AT115" i="8"/>
  <c r="AY114" i="8"/>
  <c r="AX114" i="8"/>
  <c r="AW114" i="8"/>
  <c r="AV114" i="8"/>
  <c r="AU114" i="8"/>
  <c r="AT114" i="8"/>
  <c r="AY113" i="8"/>
  <c r="AX113" i="8"/>
  <c r="AW113" i="8"/>
  <c r="AV113" i="8"/>
  <c r="AU113" i="8"/>
  <c r="AT113" i="8"/>
  <c r="AY112" i="8"/>
  <c r="AX112" i="8"/>
  <c r="AW112" i="8"/>
  <c r="AV112" i="8"/>
  <c r="AU112" i="8"/>
  <c r="AT112" i="8"/>
  <c r="AY111" i="8"/>
  <c r="AX111" i="8"/>
  <c r="AW111" i="8"/>
  <c r="AV111" i="8"/>
  <c r="AU111" i="8"/>
  <c r="AT111" i="8"/>
  <c r="AY110" i="8"/>
  <c r="AX110" i="8"/>
  <c r="AW110" i="8"/>
  <c r="AV110" i="8"/>
  <c r="AU110" i="8"/>
  <c r="AT110" i="8"/>
  <c r="AY109" i="8"/>
  <c r="AX109" i="8"/>
  <c r="AW109" i="8"/>
  <c r="AV109" i="8"/>
  <c r="AU109" i="8"/>
  <c r="AT109" i="8"/>
  <c r="AY108" i="8"/>
  <c r="AX108" i="8"/>
  <c r="AW108" i="8"/>
  <c r="AV108" i="8"/>
  <c r="AU108" i="8"/>
  <c r="AT108" i="8"/>
  <c r="AY107" i="8"/>
  <c r="AX107" i="8"/>
  <c r="AW107" i="8"/>
  <c r="AV107" i="8"/>
  <c r="AU107" i="8"/>
  <c r="AT107" i="8"/>
  <c r="AY106" i="8"/>
  <c r="AX106" i="8"/>
  <c r="AW106" i="8"/>
  <c r="AV106" i="8"/>
  <c r="AU106" i="8"/>
  <c r="AT106" i="8"/>
  <c r="AY105" i="8"/>
  <c r="AX105" i="8"/>
  <c r="AW105" i="8"/>
  <c r="AV105" i="8"/>
  <c r="AU105" i="8"/>
  <c r="AT105" i="8"/>
  <c r="AY104" i="8"/>
  <c r="AX104" i="8"/>
  <c r="AW104" i="8"/>
  <c r="AV104" i="8"/>
  <c r="AU104" i="8"/>
  <c r="AT104" i="8"/>
  <c r="AY103" i="8"/>
  <c r="AX103" i="8"/>
  <c r="AW103" i="8"/>
  <c r="AV103" i="8"/>
  <c r="AU103" i="8"/>
  <c r="AT103" i="8"/>
  <c r="AY102" i="8"/>
  <c r="AX102" i="8"/>
  <c r="AW102" i="8"/>
  <c r="AV102" i="8"/>
  <c r="AU102" i="8"/>
  <c r="AT102" i="8"/>
  <c r="AY101" i="8"/>
  <c r="AX101" i="8"/>
  <c r="AW101" i="8"/>
  <c r="AV101" i="8"/>
  <c r="AU101" i="8"/>
  <c r="AT101" i="8"/>
  <c r="AY98" i="8"/>
  <c r="AX98" i="8"/>
  <c r="AW98" i="8"/>
  <c r="AV98" i="8"/>
  <c r="AU98" i="8"/>
  <c r="AT98" i="8"/>
  <c r="AY97" i="8"/>
  <c r="AX97" i="8"/>
  <c r="AW97" i="8"/>
  <c r="AV97" i="8"/>
  <c r="AU97" i="8"/>
  <c r="AT97" i="8"/>
  <c r="AY96" i="8"/>
  <c r="AX96" i="8"/>
  <c r="AW96" i="8"/>
  <c r="AV96" i="8"/>
  <c r="AU96" i="8"/>
  <c r="AT96" i="8"/>
  <c r="AY95" i="8"/>
  <c r="AX95" i="8"/>
  <c r="AW95" i="8"/>
  <c r="AV95" i="8"/>
  <c r="AU95" i="8"/>
  <c r="AT95" i="8"/>
  <c r="AY94" i="8"/>
  <c r="AX94" i="8"/>
  <c r="AW94" i="8"/>
  <c r="AV94" i="8"/>
  <c r="AU94" i="8"/>
  <c r="AT94" i="8"/>
  <c r="AY93" i="8"/>
  <c r="AX93" i="8"/>
  <c r="AW93" i="8"/>
  <c r="AV93" i="8"/>
  <c r="AU93" i="8"/>
  <c r="AT93" i="8"/>
  <c r="AY92" i="8"/>
  <c r="AX92" i="8"/>
  <c r="AW92" i="8"/>
  <c r="AV92" i="8"/>
  <c r="AU92" i="8"/>
  <c r="AT92" i="8"/>
  <c r="AY91" i="8"/>
  <c r="AX91" i="8"/>
  <c r="AW91" i="8"/>
  <c r="AV91" i="8"/>
  <c r="AU91" i="8"/>
  <c r="AT91" i="8"/>
  <c r="AY90" i="8"/>
  <c r="AX90" i="8"/>
  <c r="AW90" i="8"/>
  <c r="AV90" i="8"/>
  <c r="AU90" i="8"/>
  <c r="AT90" i="8"/>
  <c r="AY89" i="8"/>
  <c r="AX89" i="8"/>
  <c r="AW89" i="8"/>
  <c r="AV89" i="8"/>
  <c r="AU89" i="8"/>
  <c r="AT89" i="8"/>
  <c r="AY88" i="8"/>
  <c r="AX88" i="8"/>
  <c r="AW88" i="8"/>
  <c r="AV88" i="8"/>
  <c r="AU88" i="8"/>
  <c r="AT88" i="8"/>
  <c r="AY87" i="8"/>
  <c r="AX87" i="8"/>
  <c r="AW87" i="8"/>
  <c r="AV87" i="8"/>
  <c r="AU87" i="8"/>
  <c r="AT87" i="8"/>
  <c r="AY86" i="8"/>
  <c r="AX86" i="8"/>
  <c r="AW86" i="8"/>
  <c r="AV86" i="8"/>
  <c r="AU86" i="8"/>
  <c r="AT86" i="8"/>
  <c r="AY85" i="8"/>
  <c r="AX85" i="8"/>
  <c r="AW85" i="8"/>
  <c r="AV85" i="8"/>
  <c r="AU85" i="8"/>
  <c r="AT85" i="8"/>
  <c r="AY84" i="8"/>
  <c r="AX84" i="8"/>
  <c r="AW84" i="8"/>
  <c r="AV84" i="8"/>
  <c r="AU84" i="8"/>
  <c r="AT84" i="8"/>
  <c r="AY83" i="8"/>
  <c r="AX83" i="8"/>
  <c r="AW83" i="8"/>
  <c r="AV83" i="8"/>
  <c r="AU83" i="8"/>
  <c r="AT83" i="8"/>
  <c r="AY81" i="8"/>
  <c r="AX81" i="8"/>
  <c r="AW81" i="8"/>
  <c r="AV81" i="8"/>
  <c r="AU81" i="8"/>
  <c r="AT81" i="8"/>
  <c r="AY80" i="8"/>
  <c r="AX80" i="8"/>
  <c r="AW80" i="8"/>
  <c r="AV80" i="8"/>
  <c r="AU80" i="8"/>
  <c r="AT80" i="8"/>
  <c r="AY79" i="8"/>
  <c r="AX79" i="8"/>
  <c r="AW79" i="8"/>
  <c r="AV79" i="8"/>
  <c r="AU79" i="8"/>
  <c r="AT79" i="8"/>
  <c r="AY78" i="8"/>
  <c r="AX78" i="8"/>
  <c r="AW78" i="8"/>
  <c r="AV78" i="8"/>
  <c r="AU78" i="8"/>
  <c r="AT78" i="8"/>
  <c r="AY77" i="8"/>
  <c r="AX77" i="8"/>
  <c r="AW77" i="8"/>
  <c r="AV77" i="8"/>
  <c r="AU77" i="8"/>
  <c r="AT77" i="8"/>
  <c r="AY76" i="8"/>
  <c r="AX76" i="8"/>
  <c r="AW76" i="8"/>
  <c r="AV76" i="8"/>
  <c r="AU76" i="8"/>
  <c r="AT76" i="8"/>
  <c r="AY75" i="8"/>
  <c r="AX75" i="8"/>
  <c r="AW75" i="8"/>
  <c r="AV75" i="8"/>
  <c r="AU75" i="8"/>
  <c r="AT75" i="8"/>
  <c r="AY74" i="8"/>
  <c r="AX74" i="8"/>
  <c r="AW74" i="8"/>
  <c r="AV74" i="8"/>
  <c r="AU74" i="8"/>
  <c r="AT74" i="8"/>
  <c r="AY73" i="8"/>
  <c r="AX73" i="8"/>
  <c r="AW73" i="8"/>
  <c r="AV73" i="8"/>
  <c r="AU73" i="8"/>
  <c r="AT73" i="8"/>
  <c r="AY72" i="8"/>
  <c r="AX72" i="8"/>
  <c r="AW72" i="8"/>
  <c r="AV72" i="8"/>
  <c r="AU72" i="8"/>
  <c r="AT72" i="8"/>
  <c r="AY71" i="8"/>
  <c r="AX71" i="8"/>
  <c r="AW71" i="8"/>
  <c r="AV71" i="8"/>
  <c r="AU71" i="8"/>
  <c r="AT71" i="8"/>
  <c r="AY70" i="8"/>
  <c r="AX70" i="8"/>
  <c r="AW70" i="8"/>
  <c r="AV70" i="8"/>
  <c r="AU70" i="8"/>
  <c r="AT70" i="8"/>
  <c r="AY69" i="8"/>
  <c r="AX69" i="8"/>
  <c r="AW69" i="8"/>
  <c r="AV69" i="8"/>
  <c r="AU69" i="8"/>
  <c r="AT69" i="8"/>
  <c r="AY68" i="8"/>
  <c r="AX68" i="8"/>
  <c r="AW68" i="8"/>
  <c r="AV68" i="8"/>
  <c r="AU68" i="8"/>
  <c r="AT68" i="8"/>
  <c r="AY67" i="8"/>
  <c r="AX67" i="8"/>
  <c r="AW67" i="8"/>
  <c r="AV67" i="8"/>
  <c r="AU67" i="8"/>
  <c r="AT67" i="8"/>
  <c r="AY66" i="8"/>
  <c r="AX66" i="8"/>
  <c r="AW66" i="8"/>
  <c r="AV66" i="8"/>
  <c r="AU66" i="8"/>
  <c r="AT66" i="8"/>
  <c r="AY65" i="8"/>
  <c r="AX65" i="8"/>
  <c r="AW65" i="8"/>
  <c r="AV65" i="8"/>
  <c r="AU65" i="8"/>
  <c r="AT65" i="8"/>
  <c r="AY64" i="8"/>
  <c r="AX64" i="8"/>
  <c r="AW64" i="8"/>
  <c r="AV64" i="8"/>
  <c r="AU64" i="8"/>
  <c r="AT64" i="8"/>
  <c r="AY63" i="8"/>
  <c r="AX63" i="8"/>
  <c r="AW63" i="8"/>
  <c r="AV63" i="8"/>
  <c r="AU63" i="8"/>
  <c r="AT63" i="8"/>
  <c r="AY62" i="8"/>
  <c r="AX62" i="8"/>
  <c r="AW62" i="8"/>
  <c r="AV62" i="8"/>
  <c r="AU62" i="8"/>
  <c r="AT62" i="8"/>
  <c r="AY61" i="8"/>
  <c r="AX61" i="8"/>
  <c r="AW61" i="8"/>
  <c r="AV61" i="8"/>
  <c r="AU61" i="8"/>
  <c r="AT61" i="8"/>
  <c r="AY60" i="8"/>
  <c r="AX60" i="8"/>
  <c r="AW60" i="8"/>
  <c r="AV60" i="8"/>
  <c r="AU60" i="8"/>
  <c r="AT60" i="8"/>
  <c r="AY59" i="8"/>
  <c r="AX59" i="8"/>
  <c r="AW59" i="8"/>
  <c r="AV59" i="8"/>
  <c r="AU59" i="8"/>
  <c r="AT59" i="8"/>
  <c r="AY57" i="8"/>
  <c r="AX57" i="8"/>
  <c r="AW57" i="8"/>
  <c r="AV57" i="8"/>
  <c r="AU57" i="8"/>
  <c r="AT57" i="8"/>
  <c r="AY56" i="8"/>
  <c r="AX56" i="8"/>
  <c r="AW56" i="8"/>
  <c r="AV56" i="8"/>
  <c r="AU56" i="8"/>
  <c r="AT56" i="8"/>
  <c r="AY55" i="8"/>
  <c r="AX55" i="8"/>
  <c r="AW55" i="8"/>
  <c r="AV55" i="8"/>
  <c r="AU55" i="8"/>
  <c r="AT55" i="8"/>
  <c r="AY54" i="8"/>
  <c r="AX54" i="8"/>
  <c r="AW54" i="8"/>
  <c r="AV54" i="8"/>
  <c r="AU54" i="8"/>
  <c r="AT54" i="8"/>
  <c r="AY53" i="8"/>
  <c r="AX53" i="8"/>
  <c r="AW53" i="8"/>
  <c r="AV53" i="8"/>
  <c r="AU53" i="8"/>
  <c r="AT53" i="8"/>
  <c r="AY52" i="8"/>
  <c r="AX52" i="8"/>
  <c r="AW52" i="8"/>
  <c r="AV52" i="8"/>
  <c r="AU52" i="8"/>
  <c r="AT52" i="8"/>
  <c r="AY51" i="8"/>
  <c r="AX51" i="8"/>
  <c r="AW51" i="8"/>
  <c r="AV51" i="8"/>
  <c r="AU51" i="8"/>
  <c r="AT51" i="8"/>
  <c r="AY50" i="8"/>
  <c r="AX50" i="8"/>
  <c r="AW50" i="8"/>
  <c r="AV50" i="8"/>
  <c r="AU50" i="8"/>
  <c r="AT50" i="8"/>
  <c r="AY49" i="8"/>
  <c r="AX49" i="8"/>
  <c r="AW49" i="8"/>
  <c r="AV49" i="8"/>
  <c r="AU49" i="8"/>
  <c r="AT49" i="8"/>
  <c r="AY48" i="8"/>
  <c r="AX48" i="8"/>
  <c r="AW48" i="8"/>
  <c r="AV48" i="8"/>
  <c r="AU48" i="8"/>
  <c r="AT48" i="8"/>
  <c r="AY47" i="8"/>
  <c r="AX47" i="8"/>
  <c r="AW47" i="8"/>
  <c r="AV47" i="8"/>
  <c r="AU47" i="8"/>
  <c r="AT47" i="8"/>
  <c r="AY46" i="8"/>
  <c r="AX46" i="8"/>
  <c r="AW46" i="8"/>
  <c r="AV46" i="8"/>
  <c r="AU46" i="8"/>
  <c r="AT46" i="8"/>
  <c r="AY45" i="8"/>
  <c r="AX45" i="8"/>
  <c r="AW45" i="8"/>
  <c r="AV45" i="8"/>
  <c r="AU45" i="8"/>
  <c r="AT45" i="8"/>
  <c r="AY44" i="8"/>
  <c r="AX44" i="8"/>
  <c r="AW44" i="8"/>
  <c r="AV44" i="8"/>
  <c r="AU44" i="8"/>
  <c r="AT44" i="8"/>
  <c r="AY43" i="8"/>
  <c r="AX43" i="8"/>
  <c r="AW43" i="8"/>
  <c r="AV43" i="8"/>
  <c r="AU43" i="8"/>
  <c r="AT43" i="8"/>
  <c r="AY42" i="8"/>
  <c r="AX42" i="8"/>
  <c r="AW42" i="8"/>
  <c r="AV42" i="8"/>
  <c r="AU42" i="8"/>
  <c r="AT42" i="8"/>
  <c r="AY41" i="8"/>
  <c r="AX41" i="8"/>
  <c r="AW41" i="8"/>
  <c r="AV41" i="8"/>
  <c r="AU41" i="8"/>
  <c r="AT41" i="8"/>
  <c r="AY40" i="8"/>
  <c r="AX40" i="8"/>
  <c r="AW40" i="8"/>
  <c r="AV40" i="8"/>
  <c r="AU40" i="8"/>
  <c r="AT40" i="8"/>
  <c r="AY39" i="8"/>
  <c r="AX39" i="8"/>
  <c r="AW39" i="8"/>
  <c r="AV39" i="8"/>
  <c r="AU39" i="8"/>
  <c r="AT39" i="8"/>
  <c r="AY38" i="8"/>
  <c r="AX38" i="8"/>
  <c r="AW38" i="8"/>
  <c r="AV38" i="8"/>
  <c r="AU38" i="8"/>
  <c r="AT38" i="8"/>
  <c r="AY37" i="8"/>
  <c r="AX37" i="8"/>
  <c r="AW37" i="8"/>
  <c r="AV37" i="8"/>
  <c r="AU37" i="8"/>
  <c r="AT37" i="8"/>
  <c r="AY35" i="8"/>
  <c r="AX35" i="8"/>
  <c r="AW35" i="8"/>
  <c r="AV35" i="8"/>
  <c r="AU35" i="8"/>
  <c r="AT35" i="8"/>
  <c r="AY34" i="8"/>
  <c r="AX34" i="8"/>
  <c r="AW34" i="8"/>
  <c r="AV34" i="8"/>
  <c r="AU34" i="8"/>
  <c r="AT34" i="8"/>
  <c r="AY33" i="8"/>
  <c r="AX33" i="8"/>
  <c r="AW33" i="8"/>
  <c r="AV33" i="8"/>
  <c r="AU33" i="8"/>
  <c r="AT33" i="8"/>
  <c r="AY31" i="8"/>
  <c r="AX31" i="8"/>
  <c r="AW31" i="8"/>
  <c r="AV31" i="8"/>
  <c r="AU31" i="8"/>
  <c r="AT31" i="8"/>
  <c r="AY30" i="8"/>
  <c r="AX30" i="8"/>
  <c r="AW30" i="8"/>
  <c r="AV30" i="8"/>
  <c r="AU30" i="8"/>
  <c r="AT30" i="8"/>
  <c r="AY29" i="8"/>
  <c r="AX29" i="8"/>
  <c r="AW29" i="8"/>
  <c r="AV29" i="8"/>
  <c r="AU29" i="8"/>
  <c r="AT29" i="8"/>
  <c r="AY28" i="8"/>
  <c r="AX28" i="8"/>
  <c r="AW28" i="8"/>
  <c r="AV28" i="8"/>
  <c r="AU28" i="8"/>
  <c r="AT28" i="8"/>
  <c r="AY27" i="8"/>
  <c r="AX27" i="8"/>
  <c r="AW27" i="8"/>
  <c r="AV27" i="8"/>
  <c r="AU27" i="8"/>
  <c r="AT27" i="8"/>
  <c r="AY26" i="8"/>
  <c r="AX26" i="8"/>
  <c r="AW26" i="8"/>
  <c r="AV26" i="8"/>
  <c r="AU26" i="8"/>
  <c r="AT26" i="8"/>
  <c r="AY25" i="8"/>
  <c r="AX25" i="8"/>
  <c r="AW25" i="8"/>
  <c r="AV25" i="8"/>
  <c r="AU25" i="8"/>
  <c r="AT25" i="8"/>
  <c r="AY24" i="8"/>
  <c r="AX24" i="8"/>
  <c r="AW24" i="8"/>
  <c r="AV24" i="8"/>
  <c r="AU24" i="8"/>
  <c r="AT24" i="8"/>
  <c r="AY23" i="8"/>
  <c r="AX23" i="8"/>
  <c r="AW23" i="8"/>
  <c r="AV23" i="8"/>
  <c r="AU23" i="8"/>
  <c r="AT23" i="8"/>
  <c r="AY22" i="8"/>
  <c r="AX22" i="8"/>
  <c r="AW22" i="8"/>
  <c r="AV22" i="8"/>
  <c r="AU22" i="8"/>
  <c r="AT22" i="8"/>
  <c r="AY21" i="8"/>
  <c r="AX21" i="8"/>
  <c r="AW21" i="8"/>
  <c r="AV21" i="8"/>
  <c r="AU21" i="8"/>
  <c r="AT21" i="8"/>
  <c r="AY19" i="8"/>
  <c r="AX19" i="8"/>
  <c r="AW19" i="8"/>
  <c r="AV19" i="8"/>
  <c r="AU19" i="8"/>
  <c r="AT19" i="8"/>
  <c r="AY18" i="8"/>
  <c r="AX18" i="8"/>
  <c r="AW18" i="8"/>
  <c r="AV18" i="8"/>
  <c r="AU18" i="8"/>
  <c r="AT18" i="8"/>
  <c r="AY17" i="8"/>
  <c r="AX17" i="8"/>
  <c r="AW17" i="8"/>
  <c r="AV17" i="8"/>
  <c r="AU17" i="8"/>
  <c r="AT17" i="8"/>
  <c r="AY16" i="8"/>
  <c r="AX16" i="8"/>
  <c r="AW16" i="8"/>
  <c r="AV16" i="8"/>
  <c r="AU16" i="8"/>
  <c r="AT16" i="8"/>
  <c r="AY15" i="8"/>
  <c r="AX15" i="8"/>
  <c r="AW15" i="8"/>
  <c r="AV15" i="8"/>
  <c r="AU15" i="8"/>
  <c r="AT15" i="8"/>
  <c r="AY14" i="8"/>
  <c r="AX14" i="8"/>
  <c r="AW14" i="8"/>
  <c r="AV14" i="8"/>
  <c r="AU14" i="8"/>
  <c r="AT14" i="8"/>
  <c r="AY13" i="8"/>
  <c r="AX13" i="8"/>
  <c r="AW13" i="8"/>
  <c r="AV13" i="8"/>
  <c r="AU13" i="8"/>
  <c r="AT13" i="8"/>
  <c r="AY12" i="8"/>
  <c r="AX12" i="8"/>
  <c r="AW12" i="8"/>
  <c r="AV12" i="8"/>
  <c r="AU12" i="8"/>
  <c r="AT12" i="8"/>
  <c r="AY11" i="8"/>
  <c r="AX11" i="8"/>
  <c r="AW11" i="8"/>
  <c r="AV11" i="8"/>
  <c r="AU11" i="8"/>
  <c r="AT11" i="8"/>
  <c r="AY10" i="8"/>
  <c r="AX10" i="8"/>
  <c r="AW10" i="8"/>
  <c r="AV10" i="8"/>
  <c r="AU10" i="8"/>
  <c r="AT10" i="8"/>
  <c r="AY9" i="8"/>
  <c r="AX9" i="8"/>
  <c r="AW9" i="8"/>
  <c r="AV9" i="8"/>
  <c r="AU9" i="8"/>
  <c r="AT9" i="8"/>
  <c r="AY8" i="8"/>
  <c r="AX8" i="8"/>
  <c r="AW8" i="8"/>
  <c r="AV8" i="8"/>
  <c r="AU8" i="8"/>
  <c r="AT8" i="8"/>
  <c r="AY7" i="8"/>
  <c r="AX7" i="8"/>
  <c r="AW7" i="8"/>
  <c r="AV7" i="8"/>
  <c r="AU7" i="8"/>
  <c r="AT7" i="8"/>
  <c r="AY6" i="8"/>
  <c r="AX6" i="8"/>
  <c r="AW6" i="8"/>
  <c r="AV6" i="8"/>
  <c r="AU6" i="8"/>
  <c r="AT6" i="8"/>
  <c r="AS170" i="7"/>
  <c r="AS167" i="7"/>
  <c r="AY164" i="7"/>
  <c r="AX164" i="7"/>
  <c r="AW164" i="7"/>
  <c r="AV164" i="7"/>
  <c r="AU164" i="7"/>
  <c r="AT164" i="7"/>
  <c r="AY163" i="7"/>
  <c r="AX163" i="7"/>
  <c r="AW163" i="7"/>
  <c r="AV163" i="7"/>
  <c r="AU163" i="7"/>
  <c r="AT163" i="7"/>
  <c r="AY162" i="7"/>
  <c r="AX162" i="7"/>
  <c r="AW162" i="7"/>
  <c r="AV162" i="7"/>
  <c r="AU162" i="7"/>
  <c r="AT162" i="7"/>
  <c r="AY160" i="7"/>
  <c r="AX160" i="7"/>
  <c r="AW160" i="7"/>
  <c r="AV160" i="7"/>
  <c r="AU160" i="7"/>
  <c r="AT160" i="7"/>
  <c r="AY159" i="7"/>
  <c r="AX159" i="7"/>
  <c r="AW159" i="7"/>
  <c r="AV159" i="7"/>
  <c r="AU159" i="7"/>
  <c r="AT159" i="7"/>
  <c r="AY158" i="7"/>
  <c r="AX158" i="7"/>
  <c r="AW158" i="7"/>
  <c r="AV158" i="7"/>
  <c r="AU158" i="7"/>
  <c r="AT158" i="7"/>
  <c r="AY157" i="7"/>
  <c r="AX157" i="7"/>
  <c r="AW157" i="7"/>
  <c r="AV157" i="7"/>
  <c r="AU157" i="7"/>
  <c r="AT157" i="7"/>
  <c r="AY156" i="7"/>
  <c r="AX156" i="7"/>
  <c r="AW156" i="7"/>
  <c r="AV156" i="7"/>
  <c r="AU156" i="7"/>
  <c r="AT156" i="7"/>
  <c r="AY155" i="7"/>
  <c r="AX155" i="7"/>
  <c r="AW155" i="7"/>
  <c r="AV155" i="7"/>
  <c r="AU155" i="7"/>
  <c r="AT155" i="7"/>
  <c r="AY154" i="7"/>
  <c r="AX154" i="7"/>
  <c r="AW154" i="7"/>
  <c r="AV154" i="7"/>
  <c r="AU154" i="7"/>
  <c r="AT154" i="7"/>
  <c r="AY153" i="7"/>
  <c r="AX153" i="7"/>
  <c r="AW153" i="7"/>
  <c r="AV153" i="7"/>
  <c r="AU153" i="7"/>
  <c r="AT153" i="7"/>
  <c r="AY151" i="7"/>
  <c r="AX151" i="7"/>
  <c r="AW151" i="7"/>
  <c r="AV151" i="7"/>
  <c r="AU151" i="7"/>
  <c r="AT151" i="7"/>
  <c r="AY150" i="7"/>
  <c r="AX150" i="7"/>
  <c r="AW150" i="7"/>
  <c r="AV150" i="7"/>
  <c r="AU150" i="7"/>
  <c r="AT150" i="7"/>
  <c r="AY149" i="7"/>
  <c r="AX149" i="7"/>
  <c r="AW149" i="7"/>
  <c r="AV149" i="7"/>
  <c r="AU149" i="7"/>
  <c r="AT149" i="7"/>
  <c r="AY148" i="7"/>
  <c r="AX148" i="7"/>
  <c r="AW148" i="7"/>
  <c r="AV148" i="7"/>
  <c r="AU148" i="7"/>
  <c r="AT148" i="7"/>
  <c r="AY147" i="7"/>
  <c r="AX147" i="7"/>
  <c r="AW147" i="7"/>
  <c r="AV147" i="7"/>
  <c r="AU147" i="7"/>
  <c r="AT147" i="7"/>
  <c r="AY146" i="7"/>
  <c r="AX146" i="7"/>
  <c r="AW146" i="7"/>
  <c r="AV146" i="7"/>
  <c r="AU146" i="7"/>
  <c r="AT146" i="7"/>
  <c r="AY145" i="7"/>
  <c r="AX145" i="7"/>
  <c r="AW145" i="7"/>
  <c r="AV145" i="7"/>
  <c r="AU145" i="7"/>
  <c r="AT145" i="7"/>
  <c r="AY144" i="7"/>
  <c r="AX144" i="7"/>
  <c r="AW144" i="7"/>
  <c r="AV144" i="7"/>
  <c r="AU144" i="7"/>
  <c r="AT144" i="7"/>
  <c r="AY143" i="7"/>
  <c r="AX143" i="7"/>
  <c r="AW143" i="7"/>
  <c r="AV143" i="7"/>
  <c r="AU143" i="7"/>
  <c r="AT143" i="7"/>
  <c r="AY142" i="7"/>
  <c r="AX142" i="7"/>
  <c r="AW142" i="7"/>
  <c r="AV142" i="7"/>
  <c r="AU142" i="7"/>
  <c r="AT142" i="7"/>
  <c r="AY141" i="7"/>
  <c r="AX141" i="7"/>
  <c r="AW141" i="7"/>
  <c r="AV141" i="7"/>
  <c r="AU141" i="7"/>
  <c r="AT141" i="7"/>
  <c r="AY140" i="7"/>
  <c r="AX140" i="7"/>
  <c r="AW140" i="7"/>
  <c r="AV140" i="7"/>
  <c r="AU140" i="7"/>
  <c r="AT140" i="7"/>
  <c r="AY139" i="7"/>
  <c r="AX139" i="7"/>
  <c r="AW139" i="7"/>
  <c r="AV139" i="7"/>
  <c r="AU139" i="7"/>
  <c r="AT139" i="7"/>
  <c r="AY137" i="7"/>
  <c r="AX137" i="7"/>
  <c r="AW137" i="7"/>
  <c r="AV137" i="7"/>
  <c r="AU137" i="7"/>
  <c r="AT137" i="7"/>
  <c r="AY135" i="7"/>
  <c r="AX135" i="7"/>
  <c r="AW135" i="7"/>
  <c r="AV135" i="7"/>
  <c r="AU135" i="7"/>
  <c r="AT135" i="7"/>
  <c r="AY133" i="7"/>
  <c r="AX133" i="7"/>
  <c r="AW133" i="7"/>
  <c r="AV133" i="7"/>
  <c r="AU133" i="7"/>
  <c r="AT133" i="7"/>
  <c r="AY132" i="7"/>
  <c r="AX132" i="7"/>
  <c r="AW132" i="7"/>
  <c r="AV132" i="7"/>
  <c r="AU132" i="7"/>
  <c r="AT132" i="7"/>
  <c r="AY131" i="7"/>
  <c r="AX131" i="7"/>
  <c r="AW131" i="7"/>
  <c r="AV131" i="7"/>
  <c r="AU131" i="7"/>
  <c r="AT131" i="7"/>
  <c r="AY130" i="7"/>
  <c r="AX130" i="7"/>
  <c r="AW130" i="7"/>
  <c r="AV130" i="7"/>
  <c r="AU130" i="7"/>
  <c r="AT130" i="7"/>
  <c r="AY129" i="7"/>
  <c r="AX129" i="7"/>
  <c r="AW129" i="7"/>
  <c r="AV129" i="7"/>
  <c r="AU129" i="7"/>
  <c r="AT129" i="7"/>
  <c r="AY128" i="7"/>
  <c r="AX128" i="7"/>
  <c r="AW128" i="7"/>
  <c r="AV128" i="7"/>
  <c r="AU128" i="7"/>
  <c r="AT128" i="7"/>
  <c r="AY127" i="7"/>
  <c r="AX127" i="7"/>
  <c r="AW127" i="7"/>
  <c r="AV127" i="7"/>
  <c r="AU127" i="7"/>
  <c r="AT127" i="7"/>
  <c r="AY124" i="7"/>
  <c r="AX124" i="7"/>
  <c r="AW124" i="7"/>
  <c r="AV124" i="7"/>
  <c r="AU124" i="7"/>
  <c r="AT124" i="7"/>
  <c r="AY123" i="7"/>
  <c r="AX123" i="7"/>
  <c r="AW123" i="7"/>
  <c r="AV123" i="7"/>
  <c r="AU123" i="7"/>
  <c r="AT123" i="7"/>
  <c r="AY121" i="7"/>
  <c r="AX121" i="7"/>
  <c r="AW121" i="7"/>
  <c r="AV121" i="7"/>
  <c r="AU121" i="7"/>
  <c r="AT121" i="7"/>
  <c r="AY120" i="7"/>
  <c r="AX120" i="7"/>
  <c r="AW120" i="7"/>
  <c r="AV120" i="7"/>
  <c r="AU120" i="7"/>
  <c r="AT120" i="7"/>
  <c r="AY119" i="7"/>
  <c r="AX119" i="7"/>
  <c r="AW119" i="7"/>
  <c r="AV119" i="7"/>
  <c r="AU119" i="7"/>
  <c r="AT119" i="7"/>
  <c r="AY118" i="7"/>
  <c r="AX118" i="7"/>
  <c r="AW118" i="7"/>
  <c r="AV118" i="7"/>
  <c r="AU118" i="7"/>
  <c r="AT118" i="7"/>
  <c r="AY117" i="7"/>
  <c r="AX117" i="7"/>
  <c r="AW117" i="7"/>
  <c r="AV117" i="7"/>
  <c r="AU117" i="7"/>
  <c r="AT117" i="7"/>
  <c r="AY116" i="7"/>
  <c r="AX116" i="7"/>
  <c r="AW116" i="7"/>
  <c r="AV116" i="7"/>
  <c r="AU116" i="7"/>
  <c r="AT116" i="7"/>
  <c r="AY115" i="7"/>
  <c r="AX115" i="7"/>
  <c r="AW115" i="7"/>
  <c r="AV115" i="7"/>
  <c r="AU115" i="7"/>
  <c r="AT115" i="7"/>
  <c r="AY114" i="7"/>
  <c r="AX114" i="7"/>
  <c r="AW114" i="7"/>
  <c r="AV114" i="7"/>
  <c r="AU114" i="7"/>
  <c r="AT114" i="7"/>
  <c r="AY113" i="7"/>
  <c r="AX113" i="7"/>
  <c r="AW113" i="7"/>
  <c r="AV113" i="7"/>
  <c r="AU113" i="7"/>
  <c r="AT113" i="7"/>
  <c r="AY112" i="7"/>
  <c r="AX112" i="7"/>
  <c r="AW112" i="7"/>
  <c r="AV112" i="7"/>
  <c r="AU112" i="7"/>
  <c r="AT112" i="7"/>
  <c r="AY111" i="7"/>
  <c r="AX111" i="7"/>
  <c r="AW111" i="7"/>
  <c r="AV111" i="7"/>
  <c r="AU111" i="7"/>
  <c r="AT111" i="7"/>
  <c r="AY110" i="7"/>
  <c r="AX110" i="7"/>
  <c r="AW110" i="7"/>
  <c r="AV110" i="7"/>
  <c r="AU110" i="7"/>
  <c r="AT110" i="7"/>
  <c r="AY109" i="7"/>
  <c r="AX109" i="7"/>
  <c r="AW109" i="7"/>
  <c r="AV109" i="7"/>
  <c r="AU109" i="7"/>
  <c r="AT109" i="7"/>
  <c r="AY108" i="7"/>
  <c r="AX108" i="7"/>
  <c r="AW108" i="7"/>
  <c r="AV108" i="7"/>
  <c r="AU108" i="7"/>
  <c r="AT108" i="7"/>
  <c r="AY107" i="7"/>
  <c r="AX107" i="7"/>
  <c r="AW107" i="7"/>
  <c r="AV107" i="7"/>
  <c r="AU107" i="7"/>
  <c r="AT107" i="7"/>
  <c r="AY106" i="7"/>
  <c r="AX106" i="7"/>
  <c r="AW106" i="7"/>
  <c r="AV106" i="7"/>
  <c r="AU106" i="7"/>
  <c r="AT106" i="7"/>
  <c r="AY105" i="7"/>
  <c r="AX105" i="7"/>
  <c r="AW105" i="7"/>
  <c r="AV105" i="7"/>
  <c r="AU105" i="7"/>
  <c r="AT105" i="7"/>
  <c r="AY104" i="7"/>
  <c r="AX104" i="7"/>
  <c r="AW104" i="7"/>
  <c r="AV104" i="7"/>
  <c r="AU104" i="7"/>
  <c r="AT104" i="7"/>
  <c r="AY103" i="7"/>
  <c r="AX103" i="7"/>
  <c r="AW103" i="7"/>
  <c r="AV103" i="7"/>
  <c r="AU103" i="7"/>
  <c r="AT103" i="7"/>
  <c r="AY102" i="7"/>
  <c r="AX102" i="7"/>
  <c r="AW102" i="7"/>
  <c r="AV102" i="7"/>
  <c r="AU102" i="7"/>
  <c r="AT102" i="7"/>
  <c r="AY101" i="7"/>
  <c r="AX101" i="7"/>
  <c r="AW101" i="7"/>
  <c r="AV101" i="7"/>
  <c r="AU101" i="7"/>
  <c r="AT101" i="7"/>
  <c r="AY98" i="7"/>
  <c r="AX98" i="7"/>
  <c r="AW98" i="7"/>
  <c r="AV98" i="7"/>
  <c r="AU98" i="7"/>
  <c r="AT98" i="7"/>
  <c r="AY97" i="7"/>
  <c r="AX97" i="7"/>
  <c r="AW97" i="7"/>
  <c r="AV97" i="7"/>
  <c r="AU97" i="7"/>
  <c r="AT97" i="7"/>
  <c r="AY96" i="7"/>
  <c r="AX96" i="7"/>
  <c r="AW96" i="7"/>
  <c r="AV96" i="7"/>
  <c r="AU96" i="7"/>
  <c r="AT96" i="7"/>
  <c r="AY95" i="7"/>
  <c r="AX95" i="7"/>
  <c r="AW95" i="7"/>
  <c r="AV95" i="7"/>
  <c r="AU95" i="7"/>
  <c r="AT95" i="7"/>
  <c r="AY94" i="7"/>
  <c r="AX94" i="7"/>
  <c r="AW94" i="7"/>
  <c r="AV94" i="7"/>
  <c r="AU94" i="7"/>
  <c r="AT94" i="7"/>
  <c r="AY93" i="7"/>
  <c r="AX93" i="7"/>
  <c r="AW93" i="7"/>
  <c r="AV93" i="7"/>
  <c r="AU93" i="7"/>
  <c r="AT93" i="7"/>
  <c r="AY92" i="7"/>
  <c r="AX92" i="7"/>
  <c r="AW92" i="7"/>
  <c r="AV92" i="7"/>
  <c r="AU92" i="7"/>
  <c r="AT92" i="7"/>
  <c r="AY91" i="7"/>
  <c r="AX91" i="7"/>
  <c r="AW91" i="7"/>
  <c r="AV91" i="7"/>
  <c r="AU91" i="7"/>
  <c r="AT91" i="7"/>
  <c r="AY90" i="7"/>
  <c r="AX90" i="7"/>
  <c r="AW90" i="7"/>
  <c r="AV90" i="7"/>
  <c r="AU90" i="7"/>
  <c r="AT90" i="7"/>
  <c r="AY89" i="7"/>
  <c r="AX89" i="7"/>
  <c r="AW89" i="7"/>
  <c r="AV89" i="7"/>
  <c r="AU89" i="7"/>
  <c r="AT89" i="7"/>
  <c r="AY88" i="7"/>
  <c r="AX88" i="7"/>
  <c r="AW88" i="7"/>
  <c r="AV88" i="7"/>
  <c r="AU88" i="7"/>
  <c r="AT88" i="7"/>
  <c r="AY87" i="7"/>
  <c r="AX87" i="7"/>
  <c r="AW87" i="7"/>
  <c r="AV87" i="7"/>
  <c r="AU87" i="7"/>
  <c r="AT87" i="7"/>
  <c r="AY86" i="7"/>
  <c r="AX86" i="7"/>
  <c r="AW86" i="7"/>
  <c r="AV86" i="7"/>
  <c r="AU86" i="7"/>
  <c r="AT86" i="7"/>
  <c r="AY85" i="7"/>
  <c r="AX85" i="7"/>
  <c r="AW85" i="7"/>
  <c r="AV85" i="7"/>
  <c r="AU85" i="7"/>
  <c r="AT85" i="7"/>
  <c r="AY84" i="7"/>
  <c r="AX84" i="7"/>
  <c r="AW84" i="7"/>
  <c r="AV84" i="7"/>
  <c r="AU84" i="7"/>
  <c r="AT84" i="7"/>
  <c r="AY83" i="7"/>
  <c r="AX83" i="7"/>
  <c r="AW83" i="7"/>
  <c r="AV83" i="7"/>
  <c r="AU83" i="7"/>
  <c r="AT83" i="7"/>
  <c r="AY81" i="7"/>
  <c r="AX81" i="7"/>
  <c r="AW81" i="7"/>
  <c r="AV81" i="7"/>
  <c r="AU81" i="7"/>
  <c r="AT81" i="7"/>
  <c r="AY80" i="7"/>
  <c r="AX80" i="7"/>
  <c r="AW80" i="7"/>
  <c r="AV80" i="7"/>
  <c r="AU80" i="7"/>
  <c r="AT80" i="7"/>
  <c r="AY79" i="7"/>
  <c r="AX79" i="7"/>
  <c r="AW79" i="7"/>
  <c r="AV79" i="7"/>
  <c r="AU79" i="7"/>
  <c r="AT79" i="7"/>
  <c r="AY78" i="7"/>
  <c r="AX78" i="7"/>
  <c r="AW78" i="7"/>
  <c r="AV78" i="7"/>
  <c r="AU78" i="7"/>
  <c r="AT78" i="7"/>
  <c r="AY77" i="7"/>
  <c r="AX77" i="7"/>
  <c r="AW77" i="7"/>
  <c r="AV77" i="7"/>
  <c r="AU77" i="7"/>
  <c r="AT77" i="7"/>
  <c r="AY76" i="7"/>
  <c r="AX76" i="7"/>
  <c r="AW76" i="7"/>
  <c r="AV76" i="7"/>
  <c r="AU76" i="7"/>
  <c r="AT76" i="7"/>
  <c r="AY75" i="7"/>
  <c r="AX75" i="7"/>
  <c r="AW75" i="7"/>
  <c r="AV75" i="7"/>
  <c r="AU75" i="7"/>
  <c r="AT75" i="7"/>
  <c r="AY74" i="7"/>
  <c r="AX74" i="7"/>
  <c r="AW74" i="7"/>
  <c r="AV74" i="7"/>
  <c r="AU74" i="7"/>
  <c r="AT74" i="7"/>
  <c r="AY73" i="7"/>
  <c r="AX73" i="7"/>
  <c r="AW73" i="7"/>
  <c r="AV73" i="7"/>
  <c r="AU73" i="7"/>
  <c r="AT73" i="7"/>
  <c r="AY72" i="7"/>
  <c r="AX72" i="7"/>
  <c r="AW72" i="7"/>
  <c r="AV72" i="7"/>
  <c r="AU72" i="7"/>
  <c r="AT72" i="7"/>
  <c r="AY71" i="7"/>
  <c r="AX71" i="7"/>
  <c r="AW71" i="7"/>
  <c r="AV71" i="7"/>
  <c r="AU71" i="7"/>
  <c r="AT71" i="7"/>
  <c r="AY70" i="7"/>
  <c r="AX70" i="7"/>
  <c r="AW70" i="7"/>
  <c r="AV70" i="7"/>
  <c r="AU70" i="7"/>
  <c r="AT70" i="7"/>
  <c r="AY69" i="7"/>
  <c r="AX69" i="7"/>
  <c r="AW69" i="7"/>
  <c r="AV69" i="7"/>
  <c r="AU69" i="7"/>
  <c r="AT69" i="7"/>
  <c r="AY68" i="7"/>
  <c r="AX68" i="7"/>
  <c r="AW68" i="7"/>
  <c r="AV68" i="7"/>
  <c r="AU68" i="7"/>
  <c r="AT68" i="7"/>
  <c r="AY67" i="7"/>
  <c r="AX67" i="7"/>
  <c r="AW67" i="7"/>
  <c r="AV67" i="7"/>
  <c r="AU67" i="7"/>
  <c r="AT67" i="7"/>
  <c r="AY66" i="7"/>
  <c r="AX66" i="7"/>
  <c r="AW66" i="7"/>
  <c r="AV66" i="7"/>
  <c r="AU66" i="7"/>
  <c r="AT66" i="7"/>
  <c r="AY65" i="7"/>
  <c r="AX65" i="7"/>
  <c r="AW65" i="7"/>
  <c r="AV65" i="7"/>
  <c r="AU65" i="7"/>
  <c r="AT65" i="7"/>
  <c r="AY64" i="7"/>
  <c r="AX64" i="7"/>
  <c r="AW64" i="7"/>
  <c r="AV64" i="7"/>
  <c r="AU64" i="7"/>
  <c r="AT64" i="7"/>
  <c r="AY63" i="7"/>
  <c r="AX63" i="7"/>
  <c r="AW63" i="7"/>
  <c r="AV63" i="7"/>
  <c r="AU63" i="7"/>
  <c r="AT63" i="7"/>
  <c r="AY62" i="7"/>
  <c r="AX62" i="7"/>
  <c r="AW62" i="7"/>
  <c r="AV62" i="7"/>
  <c r="AU62" i="7"/>
  <c r="AT62" i="7"/>
  <c r="AY61" i="7"/>
  <c r="AX61" i="7"/>
  <c r="AW61" i="7"/>
  <c r="AV61" i="7"/>
  <c r="AU61" i="7"/>
  <c r="AT61" i="7"/>
  <c r="AY60" i="7"/>
  <c r="AX60" i="7"/>
  <c r="AW60" i="7"/>
  <c r="AV60" i="7"/>
  <c r="AU60" i="7"/>
  <c r="AT60" i="7"/>
  <c r="AY59" i="7"/>
  <c r="AX59" i="7"/>
  <c r="AW59" i="7"/>
  <c r="AV59" i="7"/>
  <c r="AU59" i="7"/>
  <c r="AT59" i="7"/>
  <c r="AY57" i="7"/>
  <c r="AX57" i="7"/>
  <c r="AW57" i="7"/>
  <c r="AV57" i="7"/>
  <c r="AU57" i="7"/>
  <c r="AT57" i="7"/>
  <c r="AY56" i="7"/>
  <c r="AX56" i="7"/>
  <c r="AW56" i="7"/>
  <c r="AV56" i="7"/>
  <c r="AU56" i="7"/>
  <c r="AT56" i="7"/>
  <c r="AY55" i="7"/>
  <c r="AX55" i="7"/>
  <c r="AW55" i="7"/>
  <c r="AV55" i="7"/>
  <c r="AU55" i="7"/>
  <c r="AT55" i="7"/>
  <c r="AY54" i="7"/>
  <c r="AX54" i="7"/>
  <c r="AW54" i="7"/>
  <c r="AV54" i="7"/>
  <c r="AU54" i="7"/>
  <c r="AT54" i="7"/>
  <c r="AY53" i="7"/>
  <c r="AX53" i="7"/>
  <c r="AW53" i="7"/>
  <c r="AV53" i="7"/>
  <c r="AU53" i="7"/>
  <c r="AT53" i="7"/>
  <c r="AY52" i="7"/>
  <c r="AX52" i="7"/>
  <c r="AW52" i="7"/>
  <c r="AV52" i="7"/>
  <c r="AU52" i="7"/>
  <c r="AT52" i="7"/>
  <c r="AY51" i="7"/>
  <c r="AX51" i="7"/>
  <c r="AW51" i="7"/>
  <c r="AV51" i="7"/>
  <c r="AU51" i="7"/>
  <c r="AT51" i="7"/>
  <c r="AY50" i="7"/>
  <c r="AX50" i="7"/>
  <c r="AW50" i="7"/>
  <c r="AV50" i="7"/>
  <c r="AU50" i="7"/>
  <c r="AT50" i="7"/>
  <c r="AY49" i="7"/>
  <c r="AX49" i="7"/>
  <c r="AW49" i="7"/>
  <c r="AV49" i="7"/>
  <c r="AU49" i="7"/>
  <c r="AT49" i="7"/>
  <c r="AY48" i="7"/>
  <c r="AX48" i="7"/>
  <c r="AW48" i="7"/>
  <c r="AV48" i="7"/>
  <c r="AU48" i="7"/>
  <c r="AT48" i="7"/>
  <c r="AY47" i="7"/>
  <c r="AX47" i="7"/>
  <c r="AW47" i="7"/>
  <c r="AV47" i="7"/>
  <c r="AU47" i="7"/>
  <c r="AT47" i="7"/>
  <c r="AY46" i="7"/>
  <c r="AX46" i="7"/>
  <c r="AW46" i="7"/>
  <c r="AV46" i="7"/>
  <c r="AU46" i="7"/>
  <c r="AT46" i="7"/>
  <c r="AY45" i="7"/>
  <c r="AX45" i="7"/>
  <c r="AW45" i="7"/>
  <c r="AV45" i="7"/>
  <c r="AU45" i="7"/>
  <c r="AT45" i="7"/>
  <c r="AY44" i="7"/>
  <c r="AX44" i="7"/>
  <c r="AW44" i="7"/>
  <c r="AV44" i="7"/>
  <c r="AU44" i="7"/>
  <c r="AT44" i="7"/>
  <c r="AY43" i="7"/>
  <c r="AX43" i="7"/>
  <c r="AW43" i="7"/>
  <c r="AV43" i="7"/>
  <c r="AU43" i="7"/>
  <c r="AT43" i="7"/>
  <c r="AY42" i="7"/>
  <c r="AX42" i="7"/>
  <c r="AW42" i="7"/>
  <c r="AV42" i="7"/>
  <c r="AU42" i="7"/>
  <c r="AT42" i="7"/>
  <c r="AY41" i="7"/>
  <c r="AX41" i="7"/>
  <c r="AW41" i="7"/>
  <c r="AV41" i="7"/>
  <c r="AU41" i="7"/>
  <c r="AT41" i="7"/>
  <c r="AY40" i="7"/>
  <c r="AX40" i="7"/>
  <c r="AW40" i="7"/>
  <c r="AV40" i="7"/>
  <c r="AU40" i="7"/>
  <c r="AT40" i="7"/>
  <c r="AY39" i="7"/>
  <c r="AX39" i="7"/>
  <c r="AW39" i="7"/>
  <c r="AV39" i="7"/>
  <c r="AU39" i="7"/>
  <c r="AT39" i="7"/>
  <c r="AY38" i="7"/>
  <c r="AX38" i="7"/>
  <c r="AW38" i="7"/>
  <c r="AV38" i="7"/>
  <c r="AU38" i="7"/>
  <c r="AT38" i="7"/>
  <c r="AY37" i="7"/>
  <c r="AX37" i="7"/>
  <c r="AW37" i="7"/>
  <c r="AV37" i="7"/>
  <c r="AU37" i="7"/>
  <c r="AT37" i="7"/>
  <c r="AY35" i="7"/>
  <c r="AX35" i="7"/>
  <c r="AW35" i="7"/>
  <c r="AV35" i="7"/>
  <c r="AU35" i="7"/>
  <c r="AT35" i="7"/>
  <c r="AY34" i="7"/>
  <c r="AX34" i="7"/>
  <c r="AW34" i="7"/>
  <c r="AV34" i="7"/>
  <c r="AU34" i="7"/>
  <c r="AT34" i="7"/>
  <c r="AY33" i="7"/>
  <c r="AX33" i="7"/>
  <c r="AW33" i="7"/>
  <c r="AV33" i="7"/>
  <c r="AU33" i="7"/>
  <c r="AT33" i="7"/>
  <c r="AY31" i="7"/>
  <c r="AX31" i="7"/>
  <c r="AW31" i="7"/>
  <c r="AV31" i="7"/>
  <c r="AU31" i="7"/>
  <c r="AT31" i="7"/>
  <c r="AY30" i="7"/>
  <c r="AX30" i="7"/>
  <c r="AW30" i="7"/>
  <c r="AV30" i="7"/>
  <c r="AU30" i="7"/>
  <c r="AT30" i="7"/>
  <c r="AY29" i="7"/>
  <c r="AX29" i="7"/>
  <c r="AW29" i="7"/>
  <c r="AV29" i="7"/>
  <c r="AU29" i="7"/>
  <c r="AT29" i="7"/>
  <c r="AY28" i="7"/>
  <c r="AX28" i="7"/>
  <c r="AW28" i="7"/>
  <c r="AV28" i="7"/>
  <c r="AU28" i="7"/>
  <c r="AT28" i="7"/>
  <c r="AY27" i="7"/>
  <c r="AX27" i="7"/>
  <c r="AW27" i="7"/>
  <c r="AV27" i="7"/>
  <c r="AU27" i="7"/>
  <c r="AT27" i="7"/>
  <c r="AY26" i="7"/>
  <c r="AX26" i="7"/>
  <c r="AW26" i="7"/>
  <c r="AV26" i="7"/>
  <c r="AU26" i="7"/>
  <c r="AT26" i="7"/>
  <c r="AY25" i="7"/>
  <c r="AX25" i="7"/>
  <c r="AW25" i="7"/>
  <c r="AV25" i="7"/>
  <c r="AU25" i="7"/>
  <c r="AT25" i="7"/>
  <c r="AY24" i="7"/>
  <c r="AX24" i="7"/>
  <c r="AW24" i="7"/>
  <c r="AV24" i="7"/>
  <c r="AU24" i="7"/>
  <c r="AT24" i="7"/>
  <c r="AY23" i="7"/>
  <c r="AX23" i="7"/>
  <c r="AW23" i="7"/>
  <c r="AV23" i="7"/>
  <c r="AU23" i="7"/>
  <c r="AT23" i="7"/>
  <c r="AY22" i="7"/>
  <c r="AX22" i="7"/>
  <c r="AW22" i="7"/>
  <c r="AV22" i="7"/>
  <c r="AU22" i="7"/>
  <c r="AT22" i="7"/>
  <c r="AY21" i="7"/>
  <c r="AX21" i="7"/>
  <c r="AW21" i="7"/>
  <c r="AV21" i="7"/>
  <c r="AU21" i="7"/>
  <c r="AT21" i="7"/>
  <c r="AY20" i="7"/>
  <c r="AX20" i="7"/>
  <c r="AW20" i="7"/>
  <c r="AV20" i="7"/>
  <c r="AU20" i="7"/>
  <c r="AT20" i="7"/>
  <c r="AY19" i="7"/>
  <c r="AX19" i="7"/>
  <c r="AW19" i="7"/>
  <c r="AV19" i="7"/>
  <c r="AU19" i="7"/>
  <c r="AT19" i="7"/>
  <c r="AY18" i="7"/>
  <c r="AX18" i="7"/>
  <c r="AW18" i="7"/>
  <c r="AV18" i="7"/>
  <c r="AU18" i="7"/>
  <c r="AT18" i="7"/>
  <c r="AY17" i="7"/>
  <c r="AX17" i="7"/>
  <c r="AW17" i="7"/>
  <c r="AV17" i="7"/>
  <c r="AU17" i="7"/>
  <c r="AT17" i="7"/>
  <c r="AY16" i="7"/>
  <c r="AX16" i="7"/>
  <c r="AW16" i="7"/>
  <c r="AV16" i="7"/>
  <c r="AU16" i="7"/>
  <c r="AT16" i="7"/>
  <c r="AY15" i="7"/>
  <c r="AX15" i="7"/>
  <c r="AW15" i="7"/>
  <c r="AV15" i="7"/>
  <c r="AU15" i="7"/>
  <c r="AT15" i="7"/>
  <c r="AY14" i="7"/>
  <c r="AX14" i="7"/>
  <c r="AW14" i="7"/>
  <c r="AV14" i="7"/>
  <c r="AU14" i="7"/>
  <c r="AT14" i="7"/>
  <c r="AY13" i="7"/>
  <c r="AX13" i="7"/>
  <c r="AW13" i="7"/>
  <c r="AV13" i="7"/>
  <c r="AU13" i="7"/>
  <c r="AT13" i="7"/>
  <c r="AY12" i="7"/>
  <c r="AX12" i="7"/>
  <c r="AW12" i="7"/>
  <c r="AV12" i="7"/>
  <c r="AU12" i="7"/>
  <c r="AT12" i="7"/>
  <c r="AY11" i="7"/>
  <c r="AX11" i="7"/>
  <c r="AW11" i="7"/>
  <c r="AV11" i="7"/>
  <c r="AU11" i="7"/>
  <c r="AT11" i="7"/>
  <c r="AY10" i="7"/>
  <c r="AX10" i="7"/>
  <c r="AW10" i="7"/>
  <c r="AV10" i="7"/>
  <c r="AU10" i="7"/>
  <c r="AT10" i="7"/>
  <c r="AY9" i="7"/>
  <c r="AX9" i="7"/>
  <c r="AW9" i="7"/>
  <c r="AV9" i="7"/>
  <c r="AU9" i="7"/>
  <c r="AT9" i="7"/>
  <c r="AY8" i="7"/>
  <c r="AX8" i="7"/>
  <c r="AW8" i="7"/>
  <c r="AV8" i="7"/>
  <c r="AU8" i="7"/>
  <c r="AT8" i="7"/>
  <c r="AY7" i="7"/>
  <c r="AX7" i="7"/>
  <c r="AW7" i="7"/>
  <c r="AV7" i="7"/>
  <c r="AU7" i="7"/>
  <c r="AT7" i="7"/>
  <c r="AY6" i="7"/>
  <c r="AX6" i="7"/>
  <c r="AW6" i="7"/>
  <c r="AV6" i="7"/>
  <c r="AU6" i="7"/>
  <c r="AT6" i="7"/>
  <c r="AT2" i="5"/>
  <c r="AU2" i="5"/>
  <c r="AV2" i="5"/>
  <c r="AW2" i="5"/>
  <c r="AX2" i="5"/>
  <c r="AY2" i="5"/>
  <c r="AT3" i="5"/>
  <c r="AU3" i="5"/>
  <c r="AV3" i="5"/>
  <c r="AW3" i="5"/>
  <c r="AX3" i="5"/>
  <c r="AY3" i="5"/>
  <c r="AT4" i="5"/>
  <c r="AU4" i="5"/>
  <c r="AV4" i="5"/>
  <c r="AW4" i="5"/>
  <c r="AX4" i="5"/>
  <c r="AY4" i="5"/>
  <c r="AT5" i="5"/>
  <c r="AU5" i="5"/>
  <c r="AV5" i="5"/>
  <c r="AW5" i="5"/>
  <c r="AX5" i="5"/>
  <c r="AY5" i="5"/>
  <c r="AT6" i="5"/>
  <c r="AU6" i="5"/>
  <c r="AV6" i="5"/>
  <c r="AW6" i="5"/>
  <c r="AX6" i="5"/>
  <c r="AY6" i="5"/>
  <c r="AT7" i="5"/>
  <c r="AU7" i="5"/>
  <c r="AV7" i="5"/>
  <c r="AW7" i="5"/>
  <c r="AX7" i="5"/>
  <c r="AY7" i="5"/>
  <c r="AT8" i="5"/>
  <c r="AU8" i="5"/>
  <c r="AV8" i="5"/>
  <c r="AW8" i="5"/>
  <c r="AX8" i="5"/>
  <c r="AY8" i="5"/>
  <c r="AT9" i="5"/>
  <c r="AU9" i="5"/>
  <c r="AV9" i="5"/>
  <c r="AW9" i="5"/>
  <c r="AX9" i="5"/>
  <c r="AY9" i="5"/>
  <c r="AT10" i="5"/>
  <c r="AU10" i="5"/>
  <c r="AV10" i="5"/>
  <c r="AW10" i="5"/>
  <c r="AX10" i="5"/>
  <c r="AY10" i="5"/>
  <c r="AT11" i="5"/>
  <c r="AU11" i="5"/>
  <c r="AV11" i="5"/>
  <c r="AW11" i="5"/>
  <c r="AX11" i="5"/>
  <c r="AY11" i="5"/>
  <c r="AT12" i="5"/>
  <c r="AU12" i="5"/>
  <c r="AV12" i="5"/>
  <c r="AW12" i="5"/>
  <c r="AX12" i="5"/>
  <c r="AY12" i="5"/>
  <c r="AT13" i="5"/>
  <c r="AU13" i="5"/>
  <c r="AV13" i="5"/>
  <c r="AW13" i="5"/>
  <c r="AX13" i="5"/>
  <c r="AY13" i="5"/>
  <c r="AT14" i="5"/>
  <c r="AU14" i="5"/>
  <c r="AV14" i="5"/>
  <c r="AW14" i="5"/>
  <c r="AX14" i="5"/>
  <c r="AY14" i="5"/>
  <c r="AT15" i="5"/>
  <c r="AU15" i="5"/>
  <c r="AV15" i="5"/>
  <c r="AW15" i="5"/>
  <c r="AX15" i="5"/>
  <c r="AY15" i="5"/>
  <c r="AT16" i="5"/>
  <c r="AU16" i="5"/>
  <c r="AV16" i="5"/>
  <c r="AW16" i="5"/>
  <c r="AX16" i="5"/>
  <c r="AY16" i="5"/>
  <c r="AT17" i="5"/>
  <c r="AU17" i="5"/>
  <c r="AV17" i="5"/>
  <c r="AW17" i="5"/>
  <c r="AX17" i="5"/>
  <c r="AY17" i="5"/>
  <c r="AT18" i="5"/>
  <c r="AU18" i="5"/>
  <c r="AV18" i="5"/>
  <c r="AW18" i="5"/>
  <c r="AX18" i="5"/>
  <c r="AY18" i="5"/>
  <c r="AT19" i="5"/>
  <c r="AU19" i="5"/>
  <c r="AV19" i="5"/>
  <c r="AW19" i="5"/>
  <c r="AX19" i="5"/>
  <c r="AY19" i="5"/>
  <c r="AT20" i="5"/>
  <c r="AU20" i="5"/>
  <c r="AV20" i="5"/>
  <c r="AW20" i="5"/>
  <c r="AX20" i="5"/>
  <c r="AY20" i="5"/>
  <c r="AT21" i="5"/>
  <c r="AU21" i="5"/>
  <c r="AV21" i="5"/>
  <c r="AW21" i="5"/>
  <c r="AX21" i="5"/>
  <c r="AY21" i="5"/>
  <c r="AT22" i="5"/>
  <c r="AU22" i="5"/>
  <c r="AV22" i="5"/>
  <c r="AW22" i="5"/>
  <c r="AX22" i="5"/>
  <c r="AY22" i="5"/>
  <c r="AT23" i="5"/>
  <c r="AU23" i="5"/>
  <c r="AV23" i="5"/>
  <c r="AW23" i="5"/>
  <c r="AX23" i="5"/>
  <c r="AY23" i="5"/>
  <c r="AT24" i="5"/>
  <c r="AU24" i="5"/>
  <c r="AV24" i="5"/>
  <c r="AW24" i="5"/>
  <c r="AX24" i="5"/>
  <c r="AY24" i="5"/>
  <c r="AT25" i="5"/>
  <c r="AU25" i="5"/>
  <c r="AV25" i="5"/>
  <c r="AW25" i="5"/>
  <c r="AX25" i="5"/>
  <c r="AY25" i="5"/>
  <c r="AT26" i="5"/>
  <c r="AU26" i="5"/>
  <c r="AV26" i="5"/>
  <c r="AW26" i="5"/>
  <c r="AX26" i="5"/>
  <c r="AY26" i="5"/>
  <c r="AT27" i="5"/>
  <c r="AU27" i="5"/>
  <c r="AV27" i="5"/>
  <c r="AW27" i="5"/>
  <c r="AX27" i="5"/>
  <c r="AY27" i="5"/>
  <c r="AT28" i="5"/>
  <c r="AU28" i="5"/>
  <c r="AV28" i="5"/>
  <c r="AW28" i="5"/>
  <c r="AX28" i="5"/>
  <c r="AY28" i="5"/>
  <c r="AT29" i="5"/>
  <c r="AU29" i="5"/>
  <c r="AV29" i="5"/>
  <c r="AW29" i="5"/>
  <c r="AX29" i="5"/>
  <c r="AY29" i="5"/>
  <c r="AT30" i="5"/>
  <c r="AU30" i="5"/>
  <c r="AV30" i="5"/>
  <c r="AW30" i="5"/>
  <c r="AX30" i="5"/>
  <c r="AY30" i="5"/>
  <c r="AT31" i="5"/>
  <c r="AU31" i="5"/>
  <c r="AV31" i="5"/>
  <c r="AW31" i="5"/>
  <c r="AX31" i="5"/>
  <c r="AY31" i="5"/>
  <c r="AT32" i="5"/>
  <c r="AU32" i="5"/>
  <c r="AV32" i="5"/>
  <c r="AW32" i="5"/>
  <c r="AX32" i="5"/>
  <c r="AY32" i="5"/>
  <c r="AT33" i="5"/>
  <c r="AU33" i="5"/>
  <c r="AV33" i="5"/>
  <c r="AW33" i="5"/>
  <c r="AX33" i="5"/>
  <c r="AY33" i="5"/>
  <c r="AT34" i="5"/>
  <c r="AU34" i="5"/>
  <c r="AV34" i="5"/>
  <c r="AW34" i="5"/>
  <c r="AX34" i="5"/>
  <c r="AY34" i="5"/>
  <c r="AT35" i="5"/>
  <c r="AU35" i="5"/>
  <c r="AV35" i="5"/>
  <c r="AW35" i="5"/>
  <c r="AX35" i="5"/>
  <c r="AY35" i="5"/>
  <c r="AT36" i="5"/>
  <c r="AU36" i="5"/>
  <c r="AV36" i="5"/>
  <c r="AW36" i="5"/>
  <c r="AX36" i="5"/>
  <c r="AY36" i="5"/>
  <c r="AT37" i="5"/>
  <c r="AU37" i="5"/>
  <c r="AV37" i="5"/>
  <c r="AW37" i="5"/>
  <c r="AX37" i="5"/>
  <c r="AY37" i="5"/>
  <c r="AT38" i="5"/>
  <c r="AU38" i="5"/>
  <c r="AV38" i="5"/>
  <c r="AW38" i="5"/>
  <c r="AX38" i="5"/>
  <c r="AY38" i="5"/>
  <c r="AT39" i="5"/>
  <c r="AU39" i="5"/>
  <c r="AV39" i="5"/>
  <c r="AW39" i="5"/>
  <c r="AX39" i="5"/>
  <c r="AY39" i="5"/>
  <c r="AT40" i="5"/>
  <c r="AU40" i="5"/>
  <c r="AV40" i="5"/>
  <c r="AW40" i="5"/>
  <c r="AX40" i="5"/>
  <c r="AY40" i="5"/>
  <c r="AT41" i="5"/>
  <c r="AU41" i="5"/>
  <c r="AV41" i="5"/>
  <c r="AW41" i="5"/>
  <c r="AX41" i="5"/>
  <c r="AY41" i="5"/>
  <c r="AT42" i="5"/>
  <c r="AU42" i="5"/>
  <c r="AV42" i="5"/>
  <c r="AW42" i="5"/>
  <c r="AX42" i="5"/>
  <c r="AY42" i="5"/>
  <c r="AT43" i="5"/>
  <c r="AU43" i="5"/>
  <c r="AV43" i="5"/>
  <c r="AW43" i="5"/>
  <c r="AX43" i="5"/>
  <c r="AY43" i="5"/>
  <c r="AT44" i="5"/>
  <c r="AU44" i="5"/>
  <c r="AV44" i="5"/>
  <c r="AW44" i="5"/>
  <c r="AX44" i="5"/>
  <c r="AY44" i="5"/>
  <c r="AT45" i="5"/>
  <c r="AU45" i="5"/>
  <c r="AV45" i="5"/>
  <c r="AW45" i="5"/>
  <c r="AX45" i="5"/>
  <c r="AY45" i="5"/>
  <c r="AT46" i="5"/>
  <c r="AU46" i="5"/>
  <c r="AV46" i="5"/>
  <c r="AW46" i="5"/>
  <c r="AX46" i="5"/>
  <c r="AY46" i="5"/>
  <c r="AT47" i="5"/>
  <c r="AU47" i="5"/>
  <c r="AV47" i="5"/>
  <c r="AW47" i="5"/>
  <c r="AX47" i="5"/>
  <c r="AY47" i="5"/>
  <c r="AT48" i="5"/>
  <c r="AU48" i="5"/>
  <c r="AV48" i="5"/>
  <c r="AW48" i="5"/>
  <c r="AX48" i="5"/>
  <c r="AY48" i="5"/>
  <c r="AT49" i="5"/>
  <c r="AU49" i="5"/>
  <c r="AV49" i="5"/>
  <c r="AW49" i="5"/>
  <c r="AX49" i="5"/>
  <c r="AY49" i="5"/>
  <c r="AT50" i="5"/>
  <c r="AU50" i="5"/>
  <c r="AV50" i="5"/>
  <c r="AW50" i="5"/>
  <c r="AX50" i="5"/>
  <c r="AY50" i="5"/>
  <c r="AT51" i="5"/>
  <c r="AU51" i="5"/>
  <c r="AV51" i="5"/>
  <c r="AW51" i="5"/>
  <c r="AX51" i="5"/>
  <c r="AY51" i="5"/>
  <c r="AT52" i="5"/>
  <c r="AU52" i="5"/>
  <c r="AV52" i="5"/>
  <c r="AW52" i="5"/>
  <c r="AX52" i="5"/>
  <c r="AY52" i="5"/>
  <c r="AT53" i="5"/>
  <c r="AU53" i="5"/>
  <c r="AV53" i="5"/>
  <c r="AW53" i="5"/>
  <c r="AX53" i="5"/>
  <c r="AY53" i="5"/>
  <c r="AT54" i="5"/>
  <c r="AU54" i="5"/>
  <c r="AV54" i="5"/>
  <c r="AW54" i="5"/>
  <c r="AX54" i="5"/>
  <c r="AY54" i="5"/>
  <c r="AT55" i="5"/>
  <c r="AU55" i="5"/>
  <c r="AV55" i="5"/>
  <c r="AW55" i="5"/>
  <c r="AX55" i="5"/>
  <c r="AY55" i="5"/>
  <c r="AT56" i="5"/>
  <c r="AU56" i="5"/>
  <c r="AV56" i="5"/>
  <c r="AW56" i="5"/>
  <c r="AX56" i="5"/>
  <c r="AY56" i="5"/>
  <c r="AT57" i="5"/>
  <c r="AU57" i="5"/>
  <c r="AV57" i="5"/>
  <c r="AW57" i="5"/>
  <c r="AX57" i="5"/>
  <c r="AY57" i="5"/>
  <c r="AT58" i="5"/>
  <c r="AU58" i="5"/>
  <c r="AV58" i="5"/>
  <c r="AW58" i="5"/>
  <c r="AX58" i="5"/>
  <c r="AY58" i="5"/>
  <c r="AT59" i="5"/>
  <c r="AU59" i="5"/>
  <c r="AV59" i="5"/>
  <c r="AW59" i="5"/>
  <c r="AX59" i="5"/>
  <c r="AY59" i="5"/>
  <c r="AT60" i="5"/>
  <c r="AU60" i="5"/>
  <c r="AV60" i="5"/>
  <c r="AW60" i="5"/>
  <c r="AX60" i="5"/>
  <c r="AY60" i="5"/>
  <c r="AT61" i="5"/>
  <c r="AU61" i="5"/>
  <c r="AV61" i="5"/>
  <c r="AW61" i="5"/>
  <c r="AX61" i="5"/>
  <c r="AY61" i="5"/>
  <c r="AT62" i="5"/>
  <c r="AU62" i="5"/>
  <c r="AV62" i="5"/>
  <c r="AW62" i="5"/>
  <c r="AX62" i="5"/>
  <c r="AY62" i="5"/>
  <c r="AT63" i="5"/>
  <c r="AU63" i="5"/>
  <c r="AV63" i="5"/>
  <c r="AW63" i="5"/>
  <c r="AX63" i="5"/>
  <c r="AY63" i="5"/>
  <c r="AT64" i="5"/>
  <c r="AU64" i="5"/>
  <c r="AV64" i="5"/>
  <c r="AW64" i="5"/>
  <c r="AX64" i="5"/>
  <c r="AY64" i="5"/>
  <c r="AT65" i="5"/>
  <c r="AU65" i="5"/>
  <c r="AV65" i="5"/>
  <c r="AW65" i="5"/>
  <c r="AX65" i="5"/>
  <c r="AY65" i="5"/>
  <c r="AT66" i="5"/>
  <c r="AU66" i="5"/>
  <c r="AV66" i="5"/>
  <c r="AW66" i="5"/>
  <c r="AX66" i="5"/>
  <c r="AY66" i="5"/>
  <c r="AT67" i="5"/>
  <c r="AU67" i="5"/>
  <c r="AV67" i="5"/>
  <c r="AW67" i="5"/>
  <c r="AX67" i="5"/>
  <c r="AY67" i="5"/>
  <c r="AT68" i="5"/>
  <c r="AU68" i="5"/>
  <c r="AV68" i="5"/>
  <c r="AW68" i="5"/>
  <c r="AX68" i="5"/>
  <c r="AY68" i="5"/>
  <c r="AT69" i="5"/>
  <c r="AU69" i="5"/>
  <c r="AV69" i="5"/>
  <c r="AW69" i="5"/>
  <c r="AX69" i="5"/>
  <c r="AY69" i="5"/>
  <c r="AT70" i="5"/>
  <c r="AU70" i="5"/>
  <c r="AV70" i="5"/>
  <c r="AW70" i="5"/>
  <c r="AX70" i="5"/>
  <c r="AY70" i="5"/>
  <c r="AT71" i="5"/>
  <c r="AU71" i="5"/>
  <c r="AV71" i="5"/>
  <c r="AW71" i="5"/>
  <c r="AX71" i="5"/>
  <c r="AY71" i="5"/>
  <c r="AT72" i="5"/>
  <c r="AU72" i="5"/>
  <c r="AV72" i="5"/>
  <c r="AW72" i="5"/>
  <c r="AX72" i="5"/>
  <c r="AY72" i="5"/>
  <c r="AT73" i="5"/>
  <c r="AU73" i="5"/>
  <c r="AV73" i="5"/>
  <c r="AW73" i="5"/>
  <c r="AX73" i="5"/>
  <c r="AY73" i="5"/>
  <c r="AT74" i="5"/>
  <c r="AU74" i="5"/>
  <c r="AV74" i="5"/>
  <c r="AW74" i="5"/>
  <c r="AX74" i="5"/>
  <c r="AY74" i="5"/>
  <c r="AT75" i="5"/>
  <c r="AU75" i="5"/>
  <c r="AV75" i="5"/>
  <c r="AW75" i="5"/>
  <c r="AX75" i="5"/>
  <c r="AY75" i="5"/>
  <c r="AT76" i="5"/>
  <c r="AU76" i="5"/>
  <c r="AV76" i="5"/>
  <c r="AW76" i="5"/>
  <c r="AX76" i="5"/>
  <c r="AY76" i="5"/>
  <c r="AT77" i="5"/>
  <c r="AU77" i="5"/>
  <c r="AV77" i="5"/>
  <c r="AW77" i="5"/>
  <c r="AX77" i="5"/>
  <c r="AY77" i="5"/>
  <c r="AT78" i="5"/>
  <c r="AU78" i="5"/>
  <c r="AV78" i="5"/>
  <c r="AW78" i="5"/>
  <c r="AX78" i="5"/>
  <c r="AY78" i="5"/>
  <c r="AT79" i="5"/>
  <c r="AU79" i="5"/>
  <c r="AV79" i="5"/>
  <c r="AW79" i="5"/>
  <c r="AX79" i="5"/>
  <c r="AY79" i="5"/>
  <c r="AT80" i="5"/>
  <c r="AU80" i="5"/>
  <c r="AV80" i="5"/>
  <c r="AW80" i="5"/>
  <c r="AX80" i="5"/>
  <c r="AY80" i="5"/>
  <c r="AT81" i="5"/>
  <c r="AU81" i="5"/>
  <c r="AV81" i="5"/>
  <c r="AW81" i="5"/>
  <c r="AX81" i="5"/>
  <c r="AY81" i="5"/>
  <c r="AT82" i="5"/>
  <c r="AU82" i="5"/>
  <c r="AV82" i="5"/>
  <c r="AW82" i="5"/>
  <c r="AX82" i="5"/>
  <c r="AY82" i="5"/>
  <c r="AT83" i="5"/>
  <c r="AU83" i="5"/>
  <c r="AV83" i="5"/>
  <c r="AW83" i="5"/>
  <c r="AX83" i="5"/>
  <c r="AY83" i="5"/>
  <c r="AT84" i="5"/>
  <c r="AU84" i="5"/>
  <c r="AV84" i="5"/>
  <c r="AW84" i="5"/>
  <c r="AX84" i="5"/>
  <c r="AY84" i="5"/>
  <c r="AT85" i="5"/>
  <c r="AU85" i="5"/>
  <c r="AV85" i="5"/>
  <c r="AW85" i="5"/>
  <c r="AX85" i="5"/>
  <c r="AY85" i="5"/>
  <c r="AT86" i="5"/>
  <c r="AU86" i="5"/>
  <c r="AV86" i="5"/>
  <c r="AW86" i="5"/>
  <c r="AX86" i="5"/>
  <c r="AY86" i="5"/>
  <c r="AT87" i="5"/>
  <c r="AU87" i="5"/>
  <c r="AV87" i="5"/>
  <c r="AW87" i="5"/>
  <c r="AX87" i="5"/>
  <c r="AY87" i="5"/>
  <c r="AT88" i="5"/>
  <c r="AU88" i="5"/>
  <c r="AV88" i="5"/>
  <c r="AW88" i="5"/>
  <c r="AX88" i="5"/>
  <c r="AY88" i="5"/>
  <c r="AT89" i="5"/>
  <c r="AU89" i="5"/>
  <c r="AV89" i="5"/>
  <c r="AW89" i="5"/>
  <c r="AX89" i="5"/>
  <c r="AY89" i="5"/>
  <c r="AT90" i="5"/>
  <c r="AU90" i="5"/>
  <c r="AV90" i="5"/>
  <c r="AW90" i="5"/>
  <c r="AX90" i="5"/>
  <c r="AY90" i="5"/>
  <c r="AT91" i="5"/>
  <c r="AU91" i="5"/>
  <c r="AV91" i="5"/>
  <c r="AW91" i="5"/>
  <c r="AX91" i="5"/>
  <c r="AY91" i="5"/>
  <c r="AT92" i="5"/>
  <c r="AU92" i="5"/>
  <c r="AV92" i="5"/>
  <c r="AW92" i="5"/>
  <c r="AX92" i="5"/>
  <c r="AY92" i="5"/>
  <c r="AT93" i="5"/>
  <c r="AU93" i="5"/>
  <c r="AV93" i="5"/>
  <c r="AW93" i="5"/>
  <c r="AX93" i="5"/>
  <c r="AY93" i="5"/>
  <c r="AT94" i="5"/>
  <c r="AU94" i="5"/>
  <c r="AV94" i="5"/>
  <c r="AW94" i="5"/>
  <c r="AX94" i="5"/>
  <c r="AY94" i="5"/>
  <c r="AT95" i="5"/>
  <c r="AU95" i="5"/>
  <c r="AV95" i="5"/>
  <c r="AW95" i="5"/>
  <c r="AX95" i="5"/>
  <c r="AY95" i="5"/>
  <c r="AT96" i="5"/>
  <c r="AU96" i="5"/>
  <c r="AV96" i="5"/>
  <c r="AW96" i="5"/>
  <c r="AX96" i="5"/>
  <c r="AY96" i="5"/>
  <c r="AT97" i="5"/>
  <c r="AU97" i="5"/>
  <c r="AV97" i="5"/>
  <c r="AW97" i="5"/>
  <c r="AX97" i="5"/>
  <c r="AY97" i="5"/>
  <c r="AT98" i="5"/>
  <c r="AU98" i="5"/>
  <c r="AV98" i="5"/>
  <c r="AW98" i="5"/>
  <c r="AX98" i="5"/>
  <c r="AY98" i="5"/>
  <c r="AT99" i="5"/>
  <c r="AU99" i="5"/>
  <c r="AV99" i="5"/>
  <c r="AW99" i="5"/>
  <c r="AX99" i="5"/>
  <c r="AY99" i="5"/>
  <c r="AT100" i="5"/>
  <c r="AU100" i="5"/>
  <c r="AV100" i="5"/>
  <c r="AW100" i="5"/>
  <c r="AX100" i="5"/>
  <c r="AY100" i="5"/>
  <c r="AT101" i="5"/>
  <c r="AU101" i="5"/>
  <c r="AV101" i="5"/>
  <c r="AW101" i="5"/>
  <c r="AX101" i="5"/>
  <c r="AY101" i="5"/>
  <c r="AT102" i="5"/>
  <c r="AU102" i="5"/>
  <c r="AV102" i="5"/>
  <c r="AW102" i="5"/>
  <c r="AX102" i="5"/>
  <c r="AY102" i="5"/>
  <c r="AT103" i="5"/>
  <c r="AU103" i="5"/>
  <c r="AV103" i="5"/>
  <c r="AW103" i="5"/>
  <c r="AX103" i="5"/>
  <c r="AY103" i="5"/>
  <c r="AT104" i="5"/>
  <c r="AU104" i="5"/>
  <c r="AV104" i="5"/>
  <c r="AW104" i="5"/>
  <c r="AX104" i="5"/>
  <c r="AY104" i="5"/>
  <c r="AT105" i="5"/>
  <c r="AU105" i="5"/>
  <c r="AV105" i="5"/>
  <c r="AW105" i="5"/>
  <c r="AX105" i="5"/>
  <c r="AY105" i="5"/>
  <c r="AT106" i="5"/>
  <c r="AU106" i="5"/>
  <c r="AV106" i="5"/>
  <c r="AW106" i="5"/>
  <c r="AX106" i="5"/>
  <c r="AY106" i="5"/>
  <c r="AT107" i="5"/>
  <c r="AU107" i="5"/>
  <c r="AV107" i="5"/>
  <c r="AW107" i="5"/>
  <c r="AX107" i="5"/>
  <c r="AY107" i="5"/>
  <c r="AT108" i="5"/>
  <c r="AU108" i="5"/>
  <c r="AV108" i="5"/>
  <c r="AW108" i="5"/>
  <c r="AX108" i="5"/>
  <c r="AY108" i="5"/>
  <c r="AT109" i="5"/>
  <c r="AU109" i="5"/>
  <c r="AV109" i="5"/>
  <c r="AW109" i="5"/>
  <c r="AX109" i="5"/>
  <c r="AY109" i="5"/>
  <c r="AT110" i="5"/>
  <c r="AU110" i="5"/>
  <c r="AV110" i="5"/>
  <c r="AW110" i="5"/>
  <c r="AX110" i="5"/>
  <c r="AY110" i="5"/>
  <c r="AT111" i="5"/>
  <c r="AU111" i="5"/>
  <c r="AV111" i="5"/>
  <c r="AW111" i="5"/>
  <c r="AX111" i="5"/>
  <c r="AY111" i="5"/>
  <c r="AT112" i="5"/>
  <c r="AU112" i="5"/>
  <c r="AV112" i="5"/>
  <c r="AW112" i="5"/>
  <c r="AX112" i="5"/>
  <c r="AY112" i="5"/>
  <c r="AT113" i="5"/>
  <c r="AU113" i="5"/>
  <c r="AV113" i="5"/>
  <c r="AW113" i="5"/>
  <c r="AX113" i="5"/>
  <c r="AY113" i="5"/>
  <c r="AT114" i="5"/>
  <c r="AU114" i="5"/>
  <c r="AV114" i="5"/>
  <c r="AW114" i="5"/>
  <c r="AX114" i="5"/>
  <c r="AY114" i="5"/>
  <c r="AT115" i="5"/>
  <c r="AU115" i="5"/>
  <c r="AV115" i="5"/>
  <c r="AW115" i="5"/>
  <c r="AX115" i="5"/>
  <c r="AY115" i="5"/>
  <c r="AT116" i="5"/>
  <c r="AU116" i="5"/>
  <c r="AV116" i="5"/>
  <c r="AW116" i="5"/>
  <c r="AX116" i="5"/>
  <c r="AY116" i="5"/>
  <c r="AT117" i="5"/>
  <c r="AU117" i="5"/>
  <c r="AV117" i="5"/>
  <c r="AW117" i="5"/>
  <c r="AX117" i="5"/>
  <c r="AY117" i="5"/>
  <c r="AT118" i="5"/>
  <c r="AU118" i="5"/>
  <c r="AV118" i="5"/>
  <c r="AW118" i="5"/>
  <c r="AX118" i="5"/>
  <c r="AY118" i="5"/>
  <c r="AT119" i="5"/>
  <c r="AU119" i="5"/>
  <c r="AV119" i="5"/>
  <c r="AW119" i="5"/>
  <c r="AX119" i="5"/>
  <c r="AY119" i="5"/>
  <c r="AT120" i="5"/>
  <c r="AU120" i="5"/>
  <c r="AV120" i="5"/>
  <c r="AW120" i="5"/>
  <c r="AX120" i="5"/>
  <c r="AY120" i="5"/>
  <c r="AT121" i="5"/>
  <c r="AU121" i="5"/>
  <c r="AV121" i="5"/>
  <c r="AW121" i="5"/>
  <c r="AX121" i="5"/>
  <c r="AY121" i="5"/>
  <c r="AT122" i="5"/>
  <c r="AU122" i="5"/>
  <c r="AV122" i="5"/>
  <c r="AW122" i="5"/>
  <c r="AX122" i="5"/>
  <c r="AY122" i="5"/>
  <c r="AT123" i="5"/>
  <c r="AU123" i="5"/>
  <c r="AV123" i="5"/>
  <c r="AW123" i="5"/>
  <c r="AX123" i="5"/>
  <c r="AY123" i="5"/>
  <c r="AT124" i="5"/>
  <c r="AU124" i="5"/>
  <c r="AV124" i="5"/>
  <c r="AW124" i="5"/>
  <c r="AX124" i="5"/>
  <c r="AY124" i="5"/>
  <c r="AT125" i="5"/>
  <c r="AU125" i="5"/>
  <c r="AV125" i="5"/>
  <c r="AW125" i="5"/>
  <c r="AX125" i="5"/>
  <c r="AY125" i="5"/>
  <c r="AT126" i="5"/>
  <c r="AU126" i="5"/>
  <c r="AV126" i="5"/>
  <c r="AW126" i="5"/>
  <c r="AX126" i="5"/>
  <c r="AY126" i="5"/>
  <c r="AT127" i="5"/>
  <c r="AU127" i="5"/>
  <c r="AV127" i="5"/>
  <c r="AW127" i="5"/>
  <c r="AX127" i="5"/>
  <c r="AY127" i="5"/>
  <c r="AT128" i="5"/>
  <c r="AU128" i="5"/>
  <c r="AV128" i="5"/>
  <c r="AW128" i="5"/>
  <c r="AX128" i="5"/>
  <c r="AY128" i="5"/>
  <c r="AT129" i="5"/>
  <c r="AU129" i="5"/>
  <c r="AV129" i="5"/>
  <c r="AW129" i="5"/>
  <c r="AX129" i="5"/>
  <c r="AY129" i="5"/>
  <c r="AT130" i="5"/>
  <c r="AU130" i="5"/>
  <c r="AV130" i="5"/>
  <c r="AW130" i="5"/>
  <c r="AX130" i="5"/>
  <c r="AY130" i="5"/>
  <c r="AT131" i="5"/>
  <c r="AU131" i="5"/>
  <c r="AV131" i="5"/>
  <c r="AW131" i="5"/>
  <c r="AX131" i="5"/>
  <c r="AY131" i="5"/>
  <c r="AT132" i="5"/>
  <c r="AU132" i="5"/>
  <c r="AV132" i="5"/>
  <c r="AW132" i="5"/>
  <c r="AX132" i="5"/>
  <c r="AY132" i="5"/>
  <c r="AT133" i="5"/>
  <c r="AU133" i="5"/>
  <c r="AV133" i="5"/>
  <c r="AW133" i="5"/>
  <c r="AX133" i="5"/>
  <c r="AY133" i="5"/>
  <c r="AT134" i="5"/>
  <c r="AU134" i="5"/>
  <c r="AV134" i="5"/>
  <c r="AW134" i="5"/>
  <c r="AX134" i="5"/>
  <c r="AY134" i="5"/>
  <c r="AT135" i="5"/>
  <c r="AU135" i="5"/>
  <c r="AV135" i="5"/>
  <c r="AW135" i="5"/>
  <c r="AX135" i="5"/>
  <c r="AY135" i="5"/>
  <c r="AT136" i="5"/>
  <c r="AU136" i="5"/>
  <c r="AV136" i="5"/>
  <c r="AW136" i="5"/>
  <c r="AX136" i="5"/>
  <c r="AY136" i="5"/>
  <c r="AT137" i="5"/>
  <c r="AU137" i="5"/>
  <c r="AV137" i="5"/>
  <c r="AW137" i="5"/>
  <c r="AX137" i="5"/>
  <c r="AY137" i="5"/>
  <c r="AT138" i="5"/>
  <c r="AU138" i="5"/>
  <c r="AV138" i="5"/>
  <c r="AW138" i="5"/>
  <c r="AX138" i="5"/>
  <c r="AY138" i="5"/>
  <c r="AT139" i="5"/>
  <c r="AU139" i="5"/>
  <c r="AV139" i="5"/>
  <c r="AW139" i="5"/>
  <c r="AX139" i="5"/>
  <c r="AY139" i="5"/>
  <c r="AT140" i="5"/>
  <c r="AU140" i="5"/>
  <c r="AV140" i="5"/>
  <c r="AW140" i="5"/>
  <c r="AX140" i="5"/>
  <c r="AY140" i="5"/>
  <c r="AT141" i="5"/>
  <c r="AU141" i="5"/>
  <c r="AV141" i="5"/>
  <c r="AW141" i="5"/>
  <c r="AX141" i="5"/>
  <c r="AY141" i="5"/>
  <c r="AT142" i="5"/>
  <c r="AU142" i="5"/>
  <c r="AV142" i="5"/>
  <c r="AW142" i="5"/>
  <c r="AX142" i="5"/>
  <c r="AY142" i="5"/>
  <c r="AT143" i="5"/>
  <c r="AU143" i="5"/>
  <c r="AV143" i="5"/>
  <c r="AW143" i="5"/>
  <c r="AX143" i="5"/>
  <c r="AY143" i="5"/>
  <c r="AT144" i="5"/>
  <c r="AU144" i="5"/>
  <c r="AV144" i="5"/>
  <c r="AW144" i="5"/>
  <c r="AX144" i="5"/>
  <c r="AY144" i="5"/>
  <c r="AT145" i="5"/>
  <c r="AU145" i="5"/>
  <c r="AV145" i="5"/>
  <c r="AW145" i="5"/>
  <c r="AX145" i="5"/>
  <c r="AY145" i="5"/>
  <c r="AT146" i="5"/>
  <c r="AU146" i="5"/>
  <c r="AV146" i="5"/>
  <c r="AW146" i="5"/>
  <c r="AX146" i="5"/>
  <c r="AY146" i="5"/>
  <c r="AT147" i="5"/>
  <c r="AU147" i="5"/>
  <c r="AV147" i="5"/>
  <c r="AW147" i="5"/>
  <c r="AX147" i="5"/>
  <c r="AY147" i="5"/>
  <c r="AT148" i="5"/>
  <c r="AU148" i="5"/>
  <c r="AV148" i="5"/>
  <c r="AW148" i="5"/>
  <c r="AX148" i="5"/>
  <c r="AY148" i="5"/>
  <c r="AT149" i="5"/>
  <c r="AU149" i="5"/>
  <c r="AV149" i="5"/>
  <c r="AW149" i="5"/>
  <c r="AX149" i="5"/>
  <c r="AY149" i="5"/>
  <c r="AT150" i="5"/>
  <c r="AU150" i="5"/>
  <c r="AV150" i="5"/>
  <c r="AW150" i="5"/>
  <c r="AX150" i="5"/>
  <c r="AY150" i="5"/>
  <c r="AT151" i="5"/>
  <c r="AU151" i="5"/>
  <c r="AV151" i="5"/>
  <c r="AW151" i="5"/>
  <c r="AX151" i="5"/>
  <c r="AY151" i="5"/>
  <c r="AT152" i="5"/>
  <c r="AU152" i="5"/>
  <c r="AV152" i="5"/>
  <c r="AW152" i="5"/>
  <c r="AX152" i="5"/>
  <c r="AY152" i="5"/>
  <c r="AT153" i="5"/>
  <c r="AU153" i="5"/>
  <c r="AV153" i="5"/>
  <c r="AW153" i="5"/>
  <c r="AX153" i="5"/>
  <c r="AY153" i="5"/>
  <c r="AT154" i="5"/>
  <c r="AU154" i="5"/>
  <c r="AV154" i="5"/>
  <c r="AW154" i="5"/>
  <c r="AX154" i="5"/>
  <c r="AY154" i="5"/>
  <c r="AT155" i="5"/>
  <c r="AU155" i="5"/>
  <c r="AV155" i="5"/>
  <c r="AW155" i="5"/>
  <c r="AX155" i="5"/>
  <c r="AY155" i="5"/>
  <c r="AT156" i="5"/>
  <c r="AU156" i="5"/>
  <c r="AV156" i="5"/>
  <c r="AW156" i="5"/>
  <c r="AX156" i="5"/>
  <c r="AY156" i="5"/>
  <c r="AT157" i="5"/>
  <c r="AU157" i="5"/>
  <c r="AV157" i="5"/>
  <c r="AW157" i="5"/>
  <c r="AX157" i="5"/>
  <c r="AY157" i="5"/>
  <c r="AT158" i="5"/>
  <c r="AU158" i="5"/>
  <c r="AV158" i="5"/>
  <c r="AW158" i="5"/>
  <c r="AX158" i="5"/>
  <c r="AY158" i="5"/>
  <c r="AT159" i="5"/>
  <c r="AU159" i="5"/>
  <c r="AV159" i="5"/>
  <c r="AW159" i="5"/>
  <c r="AX159" i="5"/>
  <c r="AY159" i="5"/>
  <c r="AT160" i="5"/>
  <c r="AU160" i="5"/>
  <c r="AV160" i="5"/>
  <c r="AW160" i="5"/>
  <c r="AX160" i="5"/>
  <c r="AY160" i="5"/>
  <c r="AT161" i="5"/>
  <c r="AU161" i="5"/>
  <c r="AV161" i="5"/>
  <c r="AW161" i="5"/>
  <c r="AX161" i="5"/>
  <c r="AY161" i="5"/>
  <c r="AT162" i="5"/>
  <c r="AU162" i="5"/>
  <c r="AV162" i="5"/>
  <c r="AW162" i="5"/>
  <c r="AX162" i="5"/>
  <c r="AY162" i="5"/>
  <c r="AT163" i="5"/>
  <c r="AU163" i="5"/>
  <c r="AV163" i="5"/>
  <c r="AW163" i="5"/>
  <c r="AX163" i="5"/>
  <c r="AY163" i="5"/>
  <c r="AT164" i="5"/>
  <c r="AU164" i="5"/>
  <c r="AV164" i="5"/>
  <c r="AW164" i="5"/>
  <c r="AX164" i="5"/>
  <c r="AY164" i="5"/>
  <c r="AT165" i="5"/>
  <c r="AU165" i="5"/>
  <c r="AV165" i="5"/>
  <c r="AW165" i="5"/>
  <c r="AX165" i="5"/>
  <c r="AY165" i="5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I165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I164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I157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I160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I151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I158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I162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I155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I149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I150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I145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I153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I144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I142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I140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I152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I133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I129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I134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I163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I132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I139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I130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I131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I128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I124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I148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I120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I156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I117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I15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I114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I13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I105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I108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I107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I118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I102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I100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I123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I122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I99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I106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I92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I161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I159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I146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I112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I147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I93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I88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I12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I91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I104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I138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I143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I84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I9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I110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I137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I86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I119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I82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I89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I97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I85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I79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I87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I98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I73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I81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I72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I80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I13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I66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I127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I83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I95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I78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I141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I125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I70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I61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I59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I65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I58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I101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I6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I57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I56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I7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I54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I71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I60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I126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I64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I52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I50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I63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I51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I75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I42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I49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I62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I45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I68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I111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I47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I43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I37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I44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I35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I48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I33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I34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I32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I115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I38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I94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I41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I103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I40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I55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I29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I2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I46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I25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I77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I113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I24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I27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I23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I1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I109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I21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I18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I116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I30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I17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I22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I53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I36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I20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I76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I28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I96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I39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I12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I10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I8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I9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I7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I1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I6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I14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I69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I1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I31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I13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I5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I4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I3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I2" i="3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AT168" i="8" l="1"/>
  <c r="AU168" i="8"/>
  <c r="AV168" i="8"/>
  <c r="AW168" i="8"/>
  <c r="AX168" i="8"/>
  <c r="AY168" i="8"/>
  <c r="AT167" i="7"/>
  <c r="AT168" i="7" s="1"/>
  <c r="AW167" i="7"/>
  <c r="AW168" i="7" s="1"/>
  <c r="AX167" i="7"/>
  <c r="AX168" i="7" s="1"/>
  <c r="AU167" i="7"/>
  <c r="AV167" i="7"/>
  <c r="AY167" i="7"/>
  <c r="AY168" i="7" s="1"/>
  <c r="AU168" i="7"/>
  <c r="AV168" i="7"/>
</calcChain>
</file>

<file path=xl/sharedStrings.xml><?xml version="1.0" encoding="utf-8"?>
<sst xmlns="http://schemas.openxmlformats.org/spreadsheetml/2006/main" count="7122" uniqueCount="575">
  <si>
    <t>Cntry_ISO</t>
  </si>
  <si>
    <t>Cntry_name</t>
  </si>
  <si>
    <t>eFUA_name</t>
  </si>
  <si>
    <t>IMAGE-region</t>
  </si>
  <si>
    <t>GRIP-region</t>
  </si>
  <si>
    <t>R10</t>
  </si>
  <si>
    <t>FUA_area</t>
  </si>
  <si>
    <t>FUA_urban</t>
  </si>
  <si>
    <t>FUA_total_area</t>
  </si>
  <si>
    <t>FUA_p_2015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</si>
  <si>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</si>
  <si>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</si>
  <si>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</si>
  <si>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</si>
  <si>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</si>
  <si>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</si>
  <si>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</si>
  <si>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</si>
  <si>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</si>
  <si>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</si>
  <si>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</si>
  <si>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</si>
  <si>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</si>
  <si>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</si>
  <si>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</si>
  <si>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</si>
  <si>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</si>
  <si>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</si>
  <si>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</si>
  <si>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</si>
  <si>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</si>
  <si>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</si>
  <si>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</si>
  <si>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</si>
  <si>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</si>
  <si>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</si>
  <si>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</si>
  <si>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</si>
  <si>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</si>
  <si>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</si>
  <si>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</si>
  <si>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</si>
  <si>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</si>
  <si>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</si>
  <si>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</si>
  <si>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2020</t>
  </si>
  <si>
    <t>2024</t>
  </si>
  <si>
    <t>2030</t>
  </si>
  <si>
    <t>2040</t>
  </si>
  <si>
    <t>2050</t>
  </si>
  <si>
    <t>2060</t>
  </si>
  <si>
    <t>AFG</t>
  </si>
  <si>
    <t>Afghanistan</t>
  </si>
  <si>
    <t>161_Afghanistan_country</t>
  </si>
  <si>
    <t>Rest of South Asia</t>
  </si>
  <si>
    <t>South and East Asia</t>
  </si>
  <si>
    <t>Southern Asia</t>
  </si>
  <si>
    <t>AGO</t>
  </si>
  <si>
    <t>Angola</t>
  </si>
  <si>
    <t>69_Angola_country</t>
  </si>
  <si>
    <t>Rest of Southern Africa</t>
  </si>
  <si>
    <t>Africa</t>
  </si>
  <si>
    <t>ALB</t>
  </si>
  <si>
    <t>Albania</t>
  </si>
  <si>
    <t>114_Albania_country</t>
  </si>
  <si>
    <t>Central Europe</t>
  </si>
  <si>
    <t>Europe</t>
  </si>
  <si>
    <t>ARE</t>
  </si>
  <si>
    <t>United Arab Emirates</t>
  </si>
  <si>
    <t>194_United Arab Emirates_country</t>
  </si>
  <si>
    <t>Middle East</t>
  </si>
  <si>
    <t>Middle East and Central Asia</t>
  </si>
  <si>
    <t>ARG</t>
  </si>
  <si>
    <t>Argentina</t>
  </si>
  <si>
    <t>45_Argentina_country</t>
  </si>
  <si>
    <t>Rest of South America</t>
  </si>
  <si>
    <t>Central and South America</t>
  </si>
  <si>
    <t>Latin America and Caribbean</t>
  </si>
  <si>
    <t>ARM</t>
  </si>
  <si>
    <t>Armenia</t>
  </si>
  <si>
    <t>158_Armenia_country</t>
  </si>
  <si>
    <t>Russia region</t>
  </si>
  <si>
    <t>Eurasia</t>
  </si>
  <si>
    <t>AUS</t>
  </si>
  <si>
    <t>Australia</t>
  </si>
  <si>
    <t>55_Australia_country</t>
  </si>
  <si>
    <t>Oceania</t>
  </si>
  <si>
    <t>Asia-Pacific Developed</t>
  </si>
  <si>
    <t>AUT</t>
  </si>
  <si>
    <t>Austria</t>
  </si>
  <si>
    <t>115_Austria_country</t>
  </si>
  <si>
    <t>Western Europe</t>
  </si>
  <si>
    <t>AZE</t>
  </si>
  <si>
    <t>Azerbaijan</t>
  </si>
  <si>
    <t>159_Azerbaijan_country</t>
  </si>
  <si>
    <t>BDI</t>
  </si>
  <si>
    <t>Burundi</t>
  </si>
  <si>
    <t>73_Burundi_country</t>
  </si>
  <si>
    <t>Eastern Africa</t>
  </si>
  <si>
    <t>BEL</t>
  </si>
  <si>
    <t>Belgium</t>
  </si>
  <si>
    <t>116_Belgium_country</t>
  </si>
  <si>
    <t>BEN</t>
  </si>
  <si>
    <t>Benin</t>
  </si>
  <si>
    <t>70_Benin_country</t>
  </si>
  <si>
    <t>Western Africa</t>
  </si>
  <si>
    <t>BFA</t>
  </si>
  <si>
    <t>Burkina Faso</t>
  </si>
  <si>
    <t>72_Burkina Faso_country</t>
  </si>
  <si>
    <t>BGD</t>
  </si>
  <si>
    <t>Bangladesh</t>
  </si>
  <si>
    <t>162_Bangladesh_country</t>
  </si>
  <si>
    <t>BGR</t>
  </si>
  <si>
    <t>Bulgaria</t>
  </si>
  <si>
    <t>118_Bulgaria_country</t>
  </si>
  <si>
    <t>BHR</t>
  </si>
  <si>
    <t>Bahrain</t>
  </si>
  <si>
    <t>314_Bahrain_country</t>
  </si>
  <si>
    <t>BHS</t>
  </si>
  <si>
    <t>Bahamas</t>
  </si>
  <si>
    <t>30_Bahamas_country</t>
  </si>
  <si>
    <t>Central America</t>
  </si>
  <si>
    <t>North-America</t>
  </si>
  <si>
    <t>BIH</t>
  </si>
  <si>
    <t>bosnia-herzegovina</t>
  </si>
  <si>
    <t>117_Bosnia and Herzegovina_country</t>
  </si>
  <si>
    <t>BLR</t>
  </si>
  <si>
    <t>Belarus</t>
  </si>
  <si>
    <t>146_Belarus_country</t>
  </si>
  <si>
    <t>Ukraine region</t>
  </si>
  <si>
    <t>BOL</t>
  </si>
  <si>
    <t>Bolivia</t>
  </si>
  <si>
    <t>46_Bolivia_country</t>
  </si>
  <si>
    <t>BRA</t>
  </si>
  <si>
    <t>Brazil</t>
  </si>
  <si>
    <t>53_brazil_country</t>
  </si>
  <si>
    <t>BRN</t>
  </si>
  <si>
    <t>Brunei</t>
  </si>
  <si>
    <t>302_Brunei_country</t>
  </si>
  <si>
    <t>Southeastern Asia</t>
  </si>
  <si>
    <t>South-East Asia and developing Pacific</t>
  </si>
  <si>
    <t>BWA</t>
  </si>
  <si>
    <t>Botswana</t>
  </si>
  <si>
    <t>71_Botswana_country</t>
  </si>
  <si>
    <t>CAF</t>
  </si>
  <si>
    <t>Central African Republic</t>
  </si>
  <si>
    <t>76_Central African Republic_country</t>
  </si>
  <si>
    <t>CAN</t>
  </si>
  <si>
    <t>Canada</t>
  </si>
  <si>
    <t>182_Canada_country</t>
  </si>
  <si>
    <t>North America</t>
  </si>
  <si>
    <t>CHE</t>
  </si>
  <si>
    <t>Switzerland</t>
  </si>
  <si>
    <t>145_Switzerland_country</t>
  </si>
  <si>
    <t>CHL</t>
  </si>
  <si>
    <t>Chile</t>
  </si>
  <si>
    <t>47_Chile_country</t>
  </si>
  <si>
    <t>CHN</t>
  </si>
  <si>
    <t>China</t>
  </si>
  <si>
    <t>184_China_country</t>
  </si>
  <si>
    <t>China region</t>
  </si>
  <si>
    <t>Eastern Asia</t>
  </si>
  <si>
    <t>CIV</t>
  </si>
  <si>
    <t>ivory coast</t>
  </si>
  <si>
    <t>88_Côte d'Ivoire_country</t>
  </si>
  <si>
    <t>CMR</t>
  </si>
  <si>
    <t>Cameroon</t>
  </si>
  <si>
    <t>74_Cameroon_country</t>
  </si>
  <si>
    <t>COD</t>
  </si>
  <si>
    <t>congo democratic republic</t>
  </si>
  <si>
    <t>79_Democratic Republic of the Congo_country</t>
  </si>
  <si>
    <t>COG</t>
  </si>
  <si>
    <t>Congo Brazzaville</t>
  </si>
  <si>
    <t>78_Republic of the Congo_country</t>
  </si>
  <si>
    <t>COL</t>
  </si>
  <si>
    <t>Colombia</t>
  </si>
  <si>
    <t>45_Colombia_country</t>
  </si>
  <si>
    <t>CRI</t>
  </si>
  <si>
    <t>Costa Rica</t>
  </si>
  <si>
    <t>32_Costa Rica_country</t>
  </si>
  <si>
    <t>CUB</t>
  </si>
  <si>
    <t>Cuba</t>
  </si>
  <si>
    <t>33_Cuba_country</t>
  </si>
  <si>
    <t>CYP</t>
  </si>
  <si>
    <t>Cyprus</t>
  </si>
  <si>
    <t>120_Cyprus_country</t>
  </si>
  <si>
    <t>CZE</t>
  </si>
  <si>
    <t>czech-republic</t>
  </si>
  <si>
    <t>121_Czechia_country</t>
  </si>
  <si>
    <t>DEU</t>
  </si>
  <si>
    <t>Germany</t>
  </si>
  <si>
    <t>347_Germany_country</t>
  </si>
  <si>
    <t>DJI</t>
  </si>
  <si>
    <t>Djibouti</t>
  </si>
  <si>
    <t>80_Djibouti_country</t>
  </si>
  <si>
    <t>DNK</t>
  </si>
  <si>
    <t>Denmark</t>
  </si>
  <si>
    <t>122_Denmark_country</t>
  </si>
  <si>
    <t>DOM</t>
  </si>
  <si>
    <t>DominicanRepublic</t>
  </si>
  <si>
    <t>29_Dominican Republic_country</t>
  </si>
  <si>
    <t>DZA</t>
  </si>
  <si>
    <t>Algeria</t>
  </si>
  <si>
    <t>68_Algeria_country</t>
  </si>
  <si>
    <t>Northern Africa</t>
  </si>
  <si>
    <t>ECU</t>
  </si>
  <si>
    <t>Ecuador</t>
  </si>
  <si>
    <t>46_Ecuador_country</t>
  </si>
  <si>
    <t>EGY</t>
  </si>
  <si>
    <t>Egypt</t>
  </si>
  <si>
    <t>160_Egypt_country</t>
  </si>
  <si>
    <t>ERI</t>
  </si>
  <si>
    <t>Eritrea</t>
  </si>
  <si>
    <t>82_Eritrea_country</t>
  </si>
  <si>
    <t>ESP</t>
  </si>
  <si>
    <t>Spain</t>
  </si>
  <si>
    <t>143_Spain_country</t>
  </si>
  <si>
    <t>EST</t>
  </si>
  <si>
    <t>Estonia</t>
  </si>
  <si>
    <t>123_Estonia_country</t>
  </si>
  <si>
    <t>ETH</t>
  </si>
  <si>
    <t>Ethiopia</t>
  </si>
  <si>
    <t>83_Ethiopia_country</t>
  </si>
  <si>
    <t>FIN</t>
  </si>
  <si>
    <t>Finland</t>
  </si>
  <si>
    <t>124_Finland_country</t>
  </si>
  <si>
    <t>FRA</t>
  </si>
  <si>
    <t>France</t>
  </si>
  <si>
    <t>201_France_country</t>
  </si>
  <si>
    <t>GAB</t>
  </si>
  <si>
    <t>Gabon</t>
  </si>
  <si>
    <t>84_Gabon_country</t>
  </si>
  <si>
    <t>GBR</t>
  </si>
  <si>
    <t>united-kingdom</t>
  </si>
  <si>
    <t>171_United Kingdom_country</t>
  </si>
  <si>
    <t>GEO</t>
  </si>
  <si>
    <t>Georgia</t>
  </si>
  <si>
    <t>170_Georgia_country</t>
  </si>
  <si>
    <t>GHA</t>
  </si>
  <si>
    <t>Ghana</t>
  </si>
  <si>
    <t>85_Ghana_country</t>
  </si>
  <si>
    <t>GIN</t>
  </si>
  <si>
    <t>Guinea</t>
  </si>
  <si>
    <t>87_Guinea_country</t>
  </si>
  <si>
    <t>GMB</t>
  </si>
  <si>
    <t>Gambia</t>
  </si>
  <si>
    <t>191_Gambia_country</t>
  </si>
  <si>
    <t>GNB</t>
  </si>
  <si>
    <t>Guinea-Bissau</t>
  </si>
  <si>
    <t>86_Guinea-Bissau_country</t>
  </si>
  <si>
    <t>GRC</t>
  </si>
  <si>
    <t>Greece</t>
  </si>
  <si>
    <t>125_Greece_country</t>
  </si>
  <si>
    <t>GTM</t>
  </si>
  <si>
    <t>Guatemala</t>
  </si>
  <si>
    <t>35_Guatemala_country</t>
  </si>
  <si>
    <t>GUY</t>
  </si>
  <si>
    <t>Guyana</t>
  </si>
  <si>
    <t>13_Guyana_country</t>
  </si>
  <si>
    <t>HND</t>
  </si>
  <si>
    <t>Honduras</t>
  </si>
  <si>
    <t>41_Honduras_country</t>
  </si>
  <si>
    <t>HRV</t>
  </si>
  <si>
    <t>Croatia</t>
  </si>
  <si>
    <t>119_Croatia_country</t>
  </si>
  <si>
    <t>HTI</t>
  </si>
  <si>
    <t>Haiti</t>
  </si>
  <si>
    <t>28_Haiti_country</t>
  </si>
  <si>
    <t>HUN</t>
  </si>
  <si>
    <t>Hungary</t>
  </si>
  <si>
    <t>126_Hungary_country</t>
  </si>
  <si>
    <t>IDN</t>
  </si>
  <si>
    <t>Indonesia</t>
  </si>
  <si>
    <t>169_Indonesia_country</t>
  </si>
  <si>
    <t>Indonesia region</t>
  </si>
  <si>
    <t>IND</t>
  </si>
  <si>
    <t>India</t>
  </si>
  <si>
    <t>304_India_country</t>
  </si>
  <si>
    <t>IRL</t>
  </si>
  <si>
    <t>Ireland</t>
  </si>
  <si>
    <t>189_Ireland_country</t>
  </si>
  <si>
    <t>IRN</t>
  </si>
  <si>
    <t>Iran</t>
  </si>
  <si>
    <t>173_Iran_country</t>
  </si>
  <si>
    <t>IRQ</t>
  </si>
  <si>
    <t>Iraq</t>
  </si>
  <si>
    <t>174_Iraq_country</t>
  </si>
  <si>
    <t>ISL</t>
  </si>
  <si>
    <t>Iceland</t>
  </si>
  <si>
    <t>127_Iceland_country</t>
  </si>
  <si>
    <t>ISR</t>
  </si>
  <si>
    <t>Israel</t>
  </si>
  <si>
    <t>303_Israel_country</t>
  </si>
  <si>
    <t>ITA</t>
  </si>
  <si>
    <t>Italy</t>
  </si>
  <si>
    <t>147_Italy_country</t>
  </si>
  <si>
    <t>JAM</t>
  </si>
  <si>
    <t>Jamaica</t>
  </si>
  <si>
    <t>37_Jamaica_country</t>
  </si>
  <si>
    <t>JOR</t>
  </si>
  <si>
    <t>Jordan</t>
  </si>
  <si>
    <t>311_Jordan_country</t>
  </si>
  <si>
    <t>JPN</t>
  </si>
  <si>
    <t>Japan</t>
  </si>
  <si>
    <t>155_Japan_country</t>
  </si>
  <si>
    <t>KAZ</t>
  </si>
  <si>
    <t>Kazakhstan</t>
  </si>
  <si>
    <t>176_Kazakhstan_country</t>
  </si>
  <si>
    <t>Central Asia</t>
  </si>
  <si>
    <t>KEN</t>
  </si>
  <si>
    <t>Kenya</t>
  </si>
  <si>
    <t>89_Kenya_country</t>
  </si>
  <si>
    <t>KGZ</t>
  </si>
  <si>
    <t>Kyrgyzstan</t>
  </si>
  <si>
    <t>180_Kyrgyzstan_country</t>
  </si>
  <si>
    <t>KHM</t>
  </si>
  <si>
    <t>Cambodia</t>
  </si>
  <si>
    <t>149_Cambodia_country</t>
  </si>
  <si>
    <t>KOR</t>
  </si>
  <si>
    <t>South Korea</t>
  </si>
  <si>
    <t>156_South Korea_country</t>
  </si>
  <si>
    <t>Korea region</t>
  </si>
  <si>
    <t>KWT</t>
  </si>
  <si>
    <t>Kuwait</t>
  </si>
  <si>
    <t>197_Kuwait_country</t>
  </si>
  <si>
    <t>LAO</t>
  </si>
  <si>
    <t>Laos</t>
  </si>
  <si>
    <t>150_Laos_country</t>
  </si>
  <si>
    <t>LBN</t>
  </si>
  <si>
    <t>Lebanon</t>
  </si>
  <si>
    <t>312_Lebanon_country</t>
  </si>
  <si>
    <t>LBR</t>
  </si>
  <si>
    <t>Liberia</t>
  </si>
  <si>
    <t>91_Liberia_country</t>
  </si>
  <si>
    <t>LBY</t>
  </si>
  <si>
    <t>Libya</t>
  </si>
  <si>
    <t>92_Libya_country</t>
  </si>
  <si>
    <t>LKA</t>
  </si>
  <si>
    <t>Sri Lanka</t>
  </si>
  <si>
    <t>166_Sri Lanka_country</t>
  </si>
  <si>
    <t>LSO</t>
  </si>
  <si>
    <t>Lesotho</t>
  </si>
  <si>
    <t>90_Lesotho_country</t>
  </si>
  <si>
    <t>LTU</t>
  </si>
  <si>
    <t>Lithuania</t>
  </si>
  <si>
    <t>130_Lithuania_country</t>
  </si>
  <si>
    <t>LUX</t>
  </si>
  <si>
    <t>Luxembourg</t>
  </si>
  <si>
    <t>131_Luxembourg_country</t>
  </si>
  <si>
    <t>LVA</t>
  </si>
  <si>
    <t>Latvia</t>
  </si>
  <si>
    <t>129_Latvia_country</t>
  </si>
  <si>
    <t>MAR</t>
  </si>
  <si>
    <t>Morocco</t>
  </si>
  <si>
    <t>98_Morocco_country</t>
  </si>
  <si>
    <t>MDA</t>
  </si>
  <si>
    <t>Moldova</t>
  </si>
  <si>
    <t>133_Moldova_country</t>
  </si>
  <si>
    <t>MDG</t>
  </si>
  <si>
    <t>Madagascar</t>
  </si>
  <si>
    <t>93_Madagascar_country</t>
  </si>
  <si>
    <t>MEX</t>
  </si>
  <si>
    <t>Mexico</t>
  </si>
  <si>
    <t>297_Mexico_country</t>
  </si>
  <si>
    <t>MKD</t>
  </si>
  <si>
    <t>Macedonia</t>
  </si>
  <si>
    <t>172_North Macedonia_country</t>
  </si>
  <si>
    <t>MLI</t>
  </si>
  <si>
    <t>Mali</t>
  </si>
  <si>
    <t>95_Mali_country</t>
  </si>
  <si>
    <t>MLT</t>
  </si>
  <si>
    <t>Malta</t>
  </si>
  <si>
    <t>132_Malta_country</t>
  </si>
  <si>
    <t>MMR</t>
  </si>
  <si>
    <t>Myanmar</t>
  </si>
  <si>
    <t>163_Myanmar_country</t>
  </si>
  <si>
    <t>MNE</t>
  </si>
  <si>
    <t>Montenegro</t>
  </si>
  <si>
    <t>134_Montenegro_country</t>
  </si>
  <si>
    <t>MNG</t>
  </si>
  <si>
    <t>Mongolia</t>
  </si>
  <si>
    <t>186_Mongolia_country</t>
  </si>
  <si>
    <t>MOZ</t>
  </si>
  <si>
    <t>Mozambique</t>
  </si>
  <si>
    <t>152_Mozambique_country</t>
  </si>
  <si>
    <t>MRT</t>
  </si>
  <si>
    <t>Mauritania</t>
  </si>
  <si>
    <t>96_Mauritania_country</t>
  </si>
  <si>
    <t>MWI</t>
  </si>
  <si>
    <t>Malawi</t>
  </si>
  <si>
    <t>94_Malawi_country</t>
  </si>
  <si>
    <t>MYS</t>
  </si>
  <si>
    <t>Malaysia</t>
  </si>
  <si>
    <t>302_Malaysia_country</t>
  </si>
  <si>
    <t>NAM</t>
  </si>
  <si>
    <t>Namibia</t>
  </si>
  <si>
    <t>99_Namibia_country</t>
  </si>
  <si>
    <t>NCL</t>
  </si>
  <si>
    <t>New Caledonia</t>
  </si>
  <si>
    <t>57_New Caledonia_country</t>
  </si>
  <si>
    <t>NER</t>
  </si>
  <si>
    <t>Niger</t>
  </si>
  <si>
    <t>100_Niger_country</t>
  </si>
  <si>
    <t>NGA</t>
  </si>
  <si>
    <t>Nigeria</t>
  </si>
  <si>
    <t>183_Nigeria_country</t>
  </si>
  <si>
    <t>NIC</t>
  </si>
  <si>
    <t>Nicaragua</t>
  </si>
  <si>
    <t>38_Nicaragua_country</t>
  </si>
  <si>
    <t>NLD</t>
  </si>
  <si>
    <t>Netherlands</t>
  </si>
  <si>
    <t>135_Netherlands_country</t>
  </si>
  <si>
    <t>NOR</t>
  </si>
  <si>
    <t>Norway</t>
  </si>
  <si>
    <t>136_Norway_country</t>
  </si>
  <si>
    <t>NPL</t>
  </si>
  <si>
    <t>Nepal</t>
  </si>
  <si>
    <t>164_Nepal_country</t>
  </si>
  <si>
    <t>NZL</t>
  </si>
  <si>
    <t>New Zealand</t>
  </si>
  <si>
    <t>58_New Zealand_country</t>
  </si>
  <si>
    <t>OMN</t>
  </si>
  <si>
    <t>Oman</t>
  </si>
  <si>
    <t>193_Oman_country</t>
  </si>
  <si>
    <t>PAK</t>
  </si>
  <si>
    <t>Pakistan</t>
  </si>
  <si>
    <t>165_Pakistan_country</t>
  </si>
  <si>
    <t>PAN</t>
  </si>
  <si>
    <t>Panama</t>
  </si>
  <si>
    <t>42_Panama_country</t>
  </si>
  <si>
    <t>PER</t>
  </si>
  <si>
    <t>Peru</t>
  </si>
  <si>
    <t>48_Peru_country</t>
  </si>
  <si>
    <t>PHL</t>
  </si>
  <si>
    <t>Philippines</t>
  </si>
  <si>
    <t>155_Philippines_country</t>
  </si>
  <si>
    <t>PNG</t>
  </si>
  <si>
    <t>Papua New Guinea</t>
  </si>
  <si>
    <t>59_Papua New Guinea_country</t>
  </si>
  <si>
    <t>POL</t>
  </si>
  <si>
    <t>Poland</t>
  </si>
  <si>
    <t>137_Poland_country</t>
  </si>
  <si>
    <t>PRK</t>
  </si>
  <si>
    <t>North Korea</t>
  </si>
  <si>
    <t>156_North Korea_country</t>
  </si>
  <si>
    <t>PRT</t>
  </si>
  <si>
    <t>Portugal</t>
  </si>
  <si>
    <t>138_Portugal_country</t>
  </si>
  <si>
    <t>PRY</t>
  </si>
  <si>
    <t>Paraguay</t>
  </si>
  <si>
    <t>47_Paraguay_country</t>
  </si>
  <si>
    <t>PSE</t>
  </si>
  <si>
    <t>Palestine</t>
  </si>
  <si>
    <t>303_Palestine_country</t>
  </si>
  <si>
    <t>QAT</t>
  </si>
  <si>
    <t>Qatar</t>
  </si>
  <si>
    <t>195_Qatar_country</t>
  </si>
  <si>
    <t>ROU</t>
  </si>
  <si>
    <t>Romania</t>
  </si>
  <si>
    <t>139_Romania_country</t>
  </si>
  <si>
    <t>RUS</t>
  </si>
  <si>
    <t>Russia</t>
  </si>
  <si>
    <t>167_Russia_country</t>
  </si>
  <si>
    <t>RWA</t>
  </si>
  <si>
    <t>Rwanda</t>
  </si>
  <si>
    <t>101_Rwanda_country</t>
  </si>
  <si>
    <t>SAU</t>
  </si>
  <si>
    <t>Saudi Arabia</t>
  </si>
  <si>
    <t>192_Saudi Arabia_country</t>
  </si>
  <si>
    <t>SDN</t>
  </si>
  <si>
    <t>Sudan</t>
  </si>
  <si>
    <t>153_Sudan_country</t>
  </si>
  <si>
    <t>SEN</t>
  </si>
  <si>
    <t>Senegal</t>
  </si>
  <si>
    <t>190_Senegal_country</t>
  </si>
  <si>
    <t>SGP</t>
  </si>
  <si>
    <t>Singapore</t>
  </si>
  <si>
    <t>302_Singapore_country</t>
  </si>
  <si>
    <t>SLE</t>
  </si>
  <si>
    <t>Sierra Leone</t>
  </si>
  <si>
    <t>103_Sierra Leone_country</t>
  </si>
  <si>
    <t>SLV</t>
  </si>
  <si>
    <t>El Salvador</t>
  </si>
  <si>
    <t>43_El Salvador_country</t>
  </si>
  <si>
    <t>SOM</t>
  </si>
  <si>
    <t>Somalia</t>
  </si>
  <si>
    <t>104_Somalia_country</t>
  </si>
  <si>
    <t>SRB</t>
  </si>
  <si>
    <t>Serbia</t>
  </si>
  <si>
    <t>140_Serbia_country</t>
  </si>
  <si>
    <t>SSD</t>
  </si>
  <si>
    <t>South Sudan</t>
  </si>
  <si>
    <t>106_South Sudan_country</t>
  </si>
  <si>
    <t>SUR</t>
  </si>
  <si>
    <t>Suriname</t>
  </si>
  <si>
    <t>49_Suriname_country</t>
  </si>
  <si>
    <t>SVK</t>
  </si>
  <si>
    <t>Slovakia</t>
  </si>
  <si>
    <t>141_Slovakia_country</t>
  </si>
  <si>
    <t>SVN</t>
  </si>
  <si>
    <t>Slovenia</t>
  </si>
  <si>
    <t>142_Slovenia_country</t>
  </si>
  <si>
    <t>SWE</t>
  </si>
  <si>
    <t>Sweden</t>
  </si>
  <si>
    <t>144_Sweden_country</t>
  </si>
  <si>
    <t>SWZ</t>
  </si>
  <si>
    <t>Swaziland</t>
  </si>
  <si>
    <t>107_Swaziland_country</t>
  </si>
  <si>
    <t>SYR</t>
  </si>
  <si>
    <t>Syria</t>
  </si>
  <si>
    <t>157_Syria_country</t>
  </si>
  <si>
    <t>TCD</t>
  </si>
  <si>
    <t>Chad</t>
  </si>
  <si>
    <t>77_Chad_country</t>
  </si>
  <si>
    <t>TGO</t>
  </si>
  <si>
    <t>Togo</t>
  </si>
  <si>
    <t>109_Togo_country</t>
  </si>
  <si>
    <t>THA</t>
  </si>
  <si>
    <t>Thailand</t>
  </si>
  <si>
    <t>151_Thailand_country</t>
  </si>
  <si>
    <t>TJK</t>
  </si>
  <si>
    <t>Tajikistan</t>
  </si>
  <si>
    <t>177_Tajikistan_country</t>
  </si>
  <si>
    <t>TKM</t>
  </si>
  <si>
    <t>Turkmenistan</t>
  </si>
  <si>
    <t>178_Turkmenistan_country</t>
  </si>
  <si>
    <t>TUN</t>
  </si>
  <si>
    <t>Tunisia</t>
  </si>
  <si>
    <t>110_Tunisia_country</t>
  </si>
  <si>
    <t>TUR</t>
  </si>
  <si>
    <t>Turkey</t>
  </si>
  <si>
    <t>148_Turkey_country</t>
  </si>
  <si>
    <t>TWN</t>
  </si>
  <si>
    <t>Taiwan</t>
  </si>
  <si>
    <t>186_Taiwan_country</t>
  </si>
  <si>
    <t>TZA</t>
  </si>
  <si>
    <t>Tanzania</t>
  </si>
  <si>
    <t>108_Tanzania_country</t>
  </si>
  <si>
    <t>UGA</t>
  </si>
  <si>
    <t>Uganda</t>
  </si>
  <si>
    <t>111_Uganda_country</t>
  </si>
  <si>
    <t>UKR</t>
  </si>
  <si>
    <t>Ukraine</t>
  </si>
  <si>
    <t>154_Ukraine_country</t>
  </si>
  <si>
    <t>URY</t>
  </si>
  <si>
    <t>Uruguay</t>
  </si>
  <si>
    <t>50_Uruguay_country</t>
  </si>
  <si>
    <t>USA</t>
  </si>
  <si>
    <t>United States</t>
  </si>
  <si>
    <t>348_UnitedStates_country</t>
  </si>
  <si>
    <t>UZB</t>
  </si>
  <si>
    <t>Uzbekistan</t>
  </si>
  <si>
    <t>179_Uzbekistan_country</t>
  </si>
  <si>
    <t>VEN</t>
  </si>
  <si>
    <t>Venezuela</t>
  </si>
  <si>
    <t>51_Venezuela_country</t>
  </si>
  <si>
    <t>VNM</t>
  </si>
  <si>
    <t>Vietnam</t>
  </si>
  <si>
    <t>181_Vietnam_country</t>
  </si>
  <si>
    <t>XKO</t>
  </si>
  <si>
    <t>Kosovo</t>
  </si>
  <si>
    <t>128_Kosovo_country</t>
  </si>
  <si>
    <t>YEM</t>
  </si>
  <si>
    <t>Yemen</t>
  </si>
  <si>
    <t>175_Yemen_country</t>
  </si>
  <si>
    <t>ZAF</t>
  </si>
  <si>
    <t>South Africa</t>
  </si>
  <si>
    <t>105_South Africa_country</t>
  </si>
  <si>
    <t>ZMB</t>
  </si>
  <si>
    <t>Zambia</t>
  </si>
  <si>
    <t>112_Zambia_country</t>
  </si>
  <si>
    <t>ZWE</t>
  </si>
  <si>
    <t>Zimbabwe</t>
  </si>
  <si>
    <t>113_Zimbabwe_country</t>
  </si>
  <si>
    <t>FUA_area_total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</si>
</sst>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Cntry_SSP_UrbanTS(2).xlsx" TargetMode="External"/><Relationship Id="rId1" Type="http://schemas.openxmlformats.org/officeDocument/2006/relationships/externalLinkPath" Target="/Users/MvEng/Downloads/Cntry_SSP_UrbanTS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2.%20dMFA\External_Input\final_data_urban_area.xlsx" TargetMode="External"/><Relationship Id="rId1" Type="http://schemas.openxmlformats.org/officeDocument/2006/relationships/externalLinkPath" Target="/Academic/Chapter2/2.%20dMFA/External_Input/final_data_urban_are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P1"/>
      <sheetName val="SSP2"/>
      <sheetName val="SSP3"/>
      <sheetName val="Sheet1"/>
      <sheetName val="SSP4"/>
      <sheetName val="SSP5"/>
      <sheetName val="SSP4-change-rate"/>
      <sheetName val="SSP4-change-rate-full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ARG</v>
          </cell>
          <cell r="C2">
            <v>0.99619263222885368</v>
          </cell>
          <cell r="D2">
            <v>0.99068229636308991</v>
          </cell>
          <cell r="E2">
            <v>0.98284337349397588</v>
          </cell>
          <cell r="F2">
            <v>0.96390677428130955</v>
          </cell>
          <cell r="G2">
            <v>0.93857240905971173</v>
          </cell>
          <cell r="H2">
            <v>0.90837076357697022</v>
          </cell>
        </row>
        <row r="3">
          <cell r="B3" t="str">
            <v>ARM</v>
          </cell>
          <cell r="C3">
            <v>1</v>
          </cell>
          <cell r="D3">
            <v>0.98947368421052628</v>
          </cell>
          <cell r="E3">
            <v>0.98101265822784811</v>
          </cell>
          <cell r="F3">
            <v>0.95675675675675675</v>
          </cell>
          <cell r="G3">
            <v>0.93236714975845414</v>
          </cell>
          <cell r="H3">
            <v>0.90625</v>
          </cell>
        </row>
        <row r="4">
          <cell r="B4" t="str">
            <v>AUS</v>
          </cell>
          <cell r="C4">
            <v>0.99661659223169574</v>
          </cell>
          <cell r="D4">
            <v>0.992159383033419</v>
          </cell>
          <cell r="E4">
            <v>0.98649294764523066</v>
          </cell>
          <cell r="F4">
            <v>0.97499198461045211</v>
          </cell>
          <cell r="G4">
            <v>0.96026171461560661</v>
          </cell>
          <cell r="H4">
            <v>0.94370137249759589</v>
          </cell>
        </row>
        <row r="5">
          <cell r="B5" t="str">
            <v>AUT</v>
          </cell>
          <cell r="C5">
            <v>0.99937539038101186</v>
          </cell>
          <cell r="D5">
            <v>0.99877375843041083</v>
          </cell>
          <cell r="E5">
            <v>0.99761336515513122</v>
          </cell>
          <cell r="F5">
            <v>0.99544937428896474</v>
          </cell>
          <cell r="G5">
            <v>0.99189189189189186</v>
          </cell>
          <cell r="H5">
            <v>0.98822324628776237</v>
          </cell>
        </row>
        <row r="6">
          <cell r="B6" t="str">
            <v>AZE</v>
          </cell>
          <cell r="C6">
            <v>0.99501246882793015</v>
          </cell>
          <cell r="D6">
            <v>0.98627002288329524</v>
          </cell>
          <cell r="E6">
            <v>0.97556008146639517</v>
          </cell>
          <cell r="F6">
            <v>0.94629156010230175</v>
          </cell>
          <cell r="G6">
            <v>0.91106290672451196</v>
          </cell>
          <cell r="H6">
            <v>0.87352024922118376</v>
          </cell>
        </row>
        <row r="7">
          <cell r="B7" t="str">
            <v>BDI</v>
          </cell>
          <cell r="C7">
            <v>1</v>
          </cell>
          <cell r="D7">
            <v>1</v>
          </cell>
          <cell r="E7">
            <v>1</v>
          </cell>
          <cell r="F7">
            <v>0.9555555555555556</v>
          </cell>
          <cell r="G7">
            <v>0.92156862745098045</v>
          </cell>
          <cell r="H7">
            <v>0.7846153846153846</v>
          </cell>
        </row>
        <row r="8">
          <cell r="B8" t="str">
            <v>BEL</v>
          </cell>
          <cell r="C8">
            <v>0.99576943416181918</v>
          </cell>
          <cell r="D8">
            <v>0.99048442906574397</v>
          </cell>
          <cell r="E8">
            <v>0.98299663299663298</v>
          </cell>
          <cell r="F8">
            <v>0.96696212731668008</v>
          </cell>
          <cell r="G8">
            <v>0.94607159460715951</v>
          </cell>
          <cell r="H8">
            <v>0.91986219292989813</v>
          </cell>
        </row>
        <row r="9">
          <cell r="B9" t="str">
            <v>BEN</v>
          </cell>
          <cell r="C9">
            <v>1.0078125</v>
          </cell>
          <cell r="D9">
            <v>1.0072992700729928</v>
          </cell>
          <cell r="E9">
            <v>1.0201342281879195</v>
          </cell>
          <cell r="F9">
            <v>1.0290697674418605</v>
          </cell>
          <cell r="G9">
            <v>1.0355329949238579</v>
          </cell>
          <cell r="H9">
            <v>1.0355555555555556</v>
          </cell>
        </row>
        <row r="10">
          <cell r="B10" t="str">
            <v>BFA</v>
          </cell>
          <cell r="C10">
            <v>1</v>
          </cell>
          <cell r="D10">
            <v>1.0042918454935623</v>
          </cell>
          <cell r="E10">
            <v>1.0039525691699605</v>
          </cell>
          <cell r="F10">
            <v>1.0068493150684932</v>
          </cell>
          <cell r="G10">
            <v>1.0089020771513353</v>
          </cell>
          <cell r="H10">
            <v>0.99744897959183676</v>
          </cell>
        </row>
        <row r="11">
          <cell r="B11" t="str">
            <v>BGD</v>
          </cell>
          <cell r="C11">
            <v>0.99630541871921185</v>
          </cell>
          <cell r="D11">
            <v>0.99288256227758009</v>
          </cell>
          <cell r="E11">
            <v>0.98651685393258426</v>
          </cell>
          <cell r="F11">
            <v>0.96722939424031773</v>
          </cell>
          <cell r="G11">
            <v>0.92454328832406674</v>
          </cell>
          <cell r="H11">
            <v>0.81213307240704502</v>
          </cell>
        </row>
        <row r="12">
          <cell r="B12" t="str">
            <v>BGR</v>
          </cell>
          <cell r="C12">
            <v>0.99800399201596801</v>
          </cell>
          <cell r="D12">
            <v>0.99609375</v>
          </cell>
          <cell r="E12">
            <v>0.99243140964995269</v>
          </cell>
          <cell r="F12">
            <v>0.98123324396782841</v>
          </cell>
          <cell r="G12">
            <v>0.96624472573839659</v>
          </cell>
          <cell r="H12">
            <v>0.94741035856573708</v>
          </cell>
        </row>
        <row r="13">
          <cell r="B13" t="str">
            <v>BHR</v>
          </cell>
          <cell r="C13">
            <v>0.99568034557235419</v>
          </cell>
          <cell r="D13">
            <v>0.9884615384615385</v>
          </cell>
          <cell r="E13">
            <v>0.98016528925619839</v>
          </cell>
          <cell r="F13">
            <v>0.96086369770580293</v>
          </cell>
          <cell r="G13">
            <v>0.93648960739030018</v>
          </cell>
          <cell r="H13">
            <v>0.90984455958549226</v>
          </cell>
        </row>
        <row r="14">
          <cell r="B14" t="str">
            <v>BHS</v>
          </cell>
          <cell r="C14">
            <v>0.9921875</v>
          </cell>
          <cell r="D14">
            <v>0.98496240601503759</v>
          </cell>
          <cell r="E14">
            <v>0.97872340425531912</v>
          </cell>
          <cell r="F14">
            <v>0.95394736842105265</v>
          </cell>
          <cell r="G14">
            <v>0.93167701863354035</v>
          </cell>
          <cell r="H14">
            <v>0.89880952380952384</v>
          </cell>
        </row>
        <row r="15">
          <cell r="B15" t="str">
            <v>BIH</v>
          </cell>
          <cell r="C15">
            <v>1</v>
          </cell>
          <cell r="D15">
            <v>0.99491094147582693</v>
          </cell>
          <cell r="E15">
            <v>0.99031476997578693</v>
          </cell>
          <cell r="F15">
            <v>0.9732142857142857</v>
          </cell>
          <cell r="G15">
            <v>0.95198329853862218</v>
          </cell>
          <cell r="H15">
            <v>0.92673267326732678</v>
          </cell>
        </row>
        <row r="16">
          <cell r="B16" t="str">
            <v>BLR</v>
          </cell>
          <cell r="C16">
            <v>0.99348876286494436</v>
          </cell>
          <cell r="D16">
            <v>0.99348876286494436</v>
          </cell>
          <cell r="E16">
            <v>0.99348876286494436</v>
          </cell>
          <cell r="F16">
            <v>0.99348876286494436</v>
          </cell>
          <cell r="G16">
            <v>0.99348876286494436</v>
          </cell>
          <cell r="H16">
            <v>0.99348876286494436</v>
          </cell>
        </row>
        <row r="17">
          <cell r="B17" t="str">
            <v>BOL</v>
          </cell>
          <cell r="C17">
            <v>1.0058083252662149</v>
          </cell>
          <cell r="D17">
            <v>1.0121268656716418</v>
          </cell>
          <cell r="E17">
            <v>1.0203539823008849</v>
          </cell>
          <cell r="F17">
            <v>1.0314516129032258</v>
          </cell>
          <cell r="G17">
            <v>1.0364166059723234</v>
          </cell>
          <cell r="H17">
            <v>1.0312296681847755</v>
          </cell>
        </row>
        <row r="18">
          <cell r="B18" t="str">
            <v>BRA</v>
          </cell>
          <cell r="C18">
            <v>0.99678780138550249</v>
          </cell>
          <cell r="D18">
            <v>0.99167953013817256</v>
          </cell>
          <cell r="E18">
            <v>0.98455361018665899</v>
          </cell>
          <cell r="F18">
            <v>0.9665158063089121</v>
          </cell>
          <cell r="G18">
            <v>0.94072197999487051</v>
          </cell>
          <cell r="H18">
            <v>0.90844261799722004</v>
          </cell>
        </row>
        <row r="19">
          <cell r="B19" t="str">
            <v>BRB</v>
          </cell>
          <cell r="C19">
            <v>0.9838709677419355</v>
          </cell>
          <cell r="D19">
            <v>1</v>
          </cell>
          <cell r="E19">
            <v>0.98412698412698418</v>
          </cell>
          <cell r="F19">
            <v>0.98412698412698418</v>
          </cell>
          <cell r="G19">
            <v>0.98412698412698418</v>
          </cell>
          <cell r="H19">
            <v>0.98412698412698418</v>
          </cell>
        </row>
        <row r="20">
          <cell r="B20" t="str">
            <v>BRN</v>
          </cell>
          <cell r="C20">
            <v>0.97872340425531912</v>
          </cell>
          <cell r="D20">
            <v>0.96385542168674698</v>
          </cell>
          <cell r="E20">
            <v>0.94423791821561343</v>
          </cell>
          <cell r="F20">
            <v>0.9</v>
          </cell>
          <cell r="G20">
            <v>0.85889570552147243</v>
          </cell>
          <cell r="H20">
            <v>0.81268011527377526</v>
          </cell>
        </row>
        <row r="21">
          <cell r="B21" t="str">
            <v>BWA</v>
          </cell>
          <cell r="C21">
            <v>0.99504950495049505</v>
          </cell>
          <cell r="D21">
            <v>0.98095238095238091</v>
          </cell>
          <cell r="E21">
            <v>0.97285067873303166</v>
          </cell>
          <cell r="F21">
            <v>0.93442622950819676</v>
          </cell>
          <cell r="G21">
            <v>0.8929889298892989</v>
          </cell>
          <cell r="H21">
            <v>0.8443708609271523</v>
          </cell>
        </row>
        <row r="22">
          <cell r="B22" t="str">
            <v>CAF</v>
          </cell>
          <cell r="C22">
            <v>1</v>
          </cell>
          <cell r="D22">
            <v>1.0476190476190477</v>
          </cell>
          <cell r="E22">
            <v>1.0434782608695652</v>
          </cell>
          <cell r="F22">
            <v>1.0384615384615385</v>
          </cell>
          <cell r="G22">
            <v>1.0714285714285714</v>
          </cell>
          <cell r="H22">
            <v>1.064516129032258</v>
          </cell>
        </row>
        <row r="23">
          <cell r="B23" t="str">
            <v>CAN</v>
          </cell>
          <cell r="C23">
            <v>0.99605303731113171</v>
          </cell>
          <cell r="D23">
            <v>0.99106451420742236</v>
          </cell>
          <cell r="E23">
            <v>0.98430061210609843</v>
          </cell>
          <cell r="F23">
            <v>0.97030120799704589</v>
          </cell>
          <cell r="G23">
            <v>0.95112689253834393</v>
          </cell>
          <cell r="H23">
            <v>0.92886583615060436</v>
          </cell>
        </row>
        <row r="24">
          <cell r="B24" t="str">
            <v>CHE</v>
          </cell>
          <cell r="C24">
            <v>0.99871685201026517</v>
          </cell>
          <cell r="D24">
            <v>0.99706621961441744</v>
          </cell>
          <cell r="E24">
            <v>0.99430662871085806</v>
          </cell>
          <cell r="F24">
            <v>0.98878143133462282</v>
          </cell>
          <cell r="G24">
            <v>0.98123620309050774</v>
          </cell>
          <cell r="H24">
            <v>0.97197898423817863</v>
          </cell>
        </row>
        <row r="25">
          <cell r="B25" t="str">
            <v>CHL</v>
          </cell>
          <cell r="C25">
            <v>0.99705340699815836</v>
          </cell>
          <cell r="D25">
            <v>0.99247041950519899</v>
          </cell>
          <cell r="E25">
            <v>0.98517752499138234</v>
          </cell>
          <cell r="F25">
            <v>0.96816114359974015</v>
          </cell>
          <cell r="G25">
            <v>0.94701170671595813</v>
          </cell>
          <cell r="H25">
            <v>0.92251247431758143</v>
          </cell>
        </row>
        <row r="26">
          <cell r="B26" t="str">
            <v>CHN</v>
          </cell>
          <cell r="C26">
            <v>0.99736836994309463</v>
          </cell>
          <cell r="D26">
            <v>0.98793335458054465</v>
          </cell>
          <cell r="E26">
            <v>0.97654802573463306</v>
          </cell>
          <cell r="F26">
            <v>0.94933843456081624</v>
          </cell>
          <cell r="G26">
            <v>0.91949543138998946</v>
          </cell>
          <cell r="H26">
            <v>0.88842986979686034</v>
          </cell>
        </row>
        <row r="27">
          <cell r="B27" t="str">
            <v>CIV</v>
          </cell>
          <cell r="C27">
            <v>1.0062893081761006</v>
          </cell>
          <cell r="D27">
            <v>1.0162601626016261</v>
          </cell>
          <cell r="E27">
            <v>1.0311284046692606</v>
          </cell>
          <cell r="F27">
            <v>1.0539568345323742</v>
          </cell>
          <cell r="G27">
            <v>1.0575657894736843</v>
          </cell>
          <cell r="H27">
            <v>0.99572649572649574</v>
          </cell>
        </row>
        <row r="28">
          <cell r="B28" t="str">
            <v>CMR</v>
          </cell>
          <cell r="C28">
            <v>0.99537037037037035</v>
          </cell>
          <cell r="D28">
            <v>0.99555555555555553</v>
          </cell>
          <cell r="E28">
            <v>0.99581589958159</v>
          </cell>
          <cell r="F28">
            <v>0.97058823529411764</v>
          </cell>
          <cell r="G28">
            <v>0.89665653495440734</v>
          </cell>
          <cell r="H28">
            <v>0.70362473347547971</v>
          </cell>
        </row>
        <row r="29">
          <cell r="B29" t="str">
            <v>COG</v>
          </cell>
          <cell r="C29">
            <v>0.99431818181818177</v>
          </cell>
          <cell r="D29">
            <v>0.97837837837837838</v>
          </cell>
          <cell r="E29">
            <v>0.95939086294416243</v>
          </cell>
          <cell r="F29">
            <v>0.89495798319327735</v>
          </cell>
          <cell r="G29">
            <v>0.7553516819571866</v>
          </cell>
          <cell r="H29">
            <v>0.53333333333333333</v>
          </cell>
        </row>
        <row r="30">
          <cell r="B30" t="str">
            <v>COL</v>
          </cell>
          <cell r="C30">
            <v>0.99630086313193589</v>
          </cell>
          <cell r="D30">
            <v>0.99010684606252475</v>
          </cell>
          <cell r="E30">
            <v>0.98200899550224885</v>
          </cell>
          <cell r="F30">
            <v>0.96145905024088096</v>
          </cell>
          <cell r="G30">
            <v>0.93037777083983764</v>
          </cell>
          <cell r="H30">
            <v>0.88130081300813012</v>
          </cell>
        </row>
        <row r="31">
          <cell r="B31" t="str">
            <v>CRI</v>
          </cell>
          <cell r="C31">
            <v>0.99808061420345484</v>
          </cell>
          <cell r="D31">
            <v>0.9908088235294118</v>
          </cell>
          <cell r="E31">
            <v>0.98269896193771622</v>
          </cell>
          <cell r="F31">
            <v>0.96331738437001591</v>
          </cell>
          <cell r="G31">
            <v>0.93880597014925371</v>
          </cell>
          <cell r="H31">
            <v>0.90603085553997198</v>
          </cell>
        </row>
        <row r="32">
          <cell r="B32" t="str">
            <v>CYP</v>
          </cell>
          <cell r="C32">
            <v>1</v>
          </cell>
          <cell r="D32">
            <v>0.9974811083123426</v>
          </cell>
          <cell r="E32">
            <v>0.99297423887587821</v>
          </cell>
          <cell r="F32">
            <v>0.97995991983967934</v>
          </cell>
          <cell r="G32">
            <v>0.95469798657718119</v>
          </cell>
          <cell r="H32">
            <v>0.92847124824684435</v>
          </cell>
        </row>
        <row r="33">
          <cell r="B33" t="str">
            <v>CZE</v>
          </cell>
          <cell r="C33">
            <v>0.9977561705310396</v>
          </cell>
          <cell r="D33">
            <v>0.99484725800515272</v>
          </cell>
          <cell r="E33">
            <v>0.99101365923795826</v>
          </cell>
          <cell r="F33">
            <v>0.98195071155848668</v>
          </cell>
          <cell r="G33">
            <v>0.96927187708750839</v>
          </cell>
          <cell r="H33">
            <v>0.95394524959742355</v>
          </cell>
        </row>
        <row r="34">
          <cell r="B34" t="str">
            <v>DEU</v>
          </cell>
          <cell r="C34">
            <v>0.99879007864488811</v>
          </cell>
          <cell r="D34">
            <v>0.99711407568744892</v>
          </cell>
          <cell r="E34">
            <v>0.99468798626388366</v>
          </cell>
          <cell r="F34">
            <v>0.98942961800104656</v>
          </cell>
          <cell r="G34">
            <v>0.98256791885417194</v>
          </cell>
          <cell r="H34">
            <v>0.97362288660816099</v>
          </cell>
        </row>
        <row r="35">
          <cell r="B35" t="str">
            <v>DJI</v>
          </cell>
          <cell r="C35">
            <v>1</v>
          </cell>
          <cell r="D35">
            <v>1</v>
          </cell>
          <cell r="E35">
            <v>1</v>
          </cell>
          <cell r="F35">
            <v>0.97499999999999998</v>
          </cell>
          <cell r="G35">
            <v>0.95454545454545459</v>
          </cell>
          <cell r="H35">
            <v>0.84905660377358494</v>
          </cell>
        </row>
        <row r="36">
          <cell r="B36" t="str">
            <v>DNK</v>
          </cell>
          <cell r="C36">
            <v>0.99928825622775797</v>
          </cell>
          <cell r="D36">
            <v>0.997907949790795</v>
          </cell>
          <cell r="E36">
            <v>0.99526387009472261</v>
          </cell>
          <cell r="F36">
            <v>0.99358563181526616</v>
          </cell>
          <cell r="G36">
            <v>0.99335748792270528</v>
          </cell>
          <cell r="H36">
            <v>0.99887133182844245</v>
          </cell>
        </row>
        <row r="37">
          <cell r="B37" t="str">
            <v>DOM</v>
          </cell>
          <cell r="C37">
            <v>0.99321266968325794</v>
          </cell>
          <cell r="D37">
            <v>0.98478260869565215</v>
          </cell>
          <cell r="E37">
            <v>0.97530864197530864</v>
          </cell>
          <cell r="F37">
            <v>0.94716981132075473</v>
          </cell>
          <cell r="G37">
            <v>0.90956521739130436</v>
          </cell>
          <cell r="H37">
            <v>0.86816720257234725</v>
          </cell>
        </row>
        <row r="38">
          <cell r="B38" t="str">
            <v>DZA</v>
          </cell>
          <cell r="C38">
            <v>0.99865591397849462</v>
          </cell>
          <cell r="D38">
            <v>0.99452982547538427</v>
          </cell>
          <cell r="E38">
            <v>0.98855151816824294</v>
          </cell>
          <cell r="F38">
            <v>0.96615108720017928</v>
          </cell>
          <cell r="G38">
            <v>0.92937524253007375</v>
          </cell>
          <cell r="H38">
            <v>0.87704527402700561</v>
          </cell>
        </row>
        <row r="39">
          <cell r="B39" t="str">
            <v>ECU</v>
          </cell>
          <cell r="C39">
            <v>0.99760479041916172</v>
          </cell>
          <cell r="D39">
            <v>0.99132446500867555</v>
          </cell>
          <cell r="E39">
            <v>0.98348017621145378</v>
          </cell>
          <cell r="F39">
            <v>0.95973829894313034</v>
          </cell>
          <cell r="G39">
            <v>0.92733089579524686</v>
          </cell>
          <cell r="H39">
            <v>0.88414133114215288</v>
          </cell>
        </row>
        <row r="40">
          <cell r="B40" t="str">
            <v>EGY</v>
          </cell>
          <cell r="C40">
            <v>0.99688365650969524</v>
          </cell>
          <cell r="D40">
            <v>0.99002308707124009</v>
          </cell>
          <cell r="E40">
            <v>0.98083435960591137</v>
          </cell>
          <cell r="F40">
            <v>0.95056270096463025</v>
          </cell>
          <cell r="G40">
            <v>0.90724356413037277</v>
          </cell>
          <cell r="H40">
            <v>0.85588178852427554</v>
          </cell>
        </row>
        <row r="41">
          <cell r="B41" t="str">
            <v>ERI</v>
          </cell>
          <cell r="C41">
            <v>1</v>
          </cell>
          <cell r="D41">
            <v>1</v>
          </cell>
          <cell r="E41">
            <v>0.97560975609756095</v>
          </cell>
          <cell r="F41">
            <v>0.96551724137931039</v>
          </cell>
          <cell r="G41">
            <v>0.92500000000000004</v>
          </cell>
          <cell r="H41">
            <v>0.89814814814814814</v>
          </cell>
        </row>
        <row r="42">
          <cell r="B42" t="str">
            <v>ESP</v>
          </cell>
          <cell r="C42">
            <v>0.99760765550239239</v>
          </cell>
          <cell r="D42">
            <v>0.99494468459227781</v>
          </cell>
          <cell r="E42">
            <v>0.99117877214199335</v>
          </cell>
          <cell r="F42">
            <v>0.98194070080862539</v>
          </cell>
          <cell r="G42">
            <v>0.9687120097255103</v>
          </cell>
          <cell r="H42">
            <v>0.95281395920373557</v>
          </cell>
        </row>
        <row r="43">
          <cell r="B43" t="str">
            <v>EST</v>
          </cell>
          <cell r="C43">
            <v>1</v>
          </cell>
          <cell r="D43">
            <v>1</v>
          </cell>
          <cell r="E43">
            <v>0.99820466786355477</v>
          </cell>
          <cell r="F43">
            <v>0.99333333333333329</v>
          </cell>
          <cell r="G43">
            <v>0.98130841121495327</v>
          </cell>
          <cell r="H43">
            <v>0.96470588235294119</v>
          </cell>
        </row>
        <row r="44">
          <cell r="B44" t="str">
            <v>ETH</v>
          </cell>
          <cell r="C44">
            <v>0.99298245614035086</v>
          </cell>
          <cell r="D44">
            <v>0.99335548172757471</v>
          </cell>
          <cell r="E44">
            <v>0.98773006134969321</v>
          </cell>
          <cell r="F44">
            <v>0.96344647519582249</v>
          </cell>
          <cell r="G44">
            <v>0.91648822269807284</v>
          </cell>
          <cell r="H44">
            <v>0.82565789473684215</v>
          </cell>
        </row>
        <row r="45">
          <cell r="B45" t="str">
            <v>FIN</v>
          </cell>
          <cell r="C45">
            <v>0.99577315956322654</v>
          </cell>
          <cell r="D45">
            <v>0.99030470914127422</v>
          </cell>
          <cell r="E45">
            <v>0.9824442943956786</v>
          </cell>
          <cell r="F45">
            <v>0.96516927083333337</v>
          </cell>
          <cell r="G45">
            <v>0.94254317111459973</v>
          </cell>
          <cell r="H45">
            <v>0.91397524901901606</v>
          </cell>
        </row>
        <row r="46">
          <cell r="B46" t="str">
            <v>FRA</v>
          </cell>
          <cell r="C46">
            <v>0.99736161144654722</v>
          </cell>
          <cell r="D46">
            <v>0.99381065557536141</v>
          </cell>
          <cell r="E46">
            <v>0.98872270272853247</v>
          </cell>
          <cell r="F46">
            <v>0.9775104367733537</v>
          </cell>
          <cell r="G46">
            <v>0.96282229818120435</v>
          </cell>
          <cell r="H46">
            <v>0.94478625014885087</v>
          </cell>
        </row>
        <row r="47">
          <cell r="B47" t="str">
            <v>GAB</v>
          </cell>
          <cell r="C47">
            <v>1</v>
          </cell>
          <cell r="D47">
            <v>1</v>
          </cell>
          <cell r="E47">
            <v>1</v>
          </cell>
          <cell r="F47">
            <v>1.0062893081761006</v>
          </cell>
          <cell r="G47">
            <v>1.0059171597633136</v>
          </cell>
          <cell r="H47">
            <v>0.98901098901098905</v>
          </cell>
        </row>
        <row r="48">
          <cell r="B48" t="str">
            <v>GBR</v>
          </cell>
          <cell r="C48">
            <v>0.99578884934756817</v>
          </cell>
          <cell r="D48">
            <v>0.99027496382054991</v>
          </cell>
          <cell r="E48">
            <v>0.98240125146656243</v>
          </cell>
          <cell r="F48">
            <v>0.96666139157039621</v>
          </cell>
          <cell r="G48">
            <v>0.94758305152178235</v>
          </cell>
          <cell r="H48">
            <v>0.92610306184648572</v>
          </cell>
        </row>
        <row r="49">
          <cell r="B49" t="str">
            <v>GEO</v>
          </cell>
          <cell r="C49">
            <v>1</v>
          </cell>
          <cell r="D49">
            <v>0.989492119089317</v>
          </cell>
          <cell r="E49">
            <v>0.97932816537467704</v>
          </cell>
          <cell r="F49">
            <v>0.95617879053461874</v>
          </cell>
          <cell r="G49">
            <v>0.93601725377426315</v>
          </cell>
          <cell r="H49">
            <v>0.91174518911745195</v>
          </cell>
        </row>
        <row r="50">
          <cell r="B50" t="str">
            <v>GHA</v>
          </cell>
          <cell r="C50">
            <v>1.0010928961748633</v>
          </cell>
          <cell r="D50">
            <v>1.0041666666666667</v>
          </cell>
          <cell r="E50">
            <v>1.0087548638132295</v>
          </cell>
          <cell r="F50">
            <v>1.0084889643463497</v>
          </cell>
          <cell r="G50">
            <v>0.97167138810198295</v>
          </cell>
          <cell r="H50">
            <v>0.83937007874015745</v>
          </cell>
        </row>
        <row r="51">
          <cell r="B51" t="str">
            <v>GIN</v>
          </cell>
          <cell r="C51">
            <v>1</v>
          </cell>
          <cell r="D51">
            <v>1</v>
          </cell>
          <cell r="E51">
            <v>0.98305084745762716</v>
          </cell>
          <cell r="F51">
            <v>0.97014925373134331</v>
          </cell>
          <cell r="G51">
            <v>0.92307692307692313</v>
          </cell>
          <cell r="H51">
            <v>0.84042553191489366</v>
          </cell>
        </row>
        <row r="52">
          <cell r="B52" t="str">
            <v>GMB</v>
          </cell>
          <cell r="C52">
            <v>1</v>
          </cell>
          <cell r="D52">
            <v>1.0333333333333334</v>
          </cell>
          <cell r="E52">
            <v>1.0588235294117647</v>
          </cell>
          <cell r="F52">
            <v>1.0476190476190477</v>
          </cell>
          <cell r="G52">
            <v>1.04</v>
          </cell>
          <cell r="H52">
            <v>1.0517241379310345</v>
          </cell>
        </row>
        <row r="53">
          <cell r="B53" t="str">
            <v>GRC</v>
          </cell>
          <cell r="C53">
            <v>0.99826914755517093</v>
          </cell>
          <cell r="D53">
            <v>0.99575191163976207</v>
          </cell>
          <cell r="E53">
            <v>0.99255583126550873</v>
          </cell>
          <cell r="F53">
            <v>0.98355520751761938</v>
          </cell>
          <cell r="G53">
            <v>0.97077321494635593</v>
          </cell>
          <cell r="H53">
            <v>0.95405121010171867</v>
          </cell>
        </row>
        <row r="54">
          <cell r="B54" t="str">
            <v>GTM</v>
          </cell>
          <cell r="C54">
            <v>1.01171875</v>
          </cell>
          <cell r="D54">
            <v>1.0277777777777777</v>
          </cell>
          <cell r="E54">
            <v>1.0462328767123288</v>
          </cell>
          <cell r="F54">
            <v>1.0787878787878789</v>
          </cell>
          <cell r="G54">
            <v>1.10752688172043</v>
          </cell>
          <cell r="H54">
            <v>1.1276849642004774</v>
          </cell>
        </row>
        <row r="55">
          <cell r="B55" t="str">
            <v>GUY</v>
          </cell>
          <cell r="C55">
            <v>1</v>
          </cell>
          <cell r="D55">
            <v>1</v>
          </cell>
          <cell r="E55">
            <v>1</v>
          </cell>
          <cell r="F55">
            <v>0.97368421052631582</v>
          </cell>
          <cell r="G55">
            <v>0.90566037735849059</v>
          </cell>
          <cell r="H55">
            <v>0.86585365853658536</v>
          </cell>
        </row>
        <row r="56">
          <cell r="B56" t="str">
            <v>HND</v>
          </cell>
          <cell r="C56">
            <v>1.0077519379844961</v>
          </cell>
          <cell r="D56">
            <v>1.0147783251231528</v>
          </cell>
          <cell r="E56">
            <v>1.0230946882217089</v>
          </cell>
          <cell r="F56">
            <v>1.0352697095435686</v>
          </cell>
          <cell r="G56">
            <v>1.0429104477611941</v>
          </cell>
          <cell r="H56">
            <v>1.0435510887772195</v>
          </cell>
        </row>
        <row r="57">
          <cell r="B57" t="str">
            <v>HRV</v>
          </cell>
          <cell r="C57">
            <v>0.99811853245531512</v>
          </cell>
          <cell r="D57">
            <v>0.99538319482917825</v>
          </cell>
          <cell r="E57">
            <v>0.99101527403414191</v>
          </cell>
          <cell r="F57">
            <v>0.97855917667238423</v>
          </cell>
          <cell r="G57">
            <v>0.96141215106732347</v>
          </cell>
          <cell r="H57">
            <v>0.94006309148264988</v>
          </cell>
        </row>
        <row r="58">
          <cell r="B58" t="str">
            <v>HTI</v>
          </cell>
          <cell r="C58">
            <v>0.98529411764705888</v>
          </cell>
          <cell r="D58">
            <v>0.95890410958904115</v>
          </cell>
          <cell r="E58">
            <v>0.91463414634146345</v>
          </cell>
          <cell r="F58">
            <v>0.70542635658914721</v>
          </cell>
          <cell r="G58">
            <v>0.36857142857142855</v>
          </cell>
          <cell r="H58">
            <v>0.15775401069518713</v>
          </cell>
        </row>
        <row r="59">
          <cell r="B59" t="str">
            <v>HUN</v>
          </cell>
          <cell r="C59">
            <v>0.99847560975609762</v>
          </cell>
          <cell r="D59">
            <v>0.99596977329974812</v>
          </cell>
          <cell r="E59">
            <v>0.99203980099502487</v>
          </cell>
          <cell r="F59">
            <v>0.98293515358361772</v>
          </cell>
          <cell r="G59">
            <v>0.97082735533237685</v>
          </cell>
          <cell r="H59">
            <v>0.95486600846262337</v>
          </cell>
        </row>
        <row r="60">
          <cell r="B60" t="str">
            <v>IDN</v>
          </cell>
          <cell r="C60">
            <v>0.99621890547263681</v>
          </cell>
          <cell r="D60">
            <v>0.98782543547480806</v>
          </cell>
          <cell r="E60">
            <v>0.97693631669535286</v>
          </cell>
          <cell r="F60">
            <v>0.94248554913294802</v>
          </cell>
          <cell r="G60">
            <v>0.89517372228151315</v>
          </cell>
          <cell r="H60">
            <v>0.83440697233800676</v>
          </cell>
        </row>
        <row r="61">
          <cell r="B61" t="str">
            <v>IND</v>
          </cell>
          <cell r="C61">
            <v>0.99426011479770404</v>
          </cell>
          <cell r="D61">
            <v>0.97903935661590091</v>
          </cell>
          <cell r="E61">
            <v>0.96102385107620714</v>
          </cell>
          <cell r="F61">
            <v>0.90162119249571715</v>
          </cell>
          <cell r="G61">
            <v>0.8277084010336877</v>
          </cell>
          <cell r="H61">
            <v>0.74678023617295053</v>
          </cell>
        </row>
        <row r="62">
          <cell r="B62" t="str">
            <v>IRL</v>
          </cell>
          <cell r="C62">
            <v>0.99605263157894741</v>
          </cell>
          <cell r="D62">
            <v>0.99112801013941698</v>
          </cell>
          <cell r="E62">
            <v>0.98319327731092432</v>
          </cell>
          <cell r="F62">
            <v>0.9680264608599779</v>
          </cell>
          <cell r="G62">
            <v>0.94903160040774726</v>
          </cell>
          <cell r="H62">
            <v>0.9285714285714286</v>
          </cell>
        </row>
        <row r="63">
          <cell r="B63" t="str">
            <v>IRN</v>
          </cell>
          <cell r="C63">
            <v>0.99693526685603229</v>
          </cell>
          <cell r="D63">
            <v>0.99253027775763292</v>
          </cell>
          <cell r="E63">
            <v>0.9862557267805081</v>
          </cell>
          <cell r="F63">
            <v>0.96894409937888204</v>
          </cell>
          <cell r="G63">
            <v>0.94388185654008439</v>
          </cell>
          <cell r="H63">
            <v>0.91337428845178381</v>
          </cell>
        </row>
        <row r="64">
          <cell r="B64" t="str">
            <v>IRQ</v>
          </cell>
          <cell r="C64">
            <v>0.99402650737352993</v>
          </cell>
          <cell r="D64">
            <v>0.9692798388450562</v>
          </cell>
          <cell r="E64">
            <v>0.94020708764765937</v>
          </cell>
          <cell r="F64">
            <v>0.80909829406986189</v>
          </cell>
          <cell r="G64">
            <v>0.63554082478169416</v>
          </cell>
          <cell r="H64">
            <v>0.50212481309514434</v>
          </cell>
        </row>
        <row r="65">
          <cell r="B65" t="str">
            <v>ISL</v>
          </cell>
          <cell r="C65">
            <v>1</v>
          </cell>
          <cell r="D65">
            <v>1</v>
          </cell>
          <cell r="E65">
            <v>0.9910714285714286</v>
          </cell>
          <cell r="F65">
            <v>0.9838709677419355</v>
          </cell>
          <cell r="G65">
            <v>0.96402877697841727</v>
          </cell>
          <cell r="H65">
            <v>0.95541401273885351</v>
          </cell>
        </row>
        <row r="66">
          <cell r="B66" t="str">
            <v>ISR</v>
          </cell>
          <cell r="C66">
            <v>0.99357503441945849</v>
          </cell>
          <cell r="D66">
            <v>0.98531317494600434</v>
          </cell>
          <cell r="E66">
            <v>0.97499007542675664</v>
          </cell>
          <cell r="F66">
            <v>0.95224817009410945</v>
          </cell>
          <cell r="G66">
            <v>0.92355307954193744</v>
          </cell>
          <cell r="H66">
            <v>0.89275766016713087</v>
          </cell>
        </row>
        <row r="67">
          <cell r="B67" t="str">
            <v>ITA</v>
          </cell>
          <cell r="C67">
            <v>0.99851524726843566</v>
          </cell>
          <cell r="D67">
            <v>0.99625131204078576</v>
          </cell>
          <cell r="E67">
            <v>0.99296445584463178</v>
          </cell>
          <cell r="F67">
            <v>0.98492303366837708</v>
          </cell>
          <cell r="G67">
            <v>0.97423046967593374</v>
          </cell>
          <cell r="H67">
            <v>0.95958364900029647</v>
          </cell>
        </row>
        <row r="68">
          <cell r="B68" t="str">
            <v>JAM</v>
          </cell>
          <cell r="C68">
            <v>0.9942196531791907</v>
          </cell>
          <cell r="D68">
            <v>0.98305084745762716</v>
          </cell>
          <cell r="E68">
            <v>0.97252747252747251</v>
          </cell>
          <cell r="F68">
            <v>0.94270833333333337</v>
          </cell>
          <cell r="G68">
            <v>0.91542288557213936</v>
          </cell>
          <cell r="H68">
            <v>0.88095238095238093</v>
          </cell>
        </row>
        <row r="69">
          <cell r="B69" t="str">
            <v>JOR</v>
          </cell>
          <cell r="C69">
            <v>1.0043440486533448</v>
          </cell>
          <cell r="D69">
            <v>1.0088566827697263</v>
          </cell>
          <cell r="E69">
            <v>1.0152505446623095</v>
          </cell>
          <cell r="F69">
            <v>1.0194765672550212</v>
          </cell>
          <cell r="G69">
            <v>1.0267489711934157</v>
          </cell>
          <cell r="H69">
            <v>1.0373462214411249</v>
          </cell>
        </row>
        <row r="70">
          <cell r="B70" t="str">
            <v>JPN</v>
          </cell>
          <cell r="C70">
            <v>0.99792546491812995</v>
          </cell>
          <cell r="D70">
            <v>0.99792546491812995</v>
          </cell>
          <cell r="E70">
            <v>0.99792546491812995</v>
          </cell>
          <cell r="F70">
            <v>0.99792546491812995</v>
          </cell>
          <cell r="G70">
            <v>0.99792546491812995</v>
          </cell>
          <cell r="H70">
            <v>0.99792546491812995</v>
          </cell>
        </row>
        <row r="71">
          <cell r="B71" t="str">
            <v>KAZ</v>
          </cell>
          <cell r="C71">
            <v>0.99933020763563296</v>
          </cell>
          <cell r="D71">
            <v>0.99562089458867686</v>
          </cell>
          <cell r="E71">
            <v>0.99117814456459874</v>
          </cell>
          <cell r="F71">
            <v>0.97543524922489866</v>
          </cell>
          <cell r="G71">
            <v>0.95478881618084477</v>
          </cell>
          <cell r="H71">
            <v>0.92725477287689273</v>
          </cell>
        </row>
        <row r="72">
          <cell r="B72" t="str">
            <v>KEN</v>
          </cell>
          <cell r="C72">
            <v>1.0062111801242235</v>
          </cell>
          <cell r="D72">
            <v>1.0116279069767442</v>
          </cell>
          <cell r="E72">
            <v>1.0239361702127661</v>
          </cell>
          <cell r="F72">
            <v>1.0066371681415929</v>
          </cell>
          <cell r="G72">
            <v>0.89500000000000002</v>
          </cell>
          <cell r="H72">
            <v>0.5977653631284916</v>
          </cell>
        </row>
        <row r="73">
          <cell r="B73" t="str">
            <v>KGZ</v>
          </cell>
          <cell r="C73">
            <v>1</v>
          </cell>
          <cell r="D73">
            <v>0.96938775510204078</v>
          </cell>
          <cell r="E73">
            <v>0.95325389550870765</v>
          </cell>
          <cell r="F73">
            <v>0.89652753419852682</v>
          </cell>
          <cell r="G73">
            <v>0.88069241011984023</v>
          </cell>
          <cell r="H73">
            <v>0.85493670886075945</v>
          </cell>
        </row>
        <row r="74">
          <cell r="B74" t="str">
            <v>KHM</v>
          </cell>
          <cell r="C74">
            <v>1</v>
          </cell>
          <cell r="D74">
            <v>0.99038461538461542</v>
          </cell>
          <cell r="E74">
            <v>0.97619047619047616</v>
          </cell>
          <cell r="F74">
            <v>0.87346938775510208</v>
          </cell>
          <cell r="G74">
            <v>0.73170731707317072</v>
          </cell>
          <cell r="H74">
            <v>0.61796331435800123</v>
          </cell>
        </row>
        <row r="75">
          <cell r="B75" t="str">
            <v>KOR</v>
          </cell>
          <cell r="C75">
            <v>0.99851793301057212</v>
          </cell>
          <cell r="D75">
            <v>0.99639130010728572</v>
          </cell>
          <cell r="E75">
            <v>0.99320704171450436</v>
          </cell>
          <cell r="F75">
            <v>0.98658284856445866</v>
          </cell>
          <cell r="G75">
            <v>0.98179271708683469</v>
          </cell>
          <cell r="H75">
            <v>0.98179271708683469</v>
          </cell>
        </row>
        <row r="76">
          <cell r="B76" t="str">
            <v>LAO</v>
          </cell>
          <cell r="C76">
            <v>1</v>
          </cell>
          <cell r="D76">
            <v>0.99180327868852458</v>
          </cell>
          <cell r="E76">
            <v>0.99236641221374045</v>
          </cell>
          <cell r="F76">
            <v>0.97333333333333338</v>
          </cell>
          <cell r="G76">
            <v>0.95375722543352603</v>
          </cell>
          <cell r="H76">
            <v>0.92079207920792083</v>
          </cell>
        </row>
        <row r="77">
          <cell r="B77" t="str">
            <v>LBN</v>
          </cell>
          <cell r="C77">
            <v>0.99573863636363635</v>
          </cell>
          <cell r="D77">
            <v>0.98637602179836514</v>
          </cell>
          <cell r="E77">
            <v>0.97683397683397688</v>
          </cell>
          <cell r="F77">
            <v>0.95271867612293148</v>
          </cell>
          <cell r="G77">
            <v>0.92392502756339578</v>
          </cell>
          <cell r="H77">
            <v>0.88958333333333339</v>
          </cell>
        </row>
        <row r="78">
          <cell r="B78" t="str">
            <v>LBR</v>
          </cell>
          <cell r="C78">
            <v>1</v>
          </cell>
          <cell r="D78">
            <v>1</v>
          </cell>
          <cell r="E78">
            <v>1</v>
          </cell>
          <cell r="F78">
            <v>0.8214285714285714</v>
          </cell>
          <cell r="G78">
            <v>0.30097087378640774</v>
          </cell>
          <cell r="H78">
            <v>5.0730868443680133E-2</v>
          </cell>
        </row>
        <row r="79">
          <cell r="B79" t="str">
            <v>LBY</v>
          </cell>
          <cell r="C79">
            <v>0.99472494348153728</v>
          </cell>
          <cell r="D79">
            <v>0.98769007965242572</v>
          </cell>
          <cell r="E79">
            <v>0.97878891549777625</v>
          </cell>
          <cell r="F79">
            <v>0.9558457711442786</v>
          </cell>
          <cell r="G79">
            <v>0.92268765813888109</v>
          </cell>
          <cell r="H79">
            <v>0.88346537183746487</v>
          </cell>
        </row>
        <row r="80">
          <cell r="B80" t="str">
            <v>LKA</v>
          </cell>
          <cell r="C80">
            <v>0.99685534591194969</v>
          </cell>
          <cell r="D80">
            <v>0.98776758409785936</v>
          </cell>
          <cell r="E80">
            <v>0.97935103244837762</v>
          </cell>
          <cell r="F80">
            <v>0.95833333333333337</v>
          </cell>
          <cell r="G80">
            <v>0.93229166666666663</v>
          </cell>
          <cell r="H80">
            <v>0.89156626506024095</v>
          </cell>
        </row>
        <row r="81">
          <cell r="B81" t="str">
            <v>LSO</v>
          </cell>
          <cell r="C81">
            <v>1</v>
          </cell>
          <cell r="D81">
            <v>1</v>
          </cell>
          <cell r="E81">
            <v>0.97777777777777775</v>
          </cell>
          <cell r="F81">
            <v>0.94117647058823528</v>
          </cell>
          <cell r="G81">
            <v>0.8666666666666667</v>
          </cell>
          <cell r="H81">
            <v>0.77631578947368418</v>
          </cell>
        </row>
        <row r="82">
          <cell r="B82" t="str">
            <v>LTU</v>
          </cell>
          <cell r="C82">
            <v>0.99831081081081086</v>
          </cell>
          <cell r="D82">
            <v>0.99505766062602963</v>
          </cell>
          <cell r="E82">
            <v>0.99046104928457868</v>
          </cell>
          <cell r="F82">
            <v>0.98056801195814647</v>
          </cell>
          <cell r="G82">
            <v>0.96905766526019688</v>
          </cell>
          <cell r="H82">
            <v>0.95086321381142103</v>
          </cell>
        </row>
        <row r="83">
          <cell r="B83" t="str">
            <v>LUX</v>
          </cell>
          <cell r="C83">
            <v>0.9978213507625272</v>
          </cell>
          <cell r="D83">
            <v>0.99789915966386555</v>
          </cell>
          <cell r="E83">
            <v>0.99403578528827041</v>
          </cell>
          <cell r="F83">
            <v>0.9874326750448833</v>
          </cell>
          <cell r="G83">
            <v>0.97427652733118975</v>
          </cell>
          <cell r="H83">
            <v>0.95965417867435154</v>
          </cell>
        </row>
        <row r="84">
          <cell r="B84" t="str">
            <v>LVA</v>
          </cell>
          <cell r="C84">
            <v>0.99706744868035191</v>
          </cell>
          <cell r="D84">
            <v>0.9942196531791907</v>
          </cell>
          <cell r="E84">
            <v>0.98866855524079322</v>
          </cell>
          <cell r="F84">
            <v>0.97554347826086951</v>
          </cell>
          <cell r="G84">
            <v>0.95844155844155843</v>
          </cell>
          <cell r="H84">
            <v>0.94014962593516205</v>
          </cell>
        </row>
        <row r="85">
          <cell r="B85" t="str">
            <v>MAR</v>
          </cell>
          <cell r="C85">
            <v>0.99700726806327489</v>
          </cell>
          <cell r="D85">
            <v>0.99172185430463577</v>
          </cell>
          <cell r="E85">
            <v>0.98420221169036337</v>
          </cell>
          <cell r="F85">
            <v>0.95879613041920453</v>
          </cell>
          <cell r="G85">
            <v>0.91874802402782163</v>
          </cell>
          <cell r="H85">
            <v>0.86117078410311487</v>
          </cell>
        </row>
        <row r="86">
          <cell r="B86" t="str">
            <v>MDA</v>
          </cell>
          <cell r="C86">
            <v>1.0036764705882353</v>
          </cell>
          <cell r="D86">
            <v>0.98198198198198194</v>
          </cell>
          <cell r="E86">
            <v>0.97146932952924392</v>
          </cell>
          <cell r="F86">
            <v>0.94548413344182258</v>
          </cell>
          <cell r="G86">
            <v>0.9315589353612167</v>
          </cell>
          <cell r="H86">
            <v>0.9315589353612167</v>
          </cell>
        </row>
        <row r="87">
          <cell r="B87" t="str">
            <v>MDG</v>
          </cell>
          <cell r="C87">
            <v>1</v>
          </cell>
          <cell r="D87">
            <v>1.0204081632653061</v>
          </cell>
          <cell r="E87">
            <v>1.037037037037037</v>
          </cell>
          <cell r="F87">
            <v>1.0546875</v>
          </cell>
          <cell r="G87">
            <v>1.0733333333333333</v>
          </cell>
          <cell r="H87">
            <v>1.0971428571428572</v>
          </cell>
        </row>
        <row r="88">
          <cell r="B88" t="str">
            <v>MEX</v>
          </cell>
          <cell r="C88">
            <v>0.99600980049002452</v>
          </cell>
          <cell r="D88">
            <v>0.99038656827567528</v>
          </cell>
          <cell r="E88">
            <v>0.98264516129032253</v>
          </cell>
          <cell r="F88">
            <v>0.96302470973504017</v>
          </cell>
          <cell r="G88">
            <v>0.93620859298130532</v>
          </cell>
          <cell r="H88">
            <v>0.9064687484485926</v>
          </cell>
        </row>
        <row r="89">
          <cell r="B89" t="str">
            <v>MKD</v>
          </cell>
          <cell r="C89">
            <v>0.99647887323943662</v>
          </cell>
          <cell r="D89">
            <v>0.99317406143344711</v>
          </cell>
          <cell r="E89">
            <v>0.98692810457516345</v>
          </cell>
          <cell r="F89">
            <v>0.97297297297297303</v>
          </cell>
          <cell r="G89">
            <v>0.95316804407713496</v>
          </cell>
          <cell r="H89">
            <v>0.92893401015228427</v>
          </cell>
        </row>
        <row r="90">
          <cell r="B90" t="str">
            <v>MLI</v>
          </cell>
          <cell r="C90">
            <v>1</v>
          </cell>
          <cell r="D90">
            <v>0.99465240641711228</v>
          </cell>
          <cell r="E90">
            <v>0.9856459330143541</v>
          </cell>
          <cell r="F90">
            <v>0.93939393939393945</v>
          </cell>
          <cell r="G90">
            <v>0.88823529411764701</v>
          </cell>
          <cell r="H90">
            <v>0.82471910112359548</v>
          </cell>
        </row>
        <row r="91">
          <cell r="B91" t="str">
            <v>MLT</v>
          </cell>
          <cell r="C91">
            <v>1</v>
          </cell>
          <cell r="D91">
            <v>1</v>
          </cell>
          <cell r="E91">
            <v>0.99193548387096775</v>
          </cell>
          <cell r="F91">
            <v>0.97761194029850751</v>
          </cell>
          <cell r="G91">
            <v>0.96666666666666667</v>
          </cell>
          <cell r="H91">
            <v>0.94736842105263164</v>
          </cell>
        </row>
        <row r="92">
          <cell r="B92" t="str">
            <v>MNG</v>
          </cell>
          <cell r="C92">
            <v>1</v>
          </cell>
          <cell r="D92">
            <v>1</v>
          </cell>
          <cell r="E92">
            <v>0.99382716049382713</v>
          </cell>
          <cell r="F92">
            <v>0.97</v>
          </cell>
          <cell r="G92">
            <v>0.92526690391459077</v>
          </cell>
          <cell r="H92">
            <v>0.8613445378151261</v>
          </cell>
        </row>
        <row r="93">
          <cell r="B93" t="str">
            <v>MOZ</v>
          </cell>
          <cell r="C93">
            <v>0.99268292682926829</v>
          </cell>
          <cell r="D93">
            <v>0.98398169336384445</v>
          </cell>
          <cell r="E93">
            <v>0.96659707724425892</v>
          </cell>
          <cell r="F93">
            <v>0.91722972972972971</v>
          </cell>
          <cell r="G93">
            <v>0.83994878361075542</v>
          </cell>
          <cell r="H93">
            <v>0.7368896925858951</v>
          </cell>
        </row>
        <row r="94">
          <cell r="B94" t="str">
            <v>MRT</v>
          </cell>
          <cell r="C94">
            <v>1</v>
          </cell>
          <cell r="D94">
            <v>1.0105263157894737</v>
          </cell>
          <cell r="E94">
            <v>1</v>
          </cell>
          <cell r="F94">
            <v>0.99145299145299148</v>
          </cell>
          <cell r="G94">
            <v>0.96350364963503654</v>
          </cell>
          <cell r="H94">
            <v>0.91616766467065869</v>
          </cell>
        </row>
        <row r="95">
          <cell r="B95" t="str">
            <v>MWI</v>
          </cell>
          <cell r="C95">
            <v>1.0084033613445378</v>
          </cell>
          <cell r="D95">
            <v>1.0225563909774436</v>
          </cell>
          <cell r="E95">
            <v>1.0324675324675325</v>
          </cell>
          <cell r="F95">
            <v>1.0659898477157361</v>
          </cell>
          <cell r="G95">
            <v>1.1052631578947367</v>
          </cell>
          <cell r="H95">
            <v>1.130718954248366</v>
          </cell>
        </row>
        <row r="96">
          <cell r="B96" t="str">
            <v>MYS</v>
          </cell>
          <cell r="C96">
            <v>0.99579411175645904</v>
          </cell>
          <cell r="D96">
            <v>0.98963929393706829</v>
          </cell>
          <cell r="E96">
            <v>0.98105035192203571</v>
          </cell>
          <cell r="F96">
            <v>0.95947265625</v>
          </cell>
          <cell r="G96">
            <v>0.93221338048924252</v>
          </cell>
          <cell r="H96">
            <v>0.9017317760773258</v>
          </cell>
        </row>
        <row r="97">
          <cell r="B97" t="str">
            <v>NAM</v>
          </cell>
          <cell r="C97">
            <v>1.004566210045662</v>
          </cell>
          <cell r="D97">
            <v>1.0043668122270741</v>
          </cell>
          <cell r="E97">
            <v>1.0082304526748971</v>
          </cell>
          <cell r="F97">
            <v>1.0150943396226415</v>
          </cell>
          <cell r="G97">
            <v>1.0138888888888888</v>
          </cell>
          <cell r="H97">
            <v>1.0096153846153846</v>
          </cell>
        </row>
        <row r="98">
          <cell r="B98" t="str">
            <v>NER</v>
          </cell>
          <cell r="C98">
            <v>1.010204081632653</v>
          </cell>
          <cell r="D98">
            <v>1.0283018867924529</v>
          </cell>
          <cell r="E98">
            <v>1.0336134453781514</v>
          </cell>
          <cell r="F98">
            <v>1.08843537414966</v>
          </cell>
          <cell r="G98">
            <v>1.1297297297297297</v>
          </cell>
          <cell r="H98">
            <v>1.1218487394957983</v>
          </cell>
        </row>
        <row r="99">
          <cell r="B99" t="str">
            <v>NGA</v>
          </cell>
          <cell r="C99">
            <v>1.0031259768677712</v>
          </cell>
          <cell r="D99">
            <v>1.0046016681046879</v>
          </cell>
          <cell r="E99">
            <v>1.0064201335387777</v>
          </cell>
          <cell r="F99">
            <v>0.97948098974049491</v>
          </cell>
          <cell r="G99">
            <v>0.84960531782301618</v>
          </cell>
          <cell r="H99">
            <v>0.54280646701684976</v>
          </cell>
        </row>
        <row r="100">
          <cell r="B100" t="str">
            <v>NIC</v>
          </cell>
          <cell r="C100">
            <v>1</v>
          </cell>
          <cell r="D100">
            <v>0.99408284023668636</v>
          </cell>
          <cell r="E100">
            <v>0.98870056497175141</v>
          </cell>
          <cell r="F100">
            <v>0.96969696969696972</v>
          </cell>
          <cell r="G100">
            <v>0.92796610169491522</v>
          </cell>
          <cell r="H100">
            <v>0.85126582278481011</v>
          </cell>
        </row>
        <row r="101">
          <cell r="B101" t="str">
            <v>NLD</v>
          </cell>
          <cell r="C101">
            <v>0.99696048632218848</v>
          </cell>
          <cell r="D101">
            <v>0.99297999297999295</v>
          </cell>
          <cell r="E101">
            <v>0.98719262295081966</v>
          </cell>
          <cell r="F101">
            <v>0.97461513265640354</v>
          </cell>
          <cell r="G101">
            <v>0.9585631006774854</v>
          </cell>
          <cell r="H101">
            <v>0.93838934302149557</v>
          </cell>
        </row>
        <row r="102">
          <cell r="B102" t="str">
            <v>NOR</v>
          </cell>
          <cell r="C102">
            <v>0.99758687258687262</v>
          </cell>
          <cell r="D102">
            <v>0.99487418452935694</v>
          </cell>
          <cell r="E102">
            <v>0.99069561364643333</v>
          </cell>
          <cell r="F102">
            <v>0.98254161591555012</v>
          </cell>
          <cell r="G102">
            <v>0.97512991833704532</v>
          </cell>
          <cell r="H102">
            <v>0.96791624451198921</v>
          </cell>
        </row>
        <row r="103">
          <cell r="B103" t="str">
            <v>NPL</v>
          </cell>
          <cell r="C103">
            <v>1.010752688172043</v>
          </cell>
          <cell r="D103">
            <v>1.0306122448979591</v>
          </cell>
          <cell r="E103">
            <v>1.0566037735849056</v>
          </cell>
          <cell r="F103">
            <v>1.0833333333333333</v>
          </cell>
          <cell r="G103">
            <v>1.1185185185185185</v>
          </cell>
          <cell r="H103">
            <v>1.1390728476821192</v>
          </cell>
        </row>
        <row r="104">
          <cell r="B104" t="str">
            <v>NZL</v>
          </cell>
          <cell r="C104">
            <v>0.99640718562874253</v>
          </cell>
          <cell r="D104">
            <v>0.991907514450867</v>
          </cell>
          <cell r="E104">
            <v>0.98569856985698567</v>
          </cell>
          <cell r="F104">
            <v>0.97344228804902966</v>
          </cell>
          <cell r="G104">
            <v>0.95710200190657768</v>
          </cell>
          <cell r="H104">
            <v>0.93917710196779969</v>
          </cell>
        </row>
        <row r="105">
          <cell r="B105" t="str">
            <v>OMN</v>
          </cell>
          <cell r="C105">
            <v>0.99187432286023836</v>
          </cell>
          <cell r="D105">
            <v>0.98382045929018791</v>
          </cell>
          <cell r="E105">
            <v>0.97277227722772275</v>
          </cell>
          <cell r="F105">
            <v>0.94763205828779595</v>
          </cell>
          <cell r="G105">
            <v>0.91898734177215191</v>
          </cell>
          <cell r="H105">
            <v>0.88709677419354838</v>
          </cell>
        </row>
        <row r="106">
          <cell r="B106" t="str">
            <v>PAK</v>
          </cell>
          <cell r="C106">
            <v>1.0102516309412861</v>
          </cell>
          <cell r="D106">
            <v>1.0223827987310539</v>
          </cell>
          <cell r="E106">
            <v>1.0386245110821382</v>
          </cell>
          <cell r="F106">
            <v>1.0656426604839879</v>
          </cell>
          <cell r="G106">
            <v>1.0953183763454806</v>
          </cell>
          <cell r="H106">
            <v>1.1172075647910342</v>
          </cell>
        </row>
        <row r="107">
          <cell r="B107" t="str">
            <v>PAN</v>
          </cell>
          <cell r="C107">
            <v>0.99679487179487181</v>
          </cell>
          <cell r="D107">
            <v>0.99382716049382713</v>
          </cell>
          <cell r="E107">
            <v>0.98250728862973757</v>
          </cell>
          <cell r="F107">
            <v>0.96782841823056298</v>
          </cell>
          <cell r="G107">
            <v>0.94074074074074077</v>
          </cell>
          <cell r="H107">
            <v>0.91116173120728927</v>
          </cell>
        </row>
        <row r="108">
          <cell r="B108" t="str">
            <v>PER</v>
          </cell>
          <cell r="C108">
            <v>0.99620390455531449</v>
          </cell>
          <cell r="D108">
            <v>0.99052132701421802</v>
          </cell>
          <cell r="E108">
            <v>0.98234106962663981</v>
          </cell>
          <cell r="F108">
            <v>0.96086751532296089</v>
          </cell>
          <cell r="G108">
            <v>0.93342151675485008</v>
          </cell>
          <cell r="H108">
            <v>0.90366405928365579</v>
          </cell>
        </row>
        <row r="109">
          <cell r="B109" t="str">
            <v>PHL</v>
          </cell>
          <cell r="C109">
            <v>1.0085870413739266</v>
          </cell>
          <cell r="D109">
            <v>1.0192307692307692</v>
          </cell>
          <cell r="E109">
            <v>1.0322138450993832</v>
          </cell>
          <cell r="F109">
            <v>1.0517661388550548</v>
          </cell>
          <cell r="G109">
            <v>1.0709219858156029</v>
          </cell>
          <cell r="H109">
            <v>1.083741429970617</v>
          </cell>
        </row>
        <row r="110">
          <cell r="B110" t="str">
            <v>PNG</v>
          </cell>
          <cell r="C110">
            <v>1.0169491525423728</v>
          </cell>
          <cell r="D110">
            <v>1.0153846153846153</v>
          </cell>
          <cell r="E110">
            <v>1.0416666666666667</v>
          </cell>
          <cell r="F110">
            <v>1.0459770114942528</v>
          </cell>
          <cell r="G110">
            <v>1.0490196078431373</v>
          </cell>
          <cell r="H110">
            <v>1.0413223140495869</v>
          </cell>
        </row>
        <row r="111">
          <cell r="B111" t="str">
            <v>POL</v>
          </cell>
          <cell r="C111">
            <v>0.99886724059809695</v>
          </cell>
          <cell r="D111">
            <v>0.9969986660738106</v>
          </cell>
          <cell r="E111">
            <v>0.99426965077305651</v>
          </cell>
          <cell r="F111">
            <v>0.98781123033649343</v>
          </cell>
          <cell r="G111">
            <v>0.97770829130522496</v>
          </cell>
          <cell r="H111">
            <v>0.96435235195914759</v>
          </cell>
        </row>
        <row r="112">
          <cell r="B112" t="str">
            <v>PRT</v>
          </cell>
          <cell r="C112">
            <v>0.9981338309784058</v>
          </cell>
          <cell r="D112">
            <v>0.99581589958159</v>
          </cell>
          <cell r="E112">
            <v>0.99262649377065848</v>
          </cell>
          <cell r="F112">
            <v>0.98389810141792844</v>
          </cell>
          <cell r="G112">
            <v>0.9707283866575902</v>
          </cell>
          <cell r="H112">
            <v>0.95346833261525199</v>
          </cell>
        </row>
        <row r="113">
          <cell r="B113" t="str">
            <v>PRY</v>
          </cell>
          <cell r="C113">
            <v>1.0038265306122449</v>
          </cell>
          <cell r="D113">
            <v>1.0098280098280099</v>
          </cell>
          <cell r="E113">
            <v>1.0186263096623982</v>
          </cell>
          <cell r="F113">
            <v>1.0265392781316349</v>
          </cell>
          <cell r="G113">
            <v>1.0201342281879195</v>
          </cell>
          <cell r="H113">
            <v>0.97491638795986624</v>
          </cell>
        </row>
        <row r="114">
          <cell r="B114" t="str">
            <v>ROU</v>
          </cell>
          <cell r="C114">
            <v>0.99865651589789517</v>
          </cell>
          <cell r="D114">
            <v>0.99565028273162248</v>
          </cell>
          <cell r="E114">
            <v>0.99124270225187661</v>
          </cell>
          <cell r="F114">
            <v>0.97789841023652579</v>
          </cell>
          <cell r="G114">
            <v>0.96081277213352689</v>
          </cell>
          <cell r="H114">
            <v>0.93960192175703505</v>
          </cell>
        </row>
        <row r="115">
          <cell r="B115" t="str">
            <v>RUS</v>
          </cell>
          <cell r="C115">
            <v>0.99967822379535032</v>
          </cell>
          <cell r="D115">
            <v>0.99835973140601775</v>
          </cell>
          <cell r="E115">
            <v>0.9965870307167235</v>
          </cell>
          <cell r="F115">
            <v>0.98875662784012264</v>
          </cell>
          <cell r="G115">
            <v>0.97570361427601293</v>
          </cell>
          <cell r="H115">
            <v>0.95301245371928645</v>
          </cell>
        </row>
        <row r="116">
          <cell r="B116" t="str">
            <v>RWA</v>
          </cell>
          <cell r="C116">
            <v>1</v>
          </cell>
          <cell r="D116">
            <v>1</v>
          </cell>
          <cell r="E116">
            <v>1.0185185185185186</v>
          </cell>
          <cell r="F116">
            <v>1</v>
          </cell>
          <cell r="G116">
            <v>0.98611111111111116</v>
          </cell>
          <cell r="H116">
            <v>0.89010989010989006</v>
          </cell>
        </row>
        <row r="117">
          <cell r="B117" t="str">
            <v>SAU</v>
          </cell>
          <cell r="C117">
            <v>1.005686818766502</v>
          </cell>
          <cell r="D117">
            <v>1.0146187532199897</v>
          </cell>
          <cell r="E117">
            <v>1.0264674108750451</v>
          </cell>
          <cell r="F117">
            <v>1.0507374631268436</v>
          </cell>
          <cell r="G117">
            <v>1.0830939979555079</v>
          </cell>
          <cell r="H117">
            <v>1.1217488789237668</v>
          </cell>
        </row>
        <row r="118">
          <cell r="B118" t="str">
            <v>SDN</v>
          </cell>
          <cell r="C118">
            <v>1.0034334763948498</v>
          </cell>
          <cell r="D118">
            <v>1.0088424437299035</v>
          </cell>
          <cell r="E118">
            <v>1.0139296187683284</v>
          </cell>
          <cell r="F118">
            <v>0.99446494464944646</v>
          </cell>
          <cell r="G118">
            <v>0.89784172661870509</v>
          </cell>
          <cell r="H118">
            <v>0.656467737049379</v>
          </cell>
        </row>
        <row r="119">
          <cell r="B119" t="str">
            <v>SEN</v>
          </cell>
          <cell r="C119">
            <v>1.0083333333333333</v>
          </cell>
          <cell r="D119">
            <v>1.0236220472440944</v>
          </cell>
          <cell r="E119">
            <v>1.0398550724637681</v>
          </cell>
          <cell r="F119">
            <v>1.0630914826498423</v>
          </cell>
          <cell r="G119">
            <v>1.0828729281767955</v>
          </cell>
          <cell r="H119">
            <v>1.0942028985507246</v>
          </cell>
        </row>
        <row r="120">
          <cell r="B120" t="str">
            <v>SGP</v>
          </cell>
          <cell r="C120">
            <v>0.99420289855072463</v>
          </cell>
          <cell r="D120">
            <v>0.98879551820728295</v>
          </cell>
          <cell r="E120">
            <v>0.97872340425531912</v>
          </cell>
          <cell r="F120">
            <v>0.96</v>
          </cell>
          <cell r="G120">
            <v>0.93493975903614457</v>
          </cell>
          <cell r="H120">
            <v>0.91943127962085303</v>
          </cell>
        </row>
        <row r="121">
          <cell r="B121" t="str">
            <v>SLV</v>
          </cell>
          <cell r="C121">
            <v>0.99588477366255146</v>
          </cell>
          <cell r="D121">
            <v>0.98775510204081629</v>
          </cell>
          <cell r="E121">
            <v>0.97580645161290325</v>
          </cell>
          <cell r="F121">
            <v>0.96799999999999997</v>
          </cell>
          <cell r="G121">
            <v>0.96031746031746035</v>
          </cell>
          <cell r="H121">
            <v>0.952755905511811</v>
          </cell>
        </row>
        <row r="122">
          <cell r="B122" t="str">
            <v>SRB</v>
          </cell>
          <cell r="C122">
            <v>0.99875000000000003</v>
          </cell>
          <cell r="D122">
            <v>0.99476135040745051</v>
          </cell>
          <cell r="E122">
            <v>0.98892405063291144</v>
          </cell>
          <cell r="F122">
            <v>0.96982758620689657</v>
          </cell>
          <cell r="G122">
            <v>0.94428772919605075</v>
          </cell>
          <cell r="H122">
            <v>0.91681415929203536</v>
          </cell>
        </row>
        <row r="123">
          <cell r="B123" t="str">
            <v>SUR</v>
          </cell>
          <cell r="C123">
            <v>1</v>
          </cell>
          <cell r="D123">
            <v>0.99137931034482762</v>
          </cell>
          <cell r="E123">
            <v>0.97674418604651159</v>
          </cell>
          <cell r="F123">
            <v>0.95597484276729561</v>
          </cell>
          <cell r="G123">
            <v>0.91414141414141414</v>
          </cell>
          <cell r="H123">
            <v>0.86776859504132231</v>
          </cell>
        </row>
        <row r="124">
          <cell r="B124" t="str">
            <v>SVK</v>
          </cell>
          <cell r="C124">
            <v>0.99804113614103818</v>
          </cell>
          <cell r="D124">
            <v>0.99517374517374513</v>
          </cell>
          <cell r="E124">
            <v>0.9915094339622641</v>
          </cell>
          <cell r="F124">
            <v>0.98350137488542622</v>
          </cell>
          <cell r="G124">
            <v>0.97328584149599284</v>
          </cell>
          <cell r="H124">
            <v>0.96017316017316012</v>
          </cell>
        </row>
        <row r="125">
          <cell r="B125" t="str">
            <v>SVN</v>
          </cell>
          <cell r="C125">
            <v>1</v>
          </cell>
          <cell r="D125">
            <v>0.99723756906077343</v>
          </cell>
          <cell r="E125">
            <v>0.99732620320855614</v>
          </cell>
          <cell r="F125">
            <v>0.99748743718592969</v>
          </cell>
          <cell r="G125">
            <v>0.99532710280373837</v>
          </cell>
          <cell r="H125">
            <v>0.99568034557235419</v>
          </cell>
        </row>
        <row r="126">
          <cell r="B126" t="str">
            <v>SWE</v>
          </cell>
          <cell r="C126">
            <v>0.99777117384843983</v>
          </cell>
          <cell r="D126">
            <v>0.99545345776501559</v>
          </cell>
          <cell r="E126">
            <v>0.99202915053518559</v>
          </cell>
          <cell r="F126">
            <v>0.98650051921079962</v>
          </cell>
          <cell r="G126">
            <v>0.97976011994002998</v>
          </cell>
          <cell r="H126">
            <v>0.96960537363560029</v>
          </cell>
        </row>
        <row r="127">
          <cell r="B127" t="str">
            <v>SWZ</v>
          </cell>
          <cell r="C127">
            <v>1</v>
          </cell>
          <cell r="D127">
            <v>0.98360655737704916</v>
          </cell>
          <cell r="E127">
            <v>0.984375</v>
          </cell>
          <cell r="F127">
            <v>0.97142857142857142</v>
          </cell>
          <cell r="G127">
            <v>0.97368421052631582</v>
          </cell>
          <cell r="H127">
            <v>0.95180722891566261</v>
          </cell>
        </row>
        <row r="128">
          <cell r="B128" t="str">
            <v>SYR</v>
          </cell>
          <cell r="C128">
            <v>1.0105913503971757</v>
          </cell>
          <cell r="D128">
            <v>1.0236486486486487</v>
          </cell>
          <cell r="E128">
            <v>1.0420969023034155</v>
          </cell>
          <cell r="F128">
            <v>1.0752923976608186</v>
          </cell>
          <cell r="G128">
            <v>1.1193103448275863</v>
          </cell>
          <cell r="H128">
            <v>1.1731658955717119</v>
          </cell>
        </row>
        <row r="129">
          <cell r="B129" t="str">
            <v>TCD</v>
          </cell>
          <cell r="C129">
            <v>0.9838709677419355</v>
          </cell>
          <cell r="D129">
            <v>1</v>
          </cell>
          <cell r="E129">
            <v>1</v>
          </cell>
          <cell r="F129">
            <v>1</v>
          </cell>
          <cell r="G129">
            <v>0.96551724137931039</v>
          </cell>
          <cell r="H129">
            <v>0.86238532110091737</v>
          </cell>
        </row>
        <row r="130">
          <cell r="B130" t="str">
            <v>TGO</v>
          </cell>
          <cell r="C130">
            <v>1</v>
          </cell>
          <cell r="D130">
            <v>1</v>
          </cell>
          <cell r="E130">
            <v>1.0161290322580645</v>
          </cell>
          <cell r="F130">
            <v>1.0294117647058822</v>
          </cell>
          <cell r="G130">
            <v>1.0337837837837838</v>
          </cell>
          <cell r="H130">
            <v>1.03125</v>
          </cell>
        </row>
        <row r="131">
          <cell r="B131" t="str">
            <v>THA</v>
          </cell>
          <cell r="C131">
            <v>0.99710674585046444</v>
          </cell>
          <cell r="D131">
            <v>0.99230541580349219</v>
          </cell>
          <cell r="E131">
            <v>0.98580352072685973</v>
          </cell>
          <cell r="F131">
            <v>0.9672712933753943</v>
          </cell>
          <cell r="G131">
            <v>0.93961991821024782</v>
          </cell>
          <cell r="H131">
            <v>0.90127215396324889</v>
          </cell>
        </row>
        <row r="132">
          <cell r="B132" t="str">
            <v>TJK</v>
          </cell>
          <cell r="C132">
            <v>0.99504950495049505</v>
          </cell>
          <cell r="D132">
            <v>0.8848314606741573</v>
          </cell>
          <cell r="E132">
            <v>0.82623509369676318</v>
          </cell>
          <cell r="F132">
            <v>0.77899343544857769</v>
          </cell>
          <cell r="G132">
            <v>0.95922066153149066</v>
          </cell>
          <cell r="H132">
            <v>1.1000835770998747</v>
          </cell>
        </row>
        <row r="133">
          <cell r="B133" t="str">
            <v>TKM</v>
          </cell>
          <cell r="C133">
            <v>0.9968287526427061</v>
          </cell>
          <cell r="D133">
            <v>0.98944337811900196</v>
          </cell>
          <cell r="E133">
            <v>0.97893850042122998</v>
          </cell>
          <cell r="F133">
            <v>0.94789579158316628</v>
          </cell>
          <cell r="G133">
            <v>0.91230936819172115</v>
          </cell>
          <cell r="H133">
            <v>0.87540378403322561</v>
          </cell>
        </row>
        <row r="134">
          <cell r="B134" t="str">
            <v>TTO</v>
          </cell>
          <cell r="C134">
            <v>0.99846860643185298</v>
          </cell>
          <cell r="D134">
            <v>0.99548872180451131</v>
          </cell>
          <cell r="E134">
            <v>0.98975109809663253</v>
          </cell>
          <cell r="F134">
            <v>0.97289586305278175</v>
          </cell>
          <cell r="G134">
            <v>0.97150997150997154</v>
          </cell>
          <cell r="H134">
            <v>0.97150997150997154</v>
          </cell>
        </row>
        <row r="135">
          <cell r="B135" t="str">
            <v>TUN</v>
          </cell>
          <cell r="C135">
            <v>0.99694423223834994</v>
          </cell>
          <cell r="D135">
            <v>0.99109792284866471</v>
          </cell>
          <cell r="E135">
            <v>0.98365316275764036</v>
          </cell>
          <cell r="F135">
            <v>0.96735509660226515</v>
          </cell>
          <cell r="G135">
            <v>0.94454828660436141</v>
          </cell>
          <cell r="H135">
            <v>0.9170560747663552</v>
          </cell>
        </row>
        <row r="136">
          <cell r="B136" t="str">
            <v>TUR</v>
          </cell>
          <cell r="C136">
            <v>0.9981644640234949</v>
          </cell>
          <cell r="D136">
            <v>0.99418949365587572</v>
          </cell>
          <cell r="E136">
            <v>0.98855394378966455</v>
          </cell>
          <cell r="F136">
            <v>0.97023871034411491</v>
          </cell>
          <cell r="G136">
            <v>0.94260322162562493</v>
          </cell>
          <cell r="H136">
            <v>0.90450304259634884</v>
          </cell>
        </row>
        <row r="137">
          <cell r="B137" t="str">
            <v>TZA</v>
          </cell>
          <cell r="C137">
            <v>1.0137931034482759</v>
          </cell>
          <cell r="D137">
            <v>1.0284810126582278</v>
          </cell>
          <cell r="E137">
            <v>1.0480225988700564</v>
          </cell>
          <cell r="F137">
            <v>1.0855106888361046</v>
          </cell>
          <cell r="G137">
            <v>1.1270491803278688</v>
          </cell>
          <cell r="H137">
            <v>1.1648550724637681</v>
          </cell>
        </row>
        <row r="138">
          <cell r="B138" t="str">
            <v>UGA</v>
          </cell>
          <cell r="C138">
            <v>1.0083333333333333</v>
          </cell>
          <cell r="D138">
            <v>1.0229007633587786</v>
          </cell>
          <cell r="E138">
            <v>1.0476190476190477</v>
          </cell>
          <cell r="F138">
            <v>1.0828729281767955</v>
          </cell>
          <cell r="G138">
            <v>1.1131221719457014</v>
          </cell>
          <cell r="H138">
            <v>1.075</v>
          </cell>
        </row>
        <row r="139">
          <cell r="B139" t="str">
            <v>UKR</v>
          </cell>
          <cell r="C139">
            <v>0.99919791457790252</v>
          </cell>
          <cell r="D139">
            <v>0.99608355091383816</v>
          </cell>
          <cell r="E139">
            <v>0.99223628691983123</v>
          </cell>
          <cell r="F139">
            <v>0.97614503816793896</v>
          </cell>
          <cell r="G139">
            <v>0.95495197085127526</v>
          </cell>
          <cell r="H139">
            <v>0.92783410980177217</v>
          </cell>
        </row>
        <row r="140">
          <cell r="B140" t="str">
            <v>URY</v>
          </cell>
          <cell r="C140">
            <v>0.99644549763033174</v>
          </cell>
          <cell r="D140">
            <v>0.99299883313885651</v>
          </cell>
          <cell r="E140">
            <v>0.98633257403189067</v>
          </cell>
          <cell r="F140">
            <v>0.97139713971397135</v>
          </cell>
          <cell r="G140">
            <v>0.95294117647058818</v>
          </cell>
          <cell r="H140">
            <v>0.93200836820083688</v>
          </cell>
        </row>
        <row r="141">
          <cell r="B141" t="str">
            <v>USA</v>
          </cell>
          <cell r="C141">
            <v>0.99623393885688971</v>
          </cell>
          <cell r="D141">
            <v>0.99122216210844771</v>
          </cell>
          <cell r="E141">
            <v>0.98420888137855778</v>
          </cell>
          <cell r="F141">
            <v>0.96970891615807253</v>
          </cell>
          <cell r="G141">
            <v>0.95123570673129365</v>
          </cell>
          <cell r="H141">
            <v>0.9289873469184935</v>
          </cell>
        </row>
        <row r="142">
          <cell r="B142" t="str">
            <v>UZB</v>
          </cell>
          <cell r="C142">
            <v>0.99277978339350181</v>
          </cell>
          <cell r="D142">
            <v>0.97996070726915518</v>
          </cell>
          <cell r="E142">
            <v>0.96608495225551527</v>
          </cell>
          <cell r="F142">
            <v>0.8922619047619047</v>
          </cell>
          <cell r="G142">
            <v>0.85999552939423296</v>
          </cell>
          <cell r="H142">
            <v>0.84774121583937534</v>
          </cell>
        </row>
        <row r="143">
          <cell r="B143" t="str">
            <v>VEN</v>
          </cell>
          <cell r="C143">
            <v>0.9973966309341501</v>
          </cell>
          <cell r="D143">
            <v>0.99148436352958447</v>
          </cell>
          <cell r="E143">
            <v>0.98327111848472282</v>
          </cell>
          <cell r="F143">
            <v>0.95931239178827599</v>
          </cell>
          <cell r="G143">
            <v>0.92465307892454462</v>
          </cell>
          <cell r="H143">
            <v>0.87533132254821311</v>
          </cell>
        </row>
        <row r="144">
          <cell r="B144" t="str">
            <v>VNM</v>
          </cell>
          <cell r="C144">
            <v>0.99880763116057236</v>
          </cell>
          <cell r="D144">
            <v>0.99073744210901316</v>
          </cell>
          <cell r="E144">
            <v>0.9818069688559975</v>
          </cell>
          <cell r="F144">
            <v>0.94754021916530662</v>
          </cell>
          <cell r="G144">
            <v>0.90643379076813402</v>
          </cell>
          <cell r="H144">
            <v>0.86520593537650814</v>
          </cell>
        </row>
        <row r="145">
          <cell r="B145" t="str">
            <v>YEM</v>
          </cell>
          <cell r="C145">
            <v>1.0069284064665127</v>
          </cell>
          <cell r="D145">
            <v>0.99613899613899615</v>
          </cell>
          <cell r="E145">
            <v>0.98452012383900933</v>
          </cell>
          <cell r="F145">
            <v>0.812254516889238</v>
          </cell>
          <cell r="G145">
            <v>0.60780356542213254</v>
          </cell>
          <cell r="H145">
            <v>0.47904018502457357</v>
          </cell>
        </row>
        <row r="146">
          <cell r="B146" t="str">
            <v>ZAF</v>
          </cell>
          <cell r="C146">
            <v>0.99462788259958068</v>
          </cell>
          <cell r="D146">
            <v>0.98727897214094895</v>
          </cell>
          <cell r="E146">
            <v>0.97708434909800101</v>
          </cell>
          <cell r="F146">
            <v>0.95177982486068469</v>
          </cell>
          <cell r="G146">
            <v>0.91985620638612819</v>
          </cell>
          <cell r="H146">
            <v>0.88425880745584073</v>
          </cell>
        </row>
        <row r="147">
          <cell r="B147" t="str">
            <v>ZMB</v>
          </cell>
          <cell r="C147">
            <v>1.0121317157712304</v>
          </cell>
          <cell r="D147">
            <v>1.0208667736757624</v>
          </cell>
          <cell r="E147">
            <v>1.0346820809248556</v>
          </cell>
          <cell r="F147">
            <v>1.0427553444180522</v>
          </cell>
          <cell r="G147">
            <v>0.9833795013850416</v>
          </cell>
          <cell r="H147">
            <v>0.76238805970149248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aw_output"/>
      <sheetName val="Filling_in"/>
      <sheetName val="Growth-rates-input"/>
      <sheetName val="Growth rates"/>
      <sheetName val="Growth rates raw"/>
      <sheetName val="Final_Figures"/>
      <sheetName val="Sheet10"/>
      <sheetName val="Urban_area_finals"/>
      <sheetName val="Urban_area_urban_sha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>
            <v>643838.73146685481</v>
          </cell>
          <cell r="K2">
            <v>131.84811686603655</v>
          </cell>
          <cell r="L2">
            <v>142.60476986637156</v>
          </cell>
          <cell r="M2">
            <v>153.64253728519782</v>
          </cell>
          <cell r="N2">
            <v>170.19084904002852</v>
          </cell>
          <cell r="O2">
            <v>188.72652410756555</v>
          </cell>
          <cell r="P2">
            <v>196.10551306522117</v>
          </cell>
          <cell r="Q2">
            <v>206.15465632230453</v>
          </cell>
          <cell r="R2">
            <v>217.69631609963457</v>
          </cell>
          <cell r="S2">
            <v>254.86721214990226</v>
          </cell>
          <cell r="T2">
            <v>291.83836270039626</v>
          </cell>
          <cell r="U2">
            <v>357.1878864449605</v>
          </cell>
          <cell r="V2">
            <v>466.79345012610077</v>
          </cell>
          <cell r="W2">
            <v>578.13682645955191</v>
          </cell>
          <cell r="X2">
            <v>609.68642765829202</v>
          </cell>
          <cell r="Y2">
            <v>705.36716324488691</v>
          </cell>
          <cell r="Z2">
            <v>849.26519730547909</v>
          </cell>
          <cell r="AA2">
            <v>893.55538776140497</v>
          </cell>
          <cell r="AB2">
            <v>920.794116494386</v>
          </cell>
          <cell r="AC2">
            <v>935.11602565249541</v>
          </cell>
          <cell r="AD2">
            <v>962.27858482473289</v>
          </cell>
          <cell r="AE2">
            <v>980.45840536899766</v>
          </cell>
          <cell r="AF2">
            <v>997.88307450526486</v>
          </cell>
          <cell r="AG2">
            <v>1016.8153255313974</v>
          </cell>
          <cell r="AH2">
            <v>1037.3452955937446</v>
          </cell>
          <cell r="AI2">
            <v>1059.3364977356441</v>
          </cell>
          <cell r="AJ2">
            <v>1090.3345121948992</v>
          </cell>
          <cell r="AK2">
            <v>1112.2849370050792</v>
          </cell>
          <cell r="AL2">
            <v>1134.9742730522935</v>
          </cell>
          <cell r="AM2">
            <v>1181.2749815745497</v>
          </cell>
          <cell r="AN2">
            <v>1224.1341530874552</v>
          </cell>
          <cell r="AO2">
            <v>1263.8229709212237</v>
          </cell>
          <cell r="AP2">
            <v>1359.6194148430363</v>
          </cell>
          <cell r="AQ2">
            <v>1474.6453890094197</v>
          </cell>
          <cell r="AR2">
            <v>1607.5436839551373</v>
          </cell>
          <cell r="AS2">
            <v>1719.2458326579383</v>
          </cell>
          <cell r="AT2">
            <v>1831.675538021801</v>
          </cell>
          <cell r="AU2">
            <v>1917.35198409337</v>
          </cell>
          <cell r="AV2">
            <v>2045.8666532007235</v>
          </cell>
          <cell r="AW2">
            <v>2321.4751159444609</v>
          </cell>
          <cell r="AX2">
            <v>2708.8660788483639</v>
          </cell>
          <cell r="AY2">
            <v>3376.6761331474831</v>
          </cell>
        </row>
        <row r="3">
          <cell r="G3">
            <v>1246918.1156743991</v>
          </cell>
          <cell r="K3">
            <v>223.89715770454683</v>
          </cell>
          <cell r="L3">
            <v>227.92512310090171</v>
          </cell>
          <cell r="M3">
            <v>232.71952074703788</v>
          </cell>
          <cell r="N3">
            <v>240.68294490051318</v>
          </cell>
          <cell r="O3">
            <v>250.87418038618142</v>
          </cell>
          <cell r="P3">
            <v>256.34156645513445</v>
          </cell>
          <cell r="Q3">
            <v>264.92888644519019</v>
          </cell>
          <cell r="R3">
            <v>276.55397316870392</v>
          </cell>
          <cell r="S3">
            <v>319.15490652407658</v>
          </cell>
          <cell r="T3">
            <v>384.12411828519089</v>
          </cell>
          <cell r="U3">
            <v>530.99074386614643</v>
          </cell>
          <cell r="V3">
            <v>719.44761262568591</v>
          </cell>
          <cell r="W3">
            <v>961.08695154965437</v>
          </cell>
          <cell r="X3">
            <v>1041.5216601546244</v>
          </cell>
          <cell r="Y3">
            <v>1202.940963860422</v>
          </cell>
          <cell r="Z3">
            <v>1377.6149749683475</v>
          </cell>
          <cell r="AA3">
            <v>1506.2452568569486</v>
          </cell>
          <cell r="AB3">
            <v>1539.6032340347322</v>
          </cell>
          <cell r="AC3">
            <v>1609.1059284232556</v>
          </cell>
          <cell r="AD3">
            <v>1679.2419301310049</v>
          </cell>
          <cell r="AE3">
            <v>1730.1104931469843</v>
          </cell>
          <cell r="AF3">
            <v>1795.7860171297634</v>
          </cell>
          <cell r="AG3">
            <v>1852.4407273894374</v>
          </cell>
          <cell r="AH3">
            <v>1896.1395174508841</v>
          </cell>
          <cell r="AI3">
            <v>1944.0698131417689</v>
          </cell>
          <cell r="AJ3">
            <v>2013.8577459522396</v>
          </cell>
          <cell r="AK3">
            <v>2091.5765774411402</v>
          </cell>
          <cell r="AL3">
            <v>2192.3047388344239</v>
          </cell>
          <cell r="AM3">
            <v>2365.6696538816823</v>
          </cell>
          <cell r="AN3">
            <v>2501.9218669623215</v>
          </cell>
          <cell r="AO3">
            <v>2650.6899415510284</v>
          </cell>
          <cell r="AP3">
            <v>2892.5218800238044</v>
          </cell>
          <cell r="AQ3">
            <v>3250.2917288768849</v>
          </cell>
          <cell r="AR3">
            <v>3649.9014575114584</v>
          </cell>
          <cell r="AS3">
            <v>3979.0355575548929</v>
          </cell>
          <cell r="AT3">
            <v>4128.6397900766824</v>
          </cell>
          <cell r="AU3">
            <v>4318.8619302942188</v>
          </cell>
          <cell r="AV3">
            <v>4604.1951406205262</v>
          </cell>
          <cell r="AW3">
            <v>5244.3205102377733</v>
          </cell>
          <cell r="AX3">
            <v>6485.2540990349753</v>
          </cell>
          <cell r="AY3">
            <v>9212.6937672500935</v>
          </cell>
        </row>
        <row r="4">
          <cell r="G4">
            <v>28727.645155818951</v>
          </cell>
          <cell r="K4">
            <v>84.742946921479003</v>
          </cell>
          <cell r="L4">
            <v>94.047031762825327</v>
          </cell>
          <cell r="M4">
            <v>104.25817946529943</v>
          </cell>
          <cell r="N4">
            <v>117.80812285011648</v>
          </cell>
          <cell r="O4">
            <v>138.17356359913862</v>
          </cell>
          <cell r="P4">
            <v>146.13257179025143</v>
          </cell>
          <cell r="Q4">
            <v>157.69914384271269</v>
          </cell>
          <cell r="R4">
            <v>167.63981625473261</v>
          </cell>
          <cell r="S4">
            <v>183.88668741825026</v>
          </cell>
          <cell r="T4">
            <v>205.54908540138678</v>
          </cell>
          <cell r="U4">
            <v>241.24807275549546</v>
          </cell>
          <cell r="V4">
            <v>273.01876711824195</v>
          </cell>
          <cell r="W4">
            <v>295.90385377605463</v>
          </cell>
          <cell r="X4">
            <v>307.26850913077942</v>
          </cell>
          <cell r="Y4">
            <v>344.02769159649517</v>
          </cell>
          <cell r="Z4">
            <v>383.31811022790987</v>
          </cell>
          <cell r="AA4">
            <v>405.78601455671429</v>
          </cell>
          <cell r="AB4">
            <v>415.85854403071153</v>
          </cell>
          <cell r="AC4">
            <v>428.46530740436646</v>
          </cell>
          <cell r="AD4">
            <v>446.39113430721346</v>
          </cell>
          <cell r="AE4">
            <v>457.75632861805366</v>
          </cell>
          <cell r="AF4">
            <v>467.24033488930155</v>
          </cell>
          <cell r="AG4">
            <v>477.5104787614523</v>
          </cell>
          <cell r="AH4">
            <v>488.38357166168606</v>
          </cell>
          <cell r="AI4">
            <v>495.45142347189699</v>
          </cell>
          <cell r="AJ4">
            <v>504.11159048035893</v>
          </cell>
          <cell r="AK4">
            <v>512.55959780601506</v>
          </cell>
          <cell r="AL4">
            <v>526.40241774240803</v>
          </cell>
          <cell r="AM4">
            <v>545.27542810281909</v>
          </cell>
          <cell r="AN4">
            <v>561.7797666191575</v>
          </cell>
          <cell r="AO4">
            <v>591.50391850542167</v>
          </cell>
          <cell r="AP4">
            <v>626.56053521299691</v>
          </cell>
          <cell r="AQ4">
            <v>680.02280731721896</v>
          </cell>
          <cell r="AR4">
            <v>736.50364994090478</v>
          </cell>
          <cell r="AS4">
            <v>782.49125127392256</v>
          </cell>
          <cell r="AT4">
            <v>790.84911567180939</v>
          </cell>
          <cell r="AU4">
            <v>806.2956463718026</v>
          </cell>
          <cell r="AV4">
            <v>829.46544242179289</v>
          </cell>
          <cell r="AW4">
            <v>873.25727877982376</v>
          </cell>
          <cell r="AX4">
            <v>923.18427441652807</v>
          </cell>
          <cell r="AY4">
            <v>975.41554580631225</v>
          </cell>
        </row>
        <row r="5">
          <cell r="G5">
            <v>71093.261174532832</v>
          </cell>
          <cell r="K5">
            <v>59.161203223131608</v>
          </cell>
          <cell r="L5">
            <v>65.118562954327899</v>
          </cell>
          <cell r="M5">
            <v>71.164999252965345</v>
          </cell>
          <cell r="N5">
            <v>78.469826312110158</v>
          </cell>
          <cell r="O5">
            <v>89.124312269357731</v>
          </cell>
          <cell r="P5">
            <v>97.960276765257959</v>
          </cell>
          <cell r="Q5">
            <v>109.00475602352283</v>
          </cell>
          <cell r="R5">
            <v>129.67434449934902</v>
          </cell>
          <cell r="S5">
            <v>149.82779822473475</v>
          </cell>
          <cell r="T5">
            <v>241.44333689748225</v>
          </cell>
          <cell r="U5">
            <v>394.65557244579935</v>
          </cell>
          <cell r="V5">
            <v>610.01621401386876</v>
          </cell>
          <cell r="W5">
            <v>941.33470666089045</v>
          </cell>
          <cell r="X5">
            <v>1179.3985036211441</v>
          </cell>
          <cell r="Y5">
            <v>1292.8781144250283</v>
          </cell>
          <cell r="Z5">
            <v>1428.274516360359</v>
          </cell>
          <cell r="AA5">
            <v>1606.3904941174458</v>
          </cell>
          <cell r="AB5">
            <v>1667.4416041715349</v>
          </cell>
          <cell r="AC5">
            <v>1731.5042269693051</v>
          </cell>
          <cell r="AD5">
            <v>1798.7088594678658</v>
          </cell>
          <cell r="AE5">
            <v>1853.8346057335204</v>
          </cell>
          <cell r="AF5">
            <v>1895.0468055284869</v>
          </cell>
          <cell r="AG5">
            <v>1932.0404789401098</v>
          </cell>
          <cell r="AH5">
            <v>1974.1097067581954</v>
          </cell>
          <cell r="AI5">
            <v>2021.462434741682</v>
          </cell>
          <cell r="AJ5">
            <v>2081.72249085882</v>
          </cell>
          <cell r="AK5">
            <v>2134.3282488124601</v>
          </cell>
          <cell r="AL5">
            <v>2196.6105684358422</v>
          </cell>
          <cell r="AM5">
            <v>2314.7906880552496</v>
          </cell>
          <cell r="AN5">
            <v>2390.4311395154236</v>
          </cell>
          <cell r="AO5">
            <v>2521.4308254304287</v>
          </cell>
          <cell r="AP5">
            <v>2715.414978889291</v>
          </cell>
          <cell r="AQ5">
            <v>2951.6333684235506</v>
          </cell>
          <cell r="AR5">
            <v>3188.0741961755707</v>
          </cell>
          <cell r="AS5">
            <v>3410.4026480488033</v>
          </cell>
          <cell r="AT5">
            <v>3678.9721789489809</v>
          </cell>
          <cell r="AU5">
            <v>3889.0821528402262</v>
          </cell>
          <cell r="AV5">
            <v>4204.2471136770937</v>
          </cell>
          <cell r="AW5">
            <v>5054.7120124833755</v>
          </cell>
          <cell r="AX5">
            <v>6669.7441799782</v>
          </cell>
          <cell r="AY5">
            <v>9777.6741764748822</v>
          </cell>
        </row>
        <row r="6">
          <cell r="G6">
            <v>2779049.4555459772</v>
          </cell>
          <cell r="K6">
            <v>374.52099234116542</v>
          </cell>
          <cell r="L6">
            <v>586.38505735167882</v>
          </cell>
          <cell r="M6">
            <v>811.91777171770912</v>
          </cell>
          <cell r="N6">
            <v>1161.8351952189439</v>
          </cell>
          <cell r="O6">
            <v>1707.2143045040718</v>
          </cell>
          <cell r="P6">
            <v>2243.0253592403378</v>
          </cell>
          <cell r="Q6">
            <v>2829.4104165920166</v>
          </cell>
          <cell r="R6">
            <v>3388.4581752326617</v>
          </cell>
          <cell r="S6">
            <v>3977.5769624554432</v>
          </cell>
          <cell r="T6">
            <v>4614.5360224225351</v>
          </cell>
          <cell r="U6">
            <v>4794.9621939153594</v>
          </cell>
          <cell r="V6">
            <v>4915.246308243909</v>
          </cell>
          <cell r="W6">
            <v>4982.2226900859414</v>
          </cell>
          <cell r="X6">
            <v>5072.435775832354</v>
          </cell>
          <cell r="Y6">
            <v>7293.5912961038648</v>
          </cell>
          <cell r="Z6">
            <v>8449.9590315806017</v>
          </cell>
          <cell r="AA6">
            <v>9010.3736551567981</v>
          </cell>
          <cell r="AB6">
            <v>9312.4508059137243</v>
          </cell>
          <cell r="AC6">
            <v>9546.1847098930648</v>
          </cell>
          <cell r="AD6">
            <v>9938.4749463964017</v>
          </cell>
          <cell r="AE6">
            <v>10438.747512808324</v>
          </cell>
          <cell r="AF6">
            <v>10709.38677004756</v>
          </cell>
          <cell r="AG6">
            <v>10896.647266218142</v>
          </cell>
          <cell r="AH6">
            <v>11022.398840288899</v>
          </cell>
          <cell r="AI6">
            <v>11134.481765004139</v>
          </cell>
          <cell r="AJ6">
            <v>11287.57063778593</v>
          </cell>
          <cell r="AK6">
            <v>11491.233513183131</v>
          </cell>
          <cell r="AL6">
            <v>11847.985261362124</v>
          </cell>
          <cell r="AM6">
            <v>12243.009227736566</v>
          </cell>
          <cell r="AN6">
            <v>12695.441521404178</v>
          </cell>
          <cell r="AO6">
            <v>13340.60177098458</v>
          </cell>
          <cell r="AP6">
            <v>14341.146903808425</v>
          </cell>
          <cell r="AQ6">
            <v>15524.851937996194</v>
          </cell>
          <cell r="AR6">
            <v>16630.645670857521</v>
          </cell>
          <cell r="AS6">
            <v>17811.616975174187</v>
          </cell>
          <cell r="AT6">
            <v>18421.238736430245</v>
          </cell>
          <cell r="AU6">
            <v>18828.017741250431</v>
          </cell>
          <cell r="AV6">
            <v>19438.186248480706</v>
          </cell>
          <cell r="AW6">
            <v>20455.133760531171</v>
          </cell>
          <cell r="AX6">
            <v>21470.714407646083</v>
          </cell>
          <cell r="AY6">
            <v>22338.673641721416</v>
          </cell>
        </row>
        <row r="7">
          <cell r="G7">
            <v>29690.16452743176</v>
          </cell>
          <cell r="K7">
            <v>7.3089448259311203</v>
          </cell>
          <cell r="L7">
            <v>7.3089448259311203</v>
          </cell>
          <cell r="M7">
            <v>7.3089448259311203</v>
          </cell>
          <cell r="N7">
            <v>7.3089448259311203</v>
          </cell>
          <cell r="O7">
            <v>7.3089448259311203</v>
          </cell>
          <cell r="P7">
            <v>7.3089448259311203</v>
          </cell>
          <cell r="Q7">
            <v>7.3089448259311203</v>
          </cell>
          <cell r="R7">
            <v>9.1361810324138997</v>
          </cell>
          <cell r="S7">
            <v>9.1361810324138997</v>
          </cell>
          <cell r="T7">
            <v>12.79065344537946</v>
          </cell>
          <cell r="U7">
            <v>20.09959827131058</v>
          </cell>
          <cell r="V7">
            <v>27.408543097241697</v>
          </cell>
          <cell r="W7">
            <v>32.890251716690038</v>
          </cell>
          <cell r="X7">
            <v>32.890251716690038</v>
          </cell>
          <cell r="Y7">
            <v>32.890251716690038</v>
          </cell>
          <cell r="Z7">
            <v>56.644322400966182</v>
          </cell>
          <cell r="AA7">
            <v>89.53457411765622</v>
          </cell>
          <cell r="AB7">
            <v>124.25206204082903</v>
          </cell>
          <cell r="AC7">
            <v>186.37809306124353</v>
          </cell>
          <cell r="AD7">
            <v>199.16874650662299</v>
          </cell>
          <cell r="AE7">
            <v>208.3049275390369</v>
          </cell>
          <cell r="AF7">
            <v>219.26834477793358</v>
          </cell>
          <cell r="AG7">
            <v>222.92281719089917</v>
          </cell>
          <cell r="AH7">
            <v>226.57728960386473</v>
          </cell>
          <cell r="AI7">
            <v>239.36794304924416</v>
          </cell>
          <cell r="AJ7">
            <v>253.98583270110643</v>
          </cell>
          <cell r="AK7">
            <v>303.32121027614147</v>
          </cell>
          <cell r="AL7">
            <v>339.86593440579708</v>
          </cell>
          <cell r="AM7">
            <v>385.54683956786658</v>
          </cell>
          <cell r="AN7">
            <v>403.81920163269439</v>
          </cell>
          <cell r="AO7">
            <v>416.60985507807379</v>
          </cell>
          <cell r="AP7">
            <v>427.57327231697053</v>
          </cell>
          <cell r="AQ7">
            <v>462.2907602401433</v>
          </cell>
          <cell r="AR7">
            <v>575.57940504207568</v>
          </cell>
          <cell r="AS7">
            <v>676.07739639862859</v>
          </cell>
          <cell r="AT7">
            <v>730.894482593112</v>
          </cell>
          <cell r="AU7">
            <v>779.13351844425733</v>
          </cell>
          <cell r="AV7">
            <v>851.4920722209755</v>
          </cell>
          <cell r="AW7">
            <v>972.089661848839</v>
          </cell>
          <cell r="AX7">
            <v>1076.2421256183575</v>
          </cell>
          <cell r="AY7">
            <v>1152.9860462906342</v>
          </cell>
        </row>
        <row r="8">
          <cell r="G8">
            <v>7688058.2283057887</v>
          </cell>
          <cell r="K8">
            <v>788.12957947701636</v>
          </cell>
          <cell r="L8">
            <v>1073.8658015184844</v>
          </cell>
          <cell r="M8">
            <v>1598.238868341838</v>
          </cell>
          <cell r="N8">
            <v>2125.7518936491638</v>
          </cell>
          <cell r="O8">
            <v>2901.3216391902915</v>
          </cell>
          <cell r="P8">
            <v>3535.5932529526708</v>
          </cell>
          <cell r="Q8">
            <v>4232.6640363944944</v>
          </cell>
          <cell r="R8">
            <v>4832.3961068331801</v>
          </cell>
          <cell r="S8">
            <v>5711.5844823453899</v>
          </cell>
          <cell r="T8">
            <v>7520.2005691133636</v>
          </cell>
          <cell r="U8">
            <v>9972.5081450956332</v>
          </cell>
          <cell r="V8">
            <v>11862.763152446885</v>
          </cell>
          <cell r="W8">
            <v>14095.273634551102</v>
          </cell>
          <cell r="X8">
            <v>14663.606120150067</v>
          </cell>
          <cell r="Y8">
            <v>16833.31743257484</v>
          </cell>
          <cell r="Z8">
            <v>18283.978252169985</v>
          </cell>
          <cell r="AA8">
            <v>18805.211360509365</v>
          </cell>
          <cell r="AB8">
            <v>19106.647374970697</v>
          </cell>
          <cell r="AC8">
            <v>19467.742600627495</v>
          </cell>
          <cell r="AD8">
            <v>19850.8175356721</v>
          </cell>
          <cell r="AE8">
            <v>20243.312346168623</v>
          </cell>
          <cell r="AF8">
            <v>20720.586035732395</v>
          </cell>
          <cell r="AG8">
            <v>21084.821219873167</v>
          </cell>
          <cell r="AH8">
            <v>21433.356611594081</v>
          </cell>
          <cell r="AI8">
            <v>21932.610010545653</v>
          </cell>
          <cell r="AJ8">
            <v>22315.684945590259</v>
          </cell>
          <cell r="AK8">
            <v>22648.520544891311</v>
          </cell>
          <cell r="AL8">
            <v>22927.976849964838</v>
          </cell>
          <cell r="AM8">
            <v>23829.144934864853</v>
          </cell>
          <cell r="AN8">
            <v>24381.777628043954</v>
          </cell>
          <cell r="AO8">
            <v>24755.432687636643</v>
          </cell>
          <cell r="AP8">
            <v>25515.302640757909</v>
          </cell>
          <cell r="AQ8">
            <v>26969.103418837029</v>
          </cell>
          <cell r="AR8">
            <v>28579.902121114756</v>
          </cell>
          <cell r="AS8">
            <v>29628.648254761461</v>
          </cell>
          <cell r="AT8">
            <v>31757.540106894598</v>
          </cell>
          <cell r="AU8">
            <v>33097.67438785392</v>
          </cell>
          <cell r="AV8">
            <v>35107.875809292913</v>
          </cell>
          <cell r="AW8">
            <v>38687.42848102119</v>
          </cell>
          <cell r="AX8">
            <v>42285.820903653308</v>
          </cell>
          <cell r="AY8">
            <v>46129.13008803525</v>
          </cell>
        </row>
        <row r="9">
          <cell r="G9">
            <v>83946.895594080444</v>
          </cell>
          <cell r="K9">
            <v>631.31837644770758</v>
          </cell>
          <cell r="L9">
            <v>901.26140637707215</v>
          </cell>
          <cell r="M9">
            <v>1055.8255606108214</v>
          </cell>
          <cell r="N9">
            <v>1197.3279553318591</v>
          </cell>
          <cell r="O9">
            <v>1334.4764302153267</v>
          </cell>
          <cell r="P9">
            <v>1334.4764302153267</v>
          </cell>
          <cell r="Q9">
            <v>1399.7852277788827</v>
          </cell>
          <cell r="R9">
            <v>1452.0322658297275</v>
          </cell>
          <cell r="S9">
            <v>1543.464582418706</v>
          </cell>
          <cell r="T9">
            <v>1602.242500225906</v>
          </cell>
          <cell r="U9">
            <v>1728.5061755154477</v>
          </cell>
          <cell r="V9">
            <v>1795.9919329977888</v>
          </cell>
          <cell r="W9">
            <v>1872.1855301552707</v>
          </cell>
          <cell r="X9">
            <v>1898.3090491806931</v>
          </cell>
          <cell r="Y9">
            <v>2192.1986382166951</v>
          </cell>
          <cell r="Z9">
            <v>2499.1499867654079</v>
          </cell>
          <cell r="AA9">
            <v>2660.2450207555125</v>
          </cell>
          <cell r="AB9">
            <v>2747.3234175069206</v>
          </cell>
          <cell r="AC9">
            <v>2808.2782952329062</v>
          </cell>
          <cell r="AD9">
            <v>2934.5419705224476</v>
          </cell>
          <cell r="AE9">
            <v>3012.9125275987149</v>
          </cell>
          <cell r="AF9">
            <v>3045.566926380493</v>
          </cell>
          <cell r="AG9">
            <v>3078.2213251622711</v>
          </cell>
          <cell r="AH9">
            <v>3121.7605235379751</v>
          </cell>
          <cell r="AI9">
            <v>3154.4149223197523</v>
          </cell>
          <cell r="AJ9">
            <v>3226.2545996396643</v>
          </cell>
          <cell r="AK9">
            <v>3261.0859583402271</v>
          </cell>
          <cell r="AL9">
            <v>3348.1643550916351</v>
          </cell>
          <cell r="AM9">
            <v>3476.6049902999621</v>
          </cell>
          <cell r="AN9">
            <v>3591.9838659955776</v>
          </cell>
          <cell r="AO9">
            <v>3853.2190562498013</v>
          </cell>
          <cell r="AP9">
            <v>4277.7262404129151</v>
          </cell>
          <cell r="AQ9">
            <v>4832.851019703141</v>
          </cell>
          <cell r="AR9">
            <v>5488.1159552574854</v>
          </cell>
          <cell r="AS9">
            <v>5897.3844199891028</v>
          </cell>
          <cell r="AT9">
            <v>6045.4176944664969</v>
          </cell>
          <cell r="AU9">
            <v>6142.9454988280741</v>
          </cell>
          <cell r="AV9">
            <v>6289.2372053704385</v>
          </cell>
          <cell r="AW9">
            <v>6530.8797563555954</v>
          </cell>
          <cell r="AX9">
            <v>6818.2384656352415</v>
          </cell>
          <cell r="AY9">
            <v>7149.136373290592</v>
          </cell>
        </row>
        <row r="10">
          <cell r="G10">
            <v>86235.487654049881</v>
          </cell>
          <cell r="K10">
            <v>50.086696280993316</v>
          </cell>
          <cell r="L10">
            <v>58.165195681153527</v>
          </cell>
          <cell r="M10">
            <v>69.475094841377825</v>
          </cell>
          <cell r="N10">
            <v>88.863493401762327</v>
          </cell>
          <cell r="O10">
            <v>114.71469148227501</v>
          </cell>
          <cell r="P10">
            <v>124.40889076246727</v>
          </cell>
          <cell r="Q10">
            <v>135.71878992269157</v>
          </cell>
          <cell r="R10">
            <v>150.26008884297994</v>
          </cell>
          <cell r="S10">
            <v>166.41708764330036</v>
          </cell>
          <cell r="T10">
            <v>240.73928212477432</v>
          </cell>
          <cell r="U10">
            <v>340.91267468676097</v>
          </cell>
          <cell r="V10">
            <v>434.6232677286194</v>
          </cell>
          <cell r="W10">
            <v>533.18096041057402</v>
          </cell>
          <cell r="X10">
            <v>534.79666029060604</v>
          </cell>
          <cell r="Y10">
            <v>559.03215849108676</v>
          </cell>
          <cell r="Z10">
            <v>602.6560552519519</v>
          </cell>
          <cell r="AA10">
            <v>618.81305405227226</v>
          </cell>
          <cell r="AB10">
            <v>625.27585357240048</v>
          </cell>
          <cell r="AC10">
            <v>641.43285237272084</v>
          </cell>
          <cell r="AD10">
            <v>657.58985117304132</v>
          </cell>
          <cell r="AE10">
            <v>668.89975033326562</v>
          </cell>
          <cell r="AF10">
            <v>672.13115009332967</v>
          </cell>
          <cell r="AG10">
            <v>691.5195486537142</v>
          </cell>
          <cell r="AH10">
            <v>735.14344541457933</v>
          </cell>
          <cell r="AI10">
            <v>877.32503485739915</v>
          </cell>
          <cell r="AJ10">
            <v>885.40353425755927</v>
          </cell>
          <cell r="AK10">
            <v>945.18442981874489</v>
          </cell>
          <cell r="AL10">
            <v>969.41992801922549</v>
          </cell>
          <cell r="AM10">
            <v>1064.7462209411158</v>
          </cell>
          <cell r="AN10">
            <v>1111.6015174620452</v>
          </cell>
          <cell r="AO10">
            <v>1156.8411141029424</v>
          </cell>
          <cell r="AP10">
            <v>1197.2336111037434</v>
          </cell>
          <cell r="AQ10">
            <v>1297.4070036657301</v>
          </cell>
          <cell r="AR10">
            <v>1436.3571933484857</v>
          </cell>
          <cell r="AS10">
            <v>1736.8773710344458</v>
          </cell>
          <cell r="AT10">
            <v>1937.224156158419</v>
          </cell>
          <cell r="AU10">
            <v>2080.6983055052642</v>
          </cell>
          <cell r="AV10">
            <v>2295.9095295255324</v>
          </cell>
          <cell r="AW10">
            <v>2686.9089004932866</v>
          </cell>
          <cell r="AX10">
            <v>3105.3751694215857</v>
          </cell>
          <cell r="AY10">
            <v>3569.0810349907815</v>
          </cell>
        </row>
        <row r="11">
          <cell r="G11">
            <v>26935.291071161249</v>
          </cell>
          <cell r="K11">
            <v>22.468359566104716</v>
          </cell>
          <cell r="L11">
            <v>22.468359566104716</v>
          </cell>
          <cell r="M11">
            <v>22.468359566104716</v>
          </cell>
          <cell r="N11">
            <v>22.468359566104716</v>
          </cell>
          <cell r="O11">
            <v>22.468359566104716</v>
          </cell>
          <cell r="P11">
            <v>22.468359566104716</v>
          </cell>
          <cell r="Q11">
            <v>22.468359566104716</v>
          </cell>
          <cell r="R11">
            <v>22.468359566104716</v>
          </cell>
          <cell r="S11">
            <v>22.468359566104716</v>
          </cell>
          <cell r="T11">
            <v>22.468359566104716</v>
          </cell>
          <cell r="U11">
            <v>22.468359566104716</v>
          </cell>
          <cell r="V11">
            <v>29.957812754806284</v>
          </cell>
          <cell r="W11">
            <v>37.447265943507858</v>
          </cell>
          <cell r="X11">
            <v>37.447265943507858</v>
          </cell>
          <cell r="Y11">
            <v>67.405078698314142</v>
          </cell>
          <cell r="Z11">
            <v>67.405078698314142</v>
          </cell>
          <cell r="AA11">
            <v>67.405078698314142</v>
          </cell>
          <cell r="AB11">
            <v>67.405078698314142</v>
          </cell>
          <cell r="AC11">
            <v>67.405078698314142</v>
          </cell>
          <cell r="AD11">
            <v>67.405078698314142</v>
          </cell>
          <cell r="AE11">
            <v>67.405078698314142</v>
          </cell>
          <cell r="AF11">
            <v>67.405078698314142</v>
          </cell>
          <cell r="AG11">
            <v>67.405078698314142</v>
          </cell>
          <cell r="AH11">
            <v>67.405078698314142</v>
          </cell>
          <cell r="AI11">
            <v>67.405078698314142</v>
          </cell>
          <cell r="AJ11">
            <v>82.383985075717291</v>
          </cell>
          <cell r="AK11">
            <v>97.36289145312044</v>
          </cell>
          <cell r="AL11">
            <v>97.36289145312044</v>
          </cell>
          <cell r="AM11">
            <v>97.36289145312044</v>
          </cell>
          <cell r="AN11">
            <v>112.34179783052357</v>
          </cell>
          <cell r="AO11">
            <v>112.34179783052357</v>
          </cell>
          <cell r="AP11">
            <v>134.81015739662828</v>
          </cell>
          <cell r="AQ11">
            <v>254.64140841585345</v>
          </cell>
          <cell r="AR11">
            <v>366.98320624637699</v>
          </cell>
          <cell r="AS11">
            <v>374.47265943507858</v>
          </cell>
          <cell r="AT11">
            <v>374.47265943507858</v>
          </cell>
          <cell r="AU11">
            <v>377.46844071055921</v>
          </cell>
          <cell r="AV11">
            <v>381.96211262378011</v>
          </cell>
          <cell r="AW11">
            <v>404.43047218988488</v>
          </cell>
          <cell r="AX11">
            <v>441.87773813339277</v>
          </cell>
          <cell r="AY11">
            <v>539.24062958651314</v>
          </cell>
        </row>
        <row r="12">
          <cell r="G12">
            <v>30707.465638205609</v>
          </cell>
          <cell r="K12">
            <v>2697.6110518544119</v>
          </cell>
          <cell r="L12">
            <v>3181.5444152362443</v>
          </cell>
          <cell r="M12">
            <v>3713.4478496238562</v>
          </cell>
          <cell r="N12">
            <v>4335.6478882576403</v>
          </cell>
          <cell r="O12">
            <v>5083.4166421712589</v>
          </cell>
          <cell r="P12">
            <v>5138.4411353837704</v>
          </cell>
          <cell r="Q12">
            <v>5598.3894632627134</v>
          </cell>
          <cell r="R12">
            <v>5800.1459383752544</v>
          </cell>
          <cell r="S12">
            <v>6034.3527556387662</v>
          </cell>
          <cell r="T12">
            <v>6473.1378168975116</v>
          </cell>
          <cell r="U12">
            <v>6940.1405669831865</v>
          </cell>
          <cell r="V12">
            <v>7237.8371841072876</v>
          </cell>
          <cell r="W12">
            <v>7431.1283525717508</v>
          </cell>
          <cell r="X12">
            <v>7538.3555701140822</v>
          </cell>
          <cell r="Y12">
            <v>8695.2808120181708</v>
          </cell>
          <cell r="Z12">
            <v>9392.2577260433172</v>
          </cell>
          <cell r="AA12">
            <v>9606.7121611279763</v>
          </cell>
          <cell r="AB12">
            <v>9715.3502631116517</v>
          </cell>
          <cell r="AC12">
            <v>9788.7162540616682</v>
          </cell>
          <cell r="AD12">
            <v>9949.5570803751634</v>
          </cell>
          <cell r="AE12">
            <v>10267.006079678114</v>
          </cell>
          <cell r="AF12">
            <v>10319.208804007934</v>
          </cell>
          <cell r="AG12">
            <v>10346.015608393516</v>
          </cell>
          <cell r="AH12">
            <v>10358.713568365634</v>
          </cell>
          <cell r="AI12">
            <v>10381.287719427177</v>
          </cell>
          <cell r="AJ12">
            <v>10434.901328198343</v>
          </cell>
          <cell r="AK12">
            <v>10480.049630321428</v>
          </cell>
          <cell r="AL12">
            <v>10539.30677685798</v>
          </cell>
          <cell r="AM12">
            <v>10746.706789735908</v>
          </cell>
          <cell r="AN12">
            <v>10908.958500490749</v>
          </cell>
          <cell r="AO12">
            <v>11178.437428787922</v>
          </cell>
          <cell r="AP12">
            <v>11699.053787644762</v>
          </cell>
          <cell r="AQ12">
            <v>12393.208932787215</v>
          </cell>
          <cell r="AR12">
            <v>13574.119210194194</v>
          </cell>
          <cell r="AS12">
            <v>14247.11108871645</v>
          </cell>
          <cell r="AT12">
            <v>14570.203625784787</v>
          </cell>
          <cell r="AU12">
            <v>14803.846089271759</v>
          </cell>
          <cell r="AV12">
            <v>15154.309784502218</v>
          </cell>
          <cell r="AW12">
            <v>15741.23771210234</v>
          </cell>
          <cell r="AX12">
            <v>16329.576524143809</v>
          </cell>
          <cell r="AY12">
            <v>16799.401043112179</v>
          </cell>
        </row>
        <row r="13">
          <cell r="G13">
            <v>115286.1605111614</v>
          </cell>
          <cell r="K13">
            <v>63.755194205617109</v>
          </cell>
          <cell r="L13">
            <v>63.755194205617109</v>
          </cell>
          <cell r="M13">
            <v>63.755194205617109</v>
          </cell>
          <cell r="N13">
            <v>63.755194205617109</v>
          </cell>
          <cell r="O13">
            <v>63.755194205617109</v>
          </cell>
          <cell r="P13">
            <v>63.755194205617109</v>
          </cell>
          <cell r="Q13">
            <v>63.755194205617109</v>
          </cell>
          <cell r="R13">
            <v>63.755194205617109</v>
          </cell>
          <cell r="S13">
            <v>63.755194205617109</v>
          </cell>
          <cell r="T13">
            <v>71.72459348131926</v>
          </cell>
          <cell r="U13">
            <v>111.57158985982994</v>
          </cell>
          <cell r="V13">
            <v>191.26558261685133</v>
          </cell>
          <cell r="W13">
            <v>278.92897464957491</v>
          </cell>
          <cell r="X13">
            <v>278.92897464957491</v>
          </cell>
          <cell r="Y13">
            <v>286.89837392527704</v>
          </cell>
          <cell r="Z13">
            <v>398.46996378510698</v>
          </cell>
          <cell r="AA13">
            <v>430.34756088791551</v>
          </cell>
          <cell r="AB13">
            <v>438.31696016361769</v>
          </cell>
          <cell r="AC13">
            <v>438.31696016361769</v>
          </cell>
          <cell r="AD13">
            <v>462.22515799072409</v>
          </cell>
          <cell r="AE13">
            <v>462.22515799072409</v>
          </cell>
          <cell r="AF13">
            <v>533.94975147204332</v>
          </cell>
          <cell r="AG13">
            <v>541.91915074774556</v>
          </cell>
          <cell r="AH13">
            <v>557.85794929914982</v>
          </cell>
          <cell r="AI13">
            <v>557.85794929914982</v>
          </cell>
          <cell r="AJ13">
            <v>573.79674785055408</v>
          </cell>
          <cell r="AK13">
            <v>597.70494567766048</v>
          </cell>
          <cell r="AL13">
            <v>613.64374422906474</v>
          </cell>
          <cell r="AM13">
            <v>661.46013988327752</v>
          </cell>
          <cell r="AN13">
            <v>725.21533408889468</v>
          </cell>
          <cell r="AO13">
            <v>820.84812539732025</v>
          </cell>
          <cell r="AP13">
            <v>868.66452105153314</v>
          </cell>
          <cell r="AQ13">
            <v>924.45031598144817</v>
          </cell>
          <cell r="AR13">
            <v>1028.0525065655759</v>
          </cell>
          <cell r="AS13">
            <v>1036.0219058412781</v>
          </cell>
          <cell r="AT13">
            <v>1131.6546971497037</v>
          </cell>
          <cell r="AU13">
            <v>1192.22213164504</v>
          </cell>
          <cell r="AV13">
            <v>1283.0732833880443</v>
          </cell>
          <cell r="AW13">
            <v>1450.4306681777894</v>
          </cell>
          <cell r="AX13">
            <v>1633.7268515189385</v>
          </cell>
          <cell r="AY13">
            <v>1832.9618334114921</v>
          </cell>
        </row>
        <row r="14">
          <cell r="G14">
            <v>272946.9645943644</v>
          </cell>
          <cell r="K14">
            <v>55.406809716994935</v>
          </cell>
          <cell r="L14">
            <v>55.406809716994935</v>
          </cell>
          <cell r="M14">
            <v>55.406809716994935</v>
          </cell>
          <cell r="N14">
            <v>55.406809716994935</v>
          </cell>
          <cell r="O14">
            <v>55.406809716994935</v>
          </cell>
          <cell r="P14">
            <v>55.406809716994935</v>
          </cell>
          <cell r="Q14">
            <v>55.406809716994935</v>
          </cell>
          <cell r="R14">
            <v>55.406809716994935</v>
          </cell>
          <cell r="S14">
            <v>60.947490688694437</v>
          </cell>
          <cell r="T14">
            <v>66.488171660393931</v>
          </cell>
          <cell r="U14">
            <v>72.028852632093418</v>
          </cell>
          <cell r="V14">
            <v>99.732257490590882</v>
          </cell>
          <cell r="W14">
            <v>155.13906720758584</v>
          </cell>
          <cell r="X14">
            <v>160.67974817928533</v>
          </cell>
          <cell r="Y14">
            <v>199.46451498118176</v>
          </cell>
          <cell r="Z14">
            <v>249.33064372647723</v>
          </cell>
          <cell r="AA14">
            <v>332.44085830196963</v>
          </cell>
          <cell r="AB14">
            <v>382.30698704726507</v>
          </cell>
          <cell r="AC14">
            <v>398.92902996236353</v>
          </cell>
          <cell r="AD14">
            <v>432.17311579256057</v>
          </cell>
          <cell r="AE14">
            <v>448.79515870765903</v>
          </cell>
          <cell r="AF14">
            <v>465.41720162275749</v>
          </cell>
          <cell r="AG14">
            <v>465.41720162275749</v>
          </cell>
          <cell r="AH14">
            <v>465.41720162275749</v>
          </cell>
          <cell r="AI14">
            <v>509.74264939635339</v>
          </cell>
          <cell r="AJ14">
            <v>542.98673522655042</v>
          </cell>
          <cell r="AK14">
            <v>603.93422591524484</v>
          </cell>
          <cell r="AL14">
            <v>687.04444049073732</v>
          </cell>
          <cell r="AM14">
            <v>714.74784534923469</v>
          </cell>
          <cell r="AN14">
            <v>764.61397409453014</v>
          </cell>
          <cell r="AO14">
            <v>792.31737895302751</v>
          </cell>
          <cell r="AP14">
            <v>941.91576518891384</v>
          </cell>
          <cell r="AQ14">
            <v>1069.3514275380023</v>
          </cell>
          <cell r="AR14">
            <v>1141.3802801700958</v>
          </cell>
          <cell r="AS14">
            <v>1279.8973044625832</v>
          </cell>
          <cell r="AT14">
            <v>1379.6295619531738</v>
          </cell>
          <cell r="AU14">
            <v>1446.1177336135679</v>
          </cell>
          <cell r="AV14">
            <v>1545.8499911041586</v>
          </cell>
          <cell r="AW14">
            <v>1739.7738251136409</v>
          </cell>
          <cell r="AX14">
            <v>1978.0231068967194</v>
          </cell>
          <cell r="AY14">
            <v>2260.5978364533935</v>
          </cell>
        </row>
        <row r="15">
          <cell r="G15">
            <v>139384.36693706401</v>
          </cell>
          <cell r="K15">
            <v>887.65911342785932</v>
          </cell>
          <cell r="L15">
            <v>978.70107377943464</v>
          </cell>
          <cell r="M15">
            <v>1115.2640143067977</v>
          </cell>
          <cell r="N15">
            <v>1274.5874449220546</v>
          </cell>
          <cell r="O15">
            <v>1456.6713656252052</v>
          </cell>
          <cell r="P15">
            <v>1547.7133259767804</v>
          </cell>
          <cell r="Q15">
            <v>1707.0367565920374</v>
          </cell>
          <cell r="R15">
            <v>1843.5996971194004</v>
          </cell>
          <cell r="S15">
            <v>1911.8811673830817</v>
          </cell>
          <cell r="T15">
            <v>2276.0490087893827</v>
          </cell>
          <cell r="U15">
            <v>3300.2710627446054</v>
          </cell>
          <cell r="V15">
            <v>6099.811343555547</v>
          </cell>
          <cell r="W15">
            <v>8057.2134911144158</v>
          </cell>
          <cell r="X15">
            <v>8603.465253223867</v>
          </cell>
          <cell r="Y15">
            <v>9217.9984855970015</v>
          </cell>
          <cell r="Z15">
            <v>10128.418089112754</v>
          </cell>
          <cell r="AA15">
            <v>10538.106910694842</v>
          </cell>
          <cell r="AB15">
            <v>10697.430341310101</v>
          </cell>
          <cell r="AC15">
            <v>10742.951321485887</v>
          </cell>
          <cell r="AD15">
            <v>10788.472301661675</v>
          </cell>
          <cell r="AE15">
            <v>10833.993281837464</v>
          </cell>
          <cell r="AF15">
            <v>11107.119162892188</v>
          </cell>
          <cell r="AG15">
            <v>11585.089454737959</v>
          </cell>
          <cell r="AH15">
            <v>12176.862197023198</v>
          </cell>
          <cell r="AI15">
            <v>12541.030038429501</v>
          </cell>
          <cell r="AJ15">
            <v>12768.63493930844</v>
          </cell>
          <cell r="AK15">
            <v>12814.155919484225</v>
          </cell>
          <cell r="AL15">
            <v>12973.479350099482</v>
          </cell>
          <cell r="AM15">
            <v>13292.126211329998</v>
          </cell>
          <cell r="AN15">
            <v>13610.773072560511</v>
          </cell>
          <cell r="AO15">
            <v>14248.066795021537</v>
          </cell>
          <cell r="AP15">
            <v>14771.558067043095</v>
          </cell>
          <cell r="AQ15">
            <v>16706.19972451407</v>
          </cell>
          <cell r="AR15">
            <v>19642.302945852374</v>
          </cell>
          <cell r="AS15">
            <v>22646.687637454361</v>
          </cell>
          <cell r="AT15">
            <v>23466.065280618535</v>
          </cell>
          <cell r="AU15">
            <v>24194.400963431141</v>
          </cell>
          <cell r="AV15">
            <v>25286.904487650041</v>
          </cell>
          <cell r="AW15">
            <v>28018.163298197305</v>
          </cell>
          <cell r="AX15">
            <v>34049.693171489169</v>
          </cell>
          <cell r="AY15">
            <v>52872.618474177361</v>
          </cell>
        </row>
        <row r="16">
          <cell r="G16">
            <v>111587.6707781546</v>
          </cell>
          <cell r="K16">
            <v>52.300002445779988</v>
          </cell>
          <cell r="L16">
            <v>64.503336349795319</v>
          </cell>
          <cell r="M16">
            <v>81.936670498388651</v>
          </cell>
          <cell r="N16">
            <v>92.396670987544653</v>
          </cell>
          <cell r="O16">
            <v>129.00667269959064</v>
          </cell>
          <cell r="P16">
            <v>148.18334026304331</v>
          </cell>
          <cell r="Q16">
            <v>184.79334197508931</v>
          </cell>
          <cell r="R16">
            <v>240.58001125058797</v>
          </cell>
          <cell r="S16">
            <v>277.19001296263394</v>
          </cell>
          <cell r="T16">
            <v>364.35668370560057</v>
          </cell>
          <cell r="U16">
            <v>571.81336007386119</v>
          </cell>
          <cell r="V16">
            <v>725.22670058148253</v>
          </cell>
          <cell r="W16">
            <v>791.47337034613724</v>
          </cell>
          <cell r="X16">
            <v>796.70337059071517</v>
          </cell>
          <cell r="Y16">
            <v>911.76337597143117</v>
          </cell>
          <cell r="Z16">
            <v>1037.283381841303</v>
          </cell>
          <cell r="AA16">
            <v>1065.1767164790524</v>
          </cell>
          <cell r="AB16">
            <v>1084.353384042505</v>
          </cell>
          <cell r="AC16">
            <v>1103.5300516059579</v>
          </cell>
          <cell r="AD16">
            <v>1155.8300540517378</v>
          </cell>
          <cell r="AE16">
            <v>1194.1833891786432</v>
          </cell>
          <cell r="AF16">
            <v>1262.1733923581571</v>
          </cell>
          <cell r="AG16">
            <v>1317.9600616336559</v>
          </cell>
          <cell r="AH16">
            <v>1354.5700633457018</v>
          </cell>
          <cell r="AI16">
            <v>1389.4367316428884</v>
          </cell>
          <cell r="AJ16">
            <v>1413.8433994509192</v>
          </cell>
          <cell r="AK16">
            <v>1473.1167355561363</v>
          </cell>
          <cell r="AL16">
            <v>1591.663407766571</v>
          </cell>
          <cell r="AM16">
            <v>1704.9800797324278</v>
          </cell>
          <cell r="AN16">
            <v>1779.9434165713792</v>
          </cell>
          <cell r="AO16">
            <v>1868.853420729205</v>
          </cell>
          <cell r="AP16">
            <v>1936.8434239087189</v>
          </cell>
          <cell r="AQ16">
            <v>2111.1767653946522</v>
          </cell>
          <cell r="AR16">
            <v>2391.853445187005</v>
          </cell>
          <cell r="AS16">
            <v>2604.5401217998437</v>
          </cell>
          <cell r="AT16">
            <v>2660.3267910753425</v>
          </cell>
          <cell r="AU16">
            <v>2710.5347934232909</v>
          </cell>
          <cell r="AV16">
            <v>2785.8467969452145</v>
          </cell>
          <cell r="AW16">
            <v>2909.6234694002269</v>
          </cell>
          <cell r="AX16">
            <v>3057.8068096632701</v>
          </cell>
          <cell r="AY16">
            <v>3205.9901499263133</v>
          </cell>
        </row>
        <row r="17">
          <cell r="G17">
            <v>910.06628974921455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280.68690727165557</v>
          </cell>
          <cell r="Y17">
            <v>292.9977365379562</v>
          </cell>
          <cell r="Z17">
            <v>297.92206824447652</v>
          </cell>
          <cell r="AA17">
            <v>300.38423409773662</v>
          </cell>
          <cell r="AB17">
            <v>301.61531702436668</v>
          </cell>
          <cell r="AC17">
            <v>301.61531702436668</v>
          </cell>
          <cell r="AD17">
            <v>302.84639995099678</v>
          </cell>
          <cell r="AE17">
            <v>304.07748287762684</v>
          </cell>
          <cell r="AF17">
            <v>304.07748287762684</v>
          </cell>
          <cell r="AG17">
            <v>307.77073165751705</v>
          </cell>
          <cell r="AH17">
            <v>315.15722921729741</v>
          </cell>
          <cell r="AI17">
            <v>320.08156092381773</v>
          </cell>
          <cell r="AJ17">
            <v>321.31264385044778</v>
          </cell>
          <cell r="AK17">
            <v>323.77480970370789</v>
          </cell>
          <cell r="AL17">
            <v>325.005892630338</v>
          </cell>
          <cell r="AM17">
            <v>350.85863408956942</v>
          </cell>
          <cell r="AN17">
            <v>361.93838042924</v>
          </cell>
          <cell r="AO17">
            <v>386.56003896184143</v>
          </cell>
          <cell r="AP17">
            <v>438.26552188030428</v>
          </cell>
          <cell r="AQ17">
            <v>513.36158040473845</v>
          </cell>
          <cell r="AR17">
            <v>557.68056576342087</v>
          </cell>
          <cell r="AS17">
            <v>578.60897551613209</v>
          </cell>
          <cell r="AT17">
            <v>667.24694623349694</v>
          </cell>
          <cell r="AU17">
            <v>667.24694623349694</v>
          </cell>
          <cell r="AV17">
            <v>667.24694623349694</v>
          </cell>
          <cell r="AW17">
            <v>667.24694623349694</v>
          </cell>
          <cell r="AX17">
            <v>667.24694623349694</v>
          </cell>
          <cell r="AY17">
            <v>667.24694623349694</v>
          </cell>
        </row>
        <row r="18">
          <cell r="G18">
            <v>13388.080335178791</v>
          </cell>
          <cell r="K18">
            <v>12.16631199818427</v>
          </cell>
          <cell r="L18">
            <v>12.16631199818427</v>
          </cell>
          <cell r="M18">
            <v>12.16631199818427</v>
          </cell>
          <cell r="N18">
            <v>13.518124442426968</v>
          </cell>
          <cell r="O18">
            <v>14.869936886669663</v>
          </cell>
          <cell r="P18">
            <v>16.221749330912363</v>
          </cell>
          <cell r="Q18">
            <v>18.925374219397753</v>
          </cell>
          <cell r="R18">
            <v>22.980811552125846</v>
          </cell>
          <cell r="S18">
            <v>28.388061329096629</v>
          </cell>
          <cell r="T18">
            <v>40.554373327280899</v>
          </cell>
          <cell r="U18">
            <v>68.942434656377529</v>
          </cell>
          <cell r="V18">
            <v>89.219621320017993</v>
          </cell>
          <cell r="W18">
            <v>117.60768264911461</v>
          </cell>
          <cell r="X18">
            <v>128.4221822030562</v>
          </cell>
          <cell r="Y18">
            <v>137.88486931275506</v>
          </cell>
          <cell r="Z18">
            <v>152.75480619942473</v>
          </cell>
          <cell r="AA18">
            <v>155.45843108791013</v>
          </cell>
          <cell r="AB18">
            <v>158.16205597639552</v>
          </cell>
          <cell r="AC18">
            <v>160.86568086488091</v>
          </cell>
          <cell r="AD18">
            <v>168.97655553033709</v>
          </cell>
          <cell r="AE18">
            <v>168.97655553033709</v>
          </cell>
          <cell r="AF18">
            <v>173.03199286306517</v>
          </cell>
          <cell r="AG18">
            <v>174.38380530730788</v>
          </cell>
          <cell r="AH18">
            <v>175.73561775155056</v>
          </cell>
          <cell r="AI18">
            <v>183.84649241700677</v>
          </cell>
          <cell r="AJ18">
            <v>185.19830486124945</v>
          </cell>
          <cell r="AK18">
            <v>185.19830486124945</v>
          </cell>
          <cell r="AL18">
            <v>187.90192974973485</v>
          </cell>
          <cell r="AM18">
            <v>189.25374219397753</v>
          </cell>
          <cell r="AN18">
            <v>190.60555463822024</v>
          </cell>
          <cell r="AO18">
            <v>190.60555463822024</v>
          </cell>
          <cell r="AP18">
            <v>196.01280441519103</v>
          </cell>
          <cell r="AQ18">
            <v>204.12367908064721</v>
          </cell>
          <cell r="AR18">
            <v>212.23455374610339</v>
          </cell>
          <cell r="AS18">
            <v>216.28999107883149</v>
          </cell>
          <cell r="AT18">
            <v>204.12367908064721</v>
          </cell>
          <cell r="AU18">
            <v>204.12367908064721</v>
          </cell>
          <cell r="AV18">
            <v>204.12367908064721</v>
          </cell>
          <cell r="AW18">
            <v>204.12367908064721</v>
          </cell>
          <cell r="AX18">
            <v>204.12367908064721</v>
          </cell>
          <cell r="AY18">
            <v>204.12367908064721</v>
          </cell>
        </row>
        <row r="19">
          <cell r="G19">
            <v>51068.854440502822</v>
          </cell>
          <cell r="K19">
            <v>3.9527650999133619</v>
          </cell>
          <cell r="L19">
            <v>3.9527650999133619</v>
          </cell>
          <cell r="M19">
            <v>3.9527650999133619</v>
          </cell>
          <cell r="N19">
            <v>5.2703534665511498</v>
          </cell>
          <cell r="O19">
            <v>6.5879418331889363</v>
          </cell>
          <cell r="P19">
            <v>7.9055301998267238</v>
          </cell>
          <cell r="Q19">
            <v>9.2231185664645121</v>
          </cell>
          <cell r="R19">
            <v>9.2231185664645121</v>
          </cell>
          <cell r="S19">
            <v>9.2231185664645121</v>
          </cell>
          <cell r="T19">
            <v>9.2231185664645121</v>
          </cell>
          <cell r="U19">
            <v>10.5407069331023</v>
          </cell>
          <cell r="V19">
            <v>13.175883666377873</v>
          </cell>
          <cell r="W19">
            <v>15.811060399653448</v>
          </cell>
          <cell r="X19">
            <v>17.128648766291235</v>
          </cell>
          <cell r="Y19">
            <v>23.716590599480174</v>
          </cell>
          <cell r="Z19">
            <v>36.892474265858048</v>
          </cell>
          <cell r="AA19">
            <v>83.008067098180604</v>
          </cell>
          <cell r="AB19">
            <v>126.48848319722758</v>
          </cell>
          <cell r="AC19">
            <v>172.60407602955016</v>
          </cell>
          <cell r="AD19">
            <v>204.22619682885704</v>
          </cell>
          <cell r="AE19">
            <v>264.83526169419525</v>
          </cell>
          <cell r="AF19">
            <v>281.96391046048649</v>
          </cell>
          <cell r="AG19">
            <v>300.4101475934155</v>
          </cell>
          <cell r="AH19">
            <v>318.85638472634452</v>
          </cell>
          <cell r="AI19">
            <v>332.03226839272241</v>
          </cell>
          <cell r="AJ19">
            <v>351.79609389228921</v>
          </cell>
          <cell r="AK19">
            <v>367.60715429194272</v>
          </cell>
          <cell r="AL19">
            <v>386.05339142487168</v>
          </cell>
          <cell r="AM19">
            <v>407.13480529107625</v>
          </cell>
          <cell r="AN19">
            <v>450.61522139012322</v>
          </cell>
          <cell r="AO19">
            <v>505.95393278891032</v>
          </cell>
          <cell r="AP19">
            <v>566.56299765424853</v>
          </cell>
          <cell r="AQ19">
            <v>610.04341375329557</v>
          </cell>
          <cell r="AR19">
            <v>640.3479461859647</v>
          </cell>
          <cell r="AS19">
            <v>736.53189695052311</v>
          </cell>
          <cell r="AT19">
            <v>768.15401774983002</v>
          </cell>
          <cell r="AU19">
            <v>790.81653765600004</v>
          </cell>
          <cell r="AV19">
            <v>824.81031751525484</v>
          </cell>
          <cell r="AW19">
            <v>888.05455911386878</v>
          </cell>
          <cell r="AX19">
            <v>944.71085887929348</v>
          </cell>
          <cell r="AY19">
            <v>988.19127497834063</v>
          </cell>
        </row>
        <row r="20">
          <cell r="G20">
            <v>207069.80853644921</v>
          </cell>
          <cell r="K20">
            <v>102.80584317449723</v>
          </cell>
          <cell r="L20">
            <v>117.16622291225249</v>
          </cell>
          <cell r="M20">
            <v>138.72748799366855</v>
          </cell>
          <cell r="N20">
            <v>183.98633868012126</v>
          </cell>
          <cell r="O20">
            <v>263.70182545224037</v>
          </cell>
          <cell r="P20">
            <v>289.65913007485915</v>
          </cell>
          <cell r="Q20">
            <v>306.67481901231815</v>
          </cell>
          <cell r="R20">
            <v>339.31734803142598</v>
          </cell>
          <cell r="S20">
            <v>362.53674557548072</v>
          </cell>
          <cell r="T20">
            <v>485.51940133850979</v>
          </cell>
          <cell r="U20">
            <v>670.85242880797261</v>
          </cell>
          <cell r="V20">
            <v>857.85245562089608</v>
          </cell>
          <cell r="W20">
            <v>1033.6264495503115</v>
          </cell>
          <cell r="X20">
            <v>1044.7891328835442</v>
          </cell>
          <cell r="Y20">
            <v>1127.0334340704792</v>
          </cell>
          <cell r="Z20">
            <v>1197.1110308538423</v>
          </cell>
          <cell r="AA20">
            <v>1237.1839434411752</v>
          </cell>
          <cell r="AB20">
            <v>1274.5114419214667</v>
          </cell>
          <cell r="AC20">
            <v>1313.0808041558662</v>
          </cell>
          <cell r="AD20">
            <v>1339.0463125277599</v>
          </cell>
          <cell r="AE20">
            <v>1356.2236826825042</v>
          </cell>
          <cell r="AF20">
            <v>1374.4645481567368</v>
          </cell>
          <cell r="AG20">
            <v>1388.5410347265172</v>
          </cell>
          <cell r="AH20">
            <v>1413.4092293298856</v>
          </cell>
          <cell r="AI20">
            <v>1459.9012851152984</v>
          </cell>
          <cell r="AJ20">
            <v>1526.7753737601781</v>
          </cell>
          <cell r="AK20">
            <v>1596.5758991138141</v>
          </cell>
          <cell r="AL20">
            <v>1661.0305256375075</v>
          </cell>
          <cell r="AM20">
            <v>1772.1806727316209</v>
          </cell>
          <cell r="AN20">
            <v>1849.1221682583989</v>
          </cell>
          <cell r="AO20">
            <v>1932.5026798991018</v>
          </cell>
          <cell r="AP20">
            <v>2038.6038062877174</v>
          </cell>
          <cell r="AQ20">
            <v>2302.2597005578664</v>
          </cell>
          <cell r="AR20">
            <v>2642.9609735999525</v>
          </cell>
          <cell r="AS20">
            <v>2930.091934086965</v>
          </cell>
          <cell r="AT20">
            <v>3227.0117104466462</v>
          </cell>
          <cell r="AU20">
            <v>3844.6981175575238</v>
          </cell>
          <cell r="AV20">
            <v>4771.2277282238401</v>
          </cell>
          <cell r="AW20">
            <v>8875.5765818812379</v>
          </cell>
          <cell r="AX20">
            <v>12196.80737611075</v>
          </cell>
          <cell r="AY20">
            <v>13682.505404878963</v>
          </cell>
        </row>
        <row r="21">
          <cell r="G21">
            <v>1084380.2191149129</v>
          </cell>
          <cell r="K21">
            <v>22.652783869498332</v>
          </cell>
          <cell r="L21">
            <v>22.652783869498332</v>
          </cell>
          <cell r="M21">
            <v>56.631959673745826</v>
          </cell>
          <cell r="N21">
            <v>56.631959673745826</v>
          </cell>
          <cell r="O21">
            <v>79.284743543244161</v>
          </cell>
          <cell r="P21">
            <v>124.59031128224082</v>
          </cell>
          <cell r="Q21">
            <v>129.12086805614049</v>
          </cell>
          <cell r="R21">
            <v>158.56948708648832</v>
          </cell>
          <cell r="S21">
            <v>158.56948708648832</v>
          </cell>
          <cell r="T21">
            <v>206.1403332124348</v>
          </cell>
          <cell r="U21">
            <v>283.15979836872913</v>
          </cell>
          <cell r="V21">
            <v>421.34177997266897</v>
          </cell>
          <cell r="W21">
            <v>652.40017544155194</v>
          </cell>
          <cell r="X21">
            <v>699.9710215674985</v>
          </cell>
          <cell r="Y21">
            <v>847.21411671923761</v>
          </cell>
          <cell r="Z21">
            <v>967.27387122757887</v>
          </cell>
          <cell r="AA21">
            <v>1057.8850067055721</v>
          </cell>
          <cell r="AB21">
            <v>1085.0683473489701</v>
          </cell>
          <cell r="AC21">
            <v>1130.3739150879667</v>
          </cell>
          <cell r="AD21">
            <v>1177.9447612139131</v>
          </cell>
          <cell r="AE21">
            <v>1189.2711531486625</v>
          </cell>
          <cell r="AF21">
            <v>1257.2295047571574</v>
          </cell>
          <cell r="AG21">
            <v>1288.9434021744551</v>
          </cell>
          <cell r="AH21">
            <v>1354.6364753960002</v>
          </cell>
          <cell r="AI21">
            <v>1395.4114863610973</v>
          </cell>
          <cell r="AJ21">
            <v>1474.6962299043416</v>
          </cell>
          <cell r="AK21">
            <v>1524.5323544172377</v>
          </cell>
          <cell r="AL21">
            <v>1592.4907060257328</v>
          </cell>
          <cell r="AM21">
            <v>1678.5712847298264</v>
          </cell>
          <cell r="AN21">
            <v>1748.7949147252714</v>
          </cell>
          <cell r="AO21">
            <v>1828.0796582685152</v>
          </cell>
          <cell r="AP21">
            <v>2004.7713724506023</v>
          </cell>
          <cell r="AQ21">
            <v>2285.665892432382</v>
          </cell>
          <cell r="AR21">
            <v>2487.2756688709169</v>
          </cell>
          <cell r="AS21">
            <v>2639.049320796556</v>
          </cell>
          <cell r="AT21">
            <v>2768.1701888526964</v>
          </cell>
          <cell r="AU21">
            <v>2854.2507675567899</v>
          </cell>
          <cell r="AV21">
            <v>2983.3716356129307</v>
          </cell>
          <cell r="AW21">
            <v>3241.6133717252114</v>
          </cell>
          <cell r="AX21">
            <v>3520.2426133200411</v>
          </cell>
          <cell r="AY21">
            <v>3887.2177120059141</v>
          </cell>
        </row>
        <row r="22">
          <cell r="G22">
            <v>8509083.3303571269</v>
          </cell>
          <cell r="K22">
            <v>1729.6824109999998</v>
          </cell>
          <cell r="L22">
            <v>2124.0141523678753</v>
          </cell>
          <cell r="M22">
            <v>2908.1965925880827</v>
          </cell>
          <cell r="N22">
            <v>3873.8612546878239</v>
          </cell>
          <cell r="O22">
            <v>5363.8078911062175</v>
          </cell>
          <cell r="P22">
            <v>7572.9618512694296</v>
          </cell>
          <cell r="Q22">
            <v>10277.27100940026</v>
          </cell>
          <cell r="R22">
            <v>10694.007963345854</v>
          </cell>
          <cell r="S22">
            <v>13747.838437689119</v>
          </cell>
          <cell r="T22">
            <v>18726.276672458549</v>
          </cell>
          <cell r="U22">
            <v>21275.989863803108</v>
          </cell>
          <cell r="V22">
            <v>21376.813320402849</v>
          </cell>
          <cell r="W22">
            <v>22573.251672053106</v>
          </cell>
          <cell r="X22">
            <v>24636.771750461136</v>
          </cell>
          <cell r="Y22">
            <v>29503.183922341967</v>
          </cell>
          <cell r="Z22">
            <v>33027.523860817353</v>
          </cell>
          <cell r="AA22">
            <v>35707.18728511269</v>
          </cell>
          <cell r="AB22">
            <v>37008.930135878232</v>
          </cell>
          <cell r="AC22">
            <v>38256.900476457253</v>
          </cell>
          <cell r="AD22">
            <v>39560.883848480567</v>
          </cell>
          <cell r="AE22">
            <v>40999.298495970208</v>
          </cell>
          <cell r="AF22">
            <v>41917.912211656731</v>
          </cell>
          <cell r="AG22">
            <v>42507.169302450777</v>
          </cell>
          <cell r="AH22">
            <v>43251.022360031086</v>
          </cell>
          <cell r="AI22">
            <v>44113.623044273314</v>
          </cell>
          <cell r="AJ22">
            <v>45186.832726746114</v>
          </cell>
          <cell r="AK22">
            <v>46251.080324187824</v>
          </cell>
          <cell r="AL22">
            <v>47617.798291428757</v>
          </cell>
          <cell r="AM22">
            <v>50167.511482773312</v>
          </cell>
          <cell r="AN22">
            <v>51594.723523974091</v>
          </cell>
          <cell r="AO22">
            <v>53635.838389804405</v>
          </cell>
          <cell r="AP22">
            <v>56293.096601522018</v>
          </cell>
          <cell r="AQ22">
            <v>61421.649760562177</v>
          </cell>
          <cell r="AR22">
            <v>65976.629477612689</v>
          </cell>
          <cell r="AS22">
            <v>69476.32368225258</v>
          </cell>
          <cell r="AT22">
            <v>71483.830729216323</v>
          </cell>
          <cell r="AU22">
            <v>73053.988026662948</v>
          </cell>
          <cell r="AV22">
            <v>75409.2239728329</v>
          </cell>
          <cell r="AW22">
            <v>79896.988052150249</v>
          </cell>
          <cell r="AX22">
            <v>83829.102859540144</v>
          </cell>
          <cell r="AY22">
            <v>88325.829023888597</v>
          </cell>
        </row>
        <row r="23">
          <cell r="G23">
            <v>5777.4913640251616</v>
          </cell>
          <cell r="K23">
            <v>2.9460642502040546</v>
          </cell>
          <cell r="L23">
            <v>2.9460642502040546</v>
          </cell>
          <cell r="M23">
            <v>2.9460642502040546</v>
          </cell>
          <cell r="N23">
            <v>2.9460642502040546</v>
          </cell>
          <cell r="O23">
            <v>2.9460642502040546</v>
          </cell>
          <cell r="P23">
            <v>2.9460642502040546</v>
          </cell>
          <cell r="Q23">
            <v>3.3669305716617761</v>
          </cell>
          <cell r="R23">
            <v>3.7877968931194985</v>
          </cell>
          <cell r="S23">
            <v>4.2086632145772205</v>
          </cell>
          <cell r="T23">
            <v>8.417326429154441</v>
          </cell>
          <cell r="U23">
            <v>14.30945492956255</v>
          </cell>
          <cell r="V23">
            <v>15.992920215393436</v>
          </cell>
          <cell r="W23">
            <v>18.51811814413977</v>
          </cell>
          <cell r="X23">
            <v>19.359850787055215</v>
          </cell>
          <cell r="Y23">
            <v>35.352771002448648</v>
          </cell>
          <cell r="Z23">
            <v>60.604750289911976</v>
          </cell>
          <cell r="AA23">
            <v>73.230739933643633</v>
          </cell>
          <cell r="AB23">
            <v>79.964601076967185</v>
          </cell>
          <cell r="AC23">
            <v>82.910665327171245</v>
          </cell>
          <cell r="AD23">
            <v>83.331531648628967</v>
          </cell>
          <cell r="AE23">
            <v>85.014996934459845</v>
          </cell>
          <cell r="AF23">
            <v>85.014996934459845</v>
          </cell>
          <cell r="AG23">
            <v>86.277595898833013</v>
          </cell>
          <cell r="AH23">
            <v>86.277595898833013</v>
          </cell>
          <cell r="AI23">
            <v>86.277595898833013</v>
          </cell>
          <cell r="AJ23">
            <v>86.698462220290736</v>
          </cell>
          <cell r="AK23">
            <v>86.698462220290736</v>
          </cell>
          <cell r="AL23">
            <v>86.698462220290736</v>
          </cell>
          <cell r="AM23">
            <v>86.698462220290736</v>
          </cell>
          <cell r="AN23">
            <v>87.119328541748459</v>
          </cell>
          <cell r="AO23">
            <v>90.065392791952519</v>
          </cell>
          <cell r="AP23">
            <v>90.065392791952519</v>
          </cell>
          <cell r="AQ23">
            <v>92.590590720698842</v>
          </cell>
          <cell r="AR23">
            <v>95.957521292360624</v>
          </cell>
          <cell r="AS23">
            <v>100.58705082839556</v>
          </cell>
          <cell r="AT23">
            <v>109.84610990046545</v>
          </cell>
          <cell r="AU23">
            <v>115.2331988151243</v>
          </cell>
          <cell r="AV23">
            <v>123.31383218711257</v>
          </cell>
          <cell r="AW23">
            <v>134.67722286647106</v>
          </cell>
          <cell r="AX23">
            <v>144.35714825999864</v>
          </cell>
          <cell r="AY23">
            <v>151.93274204623765</v>
          </cell>
        </row>
        <row r="24">
          <cell r="G24">
            <v>577870.82410037157</v>
          </cell>
          <cell r="K24">
            <v>10.194841173803388</v>
          </cell>
          <cell r="L24">
            <v>10.194841173803388</v>
          </cell>
          <cell r="M24">
            <v>10.194841173803388</v>
          </cell>
          <cell r="N24">
            <v>10.194841173803388</v>
          </cell>
          <cell r="O24">
            <v>10.194841173803388</v>
          </cell>
          <cell r="P24">
            <v>10.194841173803388</v>
          </cell>
          <cell r="Q24">
            <v>10.194841173803388</v>
          </cell>
          <cell r="R24">
            <v>10.194841173803388</v>
          </cell>
          <cell r="S24">
            <v>10.194841173803388</v>
          </cell>
          <cell r="T24">
            <v>10.194841173803388</v>
          </cell>
          <cell r="U24">
            <v>18.350714112846099</v>
          </cell>
          <cell r="V24">
            <v>30.584523521410166</v>
          </cell>
          <cell r="W24">
            <v>81.558729390427104</v>
          </cell>
          <cell r="X24">
            <v>85.636665859948465</v>
          </cell>
          <cell r="Y24">
            <v>108.06531644231592</v>
          </cell>
          <cell r="Z24">
            <v>148.84468113752945</v>
          </cell>
          <cell r="AA24">
            <v>175.35126818941825</v>
          </cell>
          <cell r="AB24">
            <v>185.54610936322166</v>
          </cell>
          <cell r="AC24">
            <v>193.70198230226438</v>
          </cell>
          <cell r="AD24">
            <v>197.77991877178573</v>
          </cell>
          <cell r="AE24">
            <v>212.05269641511049</v>
          </cell>
          <cell r="AF24">
            <v>238.55928346699929</v>
          </cell>
          <cell r="AG24">
            <v>256.90999757984537</v>
          </cell>
          <cell r="AH24">
            <v>275.26071169269147</v>
          </cell>
          <cell r="AI24">
            <v>287.49452110125554</v>
          </cell>
          <cell r="AJ24">
            <v>299.72833050981961</v>
          </cell>
          <cell r="AK24">
            <v>303.80626697934099</v>
          </cell>
          <cell r="AL24">
            <v>303.80626697934099</v>
          </cell>
          <cell r="AM24">
            <v>309.92317168362302</v>
          </cell>
          <cell r="AN24">
            <v>311.96213991838368</v>
          </cell>
          <cell r="AO24">
            <v>330.31285403122979</v>
          </cell>
          <cell r="AP24">
            <v>340.50769520503314</v>
          </cell>
          <cell r="AQ24">
            <v>393.52086930881075</v>
          </cell>
          <cell r="AR24">
            <v>481.19650340351996</v>
          </cell>
          <cell r="AS24">
            <v>507.7030904554087</v>
          </cell>
          <cell r="AT24">
            <v>532.1707092725369</v>
          </cell>
          <cell r="AU24">
            <v>548.48245515062229</v>
          </cell>
          <cell r="AV24">
            <v>572.95007396775043</v>
          </cell>
          <cell r="AW24">
            <v>621.88531160200671</v>
          </cell>
          <cell r="AX24">
            <v>678.97642217530574</v>
          </cell>
          <cell r="AY24">
            <v>744.22340568764741</v>
          </cell>
        </row>
        <row r="25">
          <cell r="G25">
            <v>620199.66860529792</v>
          </cell>
          <cell r="K25">
            <v>59.192569447850026</v>
          </cell>
          <cell r="L25">
            <v>59.192569447850026</v>
          </cell>
          <cell r="M25">
            <v>59.192569447850026</v>
          </cell>
          <cell r="N25">
            <v>59.192569447850026</v>
          </cell>
          <cell r="O25">
            <v>59.192569447850026</v>
          </cell>
          <cell r="P25">
            <v>59.192569447850026</v>
          </cell>
          <cell r="Q25">
            <v>59.192569447850026</v>
          </cell>
          <cell r="R25">
            <v>59.192569447850026</v>
          </cell>
          <cell r="S25">
            <v>76.104732147235751</v>
          </cell>
          <cell r="T25">
            <v>84.560813496928603</v>
          </cell>
          <cell r="U25">
            <v>101.47297619631432</v>
          </cell>
          <cell r="V25">
            <v>109.92905754600717</v>
          </cell>
          <cell r="W25">
            <v>109.92905754600717</v>
          </cell>
          <cell r="X25">
            <v>109.92905754600717</v>
          </cell>
          <cell r="Y25">
            <v>118.38513889570005</v>
          </cell>
          <cell r="Z25">
            <v>126.8412202453929</v>
          </cell>
          <cell r="AA25">
            <v>126.8412202453929</v>
          </cell>
          <cell r="AB25">
            <v>126.8412202453929</v>
          </cell>
          <cell r="AC25">
            <v>135.29730159508577</v>
          </cell>
          <cell r="AD25">
            <v>135.29730159508577</v>
          </cell>
          <cell r="AE25">
            <v>135.29730159508577</v>
          </cell>
          <cell r="AF25">
            <v>135.29730159508577</v>
          </cell>
          <cell r="AG25">
            <v>135.29730159508577</v>
          </cell>
          <cell r="AH25">
            <v>135.29730159508577</v>
          </cell>
          <cell r="AI25">
            <v>135.29730159508577</v>
          </cell>
          <cell r="AJ25">
            <v>135.29730159508577</v>
          </cell>
          <cell r="AK25">
            <v>135.29730159508577</v>
          </cell>
          <cell r="AL25">
            <v>135.29730159508577</v>
          </cell>
          <cell r="AM25">
            <v>135.29730159508577</v>
          </cell>
          <cell r="AN25">
            <v>152.2094642944715</v>
          </cell>
          <cell r="AO25">
            <v>152.2094642944715</v>
          </cell>
          <cell r="AP25">
            <v>160.66554564416435</v>
          </cell>
          <cell r="AQ25">
            <v>160.66554564416435</v>
          </cell>
          <cell r="AR25">
            <v>194.48987104293579</v>
          </cell>
          <cell r="AS25">
            <v>194.48987104293579</v>
          </cell>
          <cell r="AT25">
            <v>194.48987104293579</v>
          </cell>
          <cell r="AU25">
            <v>204.63716866256721</v>
          </cell>
          <cell r="AV25">
            <v>219.85811509201434</v>
          </cell>
          <cell r="AW25">
            <v>236.7702777914001</v>
          </cell>
          <cell r="AX25">
            <v>253.68244049078581</v>
          </cell>
          <cell r="AY25">
            <v>270.59460319017154</v>
          </cell>
        </row>
        <row r="26">
          <cell r="G26">
            <v>9955196.1675422974</v>
          </cell>
          <cell r="K26">
            <v>1826.9026053527139</v>
          </cell>
          <cell r="L26">
            <v>2356.9196803417153</v>
          </cell>
          <cell r="M26">
            <v>3034.3477543120321</v>
          </cell>
          <cell r="N26">
            <v>3522.9572453175183</v>
          </cell>
          <cell r="O26">
            <v>4796.6545286504615</v>
          </cell>
          <cell r="P26">
            <v>6080.2896321394501</v>
          </cell>
          <cell r="Q26">
            <v>7486.4911842196443</v>
          </cell>
          <cell r="R26">
            <v>8539.9001207602832</v>
          </cell>
          <cell r="S26">
            <v>10393.303579862448</v>
          </cell>
          <cell r="T26">
            <v>14595.345202509623</v>
          </cell>
          <cell r="U26">
            <v>19585.787224202937</v>
          </cell>
          <cell r="V26">
            <v>22485.974406408382</v>
          </cell>
          <cell r="W26">
            <v>26106.653549926996</v>
          </cell>
          <cell r="X26">
            <v>27552.606382631366</v>
          </cell>
          <cell r="Y26">
            <v>30235.81782476318</v>
          </cell>
          <cell r="Z26">
            <v>32215.100339175235</v>
          </cell>
          <cell r="AA26">
            <v>32769.961964554343</v>
          </cell>
          <cell r="AB26">
            <v>32996.875524784009</v>
          </cell>
          <cell r="AC26">
            <v>33250.289938763133</v>
          </cell>
          <cell r="AD26">
            <v>33558.362363600485</v>
          </cell>
          <cell r="AE26">
            <v>33685.897722269714</v>
          </cell>
          <cell r="AF26">
            <v>33882.997822031248</v>
          </cell>
          <cell r="AG26">
            <v>34050.284461324649</v>
          </cell>
          <cell r="AH26">
            <v>34167.881999837839</v>
          </cell>
          <cell r="AI26">
            <v>34277.198021554323</v>
          </cell>
          <cell r="AJ26">
            <v>34472.641817956508</v>
          </cell>
          <cell r="AK26">
            <v>34692.930164748817</v>
          </cell>
          <cell r="AL26">
            <v>35085.474060912544</v>
          </cell>
          <cell r="AM26">
            <v>35741.370191211434</v>
          </cell>
          <cell r="AN26">
            <v>36236.60489565428</v>
          </cell>
          <cell r="AO26">
            <v>36720.245476581746</v>
          </cell>
          <cell r="AP26">
            <v>37145.915439932287</v>
          </cell>
          <cell r="AQ26">
            <v>38626.650643182809</v>
          </cell>
          <cell r="AR26">
            <v>41129.325019146498</v>
          </cell>
          <cell r="AS26">
            <v>44463.46368149919</v>
          </cell>
          <cell r="AT26">
            <v>46204.238512166186</v>
          </cell>
          <cell r="AU26">
            <v>47487.542354983307</v>
          </cell>
          <cell r="AV26">
            <v>49412.498119208991</v>
          </cell>
          <cell r="AW26">
            <v>52627.382939689152</v>
          </cell>
          <cell r="AX26">
            <v>55482.849931192388</v>
          </cell>
          <cell r="AY26">
            <v>58701.047358391232</v>
          </cell>
        </row>
        <row r="27">
          <cell r="G27">
            <v>41235.436471763584</v>
          </cell>
          <cell r="K27">
            <v>489.28748877449436</v>
          </cell>
          <cell r="L27">
            <v>533.19790443374382</v>
          </cell>
          <cell r="M27">
            <v>572.92637574449338</v>
          </cell>
          <cell r="N27">
            <v>687.9298453282421</v>
          </cell>
          <cell r="O27">
            <v>834.29789752574038</v>
          </cell>
          <cell r="P27">
            <v>874.02636883648995</v>
          </cell>
          <cell r="Q27">
            <v>934.66456188973928</v>
          </cell>
          <cell r="R27">
            <v>1003.6666436399884</v>
          </cell>
          <cell r="S27">
            <v>1141.6708071404867</v>
          </cell>
          <cell r="T27">
            <v>1423.9520506642336</v>
          </cell>
          <cell r="U27">
            <v>1875.6020403022285</v>
          </cell>
          <cell r="V27">
            <v>1942.5131498782275</v>
          </cell>
          <cell r="W27">
            <v>2676.4443830399691</v>
          </cell>
          <cell r="X27">
            <v>2707.808965653719</v>
          </cell>
          <cell r="Y27">
            <v>2952.4527100409659</v>
          </cell>
          <cell r="Z27">
            <v>3201.2783987767134</v>
          </cell>
          <cell r="AA27">
            <v>3389.4658944592111</v>
          </cell>
          <cell r="AB27">
            <v>3475.1957536034597</v>
          </cell>
          <cell r="AC27">
            <v>3533.7429744824594</v>
          </cell>
          <cell r="AD27">
            <v>4058.5769902192033</v>
          </cell>
          <cell r="AE27">
            <v>4121.3061554467022</v>
          </cell>
          <cell r="AF27">
            <v>4192.3992093712013</v>
          </cell>
          <cell r="AG27">
            <v>4303.2207346064506</v>
          </cell>
          <cell r="AH27">
            <v>4409.8603154931989</v>
          </cell>
          <cell r="AI27">
            <v>4441.2248981069488</v>
          </cell>
          <cell r="AJ27">
            <v>4520.6818407284482</v>
          </cell>
          <cell r="AK27">
            <v>4696.3235033654455</v>
          </cell>
          <cell r="AL27">
            <v>4792.5082233809453</v>
          </cell>
          <cell r="AM27">
            <v>4984.8776634119431</v>
          </cell>
          <cell r="AN27">
            <v>5099.8811329956916</v>
          </cell>
          <cell r="AO27">
            <v>5712.5359800509341</v>
          </cell>
          <cell r="AP27">
            <v>6047.0915279309302</v>
          </cell>
          <cell r="AQ27">
            <v>6377.4651314624261</v>
          </cell>
          <cell r="AR27">
            <v>7071.667893313419</v>
          </cell>
          <cell r="AS27">
            <v>7872.5102360511592</v>
          </cell>
          <cell r="AT27">
            <v>8123.4268969611558</v>
          </cell>
          <cell r="AU27">
            <v>8253.903560634355</v>
          </cell>
          <cell r="AV27">
            <v>8449.6185561441525</v>
          </cell>
          <cell r="AW27">
            <v>8777.9011875014003</v>
          </cell>
          <cell r="AX27">
            <v>9171.0039562603943</v>
          </cell>
          <cell r="AY27">
            <v>9566.1976971936401</v>
          </cell>
        </row>
        <row r="28">
          <cell r="G28">
            <v>752545.10315481038</v>
          </cell>
          <cell r="K28">
            <v>172.73357272672004</v>
          </cell>
          <cell r="L28">
            <v>211.88651587810992</v>
          </cell>
          <cell r="M28">
            <v>255.64568763554567</v>
          </cell>
          <cell r="N28">
            <v>317.82977381716483</v>
          </cell>
          <cell r="O28">
            <v>423.77303175621984</v>
          </cell>
          <cell r="P28">
            <v>481.35088933179316</v>
          </cell>
          <cell r="Q28">
            <v>555.05054702852703</v>
          </cell>
          <cell r="R28">
            <v>677.11560508874254</v>
          </cell>
          <cell r="S28">
            <v>852.15229211848543</v>
          </cell>
          <cell r="T28">
            <v>1197.6194375719256</v>
          </cell>
          <cell r="U28">
            <v>1706.6076985399939</v>
          </cell>
          <cell r="V28">
            <v>2204.0803879929476</v>
          </cell>
          <cell r="W28">
            <v>2719.9779918700847</v>
          </cell>
          <cell r="X28">
            <v>2878.8928787786672</v>
          </cell>
          <cell r="Y28">
            <v>3615.8894557460062</v>
          </cell>
          <cell r="Z28">
            <v>4078.8154306536157</v>
          </cell>
          <cell r="AA28">
            <v>4246.9427747742902</v>
          </cell>
          <cell r="AB28">
            <v>4302.2175180468403</v>
          </cell>
          <cell r="AC28">
            <v>4396.6452044707803</v>
          </cell>
          <cell r="AD28">
            <v>4525.6196054400652</v>
          </cell>
          <cell r="AE28">
            <v>4739.8092356211973</v>
          </cell>
          <cell r="AF28">
            <v>4901.0272368328033</v>
          </cell>
          <cell r="AG28">
            <v>5006.9704947718583</v>
          </cell>
          <cell r="AH28">
            <v>5103.7012954988213</v>
          </cell>
          <cell r="AI28">
            <v>5156.6729244683484</v>
          </cell>
          <cell r="AJ28">
            <v>5237.2819250741513</v>
          </cell>
          <cell r="AK28">
            <v>5327.1033828920463</v>
          </cell>
          <cell r="AL28">
            <v>5423.8341836190093</v>
          </cell>
          <cell r="AM28">
            <v>5654.1456139213024</v>
          </cell>
          <cell r="AN28">
            <v>5843.0009867691833</v>
          </cell>
          <cell r="AO28">
            <v>6047.9781597382234</v>
          </cell>
          <cell r="AP28">
            <v>6483.2667630095584</v>
          </cell>
          <cell r="AQ28">
            <v>7229.4757971889894</v>
          </cell>
          <cell r="AR28">
            <v>7786.8294585205394</v>
          </cell>
          <cell r="AS28">
            <v>8288.9083765795385</v>
          </cell>
          <cell r="AT28">
            <v>8565.2820929422905</v>
          </cell>
          <cell r="AU28">
            <v>8755.9799572325901</v>
          </cell>
          <cell r="AV28">
            <v>9042.0267536680385</v>
          </cell>
          <cell r="AW28">
            <v>9518.7714143937865</v>
          </cell>
          <cell r="AX28">
            <v>9995.5160751195326</v>
          </cell>
          <cell r="AY28">
            <v>10403.167306754591</v>
          </cell>
        </row>
        <row r="29">
          <cell r="G29">
            <v>9349155.5066191163</v>
          </cell>
          <cell r="K29">
            <v>6225.7581245899073</v>
          </cell>
          <cell r="L29">
            <v>6391.152967709465</v>
          </cell>
          <cell r="M29">
            <v>7000.892165478579</v>
          </cell>
          <cell r="N29">
            <v>8659.7777561702587</v>
          </cell>
          <cell r="O29">
            <v>15490.337919033174</v>
          </cell>
          <cell r="P29">
            <v>17450.390238987333</v>
          </cell>
          <cell r="Q29">
            <v>17820.677201195296</v>
          </cell>
          <cell r="R29">
            <v>17971.260565826535</v>
          </cell>
          <cell r="S29">
            <v>18144.061148190252</v>
          </cell>
          <cell r="T29">
            <v>19595.586040045473</v>
          </cell>
          <cell r="U29">
            <v>22140.691760288213</v>
          </cell>
          <cell r="V29">
            <v>24569.77423237246</v>
          </cell>
          <cell r="W29">
            <v>34663.796822161567</v>
          </cell>
          <cell r="X29">
            <v>37364.423066531657</v>
          </cell>
          <cell r="Y29">
            <v>44575.144510594742</v>
          </cell>
          <cell r="Z29">
            <v>53049.77878566103</v>
          </cell>
          <cell r="AA29">
            <v>61507.133002490926</v>
          </cell>
          <cell r="AB29">
            <v>66049.319738908627</v>
          </cell>
          <cell r="AC29">
            <v>70221.219513118354</v>
          </cell>
          <cell r="AD29">
            <v>76686.429873269415</v>
          </cell>
          <cell r="AE29">
            <v>81248.365247671536</v>
          </cell>
          <cell r="AF29">
            <v>87123.585048037901</v>
          </cell>
          <cell r="AG29">
            <v>94205.940345202223</v>
          </cell>
          <cell r="AH29">
            <v>104628.2840414824</v>
          </cell>
          <cell r="AI29">
            <v>116716.91906769841</v>
          </cell>
          <cell r="AJ29">
            <v>127203.44583742796</v>
          </cell>
          <cell r="AK29">
            <v>137939.29916171086</v>
          </cell>
          <cell r="AL29">
            <v>150176.04897281007</v>
          </cell>
          <cell r="AM29">
            <v>167826.39417138969</v>
          </cell>
          <cell r="AN29">
            <v>178683.20790332722</v>
          </cell>
          <cell r="AO29">
            <v>197005.00679337728</v>
          </cell>
          <cell r="AP29">
            <v>224823.43197418764</v>
          </cell>
          <cell r="AQ29">
            <v>252730.72602592787</v>
          </cell>
          <cell r="AR29">
            <v>282225.31685566629</v>
          </cell>
          <cell r="AS29">
            <v>323174.11771637097</v>
          </cell>
          <cell r="AT29">
            <v>353981.99297207361</v>
          </cell>
          <cell r="AU29">
            <v>382823.8913164268</v>
          </cell>
          <cell r="AV29">
            <v>426086.73883295647</v>
          </cell>
          <cell r="AW29">
            <v>509105.07575998211</v>
          </cell>
          <cell r="AX29">
            <v>594949.93649852858</v>
          </cell>
          <cell r="AY29">
            <v>667622.45570146362</v>
          </cell>
        </row>
        <row r="30">
          <cell r="G30">
            <v>321543.24568924127</v>
          </cell>
          <cell r="K30">
            <v>55.86799288731082</v>
          </cell>
          <cell r="L30">
            <v>60.165530801719342</v>
          </cell>
          <cell r="M30">
            <v>64.463068716127864</v>
          </cell>
          <cell r="N30">
            <v>73.058144544944909</v>
          </cell>
          <cell r="O30">
            <v>81.653220373761954</v>
          </cell>
          <cell r="P30">
            <v>85.950758288170491</v>
          </cell>
          <cell r="Q30">
            <v>90.248296202579013</v>
          </cell>
          <cell r="R30">
            <v>98.843372031396058</v>
          </cell>
          <cell r="S30">
            <v>116.03352368903016</v>
          </cell>
          <cell r="T30">
            <v>189.09166823397507</v>
          </cell>
          <cell r="U30">
            <v>352.39810898149898</v>
          </cell>
          <cell r="V30">
            <v>541.48977721547408</v>
          </cell>
          <cell r="W30">
            <v>666.11837673332127</v>
          </cell>
          <cell r="X30">
            <v>734.87898336385763</v>
          </cell>
          <cell r="Y30">
            <v>945.45834116987544</v>
          </cell>
          <cell r="Z30">
            <v>1027.1115615436374</v>
          </cell>
          <cell r="AA30">
            <v>1074.3844786021311</v>
          </cell>
          <cell r="AB30">
            <v>1113.0623198318078</v>
          </cell>
          <cell r="AC30">
            <v>1143.1450852326675</v>
          </cell>
          <cell r="AD30">
            <v>1216.2032297776125</v>
          </cell>
          <cell r="AE30">
            <v>1246.2859951784719</v>
          </cell>
          <cell r="AF30">
            <v>1272.0712226649232</v>
          </cell>
          <cell r="AG30">
            <v>1272.0712226649232</v>
          </cell>
          <cell r="AH30">
            <v>1293.5589122369659</v>
          </cell>
          <cell r="AI30">
            <v>1336.5342913810512</v>
          </cell>
          <cell r="AJ30">
            <v>1353.7244430386852</v>
          </cell>
          <cell r="AK30">
            <v>1405.2948980115875</v>
          </cell>
          <cell r="AL30">
            <v>1422.4850496692218</v>
          </cell>
          <cell r="AM30">
            <v>1491.2456562997581</v>
          </cell>
          <cell r="AN30">
            <v>1525.6259596150262</v>
          </cell>
          <cell r="AO30">
            <v>1594.3865662455626</v>
          </cell>
          <cell r="AP30">
            <v>1637.3619453896479</v>
          </cell>
          <cell r="AQ30">
            <v>1792.0733103083548</v>
          </cell>
          <cell r="AR30">
            <v>2024.140357686415</v>
          </cell>
          <cell r="AS30">
            <v>2393.7286183255483</v>
          </cell>
          <cell r="AT30">
            <v>2406.6212320687737</v>
          </cell>
          <cell r="AU30">
            <v>2466.786762870493</v>
          </cell>
          <cell r="AV30">
            <v>2557.0350590730723</v>
          </cell>
          <cell r="AW30">
            <v>2724.6390377350044</v>
          </cell>
          <cell r="AX30">
            <v>2930.9208576266137</v>
          </cell>
          <cell r="AY30">
            <v>3326.2943457521978</v>
          </cell>
        </row>
        <row r="31">
          <cell r="G31">
            <v>466040.03552910412</v>
          </cell>
          <cell r="K31">
            <v>109.61824828520976</v>
          </cell>
          <cell r="L31">
            <v>109.61824828520976</v>
          </cell>
          <cell r="M31">
            <v>109.61824828520976</v>
          </cell>
          <cell r="N31">
            <v>118.75310230897723</v>
          </cell>
          <cell r="O31">
            <v>118.75310230897723</v>
          </cell>
          <cell r="P31">
            <v>118.75310230897723</v>
          </cell>
          <cell r="Q31">
            <v>118.75310230897723</v>
          </cell>
          <cell r="R31">
            <v>118.75310230897723</v>
          </cell>
          <cell r="S31">
            <v>127.88795633274472</v>
          </cell>
          <cell r="T31">
            <v>155.29251840404714</v>
          </cell>
          <cell r="U31">
            <v>228.37135059418699</v>
          </cell>
          <cell r="V31">
            <v>383.66386899823414</v>
          </cell>
          <cell r="W31">
            <v>557.22609544981628</v>
          </cell>
          <cell r="X31">
            <v>648.57463568749108</v>
          </cell>
          <cell r="Y31">
            <v>730.78832190139838</v>
          </cell>
          <cell r="Z31">
            <v>858.67627823414318</v>
          </cell>
          <cell r="AA31">
            <v>950.02481847181787</v>
          </cell>
          <cell r="AB31">
            <v>950.02481847181787</v>
          </cell>
          <cell r="AC31">
            <v>968.29452651935298</v>
          </cell>
          <cell r="AD31">
            <v>986.56423456688788</v>
          </cell>
          <cell r="AE31">
            <v>1004.8339426144229</v>
          </cell>
          <cell r="AF31">
            <v>1013.9687966381903</v>
          </cell>
          <cell r="AG31">
            <v>1023.1036506619578</v>
          </cell>
          <cell r="AH31">
            <v>1032.2385046857253</v>
          </cell>
          <cell r="AI31">
            <v>1032.2385046857253</v>
          </cell>
          <cell r="AJ31">
            <v>1050.5082127332601</v>
          </cell>
          <cell r="AK31">
            <v>1068.7779207807953</v>
          </cell>
          <cell r="AL31">
            <v>1087.0476288283301</v>
          </cell>
          <cell r="AM31">
            <v>1388.497811612657</v>
          </cell>
          <cell r="AN31">
            <v>1415.9023736839592</v>
          </cell>
          <cell r="AO31">
            <v>1507.2509139216343</v>
          </cell>
          <cell r="AP31">
            <v>1963.9936151100082</v>
          </cell>
          <cell r="AQ31">
            <v>2082.7467174189851</v>
          </cell>
          <cell r="AR31">
            <v>2320.2529220369397</v>
          </cell>
          <cell r="AS31">
            <v>2384.1969002033125</v>
          </cell>
          <cell r="AT31">
            <v>2329.3877760607074</v>
          </cell>
          <cell r="AU31">
            <v>2406.120549860354</v>
          </cell>
          <cell r="AV31">
            <v>2521.2197105598243</v>
          </cell>
          <cell r="AW31">
            <v>2804.4001852966162</v>
          </cell>
          <cell r="AX31">
            <v>3306.8171566038277</v>
          </cell>
          <cell r="AY31">
            <v>4521.7527417649026</v>
          </cell>
        </row>
        <row r="32">
          <cell r="G32">
            <v>2328869.300489808</v>
          </cell>
          <cell r="K32">
            <v>214.77116707894936</v>
          </cell>
          <cell r="L32">
            <v>218.63495364059179</v>
          </cell>
          <cell r="M32">
            <v>223.23393287042202</v>
          </cell>
          <cell r="N32">
            <v>230.87276990132131</v>
          </cell>
          <cell r="O32">
            <v>240.64861324687047</v>
          </cell>
          <cell r="P32">
            <v>245.89315006430405</v>
          </cell>
          <cell r="Q32">
            <v>254.13045309777266</v>
          </cell>
          <cell r="R32">
            <v>265.28170427309004</v>
          </cell>
          <cell r="S32">
            <v>306.14623452969778</v>
          </cell>
          <cell r="T32">
            <v>368.46731791096556</v>
          </cell>
          <cell r="U32">
            <v>509.3476975654159</v>
          </cell>
          <cell r="V32">
            <v>690.12311277163019</v>
          </cell>
          <cell r="W32">
            <v>921.91329432172222</v>
          </cell>
          <cell r="X32">
            <v>999.06950486880146</v>
          </cell>
          <cell r="Y32">
            <v>1153.9093992265202</v>
          </cell>
          <cell r="Z32">
            <v>1321.4637425179835</v>
          </cell>
          <cell r="AA32">
            <v>1444.8510871637977</v>
          </cell>
          <cell r="AB32">
            <v>1476.8494017619648</v>
          </cell>
          <cell r="AC32">
            <v>1543.5191841834662</v>
          </cell>
          <cell r="AD32">
            <v>1610.7964604805677</v>
          </cell>
          <cell r="AE32">
            <v>1659.5916339368903</v>
          </cell>
          <cell r="AF32">
            <v>1722.5902404351298</v>
          </cell>
          <cell r="AG32">
            <v>1776.9357192600394</v>
          </cell>
          <cell r="AH32">
            <v>1818.8533578654369</v>
          </cell>
          <cell r="AI32">
            <v>1864.830027017952</v>
          </cell>
          <cell r="AJ32">
            <v>1931.7734216166041</v>
          </cell>
          <cell r="AK32">
            <v>2006.3244535011167</v>
          </cell>
          <cell r="AL32">
            <v>2102.9469609145417</v>
          </cell>
          <cell r="AM32">
            <v>2269.2455665644447</v>
          </cell>
          <cell r="AN32">
            <v>2399.9441744450942</v>
          </cell>
          <cell r="AO32">
            <v>2542.6485005342502</v>
          </cell>
          <cell r="AP32">
            <v>2774.623431325022</v>
          </cell>
          <cell r="AQ32">
            <v>3117.810673055134</v>
          </cell>
          <cell r="AR32">
            <v>3501.1324118161201</v>
          </cell>
          <cell r="AS32">
            <v>3816.8510905011276</v>
          </cell>
          <cell r="AT32">
            <v>3960.3574929408337</v>
          </cell>
          <cell r="AU32">
            <v>4142.8262275939414</v>
          </cell>
          <cell r="AV32">
            <v>4416.5293295736055</v>
          </cell>
          <cell r="AW32">
            <v>5030.563353582781</v>
          </cell>
          <cell r="AX32">
            <v>6220.9168081145162</v>
          </cell>
          <cell r="AY32">
            <v>8837.1867361721506</v>
          </cell>
        </row>
        <row r="33">
          <cell r="G33">
            <v>341732.66713136568</v>
          </cell>
          <cell r="K33">
            <v>16.117914890016383</v>
          </cell>
          <cell r="L33">
            <v>16.117914890016383</v>
          </cell>
          <cell r="M33">
            <v>16.117914890016383</v>
          </cell>
          <cell r="N33">
            <v>16.117914890016383</v>
          </cell>
          <cell r="O33">
            <v>16.117914890016383</v>
          </cell>
          <cell r="P33">
            <v>16.117914890016383</v>
          </cell>
          <cell r="Q33">
            <v>16.117914890016383</v>
          </cell>
          <cell r="R33">
            <v>16.117914890016383</v>
          </cell>
          <cell r="S33">
            <v>18.132654251268431</v>
          </cell>
          <cell r="T33">
            <v>22.162132973772529</v>
          </cell>
          <cell r="U33">
            <v>34.250569141284814</v>
          </cell>
          <cell r="V33">
            <v>54.397962753805295</v>
          </cell>
          <cell r="W33">
            <v>78.574835088829872</v>
          </cell>
          <cell r="X33">
            <v>80.589574450081912</v>
          </cell>
          <cell r="Y33">
            <v>84.619053172586007</v>
          </cell>
          <cell r="Z33">
            <v>86.633792533838061</v>
          </cell>
          <cell r="AA33">
            <v>88.648531895090116</v>
          </cell>
          <cell r="AB33">
            <v>90.663271256342156</v>
          </cell>
          <cell r="AC33">
            <v>90.663271256342156</v>
          </cell>
          <cell r="AD33">
            <v>90.663271256342156</v>
          </cell>
          <cell r="AE33">
            <v>90.663271256342156</v>
          </cell>
          <cell r="AF33">
            <v>94.692749978846251</v>
          </cell>
          <cell r="AG33">
            <v>110.81066486886263</v>
          </cell>
          <cell r="AH33">
            <v>110.81066486886263</v>
          </cell>
          <cell r="AI33">
            <v>114.84014359136673</v>
          </cell>
          <cell r="AJ33">
            <v>114.84014359136673</v>
          </cell>
          <cell r="AK33">
            <v>132.97279784263515</v>
          </cell>
          <cell r="AL33">
            <v>137.00227656513925</v>
          </cell>
          <cell r="AM33">
            <v>147.0759733713995</v>
          </cell>
          <cell r="AN33">
            <v>153.12019145515563</v>
          </cell>
          <cell r="AO33">
            <v>173.26758506767612</v>
          </cell>
          <cell r="AP33">
            <v>211.54763293146502</v>
          </cell>
          <cell r="AQ33">
            <v>284.07824993653873</v>
          </cell>
          <cell r="AR33">
            <v>332.43199460658786</v>
          </cell>
          <cell r="AS33">
            <v>413.02156905666982</v>
          </cell>
          <cell r="AT33">
            <v>413.02156905666982</v>
          </cell>
          <cell r="AU33">
            <v>429.1394839466862</v>
          </cell>
          <cell r="AV33">
            <v>453.31635628171074</v>
          </cell>
          <cell r="AW33">
            <v>527.86171264803659</v>
          </cell>
          <cell r="AX33">
            <v>695.08507963195655</v>
          </cell>
          <cell r="AY33">
            <v>1120.1950848561387</v>
          </cell>
        </row>
        <row r="34">
          <cell r="G34">
            <v>1137241.296633956</v>
          </cell>
          <cell r="K34">
            <v>94.632247557562025</v>
          </cell>
          <cell r="L34">
            <v>114.55482599073298</v>
          </cell>
          <cell r="M34">
            <v>134.47740442390392</v>
          </cell>
          <cell r="N34">
            <v>161.870949769514</v>
          </cell>
          <cell r="O34">
            <v>199.22578433170952</v>
          </cell>
          <cell r="P34">
            <v>261.48384193536873</v>
          </cell>
          <cell r="Q34">
            <v>343.66447797219894</v>
          </cell>
          <cell r="R34">
            <v>415.88382479244359</v>
          </cell>
          <cell r="S34">
            <v>565.30316304122573</v>
          </cell>
          <cell r="T34">
            <v>916.43860792586383</v>
          </cell>
          <cell r="U34">
            <v>1486.7224155753822</v>
          </cell>
          <cell r="V34">
            <v>2154.1287930866092</v>
          </cell>
          <cell r="W34">
            <v>2968.4641865424719</v>
          </cell>
          <cell r="X34">
            <v>3152.7480370493031</v>
          </cell>
          <cell r="Y34">
            <v>3879.9221498600427</v>
          </cell>
          <cell r="Z34">
            <v>4335.6511315188291</v>
          </cell>
          <cell r="AA34">
            <v>4430.2833790763907</v>
          </cell>
          <cell r="AB34">
            <v>4477.5995028551715</v>
          </cell>
          <cell r="AC34">
            <v>4509.9736928090742</v>
          </cell>
          <cell r="AD34">
            <v>4592.1543288459043</v>
          </cell>
          <cell r="AE34">
            <v>4664.3736756661483</v>
          </cell>
          <cell r="AF34">
            <v>4679.3156094910273</v>
          </cell>
          <cell r="AG34">
            <v>4696.7478656200519</v>
          </cell>
          <cell r="AH34">
            <v>4709.1994771407835</v>
          </cell>
          <cell r="AI34">
            <v>4726.6317332698081</v>
          </cell>
          <cell r="AJ34">
            <v>4751.5349563112713</v>
          </cell>
          <cell r="AK34">
            <v>4778.928501656882</v>
          </cell>
          <cell r="AL34">
            <v>4791.3801131776136</v>
          </cell>
          <cell r="AM34">
            <v>4935.8188068181034</v>
          </cell>
          <cell r="AN34">
            <v>5035.4316989839581</v>
          </cell>
          <cell r="AO34">
            <v>5187.3413595368866</v>
          </cell>
          <cell r="AP34">
            <v>5471.2381022095733</v>
          </cell>
          <cell r="AQ34">
            <v>5971.792885342993</v>
          </cell>
          <cell r="AR34">
            <v>6390.1670324395827</v>
          </cell>
          <cell r="AS34">
            <v>6671.5734528081221</v>
          </cell>
          <cell r="AT34">
            <v>7035.1605092134923</v>
          </cell>
          <cell r="AU34">
            <v>7273.2353214898849</v>
          </cell>
          <cell r="AV34">
            <v>7630.3475399044737</v>
          </cell>
          <cell r="AW34">
            <v>8173.237802208384</v>
          </cell>
          <cell r="AX34">
            <v>8877.999014281806</v>
          </cell>
          <cell r="AY34">
            <v>10078.334364880355</v>
          </cell>
        </row>
        <row r="35">
          <cell r="G35">
            <v>51177.910477348843</v>
          </cell>
          <cell r="K35">
            <v>48.7714326449127</v>
          </cell>
          <cell r="L35">
            <v>52.02286148790688</v>
          </cell>
          <cell r="M35">
            <v>58.52571917389524</v>
          </cell>
          <cell r="N35">
            <v>68.280005702877787</v>
          </cell>
          <cell r="O35">
            <v>84.53714991784868</v>
          </cell>
          <cell r="P35">
            <v>97.5428652898254</v>
          </cell>
          <cell r="Q35">
            <v>104.04572297581376</v>
          </cell>
          <cell r="R35">
            <v>130.0571537197672</v>
          </cell>
          <cell r="S35">
            <v>185.33144405066827</v>
          </cell>
          <cell r="T35">
            <v>260.1143074395344</v>
          </cell>
          <cell r="U35">
            <v>409.68003421726667</v>
          </cell>
          <cell r="V35">
            <v>601.51433595392325</v>
          </cell>
          <cell r="W35">
            <v>952.66865099729478</v>
          </cell>
          <cell r="X35">
            <v>1024.2000855431666</v>
          </cell>
          <cell r="Y35">
            <v>1128.2458085189803</v>
          </cell>
          <cell r="Z35">
            <v>1199.7772430648524</v>
          </cell>
          <cell r="AA35">
            <v>1212.7829584368292</v>
          </cell>
          <cell r="AB35">
            <v>1219.2858161228173</v>
          </cell>
          <cell r="AC35">
            <v>1225.7886738088059</v>
          </cell>
          <cell r="AD35">
            <v>1248.5486757097651</v>
          </cell>
          <cell r="AE35">
            <v>1268.0572487677302</v>
          </cell>
          <cell r="AF35">
            <v>1303.8229660406662</v>
          </cell>
          <cell r="AG35">
            <v>1307.0743948836605</v>
          </cell>
          <cell r="AH35">
            <v>1316.8286814126427</v>
          </cell>
          <cell r="AI35">
            <v>1316.8286814126427</v>
          </cell>
          <cell r="AJ35">
            <v>1316.8286814126427</v>
          </cell>
          <cell r="AK35">
            <v>1323.3315390986313</v>
          </cell>
          <cell r="AL35">
            <v>1326.5829679416254</v>
          </cell>
          <cell r="AM35">
            <v>1385.1086871155208</v>
          </cell>
          <cell r="AN35">
            <v>1391.6115448015089</v>
          </cell>
          <cell r="AO35">
            <v>1459.8915505043869</v>
          </cell>
          <cell r="AP35">
            <v>1518.4172696782821</v>
          </cell>
          <cell r="AQ35">
            <v>1680.988711827991</v>
          </cell>
          <cell r="AR35">
            <v>1723.2572867869153</v>
          </cell>
          <cell r="AS35">
            <v>1798.0401501757815</v>
          </cell>
          <cell r="AT35">
            <v>1928.0973038955487</v>
          </cell>
          <cell r="AU35">
            <v>1998.3281669042231</v>
          </cell>
          <cell r="AV35">
            <v>2103.6744614172344</v>
          </cell>
          <cell r="AW35">
            <v>2249.9887593519725</v>
          </cell>
          <cell r="AX35">
            <v>2380.04591307174</v>
          </cell>
          <cell r="AY35">
            <v>2510.103066791507</v>
          </cell>
        </row>
        <row r="36">
          <cell r="G36">
            <v>110730.652216514</v>
          </cell>
          <cell r="K36">
            <v>90.481965729145273</v>
          </cell>
          <cell r="L36">
            <v>98.914939362310605</v>
          </cell>
          <cell r="M36">
            <v>112.64610400669265</v>
          </cell>
          <cell r="N36">
            <v>129.5954610816822</v>
          </cell>
          <cell r="O36">
            <v>152.26854697496628</v>
          </cell>
          <cell r="P36">
            <v>174.27714868294373</v>
          </cell>
          <cell r="Q36">
            <v>195.11340933221183</v>
          </cell>
          <cell r="R36">
            <v>219.96060258010826</v>
          </cell>
          <cell r="S36">
            <v>259.3049347045885</v>
          </cell>
          <cell r="T36">
            <v>339.47061685082713</v>
          </cell>
          <cell r="U36">
            <v>464.69831029773115</v>
          </cell>
          <cell r="V36">
            <v>597.51862357934726</v>
          </cell>
          <cell r="W36">
            <v>761.48584363271948</v>
          </cell>
          <cell r="X36">
            <v>817.13695658533356</v>
          </cell>
          <cell r="Y36">
            <v>979.59466914331665</v>
          </cell>
          <cell r="Z36">
            <v>1091.9899461507771</v>
          </cell>
          <cell r="AA36">
            <v>1167.9730004070514</v>
          </cell>
          <cell r="AB36">
            <v>1197.9813970444402</v>
          </cell>
          <cell r="AC36">
            <v>1223.9420634334929</v>
          </cell>
          <cell r="AD36">
            <v>1268.5658628367394</v>
          </cell>
          <cell r="AE36">
            <v>1312.9922403809012</v>
          </cell>
          <cell r="AF36">
            <v>1345.0306924219799</v>
          </cell>
          <cell r="AG36">
            <v>1356.6278002215183</v>
          </cell>
          <cell r="AH36">
            <v>1375.4885031885149</v>
          </cell>
          <cell r="AI36">
            <v>1391.4000578240727</v>
          </cell>
          <cell r="AJ36">
            <v>1414.2460014077942</v>
          </cell>
          <cell r="AK36">
            <v>1430.3888281101713</v>
          </cell>
          <cell r="AL36">
            <v>1454.517420674413</v>
          </cell>
          <cell r="AM36">
            <v>1508.0468578841351</v>
          </cell>
          <cell r="AN36">
            <v>1551.71842919752</v>
          </cell>
          <cell r="AO36">
            <v>1621.3447598527805</v>
          </cell>
          <cell r="AP36">
            <v>1760.3146449189207</v>
          </cell>
          <cell r="AQ36">
            <v>1953.9684307170473</v>
          </cell>
          <cell r="AR36">
            <v>2110.6350306098407</v>
          </cell>
          <cell r="AS36">
            <v>2219.3844807015598</v>
          </cell>
          <cell r="AT36">
            <v>2296.3318872330128</v>
          </cell>
          <cell r="AU36">
            <v>2365.6029227453951</v>
          </cell>
          <cell r="AV36">
            <v>2469.5094760139673</v>
          </cell>
          <cell r="AW36">
            <v>2705.4131407480954</v>
          </cell>
          <cell r="AX36">
            <v>3201.0994651387819</v>
          </cell>
          <cell r="AY36">
            <v>4064.7672091499912</v>
          </cell>
        </row>
        <row r="37">
          <cell r="G37">
            <v>5719.8196067798417</v>
          </cell>
          <cell r="K37">
            <v>13.798335985384767</v>
          </cell>
          <cell r="L37">
            <v>16.558003182461722</v>
          </cell>
          <cell r="M37">
            <v>20.237559445230993</v>
          </cell>
          <cell r="N37">
            <v>24.837004773692584</v>
          </cell>
          <cell r="O37">
            <v>34.03589543061576</v>
          </cell>
          <cell r="P37">
            <v>38.635340759077351</v>
          </cell>
          <cell r="Q37">
            <v>43.234786087538943</v>
          </cell>
          <cell r="R37">
            <v>47.834231416000527</v>
          </cell>
          <cell r="S37">
            <v>61.632567401385295</v>
          </cell>
          <cell r="T37">
            <v>69.911568992616154</v>
          </cell>
          <cell r="U37">
            <v>80.95023778092397</v>
          </cell>
          <cell r="V37">
            <v>104.86735348892424</v>
          </cell>
          <cell r="W37">
            <v>120.50546760569364</v>
          </cell>
          <cell r="X37">
            <v>159.140808364771</v>
          </cell>
          <cell r="Y37">
            <v>183.97781313846357</v>
          </cell>
          <cell r="Z37">
            <v>214.33415230631007</v>
          </cell>
          <cell r="AA37">
            <v>222.61315389754094</v>
          </cell>
          <cell r="AB37">
            <v>223.53304296323324</v>
          </cell>
          <cell r="AC37">
            <v>225.37282109461788</v>
          </cell>
          <cell r="AD37">
            <v>229.97226642307945</v>
          </cell>
          <cell r="AE37">
            <v>229.97226642307945</v>
          </cell>
          <cell r="AF37">
            <v>237.33137894861801</v>
          </cell>
          <cell r="AG37">
            <v>243.77060240846424</v>
          </cell>
          <cell r="AH37">
            <v>260.32860559092592</v>
          </cell>
          <cell r="AI37">
            <v>267.68771811646451</v>
          </cell>
          <cell r="AJ37">
            <v>275.04683064200304</v>
          </cell>
          <cell r="AK37">
            <v>284.24572129892624</v>
          </cell>
          <cell r="AL37">
            <v>295.28439008723399</v>
          </cell>
          <cell r="AM37">
            <v>325.64072925508049</v>
          </cell>
          <cell r="AN37">
            <v>349.55784496308075</v>
          </cell>
          <cell r="AO37">
            <v>358.75673562000395</v>
          </cell>
          <cell r="AP37">
            <v>421.30919208708161</v>
          </cell>
          <cell r="AQ37">
            <v>463.62408910892822</v>
          </cell>
          <cell r="AR37">
            <v>496.74009547385162</v>
          </cell>
          <cell r="AS37">
            <v>514.21798772200577</v>
          </cell>
          <cell r="AT37">
            <v>473.74286883154372</v>
          </cell>
          <cell r="AU37">
            <v>492.87656139794387</v>
          </cell>
          <cell r="AV37">
            <v>521.57710024754419</v>
          </cell>
          <cell r="AW37">
            <v>598.84778176569898</v>
          </cell>
          <cell r="AX37">
            <v>698.19580086046926</v>
          </cell>
          <cell r="AY37">
            <v>819.62115753185526</v>
          </cell>
        </row>
        <row r="38">
          <cell r="G38">
            <v>78837.644333495555</v>
          </cell>
          <cell r="K38">
            <v>885.88239278724325</v>
          </cell>
          <cell r="L38">
            <v>1060.8715074118838</v>
          </cell>
          <cell r="M38">
            <v>1240.2353499021403</v>
          </cell>
          <cell r="N38">
            <v>1585.8388512858055</v>
          </cell>
          <cell r="O38">
            <v>2325.1678605749125</v>
          </cell>
          <cell r="P38">
            <v>2441.0981490137365</v>
          </cell>
          <cell r="Q38">
            <v>2707.9565488163139</v>
          </cell>
          <cell r="R38">
            <v>2707.9565488163139</v>
          </cell>
          <cell r="S38">
            <v>2707.9565488163139</v>
          </cell>
          <cell r="T38">
            <v>2952.9413092908103</v>
          </cell>
          <cell r="U38">
            <v>3307.2942664057077</v>
          </cell>
          <cell r="V38">
            <v>3967.8781741137259</v>
          </cell>
          <cell r="W38">
            <v>4145.0546526711751</v>
          </cell>
          <cell r="X38">
            <v>4155.9914723352149</v>
          </cell>
          <cell r="Y38">
            <v>4556.2790720390803</v>
          </cell>
          <cell r="Z38">
            <v>5319.6690845890753</v>
          </cell>
          <cell r="AA38">
            <v>5676.2094056367805</v>
          </cell>
          <cell r="AB38">
            <v>5868.6974317238846</v>
          </cell>
          <cell r="AC38">
            <v>6061.1854578109896</v>
          </cell>
          <cell r="AD38">
            <v>6233.9872085028228</v>
          </cell>
          <cell r="AE38">
            <v>6332.4185854791831</v>
          </cell>
          <cell r="AF38">
            <v>6441.7867821195823</v>
          </cell>
          <cell r="AG38">
            <v>6538.0307951631348</v>
          </cell>
          <cell r="AH38">
            <v>6592.7148934833358</v>
          </cell>
          <cell r="AI38">
            <v>6632.0874442738796</v>
          </cell>
          <cell r="AJ38">
            <v>6697.7083622581195</v>
          </cell>
          <cell r="AK38">
            <v>6758.9545523767438</v>
          </cell>
          <cell r="AL38">
            <v>6863.9480211515283</v>
          </cell>
          <cell r="AM38">
            <v>7078.309686566713</v>
          </cell>
          <cell r="AN38">
            <v>7231.4251618632743</v>
          </cell>
          <cell r="AO38">
            <v>7649.2116730296029</v>
          </cell>
          <cell r="AP38">
            <v>8108.5580989192849</v>
          </cell>
          <cell r="AQ38">
            <v>8979.1289441768731</v>
          </cell>
          <cell r="AR38">
            <v>9685.6474944738584</v>
          </cell>
          <cell r="AS38">
            <v>10269.673664533597</v>
          </cell>
          <cell r="AT38">
            <v>10516.845788940902</v>
          </cell>
          <cell r="AU38">
            <v>10683.08544783431</v>
          </cell>
          <cell r="AV38">
            <v>10932.444936174423</v>
          </cell>
          <cell r="AW38">
            <v>11181.804424514537</v>
          </cell>
          <cell r="AX38">
            <v>11599.590935680864</v>
          </cell>
          <cell r="AY38">
            <v>11929.882889534874</v>
          </cell>
        </row>
        <row r="39">
          <cell r="G39">
            <v>357823.90854952572</v>
          </cell>
          <cell r="K39">
            <v>5237.4736609125403</v>
          </cell>
          <cell r="L39">
            <v>6861.8270761030326</v>
          </cell>
          <cell r="M39">
            <v>9013.4169219997457</v>
          </cell>
          <cell r="N39">
            <v>12574.20119849728</v>
          </cell>
          <cell r="O39">
            <v>18086.923290146158</v>
          </cell>
          <cell r="P39">
            <v>18086.923290146158</v>
          </cell>
          <cell r="Q39">
            <v>19565.899013046328</v>
          </cell>
          <cell r="R39">
            <v>21283.294151302624</v>
          </cell>
          <cell r="S39">
            <v>21327.876643604992</v>
          </cell>
          <cell r="T39">
            <v>23754.714920238042</v>
          </cell>
          <cell r="U39">
            <v>26261.026335323131</v>
          </cell>
          <cell r="V39">
            <v>27197.258673672783</v>
          </cell>
          <cell r="W39">
            <v>28443.630088908445</v>
          </cell>
          <cell r="X39">
            <v>28860.379473474026</v>
          </cell>
          <cell r="Y39">
            <v>31577.973134687712</v>
          </cell>
          <cell r="Z39">
            <v>35266.689780400724</v>
          </cell>
          <cell r="AA39">
            <v>37519.074826285396</v>
          </cell>
          <cell r="AB39">
            <v>38610.376703078051</v>
          </cell>
          <cell r="AC39">
            <v>39558.239256810928</v>
          </cell>
          <cell r="AD39">
            <v>40548.745933615632</v>
          </cell>
          <cell r="AE39">
            <v>41238.805379687008</v>
          </cell>
          <cell r="AF39">
            <v>41645.862918099898</v>
          </cell>
          <cell r="AG39">
            <v>41957.940364216454</v>
          </cell>
          <cell r="AH39">
            <v>42271.956179563538</v>
          </cell>
          <cell r="AI39">
            <v>42446.409410311921</v>
          </cell>
          <cell r="AJ39">
            <v>42710.027625665032</v>
          </cell>
          <cell r="AK39">
            <v>43049.242241009109</v>
          </cell>
          <cell r="AL39">
            <v>43717.979625544569</v>
          </cell>
          <cell r="AM39">
            <v>44640.64337928046</v>
          </cell>
          <cell r="AN39">
            <v>45739.698732995268</v>
          </cell>
          <cell r="AO39">
            <v>48079.310394254127</v>
          </cell>
          <cell r="AP39">
            <v>50756.198301626522</v>
          </cell>
          <cell r="AQ39">
            <v>55712.608424111117</v>
          </cell>
          <cell r="AR39">
            <v>60260.02263895228</v>
          </cell>
          <cell r="AS39">
            <v>64146.452946180121</v>
          </cell>
          <cell r="AT39">
            <v>65136.959622984825</v>
          </cell>
          <cell r="AU39">
            <v>65554.872029088729</v>
          </cell>
          <cell r="AV39">
            <v>66181.740638244577</v>
          </cell>
          <cell r="AW39">
            <v>67747.942976518942</v>
          </cell>
          <cell r="AX39">
            <v>69318.02205325439</v>
          </cell>
          <cell r="AY39">
            <v>70886.162760759296</v>
          </cell>
        </row>
        <row r="40">
          <cell r="G40">
            <v>22372.294804524041</v>
          </cell>
          <cell r="K40">
            <v>6.3005374904832498</v>
          </cell>
          <cell r="L40">
            <v>6.3005374904832498</v>
          </cell>
          <cell r="M40">
            <v>6.3005374904832498</v>
          </cell>
          <cell r="N40">
            <v>6.3005374904832498</v>
          </cell>
          <cell r="O40">
            <v>6.3005374904832498</v>
          </cell>
          <cell r="P40">
            <v>6.3005374904832498</v>
          </cell>
          <cell r="Q40">
            <v>6.3005374904832498</v>
          </cell>
          <cell r="R40">
            <v>6.3005374904832498</v>
          </cell>
          <cell r="S40">
            <v>6.3005374904832498</v>
          </cell>
          <cell r="T40">
            <v>6.3005374904832498</v>
          </cell>
          <cell r="U40">
            <v>7.5606449885798988</v>
          </cell>
          <cell r="V40">
            <v>10.080859984773198</v>
          </cell>
          <cell r="W40">
            <v>11.34096748286985</v>
          </cell>
          <cell r="X40">
            <v>12.6010749809665</v>
          </cell>
          <cell r="Y40">
            <v>16.381397475256449</v>
          </cell>
          <cell r="Z40">
            <v>16.381397475256449</v>
          </cell>
          <cell r="AA40">
            <v>17.641504973353101</v>
          </cell>
          <cell r="AB40">
            <v>17.641504973353101</v>
          </cell>
          <cell r="AC40">
            <v>17.641504973353101</v>
          </cell>
          <cell r="AD40">
            <v>17.641504973353101</v>
          </cell>
          <cell r="AE40">
            <v>17.641504973353101</v>
          </cell>
          <cell r="AF40">
            <v>18.901612471449749</v>
          </cell>
          <cell r="AG40">
            <v>18.901612471449749</v>
          </cell>
          <cell r="AH40">
            <v>18.901612471449749</v>
          </cell>
          <cell r="AI40">
            <v>20.161719969546397</v>
          </cell>
          <cell r="AJ40">
            <v>20.161719969546397</v>
          </cell>
          <cell r="AK40">
            <v>21.421827467643048</v>
          </cell>
          <cell r="AL40">
            <v>21.421827467643048</v>
          </cell>
          <cell r="AM40">
            <v>22.6819349657397</v>
          </cell>
          <cell r="AN40">
            <v>31.502687452416247</v>
          </cell>
          <cell r="AO40">
            <v>42.843654935286096</v>
          </cell>
          <cell r="AP40">
            <v>42.843654935286096</v>
          </cell>
          <cell r="AQ40">
            <v>49.144192425769347</v>
          </cell>
          <cell r="AR40">
            <v>55.444729916252598</v>
          </cell>
          <cell r="AS40">
            <v>55.444729916252598</v>
          </cell>
          <cell r="AT40">
            <v>51.66440742196265</v>
          </cell>
          <cell r="AU40">
            <v>52.672493420439963</v>
          </cell>
          <cell r="AV40">
            <v>54.184622418155953</v>
          </cell>
          <cell r="AW40">
            <v>56.70483741434925</v>
          </cell>
          <cell r="AX40">
            <v>61.745267406735842</v>
          </cell>
          <cell r="AY40">
            <v>71.826127391509047</v>
          </cell>
        </row>
        <row r="41">
          <cell r="G41">
            <v>43144.84869088672</v>
          </cell>
          <cell r="K41">
            <v>798.58660915278972</v>
          </cell>
          <cell r="L41">
            <v>901.93311151373894</v>
          </cell>
          <cell r="M41">
            <v>1031.1162394649255</v>
          </cell>
          <cell r="N41">
            <v>1216.6701868857208</v>
          </cell>
          <cell r="O41">
            <v>1465.6413062098259</v>
          </cell>
          <cell r="P41">
            <v>1686.4270157991264</v>
          </cell>
          <cell r="Q41">
            <v>1864.9346107862207</v>
          </cell>
          <cell r="R41">
            <v>2036.395853339614</v>
          </cell>
          <cell r="S41">
            <v>2160.8814130016663</v>
          </cell>
          <cell r="T41">
            <v>2539.035660276958</v>
          </cell>
          <cell r="U41">
            <v>3060.4657403708384</v>
          </cell>
          <cell r="V41">
            <v>3506.7347278385737</v>
          </cell>
          <cell r="W41">
            <v>3666.4520496691316</v>
          </cell>
          <cell r="X41">
            <v>3833.2157239333901</v>
          </cell>
          <cell r="Y41">
            <v>4091.5819798357634</v>
          </cell>
          <cell r="Z41">
            <v>4321.7628260033325</v>
          </cell>
          <cell r="AA41">
            <v>4434.5044649425499</v>
          </cell>
          <cell r="AB41">
            <v>4481.4801478338904</v>
          </cell>
          <cell r="AC41">
            <v>4547.2461038817673</v>
          </cell>
          <cell r="AD41">
            <v>4638.8486855198817</v>
          </cell>
          <cell r="AE41">
            <v>4678.7780159775202</v>
          </cell>
          <cell r="AF41">
            <v>4702.2658574231909</v>
          </cell>
          <cell r="AG41">
            <v>4714.0097781460263</v>
          </cell>
          <cell r="AH41">
            <v>4732.8000513025618</v>
          </cell>
          <cell r="AI41">
            <v>4739.8464037362637</v>
          </cell>
          <cell r="AJ41">
            <v>4782.1245183384699</v>
          </cell>
          <cell r="AK41">
            <v>4815.0074963624083</v>
          </cell>
          <cell r="AL41">
            <v>4840.8441219526458</v>
          </cell>
          <cell r="AM41">
            <v>4918.353998723358</v>
          </cell>
          <cell r="AN41">
            <v>4977.073602337533</v>
          </cell>
          <cell r="AO41">
            <v>5092.164025421318</v>
          </cell>
          <cell r="AP41">
            <v>5366.97177033566</v>
          </cell>
          <cell r="AQ41">
            <v>5806.1944053696943</v>
          </cell>
          <cell r="AR41">
            <v>6391.0416573668845</v>
          </cell>
          <cell r="AS41">
            <v>6856.1009179911562</v>
          </cell>
          <cell r="AT41">
            <v>6846.7057814128884</v>
          </cell>
          <cell r="AU41">
            <v>6975.4191525351616</v>
          </cell>
          <cell r="AV41">
            <v>7168.4892092185719</v>
          </cell>
          <cell r="AW41">
            <v>7497.3189894579555</v>
          </cell>
          <cell r="AX41">
            <v>7877.8220208778139</v>
          </cell>
          <cell r="AY41">
            <v>8314.6958717672806</v>
          </cell>
        </row>
        <row r="42">
          <cell r="G42">
            <v>48092.0543355236</v>
          </cell>
          <cell r="K42">
            <v>68.954267657975507</v>
          </cell>
          <cell r="L42">
            <v>84.866790963662154</v>
          </cell>
          <cell r="M42">
            <v>106.0834887045777</v>
          </cell>
          <cell r="N42">
            <v>137.90853531595101</v>
          </cell>
          <cell r="O42">
            <v>180.34193079778208</v>
          </cell>
          <cell r="P42">
            <v>233.38367515007096</v>
          </cell>
          <cell r="Q42">
            <v>302.33794280804648</v>
          </cell>
          <cell r="R42">
            <v>365.98803603079307</v>
          </cell>
          <cell r="S42">
            <v>498.59239691151521</v>
          </cell>
          <cell r="T42">
            <v>705.45519988544163</v>
          </cell>
          <cell r="U42">
            <v>1013.0973171287171</v>
          </cell>
          <cell r="V42">
            <v>1262.3935155844747</v>
          </cell>
          <cell r="W42">
            <v>1288.9143877606191</v>
          </cell>
          <cell r="X42">
            <v>1331.3477832424503</v>
          </cell>
          <cell r="Y42">
            <v>1400.3020509004257</v>
          </cell>
          <cell r="Z42">
            <v>1527.6022373459189</v>
          </cell>
          <cell r="AA42">
            <v>1601.8606794391233</v>
          </cell>
          <cell r="AB42">
            <v>1633.6857260504964</v>
          </cell>
          <cell r="AC42">
            <v>1723.8566914493877</v>
          </cell>
          <cell r="AD42">
            <v>1814.0276568482786</v>
          </cell>
          <cell r="AE42">
            <v>2063.3238553040364</v>
          </cell>
          <cell r="AF42">
            <v>2073.932204174494</v>
          </cell>
          <cell r="AG42">
            <v>2073.932204174494</v>
          </cell>
          <cell r="AH42">
            <v>2095.1489019154096</v>
          </cell>
          <cell r="AI42">
            <v>2105.7572507858672</v>
          </cell>
          <cell r="AJ42">
            <v>2105.7572507858672</v>
          </cell>
          <cell r="AK42">
            <v>2121.6697740915542</v>
          </cell>
          <cell r="AL42">
            <v>2142.8864718324699</v>
          </cell>
          <cell r="AM42">
            <v>2158.7989951381564</v>
          </cell>
          <cell r="AN42">
            <v>2174.711518443843</v>
          </cell>
          <cell r="AO42">
            <v>2248.9699605370474</v>
          </cell>
          <cell r="AP42">
            <v>2328.5325770654804</v>
          </cell>
          <cell r="AQ42">
            <v>2492.9619845575762</v>
          </cell>
          <cell r="AR42">
            <v>2689.2164386610448</v>
          </cell>
          <cell r="AS42">
            <v>2747.5623574485626</v>
          </cell>
          <cell r="AT42">
            <v>2885.4708927645133</v>
          </cell>
          <cell r="AU42">
            <v>2983.0677023727249</v>
          </cell>
          <cell r="AV42">
            <v>3129.4629167850421</v>
          </cell>
          <cell r="AW42">
            <v>3346.9340686294263</v>
          </cell>
          <cell r="AX42">
            <v>3590.9260926499551</v>
          </cell>
          <cell r="AY42">
            <v>3856.1348144113995</v>
          </cell>
        </row>
        <row r="43">
          <cell r="G43">
            <v>2308025.9586943681</v>
          </cell>
          <cell r="K43">
            <v>130.39468956771108</v>
          </cell>
          <cell r="L43">
            <v>139.5990205960201</v>
          </cell>
          <cell r="M43">
            <v>153.40551713848362</v>
          </cell>
          <cell r="N43">
            <v>171.81417919510167</v>
          </cell>
          <cell r="O43">
            <v>197.89311710864388</v>
          </cell>
          <cell r="P43">
            <v>217.83583433664674</v>
          </cell>
          <cell r="Q43">
            <v>240.8466619074193</v>
          </cell>
          <cell r="R43">
            <v>266.92559982096151</v>
          </cell>
          <cell r="S43">
            <v>296.07264807727341</v>
          </cell>
          <cell r="T43">
            <v>452.5462755585267</v>
          </cell>
          <cell r="U43">
            <v>773.16380637795748</v>
          </cell>
          <cell r="V43">
            <v>1199.631144022942</v>
          </cell>
          <cell r="W43">
            <v>1965.1246745439753</v>
          </cell>
          <cell r="X43">
            <v>2163.0177916526195</v>
          </cell>
          <cell r="Y43">
            <v>2474.4309914437413</v>
          </cell>
          <cell r="Z43">
            <v>2678.4603292379238</v>
          </cell>
          <cell r="AA43">
            <v>2870.2172256610288</v>
          </cell>
          <cell r="AB43">
            <v>2936.1815980305764</v>
          </cell>
          <cell r="AC43">
            <v>3009.8162462570485</v>
          </cell>
          <cell r="AD43">
            <v>3127.938494453681</v>
          </cell>
          <cell r="AE43">
            <v>3204.6412530229231</v>
          </cell>
          <cell r="AF43">
            <v>3324.2975563909404</v>
          </cell>
          <cell r="AG43">
            <v>3405.6024804743365</v>
          </cell>
          <cell r="AH43">
            <v>3519.1225631568145</v>
          </cell>
          <cell r="AI43">
            <v>3620.3702044682136</v>
          </cell>
          <cell r="AJ43">
            <v>3729.2881216365367</v>
          </cell>
          <cell r="AK43">
            <v>3867.3530870611721</v>
          </cell>
          <cell r="AL43">
            <v>4186.4365627092175</v>
          </cell>
          <cell r="AM43">
            <v>4418.0788935883284</v>
          </cell>
          <cell r="AN43">
            <v>4592.9611831262</v>
          </cell>
          <cell r="AO43">
            <v>4973.4068656296395</v>
          </cell>
          <cell r="AP43">
            <v>5479.6450721866349</v>
          </cell>
          <cell r="AQ43">
            <v>6119.3460786541118</v>
          </cell>
          <cell r="AR43">
            <v>6872.5671678040662</v>
          </cell>
          <cell r="AS43">
            <v>7839.0219257765139</v>
          </cell>
          <cell r="AT43">
            <v>8059.9258704559306</v>
          </cell>
          <cell r="AU43">
            <v>8264.2620192843897</v>
          </cell>
          <cell r="AV43">
            <v>8570.766242527081</v>
          </cell>
          <cell r="AW43">
            <v>9400.6900902462767</v>
          </cell>
          <cell r="AX43">
            <v>10612.593675640299</v>
          </cell>
          <cell r="AY43">
            <v>12651.352998410744</v>
          </cell>
        </row>
        <row r="44">
          <cell r="G44">
            <v>256339.74082357291</v>
          </cell>
          <cell r="K44">
            <v>59.74020171320209</v>
          </cell>
          <cell r="L44">
            <v>65.17112914167501</v>
          </cell>
          <cell r="M44">
            <v>70.602056570147923</v>
          </cell>
          <cell r="N44">
            <v>78.748447712857299</v>
          </cell>
          <cell r="O44">
            <v>95.041229998276052</v>
          </cell>
          <cell r="P44">
            <v>105.90308485522189</v>
          </cell>
          <cell r="Q44">
            <v>114.04947599793125</v>
          </cell>
          <cell r="R44">
            <v>171.07421399689687</v>
          </cell>
          <cell r="S44">
            <v>200.94431485349793</v>
          </cell>
          <cell r="T44">
            <v>279.69276256635521</v>
          </cell>
          <cell r="U44">
            <v>431.75873056359688</v>
          </cell>
          <cell r="V44">
            <v>700.58963827300624</v>
          </cell>
          <cell r="W44">
            <v>1113.340122836948</v>
          </cell>
          <cell r="X44">
            <v>1281.6988731196084</v>
          </cell>
          <cell r="Y44">
            <v>1441.9112322595595</v>
          </cell>
          <cell r="Z44">
            <v>1596.6926639710377</v>
          </cell>
          <cell r="AA44">
            <v>1767.7668779679345</v>
          </cell>
          <cell r="AB44">
            <v>1993.1503662495604</v>
          </cell>
          <cell r="AC44">
            <v>2071.898813962418</v>
          </cell>
          <cell r="AD44">
            <v>2156.0781891037482</v>
          </cell>
          <cell r="AE44">
            <v>2199.5256085315314</v>
          </cell>
          <cell r="AF44">
            <v>2294.5668385298072</v>
          </cell>
          <cell r="AG44">
            <v>2329.8678668148814</v>
          </cell>
          <cell r="AH44">
            <v>2411.3317782419754</v>
          </cell>
          <cell r="AI44">
            <v>2465.6410525267042</v>
          </cell>
          <cell r="AJ44">
            <v>2552.5358913822711</v>
          </cell>
          <cell r="AK44">
            <v>2604.1297019527638</v>
          </cell>
          <cell r="AL44">
            <v>2767.0575248069513</v>
          </cell>
          <cell r="AM44">
            <v>2968.0018396604491</v>
          </cell>
          <cell r="AN44">
            <v>3158.0842996570013</v>
          </cell>
          <cell r="AO44">
            <v>3326.4430499396617</v>
          </cell>
          <cell r="AP44">
            <v>3660.4450867907462</v>
          </cell>
          <cell r="AQ44">
            <v>4236.1233942088747</v>
          </cell>
          <cell r="AR44">
            <v>4635.2965602016347</v>
          </cell>
          <cell r="AS44">
            <v>5181.1047667631628</v>
          </cell>
          <cell r="AT44">
            <v>5243.5604321906012</v>
          </cell>
          <cell r="AU44">
            <v>5408.660626016178</v>
          </cell>
          <cell r="AV44">
            <v>5656.3109167545435</v>
          </cell>
          <cell r="AW44">
            <v>6069.061401318485</v>
          </cell>
          <cell r="AX44">
            <v>6604.0077530230665</v>
          </cell>
          <cell r="AY44">
            <v>7263.8654355825265</v>
          </cell>
        </row>
        <row r="45">
          <cell r="G45">
            <v>983764.18107982387</v>
          </cell>
          <cell r="K45">
            <v>165.84756161633675</v>
          </cell>
          <cell r="L45">
            <v>199.49779150950653</v>
          </cell>
          <cell r="M45">
            <v>295.64130548999162</v>
          </cell>
          <cell r="N45">
            <v>390.5830255457206</v>
          </cell>
          <cell r="O45">
            <v>490.33192130047382</v>
          </cell>
          <cell r="P45">
            <v>563.64135071059366</v>
          </cell>
          <cell r="Q45">
            <v>647.76692544351818</v>
          </cell>
          <cell r="R45">
            <v>765.54273006961228</v>
          </cell>
          <cell r="S45">
            <v>954.22437625631437</v>
          </cell>
          <cell r="T45">
            <v>1368.8432802971563</v>
          </cell>
          <cell r="U45">
            <v>1982.9599758475044</v>
          </cell>
          <cell r="V45">
            <v>2598.278465322609</v>
          </cell>
          <cell r="W45">
            <v>3324.1619958752717</v>
          </cell>
          <cell r="X45">
            <v>3461.1665032974624</v>
          </cell>
          <cell r="Y45">
            <v>3917.8481947047662</v>
          </cell>
          <cell r="Z45">
            <v>4381.7406496606072</v>
          </cell>
          <cell r="AA45">
            <v>4893.7048616066904</v>
          </cell>
          <cell r="AB45">
            <v>5178.5300217738768</v>
          </cell>
          <cell r="AC45">
            <v>5408.0726614022851</v>
          </cell>
          <cell r="AD45">
            <v>5774.6198084528842</v>
          </cell>
          <cell r="AE45">
            <v>6136.3597798044593</v>
          </cell>
          <cell r="AF45">
            <v>6609.8665861583486</v>
          </cell>
          <cell r="AG45">
            <v>7226.3868695582096</v>
          </cell>
          <cell r="AH45">
            <v>7684.2703548902691</v>
          </cell>
          <cell r="AI45">
            <v>8192.6291850620837</v>
          </cell>
          <cell r="AJ45">
            <v>8477.454345229271</v>
          </cell>
          <cell r="AK45">
            <v>8995.4275267991343</v>
          </cell>
          <cell r="AL45">
            <v>9525.4186476165596</v>
          </cell>
          <cell r="AM45">
            <v>11222.351669372121</v>
          </cell>
          <cell r="AN45">
            <v>12258.298032511846</v>
          </cell>
          <cell r="AO45">
            <v>13290.639013877306</v>
          </cell>
          <cell r="AP45">
            <v>14375.858927932029</v>
          </cell>
          <cell r="AQ45">
            <v>15298.836662144686</v>
          </cell>
          <cell r="AR45">
            <v>16218.209014583075</v>
          </cell>
          <cell r="AS45">
            <v>17269.778698744631</v>
          </cell>
          <cell r="AT45">
            <v>18211.985135753384</v>
          </cell>
          <cell r="AU45">
            <v>18999.88123282346</v>
          </cell>
          <cell r="AV45">
            <v>20181.725378428571</v>
          </cell>
          <cell r="AW45">
            <v>22578.102464392163</v>
          </cell>
          <cell r="AX45">
            <v>26101.762251776941</v>
          </cell>
          <cell r="AY45">
            <v>30330.875072993527</v>
          </cell>
        </row>
        <row r="46">
          <cell r="G46">
            <v>120457.44702567111</v>
          </cell>
          <cell r="K46">
            <v>9.6316684614647805</v>
          </cell>
          <cell r="L46">
            <v>9.6316684614647805</v>
          </cell>
          <cell r="M46">
            <v>9.6316684614647805</v>
          </cell>
          <cell r="N46">
            <v>9.6316684614647805</v>
          </cell>
          <cell r="O46">
            <v>9.6316684614647805</v>
          </cell>
          <cell r="P46">
            <v>9.6316684614647805</v>
          </cell>
          <cell r="Q46">
            <v>9.6316684614647805</v>
          </cell>
          <cell r="R46">
            <v>9.6316684614647805</v>
          </cell>
          <cell r="S46">
            <v>12.842224615286375</v>
          </cell>
          <cell r="T46">
            <v>16.052780769107969</v>
          </cell>
          <cell r="U46">
            <v>22.473893076751157</v>
          </cell>
          <cell r="V46">
            <v>28.895005384394342</v>
          </cell>
          <cell r="W46">
            <v>35.316117692037537</v>
          </cell>
          <cell r="X46">
            <v>35.316117692037537</v>
          </cell>
          <cell r="Y46">
            <v>35.316117692037537</v>
          </cell>
          <cell r="Z46">
            <v>44.947786153502314</v>
          </cell>
          <cell r="AA46">
            <v>54.579454614967098</v>
          </cell>
          <cell r="AB46">
            <v>57.790010768788683</v>
          </cell>
          <cell r="AC46">
            <v>80.263903845539843</v>
          </cell>
          <cell r="AD46">
            <v>80.263903845539843</v>
          </cell>
          <cell r="AE46">
            <v>80.263903845539843</v>
          </cell>
          <cell r="AF46">
            <v>80.263903845539843</v>
          </cell>
          <cell r="AG46">
            <v>80.263903845539843</v>
          </cell>
          <cell r="AH46">
            <v>80.263903845539843</v>
          </cell>
          <cell r="AI46">
            <v>80.263903845539843</v>
          </cell>
          <cell r="AJ46">
            <v>80.263903845539843</v>
          </cell>
          <cell r="AK46">
            <v>80.263903845539843</v>
          </cell>
          <cell r="AL46">
            <v>93.106128460826213</v>
          </cell>
          <cell r="AM46">
            <v>93.106128460826213</v>
          </cell>
          <cell r="AN46">
            <v>93.106128460826213</v>
          </cell>
          <cell r="AO46">
            <v>93.106128460826213</v>
          </cell>
          <cell r="AP46">
            <v>93.106128460826213</v>
          </cell>
          <cell r="AQ46">
            <v>93.106128460826213</v>
          </cell>
          <cell r="AR46">
            <v>93.106128460826213</v>
          </cell>
          <cell r="AS46">
            <v>93.106128460826213</v>
          </cell>
          <cell r="AT46">
            <v>109.1589092299342</v>
          </cell>
          <cell r="AU46">
            <v>123.28535630674919</v>
          </cell>
          <cell r="AV46">
            <v>144.4750269219717</v>
          </cell>
          <cell r="AW46">
            <v>195.84392538311721</v>
          </cell>
          <cell r="AX46">
            <v>263.26560461337073</v>
          </cell>
          <cell r="AY46">
            <v>353.16117692037534</v>
          </cell>
        </row>
        <row r="47">
          <cell r="G47">
            <v>506044.32052419242</v>
          </cell>
          <cell r="K47">
            <v>2857.3743318198485</v>
          </cell>
          <cell r="L47">
            <v>3159.9358114000133</v>
          </cell>
          <cell r="M47">
            <v>3466.5676247861893</v>
          </cell>
          <cell r="N47">
            <v>3706.7173193408485</v>
          </cell>
          <cell r="O47">
            <v>4153.097260066741</v>
          </cell>
          <cell r="P47">
            <v>4477.3671866122995</v>
          </cell>
          <cell r="Q47">
            <v>5005.1538034584155</v>
          </cell>
          <cell r="R47">
            <v>5538.3675320458797</v>
          </cell>
          <cell r="S47">
            <v>6034.9482563792444</v>
          </cell>
          <cell r="T47">
            <v>6918.2106922836701</v>
          </cell>
          <cell r="U47">
            <v>8995.4377112847087</v>
          </cell>
          <cell r="V47">
            <v>10995.328387971536</v>
          </cell>
          <cell r="W47">
            <v>11772.762144919672</v>
          </cell>
          <cell r="X47">
            <v>12211.001418033542</v>
          </cell>
          <cell r="Y47">
            <v>13139.037525804091</v>
          </cell>
          <cell r="Z47">
            <v>14604.357695968116</v>
          </cell>
          <cell r="AA47">
            <v>15681.639376625742</v>
          </cell>
          <cell r="AB47">
            <v>15985.557634141245</v>
          </cell>
          <cell r="AC47">
            <v>16484.851914345283</v>
          </cell>
          <cell r="AD47">
            <v>17232.436556716002</v>
          </cell>
          <cell r="AE47">
            <v>17929.820415479251</v>
          </cell>
          <cell r="AF47">
            <v>18505.094260062164</v>
          </cell>
          <cell r="AG47">
            <v>18893.132749568565</v>
          </cell>
          <cell r="AH47">
            <v>19414.135476737993</v>
          </cell>
          <cell r="AI47">
            <v>19775.038407537653</v>
          </cell>
          <cell r="AJ47">
            <v>20308.252136125117</v>
          </cell>
          <cell r="AK47">
            <v>20814.330306005842</v>
          </cell>
          <cell r="AL47">
            <v>21764.074860741785</v>
          </cell>
          <cell r="AM47">
            <v>22803.36675920997</v>
          </cell>
          <cell r="AN47">
            <v>23261.957701353898</v>
          </cell>
          <cell r="AO47">
            <v>24061.099905267427</v>
          </cell>
          <cell r="AP47">
            <v>24569.891631018825</v>
          </cell>
          <cell r="AQ47">
            <v>25321.546607195556</v>
          </cell>
          <cell r="AR47">
            <v>26318.778389668296</v>
          </cell>
          <cell r="AS47">
            <v>27024.302916043565</v>
          </cell>
          <cell r="AT47">
            <v>27325.507617688392</v>
          </cell>
          <cell r="AU47">
            <v>27843.796788987151</v>
          </cell>
          <cell r="AV47">
            <v>28621.230545935287</v>
          </cell>
          <cell r="AW47">
            <v>29915.596696246845</v>
          </cell>
          <cell r="AX47">
            <v>31215.389958299744</v>
          </cell>
          <cell r="AY47">
            <v>32296.741972763382</v>
          </cell>
        </row>
        <row r="48">
          <cell r="G48">
            <v>45489.856653638657</v>
          </cell>
          <cell r="K48">
            <v>74.595449344180096</v>
          </cell>
          <cell r="L48">
            <v>83.72958599856949</v>
          </cell>
          <cell r="M48">
            <v>94.3860787620238</v>
          </cell>
          <cell r="N48">
            <v>107.32610568907545</v>
          </cell>
          <cell r="O48">
            <v>123.3108448342569</v>
          </cell>
          <cell r="P48">
            <v>131.68380343411383</v>
          </cell>
          <cell r="Q48">
            <v>142.34029619756816</v>
          </cell>
          <cell r="R48">
            <v>152.99678896102245</v>
          </cell>
          <cell r="S48">
            <v>163.65328172447676</v>
          </cell>
          <cell r="T48">
            <v>184.2050891968529</v>
          </cell>
          <cell r="U48">
            <v>216.1745674872158</v>
          </cell>
          <cell r="V48">
            <v>239.77108717772174</v>
          </cell>
          <cell r="W48">
            <v>252.7111141047734</v>
          </cell>
          <cell r="X48">
            <v>254.99464826837075</v>
          </cell>
          <cell r="Y48">
            <v>318.93360484909653</v>
          </cell>
          <cell r="Z48">
            <v>348.61954897586207</v>
          </cell>
          <cell r="AA48">
            <v>376.0219589390303</v>
          </cell>
          <cell r="AB48">
            <v>378.30549310262762</v>
          </cell>
          <cell r="AC48">
            <v>388.96198586608199</v>
          </cell>
          <cell r="AD48">
            <v>468.88568159198917</v>
          </cell>
          <cell r="AE48">
            <v>470.40803770105407</v>
          </cell>
          <cell r="AF48">
            <v>470.40803770105407</v>
          </cell>
          <cell r="AG48">
            <v>475.73628408278125</v>
          </cell>
          <cell r="AH48">
            <v>479.54217435544348</v>
          </cell>
          <cell r="AI48">
            <v>484.10924268263818</v>
          </cell>
          <cell r="AJ48">
            <v>490.19866711889784</v>
          </cell>
          <cell r="AK48">
            <v>496.28809155515745</v>
          </cell>
          <cell r="AL48">
            <v>503.8998721004819</v>
          </cell>
          <cell r="AM48">
            <v>514.5563648639361</v>
          </cell>
          <cell r="AN48">
            <v>536.63052844537719</v>
          </cell>
          <cell r="AO48">
            <v>589.91299226264869</v>
          </cell>
          <cell r="AP48">
            <v>662.98608549776395</v>
          </cell>
          <cell r="AQ48">
            <v>733.77564456928178</v>
          </cell>
          <cell r="AR48">
            <v>856.32531134900626</v>
          </cell>
          <cell r="AS48">
            <v>891.33950185749893</v>
          </cell>
          <cell r="AT48">
            <v>922.54780209332944</v>
          </cell>
          <cell r="AU48">
            <v>945.99208617292879</v>
          </cell>
          <cell r="AV48">
            <v>981.15851229232794</v>
          </cell>
          <cell r="AW48">
            <v>1047.3810030366512</v>
          </cell>
          <cell r="AX48">
            <v>1112.8423157264417</v>
          </cell>
          <cell r="AY48">
            <v>1166.8859575982458</v>
          </cell>
        </row>
        <row r="49">
          <cell r="G49">
            <v>1129022.523669105</v>
          </cell>
          <cell r="K49">
            <v>129.21517091449269</v>
          </cell>
          <cell r="L49">
            <v>129.21517091449269</v>
          </cell>
          <cell r="M49">
            <v>129.21517091449269</v>
          </cell>
          <cell r="N49">
            <v>129.21517091449269</v>
          </cell>
          <cell r="O49">
            <v>129.21517091449269</v>
          </cell>
          <cell r="P49">
            <v>129.21517091449269</v>
          </cell>
          <cell r="Q49">
            <v>129.21517091449269</v>
          </cell>
          <cell r="R49">
            <v>129.21517091449269</v>
          </cell>
          <cell r="S49">
            <v>129.21517091449269</v>
          </cell>
          <cell r="T49">
            <v>159.03405651014486</v>
          </cell>
          <cell r="U49">
            <v>228.61145623333323</v>
          </cell>
          <cell r="V49">
            <v>298.18885595652159</v>
          </cell>
          <cell r="W49">
            <v>457.22291246666646</v>
          </cell>
          <cell r="X49">
            <v>536.73994072173889</v>
          </cell>
          <cell r="Y49">
            <v>566.55882631739109</v>
          </cell>
          <cell r="Z49">
            <v>705.71362576376782</v>
          </cell>
          <cell r="AA49">
            <v>735.53251135941991</v>
          </cell>
          <cell r="AB49">
            <v>745.4721398913041</v>
          </cell>
          <cell r="AC49">
            <v>755.41176842318805</v>
          </cell>
          <cell r="AD49">
            <v>775.29102548695619</v>
          </cell>
          <cell r="AE49">
            <v>815.04953961449246</v>
          </cell>
          <cell r="AF49">
            <v>834.92879667826048</v>
          </cell>
          <cell r="AG49">
            <v>884.62693933768082</v>
          </cell>
          <cell r="AH49">
            <v>993.96285318840535</v>
          </cell>
          <cell r="AI49">
            <v>1083.419509975362</v>
          </cell>
          <cell r="AJ49">
            <v>1192.7554238260864</v>
          </cell>
          <cell r="AK49">
            <v>1312.030966208695</v>
          </cell>
          <cell r="AL49">
            <v>1461.1253941869561</v>
          </cell>
          <cell r="AM49">
            <v>1540.6424224420284</v>
          </cell>
          <cell r="AN49">
            <v>1550.5820509739124</v>
          </cell>
          <cell r="AO49">
            <v>1630.0990792289849</v>
          </cell>
          <cell r="AP49">
            <v>1928.2879351855065</v>
          </cell>
          <cell r="AQ49">
            <v>2176.7786484826079</v>
          </cell>
          <cell r="AR49">
            <v>2524.6656470985499</v>
          </cell>
          <cell r="AS49">
            <v>2892.4319027782594</v>
          </cell>
          <cell r="AT49">
            <v>3081.2848448840568</v>
          </cell>
          <cell r="AU49">
            <v>3232.3671985686942</v>
          </cell>
          <cell r="AV49">
            <v>3458.9907290956503</v>
          </cell>
          <cell r="AW49">
            <v>3975.8514127536214</v>
          </cell>
          <cell r="AX49">
            <v>4731.2631811768097</v>
          </cell>
          <cell r="AY49">
            <v>5983.6563761942007</v>
          </cell>
        </row>
        <row r="50">
          <cell r="G50">
            <v>336940.10125086189</v>
          </cell>
          <cell r="K50">
            <v>3477.6915773081328</v>
          </cell>
          <cell r="L50">
            <v>3477.6915773081328</v>
          </cell>
          <cell r="M50">
            <v>3477.6915773081328</v>
          </cell>
          <cell r="N50">
            <v>3477.6915773081328</v>
          </cell>
          <cell r="O50">
            <v>3477.6915773081328</v>
          </cell>
          <cell r="P50">
            <v>3477.6915773081328</v>
          </cell>
          <cell r="Q50">
            <v>3477.6915773081328</v>
          </cell>
          <cell r="R50">
            <v>3477.6915773081328</v>
          </cell>
          <cell r="S50">
            <v>3477.6915773081328</v>
          </cell>
          <cell r="T50">
            <v>3477.6915773081328</v>
          </cell>
          <cell r="U50">
            <v>3477.6915773081328</v>
          </cell>
          <cell r="V50">
            <v>3477.6915773081328</v>
          </cell>
          <cell r="W50">
            <v>3477.6915773081328</v>
          </cell>
          <cell r="X50">
            <v>3597.2734791196003</v>
          </cell>
          <cell r="Y50">
            <v>3878.3801886017818</v>
          </cell>
          <cell r="Z50">
            <v>4217.4930444850488</v>
          </cell>
          <cell r="AA50">
            <v>4397.7582994545746</v>
          </cell>
          <cell r="AB50">
            <v>4462.0112616219303</v>
          </cell>
          <cell r="AC50">
            <v>4513.7705922567457</v>
          </cell>
          <cell r="AD50">
            <v>4566.4223251438834</v>
          </cell>
          <cell r="AE50">
            <v>4582.4855656857226</v>
          </cell>
          <cell r="AF50">
            <v>4590.5171859566426</v>
          </cell>
          <cell r="AG50">
            <v>4603.0108174891839</v>
          </cell>
          <cell r="AH50">
            <v>4612.8272422647515</v>
          </cell>
          <cell r="AI50">
            <v>4642.276516591457</v>
          </cell>
          <cell r="AJ50">
            <v>4672.6181931704859</v>
          </cell>
          <cell r="AK50">
            <v>4735.9787530855174</v>
          </cell>
          <cell r="AL50">
            <v>4784.1684747110339</v>
          </cell>
          <cell r="AM50">
            <v>4832.3581963365505</v>
          </cell>
          <cell r="AN50">
            <v>4889.4719404853122</v>
          </cell>
          <cell r="AO50">
            <v>5070.6295977071622</v>
          </cell>
          <cell r="AP50">
            <v>5178.6102702384132</v>
          </cell>
          <cell r="AQ50">
            <v>5721.1908396516392</v>
          </cell>
          <cell r="AR50">
            <v>6160.2527477952381</v>
          </cell>
          <cell r="AS50">
            <v>6328.0243712322217</v>
          </cell>
          <cell r="AT50">
            <v>6129.018668963884</v>
          </cell>
          <cell r="AU50">
            <v>6129.018668963884</v>
          </cell>
          <cell r="AV50">
            <v>6129.018668963884</v>
          </cell>
          <cell r="AW50">
            <v>6129.018668963884</v>
          </cell>
          <cell r="AX50">
            <v>6129.018668963884</v>
          </cell>
          <cell r="AY50">
            <v>6129.018668963884</v>
          </cell>
        </row>
        <row r="51">
          <cell r="G51">
            <v>1266060.0913518129</v>
          </cell>
          <cell r="K51">
            <v>12723.687686294888</v>
          </cell>
          <cell r="L51">
            <v>13730.106791044771</v>
          </cell>
          <cell r="M51">
            <v>14668.216906784479</v>
          </cell>
          <cell r="N51">
            <v>15588.111292121475</v>
          </cell>
          <cell r="O51">
            <v>16669.670284782547</v>
          </cell>
          <cell r="P51">
            <v>16669.670284782547</v>
          </cell>
          <cell r="Q51">
            <v>17978.925907477529</v>
          </cell>
          <cell r="R51">
            <v>18243.053998316867</v>
          </cell>
          <cell r="S51">
            <v>18889.712427613169</v>
          </cell>
          <cell r="T51">
            <v>22585.22873306353</v>
          </cell>
          <cell r="U51">
            <v>29345.541678770318</v>
          </cell>
          <cell r="V51">
            <v>32583.387757852513</v>
          </cell>
          <cell r="W51">
            <v>35267.931025952312</v>
          </cell>
          <cell r="X51">
            <v>36451.953502128643</v>
          </cell>
          <cell r="Y51">
            <v>39671.583850808136</v>
          </cell>
          <cell r="Z51">
            <v>43496.887235377821</v>
          </cell>
          <cell r="AA51">
            <v>45616.742860993523</v>
          </cell>
          <cell r="AB51">
            <v>46689.19398845324</v>
          </cell>
          <cell r="AC51">
            <v>47449.700732766491</v>
          </cell>
          <cell r="AD51">
            <v>48633.723208942829</v>
          </cell>
          <cell r="AE51">
            <v>49779.037258013392</v>
          </cell>
          <cell r="AF51">
            <v>50439.35748511173</v>
          </cell>
          <cell r="AG51">
            <v>51086.015914408039</v>
          </cell>
          <cell r="AH51">
            <v>51652.980523192477</v>
          </cell>
          <cell r="AI51">
            <v>52087.881086557238</v>
          </cell>
          <cell r="AJ51">
            <v>52684.446257246091</v>
          </cell>
          <cell r="AK51">
            <v>53306.058057238661</v>
          </cell>
          <cell r="AL51">
            <v>54301.092330486848</v>
          </cell>
          <cell r="AM51">
            <v>56172.758629365591</v>
          </cell>
          <cell r="AN51">
            <v>58215.197400769757</v>
          </cell>
          <cell r="AO51">
            <v>60143.787857156974</v>
          </cell>
          <cell r="AP51">
            <v>61988.130560431644</v>
          </cell>
          <cell r="AQ51">
            <v>65685.923832182336</v>
          </cell>
          <cell r="AR51">
            <v>70362.812613078859</v>
          </cell>
          <cell r="AS51">
            <v>74169.90026724583</v>
          </cell>
          <cell r="AT51">
            <v>75363.030608623521</v>
          </cell>
          <cell r="AU51">
            <v>76796.60859131701</v>
          </cell>
          <cell r="AV51">
            <v>78946.97556535725</v>
          </cell>
          <cell r="AW51">
            <v>83132.039625380523</v>
          </cell>
          <cell r="AX51">
            <v>87922.776721293994</v>
          </cell>
          <cell r="AY51">
            <v>92736.283480210841</v>
          </cell>
        </row>
        <row r="52">
          <cell r="G52">
            <v>264549.83568593091</v>
          </cell>
          <cell r="K52">
            <v>21.656812607187486</v>
          </cell>
          <cell r="L52">
            <v>21.656812607187486</v>
          </cell>
          <cell r="M52">
            <v>21.656812607187486</v>
          </cell>
          <cell r="N52">
            <v>21.656812607187486</v>
          </cell>
          <cell r="O52">
            <v>23.32272126927883</v>
          </cell>
          <cell r="P52">
            <v>23.32272126927883</v>
          </cell>
          <cell r="Q52">
            <v>24.988629931370177</v>
          </cell>
          <cell r="R52">
            <v>26.65453859346152</v>
          </cell>
          <cell r="S52">
            <v>31.652264579735554</v>
          </cell>
          <cell r="T52">
            <v>33.318173241826905</v>
          </cell>
          <cell r="U52">
            <v>44.979533876466313</v>
          </cell>
          <cell r="V52">
            <v>66.63634648365381</v>
          </cell>
          <cell r="W52">
            <v>79.963615780384558</v>
          </cell>
          <cell r="X52">
            <v>91.62497641502398</v>
          </cell>
          <cell r="Y52">
            <v>98.288611063389354</v>
          </cell>
          <cell r="Z52">
            <v>109.94997169802878</v>
          </cell>
          <cell r="AA52">
            <v>111.61588036012012</v>
          </cell>
          <cell r="AB52">
            <v>114.94769768430281</v>
          </cell>
          <cell r="AC52">
            <v>114.94769768430281</v>
          </cell>
          <cell r="AD52">
            <v>114.94769768430281</v>
          </cell>
          <cell r="AE52">
            <v>118.27951500848549</v>
          </cell>
          <cell r="AF52">
            <v>119.94542367057684</v>
          </cell>
          <cell r="AG52">
            <v>119.94542367057684</v>
          </cell>
          <cell r="AH52">
            <v>123.27724099475952</v>
          </cell>
          <cell r="AI52">
            <v>123.27724099475952</v>
          </cell>
          <cell r="AJ52">
            <v>129.94087564312491</v>
          </cell>
          <cell r="AK52">
            <v>133.27269296730762</v>
          </cell>
          <cell r="AL52">
            <v>134.93860162939896</v>
          </cell>
          <cell r="AM52">
            <v>153.26359691240376</v>
          </cell>
          <cell r="AN52">
            <v>156.59541423658644</v>
          </cell>
          <cell r="AO52">
            <v>164.92495754704316</v>
          </cell>
          <cell r="AP52">
            <v>188.24767881632198</v>
          </cell>
          <cell r="AQ52">
            <v>234.89312135487964</v>
          </cell>
          <cell r="AR52">
            <v>261.54765994834116</v>
          </cell>
          <cell r="AS52">
            <v>294.86583319016808</v>
          </cell>
          <cell r="AT52">
            <v>259.88175128624982</v>
          </cell>
          <cell r="AU52">
            <v>265.21265900494211</v>
          </cell>
          <cell r="AV52">
            <v>273.2090205829806</v>
          </cell>
          <cell r="AW52">
            <v>286.53628987971138</v>
          </cell>
          <cell r="AX52">
            <v>303.19537650062483</v>
          </cell>
          <cell r="AY52">
            <v>321.52037178362957</v>
          </cell>
        </row>
        <row r="53">
          <cell r="G53">
            <v>245293.95591010471</v>
          </cell>
          <cell r="K53">
            <v>18650.624436109785</v>
          </cell>
          <cell r="L53">
            <v>22279.335562591641</v>
          </cell>
          <cell r="M53">
            <v>26055.941756819477</v>
          </cell>
          <cell r="N53">
            <v>30572.02328977724</v>
          </cell>
          <cell r="O53">
            <v>35365.408074758729</v>
          </cell>
          <cell r="P53">
            <v>37351.427555919101</v>
          </cell>
          <cell r="Q53">
            <v>39292.55032008516</v>
          </cell>
          <cell r="R53">
            <v>41027.676382747879</v>
          </cell>
          <cell r="S53">
            <v>43856.169553389846</v>
          </cell>
          <cell r="T53">
            <v>45477.733331890478</v>
          </cell>
          <cell r="U53">
            <v>47764.824915248028</v>
          </cell>
          <cell r="V53">
            <v>55693.056939773887</v>
          </cell>
          <cell r="W53">
            <v>57430.823985789211</v>
          </cell>
          <cell r="X53">
            <v>58611.343544404481</v>
          </cell>
          <cell r="Y53">
            <v>62261.182537707202</v>
          </cell>
          <cell r="Z53">
            <v>64904.806873666683</v>
          </cell>
          <cell r="AA53">
            <v>65955.918248004222</v>
          </cell>
          <cell r="AB53">
            <v>66653.137853092441</v>
          </cell>
          <cell r="AC53">
            <v>67289.614841070696</v>
          </cell>
          <cell r="AD53">
            <v>67873.272161996822</v>
          </cell>
          <cell r="AE53">
            <v>68219.240981188312</v>
          </cell>
          <cell r="AF53">
            <v>68552.004883616784</v>
          </cell>
          <cell r="AG53">
            <v>68818.744202230082</v>
          </cell>
          <cell r="AH53">
            <v>69011.535986970383</v>
          </cell>
          <cell r="AI53">
            <v>69225.455638531537</v>
          </cell>
          <cell r="AJ53">
            <v>69537.091674139141</v>
          </cell>
          <cell r="AK53">
            <v>69888.34246003587</v>
          </cell>
          <cell r="AL53">
            <v>70641.02271552883</v>
          </cell>
          <cell r="AM53">
            <v>71435.958704663499</v>
          </cell>
          <cell r="AN53">
            <v>71964.15537518487</v>
          </cell>
          <cell r="AO53">
            <v>72759.091364319538</v>
          </cell>
          <cell r="AP53">
            <v>73503.848669754676</v>
          </cell>
          <cell r="AQ53">
            <v>76150.113989066769</v>
          </cell>
          <cell r="AR53">
            <v>80288.53490260175</v>
          </cell>
          <cell r="AS53">
            <v>83283.41002445796</v>
          </cell>
          <cell r="AT53">
            <v>85219.250821918802</v>
          </cell>
          <cell r="AU53">
            <v>87108.082115703233</v>
          </cell>
          <cell r="AV53">
            <v>89941.329056379909</v>
          </cell>
          <cell r="AW53">
            <v>93995.238502631473</v>
          </cell>
          <cell r="AX53">
            <v>99396.049458712543</v>
          </cell>
          <cell r="AY53">
            <v>104120.76867652625</v>
          </cell>
        </row>
        <row r="54">
          <cell r="G54">
            <v>69844.613396934263</v>
          </cell>
          <cell r="K54">
            <v>7.016380774884559</v>
          </cell>
          <cell r="L54">
            <v>7.6542335726013375</v>
          </cell>
          <cell r="M54">
            <v>8.9299391680348936</v>
          </cell>
          <cell r="N54">
            <v>10.843497561185229</v>
          </cell>
          <cell r="O54">
            <v>14.032761549769118</v>
          </cell>
          <cell r="P54">
            <v>15.308467145202675</v>
          </cell>
          <cell r="Q54">
            <v>16.584172740636234</v>
          </cell>
          <cell r="R54">
            <v>20.411289526936901</v>
          </cell>
          <cell r="S54">
            <v>20.411289526936901</v>
          </cell>
          <cell r="T54">
            <v>26.151964706387904</v>
          </cell>
          <cell r="U54">
            <v>33.806198278989243</v>
          </cell>
          <cell r="V54">
            <v>40.18472625615702</v>
          </cell>
          <cell r="W54">
            <v>47.20110703104158</v>
          </cell>
          <cell r="X54">
            <v>47.20110703104158</v>
          </cell>
          <cell r="Y54">
            <v>47.838959828758362</v>
          </cell>
          <cell r="Z54">
            <v>51.666076615059026</v>
          </cell>
          <cell r="AA54">
            <v>53.579635008209365</v>
          </cell>
          <cell r="AB54">
            <v>53.579635008209365</v>
          </cell>
          <cell r="AC54">
            <v>54.21748780592614</v>
          </cell>
          <cell r="AD54">
            <v>54.21748780592614</v>
          </cell>
          <cell r="AE54">
            <v>54.855340603642915</v>
          </cell>
          <cell r="AF54">
            <v>55.493193401359697</v>
          </cell>
          <cell r="AG54">
            <v>55.493193401359697</v>
          </cell>
          <cell r="AH54">
            <v>56.768898996793254</v>
          </cell>
          <cell r="AI54">
            <v>59.320310187660361</v>
          </cell>
          <cell r="AJ54">
            <v>68.25024935569526</v>
          </cell>
          <cell r="AK54">
            <v>76.542335726013377</v>
          </cell>
          <cell r="AL54">
            <v>88.661538882632158</v>
          </cell>
          <cell r="AM54">
            <v>127.57055954335563</v>
          </cell>
          <cell r="AN54">
            <v>153.72252424974351</v>
          </cell>
          <cell r="AO54">
            <v>175.409519372114</v>
          </cell>
          <cell r="AP54">
            <v>186.25301693329922</v>
          </cell>
          <cell r="AQ54">
            <v>233.45412396434079</v>
          </cell>
          <cell r="AR54">
            <v>275.55240861364814</v>
          </cell>
          <cell r="AS54">
            <v>326.58063243099042</v>
          </cell>
          <cell r="AT54">
            <v>396.74444017983603</v>
          </cell>
          <cell r="AU54">
            <v>501.60744012447429</v>
          </cell>
          <cell r="AV54">
            <v>658.90194004143189</v>
          </cell>
          <cell r="AW54">
            <v>945.29784621626516</v>
          </cell>
          <cell r="AX54">
            <v>1139.8429495198825</v>
          </cell>
          <cell r="AY54">
            <v>1231.6937523910985</v>
          </cell>
        </row>
        <row r="55">
          <cell r="G55">
            <v>239474.1640098466</v>
          </cell>
          <cell r="K55">
            <v>196.55840733828543</v>
          </cell>
          <cell r="L55">
            <v>214.42735345994774</v>
          </cell>
          <cell r="M55">
            <v>236.76353611202566</v>
          </cell>
          <cell r="N55">
            <v>263.56695529451912</v>
          </cell>
          <cell r="O55">
            <v>294.83761100742817</v>
          </cell>
          <cell r="P55">
            <v>312.70655712909053</v>
          </cell>
          <cell r="Q55">
            <v>339.50997631158396</v>
          </cell>
          <cell r="R55">
            <v>361.84615896366182</v>
          </cell>
          <cell r="S55">
            <v>410.98576079823323</v>
          </cell>
          <cell r="T55">
            <v>585.20798548444077</v>
          </cell>
          <cell r="U55">
            <v>795.16810241397286</v>
          </cell>
          <cell r="V55">
            <v>848.77494077895983</v>
          </cell>
          <cell r="W55">
            <v>1121.2763691343102</v>
          </cell>
          <cell r="X55">
            <v>1157.0142613776347</v>
          </cell>
          <cell r="Y55">
            <v>1299.9658303509334</v>
          </cell>
          <cell r="Z55">
            <v>1568.000022175868</v>
          </cell>
          <cell r="AA55">
            <v>1666.2792258450108</v>
          </cell>
          <cell r="AB55">
            <v>1702.0171180883353</v>
          </cell>
          <cell r="AC55">
            <v>1719.8860642099976</v>
          </cell>
          <cell r="AD55">
            <v>1737.7550103316601</v>
          </cell>
          <cell r="AE55">
            <v>1876.239342774543</v>
          </cell>
          <cell r="AF55">
            <v>1938.7806542003609</v>
          </cell>
          <cell r="AG55">
            <v>1952.1823637916077</v>
          </cell>
          <cell r="AH55">
            <v>1970.0513099132702</v>
          </cell>
          <cell r="AI55">
            <v>1974.5185464436856</v>
          </cell>
          <cell r="AJ55">
            <v>1983.453019504517</v>
          </cell>
          <cell r="AK55">
            <v>2005.7892021565947</v>
          </cell>
          <cell r="AL55">
            <v>2300.6268131640227</v>
          </cell>
          <cell r="AM55">
            <v>2385.5043072419189</v>
          </cell>
          <cell r="AN55">
            <v>2528.4558762152174</v>
          </cell>
          <cell r="AO55">
            <v>2729.481520083918</v>
          </cell>
          <cell r="AP55">
            <v>2979.6467657871904</v>
          </cell>
          <cell r="AQ55">
            <v>3412.9687092375016</v>
          </cell>
          <cell r="AR55">
            <v>4132.1937906344101</v>
          </cell>
          <cell r="AS55">
            <v>4400.2279824593443</v>
          </cell>
          <cell r="AT55">
            <v>4650.3932281626167</v>
          </cell>
          <cell r="AU55">
            <v>4836.2302678279048</v>
          </cell>
          <cell r="AV55">
            <v>5114.9858273258369</v>
          </cell>
          <cell r="AW55">
            <v>5726.997231992771</v>
          </cell>
          <cell r="AX55">
            <v>6700.8547956233679</v>
          </cell>
          <cell r="AY55">
            <v>8787.0542553274427</v>
          </cell>
        </row>
        <row r="56">
          <cell r="G56">
            <v>244816.17396590189</v>
          </cell>
          <cell r="K56">
            <v>82.704789845601553</v>
          </cell>
          <cell r="L56">
            <v>82.704789845601553</v>
          </cell>
          <cell r="M56">
            <v>82.704789845601553</v>
          </cell>
          <cell r="N56">
            <v>82.704789845601553</v>
          </cell>
          <cell r="O56">
            <v>82.704789845601553</v>
          </cell>
          <cell r="P56">
            <v>82.704789845601553</v>
          </cell>
          <cell r="Q56">
            <v>82.704789845601553</v>
          </cell>
          <cell r="R56">
            <v>82.704789845601553</v>
          </cell>
          <cell r="S56">
            <v>82.704789845601553</v>
          </cell>
          <cell r="T56">
            <v>82.704789845601553</v>
          </cell>
          <cell r="U56">
            <v>82.704789845601553</v>
          </cell>
          <cell r="V56">
            <v>82.704789845601553</v>
          </cell>
          <cell r="W56">
            <v>82.704789845601553</v>
          </cell>
          <cell r="X56">
            <v>82.704789845601553</v>
          </cell>
          <cell r="Y56">
            <v>144.73338222980271</v>
          </cell>
          <cell r="Z56">
            <v>144.73338222980271</v>
          </cell>
          <cell r="AA56">
            <v>248.11436953680465</v>
          </cell>
          <cell r="AB56">
            <v>248.11436953680465</v>
          </cell>
          <cell r="AC56">
            <v>599.60972638061128</v>
          </cell>
          <cell r="AD56">
            <v>765.0193060718143</v>
          </cell>
          <cell r="AE56">
            <v>765.0193060718143</v>
          </cell>
          <cell r="AF56">
            <v>806.37170099461514</v>
          </cell>
          <cell r="AG56">
            <v>806.37170099461514</v>
          </cell>
          <cell r="AH56">
            <v>806.37170099461514</v>
          </cell>
          <cell r="AI56">
            <v>847.72409591741587</v>
          </cell>
          <cell r="AJ56">
            <v>930.42888576301743</v>
          </cell>
          <cell r="AK56">
            <v>930.42888576301743</v>
          </cell>
          <cell r="AL56">
            <v>951.10508322441774</v>
          </cell>
          <cell r="AM56">
            <v>1013.133675608619</v>
          </cell>
          <cell r="AN56">
            <v>1033.8098730700194</v>
          </cell>
          <cell r="AO56">
            <v>1054.4860705314197</v>
          </cell>
          <cell r="AP56">
            <v>1116.5146629156209</v>
          </cell>
          <cell r="AQ56">
            <v>1178.543255299822</v>
          </cell>
          <cell r="AR56">
            <v>1178.543255299822</v>
          </cell>
          <cell r="AS56">
            <v>1240.5718476840232</v>
          </cell>
          <cell r="AT56">
            <v>1281.924242606824</v>
          </cell>
          <cell r="AU56">
            <v>1331.5471165141851</v>
          </cell>
          <cell r="AV56">
            <v>1405.9814273752265</v>
          </cell>
          <cell r="AW56">
            <v>1571.3910070664292</v>
          </cell>
          <cell r="AX56">
            <v>1798.8291791418337</v>
          </cell>
          <cell r="AY56">
            <v>2088.2959436014389</v>
          </cell>
        </row>
        <row r="57">
          <cell r="G57">
            <v>10670.50509165292</v>
          </cell>
          <cell r="K57">
            <v>28.664789694079253</v>
          </cell>
          <cell r="L57">
            <v>28.664789694079253</v>
          </cell>
          <cell r="M57">
            <v>28.664789694079253</v>
          </cell>
          <cell r="N57">
            <v>28.664789694079253</v>
          </cell>
          <cell r="O57">
            <v>28.664789694079253</v>
          </cell>
          <cell r="P57">
            <v>28.664789694079253</v>
          </cell>
          <cell r="Q57">
            <v>28.664789694079253</v>
          </cell>
          <cell r="R57">
            <v>28.664789694079253</v>
          </cell>
          <cell r="S57">
            <v>28.664789694079253</v>
          </cell>
          <cell r="T57">
            <v>28.664789694079253</v>
          </cell>
          <cell r="U57">
            <v>42.997184541118884</v>
          </cell>
          <cell r="V57">
            <v>57.329579388158507</v>
          </cell>
          <cell r="W57">
            <v>71.661974235198144</v>
          </cell>
          <cell r="X57">
            <v>78.828171658717949</v>
          </cell>
          <cell r="Y57">
            <v>78.828171658717949</v>
          </cell>
          <cell r="Z57">
            <v>85.994369082237768</v>
          </cell>
          <cell r="AA57">
            <v>150.49014589391606</v>
          </cell>
          <cell r="AB57">
            <v>150.49014589391606</v>
          </cell>
          <cell r="AC57">
            <v>150.49014589391606</v>
          </cell>
          <cell r="AD57">
            <v>150.49014589391606</v>
          </cell>
          <cell r="AE57">
            <v>150.49014589391606</v>
          </cell>
          <cell r="AF57">
            <v>150.49014589391606</v>
          </cell>
          <cell r="AG57">
            <v>150.49014589391606</v>
          </cell>
          <cell r="AH57">
            <v>150.49014589391606</v>
          </cell>
          <cell r="AI57">
            <v>150.49014589391606</v>
          </cell>
          <cell r="AJ57">
            <v>150.49014589391606</v>
          </cell>
          <cell r="AK57">
            <v>157.6563433174359</v>
          </cell>
          <cell r="AL57">
            <v>157.6563433174359</v>
          </cell>
          <cell r="AM57">
            <v>157.6563433174359</v>
          </cell>
          <cell r="AN57">
            <v>164.82254074095573</v>
          </cell>
          <cell r="AO57">
            <v>186.32113301151514</v>
          </cell>
          <cell r="AP57">
            <v>193.48733043503498</v>
          </cell>
          <cell r="AQ57">
            <v>193.48733043503498</v>
          </cell>
          <cell r="AR57">
            <v>193.48733043503498</v>
          </cell>
          <cell r="AS57">
            <v>200.65352785855478</v>
          </cell>
          <cell r="AT57">
            <v>229.31831755263403</v>
          </cell>
          <cell r="AU57">
            <v>246.51719136908159</v>
          </cell>
          <cell r="AV57">
            <v>272.31550209375291</v>
          </cell>
          <cell r="AW57">
            <v>322.47888405839166</v>
          </cell>
          <cell r="AX57">
            <v>379.80846344655015</v>
          </cell>
          <cell r="AY57">
            <v>437.13804283470864</v>
          </cell>
        </row>
        <row r="58">
          <cell r="G58">
            <v>33882.279001983909</v>
          </cell>
          <cell r="K58">
            <v>5.5129918185323694</v>
          </cell>
          <cell r="L58">
            <v>5.6121719086375741</v>
          </cell>
          <cell r="M58">
            <v>5.7302237645383904</v>
          </cell>
          <cell r="N58">
            <v>5.9263061652964453</v>
          </cell>
          <cell r="O58">
            <v>6.1772436869212894</v>
          </cell>
          <cell r="P58">
            <v>6.3118664529086566</v>
          </cell>
          <cell r="Q58">
            <v>6.5233109631188695</v>
          </cell>
          <cell r="R58">
            <v>6.8095540251278655</v>
          </cell>
          <cell r="S58">
            <v>7.8585114994336802</v>
          </cell>
          <cell r="T58">
            <v>9.4582403060323124</v>
          </cell>
          <cell r="U58">
            <v>13.074518929415756</v>
          </cell>
          <cell r="V58">
            <v>17.7148689288051</v>
          </cell>
          <cell r="W58">
            <v>23.664724264982759</v>
          </cell>
          <cell r="X58">
            <v>25.64525807350207</v>
          </cell>
          <cell r="Y58">
            <v>29.619865477217147</v>
          </cell>
          <cell r="Z58">
            <v>33.920841889874261</v>
          </cell>
          <cell r="AA58">
            <v>37.088089294609716</v>
          </cell>
          <cell r="AB58">
            <v>37.909458610546217</v>
          </cell>
          <cell r="AC58">
            <v>39.620814795047274</v>
          </cell>
          <cell r="AD58">
            <v>41.347764826765079</v>
          </cell>
          <cell r="AE58">
            <v>42.600295116129708</v>
          </cell>
          <cell r="AF58">
            <v>44.217415360562065</v>
          </cell>
          <cell r="AG58">
            <v>45.612417232604862</v>
          </cell>
          <cell r="AH58">
            <v>46.688407095801004</v>
          </cell>
          <cell r="AI58">
            <v>47.868588794902216</v>
          </cell>
          <cell r="AJ58">
            <v>49.586968369528677</v>
          </cell>
          <cell r="AK58">
            <v>51.500629474193538</v>
          </cell>
          <cell r="AL58">
            <v>53.980846442332854</v>
          </cell>
          <cell r="AM58">
            <v>58.249589145790075</v>
          </cell>
          <cell r="AN58">
            <v>61.60451041264114</v>
          </cell>
          <cell r="AO58">
            <v>65.267608178038543</v>
          </cell>
          <cell r="AP58">
            <v>71.222205868910265</v>
          </cell>
          <cell r="AQ58">
            <v>80.031528282227086</v>
          </cell>
          <cell r="AR58">
            <v>89.8710688425207</v>
          </cell>
          <cell r="AS58">
            <v>97.975296780661353</v>
          </cell>
          <cell r="AT58">
            <v>101.65898315866707</v>
          </cell>
          <cell r="AU58">
            <v>106.3427992172293</v>
          </cell>
          <cell r="AV58">
            <v>113.36852330507271</v>
          </cell>
          <cell r="AW58">
            <v>129.1302505271384</v>
          </cell>
          <cell r="AX58">
            <v>159.68560367462527</v>
          </cell>
          <cell r="AY58">
            <v>226.84301080996934</v>
          </cell>
        </row>
        <row r="59">
          <cell r="G59">
            <v>132578.71444676301</v>
          </cell>
          <cell r="K59">
            <v>113.02515066653778</v>
          </cell>
          <cell r="L59">
            <v>123.57416472874796</v>
          </cell>
          <cell r="M59">
            <v>155.22120691537853</v>
          </cell>
          <cell r="N59">
            <v>236.59931539528577</v>
          </cell>
          <cell r="O59">
            <v>539.50671918160697</v>
          </cell>
          <cell r="P59">
            <v>583.20977743933486</v>
          </cell>
          <cell r="Q59">
            <v>657.05287587480632</v>
          </cell>
          <cell r="R59">
            <v>773.09203055911848</v>
          </cell>
          <cell r="S59">
            <v>819.80909283462074</v>
          </cell>
          <cell r="T59">
            <v>1011.1983479632913</v>
          </cell>
          <cell r="U59">
            <v>1368.3578240695506</v>
          </cell>
          <cell r="V59">
            <v>1677.2932358914206</v>
          </cell>
          <cell r="W59">
            <v>1838.542450842348</v>
          </cell>
          <cell r="X59">
            <v>1938.004583428901</v>
          </cell>
          <cell r="Y59">
            <v>2060.0717461487616</v>
          </cell>
          <cell r="Z59">
            <v>2298.1780635529349</v>
          </cell>
          <cell r="AA59">
            <v>2462.4412825216364</v>
          </cell>
          <cell r="AB59">
            <v>2530.256372921559</v>
          </cell>
          <cell r="AC59">
            <v>2679.4495718013886</v>
          </cell>
          <cell r="AD59">
            <v>2807.5447425567982</v>
          </cell>
          <cell r="AE59">
            <v>2934.1329113033203</v>
          </cell>
          <cell r="AF59">
            <v>3062.2280820587303</v>
          </cell>
          <cell r="AG59">
            <v>3247.5893291518519</v>
          </cell>
          <cell r="AH59">
            <v>3357.6004758006156</v>
          </cell>
          <cell r="AI59">
            <v>3419.3875581649895</v>
          </cell>
          <cell r="AJ59">
            <v>3567.0737550359327</v>
          </cell>
          <cell r="AK59">
            <v>3665.0288856135985</v>
          </cell>
          <cell r="AL59">
            <v>3800.6590664134437</v>
          </cell>
          <cell r="AM59">
            <v>3996.5693275687759</v>
          </cell>
          <cell r="AN59">
            <v>4109.5944782353135</v>
          </cell>
          <cell r="AO59">
            <v>4278.3787032306773</v>
          </cell>
          <cell r="AP59">
            <v>4439.6279181816035</v>
          </cell>
          <cell r="AQ59">
            <v>4634.0311773280491</v>
          </cell>
          <cell r="AR59">
            <v>4926.3895670521597</v>
          </cell>
          <cell r="AS59">
            <v>5185.5939125807527</v>
          </cell>
          <cell r="AT59">
            <v>5197.6499286518501</v>
          </cell>
          <cell r="AU59">
            <v>5280.2336387388677</v>
          </cell>
          <cell r="AV59">
            <v>5404.1092038693923</v>
          </cell>
          <cell r="AW59">
            <v>5652.7645353357757</v>
          </cell>
          <cell r="AX59">
            <v>5901.419866802159</v>
          </cell>
          <cell r="AY59">
            <v>6192.2712545173827</v>
          </cell>
        </row>
        <row r="60">
          <cell r="G60">
            <v>109144.77954317079</v>
          </cell>
          <cell r="K60">
            <v>89.29145495266566</v>
          </cell>
          <cell r="L60">
            <v>89.29145495266566</v>
          </cell>
          <cell r="M60">
            <v>89.29145495266566</v>
          </cell>
          <cell r="N60">
            <v>94.872170887207275</v>
          </cell>
          <cell r="O60">
            <v>106.03360275629048</v>
          </cell>
          <cell r="P60">
            <v>111.61431869083209</v>
          </cell>
          <cell r="Q60">
            <v>122.77575055991529</v>
          </cell>
          <cell r="R60">
            <v>150.6793302326233</v>
          </cell>
          <cell r="S60">
            <v>212.06720551258095</v>
          </cell>
          <cell r="T60">
            <v>312.52009233432983</v>
          </cell>
          <cell r="U60">
            <v>468.78013850149478</v>
          </cell>
          <cell r="V60">
            <v>652.9437643413678</v>
          </cell>
          <cell r="W60">
            <v>931.97956106844799</v>
          </cell>
          <cell r="X60">
            <v>998.94815228294726</v>
          </cell>
          <cell r="Y60">
            <v>1149.6274825155706</v>
          </cell>
          <cell r="Z60">
            <v>1283.5646649445689</v>
          </cell>
          <cell r="AA60">
            <v>1484.4704385880668</v>
          </cell>
          <cell r="AB60">
            <v>1568.1811776061909</v>
          </cell>
          <cell r="AC60">
            <v>1629.5690528861485</v>
          </cell>
          <cell r="AD60">
            <v>1696.5376441006476</v>
          </cell>
          <cell r="AE60">
            <v>1730.0219397078974</v>
          </cell>
          <cell r="AF60">
            <v>1757.9255193806055</v>
          </cell>
          <cell r="AG60">
            <v>1774.6676671842301</v>
          </cell>
          <cell r="AH60">
            <v>1785.8290990533135</v>
          </cell>
          <cell r="AI60">
            <v>1808.1519627914797</v>
          </cell>
          <cell r="AJ60">
            <v>1852.7976902678129</v>
          </cell>
          <cell r="AK60">
            <v>1863.959122136896</v>
          </cell>
          <cell r="AL60">
            <v>1863.959122136896</v>
          </cell>
          <cell r="AM60">
            <v>1908.6048496132287</v>
          </cell>
          <cell r="AN60">
            <v>1986.7348726968114</v>
          </cell>
          <cell r="AO60">
            <v>2131.8334869948926</v>
          </cell>
          <cell r="AP60">
            <v>2237.8670897511834</v>
          </cell>
          <cell r="AQ60">
            <v>2500.1607386746387</v>
          </cell>
          <cell r="AR60">
            <v>2879.6494222234683</v>
          </cell>
          <cell r="AS60">
            <v>3181.0080826887147</v>
          </cell>
          <cell r="AT60">
            <v>3437.7210156776282</v>
          </cell>
          <cell r="AU60">
            <v>3602.91020734006</v>
          </cell>
          <cell r="AV60">
            <v>3850.6939948337072</v>
          </cell>
          <cell r="AW60">
            <v>4263.6669739897852</v>
          </cell>
          <cell r="AX60">
            <v>4732.4471124912807</v>
          </cell>
          <cell r="AY60">
            <v>5251.4536944036499</v>
          </cell>
        </row>
        <row r="61">
          <cell r="G61">
            <v>209744.0669065238</v>
          </cell>
          <cell r="K61">
            <v>21.067531015516767</v>
          </cell>
          <cell r="L61">
            <v>21.067531015516767</v>
          </cell>
          <cell r="M61">
            <v>21.067531015516767</v>
          </cell>
          <cell r="N61">
            <v>21.067531015516767</v>
          </cell>
          <cell r="O61">
            <v>21.067531015516767</v>
          </cell>
          <cell r="P61">
            <v>21.067531015516767</v>
          </cell>
          <cell r="Q61">
            <v>21.067531015516767</v>
          </cell>
          <cell r="R61">
            <v>21.067531015516767</v>
          </cell>
          <cell r="S61">
            <v>21.067531015516767</v>
          </cell>
          <cell r="T61">
            <v>26.334413769395962</v>
          </cell>
          <cell r="U61">
            <v>31.601296523275149</v>
          </cell>
          <cell r="V61">
            <v>36.868179277154347</v>
          </cell>
          <cell r="W61">
            <v>36.868179277154347</v>
          </cell>
          <cell r="X61">
            <v>42.135062031033534</v>
          </cell>
          <cell r="Y61">
            <v>89.537006815946256</v>
          </cell>
          <cell r="Z61">
            <v>89.537006815946256</v>
          </cell>
          <cell r="AA61">
            <v>89.537006815946256</v>
          </cell>
          <cell r="AB61">
            <v>89.537006815946256</v>
          </cell>
          <cell r="AC61">
            <v>89.537006815946256</v>
          </cell>
          <cell r="AD61">
            <v>89.537006815946256</v>
          </cell>
          <cell r="AE61">
            <v>89.537006815946256</v>
          </cell>
          <cell r="AF61">
            <v>89.537006815946256</v>
          </cell>
          <cell r="AG61">
            <v>89.537006815946256</v>
          </cell>
          <cell r="AH61">
            <v>89.537006815946256</v>
          </cell>
          <cell r="AI61">
            <v>89.537006815946256</v>
          </cell>
          <cell r="AJ61">
            <v>94.803889569825458</v>
          </cell>
          <cell r="AK61">
            <v>94.803889569825458</v>
          </cell>
          <cell r="AL61">
            <v>94.803889569825458</v>
          </cell>
          <cell r="AM61">
            <v>105.33765507758385</v>
          </cell>
          <cell r="AN61">
            <v>105.33765507758385</v>
          </cell>
          <cell r="AO61">
            <v>110.60453783146303</v>
          </cell>
          <cell r="AP61">
            <v>115.87142058534222</v>
          </cell>
          <cell r="AQ61">
            <v>142.20583435473819</v>
          </cell>
          <cell r="AR61">
            <v>168.54024812413414</v>
          </cell>
          <cell r="AS61">
            <v>168.54024812413414</v>
          </cell>
          <cell r="AT61">
            <v>168.54024812413414</v>
          </cell>
          <cell r="AU61">
            <v>174.86050742878919</v>
          </cell>
          <cell r="AV61">
            <v>184.34089638577174</v>
          </cell>
          <cell r="AW61">
            <v>215.94219290904687</v>
          </cell>
          <cell r="AX61">
            <v>289.67855146335557</v>
          </cell>
          <cell r="AY61">
            <v>437.15126857197299</v>
          </cell>
        </row>
        <row r="62">
          <cell r="G62">
            <v>112289.7423911981</v>
          </cell>
          <cell r="K62">
            <v>78.514812286060845</v>
          </cell>
          <cell r="L62">
            <v>84.123013163636628</v>
          </cell>
          <cell r="M62">
            <v>89.731214041212397</v>
          </cell>
          <cell r="N62">
            <v>95.339414918788179</v>
          </cell>
          <cell r="O62">
            <v>106.55581667393973</v>
          </cell>
          <cell r="P62">
            <v>117.77221842909127</v>
          </cell>
          <cell r="Q62">
            <v>145.81322281697015</v>
          </cell>
          <cell r="R62">
            <v>173.854227204849</v>
          </cell>
          <cell r="S62">
            <v>201.8952315927279</v>
          </cell>
          <cell r="T62">
            <v>257.97724036848564</v>
          </cell>
          <cell r="U62">
            <v>358.92485616484959</v>
          </cell>
          <cell r="V62">
            <v>471.08887371636507</v>
          </cell>
          <cell r="W62">
            <v>616.90209653333523</v>
          </cell>
          <cell r="X62">
            <v>644.94310092121407</v>
          </cell>
          <cell r="Y62">
            <v>762.71531935030544</v>
          </cell>
          <cell r="Z62">
            <v>908.52854216727553</v>
          </cell>
          <cell r="AA62">
            <v>1177.7221842909128</v>
          </cell>
          <cell r="AB62">
            <v>1205.7631886787915</v>
          </cell>
          <cell r="AC62">
            <v>1228.1959921890948</v>
          </cell>
          <cell r="AD62">
            <v>1306.7108044751556</v>
          </cell>
          <cell r="AE62">
            <v>1351.5764114957619</v>
          </cell>
          <cell r="AF62">
            <v>1418.8748220266712</v>
          </cell>
          <cell r="AG62">
            <v>1424.4830229042468</v>
          </cell>
          <cell r="AH62">
            <v>1542.2552413333381</v>
          </cell>
          <cell r="AI62">
            <v>1553.4716430884896</v>
          </cell>
          <cell r="AJ62">
            <v>1609.5536518642473</v>
          </cell>
          <cell r="AK62">
            <v>1615.1618527418232</v>
          </cell>
          <cell r="AL62">
            <v>1643.2028571297019</v>
          </cell>
          <cell r="AM62">
            <v>1783.4078790690965</v>
          </cell>
          <cell r="AN62">
            <v>1968.4785080290972</v>
          </cell>
          <cell r="AO62">
            <v>2046.9933203151579</v>
          </cell>
          <cell r="AP62">
            <v>2063.8179229478851</v>
          </cell>
          <cell r="AQ62">
            <v>2243.2803510303102</v>
          </cell>
          <cell r="AR62">
            <v>2349.8361677042499</v>
          </cell>
          <cell r="AS62">
            <v>2439.5673817454622</v>
          </cell>
          <cell r="AT62">
            <v>2590.988805440008</v>
          </cell>
          <cell r="AU62">
            <v>2694.1797015874022</v>
          </cell>
          <cell r="AV62">
            <v>2848.9660458084936</v>
          </cell>
          <cell r="AW62">
            <v>3123.7678888097066</v>
          </cell>
          <cell r="AX62">
            <v>3421.0025353212227</v>
          </cell>
          <cell r="AY62">
            <v>3757.4945879757693</v>
          </cell>
        </row>
        <row r="63">
          <cell r="G63">
            <v>57078.573019018062</v>
          </cell>
          <cell r="K63">
            <v>43.599316113414524</v>
          </cell>
          <cell r="L63">
            <v>50.058474056142607</v>
          </cell>
          <cell r="M63">
            <v>59.747210970234718</v>
          </cell>
          <cell r="N63">
            <v>75.89510582705492</v>
          </cell>
          <cell r="O63">
            <v>100.11694811228521</v>
          </cell>
          <cell r="P63">
            <v>116.2648429691054</v>
          </cell>
          <cell r="Q63">
            <v>137.25710628297165</v>
          </cell>
          <cell r="R63">
            <v>161.47894856820196</v>
          </cell>
          <cell r="S63">
            <v>192.15994879616031</v>
          </cell>
          <cell r="T63">
            <v>243.83321233798495</v>
          </cell>
          <cell r="U63">
            <v>352.02410787868024</v>
          </cell>
          <cell r="V63">
            <v>466.67416136210363</v>
          </cell>
          <cell r="W63">
            <v>542.56926718915861</v>
          </cell>
          <cell r="X63">
            <v>574.86505690279898</v>
          </cell>
          <cell r="Y63">
            <v>668.52284707235606</v>
          </cell>
          <cell r="Z63">
            <v>792.86163746987165</v>
          </cell>
          <cell r="AA63">
            <v>850.9940589544243</v>
          </cell>
          <cell r="AB63">
            <v>886.51942763942861</v>
          </cell>
          <cell r="AC63">
            <v>962.4145334664837</v>
          </cell>
          <cell r="AD63">
            <v>1060.9166920930868</v>
          </cell>
          <cell r="AE63">
            <v>1122.2786925490036</v>
          </cell>
          <cell r="AF63">
            <v>1191.7146404333303</v>
          </cell>
          <cell r="AG63">
            <v>1253.0766408892473</v>
          </cell>
          <cell r="AH63">
            <v>1626.0930120817934</v>
          </cell>
          <cell r="AI63">
            <v>1650.3148543670238</v>
          </cell>
          <cell r="AJ63">
            <v>1700.3733284231664</v>
          </cell>
          <cell r="AK63">
            <v>1768.1944868218113</v>
          </cell>
          <cell r="AL63">
            <v>1792.4163291070415</v>
          </cell>
          <cell r="AM63">
            <v>1955.5100671609255</v>
          </cell>
          <cell r="AN63">
            <v>2055.6270152732109</v>
          </cell>
          <cell r="AO63">
            <v>2147.670015957086</v>
          </cell>
          <cell r="AP63">
            <v>2228.4094902411866</v>
          </cell>
          <cell r="AQ63">
            <v>2378.5849124096148</v>
          </cell>
          <cell r="AR63">
            <v>2569.1300717200929</v>
          </cell>
          <cell r="AS63">
            <v>2843.6442842860365</v>
          </cell>
          <cell r="AT63">
            <v>2816.1928630294419</v>
          </cell>
          <cell r="AU63">
            <v>2860.115137039993</v>
          </cell>
          <cell r="AV63">
            <v>2925.9985480558198</v>
          </cell>
          <cell r="AW63">
            <v>3035.8042330821968</v>
          </cell>
          <cell r="AX63">
            <v>3145.6099181085742</v>
          </cell>
          <cell r="AY63">
            <v>3255.4156031349512</v>
          </cell>
        </row>
        <row r="64">
          <cell r="G64">
            <v>27107.104390584958</v>
          </cell>
          <cell r="K64">
            <v>105.41628748816619</v>
          </cell>
          <cell r="L64">
            <v>105.41628748816619</v>
          </cell>
          <cell r="M64">
            <v>105.41628748816619</v>
          </cell>
          <cell r="N64">
            <v>105.41628748816619</v>
          </cell>
          <cell r="O64">
            <v>115.95791623698281</v>
          </cell>
          <cell r="P64">
            <v>115.95791623698281</v>
          </cell>
          <cell r="Q64">
            <v>115.95791623698281</v>
          </cell>
          <cell r="R64">
            <v>115.95791623698281</v>
          </cell>
          <cell r="S64">
            <v>115.95791623698281</v>
          </cell>
          <cell r="T64">
            <v>126.49954498579943</v>
          </cell>
          <cell r="U64">
            <v>147.58280248343266</v>
          </cell>
          <cell r="V64">
            <v>147.58280248343266</v>
          </cell>
          <cell r="W64">
            <v>189.74931747869914</v>
          </cell>
          <cell r="X64">
            <v>221.37420372514902</v>
          </cell>
          <cell r="Y64">
            <v>221.37420372514902</v>
          </cell>
          <cell r="Z64">
            <v>252.99908997159886</v>
          </cell>
          <cell r="AA64">
            <v>326.79049121331519</v>
          </cell>
          <cell r="AB64">
            <v>347.87374871094841</v>
          </cell>
          <cell r="AC64">
            <v>347.87374871094841</v>
          </cell>
          <cell r="AD64">
            <v>347.87374871094841</v>
          </cell>
          <cell r="AE64">
            <v>347.87374871094841</v>
          </cell>
          <cell r="AF64">
            <v>347.87374871094841</v>
          </cell>
          <cell r="AG64">
            <v>347.87374871094841</v>
          </cell>
          <cell r="AH64">
            <v>347.87374871094841</v>
          </cell>
          <cell r="AI64">
            <v>347.87374871094841</v>
          </cell>
          <cell r="AJ64">
            <v>347.87374871094841</v>
          </cell>
          <cell r="AK64">
            <v>347.87374871094841</v>
          </cell>
          <cell r="AL64">
            <v>347.87374871094841</v>
          </cell>
          <cell r="AM64">
            <v>347.87374871094841</v>
          </cell>
          <cell r="AN64">
            <v>347.87374871094841</v>
          </cell>
          <cell r="AO64">
            <v>347.87374871094841</v>
          </cell>
          <cell r="AP64">
            <v>632.49772492899706</v>
          </cell>
          <cell r="AQ64">
            <v>811.70541365887959</v>
          </cell>
          <cell r="AR64">
            <v>853.87192865414613</v>
          </cell>
          <cell r="AS64">
            <v>864.41355740296274</v>
          </cell>
          <cell r="AT64">
            <v>874.95518615177934</v>
          </cell>
          <cell r="AU64">
            <v>933.98830714515236</v>
          </cell>
          <cell r="AV64">
            <v>1022.5379886352121</v>
          </cell>
          <cell r="AW64">
            <v>1517.9945398295931</v>
          </cell>
          <cell r="AX64">
            <v>3900.4026370621491</v>
          </cell>
          <cell r="AY64">
            <v>8728.4686040201595</v>
          </cell>
        </row>
        <row r="65">
          <cell r="G65">
            <v>93039.708827202558</v>
          </cell>
          <cell r="K65">
            <v>544.96342029207881</v>
          </cell>
          <cell r="L65">
            <v>664.52172168268783</v>
          </cell>
          <cell r="M65">
            <v>817.44513043811821</v>
          </cell>
          <cell r="N65">
            <v>1048.2204563781311</v>
          </cell>
          <cell r="O65">
            <v>1359.6281251164619</v>
          </cell>
          <cell r="P65">
            <v>1429.1387654598391</v>
          </cell>
          <cell r="Q65">
            <v>1568.1600461465941</v>
          </cell>
          <cell r="R65">
            <v>1723.8638805157595</v>
          </cell>
          <cell r="S65">
            <v>1879.5677148849247</v>
          </cell>
          <cell r="T65">
            <v>2099.2213383699973</v>
          </cell>
          <cell r="U65">
            <v>2405.0681558808578</v>
          </cell>
          <cell r="V65">
            <v>2669.2085891856923</v>
          </cell>
          <cell r="W65">
            <v>2769.3039112801557</v>
          </cell>
          <cell r="X65">
            <v>2769.3039112801557</v>
          </cell>
          <cell r="Y65">
            <v>3545.0426575122469</v>
          </cell>
          <cell r="Z65">
            <v>4415.3158746113322</v>
          </cell>
          <cell r="AA65">
            <v>4751.7473738732788</v>
          </cell>
          <cell r="AB65">
            <v>4918.572910697384</v>
          </cell>
          <cell r="AC65">
            <v>5057.5941913841398</v>
          </cell>
          <cell r="AD65">
            <v>5282.8086660966819</v>
          </cell>
          <cell r="AE65">
            <v>5374.5627113499395</v>
          </cell>
          <cell r="AF65">
            <v>5596.9967604487474</v>
          </cell>
          <cell r="AG65">
            <v>5955.671664620575</v>
          </cell>
          <cell r="AH65">
            <v>6086.3516684661245</v>
          </cell>
          <cell r="AI65">
            <v>6200.349118629264</v>
          </cell>
          <cell r="AJ65">
            <v>6275.4206102001108</v>
          </cell>
          <cell r="AK65">
            <v>6339.3703993160179</v>
          </cell>
          <cell r="AL65">
            <v>6489.5133824577133</v>
          </cell>
          <cell r="AM65">
            <v>6678.5823241916996</v>
          </cell>
          <cell r="AN65">
            <v>6775.8972206724284</v>
          </cell>
          <cell r="AO65">
            <v>7315.2997897370369</v>
          </cell>
          <cell r="AP65">
            <v>7749.0461854797113</v>
          </cell>
          <cell r="AQ65">
            <v>8193.9142836773281</v>
          </cell>
          <cell r="AR65">
            <v>8825.0708979951942</v>
          </cell>
          <cell r="AS65">
            <v>9244.9151656691938</v>
          </cell>
          <cell r="AT65">
            <v>9319.9866572400406</v>
          </cell>
          <cell r="AU65">
            <v>9380.0438504967187</v>
          </cell>
          <cell r="AV65">
            <v>9470.129640381736</v>
          </cell>
          <cell r="AW65">
            <v>9620.2726235234313</v>
          </cell>
          <cell r="AX65">
            <v>9770.4156066651267</v>
          </cell>
          <cell r="AY65">
            <v>9923.3390154205554</v>
          </cell>
        </row>
        <row r="66">
          <cell r="G66">
            <v>1890242.9295203481</v>
          </cell>
          <cell r="K66">
            <v>1537.8539790989951</v>
          </cell>
          <cell r="L66">
            <v>1963.2178456582917</v>
          </cell>
          <cell r="M66">
            <v>2464.929072882077</v>
          </cell>
          <cell r="N66">
            <v>3042.9876607703518</v>
          </cell>
          <cell r="O66">
            <v>4002.7830519810723</v>
          </cell>
          <cell r="P66">
            <v>4733.5363611983248</v>
          </cell>
          <cell r="Q66">
            <v>5464.2896704155783</v>
          </cell>
          <cell r="R66">
            <v>6162.3226822051929</v>
          </cell>
          <cell r="S66">
            <v>6576.7797829552765</v>
          </cell>
          <cell r="T66">
            <v>7569.2954715936357</v>
          </cell>
          <cell r="U66">
            <v>8703.5991157517583</v>
          </cell>
          <cell r="V66">
            <v>10274.173392278393</v>
          </cell>
          <cell r="W66">
            <v>13131.746034292128</v>
          </cell>
          <cell r="X66">
            <v>14331.490273305528</v>
          </cell>
          <cell r="Y66">
            <v>19294.068716497321</v>
          </cell>
          <cell r="Z66">
            <v>22795.140541254608</v>
          </cell>
          <cell r="AA66">
            <v>27463.236307597657</v>
          </cell>
          <cell r="AB66">
            <v>27975.854300630657</v>
          </cell>
          <cell r="AC66">
            <v>28215.803148433337</v>
          </cell>
          <cell r="AD66">
            <v>28630.260249183419</v>
          </cell>
          <cell r="AE66">
            <v>28968.369989269017</v>
          </cell>
          <cell r="AF66">
            <v>29415.547387446739</v>
          </cell>
          <cell r="AG66">
            <v>29862.724785624458</v>
          </cell>
          <cell r="AH66">
            <v>30386.249544466667</v>
          </cell>
          <cell r="AI66">
            <v>31040.655493019432</v>
          </cell>
          <cell r="AJ66">
            <v>31716.874973190625</v>
          </cell>
          <cell r="AK66">
            <v>33603.745458184421</v>
          </cell>
          <cell r="AL66">
            <v>34945.277652717588</v>
          </cell>
          <cell r="AM66">
            <v>36843.054903520606</v>
          </cell>
          <cell r="AN66">
            <v>38053.705908343218</v>
          </cell>
          <cell r="AO66">
            <v>41227.574758824121</v>
          </cell>
          <cell r="AP66">
            <v>46670.05089762128</v>
          </cell>
          <cell r="AQ66">
            <v>52036.179675753934</v>
          </cell>
          <cell r="AR66">
            <v>57064.198713801008</v>
          </cell>
          <cell r="AS66">
            <v>60881.56674702547</v>
          </cell>
          <cell r="AT66">
            <v>63521.004072854943</v>
          </cell>
          <cell r="AU66">
            <v>66854.11170415036</v>
          </cell>
          <cell r="AV66">
            <v>71853.773151093468</v>
          </cell>
          <cell r="AW66">
            <v>83654.893756661651</v>
          </cell>
          <cell r="AX66">
            <v>99360.636521927983</v>
          </cell>
          <cell r="AY66">
            <v>121959.45527861675</v>
          </cell>
        </row>
        <row r="67">
          <cell r="G67">
            <v>3019311.708603275</v>
          </cell>
          <cell r="K67">
            <v>8568.9139500583224</v>
          </cell>
          <cell r="L67">
            <v>9135.868893152634</v>
          </cell>
          <cell r="M67">
            <v>10273.367101765903</v>
          </cell>
          <cell r="N67">
            <v>11590.281431611551</v>
          </cell>
          <cell r="O67">
            <v>12440.713846253017</v>
          </cell>
          <cell r="P67">
            <v>12440.713846253017</v>
          </cell>
          <cell r="Q67">
            <v>12440.713846253017</v>
          </cell>
          <cell r="R67">
            <v>12440.713846253017</v>
          </cell>
          <cell r="S67">
            <v>12498.127005047378</v>
          </cell>
          <cell r="T67">
            <v>13858.101203988794</v>
          </cell>
          <cell r="U67">
            <v>17012.23661525398</v>
          </cell>
          <cell r="V67">
            <v>22746.375849840748</v>
          </cell>
          <cell r="W67">
            <v>28706.579397180307</v>
          </cell>
          <cell r="X67">
            <v>30123.966754916088</v>
          </cell>
          <cell r="Y67">
            <v>33938.353492316419</v>
          </cell>
          <cell r="Z67">
            <v>38700.057349823699</v>
          </cell>
          <cell r="AA67">
            <v>41872.134373212131</v>
          </cell>
          <cell r="AB67">
            <v>43314.639987920433</v>
          </cell>
          <cell r="AC67">
            <v>44491.609743204834</v>
          </cell>
          <cell r="AD67">
            <v>47387.385939895394</v>
          </cell>
          <cell r="AE67">
            <v>49091.839091602975</v>
          </cell>
          <cell r="AF67">
            <v>50903.941916049982</v>
          </cell>
          <cell r="AG67">
            <v>52163.443087101266</v>
          </cell>
          <cell r="AH67">
            <v>53620.301991508175</v>
          </cell>
          <cell r="AI67">
            <v>54915.68638680593</v>
          </cell>
          <cell r="AJ67">
            <v>56530.43147789732</v>
          </cell>
          <cell r="AK67">
            <v>58170.294825961246</v>
          </cell>
          <cell r="AL67">
            <v>60316.111635900474</v>
          </cell>
          <cell r="AM67">
            <v>65386.411221927447</v>
          </cell>
          <cell r="AN67">
            <v>68791.729202917966</v>
          </cell>
          <cell r="AO67">
            <v>74120.388003519562</v>
          </cell>
          <cell r="AP67">
            <v>81002.790413993527</v>
          </cell>
          <cell r="AQ67">
            <v>90766.615731459489</v>
          </cell>
          <cell r="AR67">
            <v>100652.44401136346</v>
          </cell>
          <cell r="AS67">
            <v>108205.86271524653</v>
          </cell>
          <cell r="AT67">
            <v>117607.26746782308</v>
          </cell>
          <cell r="AU67">
            <v>128270.3263849057</v>
          </cell>
          <cell r="AV67">
            <v>144264.91476052965</v>
          </cell>
          <cell r="AW67">
            <v>184303.41637474686</v>
          </cell>
          <cell r="AX67">
            <v>243194.96400806229</v>
          </cell>
          <cell r="AY67">
            <v>322977.72479767562</v>
          </cell>
        </row>
        <row r="68">
          <cell r="G68">
            <v>70266.242364700549</v>
          </cell>
          <cell r="K68">
            <v>205.91334152329119</v>
          </cell>
          <cell r="L68">
            <v>211.55480293488822</v>
          </cell>
          <cell r="M68">
            <v>211.55480293488822</v>
          </cell>
          <cell r="N68">
            <v>211.55480293488822</v>
          </cell>
          <cell r="O68">
            <v>234.12064858127627</v>
          </cell>
          <cell r="P68">
            <v>251.04503281606733</v>
          </cell>
          <cell r="Q68">
            <v>251.04503281606733</v>
          </cell>
          <cell r="R68">
            <v>273.61087846245545</v>
          </cell>
          <cell r="S68">
            <v>1444.2141213688367</v>
          </cell>
          <cell r="T68">
            <v>1703.7213463022997</v>
          </cell>
          <cell r="U68">
            <v>2067.5956073503075</v>
          </cell>
          <cell r="V68">
            <v>2067.5956073503075</v>
          </cell>
          <cell r="W68">
            <v>2067.5956073503075</v>
          </cell>
          <cell r="X68">
            <v>2078.8785301735015</v>
          </cell>
          <cell r="Y68">
            <v>2211.4528733460311</v>
          </cell>
          <cell r="Z68">
            <v>2349.6686779301581</v>
          </cell>
          <cell r="AA68">
            <v>2527.3747123954645</v>
          </cell>
          <cell r="AB68">
            <v>2626.1002870984125</v>
          </cell>
          <cell r="AC68">
            <v>2722.0051310955614</v>
          </cell>
          <cell r="AD68">
            <v>2834.8343593275022</v>
          </cell>
          <cell r="AE68">
            <v>2868.6831277970841</v>
          </cell>
          <cell r="AF68">
            <v>2927.9184726188528</v>
          </cell>
          <cell r="AG68">
            <v>3001.2574709696141</v>
          </cell>
          <cell r="AH68">
            <v>3071.7757386145768</v>
          </cell>
          <cell r="AI68">
            <v>3102.8037763783605</v>
          </cell>
          <cell r="AJ68">
            <v>3193.0671589639128</v>
          </cell>
          <cell r="AK68">
            <v>3235.37811955089</v>
          </cell>
          <cell r="AL68">
            <v>3272.0476187262707</v>
          </cell>
          <cell r="AM68">
            <v>3342.5658863712338</v>
          </cell>
          <cell r="AN68">
            <v>3396.1597697814054</v>
          </cell>
          <cell r="AO68">
            <v>3489.243883072756</v>
          </cell>
          <cell r="AP68">
            <v>3523.0926515423384</v>
          </cell>
          <cell r="AQ68">
            <v>3630.2804183626818</v>
          </cell>
          <cell r="AR68">
            <v>3791.0620685931967</v>
          </cell>
          <cell r="AS68">
            <v>3870.0425283555551</v>
          </cell>
          <cell r="AT68">
            <v>4073.1351391730477</v>
          </cell>
          <cell r="AU68">
            <v>4200.6321670751404</v>
          </cell>
          <cell r="AV68">
            <v>4391.8777089282794</v>
          </cell>
          <cell r="AW68">
            <v>4741.6483164472938</v>
          </cell>
          <cell r="AX68">
            <v>5060.3908862025255</v>
          </cell>
          <cell r="AY68">
            <v>5379.1334559577572</v>
          </cell>
        </row>
        <row r="69">
          <cell r="G69">
            <v>1621745.289867236</v>
          </cell>
          <cell r="K69">
            <v>299.18301791039408</v>
          </cell>
          <cell r="L69">
            <v>339.53335914173016</v>
          </cell>
          <cell r="M69">
            <v>388.74109235067652</v>
          </cell>
          <cell r="N69">
            <v>441.88544421633867</v>
          </cell>
          <cell r="O69">
            <v>515.69704402975822</v>
          </cell>
          <cell r="P69">
            <v>567.85724123124146</v>
          </cell>
          <cell r="Q69">
            <v>625.92236641779823</v>
          </cell>
          <cell r="R69">
            <v>689.89241958942853</v>
          </cell>
          <cell r="S69">
            <v>761.73571007449027</v>
          </cell>
          <cell r="T69">
            <v>1125.8729358206936</v>
          </cell>
          <cell r="U69">
            <v>1875.7987899250368</v>
          </cell>
          <cell r="V69">
            <v>3177.8354106337588</v>
          </cell>
          <cell r="W69">
            <v>5341.991517163221</v>
          </cell>
          <cell r="X69">
            <v>5793.7185080213494</v>
          </cell>
          <cell r="Y69">
            <v>6369.4489865660225</v>
          </cell>
          <cell r="Z69">
            <v>7062.293870147987</v>
          </cell>
          <cell r="AA69">
            <v>7573.0701408568511</v>
          </cell>
          <cell r="AB69">
            <v>7721.6774951478683</v>
          </cell>
          <cell r="AC69">
            <v>7935.2390572746963</v>
          </cell>
          <cell r="AD69">
            <v>8388.934357461183</v>
          </cell>
          <cell r="AE69">
            <v>8713.7053966402291</v>
          </cell>
          <cell r="AF69">
            <v>8941.045124065562</v>
          </cell>
          <cell r="AG69">
            <v>9184.1313261177565</v>
          </cell>
          <cell r="AH69">
            <v>9770.6875059683971</v>
          </cell>
          <cell r="AI69">
            <v>10269.653920707115</v>
          </cell>
          <cell r="AJ69">
            <v>10638.71191977421</v>
          </cell>
          <cell r="AK69">
            <v>11097.327993281591</v>
          </cell>
          <cell r="AL69">
            <v>11819.697516788925</v>
          </cell>
          <cell r="AM69">
            <v>12482.033605781344</v>
          </cell>
          <cell r="AN69">
            <v>12968.206009885735</v>
          </cell>
          <cell r="AO69">
            <v>13539.015715109512</v>
          </cell>
          <cell r="AP69">
            <v>14190.526102795962</v>
          </cell>
          <cell r="AQ69">
            <v>15206.173716228617</v>
          </cell>
          <cell r="AR69">
            <v>16257.250897571712</v>
          </cell>
          <cell r="AS69">
            <v>17562.239982272971</v>
          </cell>
          <cell r="AT69">
            <v>18281.657041787767</v>
          </cell>
          <cell r="AU69">
            <v>18738.304805966789</v>
          </cell>
          <cell r="AV69">
            <v>19423.276452235325</v>
          </cell>
          <cell r="AW69">
            <v>20706.614134324645</v>
          </cell>
          <cell r="AX69">
            <v>21990.935971078146</v>
          </cell>
          <cell r="AY69">
            <v>23277.226117160004</v>
          </cell>
        </row>
        <row r="70">
          <cell r="G70">
            <v>436454.49114158959</v>
          </cell>
          <cell r="K70">
            <v>66.877558286222069</v>
          </cell>
          <cell r="L70">
            <v>74.679940086281306</v>
          </cell>
          <cell r="M70">
            <v>84.711573829214615</v>
          </cell>
          <cell r="N70">
            <v>99.201711457896053</v>
          </cell>
          <cell r="O70">
            <v>120.37960491519971</v>
          </cell>
          <cell r="P70">
            <v>133.75511657244414</v>
          </cell>
          <cell r="Q70">
            <v>142.67212434394042</v>
          </cell>
          <cell r="R70">
            <v>209.54968263016247</v>
          </cell>
          <cell r="S70">
            <v>276.42724091638456</v>
          </cell>
          <cell r="T70">
            <v>425.78712108894712</v>
          </cell>
          <cell r="U70">
            <v>774.66505014873883</v>
          </cell>
          <cell r="V70">
            <v>1279.5906152097155</v>
          </cell>
          <cell r="W70">
            <v>1809.037951642307</v>
          </cell>
          <cell r="X70">
            <v>1906.0104111573289</v>
          </cell>
          <cell r="Y70">
            <v>2067.631177015699</v>
          </cell>
          <cell r="Z70">
            <v>2142.31111710198</v>
          </cell>
          <cell r="AA70">
            <v>2195.813163730958</v>
          </cell>
          <cell r="AB70">
            <v>2218.1056831596984</v>
          </cell>
          <cell r="AC70">
            <v>2347.4022958463943</v>
          </cell>
          <cell r="AD70">
            <v>2536.88871099069</v>
          </cell>
          <cell r="AE70">
            <v>2844.5254791073121</v>
          </cell>
          <cell r="AF70">
            <v>2901.3714036506008</v>
          </cell>
          <cell r="AG70">
            <v>2964.9050840225118</v>
          </cell>
          <cell r="AH70">
            <v>3003.9169930228081</v>
          </cell>
          <cell r="AI70">
            <v>3144.359865423874</v>
          </cell>
          <cell r="AJ70">
            <v>3266.968722281948</v>
          </cell>
          <cell r="AK70">
            <v>3371.7435635970292</v>
          </cell>
          <cell r="AL70">
            <v>3466.4867711691772</v>
          </cell>
          <cell r="AM70">
            <v>3602.4711396844955</v>
          </cell>
          <cell r="AN70">
            <v>3738.4555081998137</v>
          </cell>
          <cell r="AO70">
            <v>3995.9341076017686</v>
          </cell>
          <cell r="AP70">
            <v>4843.0498458939146</v>
          </cell>
          <cell r="AQ70">
            <v>5739.2091269292905</v>
          </cell>
          <cell r="AR70">
            <v>6566.2615977355699</v>
          </cell>
          <cell r="AS70">
            <v>7560.5079642574046</v>
          </cell>
          <cell r="AT70">
            <v>8112.2478201187369</v>
          </cell>
          <cell r="AU70">
            <v>8875.9895357473924</v>
          </cell>
          <cell r="AV70">
            <v>10021.602109190375</v>
          </cell>
          <cell r="AW70">
            <v>13775.662380990309</v>
          </cell>
          <cell r="AX70">
            <v>21106.557395131684</v>
          </cell>
          <cell r="AY70">
            <v>33308.367904452898</v>
          </cell>
        </row>
        <row r="71">
          <cell r="G71">
            <v>102224.09202136721</v>
          </cell>
          <cell r="K71">
            <v>101.85415903058413</v>
          </cell>
          <cell r="L71">
            <v>101.85415903058413</v>
          </cell>
          <cell r="M71">
            <v>101.85415903058413</v>
          </cell>
          <cell r="N71">
            <v>101.85415903058413</v>
          </cell>
          <cell r="O71">
            <v>101.85415903058413</v>
          </cell>
          <cell r="P71">
            <v>101.85415903058413</v>
          </cell>
          <cell r="Q71">
            <v>101.85415903058413</v>
          </cell>
          <cell r="R71">
            <v>101.85415903058413</v>
          </cell>
          <cell r="S71">
            <v>101.85415903058413</v>
          </cell>
          <cell r="T71">
            <v>101.85415903058413</v>
          </cell>
          <cell r="U71">
            <v>101.85415903058413</v>
          </cell>
          <cell r="V71">
            <v>101.85415903058413</v>
          </cell>
          <cell r="W71">
            <v>101.85415903058413</v>
          </cell>
          <cell r="X71">
            <v>116.14947959628014</v>
          </cell>
          <cell r="Y71">
            <v>148.31395086909617</v>
          </cell>
          <cell r="Z71">
            <v>167.9700166469282</v>
          </cell>
          <cell r="AA71">
            <v>168.86347418228422</v>
          </cell>
          <cell r="AB71">
            <v>168.86347418228422</v>
          </cell>
          <cell r="AC71">
            <v>168.86347418228422</v>
          </cell>
          <cell r="AD71">
            <v>168.86347418228422</v>
          </cell>
          <cell r="AE71">
            <v>168.86347418228422</v>
          </cell>
          <cell r="AF71">
            <v>168.86347418228422</v>
          </cell>
          <cell r="AG71">
            <v>168.86347418228422</v>
          </cell>
          <cell r="AH71">
            <v>168.86347418228422</v>
          </cell>
          <cell r="AI71">
            <v>179.58496460655621</v>
          </cell>
          <cell r="AJ71">
            <v>185.83916735404824</v>
          </cell>
          <cell r="AK71">
            <v>187.62608242476026</v>
          </cell>
          <cell r="AL71">
            <v>187.62608242476026</v>
          </cell>
          <cell r="AM71">
            <v>190.30645503082826</v>
          </cell>
          <cell r="AN71">
            <v>192.09337010154024</v>
          </cell>
          <cell r="AO71">
            <v>198.34757284903225</v>
          </cell>
          <cell r="AP71">
            <v>201.92140299045624</v>
          </cell>
          <cell r="AQ71">
            <v>231.4055016572043</v>
          </cell>
          <cell r="AR71">
            <v>256.4223126471723</v>
          </cell>
          <cell r="AS71">
            <v>256.4223126471723</v>
          </cell>
          <cell r="AT71">
            <v>234.97933179862829</v>
          </cell>
          <cell r="AU71">
            <v>234.97933179862829</v>
          </cell>
          <cell r="AV71">
            <v>234.97933179862829</v>
          </cell>
          <cell r="AW71">
            <v>234.97933179862829</v>
          </cell>
          <cell r="AX71">
            <v>234.97933179862829</v>
          </cell>
          <cell r="AY71">
            <v>234.97933179862829</v>
          </cell>
        </row>
        <row r="72">
          <cell r="G72">
            <v>22158.652598420798</v>
          </cell>
          <cell r="K72">
            <v>71.152337931163743</v>
          </cell>
          <cell r="L72">
            <v>79.284033694725323</v>
          </cell>
          <cell r="M72">
            <v>87.41572945828689</v>
          </cell>
          <cell r="N72">
            <v>95.547425221848471</v>
          </cell>
          <cell r="O72">
            <v>104.69558295585523</v>
          </cell>
          <cell r="P72">
            <v>132.14005615787553</v>
          </cell>
          <cell r="Q72">
            <v>166.69976315301221</v>
          </cell>
          <cell r="R72">
            <v>210.40762788215565</v>
          </cell>
          <cell r="S72">
            <v>266.31303625664145</v>
          </cell>
          <cell r="T72">
            <v>472.65481625701636</v>
          </cell>
          <cell r="U72">
            <v>623.09118788290539</v>
          </cell>
          <cell r="V72">
            <v>817.23542423793799</v>
          </cell>
          <cell r="W72">
            <v>1003.2479648294088</v>
          </cell>
          <cell r="X72">
            <v>1087.6143083763602</v>
          </cell>
          <cell r="Y72">
            <v>1104.8941618739286</v>
          </cell>
          <cell r="Z72">
            <v>1279.7256207905023</v>
          </cell>
          <cell r="AA72">
            <v>1526.7258796086851</v>
          </cell>
          <cell r="AB72">
            <v>1578.5654401013901</v>
          </cell>
          <cell r="AC72">
            <v>1693.4256427616974</v>
          </cell>
          <cell r="AD72">
            <v>1716.8042680819367</v>
          </cell>
          <cell r="AE72">
            <v>1801.1706116288881</v>
          </cell>
          <cell r="AF72">
            <v>1824.5492369491278</v>
          </cell>
          <cell r="AG72">
            <v>1880.4546453236135</v>
          </cell>
          <cell r="AH72">
            <v>1918.0637382300858</v>
          </cell>
          <cell r="AI72">
            <v>1971.9362226636808</v>
          </cell>
          <cell r="AJ72">
            <v>2035.9733268017285</v>
          </cell>
          <cell r="AK72">
            <v>2070.5330337968653</v>
          </cell>
          <cell r="AL72">
            <v>2108.1421267033375</v>
          </cell>
          <cell r="AM72">
            <v>2176.2450787231655</v>
          </cell>
          <cell r="AN72">
            <v>2249.4303405952196</v>
          </cell>
          <cell r="AO72">
            <v>2335.8296080830614</v>
          </cell>
          <cell r="AP72">
            <v>2474.0684360636078</v>
          </cell>
          <cell r="AQ72">
            <v>2633.6529654235042</v>
          </cell>
          <cell r="AR72">
            <v>2750.5460920247015</v>
          </cell>
          <cell r="AS72">
            <v>2868.4556805963443</v>
          </cell>
          <cell r="AT72">
            <v>3011.7768184291172</v>
          </cell>
          <cell r="AU72">
            <v>3166.685622724965</v>
          </cell>
          <cell r="AV72">
            <v>3399.048829168737</v>
          </cell>
          <cell r="AW72">
            <v>3788.3537638492467</v>
          </cell>
          <cell r="AX72">
            <v>4185.790394293319</v>
          </cell>
          <cell r="AY72">
            <v>4610.671497939411</v>
          </cell>
        </row>
        <row r="73">
          <cell r="G73">
            <v>300733.69396872638</v>
          </cell>
          <cell r="K73">
            <v>2986.2408702607559</v>
          </cell>
          <cell r="L73">
            <v>3302.0932699998748</v>
          </cell>
          <cell r="M73">
            <v>3707.1097443064955</v>
          </cell>
          <cell r="N73">
            <v>4170.3095554071642</v>
          </cell>
          <cell r="O73">
            <v>4788.4130553751038</v>
          </cell>
          <cell r="P73">
            <v>5392.9152558327469</v>
          </cell>
          <cell r="Q73">
            <v>5860.6488334368478</v>
          </cell>
          <cell r="R73">
            <v>6398.6557918441504</v>
          </cell>
          <cell r="S73">
            <v>6907.9488957297144</v>
          </cell>
          <cell r="T73">
            <v>7878.9305552148035</v>
          </cell>
          <cell r="U73">
            <v>9312.3563980499894</v>
          </cell>
          <cell r="V73">
            <v>10424.640446892052</v>
          </cell>
          <cell r="W73">
            <v>10803.209949928652</v>
          </cell>
          <cell r="X73">
            <v>10881.039608237574</v>
          </cell>
          <cell r="Y73">
            <v>12177.696828219217</v>
          </cell>
          <cell r="Z73">
            <v>13719.177439386207</v>
          </cell>
          <cell r="AA73">
            <v>14770.255640431933</v>
          </cell>
          <cell r="AB73">
            <v>15120.111288946795</v>
          </cell>
          <cell r="AC73">
            <v>15503.970186237397</v>
          </cell>
          <cell r="AD73">
            <v>16164.388840237374</v>
          </cell>
          <cell r="AE73">
            <v>16725.820258912408</v>
          </cell>
          <cell r="AF73">
            <v>17503.361214251054</v>
          </cell>
          <cell r="AG73">
            <v>18204.583766781914</v>
          </cell>
          <cell r="AH73">
            <v>18772.815835212103</v>
          </cell>
          <cell r="AI73">
            <v>19133.250272234971</v>
          </cell>
          <cell r="AJ73">
            <v>19583.604411575918</v>
          </cell>
          <cell r="AK73">
            <v>19991.643396884825</v>
          </cell>
          <cell r="AL73">
            <v>20707.222876676558</v>
          </cell>
          <cell r="AM73">
            <v>22348.446350919061</v>
          </cell>
          <cell r="AN73">
            <v>23119.942284253124</v>
          </cell>
          <cell r="AO73">
            <v>24180.843646056292</v>
          </cell>
          <cell r="AP73">
            <v>26180.234674069947</v>
          </cell>
          <cell r="AQ73">
            <v>28027.744524218615</v>
          </cell>
          <cell r="AR73">
            <v>29811.781643319231</v>
          </cell>
          <cell r="AS73">
            <v>31184.001638358084</v>
          </cell>
          <cell r="AT73">
            <v>31806.638904829459</v>
          </cell>
          <cell r="AU73">
            <v>32213.77113683768</v>
          </cell>
          <cell r="AV73">
            <v>32824.469484850015</v>
          </cell>
          <cell r="AW73">
            <v>33840.788809369427</v>
          </cell>
          <cell r="AX73">
            <v>34857.10813388884</v>
          </cell>
          <cell r="AY73">
            <v>35873.427458408252</v>
          </cell>
        </row>
        <row r="74">
          <cell r="G74">
            <v>11000.034256386811</v>
          </cell>
          <cell r="K74">
            <v>68.121446025330258</v>
          </cell>
          <cell r="L74">
            <v>72.662875760352279</v>
          </cell>
          <cell r="M74">
            <v>77.2043054953743</v>
          </cell>
          <cell r="N74">
            <v>86.287164965418327</v>
          </cell>
          <cell r="O74">
            <v>99.911454170484376</v>
          </cell>
          <cell r="P74">
            <v>113.53574337555044</v>
          </cell>
          <cell r="Q74">
            <v>127.16003258061649</v>
          </cell>
          <cell r="R74">
            <v>145.32575152070456</v>
          </cell>
          <cell r="S74">
            <v>168.03290019581465</v>
          </cell>
          <cell r="T74">
            <v>236.15434622114489</v>
          </cell>
          <cell r="U74">
            <v>367.8558085367834</v>
          </cell>
          <cell r="V74">
            <v>472.30869244228978</v>
          </cell>
          <cell r="W74">
            <v>549.51299793766418</v>
          </cell>
          <cell r="X74">
            <v>594.92729528788436</v>
          </cell>
          <cell r="Y74">
            <v>604.01015475792838</v>
          </cell>
          <cell r="Z74">
            <v>690.29731972334662</v>
          </cell>
          <cell r="AA74">
            <v>731.17018733854491</v>
          </cell>
          <cell r="AB74">
            <v>744.79447654361081</v>
          </cell>
          <cell r="AC74">
            <v>762.96019548369895</v>
          </cell>
          <cell r="AD74">
            <v>876.49593885924946</v>
          </cell>
          <cell r="AE74">
            <v>890.12022806431537</v>
          </cell>
          <cell r="AF74">
            <v>908.28594700440351</v>
          </cell>
          <cell r="AG74">
            <v>908.28594700440351</v>
          </cell>
          <cell r="AH74">
            <v>908.28594700440351</v>
          </cell>
          <cell r="AI74">
            <v>908.28594700440351</v>
          </cell>
          <cell r="AJ74">
            <v>908.28594700440351</v>
          </cell>
          <cell r="AK74">
            <v>917.36880647444752</v>
          </cell>
          <cell r="AL74">
            <v>926.45166594449154</v>
          </cell>
          <cell r="AM74">
            <v>930.99309567951366</v>
          </cell>
          <cell r="AN74">
            <v>930.99309567951366</v>
          </cell>
          <cell r="AO74">
            <v>949.15881461960169</v>
          </cell>
          <cell r="AP74">
            <v>949.15881461960169</v>
          </cell>
          <cell r="AQ74">
            <v>962.78310382466771</v>
          </cell>
          <cell r="AR74">
            <v>985.49025249977785</v>
          </cell>
          <cell r="AS74">
            <v>985.49025249977785</v>
          </cell>
          <cell r="AT74">
            <v>976.40739302973384</v>
          </cell>
          <cell r="AU74">
            <v>994.57311196982187</v>
          </cell>
          <cell r="AV74">
            <v>1021.8216903799541</v>
          </cell>
          <cell r="AW74">
            <v>1067.2359877301742</v>
          </cell>
          <cell r="AX74">
            <v>1103.5674256103503</v>
          </cell>
          <cell r="AY74">
            <v>1148.9817229605706</v>
          </cell>
        </row>
        <row r="75">
          <cell r="G75">
            <v>89194.609916811387</v>
          </cell>
          <cell r="K75">
            <v>22.463364427324038</v>
          </cell>
          <cell r="L75">
            <v>26.675245257447294</v>
          </cell>
          <cell r="M75">
            <v>32.291086364278307</v>
          </cell>
          <cell r="N75">
            <v>40.714848024524819</v>
          </cell>
          <cell r="O75">
            <v>53.350490514894588</v>
          </cell>
          <cell r="P75">
            <v>63.178212451848857</v>
          </cell>
          <cell r="Q75">
            <v>75.813854942218626</v>
          </cell>
          <cell r="R75">
            <v>91.257417986003901</v>
          </cell>
          <cell r="S75">
            <v>106.70098102978918</v>
          </cell>
          <cell r="T75">
            <v>211.9980017828706</v>
          </cell>
          <cell r="U75">
            <v>328.52670474961405</v>
          </cell>
          <cell r="V75">
            <v>353.79798973035361</v>
          </cell>
          <cell r="W75">
            <v>474.53857352722031</v>
          </cell>
          <cell r="X75">
            <v>512.44550099832963</v>
          </cell>
          <cell r="Y75">
            <v>575.62371345017857</v>
          </cell>
          <cell r="Z75">
            <v>682.32469447996766</v>
          </cell>
          <cell r="AA75">
            <v>842.37616602465141</v>
          </cell>
          <cell r="AB75">
            <v>859.22368934514441</v>
          </cell>
          <cell r="AC75">
            <v>873.26329211222208</v>
          </cell>
          <cell r="AD75">
            <v>895.72665653954607</v>
          </cell>
          <cell r="AE75">
            <v>915.38210041345451</v>
          </cell>
          <cell r="AF75">
            <v>930.82566345723978</v>
          </cell>
          <cell r="AG75">
            <v>965.92467037493361</v>
          </cell>
          <cell r="AH75">
            <v>991.19595535567328</v>
          </cell>
          <cell r="AI75">
            <v>1010.8513992295817</v>
          </cell>
          <cell r="AJ75">
            <v>1033.3147636569058</v>
          </cell>
          <cell r="AK75">
            <v>1048.758326700691</v>
          </cell>
          <cell r="AL75">
            <v>1096.4929761087546</v>
          </cell>
          <cell r="AM75">
            <v>1305.6830573382099</v>
          </cell>
          <cell r="AN75">
            <v>1381.4969122804282</v>
          </cell>
          <cell r="AO75">
            <v>1534.5285824415735</v>
          </cell>
          <cell r="AP75">
            <v>1712.8315375834579</v>
          </cell>
          <cell r="AQ75">
            <v>1784.4335116955533</v>
          </cell>
          <cell r="AR75">
            <v>1840.5919227638633</v>
          </cell>
          <cell r="AS75">
            <v>1976.7760696045152</v>
          </cell>
          <cell r="AT75">
            <v>2170.5225877901853</v>
          </cell>
          <cell r="AU75">
            <v>2313.1649519036928</v>
          </cell>
          <cell r="AV75">
            <v>2527.1284980739547</v>
          </cell>
          <cell r="AW75">
            <v>2942.7007399794488</v>
          </cell>
          <cell r="AX75">
            <v>3421.4511943367925</v>
          </cell>
          <cell r="AY75">
            <v>3929.6848145049989</v>
          </cell>
        </row>
        <row r="76">
          <cell r="G76">
            <v>372467.76577284659</v>
          </cell>
          <cell r="K76">
            <v>4537.4869769197412</v>
          </cell>
          <cell r="L76">
            <v>5245.7776269755059</v>
          </cell>
          <cell r="M76">
            <v>6469.1887497990992</v>
          </cell>
          <cell r="N76">
            <v>7863.6359670963866</v>
          </cell>
          <cell r="O76">
            <v>10449.299277669277</v>
          </cell>
          <cell r="P76">
            <v>11944.355962304029</v>
          </cell>
          <cell r="Q76">
            <v>14002.825664028596</v>
          </cell>
          <cell r="R76">
            <v>16081.417259220654</v>
          </cell>
          <cell r="S76">
            <v>19194.27417864187</v>
          </cell>
          <cell r="T76">
            <v>24158.345297072472</v>
          </cell>
          <cell r="U76">
            <v>32794.661973320595</v>
          </cell>
          <cell r="V76">
            <v>41728.782672887632</v>
          </cell>
          <cell r="W76">
            <v>47097.303850014847</v>
          </cell>
          <cell r="X76">
            <v>48369.007517160426</v>
          </cell>
          <cell r="Y76">
            <v>51775.644081207036</v>
          </cell>
          <cell r="Z76">
            <v>55777.888691891458</v>
          </cell>
          <cell r="AA76">
            <v>58200.564665377657</v>
          </cell>
          <cell r="AB76">
            <v>59434.036734934998</v>
          </cell>
          <cell r="AC76">
            <v>60138.303006297261</v>
          </cell>
          <cell r="AD76">
            <v>61232.934010928897</v>
          </cell>
          <cell r="AE76">
            <v>61905.005252743169</v>
          </cell>
          <cell r="AF76">
            <v>62657.564068427419</v>
          </cell>
          <cell r="AG76">
            <v>63317.562174161205</v>
          </cell>
          <cell r="AH76">
            <v>63967.499333161242</v>
          </cell>
          <cell r="AI76">
            <v>64369.937202511108</v>
          </cell>
          <cell r="AJ76">
            <v>64808.59448010246</v>
          </cell>
          <cell r="AK76">
            <v>65307.617438096291</v>
          </cell>
          <cell r="AL76">
            <v>66100.420040715529</v>
          </cell>
          <cell r="AM76">
            <v>67533.098855601056</v>
          </cell>
          <cell r="AN76">
            <v>68352.059919728024</v>
          </cell>
          <cell r="AO76">
            <v>69319.922995514455</v>
          </cell>
          <cell r="AP76">
            <v>70424.614946879839</v>
          </cell>
          <cell r="AQ76">
            <v>72468.999323177166</v>
          </cell>
          <cell r="AR76">
            <v>75449.051745712917</v>
          </cell>
          <cell r="AS76">
            <v>78730.93257026108</v>
          </cell>
          <cell r="AT76">
            <v>78320.445943524217</v>
          </cell>
          <cell r="AU76">
            <v>78320.445943524217</v>
          </cell>
          <cell r="AV76">
            <v>78320.445943524217</v>
          </cell>
          <cell r="AW76">
            <v>78320.445943524217</v>
          </cell>
          <cell r="AX76">
            <v>78320.445943524217</v>
          </cell>
          <cell r="AY76">
            <v>78320.445943524217</v>
          </cell>
        </row>
        <row r="77">
          <cell r="G77">
            <v>2730534.1394721689</v>
          </cell>
          <cell r="K77">
            <v>0</v>
          </cell>
          <cell r="L77">
            <v>0</v>
          </cell>
          <cell r="M77">
            <v>0</v>
          </cell>
          <cell r="N77">
            <v>131.85288030077547</v>
          </cell>
          <cell r="O77">
            <v>366.25800083548739</v>
          </cell>
          <cell r="P77">
            <v>539.31490623025525</v>
          </cell>
          <cell r="Q77">
            <v>539.31490623025525</v>
          </cell>
          <cell r="R77">
            <v>539.31490623025525</v>
          </cell>
          <cell r="S77">
            <v>539.31490623025525</v>
          </cell>
          <cell r="T77">
            <v>729.76906666470859</v>
          </cell>
          <cell r="U77">
            <v>1005.378212293413</v>
          </cell>
          <cell r="V77">
            <v>1239.7833328281249</v>
          </cell>
          <cell r="W77">
            <v>1484.2605483858126</v>
          </cell>
          <cell r="X77">
            <v>1495.2482884108774</v>
          </cell>
          <cell r="Y77">
            <v>1657.3174537805805</v>
          </cell>
          <cell r="Z77">
            <v>1707.6779288954599</v>
          </cell>
          <cell r="AA77">
            <v>1727.8221189414119</v>
          </cell>
          <cell r="AB77">
            <v>1773.6043690458478</v>
          </cell>
          <cell r="AC77">
            <v>1792.8329140897108</v>
          </cell>
          <cell r="AD77">
            <v>1812.0614591335739</v>
          </cell>
          <cell r="AE77">
            <v>1831.2900041774371</v>
          </cell>
          <cell r="AF77">
            <v>1876.1566092797843</v>
          </cell>
          <cell r="AG77">
            <v>1896.3007993257361</v>
          </cell>
          <cell r="AH77">
            <v>1933.8422444113735</v>
          </cell>
          <cell r="AI77">
            <v>1960.3959494719466</v>
          </cell>
          <cell r="AJ77">
            <v>2003.4312645701161</v>
          </cell>
          <cell r="AK77">
            <v>2038.2257746494874</v>
          </cell>
          <cell r="AL77">
            <v>2119.7181798353836</v>
          </cell>
          <cell r="AM77">
            <v>2262.5588001612232</v>
          </cell>
          <cell r="AN77">
            <v>2358.7015253805389</v>
          </cell>
          <cell r="AO77">
            <v>2550.9869758191699</v>
          </cell>
          <cell r="AP77">
            <v>2800.95806138939</v>
          </cell>
          <cell r="AQ77">
            <v>3286.2499124964106</v>
          </cell>
          <cell r="AR77">
            <v>3961.9959240378848</v>
          </cell>
          <cell r="AS77">
            <v>4475.6727702096559</v>
          </cell>
          <cell r="AT77">
            <v>4772.3417508864013</v>
          </cell>
          <cell r="AU77">
            <v>5051.7966055238776</v>
          </cell>
          <cell r="AV77">
            <v>5470.9788874800934</v>
          </cell>
          <cell r="AW77">
            <v>6425.0809796565372</v>
          </cell>
          <cell r="AX77">
            <v>7607.1786773530739</v>
          </cell>
          <cell r="AY77">
            <v>9009.9468205529902</v>
          </cell>
        </row>
        <row r="78">
          <cell r="G78">
            <v>585983.76478242478</v>
          </cell>
          <cell r="K78">
            <v>94.544078888725835</v>
          </cell>
          <cell r="L78">
            <v>94.544078888725835</v>
          </cell>
          <cell r="M78">
            <v>94.544078888725835</v>
          </cell>
          <cell r="N78">
            <v>94.544078888725835</v>
          </cell>
          <cell r="O78">
            <v>94.544078888725835</v>
          </cell>
          <cell r="P78">
            <v>94.544078888725835</v>
          </cell>
          <cell r="Q78">
            <v>94.544078888725835</v>
          </cell>
          <cell r="R78">
            <v>94.544078888725835</v>
          </cell>
          <cell r="S78">
            <v>107.14995607388927</v>
          </cell>
          <cell r="T78">
            <v>138.6646490367979</v>
          </cell>
          <cell r="U78">
            <v>226.90578933294199</v>
          </cell>
          <cell r="V78">
            <v>441.20570148072056</v>
          </cell>
          <cell r="W78">
            <v>674.41442940624427</v>
          </cell>
          <cell r="X78">
            <v>857.19964859111417</v>
          </cell>
          <cell r="Y78">
            <v>945.44078888725835</v>
          </cell>
          <cell r="Z78">
            <v>1090.4083765166379</v>
          </cell>
          <cell r="AA78">
            <v>1128.2260080721283</v>
          </cell>
          <cell r="AB78">
            <v>1147.1348238498733</v>
          </cell>
          <cell r="AC78">
            <v>1147.1348238498733</v>
          </cell>
          <cell r="AD78">
            <v>1178.6495168127819</v>
          </cell>
          <cell r="AE78">
            <v>1184.9524554053637</v>
          </cell>
          <cell r="AF78">
            <v>1197.5583325905272</v>
          </cell>
          <cell r="AG78">
            <v>1210.1642097756908</v>
          </cell>
          <cell r="AH78">
            <v>1216.4671483682723</v>
          </cell>
          <cell r="AI78">
            <v>1216.4671483682723</v>
          </cell>
          <cell r="AJ78">
            <v>1241.6789027385992</v>
          </cell>
          <cell r="AK78">
            <v>1260.5877185163442</v>
          </cell>
          <cell r="AL78">
            <v>1298.4053500718348</v>
          </cell>
          <cell r="AM78">
            <v>1487.4935078492863</v>
          </cell>
          <cell r="AN78">
            <v>1550.5228937751035</v>
          </cell>
          <cell r="AO78">
            <v>1582.0375867380124</v>
          </cell>
          <cell r="AP78">
            <v>1821.5492532561177</v>
          </cell>
          <cell r="AQ78">
            <v>1972.819779478079</v>
          </cell>
          <cell r="AR78">
            <v>2199.7255688110213</v>
          </cell>
          <cell r="AS78">
            <v>2338.3902178478188</v>
          </cell>
          <cell r="AT78">
            <v>2319.4814020700737</v>
          </cell>
          <cell r="AU78">
            <v>2445.5401739217082</v>
          </cell>
          <cell r="AV78">
            <v>2634.6283316991598</v>
          </cell>
          <cell r="AW78">
            <v>3088.4399103650439</v>
          </cell>
          <cell r="AX78">
            <v>3964.5483747339031</v>
          </cell>
          <cell r="AY78">
            <v>6813.4766185808412</v>
          </cell>
        </row>
        <row r="79">
          <cell r="G79">
            <v>197448.54876372989</v>
          </cell>
          <cell r="K79">
            <v>21.031323552583789</v>
          </cell>
          <cell r="L79">
            <v>23.555082378893843</v>
          </cell>
          <cell r="M79">
            <v>27.761347089410602</v>
          </cell>
          <cell r="N79">
            <v>32.808864742030714</v>
          </cell>
          <cell r="O79">
            <v>41.221394163064232</v>
          </cell>
          <cell r="P79">
            <v>43.745152989374283</v>
          </cell>
          <cell r="Q79">
            <v>47.110164757787686</v>
          </cell>
          <cell r="R79">
            <v>51.316429468304449</v>
          </cell>
          <cell r="S79">
            <v>56.363947120924557</v>
          </cell>
          <cell r="T79">
            <v>80.760282441921746</v>
          </cell>
          <cell r="U79">
            <v>122.82292954708933</v>
          </cell>
          <cell r="V79">
            <v>161.52056488384349</v>
          </cell>
          <cell r="W79">
            <v>194.32942962587421</v>
          </cell>
          <cell r="X79">
            <v>197.69444139428765</v>
          </cell>
          <cell r="Y79">
            <v>233.86831790473175</v>
          </cell>
          <cell r="Z79">
            <v>252.37588263100545</v>
          </cell>
          <cell r="AA79">
            <v>257.4234002836256</v>
          </cell>
          <cell r="AB79">
            <v>260.78841205203901</v>
          </cell>
          <cell r="AC79">
            <v>262.47091793624571</v>
          </cell>
          <cell r="AD79">
            <v>264.99467676255574</v>
          </cell>
          <cell r="AE79">
            <v>269.20094147307248</v>
          </cell>
          <cell r="AF79">
            <v>270.88344735727924</v>
          </cell>
          <cell r="AG79">
            <v>274.24845912569259</v>
          </cell>
          <cell r="AH79">
            <v>275.93096500989935</v>
          </cell>
          <cell r="AI79">
            <v>280.13722972041609</v>
          </cell>
          <cell r="AJ79">
            <v>282.66098854672612</v>
          </cell>
          <cell r="AK79">
            <v>286.86725325724291</v>
          </cell>
          <cell r="AL79">
            <v>300.32730033089655</v>
          </cell>
          <cell r="AM79">
            <v>306.21607092561999</v>
          </cell>
          <cell r="AN79">
            <v>313.78734740455019</v>
          </cell>
          <cell r="AO79">
            <v>318.83486505717025</v>
          </cell>
          <cell r="AP79">
            <v>333.97741801503059</v>
          </cell>
          <cell r="AQ79">
            <v>387.81760630964504</v>
          </cell>
          <cell r="AR79">
            <v>450.91157696739646</v>
          </cell>
          <cell r="AS79">
            <v>482.03793582522047</v>
          </cell>
          <cell r="AT79">
            <v>544.29065354086845</v>
          </cell>
          <cell r="AU79">
            <v>834.35466797810409</v>
          </cell>
          <cell r="AV79">
            <v>1269.4506896339576</v>
          </cell>
          <cell r="AW79">
            <v>3205.1737094137698</v>
          </cell>
          <cell r="AX79">
            <v>4244.9623458535116</v>
          </cell>
          <cell r="AY79">
            <v>4499.0207343687243</v>
          </cell>
        </row>
        <row r="80">
          <cell r="G80">
            <v>181696.91258783301</v>
          </cell>
          <cell r="K80">
            <v>19.085689649264712</v>
          </cell>
          <cell r="L80">
            <v>19.085689649264712</v>
          </cell>
          <cell r="M80">
            <v>19.085689649264712</v>
          </cell>
          <cell r="N80">
            <v>19.085689649264712</v>
          </cell>
          <cell r="O80">
            <v>19.085689649264712</v>
          </cell>
          <cell r="P80">
            <v>19.085689649264712</v>
          </cell>
          <cell r="Q80">
            <v>19.085689649264712</v>
          </cell>
          <cell r="R80">
            <v>19.085689649264712</v>
          </cell>
          <cell r="S80">
            <v>19.085689649264712</v>
          </cell>
          <cell r="T80">
            <v>19.085689649264712</v>
          </cell>
          <cell r="U80">
            <v>66.799913772426507</v>
          </cell>
          <cell r="V80">
            <v>66.799913772426507</v>
          </cell>
          <cell r="W80">
            <v>114.51413789558829</v>
          </cell>
          <cell r="X80">
            <v>124.05698272022065</v>
          </cell>
          <cell r="Y80">
            <v>124.05698272022065</v>
          </cell>
          <cell r="Z80">
            <v>314.91387921286776</v>
          </cell>
          <cell r="AA80">
            <v>314.91387921286776</v>
          </cell>
          <cell r="AB80">
            <v>314.91387921286776</v>
          </cell>
          <cell r="AC80">
            <v>314.91387921286776</v>
          </cell>
          <cell r="AD80">
            <v>314.91387921286776</v>
          </cell>
          <cell r="AE80">
            <v>314.91387921286776</v>
          </cell>
          <cell r="AF80">
            <v>314.91387921286776</v>
          </cell>
          <cell r="AG80">
            <v>314.91387921286776</v>
          </cell>
          <cell r="AH80">
            <v>314.91387921286776</v>
          </cell>
          <cell r="AI80">
            <v>314.91387921286776</v>
          </cell>
          <cell r="AJ80">
            <v>314.91387921286776</v>
          </cell>
          <cell r="AK80">
            <v>314.91387921286776</v>
          </cell>
          <cell r="AL80">
            <v>381.71379298529433</v>
          </cell>
          <cell r="AM80">
            <v>467.59939640698553</v>
          </cell>
          <cell r="AN80">
            <v>496.22793088088258</v>
          </cell>
          <cell r="AO80">
            <v>505.77077570551495</v>
          </cell>
          <cell r="AP80">
            <v>648.91344807500025</v>
          </cell>
          <cell r="AQ80">
            <v>811.14181009375045</v>
          </cell>
          <cell r="AR80">
            <v>858.85603421691224</v>
          </cell>
          <cell r="AS80">
            <v>935.19879281397107</v>
          </cell>
          <cell r="AT80">
            <v>1011.5415514110299</v>
          </cell>
          <cell r="AU80">
            <v>1148.9585168857359</v>
          </cell>
          <cell r="AV80">
            <v>1355.0839650977946</v>
          </cell>
          <cell r="AW80">
            <v>2481.1396544044128</v>
          </cell>
          <cell r="AX80">
            <v>6011.9922395183848</v>
          </cell>
          <cell r="AY80">
            <v>12482.041030619122</v>
          </cell>
        </row>
        <row r="81">
          <cell r="G81">
            <v>100537.626895119</v>
          </cell>
          <cell r="K81">
            <v>1069.1624975731881</v>
          </cell>
          <cell r="L81">
            <v>1177.1138977430951</v>
          </cell>
          <cell r="M81">
            <v>1295.4168020388836</v>
          </cell>
          <cell r="N81">
            <v>1435.9015008901324</v>
          </cell>
          <cell r="O81">
            <v>1601.525566904236</v>
          </cell>
          <cell r="P81">
            <v>1932.7736989324437</v>
          </cell>
          <cell r="Q81">
            <v>2348.3126502714008</v>
          </cell>
          <cell r="R81">
            <v>2722.4455851068319</v>
          </cell>
          <cell r="S81">
            <v>3350.9297641782082</v>
          </cell>
          <cell r="T81">
            <v>4321.0135794036732</v>
          </cell>
          <cell r="U81">
            <v>5416.7942304434137</v>
          </cell>
          <cell r="V81">
            <v>5512.915340183743</v>
          </cell>
          <cell r="W81">
            <v>6428.2840621724054</v>
          </cell>
          <cell r="X81">
            <v>6947.3380547701772</v>
          </cell>
          <cell r="Y81">
            <v>8059.385355150589</v>
          </cell>
          <cell r="Z81">
            <v>9264.5961926639338</v>
          </cell>
          <cell r="AA81">
            <v>10826.194529368342</v>
          </cell>
          <cell r="AB81">
            <v>11167.794165522431</v>
          </cell>
          <cell r="AC81">
            <v>11487.212007121059</v>
          </cell>
          <cell r="AD81">
            <v>11985.562991467068</v>
          </cell>
          <cell r="AE81">
            <v>12402.580729109723</v>
          </cell>
          <cell r="AF81">
            <v>12872.834773685481</v>
          </cell>
          <cell r="AG81">
            <v>13341.610031957543</v>
          </cell>
          <cell r="AH81">
            <v>13604.833994015671</v>
          </cell>
          <cell r="AI81">
            <v>13848.833734125736</v>
          </cell>
          <cell r="AJ81">
            <v>14033.682022087905</v>
          </cell>
          <cell r="AK81">
            <v>14327.960496523679</v>
          </cell>
          <cell r="AL81">
            <v>14855.887206943635</v>
          </cell>
          <cell r="AM81">
            <v>15663.304528762392</v>
          </cell>
          <cell r="AN81">
            <v>16208.976674826716</v>
          </cell>
          <cell r="AO81">
            <v>16963.157689712367</v>
          </cell>
          <cell r="AP81">
            <v>18135.835228544373</v>
          </cell>
          <cell r="AQ81">
            <v>19128.100838325296</v>
          </cell>
          <cell r="AR81">
            <v>20185.433045468904</v>
          </cell>
          <cell r="AS81">
            <v>21594.716392892486</v>
          </cell>
          <cell r="AT81">
            <v>21396.55902819704</v>
          </cell>
          <cell r="AU81">
            <v>21601.814567150232</v>
          </cell>
          <cell r="AV81">
            <v>21909.697875580019</v>
          </cell>
          <cell r="AW81">
            <v>22251.297511734112</v>
          </cell>
          <cell r="AX81">
            <v>22421.357936659304</v>
          </cell>
          <cell r="AY81">
            <v>22421.357936659304</v>
          </cell>
        </row>
        <row r="82">
          <cell r="G82">
            <v>17428.292156195839</v>
          </cell>
          <cell r="K82">
            <v>7.4087253248927301</v>
          </cell>
          <cell r="L82">
            <v>8.0822458089738873</v>
          </cell>
          <cell r="M82">
            <v>8.7557662930550446</v>
          </cell>
          <cell r="N82">
            <v>9.4292867771362019</v>
          </cell>
          <cell r="O82">
            <v>12.123368713460831</v>
          </cell>
          <cell r="P82">
            <v>12.796889197541988</v>
          </cell>
          <cell r="Q82">
            <v>13.470409681623146</v>
          </cell>
          <cell r="R82">
            <v>14.143930165704303</v>
          </cell>
          <cell r="S82">
            <v>14.81745064978546</v>
          </cell>
          <cell r="T82">
            <v>35.023065172220178</v>
          </cell>
          <cell r="U82">
            <v>109.11031842114748</v>
          </cell>
          <cell r="V82">
            <v>248.52905862594704</v>
          </cell>
          <cell r="W82">
            <v>459.34097014334924</v>
          </cell>
          <cell r="X82">
            <v>488.30235095883904</v>
          </cell>
          <cell r="Y82">
            <v>540.1634282330881</v>
          </cell>
          <cell r="Z82">
            <v>604.14787422079803</v>
          </cell>
          <cell r="AA82">
            <v>659.37655391545297</v>
          </cell>
          <cell r="AB82">
            <v>664.7647177881023</v>
          </cell>
          <cell r="AC82">
            <v>686.99089376278039</v>
          </cell>
          <cell r="AD82">
            <v>691.70553715134861</v>
          </cell>
          <cell r="AE82">
            <v>695.07313957175438</v>
          </cell>
          <cell r="AF82">
            <v>697.76722150807893</v>
          </cell>
          <cell r="AG82">
            <v>700.4613034444036</v>
          </cell>
          <cell r="AH82">
            <v>704.50242634889048</v>
          </cell>
          <cell r="AI82">
            <v>719.99339748275713</v>
          </cell>
          <cell r="AJ82">
            <v>728.74916377581212</v>
          </cell>
          <cell r="AK82">
            <v>740.19901200519189</v>
          </cell>
          <cell r="AL82">
            <v>747.60773733008455</v>
          </cell>
          <cell r="AM82">
            <v>756.36350362313954</v>
          </cell>
          <cell r="AN82">
            <v>768.48687233660053</v>
          </cell>
          <cell r="AO82">
            <v>806.20401944514526</v>
          </cell>
          <cell r="AP82">
            <v>813.61274477003803</v>
          </cell>
          <cell r="AQ82">
            <v>829.77723638798579</v>
          </cell>
          <cell r="AR82">
            <v>869.51494494877409</v>
          </cell>
          <cell r="AS82">
            <v>899.14984624834506</v>
          </cell>
          <cell r="AT82">
            <v>1040.589147905388</v>
          </cell>
          <cell r="AU82">
            <v>1142.9642614857239</v>
          </cell>
          <cell r="AV82">
            <v>1296.5269318562277</v>
          </cell>
          <cell r="AW82">
            <v>1546.403031450337</v>
          </cell>
          <cell r="AX82">
            <v>1751.1532586110091</v>
          </cell>
          <cell r="AY82">
            <v>1887.2043963954027</v>
          </cell>
        </row>
        <row r="83">
          <cell r="G83">
            <v>229872.37364238221</v>
          </cell>
          <cell r="K83">
            <v>14.581899963983453</v>
          </cell>
          <cell r="L83">
            <v>14.581899963983453</v>
          </cell>
          <cell r="M83">
            <v>14.581899963983453</v>
          </cell>
          <cell r="N83">
            <v>14.581899963983453</v>
          </cell>
          <cell r="O83">
            <v>14.581899963983453</v>
          </cell>
          <cell r="P83">
            <v>14.581899963983453</v>
          </cell>
          <cell r="Q83">
            <v>14.581899963983453</v>
          </cell>
          <cell r="R83">
            <v>14.581899963983453</v>
          </cell>
          <cell r="S83">
            <v>14.581899963983453</v>
          </cell>
          <cell r="T83">
            <v>14.581899963983453</v>
          </cell>
          <cell r="U83">
            <v>17.012216624647362</v>
          </cell>
          <cell r="V83">
            <v>19.442533285311271</v>
          </cell>
          <cell r="W83">
            <v>29.163799927966906</v>
          </cell>
          <cell r="X83">
            <v>34.024433249294724</v>
          </cell>
          <cell r="Y83">
            <v>34.024433249294724</v>
          </cell>
          <cell r="Z83">
            <v>41.315383231286454</v>
          </cell>
          <cell r="AA83">
            <v>51.036649873942082</v>
          </cell>
          <cell r="AB83">
            <v>102.07329974788416</v>
          </cell>
          <cell r="AC83">
            <v>104.50361640854808</v>
          </cell>
          <cell r="AD83">
            <v>106.93393306921199</v>
          </cell>
          <cell r="AE83">
            <v>109.36424972987591</v>
          </cell>
          <cell r="AF83">
            <v>109.36424972987591</v>
          </cell>
          <cell r="AG83">
            <v>109.36424972987591</v>
          </cell>
          <cell r="AH83">
            <v>109.36424972987591</v>
          </cell>
          <cell r="AI83">
            <v>114.2248830512037</v>
          </cell>
          <cell r="AJ83">
            <v>126.37646635452325</v>
          </cell>
          <cell r="AK83">
            <v>126.37646635452325</v>
          </cell>
          <cell r="AL83">
            <v>131.23709967585108</v>
          </cell>
          <cell r="AM83">
            <v>136.09773299717889</v>
          </cell>
          <cell r="AN83">
            <v>138.52804965784279</v>
          </cell>
          <cell r="AO83">
            <v>153.10994962182625</v>
          </cell>
          <cell r="AP83">
            <v>209.00723281709617</v>
          </cell>
          <cell r="AQ83">
            <v>262.47419935170217</v>
          </cell>
          <cell r="AR83">
            <v>298.92894926166082</v>
          </cell>
          <cell r="AS83">
            <v>332.95338251095546</v>
          </cell>
          <cell r="AT83">
            <v>352.39591579626676</v>
          </cell>
          <cell r="AU83">
            <v>366.97781576025022</v>
          </cell>
          <cell r="AV83">
            <v>388.85066570622541</v>
          </cell>
          <cell r="AW83">
            <v>432.59636559817579</v>
          </cell>
          <cell r="AX83">
            <v>488.49364879344563</v>
          </cell>
          <cell r="AY83">
            <v>558.97283195269904</v>
          </cell>
        </row>
        <row r="84">
          <cell r="G84">
            <v>10238.05693740358</v>
          </cell>
          <cell r="K84">
            <v>26.41514686958838</v>
          </cell>
          <cell r="L84">
            <v>26.41514686958838</v>
          </cell>
          <cell r="M84">
            <v>26.41514686958838</v>
          </cell>
          <cell r="N84">
            <v>26.41514686958838</v>
          </cell>
          <cell r="O84">
            <v>29.35016318843153</v>
          </cell>
          <cell r="P84">
            <v>32.285179507274684</v>
          </cell>
          <cell r="Q84">
            <v>38.155212144960991</v>
          </cell>
          <cell r="R84">
            <v>46.960261101490453</v>
          </cell>
          <cell r="S84">
            <v>58.70032637686306</v>
          </cell>
          <cell r="T84">
            <v>95.388030362402475</v>
          </cell>
          <cell r="U84">
            <v>170.23094649290289</v>
          </cell>
          <cell r="V84">
            <v>218.6587157538149</v>
          </cell>
          <cell r="W84">
            <v>250.94389526108961</v>
          </cell>
          <cell r="X84">
            <v>272.95651765241325</v>
          </cell>
          <cell r="Y84">
            <v>361.00700721770784</v>
          </cell>
          <cell r="Z84">
            <v>451.99251310184559</v>
          </cell>
          <cell r="AA84">
            <v>689.72883492814105</v>
          </cell>
          <cell r="AB84">
            <v>805.66197952244556</v>
          </cell>
          <cell r="AC84">
            <v>899.5825017254266</v>
          </cell>
          <cell r="AD84">
            <v>975.89292601534851</v>
          </cell>
          <cell r="AE84">
            <v>1003.7755810443584</v>
          </cell>
          <cell r="AF84">
            <v>1030.1907279139468</v>
          </cell>
          <cell r="AG84">
            <v>1036.0607605516332</v>
          </cell>
          <cell r="AH84">
            <v>1050.7358421458489</v>
          </cell>
          <cell r="AI84">
            <v>1056.6058747835352</v>
          </cell>
          <cell r="AJ84">
            <v>1061.0083992617999</v>
          </cell>
          <cell r="AK84">
            <v>1065.4109237400646</v>
          </cell>
          <cell r="AL84">
            <v>1068.3459400589079</v>
          </cell>
          <cell r="AM84">
            <v>1068.3459400589079</v>
          </cell>
          <cell r="AN84">
            <v>1069.8134482183293</v>
          </cell>
          <cell r="AO84">
            <v>1072.7484645371726</v>
          </cell>
          <cell r="AP84">
            <v>1099.163611406761</v>
          </cell>
          <cell r="AQ84">
            <v>1129.9812827546141</v>
          </cell>
          <cell r="AR84">
            <v>1241.5119028706538</v>
          </cell>
          <cell r="AS84">
            <v>1326.6273761171053</v>
          </cell>
          <cell r="AT84">
            <v>1408.8078330447136</v>
          </cell>
          <cell r="AU84">
            <v>1462.2251300476589</v>
          </cell>
          <cell r="AV84">
            <v>1542.351075552077</v>
          </cell>
          <cell r="AW84">
            <v>1670.024285421754</v>
          </cell>
          <cell r="AX84">
            <v>1793.2949708131666</v>
          </cell>
          <cell r="AY84">
            <v>1888.683001175569</v>
          </cell>
        </row>
        <row r="85">
          <cell r="G85">
            <v>95918.088015760382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31.478458185405685</v>
          </cell>
          <cell r="Y85">
            <v>31.478458185405685</v>
          </cell>
          <cell r="Z85">
            <v>31.478458185405685</v>
          </cell>
          <cell r="AA85">
            <v>31.478458185405685</v>
          </cell>
          <cell r="AB85">
            <v>31.478458185405685</v>
          </cell>
          <cell r="AC85">
            <v>31.478458185405685</v>
          </cell>
          <cell r="AD85">
            <v>62.956916370811371</v>
          </cell>
          <cell r="AE85">
            <v>62.956916370811371</v>
          </cell>
          <cell r="AF85">
            <v>62.956916370811371</v>
          </cell>
          <cell r="AG85">
            <v>62.956916370811371</v>
          </cell>
          <cell r="AH85">
            <v>62.956916370811371</v>
          </cell>
          <cell r="AI85">
            <v>62.956916370811371</v>
          </cell>
          <cell r="AJ85">
            <v>62.956916370811371</v>
          </cell>
          <cell r="AK85">
            <v>94.435374556217056</v>
          </cell>
          <cell r="AL85">
            <v>94.435374556217056</v>
          </cell>
          <cell r="AM85">
            <v>125.91383274162274</v>
          </cell>
          <cell r="AN85">
            <v>125.91383274162274</v>
          </cell>
          <cell r="AO85">
            <v>157.3922909270284</v>
          </cell>
          <cell r="AP85">
            <v>251.82766548324548</v>
          </cell>
          <cell r="AQ85">
            <v>346.26304003946251</v>
          </cell>
          <cell r="AR85">
            <v>377.74149822486822</v>
          </cell>
          <cell r="AS85">
            <v>661.04762189351936</v>
          </cell>
          <cell r="AT85">
            <v>535.13378915189662</v>
          </cell>
          <cell r="AU85">
            <v>560.31655570022122</v>
          </cell>
          <cell r="AV85">
            <v>598.09070552270805</v>
          </cell>
          <cell r="AW85">
            <v>818.43991282054787</v>
          </cell>
          <cell r="AX85">
            <v>2896.0181530573232</v>
          </cell>
          <cell r="AY85">
            <v>9254.6667065092715</v>
          </cell>
        </row>
        <row r="86">
          <cell r="G86">
            <v>1616058.3265904009</v>
          </cell>
          <cell r="K86">
            <v>56.225536426848571</v>
          </cell>
          <cell r="L86">
            <v>60.618156460196118</v>
          </cell>
          <cell r="M86">
            <v>68.524872520221692</v>
          </cell>
          <cell r="N86">
            <v>83.459780633603344</v>
          </cell>
          <cell r="O86">
            <v>94.002068713637456</v>
          </cell>
          <cell r="P86">
            <v>96.637640733645981</v>
          </cell>
          <cell r="Q86">
            <v>99.273212753654505</v>
          </cell>
          <cell r="R86">
            <v>129.14302898041782</v>
          </cell>
          <cell r="S86">
            <v>149.34908113381653</v>
          </cell>
          <cell r="T86">
            <v>209.96723759401266</v>
          </cell>
          <cell r="U86">
            <v>378.64384687455834</v>
          </cell>
          <cell r="V86">
            <v>511.30097188165416</v>
          </cell>
          <cell r="W86">
            <v>646.59366890875856</v>
          </cell>
          <cell r="X86">
            <v>691.39839324890352</v>
          </cell>
          <cell r="Y86">
            <v>758.16621775578619</v>
          </cell>
          <cell r="Z86">
            <v>807.36356212927876</v>
          </cell>
          <cell r="AA86">
            <v>866.22467057613574</v>
          </cell>
          <cell r="AB86">
            <v>928.59987504967091</v>
          </cell>
          <cell r="AC86">
            <v>954.07707124308661</v>
          </cell>
          <cell r="AD86">
            <v>1000.6388435965706</v>
          </cell>
          <cell r="AE86">
            <v>1061.2570000567666</v>
          </cell>
          <cell r="AF86">
            <v>1251.0181854973807</v>
          </cell>
          <cell r="AG86">
            <v>1309.0007699375683</v>
          </cell>
          <cell r="AH86">
            <v>1375.7685944444509</v>
          </cell>
          <cell r="AI86">
            <v>1468.8921391514189</v>
          </cell>
          <cell r="AJ86">
            <v>1569.0438759117428</v>
          </cell>
          <cell r="AK86">
            <v>1793.9460216191371</v>
          </cell>
          <cell r="AL86">
            <v>1901.1259504328173</v>
          </cell>
          <cell r="AM86">
            <v>2276.2557012806978</v>
          </cell>
          <cell r="AN86">
            <v>2401.8846342344377</v>
          </cell>
          <cell r="AO86">
            <v>2523.9994711614991</v>
          </cell>
          <cell r="AP86">
            <v>2627.6653039485013</v>
          </cell>
          <cell r="AQ86">
            <v>2694.4331284553841</v>
          </cell>
          <cell r="AR86">
            <v>2749.7801408755631</v>
          </cell>
          <cell r="AS86">
            <v>2961.5044264829144</v>
          </cell>
          <cell r="AT86">
            <v>3167.9575680502489</v>
          </cell>
          <cell r="AU86">
            <v>3273.7318584532582</v>
          </cell>
          <cell r="AV86">
            <v>3432.3932940577711</v>
          </cell>
          <cell r="AW86">
            <v>3720.5491682453699</v>
          </cell>
          <cell r="AX86">
            <v>4058.780910813131</v>
          </cell>
          <cell r="AY86">
            <v>4419.8542775542992</v>
          </cell>
        </row>
        <row r="87">
          <cell r="G87">
            <v>65837.40275741677</v>
          </cell>
          <cell r="K87">
            <v>346.93411369496511</v>
          </cell>
          <cell r="L87">
            <v>360.27773345246379</v>
          </cell>
          <cell r="M87">
            <v>386.96497296746105</v>
          </cell>
          <cell r="N87">
            <v>467.02669151245306</v>
          </cell>
          <cell r="O87">
            <v>533.74479029994632</v>
          </cell>
          <cell r="P87">
            <v>560.43202981494369</v>
          </cell>
          <cell r="Q87">
            <v>573.77564957244226</v>
          </cell>
          <cell r="R87">
            <v>587.11926932994095</v>
          </cell>
          <cell r="S87">
            <v>733.89908666242627</v>
          </cell>
          <cell r="T87">
            <v>840.64804472241542</v>
          </cell>
          <cell r="U87">
            <v>1120.8640596298874</v>
          </cell>
          <cell r="V87">
            <v>1174.2385386598819</v>
          </cell>
          <cell r="W87">
            <v>1174.2385386598819</v>
          </cell>
          <cell r="X87">
            <v>1174.2385386598819</v>
          </cell>
          <cell r="Y87">
            <v>1694.6397092023296</v>
          </cell>
          <cell r="Z87">
            <v>2415.1951761072569</v>
          </cell>
          <cell r="AA87">
            <v>2602.0058527122387</v>
          </cell>
          <cell r="AB87">
            <v>2668.7239514997318</v>
          </cell>
          <cell r="AC87">
            <v>2668.7239514997318</v>
          </cell>
          <cell r="AD87">
            <v>2722.0984305297266</v>
          </cell>
          <cell r="AE87">
            <v>2748.7856700447232</v>
          </cell>
          <cell r="AF87">
            <v>2762.129289802222</v>
          </cell>
          <cell r="AG87">
            <v>2802.160149074718</v>
          </cell>
          <cell r="AH87">
            <v>2802.160149074718</v>
          </cell>
          <cell r="AI87">
            <v>2815.5037688322168</v>
          </cell>
          <cell r="AJ87">
            <v>2882.2218676197103</v>
          </cell>
          <cell r="AK87">
            <v>2922.2527268922058</v>
          </cell>
          <cell r="AL87">
            <v>3015.6580651946965</v>
          </cell>
          <cell r="AM87">
            <v>3175.7815022846808</v>
          </cell>
          <cell r="AN87">
            <v>3349.2485591321633</v>
          </cell>
          <cell r="AO87">
            <v>3389.2794184046593</v>
          </cell>
          <cell r="AP87">
            <v>4096.4912655520884</v>
          </cell>
          <cell r="AQ87">
            <v>4403.3945199745567</v>
          </cell>
          <cell r="AR87">
            <v>4630.236055852034</v>
          </cell>
          <cell r="AS87">
            <v>4656.9232953670316</v>
          </cell>
          <cell r="AT87">
            <v>4830.3903522145138</v>
          </cell>
          <cell r="AU87">
            <v>4931.8018623715043</v>
          </cell>
          <cell r="AV87">
            <v>5083.9191276069878</v>
          </cell>
          <cell r="AW87">
            <v>5337.4479029994636</v>
          </cell>
          <cell r="AX87">
            <v>5631.0075376644336</v>
          </cell>
          <cell r="AY87">
            <v>6004.6288908743963</v>
          </cell>
        </row>
        <row r="88">
          <cell r="G88">
            <v>30545.27500694021</v>
          </cell>
          <cell r="K88" t="e">
            <v>#N/A</v>
          </cell>
          <cell r="L88" t="e">
            <v>#N/A</v>
          </cell>
          <cell r="M88" t="e">
            <v>#N/A</v>
          </cell>
          <cell r="N88" t="e">
            <v>#N/A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 t="e">
            <v>#N/A</v>
          </cell>
          <cell r="V88" t="e">
            <v>#N/A</v>
          </cell>
          <cell r="W88" t="e">
            <v>#N/A</v>
          </cell>
          <cell r="X88" t="e">
            <v>#N/A</v>
          </cell>
          <cell r="Y88" t="e">
            <v>#N/A</v>
          </cell>
          <cell r="Z88" t="e">
            <v>#N/A</v>
          </cell>
          <cell r="AA88" t="e">
            <v>#N/A</v>
          </cell>
          <cell r="AB88" t="e">
            <v>#N/A</v>
          </cell>
          <cell r="AC88" t="e">
            <v>#N/A</v>
          </cell>
          <cell r="AD88" t="e">
            <v>#N/A</v>
          </cell>
          <cell r="AE88" t="e">
            <v>#N/A</v>
          </cell>
          <cell r="AF88" t="e">
            <v>#N/A</v>
          </cell>
          <cell r="AG88" t="e">
            <v>#N/A</v>
          </cell>
          <cell r="AH88" t="e">
            <v>#N/A</v>
          </cell>
          <cell r="AI88" t="e">
            <v>#N/A</v>
          </cell>
          <cell r="AJ88" t="e">
            <v>#N/A</v>
          </cell>
          <cell r="AK88" t="e">
            <v>#N/A</v>
          </cell>
          <cell r="AL88" t="e">
            <v>#N/A</v>
          </cell>
          <cell r="AM88" t="e">
            <v>#N/A</v>
          </cell>
          <cell r="AN88" t="e">
            <v>#N/A</v>
          </cell>
          <cell r="AO88" t="e">
            <v>#N/A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  <cell r="AU88" t="e">
            <v>#N/A</v>
          </cell>
          <cell r="AV88" t="e">
            <v>#N/A</v>
          </cell>
          <cell r="AW88" t="e">
            <v>#N/A</v>
          </cell>
          <cell r="AX88" t="e">
            <v>#N/A</v>
          </cell>
          <cell r="AY88" t="e">
            <v>#N/A</v>
          </cell>
        </row>
        <row r="89">
          <cell r="G89">
            <v>65016.841930892901</v>
          </cell>
          <cell r="K89">
            <v>82.89198640023065</v>
          </cell>
          <cell r="L89">
            <v>94.404762289151591</v>
          </cell>
          <cell r="M89">
            <v>108.2200933558567</v>
          </cell>
          <cell r="N89">
            <v>126.64053477813017</v>
          </cell>
          <cell r="O89">
            <v>151.96864173375621</v>
          </cell>
          <cell r="P89">
            <v>163.48141762267713</v>
          </cell>
          <cell r="Q89">
            <v>177.29674868938224</v>
          </cell>
          <cell r="R89">
            <v>218.74274188949758</v>
          </cell>
          <cell r="S89">
            <v>223.34785224506595</v>
          </cell>
          <cell r="T89">
            <v>294.72706275637563</v>
          </cell>
          <cell r="U89">
            <v>428.27526306785836</v>
          </cell>
          <cell r="V89">
            <v>584.84901515718298</v>
          </cell>
          <cell r="W89">
            <v>711.48954993531311</v>
          </cell>
          <cell r="X89">
            <v>713.79210511309725</v>
          </cell>
          <cell r="Y89">
            <v>1045.36005071402</v>
          </cell>
          <cell r="Z89">
            <v>1220.354244225618</v>
          </cell>
          <cell r="AA89">
            <v>1386.1382170260792</v>
          </cell>
          <cell r="AB89">
            <v>1411.4663239817053</v>
          </cell>
          <cell r="AC89">
            <v>1501.2659759152887</v>
          </cell>
          <cell r="AD89">
            <v>1572.6451864265982</v>
          </cell>
          <cell r="AE89">
            <v>1616.3937348044979</v>
          </cell>
          <cell r="AF89">
            <v>1627.9065106934188</v>
          </cell>
          <cell r="AG89">
            <v>1646.3269521156922</v>
          </cell>
          <cell r="AH89">
            <v>1664.7473935379658</v>
          </cell>
          <cell r="AI89">
            <v>1685.4703901380235</v>
          </cell>
          <cell r="AJ89">
            <v>1701.5882763825125</v>
          </cell>
          <cell r="AK89">
            <v>1706.193386738081</v>
          </cell>
          <cell r="AL89">
            <v>1766.0598213604696</v>
          </cell>
          <cell r="AM89">
            <v>1830.5313663384272</v>
          </cell>
          <cell r="AN89">
            <v>1892.7003561386</v>
          </cell>
          <cell r="AO89">
            <v>2044.6689978723562</v>
          </cell>
          <cell r="AP89">
            <v>2185.1248637171916</v>
          </cell>
          <cell r="AQ89">
            <v>2440.708488451236</v>
          </cell>
          <cell r="AR89">
            <v>2581.1643542960715</v>
          </cell>
          <cell r="AS89">
            <v>2675.5691165852227</v>
          </cell>
          <cell r="AT89">
            <v>2728.5278856742589</v>
          </cell>
          <cell r="AU89">
            <v>2788.3943202966479</v>
          </cell>
          <cell r="AV89">
            <v>2878.1939722302309</v>
          </cell>
          <cell r="AW89">
            <v>3027.8600587862034</v>
          </cell>
          <cell r="AX89">
            <v>3177.5261453421754</v>
          </cell>
          <cell r="AY89">
            <v>3327.1922318981469</v>
          </cell>
        </row>
        <row r="90">
          <cell r="G90">
            <v>2581.554296904997</v>
          </cell>
          <cell r="K90">
            <v>105.07994901645385</v>
          </cell>
          <cell r="L90">
            <v>113.06070463795668</v>
          </cell>
          <cell r="M90">
            <v>125.03183807021091</v>
          </cell>
          <cell r="N90">
            <v>138.33309743938227</v>
          </cell>
          <cell r="O90">
            <v>152.9644827454708</v>
          </cell>
          <cell r="P90">
            <v>162.27536430389077</v>
          </cell>
          <cell r="Q90">
            <v>171.58624586231073</v>
          </cell>
          <cell r="R90">
            <v>182.22725335764781</v>
          </cell>
          <cell r="S90">
            <v>183.55737929456495</v>
          </cell>
          <cell r="T90">
            <v>200.84901647448774</v>
          </cell>
          <cell r="U90">
            <v>234.10216489741617</v>
          </cell>
          <cell r="V90">
            <v>271.34569113109603</v>
          </cell>
          <cell r="W90">
            <v>292.62770612177025</v>
          </cell>
          <cell r="X90">
            <v>300.60846174327304</v>
          </cell>
          <cell r="Y90">
            <v>303.26871361710732</v>
          </cell>
          <cell r="Z90">
            <v>345.83274359845569</v>
          </cell>
          <cell r="AA90">
            <v>368.44488452604702</v>
          </cell>
          <cell r="AB90">
            <v>373.76538827371559</v>
          </cell>
          <cell r="AC90">
            <v>396.37752920130691</v>
          </cell>
          <cell r="AD90">
            <v>405.68841075972688</v>
          </cell>
          <cell r="AE90">
            <v>416.32941825506401</v>
          </cell>
          <cell r="AF90">
            <v>417.65954419198113</v>
          </cell>
          <cell r="AG90">
            <v>424.31017387656681</v>
          </cell>
          <cell r="AH90">
            <v>424.31017387656681</v>
          </cell>
          <cell r="AI90">
            <v>440.27168511957245</v>
          </cell>
          <cell r="AJ90">
            <v>440.27168511957245</v>
          </cell>
          <cell r="AK90">
            <v>441.60181105648957</v>
          </cell>
          <cell r="AL90">
            <v>445.59218886724102</v>
          </cell>
          <cell r="AM90">
            <v>445.59218886724102</v>
          </cell>
          <cell r="AN90">
            <v>457.56332229949527</v>
          </cell>
          <cell r="AO90">
            <v>469.53445573174946</v>
          </cell>
          <cell r="AP90">
            <v>534.71062664068916</v>
          </cell>
          <cell r="AQ90">
            <v>598.55667161271174</v>
          </cell>
          <cell r="AR90">
            <v>641.12070159406028</v>
          </cell>
          <cell r="AS90">
            <v>976.31243769717878</v>
          </cell>
          <cell r="AT90">
            <v>1024.1969714261959</v>
          </cell>
          <cell r="AU90">
            <v>1056.1199939122071</v>
          </cell>
          <cell r="AV90">
            <v>1104.0045276412241</v>
          </cell>
          <cell r="AW90">
            <v>1206.4242247838436</v>
          </cell>
          <cell r="AX90">
            <v>1316.8246775479658</v>
          </cell>
          <cell r="AY90">
            <v>1441.8565156181771</v>
          </cell>
        </row>
        <row r="91">
          <cell r="G91">
            <v>64710.102911044647</v>
          </cell>
          <cell r="K91">
            <v>211.86347282343073</v>
          </cell>
          <cell r="L91">
            <v>239.60749902649903</v>
          </cell>
          <cell r="M91">
            <v>274.91807783040412</v>
          </cell>
          <cell r="N91">
            <v>322.83957763570396</v>
          </cell>
          <cell r="O91">
            <v>388.41636684295628</v>
          </cell>
          <cell r="P91">
            <v>413.63820884574568</v>
          </cell>
          <cell r="Q91">
            <v>443.90441924909294</v>
          </cell>
          <cell r="R91">
            <v>466.60407705160333</v>
          </cell>
          <cell r="S91">
            <v>474.17062965244014</v>
          </cell>
          <cell r="T91">
            <v>567.49144506276082</v>
          </cell>
          <cell r="U91">
            <v>733.95560228117074</v>
          </cell>
          <cell r="V91">
            <v>882.76447009762796</v>
          </cell>
          <cell r="W91">
            <v>993.74057490990117</v>
          </cell>
          <cell r="X91">
            <v>1013.9180485121327</v>
          </cell>
          <cell r="Y91">
            <v>1145.0716269266375</v>
          </cell>
          <cell r="Z91">
            <v>1251.0033633383528</v>
          </cell>
          <cell r="AA91">
            <v>1283.7917579419791</v>
          </cell>
          <cell r="AB91">
            <v>1311.5357841450473</v>
          </cell>
          <cell r="AC91">
            <v>1319.102336745884</v>
          </cell>
          <cell r="AD91">
            <v>1331.7132577472787</v>
          </cell>
          <cell r="AE91">
            <v>1341.8019945483945</v>
          </cell>
          <cell r="AF91">
            <v>1344.3241787486734</v>
          </cell>
          <cell r="AG91">
            <v>1359.4572839503471</v>
          </cell>
          <cell r="AH91">
            <v>1369.5460207514627</v>
          </cell>
          <cell r="AI91">
            <v>1407.3787837556467</v>
          </cell>
          <cell r="AJ91">
            <v>1425.0340731575996</v>
          </cell>
          <cell r="AK91">
            <v>1452.7780993606677</v>
          </cell>
          <cell r="AL91">
            <v>1528.4436253690358</v>
          </cell>
          <cell r="AM91">
            <v>1581.4094935748935</v>
          </cell>
          <cell r="AN91">
            <v>1604.109151377404</v>
          </cell>
          <cell r="AO91">
            <v>1674.7303089852142</v>
          </cell>
          <cell r="AP91">
            <v>1715.085256189677</v>
          </cell>
          <cell r="AQ91">
            <v>1795.7951505986032</v>
          </cell>
          <cell r="AR91">
            <v>1868.9384924066924</v>
          </cell>
          <cell r="AS91">
            <v>1884.0715976083659</v>
          </cell>
          <cell r="AT91">
            <v>1858.8497556055765</v>
          </cell>
          <cell r="AU91">
            <v>1882.0538502481429</v>
          </cell>
          <cell r="AV91">
            <v>1916.8599922119922</v>
          </cell>
          <cell r="AW91">
            <v>1977.3924130186865</v>
          </cell>
          <cell r="AX91">
            <v>2053.0579390270545</v>
          </cell>
          <cell r="AY91">
            <v>2128.723465035423</v>
          </cell>
        </row>
        <row r="92">
          <cell r="G92">
            <v>413477.27282282402</v>
          </cell>
          <cell r="K92">
            <v>99.243287418933079</v>
          </cell>
          <cell r="L92">
            <v>106.20772864131436</v>
          </cell>
          <cell r="M92">
            <v>114.91328016929093</v>
          </cell>
          <cell r="N92">
            <v>128.84216261405348</v>
          </cell>
          <cell r="O92">
            <v>147.99437597560197</v>
          </cell>
          <cell r="P92">
            <v>161.9232584203645</v>
          </cell>
          <cell r="Q92">
            <v>179.33436147631767</v>
          </cell>
          <cell r="R92">
            <v>205.45101606024747</v>
          </cell>
          <cell r="S92">
            <v>247.23766339453505</v>
          </cell>
          <cell r="T92">
            <v>405.67870120370895</v>
          </cell>
          <cell r="U92">
            <v>712.11411498848486</v>
          </cell>
          <cell r="V92">
            <v>1051.6306245795715</v>
          </cell>
          <cell r="W92">
            <v>1551.3292822854278</v>
          </cell>
          <cell r="X92">
            <v>1627.9381357316217</v>
          </cell>
          <cell r="Y92">
            <v>1784.6380632352002</v>
          </cell>
          <cell r="Z92">
            <v>1944.8202113499694</v>
          </cell>
          <cell r="AA92">
            <v>2071.9212636584275</v>
          </cell>
          <cell r="AB92">
            <v>2099.7790285479527</v>
          </cell>
          <cell r="AC92">
            <v>2150.2712274102169</v>
          </cell>
          <cell r="AD92">
            <v>2313.9355961361766</v>
          </cell>
          <cell r="AE92">
            <v>2387.06222897118</v>
          </cell>
          <cell r="AF92">
            <v>2449.7421999726112</v>
          </cell>
          <cell r="AG92">
            <v>2507.1988400572573</v>
          </cell>
          <cell r="AH92">
            <v>2585.5488038090461</v>
          </cell>
          <cell r="AI92">
            <v>2648.2287748104777</v>
          </cell>
          <cell r="AJ92">
            <v>2726.5787385622666</v>
          </cell>
          <cell r="AK92">
            <v>2801.4464817028652</v>
          </cell>
          <cell r="AL92">
            <v>2921.5830927889424</v>
          </cell>
          <cell r="AM92">
            <v>3215.8307344345508</v>
          </cell>
          <cell r="AN92">
            <v>3353.3784485765814</v>
          </cell>
          <cell r="AO92">
            <v>3569.2761264704004</v>
          </cell>
          <cell r="AP92">
            <v>3880.9348711719626</v>
          </cell>
          <cell r="AQ92">
            <v>4467.6890441575842</v>
          </cell>
          <cell r="AR92">
            <v>4990.0221358361796</v>
          </cell>
          <cell r="AS92">
            <v>5350.4319690944094</v>
          </cell>
          <cell r="AT92">
            <v>5510.6141172091793</v>
          </cell>
          <cell r="AU92">
            <v>5668.0104888349961</v>
          </cell>
          <cell r="AV92">
            <v>5904.1050462737203</v>
          </cell>
          <cell r="AW92">
            <v>6384.6514906180282</v>
          </cell>
          <cell r="AX92">
            <v>7112.4355983568703</v>
          </cell>
          <cell r="AY92">
            <v>8193.6650981315634</v>
          </cell>
        </row>
        <row r="93">
          <cell r="G93">
            <v>33907.869969855899</v>
          </cell>
          <cell r="K93">
            <v>48.902299053307566</v>
          </cell>
          <cell r="L93">
            <v>62.594942788233681</v>
          </cell>
          <cell r="M93">
            <v>82.155862409556704</v>
          </cell>
          <cell r="N93">
            <v>107.58505791727663</v>
          </cell>
          <cell r="O93">
            <v>138.88252931139348</v>
          </cell>
          <cell r="P93">
            <v>154.5312650084519</v>
          </cell>
          <cell r="Q93">
            <v>164.31172481911341</v>
          </cell>
          <cell r="R93">
            <v>166.26781678124573</v>
          </cell>
          <cell r="S93">
            <v>168.22390874337802</v>
          </cell>
          <cell r="T93">
            <v>168.22390874337802</v>
          </cell>
          <cell r="U93">
            <v>195.60919621323026</v>
          </cell>
          <cell r="V93">
            <v>240.59931134227321</v>
          </cell>
          <cell r="W93">
            <v>311.01862197903608</v>
          </cell>
          <cell r="X93">
            <v>311.01862197903608</v>
          </cell>
          <cell r="Y93">
            <v>311.01862197903608</v>
          </cell>
          <cell r="Z93">
            <v>320.79908178969765</v>
          </cell>
          <cell r="AA93">
            <v>328.62344963822682</v>
          </cell>
          <cell r="AB93">
            <v>328.62344963822682</v>
          </cell>
          <cell r="AC93">
            <v>328.62344963822682</v>
          </cell>
          <cell r="AD93">
            <v>346.22827729741755</v>
          </cell>
          <cell r="AE93">
            <v>346.22827729741755</v>
          </cell>
          <cell r="AF93">
            <v>352.09655318381448</v>
          </cell>
          <cell r="AG93">
            <v>354.05264514594677</v>
          </cell>
          <cell r="AH93">
            <v>357.96482907021135</v>
          </cell>
          <cell r="AI93">
            <v>357.96482907021135</v>
          </cell>
          <cell r="AJ93">
            <v>359.9209210323437</v>
          </cell>
          <cell r="AK93">
            <v>359.9209210323437</v>
          </cell>
          <cell r="AL93">
            <v>367.74528888087286</v>
          </cell>
          <cell r="AM93">
            <v>397.08666831285746</v>
          </cell>
          <cell r="AN93">
            <v>426.42804774484193</v>
          </cell>
          <cell r="AO93">
            <v>457.72551913895876</v>
          </cell>
          <cell r="AP93">
            <v>492.93517445734022</v>
          </cell>
          <cell r="AQ93">
            <v>598.56414041248456</v>
          </cell>
          <cell r="AR93">
            <v>719.8418420646874</v>
          </cell>
          <cell r="AS93">
            <v>760.91977326946562</v>
          </cell>
          <cell r="AT93">
            <v>921.31931416431462</v>
          </cell>
          <cell r="AU93">
            <v>1412.689615051949</v>
          </cell>
          <cell r="AV93">
            <v>2149.7450663834006</v>
          </cell>
          <cell r="AW93">
            <v>3669.6285209601997</v>
          </cell>
          <cell r="AX93">
            <v>3910.2278323024725</v>
          </cell>
          <cell r="AY93">
            <v>3910.2278323024725</v>
          </cell>
        </row>
        <row r="94">
          <cell r="G94">
            <v>591446.36567610258</v>
          </cell>
          <cell r="K94">
            <v>24.551016364219169</v>
          </cell>
          <cell r="L94">
            <v>24.551016364219169</v>
          </cell>
          <cell r="M94">
            <v>24.551016364219169</v>
          </cell>
          <cell r="N94">
            <v>24.551016364219169</v>
          </cell>
          <cell r="O94">
            <v>24.551016364219169</v>
          </cell>
          <cell r="P94">
            <v>24.551016364219169</v>
          </cell>
          <cell r="Q94">
            <v>24.551016364219169</v>
          </cell>
          <cell r="R94">
            <v>24.551016364219169</v>
          </cell>
          <cell r="S94">
            <v>29.461219637063</v>
          </cell>
          <cell r="T94">
            <v>34.371422909906833</v>
          </cell>
          <cell r="U94">
            <v>44.191829455594501</v>
          </cell>
          <cell r="V94">
            <v>63.832642546969836</v>
          </cell>
          <cell r="W94">
            <v>93.293862184032832</v>
          </cell>
          <cell r="X94">
            <v>98.204065456876677</v>
          </cell>
          <cell r="Y94">
            <v>127.66528509393967</v>
          </cell>
          <cell r="Z94">
            <v>186.58772436806566</v>
          </cell>
          <cell r="AA94">
            <v>206.22853745944101</v>
          </cell>
          <cell r="AB94">
            <v>211.13874073228484</v>
          </cell>
          <cell r="AC94">
            <v>211.13874073228484</v>
          </cell>
          <cell r="AD94">
            <v>225.86935055081634</v>
          </cell>
          <cell r="AE94">
            <v>225.86935055081634</v>
          </cell>
          <cell r="AF94">
            <v>230.77955382366017</v>
          </cell>
          <cell r="AG94">
            <v>230.77955382366017</v>
          </cell>
          <cell r="AH94">
            <v>235.689757096504</v>
          </cell>
          <cell r="AI94">
            <v>235.689757096504</v>
          </cell>
          <cell r="AJ94">
            <v>245.51016364219166</v>
          </cell>
          <cell r="AK94">
            <v>250.42036691503549</v>
          </cell>
          <cell r="AL94">
            <v>265.15097673356701</v>
          </cell>
          <cell r="AM94">
            <v>309.34280618916154</v>
          </cell>
          <cell r="AN94">
            <v>358.44483891759984</v>
          </cell>
          <cell r="AO94">
            <v>387.90605855466282</v>
          </cell>
          <cell r="AP94">
            <v>417.3672781917258</v>
          </cell>
          <cell r="AQ94">
            <v>432.09788801025735</v>
          </cell>
          <cell r="AR94">
            <v>437.00809128310118</v>
          </cell>
          <cell r="AS94">
            <v>471.37951419300799</v>
          </cell>
          <cell r="AT94">
            <v>510.66114037575869</v>
          </cell>
          <cell r="AU94">
            <v>540.12236001282167</v>
          </cell>
          <cell r="AV94">
            <v>584.3141894684162</v>
          </cell>
          <cell r="AW94">
            <v>672.69784837960515</v>
          </cell>
          <cell r="AX94">
            <v>775.81211710932564</v>
          </cell>
          <cell r="AY94">
            <v>893.65699565757768</v>
          </cell>
        </row>
        <row r="95">
          <cell r="G95">
            <v>1951230.5482192361</v>
          </cell>
          <cell r="K95">
            <v>942.20845980324918</v>
          </cell>
          <cell r="L95">
            <v>1024.0169787682021</v>
          </cell>
          <cell r="M95">
            <v>1297.6523697889061</v>
          </cell>
          <cell r="N95">
            <v>1641.8123461242246</v>
          </cell>
          <cell r="O95">
            <v>2076.2437916622498</v>
          </cell>
          <cell r="P95">
            <v>2076.2437916622498</v>
          </cell>
          <cell r="Q95">
            <v>2474.0024528366753</v>
          </cell>
          <cell r="R95">
            <v>3026.9152017032529</v>
          </cell>
          <cell r="S95">
            <v>4414.8390406948656</v>
          </cell>
          <cell r="T95">
            <v>6665.983803937359</v>
          </cell>
          <cell r="U95">
            <v>10463.027477276202</v>
          </cell>
          <cell r="V95">
            <v>15805.970060711392</v>
          </cell>
          <cell r="W95">
            <v>21391.517217628862</v>
          </cell>
          <cell r="X95">
            <v>22920.490227249702</v>
          </cell>
          <cell r="Y95">
            <v>25075.721554464319</v>
          </cell>
          <cell r="Z95">
            <v>26759.848651777309</v>
          </cell>
          <cell r="AA95">
            <v>27958.766602125754</v>
          </cell>
          <cell r="AB95">
            <v>28503.21640075458</v>
          </cell>
          <cell r="AC95">
            <v>29030.740298907898</v>
          </cell>
          <cell r="AD95">
            <v>30035.010393788009</v>
          </cell>
          <cell r="AE95">
            <v>30712.046412808308</v>
          </cell>
          <cell r="AF95">
            <v>31264.959161674884</v>
          </cell>
          <cell r="AG95">
            <v>31837.618794429553</v>
          </cell>
          <cell r="AH95">
            <v>32387.710559883548</v>
          </cell>
          <cell r="AI95">
            <v>32855.993806372586</v>
          </cell>
          <cell r="AJ95">
            <v>33569.702609756481</v>
          </cell>
          <cell r="AK95">
            <v>34153.646176161492</v>
          </cell>
          <cell r="AL95">
            <v>34997.120216524279</v>
          </cell>
          <cell r="AM95">
            <v>37002.839422871912</v>
          </cell>
          <cell r="AN95">
            <v>37916.838048549318</v>
          </cell>
          <cell r="AO95">
            <v>39510.693676659605</v>
          </cell>
          <cell r="AP95">
            <v>41993.159079734032</v>
          </cell>
          <cell r="AQ95">
            <v>44585.642835899263</v>
          </cell>
          <cell r="AR95">
            <v>46754.979080176803</v>
          </cell>
          <cell r="AS95">
            <v>48295.236023447978</v>
          </cell>
          <cell r="AT95">
            <v>50298.13424638303</v>
          </cell>
          <cell r="AU95">
            <v>51715.39631286553</v>
          </cell>
          <cell r="AV95">
            <v>53841.289412589264</v>
          </cell>
          <cell r="AW95">
            <v>57768.098322906997</v>
          </cell>
          <cell r="AX95">
            <v>62092.665894399157</v>
          </cell>
          <cell r="AY95">
            <v>67201.466854589831</v>
          </cell>
        </row>
        <row r="96">
          <cell r="G96">
            <v>24909.983747775859</v>
          </cell>
          <cell r="K96" t="e">
            <v>#N/A</v>
          </cell>
          <cell r="L96" t="e">
            <v>#N/A</v>
          </cell>
          <cell r="M96" t="e">
            <v>#N/A</v>
          </cell>
          <cell r="N96" t="e">
            <v>#N/A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e">
            <v>#N/A</v>
          </cell>
          <cell r="T96" t="e">
            <v>#N/A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  <cell r="Y96" t="e">
            <v>#N/A</v>
          </cell>
          <cell r="Z96" t="e">
            <v>#N/A</v>
          </cell>
          <cell r="AA96" t="e">
            <v>#N/A</v>
          </cell>
          <cell r="AB96" t="e">
            <v>#N/A</v>
          </cell>
          <cell r="AC96" t="e">
            <v>#N/A</v>
          </cell>
          <cell r="AD96" t="e">
            <v>#N/A</v>
          </cell>
          <cell r="AE96" t="e">
            <v>#N/A</v>
          </cell>
          <cell r="AF96" t="e">
            <v>#N/A</v>
          </cell>
          <cell r="AG96" t="e">
            <v>#N/A</v>
          </cell>
          <cell r="AH96" t="e">
            <v>#N/A</v>
          </cell>
          <cell r="AI96" t="e">
            <v>#N/A</v>
          </cell>
          <cell r="AJ96" t="e">
            <v>#N/A</v>
          </cell>
          <cell r="AK96" t="e">
            <v>#N/A</v>
          </cell>
          <cell r="AL96" t="e">
            <v>#N/A</v>
          </cell>
          <cell r="AM96" t="e">
            <v>#N/A</v>
          </cell>
          <cell r="AN96" t="e">
            <v>#N/A</v>
          </cell>
          <cell r="AO96" t="e">
            <v>#N/A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  <cell r="AU96" t="e">
            <v>#N/A</v>
          </cell>
          <cell r="AV96" t="e">
            <v>#N/A</v>
          </cell>
          <cell r="AW96" t="e">
            <v>#N/A</v>
          </cell>
          <cell r="AX96" t="e">
            <v>#N/A</v>
          </cell>
          <cell r="AY96" t="e">
            <v>#N/A</v>
          </cell>
        </row>
        <row r="97">
          <cell r="G97">
            <v>1251195.7262276961</v>
          </cell>
          <cell r="K97">
            <v>39.614636437957465</v>
          </cell>
          <cell r="L97">
            <v>39.614636437957465</v>
          </cell>
          <cell r="M97">
            <v>39.614636437957465</v>
          </cell>
          <cell r="N97">
            <v>39.614636437957465</v>
          </cell>
          <cell r="O97">
            <v>39.614636437957465</v>
          </cell>
          <cell r="P97">
            <v>39.614636437957465</v>
          </cell>
          <cell r="Q97">
            <v>39.614636437957465</v>
          </cell>
          <cell r="R97">
            <v>39.614636437957465</v>
          </cell>
          <cell r="S97">
            <v>39.614636437957465</v>
          </cell>
          <cell r="T97">
            <v>39.614636437957465</v>
          </cell>
          <cell r="U97">
            <v>44.566465992702149</v>
          </cell>
          <cell r="V97">
            <v>49.518295547446826</v>
          </cell>
          <cell r="W97">
            <v>59.421954656936194</v>
          </cell>
          <cell r="X97">
            <v>64.373784211680871</v>
          </cell>
          <cell r="Y97">
            <v>113.8920797591277</v>
          </cell>
          <cell r="Z97">
            <v>252.54330729197883</v>
          </cell>
          <cell r="AA97">
            <v>292.15794372993628</v>
          </cell>
          <cell r="AB97">
            <v>302.06160283942569</v>
          </cell>
          <cell r="AC97">
            <v>307.01343239417031</v>
          </cell>
          <cell r="AD97">
            <v>336.72440972263843</v>
          </cell>
          <cell r="AE97">
            <v>361.48355749636181</v>
          </cell>
          <cell r="AF97">
            <v>376.33904616059584</v>
          </cell>
          <cell r="AG97">
            <v>396.14636437957461</v>
          </cell>
          <cell r="AH97">
            <v>406.05002348906396</v>
          </cell>
          <cell r="AI97">
            <v>420.90551215329805</v>
          </cell>
          <cell r="AJ97">
            <v>440.71283037227676</v>
          </cell>
          <cell r="AK97">
            <v>480.32746681023417</v>
          </cell>
          <cell r="AL97">
            <v>539.74942146717035</v>
          </cell>
          <cell r="AM97">
            <v>579.36405790512788</v>
          </cell>
          <cell r="AN97">
            <v>623.93052389782997</v>
          </cell>
          <cell r="AO97">
            <v>678.40064900002142</v>
          </cell>
          <cell r="AP97">
            <v>782.38906964965986</v>
          </cell>
          <cell r="AQ97">
            <v>881.42566074455351</v>
          </cell>
          <cell r="AR97">
            <v>906.1848085182769</v>
          </cell>
          <cell r="AS97">
            <v>935.89578584674507</v>
          </cell>
          <cell r="AT97">
            <v>1020.0768882774046</v>
          </cell>
          <cell r="AU97">
            <v>1093.363965687626</v>
          </cell>
          <cell r="AV97">
            <v>1203.2945818029577</v>
          </cell>
          <cell r="AW97">
            <v>1470.6933777591707</v>
          </cell>
          <cell r="AX97">
            <v>1851.9842534745112</v>
          </cell>
          <cell r="AY97">
            <v>2371.9263567227026</v>
          </cell>
        </row>
        <row r="98">
          <cell r="G98">
            <v>323.36780683640768</v>
          </cell>
          <cell r="K98">
            <v>60.6004802872204</v>
          </cell>
          <cell r="L98">
            <v>67.526249462902726</v>
          </cell>
          <cell r="M98">
            <v>74.452018638585074</v>
          </cell>
          <cell r="N98">
            <v>83.109230108187987</v>
          </cell>
          <cell r="O98">
            <v>96.960768459552639</v>
          </cell>
          <cell r="P98">
            <v>107.34942222307613</v>
          </cell>
          <cell r="Q98">
            <v>117.73807598659964</v>
          </cell>
          <cell r="R98">
            <v>128.12672975012313</v>
          </cell>
          <cell r="S98">
            <v>138.51538351364664</v>
          </cell>
          <cell r="T98">
            <v>138.51538351364664</v>
          </cell>
          <cell r="U98">
            <v>138.51538351364664</v>
          </cell>
          <cell r="V98">
            <v>148.90403727717015</v>
          </cell>
          <cell r="W98">
            <v>164.48701792245538</v>
          </cell>
          <cell r="X98">
            <v>167.94990251029654</v>
          </cell>
          <cell r="Y98">
            <v>169.68134480421713</v>
          </cell>
          <cell r="Z98">
            <v>180.06999856774061</v>
          </cell>
          <cell r="AA98">
            <v>181.80144086166121</v>
          </cell>
          <cell r="AB98">
            <v>183.5328831555818</v>
          </cell>
          <cell r="AC98">
            <v>185.26432544950237</v>
          </cell>
          <cell r="AD98">
            <v>197.38442150694644</v>
          </cell>
          <cell r="AE98">
            <v>199.11586380086703</v>
          </cell>
          <cell r="AF98">
            <v>199.11586380086703</v>
          </cell>
          <cell r="AG98">
            <v>202.57874838870819</v>
          </cell>
          <cell r="AH98">
            <v>202.57874838870819</v>
          </cell>
          <cell r="AI98">
            <v>202.57874838870819</v>
          </cell>
          <cell r="AJ98">
            <v>206.04163297654938</v>
          </cell>
          <cell r="AK98">
            <v>206.04163297654938</v>
          </cell>
          <cell r="AL98">
            <v>209.50451756439054</v>
          </cell>
          <cell r="AM98">
            <v>209.50451756439054</v>
          </cell>
          <cell r="AN98">
            <v>214.69884444615226</v>
          </cell>
          <cell r="AO98">
            <v>218.16172903399345</v>
          </cell>
          <cell r="AP98">
            <v>225.08749820967577</v>
          </cell>
          <cell r="AQ98">
            <v>235.47615197319928</v>
          </cell>
          <cell r="AR98">
            <v>240.67047885496103</v>
          </cell>
          <cell r="AS98">
            <v>261.44778638200802</v>
          </cell>
          <cell r="AT98">
            <v>261.44778638200802</v>
          </cell>
          <cell r="AU98">
            <v>261.44778638200802</v>
          </cell>
          <cell r="AV98">
            <v>261.44778638200802</v>
          </cell>
          <cell r="AW98">
            <v>261.44778638200802</v>
          </cell>
          <cell r="AX98">
            <v>261.44778638200802</v>
          </cell>
          <cell r="AY98">
            <v>261.44778638200802</v>
          </cell>
        </row>
        <row r="99">
          <cell r="G99">
            <v>669297.40984901658</v>
          </cell>
          <cell r="K99">
            <v>190.65046071810352</v>
          </cell>
          <cell r="L99">
            <v>218.41854487003121</v>
          </cell>
          <cell r="M99">
            <v>247.82943769899188</v>
          </cell>
          <cell r="N99">
            <v>291.14388782679509</v>
          </cell>
          <cell r="O99">
            <v>337.71655908906456</v>
          </cell>
          <cell r="P99">
            <v>380.90015095646447</v>
          </cell>
          <cell r="Q99">
            <v>456.0906448280241</v>
          </cell>
          <cell r="R99">
            <v>519.17154760428934</v>
          </cell>
          <cell r="S99">
            <v>544.52045196566439</v>
          </cell>
          <cell r="T99">
            <v>691.87970307463831</v>
          </cell>
          <cell r="U99">
            <v>910.34335666153925</v>
          </cell>
          <cell r="V99">
            <v>1069.0030370152194</v>
          </cell>
          <cell r="W99">
            <v>1333.512975236747</v>
          </cell>
          <cell r="X99">
            <v>1412.0360829064296</v>
          </cell>
          <cell r="Y99">
            <v>1646.4769833166883</v>
          </cell>
          <cell r="Z99">
            <v>2004.8402117583423</v>
          </cell>
          <cell r="AA99">
            <v>2253.673950540805</v>
          </cell>
          <cell r="AB99">
            <v>2468.8406784548856</v>
          </cell>
          <cell r="AC99">
            <v>2554.8304353852536</v>
          </cell>
          <cell r="AD99">
            <v>2628.5123301629769</v>
          </cell>
          <cell r="AE99">
            <v>2698.9580778493469</v>
          </cell>
          <cell r="AF99">
            <v>2753.0682319458624</v>
          </cell>
          <cell r="AG99">
            <v>2834.0442264325679</v>
          </cell>
          <cell r="AH99">
            <v>2911.2682836920526</v>
          </cell>
          <cell r="AI99">
            <v>2960.9888818442901</v>
          </cell>
          <cell r="AJ99">
            <v>3019.6715668525571</v>
          </cell>
          <cell r="AK99">
            <v>3069.1717139052344</v>
          </cell>
          <cell r="AL99">
            <v>3151.6105269674608</v>
          </cell>
          <cell r="AM99">
            <v>3313.2100645759415</v>
          </cell>
          <cell r="AN99">
            <v>3403.6093297521456</v>
          </cell>
          <cell r="AO99">
            <v>3540.9853271942166</v>
          </cell>
          <cell r="AP99">
            <v>3874.0876164371011</v>
          </cell>
          <cell r="AQ99">
            <v>4228.639165476302</v>
          </cell>
          <cell r="AR99">
            <v>4506.9439048746653</v>
          </cell>
          <cell r="AS99">
            <v>4840.1853203440423</v>
          </cell>
          <cell r="AT99">
            <v>5133.0340938141344</v>
          </cell>
          <cell r="AU99">
            <v>5423.7365643854846</v>
          </cell>
          <cell r="AV99">
            <v>5859.7902702425108</v>
          </cell>
          <cell r="AW99">
            <v>7056.0104853747907</v>
          </cell>
          <cell r="AX99">
            <v>9495.4654616409589</v>
          </cell>
          <cell r="AY99">
            <v>13454.830381973821</v>
          </cell>
        </row>
        <row r="100">
          <cell r="G100">
            <v>13336.64066818275</v>
          </cell>
          <cell r="K100">
            <v>9.9785391860461843</v>
          </cell>
          <cell r="L100">
            <v>11.074101454676011</v>
          </cell>
          <cell r="M100">
            <v>12.276470987305725</v>
          </cell>
          <cell r="N100">
            <v>13.871985964609802</v>
          </cell>
          <cell r="O100">
            <v>16.270030355767407</v>
          </cell>
          <cell r="P100">
            <v>17.207208941150679</v>
          </cell>
          <cell r="Q100">
            <v>18.569180605655749</v>
          </cell>
          <cell r="R100">
            <v>19.739701490312964</v>
          </cell>
          <cell r="S100">
            <v>21.652781533493684</v>
          </cell>
          <cell r="T100">
            <v>24.203543514177973</v>
          </cell>
          <cell r="U100">
            <v>28.407123365433442</v>
          </cell>
          <cell r="V100">
            <v>32.148144066074302</v>
          </cell>
          <cell r="W100">
            <v>34.842878463293694</v>
          </cell>
          <cell r="X100">
            <v>36.181074300383322</v>
          </cell>
          <cell r="Y100">
            <v>40.509492841468969</v>
          </cell>
          <cell r="Z100">
            <v>45.135966149188675</v>
          </cell>
          <cell r="AA100">
            <v>47.781577045645321</v>
          </cell>
          <cell r="AB100">
            <v>48.967624188329843</v>
          </cell>
          <cell r="AC100">
            <v>50.452079082844996</v>
          </cell>
          <cell r="AD100">
            <v>52.562857297320832</v>
          </cell>
          <cell r="AE100">
            <v>53.901116596856752</v>
          </cell>
          <cell r="AF100">
            <v>55.017864735271658</v>
          </cell>
          <cell r="AG100">
            <v>56.227181106692456</v>
          </cell>
          <cell r="AH100">
            <v>57.507495133050718</v>
          </cell>
          <cell r="AI100">
            <v>58.339739453214683</v>
          </cell>
          <cell r="AJ100">
            <v>59.359479962495215</v>
          </cell>
          <cell r="AK100">
            <v>60.354238525956241</v>
          </cell>
          <cell r="AL100">
            <v>61.984239914846668</v>
          </cell>
          <cell r="AM100">
            <v>64.206549620626859</v>
          </cell>
          <cell r="AN100">
            <v>66.149946618345751</v>
          </cell>
          <cell r="AO100">
            <v>69.649985561337687</v>
          </cell>
          <cell r="AP100">
            <v>73.777925835480758</v>
          </cell>
          <cell r="AQ100">
            <v>80.073144453041337</v>
          </cell>
          <cell r="AR100">
            <v>86.723801786253659</v>
          </cell>
          <cell r="AS100">
            <v>92.138872876464674</v>
          </cell>
          <cell r="AT100">
            <v>93.123017049350821</v>
          </cell>
          <cell r="AU100">
            <v>94.941856462867619</v>
          </cell>
          <cell r="AV100">
            <v>97.670115583142859</v>
          </cell>
          <cell r="AW100">
            <v>102.82663386580806</v>
          </cell>
          <cell r="AX100">
            <v>108.70557129365123</v>
          </cell>
          <cell r="AY100">
            <v>114.85583874638567</v>
          </cell>
        </row>
        <row r="101">
          <cell r="G101">
            <v>1566250.2234417249</v>
          </cell>
          <cell r="K101">
            <v>15.112107047489124</v>
          </cell>
          <cell r="L101">
            <v>15.112107047489124</v>
          </cell>
          <cell r="M101">
            <v>16.623317752238037</v>
          </cell>
          <cell r="N101">
            <v>18.134528456986953</v>
          </cell>
          <cell r="O101">
            <v>21.156949866484776</v>
          </cell>
          <cell r="P101">
            <v>21.156949866484776</v>
          </cell>
          <cell r="Q101">
            <v>21.156949866484776</v>
          </cell>
          <cell r="R101">
            <v>21.156949866484776</v>
          </cell>
          <cell r="S101">
            <v>21.156949866484776</v>
          </cell>
          <cell r="T101">
            <v>33.246635504476075</v>
          </cell>
          <cell r="U101">
            <v>52.892374666211943</v>
          </cell>
          <cell r="V101">
            <v>80.094167351692363</v>
          </cell>
          <cell r="W101">
            <v>117.87443497041519</v>
          </cell>
          <cell r="X101">
            <v>120.89685637991299</v>
          </cell>
          <cell r="Y101">
            <v>120.89685637991299</v>
          </cell>
          <cell r="Z101">
            <v>120.89685637991299</v>
          </cell>
          <cell r="AA101">
            <v>120.89685637991299</v>
          </cell>
          <cell r="AB101">
            <v>120.89685637991299</v>
          </cell>
          <cell r="AC101">
            <v>120.89685637991299</v>
          </cell>
          <cell r="AD101">
            <v>123.91927778941083</v>
          </cell>
          <cell r="AE101">
            <v>123.91927778941083</v>
          </cell>
          <cell r="AF101">
            <v>123.91927778941083</v>
          </cell>
          <cell r="AG101">
            <v>123.91927778941083</v>
          </cell>
          <cell r="AH101">
            <v>131.47533131315541</v>
          </cell>
          <cell r="AI101">
            <v>131.47533131315541</v>
          </cell>
          <cell r="AJ101">
            <v>131.47533131315541</v>
          </cell>
          <cell r="AK101">
            <v>142.05380624639778</v>
          </cell>
          <cell r="AL101">
            <v>149.60985977014235</v>
          </cell>
          <cell r="AM101">
            <v>152.63228117964019</v>
          </cell>
          <cell r="AN101">
            <v>154.14349188438908</v>
          </cell>
          <cell r="AO101">
            <v>175.30044175087386</v>
          </cell>
          <cell r="AP101">
            <v>207.03586655060101</v>
          </cell>
          <cell r="AQ101">
            <v>285.61882319754449</v>
          </cell>
          <cell r="AR101">
            <v>317.35424799727167</v>
          </cell>
          <cell r="AS101">
            <v>352.11209420649664</v>
          </cell>
          <cell r="AT101">
            <v>365.71299054923685</v>
          </cell>
          <cell r="AU101">
            <v>383.24303472432422</v>
          </cell>
          <cell r="AV101">
            <v>409.53810098695533</v>
          </cell>
          <cell r="AW101">
            <v>492.65468974814547</v>
          </cell>
          <cell r="AX101">
            <v>664.93271008952161</v>
          </cell>
          <cell r="AY101">
            <v>1080.5156538954725</v>
          </cell>
        </row>
        <row r="102">
          <cell r="G102">
            <v>787460.6457683167</v>
          </cell>
          <cell r="K102">
            <v>20.628203768996432</v>
          </cell>
          <cell r="L102">
            <v>20.628203768996432</v>
          </cell>
          <cell r="M102">
            <v>20.628203768996432</v>
          </cell>
          <cell r="N102">
            <v>20.628203768996432</v>
          </cell>
          <cell r="O102">
            <v>20.628203768996432</v>
          </cell>
          <cell r="P102">
            <v>20.628203768996432</v>
          </cell>
          <cell r="Q102">
            <v>20.628203768996432</v>
          </cell>
          <cell r="R102">
            <v>20.628203768996432</v>
          </cell>
          <cell r="S102">
            <v>20.628203768996432</v>
          </cell>
          <cell r="T102">
            <v>24.066237730495835</v>
          </cell>
          <cell r="U102">
            <v>34.38033961499405</v>
          </cell>
          <cell r="V102">
            <v>79.074781114486314</v>
          </cell>
          <cell r="W102">
            <v>116.89315469097977</v>
          </cell>
          <cell r="X102">
            <v>140.95939242147563</v>
          </cell>
          <cell r="Y102">
            <v>175.33973203646966</v>
          </cell>
          <cell r="Z102">
            <v>209.72007165146371</v>
          </cell>
          <cell r="AA102">
            <v>213.15810561296311</v>
          </cell>
          <cell r="AB102">
            <v>220.03417353596194</v>
          </cell>
          <cell r="AC102">
            <v>220.03417353596194</v>
          </cell>
          <cell r="AD102">
            <v>220.03417353596194</v>
          </cell>
          <cell r="AE102">
            <v>244.10041126645777</v>
          </cell>
          <cell r="AF102">
            <v>261.2905810739548</v>
          </cell>
          <cell r="AG102">
            <v>495.07689045591428</v>
          </cell>
          <cell r="AH102">
            <v>519.14312818641019</v>
          </cell>
          <cell r="AI102">
            <v>529.45723007090839</v>
          </cell>
          <cell r="AJ102">
            <v>605.09397722389531</v>
          </cell>
          <cell r="AK102">
            <v>642.91235080038871</v>
          </cell>
          <cell r="AL102">
            <v>708.23499606887754</v>
          </cell>
          <cell r="AM102">
            <v>773.55764133736625</v>
          </cell>
          <cell r="AN102">
            <v>804.49994699086085</v>
          </cell>
          <cell r="AO102">
            <v>935.14523752783816</v>
          </cell>
          <cell r="AP102">
            <v>1203.3118865247918</v>
          </cell>
          <cell r="AQ102">
            <v>1306.452905369774</v>
          </cell>
          <cell r="AR102">
            <v>1471.4785355217455</v>
          </cell>
          <cell r="AS102">
            <v>1657.1323694427133</v>
          </cell>
          <cell r="AT102">
            <v>1732.7691165957001</v>
          </cell>
          <cell r="AU102">
            <v>1824.9084267638841</v>
          </cell>
          <cell r="AV102">
            <v>1963.1173920161602</v>
          </cell>
          <cell r="AW102">
            <v>2337.8630938195956</v>
          </cell>
          <cell r="AX102">
            <v>2997.9656144274813</v>
          </cell>
          <cell r="AY102">
            <v>4122.2027198377873</v>
          </cell>
        </row>
        <row r="103">
          <cell r="G103">
            <v>1041174.278885236</v>
          </cell>
          <cell r="K103">
            <v>10.11060553931407</v>
          </cell>
          <cell r="L103">
            <v>10.11060553931407</v>
          </cell>
          <cell r="M103">
            <v>10.11060553931407</v>
          </cell>
          <cell r="N103">
            <v>10.11060553931407</v>
          </cell>
          <cell r="O103">
            <v>10.11060553931407</v>
          </cell>
          <cell r="P103">
            <v>10.11060553931407</v>
          </cell>
          <cell r="Q103">
            <v>10.11060553931407</v>
          </cell>
          <cell r="R103">
            <v>10.11060553931407</v>
          </cell>
          <cell r="S103">
            <v>10.11060553931407</v>
          </cell>
          <cell r="T103">
            <v>10.11060553931407</v>
          </cell>
          <cell r="U103">
            <v>15.165908308971105</v>
          </cell>
          <cell r="V103">
            <v>25.276513848285173</v>
          </cell>
          <cell r="W103">
            <v>37.914770772427758</v>
          </cell>
          <cell r="X103">
            <v>37.914770772427758</v>
          </cell>
          <cell r="Y103">
            <v>70.774238775198484</v>
          </cell>
          <cell r="Z103">
            <v>70.774238775198484</v>
          </cell>
          <cell r="AA103">
            <v>73.301890160027</v>
          </cell>
          <cell r="AB103">
            <v>75.829541544855516</v>
          </cell>
          <cell r="AC103">
            <v>78.357192929684047</v>
          </cell>
          <cell r="AD103">
            <v>78.357192929684047</v>
          </cell>
          <cell r="AE103">
            <v>85.940147084169595</v>
          </cell>
          <cell r="AF103">
            <v>90.995449853826628</v>
          </cell>
          <cell r="AG103">
            <v>98.578404008312177</v>
          </cell>
          <cell r="AH103">
            <v>101.10605539314069</v>
          </cell>
          <cell r="AI103">
            <v>103.63370677796921</v>
          </cell>
          <cell r="AJ103">
            <v>106.16135816279773</v>
          </cell>
          <cell r="AK103">
            <v>113.74431231728329</v>
          </cell>
          <cell r="AL103">
            <v>113.74431231728329</v>
          </cell>
          <cell r="AM103">
            <v>156.71438585936809</v>
          </cell>
          <cell r="AN103">
            <v>166.82499139868216</v>
          </cell>
          <cell r="AO103">
            <v>174.40794555316768</v>
          </cell>
          <cell r="AP103">
            <v>181.99089970765326</v>
          </cell>
          <cell r="AQ103">
            <v>209.79506494076693</v>
          </cell>
          <cell r="AR103">
            <v>235.0715787890521</v>
          </cell>
          <cell r="AS103">
            <v>252.76513848285174</v>
          </cell>
          <cell r="AT103">
            <v>265.40339540699432</v>
          </cell>
          <cell r="AU103">
            <v>275.51400094630839</v>
          </cell>
          <cell r="AV103">
            <v>290.67990925527948</v>
          </cell>
          <cell r="AW103">
            <v>321.01172587322168</v>
          </cell>
          <cell r="AX103">
            <v>361.45414803047794</v>
          </cell>
          <cell r="AY103">
            <v>429.70073542084793</v>
          </cell>
        </row>
        <row r="104">
          <cell r="G104">
            <v>117926.9297598032</v>
          </cell>
          <cell r="K104">
            <v>28.970408313698876</v>
          </cell>
          <cell r="L104">
            <v>28.970408313698876</v>
          </cell>
          <cell r="M104">
            <v>28.970408313698876</v>
          </cell>
          <cell r="N104">
            <v>28.970408313698876</v>
          </cell>
          <cell r="O104">
            <v>28.970408313698876</v>
          </cell>
          <cell r="P104">
            <v>28.970408313698876</v>
          </cell>
          <cell r="Q104">
            <v>28.970408313698876</v>
          </cell>
          <cell r="R104">
            <v>28.970408313698876</v>
          </cell>
          <cell r="S104">
            <v>38.627211084931837</v>
          </cell>
          <cell r="T104">
            <v>43.455612470548317</v>
          </cell>
          <cell r="U104">
            <v>62.769218013014239</v>
          </cell>
          <cell r="V104">
            <v>115.8816332547955</v>
          </cell>
          <cell r="W104">
            <v>212.44966096712511</v>
          </cell>
          <cell r="X104">
            <v>231.76326650959101</v>
          </cell>
          <cell r="Y104">
            <v>275.21887898013932</v>
          </cell>
          <cell r="Z104">
            <v>294.53248452260527</v>
          </cell>
          <cell r="AA104">
            <v>323.50289283630411</v>
          </cell>
          <cell r="AB104">
            <v>323.50289283630411</v>
          </cell>
          <cell r="AC104">
            <v>323.50289283630411</v>
          </cell>
          <cell r="AD104">
            <v>323.50289283630411</v>
          </cell>
          <cell r="AE104">
            <v>328.33129422192064</v>
          </cell>
          <cell r="AF104">
            <v>376.61530807808538</v>
          </cell>
          <cell r="AG104">
            <v>420.07092054863369</v>
          </cell>
          <cell r="AH104">
            <v>439.3845260910997</v>
          </cell>
          <cell r="AI104">
            <v>458.69813163356559</v>
          </cell>
          <cell r="AJ104">
            <v>463.52653301918201</v>
          </cell>
          <cell r="AK104">
            <v>463.52653301918201</v>
          </cell>
          <cell r="AL104">
            <v>463.52653301918201</v>
          </cell>
          <cell r="AM104">
            <v>473.18333579041501</v>
          </cell>
          <cell r="AN104">
            <v>478.01173717603149</v>
          </cell>
          <cell r="AO104">
            <v>487.66853994726443</v>
          </cell>
          <cell r="AP104">
            <v>487.66853994726443</v>
          </cell>
          <cell r="AQ104">
            <v>526.29575103219634</v>
          </cell>
          <cell r="AR104">
            <v>560.09456073151159</v>
          </cell>
          <cell r="AS104">
            <v>589.06496904521055</v>
          </cell>
          <cell r="AT104">
            <v>675.97619398630718</v>
          </cell>
          <cell r="AU104">
            <v>741.64245283069124</v>
          </cell>
          <cell r="AV104">
            <v>840.14184109726739</v>
          </cell>
          <cell r="AW104">
            <v>1042.9346992931596</v>
          </cell>
          <cell r="AX104">
            <v>1284.3547685739836</v>
          </cell>
          <cell r="AY104">
            <v>1564.4020489397394</v>
          </cell>
        </row>
        <row r="105">
          <cell r="G105">
            <v>329578.76250869757</v>
          </cell>
          <cell r="K105">
            <v>108.42234282373008</v>
          </cell>
          <cell r="L105">
            <v>136.95453830365904</v>
          </cell>
          <cell r="M105">
            <v>176.89961197555959</v>
          </cell>
          <cell r="N105">
            <v>213.04039291680297</v>
          </cell>
          <cell r="O105">
            <v>279.61551570330386</v>
          </cell>
          <cell r="P105">
            <v>338.58205302849041</v>
          </cell>
          <cell r="Q105">
            <v>407.05932218031995</v>
          </cell>
          <cell r="R105">
            <v>473.63444496682081</v>
          </cell>
          <cell r="S105">
            <v>475.53659133214944</v>
          </cell>
          <cell r="T105">
            <v>616.29542236646569</v>
          </cell>
          <cell r="U105">
            <v>855.96586439786893</v>
          </cell>
          <cell r="V105">
            <v>1137.4835264665014</v>
          </cell>
          <cell r="W105">
            <v>1504.5977749749209</v>
          </cell>
          <cell r="X105">
            <v>1675.7909478544946</v>
          </cell>
          <cell r="Y105">
            <v>2299.6949556822747</v>
          </cell>
          <cell r="Z105">
            <v>2788.5465715717246</v>
          </cell>
          <cell r="AA105">
            <v>3397.2334084768754</v>
          </cell>
          <cell r="AB105">
            <v>3684.4575096414942</v>
          </cell>
          <cell r="AC105">
            <v>3840.4335115984391</v>
          </cell>
          <cell r="AD105">
            <v>4036.3545872272848</v>
          </cell>
          <cell r="AE105">
            <v>4401.5666893703756</v>
          </cell>
          <cell r="AF105">
            <v>4859.9839634145674</v>
          </cell>
          <cell r="AG105">
            <v>5209.9788946350291</v>
          </cell>
          <cell r="AH105">
            <v>5502.9094348956332</v>
          </cell>
          <cell r="AI105">
            <v>5774.916365137623</v>
          </cell>
          <cell r="AJ105">
            <v>5991.7610507850823</v>
          </cell>
          <cell r="AK105">
            <v>6147.737052742028</v>
          </cell>
          <cell r="AL105">
            <v>6391.2117875040876</v>
          </cell>
          <cell r="AM105">
            <v>7106.4188208676414</v>
          </cell>
          <cell r="AN105">
            <v>7648.5305349862911</v>
          </cell>
          <cell r="AO105">
            <v>8127.8714190490991</v>
          </cell>
          <cell r="AP105">
            <v>8827.8612814900225</v>
          </cell>
          <cell r="AQ105">
            <v>9474.5910457017453</v>
          </cell>
          <cell r="AR105">
            <v>9967.2469543218522</v>
          </cell>
          <cell r="AS105">
            <v>10477.022180229917</v>
          </cell>
          <cell r="AT105">
            <v>10956.363064292724</v>
          </cell>
          <cell r="AU105">
            <v>11361.139810834649</v>
          </cell>
          <cell r="AV105">
            <v>11968.304930647537</v>
          </cell>
          <cell r="AW105">
            <v>13067.745529807466</v>
          </cell>
          <cell r="AX105">
            <v>14254.684861772512</v>
          </cell>
          <cell r="AY105">
            <v>15441.624193737556</v>
          </cell>
        </row>
        <row r="106">
          <cell r="G106">
            <v>824048.01432687859</v>
          </cell>
          <cell r="K106">
            <v>14.127224480943916</v>
          </cell>
          <cell r="L106">
            <v>15.355678783634689</v>
          </cell>
          <cell r="M106">
            <v>16.584133086325465</v>
          </cell>
          <cell r="N106">
            <v>19.041041691707015</v>
          </cell>
          <cell r="O106">
            <v>20.883723145743179</v>
          </cell>
          <cell r="P106">
            <v>22.112177448433954</v>
          </cell>
          <cell r="Q106">
            <v>22.72640459977934</v>
          </cell>
          <cell r="R106">
            <v>22.72640459977934</v>
          </cell>
          <cell r="S106">
            <v>22.72640459977934</v>
          </cell>
          <cell r="T106">
            <v>25.797540356506278</v>
          </cell>
          <cell r="U106">
            <v>31.939811869960153</v>
          </cell>
          <cell r="V106">
            <v>37.467856232068641</v>
          </cell>
          <cell r="W106">
            <v>48.523944956285625</v>
          </cell>
          <cell r="X106">
            <v>51.595080713012557</v>
          </cell>
          <cell r="Y106">
            <v>60.808487983193373</v>
          </cell>
          <cell r="Z106">
            <v>67.56498664799264</v>
          </cell>
          <cell r="AA106">
            <v>77.392621069518839</v>
          </cell>
          <cell r="AB106">
            <v>79.849529674900381</v>
          </cell>
          <cell r="AC106">
            <v>81.07798397759116</v>
          </cell>
          <cell r="AD106">
            <v>84.763346885663481</v>
          </cell>
          <cell r="AE106">
            <v>89.062936945081191</v>
          </cell>
          <cell r="AF106">
            <v>90.905618399117358</v>
          </cell>
          <cell r="AG106">
            <v>90.905618399117358</v>
          </cell>
          <cell r="AH106">
            <v>92.748299853153526</v>
          </cell>
          <cell r="AI106">
            <v>93.362527004498915</v>
          </cell>
          <cell r="AJ106">
            <v>93.97675415584429</v>
          </cell>
          <cell r="AK106">
            <v>95.205208458535083</v>
          </cell>
          <cell r="AL106">
            <v>95.205208458535083</v>
          </cell>
          <cell r="AM106">
            <v>97.04788991257125</v>
          </cell>
          <cell r="AN106">
            <v>98.890571366607404</v>
          </cell>
          <cell r="AO106">
            <v>99.504798517952793</v>
          </cell>
          <cell r="AP106">
            <v>102.57593427467972</v>
          </cell>
          <cell r="AQ106">
            <v>121.61697596638675</v>
          </cell>
          <cell r="AR106">
            <v>146.18606202020223</v>
          </cell>
          <cell r="AS106">
            <v>151.71410638231075</v>
          </cell>
          <cell r="AT106">
            <v>160.31328650114617</v>
          </cell>
          <cell r="AU106">
            <v>166.2098671540619</v>
          </cell>
          <cell r="AV106">
            <v>175.05473813343548</v>
          </cell>
          <cell r="AW106">
            <v>188.56773546303401</v>
          </cell>
          <cell r="AX106">
            <v>202.08073279263255</v>
          </cell>
          <cell r="AY106">
            <v>216.82218442492183</v>
          </cell>
        </row>
        <row r="107">
          <cell r="G107">
            <v>18827.031779864621</v>
          </cell>
          <cell r="K107" t="e">
            <v>#N/A</v>
          </cell>
          <cell r="L107" t="e">
            <v>#N/A</v>
          </cell>
          <cell r="M107" t="e">
            <v>#N/A</v>
          </cell>
          <cell r="N107" t="e">
            <v>#N/A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e">
            <v>#N/A</v>
          </cell>
          <cell r="U107" t="e">
            <v>#N/A</v>
          </cell>
          <cell r="V107" t="e">
            <v>#N/A</v>
          </cell>
          <cell r="W107" t="e">
            <v>#N/A</v>
          </cell>
          <cell r="X107" t="e">
            <v>#N/A</v>
          </cell>
          <cell r="Y107" t="e">
            <v>#N/A</v>
          </cell>
          <cell r="Z107" t="e">
            <v>#N/A</v>
          </cell>
          <cell r="AA107" t="e">
            <v>#N/A</v>
          </cell>
          <cell r="AB107" t="e">
            <v>#N/A</v>
          </cell>
          <cell r="AC107" t="e">
            <v>#N/A</v>
          </cell>
          <cell r="AD107" t="e">
            <v>#N/A</v>
          </cell>
          <cell r="AE107" t="e">
            <v>#N/A</v>
          </cell>
          <cell r="AF107" t="e">
            <v>#N/A</v>
          </cell>
          <cell r="AG107" t="e">
            <v>#N/A</v>
          </cell>
          <cell r="AH107" t="e">
            <v>#N/A</v>
          </cell>
          <cell r="AI107" t="e">
            <v>#N/A</v>
          </cell>
          <cell r="AJ107" t="e">
            <v>#N/A</v>
          </cell>
          <cell r="AK107" t="e">
            <v>#N/A</v>
          </cell>
          <cell r="AL107" t="e">
            <v>#N/A</v>
          </cell>
          <cell r="AM107" t="e">
            <v>#N/A</v>
          </cell>
          <cell r="AN107" t="e">
            <v>#N/A</v>
          </cell>
          <cell r="AO107" t="e">
            <v>#N/A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  <cell r="AU107" t="e">
            <v>#N/A</v>
          </cell>
          <cell r="AV107" t="e">
            <v>#N/A</v>
          </cell>
          <cell r="AW107" t="e">
            <v>#N/A</v>
          </cell>
          <cell r="AX107" t="e">
            <v>#N/A</v>
          </cell>
          <cell r="AY107" t="e">
            <v>#N/A</v>
          </cell>
        </row>
        <row r="108">
          <cell r="G108">
            <v>1183670.987808041</v>
          </cell>
          <cell r="K108">
            <v>33.24586803616743</v>
          </cell>
          <cell r="L108">
            <v>33.24586803616743</v>
          </cell>
          <cell r="M108">
            <v>33.24586803616743</v>
          </cell>
          <cell r="N108">
            <v>33.24586803616743</v>
          </cell>
          <cell r="O108">
            <v>33.24586803616743</v>
          </cell>
          <cell r="P108">
            <v>33.24586803616743</v>
          </cell>
          <cell r="Q108">
            <v>33.24586803616743</v>
          </cell>
          <cell r="R108">
            <v>33.24586803616743</v>
          </cell>
          <cell r="S108">
            <v>33.24586803616743</v>
          </cell>
          <cell r="T108">
            <v>37.995277755619924</v>
          </cell>
          <cell r="U108">
            <v>56.992916633429878</v>
          </cell>
          <cell r="V108">
            <v>94.988194389049795</v>
          </cell>
          <cell r="W108">
            <v>128.23406242521722</v>
          </cell>
          <cell r="X108">
            <v>132.98347214466972</v>
          </cell>
          <cell r="Y108">
            <v>142.48229158357469</v>
          </cell>
          <cell r="Z108">
            <v>151.98111102247969</v>
          </cell>
          <cell r="AA108">
            <v>156.7305207419322</v>
          </cell>
          <cell r="AB108">
            <v>156.7305207419322</v>
          </cell>
          <cell r="AC108">
            <v>161.47993046138467</v>
          </cell>
          <cell r="AD108">
            <v>180.47756933919462</v>
          </cell>
          <cell r="AE108">
            <v>189.97638877809959</v>
          </cell>
          <cell r="AF108">
            <v>199.47520821700459</v>
          </cell>
          <cell r="AG108">
            <v>204.22461793645709</v>
          </cell>
          <cell r="AH108">
            <v>204.22461793645709</v>
          </cell>
          <cell r="AI108">
            <v>204.22461793645709</v>
          </cell>
          <cell r="AJ108">
            <v>204.22461793645709</v>
          </cell>
          <cell r="AK108">
            <v>204.22461793645709</v>
          </cell>
          <cell r="AL108">
            <v>232.72107625317201</v>
          </cell>
          <cell r="AM108">
            <v>242.21989569207702</v>
          </cell>
          <cell r="AN108">
            <v>251.71871513098199</v>
          </cell>
          <cell r="AO108">
            <v>261.21753456988699</v>
          </cell>
          <cell r="AP108">
            <v>289.71399288660189</v>
          </cell>
          <cell r="AQ108">
            <v>360.95513867838923</v>
          </cell>
          <cell r="AR108">
            <v>460.69274278689159</v>
          </cell>
          <cell r="AS108">
            <v>531.93388857867888</v>
          </cell>
          <cell r="AT108">
            <v>560.43034689539388</v>
          </cell>
          <cell r="AU108">
            <v>598.42562465101378</v>
          </cell>
          <cell r="AV108">
            <v>655.41854128444368</v>
          </cell>
          <cell r="AW108">
            <v>793.15142314856587</v>
          </cell>
          <cell r="AX108">
            <v>964.13017304885557</v>
          </cell>
          <cell r="AY108">
            <v>1220.5982978992899</v>
          </cell>
        </row>
        <row r="109">
          <cell r="G109">
            <v>908410.13529347663</v>
          </cell>
          <cell r="K109">
            <v>1099.4129447814414</v>
          </cell>
          <cell r="L109">
            <v>1192.9800039117765</v>
          </cell>
          <cell r="M109">
            <v>1286.5470630421121</v>
          </cell>
          <cell r="N109">
            <v>1380.1141221724474</v>
          </cell>
          <cell r="O109">
            <v>1473.681181302783</v>
          </cell>
          <cell r="P109">
            <v>1473.681181302783</v>
          </cell>
          <cell r="Q109">
            <v>1473.681181302783</v>
          </cell>
          <cell r="R109">
            <v>1481.4784362303108</v>
          </cell>
          <cell r="S109">
            <v>1707.5988291286214</v>
          </cell>
          <cell r="T109">
            <v>2612.080400721864</v>
          </cell>
          <cell r="U109">
            <v>4046.7753073870076</v>
          </cell>
          <cell r="V109">
            <v>6027.2780589791073</v>
          </cell>
          <cell r="W109">
            <v>8764.1145385414184</v>
          </cell>
          <cell r="X109">
            <v>9606.218070714438</v>
          </cell>
          <cell r="Y109">
            <v>10565.280426800375</v>
          </cell>
          <cell r="Z109">
            <v>11103.291016799803</v>
          </cell>
          <cell r="AA109">
            <v>11337.208664625641</v>
          </cell>
          <cell r="AB109">
            <v>11438.572978683505</v>
          </cell>
          <cell r="AC109">
            <v>11594.518077234065</v>
          </cell>
          <cell r="AD109">
            <v>11742.665920857095</v>
          </cell>
          <cell r="AE109">
            <v>11875.219254625072</v>
          </cell>
          <cell r="AF109">
            <v>11953.19180390035</v>
          </cell>
          <cell r="AG109">
            <v>12054.556117958215</v>
          </cell>
          <cell r="AH109">
            <v>12350.851805204276</v>
          </cell>
          <cell r="AI109">
            <v>12576.972198102587</v>
          </cell>
          <cell r="AJ109">
            <v>13114.982788102016</v>
          </cell>
          <cell r="AK109">
            <v>13738.763182304252</v>
          </cell>
          <cell r="AL109">
            <v>14222.192987810984</v>
          </cell>
          <cell r="AM109">
            <v>15001.91848056378</v>
          </cell>
          <cell r="AN109">
            <v>15578.915345200847</v>
          </cell>
          <cell r="AO109">
            <v>16421.018877373866</v>
          </cell>
          <cell r="AP109">
            <v>18775.78986548731</v>
          </cell>
          <cell r="AQ109">
            <v>21270.911442296252</v>
          </cell>
          <cell r="AR109">
            <v>23524.318116351831</v>
          </cell>
          <cell r="AS109">
            <v>26487.274988812456</v>
          </cell>
          <cell r="AT109">
            <v>28725.087153012977</v>
          </cell>
          <cell r="AU109">
            <v>30777.324649938331</v>
          </cell>
          <cell r="AV109">
            <v>33855.680895326368</v>
          </cell>
          <cell r="AW109">
            <v>41769.894646767236</v>
          </cell>
          <cell r="AX109">
            <v>58627.559800082672</v>
          </cell>
          <cell r="AY109">
            <v>114019.25880524123</v>
          </cell>
        </row>
        <row r="110">
          <cell r="G110">
            <v>128178.8526096712</v>
          </cell>
          <cell r="K110">
            <v>72.812328138168041</v>
          </cell>
          <cell r="L110">
            <v>72.812328138168041</v>
          </cell>
          <cell r="M110">
            <v>72.812328138168041</v>
          </cell>
          <cell r="N110">
            <v>72.812328138168041</v>
          </cell>
          <cell r="O110">
            <v>72.812328138168041</v>
          </cell>
          <cell r="P110">
            <v>72.812328138168041</v>
          </cell>
          <cell r="Q110">
            <v>80.902586820186713</v>
          </cell>
          <cell r="R110">
            <v>88.992845502205384</v>
          </cell>
          <cell r="S110">
            <v>105.17336286624274</v>
          </cell>
          <cell r="T110">
            <v>137.53439759431743</v>
          </cell>
          <cell r="U110">
            <v>210.34672573248548</v>
          </cell>
          <cell r="V110">
            <v>299.33957123469088</v>
          </cell>
          <cell r="W110">
            <v>396.42267541891488</v>
          </cell>
          <cell r="X110">
            <v>412.60319278295219</v>
          </cell>
          <cell r="Y110">
            <v>550.1375903772697</v>
          </cell>
          <cell r="Z110">
            <v>614.85965983341896</v>
          </cell>
          <cell r="AA110">
            <v>647.2206945614937</v>
          </cell>
          <cell r="AB110">
            <v>703.85250533562441</v>
          </cell>
          <cell r="AC110">
            <v>711.94276401764307</v>
          </cell>
          <cell r="AD110">
            <v>728.12328138168039</v>
          </cell>
          <cell r="AE110">
            <v>744.3037987457177</v>
          </cell>
          <cell r="AF110">
            <v>768.57457479177378</v>
          </cell>
          <cell r="AG110">
            <v>784.7550921558111</v>
          </cell>
          <cell r="AH110">
            <v>792.84535083782976</v>
          </cell>
          <cell r="AI110">
            <v>825.20638556590438</v>
          </cell>
          <cell r="AJ110">
            <v>825.20638556590438</v>
          </cell>
          <cell r="AK110">
            <v>825.20638556590438</v>
          </cell>
          <cell r="AL110">
            <v>833.29664424792304</v>
          </cell>
          <cell r="AM110">
            <v>833.29664424792304</v>
          </cell>
          <cell r="AN110">
            <v>849.47716161196047</v>
          </cell>
          <cell r="AO110">
            <v>1003.1920765703153</v>
          </cell>
          <cell r="AP110">
            <v>1237.8095783488566</v>
          </cell>
          <cell r="AQ110">
            <v>1359.1634585791369</v>
          </cell>
          <cell r="AR110">
            <v>1456.2465627633608</v>
          </cell>
          <cell r="AS110">
            <v>1537.1491495835476</v>
          </cell>
          <cell r="AT110">
            <v>1585.6907016756595</v>
          </cell>
          <cell r="AU110">
            <v>1630.9961502949641</v>
          </cell>
          <cell r="AV110">
            <v>1698.9543232239209</v>
          </cell>
          <cell r="AW110">
            <v>1868.849755546313</v>
          </cell>
          <cell r="AX110">
            <v>2168.1893267810037</v>
          </cell>
          <cell r="AY110">
            <v>2807.3197626604792</v>
          </cell>
        </row>
        <row r="111">
          <cell r="G111">
            <v>37686.935422500908</v>
          </cell>
          <cell r="K111">
            <v>1653.815752039759</v>
          </cell>
          <cell r="L111">
            <v>1896.54446044428</v>
          </cell>
          <cell r="M111">
            <v>2191.8040087273916</v>
          </cell>
          <cell r="N111">
            <v>2554.0856630624976</v>
          </cell>
          <cell r="O111">
            <v>2999.6920978946778</v>
          </cell>
          <cell r="P111">
            <v>3483.3381064320442</v>
          </cell>
          <cell r="Q111">
            <v>4070.2343864549161</v>
          </cell>
          <cell r="R111">
            <v>4619.0910927726018</v>
          </cell>
          <cell r="S111">
            <v>5267.575254032442</v>
          </cell>
          <cell r="T111">
            <v>6209.5075553037168</v>
          </cell>
          <cell r="U111">
            <v>7281.8612521356317</v>
          </cell>
          <cell r="V111">
            <v>8270.8901684704706</v>
          </cell>
          <cell r="W111">
            <v>9274.4103509787146</v>
          </cell>
          <cell r="X111">
            <v>9663.8631293889539</v>
          </cell>
          <cell r="Y111">
            <v>11272.393674636825</v>
          </cell>
          <cell r="Z111">
            <v>12455.243276040947</v>
          </cell>
          <cell r="AA111">
            <v>12947.946325936689</v>
          </cell>
          <cell r="AB111">
            <v>13158.069685451052</v>
          </cell>
          <cell r="AC111">
            <v>13357.32459533536</v>
          </cell>
          <cell r="AD111">
            <v>13527.596972872858</v>
          </cell>
          <cell r="AE111">
            <v>13699.680758682034</v>
          </cell>
          <cell r="AF111">
            <v>13808.365254982567</v>
          </cell>
          <cell r="AG111">
            <v>13907.99270992472</v>
          </cell>
          <cell r="AH111">
            <v>13980.449040791742</v>
          </cell>
          <cell r="AI111">
            <v>14098.190578450651</v>
          </cell>
          <cell r="AJ111">
            <v>14215.93211610956</v>
          </cell>
          <cell r="AK111">
            <v>14295.634080063284</v>
          </cell>
          <cell r="AL111">
            <v>14507.568847849321</v>
          </cell>
          <cell r="AM111">
            <v>14973.100773669932</v>
          </cell>
          <cell r="AN111">
            <v>15232.132156519532</v>
          </cell>
          <cell r="AO111">
            <v>15694.041265796794</v>
          </cell>
          <cell r="AP111">
            <v>16217.538256311022</v>
          </cell>
          <cell r="AQ111">
            <v>17112.373942518734</v>
          </cell>
          <cell r="AR111">
            <v>18302.469177009556</v>
          </cell>
          <cell r="AS111">
            <v>18833.211800610487</v>
          </cell>
          <cell r="AT111">
            <v>19246.212886552508</v>
          </cell>
          <cell r="AU111">
            <v>19552.703166120009</v>
          </cell>
          <cell r="AV111">
            <v>20012.438585471256</v>
          </cell>
          <cell r="AW111">
            <v>20780.475692661683</v>
          </cell>
          <cell r="AX111">
            <v>21387.297463672985</v>
          </cell>
          <cell r="AY111">
            <v>22153.523162591733</v>
          </cell>
        </row>
        <row r="112">
          <cell r="G112">
            <v>325121.23224453279</v>
          </cell>
          <cell r="K112">
            <v>990.05826348485073</v>
          </cell>
          <cell r="L112">
            <v>990.05826348485073</v>
          </cell>
          <cell r="M112">
            <v>990.05826348485073</v>
          </cell>
          <cell r="N112">
            <v>997.93671120488932</v>
          </cell>
          <cell r="O112">
            <v>1114.800352385462</v>
          </cell>
          <cell r="P112">
            <v>1240.8555159060795</v>
          </cell>
          <cell r="Q112">
            <v>1338.0230377865557</v>
          </cell>
          <cell r="R112">
            <v>1443.0690073870703</v>
          </cell>
          <cell r="S112">
            <v>1582.2549171077524</v>
          </cell>
          <cell r="T112">
            <v>1735.8846476485048</v>
          </cell>
          <cell r="U112">
            <v>2601.2008222327445</v>
          </cell>
          <cell r="V112">
            <v>3039.7677453148935</v>
          </cell>
          <cell r="W112">
            <v>3289.2519231161154</v>
          </cell>
          <cell r="X112">
            <v>3593.8852349576082</v>
          </cell>
          <cell r="Y112">
            <v>3806.6033233986509</v>
          </cell>
          <cell r="Z112">
            <v>4036.3913818997762</v>
          </cell>
          <cell r="AA112">
            <v>4125.6804560602141</v>
          </cell>
          <cell r="AB112">
            <v>4180.829590100484</v>
          </cell>
          <cell r="AC112">
            <v>4211.0303063606316</v>
          </cell>
          <cell r="AD112">
            <v>4243.8571718607927</v>
          </cell>
          <cell r="AE112">
            <v>4254.3617688208442</v>
          </cell>
          <cell r="AF112">
            <v>4255.6748434408501</v>
          </cell>
          <cell r="AG112">
            <v>4255.6748434408501</v>
          </cell>
          <cell r="AH112">
            <v>4260.9271419208762</v>
          </cell>
          <cell r="AI112">
            <v>4264.8663657808956</v>
          </cell>
          <cell r="AJ112">
            <v>4288.5017089410112</v>
          </cell>
          <cell r="AK112">
            <v>4334.4593206412364</v>
          </cell>
          <cell r="AL112">
            <v>4390.9215293015131</v>
          </cell>
          <cell r="AM112">
            <v>4452.636036441816</v>
          </cell>
          <cell r="AN112">
            <v>4555.0558568023171</v>
          </cell>
          <cell r="AO112">
            <v>4748.0778259432627</v>
          </cell>
          <cell r="AP112">
            <v>5008.0666007045374</v>
          </cell>
          <cell r="AQ112">
            <v>5690.8654031078822</v>
          </cell>
          <cell r="AR112">
            <v>6264.6790120506939</v>
          </cell>
          <cell r="AS112">
            <v>6445.8833096115814</v>
          </cell>
          <cell r="AT112">
            <v>6306.6973998908998</v>
          </cell>
          <cell r="AU112">
            <v>6483.1746288197637</v>
          </cell>
          <cell r="AV112">
            <v>6747.8904722130619</v>
          </cell>
          <cell r="AW112">
            <v>7240.2934547154737</v>
          </cell>
          <cell r="AX112">
            <v>7823.2985859983291</v>
          </cell>
          <cell r="AY112">
            <v>8496.9058660616301</v>
          </cell>
        </row>
        <row r="113">
          <cell r="G113">
            <v>147662.6383505803</v>
          </cell>
          <cell r="K113">
            <v>121.94633840488743</v>
          </cell>
          <cell r="L113">
            <v>133.03236916896807</v>
          </cell>
          <cell r="M113">
            <v>133.03236916896807</v>
          </cell>
          <cell r="N113">
            <v>133.03236916896807</v>
          </cell>
          <cell r="O113">
            <v>144.11839993304875</v>
          </cell>
          <cell r="P113">
            <v>144.11839993304875</v>
          </cell>
          <cell r="Q113">
            <v>144.11839993304875</v>
          </cell>
          <cell r="R113">
            <v>144.11839993304875</v>
          </cell>
          <cell r="S113">
            <v>144.11839993304875</v>
          </cell>
          <cell r="T113">
            <v>155.20443069712945</v>
          </cell>
          <cell r="U113">
            <v>177.3764922252908</v>
          </cell>
          <cell r="V113">
            <v>277.15076910201685</v>
          </cell>
          <cell r="W113">
            <v>410.18313827098495</v>
          </cell>
          <cell r="X113">
            <v>454.52726132730766</v>
          </cell>
          <cell r="Y113">
            <v>532.1294766758723</v>
          </cell>
          <cell r="Z113">
            <v>665.16184584484051</v>
          </cell>
          <cell r="AA113">
            <v>676.24787660892116</v>
          </cell>
          <cell r="AB113">
            <v>709.50596890116321</v>
          </cell>
          <cell r="AC113">
            <v>720.59199966524386</v>
          </cell>
          <cell r="AD113">
            <v>731.67803042932451</v>
          </cell>
          <cell r="AE113">
            <v>742.76406119340515</v>
          </cell>
          <cell r="AF113">
            <v>742.76406119340515</v>
          </cell>
          <cell r="AG113">
            <v>742.76406119340515</v>
          </cell>
          <cell r="AH113">
            <v>742.76406119340515</v>
          </cell>
          <cell r="AI113">
            <v>764.93612272156656</v>
          </cell>
          <cell r="AJ113">
            <v>798.19421501380862</v>
          </cell>
          <cell r="AK113">
            <v>820.36627654196991</v>
          </cell>
          <cell r="AL113">
            <v>820.36627654196991</v>
          </cell>
          <cell r="AM113">
            <v>820.36627654196991</v>
          </cell>
          <cell r="AN113">
            <v>842.53833807013132</v>
          </cell>
          <cell r="AO113">
            <v>853.62436883421196</v>
          </cell>
          <cell r="AP113">
            <v>864.71039959829261</v>
          </cell>
          <cell r="AQ113">
            <v>920.14055341869596</v>
          </cell>
          <cell r="AR113">
            <v>997.74276876726071</v>
          </cell>
          <cell r="AS113">
            <v>1075.3449841158256</v>
          </cell>
          <cell r="AT113">
            <v>1164.033230228471</v>
          </cell>
          <cell r="AU113">
            <v>1217.246177896058</v>
          </cell>
          <cell r="AV113">
            <v>1297.065599397439</v>
          </cell>
          <cell r="AW113">
            <v>1452.2700300945685</v>
          </cell>
          <cell r="AX113">
            <v>1607.4744607916978</v>
          </cell>
          <cell r="AY113">
            <v>1773.764922252908</v>
          </cell>
        </row>
        <row r="114">
          <cell r="G114">
            <v>268709.44145945518</v>
          </cell>
          <cell r="K114">
            <v>175.87324056366811</v>
          </cell>
          <cell r="L114">
            <v>218.7691528962701</v>
          </cell>
          <cell r="M114">
            <v>308.85056879473427</v>
          </cell>
          <cell r="N114">
            <v>411.80075839297899</v>
          </cell>
          <cell r="O114">
            <v>527.61972169100432</v>
          </cell>
          <cell r="P114">
            <v>652.01786745555012</v>
          </cell>
          <cell r="Q114">
            <v>780.70560445335593</v>
          </cell>
          <cell r="R114">
            <v>909.39334145116197</v>
          </cell>
          <cell r="S114">
            <v>1046.6602609154882</v>
          </cell>
          <cell r="T114">
            <v>1355.5108297102227</v>
          </cell>
          <cell r="U114">
            <v>1724.4156757705998</v>
          </cell>
          <cell r="V114">
            <v>1986.0807409994718</v>
          </cell>
          <cell r="W114">
            <v>2149.0852078633593</v>
          </cell>
          <cell r="X114">
            <v>2372.1439519928895</v>
          </cell>
          <cell r="Y114">
            <v>3079.926505480822</v>
          </cell>
          <cell r="Z114">
            <v>3487.4376726405412</v>
          </cell>
          <cell r="AA114">
            <v>3624.7045921048671</v>
          </cell>
          <cell r="AB114">
            <v>3740.5235554028927</v>
          </cell>
          <cell r="AC114">
            <v>3796.2882414352753</v>
          </cell>
          <cell r="AD114">
            <v>3899.2384310335201</v>
          </cell>
          <cell r="AE114">
            <v>3955.0031170659026</v>
          </cell>
          <cell r="AF114">
            <v>4070.8220803639283</v>
          </cell>
          <cell r="AG114">
            <v>4169.482678728913</v>
          </cell>
          <cell r="AH114">
            <v>4186.6410436619526</v>
          </cell>
          <cell r="AI114">
            <v>4199.5098173617334</v>
          </cell>
          <cell r="AJ114">
            <v>4263.8536858606367</v>
          </cell>
          <cell r="AK114">
            <v>4349.645510525841</v>
          </cell>
          <cell r="AL114">
            <v>4379.6726491586624</v>
          </cell>
          <cell r="AM114">
            <v>4478.3332475236466</v>
          </cell>
          <cell r="AN114">
            <v>4546.9667072558095</v>
          </cell>
          <cell r="AO114">
            <v>4619.889758221233</v>
          </cell>
          <cell r="AP114">
            <v>4718.5503565862182</v>
          </cell>
          <cell r="AQ114">
            <v>5018.8217429144315</v>
          </cell>
          <cell r="AR114">
            <v>5194.6949834780999</v>
          </cell>
          <cell r="AS114">
            <v>5524.9935084391354</v>
          </cell>
          <cell r="AT114">
            <v>5452.0704574737119</v>
          </cell>
          <cell r="AU114">
            <v>5604.7799053777744</v>
          </cell>
          <cell r="AV114">
            <v>5833.844077233869</v>
          </cell>
          <cell r="AW114">
            <v>6215.617696994027</v>
          </cell>
          <cell r="AX114">
            <v>6593.1017255209244</v>
          </cell>
          <cell r="AY114">
            <v>6970.5857540478228</v>
          </cell>
        </row>
        <row r="115">
          <cell r="G115">
            <v>309136.63668124401</v>
          </cell>
          <cell r="K115">
            <v>22.849221476421679</v>
          </cell>
          <cell r="L115">
            <v>25.192731371439287</v>
          </cell>
          <cell r="M115">
            <v>25.192731371439287</v>
          </cell>
          <cell r="N115">
            <v>28.122118740211299</v>
          </cell>
          <cell r="O115">
            <v>31.637383582737705</v>
          </cell>
          <cell r="P115">
            <v>33.395016004000915</v>
          </cell>
          <cell r="Q115">
            <v>35.738525899018519</v>
          </cell>
          <cell r="R115">
            <v>38.08203579403613</v>
          </cell>
          <cell r="S115">
            <v>39.839668215299341</v>
          </cell>
          <cell r="T115">
            <v>56.830114954176992</v>
          </cell>
          <cell r="U115">
            <v>82.022846325616285</v>
          </cell>
          <cell r="V115">
            <v>158.18691791368855</v>
          </cell>
          <cell r="W115">
            <v>274.19065771706016</v>
          </cell>
          <cell r="X115">
            <v>305.24216382604345</v>
          </cell>
          <cell r="Y115">
            <v>331.60665014499153</v>
          </cell>
          <cell r="Z115">
            <v>363.24403372772923</v>
          </cell>
          <cell r="AA115">
            <v>414.21537394436223</v>
          </cell>
          <cell r="AB115">
            <v>434.72108552576623</v>
          </cell>
          <cell r="AC115">
            <v>445.26688005334552</v>
          </cell>
          <cell r="AD115">
            <v>459.91381689720555</v>
          </cell>
          <cell r="AE115">
            <v>479.83365100485526</v>
          </cell>
          <cell r="AF115">
            <v>507.95576974506656</v>
          </cell>
          <cell r="AG115">
            <v>510.88515711383855</v>
          </cell>
          <cell r="AH115">
            <v>517.32980932513703</v>
          </cell>
          <cell r="AI115">
            <v>524.94621648394411</v>
          </cell>
          <cell r="AJ115">
            <v>531.3908686952426</v>
          </cell>
          <cell r="AK115">
            <v>548.38131543412032</v>
          </cell>
          <cell r="AL115">
            <v>569.47290448927868</v>
          </cell>
          <cell r="AM115">
            <v>627.47477439096451</v>
          </cell>
          <cell r="AN115">
            <v>660.28391292121103</v>
          </cell>
          <cell r="AO115">
            <v>751.09492135314326</v>
          </cell>
          <cell r="AP115">
            <v>853.03760178640925</v>
          </cell>
          <cell r="AQ115">
            <v>1022.9420691751858</v>
          </cell>
          <cell r="AR115">
            <v>1220.3827778304194</v>
          </cell>
          <cell r="AS115">
            <v>1294.2033395234741</v>
          </cell>
          <cell r="AT115">
            <v>1332.2853753175102</v>
          </cell>
          <cell r="AU115">
            <v>1373.5311494698201</v>
          </cell>
          <cell r="AV115">
            <v>1435.3998106982849</v>
          </cell>
          <cell r="AW115">
            <v>1539.100123552814</v>
          </cell>
          <cell r="AX115">
            <v>1642.8004364073433</v>
          </cell>
          <cell r="AY115">
            <v>1747.0866267356269</v>
          </cell>
        </row>
        <row r="116">
          <cell r="G116">
            <v>792381.40819760051</v>
          </cell>
          <cell r="K116">
            <v>1839.8933812514863</v>
          </cell>
          <cell r="L116">
            <v>2052.1887713958886</v>
          </cell>
          <cell r="M116">
            <v>2285.7137005547311</v>
          </cell>
          <cell r="N116">
            <v>2551.0829382352335</v>
          </cell>
          <cell r="O116">
            <v>2855.3729974422104</v>
          </cell>
          <cell r="P116">
            <v>3120.7422351227133</v>
          </cell>
          <cell r="Q116">
            <v>3566.5625544259578</v>
          </cell>
          <cell r="R116">
            <v>4139.7601078158441</v>
          </cell>
          <cell r="S116">
            <v>5823.9702029614355</v>
          </cell>
          <cell r="T116">
            <v>6878.3706406786332</v>
          </cell>
          <cell r="U116">
            <v>7628.4810191888537</v>
          </cell>
          <cell r="V116">
            <v>8488.2773492736833</v>
          </cell>
          <cell r="W116">
            <v>9903.5799502363643</v>
          </cell>
          <cell r="X116">
            <v>10225.561291955377</v>
          </cell>
          <cell r="Y116">
            <v>10887.215257905429</v>
          </cell>
          <cell r="Z116">
            <v>12076.069442714082</v>
          </cell>
          <cell r="AA116">
            <v>12783.720743195423</v>
          </cell>
          <cell r="AB116">
            <v>13109.24034141684</v>
          </cell>
          <cell r="AC116">
            <v>13562.137173724899</v>
          </cell>
          <cell r="AD116">
            <v>14259.17370469902</v>
          </cell>
          <cell r="AE116">
            <v>14726.223563016703</v>
          </cell>
          <cell r="AF116">
            <v>15182.658651827167</v>
          </cell>
          <cell r="AG116">
            <v>15490.486967536552</v>
          </cell>
          <cell r="AH116">
            <v>15957.536825854235</v>
          </cell>
          <cell r="AI116">
            <v>16254.750372056398</v>
          </cell>
          <cell r="AJ116">
            <v>16728.876743378896</v>
          </cell>
          <cell r="AK116">
            <v>17157.005780170108</v>
          </cell>
          <cell r="AL116">
            <v>17602.826099473354</v>
          </cell>
          <cell r="AM116">
            <v>18540.464072611128</v>
          </cell>
          <cell r="AN116">
            <v>19032.281726445664</v>
          </cell>
          <cell r="AO116">
            <v>19517.02286727538</v>
          </cell>
          <cell r="AP116">
            <v>20097.296933670081</v>
          </cell>
          <cell r="AQ116">
            <v>21049.087932817481</v>
          </cell>
          <cell r="AR116">
            <v>22061.029292505802</v>
          </cell>
          <cell r="AS116">
            <v>23090.66193470615</v>
          </cell>
          <cell r="AT116">
            <v>25146.388962604447</v>
          </cell>
          <cell r="AU116">
            <v>26356.47268642754</v>
          </cell>
          <cell r="AV116">
            <v>28171.59827216218</v>
          </cell>
          <cell r="AW116">
            <v>31196.807581719913</v>
          </cell>
          <cell r="AX116">
            <v>34222.016891277643</v>
          </cell>
          <cell r="AY116">
            <v>37625.819646592892</v>
          </cell>
        </row>
        <row r="117">
          <cell r="G117">
            <v>75452.349475164476</v>
          </cell>
          <cell r="K117">
            <v>50.15860518959655</v>
          </cell>
          <cell r="L117">
            <v>50.15860518959655</v>
          </cell>
          <cell r="M117">
            <v>50.15860518959655</v>
          </cell>
          <cell r="N117">
            <v>50.15860518959655</v>
          </cell>
          <cell r="O117">
            <v>56.428430838296116</v>
          </cell>
          <cell r="P117">
            <v>56.428430838296116</v>
          </cell>
          <cell r="Q117">
            <v>56.428430838296116</v>
          </cell>
          <cell r="R117">
            <v>68.968082135695255</v>
          </cell>
          <cell r="S117">
            <v>87.777559081793967</v>
          </cell>
          <cell r="T117">
            <v>119.1266873252918</v>
          </cell>
          <cell r="U117">
            <v>175.55511816358793</v>
          </cell>
          <cell r="V117">
            <v>238.25337465058359</v>
          </cell>
          <cell r="W117">
            <v>326.03093373237755</v>
          </cell>
          <cell r="X117">
            <v>357.38006197587544</v>
          </cell>
          <cell r="Y117">
            <v>677.14117005955347</v>
          </cell>
          <cell r="Z117">
            <v>871.50576516924002</v>
          </cell>
          <cell r="AA117">
            <v>890.31524211533883</v>
          </cell>
          <cell r="AB117">
            <v>896.5850677640384</v>
          </cell>
          <cell r="AC117">
            <v>896.5850677640384</v>
          </cell>
          <cell r="AD117">
            <v>902.85489341273785</v>
          </cell>
          <cell r="AE117">
            <v>940.47384730493536</v>
          </cell>
          <cell r="AF117">
            <v>1015.71175508933</v>
          </cell>
          <cell r="AG117">
            <v>1028.2514063867293</v>
          </cell>
          <cell r="AH117">
            <v>1047.0608833328279</v>
          </cell>
          <cell r="AI117">
            <v>1059.600534630227</v>
          </cell>
          <cell r="AJ117">
            <v>1090.9496628737249</v>
          </cell>
          <cell r="AK117">
            <v>1128.5686167659223</v>
          </cell>
          <cell r="AL117">
            <v>1141.1082680633215</v>
          </cell>
          <cell r="AM117">
            <v>1147.3780937120209</v>
          </cell>
          <cell r="AN117">
            <v>1191.266873252918</v>
          </cell>
          <cell r="AO117">
            <v>1253.9651297399137</v>
          </cell>
          <cell r="AP117">
            <v>1341.7426888217078</v>
          </cell>
          <cell r="AQ117">
            <v>1529.8374582826948</v>
          </cell>
          <cell r="AR117">
            <v>1918.5666485020679</v>
          </cell>
          <cell r="AS117">
            <v>2125.4708949091537</v>
          </cell>
          <cell r="AT117">
            <v>2232.0579309370464</v>
          </cell>
          <cell r="AU117">
            <v>2297.2641176835218</v>
          </cell>
          <cell r="AV117">
            <v>2395.0733978032354</v>
          </cell>
          <cell r="AW117">
            <v>2576.8983416155229</v>
          </cell>
          <cell r="AX117">
            <v>2764.9931110765101</v>
          </cell>
          <cell r="AY117">
            <v>2953.0878805374969</v>
          </cell>
        </row>
        <row r="118">
          <cell r="G118">
            <v>1292462.59599691</v>
          </cell>
          <cell r="K118">
            <v>122.69125304820058</v>
          </cell>
          <cell r="L118">
            <v>148.98223584424355</v>
          </cell>
          <cell r="M118">
            <v>204.48542174700097</v>
          </cell>
          <cell r="N118">
            <v>262.90982796042982</v>
          </cell>
          <cell r="O118">
            <v>312.57057324184433</v>
          </cell>
          <cell r="P118">
            <v>341.7827763485588</v>
          </cell>
          <cell r="Q118">
            <v>376.83742007661613</v>
          </cell>
          <cell r="R118">
            <v>420.65572473668777</v>
          </cell>
          <cell r="S118">
            <v>435.26182629004495</v>
          </cell>
          <cell r="T118">
            <v>601.77138399831722</v>
          </cell>
          <cell r="U118">
            <v>1004.8997868709762</v>
          </cell>
          <cell r="V118">
            <v>1524.8770021704931</v>
          </cell>
          <cell r="W118">
            <v>2120.8059455474672</v>
          </cell>
          <cell r="X118">
            <v>2231.8123173529821</v>
          </cell>
          <cell r="Y118">
            <v>2748.8683123418273</v>
          </cell>
          <cell r="Z118">
            <v>3061.4388855836719</v>
          </cell>
          <cell r="AA118">
            <v>3292.2152901267159</v>
          </cell>
          <cell r="AB118">
            <v>3374.009458825516</v>
          </cell>
          <cell r="AC118">
            <v>3482.0946103203596</v>
          </cell>
          <cell r="AD118">
            <v>3581.4161008831888</v>
          </cell>
          <cell r="AE118">
            <v>3631.076846164603</v>
          </cell>
          <cell r="AF118">
            <v>3677.8163711353463</v>
          </cell>
          <cell r="AG118">
            <v>3695.3436929993745</v>
          </cell>
          <cell r="AH118">
            <v>3718.7134554847466</v>
          </cell>
          <cell r="AI118">
            <v>3747.9256585914609</v>
          </cell>
          <cell r="AJ118">
            <v>3788.8227429408612</v>
          </cell>
          <cell r="AK118">
            <v>3873.5381319503331</v>
          </cell>
          <cell r="AL118">
            <v>3943.6474194064476</v>
          </cell>
          <cell r="AM118">
            <v>4042.9689099692769</v>
          </cell>
          <cell r="AN118">
            <v>4130.60551928942</v>
          </cell>
          <cell r="AO118">
            <v>4335.0909410364211</v>
          </cell>
          <cell r="AP118">
            <v>4598.0007689968506</v>
          </cell>
          <cell r="AQ118">
            <v>5126.7416452283815</v>
          </cell>
          <cell r="AR118">
            <v>5681.7735042559552</v>
          </cell>
          <cell r="AS118">
            <v>5991.422857187129</v>
          </cell>
          <cell r="AT118">
            <v>6283.5448882542732</v>
          </cell>
          <cell r="AU118">
            <v>6420.257998793697</v>
          </cell>
          <cell r="AV118">
            <v>6625.3276646028316</v>
          </cell>
          <cell r="AW118">
            <v>7016.7711862328051</v>
          </cell>
          <cell r="AX118">
            <v>7457.8754531441928</v>
          </cell>
          <cell r="AY118">
            <v>7898.9797200555813</v>
          </cell>
        </row>
        <row r="119">
          <cell r="G119">
            <v>295856.8089222096</v>
          </cell>
          <cell r="K119">
            <v>456.88901048760238</v>
          </cell>
          <cell r="L119">
            <v>554.09943825092205</v>
          </cell>
          <cell r="M119">
            <v>680.47299434323747</v>
          </cell>
          <cell r="N119">
            <v>865.17280709354486</v>
          </cell>
          <cell r="O119">
            <v>1166.5251331598358</v>
          </cell>
          <cell r="P119">
            <v>1428.9932881207988</v>
          </cell>
          <cell r="Q119">
            <v>1720.6245714107579</v>
          </cell>
          <cell r="R119">
            <v>2099.7452396877047</v>
          </cell>
          <cell r="S119">
            <v>2391.3765229776632</v>
          </cell>
          <cell r="T119">
            <v>2964.9180467812494</v>
          </cell>
          <cell r="U119">
            <v>3392.6439289398559</v>
          </cell>
          <cell r="V119">
            <v>3752.3225116641383</v>
          </cell>
          <cell r="W119">
            <v>4870.2424309423141</v>
          </cell>
          <cell r="X119">
            <v>5084.1053720216178</v>
          </cell>
          <cell r="Y119">
            <v>5988.1623502204902</v>
          </cell>
          <cell r="Z119">
            <v>6960.2666278536872</v>
          </cell>
          <cell r="AA119">
            <v>8214.2811460005105</v>
          </cell>
          <cell r="AB119">
            <v>8962.8014397780717</v>
          </cell>
          <cell r="AC119">
            <v>9312.7589797260225</v>
          </cell>
          <cell r="AD119">
            <v>9429.4114930420055</v>
          </cell>
          <cell r="AE119">
            <v>9662.7165196739734</v>
          </cell>
          <cell r="AF119">
            <v>9798.8111185426224</v>
          </cell>
          <cell r="AG119">
            <v>9993.2319740692601</v>
          </cell>
          <cell r="AH119">
            <v>10236.258043477559</v>
          </cell>
          <cell r="AI119">
            <v>10372.352642346208</v>
          </cell>
          <cell r="AJ119">
            <v>10489.005155662189</v>
          </cell>
          <cell r="AK119">
            <v>10595.936626201841</v>
          </cell>
          <cell r="AL119">
            <v>10634.820797307169</v>
          </cell>
          <cell r="AM119">
            <v>10965.336251702456</v>
          </cell>
          <cell r="AN119">
            <v>11072.267722242108</v>
          </cell>
          <cell r="AO119">
            <v>11218.083363887088</v>
          </cell>
          <cell r="AP119">
            <v>12102.698256533296</v>
          </cell>
          <cell r="AQ119">
            <v>12588.750395349894</v>
          </cell>
          <cell r="AR119">
            <v>13308.10756079846</v>
          </cell>
          <cell r="AS119">
            <v>13842.764913496718</v>
          </cell>
          <cell r="AT119">
            <v>14610.727292826945</v>
          </cell>
          <cell r="AU119">
            <v>15318.41920694391</v>
          </cell>
          <cell r="AV119">
            <v>16379.957078119362</v>
          </cell>
          <cell r="AW119">
            <v>18032.534350095797</v>
          </cell>
          <cell r="AX119">
            <v>19879.532477598867</v>
          </cell>
          <cell r="AY119">
            <v>21862.625203970591</v>
          </cell>
        </row>
        <row r="120">
          <cell r="G120">
            <v>463612.81774329889</v>
          </cell>
          <cell r="K120">
            <v>22.574028735321875</v>
          </cell>
          <cell r="L120">
            <v>22.574028735321875</v>
          </cell>
          <cell r="M120">
            <v>22.574028735321875</v>
          </cell>
          <cell r="N120">
            <v>22.574028735321875</v>
          </cell>
          <cell r="O120">
            <v>22.574028735321875</v>
          </cell>
          <cell r="P120">
            <v>22.574028735321875</v>
          </cell>
          <cell r="Q120">
            <v>22.574028735321875</v>
          </cell>
          <cell r="R120">
            <v>22.574028735321875</v>
          </cell>
          <cell r="S120">
            <v>22.574028735321875</v>
          </cell>
          <cell r="T120">
            <v>26.336366857875522</v>
          </cell>
          <cell r="U120">
            <v>56.435071838304687</v>
          </cell>
          <cell r="V120">
            <v>79.009100573626554</v>
          </cell>
          <cell r="W120">
            <v>105.34546743150209</v>
          </cell>
          <cell r="X120">
            <v>105.34546743150209</v>
          </cell>
          <cell r="Y120">
            <v>116.632481799163</v>
          </cell>
          <cell r="Z120">
            <v>116.632481799163</v>
          </cell>
          <cell r="AA120">
            <v>127.91949616682395</v>
          </cell>
          <cell r="AB120">
            <v>146.73118677959218</v>
          </cell>
          <cell r="AC120">
            <v>154.25586302469947</v>
          </cell>
          <cell r="AD120">
            <v>169.30521551491404</v>
          </cell>
          <cell r="AE120">
            <v>173.06755363746768</v>
          </cell>
          <cell r="AF120">
            <v>173.06755363746768</v>
          </cell>
          <cell r="AG120">
            <v>173.06755363746768</v>
          </cell>
          <cell r="AH120">
            <v>184.35456800512864</v>
          </cell>
          <cell r="AI120">
            <v>184.35456800512864</v>
          </cell>
          <cell r="AJ120">
            <v>184.35456800512864</v>
          </cell>
          <cell r="AK120">
            <v>188.11690612768228</v>
          </cell>
          <cell r="AL120">
            <v>188.11690612768228</v>
          </cell>
          <cell r="AM120">
            <v>191.87924425023593</v>
          </cell>
          <cell r="AN120">
            <v>195.64158237278957</v>
          </cell>
          <cell r="AO120">
            <v>199.40392049534321</v>
          </cell>
          <cell r="AP120">
            <v>199.40392049534321</v>
          </cell>
          <cell r="AQ120">
            <v>199.40392049534321</v>
          </cell>
          <cell r="AR120">
            <v>214.45327298555779</v>
          </cell>
          <cell r="AS120">
            <v>214.45327298555779</v>
          </cell>
          <cell r="AT120">
            <v>240.78963984343332</v>
          </cell>
          <cell r="AU120">
            <v>257.34392758266938</v>
          </cell>
          <cell r="AV120">
            <v>282.1753591915234</v>
          </cell>
          <cell r="AW120">
            <v>331.08575478472085</v>
          </cell>
          <cell r="AX120">
            <v>383.75848850047186</v>
          </cell>
          <cell r="AY120">
            <v>443.95589846133021</v>
          </cell>
        </row>
        <row r="121">
          <cell r="G121">
            <v>312400.07147017732</v>
          </cell>
          <cell r="K121">
            <v>1347.8112938213417</v>
          </cell>
          <cell r="L121">
            <v>1781.5000916405402</v>
          </cell>
          <cell r="M121">
            <v>2277.5154232780665</v>
          </cell>
          <cell r="N121">
            <v>2703.4134043699742</v>
          </cell>
          <cell r="O121">
            <v>3181.2501636438219</v>
          </cell>
          <cell r="P121">
            <v>3181.2501636438219</v>
          </cell>
          <cell r="Q121">
            <v>3910.9899971000782</v>
          </cell>
          <cell r="R121">
            <v>3910.9899971000782</v>
          </cell>
          <cell r="S121">
            <v>3910.9899971000782</v>
          </cell>
          <cell r="T121">
            <v>5354.8880305580078</v>
          </cell>
          <cell r="U121">
            <v>6513.1227840152687</v>
          </cell>
          <cell r="V121">
            <v>8034.9289847461096</v>
          </cell>
          <cell r="W121">
            <v>9219.1331272943407</v>
          </cell>
          <cell r="X121">
            <v>9335.9953782037046</v>
          </cell>
          <cell r="Y121">
            <v>10320.235224751466</v>
          </cell>
          <cell r="Z121">
            <v>12727.597593484385</v>
          </cell>
          <cell r="AA121">
            <v>14789.5670873074</v>
          </cell>
          <cell r="AB121">
            <v>15667.332438582183</v>
          </cell>
          <cell r="AC121">
            <v>16687.929429857304</v>
          </cell>
          <cell r="AD121">
            <v>18427.87849895229</v>
          </cell>
          <cell r="AE121">
            <v>19321.225483681657</v>
          </cell>
          <cell r="AF121">
            <v>20393.76125313872</v>
          </cell>
          <cell r="AG121">
            <v>20910.552096049021</v>
          </cell>
          <cell r="AH121">
            <v>21479.281717141268</v>
          </cell>
          <cell r="AI121">
            <v>21806.496019687489</v>
          </cell>
          <cell r="AJ121">
            <v>22180.455222597451</v>
          </cell>
          <cell r="AK121">
            <v>22655.695042962205</v>
          </cell>
          <cell r="AL121">
            <v>23424.388960054916</v>
          </cell>
          <cell r="AM121">
            <v>24164.51654914756</v>
          </cell>
          <cell r="AN121">
            <v>25096.817617513381</v>
          </cell>
          <cell r="AO121">
            <v>27226.307522972922</v>
          </cell>
          <cell r="AP121">
            <v>31259.353648800556</v>
          </cell>
          <cell r="AQ121">
            <v>34954.797716445588</v>
          </cell>
          <cell r="AR121">
            <v>38281.476458998834</v>
          </cell>
          <cell r="AS121">
            <v>40881.01230700493</v>
          </cell>
          <cell r="AT121">
            <v>41883.430725916369</v>
          </cell>
          <cell r="AU121">
            <v>42555.518515590673</v>
          </cell>
          <cell r="AV121">
            <v>43563.650200102129</v>
          </cell>
          <cell r="AW121">
            <v>44906.26761610528</v>
          </cell>
          <cell r="AX121">
            <v>46246.288093199328</v>
          </cell>
          <cell r="AY121">
            <v>47256.497328838057</v>
          </cell>
        </row>
        <row r="122">
          <cell r="G122">
            <v>122706.3595086104</v>
          </cell>
          <cell r="K122">
            <v>170.73008419684524</v>
          </cell>
          <cell r="L122">
            <v>176.25418541731227</v>
          </cell>
          <cell r="M122">
            <v>191.19054934703783</v>
          </cell>
          <cell r="N122">
            <v>218.6928640520037</v>
          </cell>
          <cell r="O122">
            <v>304.37330918584422</v>
          </cell>
          <cell r="P122">
            <v>329.62168893825981</v>
          </cell>
          <cell r="Q122">
            <v>345.40102267032148</v>
          </cell>
          <cell r="R122">
            <v>359.042201560867</v>
          </cell>
          <cell r="S122">
            <v>381.38703100316974</v>
          </cell>
          <cell r="T122">
            <v>446.12617345052865</v>
          </cell>
          <cell r="U122">
            <v>533.07556469097278</v>
          </cell>
          <cell r="V122">
            <v>596.89798924626132</v>
          </cell>
          <cell r="W122">
            <v>741.19687081933967</v>
          </cell>
          <cell r="X122">
            <v>772.00393922350906</v>
          </cell>
          <cell r="Y122">
            <v>861.57806746932522</v>
          </cell>
          <cell r="Z122">
            <v>940.63246625242755</v>
          </cell>
          <cell r="AA122">
            <v>1026.8916910843154</v>
          </cell>
          <cell r="AB122">
            <v>1049.3936435390967</v>
          </cell>
          <cell r="AC122">
            <v>1071.755177098496</v>
          </cell>
          <cell r="AD122">
            <v>1112.9677495608694</v>
          </cell>
          <cell r="AE122">
            <v>1185.3151221202618</v>
          </cell>
          <cell r="AF122">
            <v>1232.61429739907</v>
          </cell>
          <cell r="AG122">
            <v>1275.1425419049601</v>
          </cell>
          <cell r="AH122">
            <v>1332.1017154194967</v>
          </cell>
          <cell r="AI122">
            <v>1370.881657606589</v>
          </cell>
          <cell r="AJ122">
            <v>1410.5887990064202</v>
          </cell>
          <cell r="AK122">
            <v>1473.580400640046</v>
          </cell>
          <cell r="AL122">
            <v>1547.6305646806302</v>
          </cell>
          <cell r="AM122">
            <v>1631.9797659593428</v>
          </cell>
          <cell r="AN122">
            <v>1680.8514592864788</v>
          </cell>
          <cell r="AO122">
            <v>1808.6666834712348</v>
          </cell>
          <cell r="AP122">
            <v>1979.8961222698351</v>
          </cell>
          <cell r="AQ122">
            <v>2251.6993698266961</v>
          </cell>
          <cell r="AR122">
            <v>2453.4426451700197</v>
          </cell>
          <cell r="AS122">
            <v>2690.0822971890107</v>
          </cell>
          <cell r="AT122">
            <v>2813.3230259352808</v>
          </cell>
          <cell r="AU122">
            <v>2942.2697267554031</v>
          </cell>
          <cell r="AV122">
            <v>3135.6897779855867</v>
          </cell>
          <cell r="AW122">
            <v>3552.3731994919558</v>
          </cell>
          <cell r="AX122">
            <v>4136.6132108454949</v>
          </cell>
          <cell r="AY122">
            <v>5134.389358676237</v>
          </cell>
        </row>
        <row r="123">
          <cell r="G123">
            <v>91878.032767611265</v>
          </cell>
          <cell r="K123">
            <v>186.4300009432996</v>
          </cell>
          <cell r="L123">
            <v>201.0519618015976</v>
          </cell>
          <cell r="M123">
            <v>243.4556482906618</v>
          </cell>
          <cell r="N123">
            <v>285.12823673681117</v>
          </cell>
          <cell r="O123">
            <v>357.50694298538627</v>
          </cell>
          <cell r="P123">
            <v>371.39780580076933</v>
          </cell>
          <cell r="Q123">
            <v>407.95270794651441</v>
          </cell>
          <cell r="R123">
            <v>471.55823768011072</v>
          </cell>
          <cell r="S123">
            <v>527.85278698455807</v>
          </cell>
          <cell r="T123">
            <v>611.19796387685665</v>
          </cell>
          <cell r="U123">
            <v>689.42545446875101</v>
          </cell>
          <cell r="V123">
            <v>853.92251412460359</v>
          </cell>
          <cell r="W123">
            <v>978.94027946305152</v>
          </cell>
          <cell r="X123">
            <v>1054.2433778832863</v>
          </cell>
          <cell r="Y123">
            <v>1208.5050649383304</v>
          </cell>
          <cell r="Z123">
            <v>1328.4051439763739</v>
          </cell>
          <cell r="AA123">
            <v>1619.3821650565042</v>
          </cell>
          <cell r="AB123">
            <v>1703.4584399917176</v>
          </cell>
          <cell r="AC123">
            <v>1810.1987542572933</v>
          </cell>
          <cell r="AD123">
            <v>1930.0988332953368</v>
          </cell>
          <cell r="AE123">
            <v>2016.368402359295</v>
          </cell>
          <cell r="AF123">
            <v>2120.9154224961258</v>
          </cell>
          <cell r="AG123">
            <v>2324.8917764693829</v>
          </cell>
          <cell r="AH123">
            <v>2495.2376204685547</v>
          </cell>
          <cell r="AI123">
            <v>2599.7846406053859</v>
          </cell>
          <cell r="AJ123">
            <v>2674.3566409827054</v>
          </cell>
          <cell r="AK123">
            <v>2794.9878180636638</v>
          </cell>
          <cell r="AL123">
            <v>2953.6360933761971</v>
          </cell>
          <cell r="AM123">
            <v>3102.0489960879222</v>
          </cell>
          <cell r="AN123">
            <v>3184.6630749373062</v>
          </cell>
          <cell r="AO123">
            <v>3260.6972714004555</v>
          </cell>
          <cell r="AP123">
            <v>3438.3540958287763</v>
          </cell>
          <cell r="AQ123">
            <v>3665.7255871753105</v>
          </cell>
          <cell r="AR123">
            <v>3920.8788041526104</v>
          </cell>
          <cell r="AS123">
            <v>4149.7124915849745</v>
          </cell>
          <cell r="AT123">
            <v>4166.5277465720164</v>
          </cell>
          <cell r="AU123">
            <v>4232.9114488686901</v>
          </cell>
          <cell r="AV123">
            <v>4332.4870023136991</v>
          </cell>
          <cell r="AW123">
            <v>4532.0767680294675</v>
          </cell>
          <cell r="AX123">
            <v>4764.5659456764051</v>
          </cell>
          <cell r="AY123">
            <v>4964.1557113921726</v>
          </cell>
        </row>
        <row r="124">
          <cell r="G124">
            <v>399285.30152349378</v>
          </cell>
          <cell r="K124">
            <v>49.509770709842741</v>
          </cell>
          <cell r="L124">
            <v>54.224986967922995</v>
          </cell>
          <cell r="M124">
            <v>61.297811355043393</v>
          </cell>
          <cell r="N124">
            <v>68.370635742163785</v>
          </cell>
          <cell r="O124">
            <v>94.30432516160522</v>
          </cell>
          <cell r="P124">
            <v>120.23801458104666</v>
          </cell>
          <cell r="Q124">
            <v>150.88692025856835</v>
          </cell>
          <cell r="R124">
            <v>181.53582593609002</v>
          </cell>
          <cell r="S124">
            <v>233.40320477497292</v>
          </cell>
          <cell r="T124">
            <v>341.8531787108189</v>
          </cell>
          <cell r="U124">
            <v>440.87272013050438</v>
          </cell>
          <cell r="V124">
            <v>532.81943716306944</v>
          </cell>
          <cell r="W124">
            <v>754.43460129284176</v>
          </cell>
          <cell r="X124">
            <v>806.30198013172469</v>
          </cell>
          <cell r="Y124">
            <v>945.40085974509225</v>
          </cell>
          <cell r="Z124">
            <v>1053.8508336809384</v>
          </cell>
          <cell r="AA124">
            <v>1195.3073214233461</v>
          </cell>
          <cell r="AB124">
            <v>1214.1681864556672</v>
          </cell>
          <cell r="AC124">
            <v>1249.532308391269</v>
          </cell>
          <cell r="AD124">
            <v>1258.9627409074296</v>
          </cell>
          <cell r="AE124">
            <v>1289.6116465849514</v>
          </cell>
          <cell r="AF124">
            <v>1303.7572953591921</v>
          </cell>
          <cell r="AG124">
            <v>1310.8301197463127</v>
          </cell>
          <cell r="AH124">
            <v>1327.3333766495934</v>
          </cell>
          <cell r="AI124">
            <v>1327.3333766495934</v>
          </cell>
          <cell r="AJ124">
            <v>1343.8366335528742</v>
          </cell>
          <cell r="AK124">
            <v>1350.9094579399946</v>
          </cell>
          <cell r="AL124">
            <v>1353.2670660690349</v>
          </cell>
          <cell r="AM124">
            <v>1433.4257424563991</v>
          </cell>
          <cell r="AN124">
            <v>1532.4452838760847</v>
          </cell>
          <cell r="AO124">
            <v>1593.7430952311281</v>
          </cell>
          <cell r="AP124">
            <v>1765.8484886510578</v>
          </cell>
          <cell r="AQ124">
            <v>2006.324517813151</v>
          </cell>
          <cell r="AR124">
            <v>2062.9071129101139</v>
          </cell>
          <cell r="AS124">
            <v>2258.5885876204447</v>
          </cell>
          <cell r="AT124">
            <v>2385.8994265886117</v>
          </cell>
          <cell r="AU124">
            <v>2458.5137569630479</v>
          </cell>
          <cell r="AV124">
            <v>2567.4352525247018</v>
          </cell>
          <cell r="AW124">
            <v>2770.189551622153</v>
          </cell>
          <cell r="AX124">
            <v>3029.5264458165675</v>
          </cell>
          <cell r="AY124">
            <v>3416.174178979149</v>
          </cell>
        </row>
        <row r="125">
          <cell r="G125">
            <v>6219.961442007324</v>
          </cell>
          <cell r="K125">
            <v>18.609212509217755</v>
          </cell>
          <cell r="L125">
            <v>20.483105655264215</v>
          </cell>
          <cell r="M125">
            <v>22.385017919969439</v>
          </cell>
          <cell r="N125">
            <v>24.682758190295104</v>
          </cell>
          <cell r="O125">
            <v>28.034136839696433</v>
          </cell>
          <cell r="P125">
            <v>30.813497840992284</v>
          </cell>
          <cell r="Q125">
            <v>34.287549252616351</v>
          </cell>
          <cell r="R125">
            <v>40.789187885184504</v>
          </cell>
          <cell r="S125">
            <v>47.128475843137174</v>
          </cell>
          <cell r="T125">
            <v>75.946230307620667</v>
          </cell>
          <cell r="U125">
            <v>124.139284116509</v>
          </cell>
          <cell r="V125">
            <v>191.88117790366405</v>
          </cell>
          <cell r="W125">
            <v>296.09772357884452</v>
          </cell>
          <cell r="X125">
            <v>370.98091639823019</v>
          </cell>
          <cell r="Y125">
            <v>406.6760354604321</v>
          </cell>
          <cell r="Z125">
            <v>449.26510193183333</v>
          </cell>
          <cell r="AA125">
            <v>505.29165144042656</v>
          </cell>
          <cell r="AB125">
            <v>524.49533593337435</v>
          </cell>
          <cell r="AC125">
            <v>544.64629461224456</v>
          </cell>
          <cell r="AD125">
            <v>565.78557541849784</v>
          </cell>
          <cell r="AE125">
            <v>583.12543111950026</v>
          </cell>
          <cell r="AF125">
            <v>596.08876759973282</v>
          </cell>
          <cell r="AG125">
            <v>607.72516261044689</v>
          </cell>
          <cell r="AH125">
            <v>620.95807806709786</v>
          </cell>
          <cell r="AI125">
            <v>635.85292350511872</v>
          </cell>
          <cell r="AJ125">
            <v>654.80778123294044</v>
          </cell>
          <cell r="AK125">
            <v>671.35497222355571</v>
          </cell>
          <cell r="AL125">
            <v>690.94593485268229</v>
          </cell>
          <cell r="AM125">
            <v>728.11960341496126</v>
          </cell>
          <cell r="AN125">
            <v>751.912379065697</v>
          </cell>
          <cell r="AO125">
            <v>793.11845434849238</v>
          </cell>
          <cell r="AP125">
            <v>854.13635355384906</v>
          </cell>
          <cell r="AQ125">
            <v>928.43907171948422</v>
          </cell>
          <cell r="AR125">
            <v>1002.8117580372015</v>
          </cell>
          <cell r="AS125">
            <v>1072.7453831555072</v>
          </cell>
          <cell r="AT125">
            <v>1157.2241834796391</v>
          </cell>
          <cell r="AU125">
            <v>1223.314474775804</v>
          </cell>
          <cell r="AV125">
            <v>1322.4499117200512</v>
          </cell>
          <cell r="AW125">
            <v>1589.9644511695874</v>
          </cell>
          <cell r="AX125">
            <v>2097.9743491559534</v>
          </cell>
          <cell r="AY125">
            <v>3075.5766732744332</v>
          </cell>
        </row>
        <row r="126">
          <cell r="G126">
            <v>11583.4073540554</v>
          </cell>
          <cell r="K126">
            <v>17.949567521745507</v>
          </cell>
          <cell r="L126">
            <v>19.757036351328505</v>
          </cell>
          <cell r="M126">
            <v>21.591531099499733</v>
          </cell>
          <cell r="N126">
            <v>23.807822847966527</v>
          </cell>
          <cell r="O126">
            <v>27.040404416292873</v>
          </cell>
          <cell r="P126">
            <v>29.721244776160585</v>
          </cell>
          <cell r="Q126">
            <v>33.072150697411885</v>
          </cell>
          <cell r="R126">
            <v>39.343324266925642</v>
          </cell>
          <cell r="S126">
            <v>45.457902043104887</v>
          </cell>
          <cell r="T126">
            <v>73.254147012047582</v>
          </cell>
          <cell r="U126">
            <v>119.73889068367102</v>
          </cell>
          <cell r="V126">
            <v>185.07952215752616</v>
          </cell>
          <cell r="W126">
            <v>285.60188023974678</v>
          </cell>
          <cell r="X126">
            <v>357.83067149513516</v>
          </cell>
          <cell r="Y126">
            <v>392.26049755501663</v>
          </cell>
          <cell r="Z126">
            <v>433.33989970262849</v>
          </cell>
          <cell r="AA126">
            <v>487.38046337058483</v>
          </cell>
          <cell r="AB126">
            <v>505.90343049247264</v>
          </cell>
          <cell r="AC126">
            <v>525.34009355680814</v>
          </cell>
          <cell r="AD126">
            <v>545.73004546933714</v>
          </cell>
          <cell r="AE126">
            <v>562.45525136229469</v>
          </cell>
          <cell r="AF126">
            <v>574.95907350650316</v>
          </cell>
          <cell r="AG126">
            <v>586.18299057720435</v>
          </cell>
          <cell r="AH126">
            <v>598.94683587055317</v>
          </cell>
          <cell r="AI126">
            <v>613.31370033530618</v>
          </cell>
          <cell r="AJ126">
            <v>631.59666091099359</v>
          </cell>
          <cell r="AK126">
            <v>647.55729985980156</v>
          </cell>
          <cell r="AL126">
            <v>666.45381718170972</v>
          </cell>
          <cell r="AM126">
            <v>702.30978226132299</v>
          </cell>
          <cell r="AN126">
            <v>725.25916998318826</v>
          </cell>
          <cell r="AO126">
            <v>765.00460414534314</v>
          </cell>
          <cell r="AP126">
            <v>823.85958800234948</v>
          </cell>
          <cell r="AQ126">
            <v>895.5284808210364</v>
          </cell>
          <cell r="AR126">
            <v>967.26486161480807</v>
          </cell>
          <cell r="AS126">
            <v>1034.7195336209279</v>
          </cell>
          <cell r="AT126">
            <v>1116.2037946998403</v>
          </cell>
          <cell r="AU126">
            <v>1179.951368411771</v>
          </cell>
          <cell r="AV126">
            <v>1275.5727289796669</v>
          </cell>
          <cell r="AW126">
            <v>1533.6046197176349</v>
          </cell>
          <cell r="AX126">
            <v>2023.6069753307272</v>
          </cell>
          <cell r="AY126">
            <v>2966.5560075634517</v>
          </cell>
        </row>
        <row r="127">
          <cell r="G127">
            <v>238338.5989880198</v>
          </cell>
          <cell r="K127">
            <v>188.38274849318117</v>
          </cell>
          <cell r="L127">
            <v>219.77987324204466</v>
          </cell>
          <cell r="M127">
            <v>263.73584789045361</v>
          </cell>
          <cell r="N127">
            <v>329.66980986306703</v>
          </cell>
          <cell r="O127">
            <v>433.28032153431661</v>
          </cell>
          <cell r="P127">
            <v>461.53773380829386</v>
          </cell>
          <cell r="Q127">
            <v>549.44968310511172</v>
          </cell>
          <cell r="R127">
            <v>605.96450765306611</v>
          </cell>
          <cell r="S127">
            <v>687.5970320001112</v>
          </cell>
          <cell r="T127">
            <v>919.93575514170129</v>
          </cell>
          <cell r="U127">
            <v>1221.3481527307911</v>
          </cell>
          <cell r="V127">
            <v>1572.9959499180627</v>
          </cell>
          <cell r="W127">
            <v>1971.7394342286293</v>
          </cell>
          <cell r="X127">
            <v>1974.8791467035157</v>
          </cell>
          <cell r="Y127">
            <v>2408.1594682378322</v>
          </cell>
          <cell r="Z127">
            <v>3007.8445509411258</v>
          </cell>
          <cell r="AA127">
            <v>3513.3382593978286</v>
          </cell>
          <cell r="AB127">
            <v>3698.5812954161229</v>
          </cell>
          <cell r="AC127">
            <v>3965.4568557814628</v>
          </cell>
          <cell r="AD127">
            <v>4241.7515535714629</v>
          </cell>
          <cell r="AE127">
            <v>4486.6491266125977</v>
          </cell>
          <cell r="AF127">
            <v>5036.0988097177096</v>
          </cell>
          <cell r="AG127">
            <v>5525.8939557999811</v>
          </cell>
          <cell r="AH127">
            <v>5667.1810171698662</v>
          </cell>
          <cell r="AI127">
            <v>5802.1886535899794</v>
          </cell>
          <cell r="AJ127">
            <v>5924.6374401105477</v>
          </cell>
          <cell r="AK127">
            <v>6147.5570258274784</v>
          </cell>
          <cell r="AL127">
            <v>6448.9694234165681</v>
          </cell>
          <cell r="AM127">
            <v>6860.2717576266805</v>
          </cell>
          <cell r="AN127">
            <v>7287.2726542112241</v>
          </cell>
          <cell r="AO127">
            <v>8084.7596228323582</v>
          </cell>
          <cell r="AP127">
            <v>8709.5624053347419</v>
          </cell>
          <cell r="AQ127">
            <v>9780.2043592709888</v>
          </cell>
          <cell r="AR127">
            <v>10806.890338558826</v>
          </cell>
          <cell r="AS127">
            <v>11337.50174681462</v>
          </cell>
          <cell r="AT127">
            <v>11673.450981627459</v>
          </cell>
          <cell r="AU127">
            <v>11969.839839256731</v>
          </cell>
          <cell r="AV127">
            <v>12414.423125700636</v>
          </cell>
          <cell r="AW127">
            <v>13167.954119673363</v>
          </cell>
          <cell r="AX127">
            <v>13993.698500568473</v>
          </cell>
          <cell r="AY127">
            <v>14631.060132970404</v>
          </cell>
        </row>
        <row r="128">
          <cell r="G128">
            <v>16925822.852334712</v>
          </cell>
          <cell r="K128">
            <v>4310.3758157335496</v>
          </cell>
          <cell r="L128">
            <v>4310.3758157335496</v>
          </cell>
          <cell r="M128">
            <v>4310.3758157335496</v>
          </cell>
          <cell r="N128">
            <v>5188.3288529577176</v>
          </cell>
          <cell r="O128">
            <v>8631.0255499878058</v>
          </cell>
          <cell r="P128">
            <v>8631.0255499878058</v>
          </cell>
          <cell r="Q128">
            <v>9977.842868793392</v>
          </cell>
          <cell r="R128">
            <v>12885.361810153856</v>
          </cell>
          <cell r="S128">
            <v>12885.361810153856</v>
          </cell>
          <cell r="T128">
            <v>17238.701285155821</v>
          </cell>
          <cell r="U128">
            <v>22208.475871400289</v>
          </cell>
          <cell r="V128">
            <v>26984.913990936879</v>
          </cell>
          <cell r="W128">
            <v>31128.105132560719</v>
          </cell>
          <cell r="X128">
            <v>31455.936532630592</v>
          </cell>
          <cell r="Y128">
            <v>34836.055725943639</v>
          </cell>
          <cell r="Z128">
            <v>36100.681696583561</v>
          </cell>
          <cell r="AA128">
            <v>36593.82978557756</v>
          </cell>
          <cell r="AB128">
            <v>36932.869096760944</v>
          </cell>
          <cell r="AC128">
            <v>37294.324230171318</v>
          </cell>
          <cell r="AD128">
            <v>37680.063170994268</v>
          </cell>
          <cell r="AE128">
            <v>37933.175163640815</v>
          </cell>
          <cell r="AF128">
            <v>38215.240926663893</v>
          </cell>
          <cell r="AG128">
            <v>38404.841423000609</v>
          </cell>
          <cell r="AH128">
            <v>38648.613489719231</v>
          </cell>
          <cell r="AI128">
            <v>38896.121526809024</v>
          </cell>
          <cell r="AJ128">
            <v>39331.362075049939</v>
          </cell>
          <cell r="AK128">
            <v>39900.163564060065</v>
          </cell>
          <cell r="AL128">
            <v>40795.862460547272</v>
          </cell>
          <cell r="AM128">
            <v>41898.907712634238</v>
          </cell>
          <cell r="AN128">
            <v>43716.457298206828</v>
          </cell>
          <cell r="AO128">
            <v>46092.534454268825</v>
          </cell>
          <cell r="AP128">
            <v>48634.862291847756</v>
          </cell>
          <cell r="AQ128">
            <v>54604.008952379299</v>
          </cell>
          <cell r="AR128">
            <v>62117.979361388279</v>
          </cell>
          <cell r="AS128">
            <v>67454.813036599866</v>
          </cell>
          <cell r="AT128">
            <v>70684.559422473452</v>
          </cell>
          <cell r="AU128">
            <v>73333.736012667738</v>
          </cell>
          <cell r="AV128">
            <v>77307.50089795918</v>
          </cell>
          <cell r="AW128">
            <v>86132.796907247655</v>
          </cell>
          <cell r="AX128">
            <v>95512.884516654376</v>
          </cell>
          <cell r="AY128">
            <v>105441.22577802981</v>
          </cell>
        </row>
        <row r="129">
          <cell r="G129">
            <v>25279.224119407099</v>
          </cell>
          <cell r="K129">
            <v>70.476762997808962</v>
          </cell>
          <cell r="L129">
            <v>70.476762997808962</v>
          </cell>
          <cell r="M129">
            <v>70.476762997808962</v>
          </cell>
          <cell r="N129">
            <v>70.476762997808962</v>
          </cell>
          <cell r="O129">
            <v>70.476762997808962</v>
          </cell>
          <cell r="P129">
            <v>70.476762997808962</v>
          </cell>
          <cell r="Q129">
            <v>70.476762997808962</v>
          </cell>
          <cell r="R129">
            <v>70.476762997808962</v>
          </cell>
          <cell r="S129">
            <v>70.476762997808962</v>
          </cell>
          <cell r="T129">
            <v>70.476762997808962</v>
          </cell>
          <cell r="U129">
            <v>82.222890164110453</v>
          </cell>
          <cell r="V129">
            <v>117.46127166301493</v>
          </cell>
          <cell r="W129">
            <v>140.95352599561792</v>
          </cell>
          <cell r="X129">
            <v>152.69965316191943</v>
          </cell>
          <cell r="Y129">
            <v>152.69965316191943</v>
          </cell>
          <cell r="Z129">
            <v>152.69965316191943</v>
          </cell>
          <cell r="AA129">
            <v>152.69965316191943</v>
          </cell>
          <cell r="AB129">
            <v>164.44578032822091</v>
          </cell>
          <cell r="AC129">
            <v>164.44578032822091</v>
          </cell>
          <cell r="AD129">
            <v>176.19190749452241</v>
          </cell>
          <cell r="AE129">
            <v>199.68416182712539</v>
          </cell>
          <cell r="AF129">
            <v>223.17641615972838</v>
          </cell>
          <cell r="AG129">
            <v>223.17641615972838</v>
          </cell>
          <cell r="AH129">
            <v>223.17641615972838</v>
          </cell>
          <cell r="AI129">
            <v>223.17641615972838</v>
          </cell>
          <cell r="AJ129">
            <v>234.92254332602985</v>
          </cell>
          <cell r="AK129">
            <v>234.92254332602985</v>
          </cell>
          <cell r="AL129">
            <v>270.16092482493434</v>
          </cell>
          <cell r="AM129">
            <v>270.16092482493434</v>
          </cell>
          <cell r="AN129">
            <v>281.90705199123585</v>
          </cell>
          <cell r="AO129">
            <v>281.90705199123585</v>
          </cell>
          <cell r="AP129">
            <v>317.14543349014031</v>
          </cell>
          <cell r="AQ129">
            <v>364.12994215534627</v>
          </cell>
          <cell r="AR129">
            <v>516.82959531726567</v>
          </cell>
          <cell r="AS129">
            <v>563.81410398247169</v>
          </cell>
          <cell r="AT129">
            <v>599.05248548137615</v>
          </cell>
          <cell r="AU129">
            <v>617.84628894745856</v>
          </cell>
          <cell r="AV129">
            <v>646.03699414658206</v>
          </cell>
          <cell r="AW129">
            <v>728.25988431069254</v>
          </cell>
          <cell r="AX129">
            <v>845.72115597370748</v>
          </cell>
          <cell r="AY129">
            <v>1057.1514449671345</v>
          </cell>
        </row>
        <row r="130">
          <cell r="G130">
            <v>1923014.6741821959</v>
          </cell>
          <cell r="K130">
            <v>152.15866758295678</v>
          </cell>
          <cell r="L130">
            <v>152.15866758295678</v>
          </cell>
          <cell r="M130">
            <v>152.15866758295678</v>
          </cell>
          <cell r="N130">
            <v>162.0208034448151</v>
          </cell>
          <cell r="O130">
            <v>180.33619861683769</v>
          </cell>
          <cell r="P130">
            <v>193.01608758208408</v>
          </cell>
          <cell r="Q130">
            <v>212.74035930580072</v>
          </cell>
          <cell r="R130">
            <v>235.98682240875246</v>
          </cell>
          <cell r="S130">
            <v>262.05103861509224</v>
          </cell>
          <cell r="T130">
            <v>418.4363358531312</v>
          </cell>
          <cell r="U130">
            <v>855.89250515413198</v>
          </cell>
          <cell r="V130">
            <v>1944.9540796136284</v>
          </cell>
          <cell r="W130">
            <v>4027.9780612932727</v>
          </cell>
          <cell r="X130">
            <v>4421.7590574917585</v>
          </cell>
          <cell r="Y130">
            <v>4652.1103736937348</v>
          </cell>
          <cell r="Z130">
            <v>4826.1066278279495</v>
          </cell>
          <cell r="AA130">
            <v>4905.7081529986626</v>
          </cell>
          <cell r="AB130">
            <v>4940.2256285151661</v>
          </cell>
          <cell r="AC130">
            <v>4983.9008016176822</v>
          </cell>
          <cell r="AD130">
            <v>5059.2756971333138</v>
          </cell>
          <cell r="AE130">
            <v>5108.5863764426049</v>
          </cell>
          <cell r="AF130">
            <v>5205.7988585094945</v>
          </cell>
          <cell r="AG130">
            <v>5275.5382478183492</v>
          </cell>
          <cell r="AH130">
            <v>5384.0217422987907</v>
          </cell>
          <cell r="AI130">
            <v>5590.4221571219678</v>
          </cell>
          <cell r="AJ130">
            <v>5752.4429605667829</v>
          </cell>
          <cell r="AK130">
            <v>5932.0747209077736</v>
          </cell>
          <cell r="AL130">
            <v>6094.7999626284363</v>
          </cell>
          <cell r="AM130">
            <v>6440.6791560693246</v>
          </cell>
          <cell r="AN130">
            <v>6709.7745774428868</v>
          </cell>
          <cell r="AO130">
            <v>7168.3638950192981</v>
          </cell>
          <cell r="AP130">
            <v>8327.1648587876498</v>
          </cell>
          <cell r="AQ130">
            <v>9487.3746991076951</v>
          </cell>
          <cell r="AR130">
            <v>10577.140711843038</v>
          </cell>
          <cell r="AS130">
            <v>11788.774546299917</v>
          </cell>
          <cell r="AT130">
            <v>12558.021143524866</v>
          </cell>
          <cell r="AU130">
            <v>13063.24427496235</v>
          </cell>
          <cell r="AV130">
            <v>13821.078972118577</v>
          </cell>
          <cell r="AW130">
            <v>15283.492832776994</v>
          </cell>
          <cell r="AX130">
            <v>16652.216402747756</v>
          </cell>
          <cell r="AY130">
            <v>17923.023052375785</v>
          </cell>
        </row>
        <row r="131">
          <cell r="G131">
            <v>1872128.4262418479</v>
          </cell>
          <cell r="K131">
            <v>108.83795867727096</v>
          </cell>
          <cell r="L131">
            <v>118.30212899703366</v>
          </cell>
          <cell r="M131">
            <v>130.13234189673705</v>
          </cell>
          <cell r="N131">
            <v>144.32859737638108</v>
          </cell>
          <cell r="O131">
            <v>160.89089543596577</v>
          </cell>
          <cell r="P131">
            <v>172.72110833566916</v>
          </cell>
          <cell r="Q131">
            <v>189.28340639525388</v>
          </cell>
          <cell r="R131">
            <v>210.57778961471993</v>
          </cell>
          <cell r="S131">
            <v>250.80051347371139</v>
          </cell>
          <cell r="T131">
            <v>359.63847215098235</v>
          </cell>
          <cell r="U131">
            <v>551.28792112617691</v>
          </cell>
          <cell r="V131">
            <v>664.85796496332921</v>
          </cell>
          <cell r="W131">
            <v>889.63201005769326</v>
          </cell>
          <cell r="X131">
            <v>981.90767067537945</v>
          </cell>
          <cell r="Y131">
            <v>1026.8624796942522</v>
          </cell>
          <cell r="Z131">
            <v>1093.111671932591</v>
          </cell>
          <cell r="AA131">
            <v>1133.3343957915824</v>
          </cell>
          <cell r="AB131">
            <v>1138.066480951464</v>
          </cell>
          <cell r="AC131">
            <v>1142.7985661113453</v>
          </cell>
          <cell r="AD131">
            <v>1156.9948215909894</v>
          </cell>
          <cell r="AE131">
            <v>1178.2892048104554</v>
          </cell>
          <cell r="AF131">
            <v>1237.4402693089721</v>
          </cell>
          <cell r="AG131">
            <v>1289.493206067667</v>
          </cell>
          <cell r="AH131">
            <v>1313.1536318670737</v>
          </cell>
          <cell r="AI131">
            <v>1322.6178021868363</v>
          </cell>
          <cell r="AJ131">
            <v>1405.42929248476</v>
          </cell>
          <cell r="AK131">
            <v>1445.6520163437515</v>
          </cell>
          <cell r="AL131">
            <v>1523.7314214817936</v>
          </cell>
          <cell r="AM131">
            <v>1734.3092110965135</v>
          </cell>
          <cell r="AN131">
            <v>1826.5848717141998</v>
          </cell>
          <cell r="AO131">
            <v>1987.4757671501657</v>
          </cell>
          <cell r="AP131">
            <v>2243.0083657837586</v>
          </cell>
          <cell r="AQ131">
            <v>2526.9334753766393</v>
          </cell>
          <cell r="AR131">
            <v>2791.9302443299944</v>
          </cell>
          <cell r="AS131">
            <v>3000.1419913647737</v>
          </cell>
          <cell r="AT131">
            <v>3260.4066751582477</v>
          </cell>
          <cell r="AU131">
            <v>3445.9044134255969</v>
          </cell>
          <cell r="AV131">
            <v>3724.1510208266195</v>
          </cell>
          <cell r="AW131">
            <v>4336.9560490312542</v>
          </cell>
          <cell r="AX131">
            <v>5387.4789545249132</v>
          </cell>
          <cell r="AY131">
            <v>8221.99796529384</v>
          </cell>
        </row>
        <row r="132">
          <cell r="G132">
            <v>196889.70476695991</v>
          </cell>
          <cell r="K132">
            <v>41.701266911608649</v>
          </cell>
          <cell r="L132">
            <v>41.701266911608649</v>
          </cell>
          <cell r="M132">
            <v>41.701266911608649</v>
          </cell>
          <cell r="N132">
            <v>45.871393602769508</v>
          </cell>
          <cell r="O132">
            <v>54.211646985091235</v>
          </cell>
          <cell r="P132">
            <v>54.211646985091235</v>
          </cell>
          <cell r="Q132">
            <v>58.381773676252102</v>
          </cell>
          <cell r="R132">
            <v>62.551900367412962</v>
          </cell>
          <cell r="S132">
            <v>70.892153749734689</v>
          </cell>
          <cell r="T132">
            <v>91.742787205539017</v>
          </cell>
          <cell r="U132">
            <v>129.27392742598678</v>
          </cell>
          <cell r="V132">
            <v>187.65570110223891</v>
          </cell>
          <cell r="W132">
            <v>241.86734808733013</v>
          </cell>
          <cell r="X132">
            <v>254.37772816081272</v>
          </cell>
          <cell r="Y132">
            <v>271.05823492545619</v>
          </cell>
          <cell r="Z132">
            <v>337.78026198403001</v>
          </cell>
          <cell r="AA132">
            <v>391.99190896912125</v>
          </cell>
          <cell r="AB132">
            <v>412.84254242492557</v>
          </cell>
          <cell r="AC132">
            <v>421.18279580724732</v>
          </cell>
          <cell r="AD132">
            <v>467.05418941001682</v>
          </cell>
          <cell r="AE132">
            <v>521.26583639510807</v>
          </cell>
          <cell r="AF132">
            <v>550.45672323323413</v>
          </cell>
          <cell r="AG132">
            <v>558.79697661555576</v>
          </cell>
          <cell r="AH132">
            <v>575.47748338019926</v>
          </cell>
          <cell r="AI132">
            <v>604.66837021832532</v>
          </cell>
          <cell r="AJ132">
            <v>625.51900367412964</v>
          </cell>
          <cell r="AK132">
            <v>654.7098905122557</v>
          </cell>
          <cell r="AL132">
            <v>692.24103073270351</v>
          </cell>
          <cell r="AM132">
            <v>758.96305779127738</v>
          </cell>
          <cell r="AN132">
            <v>767.30331117359901</v>
          </cell>
          <cell r="AO132">
            <v>775.64356455592076</v>
          </cell>
          <cell r="AP132">
            <v>783.98381793824251</v>
          </cell>
          <cell r="AQ132">
            <v>888.23698521726408</v>
          </cell>
          <cell r="AR132">
            <v>988.32002580512483</v>
          </cell>
          <cell r="AS132">
            <v>1067.5524329371813</v>
          </cell>
          <cell r="AT132">
            <v>1134.274459995755</v>
          </cell>
          <cell r="AU132">
            <v>1190.988182995543</v>
          </cell>
          <cell r="AV132">
            <v>1276.0587674952246</v>
          </cell>
          <cell r="AW132">
            <v>1438.6937084504982</v>
          </cell>
          <cell r="AX132">
            <v>1618.0091561704153</v>
          </cell>
          <cell r="AY132">
            <v>1822.3453640372977</v>
          </cell>
        </row>
        <row r="133">
          <cell r="G133">
            <v>697.02465893050862</v>
          </cell>
          <cell r="K133" t="e">
            <v>#N/A</v>
          </cell>
          <cell r="L133" t="e">
            <v>#N/A</v>
          </cell>
          <cell r="M133" t="e">
            <v>#N/A</v>
          </cell>
          <cell r="N133" t="e">
            <v>#N/A</v>
          </cell>
          <cell r="O133" t="e">
            <v>#N/A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X133" t="e">
            <v>#N/A</v>
          </cell>
          <cell r="Y133" t="e">
            <v>#N/A</v>
          </cell>
          <cell r="Z133" t="e">
            <v>#N/A</v>
          </cell>
          <cell r="AA133" t="e">
            <v>#N/A</v>
          </cell>
          <cell r="AB133" t="e">
            <v>#N/A</v>
          </cell>
          <cell r="AC133" t="e">
            <v>#N/A</v>
          </cell>
          <cell r="AD133" t="e">
            <v>#N/A</v>
          </cell>
          <cell r="AE133" t="e">
            <v>#N/A</v>
          </cell>
          <cell r="AF133" t="e">
            <v>#N/A</v>
          </cell>
          <cell r="AG133" t="e">
            <v>#N/A</v>
          </cell>
          <cell r="AH133" t="e">
            <v>#N/A</v>
          </cell>
          <cell r="AI133" t="e">
            <v>#N/A</v>
          </cell>
          <cell r="AJ133" t="e">
            <v>#N/A</v>
          </cell>
          <cell r="AK133" t="e">
            <v>#N/A</v>
          </cell>
          <cell r="AL133" t="e">
            <v>#N/A</v>
          </cell>
          <cell r="AM133" t="e">
            <v>#N/A</v>
          </cell>
          <cell r="AN133" t="e">
            <v>#N/A</v>
          </cell>
          <cell r="AO133" t="e">
            <v>#N/A</v>
          </cell>
          <cell r="AP133" t="e">
            <v>#N/A</v>
          </cell>
          <cell r="AQ133" t="e">
            <v>#N/A</v>
          </cell>
          <cell r="AR133" t="e">
            <v>#N/A</v>
          </cell>
          <cell r="AS133" t="e">
            <v>#N/A</v>
          </cell>
          <cell r="AT133" t="e">
            <v>#N/A</v>
          </cell>
          <cell r="AU133" t="e">
            <v>#N/A</v>
          </cell>
          <cell r="AV133" t="e">
            <v>#N/A</v>
          </cell>
          <cell r="AW133" t="e">
            <v>#N/A</v>
          </cell>
          <cell r="AX133" t="e">
            <v>#N/A</v>
          </cell>
          <cell r="AY133" t="e">
            <v>#N/A</v>
          </cell>
        </row>
        <row r="134">
          <cell r="G134">
            <v>72601.139822537472</v>
          </cell>
          <cell r="K134">
            <v>30.441991755686026</v>
          </cell>
          <cell r="L134">
            <v>30.989650737359351</v>
          </cell>
          <cell r="M134">
            <v>31.641517045594288</v>
          </cell>
          <cell r="N134">
            <v>32.724257420293576</v>
          </cell>
          <cell r="O134">
            <v>34.10990031909428</v>
          </cell>
          <cell r="P134">
            <v>34.853268941289343</v>
          </cell>
          <cell r="Q134">
            <v>36.020836797088911</v>
          </cell>
          <cell r="R134">
            <v>37.601432092824339</v>
          </cell>
          <cell r="S134">
            <v>43.393632741034928</v>
          </cell>
          <cell r="T134">
            <v>52.227117851261937</v>
          </cell>
          <cell r="U134">
            <v>72.195717055279786</v>
          </cell>
          <cell r="V134">
            <v>97.81909925404274</v>
          </cell>
          <cell r="W134">
            <v>130.67339199624794</v>
          </cell>
          <cell r="X134">
            <v>141.6096305859966</v>
          </cell>
          <cell r="Y134">
            <v>163.55687262783107</v>
          </cell>
          <cell r="Z134">
            <v>187.30627999233596</v>
          </cell>
          <cell r="AA134">
            <v>204.79538981815867</v>
          </cell>
          <cell r="AB134">
            <v>209.33087957891959</v>
          </cell>
          <cell r="AC134">
            <v>218.78075590278698</v>
          </cell>
          <cell r="AD134">
            <v>228.31673933220381</v>
          </cell>
          <cell r="AE134">
            <v>235.23304140513804</v>
          </cell>
          <cell r="AF134">
            <v>244.1625596720576</v>
          </cell>
          <cell r="AG134">
            <v>251.86557046651197</v>
          </cell>
          <cell r="AH134">
            <v>257.80704029320555</v>
          </cell>
          <cell r="AI134">
            <v>264.32384328091882</v>
          </cell>
          <cell r="AJ134">
            <v>273.81250181077019</v>
          </cell>
          <cell r="AK134">
            <v>284.37947841602357</v>
          </cell>
          <cell r="AL134">
            <v>298.07489951978812</v>
          </cell>
          <cell r="AM134">
            <v>321.6463167217791</v>
          </cell>
          <cell r="AN134">
            <v>340.17173611441018</v>
          </cell>
          <cell r="AO134">
            <v>360.39886425917598</v>
          </cell>
          <cell r="AP134">
            <v>393.27934363964431</v>
          </cell>
          <cell r="AQ134">
            <v>441.92322505769471</v>
          </cell>
          <cell r="AR134">
            <v>496.25583110461184</v>
          </cell>
          <cell r="AS134">
            <v>541.0062766339787</v>
          </cell>
          <cell r="AT134">
            <v>561.34709230013289</v>
          </cell>
          <cell r="AU134">
            <v>587.21048817178848</v>
          </cell>
          <cell r="AV134">
            <v>626.00558197927228</v>
          </cell>
          <cell r="AW134">
            <v>713.03969810775038</v>
          </cell>
          <cell r="AX134">
            <v>881.76220654337726</v>
          </cell>
          <cell r="AY134">
            <v>1252.5962838723078</v>
          </cell>
        </row>
        <row r="135">
          <cell r="G135">
            <v>20422.74853784217</v>
          </cell>
          <cell r="K135">
            <v>186.41696764495904</v>
          </cell>
          <cell r="L135">
            <v>198.06802812276899</v>
          </cell>
          <cell r="M135">
            <v>209.71908860057894</v>
          </cell>
          <cell r="N135">
            <v>233.02120955619878</v>
          </cell>
          <cell r="O135">
            <v>279.62545146743861</v>
          </cell>
          <cell r="P135">
            <v>349.53181433429819</v>
          </cell>
          <cell r="Q135">
            <v>361.18287481210814</v>
          </cell>
          <cell r="R135">
            <v>431.08923767896783</v>
          </cell>
          <cell r="S135">
            <v>524.29772150144731</v>
          </cell>
          <cell r="T135">
            <v>675.7615077129766</v>
          </cell>
          <cell r="U135">
            <v>932.08483822479513</v>
          </cell>
          <cell r="V135">
            <v>1316.5698339925232</v>
          </cell>
          <cell r="W135">
            <v>1724.3569507158713</v>
          </cell>
          <cell r="X135">
            <v>1864.1696764495903</v>
          </cell>
          <cell r="Y135">
            <v>2132.1440674392188</v>
          </cell>
          <cell r="Z135">
            <v>2376.8163374732276</v>
          </cell>
          <cell r="AA135">
            <v>2551.5822446403768</v>
          </cell>
          <cell r="AB135">
            <v>2586.5354260738068</v>
          </cell>
          <cell r="AC135">
            <v>2621.4886075072368</v>
          </cell>
          <cell r="AD135">
            <v>2679.7439098962864</v>
          </cell>
          <cell r="AE135">
            <v>2761.301333240956</v>
          </cell>
          <cell r="AF135">
            <v>2784.6034541965755</v>
          </cell>
          <cell r="AG135">
            <v>2807.9055751521955</v>
          </cell>
          <cell r="AH135">
            <v>2807.9055751521955</v>
          </cell>
          <cell r="AI135">
            <v>2807.9055751521955</v>
          </cell>
          <cell r="AJ135">
            <v>2854.5098170634355</v>
          </cell>
          <cell r="AK135">
            <v>2877.8119380190556</v>
          </cell>
          <cell r="AL135">
            <v>2912.7651194524851</v>
          </cell>
          <cell r="AM135">
            <v>2912.7651194524851</v>
          </cell>
          <cell r="AN135">
            <v>2936.0672404081051</v>
          </cell>
          <cell r="AO135">
            <v>2947.7183008859151</v>
          </cell>
          <cell r="AP135">
            <v>2959.3693613637251</v>
          </cell>
          <cell r="AQ135">
            <v>3075.8799661418243</v>
          </cell>
          <cell r="AR135">
            <v>3122.4842080530643</v>
          </cell>
          <cell r="AS135">
            <v>3134.1352685308743</v>
          </cell>
          <cell r="AT135">
            <v>3204.0416313977335</v>
          </cell>
          <cell r="AU135">
            <v>3222.6833281622298</v>
          </cell>
          <cell r="AV135">
            <v>3250.645873308973</v>
          </cell>
          <cell r="AW135">
            <v>3273.947994264593</v>
          </cell>
          <cell r="AX135">
            <v>3273.947994264593</v>
          </cell>
          <cell r="AY135">
            <v>3297.250115220213</v>
          </cell>
        </row>
        <row r="136">
          <cell r="G136">
            <v>633532.0589049554</v>
          </cell>
          <cell r="K136">
            <v>21.373910171862246</v>
          </cell>
          <cell r="L136">
            <v>21.75843211684677</v>
          </cell>
          <cell r="M136">
            <v>22.216120037798085</v>
          </cell>
          <cell r="N136">
            <v>22.976332959935426</v>
          </cell>
          <cell r="O136">
            <v>23.949219592549184</v>
          </cell>
          <cell r="P136">
            <v>24.471153054817158</v>
          </cell>
          <cell r="Q136">
            <v>25.29092498924561</v>
          </cell>
          <cell r="R136">
            <v>26.400691463799856</v>
          </cell>
          <cell r="S136">
            <v>30.467507372096371</v>
          </cell>
          <cell r="T136">
            <v>36.669667820918157</v>
          </cell>
          <cell r="U136">
            <v>50.690006866732318</v>
          </cell>
          <cell r="V136">
            <v>68.680678233147034</v>
          </cell>
          <cell r="W136">
            <v>91.748311503259742</v>
          </cell>
          <cell r="X136">
            <v>99.426855769065895</v>
          </cell>
          <cell r="Y136">
            <v>114.83643815405124</v>
          </cell>
          <cell r="Z136">
            <v>131.51135560747565</v>
          </cell>
          <cell r="AA136">
            <v>143.79079728800062</v>
          </cell>
          <cell r="AB136">
            <v>146.97525221821385</v>
          </cell>
          <cell r="AC136">
            <v>153.61019283913504</v>
          </cell>
          <cell r="AD136">
            <v>160.30559092137949</v>
          </cell>
          <cell r="AE136">
            <v>165.1616601436159</v>
          </cell>
          <cell r="AF136">
            <v>171.43124732591625</v>
          </cell>
          <cell r="AG136">
            <v>176.83967993094774</v>
          </cell>
          <cell r="AH136">
            <v>181.0113006114789</v>
          </cell>
          <cell r="AI136">
            <v>185.5868738126342</v>
          </cell>
          <cell r="AJ136">
            <v>192.24904416916601</v>
          </cell>
          <cell r="AK136">
            <v>199.6683224661148</v>
          </cell>
          <cell r="AL136">
            <v>209.28414204805836</v>
          </cell>
          <cell r="AM136">
            <v>225.83408917182831</v>
          </cell>
          <cell r="AN136">
            <v>238.84114380780534</v>
          </cell>
          <cell r="AO136">
            <v>253.04300101447836</v>
          </cell>
          <cell r="AP136">
            <v>276.1290204289154</v>
          </cell>
          <cell r="AQ136">
            <v>310.28282876656891</v>
          </cell>
          <cell r="AR136">
            <v>348.43080050146943</v>
          </cell>
          <cell r="AS136">
            <v>379.85095232898072</v>
          </cell>
          <cell r="AT136">
            <v>394.13263173944773</v>
          </cell>
          <cell r="AU136">
            <v>412.29182133967572</v>
          </cell>
          <cell r="AV136">
            <v>439.53060574001796</v>
          </cell>
          <cell r="AW136">
            <v>500.63893908913451</v>
          </cell>
          <cell r="AX136">
            <v>619.10226987959675</v>
          </cell>
          <cell r="AY136">
            <v>879.47203546871947</v>
          </cell>
        </row>
        <row r="137">
          <cell r="G137">
            <v>78231.644478324612</v>
          </cell>
          <cell r="K137">
            <v>152.83269827580912</v>
          </cell>
          <cell r="L137">
            <v>191.62869091505297</v>
          </cell>
          <cell r="M137">
            <v>229.24904741371367</v>
          </cell>
          <cell r="N137">
            <v>264.51813163120812</v>
          </cell>
          <cell r="O137">
            <v>300.96285198928564</v>
          </cell>
          <cell r="P137">
            <v>300.96285198928564</v>
          </cell>
          <cell r="Q137">
            <v>300.96285198928564</v>
          </cell>
          <cell r="R137">
            <v>300.96285198928564</v>
          </cell>
          <cell r="S137">
            <v>300.96285198928564</v>
          </cell>
          <cell r="T137">
            <v>356.21775059669352</v>
          </cell>
          <cell r="U137">
            <v>485.5377260608397</v>
          </cell>
          <cell r="V137">
            <v>603.10134011915443</v>
          </cell>
          <cell r="W137">
            <v>680.69332539764218</v>
          </cell>
          <cell r="X137">
            <v>700.67913978755564</v>
          </cell>
          <cell r="Y137">
            <v>779.44676120662643</v>
          </cell>
          <cell r="Z137">
            <v>893.48346684319176</v>
          </cell>
          <cell r="AA137">
            <v>978.12926896517843</v>
          </cell>
          <cell r="AB137">
            <v>1028.6816230102538</v>
          </cell>
          <cell r="AC137">
            <v>1073.3557963524133</v>
          </cell>
          <cell r="AD137">
            <v>1103.922336007575</v>
          </cell>
          <cell r="AE137">
            <v>1126.259422678655</v>
          </cell>
          <cell r="AF137">
            <v>1163.8797791773156</v>
          </cell>
          <cell r="AG137">
            <v>1200.3244995353932</v>
          </cell>
          <cell r="AH137">
            <v>1253.2281258616347</v>
          </cell>
          <cell r="AI137">
            <v>1284.9703016573797</v>
          </cell>
          <cell r="AJ137">
            <v>1327.2932027183729</v>
          </cell>
          <cell r="AK137">
            <v>1380.1968290446146</v>
          </cell>
          <cell r="AL137">
            <v>1454.261905901353</v>
          </cell>
          <cell r="AM137">
            <v>1583.5818813654992</v>
          </cell>
          <cell r="AN137">
            <v>1708.1993122673125</v>
          </cell>
          <cell r="AO137">
            <v>1962.1367186332725</v>
          </cell>
          <cell r="AP137">
            <v>2127.9014144554963</v>
          </cell>
          <cell r="AQ137">
            <v>2403.0002713519525</v>
          </cell>
          <cell r="AR137">
            <v>2709.8413040441537</v>
          </cell>
          <cell r="AS137">
            <v>2857.9714577576306</v>
          </cell>
          <cell r="AT137">
            <v>3044.897604110351</v>
          </cell>
          <cell r="AU137">
            <v>3232.529132147421</v>
          </cell>
          <cell r="AV137">
            <v>3513.9764242030265</v>
          </cell>
          <cell r="AW137">
            <v>4169.9813906484233</v>
          </cell>
          <cell r="AX137">
            <v>4995.2779613377925</v>
          </cell>
          <cell r="AY137">
            <v>5868.7756137910701</v>
          </cell>
        </row>
        <row r="138">
          <cell r="G138">
            <v>628102.11105371732</v>
          </cell>
          <cell r="K138">
            <v>24.155013551170629</v>
          </cell>
          <cell r="L138">
            <v>24.589568235696767</v>
          </cell>
          <cell r="M138">
            <v>25.106809014005087</v>
          </cell>
          <cell r="N138">
            <v>25.965938358535436</v>
          </cell>
          <cell r="O138">
            <v>27.065413822106663</v>
          </cell>
          <cell r="P138">
            <v>27.655259561726606</v>
          </cell>
          <cell r="Q138">
            <v>28.581697542693536</v>
          </cell>
          <cell r="R138">
            <v>29.835863206156564</v>
          </cell>
          <cell r="S138">
            <v>34.43183991725639</v>
          </cell>
          <cell r="T138">
            <v>41.441005225953482</v>
          </cell>
          <cell r="U138">
            <v>57.28562499466009</v>
          </cell>
          <cell r="V138">
            <v>77.617183757477818</v>
          </cell>
          <cell r="W138">
            <v>103.68630212434236</v>
          </cell>
          <cell r="X138">
            <v>112.36395349007051</v>
          </cell>
          <cell r="Y138">
            <v>129.77858040364336</v>
          </cell>
          <cell r="Z138">
            <v>148.6231836518765</v>
          </cell>
          <cell r="AA138">
            <v>162.50038617630571</v>
          </cell>
          <cell r="AB138">
            <v>166.09919198085407</v>
          </cell>
          <cell r="AC138">
            <v>173.59744940408154</v>
          </cell>
          <cell r="AD138">
            <v>181.16403081603133</v>
          </cell>
          <cell r="AE138">
            <v>186.65195590439259</v>
          </cell>
          <cell r="AF138">
            <v>193.73732129289678</v>
          </cell>
          <cell r="AG138">
            <v>199.84948148327277</v>
          </cell>
          <cell r="AH138">
            <v>204.56389982125319</v>
          </cell>
          <cell r="AI138">
            <v>209.73483166243673</v>
          </cell>
          <cell r="AJ138">
            <v>217.26386186553376</v>
          </cell>
          <cell r="AK138">
            <v>225.64851242136089</v>
          </cell>
          <cell r="AL138">
            <v>236.51551103976209</v>
          </cell>
          <cell r="AM138">
            <v>255.21888322722882</v>
          </cell>
          <cell r="AN138">
            <v>269.91837332831722</v>
          </cell>
          <cell r="AO138">
            <v>285.96812980809233</v>
          </cell>
          <cell r="AP138">
            <v>312.05802666432714</v>
          </cell>
          <cell r="AQ138">
            <v>350.6558169884467</v>
          </cell>
          <cell r="AR138">
            <v>393.76747820517915</v>
          </cell>
          <cell r="AS138">
            <v>429.27591756282658</v>
          </cell>
          <cell r="AT138">
            <v>445.41588245083511</v>
          </cell>
          <cell r="AU138">
            <v>465.93788648962942</v>
          </cell>
          <cell r="AV138">
            <v>496.72089254782117</v>
          </cell>
          <cell r="AW138">
            <v>565.78044263803076</v>
          </cell>
          <cell r="AX138">
            <v>699.65783510164442</v>
          </cell>
          <cell r="AY138">
            <v>993.90606415988498</v>
          </cell>
        </row>
        <row r="139">
          <cell r="G139">
            <v>146425.54979208051</v>
          </cell>
          <cell r="K139">
            <v>25.799903398841611</v>
          </cell>
          <cell r="L139">
            <v>28.145349162372668</v>
          </cell>
          <cell r="M139">
            <v>30.490794925903725</v>
          </cell>
          <cell r="N139">
            <v>32.836240689434781</v>
          </cell>
          <cell r="O139">
            <v>32.836240689434781</v>
          </cell>
          <cell r="P139">
            <v>32.836240689434781</v>
          </cell>
          <cell r="Q139">
            <v>32.836240689434781</v>
          </cell>
          <cell r="R139">
            <v>32.836240689434781</v>
          </cell>
          <cell r="S139">
            <v>32.836240689434781</v>
          </cell>
          <cell r="T139">
            <v>32.836240689434781</v>
          </cell>
          <cell r="U139">
            <v>37.527132216496888</v>
          </cell>
          <cell r="V139">
            <v>44.563469507090055</v>
          </cell>
          <cell r="W139">
            <v>60.981589851807449</v>
          </cell>
          <cell r="X139">
            <v>63.327035615338502</v>
          </cell>
          <cell r="Y139">
            <v>63.327035615338502</v>
          </cell>
          <cell r="Z139">
            <v>63.327035615338502</v>
          </cell>
          <cell r="AA139">
            <v>68.017927142400609</v>
          </cell>
          <cell r="AB139">
            <v>68.017927142400609</v>
          </cell>
          <cell r="AC139">
            <v>72.70881866946273</v>
          </cell>
          <cell r="AD139">
            <v>72.70881866946273</v>
          </cell>
          <cell r="AE139">
            <v>93.81783054124223</v>
          </cell>
          <cell r="AF139">
            <v>105.5450593588975</v>
          </cell>
          <cell r="AG139">
            <v>105.5450593588975</v>
          </cell>
          <cell r="AH139">
            <v>107.89050512242856</v>
          </cell>
          <cell r="AI139">
            <v>107.89050512242856</v>
          </cell>
          <cell r="AJ139">
            <v>110.23595088595961</v>
          </cell>
          <cell r="AK139">
            <v>112.58139664949067</v>
          </cell>
          <cell r="AL139">
            <v>117.27228817655278</v>
          </cell>
          <cell r="AM139">
            <v>138.38130004833229</v>
          </cell>
          <cell r="AN139">
            <v>150.10852886598755</v>
          </cell>
          <cell r="AO139">
            <v>175.9084322648292</v>
          </cell>
          <cell r="AP139">
            <v>218.1264560083882</v>
          </cell>
          <cell r="AQ139">
            <v>257.9990339884161</v>
          </cell>
          <cell r="AR139">
            <v>267.38081704254034</v>
          </cell>
          <cell r="AS139">
            <v>272.07170856960244</v>
          </cell>
          <cell r="AT139">
            <v>293.18072044138199</v>
          </cell>
          <cell r="AU139">
            <v>311.94428654963042</v>
          </cell>
          <cell r="AV139">
            <v>340.08963571200309</v>
          </cell>
          <cell r="AW139">
            <v>408.10756285440374</v>
          </cell>
          <cell r="AX139">
            <v>497.23450186858378</v>
          </cell>
          <cell r="AY139">
            <v>595.74322393688817</v>
          </cell>
        </row>
        <row r="140">
          <cell r="G140">
            <v>49095.707165109518</v>
          </cell>
          <cell r="K140">
            <v>175.11862301336117</v>
          </cell>
          <cell r="L140">
            <v>176.90554773798732</v>
          </cell>
          <cell r="M140">
            <v>203.70941860737935</v>
          </cell>
          <cell r="N140">
            <v>269.82563341854632</v>
          </cell>
          <cell r="O140">
            <v>402.05806304088026</v>
          </cell>
          <cell r="P140">
            <v>421.71423501176776</v>
          </cell>
          <cell r="Q140">
            <v>475.32197675055176</v>
          </cell>
          <cell r="R140">
            <v>493.19122399681316</v>
          </cell>
          <cell r="S140">
            <v>518.20817014157899</v>
          </cell>
          <cell r="T140">
            <v>670.09677173480043</v>
          </cell>
          <cell r="U140">
            <v>913.11853428395466</v>
          </cell>
          <cell r="V140">
            <v>1283.0119522815646</v>
          </cell>
          <cell r="W140">
            <v>1517.0990912075881</v>
          </cell>
          <cell r="X140">
            <v>1527.820639555345</v>
          </cell>
          <cell r="Y140">
            <v>1674.3484669746879</v>
          </cell>
          <cell r="Z140">
            <v>1828.0239932925354</v>
          </cell>
          <cell r="AA140">
            <v>1894.1402081037024</v>
          </cell>
          <cell r="AB140">
            <v>1931.6656273208514</v>
          </cell>
          <cell r="AC140">
            <v>1970.9779712626262</v>
          </cell>
          <cell r="AD140">
            <v>2008.5033904797751</v>
          </cell>
          <cell r="AE140">
            <v>2063.8980569431851</v>
          </cell>
          <cell r="AF140">
            <v>2090.7019278125777</v>
          </cell>
          <cell r="AG140">
            <v>2124.6534975804739</v>
          </cell>
          <cell r="AH140">
            <v>2142.5227448267351</v>
          </cell>
          <cell r="AI140">
            <v>2149.6704437252397</v>
          </cell>
          <cell r="AJ140">
            <v>2158.6050673483705</v>
          </cell>
          <cell r="AK140">
            <v>2171.1135404207535</v>
          </cell>
          <cell r="AL140">
            <v>2208.6389596379022</v>
          </cell>
          <cell r="AM140">
            <v>2247.9513035796772</v>
          </cell>
          <cell r="AN140">
            <v>2278.3290238983213</v>
          </cell>
          <cell r="AO140">
            <v>2373.0360343035063</v>
          </cell>
          <cell r="AP140">
            <v>2451.6607221870568</v>
          </cell>
          <cell r="AQ140">
            <v>2662.5178396929405</v>
          </cell>
          <cell r="AR140">
            <v>2898.39190334359</v>
          </cell>
          <cell r="AS140">
            <v>3094.953623052465</v>
          </cell>
          <cell r="AT140">
            <v>3168.2175367621367</v>
          </cell>
          <cell r="AU140">
            <v>3209.6741903734628</v>
          </cell>
          <cell r="AV140">
            <v>3271.8591707904525</v>
          </cell>
          <cell r="AW140">
            <v>3359.4184822971329</v>
          </cell>
          <cell r="AX140">
            <v>3477.3555141224579</v>
          </cell>
          <cell r="AY140">
            <v>3573.8494492522691</v>
          </cell>
        </row>
        <row r="141">
          <cell r="G141">
            <v>19956.762000219151</v>
          </cell>
          <cell r="K141">
            <v>71.90156429278656</v>
          </cell>
          <cell r="L141">
            <v>94.910064866478251</v>
          </cell>
          <cell r="M141">
            <v>122.23265929773716</v>
          </cell>
          <cell r="N141">
            <v>158.18344144413044</v>
          </cell>
          <cell r="O141">
            <v>207.07650516322528</v>
          </cell>
          <cell r="P141">
            <v>237.27516216619566</v>
          </cell>
          <cell r="Q141">
            <v>264.59775659745458</v>
          </cell>
          <cell r="R141">
            <v>273.22594431258892</v>
          </cell>
          <cell r="S141">
            <v>276.10200688430041</v>
          </cell>
          <cell r="T141">
            <v>277.54003817015609</v>
          </cell>
          <cell r="U141">
            <v>278.97806945601189</v>
          </cell>
          <cell r="V141">
            <v>296.23444488628064</v>
          </cell>
          <cell r="W141">
            <v>322.11900803168379</v>
          </cell>
          <cell r="X141">
            <v>327.87113317510671</v>
          </cell>
          <cell r="Y141">
            <v>371.01207175077866</v>
          </cell>
          <cell r="Z141">
            <v>412.71497904059487</v>
          </cell>
          <cell r="AA141">
            <v>421.34316675572921</v>
          </cell>
          <cell r="AB141">
            <v>431.4093857567193</v>
          </cell>
          <cell r="AC141">
            <v>444.35166732942093</v>
          </cell>
          <cell r="AD141">
            <v>465.92213661725691</v>
          </cell>
          <cell r="AE141">
            <v>484.61654333338146</v>
          </cell>
          <cell r="AF141">
            <v>494.68276233437155</v>
          </cell>
          <cell r="AG141">
            <v>501.8729187636502</v>
          </cell>
          <cell r="AH141">
            <v>511.93913776464029</v>
          </cell>
          <cell r="AI141">
            <v>514.81520033635184</v>
          </cell>
          <cell r="AJ141">
            <v>524.88141933734187</v>
          </cell>
          <cell r="AK141">
            <v>527.75748190905335</v>
          </cell>
          <cell r="AL141">
            <v>547.88991991103353</v>
          </cell>
          <cell r="AM141">
            <v>555.08007634031219</v>
          </cell>
          <cell r="AN141">
            <v>562.27023276959085</v>
          </cell>
          <cell r="AO141">
            <v>602.53510877355131</v>
          </cell>
          <cell r="AP141">
            <v>677.31273563804939</v>
          </cell>
          <cell r="AQ141">
            <v>744.90020607326869</v>
          </cell>
          <cell r="AR141">
            <v>783.72705079137359</v>
          </cell>
          <cell r="AS141">
            <v>800.98342622164228</v>
          </cell>
          <cell r="AT141">
            <v>821.11586422362245</v>
          </cell>
          <cell r="AU141">
            <v>837.22181462520678</v>
          </cell>
          <cell r="AV141">
            <v>861.38074022758292</v>
          </cell>
          <cell r="AW141">
            <v>908.83577266082216</v>
          </cell>
          <cell r="AX141">
            <v>970.6711179526186</v>
          </cell>
          <cell r="AY141">
            <v>1045.4487448171167</v>
          </cell>
        </row>
        <row r="142">
          <cell r="G142">
            <v>450047.27850558591</v>
          </cell>
          <cell r="K142">
            <v>1696.2715900264416</v>
          </cell>
          <cell r="L142">
            <v>1964.4754197948387</v>
          </cell>
          <cell r="M142">
            <v>2159.7466291876194</v>
          </cell>
          <cell r="N142">
            <v>2443.2427825831619</v>
          </cell>
          <cell r="O142">
            <v>2757.3235832329951</v>
          </cell>
          <cell r="P142">
            <v>2973.7687791864382</v>
          </cell>
          <cell r="Q142">
            <v>3220.7986223941725</v>
          </cell>
          <cell r="R142">
            <v>3413.7171666135464</v>
          </cell>
          <cell r="S142">
            <v>3881.8975361215375</v>
          </cell>
          <cell r="T142">
            <v>4407.7182023780006</v>
          </cell>
          <cell r="U142">
            <v>5327.6102851801343</v>
          </cell>
          <cell r="V142">
            <v>5708.7420432720673</v>
          </cell>
          <cell r="W142">
            <v>5932.245234745732</v>
          </cell>
          <cell r="X142">
            <v>6347.4906378520654</v>
          </cell>
          <cell r="Y142">
            <v>6932.127933443704</v>
          </cell>
          <cell r="Z142">
            <v>7350.902334310148</v>
          </cell>
          <cell r="AA142">
            <v>7500.2965728214931</v>
          </cell>
          <cell r="AB142">
            <v>7561.4658673300737</v>
          </cell>
          <cell r="AC142">
            <v>7615.577166318435</v>
          </cell>
          <cell r="AD142">
            <v>7656.7488068530574</v>
          </cell>
          <cell r="AE142">
            <v>7677.9227934137198</v>
          </cell>
          <cell r="AF142">
            <v>7692.0387844541629</v>
          </cell>
          <cell r="AG142">
            <v>7703.8021103211977</v>
          </cell>
          <cell r="AH142">
            <v>7715.5654361882325</v>
          </cell>
          <cell r="AI142">
            <v>7730.857759815377</v>
          </cell>
          <cell r="AJ142">
            <v>7768.5004025898897</v>
          </cell>
          <cell r="AK142">
            <v>7847.3146858990231</v>
          </cell>
          <cell r="AL142">
            <v>7949.6556209422279</v>
          </cell>
          <cell r="AM142">
            <v>8055.5255537455423</v>
          </cell>
          <cell r="AN142">
            <v>8126.1055089477513</v>
          </cell>
          <cell r="AO142">
            <v>8294.3210688463514</v>
          </cell>
          <cell r="AP142">
            <v>8620.1651953632208</v>
          </cell>
          <cell r="AQ142">
            <v>9494.1803072839175</v>
          </cell>
          <cell r="AR142">
            <v>10548.174304970251</v>
          </cell>
          <cell r="AS142">
            <v>10926.953397888778</v>
          </cell>
          <cell r="AT142">
            <v>10792.851483004579</v>
          </cell>
          <cell r="AU142">
            <v>11095.874757339399</v>
          </cell>
          <cell r="AV142">
            <v>11550.40966884163</v>
          </cell>
          <cell r="AW142">
            <v>12479.712412337392</v>
          </cell>
          <cell r="AX142">
            <v>13665.455659734516</v>
          </cell>
          <cell r="AY142">
            <v>15021.767132203646</v>
          </cell>
        </row>
        <row r="143">
          <cell r="G143">
            <v>17383.257981505139</v>
          </cell>
          <cell r="K143">
            <v>3.3326228309576513</v>
          </cell>
          <cell r="L143">
            <v>3.3326228309576513</v>
          </cell>
          <cell r="M143">
            <v>3.3326228309576513</v>
          </cell>
          <cell r="N143">
            <v>3.3326228309576513</v>
          </cell>
          <cell r="O143">
            <v>3.3326228309576513</v>
          </cell>
          <cell r="P143">
            <v>3.3326228309576513</v>
          </cell>
          <cell r="Q143">
            <v>3.3326228309576513</v>
          </cell>
          <cell r="R143">
            <v>3.3326228309576513</v>
          </cell>
          <cell r="S143">
            <v>4.4434971079435348</v>
          </cell>
          <cell r="T143">
            <v>6.6652456619153027</v>
          </cell>
          <cell r="U143">
            <v>12.219617046844721</v>
          </cell>
          <cell r="V143">
            <v>17.773988431774139</v>
          </cell>
          <cell r="W143">
            <v>25.550108370675328</v>
          </cell>
          <cell r="X143">
            <v>26.660982647661211</v>
          </cell>
          <cell r="Y143">
            <v>35.547976863548278</v>
          </cell>
          <cell r="Z143">
            <v>48.878468187378886</v>
          </cell>
          <cell r="AA143">
            <v>52.211091018336532</v>
          </cell>
          <cell r="AB143">
            <v>52.211091018336532</v>
          </cell>
          <cell r="AC143">
            <v>52.211091018336532</v>
          </cell>
          <cell r="AD143">
            <v>53.321965295322421</v>
          </cell>
          <cell r="AE143">
            <v>56.654588126280075</v>
          </cell>
          <cell r="AF143">
            <v>57.765462403265957</v>
          </cell>
          <cell r="AG143">
            <v>62.208959511209493</v>
          </cell>
          <cell r="AH143">
            <v>69.985079450110675</v>
          </cell>
          <cell r="AI143">
            <v>76.650325112025982</v>
          </cell>
          <cell r="AJ143">
            <v>76.650325112025982</v>
          </cell>
          <cell r="AK143">
            <v>78.872073665997746</v>
          </cell>
          <cell r="AL143">
            <v>78.872073665997746</v>
          </cell>
          <cell r="AM143">
            <v>78.872073665997746</v>
          </cell>
          <cell r="AN143">
            <v>78.872073665997746</v>
          </cell>
          <cell r="AO143">
            <v>78.872073665997746</v>
          </cell>
          <cell r="AP143">
            <v>78.872073665997746</v>
          </cell>
          <cell r="AQ143">
            <v>79.982947942983643</v>
          </cell>
          <cell r="AR143">
            <v>79.982947942983643</v>
          </cell>
          <cell r="AS143">
            <v>79.982947942983643</v>
          </cell>
          <cell r="AT143">
            <v>84.426445050927171</v>
          </cell>
          <cell r="AU143">
            <v>86.648193604898935</v>
          </cell>
          <cell r="AV143">
            <v>89.980816435856596</v>
          </cell>
          <cell r="AW143">
            <v>96.646062097771889</v>
          </cell>
          <cell r="AX143">
            <v>104.42218203667306</v>
          </cell>
          <cell r="AY143">
            <v>112.19830197557427</v>
          </cell>
        </row>
        <row r="144">
          <cell r="G144">
            <v>186917.5625894338</v>
          </cell>
          <cell r="K144">
            <v>88.668156802192328</v>
          </cell>
          <cell r="L144">
            <v>105.2934362026034</v>
          </cell>
          <cell r="M144">
            <v>124.68959550308297</v>
          </cell>
          <cell r="N144">
            <v>138.54399500342552</v>
          </cell>
          <cell r="O144">
            <v>155.16927440383657</v>
          </cell>
          <cell r="P144">
            <v>160.71103420397361</v>
          </cell>
          <cell r="Q144">
            <v>166.2527940041106</v>
          </cell>
          <cell r="R144">
            <v>241.06655130596042</v>
          </cell>
          <cell r="S144">
            <v>282.62974980698806</v>
          </cell>
          <cell r="T144">
            <v>407.31934531007107</v>
          </cell>
          <cell r="U144">
            <v>626.2188574154834</v>
          </cell>
          <cell r="V144">
            <v>925.47388662288245</v>
          </cell>
          <cell r="W144">
            <v>1379.8981902341181</v>
          </cell>
          <cell r="X144">
            <v>1523.9839450376808</v>
          </cell>
          <cell r="Y144">
            <v>1751.1960968432986</v>
          </cell>
          <cell r="Z144">
            <v>2042.138486350492</v>
          </cell>
          <cell r="AA144">
            <v>2294.2885572567266</v>
          </cell>
          <cell r="AB144">
            <v>2427.2907924600149</v>
          </cell>
          <cell r="AC144">
            <v>2507.646309562002</v>
          </cell>
          <cell r="AD144">
            <v>2651.7320643655644</v>
          </cell>
          <cell r="AE144">
            <v>2709.9205422670029</v>
          </cell>
          <cell r="AF144">
            <v>2815.2139784696064</v>
          </cell>
          <cell r="AG144">
            <v>2898.3403754716619</v>
          </cell>
          <cell r="AH144">
            <v>2962.0706131732377</v>
          </cell>
          <cell r="AI144">
            <v>3034.1134905750187</v>
          </cell>
          <cell r="AJ144">
            <v>3100.6146081766633</v>
          </cell>
          <cell r="AK144">
            <v>3189.2827649788551</v>
          </cell>
          <cell r="AL144">
            <v>3289.0344413813218</v>
          </cell>
          <cell r="AM144">
            <v>3352.7646790828971</v>
          </cell>
          <cell r="AN144">
            <v>3435.8910760849531</v>
          </cell>
          <cell r="AO144">
            <v>3535.6427524874193</v>
          </cell>
          <cell r="AP144">
            <v>3591.0603504887895</v>
          </cell>
          <cell r="AQ144">
            <v>3757.3131444928999</v>
          </cell>
          <cell r="AR144">
            <v>3912.4824188967368</v>
          </cell>
          <cell r="AS144">
            <v>4045.4846541000252</v>
          </cell>
          <cell r="AT144">
            <v>4250.5297667050945</v>
          </cell>
          <cell r="AU144">
            <v>4416.7825607092054</v>
          </cell>
          <cell r="AV144">
            <v>4666.1617517153709</v>
          </cell>
          <cell r="AW144">
            <v>4998.6673397235918</v>
          </cell>
          <cell r="AX144">
            <v>5272.9844498303746</v>
          </cell>
          <cell r="AY144">
            <v>5489.1130820357184</v>
          </cell>
        </row>
        <row r="145">
          <cell r="G145">
            <v>1269963.0034426691</v>
          </cell>
          <cell r="K145">
            <v>39.548776812233449</v>
          </cell>
          <cell r="L145">
            <v>39.548776812233449</v>
          </cell>
          <cell r="M145">
            <v>39.548776812233449</v>
          </cell>
          <cell r="N145">
            <v>39.548776812233449</v>
          </cell>
          <cell r="O145">
            <v>39.548776812233449</v>
          </cell>
          <cell r="P145">
            <v>39.548776812233449</v>
          </cell>
          <cell r="Q145">
            <v>39.548776812233449</v>
          </cell>
          <cell r="R145">
            <v>39.548776812233449</v>
          </cell>
          <cell r="S145">
            <v>39.548776812233449</v>
          </cell>
          <cell r="T145">
            <v>39.548776812233449</v>
          </cell>
          <cell r="U145">
            <v>55.368287537126832</v>
          </cell>
          <cell r="V145">
            <v>79.097553624466897</v>
          </cell>
          <cell r="W145">
            <v>87.007308986913586</v>
          </cell>
          <cell r="X145">
            <v>87.007308986913586</v>
          </cell>
          <cell r="Y145">
            <v>118.64633043670035</v>
          </cell>
          <cell r="Z145">
            <v>118.64633043670035</v>
          </cell>
          <cell r="AA145">
            <v>118.64633043670035</v>
          </cell>
          <cell r="AB145">
            <v>118.64633043670035</v>
          </cell>
          <cell r="AC145">
            <v>118.64633043670035</v>
          </cell>
          <cell r="AD145">
            <v>142.37559652404042</v>
          </cell>
          <cell r="AE145">
            <v>142.37559652404042</v>
          </cell>
          <cell r="AF145">
            <v>142.37559652404042</v>
          </cell>
          <cell r="AG145">
            <v>142.37559652404042</v>
          </cell>
          <cell r="AH145">
            <v>142.37559652404042</v>
          </cell>
          <cell r="AI145">
            <v>142.37559652404042</v>
          </cell>
          <cell r="AJ145">
            <v>142.37559652404042</v>
          </cell>
          <cell r="AK145">
            <v>142.37559652404042</v>
          </cell>
          <cell r="AL145">
            <v>142.37559652404042</v>
          </cell>
          <cell r="AM145">
            <v>205.65363942361395</v>
          </cell>
          <cell r="AN145">
            <v>213.56339478606063</v>
          </cell>
          <cell r="AO145">
            <v>229.382905510954</v>
          </cell>
          <cell r="AP145">
            <v>300.57070377297424</v>
          </cell>
          <cell r="AQ145">
            <v>403.39752348478123</v>
          </cell>
          <cell r="AR145">
            <v>498.31458783414149</v>
          </cell>
          <cell r="AS145">
            <v>553.68287537126832</v>
          </cell>
          <cell r="AT145">
            <v>561.59263073371505</v>
          </cell>
          <cell r="AU145">
            <v>577.4121414586084</v>
          </cell>
          <cell r="AV145">
            <v>601.14140754594848</v>
          </cell>
          <cell r="AW145">
            <v>664.41945044552199</v>
          </cell>
          <cell r="AX145">
            <v>751.42675943243569</v>
          </cell>
          <cell r="AY145">
            <v>917.53162204381601</v>
          </cell>
        </row>
        <row r="146">
          <cell r="G146">
            <v>56904.461136953942</v>
          </cell>
          <cell r="K146">
            <v>63.351779943700592</v>
          </cell>
          <cell r="L146">
            <v>63.351779943700592</v>
          </cell>
          <cell r="M146">
            <v>63.351779943700592</v>
          </cell>
          <cell r="N146">
            <v>63.351779943700592</v>
          </cell>
          <cell r="O146">
            <v>63.351779943700592</v>
          </cell>
          <cell r="P146">
            <v>63.351779943700592</v>
          </cell>
          <cell r="Q146">
            <v>69.686957938070648</v>
          </cell>
          <cell r="R146">
            <v>76.022135932440705</v>
          </cell>
          <cell r="S146">
            <v>82.357313926810775</v>
          </cell>
          <cell r="T146">
            <v>120.36838189303113</v>
          </cell>
          <cell r="U146">
            <v>196.39051782547185</v>
          </cell>
          <cell r="V146">
            <v>209.06087381421196</v>
          </cell>
          <cell r="W146">
            <v>259.74229776917247</v>
          </cell>
          <cell r="X146">
            <v>278.74783175228259</v>
          </cell>
          <cell r="Y146">
            <v>329.4292557072431</v>
          </cell>
          <cell r="Z146">
            <v>329.4292557072431</v>
          </cell>
          <cell r="AA146">
            <v>329.4292557072431</v>
          </cell>
          <cell r="AB146">
            <v>329.4292557072431</v>
          </cell>
          <cell r="AC146">
            <v>329.4292557072431</v>
          </cell>
          <cell r="AD146">
            <v>329.4292557072431</v>
          </cell>
          <cell r="AE146">
            <v>329.4292557072431</v>
          </cell>
          <cell r="AF146">
            <v>329.4292557072431</v>
          </cell>
          <cell r="AG146">
            <v>329.4292557072431</v>
          </cell>
          <cell r="AH146">
            <v>329.4292557072431</v>
          </cell>
          <cell r="AI146">
            <v>329.4292557072431</v>
          </cell>
          <cell r="AJ146">
            <v>329.4292557072431</v>
          </cell>
          <cell r="AK146">
            <v>361.10514567909337</v>
          </cell>
          <cell r="AL146">
            <v>487.80870556649461</v>
          </cell>
          <cell r="AM146">
            <v>500.47906155523469</v>
          </cell>
          <cell r="AN146">
            <v>525.81977353271486</v>
          </cell>
          <cell r="AO146">
            <v>582.83637548204547</v>
          </cell>
          <cell r="AP146">
            <v>595.50673147078555</v>
          </cell>
          <cell r="AQ146">
            <v>627.18262144263588</v>
          </cell>
          <cell r="AR146">
            <v>677.86404539759633</v>
          </cell>
          <cell r="AS146">
            <v>734.88064734692693</v>
          </cell>
          <cell r="AT146">
            <v>772.89171531314719</v>
          </cell>
          <cell r="AU146">
            <v>800.76649848837553</v>
          </cell>
          <cell r="AV146">
            <v>842.57867325121799</v>
          </cell>
          <cell r="AW146">
            <v>905.93045319491853</v>
          </cell>
          <cell r="AX146">
            <v>956.61187714987898</v>
          </cell>
          <cell r="AY146">
            <v>1013.6284790992095</v>
          </cell>
        </row>
        <row r="147">
          <cell r="G147">
            <v>513939.55580678303</v>
          </cell>
          <cell r="K147">
            <v>346.17962017814415</v>
          </cell>
          <cell r="L147">
            <v>419.74278946599975</v>
          </cell>
          <cell r="M147">
            <v>506.28769451053574</v>
          </cell>
          <cell r="N147">
            <v>604.37192022767658</v>
          </cell>
          <cell r="O147">
            <v>781.7889755689755</v>
          </cell>
          <cell r="P147">
            <v>931.80014431283792</v>
          </cell>
          <cell r="Q147">
            <v>1155.3744823445559</v>
          </cell>
          <cell r="R147">
            <v>1298.1735756680405</v>
          </cell>
          <cell r="S147">
            <v>1331.3491226017793</v>
          </cell>
          <cell r="T147">
            <v>1381.8336505444254</v>
          </cell>
          <cell r="U147">
            <v>1465.4937254208101</v>
          </cell>
          <cell r="V147">
            <v>2100.1563624140745</v>
          </cell>
          <cell r="W147">
            <v>2782.4186971818331</v>
          </cell>
          <cell r="X147">
            <v>2926.6602055893932</v>
          </cell>
          <cell r="Y147">
            <v>3298.8032972808983</v>
          </cell>
          <cell r="Z147">
            <v>3842.5937839774001</v>
          </cell>
          <cell r="AA147">
            <v>4413.7901572713381</v>
          </cell>
          <cell r="AB147">
            <v>4555.1468355107463</v>
          </cell>
          <cell r="AC147">
            <v>4732.5638908520459</v>
          </cell>
          <cell r="AD147">
            <v>4871.0357389233031</v>
          </cell>
          <cell r="AE147">
            <v>5023.9317378353162</v>
          </cell>
          <cell r="AF147">
            <v>5178.2701518314061</v>
          </cell>
          <cell r="AG147">
            <v>5272.0271322963199</v>
          </cell>
          <cell r="AH147">
            <v>5394.6324144427454</v>
          </cell>
          <cell r="AI147">
            <v>5527.3346021777015</v>
          </cell>
          <cell r="AJ147">
            <v>5772.5451664705533</v>
          </cell>
          <cell r="AK147">
            <v>5952.8470519800039</v>
          </cell>
          <cell r="AL147">
            <v>6150.4579184983604</v>
          </cell>
          <cell r="AM147">
            <v>6697.1332353630123</v>
          </cell>
          <cell r="AN147">
            <v>6994.2707426825864</v>
          </cell>
          <cell r="AO147">
            <v>7393.8197209715272</v>
          </cell>
          <cell r="AP147">
            <v>8103.4879423367238</v>
          </cell>
          <cell r="AQ147">
            <v>9092.9846900125849</v>
          </cell>
          <cell r="AR147">
            <v>9893.5250616745434</v>
          </cell>
          <cell r="AS147">
            <v>10787.822413801416</v>
          </cell>
          <cell r="AT147">
            <v>11187.371392090357</v>
          </cell>
          <cell r="AU147">
            <v>11433.73588845047</v>
          </cell>
          <cell r="AV147">
            <v>11803.282632990638</v>
          </cell>
          <cell r="AW147">
            <v>12595.168514148143</v>
          </cell>
          <cell r="AX147">
            <v>13563.029035562871</v>
          </cell>
          <cell r="AY147">
            <v>14882.838837492045</v>
          </cell>
        </row>
        <row r="148">
          <cell r="G148">
            <v>142113.4504968246</v>
          </cell>
          <cell r="K148">
            <v>34.87191468108049</v>
          </cell>
          <cell r="L148">
            <v>37.196708993152527</v>
          </cell>
          <cell r="M148">
            <v>41.846297617296592</v>
          </cell>
          <cell r="N148">
            <v>48.820680553512695</v>
          </cell>
          <cell r="O148">
            <v>60.444652113872856</v>
          </cell>
          <cell r="P148">
            <v>62.769446425944892</v>
          </cell>
          <cell r="Q148">
            <v>65.094240738016921</v>
          </cell>
          <cell r="R148">
            <v>69.74382936216098</v>
          </cell>
          <cell r="S148">
            <v>74.393417986305053</v>
          </cell>
          <cell r="T148">
            <v>109.26533266738555</v>
          </cell>
          <cell r="U148">
            <v>169.70998478125841</v>
          </cell>
          <cell r="V148">
            <v>211.556282398555</v>
          </cell>
          <cell r="W148">
            <v>265.02655157621177</v>
          </cell>
          <cell r="X148">
            <v>265.02655157621177</v>
          </cell>
          <cell r="Y148">
            <v>278.97531744864392</v>
          </cell>
          <cell r="Z148">
            <v>290.59928900900411</v>
          </cell>
          <cell r="AA148">
            <v>297.57367194522021</v>
          </cell>
          <cell r="AB148">
            <v>313.84723212972443</v>
          </cell>
          <cell r="AC148">
            <v>313.84723212972443</v>
          </cell>
          <cell r="AD148">
            <v>313.84723212972443</v>
          </cell>
          <cell r="AE148">
            <v>313.84723212972443</v>
          </cell>
          <cell r="AF148">
            <v>313.84723212972443</v>
          </cell>
          <cell r="AG148">
            <v>313.84723212972443</v>
          </cell>
          <cell r="AH148">
            <v>318.49682075386852</v>
          </cell>
          <cell r="AI148">
            <v>330.12079231422865</v>
          </cell>
          <cell r="AJ148">
            <v>337.09517525044481</v>
          </cell>
          <cell r="AK148">
            <v>346.39435249873293</v>
          </cell>
          <cell r="AL148">
            <v>353.36873543494903</v>
          </cell>
          <cell r="AM148">
            <v>362.66791268323715</v>
          </cell>
          <cell r="AN148">
            <v>376.61667855566935</v>
          </cell>
          <cell r="AO148">
            <v>378.94147286774137</v>
          </cell>
          <cell r="AP148">
            <v>390.56544442810156</v>
          </cell>
          <cell r="AQ148">
            <v>420.78777048503798</v>
          </cell>
          <cell r="AR148">
            <v>467.28365672647863</v>
          </cell>
          <cell r="AS148">
            <v>537.02748608863965</v>
          </cell>
          <cell r="AT148">
            <v>611.4209040749447</v>
          </cell>
          <cell r="AU148">
            <v>1007.565854852019</v>
          </cell>
          <cell r="AV148">
            <v>1601.7832810176305</v>
          </cell>
          <cell r="AW148">
            <v>7053.4259428265477</v>
          </cell>
          <cell r="AX148">
            <v>11319.423505478728</v>
          </cell>
          <cell r="AY148">
            <v>12298.161910861056</v>
          </cell>
        </row>
        <row r="149">
          <cell r="G149">
            <v>489598.02638364962</v>
          </cell>
          <cell r="K149">
            <v>26.722106570807259</v>
          </cell>
          <cell r="L149">
            <v>29.776061607470943</v>
          </cell>
          <cell r="M149">
            <v>35.120482921632394</v>
          </cell>
          <cell r="N149">
            <v>43.518859272457533</v>
          </cell>
          <cell r="O149">
            <v>53.444213141614519</v>
          </cell>
          <cell r="P149">
            <v>56.498168178278199</v>
          </cell>
          <cell r="Q149">
            <v>59.552123214941886</v>
          </cell>
          <cell r="R149">
            <v>63.369567010771497</v>
          </cell>
          <cell r="S149">
            <v>67.950499565767032</v>
          </cell>
          <cell r="T149">
            <v>91.618651099910593</v>
          </cell>
          <cell r="U149">
            <v>132.08355533570443</v>
          </cell>
          <cell r="V149">
            <v>174.83892584899607</v>
          </cell>
          <cell r="W149">
            <v>217.59429636228768</v>
          </cell>
          <cell r="X149">
            <v>229.8101165089424</v>
          </cell>
          <cell r="Y149">
            <v>247.3703579697586</v>
          </cell>
          <cell r="Z149">
            <v>274.85595329973177</v>
          </cell>
          <cell r="AA149">
            <v>288.59875096471836</v>
          </cell>
          <cell r="AB149">
            <v>305.39550366636865</v>
          </cell>
          <cell r="AC149">
            <v>309.97643622136417</v>
          </cell>
          <cell r="AD149">
            <v>324.48272264551667</v>
          </cell>
          <cell r="AE149">
            <v>336.69854279217145</v>
          </cell>
          <cell r="AF149">
            <v>342.80645286549878</v>
          </cell>
          <cell r="AG149">
            <v>348.15087417966026</v>
          </cell>
          <cell r="AH149">
            <v>364.18413812214459</v>
          </cell>
          <cell r="AI149">
            <v>374.10949199130164</v>
          </cell>
          <cell r="AJ149">
            <v>499.32164849451277</v>
          </cell>
          <cell r="AK149">
            <v>555.05632791362495</v>
          </cell>
          <cell r="AL149">
            <v>583.30541200276411</v>
          </cell>
          <cell r="AM149">
            <v>607.73705229607367</v>
          </cell>
          <cell r="AN149">
            <v>622.24333872022623</v>
          </cell>
          <cell r="AO149">
            <v>655.83684412352659</v>
          </cell>
          <cell r="AP149">
            <v>732.94920879928475</v>
          </cell>
          <cell r="AQ149">
            <v>835.25670252751831</v>
          </cell>
          <cell r="AR149">
            <v>916.94999975827182</v>
          </cell>
          <cell r="AS149">
            <v>959.70537027156342</v>
          </cell>
          <cell r="AT149">
            <v>1054.3779764081378</v>
          </cell>
          <cell r="AU149">
            <v>1142.331881464052</v>
          </cell>
          <cell r="AV149">
            <v>1274.2627390479231</v>
          </cell>
          <cell r="AW149">
            <v>1563.6249787718075</v>
          </cell>
          <cell r="AX149">
            <v>1878.1823475481672</v>
          </cell>
          <cell r="AY149">
            <v>2184.3413399737019</v>
          </cell>
        </row>
        <row r="150">
          <cell r="G150">
            <v>154868.62410895459</v>
          </cell>
          <cell r="K150">
            <v>160.79737421402069</v>
          </cell>
          <cell r="L150">
            <v>181.26249456853242</v>
          </cell>
          <cell r="M150">
            <v>207.57479216719037</v>
          </cell>
          <cell r="N150">
            <v>241.19606132103101</v>
          </cell>
          <cell r="O150">
            <v>283.58809634109105</v>
          </cell>
          <cell r="P150">
            <v>317.20936549493172</v>
          </cell>
          <cell r="Q150">
            <v>366.9103720701745</v>
          </cell>
          <cell r="R150">
            <v>457.54161935444068</v>
          </cell>
          <cell r="S150">
            <v>719.20280102998333</v>
          </cell>
          <cell r="T150">
            <v>824.45199142461513</v>
          </cell>
          <cell r="U150">
            <v>824.45199142461513</v>
          </cell>
          <cell r="V150">
            <v>824.45199142461513</v>
          </cell>
          <cell r="W150">
            <v>850.76428902327314</v>
          </cell>
          <cell r="X150">
            <v>944.31912492961237</v>
          </cell>
          <cell r="Y150">
            <v>1018.8706347924766</v>
          </cell>
          <cell r="Z150">
            <v>1143.1231512305835</v>
          </cell>
          <cell r="AA150">
            <v>1299.5351425114945</v>
          </cell>
          <cell r="AB150">
            <v>1366.7776808191759</v>
          </cell>
          <cell r="AC150">
            <v>1401.860744284053</v>
          </cell>
          <cell r="AD150">
            <v>1464.7178996586247</v>
          </cell>
          <cell r="AE150">
            <v>1552.4255583208178</v>
          </cell>
          <cell r="AF150">
            <v>1635.7478340499013</v>
          </cell>
          <cell r="AG150">
            <v>1697.1431951134366</v>
          </cell>
          <cell r="AH150">
            <v>1723.4554927120946</v>
          </cell>
          <cell r="AI150">
            <v>1795.0834139528854</v>
          </cell>
          <cell r="AJ150">
            <v>1840.3990375950186</v>
          </cell>
          <cell r="AK150">
            <v>1888.6382498592247</v>
          </cell>
          <cell r="AL150">
            <v>1945.6482279896502</v>
          </cell>
          <cell r="AM150">
            <v>2001.1964118090393</v>
          </cell>
          <cell r="AN150">
            <v>2058.2063899394648</v>
          </cell>
          <cell r="AO150">
            <v>2137.1432827354383</v>
          </cell>
          <cell r="AP150">
            <v>2277.4755365949477</v>
          </cell>
          <cell r="AQ150">
            <v>2397.3426700999448</v>
          </cell>
          <cell r="AR150">
            <v>2581.5287532905504</v>
          </cell>
          <cell r="AS150">
            <v>2759.8676592370098</v>
          </cell>
          <cell r="AT150">
            <v>2723.3228014610959</v>
          </cell>
          <cell r="AU150">
            <v>2791.150057493192</v>
          </cell>
          <cell r="AV150">
            <v>2892.8909415413359</v>
          </cell>
          <cell r="AW150">
            <v>3040.5321669560276</v>
          </cell>
          <cell r="AX150">
            <v>3230.565427390779</v>
          </cell>
          <cell r="AY150">
            <v>3400.1335674710194</v>
          </cell>
        </row>
        <row r="151">
          <cell r="G151">
            <v>780704.35801202187</v>
          </cell>
          <cell r="K151">
            <v>710.39285587530662</v>
          </cell>
          <cell r="L151">
            <v>801.72908020213174</v>
          </cell>
          <cell r="M151">
            <v>901.52236233699637</v>
          </cell>
          <cell r="N151">
            <v>1011.4641138415079</v>
          </cell>
          <cell r="O151">
            <v>1136.6285694004905</v>
          </cell>
          <cell r="P151">
            <v>1280.3985521371596</v>
          </cell>
          <cell r="Q151">
            <v>1471.5280585988494</v>
          </cell>
          <cell r="R151">
            <v>1821.6502518516791</v>
          </cell>
          <cell r="S151">
            <v>2100.733159516978</v>
          </cell>
          <cell r="T151">
            <v>2733.3210835583227</v>
          </cell>
          <cell r="U151">
            <v>2921.0677668967965</v>
          </cell>
          <cell r="V151">
            <v>2921.0677668967965</v>
          </cell>
          <cell r="W151">
            <v>3492.7648747202575</v>
          </cell>
          <cell r="X151">
            <v>3847.9613026579109</v>
          </cell>
          <cell r="Y151">
            <v>4776.5462499806335</v>
          </cell>
          <cell r="Z151">
            <v>5546.1385105122154</v>
          </cell>
          <cell r="AA151">
            <v>6170.2693767455203</v>
          </cell>
          <cell r="AB151">
            <v>6474.723457834938</v>
          </cell>
          <cell r="AC151">
            <v>6791.0174198556106</v>
          </cell>
          <cell r="AD151">
            <v>7114.0770281227133</v>
          </cell>
          <cell r="AE151">
            <v>7362.7145276790716</v>
          </cell>
          <cell r="AF151">
            <v>7582.5980306880947</v>
          </cell>
          <cell r="AG151">
            <v>7775.4189487113908</v>
          </cell>
          <cell r="AH151">
            <v>8003.7595095284551</v>
          </cell>
          <cell r="AI151">
            <v>8157.6779616347703</v>
          </cell>
          <cell r="AJ151">
            <v>8438.4522808616766</v>
          </cell>
          <cell r="AK151">
            <v>8731.0664810198396</v>
          </cell>
          <cell r="AL151">
            <v>9434.6936906487153</v>
          </cell>
          <cell r="AM151">
            <v>10471.528977914342</v>
          </cell>
          <cell r="AN151">
            <v>11278.332292801295</v>
          </cell>
          <cell r="AO151">
            <v>12354.070045983904</v>
          </cell>
          <cell r="AP151">
            <v>13631.085774997848</v>
          </cell>
          <cell r="AQ151">
            <v>15856.983390073809</v>
          </cell>
          <cell r="AR151">
            <v>18184.365698846243</v>
          </cell>
          <cell r="AS151">
            <v>20131.180406256903</v>
          </cell>
          <cell r="AT151">
            <v>20482.99401107134</v>
          </cell>
          <cell r="AU151">
            <v>21060.103635891948</v>
          </cell>
          <cell r="AV151">
            <v>21925.768073122857</v>
          </cell>
          <cell r="AW151">
            <v>23700.058801249514</v>
          </cell>
          <cell r="AX151">
            <v>25956.401824434419</v>
          </cell>
          <cell r="AY151">
            <v>29033.079454999137</v>
          </cell>
        </row>
        <row r="152">
          <cell r="G152">
            <v>36406.335434832858</v>
          </cell>
          <cell r="K152">
            <v>955.83681587526883</v>
          </cell>
          <cell r="L152">
            <v>971.50627187322402</v>
          </cell>
          <cell r="M152">
            <v>1041.4965086640907</v>
          </cell>
          <cell r="N152">
            <v>1211.7712638418709</v>
          </cell>
          <cell r="O152">
            <v>1837.5048733602164</v>
          </cell>
          <cell r="P152">
            <v>1941.9679133465845</v>
          </cell>
          <cell r="Q152">
            <v>1951.3695869453577</v>
          </cell>
          <cell r="R152">
            <v>1957.6373693445398</v>
          </cell>
          <cell r="S152">
            <v>1963.9051517437217</v>
          </cell>
          <cell r="T152">
            <v>2022.4044541360879</v>
          </cell>
          <cell r="U152">
            <v>2094.4839517266823</v>
          </cell>
          <cell r="V152">
            <v>2132.0906461217746</v>
          </cell>
          <cell r="W152">
            <v>2349.3737692934205</v>
          </cell>
          <cell r="X152">
            <v>2371.3110076905577</v>
          </cell>
          <cell r="Y152">
            <v>2758.8688860399839</v>
          </cell>
          <cell r="Z152">
            <v>2981.3751612109477</v>
          </cell>
          <cell r="AA152">
            <v>3153.7391771884559</v>
          </cell>
          <cell r="AB152">
            <v>3175.6764155855931</v>
          </cell>
          <cell r="AC152">
            <v>3211.1938491809578</v>
          </cell>
          <cell r="AD152">
            <v>3272.8270427729153</v>
          </cell>
          <cell r="AE152">
            <v>3778.4281563069376</v>
          </cell>
          <cell r="AF152">
            <v>3983.1757146802188</v>
          </cell>
          <cell r="AG152">
            <v>4115.8437754629067</v>
          </cell>
          <cell r="AH152">
            <v>4253.7349882449125</v>
          </cell>
          <cell r="AI152">
            <v>4327.9037466352347</v>
          </cell>
          <cell r="AJ152">
            <v>4463.705698617513</v>
          </cell>
          <cell r="AK152">
            <v>4586.9720858014271</v>
          </cell>
          <cell r="AL152">
            <v>4771.871666577299</v>
          </cell>
          <cell r="AM152">
            <v>4947.3695737543976</v>
          </cell>
          <cell r="AN152">
            <v>5014.225919345673</v>
          </cell>
          <cell r="AO152">
            <v>5283.740562510503</v>
          </cell>
          <cell r="AP152">
            <v>5457.149208887874</v>
          </cell>
          <cell r="AQ152">
            <v>5800.8326104430253</v>
          </cell>
          <cell r="AR152">
            <v>6293.8981591786824</v>
          </cell>
          <cell r="AS152">
            <v>6736.8214487208843</v>
          </cell>
          <cell r="AT152">
            <v>7194.3695638611762</v>
          </cell>
          <cell r="AU152">
            <v>7531.1584047772276</v>
          </cell>
          <cell r="AV152">
            <v>8036.3416661513038</v>
          </cell>
          <cell r="AW152">
            <v>8916.9650932363893</v>
          </cell>
          <cell r="AX152">
            <v>9765.2049779256977</v>
          </cell>
          <cell r="AY152">
            <v>10384.670805044861</v>
          </cell>
        </row>
        <row r="153">
          <cell r="G153">
            <v>940529.07048115646</v>
          </cell>
          <cell r="K153">
            <v>78.599372604296263</v>
          </cell>
          <cell r="L153">
            <v>78.599372604296263</v>
          </cell>
          <cell r="M153">
            <v>78.599372604296263</v>
          </cell>
          <cell r="N153">
            <v>78.599372604296263</v>
          </cell>
          <cell r="O153">
            <v>78.599372604296263</v>
          </cell>
          <cell r="P153">
            <v>78.599372604296263</v>
          </cell>
          <cell r="Q153">
            <v>78.599372604296263</v>
          </cell>
          <cell r="R153">
            <v>78.599372604296263</v>
          </cell>
          <cell r="S153">
            <v>96.065899849695427</v>
          </cell>
          <cell r="T153">
            <v>130.99895434049375</v>
          </cell>
          <cell r="U153">
            <v>218.3315905674896</v>
          </cell>
          <cell r="V153">
            <v>480.32949924847713</v>
          </cell>
          <cell r="W153">
            <v>768.52719879756341</v>
          </cell>
          <cell r="X153">
            <v>890.79288951535761</v>
          </cell>
          <cell r="Y153">
            <v>1056.7248983466498</v>
          </cell>
          <cell r="Z153">
            <v>1309.9895434049376</v>
          </cell>
          <cell r="AA153">
            <v>1371.1223887638346</v>
          </cell>
          <cell r="AB153">
            <v>1379.8556523865341</v>
          </cell>
          <cell r="AC153">
            <v>1423.5219705000322</v>
          </cell>
          <cell r="AD153">
            <v>1458.4550249908305</v>
          </cell>
          <cell r="AE153">
            <v>1484.6548158589292</v>
          </cell>
          <cell r="AF153">
            <v>1484.6548158589292</v>
          </cell>
          <cell r="AG153">
            <v>1484.6548158589292</v>
          </cell>
          <cell r="AH153">
            <v>1493.3880794816289</v>
          </cell>
          <cell r="AI153">
            <v>1493.3880794816289</v>
          </cell>
          <cell r="AJ153">
            <v>1545.7876612178263</v>
          </cell>
          <cell r="AK153">
            <v>1554.520924840526</v>
          </cell>
          <cell r="AL153">
            <v>1563.2541884632255</v>
          </cell>
          <cell r="AM153">
            <v>1624.3870338221225</v>
          </cell>
          <cell r="AN153">
            <v>1659.3200883129209</v>
          </cell>
          <cell r="AO153">
            <v>1668.0533519356204</v>
          </cell>
          <cell r="AP153">
            <v>1781.5857790307152</v>
          </cell>
          <cell r="AQ153">
            <v>1973.7175787301057</v>
          </cell>
          <cell r="AR153">
            <v>2235.7154874110934</v>
          </cell>
          <cell r="AS153">
            <v>2541.3797142055787</v>
          </cell>
          <cell r="AT153">
            <v>2794.6443592638666</v>
          </cell>
          <cell r="AU153">
            <v>3004.2426862086568</v>
          </cell>
          <cell r="AV153">
            <v>3318.6401766258418</v>
          </cell>
          <cell r="AW153">
            <v>3860.1025212332161</v>
          </cell>
          <cell r="AX153">
            <v>4375.3650749724911</v>
          </cell>
          <cell r="AY153">
            <v>4899.3608923344664</v>
          </cell>
        </row>
        <row r="154">
          <cell r="G154">
            <v>241440.00241884461</v>
          </cell>
          <cell r="K154">
            <v>94.21315140752067</v>
          </cell>
          <cell r="L154">
            <v>94.21315140752067</v>
          </cell>
          <cell r="M154">
            <v>94.21315140752067</v>
          </cell>
          <cell r="N154">
            <v>94.21315140752067</v>
          </cell>
          <cell r="O154">
            <v>94.21315140752067</v>
          </cell>
          <cell r="P154">
            <v>94.21315140752067</v>
          </cell>
          <cell r="Q154">
            <v>94.21315140752067</v>
          </cell>
          <cell r="R154">
            <v>94.21315140752067</v>
          </cell>
          <cell r="S154">
            <v>94.21315140752067</v>
          </cell>
          <cell r="T154">
            <v>117.76643925940081</v>
          </cell>
          <cell r="U154">
            <v>188.42630281504134</v>
          </cell>
          <cell r="V154">
            <v>247.30952244474176</v>
          </cell>
          <cell r="W154">
            <v>447.51246918572315</v>
          </cell>
          <cell r="X154">
            <v>459.2891131116632</v>
          </cell>
          <cell r="Y154">
            <v>518.17233274136368</v>
          </cell>
          <cell r="Z154">
            <v>553.50226451918388</v>
          </cell>
          <cell r="AA154">
            <v>588.83219629700409</v>
          </cell>
          <cell r="AB154">
            <v>588.83219629700409</v>
          </cell>
          <cell r="AC154">
            <v>588.83219629700409</v>
          </cell>
          <cell r="AD154">
            <v>612.3854841488843</v>
          </cell>
          <cell r="AE154">
            <v>612.3854841488843</v>
          </cell>
          <cell r="AF154">
            <v>612.3854841488843</v>
          </cell>
          <cell r="AG154">
            <v>624.16212807482441</v>
          </cell>
          <cell r="AH154">
            <v>635.93877200076452</v>
          </cell>
          <cell r="AI154">
            <v>635.93877200076452</v>
          </cell>
          <cell r="AJ154">
            <v>647.71541592670451</v>
          </cell>
          <cell r="AK154">
            <v>647.71541592670451</v>
          </cell>
          <cell r="AL154">
            <v>647.71541592670451</v>
          </cell>
          <cell r="AM154">
            <v>659.49205985264462</v>
          </cell>
          <cell r="AN154">
            <v>694.82199163046494</v>
          </cell>
          <cell r="AO154">
            <v>741.92856733422525</v>
          </cell>
          <cell r="AP154">
            <v>777.25849911204546</v>
          </cell>
          <cell r="AQ154">
            <v>977.46144585302682</v>
          </cell>
          <cell r="AR154">
            <v>1236.5476122237087</v>
          </cell>
          <cell r="AS154">
            <v>1436.7505589646901</v>
          </cell>
          <cell r="AT154">
            <v>1578.0702860759709</v>
          </cell>
          <cell r="AU154">
            <v>1700.547382905748</v>
          </cell>
          <cell r="AV154">
            <v>1884.263028150413</v>
          </cell>
          <cell r="AW154">
            <v>2237.5623459286157</v>
          </cell>
          <cell r="AX154">
            <v>2685.0748151143389</v>
          </cell>
          <cell r="AY154">
            <v>3321.0135871151033</v>
          </cell>
        </row>
        <row r="155">
          <cell r="G155">
            <v>601362.64603230427</v>
          </cell>
          <cell r="K155">
            <v>800.84966820416037</v>
          </cell>
          <cell r="L155">
            <v>1143.1736440247623</v>
          </cell>
          <cell r="M155">
            <v>1642.5269665520623</v>
          </cell>
          <cell r="N155">
            <v>2459.0795694268922</v>
          </cell>
          <cell r="O155">
            <v>3809.5319511044963</v>
          </cell>
          <cell r="P155">
            <v>4013.6701018232038</v>
          </cell>
          <cell r="Q155">
            <v>4013.6701018232038</v>
          </cell>
          <cell r="R155">
            <v>4453.3522726019582</v>
          </cell>
          <cell r="S155">
            <v>5508.5894824709694</v>
          </cell>
          <cell r="T155">
            <v>7490.2998379094997</v>
          </cell>
          <cell r="U155">
            <v>9867.7241470489098</v>
          </cell>
          <cell r="V155">
            <v>11887.121545697048</v>
          </cell>
          <cell r="W155">
            <v>13501.383229841904</v>
          </cell>
          <cell r="X155">
            <v>13545.35144691978</v>
          </cell>
          <cell r="Y155">
            <v>14352.482288992207</v>
          </cell>
          <cell r="Z155">
            <v>14789.023872836829</v>
          </cell>
          <cell r="AA155">
            <v>14924.06911100459</v>
          </cell>
          <cell r="AB155">
            <v>15005.724371292072</v>
          </cell>
          <cell r="AC155">
            <v>15071.676696908884</v>
          </cell>
          <cell r="AD155">
            <v>15250.690152154522</v>
          </cell>
          <cell r="AE155">
            <v>15404.578911927085</v>
          </cell>
          <cell r="AF155">
            <v>15593.014127975122</v>
          </cell>
          <cell r="AG155">
            <v>15762.605822418356</v>
          </cell>
          <cell r="AH155">
            <v>15869.38577817891</v>
          </cell>
          <cell r="AI155">
            <v>15960.462799268797</v>
          </cell>
          <cell r="AJ155">
            <v>16261.959144945657</v>
          </cell>
          <cell r="AK155">
            <v>16488.081404203302</v>
          </cell>
          <cell r="AL155">
            <v>16890.076531772451</v>
          </cell>
          <cell r="AM155">
            <v>17317.196354814667</v>
          </cell>
          <cell r="AN155">
            <v>17778.862634132362</v>
          </cell>
          <cell r="AO155">
            <v>18322.184173737536</v>
          </cell>
          <cell r="AP155">
            <v>19226.673210768116</v>
          </cell>
          <cell r="AQ155">
            <v>21911.875039452654</v>
          </cell>
          <cell r="AR155">
            <v>24907.994974616457</v>
          </cell>
          <cell r="AS155">
            <v>26016.622162365744</v>
          </cell>
          <cell r="AT155">
            <v>27232.029305875585</v>
          </cell>
          <cell r="AU155">
            <v>28931.714954628889</v>
          </cell>
          <cell r="AV155">
            <v>31481.243427758836</v>
          </cell>
          <cell r="AW155">
            <v>37847.21314324838</v>
          </cell>
          <cell r="AX155">
            <v>45689.258717780882</v>
          </cell>
          <cell r="AY155">
            <v>54162.562266074317</v>
          </cell>
        </row>
        <row r="156">
          <cell r="G156">
            <v>177598.80127767011</v>
          </cell>
          <cell r="K156">
            <v>47.134462049955729</v>
          </cell>
          <cell r="L156">
            <v>70.701693074933601</v>
          </cell>
          <cell r="M156">
            <v>114.46940783560676</v>
          </cell>
          <cell r="N156">
            <v>166.65399081948632</v>
          </cell>
          <cell r="O156">
            <v>203.6882110015944</v>
          </cell>
          <cell r="P156">
            <v>239.03905753906119</v>
          </cell>
          <cell r="Q156">
            <v>242.40580482834375</v>
          </cell>
          <cell r="R156">
            <v>244.089178472985</v>
          </cell>
          <cell r="S156">
            <v>246.61423893994694</v>
          </cell>
          <cell r="T156">
            <v>247.45592576226758</v>
          </cell>
          <cell r="U156">
            <v>247.45592576226758</v>
          </cell>
          <cell r="V156">
            <v>248.29761258458822</v>
          </cell>
          <cell r="W156">
            <v>248.29761258458822</v>
          </cell>
          <cell r="X156">
            <v>252.50604669619139</v>
          </cell>
          <cell r="Y156">
            <v>349.30003126306474</v>
          </cell>
          <cell r="Z156">
            <v>416.63497704871583</v>
          </cell>
          <cell r="AA156">
            <v>445.25232900761745</v>
          </cell>
          <cell r="AB156">
            <v>458.71931816474768</v>
          </cell>
          <cell r="AC156">
            <v>469.66124685491599</v>
          </cell>
          <cell r="AD156">
            <v>482.28654918972558</v>
          </cell>
          <cell r="AE156">
            <v>525.21257712807801</v>
          </cell>
          <cell r="AF156">
            <v>533.62944535128452</v>
          </cell>
          <cell r="AG156">
            <v>535.3128189959258</v>
          </cell>
          <cell r="AH156">
            <v>536.99619264056707</v>
          </cell>
          <cell r="AI156">
            <v>540.36293992984963</v>
          </cell>
          <cell r="AJ156">
            <v>542.04631357449091</v>
          </cell>
          <cell r="AK156">
            <v>544.57137404145283</v>
          </cell>
          <cell r="AL156">
            <v>557.1966763762623</v>
          </cell>
          <cell r="AM156">
            <v>563.93017095482753</v>
          </cell>
          <cell r="AN156">
            <v>582.44728104588148</v>
          </cell>
          <cell r="AO156">
            <v>601.80607795925619</v>
          </cell>
          <cell r="AP156">
            <v>698.60006252612948</v>
          </cell>
          <cell r="AQ156">
            <v>797.9191075599648</v>
          </cell>
          <cell r="AR156">
            <v>904.81333399468588</v>
          </cell>
          <cell r="AS156">
            <v>997.39888444995597</v>
          </cell>
          <cell r="AT156">
            <v>1022.6494891195752</v>
          </cell>
          <cell r="AU156">
            <v>1035.4431288188489</v>
          </cell>
          <cell r="AV156">
            <v>1054.6335883677593</v>
          </cell>
          <cell r="AW156">
            <v>1085.7760007936231</v>
          </cell>
          <cell r="AX156">
            <v>1110.1849186409215</v>
          </cell>
          <cell r="AY156">
            <v>1127.0186550873343</v>
          </cell>
        </row>
        <row r="157">
          <cell r="G157">
            <v>9472888.2517689299</v>
          </cell>
          <cell r="K157">
            <v>32582.56021655197</v>
          </cell>
          <cell r="L157">
            <v>44394.975253465142</v>
          </cell>
          <cell r="M157">
            <v>57911.166052395289</v>
          </cell>
          <cell r="N157">
            <v>72322.269372788898</v>
          </cell>
          <cell r="O157">
            <v>91866.212299460938</v>
          </cell>
          <cell r="P157">
            <v>107408.86366382038</v>
          </cell>
          <cell r="Q157">
            <v>126214.93400668961</v>
          </cell>
          <cell r="R157">
            <v>137409.94545307389</v>
          </cell>
          <cell r="S157">
            <v>167228.1725203938</v>
          </cell>
          <cell r="T157">
            <v>210799.22590914613</v>
          </cell>
          <cell r="U157">
            <v>253727.06092309667</v>
          </cell>
          <cell r="V157">
            <v>283366.73573252844</v>
          </cell>
          <cell r="W157">
            <v>327501.41191124101</v>
          </cell>
          <cell r="X157">
            <v>342501.95280586771</v>
          </cell>
          <cell r="Y157">
            <v>366283.82281735475</v>
          </cell>
          <cell r="Z157">
            <v>383954.04265221261</v>
          </cell>
          <cell r="AA157">
            <v>394899.51118395809</v>
          </cell>
          <cell r="AB157">
            <v>400434.63117849047</v>
          </cell>
          <cell r="AC157">
            <v>405511.53875217744</v>
          </cell>
          <cell r="AD157">
            <v>413522.72680489364</v>
          </cell>
          <cell r="AE157">
            <v>420387.30818948476</v>
          </cell>
          <cell r="AF157">
            <v>425961.15036042675</v>
          </cell>
          <cell r="AG157">
            <v>429747.31872046442</v>
          </cell>
          <cell r="AH157">
            <v>433585.11664904811</v>
          </cell>
          <cell r="AI157">
            <v>437192.73275119776</v>
          </cell>
          <cell r="AJ157">
            <v>440968.14495112171</v>
          </cell>
          <cell r="AK157">
            <v>445094.20797075372</v>
          </cell>
          <cell r="AL157">
            <v>451418.83011763496</v>
          </cell>
          <cell r="AM157">
            <v>462020.10152574058</v>
          </cell>
          <cell r="AN157">
            <v>467417.54267081711</v>
          </cell>
          <cell r="AO157">
            <v>474875.86409368692</v>
          </cell>
          <cell r="AP157">
            <v>483106.47781272343</v>
          </cell>
          <cell r="AQ157">
            <v>498431.85474278522</v>
          </cell>
          <cell r="AR157">
            <v>516614.06779905735</v>
          </cell>
          <cell r="AS157">
            <v>531866.30284034566</v>
          </cell>
          <cell r="AT157">
            <v>551380.12851869932</v>
          </cell>
          <cell r="AU157">
            <v>565258.15654385579</v>
          </cell>
          <cell r="AV157">
            <v>586075.19858159043</v>
          </cell>
          <cell r="AW157">
            <v>616433.38488662033</v>
          </cell>
          <cell r="AX157">
            <v>642452.53620176599</v>
          </cell>
          <cell r="AY157">
            <v>668473.83874893433</v>
          </cell>
        </row>
        <row r="158">
          <cell r="G158">
            <v>447555.71504959039</v>
          </cell>
          <cell r="K158">
            <v>341.2130969697364</v>
          </cell>
          <cell r="L158">
            <v>392.71696066328161</v>
          </cell>
          <cell r="M158">
            <v>459.24278460077733</v>
          </cell>
          <cell r="N158">
            <v>553.66653470561016</v>
          </cell>
          <cell r="O158">
            <v>688.86417690116605</v>
          </cell>
          <cell r="P158">
            <v>742.51403491527549</v>
          </cell>
          <cell r="Q158">
            <v>794.01789860882059</v>
          </cell>
          <cell r="R158">
            <v>851.95974526405894</v>
          </cell>
          <cell r="S158">
            <v>901.3176146370397</v>
          </cell>
          <cell r="T158">
            <v>1302.6185525825788</v>
          </cell>
          <cell r="U158">
            <v>2008.6506840482598</v>
          </cell>
          <cell r="V158">
            <v>3049.4579295219842</v>
          </cell>
          <cell r="W158">
            <v>3806.99392468121</v>
          </cell>
          <cell r="X158">
            <v>3873.5197486187062</v>
          </cell>
          <cell r="Y158">
            <v>4225.4628171912645</v>
          </cell>
          <cell r="Z158">
            <v>4502.2960845440693</v>
          </cell>
          <cell r="AA158">
            <v>4622.4717664956752</v>
          </cell>
          <cell r="AB158">
            <v>4684.7056017920413</v>
          </cell>
          <cell r="AC158">
            <v>4721.1875052416372</v>
          </cell>
          <cell r="AD158">
            <v>4774.8373632557459</v>
          </cell>
          <cell r="AE158">
            <v>4794.1513121408252</v>
          </cell>
          <cell r="AF158">
            <v>4830.6332155904192</v>
          </cell>
          <cell r="AG158">
            <v>4860.6771360783205</v>
          </cell>
          <cell r="AH158">
            <v>4901.4510281690445</v>
          </cell>
          <cell r="AI158">
            <v>4950.8088975420251</v>
          </cell>
          <cell r="AJ158">
            <v>4991.5827896327482</v>
          </cell>
          <cell r="AK158">
            <v>5036.6486703646005</v>
          </cell>
          <cell r="AL158">
            <v>5086.0065397375811</v>
          </cell>
          <cell r="AM158">
            <v>5242.6641251387809</v>
          </cell>
          <cell r="AN158">
            <v>5289.8760001911969</v>
          </cell>
          <cell r="AO158">
            <v>5354.2558298081285</v>
          </cell>
          <cell r="AP158">
            <v>5442.2415969512676</v>
          </cell>
          <cell r="AQ158">
            <v>5751.2647791125382</v>
          </cell>
          <cell r="AR158">
            <v>6231.9675069189598</v>
          </cell>
          <cell r="AS158">
            <v>6719.1082176870741</v>
          </cell>
          <cell r="AT158">
            <v>7148.3070817999496</v>
          </cell>
          <cell r="AU158">
            <v>8045.3327077958611</v>
          </cell>
          <cell r="AV158">
            <v>9390.8711467897265</v>
          </cell>
          <cell r="AW158">
            <v>19367.598743093531</v>
          </cell>
          <cell r="AX158">
            <v>37235.147456112565</v>
          </cell>
          <cell r="AY158">
            <v>49274.175594478729</v>
          </cell>
        </row>
        <row r="159">
          <cell r="G159">
            <v>912360.80287250108</v>
          </cell>
          <cell r="K159">
            <v>140.28149542901048</v>
          </cell>
          <cell r="L159">
            <v>164.94637374619913</v>
          </cell>
          <cell r="M159">
            <v>200.40213632715782</v>
          </cell>
          <cell r="N159">
            <v>223.52545974952218</v>
          </cell>
          <cell r="O159">
            <v>248.19033806671084</v>
          </cell>
          <cell r="P159">
            <v>260.52277722530516</v>
          </cell>
          <cell r="Q159">
            <v>349.93296112511405</v>
          </cell>
          <cell r="R159">
            <v>436.26003523527436</v>
          </cell>
          <cell r="S159">
            <v>616.62195792971636</v>
          </cell>
          <cell r="T159">
            <v>1086.7962008511251</v>
          </cell>
          <cell r="U159">
            <v>1794.3698975754746</v>
          </cell>
          <cell r="V159">
            <v>2814.8792379491551</v>
          </cell>
          <cell r="W159">
            <v>4034.2491597551693</v>
          </cell>
          <cell r="X159">
            <v>4382.6405659854599</v>
          </cell>
          <cell r="Y159">
            <v>5153.4180133976042</v>
          </cell>
          <cell r="Z159">
            <v>5677.5466776378635</v>
          </cell>
          <cell r="AA159">
            <v>5856.3670454374815</v>
          </cell>
          <cell r="AB159">
            <v>5911.8630216511565</v>
          </cell>
          <cell r="AC159">
            <v>5961.1927782855337</v>
          </cell>
          <cell r="AD159">
            <v>6107.6404932938403</v>
          </cell>
          <cell r="AE159">
            <v>6257.1713180917968</v>
          </cell>
          <cell r="AF159">
            <v>6331.1659530433626</v>
          </cell>
          <cell r="AG159">
            <v>6412.8683624690502</v>
          </cell>
          <cell r="AH159">
            <v>6497.6538816843859</v>
          </cell>
          <cell r="AI159">
            <v>6599.3965047427891</v>
          </cell>
          <cell r="AJ159">
            <v>6705.7637924856654</v>
          </cell>
          <cell r="AK159">
            <v>6787.466201911353</v>
          </cell>
          <cell r="AL159">
            <v>6933.9139169196606</v>
          </cell>
          <cell r="AM159">
            <v>7138.9407179312921</v>
          </cell>
          <cell r="AN159">
            <v>7347.0506287325697</v>
          </cell>
          <cell r="AO159">
            <v>7596.7825216941064</v>
          </cell>
          <cell r="AP159">
            <v>7874.2624027624779</v>
          </cell>
          <cell r="AQ159">
            <v>8757.5733574967962</v>
          </cell>
          <cell r="AR159">
            <v>10198.92718415751</v>
          </cell>
          <cell r="AS159">
            <v>11247.184512638027</v>
          </cell>
          <cell r="AT159">
            <v>11766.688512193814</v>
          </cell>
          <cell r="AU159">
            <v>12166.876162890199</v>
          </cell>
          <cell r="AV159">
            <v>12767.157638934777</v>
          </cell>
          <cell r="AW159">
            <v>14040.481982059642</v>
          </cell>
          <cell r="AX159">
            <v>15682.237945047513</v>
          </cell>
          <cell r="AY159">
            <v>18216.554192138647</v>
          </cell>
        </row>
        <row r="160">
          <cell r="G160">
            <v>329269.96305834479</v>
          </cell>
          <cell r="K160">
            <v>187.11064260022712</v>
          </cell>
          <cell r="L160">
            <v>231.13667615322174</v>
          </cell>
          <cell r="M160">
            <v>280.66596390034067</v>
          </cell>
          <cell r="N160">
            <v>335.69850584158394</v>
          </cell>
          <cell r="O160">
            <v>396.23430197695154</v>
          </cell>
          <cell r="P160">
            <v>418.24731875344889</v>
          </cell>
          <cell r="Q160">
            <v>429.25382714169757</v>
          </cell>
          <cell r="R160">
            <v>429.25382714169757</v>
          </cell>
          <cell r="S160">
            <v>429.25382714169757</v>
          </cell>
          <cell r="T160">
            <v>495.29287747118946</v>
          </cell>
          <cell r="U160">
            <v>671.39701168316788</v>
          </cell>
          <cell r="V160">
            <v>753.94582459503283</v>
          </cell>
          <cell r="W160">
            <v>869.5141626716437</v>
          </cell>
          <cell r="X160">
            <v>908.03694203051407</v>
          </cell>
          <cell r="Y160">
            <v>1073.1345678542439</v>
          </cell>
          <cell r="Z160">
            <v>1293.2647356192169</v>
          </cell>
          <cell r="AA160">
            <v>1496.885140801817</v>
          </cell>
          <cell r="AB160">
            <v>1805.0673756727795</v>
          </cell>
          <cell r="AC160">
            <v>2239.8244570086013</v>
          </cell>
          <cell r="AD160">
            <v>2537.0001834913151</v>
          </cell>
          <cell r="AE160">
            <v>2867.1954351387744</v>
          </cell>
          <cell r="AF160">
            <v>3323.9655332510938</v>
          </cell>
          <cell r="AG160">
            <v>4672.2628108115541</v>
          </cell>
          <cell r="AH160">
            <v>5228.0914844181107</v>
          </cell>
          <cell r="AI160">
            <v>5618.8225322009384</v>
          </cell>
          <cell r="AJ160">
            <v>5855.4624625482838</v>
          </cell>
          <cell r="AK160">
            <v>6070.0893761191337</v>
          </cell>
          <cell r="AL160">
            <v>6416.7943903489659</v>
          </cell>
          <cell r="AM160">
            <v>7038.6621142850154</v>
          </cell>
          <cell r="AN160">
            <v>7363.3541117383502</v>
          </cell>
          <cell r="AO160">
            <v>7919.1827853449067</v>
          </cell>
          <cell r="AP160">
            <v>9256.4735545171188</v>
          </cell>
          <cell r="AQ160">
            <v>10819.397745648426</v>
          </cell>
          <cell r="AR160">
            <v>11655.892383155326</v>
          </cell>
          <cell r="AS160">
            <v>15205.491338365517</v>
          </cell>
          <cell r="AT160">
            <v>16394.194244296374</v>
          </cell>
          <cell r="AU160">
            <v>17970.326245493579</v>
          </cell>
          <cell r="AV160">
            <v>20334.524247289391</v>
          </cell>
          <cell r="AW160">
            <v>26002.876067237445</v>
          </cell>
          <cell r="AX160">
            <v>33272.674857675687</v>
          </cell>
          <cell r="AY160">
            <v>41896.274179868502</v>
          </cell>
        </row>
        <row r="161">
          <cell r="G161">
            <v>10836.643750199861</v>
          </cell>
          <cell r="K161">
            <v>120.26996116017415</v>
          </cell>
          <cell r="L161">
            <v>133.474622588063</v>
          </cell>
          <cell r="M161">
            <v>147.9666172872241</v>
          </cell>
          <cell r="N161">
            <v>167.19713998930223</v>
          </cell>
          <cell r="O161">
            <v>196.1004394009245</v>
          </cell>
          <cell r="P161">
            <v>207.39612406605175</v>
          </cell>
          <cell r="Q161">
            <v>223.81178132180952</v>
          </cell>
          <cell r="R161">
            <v>237.91990864487082</v>
          </cell>
          <cell r="S161">
            <v>260.97799943349025</v>
          </cell>
          <cell r="T161">
            <v>291.72198295912938</v>
          </cell>
          <cell r="U161">
            <v>342.38715308254365</v>
          </cell>
          <cell r="V161">
            <v>387.47716134694588</v>
          </cell>
          <cell r="W161">
            <v>419.95642461864509</v>
          </cell>
          <cell r="X161">
            <v>436.08551509478804</v>
          </cell>
          <cell r="Y161">
            <v>488.2553487864086</v>
          </cell>
          <cell r="Z161">
            <v>544.01759560968389</v>
          </cell>
          <cell r="AA161">
            <v>575.9047800792024</v>
          </cell>
          <cell r="AB161">
            <v>590.20004325602861</v>
          </cell>
          <cell r="AC161">
            <v>608.09197404656243</v>
          </cell>
          <cell r="AD161">
            <v>633.53289371822621</v>
          </cell>
          <cell r="AE161">
            <v>649.66274909851074</v>
          </cell>
          <cell r="AF161">
            <v>663.12276090271109</v>
          </cell>
          <cell r="AG161">
            <v>677.69848489490914</v>
          </cell>
          <cell r="AH161">
            <v>693.12993386273627</v>
          </cell>
          <cell r="AI161">
            <v>703.16086025343134</v>
          </cell>
          <cell r="AJ161">
            <v>715.4516524383364</v>
          </cell>
          <cell r="AK161">
            <v>727.44134066429535</v>
          </cell>
          <cell r="AL161">
            <v>747.08752334472433</v>
          </cell>
          <cell r="AM161">
            <v>773.87271674996907</v>
          </cell>
          <cell r="AN161">
            <v>797.29621362427076</v>
          </cell>
          <cell r="AO161">
            <v>839.48170188906465</v>
          </cell>
          <cell r="AP161">
            <v>889.23519858695386</v>
          </cell>
          <cell r="AQ161">
            <v>965.11060324413734</v>
          </cell>
          <cell r="AR161">
            <v>1045.2700618824922</v>
          </cell>
          <cell r="AS161">
            <v>1110.5371693775437</v>
          </cell>
          <cell r="AT161">
            <v>1122.398923812957</v>
          </cell>
          <cell r="AU161">
            <v>1144.3211452465471</v>
          </cell>
          <cell r="AV161">
            <v>1177.2044773969326</v>
          </cell>
          <cell r="AW161">
            <v>1239.3552834432837</v>
          </cell>
          <cell r="AX161">
            <v>1310.2133081427842</v>
          </cell>
          <cell r="AY161">
            <v>1384.3416363352942</v>
          </cell>
        </row>
        <row r="162">
          <cell r="G162">
            <v>452194.79684866202</v>
          </cell>
          <cell r="K162">
            <v>53.043269273910262</v>
          </cell>
          <cell r="L162">
            <v>57.655727471641598</v>
          </cell>
          <cell r="M162">
            <v>62.268185669372919</v>
          </cell>
          <cell r="N162">
            <v>66.880643867104254</v>
          </cell>
          <cell r="O162">
            <v>71.493102064835583</v>
          </cell>
          <cell r="P162">
            <v>73.79933116370124</v>
          </cell>
          <cell r="Q162">
            <v>76.105560262566911</v>
          </cell>
          <cell r="R162">
            <v>76.105560262566911</v>
          </cell>
          <cell r="S162">
            <v>76.105560262566911</v>
          </cell>
          <cell r="T162">
            <v>99.167851251223553</v>
          </cell>
          <cell r="U162">
            <v>152.21112052513382</v>
          </cell>
          <cell r="V162">
            <v>219.09176439223808</v>
          </cell>
          <cell r="W162">
            <v>352.85305212644658</v>
          </cell>
          <cell r="X162">
            <v>419.73369599355084</v>
          </cell>
          <cell r="Y162">
            <v>456.63336157540147</v>
          </cell>
          <cell r="Z162">
            <v>468.16450706972978</v>
          </cell>
          <cell r="AA162">
            <v>479.69565256405809</v>
          </cell>
          <cell r="AB162">
            <v>486.61433986065504</v>
          </cell>
          <cell r="AC162">
            <v>486.61433986065504</v>
          </cell>
          <cell r="AD162">
            <v>514.28908904704303</v>
          </cell>
          <cell r="AE162">
            <v>532.73892183796841</v>
          </cell>
          <cell r="AF162">
            <v>548.88252553002792</v>
          </cell>
          <cell r="AG162">
            <v>567.33235832095329</v>
          </cell>
          <cell r="AH162">
            <v>578.86350381528155</v>
          </cell>
          <cell r="AI162">
            <v>583.47596201301292</v>
          </cell>
          <cell r="AJ162">
            <v>668.80643867104254</v>
          </cell>
          <cell r="AK162">
            <v>712.62479154949017</v>
          </cell>
          <cell r="AL162">
            <v>758.74937352680342</v>
          </cell>
          <cell r="AM162">
            <v>816.40510099844505</v>
          </cell>
          <cell r="AN162">
            <v>850.99853748143005</v>
          </cell>
          <cell r="AO162">
            <v>880.97951576668356</v>
          </cell>
          <cell r="AP162">
            <v>908.65426495307145</v>
          </cell>
          <cell r="AQ162">
            <v>954.77884693038493</v>
          </cell>
          <cell r="AR162">
            <v>980.14736701790719</v>
          </cell>
          <cell r="AS162">
            <v>1060.8653854782053</v>
          </cell>
          <cell r="AT162">
            <v>1176.1768404214886</v>
          </cell>
          <cell r="AU162">
            <v>1368.9775930866581</v>
          </cell>
          <cell r="AV162">
            <v>1658.1787220844124</v>
          </cell>
          <cell r="AW162">
            <v>3085.7345342822582</v>
          </cell>
          <cell r="AX162">
            <v>6967.1181076731709</v>
          </cell>
          <cell r="AY162">
            <v>15984.473884237916</v>
          </cell>
        </row>
        <row r="163">
          <cell r="G163">
            <v>1219709.0736007169</v>
          </cell>
          <cell r="K163">
            <v>89.397765837235895</v>
          </cell>
          <cell r="L163">
            <v>170.14413498054574</v>
          </cell>
          <cell r="M163">
            <v>226.37821349106511</v>
          </cell>
          <cell r="N163">
            <v>348.93966665501756</v>
          </cell>
          <cell r="O163">
            <v>669.04134433028162</v>
          </cell>
          <cell r="P163">
            <v>836.30168041285208</v>
          </cell>
          <cell r="Q163">
            <v>1058.354195556954</v>
          </cell>
          <cell r="R163">
            <v>1310.6865991297973</v>
          </cell>
          <cell r="S163">
            <v>1779.3039200507922</v>
          </cell>
          <cell r="T163">
            <v>2458.4385605239877</v>
          </cell>
          <cell r="U163">
            <v>3358.1838166922971</v>
          </cell>
          <cell r="V163">
            <v>4523.2385714743396</v>
          </cell>
          <cell r="W163">
            <v>6325.6128827089342</v>
          </cell>
          <cell r="X163">
            <v>6781.2531085890396</v>
          </cell>
          <cell r="Y163">
            <v>7626.206185695818</v>
          </cell>
          <cell r="Z163">
            <v>8221.7106581277276</v>
          </cell>
          <cell r="AA163">
            <v>8541.8123358029916</v>
          </cell>
          <cell r="AB163">
            <v>8655.7223922730191</v>
          </cell>
          <cell r="AC163">
            <v>8772.5162476410205</v>
          </cell>
          <cell r="AD163">
            <v>8928.2413881316897</v>
          </cell>
          <cell r="AE163">
            <v>9163.2709983166806</v>
          </cell>
          <cell r="AF163">
            <v>9314.6704404603861</v>
          </cell>
          <cell r="AG163">
            <v>9484.8145754409306</v>
          </cell>
          <cell r="AH163">
            <v>9666.4939060133802</v>
          </cell>
          <cell r="AI163">
            <v>9827.9866442999992</v>
          </cell>
          <cell r="AJ163">
            <v>10028.410667709286</v>
          </cell>
          <cell r="AK163">
            <v>10234.602288914524</v>
          </cell>
          <cell r="AL163">
            <v>10433.584412874823</v>
          </cell>
          <cell r="AM163">
            <v>10851.73525308125</v>
          </cell>
          <cell r="AN163">
            <v>11040.624080898635</v>
          </cell>
          <cell r="AO163">
            <v>11222.303411471081</v>
          </cell>
          <cell r="AP163">
            <v>11647.663748922447</v>
          </cell>
          <cell r="AQ163">
            <v>12385.916266804135</v>
          </cell>
          <cell r="AR163">
            <v>13255.381634543704</v>
          </cell>
          <cell r="AS163">
            <v>13848.002308077639</v>
          </cell>
          <cell r="AT163">
            <v>14486.763763979181</v>
          </cell>
          <cell r="AU163">
            <v>14802.82812319728</v>
          </cell>
          <cell r="AV163">
            <v>15276.924662024425</v>
          </cell>
          <cell r="AW163">
            <v>16293.463773560739</v>
          </cell>
          <cell r="AX163">
            <v>17308.560985648062</v>
          </cell>
          <cell r="AY163">
            <v>18552.920210124426</v>
          </cell>
        </row>
        <row r="164">
          <cell r="G164">
            <v>751172.35043800029</v>
          </cell>
          <cell r="K164">
            <v>48.696007987091932</v>
          </cell>
          <cell r="L164">
            <v>51.739508486285175</v>
          </cell>
          <cell r="M164">
            <v>54.783008985478425</v>
          </cell>
          <cell r="N164">
            <v>60.870009983864911</v>
          </cell>
          <cell r="O164">
            <v>66.957010982251404</v>
          </cell>
          <cell r="P164">
            <v>73.04401198063789</v>
          </cell>
          <cell r="Q164">
            <v>82.174513478217634</v>
          </cell>
          <cell r="R164">
            <v>94.348515474990606</v>
          </cell>
          <cell r="S164">
            <v>127.82702096611632</v>
          </cell>
          <cell r="T164">
            <v>149.13152446046902</v>
          </cell>
          <cell r="U164">
            <v>246.52354043465289</v>
          </cell>
          <cell r="V164">
            <v>398.69856539431515</v>
          </cell>
          <cell r="W164">
            <v>547.83008985478421</v>
          </cell>
          <cell r="X164">
            <v>563.04759235075039</v>
          </cell>
          <cell r="Y164">
            <v>645.2221058289681</v>
          </cell>
          <cell r="Z164">
            <v>773.04912679508448</v>
          </cell>
          <cell r="AA164">
            <v>843.04963827652898</v>
          </cell>
          <cell r="AB164">
            <v>867.39764227007504</v>
          </cell>
          <cell r="AC164">
            <v>876.5281437676548</v>
          </cell>
          <cell r="AD164">
            <v>900.87614776120063</v>
          </cell>
          <cell r="AE164">
            <v>922.18065125555336</v>
          </cell>
          <cell r="AF164">
            <v>940.44165425071287</v>
          </cell>
          <cell r="AG164">
            <v>952.61565624748584</v>
          </cell>
          <cell r="AH164">
            <v>955.65915674667917</v>
          </cell>
          <cell r="AI164">
            <v>970.87665924264536</v>
          </cell>
          <cell r="AJ164">
            <v>973.92015974183857</v>
          </cell>
          <cell r="AK164">
            <v>983.05066123941833</v>
          </cell>
          <cell r="AL164">
            <v>995.22466323619142</v>
          </cell>
          <cell r="AM164">
            <v>1080.4426772136021</v>
          </cell>
          <cell r="AN164">
            <v>1110.8776822055345</v>
          </cell>
          <cell r="AO164">
            <v>1153.4866891942402</v>
          </cell>
          <cell r="AP164">
            <v>1220.4437001764916</v>
          </cell>
          <cell r="AQ164">
            <v>1427.4017341216322</v>
          </cell>
          <cell r="AR164">
            <v>1734.7952845401501</v>
          </cell>
          <cell r="AS164">
            <v>1896.1008109973918</v>
          </cell>
          <cell r="AT164">
            <v>2066.5368389522137</v>
          </cell>
          <cell r="AU164">
            <v>2202.885661316071</v>
          </cell>
          <cell r="AV164">
            <v>2407.4088948618573</v>
          </cell>
          <cell r="AW164">
            <v>2854.8034682432644</v>
          </cell>
          <cell r="AX164">
            <v>3582.20008755045</v>
          </cell>
          <cell r="AY164">
            <v>5350.4738775817259</v>
          </cell>
        </row>
        <row r="165">
          <cell r="G165">
            <v>390042.59770946641</v>
          </cell>
          <cell r="K165">
            <v>117.71744385115008</v>
          </cell>
          <cell r="L165">
            <v>119.83520986140682</v>
          </cell>
          <cell r="M165">
            <v>122.35593965313504</v>
          </cell>
          <cell r="N165">
            <v>126.542834856542</v>
          </cell>
          <cell r="O165">
            <v>131.90103682461299</v>
          </cell>
          <cell r="P165">
            <v>134.77560083955163</v>
          </cell>
          <cell r="Q165">
            <v>139.29051906863961</v>
          </cell>
          <cell r="R165">
            <v>145.40259082368087</v>
          </cell>
          <cell r="S165">
            <v>167.80069998987787</v>
          </cell>
          <cell r="T165">
            <v>201.95928251031665</v>
          </cell>
          <cell r="U165">
            <v>279.1767154053253</v>
          </cell>
          <cell r="V165">
            <v>378.2608712472649</v>
          </cell>
          <cell r="W165">
            <v>505.3065452684927</v>
          </cell>
          <cell r="X165">
            <v>547.59635542492106</v>
          </cell>
          <cell r="Y165">
            <v>632.46508719128724</v>
          </cell>
          <cell r="Z165">
            <v>724.30268935498282</v>
          </cell>
          <cell r="AA165">
            <v>791.93207840582704</v>
          </cell>
          <cell r="AB165">
            <v>809.47055832970113</v>
          </cell>
          <cell r="AC165">
            <v>846.01269047673418</v>
          </cell>
          <cell r="AD165">
            <v>882.88779388412536</v>
          </cell>
          <cell r="AE165">
            <v>909.63273907241637</v>
          </cell>
          <cell r="AF165">
            <v>944.16267632619622</v>
          </cell>
          <cell r="AG165">
            <v>973.94977921875306</v>
          </cell>
          <cell r="AH165">
            <v>996.92510377472479</v>
          </cell>
          <cell r="AI165">
            <v>1022.1252088122626</v>
          </cell>
          <cell r="AJ165">
            <v>1058.8173095353332</v>
          </cell>
          <cell r="AK165">
            <v>1099.6792046829457</v>
          </cell>
          <cell r="AL165">
            <v>1152.6386160690004</v>
          </cell>
          <cell r="AM165">
            <v>1243.7879404376706</v>
          </cell>
          <cell r="AN165">
            <v>1315.4246794090529</v>
          </cell>
          <cell r="AO165">
            <v>1393.6418289556734</v>
          </cell>
          <cell r="AP165">
            <v>1520.7887652117815</v>
          </cell>
          <cell r="AQ165">
            <v>1708.8918770412429</v>
          </cell>
          <cell r="AR165">
            <v>1918.9929621786825</v>
          </cell>
          <cell r="AS165">
            <v>2092.0403797456765</v>
          </cell>
          <cell r="AT165">
            <v>2170.6971524458354</v>
          </cell>
          <cell r="AU165">
            <v>2270.7094274558308</v>
          </cell>
          <cell r="AV165">
            <v>2420.7278399708252</v>
          </cell>
          <cell r="AW165">
            <v>2757.283797304824</v>
          </cell>
          <cell r="AX165">
            <v>3409.7241032019015</v>
          </cell>
          <cell r="AY165">
            <v>4843.7183052372429</v>
          </cell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8BE615-4B13-408A-839E-07E7D9199134}" name="Table46" displayName="Table46" ref="A1:AY165" totalsRowShown="0">
  <autoFilter ref="A1:AY165" xr:uid="{84EE013D-F132-4A17-98F3-E2E79F6A5E20}">
    <filterColumn colId="3">
      <filters>
        <filter val="Ukraine region"/>
      </filters>
    </filterColumn>
  </autoFilter>
  <tableColumns count="51">
    <tableColumn id="1" xr3:uid="{9BC5E41F-FB9C-4382-A2A8-5EF5EF2B755B}" name="Cntry_ISO"/>
    <tableColumn id="2" xr3:uid="{4FD94EF0-52C9-4A87-AA55-6E39A397C5EB}" name="Cntry_name"/>
    <tableColumn id="3" xr3:uid="{E774D4F4-0296-4C43-BFF4-D59F65B52A04}" name="eFUA_name"/>
    <tableColumn id="4" xr3:uid="{39580B01-D4E6-4CC6-80E8-EFD1920433E3}" name="IMAGE-region"/>
    <tableColumn id="5" xr3:uid="{88AB7E27-7C65-437B-AF49-3CB76FA9725F}" name="GRIP-region"/>
    <tableColumn id="6" xr3:uid="{F6D66457-DC23-42DC-A67E-66A0BF2C1FD9}" name="R10"/>
    <tableColumn id="7" xr3:uid="{34B6E44D-0481-4FDF-BEE2-4FD9B6BA1596}" name="FUA_area"/>
    <tableColumn id="8" xr3:uid="{953DAADA-771E-4D7C-8929-614B629C981F}" name="FUA_urban"/>
    <tableColumn id="9" xr3:uid="{A1433895-77E0-4D58-AE78-5A7D9989EAEA}" name="FUA_total_area"/>
    <tableColumn id="10" xr3:uid="{524320BB-5440-4A67-9C84-7E1A49B6FA06}" name="FUA_p_2015"/>
    <tableColumn id="11" xr3:uid="{6589A898-7FB4-4561-942F-2098648D0EB1}" name="1870"/>
    <tableColumn id="12" xr3:uid="{B5B197F8-90B8-4123-9BE3-D9B06EC9012E}" name="1880"/>
    <tableColumn id="13" xr3:uid="{4931C173-54F7-417F-9EFC-C2E759F237D8}" name="1890"/>
    <tableColumn id="14" xr3:uid="{357A368E-6C94-492D-A914-0F6905704B56}" name="1900"/>
    <tableColumn id="15" xr3:uid="{86808D94-598A-4338-B1EE-3973F691321F}" name="1910"/>
    <tableColumn id="16" xr3:uid="{E6E1A052-EA2C-44C4-9553-20691789D0A8}" name="1920"/>
    <tableColumn id="17" xr3:uid="{F675F5FB-A198-4D8E-AFD9-63A22F06E7B8}" name="1930"/>
    <tableColumn id="18" xr3:uid="{E9F02DBA-7BAE-481A-90D6-EEE3F7742988}" name="1940"/>
    <tableColumn id="19" xr3:uid="{E4C29945-CF9B-4FA0-981D-5F9E705AC520}" name="1950"/>
    <tableColumn id="20" xr3:uid="{A97DAD78-7DA7-4994-A53A-42D3FF3CB1F8}" name="1960"/>
    <tableColumn id="21" xr3:uid="{FB5A479E-64AB-47AD-BF59-C46F1345CBE4}" name="1970"/>
    <tableColumn id="22" xr3:uid="{E57D9818-7156-461E-A946-E62A4C770A51}" name="1980"/>
    <tableColumn id="23" xr3:uid="{02F42E7B-EDD9-4B2F-8A3D-0BB59DFBDE14}" name="1990"/>
    <tableColumn id="24" xr3:uid="{08265B70-5A4D-47B0-B780-2EEBC28583D7}" name="1992"/>
    <tableColumn id="25" xr3:uid="{962E8BC4-1CCC-43E3-8D04-01EE380326DD}" name="1993"/>
    <tableColumn id="26" xr3:uid="{6C53DFC0-5BAE-4994-ADBA-0989616854DC}" name="1994"/>
    <tableColumn id="27" xr3:uid="{5BAC23A5-C981-4219-B368-A576A01224D4}" name="1995"/>
    <tableColumn id="28" xr3:uid="{B440EEF0-D4AA-474A-AD48-092C40964E55}" name="1996"/>
    <tableColumn id="29" xr3:uid="{C32C682F-EB07-48D1-A26E-03E2FA5E3864}" name="1997"/>
    <tableColumn id="30" xr3:uid="{83AAC15D-1104-44E0-A6DA-6019C7AABBAC}" name="1998"/>
    <tableColumn id="31" xr3:uid="{F16E851D-ED3F-4468-96E8-EB358B3230D3}" name="1999"/>
    <tableColumn id="32" xr3:uid="{0E5A6230-DDCE-4B0B-AB6B-713D801D0E60}" name="2000"/>
    <tableColumn id="33" xr3:uid="{9605A38F-BC26-436D-A739-F7F982EE2D15}" name="2001"/>
    <tableColumn id="34" xr3:uid="{87A4398D-508E-445F-B7EA-5D2452589239}" name="2002"/>
    <tableColumn id="35" xr3:uid="{2DEB6A78-AB9A-4DA1-BCB2-50AE5D8A4B3A}" name="2003"/>
    <tableColumn id="36" xr3:uid="{6A355E9D-D9A2-43A8-92D9-B744DF6AA70E}" name="2004"/>
    <tableColumn id="37" xr3:uid="{6636B45F-1071-4182-B69A-AE1ECEC8B10A}" name="2005"/>
    <tableColumn id="38" xr3:uid="{26383ED8-619A-4056-802A-3BF9211E1170}" name="2006"/>
    <tableColumn id="39" xr3:uid="{F4CEB266-8F03-4FA9-883B-19738572D2CF}" name="2007"/>
    <tableColumn id="40" xr3:uid="{07F1771A-D852-4CF6-959E-66FBC0E85447}" name="2008"/>
    <tableColumn id="41" xr3:uid="{7BD0860D-C038-4DD7-8398-1CAFE4B1950E}" name="2009"/>
    <tableColumn id="42" xr3:uid="{9C39A2DB-D41E-4A2A-B871-E546CE08E2E2}" name="2010"/>
    <tableColumn id="43" xr3:uid="{3845B71C-BCEE-4773-9FDB-DBD50067BEAE}" name="2011"/>
    <tableColumn id="44" xr3:uid="{1F25F9F6-E9AC-4FBA-AD00-4ADEEE0E79E5}" name="2012"/>
    <tableColumn id="45" xr3:uid="{ACEA8F1F-9BA9-4121-874B-88C4312847FA}" name="2013"/>
    <tableColumn id="46" xr3:uid="{7F9F6BD5-555F-4E80-B305-6F323EE6E512}" name="2020">
      <calculatedColumnFormula>Sheet1!$AT2*_xlfn.XLOOKUP($A2,'[1]SSP4-change-rate'!$B$2:$B$147,'[1]SSP4-change-rate'!C$2:C$147)</calculatedColumnFormula>
    </tableColumn>
    <tableColumn id="47" xr3:uid="{84210C1F-BA62-44F7-A957-053B4E619F16}" name="2024">
      <calculatedColumnFormula>Sheet1!$AT2*_xlfn.XLOOKUP($A2,'[1]SSP4-change-rate'!$B$2:$B$147,'[1]SSP4-change-rate'!D$2:D$147)</calculatedColumnFormula>
    </tableColumn>
    <tableColumn id="48" xr3:uid="{61B5E4D3-E492-47FD-9D85-4ECDCFFAB27B}" name="2030">
      <calculatedColumnFormula>Sheet1!$AT2*_xlfn.XLOOKUP($A2,'[1]SSP4-change-rate'!$B$2:$B$147,'[1]SSP4-change-rate'!E$2:E$147)</calculatedColumnFormula>
    </tableColumn>
    <tableColumn id="49" xr3:uid="{ED2DA11D-FD1A-433F-976A-1016DA488AE5}" name="2040">
      <calculatedColumnFormula>Sheet1!$AT2*_xlfn.XLOOKUP($A2,'[1]SSP4-change-rate'!$B$2:$B$147,'[1]SSP4-change-rate'!F$2:F$147)</calculatedColumnFormula>
    </tableColumn>
    <tableColumn id="50" xr3:uid="{DD698941-5112-4D63-ADFA-69DAF6E5FFDA}" name="2050">
      <calculatedColumnFormula>Sheet1!$AT2*_xlfn.XLOOKUP($A2,'[1]SSP4-change-rate'!$B$2:$B$147,'[1]SSP4-change-rate'!G$2:G$147)</calculatedColumnFormula>
    </tableColumn>
    <tableColumn id="51" xr3:uid="{5F3E2473-1EF0-46DD-AECF-77DAF343A0BE}" name="2060">
      <calculatedColumnFormula>Sheet1!$AT2*_xlfn.XLOOKUP($A2,'[1]SSP4-change-rate'!$B$2:$B$147,'[1]SSP4-change-rate'!H$2:H$147)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C5A12-6C47-4E58-942F-41C357C7B79B}" name="Table5" displayName="Table5" ref="A1:AY165" totalsRowShown="0">
  <autoFilter ref="A1:AY165" xr:uid="{11632856-4A8B-4642-BAA9-0024C24B5EE2}"/>
  <sortState xmlns:xlrd2="http://schemas.microsoft.com/office/spreadsheetml/2017/richdata2" ref="A2:AY165">
    <sortCondition ref="A1:A165"/>
  </sortState>
  <tableColumns count="51">
    <tableColumn id="1" xr3:uid="{5B8C2011-D767-495A-823E-5886AF86B5FB}" name="Cntry_ISO"/>
    <tableColumn id="2" xr3:uid="{551216E1-F61C-4C68-BFC2-4F9FBD6883FC}" name="Cntry_name"/>
    <tableColumn id="3" xr3:uid="{89A7CDBB-F551-4C99-86CB-800B47D4F792}" name="eFUA_name"/>
    <tableColumn id="4" xr3:uid="{31D0221B-159E-45FC-A8D8-00DA0B9460A9}" name="IMAGE-region"/>
    <tableColumn id="5" xr3:uid="{F09A2686-8398-4D18-A2CB-4F292618FF93}" name="GRIP-region"/>
    <tableColumn id="6" xr3:uid="{320E92C9-3960-4C82-AAF0-0DC07E892D40}" name="R10"/>
    <tableColumn id="7" xr3:uid="{3CD72896-1FA6-404A-B6DF-4E7BC52D4AF0}" name="FUA_area"/>
    <tableColumn id="8" xr3:uid="{6E485E36-DB51-4800-A8CD-FCCB9CAB39A0}" name="FUA_urban"/>
    <tableColumn id="55" xr3:uid="{C6B46D4F-DDA2-4D4F-BABB-3A51DF88DC21}" name="FUA_total_area">
      <calculatedColumnFormula>Table5[[#This Row],[FUA_area]]+Table5[[#This Row],[FUA_urban]]</calculatedColumnFormula>
    </tableColumn>
    <tableColumn id="9" xr3:uid="{BCEC6EAC-2339-48BF-94AD-038A1B4BC46B}" name="FUA_p_2015"/>
    <tableColumn id="10" xr3:uid="{9CFFBD84-8AAE-4D06-836A-167CF03CD35E}" name="1870"/>
    <tableColumn id="11" xr3:uid="{3ECE389F-7281-4E22-9687-155D3E0BC57F}" name="1880"/>
    <tableColumn id="12" xr3:uid="{20364FF1-F58C-4847-A9A1-2AC245F66788}" name="1890"/>
    <tableColumn id="13" xr3:uid="{24B6BA04-FA2B-4EBF-B23B-4392AA52A45E}" name="1900"/>
    <tableColumn id="14" xr3:uid="{0D835463-2C4A-41DC-A197-B7124F17733C}" name="1910"/>
    <tableColumn id="15" xr3:uid="{D45DAEBD-5E86-4553-90A0-EA33DF7BB2C4}" name="1920"/>
    <tableColumn id="16" xr3:uid="{BB25F82B-793F-4DF8-AA33-6428A0F2F909}" name="1930"/>
    <tableColumn id="17" xr3:uid="{FFBA43B1-7B9E-4A15-B02A-9D79AA715BE1}" name="1940"/>
    <tableColumn id="18" xr3:uid="{E6341683-26CA-4F8E-AC01-023F9EC637D2}" name="1950"/>
    <tableColumn id="19" xr3:uid="{E0F31B1B-CC34-453A-AF9F-00276AB33E90}" name="1960"/>
    <tableColumn id="20" xr3:uid="{33B98552-8CC3-41FB-9EC4-A01631032285}" name="1970"/>
    <tableColumn id="21" xr3:uid="{E7D9F167-B113-4016-8504-DA08615C3804}" name="1980"/>
    <tableColumn id="22" xr3:uid="{56B4B916-B1B7-4BA8-B4E3-E1D22E96997B}" name="1990"/>
    <tableColumn id="23" xr3:uid="{A3F57A44-2625-41E9-A81A-917B25DA5E7B}" name="1992"/>
    <tableColumn id="24" xr3:uid="{15BE0E8A-1B25-4E37-AF12-82E3ED231BA0}" name="1993"/>
    <tableColumn id="25" xr3:uid="{B948040D-1C73-4ED5-A196-2DC5E39D012D}" name="1994"/>
    <tableColumn id="26" xr3:uid="{183F3E9B-A420-444C-B2E8-CA70BC46E49E}" name="1995"/>
    <tableColumn id="27" xr3:uid="{209798B3-0249-41AF-886E-E350F4726EF7}" name="1996"/>
    <tableColumn id="28" xr3:uid="{7C7D7AB5-293C-4EF2-A999-561A19317810}" name="1997"/>
    <tableColumn id="29" xr3:uid="{C58AD3D8-45C1-4BB3-8F0E-2AB136662929}" name="1998"/>
    <tableColumn id="30" xr3:uid="{0D5FD2B6-B685-4A01-ABD5-680E80F32F46}" name="1999"/>
    <tableColumn id="31" xr3:uid="{4170DF30-08D3-4EF5-853C-19752A1F4687}" name="2000"/>
    <tableColumn id="32" xr3:uid="{E8096612-C946-46F2-B9DA-573117CAEB74}" name="2001"/>
    <tableColumn id="33" xr3:uid="{81A5AB98-613D-438B-A782-BA2FAF737321}" name="2002"/>
    <tableColumn id="34" xr3:uid="{DA951E03-D22C-4E6C-87B7-40EE604E862F}" name="2003"/>
    <tableColumn id="35" xr3:uid="{B1A2058C-0A50-48C4-80D7-188AF15AC5C6}" name="2004"/>
    <tableColumn id="36" xr3:uid="{76CB8D94-1B3B-410D-B50C-9DF0E019DE92}" name="2005"/>
    <tableColumn id="37" xr3:uid="{656725A8-9050-4986-8C33-C99BDA14D31A}" name="2006"/>
    <tableColumn id="38" xr3:uid="{D3D4D4DE-8E87-440C-B666-806E4CEF572B}" name="2007"/>
    <tableColumn id="39" xr3:uid="{BEE46104-E4C0-4251-9192-8B459E6021B0}" name="2008"/>
    <tableColumn id="40" xr3:uid="{78D406D8-97F1-477A-8EEA-AE9A7C21F53B}" name="2009"/>
    <tableColumn id="41" xr3:uid="{6E15C927-BD1F-4C36-8A77-F621284C1381}" name="2010"/>
    <tableColumn id="42" xr3:uid="{D2F0BD28-4168-46C4-A110-0ECBEB1C2C9E}" name="2011"/>
    <tableColumn id="43" xr3:uid="{6C95D8F8-507A-4768-BDD8-BD8EF7C9197D}" name="2012"/>
    <tableColumn id="44" xr3:uid="{4260A0F6-6FAA-4B87-9652-6DC6227C8A94}" name="2013"/>
    <tableColumn id="45" xr3:uid="{167EDD92-50B6-4A83-ABC0-F2550A6F196C}" name="2020"/>
    <tableColumn id="46" xr3:uid="{E54EF55A-E45F-405E-98B1-A7F842F60D72}" name="2024"/>
    <tableColumn id="47" xr3:uid="{6290EED0-2574-417E-9F11-23B3F714E5F0}" name="2030"/>
    <tableColumn id="48" xr3:uid="{C72960D3-E040-49B8-A46B-8551580DAC15}" name="2040"/>
    <tableColumn id="49" xr3:uid="{D35380D0-B12D-4D57-BEBA-4598202DCD92}" name="2050"/>
    <tableColumn id="50" xr3:uid="{560B9D1C-2BA4-4700-8FCF-3DE35AAD3461}" name="206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9D389B-0029-425E-87A2-BBC68FAD5A4D}" name="Table2" displayName="Table2" ref="A1:AY165" totalsRowShown="0" dataDxfId="42" dataCellStyle="Percent">
  <autoFilter ref="A1:AY165" xr:uid="{9FAAEC6C-E05A-423F-AB2F-5712325B243F}"/>
  <sortState xmlns:xlrd2="http://schemas.microsoft.com/office/spreadsheetml/2017/richdata2" ref="A2:AY165">
    <sortCondition descending="1" ref="AY1:AY165"/>
  </sortState>
  <tableColumns count="51">
    <tableColumn id="1" xr3:uid="{14D32634-F190-499F-BB42-D42C4EFA3D69}" name="Cntry_ISO"/>
    <tableColumn id="2" xr3:uid="{94323B48-B06E-431E-9A58-9642609B78AC}" name="Cntry_name"/>
    <tableColumn id="3" xr3:uid="{69716390-6C37-4889-B54A-A5EB29600760}" name="eFUA_name"/>
    <tableColumn id="4" xr3:uid="{68CD7F4A-E741-4C25-B39B-E76CF83CE228}" name="IMAGE-region"/>
    <tableColumn id="5" xr3:uid="{64ED7514-B20D-4799-B6A6-BC9B8706A1D4}" name="GRIP-region"/>
    <tableColumn id="6" xr3:uid="{AE90B832-7E0F-4990-BB82-9207EA4FCE91}" name="R10"/>
    <tableColumn id="7" xr3:uid="{A7891C4C-93EE-448A-B9E3-D4F3A27E1356}" name="FUA_area"/>
    <tableColumn id="8" xr3:uid="{342011C0-2AD5-4BFC-9425-D4F7193FC1D3}" name="FUA_urban"/>
    <tableColumn id="55" xr3:uid="{92B24AF4-A168-4F2E-BBB8-C444F9E3A4CB}" name="FUA_area_total">
      <calculatedColumnFormula>Table2[[#This Row],[FUA_area]]+Table2[[#This Row],[FUA_urban]]</calculatedColumnFormula>
    </tableColumn>
    <tableColumn id="9" xr3:uid="{D03508D6-FBD4-4480-839A-B3E0FA50B8CE}" name="FUA_p_2015"/>
    <tableColumn id="10" xr3:uid="{471FA6AB-2231-48B8-9C88-161295E37099}" name="1870" dataDxfId="41" dataCellStyle="Percent">
      <calculatedColumnFormula>[2]Urban_area_finals!K2/[2]Urban_area_finals!$G2</calculatedColumnFormula>
    </tableColumn>
    <tableColumn id="11" xr3:uid="{02556432-5973-4BE9-81DF-086F9961AF8E}" name="1880" dataDxfId="40" dataCellStyle="Percent">
      <calculatedColumnFormula>[2]Urban_area_finals!L2/[2]Urban_area_finals!$G2</calculatedColumnFormula>
    </tableColumn>
    <tableColumn id="12" xr3:uid="{2AAF9B3C-83C2-4DD4-8E0D-FDA4B5B13189}" name="1890" dataDxfId="39" dataCellStyle="Percent">
      <calculatedColumnFormula>[2]Urban_area_finals!M2/[2]Urban_area_finals!$G2</calculatedColumnFormula>
    </tableColumn>
    <tableColumn id="13" xr3:uid="{C473DA39-F53D-4A0B-8421-77801E98E5B2}" name="1900" dataDxfId="38" dataCellStyle="Percent">
      <calculatedColumnFormula>[2]Urban_area_finals!N2/[2]Urban_area_finals!$G2</calculatedColumnFormula>
    </tableColumn>
    <tableColumn id="14" xr3:uid="{371FAF27-E8AE-4167-BF6C-EC5F2DAC8B95}" name="1910" dataDxfId="37" dataCellStyle="Percent">
      <calculatedColumnFormula>[2]Urban_area_finals!O2/[2]Urban_area_finals!$G2</calculatedColumnFormula>
    </tableColumn>
    <tableColumn id="15" xr3:uid="{81837CB6-A352-41B4-A332-77E88784F39E}" name="1920" dataDxfId="36" dataCellStyle="Percent">
      <calculatedColumnFormula>[2]Urban_area_finals!P2/[2]Urban_area_finals!$G2</calculatedColumnFormula>
    </tableColumn>
    <tableColumn id="16" xr3:uid="{95B22EFF-0C79-43A3-9089-74674352F55F}" name="1930" dataDxfId="35" dataCellStyle="Percent">
      <calculatedColumnFormula>[2]Urban_area_finals!Q2/[2]Urban_area_finals!$G2</calculatedColumnFormula>
    </tableColumn>
    <tableColumn id="17" xr3:uid="{927D81F6-598D-4055-94B2-063948178CD8}" name="1940" dataDxfId="34" dataCellStyle="Percent">
      <calculatedColumnFormula>[2]Urban_area_finals!R2/[2]Urban_area_finals!$G2</calculatedColumnFormula>
    </tableColumn>
    <tableColumn id="18" xr3:uid="{19CE6CAA-35FA-4AE6-AFE4-2A3E8D8FB66D}" name="1950" dataDxfId="33" dataCellStyle="Percent">
      <calculatedColumnFormula>[2]Urban_area_finals!S2/[2]Urban_area_finals!$G2</calculatedColumnFormula>
    </tableColumn>
    <tableColumn id="19" xr3:uid="{1CED27E0-3F35-43CE-BEFD-EA4F90EB1DD4}" name="1960" dataDxfId="32" dataCellStyle="Percent">
      <calculatedColumnFormula>[2]Urban_area_finals!T2/[2]Urban_area_finals!$G2</calculatedColumnFormula>
    </tableColumn>
    <tableColumn id="20" xr3:uid="{8A5C2B25-E885-41C1-AFA4-7DB9C317BE27}" name="1970" dataDxfId="31" dataCellStyle="Percent">
      <calculatedColumnFormula>[2]Urban_area_finals!U2/[2]Urban_area_finals!$G2</calculatedColumnFormula>
    </tableColumn>
    <tableColumn id="21" xr3:uid="{845B69FB-6972-4E7B-8076-05CC60A15219}" name="1980" dataDxfId="30" dataCellStyle="Percent">
      <calculatedColumnFormula>[2]Urban_area_finals!V2/[2]Urban_area_finals!$G2</calculatedColumnFormula>
    </tableColumn>
    <tableColumn id="22" xr3:uid="{7BF05E0B-234D-4CF8-B9C2-D926B775E17D}" name="1990" dataDxfId="29" dataCellStyle="Percent">
      <calculatedColumnFormula>[2]Urban_area_finals!W2/[2]Urban_area_finals!$G2</calculatedColumnFormula>
    </tableColumn>
    <tableColumn id="23" xr3:uid="{1B715802-693C-4573-915C-216D15EF0444}" name="1992" dataDxfId="28" dataCellStyle="Percent">
      <calculatedColumnFormula>[2]Urban_area_finals!X2/[2]Urban_area_finals!$G2</calculatedColumnFormula>
    </tableColumn>
    <tableColumn id="24" xr3:uid="{21162C09-EB39-42FD-A284-D2C88A2396BC}" name="1993" dataDxfId="27" dataCellStyle="Percent">
      <calculatedColumnFormula>[2]Urban_area_finals!Y2/[2]Urban_area_finals!$G2</calculatedColumnFormula>
    </tableColumn>
    <tableColumn id="25" xr3:uid="{5A859256-5A7C-4908-A2E3-30CC36E3EAD3}" name="1994" dataDxfId="26" dataCellStyle="Percent">
      <calculatedColumnFormula>[2]Urban_area_finals!Z2/[2]Urban_area_finals!$G2</calculatedColumnFormula>
    </tableColumn>
    <tableColumn id="26" xr3:uid="{929C47A2-3880-4DA2-B8B5-AC25527E7D6B}" name="1995" dataDxfId="25" dataCellStyle="Percent">
      <calculatedColumnFormula>[2]Urban_area_finals!AA2/[2]Urban_area_finals!$G2</calculatedColumnFormula>
    </tableColumn>
    <tableColumn id="27" xr3:uid="{33987219-32CF-4DC2-924A-840DDEC0829C}" name="1996" dataDxfId="24" dataCellStyle="Percent">
      <calculatedColumnFormula>[2]Urban_area_finals!AB2/[2]Urban_area_finals!$G2</calculatedColumnFormula>
    </tableColumn>
    <tableColumn id="28" xr3:uid="{70AABF79-8E30-412E-8436-8A24F55058D6}" name="1997" dataDxfId="23" dataCellStyle="Percent">
      <calculatedColumnFormula>[2]Urban_area_finals!AC2/[2]Urban_area_finals!$G2</calculatedColumnFormula>
    </tableColumn>
    <tableColumn id="29" xr3:uid="{85F51D77-A3E3-48D8-B931-21B6E2E74563}" name="1998" dataDxfId="22" dataCellStyle="Percent">
      <calculatedColumnFormula>[2]Urban_area_finals!AD2/[2]Urban_area_finals!$G2</calculatedColumnFormula>
    </tableColumn>
    <tableColumn id="30" xr3:uid="{6B1F0B99-D730-4A9D-A771-AD45485D5537}" name="1999" dataDxfId="21" dataCellStyle="Percent">
      <calculatedColumnFormula>[2]Urban_area_finals!AE2/[2]Urban_area_finals!$G2</calculatedColumnFormula>
    </tableColumn>
    <tableColumn id="31" xr3:uid="{FE1CD703-78A1-46B4-A024-900DBE2DD6A0}" name="2000" dataDxfId="20" dataCellStyle="Percent">
      <calculatedColumnFormula>[2]Urban_area_finals!AF2/[2]Urban_area_finals!$G2</calculatedColumnFormula>
    </tableColumn>
    <tableColumn id="32" xr3:uid="{D4453302-CF4C-4C93-AA49-7F43EDDD2289}" name="2001" dataDxfId="19" dataCellStyle="Percent">
      <calculatedColumnFormula>[2]Urban_area_finals!AG2/[2]Urban_area_finals!$G2</calculatedColumnFormula>
    </tableColumn>
    <tableColumn id="33" xr3:uid="{F0F49038-6BE4-4A93-B5E4-44886EF0819D}" name="2002" dataDxfId="18" dataCellStyle="Percent">
      <calculatedColumnFormula>[2]Urban_area_finals!AH2/[2]Urban_area_finals!$G2</calculatedColumnFormula>
    </tableColumn>
    <tableColumn id="34" xr3:uid="{9B39587E-3471-428A-A939-605784F22392}" name="2003" dataDxfId="17" dataCellStyle="Percent">
      <calculatedColumnFormula>[2]Urban_area_finals!AI2/[2]Urban_area_finals!$G2</calculatedColumnFormula>
    </tableColumn>
    <tableColumn id="35" xr3:uid="{B29B7BDE-7D93-4FED-A4A4-B89BCA9B807F}" name="2004" dataDxfId="16" dataCellStyle="Percent">
      <calculatedColumnFormula>[2]Urban_area_finals!AJ2/[2]Urban_area_finals!$G2</calculatedColumnFormula>
    </tableColumn>
    <tableColumn id="36" xr3:uid="{CD32F15D-9E9B-473D-8BE4-417050CA6EAF}" name="2005" dataDxfId="15" dataCellStyle="Percent">
      <calculatedColumnFormula>[2]Urban_area_finals!AK2/[2]Urban_area_finals!$G2</calculatedColumnFormula>
    </tableColumn>
    <tableColumn id="37" xr3:uid="{5D3E4D48-A14D-445E-9D3B-0615F9006FBD}" name="2006" dataDxfId="14" dataCellStyle="Percent">
      <calculatedColumnFormula>[2]Urban_area_finals!AL2/[2]Urban_area_finals!$G2</calculatedColumnFormula>
    </tableColumn>
    <tableColumn id="38" xr3:uid="{C85B2077-0CF8-462A-9066-B0D2FD14144E}" name="2007" dataDxfId="13" dataCellStyle="Percent">
      <calculatedColumnFormula>[2]Urban_area_finals!AM2/[2]Urban_area_finals!$G2</calculatedColumnFormula>
    </tableColumn>
    <tableColumn id="39" xr3:uid="{1EB52BFE-0D25-412F-BFD6-0E7721FEB9D3}" name="2008" dataDxfId="12" dataCellStyle="Percent">
      <calculatedColumnFormula>[2]Urban_area_finals!AN2/[2]Urban_area_finals!$G2</calculatedColumnFormula>
    </tableColumn>
    <tableColumn id="40" xr3:uid="{B3F4771D-76BC-4ECB-9DFA-D2BBD1A8389B}" name="2009" dataDxfId="11" dataCellStyle="Percent">
      <calculatedColumnFormula>[2]Urban_area_finals!AO2/[2]Urban_area_finals!$G2</calculatedColumnFormula>
    </tableColumn>
    <tableColumn id="41" xr3:uid="{3EBC1AD3-BA6C-4AC3-A01A-6BDF9DB9B481}" name="2010" dataDxfId="10" dataCellStyle="Percent">
      <calculatedColumnFormula>[2]Urban_area_finals!AP2/[2]Urban_area_finals!$G2</calculatedColumnFormula>
    </tableColumn>
    <tableColumn id="42" xr3:uid="{AF1A617A-3E7C-45BB-85FA-0FCC6EF1430D}" name="2011" dataDxfId="9" dataCellStyle="Percent">
      <calculatedColumnFormula>[2]Urban_area_finals!AQ2/[2]Urban_area_finals!$G2</calculatedColumnFormula>
    </tableColumn>
    <tableColumn id="43" xr3:uid="{48352B4E-4111-4764-B040-70F83F448DBC}" name="2012" dataDxfId="8" dataCellStyle="Percent">
      <calculatedColumnFormula>[2]Urban_area_finals!AR2/[2]Urban_area_finals!$G2</calculatedColumnFormula>
    </tableColumn>
    <tableColumn id="44" xr3:uid="{F6FE4063-470A-459D-BDE5-CF2D298B9EA0}" name="2013" dataDxfId="7" dataCellStyle="Percent">
      <calculatedColumnFormula>[2]Urban_area_finals!AS2/[2]Urban_area_finals!$G2</calculatedColumnFormula>
    </tableColumn>
    <tableColumn id="45" xr3:uid="{B291A742-4005-4920-87D9-C7FE302FC484}" name="2020" dataDxfId="6" dataCellStyle="Percent">
      <calculatedColumnFormula>[2]Urban_area_finals!AT2/[2]Urban_area_finals!$G2</calculatedColumnFormula>
    </tableColumn>
    <tableColumn id="46" xr3:uid="{2FE7505D-CBB6-4137-AD4F-377B2DAC64A4}" name="2024" dataDxfId="5" dataCellStyle="Percent">
      <calculatedColumnFormula>[2]Urban_area_finals!AU2/[2]Urban_area_finals!$G2</calculatedColumnFormula>
    </tableColumn>
    <tableColumn id="47" xr3:uid="{4D84C4B2-EE01-47D8-B30A-72638F4C5260}" name="2030" dataDxfId="4" dataCellStyle="Percent">
      <calculatedColumnFormula>[2]Urban_area_finals!AV2/[2]Urban_area_finals!$G2</calculatedColumnFormula>
    </tableColumn>
    <tableColumn id="48" xr3:uid="{3B77F207-3AC4-48D3-A463-C7F780C1A72B}" name="2040" dataDxfId="3" dataCellStyle="Percent">
      <calculatedColumnFormula>[2]Urban_area_finals!AW2/[2]Urban_area_finals!$G2</calculatedColumnFormula>
    </tableColumn>
    <tableColumn id="49" xr3:uid="{5E4E39C1-4156-4905-A48B-CB89F7A337A1}" name="2050" dataDxfId="2" dataCellStyle="Percent">
      <calculatedColumnFormula>[2]Urban_area_finals!AX2/[2]Urban_area_finals!$G2</calculatedColumnFormula>
    </tableColumn>
    <tableColumn id="50" xr3:uid="{C8A06CC6-0A8A-441C-8DEA-B1F5B496F157}" name="2060" dataDxfId="1" dataCellStyle="Percent">
      <calculatedColumnFormula>[2]Urban_area_finals!AY2/[2]Urban_area_finals!$G2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EE013D-F132-4A17-98F3-E2E79F6A5E20}" name="Table4" displayName="Table4" ref="A1:AY165" totalsRowShown="0">
  <autoFilter ref="A1:AY165" xr:uid="{84EE013D-F132-4A17-98F3-E2E79F6A5E20}"/>
  <tableColumns count="51">
    <tableColumn id="1" xr3:uid="{FE489630-31A9-45B6-A566-63B1340DF0D1}" name="Cntry_ISO"/>
    <tableColumn id="2" xr3:uid="{68034BE3-A632-43CE-A593-2E4E94547CC6}" name="Cntry_name"/>
    <tableColumn id="3" xr3:uid="{9EEAC399-2625-4018-8B16-7355ABF964B9}" name="eFUA_name"/>
    <tableColumn id="4" xr3:uid="{AD4155D3-9C19-4714-BA60-178E58BF3769}" name="IMAGE-region"/>
    <tableColumn id="5" xr3:uid="{FBFCC5FE-03BA-4277-8E32-06344DE3B43E}" name="GRIP-region"/>
    <tableColumn id="6" xr3:uid="{EB9B5622-EBFF-437A-9412-F3988E106D22}" name="R10"/>
    <tableColumn id="7" xr3:uid="{7CEA9A5E-4172-4794-BCF4-4B822821526B}" name="FUA_area"/>
    <tableColumn id="8" xr3:uid="{6C586672-1747-4B6A-A48E-B7BF4BCAF644}" name="FUA_urban"/>
    <tableColumn id="9" xr3:uid="{00315516-3D1E-4E9A-AF4D-17C1E30ECB1C}" name="FUA_total_area"/>
    <tableColumn id="10" xr3:uid="{BE72D4C3-2878-4B8A-994F-7B05E647C4AE}" name="FUA_p_2015"/>
    <tableColumn id="11" xr3:uid="{2288CDA8-2FFC-4677-BB8C-8609BDF94CB6}" name="1870"/>
    <tableColumn id="12" xr3:uid="{BE619704-F895-404D-B315-697201B8BEA1}" name="1880"/>
    <tableColumn id="13" xr3:uid="{E47CE58B-5BBA-4D40-9F7C-8B934D4CB4AD}" name="1890"/>
    <tableColumn id="14" xr3:uid="{DFBBFCD5-BB46-4433-A573-37F3BE283D88}" name="1900"/>
    <tableColumn id="15" xr3:uid="{B3A9262C-BF2F-4997-8D66-2428F2A58DAF}" name="1910"/>
    <tableColumn id="16" xr3:uid="{8B061DF7-7C12-4827-83F9-8C574FA12DAB}" name="1920"/>
    <tableColumn id="17" xr3:uid="{5AA137B8-A59B-4B71-8C5E-5711C14E4505}" name="1930"/>
    <tableColumn id="18" xr3:uid="{304E5902-453D-4E1A-8CB2-176F1C8F4D94}" name="1940"/>
    <tableColumn id="19" xr3:uid="{3342E1A6-5911-4E03-B0BE-CC2CF07655CE}" name="1950"/>
    <tableColumn id="20" xr3:uid="{62A692D9-473F-4551-A635-2CC73444809B}" name="1960"/>
    <tableColumn id="21" xr3:uid="{89D4156E-5A19-42D1-92A1-ED2F4A9688B6}" name="1970"/>
    <tableColumn id="22" xr3:uid="{CE60F031-0DD8-462B-ACAB-F6E70D90F036}" name="1980"/>
    <tableColumn id="23" xr3:uid="{90B33E96-D0E5-44C3-AC70-FD3E3D2C0FFC}" name="1990"/>
    <tableColumn id="24" xr3:uid="{71F8F7CC-1D20-4750-B0B8-FC9E1ACD6847}" name="1992"/>
    <tableColumn id="25" xr3:uid="{A031E0FF-AC37-45A9-B909-BCD61C12CD0F}" name="1993"/>
    <tableColumn id="26" xr3:uid="{1E45F27E-8DFB-422F-80B7-B7CE0DFC1347}" name="1994"/>
    <tableColumn id="27" xr3:uid="{EC6B97D7-26C0-4B29-9440-F158B6C36D07}" name="1995"/>
    <tableColumn id="28" xr3:uid="{6EDB8B7B-89EF-4887-A10B-E7481C526C04}" name="1996"/>
    <tableColumn id="29" xr3:uid="{D2420337-40A4-450B-B775-4851C70634EE}" name="1997"/>
    <tableColumn id="30" xr3:uid="{577CEE94-0145-4E85-8D63-5E6F98F86F95}" name="1998"/>
    <tableColumn id="31" xr3:uid="{C42BCDBE-8915-4DF6-A113-6CFBF6059325}" name="1999"/>
    <tableColumn id="32" xr3:uid="{A2057466-F503-4C79-8E90-AA56821BBAFC}" name="2000"/>
    <tableColumn id="33" xr3:uid="{CAA7673A-8F79-4D0E-BBD1-29D09905ED5C}" name="2001"/>
    <tableColumn id="34" xr3:uid="{3226AC15-1182-4DF7-B1DC-297AA3D03E6F}" name="2002"/>
    <tableColumn id="35" xr3:uid="{BDF1A97B-2C70-4817-BAC1-D5F054F05F26}" name="2003"/>
    <tableColumn id="36" xr3:uid="{80A29647-AF43-45F0-A4EA-06B0DBDB4D97}" name="2004"/>
    <tableColumn id="37" xr3:uid="{C3934C6F-B805-4C20-BB30-34043C7D3B0C}" name="2005"/>
    <tableColumn id="38" xr3:uid="{60A208DB-AC25-499A-970E-603765BC4DBF}" name="2006"/>
    <tableColumn id="39" xr3:uid="{52ECC5B1-16E5-4F69-B4E0-98A6358B1685}" name="2007"/>
    <tableColumn id="40" xr3:uid="{9ED6FC3B-E4DA-498B-9AC7-59A429EAC9ED}" name="2008"/>
    <tableColumn id="41" xr3:uid="{80F74B87-E6A5-4570-A71B-0E35EFDDE8EB}" name="2009"/>
    <tableColumn id="42" xr3:uid="{BEA9A179-BCF0-404D-8126-BE2FAA9673D5}" name="2010"/>
    <tableColumn id="43" xr3:uid="{9B5D2ACA-FAA6-4B16-822C-56D27AB12D81}" name="2011"/>
    <tableColumn id="44" xr3:uid="{73BA0DBD-F70B-4365-AC57-20F26FC450D3}" name="2012"/>
    <tableColumn id="45" xr3:uid="{A196BB98-425B-4EE9-B7DD-3450BB65114E}" name="2013"/>
    <tableColumn id="46" xr3:uid="{7D2C06FA-DC6D-4627-BF26-8BFF85544E13}" name="2020">
      <calculatedColumnFormula>Sheet1!$AT2*_xlfn.XLOOKUP($A2,'[1]SSP4-change-rate'!$B$2:$B$147,'[1]SSP4-change-rate'!C$2:C$147)</calculatedColumnFormula>
    </tableColumn>
    <tableColumn id="47" xr3:uid="{F61F4AAB-A873-4713-9034-A827A343F5D0}" name="2024">
      <calculatedColumnFormula>Sheet1!$AT2*_xlfn.XLOOKUP($A2,'[1]SSP4-change-rate'!$B$2:$B$147,'[1]SSP4-change-rate'!D$2:D$147)</calculatedColumnFormula>
    </tableColumn>
    <tableColumn id="48" xr3:uid="{E1CAC1A9-1A91-45AD-B222-0542222EC9B9}" name="2030">
      <calculatedColumnFormula>Sheet1!$AT2*_xlfn.XLOOKUP($A2,'[1]SSP4-change-rate'!$B$2:$B$147,'[1]SSP4-change-rate'!E$2:E$147)</calculatedColumnFormula>
    </tableColumn>
    <tableColumn id="49" xr3:uid="{86EB4D6D-4F70-4929-B48C-185B69073EDB}" name="2040">
      <calculatedColumnFormula>Sheet1!$AT2*_xlfn.XLOOKUP($A2,'[1]SSP4-change-rate'!$B$2:$B$147,'[1]SSP4-change-rate'!F$2:F$147)</calculatedColumnFormula>
    </tableColumn>
    <tableColumn id="50" xr3:uid="{44574DFB-192F-475F-BCC3-81020A1C565C}" name="2050">
      <calculatedColumnFormula>Sheet1!$AT2*_xlfn.XLOOKUP($A2,'[1]SSP4-change-rate'!$B$2:$B$147,'[1]SSP4-change-rate'!G$2:G$147)</calculatedColumnFormula>
    </tableColumn>
    <tableColumn id="51" xr3:uid="{AC04B34D-FDE5-4367-BAF8-3E2CB1C62884}" name="2060">
      <calculatedColumnFormula>Sheet1!$AT2*_xlfn.XLOOKUP($A2,'[1]SSP4-change-rate'!$B$2:$B$147,'[1]SSP4-change-rate'!H$2:H$147)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4004-3364-4E80-8693-77A86229B0A9}">
  <dimension ref="A1:AY165"/>
  <sheetViews>
    <sheetView showGridLines="0" tabSelected="1" topLeftCell="M116" workbookViewId="0">
      <selection activeCell="A155" sqref="A155:XFD155"/>
    </sheetView>
  </sheetViews>
  <sheetFormatPr defaultRowHeight="15" x14ac:dyDescent="0.25"/>
  <cols>
    <col min="10" max="10" width="15.285156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1870</v>
      </c>
      <c r="L1">
        <v>1880</v>
      </c>
      <c r="M1">
        <v>1890</v>
      </c>
      <c r="N1">
        <v>1900</v>
      </c>
      <c r="O1">
        <v>1910</v>
      </c>
      <c r="P1">
        <v>1920</v>
      </c>
      <c r="Q1">
        <v>1930</v>
      </c>
      <c r="R1">
        <v>1940</v>
      </c>
      <c r="S1">
        <v>1950</v>
      </c>
      <c r="T1">
        <v>1960</v>
      </c>
      <c r="U1">
        <v>1970</v>
      </c>
      <c r="V1">
        <v>1980</v>
      </c>
      <c r="W1">
        <v>1990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2020</v>
      </c>
      <c r="AU1">
        <v>2024</v>
      </c>
      <c r="AV1">
        <v>2030</v>
      </c>
      <c r="AW1">
        <v>2040</v>
      </c>
      <c r="AX1">
        <v>2050</v>
      </c>
      <c r="AY1">
        <v>2060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1829.665884727164</v>
      </c>
      <c r="AU2">
        <v>1836.4785792995187</v>
      </c>
      <c r="AV2">
        <v>1844.7839999819228</v>
      </c>
      <c r="AW2">
        <v>1850.00819822729</v>
      </c>
      <c r="AX2">
        <v>1838.6420335044033</v>
      </c>
      <c r="AY2">
        <v>1763.1447994617527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4342.7227614742542</v>
      </c>
      <c r="AU3">
        <v>4366.6678030107905</v>
      </c>
      <c r="AV3">
        <v>4396.7450804948057</v>
      </c>
      <c r="AW3">
        <v>4417.1823204170587</v>
      </c>
      <c r="AX3">
        <v>4344.2633329130022</v>
      </c>
      <c r="AY3">
        <v>4054.3707567908687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798.78865178188403</v>
      </c>
      <c r="AU4">
        <v>796.86466528597953</v>
      </c>
      <c r="AV4">
        <v>794.06547289512514</v>
      </c>
      <c r="AW4">
        <v>786.90086784465825</v>
      </c>
      <c r="AX4">
        <v>776.78774984104678</v>
      </c>
      <c r="AY4">
        <v>763.98581343023966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3607.7675440897378</v>
      </c>
      <c r="AU5">
        <v>3596.1778732097646</v>
      </c>
      <c r="AV5">
        <v>3583.376188908117</v>
      </c>
      <c r="AW5">
        <v>3496.4192664468237</v>
      </c>
      <c r="AX5">
        <v>3382.0555396888803</v>
      </c>
      <c r="AY5">
        <v>3296.5251286776884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v>18351.102305760567</v>
      </c>
      <c r="AU6">
        <v>18249.595093259421</v>
      </c>
      <c r="AV6">
        <v>18105.192423651006</v>
      </c>
      <c r="AW6">
        <v>17756.356808698383</v>
      </c>
      <c r="AX6">
        <v>17289.666418715417</v>
      </c>
      <c r="AY6">
        <v>16733.314697044803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v>730.894482593112</v>
      </c>
      <c r="AU7">
        <v>723.20085646055293</v>
      </c>
      <c r="AV7">
        <v>717.01673925273644</v>
      </c>
      <c r="AW7">
        <v>699.28823469719362</v>
      </c>
      <c r="AX7">
        <v>681.46200550951994</v>
      </c>
      <c r="AY7">
        <v>662.3731248500078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v>31650.091398994697</v>
      </c>
      <c r="AU8">
        <v>31508.541399115602</v>
      </c>
      <c r="AV8">
        <v>31328.589350012084</v>
      </c>
      <c r="AW8">
        <v>30963.347055167193</v>
      </c>
      <c r="AX8">
        <v>30495.5499150205</v>
      </c>
      <c r="AY8">
        <v>29969.634186023879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v>6041.641668423732</v>
      </c>
      <c r="AU9">
        <v>6038.0045519840123</v>
      </c>
      <c r="AV9">
        <v>6030.9894899450965</v>
      </c>
      <c r="AW9">
        <v>6017.9072612721102</v>
      </c>
      <c r="AX9">
        <v>5996.4007942410926</v>
      </c>
      <c r="AY9">
        <v>5974.2222991911613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v>1927.5621902922921</v>
      </c>
      <c r="AU10">
        <v>1910.6261128244362</v>
      </c>
      <c r="AV10">
        <v>1889.8785556005757</v>
      </c>
      <c r="AW10">
        <v>1833.1788689990153</v>
      </c>
      <c r="AX10">
        <v>1764.933070686629</v>
      </c>
      <c r="AY10">
        <v>1692.2045276847996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v>374.47265943507858</v>
      </c>
      <c r="AU11">
        <v>374.47265943507858</v>
      </c>
      <c r="AV11">
        <v>374.47265943507858</v>
      </c>
      <c r="AW11">
        <v>357.82943012685291</v>
      </c>
      <c r="AX11">
        <v>345.10225477350383</v>
      </c>
      <c r="AY11">
        <v>293.81700971060013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v>14508.563420070202</v>
      </c>
      <c r="AU12">
        <v>14431.559819657077</v>
      </c>
      <c r="AV12">
        <v>14322.461106221779</v>
      </c>
      <c r="AW12">
        <v>14088.835093426063</v>
      </c>
      <c r="AX12">
        <v>13784.455777997231</v>
      </c>
      <c r="AY12">
        <v>13402.579458649547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v>1140.4957494711857</v>
      </c>
      <c r="AU13">
        <v>1139.9149504135703</v>
      </c>
      <c r="AV13">
        <v>1154.4396910520468</v>
      </c>
      <c r="AW13">
        <v>1164.5516360203346</v>
      </c>
      <c r="AX13">
        <v>1171.865777759084</v>
      </c>
      <c r="AY13">
        <v>1171.8913086039154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v>1379.6295619531738</v>
      </c>
      <c r="AU14">
        <v>1385.550718871428</v>
      </c>
      <c r="AV14">
        <v>1385.0826432257161</v>
      </c>
      <c r="AW14">
        <v>1389.0790795007983</v>
      </c>
      <c r="AX14">
        <v>1391.9111307539438</v>
      </c>
      <c r="AY14">
        <v>1376.1100987849259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v>23379.367995099008</v>
      </c>
      <c r="AU15">
        <v>23299.047022393494</v>
      </c>
      <c r="AV15">
        <v>23149.668894812443</v>
      </c>
      <c r="AW15">
        <v>22697.068106576418</v>
      </c>
      <c r="AX15">
        <v>21695.393158570274</v>
      </c>
      <c r="AY15">
        <v>19057.567693653018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v>2655.0167575602218</v>
      </c>
      <c r="AU16">
        <v>2649.9348895477046</v>
      </c>
      <c r="AV16">
        <v>2640.1918673964374</v>
      </c>
      <c r="AW16">
        <v>2610.4010872213817</v>
      </c>
      <c r="AX16">
        <v>2570.5267306171031</v>
      </c>
      <c r="AY16">
        <v>2520.4211590347268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v>664.36467000786627</v>
      </c>
      <c r="AU17">
        <v>659.54794300772585</v>
      </c>
      <c r="AV17">
        <v>654.01229606027061</v>
      </c>
      <c r="AW17">
        <v>641.13336804082292</v>
      </c>
      <c r="AX17">
        <v>624.86983071058432</v>
      </c>
      <c r="AY17">
        <v>607.09100393058065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v>202.52896283782965</v>
      </c>
      <c r="AU18">
        <v>201.05415007191567</v>
      </c>
      <c r="AV18">
        <v>199.78062207893132</v>
      </c>
      <c r="AW18">
        <v>194.72324649140688</v>
      </c>
      <c r="AX18">
        <v>190.17734075836697</v>
      </c>
      <c r="AY18">
        <v>183.46830679272458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v>768.15401774983002</v>
      </c>
      <c r="AU19">
        <v>764.24483699792245</v>
      </c>
      <c r="AV19">
        <v>760.71426939389949</v>
      </c>
      <c r="AW19">
        <v>747.57846370295954</v>
      </c>
      <c r="AX19">
        <v>731.26979560317852</v>
      </c>
      <c r="AY19">
        <v>711.87342635033758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3078.6180615179592</v>
      </c>
      <c r="AU20">
        <v>3067.1506998957034</v>
      </c>
      <c r="AV20">
        <v>3054.6267099152701</v>
      </c>
      <c r="AW20">
        <v>3004.0579575667289</v>
      </c>
      <c r="AX20">
        <v>2939.5025025045111</v>
      </c>
      <c r="AY20">
        <v>2858.6960621848252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v>2784.2486217017922</v>
      </c>
      <c r="AU21">
        <v>2801.7394168891565</v>
      </c>
      <c r="AV21">
        <v>2824.5134758824415</v>
      </c>
      <c r="AW21">
        <v>2855.2336060827411</v>
      </c>
      <c r="AX21">
        <v>2868.9775518844772</v>
      </c>
      <c r="AY21">
        <v>2854.6192253295535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v>71254.210467188954</v>
      </c>
      <c r="AU22">
        <v>70889.051670025903</v>
      </c>
      <c r="AV22">
        <v>70379.663614421966</v>
      </c>
      <c r="AW22">
        <v>69090.252295298298</v>
      </c>
      <c r="AX22">
        <v>67246.410781206549</v>
      </c>
      <c r="AY22">
        <v>64938.9583321194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v>107.50895862598746</v>
      </c>
      <c r="AU23">
        <v>105.87576857876188</v>
      </c>
      <c r="AV23">
        <v>103.72086213649898</v>
      </c>
      <c r="AW23">
        <v>98.861498910418902</v>
      </c>
      <c r="AX23">
        <v>94.346352061749471</v>
      </c>
      <c r="AY23">
        <v>89.269749256286048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v>529.53620081079168</v>
      </c>
      <c r="AU24">
        <v>522.0341243340124</v>
      </c>
      <c r="AV24">
        <v>517.72263571762642</v>
      </c>
      <c r="AW24">
        <v>497.2742693202394</v>
      </c>
      <c r="AX24">
        <v>475.22255219171194</v>
      </c>
      <c r="AY24">
        <v>449.34943994866524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v>194.48987104293579</v>
      </c>
      <c r="AU25">
        <v>203.75129347355178</v>
      </c>
      <c r="AV25">
        <v>202.94595239262864</v>
      </c>
      <c r="AW25">
        <v>201.97025069843335</v>
      </c>
      <c r="AX25">
        <v>208.38200468885978</v>
      </c>
      <c r="AY25">
        <v>207.03760465860904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v>46021.872106691095</v>
      </c>
      <c r="AU26">
        <v>45791.381195383859</v>
      </c>
      <c r="AV26">
        <v>45478.860249421341</v>
      </c>
      <c r="AW26">
        <v>44832.028442938477</v>
      </c>
      <c r="AX26">
        <v>43946.093798177099</v>
      </c>
      <c r="AY26">
        <v>42917.538639305203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v>8113.0033380685618</v>
      </c>
      <c r="AU27">
        <v>8099.5945464671377</v>
      </c>
      <c r="AV27">
        <v>8077.1772114965534</v>
      </c>
      <c r="AW27">
        <v>8032.2936745194247</v>
      </c>
      <c r="AX27">
        <v>7971.0005644574694</v>
      </c>
      <c r="AY27">
        <v>7895.8002238414037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v>8540.043692668427</v>
      </c>
      <c r="AU28">
        <v>8500.7891119628039</v>
      </c>
      <c r="AV28">
        <v>8438.3234131778936</v>
      </c>
      <c r="AW28">
        <v>8292.5733063573844</v>
      </c>
      <c r="AX28">
        <v>8111.4224133409125</v>
      </c>
      <c r="AY28">
        <v>7901.5795767882646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v>353050.44331976504</v>
      </c>
      <c r="AU29">
        <v>349710.61777800746</v>
      </c>
      <c r="AV29">
        <v>345680.41638248926</v>
      </c>
      <c r="AW29">
        <v>336048.71107082622</v>
      </c>
      <c r="AX29">
        <v>325484.82533214503</v>
      </c>
      <c r="AY29">
        <v>314488.17592661252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v>2421.7572146604011</v>
      </c>
      <c r="AU30">
        <v>2445.7532846227377</v>
      </c>
      <c r="AV30">
        <v>2481.5355116662449</v>
      </c>
      <c r="AW30">
        <v>2536.4748956696071</v>
      </c>
      <c r="AX30">
        <v>2545.1602832569433</v>
      </c>
      <c r="AY30">
        <v>2396.3365259488219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v>2318.6035733937597</v>
      </c>
      <c r="AU31">
        <v>2319.0349415004375</v>
      </c>
      <c r="AV31">
        <v>2319.6413836922525</v>
      </c>
      <c r="AW31">
        <v>2260.8763708824513</v>
      </c>
      <c r="AX31">
        <v>2088.6607718477467</v>
      </c>
      <c r="AY31">
        <v>1639.0148530917556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4062.5123884926179</v>
      </c>
      <c r="AU32">
        <v>4073.578909687229</v>
      </c>
      <c r="AV32">
        <v>4083.8584221744622</v>
      </c>
      <c r="AW32">
        <v>4008.6858118807945</v>
      </c>
      <c r="AX32">
        <v>3629.4587953076798</v>
      </c>
      <c r="AY32">
        <v>2739.6141347768435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v>410.67485559612055</v>
      </c>
      <c r="AU33">
        <v>404.09137296895801</v>
      </c>
      <c r="AV33">
        <v>396.2491195518304</v>
      </c>
      <c r="AW33">
        <v>369.63695045828013</v>
      </c>
      <c r="AX33">
        <v>311.97653687155184</v>
      </c>
      <c r="AY33">
        <v>220.27817016355723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v>7009.1364876011121</v>
      </c>
      <c r="AU34">
        <v>6965.5605833209966</v>
      </c>
      <c r="AV34">
        <v>6908.5909048498315</v>
      </c>
      <c r="AW34">
        <v>6764.0187414805569</v>
      </c>
      <c r="AX34">
        <v>6545.356952062506</v>
      </c>
      <c r="AY34">
        <v>6200.0926764125416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v>1924.3965413160947</v>
      </c>
      <c r="AU35">
        <v>1910.3758213229794</v>
      </c>
      <c r="AV35">
        <v>1894.7392190530652</v>
      </c>
      <c r="AW35">
        <v>1857.3696515995398</v>
      </c>
      <c r="AX35">
        <v>1810.1092599258211</v>
      </c>
      <c r="AY35">
        <v>1746.9156498127975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2322.8440273603542</v>
      </c>
      <c r="AU36">
        <v>2317.8920473343437</v>
      </c>
      <c r="AV36">
        <v>2308.5207018174137</v>
      </c>
      <c r="AW36">
        <v>2275.8368080808568</v>
      </c>
      <c r="AX36">
        <v>2215.8485270552751</v>
      </c>
      <c r="AY36">
        <v>2151.8900909602362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v>473.74286883154372</v>
      </c>
      <c r="AU37">
        <v>472.54956185715696</v>
      </c>
      <c r="AV37">
        <v>470.41446460087712</v>
      </c>
      <c r="AW37">
        <v>464.24902376477928</v>
      </c>
      <c r="AX37">
        <v>452.28136302877243</v>
      </c>
      <c r="AY37">
        <v>439.85663277206447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v>10493.247780439164</v>
      </c>
      <c r="AU38">
        <v>10462.655195990894</v>
      </c>
      <c r="AV38">
        <v>10422.337828939635</v>
      </c>
      <c r="AW38">
        <v>10327.024205801394</v>
      </c>
      <c r="AX38">
        <v>10193.682858886606</v>
      </c>
      <c r="AY38">
        <v>10032.495081108842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v>65058.149024529914</v>
      </c>
      <c r="AU39">
        <v>64948.979287563197</v>
      </c>
      <c r="AV39">
        <v>64790.951198738672</v>
      </c>
      <c r="AW39">
        <v>64448.437077519469</v>
      </c>
      <c r="AX39">
        <v>64001.486857244425</v>
      </c>
      <c r="AY39">
        <v>63418.834653009711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v>51.66440742196265</v>
      </c>
      <c r="AU40">
        <v>51.66440742196265</v>
      </c>
      <c r="AV40">
        <v>51.66440742196265</v>
      </c>
      <c r="AW40">
        <v>50.372797236413582</v>
      </c>
      <c r="AX40">
        <v>49.316025266418897</v>
      </c>
      <c r="AY40">
        <v>43.866006301666403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v>6841.8326812125943</v>
      </c>
      <c r="AU41">
        <v>6832.3821291505183</v>
      </c>
      <c r="AV41">
        <v>6814.2788934089031</v>
      </c>
      <c r="AW41">
        <v>6802.7884896783607</v>
      </c>
      <c r="AX41">
        <v>6801.2264555701695</v>
      </c>
      <c r="AY41">
        <v>6838.9781225173883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v>2865.8862486959761</v>
      </c>
      <c r="AU42">
        <v>2841.5615530920099</v>
      </c>
      <c r="AV42">
        <v>2814.2246978814387</v>
      </c>
      <c r="AW42">
        <v>2733.030921071294</v>
      </c>
      <c r="AX42">
        <v>2624.5239598536355</v>
      </c>
      <c r="AY42">
        <v>2505.0711930753009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v>8049.092636759081</v>
      </c>
      <c r="AU43">
        <v>8015.8366692890713</v>
      </c>
      <c r="AV43">
        <v>7967.6519555627074</v>
      </c>
      <c r="AW43">
        <v>7787.1061424938489</v>
      </c>
      <c r="AX43">
        <v>7490.6955606293959</v>
      </c>
      <c r="AY43">
        <v>7068.9198936913735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v>5231.0010060057139</v>
      </c>
      <c r="AU44">
        <v>5198.0697401820071</v>
      </c>
      <c r="AV44">
        <v>5156.9377378262188</v>
      </c>
      <c r="AW44">
        <v>5032.4457695961128</v>
      </c>
      <c r="AX44">
        <v>4862.5155927398218</v>
      </c>
      <c r="AY44">
        <v>4636.0485004413204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v>18155.230334430053</v>
      </c>
      <c r="AU45">
        <v>18030.285745794103</v>
      </c>
      <c r="AV45">
        <v>17862.940777779047</v>
      </c>
      <c r="AW45">
        <v>17311.633780569435</v>
      </c>
      <c r="AX45">
        <v>16522.706304450272</v>
      </c>
      <c r="AY45">
        <v>15587.306410566127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v>109.1589092299342</v>
      </c>
      <c r="AU46">
        <v>109.1589092299342</v>
      </c>
      <c r="AV46">
        <v>106.49649680969189</v>
      </c>
      <c r="AW46">
        <v>105.3948089116606</v>
      </c>
      <c r="AX46">
        <v>100.97199103768914</v>
      </c>
      <c r="AY46">
        <v>98.040872178737189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v>27260.135589894882</v>
      </c>
      <c r="AU47">
        <v>27187.368558004862</v>
      </c>
      <c r="AV47">
        <v>27084.463088657067</v>
      </c>
      <c r="AW47">
        <v>26832.02810006437</v>
      </c>
      <c r="AX47">
        <v>26470.547401100663</v>
      </c>
      <c r="AY47">
        <v>26036.125100461515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v>922.54780209332944</v>
      </c>
      <c r="AU48">
        <v>922.54780209332944</v>
      </c>
      <c r="AV48">
        <v>920.89152237682435</v>
      </c>
      <c r="AW48">
        <v>916.39748341270717</v>
      </c>
      <c r="AX48">
        <v>905.30391794205229</v>
      </c>
      <c r="AY48">
        <v>889.98729143121193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v>3059.6617933410107</v>
      </c>
      <c r="AU49">
        <v>3060.8111914296774</v>
      </c>
      <c r="AV49">
        <v>3043.4776688732095</v>
      </c>
      <c r="AW49">
        <v>2968.6530228778511</v>
      </c>
      <c r="AX49">
        <v>2823.9612711142963</v>
      </c>
      <c r="AY49">
        <v>2544.0871581115075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v>6103.1122850161682</v>
      </c>
      <c r="AU50">
        <v>6069.5960502897187</v>
      </c>
      <c r="AV50">
        <v>6021.4194215681646</v>
      </c>
      <c r="AW50">
        <v>5915.5404796477596</v>
      </c>
      <c r="AX50">
        <v>5776.864692065802</v>
      </c>
      <c r="AY50">
        <v>5601.7713642084645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v>75164.19365131222</v>
      </c>
      <c r="AU51">
        <v>74896.582855302171</v>
      </c>
      <c r="AV51">
        <v>74513.139309171369</v>
      </c>
      <c r="AW51">
        <v>73668.148966799199</v>
      </c>
      <c r="AX51">
        <v>72561.206328495347</v>
      </c>
      <c r="AY51">
        <v>71201.955088574483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v>259.88175128624982</v>
      </c>
      <c r="AU52">
        <v>259.88175128624982</v>
      </c>
      <c r="AV52">
        <v>259.88175128624982</v>
      </c>
      <c r="AW52">
        <v>261.51622770943379</v>
      </c>
      <c r="AX52">
        <v>261.41951312818031</v>
      </c>
      <c r="AY52">
        <v>257.02590786552179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v>84860.379718220327</v>
      </c>
      <c r="AU53">
        <v>84390.490524490015</v>
      </c>
      <c r="AV53">
        <v>83719.498656495911</v>
      </c>
      <c r="AW53">
        <v>82378.159588102659</v>
      </c>
      <c r="AX53">
        <v>80752.31774223398</v>
      </c>
      <c r="AY53">
        <v>78921.809114442643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v>396.74444017983603</v>
      </c>
      <c r="AU54">
        <v>392.57549685045075</v>
      </c>
      <c r="AV54">
        <v>388.54300472392214</v>
      </c>
      <c r="AW54">
        <v>379.35861896249003</v>
      </c>
      <c r="AX54">
        <v>371.35964134733757</v>
      </c>
      <c r="AY54">
        <v>361.72983464306219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v>4655.4756251332856</v>
      </c>
      <c r="AU55">
        <v>4669.7698666132937</v>
      </c>
      <c r="AV55">
        <v>4691.1067875531453</v>
      </c>
      <c r="AW55">
        <v>4689.8702504729954</v>
      </c>
      <c r="AX55">
        <v>4518.6540432288311</v>
      </c>
      <c r="AY55">
        <v>3903.4009300955504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v>1281.924242606824</v>
      </c>
      <c r="AU56">
        <v>1281.924242606824</v>
      </c>
      <c r="AV56">
        <v>1260.1967130711153</v>
      </c>
      <c r="AW56">
        <v>1243.6578473051277</v>
      </c>
      <c r="AX56">
        <v>1183.3146854832223</v>
      </c>
      <c r="AY56">
        <v>1077.3618634674372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v>229.31831755263403</v>
      </c>
      <c r="AU57">
        <v>236.9622614710552</v>
      </c>
      <c r="AV57">
        <v>242.80763034984778</v>
      </c>
      <c r="AW57">
        <v>240.23823743609282</v>
      </c>
      <c r="AX57">
        <v>238.49105025473941</v>
      </c>
      <c r="AY57">
        <v>241.17960983983923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104.28121178953812</v>
      </c>
      <c r="AU58">
        <v>104.56527990554869</v>
      </c>
      <c r="AV58">
        <v>104.8291461824395</v>
      </c>
      <c r="AW58">
        <v>102.89952969265077</v>
      </c>
      <c r="AX58">
        <v>93.165097142095732</v>
      </c>
      <c r="AY58">
        <v>70.323547226469074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v>5188.6535635654773</v>
      </c>
      <c r="AU59">
        <v>5175.5698524893523</v>
      </c>
      <c r="AV59">
        <v>5158.9577455601493</v>
      </c>
      <c r="AW59">
        <v>5112.1756541791101</v>
      </c>
      <c r="AX59">
        <v>5045.7393314030542</v>
      </c>
      <c r="AY59">
        <v>4958.824204115409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v>3478.0068088301005</v>
      </c>
      <c r="AU60">
        <v>3533.2132661131177</v>
      </c>
      <c r="AV60">
        <v>3596.6567475668335</v>
      </c>
      <c r="AW60">
        <v>3708.5717623673809</v>
      </c>
      <c r="AX60">
        <v>3807.3684367182332</v>
      </c>
      <c r="AY60">
        <v>3876.6663004956549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v>168.54024812413414</v>
      </c>
      <c r="AU61">
        <v>168.54024812413414</v>
      </c>
      <c r="AV61">
        <v>168.54024812413414</v>
      </c>
      <c r="AW61">
        <v>164.10497843665692</v>
      </c>
      <c r="AX61">
        <v>152.64022471619697</v>
      </c>
      <c r="AY61">
        <v>145.93119044894542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v>2611.0739899783025</v>
      </c>
      <c r="AU62">
        <v>2629.2792803972497</v>
      </c>
      <c r="AV62">
        <v>2650.826884087583</v>
      </c>
      <c r="AW62">
        <v>2682.372228038515</v>
      </c>
      <c r="AX62">
        <v>2702.1692952256803</v>
      </c>
      <c r="AY62">
        <v>2703.8291889265079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v>2810.8942875580788</v>
      </c>
      <c r="AU63">
        <v>2803.1910492573761</v>
      </c>
      <c r="AV63">
        <v>2790.8901418881169</v>
      </c>
      <c r="AW63">
        <v>2755.8113693967352</v>
      </c>
      <c r="AX63">
        <v>2707.5220382655798</v>
      </c>
      <c r="AY63">
        <v>2647.3989690308322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v>862.08819812013553</v>
      </c>
      <c r="AU64">
        <v>838.99812370718575</v>
      </c>
      <c r="AV64">
        <v>800.26388977296892</v>
      </c>
      <c r="AW64">
        <v>617.21644914582873</v>
      </c>
      <c r="AX64">
        <v>322.48348289594151</v>
      </c>
      <c r="AY64">
        <v>138.02768979399724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v>9305.7793605064435</v>
      </c>
      <c r="AU65">
        <v>9282.4249981680405</v>
      </c>
      <c r="AV65">
        <v>9245.7977087246963</v>
      </c>
      <c r="AW65">
        <v>9160.9425163315063</v>
      </c>
      <c r="AX65">
        <v>9048.0979981813889</v>
      </c>
      <c r="AY65">
        <v>8899.3384583237057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v>63280.825151982455</v>
      </c>
      <c r="AU66">
        <v>62747.663510064987</v>
      </c>
      <c r="AV66">
        <v>62055.975751725418</v>
      </c>
      <c r="AW66">
        <v>59867.628405080919</v>
      </c>
      <c r="AX66">
        <v>56862.333658956719</v>
      </c>
      <c r="AY66">
        <v>53002.368688301089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v>116932.21525360206</v>
      </c>
      <c r="AU67">
        <v>115142.14347505169</v>
      </c>
      <c r="AV67">
        <v>113023.38909647687</v>
      </c>
      <c r="AW67">
        <v>106037.20474050142</v>
      </c>
      <c r="AX67">
        <v>97344.523305733077</v>
      </c>
      <c r="AY67">
        <v>87826.782975276277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v>4057.0569741499962</v>
      </c>
      <c r="AU68">
        <v>4036.9983255175202</v>
      </c>
      <c r="AV68">
        <v>4004.6790864138366</v>
      </c>
      <c r="AW68">
        <v>3942.902593378099</v>
      </c>
      <c r="AX68">
        <v>3865.5339598064297</v>
      </c>
      <c r="AY68">
        <v>3782.1969149464016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v>18225.628641525149</v>
      </c>
      <c r="AU69">
        <v>18145.098141555398</v>
      </c>
      <c r="AV69">
        <v>18030.388952500387</v>
      </c>
      <c r="AW69">
        <v>17713.903717508645</v>
      </c>
      <c r="AX69">
        <v>17255.724389231746</v>
      </c>
      <c r="AY69">
        <v>16697.995492262446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v>8063.7893675811601</v>
      </c>
      <c r="AU70">
        <v>7863.0382597558473</v>
      </c>
      <c r="AV70">
        <v>7627.1928972299111</v>
      </c>
      <c r="AW70">
        <v>6563.6058723300257</v>
      </c>
      <c r="AX70">
        <v>5155.6646704317627</v>
      </c>
      <c r="AY70">
        <v>4073.3609204586128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v>234.97933179862829</v>
      </c>
      <c r="AU71">
        <v>234.97933179862829</v>
      </c>
      <c r="AV71">
        <v>232.88130205042626</v>
      </c>
      <c r="AW71">
        <v>231.18934257606978</v>
      </c>
      <c r="AX71">
        <v>226.52683784903735</v>
      </c>
      <c r="AY71">
        <v>224.50254630442194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v>2992.4262560344373</v>
      </c>
      <c r="AU72">
        <v>2967.5433791951691</v>
      </c>
      <c r="AV72">
        <v>2936.4525073687619</v>
      </c>
      <c r="AW72">
        <v>2867.9589640809859</v>
      </c>
      <c r="AX72">
        <v>2781.5357555532296</v>
      </c>
      <c r="AY72">
        <v>2688.7868253663846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v>31759.413910833631</v>
      </c>
      <c r="AU73">
        <v>31687.405740543851</v>
      </c>
      <c r="AV73">
        <v>31582.861892380679</v>
      </c>
      <c r="AW73">
        <v>31327.091280939258</v>
      </c>
      <c r="AX73">
        <v>30986.99675906483</v>
      </c>
      <c r="AY73">
        <v>30521.130622731045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v>970.76341965961967</v>
      </c>
      <c r="AU74">
        <v>959.85811518177229</v>
      </c>
      <c r="AV74">
        <v>949.58301410034551</v>
      </c>
      <c r="AW74">
        <v>920.46738613740536</v>
      </c>
      <c r="AX74">
        <v>893.82567322124896</v>
      </c>
      <c r="AY74">
        <v>860.16841766905122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v>2179.9514435147298</v>
      </c>
      <c r="AU75">
        <v>2189.7462177947682</v>
      </c>
      <c r="AV75">
        <v>2203.6242394558312</v>
      </c>
      <c r="AW75">
        <v>2212.7969169498238</v>
      </c>
      <c r="AX75">
        <v>2228.581833965643</v>
      </c>
      <c r="AY75">
        <v>2251.5834049967611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v>78157.967430786666</v>
      </c>
      <c r="AU76">
        <v>78157.967430786666</v>
      </c>
      <c r="AV76">
        <v>78157.967430786666</v>
      </c>
      <c r="AW76">
        <v>78157.967430786666</v>
      </c>
      <c r="AX76">
        <v>78157.967430786666</v>
      </c>
      <c r="AY76">
        <v>78157.967430786666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v>4769.1452728215072</v>
      </c>
      <c r="AU77">
        <v>4751.4431633004115</v>
      </c>
      <c r="AV77">
        <v>4730.2408418717514</v>
      </c>
      <c r="AW77">
        <v>4655.1103651622661</v>
      </c>
      <c r="AX77">
        <v>4556.5785307392471</v>
      </c>
      <c r="AY77">
        <v>4425.176666309083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v>2333.8881188531172</v>
      </c>
      <c r="AU78">
        <v>2346.4521160476329</v>
      </c>
      <c r="AV78">
        <v>2375.0009037153682</v>
      </c>
      <c r="AW78">
        <v>2334.8761901369103</v>
      </c>
      <c r="AX78">
        <v>2075.9358548527161</v>
      </c>
      <c r="AY78">
        <v>1386.5056425782004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v>544.29065354086845</v>
      </c>
      <c r="AU79">
        <v>527.62869475900516</v>
      </c>
      <c r="AV79">
        <v>518.84718577681326</v>
      </c>
      <c r="AW79">
        <v>487.97155750629946</v>
      </c>
      <c r="AX79">
        <v>479.35264747261039</v>
      </c>
      <c r="AY79">
        <v>465.33406000190195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v>1011.5415514110299</v>
      </c>
      <c r="AU80">
        <v>1001.8151903397701</v>
      </c>
      <c r="AV80">
        <v>987.45722875838635</v>
      </c>
      <c r="AW80">
        <v>883.55057959983844</v>
      </c>
      <c r="AX80">
        <v>740.15235469099753</v>
      </c>
      <c r="AY80">
        <v>625.09556972079451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v>21364.847894374005</v>
      </c>
      <c r="AU81">
        <v>21319.345267927529</v>
      </c>
      <c r="AV81">
        <v>21251.213095265353</v>
      </c>
      <c r="AW81">
        <v>21109.478155516223</v>
      </c>
      <c r="AX81">
        <v>21006.985824602416</v>
      </c>
      <c r="AY81">
        <v>21006.985824602416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951.18493836028597</v>
      </c>
      <c r="AU82">
        <v>948.12933118857597</v>
      </c>
      <c r="AV82">
        <v>944.75417767755823</v>
      </c>
      <c r="AW82">
        <v>921.82805676745556</v>
      </c>
      <c r="AX82">
        <v>891.67615450171434</v>
      </c>
      <c r="AY82">
        <v>869.12613215925853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v>352.39591579626676</v>
      </c>
      <c r="AU83">
        <v>349.50742468318259</v>
      </c>
      <c r="AV83">
        <v>349.70587063751663</v>
      </c>
      <c r="AW83">
        <v>342.99869137503299</v>
      </c>
      <c r="AX83">
        <v>336.10015090395387</v>
      </c>
      <c r="AY83">
        <v>324.48336801042387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v>1402.8043905743525</v>
      </c>
      <c r="AU84">
        <v>1389.61426583702</v>
      </c>
      <c r="AV84">
        <v>1376.1713581479248</v>
      </c>
      <c r="AW84">
        <v>1342.1975336099754</v>
      </c>
      <c r="AX84">
        <v>1301.6328159773648</v>
      </c>
      <c r="AY84">
        <v>1253.2519681460265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v>535.13378915189662</v>
      </c>
      <c r="AU85">
        <v>535.13378915189662</v>
      </c>
      <c r="AV85">
        <v>535.13378915189662</v>
      </c>
      <c r="AW85">
        <v>439.57418394620078</v>
      </c>
      <c r="AX85">
        <v>161.0596841136776</v>
      </c>
      <c r="AY85">
        <v>27.147801857232931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v>3151.246412830692</v>
      </c>
      <c r="AU86">
        <v>3128.9602627230552</v>
      </c>
      <c r="AV86">
        <v>3100.7617523748759</v>
      </c>
      <c r="AW86">
        <v>3028.0788445853436</v>
      </c>
      <c r="AX86">
        <v>2923.0353495476293</v>
      </c>
      <c r="AY86">
        <v>2798.7808108228242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v>4815.2004454465432</v>
      </c>
      <c r="AU87">
        <v>4771.303008456538</v>
      </c>
      <c r="AV87">
        <v>4730.6477785699662</v>
      </c>
      <c r="AW87">
        <v>4629.1240875389094</v>
      </c>
      <c r="AX87">
        <v>4503.3326721166559</v>
      </c>
      <c r="AY87">
        <v>4306.6130851069156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v>2723.918885867377</v>
      </c>
      <c r="AU89">
        <v>2715.0425748719149</v>
      </c>
      <c r="AV89">
        <v>2702.5005926471595</v>
      </c>
      <c r="AW89">
        <v>2675.5071644279728</v>
      </c>
      <c r="AX89">
        <v>2644.1008624888386</v>
      </c>
      <c r="AY89">
        <v>2594.4567943463076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v>1021.9656054753763</v>
      </c>
      <c r="AU90">
        <v>1022.0452971164769</v>
      </c>
      <c r="AV90">
        <v>1018.0884407815068</v>
      </c>
      <c r="AW90">
        <v>1011.3255552682365</v>
      </c>
      <c r="AX90">
        <v>997.85106862423595</v>
      </c>
      <c r="AY90">
        <v>982.87490341476428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v>1853.398583301748</v>
      </c>
      <c r="AU91">
        <v>1848.1049593303997</v>
      </c>
      <c r="AV91">
        <v>1837.7863022842669</v>
      </c>
      <c r="AW91">
        <v>1813.3887561478314</v>
      </c>
      <c r="AX91">
        <v>1781.5988566713188</v>
      </c>
      <c r="AY91">
        <v>1747.5969024022502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v>5494.1223263496395</v>
      </c>
      <c r="AU92">
        <v>5464.9964506759907</v>
      </c>
      <c r="AV92">
        <v>5423.5586019294133</v>
      </c>
      <c r="AW92">
        <v>5283.5554918136022</v>
      </c>
      <c r="AX92">
        <v>5062.8658313657525</v>
      </c>
      <c r="AY92">
        <v>4745.5798802067229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v>924.7065175252128</v>
      </c>
      <c r="AU93">
        <v>904.71896616135393</v>
      </c>
      <c r="AV93">
        <v>895.03345641354952</v>
      </c>
      <c r="AW93">
        <v>871.09279337586133</v>
      </c>
      <c r="AX93">
        <v>858.26323943063528</v>
      </c>
      <c r="AY93">
        <v>858.26323943063528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v>510.66114037575869</v>
      </c>
      <c r="AU94">
        <v>521.08279630179459</v>
      </c>
      <c r="AV94">
        <v>529.57451594523116</v>
      </c>
      <c r="AW94">
        <v>538.58792149005797</v>
      </c>
      <c r="AX94">
        <v>548.10962400331425</v>
      </c>
      <c r="AY94">
        <v>560.26822258368952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v>50097.434655760429</v>
      </c>
      <c r="AU95">
        <v>49814.596566944507</v>
      </c>
      <c r="AV95">
        <v>49425.218239139351</v>
      </c>
      <c r="AW95">
        <v>48438.346132837098</v>
      </c>
      <c r="AX95">
        <v>47089.545492391066</v>
      </c>
      <c r="AY95">
        <v>45593.686799618117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v>1020.0768882774046</v>
      </c>
      <c r="AU97">
        <v>1014.6219316556003</v>
      </c>
      <c r="AV97">
        <v>1005.4346362925614</v>
      </c>
      <c r="AW97">
        <v>958.25404656362252</v>
      </c>
      <c r="AX97">
        <v>906.06829488169456</v>
      </c>
      <c r="AY97">
        <v>841.27689437709546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v>261.44778638200802</v>
      </c>
      <c r="AU98">
        <v>261.44778638200802</v>
      </c>
      <c r="AV98">
        <v>259.33933649183052</v>
      </c>
      <c r="AW98">
        <v>255.59447773166457</v>
      </c>
      <c r="AX98">
        <v>252.73286016927443</v>
      </c>
      <c r="AY98">
        <v>247.68737657242866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5117.9361520821903</v>
      </c>
      <c r="AU99">
        <v>5107.4293187927269</v>
      </c>
      <c r="AV99">
        <v>5094.3297378114848</v>
      </c>
      <c r="AW99">
        <v>5016.0994982137363</v>
      </c>
      <c r="AX99">
        <v>4907.7567670146136</v>
      </c>
      <c r="AY99">
        <v>4778.2035883124445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94.057902784051748</v>
      </c>
      <c r="AU100">
        <v>93.831352075818813</v>
      </c>
      <c r="AV100">
        <v>93.501745282851104</v>
      </c>
      <c r="AW100">
        <v>92.658108203356193</v>
      </c>
      <c r="AX100">
        <v>91.467281733919734</v>
      </c>
      <c r="AY100">
        <v>89.959845082573679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v>365.71299054923685</v>
      </c>
      <c r="AU101">
        <v>365.71299054923685</v>
      </c>
      <c r="AV101">
        <v>363.45550295325387</v>
      </c>
      <c r="AW101">
        <v>354.74160083275973</v>
      </c>
      <c r="AX101">
        <v>338.38212648683839</v>
      </c>
      <c r="AY101">
        <v>315.00488681761999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v>1720.0903181815852</v>
      </c>
      <c r="AU102">
        <v>1705.0130895564098</v>
      </c>
      <c r="AV102">
        <v>1674.8895636405202</v>
      </c>
      <c r="AW102">
        <v>1589.3473484990966</v>
      </c>
      <c r="AX102">
        <v>1455.4373117628415</v>
      </c>
      <c r="AY102">
        <v>1276.8597016505385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v>265.40339540699432</v>
      </c>
      <c r="AU103">
        <v>268.1971153586469</v>
      </c>
      <c r="AV103">
        <v>265.40339540699432</v>
      </c>
      <c r="AW103">
        <v>263.13499031804565</v>
      </c>
      <c r="AX103">
        <v>255.71714010016973</v>
      </c>
      <c r="AY103">
        <v>243.1540089656894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v>681.65666620467948</v>
      </c>
      <c r="AU104">
        <v>691.22377730930657</v>
      </c>
      <c r="AV104">
        <v>697.92347301183668</v>
      </c>
      <c r="AW104">
        <v>720.58376008692653</v>
      </c>
      <c r="AX104">
        <v>747.131582826971</v>
      </c>
      <c r="AY104">
        <v>764.33909516098788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v>10910.281825688649</v>
      </c>
      <c r="AU105">
        <v>10842.847407064824</v>
      </c>
      <c r="AV105">
        <v>10748.743840009971</v>
      </c>
      <c r="AW105">
        <v>10512.330772136329</v>
      </c>
      <c r="AX105">
        <v>10213.668250031797</v>
      </c>
      <c r="AY105">
        <v>9879.7007253126903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v>161.04531064042081</v>
      </c>
      <c r="AU106">
        <v>161.01334452080181</v>
      </c>
      <c r="AV106">
        <v>161.63273741885106</v>
      </c>
      <c r="AW106">
        <v>162.73310969361629</v>
      </c>
      <c r="AX106">
        <v>162.5398599247732</v>
      </c>
      <c r="AY106">
        <v>161.85476040981104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v>566.14902390453051</v>
      </c>
      <c r="AU108">
        <v>576.29158312828247</v>
      </c>
      <c r="AV108">
        <v>579.26834174902058</v>
      </c>
      <c r="AW108">
        <v>609.99221430791181</v>
      </c>
      <c r="AX108">
        <v>633.13482433047204</v>
      </c>
      <c r="AY108">
        <v>628.71807823979066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v>28814.881110978007</v>
      </c>
      <c r="AU109">
        <v>28857.270470369378</v>
      </c>
      <c r="AV109">
        <v>28909.506048448347</v>
      </c>
      <c r="AW109">
        <v>28135.676795015126</v>
      </c>
      <c r="AX109">
        <v>24404.986800129431</v>
      </c>
      <c r="AY109">
        <v>15592.163072278074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v>1585.6907016756595</v>
      </c>
      <c r="AU110">
        <v>1576.3079164586438</v>
      </c>
      <c r="AV110">
        <v>1567.7732926171775</v>
      </c>
      <c r="AW110">
        <v>1537.6394682915486</v>
      </c>
      <c r="AX110">
        <v>1471.4672189278365</v>
      </c>
      <c r="AY110">
        <v>1349.8442998441531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v>19187.713759237758</v>
      </c>
      <c r="AU111">
        <v>19111.104336980359</v>
      </c>
      <c r="AV111">
        <v>18999.719381345636</v>
      </c>
      <c r="AW111">
        <v>18757.650325560757</v>
      </c>
      <c r="AX111">
        <v>18448.709500832749</v>
      </c>
      <c r="AY111">
        <v>18060.441066263851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v>6291.4785355089234</v>
      </c>
      <c r="AU112">
        <v>6274.3704327898749</v>
      </c>
      <c r="AV112">
        <v>6248.0174506672802</v>
      </c>
      <c r="AW112">
        <v>6196.5926543792029</v>
      </c>
      <c r="AX112">
        <v>6149.8493205320692</v>
      </c>
      <c r="AY112">
        <v>6104.3548625759267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v>1176.5497165750137</v>
      </c>
      <c r="AU113">
        <v>1199.6669005415874</v>
      </c>
      <c r="AV113">
        <v>1229.9219036376296</v>
      </c>
      <c r="AW113">
        <v>1261.0359994141768</v>
      </c>
      <c r="AX113">
        <v>1301.9927241814748</v>
      </c>
      <c r="AY113">
        <v>1325.9186463529604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v>5432.4821803809918</v>
      </c>
      <c r="AU114">
        <v>5407.9496560837506</v>
      </c>
      <c r="AV114">
        <v>5374.098052691359</v>
      </c>
      <c r="AW114">
        <v>5307.2759407277299</v>
      </c>
      <c r="AX114">
        <v>5218.1875493838006</v>
      </c>
      <c r="AY114">
        <v>5120.4597319744171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v>1321.4596544996539</v>
      </c>
      <c r="AU115">
        <v>1310.7296098504733</v>
      </c>
      <c r="AV115">
        <v>1296.0102784648057</v>
      </c>
      <c r="AW115">
        <v>1262.5163324388609</v>
      </c>
      <c r="AX115">
        <v>1224.3533955449525</v>
      </c>
      <c r="AY115">
        <v>1181.8660587494041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v>25404.180461755099</v>
      </c>
      <c r="AU116">
        <v>25709.235525567216</v>
      </c>
      <c r="AV116">
        <v>26117.655941766319</v>
      </c>
      <c r="AW116">
        <v>26797.064835674992</v>
      </c>
      <c r="AX116">
        <v>27543.301929471818</v>
      </c>
      <c r="AY116">
        <v>28093.735976199456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v>2224.9038991071202</v>
      </c>
      <c r="AU117">
        <v>2218.2797955608917</v>
      </c>
      <c r="AV117">
        <v>2193.0131857894594</v>
      </c>
      <c r="AW117">
        <v>2160.2490966977848</v>
      </c>
      <c r="AX117">
        <v>2099.7878313259621</v>
      </c>
      <c r="AY117">
        <v>2033.7657685075594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v>6259.691952127494</v>
      </c>
      <c r="AU118">
        <v>6223.9852210670288</v>
      </c>
      <c r="AV118">
        <v>6172.5842065747074</v>
      </c>
      <c r="AW118">
        <v>6037.6541641971753</v>
      </c>
      <c r="AX118">
        <v>5865.1960001914886</v>
      </c>
      <c r="AY118">
        <v>5678.2136804109223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v>14736.190212593609</v>
      </c>
      <c r="AU119">
        <v>14891.702817689</v>
      </c>
      <c r="AV119">
        <v>15081.394998627402</v>
      </c>
      <c r="AW119">
        <v>15367.068230640763</v>
      </c>
      <c r="AX119">
        <v>15646.949086644459</v>
      </c>
      <c r="AY119">
        <v>15834.250489238995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v>244.87082017976269</v>
      </c>
      <c r="AU120">
        <v>244.4940958410246</v>
      </c>
      <c r="AV120">
        <v>250.82254150357639</v>
      </c>
      <c r="AW120">
        <v>251.86042788221184</v>
      </c>
      <c r="AX120">
        <v>252.59305356124869</v>
      </c>
      <c r="AY120">
        <v>250.7396249609306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v>41835.986875977629</v>
      </c>
      <c r="AU121">
        <v>41757.724564333475</v>
      </c>
      <c r="AV121">
        <v>41643.42404103437</v>
      </c>
      <c r="AW121">
        <v>41372.923236080744</v>
      </c>
      <c r="AX121">
        <v>40949.777489036453</v>
      </c>
      <c r="AY121">
        <v>40390.384928655476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2661.4472752097681</v>
      </c>
      <c r="AU122">
        <v>2655.7789530307577</v>
      </c>
      <c r="AV122">
        <v>2647.2916384389409</v>
      </c>
      <c r="AW122">
        <v>2629.635530093949</v>
      </c>
      <c r="AX122">
        <v>2616.8679252792999</v>
      </c>
      <c r="AY122">
        <v>2616.8679252792999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v>4158.7523015637507</v>
      </c>
      <c r="AU123">
        <v>4149.0945760842678</v>
      </c>
      <c r="AV123">
        <v>4135.805828277943</v>
      </c>
      <c r="AW123">
        <v>4099.438739357327</v>
      </c>
      <c r="AX123">
        <v>4044.5667573939386</v>
      </c>
      <c r="AY123">
        <v>3972.6522633192039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v>2395.0291437821907</v>
      </c>
      <c r="AU124">
        <v>2409.3480696017677</v>
      </c>
      <c r="AV124">
        <v>2430.3399281315897</v>
      </c>
      <c r="AW124">
        <v>2449.2194750649551</v>
      </c>
      <c r="AX124">
        <v>2433.9376700769731</v>
      </c>
      <c r="AY124">
        <v>2326.0524510052855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1134.8266981421737</v>
      </c>
      <c r="AU125">
        <v>1131.1811561895552</v>
      </c>
      <c r="AV125">
        <v>1127.1543742671731</v>
      </c>
      <c r="AW125">
        <v>1099.8019919444778</v>
      </c>
      <c r="AX125">
        <v>1063.8287733715233</v>
      </c>
      <c r="AY125">
        <v>1036.9251015765981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1094.6002381182275</v>
      </c>
      <c r="AU126">
        <v>1091.0839205201846</v>
      </c>
      <c r="AV126">
        <v>1087.199876852279</v>
      </c>
      <c r="AW126">
        <v>1060.8170606455949</v>
      </c>
      <c r="AX126">
        <v>1026.1189929315572</v>
      </c>
      <c r="AY126">
        <v>1000.1689817085304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v>11657.767885816942</v>
      </c>
      <c r="AU127">
        <v>11622.674770311116</v>
      </c>
      <c r="AV127">
        <v>11571.223095633224</v>
      </c>
      <c r="AW127">
        <v>11415.449156907503</v>
      </c>
      <c r="AX127">
        <v>11216.00079802232</v>
      </c>
      <c r="AY127">
        <v>10968.396975873708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v>70661.814813215155</v>
      </c>
      <c r="AU128">
        <v>70568.617759573302</v>
      </c>
      <c r="AV128">
        <v>70443.315192362614</v>
      </c>
      <c r="AW128">
        <v>69889.826614929611</v>
      </c>
      <c r="AX128">
        <v>68967.180102014958</v>
      </c>
      <c r="AY128">
        <v>67363.265415278132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v>599.05248548137615</v>
      </c>
      <c r="AU129">
        <v>599.05248548137615</v>
      </c>
      <c r="AV129">
        <v>610.14605002732765</v>
      </c>
      <c r="AW129">
        <v>599.05248548137615</v>
      </c>
      <c r="AX129">
        <v>590.73231207191259</v>
      </c>
      <c r="AY129">
        <v>533.22254202188424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v>12629.436333833992</v>
      </c>
      <c r="AU130">
        <v>12741.603755553469</v>
      </c>
      <c r="AV130">
        <v>12890.399448908041</v>
      </c>
      <c r="AW130">
        <v>13195.18327824058</v>
      </c>
      <c r="AX130">
        <v>13601.517326750145</v>
      </c>
      <c r="AY130">
        <v>14086.946139249978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v>3271.6012045150142</v>
      </c>
      <c r="AU131">
        <v>3289.2366377199364</v>
      </c>
      <c r="AV131">
        <v>3305.8228971729154</v>
      </c>
      <c r="AW131">
        <v>3242.3601437459324</v>
      </c>
      <c r="AX131">
        <v>2927.3291587032327</v>
      </c>
      <c r="AY131">
        <v>2140.3517919018245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v>1143.7267471623863</v>
      </c>
      <c r="AU132">
        <v>1161.0683448775444</v>
      </c>
      <c r="AV132">
        <v>1179.4810507926873</v>
      </c>
      <c r="AW132">
        <v>1205.8375174087364</v>
      </c>
      <c r="AX132">
        <v>1228.2751058517567</v>
      </c>
      <c r="AY132">
        <v>1241.1264018794132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575.82668250996403</v>
      </c>
      <c r="AU134">
        <v>577.39526804941238</v>
      </c>
      <c r="AV134">
        <v>578.85230177812412</v>
      </c>
      <c r="AW134">
        <v>568.19722170412138</v>
      </c>
      <c r="AX134">
        <v>514.44500780564931</v>
      </c>
      <c r="AY134">
        <v>388.31707271945021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v>3190.856274889924</v>
      </c>
      <c r="AU135">
        <v>3164.8084685642916</v>
      </c>
      <c r="AV135">
        <v>3126.52449515424</v>
      </c>
      <c r="AW135">
        <v>3101.5122991930057</v>
      </c>
      <c r="AX135">
        <v>3076.8971222152836</v>
      </c>
      <c r="AY135">
        <v>3052.6695858198877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402.7060923678203</v>
      </c>
      <c r="AU136">
        <v>404.89733449835961</v>
      </c>
      <c r="AV136">
        <v>407.73055345274372</v>
      </c>
      <c r="AW136">
        <v>402.8615662837791</v>
      </c>
      <c r="AX136">
        <v>379.58403686715116</v>
      </c>
      <c r="AY136">
        <v>314.56779281450014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v>3041.0914821052133</v>
      </c>
      <c r="AU137">
        <v>3028.9464525172234</v>
      </c>
      <c r="AV137">
        <v>3011.1724724192554</v>
      </c>
      <c r="AW137">
        <v>2953.0256936415044</v>
      </c>
      <c r="AX137">
        <v>2875.2594442198588</v>
      </c>
      <c r="AY137">
        <v>2791.6052370427642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455.10489377321795</v>
      </c>
      <c r="AU138">
        <v>457.58125317266712</v>
      </c>
      <c r="AV138">
        <v>460.78312132343137</v>
      </c>
      <c r="AW138">
        <v>455.28059744730666</v>
      </c>
      <c r="AX138">
        <v>428.97427193291287</v>
      </c>
      <c r="AY138">
        <v>355.49832656258701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v>293.18072044138199</v>
      </c>
      <c r="AU139">
        <v>290.653300437577</v>
      </c>
      <c r="AV139">
        <v>286.36256415204753</v>
      </c>
      <c r="AW139">
        <v>280.27339312635257</v>
      </c>
      <c r="AX139">
        <v>268.00863838328354</v>
      </c>
      <c r="AY139">
        <v>254.41302187062072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v>3162.0114299320444</v>
      </c>
      <c r="AU140">
        <v>3152.9269115847133</v>
      </c>
      <c r="AV140">
        <v>3141.3175765443448</v>
      </c>
      <c r="AW140">
        <v>3115.9463033416796</v>
      </c>
      <c r="AX140">
        <v>3083.5812713098976</v>
      </c>
      <c r="AY140">
        <v>3042.0374443889259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v>821.11586422362245</v>
      </c>
      <c r="AU141">
        <v>818.84758835560137</v>
      </c>
      <c r="AV141">
        <v>818.92036726045762</v>
      </c>
      <c r="AW141">
        <v>819.05275903713095</v>
      </c>
      <c r="AX141">
        <v>817.27887420388595</v>
      </c>
      <c r="AY141">
        <v>817.56892744511867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v>10768.796093369354</v>
      </c>
      <c r="AU142">
        <v>10743.781327901184</v>
      </c>
      <c r="AV142">
        <v>10706.823288537451</v>
      </c>
      <c r="AW142">
        <v>10647.153591749066</v>
      </c>
      <c r="AX142">
        <v>10574.405463483497</v>
      </c>
      <c r="AY142">
        <v>10464.806794772197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v>84.426445050927171</v>
      </c>
      <c r="AU143">
        <v>83.042404968125084</v>
      </c>
      <c r="AV143">
        <v>83.107281847006433</v>
      </c>
      <c r="AW143">
        <v>82.014260906614965</v>
      </c>
      <c r="AX143">
        <v>82.204696496955407</v>
      </c>
      <c r="AY143">
        <v>80.357700711123442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v>4295.5486168378939</v>
      </c>
      <c r="AU144">
        <v>4351.0490517285261</v>
      </c>
      <c r="AV144">
        <v>4429.4639030318385</v>
      </c>
      <c r="AW144">
        <v>4570.5623441690013</v>
      </c>
      <c r="AX144">
        <v>4757.6619388705994</v>
      </c>
      <c r="AY144">
        <v>4986.5765604108019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v>552.53468507671971</v>
      </c>
      <c r="AU145">
        <v>561.59263073371505</v>
      </c>
      <c r="AV145">
        <v>561.59263073371505</v>
      </c>
      <c r="AW145">
        <v>561.59263073371505</v>
      </c>
      <c r="AX145">
        <v>542.22736760496628</v>
      </c>
      <c r="AY145">
        <v>484.30924118320377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v>772.89171531314719</v>
      </c>
      <c r="AU146">
        <v>772.89171531314719</v>
      </c>
      <c r="AV146">
        <v>785.3577107214237</v>
      </c>
      <c r="AW146">
        <v>795.62382458706315</v>
      </c>
      <c r="AX146">
        <v>799.00292191156427</v>
      </c>
      <c r="AY146">
        <v>797.04458141668306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v>11155.003483387796</v>
      </c>
      <c r="AU147">
        <v>11101.289220976316</v>
      </c>
      <c r="AV147">
        <v>11028.550106001625</v>
      </c>
      <c r="AW147">
        <v>10821.223195898125</v>
      </c>
      <c r="AX147">
        <v>10511.876992423608</v>
      </c>
      <c r="AY147">
        <v>10082.866311736107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v>608.39406791615784</v>
      </c>
      <c r="AU148">
        <v>541.00445163934717</v>
      </c>
      <c r="AV148">
        <v>505.17740796652157</v>
      </c>
      <c r="AW148">
        <v>476.29287057041643</v>
      </c>
      <c r="AX148">
        <v>586.48756408095051</v>
      </c>
      <c r="AY148">
        <v>672.61409526840453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v>1051.0342830368645</v>
      </c>
      <c r="AU149">
        <v>1043.2473067915453</v>
      </c>
      <c r="AV149">
        <v>1032.1711951021534</v>
      </c>
      <c r="AW149">
        <v>999.44044657524876</v>
      </c>
      <c r="AX149">
        <v>961.91890549217362</v>
      </c>
      <c r="AY149">
        <v>923.00647034897884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v>2715.0009594398243</v>
      </c>
      <c r="AU150">
        <v>2699.0795717744986</v>
      </c>
      <c r="AV150">
        <v>2678.8050868672044</v>
      </c>
      <c r="AW150">
        <v>2634.42019168655</v>
      </c>
      <c r="AX150">
        <v>2572.3098859906677</v>
      </c>
      <c r="AY150">
        <v>2497.4397186296264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v>20445.39673865748</v>
      </c>
      <c r="AU151">
        <v>20363.977444423352</v>
      </c>
      <c r="AV151">
        <v>20248.544510264652</v>
      </c>
      <c r="AW151">
        <v>19873.393693288086</v>
      </c>
      <c r="AX151">
        <v>19307.336143374225</v>
      </c>
      <c r="AY151">
        <v>18526.930404496819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7359.2226001267973</v>
      </c>
      <c r="AU152">
        <v>7289.6770539809049</v>
      </c>
      <c r="AV152">
        <v>7205.7087293391769</v>
      </c>
      <c r="AW152">
        <v>7004.9652441135659</v>
      </c>
      <c r="AX152">
        <v>6784.6516611141906</v>
      </c>
      <c r="AY152">
        <v>6555.1804620947541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v>2833.1911780123337</v>
      </c>
      <c r="AU153">
        <v>2874.2386606353057</v>
      </c>
      <c r="AV153">
        <v>2928.8504443132611</v>
      </c>
      <c r="AW153">
        <v>3033.616323476454</v>
      </c>
      <c r="AX153">
        <v>3149.701634416243</v>
      </c>
      <c r="AY153">
        <v>3255.355657620772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v>1591.2208717932706</v>
      </c>
      <c r="AU154">
        <v>1614.2093002609167</v>
      </c>
      <c r="AV154">
        <v>1653.2164901748267</v>
      </c>
      <c r="AW154">
        <v>1708.8495915518799</v>
      </c>
      <c r="AX154">
        <v>1756.585024319859</v>
      </c>
      <c r="AY154">
        <v>1696.4255575316686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v>27210.186892155212</v>
      </c>
      <c r="AU155">
        <v>27125.376449586256</v>
      </c>
      <c r="AV155">
        <v>27020.607643754021</v>
      </c>
      <c r="AW155">
        <v>26582.410286174356</v>
      </c>
      <c r="AX155">
        <v>26005.280055925574</v>
      </c>
      <c r="AY155">
        <v>25266.805669112844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v>1019.0144790871595</v>
      </c>
      <c r="AU156">
        <v>1015.4897494057859</v>
      </c>
      <c r="AV156">
        <v>1008.6725029357085</v>
      </c>
      <c r="AW156">
        <v>993.39878866070933</v>
      </c>
      <c r="AX156">
        <v>974.52480727865395</v>
      </c>
      <c r="AY156">
        <v>953.11788159575474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v>549303.59724160191</v>
      </c>
      <c r="AU157">
        <v>546540.20313393895</v>
      </c>
      <c r="AV157">
        <v>542673.21950375452</v>
      </c>
      <c r="AW157">
        <v>534678.22681696666</v>
      </c>
      <c r="AX157">
        <v>524492.4662290765</v>
      </c>
      <c r="AY157">
        <v>512225.16273616446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v>7096.6947562995892</v>
      </c>
      <c r="AU158">
        <v>7005.0600636577892</v>
      </c>
      <c r="AV158">
        <v>6905.871905828466</v>
      </c>
      <c r="AW158">
        <v>6378.1620926298356</v>
      </c>
      <c r="AX158">
        <v>6147.5121330850925</v>
      </c>
      <c r="AY158">
        <v>6059.9145367183064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v>11736.055479313678</v>
      </c>
      <c r="AU159">
        <v>11666.487670363356</v>
      </c>
      <c r="AV159">
        <v>11569.844974246151</v>
      </c>
      <c r="AW159">
        <v>11287.930100060279</v>
      </c>
      <c r="AX159">
        <v>10880.104761546079</v>
      </c>
      <c r="AY159">
        <v>10299.751017391478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v>16374.646317931951</v>
      </c>
      <c r="AU160">
        <v>16242.342071032495</v>
      </c>
      <c r="AV160">
        <v>16095.934157829062</v>
      </c>
      <c r="AW160">
        <v>15534.158407279194</v>
      </c>
      <c r="AX160">
        <v>14860.251635446686</v>
      </c>
      <c r="AY160">
        <v>14184.35416588061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1133.6669730639851</v>
      </c>
      <c r="AU161">
        <v>1130.9363885192965</v>
      </c>
      <c r="AV161">
        <v>1126.9636831513815</v>
      </c>
      <c r="AW161">
        <v>1116.7954413985185</v>
      </c>
      <c r="AX161">
        <v>1102.4425736533171</v>
      </c>
      <c r="AY161">
        <v>1084.2736469067711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v>1184.3258716484272</v>
      </c>
      <c r="AU162">
        <v>1171.6356170993979</v>
      </c>
      <c r="AV162">
        <v>1157.9697685883386</v>
      </c>
      <c r="AW162">
        <v>955.35495129286653</v>
      </c>
      <c r="AX162">
        <v>714.8844771751194</v>
      </c>
      <c r="AY162">
        <v>563.43597125712824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v>14408.939168286945</v>
      </c>
      <c r="AU163">
        <v>14302.477238550111</v>
      </c>
      <c r="AV163">
        <v>14154.790142864105</v>
      </c>
      <c r="AW163">
        <v>13788.209478078219</v>
      </c>
      <c r="AX163">
        <v>13325.739558745918</v>
      </c>
      <c r="AY163">
        <v>12810.048449830718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v>2091.6074765131589</v>
      </c>
      <c r="AU164">
        <v>2109.658795463255</v>
      </c>
      <c r="AV164">
        <v>2138.2086368349496</v>
      </c>
      <c r="AW164">
        <v>2154.8923332542086</v>
      </c>
      <c r="AX164">
        <v>2032.1899662826479</v>
      </c>
      <c r="AY164">
        <v>1575.5030109504339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2283.254633850921</v>
      </c>
      <c r="AU165">
        <v>2295.8441151622928</v>
      </c>
      <c r="AV165">
        <v>2311.6577157444499</v>
      </c>
      <c r="AW165">
        <v>2322.4029153159204</v>
      </c>
      <c r="AX165">
        <v>2284.0646134580707</v>
      </c>
      <c r="AY165">
        <v>2131.6490428345519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D839-7F77-464D-A747-A81634D45B1D}">
  <dimension ref="A1:AY170"/>
  <sheetViews>
    <sheetView showGridLines="0" topLeftCell="M1" workbookViewId="0">
      <selection activeCell="AQ177" sqref="AQ177"/>
    </sheetView>
  </sheetViews>
  <sheetFormatPr defaultRowHeight="15" x14ac:dyDescent="0.25"/>
  <cols>
    <col min="1" max="1" width="12.140625" customWidth="1"/>
    <col min="2" max="2" width="14" customWidth="1"/>
    <col min="3" max="3" width="13.5703125" customWidth="1"/>
    <col min="4" max="4" width="15.42578125" customWidth="1"/>
    <col min="5" max="5" width="14" customWidth="1"/>
    <col min="7" max="7" width="11.28515625" customWidth="1"/>
    <col min="8" max="8" width="12.5703125" customWidth="1"/>
    <col min="9" max="9" width="16.28515625" customWidth="1"/>
    <col min="10" max="10" width="13.42578125" customWidth="1"/>
    <col min="12" max="44" width="9.1406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1829.665884727164</v>
      </c>
      <c r="AU2">
        <v>1836.4785792995187</v>
      </c>
      <c r="AV2">
        <v>1844.7839999819228</v>
      </c>
      <c r="AW2">
        <v>1850.00819822729</v>
      </c>
      <c r="AX2">
        <v>1838.6420335044033</v>
      </c>
      <c r="AY2">
        <v>1763.1447994617527</v>
      </c>
    </row>
    <row r="3" spans="1:51" hidden="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4342.7227614742542</v>
      </c>
      <c r="AU3">
        <v>4366.6678030107905</v>
      </c>
      <c r="AV3">
        <v>4396.7450804948057</v>
      </c>
      <c r="AW3">
        <v>4417.1823204170587</v>
      </c>
      <c r="AX3">
        <v>4344.2633329130022</v>
      </c>
      <c r="AY3">
        <v>4054.3707567908687</v>
      </c>
    </row>
    <row r="4" spans="1:51" hidden="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798.78865178188403</v>
      </c>
      <c r="AU4">
        <v>796.86466528597953</v>
      </c>
      <c r="AV4">
        <v>794.06547289512514</v>
      </c>
      <c r="AW4">
        <v>786.90086784465825</v>
      </c>
      <c r="AX4">
        <v>776.78774984104678</v>
      </c>
      <c r="AY4">
        <v>763.98581343023966</v>
      </c>
    </row>
    <row r="5" spans="1:51" hidden="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3607.7675440897378</v>
      </c>
      <c r="AU5">
        <v>3596.1778732097646</v>
      </c>
      <c r="AV5">
        <v>3583.376188908117</v>
      </c>
      <c r="AW5">
        <v>3496.4192664468237</v>
      </c>
      <c r="AX5">
        <v>3382.0555396888803</v>
      </c>
      <c r="AY5">
        <v>3296.5251286776884</v>
      </c>
    </row>
    <row r="6" spans="1:51" hidden="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f>Sheet1!$AT6*_xlfn.XLOOKUP($A6,'[1]SSP4-change-rate'!$B$2:$B$147,'[1]SSP4-change-rate'!C$2:C$147)</f>
        <v>18351.102305760567</v>
      </c>
      <c r="AU6">
        <f>Sheet1!$AT6*_xlfn.XLOOKUP($A6,'[1]SSP4-change-rate'!$B$2:$B$147,'[1]SSP4-change-rate'!D$2:D$147)</f>
        <v>18249.595093259421</v>
      </c>
      <c r="AV6">
        <f>Sheet1!$AT6*_xlfn.XLOOKUP($A6,'[1]SSP4-change-rate'!$B$2:$B$147,'[1]SSP4-change-rate'!E$2:E$147)</f>
        <v>18105.192423651006</v>
      </c>
      <c r="AW6">
        <f>Sheet1!$AT6*_xlfn.XLOOKUP($A6,'[1]SSP4-change-rate'!$B$2:$B$147,'[1]SSP4-change-rate'!F$2:F$147)</f>
        <v>17756.356808698383</v>
      </c>
      <c r="AX6">
        <f>Sheet1!$AT6*_xlfn.XLOOKUP($A6,'[1]SSP4-change-rate'!$B$2:$B$147,'[1]SSP4-change-rate'!G$2:G$147)</f>
        <v>17289.666418715417</v>
      </c>
      <c r="AY6">
        <f>Sheet1!$AT6*_xlfn.XLOOKUP($A6,'[1]SSP4-change-rate'!$B$2:$B$147,'[1]SSP4-change-rate'!H$2:H$147)</f>
        <v>16733.314697044803</v>
      </c>
    </row>
    <row r="7" spans="1:51" hidden="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f>Sheet1!$AT7*_xlfn.XLOOKUP($A7,'[1]SSP4-change-rate'!$B$2:$B$147,'[1]SSP4-change-rate'!C$2:C$147)</f>
        <v>730.894482593112</v>
      </c>
      <c r="AU7">
        <f>Sheet1!$AT7*_xlfn.XLOOKUP($A7,'[1]SSP4-change-rate'!$B$2:$B$147,'[1]SSP4-change-rate'!D$2:D$147)</f>
        <v>723.20085646055293</v>
      </c>
      <c r="AV7">
        <f>Sheet1!$AT7*_xlfn.XLOOKUP($A7,'[1]SSP4-change-rate'!$B$2:$B$147,'[1]SSP4-change-rate'!E$2:E$147)</f>
        <v>717.01673925273644</v>
      </c>
      <c r="AW7">
        <f>Sheet1!$AT7*_xlfn.XLOOKUP($A7,'[1]SSP4-change-rate'!$B$2:$B$147,'[1]SSP4-change-rate'!F$2:F$147)</f>
        <v>699.28823469719362</v>
      </c>
      <c r="AX7">
        <f>Sheet1!$AT7*_xlfn.XLOOKUP($A7,'[1]SSP4-change-rate'!$B$2:$B$147,'[1]SSP4-change-rate'!G$2:G$147)</f>
        <v>681.46200550951994</v>
      </c>
      <c r="AY7">
        <f>Sheet1!$AT7*_xlfn.XLOOKUP($A7,'[1]SSP4-change-rate'!$B$2:$B$147,'[1]SSP4-change-rate'!H$2:H$147)</f>
        <v>662.3731248500078</v>
      </c>
    </row>
    <row r="8" spans="1:51" hidden="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f>Sheet1!$AT8*_xlfn.XLOOKUP($A8,'[1]SSP4-change-rate'!$B$2:$B$147,'[1]SSP4-change-rate'!C$2:C$147)</f>
        <v>31650.091398994697</v>
      </c>
      <c r="AU8">
        <f>Sheet1!$AT8*_xlfn.XLOOKUP($A8,'[1]SSP4-change-rate'!$B$2:$B$147,'[1]SSP4-change-rate'!D$2:D$147)</f>
        <v>31508.541399115602</v>
      </c>
      <c r="AV8">
        <f>Sheet1!$AT8*_xlfn.XLOOKUP($A8,'[1]SSP4-change-rate'!$B$2:$B$147,'[1]SSP4-change-rate'!E$2:E$147)</f>
        <v>31328.589350012084</v>
      </c>
      <c r="AW8">
        <f>Sheet1!$AT8*_xlfn.XLOOKUP($A8,'[1]SSP4-change-rate'!$B$2:$B$147,'[1]SSP4-change-rate'!F$2:F$147)</f>
        <v>30963.347055167193</v>
      </c>
      <c r="AX8">
        <f>Sheet1!$AT8*_xlfn.XLOOKUP($A8,'[1]SSP4-change-rate'!$B$2:$B$147,'[1]SSP4-change-rate'!G$2:G$147)</f>
        <v>30495.5499150205</v>
      </c>
      <c r="AY8">
        <f>Sheet1!$AT8*_xlfn.XLOOKUP($A8,'[1]SSP4-change-rate'!$B$2:$B$147,'[1]SSP4-change-rate'!H$2:H$147)</f>
        <v>29969.634186023879</v>
      </c>
    </row>
    <row r="9" spans="1:51" hidden="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f>Sheet1!$AT9*_xlfn.XLOOKUP($A9,'[1]SSP4-change-rate'!$B$2:$B$147,'[1]SSP4-change-rate'!C$2:C$147)</f>
        <v>6041.641668423732</v>
      </c>
      <c r="AU9">
        <f>Sheet1!$AT9*_xlfn.XLOOKUP($A9,'[1]SSP4-change-rate'!$B$2:$B$147,'[1]SSP4-change-rate'!D$2:D$147)</f>
        <v>6038.0045519840123</v>
      </c>
      <c r="AV9">
        <f>Sheet1!$AT9*_xlfn.XLOOKUP($A9,'[1]SSP4-change-rate'!$B$2:$B$147,'[1]SSP4-change-rate'!E$2:E$147)</f>
        <v>6030.9894899450965</v>
      </c>
      <c r="AW9">
        <f>Sheet1!$AT9*_xlfn.XLOOKUP($A9,'[1]SSP4-change-rate'!$B$2:$B$147,'[1]SSP4-change-rate'!F$2:F$147)</f>
        <v>6017.9072612721102</v>
      </c>
      <c r="AX9">
        <f>Sheet1!$AT9*_xlfn.XLOOKUP($A9,'[1]SSP4-change-rate'!$B$2:$B$147,'[1]SSP4-change-rate'!G$2:G$147)</f>
        <v>5996.4007942410926</v>
      </c>
      <c r="AY9">
        <f>Sheet1!$AT9*_xlfn.XLOOKUP($A9,'[1]SSP4-change-rate'!$B$2:$B$147,'[1]SSP4-change-rate'!H$2:H$147)</f>
        <v>5974.2222991911613</v>
      </c>
    </row>
    <row r="10" spans="1:51" hidden="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f>Sheet1!$AT10*_xlfn.XLOOKUP($A10,'[1]SSP4-change-rate'!$B$2:$B$147,'[1]SSP4-change-rate'!C$2:C$147)</f>
        <v>1927.5621902922921</v>
      </c>
      <c r="AU10">
        <f>Sheet1!$AT10*_xlfn.XLOOKUP($A10,'[1]SSP4-change-rate'!$B$2:$B$147,'[1]SSP4-change-rate'!D$2:D$147)</f>
        <v>1910.6261128244362</v>
      </c>
      <c r="AV10">
        <f>Sheet1!$AT10*_xlfn.XLOOKUP($A10,'[1]SSP4-change-rate'!$B$2:$B$147,'[1]SSP4-change-rate'!E$2:E$147)</f>
        <v>1889.8785556005757</v>
      </c>
      <c r="AW10">
        <f>Sheet1!$AT10*_xlfn.XLOOKUP($A10,'[1]SSP4-change-rate'!$B$2:$B$147,'[1]SSP4-change-rate'!F$2:F$147)</f>
        <v>1833.1788689990153</v>
      </c>
      <c r="AX10">
        <f>Sheet1!$AT10*_xlfn.XLOOKUP($A10,'[1]SSP4-change-rate'!$B$2:$B$147,'[1]SSP4-change-rate'!G$2:G$147)</f>
        <v>1764.933070686629</v>
      </c>
      <c r="AY10">
        <f>Sheet1!$AT10*_xlfn.XLOOKUP($A10,'[1]SSP4-change-rate'!$B$2:$B$147,'[1]SSP4-change-rate'!H$2:H$147)</f>
        <v>1692.2045276847996</v>
      </c>
    </row>
    <row r="11" spans="1:51" hidden="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f>Sheet1!$AT11*_xlfn.XLOOKUP($A11,'[1]SSP4-change-rate'!$B$2:$B$147,'[1]SSP4-change-rate'!C$2:C$147)</f>
        <v>374.47265943507858</v>
      </c>
      <c r="AU11">
        <f>Sheet1!$AT11*_xlfn.XLOOKUP($A11,'[1]SSP4-change-rate'!$B$2:$B$147,'[1]SSP4-change-rate'!D$2:D$147)</f>
        <v>374.47265943507858</v>
      </c>
      <c r="AV11">
        <f>Sheet1!$AT11*_xlfn.XLOOKUP($A11,'[1]SSP4-change-rate'!$B$2:$B$147,'[1]SSP4-change-rate'!E$2:E$147)</f>
        <v>374.47265943507858</v>
      </c>
      <c r="AW11">
        <f>Sheet1!$AT11*_xlfn.XLOOKUP($A11,'[1]SSP4-change-rate'!$B$2:$B$147,'[1]SSP4-change-rate'!F$2:F$147)</f>
        <v>357.82943012685291</v>
      </c>
      <c r="AX11">
        <f>Sheet1!$AT11*_xlfn.XLOOKUP($A11,'[1]SSP4-change-rate'!$B$2:$B$147,'[1]SSP4-change-rate'!G$2:G$147)</f>
        <v>345.10225477350383</v>
      </c>
      <c r="AY11">
        <f>Sheet1!$AT11*_xlfn.XLOOKUP($A11,'[1]SSP4-change-rate'!$B$2:$B$147,'[1]SSP4-change-rate'!H$2:H$147)</f>
        <v>293.81700971060013</v>
      </c>
    </row>
    <row r="12" spans="1:51" hidden="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f>Sheet1!$AT12*_xlfn.XLOOKUP($A12,'[1]SSP4-change-rate'!$B$2:$B$147,'[1]SSP4-change-rate'!C$2:C$147)</f>
        <v>14508.563420070202</v>
      </c>
      <c r="AU12">
        <f>Sheet1!$AT12*_xlfn.XLOOKUP($A12,'[1]SSP4-change-rate'!$B$2:$B$147,'[1]SSP4-change-rate'!D$2:D$147)</f>
        <v>14431.559819657077</v>
      </c>
      <c r="AV12">
        <f>Sheet1!$AT12*_xlfn.XLOOKUP($A12,'[1]SSP4-change-rate'!$B$2:$B$147,'[1]SSP4-change-rate'!E$2:E$147)</f>
        <v>14322.461106221779</v>
      </c>
      <c r="AW12">
        <f>Sheet1!$AT12*_xlfn.XLOOKUP($A12,'[1]SSP4-change-rate'!$B$2:$B$147,'[1]SSP4-change-rate'!F$2:F$147)</f>
        <v>14088.835093426063</v>
      </c>
      <c r="AX12">
        <f>Sheet1!$AT12*_xlfn.XLOOKUP($A12,'[1]SSP4-change-rate'!$B$2:$B$147,'[1]SSP4-change-rate'!G$2:G$147)</f>
        <v>13784.455777997231</v>
      </c>
      <c r="AY12">
        <f>Sheet1!$AT12*_xlfn.XLOOKUP($A12,'[1]SSP4-change-rate'!$B$2:$B$147,'[1]SSP4-change-rate'!H$2:H$147)</f>
        <v>13402.579458649547</v>
      </c>
    </row>
    <row r="13" spans="1:51" hidden="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f>Sheet1!$AT13*_xlfn.XLOOKUP($A13,'[1]SSP4-change-rate'!$B$2:$B$147,'[1]SSP4-change-rate'!C$2:C$147)</f>
        <v>1140.4957494711857</v>
      </c>
      <c r="AU13">
        <f>Sheet1!$AT13*_xlfn.XLOOKUP($A13,'[1]SSP4-change-rate'!$B$2:$B$147,'[1]SSP4-change-rate'!D$2:D$147)</f>
        <v>1139.9149504135703</v>
      </c>
      <c r="AV13">
        <f>Sheet1!$AT13*_xlfn.XLOOKUP($A13,'[1]SSP4-change-rate'!$B$2:$B$147,'[1]SSP4-change-rate'!E$2:E$147)</f>
        <v>1154.4396910520468</v>
      </c>
      <c r="AW13">
        <f>Sheet1!$AT13*_xlfn.XLOOKUP($A13,'[1]SSP4-change-rate'!$B$2:$B$147,'[1]SSP4-change-rate'!F$2:F$147)</f>
        <v>1164.5516360203346</v>
      </c>
      <c r="AX13">
        <f>Sheet1!$AT13*_xlfn.XLOOKUP($A13,'[1]SSP4-change-rate'!$B$2:$B$147,'[1]SSP4-change-rate'!G$2:G$147)</f>
        <v>1171.865777759084</v>
      </c>
      <c r="AY13">
        <f>Sheet1!$AT13*_xlfn.XLOOKUP($A13,'[1]SSP4-change-rate'!$B$2:$B$147,'[1]SSP4-change-rate'!H$2:H$147)</f>
        <v>1171.8913086039154</v>
      </c>
    </row>
    <row r="14" spans="1:51" hidden="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f>Sheet1!$AT14*_xlfn.XLOOKUP($A14,'[1]SSP4-change-rate'!$B$2:$B$147,'[1]SSP4-change-rate'!C$2:C$147)</f>
        <v>1379.6295619531738</v>
      </c>
      <c r="AU14">
        <f>Sheet1!$AT14*_xlfn.XLOOKUP($A14,'[1]SSP4-change-rate'!$B$2:$B$147,'[1]SSP4-change-rate'!D$2:D$147)</f>
        <v>1385.550718871428</v>
      </c>
      <c r="AV14">
        <f>Sheet1!$AT14*_xlfn.XLOOKUP($A14,'[1]SSP4-change-rate'!$B$2:$B$147,'[1]SSP4-change-rate'!E$2:E$147)</f>
        <v>1385.0826432257161</v>
      </c>
      <c r="AW14">
        <f>Sheet1!$AT14*_xlfn.XLOOKUP($A14,'[1]SSP4-change-rate'!$B$2:$B$147,'[1]SSP4-change-rate'!F$2:F$147)</f>
        <v>1389.0790795007983</v>
      </c>
      <c r="AX14">
        <f>Sheet1!$AT14*_xlfn.XLOOKUP($A14,'[1]SSP4-change-rate'!$B$2:$B$147,'[1]SSP4-change-rate'!G$2:G$147)</f>
        <v>1391.9111307539438</v>
      </c>
      <c r="AY14">
        <f>Sheet1!$AT14*_xlfn.XLOOKUP($A14,'[1]SSP4-change-rate'!$B$2:$B$147,'[1]SSP4-change-rate'!H$2:H$147)</f>
        <v>1376.1100987849259</v>
      </c>
    </row>
    <row r="15" spans="1:51" hidden="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f>Sheet1!$AT15*_xlfn.XLOOKUP($A15,'[1]SSP4-change-rate'!$B$2:$B$147,'[1]SSP4-change-rate'!C$2:C$147)</f>
        <v>23379.367995099008</v>
      </c>
      <c r="AU15">
        <f>Sheet1!$AT15*_xlfn.XLOOKUP($A15,'[1]SSP4-change-rate'!$B$2:$B$147,'[1]SSP4-change-rate'!D$2:D$147)</f>
        <v>23299.047022393494</v>
      </c>
      <c r="AV15">
        <f>Sheet1!$AT15*_xlfn.XLOOKUP($A15,'[1]SSP4-change-rate'!$B$2:$B$147,'[1]SSP4-change-rate'!E$2:E$147)</f>
        <v>23149.668894812443</v>
      </c>
      <c r="AW15">
        <f>Sheet1!$AT15*_xlfn.XLOOKUP($A15,'[1]SSP4-change-rate'!$B$2:$B$147,'[1]SSP4-change-rate'!F$2:F$147)</f>
        <v>22697.068106576418</v>
      </c>
      <c r="AX15">
        <f>Sheet1!$AT15*_xlfn.XLOOKUP($A15,'[1]SSP4-change-rate'!$B$2:$B$147,'[1]SSP4-change-rate'!G$2:G$147)</f>
        <v>21695.393158570274</v>
      </c>
      <c r="AY15">
        <f>Sheet1!$AT15*_xlfn.XLOOKUP($A15,'[1]SSP4-change-rate'!$B$2:$B$147,'[1]SSP4-change-rate'!H$2:H$147)</f>
        <v>19057.567693653018</v>
      </c>
    </row>
    <row r="16" spans="1:51" hidden="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f>Sheet1!$AT16*_xlfn.XLOOKUP($A16,'[1]SSP4-change-rate'!$B$2:$B$147,'[1]SSP4-change-rate'!C$2:C$147)</f>
        <v>2655.0167575602218</v>
      </c>
      <c r="AU16">
        <f>Sheet1!$AT16*_xlfn.XLOOKUP($A16,'[1]SSP4-change-rate'!$B$2:$B$147,'[1]SSP4-change-rate'!D$2:D$147)</f>
        <v>2649.9348895477046</v>
      </c>
      <c r="AV16">
        <f>Sheet1!$AT16*_xlfn.XLOOKUP($A16,'[1]SSP4-change-rate'!$B$2:$B$147,'[1]SSP4-change-rate'!E$2:E$147)</f>
        <v>2640.1918673964374</v>
      </c>
      <c r="AW16">
        <f>Sheet1!$AT16*_xlfn.XLOOKUP($A16,'[1]SSP4-change-rate'!$B$2:$B$147,'[1]SSP4-change-rate'!F$2:F$147)</f>
        <v>2610.4010872213817</v>
      </c>
      <c r="AX16">
        <f>Sheet1!$AT16*_xlfn.XLOOKUP($A16,'[1]SSP4-change-rate'!$B$2:$B$147,'[1]SSP4-change-rate'!G$2:G$147)</f>
        <v>2570.5267306171031</v>
      </c>
      <c r="AY16">
        <f>Sheet1!$AT16*_xlfn.XLOOKUP($A16,'[1]SSP4-change-rate'!$B$2:$B$147,'[1]SSP4-change-rate'!H$2:H$147)</f>
        <v>2520.4211590347268</v>
      </c>
    </row>
    <row r="17" spans="1:51" hidden="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f>Sheet1!$AT17*_xlfn.XLOOKUP($A17,'[1]SSP4-change-rate'!$B$2:$B$147,'[1]SSP4-change-rate'!C$2:C$147)</f>
        <v>664.36467000786627</v>
      </c>
      <c r="AU17">
        <f>Sheet1!$AT17*_xlfn.XLOOKUP($A17,'[1]SSP4-change-rate'!$B$2:$B$147,'[1]SSP4-change-rate'!D$2:D$147)</f>
        <v>659.54794300772585</v>
      </c>
      <c r="AV17">
        <f>Sheet1!$AT17*_xlfn.XLOOKUP($A17,'[1]SSP4-change-rate'!$B$2:$B$147,'[1]SSP4-change-rate'!E$2:E$147)</f>
        <v>654.01229606027061</v>
      </c>
      <c r="AW17">
        <f>Sheet1!$AT17*_xlfn.XLOOKUP($A17,'[1]SSP4-change-rate'!$B$2:$B$147,'[1]SSP4-change-rate'!F$2:F$147)</f>
        <v>641.13336804082292</v>
      </c>
      <c r="AX17">
        <f>Sheet1!$AT17*_xlfn.XLOOKUP($A17,'[1]SSP4-change-rate'!$B$2:$B$147,'[1]SSP4-change-rate'!G$2:G$147)</f>
        <v>624.86983071058432</v>
      </c>
      <c r="AY17">
        <f>Sheet1!$AT17*_xlfn.XLOOKUP($A17,'[1]SSP4-change-rate'!$B$2:$B$147,'[1]SSP4-change-rate'!H$2:H$147)</f>
        <v>607.09100393058065</v>
      </c>
    </row>
    <row r="18" spans="1:51" hidden="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f>Sheet1!$AT18*_xlfn.XLOOKUP($A18,'[1]SSP4-change-rate'!$B$2:$B$147,'[1]SSP4-change-rate'!C$2:C$147)</f>
        <v>202.52896283782965</v>
      </c>
      <c r="AU18">
        <f>Sheet1!$AT18*_xlfn.XLOOKUP($A18,'[1]SSP4-change-rate'!$B$2:$B$147,'[1]SSP4-change-rate'!D$2:D$147)</f>
        <v>201.05415007191567</v>
      </c>
      <c r="AV18">
        <f>Sheet1!$AT18*_xlfn.XLOOKUP($A18,'[1]SSP4-change-rate'!$B$2:$B$147,'[1]SSP4-change-rate'!E$2:E$147)</f>
        <v>199.78062207893132</v>
      </c>
      <c r="AW18">
        <f>Sheet1!$AT18*_xlfn.XLOOKUP($A18,'[1]SSP4-change-rate'!$B$2:$B$147,'[1]SSP4-change-rate'!F$2:F$147)</f>
        <v>194.72324649140688</v>
      </c>
      <c r="AX18">
        <f>Sheet1!$AT18*_xlfn.XLOOKUP($A18,'[1]SSP4-change-rate'!$B$2:$B$147,'[1]SSP4-change-rate'!G$2:G$147)</f>
        <v>190.17734075836697</v>
      </c>
      <c r="AY18">
        <f>Sheet1!$AT18*_xlfn.XLOOKUP($A18,'[1]SSP4-change-rate'!$B$2:$B$147,'[1]SSP4-change-rate'!H$2:H$147)</f>
        <v>183.46830679272458</v>
      </c>
    </row>
    <row r="19" spans="1:51" hidden="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f>Sheet1!$AT19*_xlfn.XLOOKUP($A19,'[1]SSP4-change-rate'!$B$2:$B$147,'[1]SSP4-change-rate'!C$2:C$147)</f>
        <v>768.15401774983002</v>
      </c>
      <c r="AU19">
        <f>Sheet1!$AT19*_xlfn.XLOOKUP($A19,'[1]SSP4-change-rate'!$B$2:$B$147,'[1]SSP4-change-rate'!D$2:D$147)</f>
        <v>764.24483699792245</v>
      </c>
      <c r="AV19">
        <f>Sheet1!$AT19*_xlfn.XLOOKUP($A19,'[1]SSP4-change-rate'!$B$2:$B$147,'[1]SSP4-change-rate'!E$2:E$147)</f>
        <v>760.71426939389949</v>
      </c>
      <c r="AW19">
        <f>Sheet1!$AT19*_xlfn.XLOOKUP($A19,'[1]SSP4-change-rate'!$B$2:$B$147,'[1]SSP4-change-rate'!F$2:F$147)</f>
        <v>747.57846370295954</v>
      </c>
      <c r="AX19">
        <f>Sheet1!$AT19*_xlfn.XLOOKUP($A19,'[1]SSP4-change-rate'!$B$2:$B$147,'[1]SSP4-change-rate'!G$2:G$147)</f>
        <v>731.26979560317852</v>
      </c>
      <c r="AY19">
        <f>Sheet1!$AT19*_xlfn.XLOOKUP($A19,'[1]SSP4-change-rate'!$B$2:$B$147,'[1]SSP4-change-rate'!H$2:H$147)</f>
        <v>711.87342635033758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3078.6180615179592</v>
      </c>
      <c r="AU20">
        <v>3067.1506998957034</v>
      </c>
      <c r="AV20">
        <v>3054.6267099152701</v>
      </c>
      <c r="AW20">
        <v>3004.0579575667289</v>
      </c>
      <c r="AX20">
        <v>2939.5025025045111</v>
      </c>
      <c r="AY20">
        <v>2858.6960621848252</v>
      </c>
    </row>
    <row r="21" spans="1:51" hidden="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f>Sheet1!$AT21*_xlfn.XLOOKUP($A21,'[1]SSP4-change-rate'!$B$2:$B$147,'[1]SSP4-change-rate'!C$2:C$147)</f>
        <v>2784.2486217017922</v>
      </c>
      <c r="AU21">
        <f>Sheet1!$AT21*_xlfn.XLOOKUP($A21,'[1]SSP4-change-rate'!$B$2:$B$147,'[1]SSP4-change-rate'!D$2:D$147)</f>
        <v>2801.7394168891565</v>
      </c>
      <c r="AV21">
        <f>Sheet1!$AT21*_xlfn.XLOOKUP($A21,'[1]SSP4-change-rate'!$B$2:$B$147,'[1]SSP4-change-rate'!E$2:E$147)</f>
        <v>2824.5134758824415</v>
      </c>
      <c r="AW21">
        <f>Sheet1!$AT21*_xlfn.XLOOKUP($A21,'[1]SSP4-change-rate'!$B$2:$B$147,'[1]SSP4-change-rate'!F$2:F$147)</f>
        <v>2855.2336060827411</v>
      </c>
      <c r="AX21">
        <f>Sheet1!$AT21*_xlfn.XLOOKUP($A21,'[1]SSP4-change-rate'!$B$2:$B$147,'[1]SSP4-change-rate'!G$2:G$147)</f>
        <v>2868.9775518844772</v>
      </c>
      <c r="AY21">
        <f>Sheet1!$AT21*_xlfn.XLOOKUP($A21,'[1]SSP4-change-rate'!$B$2:$B$147,'[1]SSP4-change-rate'!H$2:H$147)</f>
        <v>2854.6192253295535</v>
      </c>
    </row>
    <row r="22" spans="1:51" hidden="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f>Sheet1!$AT22*_xlfn.XLOOKUP($A22,'[1]SSP4-change-rate'!$B$2:$B$147,'[1]SSP4-change-rate'!C$2:C$147)</f>
        <v>71254.210467188954</v>
      </c>
      <c r="AU22">
        <f>Sheet1!$AT22*_xlfn.XLOOKUP($A22,'[1]SSP4-change-rate'!$B$2:$B$147,'[1]SSP4-change-rate'!D$2:D$147)</f>
        <v>70889.051670025903</v>
      </c>
      <c r="AV22">
        <f>Sheet1!$AT22*_xlfn.XLOOKUP($A22,'[1]SSP4-change-rate'!$B$2:$B$147,'[1]SSP4-change-rate'!E$2:E$147)</f>
        <v>70379.663614421966</v>
      </c>
      <c r="AW22">
        <f>Sheet1!$AT22*_xlfn.XLOOKUP($A22,'[1]SSP4-change-rate'!$B$2:$B$147,'[1]SSP4-change-rate'!F$2:F$147)</f>
        <v>69090.252295298298</v>
      </c>
      <c r="AX22">
        <f>Sheet1!$AT22*_xlfn.XLOOKUP($A22,'[1]SSP4-change-rate'!$B$2:$B$147,'[1]SSP4-change-rate'!G$2:G$147)</f>
        <v>67246.410781206549</v>
      </c>
      <c r="AY22">
        <f>Sheet1!$AT22*_xlfn.XLOOKUP($A22,'[1]SSP4-change-rate'!$B$2:$B$147,'[1]SSP4-change-rate'!H$2:H$147)</f>
        <v>64938.9583321194</v>
      </c>
    </row>
    <row r="23" spans="1:51" hidden="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f>Sheet1!$AT23*_xlfn.XLOOKUP($A23,'[1]SSP4-change-rate'!$B$2:$B$147,'[1]SSP4-change-rate'!C$2:C$147)</f>
        <v>107.50895862598746</v>
      </c>
      <c r="AU23">
        <f>Sheet1!$AT23*_xlfn.XLOOKUP($A23,'[1]SSP4-change-rate'!$B$2:$B$147,'[1]SSP4-change-rate'!D$2:D$147)</f>
        <v>105.87576857876188</v>
      </c>
      <c r="AV23">
        <f>Sheet1!$AT23*_xlfn.XLOOKUP($A23,'[1]SSP4-change-rate'!$B$2:$B$147,'[1]SSP4-change-rate'!E$2:E$147)</f>
        <v>103.72086213649898</v>
      </c>
      <c r="AW23">
        <f>Sheet1!$AT23*_xlfn.XLOOKUP($A23,'[1]SSP4-change-rate'!$B$2:$B$147,'[1]SSP4-change-rate'!F$2:F$147)</f>
        <v>98.861498910418902</v>
      </c>
      <c r="AX23">
        <f>Sheet1!$AT23*_xlfn.XLOOKUP($A23,'[1]SSP4-change-rate'!$B$2:$B$147,'[1]SSP4-change-rate'!G$2:G$147)</f>
        <v>94.346352061749471</v>
      </c>
      <c r="AY23">
        <f>Sheet1!$AT23*_xlfn.XLOOKUP($A23,'[1]SSP4-change-rate'!$B$2:$B$147,'[1]SSP4-change-rate'!H$2:H$147)</f>
        <v>89.269749256286048</v>
      </c>
    </row>
    <row r="24" spans="1:51" hidden="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f>Sheet1!$AT24*_xlfn.XLOOKUP($A24,'[1]SSP4-change-rate'!$B$2:$B$147,'[1]SSP4-change-rate'!C$2:C$147)</f>
        <v>529.53620081079168</v>
      </c>
      <c r="AU24">
        <f>Sheet1!$AT24*_xlfn.XLOOKUP($A24,'[1]SSP4-change-rate'!$B$2:$B$147,'[1]SSP4-change-rate'!D$2:D$147)</f>
        <v>522.0341243340124</v>
      </c>
      <c r="AV24">
        <f>Sheet1!$AT24*_xlfn.XLOOKUP($A24,'[1]SSP4-change-rate'!$B$2:$B$147,'[1]SSP4-change-rate'!E$2:E$147)</f>
        <v>517.72263571762642</v>
      </c>
      <c r="AW24">
        <f>Sheet1!$AT24*_xlfn.XLOOKUP($A24,'[1]SSP4-change-rate'!$B$2:$B$147,'[1]SSP4-change-rate'!F$2:F$147)</f>
        <v>497.2742693202394</v>
      </c>
      <c r="AX24">
        <f>Sheet1!$AT24*_xlfn.XLOOKUP($A24,'[1]SSP4-change-rate'!$B$2:$B$147,'[1]SSP4-change-rate'!G$2:G$147)</f>
        <v>475.22255219171194</v>
      </c>
      <c r="AY24">
        <f>Sheet1!$AT24*_xlfn.XLOOKUP($A24,'[1]SSP4-change-rate'!$B$2:$B$147,'[1]SSP4-change-rate'!H$2:H$147)</f>
        <v>449.34943994866524</v>
      </c>
    </row>
    <row r="25" spans="1:51" hidden="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f>Sheet1!$AT25*_xlfn.XLOOKUP($A25,'[1]SSP4-change-rate'!$B$2:$B$147,'[1]SSP4-change-rate'!C$2:C$147)</f>
        <v>194.48987104293579</v>
      </c>
      <c r="AU25">
        <f>Sheet1!$AT25*_xlfn.XLOOKUP($A25,'[1]SSP4-change-rate'!$B$2:$B$147,'[1]SSP4-change-rate'!D$2:D$147)</f>
        <v>203.75129347355178</v>
      </c>
      <c r="AV25">
        <f>Sheet1!$AT25*_xlfn.XLOOKUP($A25,'[1]SSP4-change-rate'!$B$2:$B$147,'[1]SSP4-change-rate'!E$2:E$147)</f>
        <v>202.94595239262864</v>
      </c>
      <c r="AW25">
        <f>Sheet1!$AT25*_xlfn.XLOOKUP($A25,'[1]SSP4-change-rate'!$B$2:$B$147,'[1]SSP4-change-rate'!F$2:F$147)</f>
        <v>201.97025069843335</v>
      </c>
      <c r="AX25">
        <f>Sheet1!$AT25*_xlfn.XLOOKUP($A25,'[1]SSP4-change-rate'!$B$2:$B$147,'[1]SSP4-change-rate'!G$2:G$147)</f>
        <v>208.38200468885978</v>
      </c>
      <c r="AY25">
        <f>Sheet1!$AT25*_xlfn.XLOOKUP($A25,'[1]SSP4-change-rate'!$B$2:$B$147,'[1]SSP4-change-rate'!H$2:H$147)</f>
        <v>207.03760465860904</v>
      </c>
    </row>
    <row r="26" spans="1:51" hidden="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f>Sheet1!$AT26*_xlfn.XLOOKUP($A26,'[1]SSP4-change-rate'!$B$2:$B$147,'[1]SSP4-change-rate'!C$2:C$147)</f>
        <v>46021.872106691095</v>
      </c>
      <c r="AU26">
        <f>Sheet1!$AT26*_xlfn.XLOOKUP($A26,'[1]SSP4-change-rate'!$B$2:$B$147,'[1]SSP4-change-rate'!D$2:D$147)</f>
        <v>45791.381195383859</v>
      </c>
      <c r="AV26">
        <f>Sheet1!$AT26*_xlfn.XLOOKUP($A26,'[1]SSP4-change-rate'!$B$2:$B$147,'[1]SSP4-change-rate'!E$2:E$147)</f>
        <v>45478.860249421341</v>
      </c>
      <c r="AW26">
        <f>Sheet1!$AT26*_xlfn.XLOOKUP($A26,'[1]SSP4-change-rate'!$B$2:$B$147,'[1]SSP4-change-rate'!F$2:F$147)</f>
        <v>44832.028442938477</v>
      </c>
      <c r="AX26">
        <f>Sheet1!$AT26*_xlfn.XLOOKUP($A26,'[1]SSP4-change-rate'!$B$2:$B$147,'[1]SSP4-change-rate'!G$2:G$147)</f>
        <v>43946.093798177099</v>
      </c>
      <c r="AY26">
        <f>Sheet1!$AT26*_xlfn.XLOOKUP($A26,'[1]SSP4-change-rate'!$B$2:$B$147,'[1]SSP4-change-rate'!H$2:H$147)</f>
        <v>42917.538639305203</v>
      </c>
    </row>
    <row r="27" spans="1:51" hidden="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f>Sheet1!$AT27*_xlfn.XLOOKUP($A27,'[1]SSP4-change-rate'!$B$2:$B$147,'[1]SSP4-change-rate'!C$2:C$147)</f>
        <v>8113.0033380685618</v>
      </c>
      <c r="AU27">
        <f>Sheet1!$AT27*_xlfn.XLOOKUP($A27,'[1]SSP4-change-rate'!$B$2:$B$147,'[1]SSP4-change-rate'!D$2:D$147)</f>
        <v>8099.5945464671377</v>
      </c>
      <c r="AV27">
        <f>Sheet1!$AT27*_xlfn.XLOOKUP($A27,'[1]SSP4-change-rate'!$B$2:$B$147,'[1]SSP4-change-rate'!E$2:E$147)</f>
        <v>8077.1772114965534</v>
      </c>
      <c r="AW27">
        <f>Sheet1!$AT27*_xlfn.XLOOKUP($A27,'[1]SSP4-change-rate'!$B$2:$B$147,'[1]SSP4-change-rate'!F$2:F$147)</f>
        <v>8032.2936745194247</v>
      </c>
      <c r="AX27">
        <f>Sheet1!$AT27*_xlfn.XLOOKUP($A27,'[1]SSP4-change-rate'!$B$2:$B$147,'[1]SSP4-change-rate'!G$2:G$147)</f>
        <v>7971.0005644574694</v>
      </c>
      <c r="AY27">
        <f>Sheet1!$AT27*_xlfn.XLOOKUP($A27,'[1]SSP4-change-rate'!$B$2:$B$147,'[1]SSP4-change-rate'!H$2:H$147)</f>
        <v>7895.8002238414037</v>
      </c>
    </row>
    <row r="28" spans="1:51" hidden="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f>Sheet1!$AT28*_xlfn.XLOOKUP($A28,'[1]SSP4-change-rate'!$B$2:$B$147,'[1]SSP4-change-rate'!C$2:C$147)</f>
        <v>8540.043692668427</v>
      </c>
      <c r="AU28">
        <f>Sheet1!$AT28*_xlfn.XLOOKUP($A28,'[1]SSP4-change-rate'!$B$2:$B$147,'[1]SSP4-change-rate'!D$2:D$147)</f>
        <v>8500.7891119628039</v>
      </c>
      <c r="AV28">
        <f>Sheet1!$AT28*_xlfn.XLOOKUP($A28,'[1]SSP4-change-rate'!$B$2:$B$147,'[1]SSP4-change-rate'!E$2:E$147)</f>
        <v>8438.3234131778936</v>
      </c>
      <c r="AW28">
        <f>Sheet1!$AT28*_xlfn.XLOOKUP($A28,'[1]SSP4-change-rate'!$B$2:$B$147,'[1]SSP4-change-rate'!F$2:F$147)</f>
        <v>8292.5733063573844</v>
      </c>
      <c r="AX28">
        <f>Sheet1!$AT28*_xlfn.XLOOKUP($A28,'[1]SSP4-change-rate'!$B$2:$B$147,'[1]SSP4-change-rate'!G$2:G$147)</f>
        <v>8111.4224133409125</v>
      </c>
      <c r="AY28">
        <f>Sheet1!$AT28*_xlfn.XLOOKUP($A28,'[1]SSP4-change-rate'!$B$2:$B$147,'[1]SSP4-change-rate'!H$2:H$147)</f>
        <v>7901.5795767882646</v>
      </c>
    </row>
    <row r="29" spans="1:51" hidden="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f>Sheet1!$AT29*_xlfn.XLOOKUP($A29,'[1]SSP4-change-rate'!$B$2:$B$147,'[1]SSP4-change-rate'!C$2:C$147)</f>
        <v>353050.44331976504</v>
      </c>
      <c r="AU29">
        <f>Sheet1!$AT29*_xlfn.XLOOKUP($A29,'[1]SSP4-change-rate'!$B$2:$B$147,'[1]SSP4-change-rate'!D$2:D$147)</f>
        <v>349710.61777800746</v>
      </c>
      <c r="AV29">
        <f>Sheet1!$AT29*_xlfn.XLOOKUP($A29,'[1]SSP4-change-rate'!$B$2:$B$147,'[1]SSP4-change-rate'!E$2:E$147)</f>
        <v>345680.41638248926</v>
      </c>
      <c r="AW29">
        <f>Sheet1!$AT29*_xlfn.XLOOKUP($A29,'[1]SSP4-change-rate'!$B$2:$B$147,'[1]SSP4-change-rate'!F$2:F$147)</f>
        <v>336048.71107082622</v>
      </c>
      <c r="AX29">
        <f>Sheet1!$AT29*_xlfn.XLOOKUP($A29,'[1]SSP4-change-rate'!$B$2:$B$147,'[1]SSP4-change-rate'!G$2:G$147)</f>
        <v>325484.82533214503</v>
      </c>
      <c r="AY29">
        <f>Sheet1!$AT29*_xlfn.XLOOKUP($A29,'[1]SSP4-change-rate'!$B$2:$B$147,'[1]SSP4-change-rate'!H$2:H$147)</f>
        <v>314488.17592661252</v>
      </c>
    </row>
    <row r="30" spans="1:51" hidden="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f>Sheet1!$AT30*_xlfn.XLOOKUP($A30,'[1]SSP4-change-rate'!$B$2:$B$147,'[1]SSP4-change-rate'!C$2:C$147)</f>
        <v>2421.7572146604011</v>
      </c>
      <c r="AU30">
        <f>Sheet1!$AT30*_xlfn.XLOOKUP($A30,'[1]SSP4-change-rate'!$B$2:$B$147,'[1]SSP4-change-rate'!D$2:D$147)</f>
        <v>2445.7532846227377</v>
      </c>
      <c r="AV30">
        <f>Sheet1!$AT30*_xlfn.XLOOKUP($A30,'[1]SSP4-change-rate'!$B$2:$B$147,'[1]SSP4-change-rate'!E$2:E$147)</f>
        <v>2481.5355116662449</v>
      </c>
      <c r="AW30">
        <f>Sheet1!$AT30*_xlfn.XLOOKUP($A30,'[1]SSP4-change-rate'!$B$2:$B$147,'[1]SSP4-change-rate'!F$2:F$147)</f>
        <v>2536.4748956696071</v>
      </c>
      <c r="AX30">
        <f>Sheet1!$AT30*_xlfn.XLOOKUP($A30,'[1]SSP4-change-rate'!$B$2:$B$147,'[1]SSP4-change-rate'!G$2:G$147)</f>
        <v>2545.1602832569433</v>
      </c>
      <c r="AY30">
        <f>Sheet1!$AT30*_xlfn.XLOOKUP($A30,'[1]SSP4-change-rate'!$B$2:$B$147,'[1]SSP4-change-rate'!H$2:H$147)</f>
        <v>2396.3365259488219</v>
      </c>
    </row>
    <row r="31" spans="1:51" hidden="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f>Sheet1!$AT31*_xlfn.XLOOKUP($A31,'[1]SSP4-change-rate'!$B$2:$B$147,'[1]SSP4-change-rate'!C$2:C$147)</f>
        <v>2318.6035733937597</v>
      </c>
      <c r="AU31">
        <f>Sheet1!$AT31*_xlfn.XLOOKUP($A31,'[1]SSP4-change-rate'!$B$2:$B$147,'[1]SSP4-change-rate'!D$2:D$147)</f>
        <v>2319.0349415004375</v>
      </c>
      <c r="AV31">
        <f>Sheet1!$AT31*_xlfn.XLOOKUP($A31,'[1]SSP4-change-rate'!$B$2:$B$147,'[1]SSP4-change-rate'!E$2:E$147)</f>
        <v>2319.6413836922525</v>
      </c>
      <c r="AW31">
        <f>Sheet1!$AT31*_xlfn.XLOOKUP($A31,'[1]SSP4-change-rate'!$B$2:$B$147,'[1]SSP4-change-rate'!F$2:F$147)</f>
        <v>2260.8763708824513</v>
      </c>
      <c r="AX31">
        <f>Sheet1!$AT31*_xlfn.XLOOKUP($A31,'[1]SSP4-change-rate'!$B$2:$B$147,'[1]SSP4-change-rate'!G$2:G$147)</f>
        <v>2088.6607718477467</v>
      </c>
      <c r="AY31">
        <f>Sheet1!$AT31*_xlfn.XLOOKUP($A31,'[1]SSP4-change-rate'!$B$2:$B$147,'[1]SSP4-change-rate'!H$2:H$147)</f>
        <v>1639.0148530917556</v>
      </c>
    </row>
    <row r="32" spans="1:51" hidden="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4062.5123884926179</v>
      </c>
      <c r="AU32">
        <v>4073.578909687229</v>
      </c>
      <c r="AV32">
        <v>4083.8584221744622</v>
      </c>
      <c r="AW32">
        <v>4008.6858118807945</v>
      </c>
      <c r="AX32">
        <v>3629.4587953076798</v>
      </c>
      <c r="AY32">
        <v>2739.6141347768435</v>
      </c>
    </row>
    <row r="33" spans="1:51" hidden="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f>Sheet1!$AT33*_xlfn.XLOOKUP($A33,'[1]SSP4-change-rate'!$B$2:$B$147,'[1]SSP4-change-rate'!C$2:C$147)</f>
        <v>410.67485559612055</v>
      </c>
      <c r="AU33">
        <f>Sheet1!$AT33*_xlfn.XLOOKUP($A33,'[1]SSP4-change-rate'!$B$2:$B$147,'[1]SSP4-change-rate'!D$2:D$147)</f>
        <v>404.09137296895801</v>
      </c>
      <c r="AV33">
        <f>Sheet1!$AT33*_xlfn.XLOOKUP($A33,'[1]SSP4-change-rate'!$B$2:$B$147,'[1]SSP4-change-rate'!E$2:E$147)</f>
        <v>396.2491195518304</v>
      </c>
      <c r="AW33">
        <f>Sheet1!$AT33*_xlfn.XLOOKUP($A33,'[1]SSP4-change-rate'!$B$2:$B$147,'[1]SSP4-change-rate'!F$2:F$147)</f>
        <v>369.63695045828013</v>
      </c>
      <c r="AX33">
        <f>Sheet1!$AT33*_xlfn.XLOOKUP($A33,'[1]SSP4-change-rate'!$B$2:$B$147,'[1]SSP4-change-rate'!G$2:G$147)</f>
        <v>311.97653687155184</v>
      </c>
      <c r="AY33">
        <f>Sheet1!$AT33*_xlfn.XLOOKUP($A33,'[1]SSP4-change-rate'!$B$2:$B$147,'[1]SSP4-change-rate'!H$2:H$147)</f>
        <v>220.27817016355723</v>
      </c>
    </row>
    <row r="34" spans="1:51" hidden="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f>Sheet1!$AT34*_xlfn.XLOOKUP($A34,'[1]SSP4-change-rate'!$B$2:$B$147,'[1]SSP4-change-rate'!C$2:C$147)</f>
        <v>7009.1364876011121</v>
      </c>
      <c r="AU34">
        <f>Sheet1!$AT34*_xlfn.XLOOKUP($A34,'[1]SSP4-change-rate'!$B$2:$B$147,'[1]SSP4-change-rate'!D$2:D$147)</f>
        <v>6965.5605833209966</v>
      </c>
      <c r="AV34">
        <f>Sheet1!$AT34*_xlfn.XLOOKUP($A34,'[1]SSP4-change-rate'!$B$2:$B$147,'[1]SSP4-change-rate'!E$2:E$147)</f>
        <v>6908.5909048498315</v>
      </c>
      <c r="AW34">
        <f>Sheet1!$AT34*_xlfn.XLOOKUP($A34,'[1]SSP4-change-rate'!$B$2:$B$147,'[1]SSP4-change-rate'!F$2:F$147)</f>
        <v>6764.0187414805569</v>
      </c>
      <c r="AX34">
        <f>Sheet1!$AT34*_xlfn.XLOOKUP($A34,'[1]SSP4-change-rate'!$B$2:$B$147,'[1]SSP4-change-rate'!G$2:G$147)</f>
        <v>6545.356952062506</v>
      </c>
      <c r="AY34">
        <f>Sheet1!$AT34*_xlfn.XLOOKUP($A34,'[1]SSP4-change-rate'!$B$2:$B$147,'[1]SSP4-change-rate'!H$2:H$147)</f>
        <v>6200.0926764125416</v>
      </c>
    </row>
    <row r="35" spans="1:51" hidden="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f>Sheet1!$AT35*_xlfn.XLOOKUP($A35,'[1]SSP4-change-rate'!$B$2:$B$147,'[1]SSP4-change-rate'!C$2:C$147)</f>
        <v>1924.3965413160947</v>
      </c>
      <c r="AU35">
        <f>Sheet1!$AT35*_xlfn.XLOOKUP($A35,'[1]SSP4-change-rate'!$B$2:$B$147,'[1]SSP4-change-rate'!D$2:D$147)</f>
        <v>1910.3758213229794</v>
      </c>
      <c r="AV35">
        <f>Sheet1!$AT35*_xlfn.XLOOKUP($A35,'[1]SSP4-change-rate'!$B$2:$B$147,'[1]SSP4-change-rate'!E$2:E$147)</f>
        <v>1894.7392190530652</v>
      </c>
      <c r="AW35">
        <f>Sheet1!$AT35*_xlfn.XLOOKUP($A35,'[1]SSP4-change-rate'!$B$2:$B$147,'[1]SSP4-change-rate'!F$2:F$147)</f>
        <v>1857.3696515995398</v>
      </c>
      <c r="AX35">
        <f>Sheet1!$AT35*_xlfn.XLOOKUP($A35,'[1]SSP4-change-rate'!$B$2:$B$147,'[1]SSP4-change-rate'!G$2:G$147)</f>
        <v>1810.1092599258211</v>
      </c>
      <c r="AY35">
        <f>Sheet1!$AT35*_xlfn.XLOOKUP($A35,'[1]SSP4-change-rate'!$B$2:$B$147,'[1]SSP4-change-rate'!H$2:H$147)</f>
        <v>1746.9156498127975</v>
      </c>
    </row>
    <row r="36" spans="1:51" hidden="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2322.8440273603542</v>
      </c>
      <c r="AU36">
        <v>2317.8920473343437</v>
      </c>
      <c r="AV36">
        <v>2308.5207018174137</v>
      </c>
      <c r="AW36">
        <v>2275.8368080808568</v>
      </c>
      <c r="AX36">
        <v>2215.8485270552751</v>
      </c>
      <c r="AY36">
        <v>2151.8900909602362</v>
      </c>
    </row>
    <row r="37" spans="1:51" hidden="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f>Sheet1!$AT37*_xlfn.XLOOKUP($A37,'[1]SSP4-change-rate'!$B$2:$B$147,'[1]SSP4-change-rate'!C$2:C$147)</f>
        <v>473.74286883154372</v>
      </c>
      <c r="AU37">
        <f>Sheet1!$AT37*_xlfn.XLOOKUP($A37,'[1]SSP4-change-rate'!$B$2:$B$147,'[1]SSP4-change-rate'!D$2:D$147)</f>
        <v>472.54956185715696</v>
      </c>
      <c r="AV37">
        <f>Sheet1!$AT37*_xlfn.XLOOKUP($A37,'[1]SSP4-change-rate'!$B$2:$B$147,'[1]SSP4-change-rate'!E$2:E$147)</f>
        <v>470.41446460087712</v>
      </c>
      <c r="AW37">
        <f>Sheet1!$AT37*_xlfn.XLOOKUP($A37,'[1]SSP4-change-rate'!$B$2:$B$147,'[1]SSP4-change-rate'!F$2:F$147)</f>
        <v>464.24902376477928</v>
      </c>
      <c r="AX37">
        <f>Sheet1!$AT37*_xlfn.XLOOKUP($A37,'[1]SSP4-change-rate'!$B$2:$B$147,'[1]SSP4-change-rate'!G$2:G$147)</f>
        <v>452.28136302877243</v>
      </c>
      <c r="AY37">
        <f>Sheet1!$AT37*_xlfn.XLOOKUP($A37,'[1]SSP4-change-rate'!$B$2:$B$147,'[1]SSP4-change-rate'!H$2:H$147)</f>
        <v>439.85663277206447</v>
      </c>
    </row>
    <row r="38" spans="1:51" hidden="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f>Sheet1!$AT38*_xlfn.XLOOKUP($A38,'[1]SSP4-change-rate'!$B$2:$B$147,'[1]SSP4-change-rate'!C$2:C$147)</f>
        <v>10493.247780439164</v>
      </c>
      <c r="AU38">
        <f>Sheet1!$AT38*_xlfn.XLOOKUP($A38,'[1]SSP4-change-rate'!$B$2:$B$147,'[1]SSP4-change-rate'!D$2:D$147)</f>
        <v>10462.655195990894</v>
      </c>
      <c r="AV38">
        <f>Sheet1!$AT38*_xlfn.XLOOKUP($A38,'[1]SSP4-change-rate'!$B$2:$B$147,'[1]SSP4-change-rate'!E$2:E$147)</f>
        <v>10422.337828939635</v>
      </c>
      <c r="AW38">
        <f>Sheet1!$AT38*_xlfn.XLOOKUP($A38,'[1]SSP4-change-rate'!$B$2:$B$147,'[1]SSP4-change-rate'!F$2:F$147)</f>
        <v>10327.024205801394</v>
      </c>
      <c r="AX38">
        <f>Sheet1!$AT38*_xlfn.XLOOKUP($A38,'[1]SSP4-change-rate'!$B$2:$B$147,'[1]SSP4-change-rate'!G$2:G$147)</f>
        <v>10193.682858886606</v>
      </c>
      <c r="AY38">
        <f>Sheet1!$AT38*_xlfn.XLOOKUP($A38,'[1]SSP4-change-rate'!$B$2:$B$147,'[1]SSP4-change-rate'!H$2:H$147)</f>
        <v>10032.495081108842</v>
      </c>
    </row>
    <row r="39" spans="1:51" hidden="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f>Sheet1!$AT39*_xlfn.XLOOKUP($A39,'[1]SSP4-change-rate'!$B$2:$B$147,'[1]SSP4-change-rate'!C$2:C$147)</f>
        <v>65058.149024529914</v>
      </c>
      <c r="AU39">
        <f>Sheet1!$AT39*_xlfn.XLOOKUP($A39,'[1]SSP4-change-rate'!$B$2:$B$147,'[1]SSP4-change-rate'!D$2:D$147)</f>
        <v>64948.979287563197</v>
      </c>
      <c r="AV39">
        <f>Sheet1!$AT39*_xlfn.XLOOKUP($A39,'[1]SSP4-change-rate'!$B$2:$B$147,'[1]SSP4-change-rate'!E$2:E$147)</f>
        <v>64790.951198738672</v>
      </c>
      <c r="AW39">
        <f>Sheet1!$AT39*_xlfn.XLOOKUP($A39,'[1]SSP4-change-rate'!$B$2:$B$147,'[1]SSP4-change-rate'!F$2:F$147)</f>
        <v>64448.437077519469</v>
      </c>
      <c r="AX39">
        <f>Sheet1!$AT39*_xlfn.XLOOKUP($A39,'[1]SSP4-change-rate'!$B$2:$B$147,'[1]SSP4-change-rate'!G$2:G$147)</f>
        <v>64001.486857244425</v>
      </c>
      <c r="AY39">
        <f>Sheet1!$AT39*_xlfn.XLOOKUP($A39,'[1]SSP4-change-rate'!$B$2:$B$147,'[1]SSP4-change-rate'!H$2:H$147)</f>
        <v>63418.834653009711</v>
      </c>
    </row>
    <row r="40" spans="1:51" hidden="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f>Sheet1!$AT40*_xlfn.XLOOKUP($A40,'[1]SSP4-change-rate'!$B$2:$B$147,'[1]SSP4-change-rate'!C$2:C$147)</f>
        <v>51.66440742196265</v>
      </c>
      <c r="AU40">
        <f>Sheet1!$AT40*_xlfn.XLOOKUP($A40,'[1]SSP4-change-rate'!$B$2:$B$147,'[1]SSP4-change-rate'!D$2:D$147)</f>
        <v>51.66440742196265</v>
      </c>
      <c r="AV40">
        <f>Sheet1!$AT40*_xlfn.XLOOKUP($A40,'[1]SSP4-change-rate'!$B$2:$B$147,'[1]SSP4-change-rate'!E$2:E$147)</f>
        <v>51.66440742196265</v>
      </c>
      <c r="AW40">
        <f>Sheet1!$AT40*_xlfn.XLOOKUP($A40,'[1]SSP4-change-rate'!$B$2:$B$147,'[1]SSP4-change-rate'!F$2:F$147)</f>
        <v>50.372797236413582</v>
      </c>
      <c r="AX40">
        <f>Sheet1!$AT40*_xlfn.XLOOKUP($A40,'[1]SSP4-change-rate'!$B$2:$B$147,'[1]SSP4-change-rate'!G$2:G$147)</f>
        <v>49.316025266418897</v>
      </c>
      <c r="AY40">
        <f>Sheet1!$AT40*_xlfn.XLOOKUP($A40,'[1]SSP4-change-rate'!$B$2:$B$147,'[1]SSP4-change-rate'!H$2:H$147)</f>
        <v>43.866006301666403</v>
      </c>
    </row>
    <row r="41" spans="1:51" hidden="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f>Sheet1!$AT41*_xlfn.XLOOKUP($A41,'[1]SSP4-change-rate'!$B$2:$B$147,'[1]SSP4-change-rate'!C$2:C$147)</f>
        <v>6841.8326812125943</v>
      </c>
      <c r="AU41">
        <f>Sheet1!$AT41*_xlfn.XLOOKUP($A41,'[1]SSP4-change-rate'!$B$2:$B$147,'[1]SSP4-change-rate'!D$2:D$147)</f>
        <v>6832.3821291505183</v>
      </c>
      <c r="AV41">
        <f>Sheet1!$AT41*_xlfn.XLOOKUP($A41,'[1]SSP4-change-rate'!$B$2:$B$147,'[1]SSP4-change-rate'!E$2:E$147)</f>
        <v>6814.2788934089031</v>
      </c>
      <c r="AW41">
        <f>Sheet1!$AT41*_xlfn.XLOOKUP($A41,'[1]SSP4-change-rate'!$B$2:$B$147,'[1]SSP4-change-rate'!F$2:F$147)</f>
        <v>6802.7884896783607</v>
      </c>
      <c r="AX41">
        <f>Sheet1!$AT41*_xlfn.XLOOKUP($A41,'[1]SSP4-change-rate'!$B$2:$B$147,'[1]SSP4-change-rate'!G$2:G$147)</f>
        <v>6801.2264555701695</v>
      </c>
      <c r="AY41">
        <f>Sheet1!$AT41*_xlfn.XLOOKUP($A41,'[1]SSP4-change-rate'!$B$2:$B$147,'[1]SSP4-change-rate'!H$2:H$147)</f>
        <v>6838.9781225173883</v>
      </c>
    </row>
    <row r="42" spans="1:51" hidden="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f>Sheet1!$AT42*_xlfn.XLOOKUP($A42,'[1]SSP4-change-rate'!$B$2:$B$147,'[1]SSP4-change-rate'!C$2:C$147)</f>
        <v>2865.8862486959761</v>
      </c>
      <c r="AU42">
        <f>Sheet1!$AT42*_xlfn.XLOOKUP($A42,'[1]SSP4-change-rate'!$B$2:$B$147,'[1]SSP4-change-rate'!D$2:D$147)</f>
        <v>2841.5615530920099</v>
      </c>
      <c r="AV42">
        <f>Sheet1!$AT42*_xlfn.XLOOKUP($A42,'[1]SSP4-change-rate'!$B$2:$B$147,'[1]SSP4-change-rate'!E$2:E$147)</f>
        <v>2814.2246978814387</v>
      </c>
      <c r="AW42">
        <f>Sheet1!$AT42*_xlfn.XLOOKUP($A42,'[1]SSP4-change-rate'!$B$2:$B$147,'[1]SSP4-change-rate'!F$2:F$147)</f>
        <v>2733.030921071294</v>
      </c>
      <c r="AX42">
        <f>Sheet1!$AT42*_xlfn.XLOOKUP($A42,'[1]SSP4-change-rate'!$B$2:$B$147,'[1]SSP4-change-rate'!G$2:G$147)</f>
        <v>2624.5239598536355</v>
      </c>
      <c r="AY42">
        <f>Sheet1!$AT42*_xlfn.XLOOKUP($A42,'[1]SSP4-change-rate'!$B$2:$B$147,'[1]SSP4-change-rate'!H$2:H$147)</f>
        <v>2505.0711930753009</v>
      </c>
    </row>
    <row r="43" spans="1:51" hidden="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f>Sheet1!$AT43*_xlfn.XLOOKUP($A43,'[1]SSP4-change-rate'!$B$2:$B$147,'[1]SSP4-change-rate'!C$2:C$147)</f>
        <v>8049.092636759081</v>
      </c>
      <c r="AU43">
        <f>Sheet1!$AT43*_xlfn.XLOOKUP($A43,'[1]SSP4-change-rate'!$B$2:$B$147,'[1]SSP4-change-rate'!D$2:D$147)</f>
        <v>8015.8366692890713</v>
      </c>
      <c r="AV43">
        <f>Sheet1!$AT43*_xlfn.XLOOKUP($A43,'[1]SSP4-change-rate'!$B$2:$B$147,'[1]SSP4-change-rate'!E$2:E$147)</f>
        <v>7967.6519555627074</v>
      </c>
      <c r="AW43">
        <f>Sheet1!$AT43*_xlfn.XLOOKUP($A43,'[1]SSP4-change-rate'!$B$2:$B$147,'[1]SSP4-change-rate'!F$2:F$147)</f>
        <v>7787.1061424938489</v>
      </c>
      <c r="AX43">
        <f>Sheet1!$AT43*_xlfn.XLOOKUP($A43,'[1]SSP4-change-rate'!$B$2:$B$147,'[1]SSP4-change-rate'!G$2:G$147)</f>
        <v>7490.6955606293959</v>
      </c>
      <c r="AY43">
        <f>Sheet1!$AT43*_xlfn.XLOOKUP($A43,'[1]SSP4-change-rate'!$B$2:$B$147,'[1]SSP4-change-rate'!H$2:H$147)</f>
        <v>7068.9198936913735</v>
      </c>
    </row>
    <row r="44" spans="1:51" hidden="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f>Sheet1!$AT44*_xlfn.XLOOKUP($A44,'[1]SSP4-change-rate'!$B$2:$B$147,'[1]SSP4-change-rate'!C$2:C$147)</f>
        <v>5231.0010060057139</v>
      </c>
      <c r="AU44">
        <f>Sheet1!$AT44*_xlfn.XLOOKUP($A44,'[1]SSP4-change-rate'!$B$2:$B$147,'[1]SSP4-change-rate'!D$2:D$147)</f>
        <v>5198.0697401820071</v>
      </c>
      <c r="AV44">
        <f>Sheet1!$AT44*_xlfn.XLOOKUP($A44,'[1]SSP4-change-rate'!$B$2:$B$147,'[1]SSP4-change-rate'!E$2:E$147)</f>
        <v>5156.9377378262188</v>
      </c>
      <c r="AW44">
        <f>Sheet1!$AT44*_xlfn.XLOOKUP($A44,'[1]SSP4-change-rate'!$B$2:$B$147,'[1]SSP4-change-rate'!F$2:F$147)</f>
        <v>5032.4457695961128</v>
      </c>
      <c r="AX44">
        <f>Sheet1!$AT44*_xlfn.XLOOKUP($A44,'[1]SSP4-change-rate'!$B$2:$B$147,'[1]SSP4-change-rate'!G$2:G$147)</f>
        <v>4862.5155927398218</v>
      </c>
      <c r="AY44">
        <f>Sheet1!$AT44*_xlfn.XLOOKUP($A44,'[1]SSP4-change-rate'!$B$2:$B$147,'[1]SSP4-change-rate'!H$2:H$147)</f>
        <v>4636.0485004413204</v>
      </c>
    </row>
    <row r="45" spans="1:51" hidden="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f>Sheet1!$AT45*_xlfn.XLOOKUP($A45,'[1]SSP4-change-rate'!$B$2:$B$147,'[1]SSP4-change-rate'!C$2:C$147)</f>
        <v>18155.230334430053</v>
      </c>
      <c r="AU45">
        <f>Sheet1!$AT45*_xlfn.XLOOKUP($A45,'[1]SSP4-change-rate'!$B$2:$B$147,'[1]SSP4-change-rate'!D$2:D$147)</f>
        <v>18030.285745794103</v>
      </c>
      <c r="AV45">
        <f>Sheet1!$AT45*_xlfn.XLOOKUP($A45,'[1]SSP4-change-rate'!$B$2:$B$147,'[1]SSP4-change-rate'!E$2:E$147)</f>
        <v>17862.940777779047</v>
      </c>
      <c r="AW45">
        <f>Sheet1!$AT45*_xlfn.XLOOKUP($A45,'[1]SSP4-change-rate'!$B$2:$B$147,'[1]SSP4-change-rate'!F$2:F$147)</f>
        <v>17311.633780569435</v>
      </c>
      <c r="AX45">
        <f>Sheet1!$AT45*_xlfn.XLOOKUP($A45,'[1]SSP4-change-rate'!$B$2:$B$147,'[1]SSP4-change-rate'!G$2:G$147)</f>
        <v>16522.706304450272</v>
      </c>
      <c r="AY45">
        <f>Sheet1!$AT45*_xlfn.XLOOKUP($A45,'[1]SSP4-change-rate'!$B$2:$B$147,'[1]SSP4-change-rate'!H$2:H$147)</f>
        <v>15587.306410566127</v>
      </c>
    </row>
    <row r="46" spans="1:51" hidden="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f>Sheet1!$AT46*_xlfn.XLOOKUP($A46,'[1]SSP4-change-rate'!$B$2:$B$147,'[1]SSP4-change-rate'!C$2:C$147)</f>
        <v>109.1589092299342</v>
      </c>
      <c r="AU46">
        <f>Sheet1!$AT46*_xlfn.XLOOKUP($A46,'[1]SSP4-change-rate'!$B$2:$B$147,'[1]SSP4-change-rate'!D$2:D$147)</f>
        <v>109.1589092299342</v>
      </c>
      <c r="AV46">
        <f>Sheet1!$AT46*_xlfn.XLOOKUP($A46,'[1]SSP4-change-rate'!$B$2:$B$147,'[1]SSP4-change-rate'!E$2:E$147)</f>
        <v>106.49649680969189</v>
      </c>
      <c r="AW46">
        <f>Sheet1!$AT46*_xlfn.XLOOKUP($A46,'[1]SSP4-change-rate'!$B$2:$B$147,'[1]SSP4-change-rate'!F$2:F$147)</f>
        <v>105.3948089116606</v>
      </c>
      <c r="AX46">
        <f>Sheet1!$AT46*_xlfn.XLOOKUP($A46,'[1]SSP4-change-rate'!$B$2:$B$147,'[1]SSP4-change-rate'!G$2:G$147)</f>
        <v>100.97199103768914</v>
      </c>
      <c r="AY46">
        <f>Sheet1!$AT46*_xlfn.XLOOKUP($A46,'[1]SSP4-change-rate'!$B$2:$B$147,'[1]SSP4-change-rate'!H$2:H$147)</f>
        <v>98.040872178737189</v>
      </c>
    </row>
    <row r="47" spans="1:51" hidden="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f>Sheet1!$AT47*_xlfn.XLOOKUP($A47,'[1]SSP4-change-rate'!$B$2:$B$147,'[1]SSP4-change-rate'!C$2:C$147)</f>
        <v>27260.135589894882</v>
      </c>
      <c r="AU47">
        <f>Sheet1!$AT47*_xlfn.XLOOKUP($A47,'[1]SSP4-change-rate'!$B$2:$B$147,'[1]SSP4-change-rate'!D$2:D$147)</f>
        <v>27187.368558004862</v>
      </c>
      <c r="AV47">
        <f>Sheet1!$AT47*_xlfn.XLOOKUP($A47,'[1]SSP4-change-rate'!$B$2:$B$147,'[1]SSP4-change-rate'!E$2:E$147)</f>
        <v>27084.463088657067</v>
      </c>
      <c r="AW47">
        <f>Sheet1!$AT47*_xlfn.XLOOKUP($A47,'[1]SSP4-change-rate'!$B$2:$B$147,'[1]SSP4-change-rate'!F$2:F$147)</f>
        <v>26832.02810006437</v>
      </c>
      <c r="AX47">
        <f>Sheet1!$AT47*_xlfn.XLOOKUP($A47,'[1]SSP4-change-rate'!$B$2:$B$147,'[1]SSP4-change-rate'!G$2:G$147)</f>
        <v>26470.547401100663</v>
      </c>
      <c r="AY47">
        <f>Sheet1!$AT47*_xlfn.XLOOKUP($A47,'[1]SSP4-change-rate'!$B$2:$B$147,'[1]SSP4-change-rate'!H$2:H$147)</f>
        <v>26036.125100461515</v>
      </c>
    </row>
    <row r="48" spans="1:51" hidden="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f>Sheet1!$AT48*_xlfn.XLOOKUP($A48,'[1]SSP4-change-rate'!$B$2:$B$147,'[1]SSP4-change-rate'!C$2:C$147)</f>
        <v>922.54780209332944</v>
      </c>
      <c r="AU48">
        <f>Sheet1!$AT48*_xlfn.XLOOKUP($A48,'[1]SSP4-change-rate'!$B$2:$B$147,'[1]SSP4-change-rate'!D$2:D$147)</f>
        <v>922.54780209332944</v>
      </c>
      <c r="AV48">
        <f>Sheet1!$AT48*_xlfn.XLOOKUP($A48,'[1]SSP4-change-rate'!$B$2:$B$147,'[1]SSP4-change-rate'!E$2:E$147)</f>
        <v>920.89152237682435</v>
      </c>
      <c r="AW48">
        <f>Sheet1!$AT48*_xlfn.XLOOKUP($A48,'[1]SSP4-change-rate'!$B$2:$B$147,'[1]SSP4-change-rate'!F$2:F$147)</f>
        <v>916.39748341270717</v>
      </c>
      <c r="AX48">
        <f>Sheet1!$AT48*_xlfn.XLOOKUP($A48,'[1]SSP4-change-rate'!$B$2:$B$147,'[1]SSP4-change-rate'!G$2:G$147)</f>
        <v>905.30391794205229</v>
      </c>
      <c r="AY48">
        <f>Sheet1!$AT48*_xlfn.XLOOKUP($A48,'[1]SSP4-change-rate'!$B$2:$B$147,'[1]SSP4-change-rate'!H$2:H$147)</f>
        <v>889.98729143121193</v>
      </c>
    </row>
    <row r="49" spans="1:51" hidden="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f>Sheet1!$AT49*_xlfn.XLOOKUP($A49,'[1]SSP4-change-rate'!$B$2:$B$147,'[1]SSP4-change-rate'!C$2:C$147)</f>
        <v>3059.6617933410107</v>
      </c>
      <c r="AU49">
        <f>Sheet1!$AT49*_xlfn.XLOOKUP($A49,'[1]SSP4-change-rate'!$B$2:$B$147,'[1]SSP4-change-rate'!D$2:D$147)</f>
        <v>3060.8111914296774</v>
      </c>
      <c r="AV49">
        <f>Sheet1!$AT49*_xlfn.XLOOKUP($A49,'[1]SSP4-change-rate'!$B$2:$B$147,'[1]SSP4-change-rate'!E$2:E$147)</f>
        <v>3043.4776688732095</v>
      </c>
      <c r="AW49">
        <f>Sheet1!$AT49*_xlfn.XLOOKUP($A49,'[1]SSP4-change-rate'!$B$2:$B$147,'[1]SSP4-change-rate'!F$2:F$147)</f>
        <v>2968.6530228778511</v>
      </c>
      <c r="AX49">
        <f>Sheet1!$AT49*_xlfn.XLOOKUP($A49,'[1]SSP4-change-rate'!$B$2:$B$147,'[1]SSP4-change-rate'!G$2:G$147)</f>
        <v>2823.9612711142963</v>
      </c>
      <c r="AY49">
        <f>Sheet1!$AT49*_xlfn.XLOOKUP($A49,'[1]SSP4-change-rate'!$B$2:$B$147,'[1]SSP4-change-rate'!H$2:H$147)</f>
        <v>2544.0871581115075</v>
      </c>
    </row>
    <row r="50" spans="1:51" hidden="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f>Sheet1!$AT50*_xlfn.XLOOKUP($A50,'[1]SSP4-change-rate'!$B$2:$B$147,'[1]SSP4-change-rate'!C$2:C$147)</f>
        <v>6103.1122850161682</v>
      </c>
      <c r="AU50">
        <f>Sheet1!$AT50*_xlfn.XLOOKUP($A50,'[1]SSP4-change-rate'!$B$2:$B$147,'[1]SSP4-change-rate'!D$2:D$147)</f>
        <v>6069.5960502897187</v>
      </c>
      <c r="AV50">
        <f>Sheet1!$AT50*_xlfn.XLOOKUP($A50,'[1]SSP4-change-rate'!$B$2:$B$147,'[1]SSP4-change-rate'!E$2:E$147)</f>
        <v>6021.4194215681646</v>
      </c>
      <c r="AW50">
        <f>Sheet1!$AT50*_xlfn.XLOOKUP($A50,'[1]SSP4-change-rate'!$B$2:$B$147,'[1]SSP4-change-rate'!F$2:F$147)</f>
        <v>5915.5404796477596</v>
      </c>
      <c r="AX50">
        <f>Sheet1!$AT50*_xlfn.XLOOKUP($A50,'[1]SSP4-change-rate'!$B$2:$B$147,'[1]SSP4-change-rate'!G$2:G$147)</f>
        <v>5776.864692065802</v>
      </c>
      <c r="AY50">
        <f>Sheet1!$AT50*_xlfn.XLOOKUP($A50,'[1]SSP4-change-rate'!$B$2:$B$147,'[1]SSP4-change-rate'!H$2:H$147)</f>
        <v>5601.7713642084645</v>
      </c>
    </row>
    <row r="51" spans="1:51" hidden="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f>Sheet1!$AT51*_xlfn.XLOOKUP($A51,'[1]SSP4-change-rate'!$B$2:$B$147,'[1]SSP4-change-rate'!C$2:C$147)</f>
        <v>75164.19365131222</v>
      </c>
      <c r="AU51">
        <f>Sheet1!$AT51*_xlfn.XLOOKUP($A51,'[1]SSP4-change-rate'!$B$2:$B$147,'[1]SSP4-change-rate'!D$2:D$147)</f>
        <v>74896.582855302171</v>
      </c>
      <c r="AV51">
        <f>Sheet1!$AT51*_xlfn.XLOOKUP($A51,'[1]SSP4-change-rate'!$B$2:$B$147,'[1]SSP4-change-rate'!E$2:E$147)</f>
        <v>74513.139309171369</v>
      </c>
      <c r="AW51">
        <f>Sheet1!$AT51*_xlfn.XLOOKUP($A51,'[1]SSP4-change-rate'!$B$2:$B$147,'[1]SSP4-change-rate'!F$2:F$147)</f>
        <v>73668.148966799199</v>
      </c>
      <c r="AX51">
        <f>Sheet1!$AT51*_xlfn.XLOOKUP($A51,'[1]SSP4-change-rate'!$B$2:$B$147,'[1]SSP4-change-rate'!G$2:G$147)</f>
        <v>72561.206328495347</v>
      </c>
      <c r="AY51">
        <f>Sheet1!$AT51*_xlfn.XLOOKUP($A51,'[1]SSP4-change-rate'!$B$2:$B$147,'[1]SSP4-change-rate'!H$2:H$147)</f>
        <v>71201.955088574483</v>
      </c>
    </row>
    <row r="52" spans="1:51" hidden="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f>Sheet1!$AT52*_xlfn.XLOOKUP($A52,'[1]SSP4-change-rate'!$B$2:$B$147,'[1]SSP4-change-rate'!C$2:C$147)</f>
        <v>259.88175128624982</v>
      </c>
      <c r="AU52">
        <f>Sheet1!$AT52*_xlfn.XLOOKUP($A52,'[1]SSP4-change-rate'!$B$2:$B$147,'[1]SSP4-change-rate'!D$2:D$147)</f>
        <v>259.88175128624982</v>
      </c>
      <c r="AV52">
        <f>Sheet1!$AT52*_xlfn.XLOOKUP($A52,'[1]SSP4-change-rate'!$B$2:$B$147,'[1]SSP4-change-rate'!E$2:E$147)</f>
        <v>259.88175128624982</v>
      </c>
      <c r="AW52">
        <f>Sheet1!$AT52*_xlfn.XLOOKUP($A52,'[1]SSP4-change-rate'!$B$2:$B$147,'[1]SSP4-change-rate'!F$2:F$147)</f>
        <v>261.51622770943379</v>
      </c>
      <c r="AX52">
        <f>Sheet1!$AT52*_xlfn.XLOOKUP($A52,'[1]SSP4-change-rate'!$B$2:$B$147,'[1]SSP4-change-rate'!G$2:G$147)</f>
        <v>261.41951312818031</v>
      </c>
      <c r="AY52">
        <f>Sheet1!$AT52*_xlfn.XLOOKUP($A52,'[1]SSP4-change-rate'!$B$2:$B$147,'[1]SSP4-change-rate'!H$2:H$147)</f>
        <v>257.02590786552179</v>
      </c>
    </row>
    <row r="53" spans="1:51" hidden="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f>Sheet1!$AT53*_xlfn.XLOOKUP($A53,'[1]SSP4-change-rate'!$B$2:$B$147,'[1]SSP4-change-rate'!C$2:C$147)</f>
        <v>84860.379718220327</v>
      </c>
      <c r="AU53">
        <f>Sheet1!$AT53*_xlfn.XLOOKUP($A53,'[1]SSP4-change-rate'!$B$2:$B$147,'[1]SSP4-change-rate'!D$2:D$147)</f>
        <v>84390.490524490015</v>
      </c>
      <c r="AV53">
        <f>Sheet1!$AT53*_xlfn.XLOOKUP($A53,'[1]SSP4-change-rate'!$B$2:$B$147,'[1]SSP4-change-rate'!E$2:E$147)</f>
        <v>83719.498656495911</v>
      </c>
      <c r="AW53">
        <f>Sheet1!$AT53*_xlfn.XLOOKUP($A53,'[1]SSP4-change-rate'!$B$2:$B$147,'[1]SSP4-change-rate'!F$2:F$147)</f>
        <v>82378.159588102659</v>
      </c>
      <c r="AX53">
        <f>Sheet1!$AT53*_xlfn.XLOOKUP($A53,'[1]SSP4-change-rate'!$B$2:$B$147,'[1]SSP4-change-rate'!G$2:G$147)</f>
        <v>80752.31774223398</v>
      </c>
      <c r="AY53">
        <f>Sheet1!$AT53*_xlfn.XLOOKUP($A53,'[1]SSP4-change-rate'!$B$2:$B$147,'[1]SSP4-change-rate'!H$2:H$147)</f>
        <v>78921.809114442643</v>
      </c>
    </row>
    <row r="54" spans="1:51" hidden="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f>Sheet1!$AT54*_xlfn.XLOOKUP($A54,'[1]SSP4-change-rate'!$B$2:$B$147,'[1]SSP4-change-rate'!C$2:C$147)</f>
        <v>396.74444017983603</v>
      </c>
      <c r="AU54">
        <f>Sheet1!$AT54*_xlfn.XLOOKUP($A54,'[1]SSP4-change-rate'!$B$2:$B$147,'[1]SSP4-change-rate'!D$2:D$147)</f>
        <v>392.57549685045075</v>
      </c>
      <c r="AV54">
        <f>Sheet1!$AT54*_xlfn.XLOOKUP($A54,'[1]SSP4-change-rate'!$B$2:$B$147,'[1]SSP4-change-rate'!E$2:E$147)</f>
        <v>388.54300472392214</v>
      </c>
      <c r="AW54">
        <f>Sheet1!$AT54*_xlfn.XLOOKUP($A54,'[1]SSP4-change-rate'!$B$2:$B$147,'[1]SSP4-change-rate'!F$2:F$147)</f>
        <v>379.35861896249003</v>
      </c>
      <c r="AX54">
        <f>Sheet1!$AT54*_xlfn.XLOOKUP($A54,'[1]SSP4-change-rate'!$B$2:$B$147,'[1]SSP4-change-rate'!G$2:G$147)</f>
        <v>371.35964134733757</v>
      </c>
      <c r="AY54">
        <f>Sheet1!$AT54*_xlfn.XLOOKUP($A54,'[1]SSP4-change-rate'!$B$2:$B$147,'[1]SSP4-change-rate'!H$2:H$147)</f>
        <v>361.72983464306219</v>
      </c>
    </row>
    <row r="55" spans="1:51" hidden="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f>Sheet1!$AT55*_xlfn.XLOOKUP($A55,'[1]SSP4-change-rate'!$B$2:$B$147,'[1]SSP4-change-rate'!C$2:C$147)</f>
        <v>4655.4756251332856</v>
      </c>
      <c r="AU55">
        <f>Sheet1!$AT55*_xlfn.XLOOKUP($A55,'[1]SSP4-change-rate'!$B$2:$B$147,'[1]SSP4-change-rate'!D$2:D$147)</f>
        <v>4669.7698666132937</v>
      </c>
      <c r="AV55">
        <f>Sheet1!$AT55*_xlfn.XLOOKUP($A55,'[1]SSP4-change-rate'!$B$2:$B$147,'[1]SSP4-change-rate'!E$2:E$147)</f>
        <v>4691.1067875531453</v>
      </c>
      <c r="AW55">
        <f>Sheet1!$AT55*_xlfn.XLOOKUP($A55,'[1]SSP4-change-rate'!$B$2:$B$147,'[1]SSP4-change-rate'!F$2:F$147)</f>
        <v>4689.8702504729954</v>
      </c>
      <c r="AX55">
        <f>Sheet1!$AT55*_xlfn.XLOOKUP($A55,'[1]SSP4-change-rate'!$B$2:$B$147,'[1]SSP4-change-rate'!G$2:G$147)</f>
        <v>4518.6540432288311</v>
      </c>
      <c r="AY55">
        <f>Sheet1!$AT55*_xlfn.XLOOKUP($A55,'[1]SSP4-change-rate'!$B$2:$B$147,'[1]SSP4-change-rate'!H$2:H$147)</f>
        <v>3903.4009300955504</v>
      </c>
    </row>
    <row r="56" spans="1:51" hidden="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f>Sheet1!$AT56*_xlfn.XLOOKUP($A56,'[1]SSP4-change-rate'!$B$2:$B$147,'[1]SSP4-change-rate'!C$2:C$147)</f>
        <v>1281.924242606824</v>
      </c>
      <c r="AU56">
        <f>Sheet1!$AT56*_xlfn.XLOOKUP($A56,'[1]SSP4-change-rate'!$B$2:$B$147,'[1]SSP4-change-rate'!D$2:D$147)</f>
        <v>1281.924242606824</v>
      </c>
      <c r="AV56">
        <f>Sheet1!$AT56*_xlfn.XLOOKUP($A56,'[1]SSP4-change-rate'!$B$2:$B$147,'[1]SSP4-change-rate'!E$2:E$147)</f>
        <v>1260.1967130711153</v>
      </c>
      <c r="AW56">
        <f>Sheet1!$AT56*_xlfn.XLOOKUP($A56,'[1]SSP4-change-rate'!$B$2:$B$147,'[1]SSP4-change-rate'!F$2:F$147)</f>
        <v>1243.6578473051277</v>
      </c>
      <c r="AX56">
        <f>Sheet1!$AT56*_xlfn.XLOOKUP($A56,'[1]SSP4-change-rate'!$B$2:$B$147,'[1]SSP4-change-rate'!G$2:G$147)</f>
        <v>1183.3146854832223</v>
      </c>
      <c r="AY56">
        <f>Sheet1!$AT56*_xlfn.XLOOKUP($A56,'[1]SSP4-change-rate'!$B$2:$B$147,'[1]SSP4-change-rate'!H$2:H$147)</f>
        <v>1077.3618634674372</v>
      </c>
    </row>
    <row r="57" spans="1:51" hidden="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f>Sheet1!$AT57*_xlfn.XLOOKUP($A57,'[1]SSP4-change-rate'!$B$2:$B$147,'[1]SSP4-change-rate'!C$2:C$147)</f>
        <v>229.31831755263403</v>
      </c>
      <c r="AU57">
        <f>Sheet1!$AT57*_xlfn.XLOOKUP($A57,'[1]SSP4-change-rate'!$B$2:$B$147,'[1]SSP4-change-rate'!D$2:D$147)</f>
        <v>236.9622614710552</v>
      </c>
      <c r="AV57">
        <f>Sheet1!$AT57*_xlfn.XLOOKUP($A57,'[1]SSP4-change-rate'!$B$2:$B$147,'[1]SSP4-change-rate'!E$2:E$147)</f>
        <v>242.80763034984778</v>
      </c>
      <c r="AW57">
        <f>Sheet1!$AT57*_xlfn.XLOOKUP($A57,'[1]SSP4-change-rate'!$B$2:$B$147,'[1]SSP4-change-rate'!F$2:F$147)</f>
        <v>240.23823743609282</v>
      </c>
      <c r="AX57">
        <f>Sheet1!$AT57*_xlfn.XLOOKUP($A57,'[1]SSP4-change-rate'!$B$2:$B$147,'[1]SSP4-change-rate'!G$2:G$147)</f>
        <v>238.49105025473941</v>
      </c>
      <c r="AY57">
        <f>Sheet1!$AT57*_xlfn.XLOOKUP($A57,'[1]SSP4-change-rate'!$B$2:$B$147,'[1]SSP4-change-rate'!H$2:H$147)</f>
        <v>241.17960983983923</v>
      </c>
    </row>
    <row r="58" spans="1:51" hidden="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104.28121178953812</v>
      </c>
      <c r="AU58">
        <v>104.56527990554869</v>
      </c>
      <c r="AV58">
        <v>104.8291461824395</v>
      </c>
      <c r="AW58">
        <v>102.89952969265077</v>
      </c>
      <c r="AX58">
        <v>93.165097142095732</v>
      </c>
      <c r="AY58">
        <v>70.323547226469074</v>
      </c>
    </row>
    <row r="59" spans="1:51" hidden="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f>Sheet1!$AT59*_xlfn.XLOOKUP($A59,'[1]SSP4-change-rate'!$B$2:$B$147,'[1]SSP4-change-rate'!C$2:C$147)</f>
        <v>5188.6535635654773</v>
      </c>
      <c r="AU59">
        <f>Sheet1!$AT59*_xlfn.XLOOKUP($A59,'[1]SSP4-change-rate'!$B$2:$B$147,'[1]SSP4-change-rate'!D$2:D$147)</f>
        <v>5175.5698524893523</v>
      </c>
      <c r="AV59">
        <f>Sheet1!$AT59*_xlfn.XLOOKUP($A59,'[1]SSP4-change-rate'!$B$2:$B$147,'[1]SSP4-change-rate'!E$2:E$147)</f>
        <v>5158.9577455601493</v>
      </c>
      <c r="AW59">
        <f>Sheet1!$AT59*_xlfn.XLOOKUP($A59,'[1]SSP4-change-rate'!$B$2:$B$147,'[1]SSP4-change-rate'!F$2:F$147)</f>
        <v>5112.1756541791101</v>
      </c>
      <c r="AX59">
        <f>Sheet1!$AT59*_xlfn.XLOOKUP($A59,'[1]SSP4-change-rate'!$B$2:$B$147,'[1]SSP4-change-rate'!G$2:G$147)</f>
        <v>5045.7393314030542</v>
      </c>
      <c r="AY59">
        <f>Sheet1!$AT59*_xlfn.XLOOKUP($A59,'[1]SSP4-change-rate'!$B$2:$B$147,'[1]SSP4-change-rate'!H$2:H$147)</f>
        <v>4958.824204115409</v>
      </c>
    </row>
    <row r="60" spans="1:51" hidden="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f>Sheet1!$AT60*_xlfn.XLOOKUP($A60,'[1]SSP4-change-rate'!$B$2:$B$147,'[1]SSP4-change-rate'!C$2:C$147)</f>
        <v>3478.0068088301005</v>
      </c>
      <c r="AU60">
        <f>Sheet1!$AT60*_xlfn.XLOOKUP($A60,'[1]SSP4-change-rate'!$B$2:$B$147,'[1]SSP4-change-rate'!D$2:D$147)</f>
        <v>3533.2132661131177</v>
      </c>
      <c r="AV60">
        <f>Sheet1!$AT60*_xlfn.XLOOKUP($A60,'[1]SSP4-change-rate'!$B$2:$B$147,'[1]SSP4-change-rate'!E$2:E$147)</f>
        <v>3596.6567475668335</v>
      </c>
      <c r="AW60">
        <f>Sheet1!$AT60*_xlfn.XLOOKUP($A60,'[1]SSP4-change-rate'!$B$2:$B$147,'[1]SSP4-change-rate'!F$2:F$147)</f>
        <v>3708.5717623673809</v>
      </c>
      <c r="AX60">
        <f>Sheet1!$AT60*_xlfn.XLOOKUP($A60,'[1]SSP4-change-rate'!$B$2:$B$147,'[1]SSP4-change-rate'!G$2:G$147)</f>
        <v>3807.3684367182332</v>
      </c>
      <c r="AY60">
        <f>Sheet1!$AT60*_xlfn.XLOOKUP($A60,'[1]SSP4-change-rate'!$B$2:$B$147,'[1]SSP4-change-rate'!H$2:H$147)</f>
        <v>3876.6663004956549</v>
      </c>
    </row>
    <row r="61" spans="1:51" hidden="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f>Sheet1!$AT61*_xlfn.XLOOKUP($A61,'[1]SSP4-change-rate'!$B$2:$B$147,'[1]SSP4-change-rate'!C$2:C$147)</f>
        <v>168.54024812413414</v>
      </c>
      <c r="AU61">
        <f>Sheet1!$AT61*_xlfn.XLOOKUP($A61,'[1]SSP4-change-rate'!$B$2:$B$147,'[1]SSP4-change-rate'!D$2:D$147)</f>
        <v>168.54024812413414</v>
      </c>
      <c r="AV61">
        <f>Sheet1!$AT61*_xlfn.XLOOKUP($A61,'[1]SSP4-change-rate'!$B$2:$B$147,'[1]SSP4-change-rate'!E$2:E$147)</f>
        <v>168.54024812413414</v>
      </c>
      <c r="AW61">
        <f>Sheet1!$AT61*_xlfn.XLOOKUP($A61,'[1]SSP4-change-rate'!$B$2:$B$147,'[1]SSP4-change-rate'!F$2:F$147)</f>
        <v>164.10497843665692</v>
      </c>
      <c r="AX61">
        <f>Sheet1!$AT61*_xlfn.XLOOKUP($A61,'[1]SSP4-change-rate'!$B$2:$B$147,'[1]SSP4-change-rate'!G$2:G$147)</f>
        <v>152.64022471619697</v>
      </c>
      <c r="AY61">
        <f>Sheet1!$AT61*_xlfn.XLOOKUP($A61,'[1]SSP4-change-rate'!$B$2:$B$147,'[1]SSP4-change-rate'!H$2:H$147)</f>
        <v>145.93119044894542</v>
      </c>
    </row>
    <row r="62" spans="1:51" hidden="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f>Sheet1!$AT62*_xlfn.XLOOKUP($A62,'[1]SSP4-change-rate'!$B$2:$B$147,'[1]SSP4-change-rate'!C$2:C$147)</f>
        <v>2611.0739899783025</v>
      </c>
      <c r="AU62">
        <f>Sheet1!$AT62*_xlfn.XLOOKUP($A62,'[1]SSP4-change-rate'!$B$2:$B$147,'[1]SSP4-change-rate'!D$2:D$147)</f>
        <v>2629.2792803972497</v>
      </c>
      <c r="AV62">
        <f>Sheet1!$AT62*_xlfn.XLOOKUP($A62,'[1]SSP4-change-rate'!$B$2:$B$147,'[1]SSP4-change-rate'!E$2:E$147)</f>
        <v>2650.826884087583</v>
      </c>
      <c r="AW62">
        <f>Sheet1!$AT62*_xlfn.XLOOKUP($A62,'[1]SSP4-change-rate'!$B$2:$B$147,'[1]SSP4-change-rate'!F$2:F$147)</f>
        <v>2682.372228038515</v>
      </c>
      <c r="AX62">
        <f>Sheet1!$AT62*_xlfn.XLOOKUP($A62,'[1]SSP4-change-rate'!$B$2:$B$147,'[1]SSP4-change-rate'!G$2:G$147)</f>
        <v>2702.1692952256803</v>
      </c>
      <c r="AY62">
        <f>Sheet1!$AT62*_xlfn.XLOOKUP($A62,'[1]SSP4-change-rate'!$B$2:$B$147,'[1]SSP4-change-rate'!H$2:H$147)</f>
        <v>2703.8291889265079</v>
      </c>
    </row>
    <row r="63" spans="1:51" hidden="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f>Sheet1!$AT63*_xlfn.XLOOKUP($A63,'[1]SSP4-change-rate'!$B$2:$B$147,'[1]SSP4-change-rate'!C$2:C$147)</f>
        <v>2810.8942875580788</v>
      </c>
      <c r="AU63">
        <f>Sheet1!$AT63*_xlfn.XLOOKUP($A63,'[1]SSP4-change-rate'!$B$2:$B$147,'[1]SSP4-change-rate'!D$2:D$147)</f>
        <v>2803.1910492573761</v>
      </c>
      <c r="AV63">
        <f>Sheet1!$AT63*_xlfn.XLOOKUP($A63,'[1]SSP4-change-rate'!$B$2:$B$147,'[1]SSP4-change-rate'!E$2:E$147)</f>
        <v>2790.8901418881169</v>
      </c>
      <c r="AW63">
        <f>Sheet1!$AT63*_xlfn.XLOOKUP($A63,'[1]SSP4-change-rate'!$B$2:$B$147,'[1]SSP4-change-rate'!F$2:F$147)</f>
        <v>2755.8113693967352</v>
      </c>
      <c r="AX63">
        <f>Sheet1!$AT63*_xlfn.XLOOKUP($A63,'[1]SSP4-change-rate'!$B$2:$B$147,'[1]SSP4-change-rate'!G$2:G$147)</f>
        <v>2707.5220382655798</v>
      </c>
      <c r="AY63">
        <f>Sheet1!$AT63*_xlfn.XLOOKUP($A63,'[1]SSP4-change-rate'!$B$2:$B$147,'[1]SSP4-change-rate'!H$2:H$147)</f>
        <v>2647.3989690308322</v>
      </c>
    </row>
    <row r="64" spans="1:51" hidden="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f>Sheet1!$AT64*_xlfn.XLOOKUP($A64,'[1]SSP4-change-rate'!$B$2:$B$147,'[1]SSP4-change-rate'!C$2:C$147)</f>
        <v>862.08819812013553</v>
      </c>
      <c r="AU64">
        <f>Sheet1!$AT64*_xlfn.XLOOKUP($A64,'[1]SSP4-change-rate'!$B$2:$B$147,'[1]SSP4-change-rate'!D$2:D$147)</f>
        <v>838.99812370718575</v>
      </c>
      <c r="AV64">
        <f>Sheet1!$AT64*_xlfn.XLOOKUP($A64,'[1]SSP4-change-rate'!$B$2:$B$147,'[1]SSP4-change-rate'!E$2:E$147)</f>
        <v>800.26388977296892</v>
      </c>
      <c r="AW64">
        <f>Sheet1!$AT64*_xlfn.XLOOKUP($A64,'[1]SSP4-change-rate'!$B$2:$B$147,'[1]SSP4-change-rate'!F$2:F$147)</f>
        <v>617.21644914582873</v>
      </c>
      <c r="AX64">
        <f>Sheet1!$AT64*_xlfn.XLOOKUP($A64,'[1]SSP4-change-rate'!$B$2:$B$147,'[1]SSP4-change-rate'!G$2:G$147)</f>
        <v>322.48348289594151</v>
      </c>
      <c r="AY64">
        <f>Sheet1!$AT64*_xlfn.XLOOKUP($A64,'[1]SSP4-change-rate'!$B$2:$B$147,'[1]SSP4-change-rate'!H$2:H$147)</f>
        <v>138.02768979399724</v>
      </c>
    </row>
    <row r="65" spans="1:51" hidden="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f>Sheet1!$AT65*_xlfn.XLOOKUP($A65,'[1]SSP4-change-rate'!$B$2:$B$147,'[1]SSP4-change-rate'!C$2:C$147)</f>
        <v>9305.7793605064435</v>
      </c>
      <c r="AU65">
        <f>Sheet1!$AT65*_xlfn.XLOOKUP($A65,'[1]SSP4-change-rate'!$B$2:$B$147,'[1]SSP4-change-rate'!D$2:D$147)</f>
        <v>9282.4249981680405</v>
      </c>
      <c r="AV65">
        <f>Sheet1!$AT65*_xlfn.XLOOKUP($A65,'[1]SSP4-change-rate'!$B$2:$B$147,'[1]SSP4-change-rate'!E$2:E$147)</f>
        <v>9245.7977087246963</v>
      </c>
      <c r="AW65">
        <f>Sheet1!$AT65*_xlfn.XLOOKUP($A65,'[1]SSP4-change-rate'!$B$2:$B$147,'[1]SSP4-change-rate'!F$2:F$147)</f>
        <v>9160.9425163315063</v>
      </c>
      <c r="AX65">
        <f>Sheet1!$AT65*_xlfn.XLOOKUP($A65,'[1]SSP4-change-rate'!$B$2:$B$147,'[1]SSP4-change-rate'!G$2:G$147)</f>
        <v>9048.0979981813889</v>
      </c>
      <c r="AY65">
        <f>Sheet1!$AT65*_xlfn.XLOOKUP($A65,'[1]SSP4-change-rate'!$B$2:$B$147,'[1]SSP4-change-rate'!H$2:H$147)</f>
        <v>8899.3384583237057</v>
      </c>
    </row>
    <row r="66" spans="1:51" hidden="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f>Sheet1!$AT66*_xlfn.XLOOKUP($A66,'[1]SSP4-change-rate'!$B$2:$B$147,'[1]SSP4-change-rate'!C$2:C$147)</f>
        <v>63280.825151982455</v>
      </c>
      <c r="AU66">
        <f>Sheet1!$AT66*_xlfn.XLOOKUP($A66,'[1]SSP4-change-rate'!$B$2:$B$147,'[1]SSP4-change-rate'!D$2:D$147)</f>
        <v>62747.663510064987</v>
      </c>
      <c r="AV66">
        <f>Sheet1!$AT66*_xlfn.XLOOKUP($A66,'[1]SSP4-change-rate'!$B$2:$B$147,'[1]SSP4-change-rate'!E$2:E$147)</f>
        <v>62055.975751725418</v>
      </c>
      <c r="AW66">
        <f>Sheet1!$AT66*_xlfn.XLOOKUP($A66,'[1]SSP4-change-rate'!$B$2:$B$147,'[1]SSP4-change-rate'!F$2:F$147)</f>
        <v>59867.628405080919</v>
      </c>
      <c r="AX66">
        <f>Sheet1!$AT66*_xlfn.XLOOKUP($A66,'[1]SSP4-change-rate'!$B$2:$B$147,'[1]SSP4-change-rate'!G$2:G$147)</f>
        <v>56862.333658956719</v>
      </c>
      <c r="AY66">
        <f>Sheet1!$AT66*_xlfn.XLOOKUP($A66,'[1]SSP4-change-rate'!$B$2:$B$147,'[1]SSP4-change-rate'!H$2:H$147)</f>
        <v>53002.368688301089</v>
      </c>
    </row>
    <row r="67" spans="1:51" hidden="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f>Sheet1!$AT67*_xlfn.XLOOKUP($A67,'[1]SSP4-change-rate'!$B$2:$B$147,'[1]SSP4-change-rate'!C$2:C$147)</f>
        <v>116932.21525360206</v>
      </c>
      <c r="AU67">
        <f>Sheet1!$AT67*_xlfn.XLOOKUP($A67,'[1]SSP4-change-rate'!$B$2:$B$147,'[1]SSP4-change-rate'!D$2:D$147)</f>
        <v>115142.14347505169</v>
      </c>
      <c r="AV67">
        <f>Sheet1!$AT67*_xlfn.XLOOKUP($A67,'[1]SSP4-change-rate'!$B$2:$B$147,'[1]SSP4-change-rate'!E$2:E$147)</f>
        <v>113023.38909647687</v>
      </c>
      <c r="AW67">
        <f>Sheet1!$AT67*_xlfn.XLOOKUP($A67,'[1]SSP4-change-rate'!$B$2:$B$147,'[1]SSP4-change-rate'!F$2:F$147)</f>
        <v>106037.20474050142</v>
      </c>
      <c r="AX67">
        <f>Sheet1!$AT67*_xlfn.XLOOKUP($A67,'[1]SSP4-change-rate'!$B$2:$B$147,'[1]SSP4-change-rate'!G$2:G$147)</f>
        <v>97344.523305733077</v>
      </c>
      <c r="AY67">
        <f>Sheet1!$AT67*_xlfn.XLOOKUP($A67,'[1]SSP4-change-rate'!$B$2:$B$147,'[1]SSP4-change-rate'!H$2:H$147)</f>
        <v>87826.782975276277</v>
      </c>
    </row>
    <row r="68" spans="1:51" hidden="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f>Sheet1!$AT68*_xlfn.XLOOKUP($A68,'[1]SSP4-change-rate'!$B$2:$B$147,'[1]SSP4-change-rate'!C$2:C$147)</f>
        <v>4057.0569741499962</v>
      </c>
      <c r="AU68">
        <f>Sheet1!$AT68*_xlfn.XLOOKUP($A68,'[1]SSP4-change-rate'!$B$2:$B$147,'[1]SSP4-change-rate'!D$2:D$147)</f>
        <v>4036.9983255175202</v>
      </c>
      <c r="AV68">
        <f>Sheet1!$AT68*_xlfn.XLOOKUP($A68,'[1]SSP4-change-rate'!$B$2:$B$147,'[1]SSP4-change-rate'!E$2:E$147)</f>
        <v>4004.6790864138366</v>
      </c>
      <c r="AW68">
        <f>Sheet1!$AT68*_xlfn.XLOOKUP($A68,'[1]SSP4-change-rate'!$B$2:$B$147,'[1]SSP4-change-rate'!F$2:F$147)</f>
        <v>3942.902593378099</v>
      </c>
      <c r="AX68">
        <f>Sheet1!$AT68*_xlfn.XLOOKUP($A68,'[1]SSP4-change-rate'!$B$2:$B$147,'[1]SSP4-change-rate'!G$2:G$147)</f>
        <v>3865.5339598064297</v>
      </c>
      <c r="AY68">
        <f>Sheet1!$AT68*_xlfn.XLOOKUP($A68,'[1]SSP4-change-rate'!$B$2:$B$147,'[1]SSP4-change-rate'!H$2:H$147)</f>
        <v>3782.1969149464016</v>
      </c>
    </row>
    <row r="69" spans="1:51" hidden="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f>Sheet1!$AT69*_xlfn.XLOOKUP($A69,'[1]SSP4-change-rate'!$B$2:$B$147,'[1]SSP4-change-rate'!C$2:C$147)</f>
        <v>18225.628641525149</v>
      </c>
      <c r="AU69">
        <f>Sheet1!$AT69*_xlfn.XLOOKUP($A69,'[1]SSP4-change-rate'!$B$2:$B$147,'[1]SSP4-change-rate'!D$2:D$147)</f>
        <v>18145.098141555398</v>
      </c>
      <c r="AV69">
        <f>Sheet1!$AT69*_xlfn.XLOOKUP($A69,'[1]SSP4-change-rate'!$B$2:$B$147,'[1]SSP4-change-rate'!E$2:E$147)</f>
        <v>18030.388952500387</v>
      </c>
      <c r="AW69">
        <f>Sheet1!$AT69*_xlfn.XLOOKUP($A69,'[1]SSP4-change-rate'!$B$2:$B$147,'[1]SSP4-change-rate'!F$2:F$147)</f>
        <v>17713.903717508645</v>
      </c>
      <c r="AX69">
        <f>Sheet1!$AT69*_xlfn.XLOOKUP($A69,'[1]SSP4-change-rate'!$B$2:$B$147,'[1]SSP4-change-rate'!G$2:G$147)</f>
        <v>17255.724389231746</v>
      </c>
      <c r="AY69">
        <f>Sheet1!$AT69*_xlfn.XLOOKUP($A69,'[1]SSP4-change-rate'!$B$2:$B$147,'[1]SSP4-change-rate'!H$2:H$147)</f>
        <v>16697.995492262446</v>
      </c>
    </row>
    <row r="70" spans="1:51" hidden="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f>Sheet1!$AT70*_xlfn.XLOOKUP($A70,'[1]SSP4-change-rate'!$B$2:$B$147,'[1]SSP4-change-rate'!C$2:C$147)</f>
        <v>8063.7893675811601</v>
      </c>
      <c r="AU70">
        <f>Sheet1!$AT70*_xlfn.XLOOKUP($A70,'[1]SSP4-change-rate'!$B$2:$B$147,'[1]SSP4-change-rate'!D$2:D$147)</f>
        <v>7863.0382597558473</v>
      </c>
      <c r="AV70">
        <f>Sheet1!$AT70*_xlfn.XLOOKUP($A70,'[1]SSP4-change-rate'!$B$2:$B$147,'[1]SSP4-change-rate'!E$2:E$147)</f>
        <v>7627.1928972299111</v>
      </c>
      <c r="AW70">
        <f>Sheet1!$AT70*_xlfn.XLOOKUP($A70,'[1]SSP4-change-rate'!$B$2:$B$147,'[1]SSP4-change-rate'!F$2:F$147)</f>
        <v>6563.6058723300257</v>
      </c>
      <c r="AX70">
        <f>Sheet1!$AT70*_xlfn.XLOOKUP($A70,'[1]SSP4-change-rate'!$B$2:$B$147,'[1]SSP4-change-rate'!G$2:G$147)</f>
        <v>5155.6646704317627</v>
      </c>
      <c r="AY70">
        <f>Sheet1!$AT70*_xlfn.XLOOKUP($A70,'[1]SSP4-change-rate'!$B$2:$B$147,'[1]SSP4-change-rate'!H$2:H$147)</f>
        <v>4073.3609204586128</v>
      </c>
    </row>
    <row r="71" spans="1:51" hidden="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f>Sheet1!$AT71*_xlfn.XLOOKUP($A71,'[1]SSP4-change-rate'!$B$2:$B$147,'[1]SSP4-change-rate'!C$2:C$147)</f>
        <v>234.97933179862829</v>
      </c>
      <c r="AU71">
        <f>Sheet1!$AT71*_xlfn.XLOOKUP($A71,'[1]SSP4-change-rate'!$B$2:$B$147,'[1]SSP4-change-rate'!D$2:D$147)</f>
        <v>234.97933179862829</v>
      </c>
      <c r="AV71">
        <f>Sheet1!$AT71*_xlfn.XLOOKUP($A71,'[1]SSP4-change-rate'!$B$2:$B$147,'[1]SSP4-change-rate'!E$2:E$147)</f>
        <v>232.88130205042626</v>
      </c>
      <c r="AW71">
        <f>Sheet1!$AT71*_xlfn.XLOOKUP($A71,'[1]SSP4-change-rate'!$B$2:$B$147,'[1]SSP4-change-rate'!F$2:F$147)</f>
        <v>231.18934257606978</v>
      </c>
      <c r="AX71">
        <f>Sheet1!$AT71*_xlfn.XLOOKUP($A71,'[1]SSP4-change-rate'!$B$2:$B$147,'[1]SSP4-change-rate'!G$2:G$147)</f>
        <v>226.52683784903735</v>
      </c>
      <c r="AY71">
        <f>Sheet1!$AT71*_xlfn.XLOOKUP($A71,'[1]SSP4-change-rate'!$B$2:$B$147,'[1]SSP4-change-rate'!H$2:H$147)</f>
        <v>224.50254630442194</v>
      </c>
    </row>
    <row r="72" spans="1:51" hidden="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f>Sheet1!$AT72*_xlfn.XLOOKUP($A72,'[1]SSP4-change-rate'!$B$2:$B$147,'[1]SSP4-change-rate'!C$2:C$147)</f>
        <v>2992.4262560344373</v>
      </c>
      <c r="AU72">
        <f>Sheet1!$AT72*_xlfn.XLOOKUP($A72,'[1]SSP4-change-rate'!$B$2:$B$147,'[1]SSP4-change-rate'!D$2:D$147)</f>
        <v>2967.5433791951691</v>
      </c>
      <c r="AV72">
        <f>Sheet1!$AT72*_xlfn.XLOOKUP($A72,'[1]SSP4-change-rate'!$B$2:$B$147,'[1]SSP4-change-rate'!E$2:E$147)</f>
        <v>2936.4525073687619</v>
      </c>
      <c r="AW72">
        <f>Sheet1!$AT72*_xlfn.XLOOKUP($A72,'[1]SSP4-change-rate'!$B$2:$B$147,'[1]SSP4-change-rate'!F$2:F$147)</f>
        <v>2867.9589640809859</v>
      </c>
      <c r="AX72">
        <f>Sheet1!$AT72*_xlfn.XLOOKUP($A72,'[1]SSP4-change-rate'!$B$2:$B$147,'[1]SSP4-change-rate'!G$2:G$147)</f>
        <v>2781.5357555532296</v>
      </c>
      <c r="AY72">
        <f>Sheet1!$AT72*_xlfn.XLOOKUP($A72,'[1]SSP4-change-rate'!$B$2:$B$147,'[1]SSP4-change-rate'!H$2:H$147)</f>
        <v>2688.7868253663846</v>
      </c>
    </row>
    <row r="73" spans="1:51" hidden="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f>Sheet1!$AT73*_xlfn.XLOOKUP($A73,'[1]SSP4-change-rate'!$B$2:$B$147,'[1]SSP4-change-rate'!C$2:C$147)</f>
        <v>31759.413910833631</v>
      </c>
      <c r="AU73">
        <f>Sheet1!$AT73*_xlfn.XLOOKUP($A73,'[1]SSP4-change-rate'!$B$2:$B$147,'[1]SSP4-change-rate'!D$2:D$147)</f>
        <v>31687.405740543851</v>
      </c>
      <c r="AV73">
        <f>Sheet1!$AT73*_xlfn.XLOOKUP($A73,'[1]SSP4-change-rate'!$B$2:$B$147,'[1]SSP4-change-rate'!E$2:E$147)</f>
        <v>31582.861892380679</v>
      </c>
      <c r="AW73">
        <f>Sheet1!$AT73*_xlfn.XLOOKUP($A73,'[1]SSP4-change-rate'!$B$2:$B$147,'[1]SSP4-change-rate'!F$2:F$147)</f>
        <v>31327.091280939258</v>
      </c>
      <c r="AX73">
        <f>Sheet1!$AT73*_xlfn.XLOOKUP($A73,'[1]SSP4-change-rate'!$B$2:$B$147,'[1]SSP4-change-rate'!G$2:G$147)</f>
        <v>30986.99675906483</v>
      </c>
      <c r="AY73">
        <f>Sheet1!$AT73*_xlfn.XLOOKUP($A73,'[1]SSP4-change-rate'!$B$2:$B$147,'[1]SSP4-change-rate'!H$2:H$147)</f>
        <v>30521.130622731045</v>
      </c>
    </row>
    <row r="74" spans="1:51" hidden="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f>Sheet1!$AT74*_xlfn.XLOOKUP($A74,'[1]SSP4-change-rate'!$B$2:$B$147,'[1]SSP4-change-rate'!C$2:C$147)</f>
        <v>970.76341965961967</v>
      </c>
      <c r="AU74">
        <f>Sheet1!$AT74*_xlfn.XLOOKUP($A74,'[1]SSP4-change-rate'!$B$2:$B$147,'[1]SSP4-change-rate'!D$2:D$147)</f>
        <v>959.85811518177229</v>
      </c>
      <c r="AV74">
        <f>Sheet1!$AT74*_xlfn.XLOOKUP($A74,'[1]SSP4-change-rate'!$B$2:$B$147,'[1]SSP4-change-rate'!E$2:E$147)</f>
        <v>949.58301410034551</v>
      </c>
      <c r="AW74">
        <f>Sheet1!$AT74*_xlfn.XLOOKUP($A74,'[1]SSP4-change-rate'!$B$2:$B$147,'[1]SSP4-change-rate'!F$2:F$147)</f>
        <v>920.46738613740536</v>
      </c>
      <c r="AX74">
        <f>Sheet1!$AT74*_xlfn.XLOOKUP($A74,'[1]SSP4-change-rate'!$B$2:$B$147,'[1]SSP4-change-rate'!G$2:G$147)</f>
        <v>893.82567322124896</v>
      </c>
      <c r="AY74">
        <f>Sheet1!$AT74*_xlfn.XLOOKUP($A74,'[1]SSP4-change-rate'!$B$2:$B$147,'[1]SSP4-change-rate'!H$2:H$147)</f>
        <v>860.16841766905122</v>
      </c>
    </row>
    <row r="75" spans="1:51" hidden="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f>Sheet1!$AT75*_xlfn.XLOOKUP($A75,'[1]SSP4-change-rate'!$B$2:$B$147,'[1]SSP4-change-rate'!C$2:C$147)</f>
        <v>2179.9514435147298</v>
      </c>
      <c r="AU75">
        <f>Sheet1!$AT75*_xlfn.XLOOKUP($A75,'[1]SSP4-change-rate'!$B$2:$B$147,'[1]SSP4-change-rate'!D$2:D$147)</f>
        <v>2189.7462177947682</v>
      </c>
      <c r="AV75">
        <f>Sheet1!$AT75*_xlfn.XLOOKUP($A75,'[1]SSP4-change-rate'!$B$2:$B$147,'[1]SSP4-change-rate'!E$2:E$147)</f>
        <v>2203.6242394558312</v>
      </c>
      <c r="AW75">
        <f>Sheet1!$AT75*_xlfn.XLOOKUP($A75,'[1]SSP4-change-rate'!$B$2:$B$147,'[1]SSP4-change-rate'!F$2:F$147)</f>
        <v>2212.7969169498238</v>
      </c>
      <c r="AX75">
        <f>Sheet1!$AT75*_xlfn.XLOOKUP($A75,'[1]SSP4-change-rate'!$B$2:$B$147,'[1]SSP4-change-rate'!G$2:G$147)</f>
        <v>2228.581833965643</v>
      </c>
      <c r="AY75">
        <f>Sheet1!$AT75*_xlfn.XLOOKUP($A75,'[1]SSP4-change-rate'!$B$2:$B$147,'[1]SSP4-change-rate'!H$2:H$147)</f>
        <v>2251.5834049967611</v>
      </c>
    </row>
    <row r="76" spans="1:51" hidden="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f>Sheet1!$AT76*_xlfn.XLOOKUP($A76,'[1]SSP4-change-rate'!$B$2:$B$147,'[1]SSP4-change-rate'!C$2:C$147)</f>
        <v>78157.967430786666</v>
      </c>
      <c r="AU76">
        <f>Sheet1!$AT76*_xlfn.XLOOKUP($A76,'[1]SSP4-change-rate'!$B$2:$B$147,'[1]SSP4-change-rate'!D$2:D$147)</f>
        <v>78157.967430786666</v>
      </c>
      <c r="AV76">
        <f>Sheet1!$AT76*_xlfn.XLOOKUP($A76,'[1]SSP4-change-rate'!$B$2:$B$147,'[1]SSP4-change-rate'!E$2:E$147)</f>
        <v>78157.967430786666</v>
      </c>
      <c r="AW76">
        <f>Sheet1!$AT76*_xlfn.XLOOKUP($A76,'[1]SSP4-change-rate'!$B$2:$B$147,'[1]SSP4-change-rate'!F$2:F$147)</f>
        <v>78157.967430786666</v>
      </c>
      <c r="AX76">
        <f>Sheet1!$AT76*_xlfn.XLOOKUP($A76,'[1]SSP4-change-rate'!$B$2:$B$147,'[1]SSP4-change-rate'!G$2:G$147)</f>
        <v>78157.967430786666</v>
      </c>
      <c r="AY76">
        <f>Sheet1!$AT76*_xlfn.XLOOKUP($A76,'[1]SSP4-change-rate'!$B$2:$B$147,'[1]SSP4-change-rate'!H$2:H$147)</f>
        <v>78157.967430786666</v>
      </c>
    </row>
    <row r="77" spans="1:51" hidden="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f>Sheet1!$AT77*_xlfn.XLOOKUP($A77,'[1]SSP4-change-rate'!$B$2:$B$147,'[1]SSP4-change-rate'!C$2:C$147)</f>
        <v>4769.1452728215072</v>
      </c>
      <c r="AU77">
        <f>Sheet1!$AT77*_xlfn.XLOOKUP($A77,'[1]SSP4-change-rate'!$B$2:$B$147,'[1]SSP4-change-rate'!D$2:D$147)</f>
        <v>4751.4431633004115</v>
      </c>
      <c r="AV77">
        <f>Sheet1!$AT77*_xlfn.XLOOKUP($A77,'[1]SSP4-change-rate'!$B$2:$B$147,'[1]SSP4-change-rate'!E$2:E$147)</f>
        <v>4730.2408418717514</v>
      </c>
      <c r="AW77">
        <f>Sheet1!$AT77*_xlfn.XLOOKUP($A77,'[1]SSP4-change-rate'!$B$2:$B$147,'[1]SSP4-change-rate'!F$2:F$147)</f>
        <v>4655.1103651622661</v>
      </c>
      <c r="AX77">
        <f>Sheet1!$AT77*_xlfn.XLOOKUP($A77,'[1]SSP4-change-rate'!$B$2:$B$147,'[1]SSP4-change-rate'!G$2:G$147)</f>
        <v>4556.5785307392471</v>
      </c>
      <c r="AY77">
        <f>Sheet1!$AT77*_xlfn.XLOOKUP($A77,'[1]SSP4-change-rate'!$B$2:$B$147,'[1]SSP4-change-rate'!H$2:H$147)</f>
        <v>4425.176666309083</v>
      </c>
    </row>
    <row r="78" spans="1:51" hidden="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f>Sheet1!$AT78*_xlfn.XLOOKUP($A78,'[1]SSP4-change-rate'!$B$2:$B$147,'[1]SSP4-change-rate'!C$2:C$147)</f>
        <v>2333.8881188531172</v>
      </c>
      <c r="AU78">
        <f>Sheet1!$AT78*_xlfn.XLOOKUP($A78,'[1]SSP4-change-rate'!$B$2:$B$147,'[1]SSP4-change-rate'!D$2:D$147)</f>
        <v>2346.4521160476329</v>
      </c>
      <c r="AV78">
        <f>Sheet1!$AT78*_xlfn.XLOOKUP($A78,'[1]SSP4-change-rate'!$B$2:$B$147,'[1]SSP4-change-rate'!E$2:E$147)</f>
        <v>2375.0009037153682</v>
      </c>
      <c r="AW78">
        <f>Sheet1!$AT78*_xlfn.XLOOKUP($A78,'[1]SSP4-change-rate'!$B$2:$B$147,'[1]SSP4-change-rate'!F$2:F$147)</f>
        <v>2334.8761901369103</v>
      </c>
      <c r="AX78">
        <f>Sheet1!$AT78*_xlfn.XLOOKUP($A78,'[1]SSP4-change-rate'!$B$2:$B$147,'[1]SSP4-change-rate'!G$2:G$147)</f>
        <v>2075.9358548527161</v>
      </c>
      <c r="AY78">
        <f>Sheet1!$AT78*_xlfn.XLOOKUP($A78,'[1]SSP4-change-rate'!$B$2:$B$147,'[1]SSP4-change-rate'!H$2:H$147)</f>
        <v>1386.5056425782004</v>
      </c>
    </row>
    <row r="79" spans="1:51" hidden="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f>Sheet1!$AT79*_xlfn.XLOOKUP($A79,'[1]SSP4-change-rate'!$B$2:$B$147,'[1]SSP4-change-rate'!C$2:C$147)</f>
        <v>544.29065354086845</v>
      </c>
      <c r="AU79">
        <f>Sheet1!$AT79*_xlfn.XLOOKUP($A79,'[1]SSP4-change-rate'!$B$2:$B$147,'[1]SSP4-change-rate'!D$2:D$147)</f>
        <v>527.62869475900516</v>
      </c>
      <c r="AV79">
        <f>Sheet1!$AT79*_xlfn.XLOOKUP($A79,'[1]SSP4-change-rate'!$B$2:$B$147,'[1]SSP4-change-rate'!E$2:E$147)</f>
        <v>518.84718577681326</v>
      </c>
      <c r="AW79">
        <f>Sheet1!$AT79*_xlfn.XLOOKUP($A79,'[1]SSP4-change-rate'!$B$2:$B$147,'[1]SSP4-change-rate'!F$2:F$147)</f>
        <v>487.97155750629946</v>
      </c>
      <c r="AX79">
        <f>Sheet1!$AT79*_xlfn.XLOOKUP($A79,'[1]SSP4-change-rate'!$B$2:$B$147,'[1]SSP4-change-rate'!G$2:G$147)</f>
        <v>479.35264747261039</v>
      </c>
      <c r="AY79">
        <f>Sheet1!$AT79*_xlfn.XLOOKUP($A79,'[1]SSP4-change-rate'!$B$2:$B$147,'[1]SSP4-change-rate'!H$2:H$147)</f>
        <v>465.33406000190195</v>
      </c>
    </row>
    <row r="80" spans="1:51" hidden="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f>Sheet1!$AT80*_xlfn.XLOOKUP($A80,'[1]SSP4-change-rate'!$B$2:$B$147,'[1]SSP4-change-rate'!C$2:C$147)</f>
        <v>1011.5415514110299</v>
      </c>
      <c r="AU80">
        <f>Sheet1!$AT80*_xlfn.XLOOKUP($A80,'[1]SSP4-change-rate'!$B$2:$B$147,'[1]SSP4-change-rate'!D$2:D$147)</f>
        <v>1001.8151903397701</v>
      </c>
      <c r="AV80">
        <f>Sheet1!$AT80*_xlfn.XLOOKUP($A80,'[1]SSP4-change-rate'!$B$2:$B$147,'[1]SSP4-change-rate'!E$2:E$147)</f>
        <v>987.45722875838635</v>
      </c>
      <c r="AW80">
        <f>Sheet1!$AT80*_xlfn.XLOOKUP($A80,'[1]SSP4-change-rate'!$B$2:$B$147,'[1]SSP4-change-rate'!F$2:F$147)</f>
        <v>883.55057959983844</v>
      </c>
      <c r="AX80">
        <f>Sheet1!$AT80*_xlfn.XLOOKUP($A80,'[1]SSP4-change-rate'!$B$2:$B$147,'[1]SSP4-change-rate'!G$2:G$147)</f>
        <v>740.15235469099753</v>
      </c>
      <c r="AY80">
        <f>Sheet1!$AT80*_xlfn.XLOOKUP($A80,'[1]SSP4-change-rate'!$B$2:$B$147,'[1]SSP4-change-rate'!H$2:H$147)</f>
        <v>625.09556972079451</v>
      </c>
    </row>
    <row r="81" spans="1:51" hidden="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f>Sheet1!$AT81*_xlfn.XLOOKUP($A81,'[1]SSP4-change-rate'!$B$2:$B$147,'[1]SSP4-change-rate'!C$2:C$147)</f>
        <v>21364.847894374005</v>
      </c>
      <c r="AU81">
        <f>Sheet1!$AT81*_xlfn.XLOOKUP($A81,'[1]SSP4-change-rate'!$B$2:$B$147,'[1]SSP4-change-rate'!D$2:D$147)</f>
        <v>21319.345267927529</v>
      </c>
      <c r="AV81">
        <f>Sheet1!$AT81*_xlfn.XLOOKUP($A81,'[1]SSP4-change-rate'!$B$2:$B$147,'[1]SSP4-change-rate'!E$2:E$147)</f>
        <v>21251.213095265353</v>
      </c>
      <c r="AW81">
        <f>Sheet1!$AT81*_xlfn.XLOOKUP($A81,'[1]SSP4-change-rate'!$B$2:$B$147,'[1]SSP4-change-rate'!F$2:F$147)</f>
        <v>21109.478155516223</v>
      </c>
      <c r="AX81">
        <f>Sheet1!$AT81*_xlfn.XLOOKUP($A81,'[1]SSP4-change-rate'!$B$2:$B$147,'[1]SSP4-change-rate'!G$2:G$147)</f>
        <v>21006.985824602416</v>
      </c>
      <c r="AY81">
        <f>Sheet1!$AT81*_xlfn.XLOOKUP($A81,'[1]SSP4-change-rate'!$B$2:$B$147,'[1]SSP4-change-rate'!H$2:H$147)</f>
        <v>21006.985824602416</v>
      </c>
    </row>
    <row r="82" spans="1:51" hidden="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951.18493836028597</v>
      </c>
      <c r="AU82">
        <v>948.12933118857597</v>
      </c>
      <c r="AV82">
        <v>944.75417767755823</v>
      </c>
      <c r="AW82">
        <v>921.82805676745556</v>
      </c>
      <c r="AX82">
        <v>891.67615450171434</v>
      </c>
      <c r="AY82">
        <v>869.12613215925853</v>
      </c>
    </row>
    <row r="83" spans="1:51" hidden="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f>Sheet1!$AT83*_xlfn.XLOOKUP($A83,'[1]SSP4-change-rate'!$B$2:$B$147,'[1]SSP4-change-rate'!C$2:C$147)</f>
        <v>352.39591579626676</v>
      </c>
      <c r="AU83">
        <f>Sheet1!$AT83*_xlfn.XLOOKUP($A83,'[1]SSP4-change-rate'!$B$2:$B$147,'[1]SSP4-change-rate'!D$2:D$147)</f>
        <v>349.50742468318259</v>
      </c>
      <c r="AV83">
        <f>Sheet1!$AT83*_xlfn.XLOOKUP($A83,'[1]SSP4-change-rate'!$B$2:$B$147,'[1]SSP4-change-rate'!E$2:E$147)</f>
        <v>349.70587063751663</v>
      </c>
      <c r="AW83">
        <f>Sheet1!$AT83*_xlfn.XLOOKUP($A83,'[1]SSP4-change-rate'!$B$2:$B$147,'[1]SSP4-change-rate'!F$2:F$147)</f>
        <v>342.99869137503299</v>
      </c>
      <c r="AX83">
        <f>Sheet1!$AT83*_xlfn.XLOOKUP($A83,'[1]SSP4-change-rate'!$B$2:$B$147,'[1]SSP4-change-rate'!G$2:G$147)</f>
        <v>336.10015090395387</v>
      </c>
      <c r="AY83">
        <f>Sheet1!$AT83*_xlfn.XLOOKUP($A83,'[1]SSP4-change-rate'!$B$2:$B$147,'[1]SSP4-change-rate'!H$2:H$147)</f>
        <v>324.48336801042387</v>
      </c>
    </row>
    <row r="84" spans="1:51" hidden="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f>Sheet1!$AT84*_xlfn.XLOOKUP($A84,'[1]SSP4-change-rate'!$B$2:$B$147,'[1]SSP4-change-rate'!C$2:C$147)</f>
        <v>1402.8043905743525</v>
      </c>
      <c r="AU84">
        <f>Sheet1!$AT84*_xlfn.XLOOKUP($A84,'[1]SSP4-change-rate'!$B$2:$B$147,'[1]SSP4-change-rate'!D$2:D$147)</f>
        <v>1389.61426583702</v>
      </c>
      <c r="AV84">
        <f>Sheet1!$AT84*_xlfn.XLOOKUP($A84,'[1]SSP4-change-rate'!$B$2:$B$147,'[1]SSP4-change-rate'!E$2:E$147)</f>
        <v>1376.1713581479248</v>
      </c>
      <c r="AW84">
        <f>Sheet1!$AT84*_xlfn.XLOOKUP($A84,'[1]SSP4-change-rate'!$B$2:$B$147,'[1]SSP4-change-rate'!F$2:F$147)</f>
        <v>1342.1975336099754</v>
      </c>
      <c r="AX84">
        <f>Sheet1!$AT84*_xlfn.XLOOKUP($A84,'[1]SSP4-change-rate'!$B$2:$B$147,'[1]SSP4-change-rate'!G$2:G$147)</f>
        <v>1301.6328159773648</v>
      </c>
      <c r="AY84">
        <f>Sheet1!$AT84*_xlfn.XLOOKUP($A84,'[1]SSP4-change-rate'!$B$2:$B$147,'[1]SSP4-change-rate'!H$2:H$147)</f>
        <v>1253.2519681460265</v>
      </c>
    </row>
    <row r="85" spans="1:51" hidden="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f>Sheet1!$AT85*_xlfn.XLOOKUP($A85,'[1]SSP4-change-rate'!$B$2:$B$147,'[1]SSP4-change-rate'!C$2:C$147)</f>
        <v>535.13378915189662</v>
      </c>
      <c r="AU85">
        <f>Sheet1!$AT85*_xlfn.XLOOKUP($A85,'[1]SSP4-change-rate'!$B$2:$B$147,'[1]SSP4-change-rate'!D$2:D$147)</f>
        <v>535.13378915189662</v>
      </c>
      <c r="AV85">
        <f>Sheet1!$AT85*_xlfn.XLOOKUP($A85,'[1]SSP4-change-rate'!$B$2:$B$147,'[1]SSP4-change-rate'!E$2:E$147)</f>
        <v>535.13378915189662</v>
      </c>
      <c r="AW85">
        <f>Sheet1!$AT85*_xlfn.XLOOKUP($A85,'[1]SSP4-change-rate'!$B$2:$B$147,'[1]SSP4-change-rate'!F$2:F$147)</f>
        <v>439.57418394620078</v>
      </c>
      <c r="AX85">
        <f>Sheet1!$AT85*_xlfn.XLOOKUP($A85,'[1]SSP4-change-rate'!$B$2:$B$147,'[1]SSP4-change-rate'!G$2:G$147)</f>
        <v>161.0596841136776</v>
      </c>
      <c r="AY85">
        <f>Sheet1!$AT85*_xlfn.XLOOKUP($A85,'[1]SSP4-change-rate'!$B$2:$B$147,'[1]SSP4-change-rate'!H$2:H$147)</f>
        <v>27.147801857232931</v>
      </c>
    </row>
    <row r="86" spans="1:51" hidden="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f>Sheet1!$AT86*_xlfn.XLOOKUP($A86,'[1]SSP4-change-rate'!$B$2:$B$147,'[1]SSP4-change-rate'!C$2:C$147)</f>
        <v>3151.246412830692</v>
      </c>
      <c r="AU86">
        <f>Sheet1!$AT86*_xlfn.XLOOKUP($A86,'[1]SSP4-change-rate'!$B$2:$B$147,'[1]SSP4-change-rate'!D$2:D$147)</f>
        <v>3128.9602627230552</v>
      </c>
      <c r="AV86">
        <f>Sheet1!$AT86*_xlfn.XLOOKUP($A86,'[1]SSP4-change-rate'!$B$2:$B$147,'[1]SSP4-change-rate'!E$2:E$147)</f>
        <v>3100.7617523748759</v>
      </c>
      <c r="AW86">
        <f>Sheet1!$AT86*_xlfn.XLOOKUP($A86,'[1]SSP4-change-rate'!$B$2:$B$147,'[1]SSP4-change-rate'!F$2:F$147)</f>
        <v>3028.0788445853436</v>
      </c>
      <c r="AX86">
        <f>Sheet1!$AT86*_xlfn.XLOOKUP($A86,'[1]SSP4-change-rate'!$B$2:$B$147,'[1]SSP4-change-rate'!G$2:G$147)</f>
        <v>2923.0353495476293</v>
      </c>
      <c r="AY86">
        <f>Sheet1!$AT86*_xlfn.XLOOKUP($A86,'[1]SSP4-change-rate'!$B$2:$B$147,'[1]SSP4-change-rate'!H$2:H$147)</f>
        <v>2798.7808108228242</v>
      </c>
    </row>
    <row r="87" spans="1:51" hidden="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f>Sheet1!$AT87*_xlfn.XLOOKUP($A87,'[1]SSP4-change-rate'!$B$2:$B$147,'[1]SSP4-change-rate'!C$2:C$147)</f>
        <v>4815.2004454465432</v>
      </c>
      <c r="AU87">
        <f>Sheet1!$AT87*_xlfn.XLOOKUP($A87,'[1]SSP4-change-rate'!$B$2:$B$147,'[1]SSP4-change-rate'!D$2:D$147)</f>
        <v>4771.303008456538</v>
      </c>
      <c r="AV87">
        <f>Sheet1!$AT87*_xlfn.XLOOKUP($A87,'[1]SSP4-change-rate'!$B$2:$B$147,'[1]SSP4-change-rate'!E$2:E$147)</f>
        <v>4730.6477785699662</v>
      </c>
      <c r="AW87">
        <f>Sheet1!$AT87*_xlfn.XLOOKUP($A87,'[1]SSP4-change-rate'!$B$2:$B$147,'[1]SSP4-change-rate'!F$2:F$147)</f>
        <v>4629.1240875389094</v>
      </c>
      <c r="AX87">
        <f>Sheet1!$AT87*_xlfn.XLOOKUP($A87,'[1]SSP4-change-rate'!$B$2:$B$147,'[1]SSP4-change-rate'!G$2:G$147)</f>
        <v>4503.3326721166559</v>
      </c>
      <c r="AY87">
        <f>Sheet1!$AT87*_xlfn.XLOOKUP($A87,'[1]SSP4-change-rate'!$B$2:$B$147,'[1]SSP4-change-rate'!H$2:H$147)</f>
        <v>4306.6130851069156</v>
      </c>
    </row>
    <row r="88" spans="1:51" hidden="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f>Sheet1!$AT88*_xlfn.XLOOKUP($A88,'[1]SSP4-change-rate'!$B$2:$B$147,'[1]SSP4-change-rate'!C$2:C$147)</f>
        <v>#N/A</v>
      </c>
      <c r="AU88" t="e">
        <f>Sheet1!$AT88*_xlfn.XLOOKUP($A88,'[1]SSP4-change-rate'!$B$2:$B$147,'[1]SSP4-change-rate'!D$2:D$147)</f>
        <v>#N/A</v>
      </c>
      <c r="AV88" t="e">
        <f>Sheet1!$AT88*_xlfn.XLOOKUP($A88,'[1]SSP4-change-rate'!$B$2:$B$147,'[1]SSP4-change-rate'!E$2:E$147)</f>
        <v>#N/A</v>
      </c>
      <c r="AW88" t="e">
        <f>Sheet1!$AT88*_xlfn.XLOOKUP($A88,'[1]SSP4-change-rate'!$B$2:$B$147,'[1]SSP4-change-rate'!F$2:F$147)</f>
        <v>#N/A</v>
      </c>
      <c r="AX88" t="e">
        <f>Sheet1!$AT88*_xlfn.XLOOKUP($A88,'[1]SSP4-change-rate'!$B$2:$B$147,'[1]SSP4-change-rate'!G$2:G$147)</f>
        <v>#N/A</v>
      </c>
      <c r="AY88" t="e">
        <f>Sheet1!$AT88*_xlfn.XLOOKUP($A88,'[1]SSP4-change-rate'!$B$2:$B$147,'[1]SSP4-change-rate'!H$2:H$147)</f>
        <v>#N/A</v>
      </c>
    </row>
    <row r="89" spans="1:51" hidden="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f>Sheet1!$AT89*_xlfn.XLOOKUP($A89,'[1]SSP4-change-rate'!$B$2:$B$147,'[1]SSP4-change-rate'!C$2:C$147)</f>
        <v>2723.918885867377</v>
      </c>
      <c r="AU89">
        <f>Sheet1!$AT89*_xlfn.XLOOKUP($A89,'[1]SSP4-change-rate'!$B$2:$B$147,'[1]SSP4-change-rate'!D$2:D$147)</f>
        <v>2715.0425748719149</v>
      </c>
      <c r="AV89">
        <f>Sheet1!$AT89*_xlfn.XLOOKUP($A89,'[1]SSP4-change-rate'!$B$2:$B$147,'[1]SSP4-change-rate'!E$2:E$147)</f>
        <v>2702.5005926471595</v>
      </c>
      <c r="AW89">
        <f>Sheet1!$AT89*_xlfn.XLOOKUP($A89,'[1]SSP4-change-rate'!$B$2:$B$147,'[1]SSP4-change-rate'!F$2:F$147)</f>
        <v>2675.5071644279728</v>
      </c>
      <c r="AX89">
        <f>Sheet1!$AT89*_xlfn.XLOOKUP($A89,'[1]SSP4-change-rate'!$B$2:$B$147,'[1]SSP4-change-rate'!G$2:G$147)</f>
        <v>2644.1008624888386</v>
      </c>
      <c r="AY89">
        <f>Sheet1!$AT89*_xlfn.XLOOKUP($A89,'[1]SSP4-change-rate'!$B$2:$B$147,'[1]SSP4-change-rate'!H$2:H$147)</f>
        <v>2594.4567943463076</v>
      </c>
    </row>
    <row r="90" spans="1:51" hidden="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f>Sheet1!$AT90*_xlfn.XLOOKUP($A90,'[1]SSP4-change-rate'!$B$2:$B$147,'[1]SSP4-change-rate'!C$2:C$147)</f>
        <v>1021.9656054753763</v>
      </c>
      <c r="AU90">
        <f>Sheet1!$AT90*_xlfn.XLOOKUP($A90,'[1]SSP4-change-rate'!$B$2:$B$147,'[1]SSP4-change-rate'!D$2:D$147)</f>
        <v>1022.0452971164769</v>
      </c>
      <c r="AV90">
        <f>Sheet1!$AT90*_xlfn.XLOOKUP($A90,'[1]SSP4-change-rate'!$B$2:$B$147,'[1]SSP4-change-rate'!E$2:E$147)</f>
        <v>1018.0884407815068</v>
      </c>
      <c r="AW90">
        <f>Sheet1!$AT90*_xlfn.XLOOKUP($A90,'[1]SSP4-change-rate'!$B$2:$B$147,'[1]SSP4-change-rate'!F$2:F$147)</f>
        <v>1011.3255552682365</v>
      </c>
      <c r="AX90">
        <f>Sheet1!$AT90*_xlfn.XLOOKUP($A90,'[1]SSP4-change-rate'!$B$2:$B$147,'[1]SSP4-change-rate'!G$2:G$147)</f>
        <v>997.85106862423595</v>
      </c>
      <c r="AY90">
        <f>Sheet1!$AT90*_xlfn.XLOOKUP($A90,'[1]SSP4-change-rate'!$B$2:$B$147,'[1]SSP4-change-rate'!H$2:H$147)</f>
        <v>982.87490341476428</v>
      </c>
    </row>
    <row r="91" spans="1:51" hidden="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f>Sheet1!$AT91*_xlfn.XLOOKUP($A91,'[1]SSP4-change-rate'!$B$2:$B$147,'[1]SSP4-change-rate'!C$2:C$147)</f>
        <v>1853.398583301748</v>
      </c>
      <c r="AU91">
        <f>Sheet1!$AT91*_xlfn.XLOOKUP($A91,'[1]SSP4-change-rate'!$B$2:$B$147,'[1]SSP4-change-rate'!D$2:D$147)</f>
        <v>1848.1049593303997</v>
      </c>
      <c r="AV91">
        <f>Sheet1!$AT91*_xlfn.XLOOKUP($A91,'[1]SSP4-change-rate'!$B$2:$B$147,'[1]SSP4-change-rate'!E$2:E$147)</f>
        <v>1837.7863022842669</v>
      </c>
      <c r="AW91">
        <f>Sheet1!$AT91*_xlfn.XLOOKUP($A91,'[1]SSP4-change-rate'!$B$2:$B$147,'[1]SSP4-change-rate'!F$2:F$147)</f>
        <v>1813.3887561478314</v>
      </c>
      <c r="AX91">
        <f>Sheet1!$AT91*_xlfn.XLOOKUP($A91,'[1]SSP4-change-rate'!$B$2:$B$147,'[1]SSP4-change-rate'!G$2:G$147)</f>
        <v>1781.5988566713188</v>
      </c>
      <c r="AY91">
        <f>Sheet1!$AT91*_xlfn.XLOOKUP($A91,'[1]SSP4-change-rate'!$B$2:$B$147,'[1]SSP4-change-rate'!H$2:H$147)</f>
        <v>1747.5969024022502</v>
      </c>
    </row>
    <row r="92" spans="1:51" hidden="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f>Sheet1!$AT92*_xlfn.XLOOKUP($A92,'[1]SSP4-change-rate'!$B$2:$B$147,'[1]SSP4-change-rate'!C$2:C$147)</f>
        <v>5494.1223263496395</v>
      </c>
      <c r="AU92">
        <f>Sheet1!$AT92*_xlfn.XLOOKUP($A92,'[1]SSP4-change-rate'!$B$2:$B$147,'[1]SSP4-change-rate'!D$2:D$147)</f>
        <v>5464.9964506759907</v>
      </c>
      <c r="AV92">
        <f>Sheet1!$AT92*_xlfn.XLOOKUP($A92,'[1]SSP4-change-rate'!$B$2:$B$147,'[1]SSP4-change-rate'!E$2:E$147)</f>
        <v>5423.5586019294133</v>
      </c>
      <c r="AW92">
        <f>Sheet1!$AT92*_xlfn.XLOOKUP($A92,'[1]SSP4-change-rate'!$B$2:$B$147,'[1]SSP4-change-rate'!F$2:F$147)</f>
        <v>5283.5554918136022</v>
      </c>
      <c r="AX92">
        <f>Sheet1!$AT92*_xlfn.XLOOKUP($A92,'[1]SSP4-change-rate'!$B$2:$B$147,'[1]SSP4-change-rate'!G$2:G$147)</f>
        <v>5062.8658313657525</v>
      </c>
      <c r="AY92">
        <f>Sheet1!$AT92*_xlfn.XLOOKUP($A92,'[1]SSP4-change-rate'!$B$2:$B$147,'[1]SSP4-change-rate'!H$2:H$147)</f>
        <v>4745.5798802067229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f>Sheet1!$AT93*_xlfn.XLOOKUP($A93,'[1]SSP4-change-rate'!$B$2:$B$147,'[1]SSP4-change-rate'!C$2:C$147)</f>
        <v>924.7065175252128</v>
      </c>
      <c r="AU93">
        <f>Sheet1!$AT93*_xlfn.XLOOKUP($A93,'[1]SSP4-change-rate'!$B$2:$B$147,'[1]SSP4-change-rate'!D$2:D$147)</f>
        <v>904.71896616135393</v>
      </c>
      <c r="AV93">
        <f>Sheet1!$AT93*_xlfn.XLOOKUP($A93,'[1]SSP4-change-rate'!$B$2:$B$147,'[1]SSP4-change-rate'!E$2:E$147)</f>
        <v>895.03345641354952</v>
      </c>
      <c r="AW93">
        <f>Sheet1!$AT93*_xlfn.XLOOKUP($A93,'[1]SSP4-change-rate'!$B$2:$B$147,'[1]SSP4-change-rate'!F$2:F$147)</f>
        <v>871.09279337586133</v>
      </c>
      <c r="AX93">
        <f>Sheet1!$AT93*_xlfn.XLOOKUP($A93,'[1]SSP4-change-rate'!$B$2:$B$147,'[1]SSP4-change-rate'!G$2:G$147)</f>
        <v>858.26323943063528</v>
      </c>
      <c r="AY93">
        <f>Sheet1!$AT93*_xlfn.XLOOKUP($A93,'[1]SSP4-change-rate'!$B$2:$B$147,'[1]SSP4-change-rate'!H$2:H$147)</f>
        <v>858.26323943063528</v>
      </c>
    </row>
    <row r="94" spans="1:51" hidden="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f>Sheet1!$AT94*_xlfn.XLOOKUP($A94,'[1]SSP4-change-rate'!$B$2:$B$147,'[1]SSP4-change-rate'!C$2:C$147)</f>
        <v>510.66114037575869</v>
      </c>
      <c r="AU94">
        <f>Sheet1!$AT94*_xlfn.XLOOKUP($A94,'[1]SSP4-change-rate'!$B$2:$B$147,'[1]SSP4-change-rate'!D$2:D$147)</f>
        <v>521.08279630179459</v>
      </c>
      <c r="AV94">
        <f>Sheet1!$AT94*_xlfn.XLOOKUP($A94,'[1]SSP4-change-rate'!$B$2:$B$147,'[1]SSP4-change-rate'!E$2:E$147)</f>
        <v>529.57451594523116</v>
      </c>
      <c r="AW94">
        <f>Sheet1!$AT94*_xlfn.XLOOKUP($A94,'[1]SSP4-change-rate'!$B$2:$B$147,'[1]SSP4-change-rate'!F$2:F$147)</f>
        <v>538.58792149005797</v>
      </c>
      <c r="AX94">
        <f>Sheet1!$AT94*_xlfn.XLOOKUP($A94,'[1]SSP4-change-rate'!$B$2:$B$147,'[1]SSP4-change-rate'!G$2:G$147)</f>
        <v>548.10962400331425</v>
      </c>
      <c r="AY94">
        <f>Sheet1!$AT94*_xlfn.XLOOKUP($A94,'[1]SSP4-change-rate'!$B$2:$B$147,'[1]SSP4-change-rate'!H$2:H$147)</f>
        <v>560.26822258368952</v>
      </c>
    </row>
    <row r="95" spans="1:51" hidden="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f>Sheet1!$AT95*_xlfn.XLOOKUP($A95,'[1]SSP4-change-rate'!$B$2:$B$147,'[1]SSP4-change-rate'!C$2:C$147)</f>
        <v>50097.434655760429</v>
      </c>
      <c r="AU95">
        <f>Sheet1!$AT95*_xlfn.XLOOKUP($A95,'[1]SSP4-change-rate'!$B$2:$B$147,'[1]SSP4-change-rate'!D$2:D$147)</f>
        <v>49814.596566944507</v>
      </c>
      <c r="AV95">
        <f>Sheet1!$AT95*_xlfn.XLOOKUP($A95,'[1]SSP4-change-rate'!$B$2:$B$147,'[1]SSP4-change-rate'!E$2:E$147)</f>
        <v>49425.218239139351</v>
      </c>
      <c r="AW95">
        <f>Sheet1!$AT95*_xlfn.XLOOKUP($A95,'[1]SSP4-change-rate'!$B$2:$B$147,'[1]SSP4-change-rate'!F$2:F$147)</f>
        <v>48438.346132837098</v>
      </c>
      <c r="AX95">
        <f>Sheet1!$AT95*_xlfn.XLOOKUP($A95,'[1]SSP4-change-rate'!$B$2:$B$147,'[1]SSP4-change-rate'!G$2:G$147)</f>
        <v>47089.545492391066</v>
      </c>
      <c r="AY95">
        <f>Sheet1!$AT95*_xlfn.XLOOKUP($A95,'[1]SSP4-change-rate'!$B$2:$B$147,'[1]SSP4-change-rate'!H$2:H$147)</f>
        <v>45593.686799618117</v>
      </c>
    </row>
    <row r="96" spans="1:51" hidden="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f>Sheet1!$AT96*_xlfn.XLOOKUP($A96,'[1]SSP4-change-rate'!$B$2:$B$147,'[1]SSP4-change-rate'!C$2:C$147)</f>
        <v>#N/A</v>
      </c>
      <c r="AU96" t="e">
        <f>Sheet1!$AT96*_xlfn.XLOOKUP($A96,'[1]SSP4-change-rate'!$B$2:$B$147,'[1]SSP4-change-rate'!D$2:D$147)</f>
        <v>#N/A</v>
      </c>
      <c r="AV96" t="e">
        <f>Sheet1!$AT96*_xlfn.XLOOKUP($A96,'[1]SSP4-change-rate'!$B$2:$B$147,'[1]SSP4-change-rate'!E$2:E$147)</f>
        <v>#N/A</v>
      </c>
      <c r="AW96" t="e">
        <f>Sheet1!$AT96*_xlfn.XLOOKUP($A96,'[1]SSP4-change-rate'!$B$2:$B$147,'[1]SSP4-change-rate'!F$2:F$147)</f>
        <v>#N/A</v>
      </c>
      <c r="AX96" t="e">
        <f>Sheet1!$AT96*_xlfn.XLOOKUP($A96,'[1]SSP4-change-rate'!$B$2:$B$147,'[1]SSP4-change-rate'!G$2:G$147)</f>
        <v>#N/A</v>
      </c>
      <c r="AY96" t="e">
        <f>Sheet1!$AT96*_xlfn.XLOOKUP($A96,'[1]SSP4-change-rate'!$B$2:$B$147,'[1]SSP4-change-rate'!H$2:H$147)</f>
        <v>#N/A</v>
      </c>
    </row>
    <row r="97" spans="1:51" hidden="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f>Sheet1!$AT97*_xlfn.XLOOKUP($A97,'[1]SSP4-change-rate'!$B$2:$B$147,'[1]SSP4-change-rate'!C$2:C$147)</f>
        <v>1020.0768882774046</v>
      </c>
      <c r="AU97">
        <f>Sheet1!$AT97*_xlfn.XLOOKUP($A97,'[1]SSP4-change-rate'!$B$2:$B$147,'[1]SSP4-change-rate'!D$2:D$147)</f>
        <v>1014.6219316556003</v>
      </c>
      <c r="AV97">
        <f>Sheet1!$AT97*_xlfn.XLOOKUP($A97,'[1]SSP4-change-rate'!$B$2:$B$147,'[1]SSP4-change-rate'!E$2:E$147)</f>
        <v>1005.4346362925614</v>
      </c>
      <c r="AW97">
        <f>Sheet1!$AT97*_xlfn.XLOOKUP($A97,'[1]SSP4-change-rate'!$B$2:$B$147,'[1]SSP4-change-rate'!F$2:F$147)</f>
        <v>958.25404656362252</v>
      </c>
      <c r="AX97">
        <f>Sheet1!$AT97*_xlfn.XLOOKUP($A97,'[1]SSP4-change-rate'!$B$2:$B$147,'[1]SSP4-change-rate'!G$2:G$147)</f>
        <v>906.06829488169456</v>
      </c>
      <c r="AY97">
        <f>Sheet1!$AT97*_xlfn.XLOOKUP($A97,'[1]SSP4-change-rate'!$B$2:$B$147,'[1]SSP4-change-rate'!H$2:H$147)</f>
        <v>841.27689437709546</v>
      </c>
    </row>
    <row r="98" spans="1:51" hidden="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f>Sheet1!$AT98*_xlfn.XLOOKUP($A98,'[1]SSP4-change-rate'!$B$2:$B$147,'[1]SSP4-change-rate'!C$2:C$147)</f>
        <v>261.44778638200802</v>
      </c>
      <c r="AU98">
        <f>Sheet1!$AT98*_xlfn.XLOOKUP($A98,'[1]SSP4-change-rate'!$B$2:$B$147,'[1]SSP4-change-rate'!D$2:D$147)</f>
        <v>261.44778638200802</v>
      </c>
      <c r="AV98">
        <f>Sheet1!$AT98*_xlfn.XLOOKUP($A98,'[1]SSP4-change-rate'!$B$2:$B$147,'[1]SSP4-change-rate'!E$2:E$147)</f>
        <v>259.33933649183052</v>
      </c>
      <c r="AW98">
        <f>Sheet1!$AT98*_xlfn.XLOOKUP($A98,'[1]SSP4-change-rate'!$B$2:$B$147,'[1]SSP4-change-rate'!F$2:F$147)</f>
        <v>255.59447773166457</v>
      </c>
      <c r="AX98">
        <f>Sheet1!$AT98*_xlfn.XLOOKUP($A98,'[1]SSP4-change-rate'!$B$2:$B$147,'[1]SSP4-change-rate'!G$2:G$147)</f>
        <v>252.73286016927443</v>
      </c>
      <c r="AY98">
        <f>Sheet1!$AT98*_xlfn.XLOOKUP($A98,'[1]SSP4-change-rate'!$B$2:$B$147,'[1]SSP4-change-rate'!H$2:H$147)</f>
        <v>247.68737657242866</v>
      </c>
    </row>
    <row r="99" spans="1:51" hidden="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5117.9361520821903</v>
      </c>
      <c r="AU99">
        <v>5107.4293187927269</v>
      </c>
      <c r="AV99">
        <v>5094.3297378114848</v>
      </c>
      <c r="AW99">
        <v>5016.0994982137363</v>
      </c>
      <c r="AX99">
        <v>4907.7567670146136</v>
      </c>
      <c r="AY99">
        <v>4778.2035883124445</v>
      </c>
    </row>
    <row r="100" spans="1:51" hidden="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94.057902784051748</v>
      </c>
      <c r="AU100">
        <v>93.831352075818813</v>
      </c>
      <c r="AV100">
        <v>93.501745282851104</v>
      </c>
      <c r="AW100">
        <v>92.658108203356193</v>
      </c>
      <c r="AX100">
        <v>91.467281733919734</v>
      </c>
      <c r="AY100">
        <v>89.959845082573679</v>
      </c>
    </row>
    <row r="101" spans="1:51" hidden="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f>Sheet1!$AT101*_xlfn.XLOOKUP($A101,'[1]SSP4-change-rate'!$B$2:$B$147,'[1]SSP4-change-rate'!C$2:C$147)</f>
        <v>365.71299054923685</v>
      </c>
      <c r="AU101">
        <f>Sheet1!$AT101*_xlfn.XLOOKUP($A101,'[1]SSP4-change-rate'!$B$2:$B$147,'[1]SSP4-change-rate'!D$2:D$147)</f>
        <v>365.71299054923685</v>
      </c>
      <c r="AV101">
        <f>Sheet1!$AT101*_xlfn.XLOOKUP($A101,'[1]SSP4-change-rate'!$B$2:$B$147,'[1]SSP4-change-rate'!E$2:E$147)</f>
        <v>363.45550295325387</v>
      </c>
      <c r="AW101">
        <f>Sheet1!$AT101*_xlfn.XLOOKUP($A101,'[1]SSP4-change-rate'!$B$2:$B$147,'[1]SSP4-change-rate'!F$2:F$147)</f>
        <v>354.74160083275973</v>
      </c>
      <c r="AX101">
        <f>Sheet1!$AT101*_xlfn.XLOOKUP($A101,'[1]SSP4-change-rate'!$B$2:$B$147,'[1]SSP4-change-rate'!G$2:G$147)</f>
        <v>338.38212648683839</v>
      </c>
      <c r="AY101">
        <f>Sheet1!$AT101*_xlfn.XLOOKUP($A101,'[1]SSP4-change-rate'!$B$2:$B$147,'[1]SSP4-change-rate'!H$2:H$147)</f>
        <v>315.00488681761999</v>
      </c>
    </row>
    <row r="102" spans="1:51" hidden="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f>Sheet1!$AT102*_xlfn.XLOOKUP($A102,'[1]SSP4-change-rate'!$B$2:$B$147,'[1]SSP4-change-rate'!C$2:C$147)</f>
        <v>1720.0903181815852</v>
      </c>
      <c r="AU102">
        <f>Sheet1!$AT102*_xlfn.XLOOKUP($A102,'[1]SSP4-change-rate'!$B$2:$B$147,'[1]SSP4-change-rate'!D$2:D$147)</f>
        <v>1705.0130895564098</v>
      </c>
      <c r="AV102">
        <f>Sheet1!$AT102*_xlfn.XLOOKUP($A102,'[1]SSP4-change-rate'!$B$2:$B$147,'[1]SSP4-change-rate'!E$2:E$147)</f>
        <v>1674.8895636405202</v>
      </c>
      <c r="AW102">
        <f>Sheet1!$AT102*_xlfn.XLOOKUP($A102,'[1]SSP4-change-rate'!$B$2:$B$147,'[1]SSP4-change-rate'!F$2:F$147)</f>
        <v>1589.3473484990966</v>
      </c>
      <c r="AX102">
        <f>Sheet1!$AT102*_xlfn.XLOOKUP($A102,'[1]SSP4-change-rate'!$B$2:$B$147,'[1]SSP4-change-rate'!G$2:G$147)</f>
        <v>1455.4373117628415</v>
      </c>
      <c r="AY102">
        <f>Sheet1!$AT102*_xlfn.XLOOKUP($A102,'[1]SSP4-change-rate'!$B$2:$B$147,'[1]SSP4-change-rate'!H$2:H$147)</f>
        <v>1276.8597016505385</v>
      </c>
    </row>
    <row r="103" spans="1:51" hidden="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f>Sheet1!$AT103*_xlfn.XLOOKUP($A103,'[1]SSP4-change-rate'!$B$2:$B$147,'[1]SSP4-change-rate'!C$2:C$147)</f>
        <v>265.40339540699432</v>
      </c>
      <c r="AU103">
        <f>Sheet1!$AT103*_xlfn.XLOOKUP($A103,'[1]SSP4-change-rate'!$B$2:$B$147,'[1]SSP4-change-rate'!D$2:D$147)</f>
        <v>268.1971153586469</v>
      </c>
      <c r="AV103">
        <f>Sheet1!$AT103*_xlfn.XLOOKUP($A103,'[1]SSP4-change-rate'!$B$2:$B$147,'[1]SSP4-change-rate'!E$2:E$147)</f>
        <v>265.40339540699432</v>
      </c>
      <c r="AW103">
        <f>Sheet1!$AT103*_xlfn.XLOOKUP($A103,'[1]SSP4-change-rate'!$B$2:$B$147,'[1]SSP4-change-rate'!F$2:F$147)</f>
        <v>263.13499031804565</v>
      </c>
      <c r="AX103">
        <f>Sheet1!$AT103*_xlfn.XLOOKUP($A103,'[1]SSP4-change-rate'!$B$2:$B$147,'[1]SSP4-change-rate'!G$2:G$147)</f>
        <v>255.71714010016973</v>
      </c>
      <c r="AY103">
        <f>Sheet1!$AT103*_xlfn.XLOOKUP($A103,'[1]SSP4-change-rate'!$B$2:$B$147,'[1]SSP4-change-rate'!H$2:H$147)</f>
        <v>243.1540089656894</v>
      </c>
    </row>
    <row r="104" spans="1:51" hidden="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f>Sheet1!$AT104*_xlfn.XLOOKUP($A104,'[1]SSP4-change-rate'!$B$2:$B$147,'[1]SSP4-change-rate'!C$2:C$147)</f>
        <v>681.65666620467948</v>
      </c>
      <c r="AU104">
        <f>Sheet1!$AT104*_xlfn.XLOOKUP($A104,'[1]SSP4-change-rate'!$B$2:$B$147,'[1]SSP4-change-rate'!D$2:D$147)</f>
        <v>691.22377730930657</v>
      </c>
      <c r="AV104">
        <f>Sheet1!$AT104*_xlfn.XLOOKUP($A104,'[1]SSP4-change-rate'!$B$2:$B$147,'[1]SSP4-change-rate'!E$2:E$147)</f>
        <v>697.92347301183668</v>
      </c>
      <c r="AW104">
        <f>Sheet1!$AT104*_xlfn.XLOOKUP($A104,'[1]SSP4-change-rate'!$B$2:$B$147,'[1]SSP4-change-rate'!F$2:F$147)</f>
        <v>720.58376008692653</v>
      </c>
      <c r="AX104">
        <f>Sheet1!$AT104*_xlfn.XLOOKUP($A104,'[1]SSP4-change-rate'!$B$2:$B$147,'[1]SSP4-change-rate'!G$2:G$147)</f>
        <v>747.131582826971</v>
      </c>
      <c r="AY104">
        <f>Sheet1!$AT104*_xlfn.XLOOKUP($A104,'[1]SSP4-change-rate'!$B$2:$B$147,'[1]SSP4-change-rate'!H$2:H$147)</f>
        <v>764.33909516098788</v>
      </c>
    </row>
    <row r="105" spans="1:51" hidden="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f>Sheet1!$AT105*_xlfn.XLOOKUP($A105,'[1]SSP4-change-rate'!$B$2:$B$147,'[1]SSP4-change-rate'!C$2:C$147)</f>
        <v>10910.281825688649</v>
      </c>
      <c r="AU105">
        <f>Sheet1!$AT105*_xlfn.XLOOKUP($A105,'[1]SSP4-change-rate'!$B$2:$B$147,'[1]SSP4-change-rate'!D$2:D$147)</f>
        <v>10842.847407064824</v>
      </c>
      <c r="AV105">
        <f>Sheet1!$AT105*_xlfn.XLOOKUP($A105,'[1]SSP4-change-rate'!$B$2:$B$147,'[1]SSP4-change-rate'!E$2:E$147)</f>
        <v>10748.743840009971</v>
      </c>
      <c r="AW105">
        <f>Sheet1!$AT105*_xlfn.XLOOKUP($A105,'[1]SSP4-change-rate'!$B$2:$B$147,'[1]SSP4-change-rate'!F$2:F$147)</f>
        <v>10512.330772136329</v>
      </c>
      <c r="AX105">
        <f>Sheet1!$AT105*_xlfn.XLOOKUP($A105,'[1]SSP4-change-rate'!$B$2:$B$147,'[1]SSP4-change-rate'!G$2:G$147)</f>
        <v>10213.668250031797</v>
      </c>
      <c r="AY105">
        <f>Sheet1!$AT105*_xlfn.XLOOKUP($A105,'[1]SSP4-change-rate'!$B$2:$B$147,'[1]SSP4-change-rate'!H$2:H$147)</f>
        <v>9879.7007253126903</v>
      </c>
    </row>
    <row r="106" spans="1:51" hidden="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f>Sheet1!$AT106*_xlfn.XLOOKUP($A106,'[1]SSP4-change-rate'!$B$2:$B$147,'[1]SSP4-change-rate'!C$2:C$147)</f>
        <v>161.04531064042081</v>
      </c>
      <c r="AU106">
        <f>Sheet1!$AT106*_xlfn.XLOOKUP($A106,'[1]SSP4-change-rate'!$B$2:$B$147,'[1]SSP4-change-rate'!D$2:D$147)</f>
        <v>161.01334452080181</v>
      </c>
      <c r="AV106">
        <f>Sheet1!$AT106*_xlfn.XLOOKUP($A106,'[1]SSP4-change-rate'!$B$2:$B$147,'[1]SSP4-change-rate'!E$2:E$147)</f>
        <v>161.63273741885106</v>
      </c>
      <c r="AW106">
        <f>Sheet1!$AT106*_xlfn.XLOOKUP($A106,'[1]SSP4-change-rate'!$B$2:$B$147,'[1]SSP4-change-rate'!F$2:F$147)</f>
        <v>162.73310969361629</v>
      </c>
      <c r="AX106">
        <f>Sheet1!$AT106*_xlfn.XLOOKUP($A106,'[1]SSP4-change-rate'!$B$2:$B$147,'[1]SSP4-change-rate'!G$2:G$147)</f>
        <v>162.5398599247732</v>
      </c>
      <c r="AY106">
        <f>Sheet1!$AT106*_xlfn.XLOOKUP($A106,'[1]SSP4-change-rate'!$B$2:$B$147,'[1]SSP4-change-rate'!H$2:H$147)</f>
        <v>161.85476040981104</v>
      </c>
    </row>
    <row r="107" spans="1:51" hidden="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f>Sheet1!$AT107*_xlfn.XLOOKUP($A107,'[1]SSP4-change-rate'!$B$2:$B$147,'[1]SSP4-change-rate'!C$2:C$147)</f>
        <v>#N/A</v>
      </c>
      <c r="AU107" t="e">
        <f>Sheet1!$AT107*_xlfn.XLOOKUP($A107,'[1]SSP4-change-rate'!$B$2:$B$147,'[1]SSP4-change-rate'!D$2:D$147)</f>
        <v>#N/A</v>
      </c>
      <c r="AV107" t="e">
        <f>Sheet1!$AT107*_xlfn.XLOOKUP($A107,'[1]SSP4-change-rate'!$B$2:$B$147,'[1]SSP4-change-rate'!E$2:E$147)</f>
        <v>#N/A</v>
      </c>
      <c r="AW107" t="e">
        <f>Sheet1!$AT107*_xlfn.XLOOKUP($A107,'[1]SSP4-change-rate'!$B$2:$B$147,'[1]SSP4-change-rate'!F$2:F$147)</f>
        <v>#N/A</v>
      </c>
      <c r="AX107" t="e">
        <f>Sheet1!$AT107*_xlfn.XLOOKUP($A107,'[1]SSP4-change-rate'!$B$2:$B$147,'[1]SSP4-change-rate'!G$2:G$147)</f>
        <v>#N/A</v>
      </c>
      <c r="AY107" t="e">
        <f>Sheet1!$AT107*_xlfn.XLOOKUP($A107,'[1]SSP4-change-rate'!$B$2:$B$147,'[1]SSP4-change-rate'!H$2:H$147)</f>
        <v>#N/A</v>
      </c>
    </row>
    <row r="108" spans="1:51" hidden="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f>Sheet1!$AT108*_xlfn.XLOOKUP($A108,'[1]SSP4-change-rate'!$B$2:$B$147,'[1]SSP4-change-rate'!C$2:C$147)</f>
        <v>566.14902390453051</v>
      </c>
      <c r="AU108">
        <f>Sheet1!$AT108*_xlfn.XLOOKUP($A108,'[1]SSP4-change-rate'!$B$2:$B$147,'[1]SSP4-change-rate'!D$2:D$147)</f>
        <v>576.29158312828247</v>
      </c>
      <c r="AV108">
        <f>Sheet1!$AT108*_xlfn.XLOOKUP($A108,'[1]SSP4-change-rate'!$B$2:$B$147,'[1]SSP4-change-rate'!E$2:E$147)</f>
        <v>579.26834174902058</v>
      </c>
      <c r="AW108">
        <f>Sheet1!$AT108*_xlfn.XLOOKUP($A108,'[1]SSP4-change-rate'!$B$2:$B$147,'[1]SSP4-change-rate'!F$2:F$147)</f>
        <v>609.99221430791181</v>
      </c>
      <c r="AX108">
        <f>Sheet1!$AT108*_xlfn.XLOOKUP($A108,'[1]SSP4-change-rate'!$B$2:$B$147,'[1]SSP4-change-rate'!G$2:G$147)</f>
        <v>633.13482433047204</v>
      </c>
      <c r="AY108">
        <f>Sheet1!$AT108*_xlfn.XLOOKUP($A108,'[1]SSP4-change-rate'!$B$2:$B$147,'[1]SSP4-change-rate'!H$2:H$147)</f>
        <v>628.71807823979066</v>
      </c>
    </row>
    <row r="109" spans="1:51" hidden="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f>Sheet1!$AT109*_xlfn.XLOOKUP($A109,'[1]SSP4-change-rate'!$B$2:$B$147,'[1]SSP4-change-rate'!C$2:C$147)</f>
        <v>28814.881110978007</v>
      </c>
      <c r="AU109">
        <f>Sheet1!$AT109*_xlfn.XLOOKUP($A109,'[1]SSP4-change-rate'!$B$2:$B$147,'[1]SSP4-change-rate'!D$2:D$147)</f>
        <v>28857.270470369378</v>
      </c>
      <c r="AV109">
        <f>Sheet1!$AT109*_xlfn.XLOOKUP($A109,'[1]SSP4-change-rate'!$B$2:$B$147,'[1]SSP4-change-rate'!E$2:E$147)</f>
        <v>28909.506048448347</v>
      </c>
      <c r="AW109">
        <f>Sheet1!$AT109*_xlfn.XLOOKUP($A109,'[1]SSP4-change-rate'!$B$2:$B$147,'[1]SSP4-change-rate'!F$2:F$147)</f>
        <v>28135.676795015126</v>
      </c>
      <c r="AX109">
        <f>Sheet1!$AT109*_xlfn.XLOOKUP($A109,'[1]SSP4-change-rate'!$B$2:$B$147,'[1]SSP4-change-rate'!G$2:G$147)</f>
        <v>24404.986800129431</v>
      </c>
      <c r="AY109">
        <f>Sheet1!$AT109*_xlfn.XLOOKUP($A109,'[1]SSP4-change-rate'!$B$2:$B$147,'[1]SSP4-change-rate'!H$2:H$147)</f>
        <v>15592.163072278074</v>
      </c>
    </row>
    <row r="110" spans="1:51" hidden="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f>Sheet1!$AT110*_xlfn.XLOOKUP($A110,'[1]SSP4-change-rate'!$B$2:$B$147,'[1]SSP4-change-rate'!C$2:C$147)</f>
        <v>1585.6907016756595</v>
      </c>
      <c r="AU110">
        <f>Sheet1!$AT110*_xlfn.XLOOKUP($A110,'[1]SSP4-change-rate'!$B$2:$B$147,'[1]SSP4-change-rate'!D$2:D$147)</f>
        <v>1576.3079164586438</v>
      </c>
      <c r="AV110">
        <f>Sheet1!$AT110*_xlfn.XLOOKUP($A110,'[1]SSP4-change-rate'!$B$2:$B$147,'[1]SSP4-change-rate'!E$2:E$147)</f>
        <v>1567.7732926171775</v>
      </c>
      <c r="AW110">
        <f>Sheet1!$AT110*_xlfn.XLOOKUP($A110,'[1]SSP4-change-rate'!$B$2:$B$147,'[1]SSP4-change-rate'!F$2:F$147)</f>
        <v>1537.6394682915486</v>
      </c>
      <c r="AX110">
        <f>Sheet1!$AT110*_xlfn.XLOOKUP($A110,'[1]SSP4-change-rate'!$B$2:$B$147,'[1]SSP4-change-rate'!G$2:G$147)</f>
        <v>1471.4672189278365</v>
      </c>
      <c r="AY110">
        <f>Sheet1!$AT110*_xlfn.XLOOKUP($A110,'[1]SSP4-change-rate'!$B$2:$B$147,'[1]SSP4-change-rate'!H$2:H$147)</f>
        <v>1349.8442998441531</v>
      </c>
    </row>
    <row r="111" spans="1:51" hidden="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f>Sheet1!$AT111*_xlfn.XLOOKUP($A111,'[1]SSP4-change-rate'!$B$2:$B$147,'[1]SSP4-change-rate'!C$2:C$147)</f>
        <v>19187.713759237758</v>
      </c>
      <c r="AU111">
        <f>Sheet1!$AT111*_xlfn.XLOOKUP($A111,'[1]SSP4-change-rate'!$B$2:$B$147,'[1]SSP4-change-rate'!D$2:D$147)</f>
        <v>19111.104336980359</v>
      </c>
      <c r="AV111">
        <f>Sheet1!$AT111*_xlfn.XLOOKUP($A111,'[1]SSP4-change-rate'!$B$2:$B$147,'[1]SSP4-change-rate'!E$2:E$147)</f>
        <v>18999.719381345636</v>
      </c>
      <c r="AW111">
        <f>Sheet1!$AT111*_xlfn.XLOOKUP($A111,'[1]SSP4-change-rate'!$B$2:$B$147,'[1]SSP4-change-rate'!F$2:F$147)</f>
        <v>18757.650325560757</v>
      </c>
      <c r="AX111">
        <f>Sheet1!$AT111*_xlfn.XLOOKUP($A111,'[1]SSP4-change-rate'!$B$2:$B$147,'[1]SSP4-change-rate'!G$2:G$147)</f>
        <v>18448.709500832749</v>
      </c>
      <c r="AY111">
        <f>Sheet1!$AT111*_xlfn.XLOOKUP($A111,'[1]SSP4-change-rate'!$B$2:$B$147,'[1]SSP4-change-rate'!H$2:H$147)</f>
        <v>18060.441066263851</v>
      </c>
    </row>
    <row r="112" spans="1:51" hidden="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f>Sheet1!$AT112*_xlfn.XLOOKUP($A112,'[1]SSP4-change-rate'!$B$2:$B$147,'[1]SSP4-change-rate'!C$2:C$147)</f>
        <v>6291.4785355089234</v>
      </c>
      <c r="AU112">
        <f>Sheet1!$AT112*_xlfn.XLOOKUP($A112,'[1]SSP4-change-rate'!$B$2:$B$147,'[1]SSP4-change-rate'!D$2:D$147)</f>
        <v>6274.3704327898749</v>
      </c>
      <c r="AV112">
        <f>Sheet1!$AT112*_xlfn.XLOOKUP($A112,'[1]SSP4-change-rate'!$B$2:$B$147,'[1]SSP4-change-rate'!E$2:E$147)</f>
        <v>6248.0174506672802</v>
      </c>
      <c r="AW112">
        <f>Sheet1!$AT112*_xlfn.XLOOKUP($A112,'[1]SSP4-change-rate'!$B$2:$B$147,'[1]SSP4-change-rate'!F$2:F$147)</f>
        <v>6196.5926543792029</v>
      </c>
      <c r="AX112">
        <f>Sheet1!$AT112*_xlfn.XLOOKUP($A112,'[1]SSP4-change-rate'!$B$2:$B$147,'[1]SSP4-change-rate'!G$2:G$147)</f>
        <v>6149.8493205320692</v>
      </c>
      <c r="AY112">
        <f>Sheet1!$AT112*_xlfn.XLOOKUP($A112,'[1]SSP4-change-rate'!$B$2:$B$147,'[1]SSP4-change-rate'!H$2:H$147)</f>
        <v>6104.3548625759267</v>
      </c>
    </row>
    <row r="113" spans="1:51" hidden="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f>Sheet1!$AT113*_xlfn.XLOOKUP($A113,'[1]SSP4-change-rate'!$B$2:$B$147,'[1]SSP4-change-rate'!C$2:C$147)</f>
        <v>1176.5497165750137</v>
      </c>
      <c r="AU113">
        <f>Sheet1!$AT113*_xlfn.XLOOKUP($A113,'[1]SSP4-change-rate'!$B$2:$B$147,'[1]SSP4-change-rate'!D$2:D$147)</f>
        <v>1199.6669005415874</v>
      </c>
      <c r="AV113">
        <f>Sheet1!$AT113*_xlfn.XLOOKUP($A113,'[1]SSP4-change-rate'!$B$2:$B$147,'[1]SSP4-change-rate'!E$2:E$147)</f>
        <v>1229.9219036376296</v>
      </c>
      <c r="AW113">
        <f>Sheet1!$AT113*_xlfn.XLOOKUP($A113,'[1]SSP4-change-rate'!$B$2:$B$147,'[1]SSP4-change-rate'!F$2:F$147)</f>
        <v>1261.0359994141768</v>
      </c>
      <c r="AX113">
        <f>Sheet1!$AT113*_xlfn.XLOOKUP($A113,'[1]SSP4-change-rate'!$B$2:$B$147,'[1]SSP4-change-rate'!G$2:G$147)</f>
        <v>1301.9927241814748</v>
      </c>
      <c r="AY113">
        <f>Sheet1!$AT113*_xlfn.XLOOKUP($A113,'[1]SSP4-change-rate'!$B$2:$B$147,'[1]SSP4-change-rate'!H$2:H$147)</f>
        <v>1325.9186463529604</v>
      </c>
    </row>
    <row r="114" spans="1:51" hidden="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f>Sheet1!$AT114*_xlfn.XLOOKUP($A114,'[1]SSP4-change-rate'!$B$2:$B$147,'[1]SSP4-change-rate'!C$2:C$147)</f>
        <v>5432.4821803809918</v>
      </c>
      <c r="AU114">
        <f>Sheet1!$AT114*_xlfn.XLOOKUP($A114,'[1]SSP4-change-rate'!$B$2:$B$147,'[1]SSP4-change-rate'!D$2:D$147)</f>
        <v>5407.9496560837506</v>
      </c>
      <c r="AV114">
        <f>Sheet1!$AT114*_xlfn.XLOOKUP($A114,'[1]SSP4-change-rate'!$B$2:$B$147,'[1]SSP4-change-rate'!E$2:E$147)</f>
        <v>5374.098052691359</v>
      </c>
      <c r="AW114">
        <f>Sheet1!$AT114*_xlfn.XLOOKUP($A114,'[1]SSP4-change-rate'!$B$2:$B$147,'[1]SSP4-change-rate'!F$2:F$147)</f>
        <v>5307.2759407277299</v>
      </c>
      <c r="AX114">
        <f>Sheet1!$AT114*_xlfn.XLOOKUP($A114,'[1]SSP4-change-rate'!$B$2:$B$147,'[1]SSP4-change-rate'!G$2:G$147)</f>
        <v>5218.1875493838006</v>
      </c>
      <c r="AY114">
        <f>Sheet1!$AT114*_xlfn.XLOOKUP($A114,'[1]SSP4-change-rate'!$B$2:$B$147,'[1]SSP4-change-rate'!H$2:H$147)</f>
        <v>5120.4597319744171</v>
      </c>
    </row>
    <row r="115" spans="1:51" hidden="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f>Sheet1!$AT115*_xlfn.XLOOKUP($A115,'[1]SSP4-change-rate'!$B$2:$B$147,'[1]SSP4-change-rate'!C$2:C$147)</f>
        <v>1321.4596544996539</v>
      </c>
      <c r="AU115">
        <f>Sheet1!$AT115*_xlfn.XLOOKUP($A115,'[1]SSP4-change-rate'!$B$2:$B$147,'[1]SSP4-change-rate'!D$2:D$147)</f>
        <v>1310.7296098504733</v>
      </c>
      <c r="AV115">
        <f>Sheet1!$AT115*_xlfn.XLOOKUP($A115,'[1]SSP4-change-rate'!$B$2:$B$147,'[1]SSP4-change-rate'!E$2:E$147)</f>
        <v>1296.0102784648057</v>
      </c>
      <c r="AW115">
        <f>Sheet1!$AT115*_xlfn.XLOOKUP($A115,'[1]SSP4-change-rate'!$B$2:$B$147,'[1]SSP4-change-rate'!F$2:F$147)</f>
        <v>1262.5163324388609</v>
      </c>
      <c r="AX115">
        <f>Sheet1!$AT115*_xlfn.XLOOKUP($A115,'[1]SSP4-change-rate'!$B$2:$B$147,'[1]SSP4-change-rate'!G$2:G$147)</f>
        <v>1224.3533955449525</v>
      </c>
      <c r="AY115">
        <f>Sheet1!$AT115*_xlfn.XLOOKUP($A115,'[1]SSP4-change-rate'!$B$2:$B$147,'[1]SSP4-change-rate'!H$2:H$147)</f>
        <v>1181.8660587494041</v>
      </c>
    </row>
    <row r="116" spans="1:51" hidden="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f>Sheet1!$AT116*_xlfn.XLOOKUP($A116,'[1]SSP4-change-rate'!$B$2:$B$147,'[1]SSP4-change-rate'!C$2:C$147)</f>
        <v>25404.180461755099</v>
      </c>
      <c r="AU116">
        <f>Sheet1!$AT116*_xlfn.XLOOKUP($A116,'[1]SSP4-change-rate'!$B$2:$B$147,'[1]SSP4-change-rate'!D$2:D$147)</f>
        <v>25709.235525567216</v>
      </c>
      <c r="AV116">
        <f>Sheet1!$AT116*_xlfn.XLOOKUP($A116,'[1]SSP4-change-rate'!$B$2:$B$147,'[1]SSP4-change-rate'!E$2:E$147)</f>
        <v>26117.655941766319</v>
      </c>
      <c r="AW116">
        <f>Sheet1!$AT116*_xlfn.XLOOKUP($A116,'[1]SSP4-change-rate'!$B$2:$B$147,'[1]SSP4-change-rate'!F$2:F$147)</f>
        <v>26797.064835674992</v>
      </c>
      <c r="AX116">
        <f>Sheet1!$AT116*_xlfn.XLOOKUP($A116,'[1]SSP4-change-rate'!$B$2:$B$147,'[1]SSP4-change-rate'!G$2:G$147)</f>
        <v>27543.301929471818</v>
      </c>
      <c r="AY116">
        <f>Sheet1!$AT116*_xlfn.XLOOKUP($A116,'[1]SSP4-change-rate'!$B$2:$B$147,'[1]SSP4-change-rate'!H$2:H$147)</f>
        <v>28093.735976199456</v>
      </c>
    </row>
    <row r="117" spans="1:51" hidden="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f>Sheet1!$AT117*_xlfn.XLOOKUP($A117,'[1]SSP4-change-rate'!$B$2:$B$147,'[1]SSP4-change-rate'!C$2:C$147)</f>
        <v>2224.9038991071202</v>
      </c>
      <c r="AU117">
        <f>Sheet1!$AT117*_xlfn.XLOOKUP($A117,'[1]SSP4-change-rate'!$B$2:$B$147,'[1]SSP4-change-rate'!D$2:D$147)</f>
        <v>2218.2797955608917</v>
      </c>
      <c r="AV117">
        <f>Sheet1!$AT117*_xlfn.XLOOKUP($A117,'[1]SSP4-change-rate'!$B$2:$B$147,'[1]SSP4-change-rate'!E$2:E$147)</f>
        <v>2193.0131857894594</v>
      </c>
      <c r="AW117">
        <f>Sheet1!$AT117*_xlfn.XLOOKUP($A117,'[1]SSP4-change-rate'!$B$2:$B$147,'[1]SSP4-change-rate'!F$2:F$147)</f>
        <v>2160.2490966977848</v>
      </c>
      <c r="AX117">
        <f>Sheet1!$AT117*_xlfn.XLOOKUP($A117,'[1]SSP4-change-rate'!$B$2:$B$147,'[1]SSP4-change-rate'!G$2:G$147)</f>
        <v>2099.7878313259621</v>
      </c>
      <c r="AY117">
        <f>Sheet1!$AT117*_xlfn.XLOOKUP($A117,'[1]SSP4-change-rate'!$B$2:$B$147,'[1]SSP4-change-rate'!H$2:H$147)</f>
        <v>2033.7657685075594</v>
      </c>
    </row>
    <row r="118" spans="1:51" hidden="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f>Sheet1!$AT118*_xlfn.XLOOKUP($A118,'[1]SSP4-change-rate'!$B$2:$B$147,'[1]SSP4-change-rate'!C$2:C$147)</f>
        <v>6259.691952127494</v>
      </c>
      <c r="AU118">
        <f>Sheet1!$AT118*_xlfn.XLOOKUP($A118,'[1]SSP4-change-rate'!$B$2:$B$147,'[1]SSP4-change-rate'!D$2:D$147)</f>
        <v>6223.9852210670288</v>
      </c>
      <c r="AV118">
        <f>Sheet1!$AT118*_xlfn.XLOOKUP($A118,'[1]SSP4-change-rate'!$B$2:$B$147,'[1]SSP4-change-rate'!E$2:E$147)</f>
        <v>6172.5842065747074</v>
      </c>
      <c r="AW118">
        <f>Sheet1!$AT118*_xlfn.XLOOKUP($A118,'[1]SSP4-change-rate'!$B$2:$B$147,'[1]SSP4-change-rate'!F$2:F$147)</f>
        <v>6037.6541641971753</v>
      </c>
      <c r="AX118">
        <f>Sheet1!$AT118*_xlfn.XLOOKUP($A118,'[1]SSP4-change-rate'!$B$2:$B$147,'[1]SSP4-change-rate'!G$2:G$147)</f>
        <v>5865.1960001914886</v>
      </c>
      <c r="AY118">
        <f>Sheet1!$AT118*_xlfn.XLOOKUP($A118,'[1]SSP4-change-rate'!$B$2:$B$147,'[1]SSP4-change-rate'!H$2:H$147)</f>
        <v>5678.2136804109223</v>
      </c>
    </row>
    <row r="119" spans="1:51" hidden="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f>Sheet1!$AT119*_xlfn.XLOOKUP($A119,'[1]SSP4-change-rate'!$B$2:$B$147,'[1]SSP4-change-rate'!C$2:C$147)</f>
        <v>14736.190212593609</v>
      </c>
      <c r="AU119">
        <f>Sheet1!$AT119*_xlfn.XLOOKUP($A119,'[1]SSP4-change-rate'!$B$2:$B$147,'[1]SSP4-change-rate'!D$2:D$147)</f>
        <v>14891.702817689</v>
      </c>
      <c r="AV119">
        <f>Sheet1!$AT119*_xlfn.XLOOKUP($A119,'[1]SSP4-change-rate'!$B$2:$B$147,'[1]SSP4-change-rate'!E$2:E$147)</f>
        <v>15081.394998627402</v>
      </c>
      <c r="AW119">
        <f>Sheet1!$AT119*_xlfn.XLOOKUP($A119,'[1]SSP4-change-rate'!$B$2:$B$147,'[1]SSP4-change-rate'!F$2:F$147)</f>
        <v>15367.068230640763</v>
      </c>
      <c r="AX119">
        <f>Sheet1!$AT119*_xlfn.XLOOKUP($A119,'[1]SSP4-change-rate'!$B$2:$B$147,'[1]SSP4-change-rate'!G$2:G$147)</f>
        <v>15646.949086644459</v>
      </c>
      <c r="AY119">
        <f>Sheet1!$AT119*_xlfn.XLOOKUP($A119,'[1]SSP4-change-rate'!$B$2:$B$147,'[1]SSP4-change-rate'!H$2:H$147)</f>
        <v>15834.250489238995</v>
      </c>
    </row>
    <row r="120" spans="1:51" hidden="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f>Sheet1!$AT120*_xlfn.XLOOKUP($A120,'[1]SSP4-change-rate'!$B$2:$B$147,'[1]SSP4-change-rate'!C$2:C$147)</f>
        <v>244.87082017976269</v>
      </c>
      <c r="AU120">
        <f>Sheet1!$AT120*_xlfn.XLOOKUP($A120,'[1]SSP4-change-rate'!$B$2:$B$147,'[1]SSP4-change-rate'!D$2:D$147)</f>
        <v>244.4940958410246</v>
      </c>
      <c r="AV120">
        <f>Sheet1!$AT120*_xlfn.XLOOKUP($A120,'[1]SSP4-change-rate'!$B$2:$B$147,'[1]SSP4-change-rate'!E$2:E$147)</f>
        <v>250.82254150357639</v>
      </c>
      <c r="AW120">
        <f>Sheet1!$AT120*_xlfn.XLOOKUP($A120,'[1]SSP4-change-rate'!$B$2:$B$147,'[1]SSP4-change-rate'!F$2:F$147)</f>
        <v>251.86042788221184</v>
      </c>
      <c r="AX120">
        <f>Sheet1!$AT120*_xlfn.XLOOKUP($A120,'[1]SSP4-change-rate'!$B$2:$B$147,'[1]SSP4-change-rate'!G$2:G$147)</f>
        <v>252.59305356124869</v>
      </c>
      <c r="AY120">
        <f>Sheet1!$AT120*_xlfn.XLOOKUP($A120,'[1]SSP4-change-rate'!$B$2:$B$147,'[1]SSP4-change-rate'!H$2:H$147)</f>
        <v>250.7396249609306</v>
      </c>
    </row>
    <row r="121" spans="1:51" hidden="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f>Sheet1!$AT121*_xlfn.XLOOKUP($A121,'[1]SSP4-change-rate'!$B$2:$B$147,'[1]SSP4-change-rate'!C$2:C$147)</f>
        <v>41835.986875977629</v>
      </c>
      <c r="AU121">
        <f>Sheet1!$AT121*_xlfn.XLOOKUP($A121,'[1]SSP4-change-rate'!$B$2:$B$147,'[1]SSP4-change-rate'!D$2:D$147)</f>
        <v>41757.724564333475</v>
      </c>
      <c r="AV121">
        <f>Sheet1!$AT121*_xlfn.XLOOKUP($A121,'[1]SSP4-change-rate'!$B$2:$B$147,'[1]SSP4-change-rate'!E$2:E$147)</f>
        <v>41643.42404103437</v>
      </c>
      <c r="AW121">
        <f>Sheet1!$AT121*_xlfn.XLOOKUP($A121,'[1]SSP4-change-rate'!$B$2:$B$147,'[1]SSP4-change-rate'!F$2:F$147)</f>
        <v>41372.923236080744</v>
      </c>
      <c r="AX121">
        <f>Sheet1!$AT121*_xlfn.XLOOKUP($A121,'[1]SSP4-change-rate'!$B$2:$B$147,'[1]SSP4-change-rate'!G$2:G$147)</f>
        <v>40949.777489036453</v>
      </c>
      <c r="AY121">
        <f>Sheet1!$AT121*_xlfn.XLOOKUP($A121,'[1]SSP4-change-rate'!$B$2:$B$147,'[1]SSP4-change-rate'!H$2:H$147)</f>
        <v>40390.384928655476</v>
      </c>
    </row>
    <row r="122" spans="1:51" hidden="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2661.4472752097681</v>
      </c>
      <c r="AU122">
        <v>2655.7789530307577</v>
      </c>
      <c r="AV122">
        <v>2647.2916384389409</v>
      </c>
      <c r="AW122">
        <v>2629.635530093949</v>
      </c>
      <c r="AX122">
        <v>2616.8679252792999</v>
      </c>
      <c r="AY122">
        <v>2616.8679252792999</v>
      </c>
    </row>
    <row r="123" spans="1:51" hidden="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f>Sheet1!$AT123*_xlfn.XLOOKUP($A123,'[1]SSP4-change-rate'!$B$2:$B$147,'[1]SSP4-change-rate'!C$2:C$147)</f>
        <v>4158.7523015637507</v>
      </c>
      <c r="AU123">
        <f>Sheet1!$AT123*_xlfn.XLOOKUP($A123,'[1]SSP4-change-rate'!$B$2:$B$147,'[1]SSP4-change-rate'!D$2:D$147)</f>
        <v>4149.0945760842678</v>
      </c>
      <c r="AV123">
        <f>Sheet1!$AT123*_xlfn.XLOOKUP($A123,'[1]SSP4-change-rate'!$B$2:$B$147,'[1]SSP4-change-rate'!E$2:E$147)</f>
        <v>4135.805828277943</v>
      </c>
      <c r="AW123">
        <f>Sheet1!$AT123*_xlfn.XLOOKUP($A123,'[1]SSP4-change-rate'!$B$2:$B$147,'[1]SSP4-change-rate'!F$2:F$147)</f>
        <v>4099.438739357327</v>
      </c>
      <c r="AX123">
        <f>Sheet1!$AT123*_xlfn.XLOOKUP($A123,'[1]SSP4-change-rate'!$B$2:$B$147,'[1]SSP4-change-rate'!G$2:G$147)</f>
        <v>4044.5667573939386</v>
      </c>
      <c r="AY123">
        <f>Sheet1!$AT123*_xlfn.XLOOKUP($A123,'[1]SSP4-change-rate'!$B$2:$B$147,'[1]SSP4-change-rate'!H$2:H$147)</f>
        <v>3972.6522633192039</v>
      </c>
    </row>
    <row r="124" spans="1:51" hidden="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f>Sheet1!$AT124*_xlfn.XLOOKUP($A124,'[1]SSP4-change-rate'!$B$2:$B$147,'[1]SSP4-change-rate'!C$2:C$147)</f>
        <v>2395.0291437821907</v>
      </c>
      <c r="AU124">
        <f>Sheet1!$AT124*_xlfn.XLOOKUP($A124,'[1]SSP4-change-rate'!$B$2:$B$147,'[1]SSP4-change-rate'!D$2:D$147)</f>
        <v>2409.3480696017677</v>
      </c>
      <c r="AV124">
        <f>Sheet1!$AT124*_xlfn.XLOOKUP($A124,'[1]SSP4-change-rate'!$B$2:$B$147,'[1]SSP4-change-rate'!E$2:E$147)</f>
        <v>2430.3399281315897</v>
      </c>
      <c r="AW124">
        <f>Sheet1!$AT124*_xlfn.XLOOKUP($A124,'[1]SSP4-change-rate'!$B$2:$B$147,'[1]SSP4-change-rate'!F$2:F$147)</f>
        <v>2449.2194750649551</v>
      </c>
      <c r="AX124">
        <f>Sheet1!$AT124*_xlfn.XLOOKUP($A124,'[1]SSP4-change-rate'!$B$2:$B$147,'[1]SSP4-change-rate'!G$2:G$147)</f>
        <v>2433.9376700769731</v>
      </c>
      <c r="AY124">
        <f>Sheet1!$AT124*_xlfn.XLOOKUP($A124,'[1]SSP4-change-rate'!$B$2:$B$147,'[1]SSP4-change-rate'!H$2:H$147)</f>
        <v>2326.0524510052855</v>
      </c>
    </row>
    <row r="125" spans="1:51" hidden="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1134.8266981421737</v>
      </c>
      <c r="AU125">
        <v>1131.1811561895552</v>
      </c>
      <c r="AV125">
        <v>1127.1543742671731</v>
      </c>
      <c r="AW125">
        <v>1099.8019919444778</v>
      </c>
      <c r="AX125">
        <v>1063.8287733715233</v>
      </c>
      <c r="AY125">
        <v>1036.9251015765981</v>
      </c>
    </row>
    <row r="126" spans="1:51" hidden="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1094.6002381182275</v>
      </c>
      <c r="AU126">
        <v>1091.0839205201846</v>
      </c>
      <c r="AV126">
        <v>1087.199876852279</v>
      </c>
      <c r="AW126">
        <v>1060.8170606455949</v>
      </c>
      <c r="AX126">
        <v>1026.1189929315572</v>
      </c>
      <c r="AY126">
        <v>1000.1689817085304</v>
      </c>
    </row>
    <row r="127" spans="1:51" hidden="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f>Sheet1!$AT127*_xlfn.XLOOKUP($A127,'[1]SSP4-change-rate'!$B$2:$B$147,'[1]SSP4-change-rate'!C$2:C$147)</f>
        <v>11657.767885816942</v>
      </c>
      <c r="AU127">
        <f>Sheet1!$AT127*_xlfn.XLOOKUP($A127,'[1]SSP4-change-rate'!$B$2:$B$147,'[1]SSP4-change-rate'!D$2:D$147)</f>
        <v>11622.674770311116</v>
      </c>
      <c r="AV127">
        <f>Sheet1!$AT127*_xlfn.XLOOKUP($A127,'[1]SSP4-change-rate'!$B$2:$B$147,'[1]SSP4-change-rate'!E$2:E$147)</f>
        <v>11571.223095633224</v>
      </c>
      <c r="AW127">
        <f>Sheet1!$AT127*_xlfn.XLOOKUP($A127,'[1]SSP4-change-rate'!$B$2:$B$147,'[1]SSP4-change-rate'!F$2:F$147)</f>
        <v>11415.449156907503</v>
      </c>
      <c r="AX127">
        <f>Sheet1!$AT127*_xlfn.XLOOKUP($A127,'[1]SSP4-change-rate'!$B$2:$B$147,'[1]SSP4-change-rate'!G$2:G$147)</f>
        <v>11216.00079802232</v>
      </c>
      <c r="AY127">
        <f>Sheet1!$AT127*_xlfn.XLOOKUP($A127,'[1]SSP4-change-rate'!$B$2:$B$147,'[1]SSP4-change-rate'!H$2:H$147)</f>
        <v>10968.396975873708</v>
      </c>
    </row>
    <row r="128" spans="1:51" hidden="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f>Sheet1!$AT128*_xlfn.XLOOKUP($A128,'[1]SSP4-change-rate'!$B$2:$B$147,'[1]SSP4-change-rate'!C$2:C$147)</f>
        <v>70661.814813215155</v>
      </c>
      <c r="AU128">
        <f>Sheet1!$AT128*_xlfn.XLOOKUP($A128,'[1]SSP4-change-rate'!$B$2:$B$147,'[1]SSP4-change-rate'!D$2:D$147)</f>
        <v>70568.617759573302</v>
      </c>
      <c r="AV128">
        <f>Sheet1!$AT128*_xlfn.XLOOKUP($A128,'[1]SSP4-change-rate'!$B$2:$B$147,'[1]SSP4-change-rate'!E$2:E$147)</f>
        <v>70443.315192362614</v>
      </c>
      <c r="AW128">
        <f>Sheet1!$AT128*_xlfn.XLOOKUP($A128,'[1]SSP4-change-rate'!$B$2:$B$147,'[1]SSP4-change-rate'!F$2:F$147)</f>
        <v>69889.826614929611</v>
      </c>
      <c r="AX128">
        <f>Sheet1!$AT128*_xlfn.XLOOKUP($A128,'[1]SSP4-change-rate'!$B$2:$B$147,'[1]SSP4-change-rate'!G$2:G$147)</f>
        <v>68967.180102014958</v>
      </c>
      <c r="AY128">
        <f>Sheet1!$AT128*_xlfn.XLOOKUP($A128,'[1]SSP4-change-rate'!$B$2:$B$147,'[1]SSP4-change-rate'!H$2:H$147)</f>
        <v>67363.265415278132</v>
      </c>
    </row>
    <row r="129" spans="1:51" hidden="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f>Sheet1!$AT129*_xlfn.XLOOKUP($A129,'[1]SSP4-change-rate'!$B$2:$B$147,'[1]SSP4-change-rate'!C$2:C$147)</f>
        <v>599.05248548137615</v>
      </c>
      <c r="AU129">
        <f>Sheet1!$AT129*_xlfn.XLOOKUP($A129,'[1]SSP4-change-rate'!$B$2:$B$147,'[1]SSP4-change-rate'!D$2:D$147)</f>
        <v>599.05248548137615</v>
      </c>
      <c r="AV129">
        <f>Sheet1!$AT129*_xlfn.XLOOKUP($A129,'[1]SSP4-change-rate'!$B$2:$B$147,'[1]SSP4-change-rate'!E$2:E$147)</f>
        <v>610.14605002732765</v>
      </c>
      <c r="AW129">
        <f>Sheet1!$AT129*_xlfn.XLOOKUP($A129,'[1]SSP4-change-rate'!$B$2:$B$147,'[1]SSP4-change-rate'!F$2:F$147)</f>
        <v>599.05248548137615</v>
      </c>
      <c r="AX129">
        <f>Sheet1!$AT129*_xlfn.XLOOKUP($A129,'[1]SSP4-change-rate'!$B$2:$B$147,'[1]SSP4-change-rate'!G$2:G$147)</f>
        <v>590.73231207191259</v>
      </c>
      <c r="AY129">
        <f>Sheet1!$AT129*_xlfn.XLOOKUP($A129,'[1]SSP4-change-rate'!$B$2:$B$147,'[1]SSP4-change-rate'!H$2:H$147)</f>
        <v>533.22254202188424</v>
      </c>
    </row>
    <row r="130" spans="1:51" hidden="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f>Sheet1!$AT130*_xlfn.XLOOKUP($A130,'[1]SSP4-change-rate'!$B$2:$B$147,'[1]SSP4-change-rate'!C$2:C$147)</f>
        <v>12629.436333833992</v>
      </c>
      <c r="AU130">
        <f>Sheet1!$AT130*_xlfn.XLOOKUP($A130,'[1]SSP4-change-rate'!$B$2:$B$147,'[1]SSP4-change-rate'!D$2:D$147)</f>
        <v>12741.603755553469</v>
      </c>
      <c r="AV130">
        <f>Sheet1!$AT130*_xlfn.XLOOKUP($A130,'[1]SSP4-change-rate'!$B$2:$B$147,'[1]SSP4-change-rate'!E$2:E$147)</f>
        <v>12890.399448908041</v>
      </c>
      <c r="AW130">
        <f>Sheet1!$AT130*_xlfn.XLOOKUP($A130,'[1]SSP4-change-rate'!$B$2:$B$147,'[1]SSP4-change-rate'!F$2:F$147)</f>
        <v>13195.18327824058</v>
      </c>
      <c r="AX130">
        <f>Sheet1!$AT130*_xlfn.XLOOKUP($A130,'[1]SSP4-change-rate'!$B$2:$B$147,'[1]SSP4-change-rate'!G$2:G$147)</f>
        <v>13601.517326750145</v>
      </c>
      <c r="AY130">
        <f>Sheet1!$AT130*_xlfn.XLOOKUP($A130,'[1]SSP4-change-rate'!$B$2:$B$147,'[1]SSP4-change-rate'!H$2:H$147)</f>
        <v>14086.946139249978</v>
      </c>
    </row>
    <row r="131" spans="1:51" hidden="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f>Sheet1!$AT131*_xlfn.XLOOKUP($A131,'[1]SSP4-change-rate'!$B$2:$B$147,'[1]SSP4-change-rate'!C$2:C$147)</f>
        <v>3271.6012045150142</v>
      </c>
      <c r="AU131">
        <f>Sheet1!$AT131*_xlfn.XLOOKUP($A131,'[1]SSP4-change-rate'!$B$2:$B$147,'[1]SSP4-change-rate'!D$2:D$147)</f>
        <v>3289.2366377199364</v>
      </c>
      <c r="AV131">
        <f>Sheet1!$AT131*_xlfn.XLOOKUP($A131,'[1]SSP4-change-rate'!$B$2:$B$147,'[1]SSP4-change-rate'!E$2:E$147)</f>
        <v>3305.8228971729154</v>
      </c>
      <c r="AW131">
        <f>Sheet1!$AT131*_xlfn.XLOOKUP($A131,'[1]SSP4-change-rate'!$B$2:$B$147,'[1]SSP4-change-rate'!F$2:F$147)</f>
        <v>3242.3601437459324</v>
      </c>
      <c r="AX131">
        <f>Sheet1!$AT131*_xlfn.XLOOKUP($A131,'[1]SSP4-change-rate'!$B$2:$B$147,'[1]SSP4-change-rate'!G$2:G$147)</f>
        <v>2927.3291587032327</v>
      </c>
      <c r="AY131">
        <f>Sheet1!$AT131*_xlfn.XLOOKUP($A131,'[1]SSP4-change-rate'!$B$2:$B$147,'[1]SSP4-change-rate'!H$2:H$147)</f>
        <v>2140.3517919018245</v>
      </c>
    </row>
    <row r="132" spans="1:51" hidden="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f>Sheet1!$AT132*_xlfn.XLOOKUP($A132,'[1]SSP4-change-rate'!$B$2:$B$147,'[1]SSP4-change-rate'!C$2:C$147)</f>
        <v>1143.7267471623863</v>
      </c>
      <c r="AU132">
        <f>Sheet1!$AT132*_xlfn.XLOOKUP($A132,'[1]SSP4-change-rate'!$B$2:$B$147,'[1]SSP4-change-rate'!D$2:D$147)</f>
        <v>1161.0683448775444</v>
      </c>
      <c r="AV132">
        <f>Sheet1!$AT132*_xlfn.XLOOKUP($A132,'[1]SSP4-change-rate'!$B$2:$B$147,'[1]SSP4-change-rate'!E$2:E$147)</f>
        <v>1179.4810507926873</v>
      </c>
      <c r="AW132">
        <f>Sheet1!$AT132*_xlfn.XLOOKUP($A132,'[1]SSP4-change-rate'!$B$2:$B$147,'[1]SSP4-change-rate'!F$2:F$147)</f>
        <v>1205.8375174087364</v>
      </c>
      <c r="AX132">
        <f>Sheet1!$AT132*_xlfn.XLOOKUP($A132,'[1]SSP4-change-rate'!$B$2:$B$147,'[1]SSP4-change-rate'!G$2:G$147)</f>
        <v>1228.2751058517567</v>
      </c>
      <c r="AY132">
        <f>Sheet1!$AT132*_xlfn.XLOOKUP($A132,'[1]SSP4-change-rate'!$B$2:$B$147,'[1]SSP4-change-rate'!H$2:H$147)</f>
        <v>1241.1264018794132</v>
      </c>
    </row>
    <row r="133" spans="1:51" hidden="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f>Sheet1!$AT133*_xlfn.XLOOKUP($A133,'[1]SSP4-change-rate'!$B$2:$B$147,'[1]SSP4-change-rate'!C$2:C$147)</f>
        <v>#N/A</v>
      </c>
      <c r="AU133" t="e">
        <f>Sheet1!$AT133*_xlfn.XLOOKUP($A133,'[1]SSP4-change-rate'!$B$2:$B$147,'[1]SSP4-change-rate'!D$2:D$147)</f>
        <v>#N/A</v>
      </c>
      <c r="AV133" t="e">
        <f>Sheet1!$AT133*_xlfn.XLOOKUP($A133,'[1]SSP4-change-rate'!$B$2:$B$147,'[1]SSP4-change-rate'!E$2:E$147)</f>
        <v>#N/A</v>
      </c>
      <c r="AW133" t="e">
        <f>Sheet1!$AT133*_xlfn.XLOOKUP($A133,'[1]SSP4-change-rate'!$B$2:$B$147,'[1]SSP4-change-rate'!F$2:F$147)</f>
        <v>#N/A</v>
      </c>
      <c r="AX133" t="e">
        <f>Sheet1!$AT133*_xlfn.XLOOKUP($A133,'[1]SSP4-change-rate'!$B$2:$B$147,'[1]SSP4-change-rate'!G$2:G$147)</f>
        <v>#N/A</v>
      </c>
      <c r="AY133" t="e">
        <f>Sheet1!$AT133*_xlfn.XLOOKUP($A133,'[1]SSP4-change-rate'!$B$2:$B$147,'[1]SSP4-change-rate'!H$2:H$147)</f>
        <v>#N/A</v>
      </c>
    </row>
    <row r="134" spans="1:51" hidden="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575.82668250996403</v>
      </c>
      <c r="AU134">
        <v>577.39526804941238</v>
      </c>
      <c r="AV134">
        <v>578.85230177812412</v>
      </c>
      <c r="AW134">
        <v>568.19722170412138</v>
      </c>
      <c r="AX134">
        <v>514.44500780564931</v>
      </c>
      <c r="AY134">
        <v>388.31707271945021</v>
      </c>
    </row>
    <row r="135" spans="1:51" hidden="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f>Sheet1!$AT135*_xlfn.XLOOKUP($A135,'[1]SSP4-change-rate'!$B$2:$B$147,'[1]SSP4-change-rate'!C$2:C$147)</f>
        <v>3190.856274889924</v>
      </c>
      <c r="AU135">
        <f>Sheet1!$AT135*_xlfn.XLOOKUP($A135,'[1]SSP4-change-rate'!$B$2:$B$147,'[1]SSP4-change-rate'!D$2:D$147)</f>
        <v>3164.8084685642916</v>
      </c>
      <c r="AV135">
        <f>Sheet1!$AT135*_xlfn.XLOOKUP($A135,'[1]SSP4-change-rate'!$B$2:$B$147,'[1]SSP4-change-rate'!E$2:E$147)</f>
        <v>3126.52449515424</v>
      </c>
      <c r="AW135">
        <f>Sheet1!$AT135*_xlfn.XLOOKUP($A135,'[1]SSP4-change-rate'!$B$2:$B$147,'[1]SSP4-change-rate'!F$2:F$147)</f>
        <v>3101.5122991930057</v>
      </c>
      <c r="AX135">
        <f>Sheet1!$AT135*_xlfn.XLOOKUP($A135,'[1]SSP4-change-rate'!$B$2:$B$147,'[1]SSP4-change-rate'!G$2:G$147)</f>
        <v>3076.8971222152836</v>
      </c>
      <c r="AY135">
        <f>Sheet1!$AT135*_xlfn.XLOOKUP($A135,'[1]SSP4-change-rate'!$B$2:$B$147,'[1]SSP4-change-rate'!H$2:H$147)</f>
        <v>3052.6695858198877</v>
      </c>
    </row>
    <row r="136" spans="1:51" hidden="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402.7060923678203</v>
      </c>
      <c r="AU136">
        <v>404.89733449835961</v>
      </c>
      <c r="AV136">
        <v>407.73055345274372</v>
      </c>
      <c r="AW136">
        <v>402.8615662837791</v>
      </c>
      <c r="AX136">
        <v>379.58403686715116</v>
      </c>
      <c r="AY136">
        <v>314.56779281450014</v>
      </c>
    </row>
    <row r="137" spans="1:51" hidden="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f>Sheet1!$AT137*_xlfn.XLOOKUP($A137,'[1]SSP4-change-rate'!$B$2:$B$147,'[1]SSP4-change-rate'!C$2:C$147)</f>
        <v>3041.0914821052133</v>
      </c>
      <c r="AU137">
        <f>Sheet1!$AT137*_xlfn.XLOOKUP($A137,'[1]SSP4-change-rate'!$B$2:$B$147,'[1]SSP4-change-rate'!D$2:D$147)</f>
        <v>3028.9464525172234</v>
      </c>
      <c r="AV137">
        <f>Sheet1!$AT137*_xlfn.XLOOKUP($A137,'[1]SSP4-change-rate'!$B$2:$B$147,'[1]SSP4-change-rate'!E$2:E$147)</f>
        <v>3011.1724724192554</v>
      </c>
      <c r="AW137">
        <f>Sheet1!$AT137*_xlfn.XLOOKUP($A137,'[1]SSP4-change-rate'!$B$2:$B$147,'[1]SSP4-change-rate'!F$2:F$147)</f>
        <v>2953.0256936415044</v>
      </c>
      <c r="AX137">
        <f>Sheet1!$AT137*_xlfn.XLOOKUP($A137,'[1]SSP4-change-rate'!$B$2:$B$147,'[1]SSP4-change-rate'!G$2:G$147)</f>
        <v>2875.2594442198588</v>
      </c>
      <c r="AY137">
        <f>Sheet1!$AT137*_xlfn.XLOOKUP($A137,'[1]SSP4-change-rate'!$B$2:$B$147,'[1]SSP4-change-rate'!H$2:H$147)</f>
        <v>2791.6052370427642</v>
      </c>
    </row>
    <row r="138" spans="1:51" hidden="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455.10489377321795</v>
      </c>
      <c r="AU138">
        <v>457.58125317266712</v>
      </c>
      <c r="AV138">
        <v>460.78312132343137</v>
      </c>
      <c r="AW138">
        <v>455.28059744730666</v>
      </c>
      <c r="AX138">
        <v>428.97427193291287</v>
      </c>
      <c r="AY138">
        <v>355.49832656258701</v>
      </c>
    </row>
    <row r="139" spans="1:51" hidden="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f>Sheet1!$AT139*_xlfn.XLOOKUP($A139,'[1]SSP4-change-rate'!$B$2:$B$147,'[1]SSP4-change-rate'!C$2:C$147)</f>
        <v>293.18072044138199</v>
      </c>
      <c r="AU139">
        <f>Sheet1!$AT139*_xlfn.XLOOKUP($A139,'[1]SSP4-change-rate'!$B$2:$B$147,'[1]SSP4-change-rate'!D$2:D$147)</f>
        <v>290.653300437577</v>
      </c>
      <c r="AV139">
        <f>Sheet1!$AT139*_xlfn.XLOOKUP($A139,'[1]SSP4-change-rate'!$B$2:$B$147,'[1]SSP4-change-rate'!E$2:E$147)</f>
        <v>286.36256415204753</v>
      </c>
      <c r="AW139">
        <f>Sheet1!$AT139*_xlfn.XLOOKUP($A139,'[1]SSP4-change-rate'!$B$2:$B$147,'[1]SSP4-change-rate'!F$2:F$147)</f>
        <v>280.27339312635257</v>
      </c>
      <c r="AX139">
        <f>Sheet1!$AT139*_xlfn.XLOOKUP($A139,'[1]SSP4-change-rate'!$B$2:$B$147,'[1]SSP4-change-rate'!G$2:G$147)</f>
        <v>268.00863838328354</v>
      </c>
      <c r="AY139">
        <f>Sheet1!$AT139*_xlfn.XLOOKUP($A139,'[1]SSP4-change-rate'!$B$2:$B$147,'[1]SSP4-change-rate'!H$2:H$147)</f>
        <v>254.41302187062072</v>
      </c>
    </row>
    <row r="140" spans="1:51" hidden="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f>Sheet1!$AT140*_xlfn.XLOOKUP($A140,'[1]SSP4-change-rate'!$B$2:$B$147,'[1]SSP4-change-rate'!C$2:C$147)</f>
        <v>3162.0114299320444</v>
      </c>
      <c r="AU140">
        <f>Sheet1!$AT140*_xlfn.XLOOKUP($A140,'[1]SSP4-change-rate'!$B$2:$B$147,'[1]SSP4-change-rate'!D$2:D$147)</f>
        <v>3152.9269115847133</v>
      </c>
      <c r="AV140">
        <f>Sheet1!$AT140*_xlfn.XLOOKUP($A140,'[1]SSP4-change-rate'!$B$2:$B$147,'[1]SSP4-change-rate'!E$2:E$147)</f>
        <v>3141.3175765443448</v>
      </c>
      <c r="AW140">
        <f>Sheet1!$AT140*_xlfn.XLOOKUP($A140,'[1]SSP4-change-rate'!$B$2:$B$147,'[1]SSP4-change-rate'!F$2:F$147)</f>
        <v>3115.9463033416796</v>
      </c>
      <c r="AX140">
        <f>Sheet1!$AT140*_xlfn.XLOOKUP($A140,'[1]SSP4-change-rate'!$B$2:$B$147,'[1]SSP4-change-rate'!G$2:G$147)</f>
        <v>3083.5812713098976</v>
      </c>
      <c r="AY140">
        <f>Sheet1!$AT140*_xlfn.XLOOKUP($A140,'[1]SSP4-change-rate'!$B$2:$B$147,'[1]SSP4-change-rate'!H$2:H$147)</f>
        <v>3042.0374443889259</v>
      </c>
    </row>
    <row r="141" spans="1:51" hidden="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f>Sheet1!$AT141*_xlfn.XLOOKUP($A141,'[1]SSP4-change-rate'!$B$2:$B$147,'[1]SSP4-change-rate'!C$2:C$147)</f>
        <v>821.11586422362245</v>
      </c>
      <c r="AU141">
        <f>Sheet1!$AT141*_xlfn.XLOOKUP($A141,'[1]SSP4-change-rate'!$B$2:$B$147,'[1]SSP4-change-rate'!D$2:D$147)</f>
        <v>818.84758835560137</v>
      </c>
      <c r="AV141">
        <f>Sheet1!$AT141*_xlfn.XLOOKUP($A141,'[1]SSP4-change-rate'!$B$2:$B$147,'[1]SSP4-change-rate'!E$2:E$147)</f>
        <v>818.92036726045762</v>
      </c>
      <c r="AW141">
        <f>Sheet1!$AT141*_xlfn.XLOOKUP($A141,'[1]SSP4-change-rate'!$B$2:$B$147,'[1]SSP4-change-rate'!F$2:F$147)</f>
        <v>819.05275903713095</v>
      </c>
      <c r="AX141">
        <f>Sheet1!$AT141*_xlfn.XLOOKUP($A141,'[1]SSP4-change-rate'!$B$2:$B$147,'[1]SSP4-change-rate'!G$2:G$147)</f>
        <v>817.27887420388595</v>
      </c>
      <c r="AY141">
        <f>Sheet1!$AT141*_xlfn.XLOOKUP($A141,'[1]SSP4-change-rate'!$B$2:$B$147,'[1]SSP4-change-rate'!H$2:H$147)</f>
        <v>817.56892744511867</v>
      </c>
    </row>
    <row r="142" spans="1:51" hidden="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f>Sheet1!$AT142*_xlfn.XLOOKUP($A142,'[1]SSP4-change-rate'!$B$2:$B$147,'[1]SSP4-change-rate'!C$2:C$147)</f>
        <v>10768.796093369354</v>
      </c>
      <c r="AU142">
        <f>Sheet1!$AT142*_xlfn.XLOOKUP($A142,'[1]SSP4-change-rate'!$B$2:$B$147,'[1]SSP4-change-rate'!D$2:D$147)</f>
        <v>10743.781327901184</v>
      </c>
      <c r="AV142">
        <f>Sheet1!$AT142*_xlfn.XLOOKUP($A142,'[1]SSP4-change-rate'!$B$2:$B$147,'[1]SSP4-change-rate'!E$2:E$147)</f>
        <v>10706.823288537451</v>
      </c>
      <c r="AW142">
        <f>Sheet1!$AT142*_xlfn.XLOOKUP($A142,'[1]SSP4-change-rate'!$B$2:$B$147,'[1]SSP4-change-rate'!F$2:F$147)</f>
        <v>10647.153591749066</v>
      </c>
      <c r="AX142">
        <f>Sheet1!$AT142*_xlfn.XLOOKUP($A142,'[1]SSP4-change-rate'!$B$2:$B$147,'[1]SSP4-change-rate'!G$2:G$147)</f>
        <v>10574.405463483497</v>
      </c>
      <c r="AY142">
        <f>Sheet1!$AT142*_xlfn.XLOOKUP($A142,'[1]SSP4-change-rate'!$B$2:$B$147,'[1]SSP4-change-rate'!H$2:H$147)</f>
        <v>10464.806794772197</v>
      </c>
    </row>
    <row r="143" spans="1:51" hidden="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f>Sheet1!$AT143*_xlfn.XLOOKUP($A143,'[1]SSP4-change-rate'!$B$2:$B$147,'[1]SSP4-change-rate'!C$2:C$147)</f>
        <v>84.426445050927171</v>
      </c>
      <c r="AU143">
        <f>Sheet1!$AT143*_xlfn.XLOOKUP($A143,'[1]SSP4-change-rate'!$B$2:$B$147,'[1]SSP4-change-rate'!D$2:D$147)</f>
        <v>83.042404968125084</v>
      </c>
      <c r="AV143">
        <f>Sheet1!$AT143*_xlfn.XLOOKUP($A143,'[1]SSP4-change-rate'!$B$2:$B$147,'[1]SSP4-change-rate'!E$2:E$147)</f>
        <v>83.107281847006433</v>
      </c>
      <c r="AW143">
        <f>Sheet1!$AT143*_xlfn.XLOOKUP($A143,'[1]SSP4-change-rate'!$B$2:$B$147,'[1]SSP4-change-rate'!F$2:F$147)</f>
        <v>82.014260906614965</v>
      </c>
      <c r="AX143">
        <f>Sheet1!$AT143*_xlfn.XLOOKUP($A143,'[1]SSP4-change-rate'!$B$2:$B$147,'[1]SSP4-change-rate'!G$2:G$147)</f>
        <v>82.204696496955407</v>
      </c>
      <c r="AY143">
        <f>Sheet1!$AT143*_xlfn.XLOOKUP($A143,'[1]SSP4-change-rate'!$B$2:$B$147,'[1]SSP4-change-rate'!H$2:H$147)</f>
        <v>80.357700711123442</v>
      </c>
    </row>
    <row r="144" spans="1:51" hidden="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f>Sheet1!$AT144*_xlfn.XLOOKUP($A144,'[1]SSP4-change-rate'!$B$2:$B$147,'[1]SSP4-change-rate'!C$2:C$147)</f>
        <v>4295.5486168378939</v>
      </c>
      <c r="AU144">
        <f>Sheet1!$AT144*_xlfn.XLOOKUP($A144,'[1]SSP4-change-rate'!$B$2:$B$147,'[1]SSP4-change-rate'!D$2:D$147)</f>
        <v>4351.0490517285261</v>
      </c>
      <c r="AV144">
        <f>Sheet1!$AT144*_xlfn.XLOOKUP($A144,'[1]SSP4-change-rate'!$B$2:$B$147,'[1]SSP4-change-rate'!E$2:E$147)</f>
        <v>4429.4639030318385</v>
      </c>
      <c r="AW144">
        <f>Sheet1!$AT144*_xlfn.XLOOKUP($A144,'[1]SSP4-change-rate'!$B$2:$B$147,'[1]SSP4-change-rate'!F$2:F$147)</f>
        <v>4570.5623441690013</v>
      </c>
      <c r="AX144">
        <f>Sheet1!$AT144*_xlfn.XLOOKUP($A144,'[1]SSP4-change-rate'!$B$2:$B$147,'[1]SSP4-change-rate'!G$2:G$147)</f>
        <v>4757.6619388705994</v>
      </c>
      <c r="AY144">
        <f>Sheet1!$AT144*_xlfn.XLOOKUP($A144,'[1]SSP4-change-rate'!$B$2:$B$147,'[1]SSP4-change-rate'!H$2:H$147)</f>
        <v>4986.5765604108019</v>
      </c>
    </row>
    <row r="145" spans="1:51" hidden="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f>Sheet1!$AT145*_xlfn.XLOOKUP($A145,'[1]SSP4-change-rate'!$B$2:$B$147,'[1]SSP4-change-rate'!C$2:C$147)</f>
        <v>552.53468507671971</v>
      </c>
      <c r="AU145">
        <f>Sheet1!$AT145*_xlfn.XLOOKUP($A145,'[1]SSP4-change-rate'!$B$2:$B$147,'[1]SSP4-change-rate'!D$2:D$147)</f>
        <v>561.59263073371505</v>
      </c>
      <c r="AV145">
        <f>Sheet1!$AT145*_xlfn.XLOOKUP($A145,'[1]SSP4-change-rate'!$B$2:$B$147,'[1]SSP4-change-rate'!E$2:E$147)</f>
        <v>561.59263073371505</v>
      </c>
      <c r="AW145">
        <f>Sheet1!$AT145*_xlfn.XLOOKUP($A145,'[1]SSP4-change-rate'!$B$2:$B$147,'[1]SSP4-change-rate'!F$2:F$147)</f>
        <v>561.59263073371505</v>
      </c>
      <c r="AX145">
        <f>Sheet1!$AT145*_xlfn.XLOOKUP($A145,'[1]SSP4-change-rate'!$B$2:$B$147,'[1]SSP4-change-rate'!G$2:G$147)</f>
        <v>542.22736760496628</v>
      </c>
      <c r="AY145">
        <f>Sheet1!$AT145*_xlfn.XLOOKUP($A145,'[1]SSP4-change-rate'!$B$2:$B$147,'[1]SSP4-change-rate'!H$2:H$147)</f>
        <v>484.30924118320377</v>
      </c>
    </row>
    <row r="146" spans="1:51" hidden="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f>Sheet1!$AT146*_xlfn.XLOOKUP($A146,'[1]SSP4-change-rate'!$B$2:$B$147,'[1]SSP4-change-rate'!C$2:C$147)</f>
        <v>772.89171531314719</v>
      </c>
      <c r="AU146">
        <f>Sheet1!$AT146*_xlfn.XLOOKUP($A146,'[1]SSP4-change-rate'!$B$2:$B$147,'[1]SSP4-change-rate'!D$2:D$147)</f>
        <v>772.89171531314719</v>
      </c>
      <c r="AV146">
        <f>Sheet1!$AT146*_xlfn.XLOOKUP($A146,'[1]SSP4-change-rate'!$B$2:$B$147,'[1]SSP4-change-rate'!E$2:E$147)</f>
        <v>785.3577107214237</v>
      </c>
      <c r="AW146">
        <f>Sheet1!$AT146*_xlfn.XLOOKUP($A146,'[1]SSP4-change-rate'!$B$2:$B$147,'[1]SSP4-change-rate'!F$2:F$147)</f>
        <v>795.62382458706315</v>
      </c>
      <c r="AX146">
        <f>Sheet1!$AT146*_xlfn.XLOOKUP($A146,'[1]SSP4-change-rate'!$B$2:$B$147,'[1]SSP4-change-rate'!G$2:G$147)</f>
        <v>799.00292191156427</v>
      </c>
      <c r="AY146">
        <f>Sheet1!$AT146*_xlfn.XLOOKUP($A146,'[1]SSP4-change-rate'!$B$2:$B$147,'[1]SSP4-change-rate'!H$2:H$147)</f>
        <v>797.04458141668306</v>
      </c>
    </row>
    <row r="147" spans="1:51" hidden="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f>Sheet1!$AT147*_xlfn.XLOOKUP($A147,'[1]SSP4-change-rate'!$B$2:$B$147,'[1]SSP4-change-rate'!C$2:C$147)</f>
        <v>11155.003483387796</v>
      </c>
      <c r="AU147">
        <f>Sheet1!$AT147*_xlfn.XLOOKUP($A147,'[1]SSP4-change-rate'!$B$2:$B$147,'[1]SSP4-change-rate'!D$2:D$147)</f>
        <v>11101.289220976316</v>
      </c>
      <c r="AV147">
        <f>Sheet1!$AT147*_xlfn.XLOOKUP($A147,'[1]SSP4-change-rate'!$B$2:$B$147,'[1]SSP4-change-rate'!E$2:E$147)</f>
        <v>11028.550106001625</v>
      </c>
      <c r="AW147">
        <f>Sheet1!$AT147*_xlfn.XLOOKUP($A147,'[1]SSP4-change-rate'!$B$2:$B$147,'[1]SSP4-change-rate'!F$2:F$147)</f>
        <v>10821.223195898125</v>
      </c>
      <c r="AX147">
        <f>Sheet1!$AT147*_xlfn.XLOOKUP($A147,'[1]SSP4-change-rate'!$B$2:$B$147,'[1]SSP4-change-rate'!G$2:G$147)</f>
        <v>10511.876992423608</v>
      </c>
      <c r="AY147">
        <f>Sheet1!$AT147*_xlfn.XLOOKUP($A147,'[1]SSP4-change-rate'!$B$2:$B$147,'[1]SSP4-change-rate'!H$2:H$147)</f>
        <v>10082.866311736107</v>
      </c>
    </row>
    <row r="148" spans="1:51" hidden="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f>Sheet1!$AT148*_xlfn.XLOOKUP($A148,'[1]SSP4-change-rate'!$B$2:$B$147,'[1]SSP4-change-rate'!C$2:C$147)</f>
        <v>608.39406791615784</v>
      </c>
      <c r="AU148">
        <f>Sheet1!$AT148*_xlfn.XLOOKUP($A148,'[1]SSP4-change-rate'!$B$2:$B$147,'[1]SSP4-change-rate'!D$2:D$147)</f>
        <v>541.00445163934717</v>
      </c>
      <c r="AV148">
        <f>Sheet1!$AT148*_xlfn.XLOOKUP($A148,'[1]SSP4-change-rate'!$B$2:$B$147,'[1]SSP4-change-rate'!E$2:E$147)</f>
        <v>505.17740796652157</v>
      </c>
      <c r="AW148">
        <f>Sheet1!$AT148*_xlfn.XLOOKUP($A148,'[1]SSP4-change-rate'!$B$2:$B$147,'[1]SSP4-change-rate'!F$2:F$147)</f>
        <v>476.29287057041643</v>
      </c>
      <c r="AX148">
        <f>Sheet1!$AT148*_xlfn.XLOOKUP($A148,'[1]SSP4-change-rate'!$B$2:$B$147,'[1]SSP4-change-rate'!G$2:G$147)</f>
        <v>586.48756408095051</v>
      </c>
      <c r="AY148">
        <f>Sheet1!$AT148*_xlfn.XLOOKUP($A148,'[1]SSP4-change-rate'!$B$2:$B$147,'[1]SSP4-change-rate'!H$2:H$147)</f>
        <v>672.61409526840453</v>
      </c>
    </row>
    <row r="149" spans="1:51" hidden="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f>Sheet1!$AT149*_xlfn.XLOOKUP($A149,'[1]SSP4-change-rate'!$B$2:$B$147,'[1]SSP4-change-rate'!C$2:C$147)</f>
        <v>1051.0342830368645</v>
      </c>
      <c r="AU149">
        <f>Sheet1!$AT149*_xlfn.XLOOKUP($A149,'[1]SSP4-change-rate'!$B$2:$B$147,'[1]SSP4-change-rate'!D$2:D$147)</f>
        <v>1043.2473067915453</v>
      </c>
      <c r="AV149">
        <f>Sheet1!$AT149*_xlfn.XLOOKUP($A149,'[1]SSP4-change-rate'!$B$2:$B$147,'[1]SSP4-change-rate'!E$2:E$147)</f>
        <v>1032.1711951021534</v>
      </c>
      <c r="AW149">
        <f>Sheet1!$AT149*_xlfn.XLOOKUP($A149,'[1]SSP4-change-rate'!$B$2:$B$147,'[1]SSP4-change-rate'!F$2:F$147)</f>
        <v>999.44044657524876</v>
      </c>
      <c r="AX149">
        <f>Sheet1!$AT149*_xlfn.XLOOKUP($A149,'[1]SSP4-change-rate'!$B$2:$B$147,'[1]SSP4-change-rate'!G$2:G$147)</f>
        <v>961.91890549217362</v>
      </c>
      <c r="AY149">
        <f>Sheet1!$AT149*_xlfn.XLOOKUP($A149,'[1]SSP4-change-rate'!$B$2:$B$147,'[1]SSP4-change-rate'!H$2:H$147)</f>
        <v>923.00647034897884</v>
      </c>
    </row>
    <row r="150" spans="1:51" hidden="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f>Sheet1!$AT150*_xlfn.XLOOKUP($A150,'[1]SSP4-change-rate'!$B$2:$B$147,'[1]SSP4-change-rate'!C$2:C$147)</f>
        <v>2715.0009594398243</v>
      </c>
      <c r="AU150">
        <f>Sheet1!$AT150*_xlfn.XLOOKUP($A150,'[1]SSP4-change-rate'!$B$2:$B$147,'[1]SSP4-change-rate'!D$2:D$147)</f>
        <v>2699.0795717744986</v>
      </c>
      <c r="AV150">
        <f>Sheet1!$AT150*_xlfn.XLOOKUP($A150,'[1]SSP4-change-rate'!$B$2:$B$147,'[1]SSP4-change-rate'!E$2:E$147)</f>
        <v>2678.8050868672044</v>
      </c>
      <c r="AW150">
        <f>Sheet1!$AT150*_xlfn.XLOOKUP($A150,'[1]SSP4-change-rate'!$B$2:$B$147,'[1]SSP4-change-rate'!F$2:F$147)</f>
        <v>2634.42019168655</v>
      </c>
      <c r="AX150">
        <f>Sheet1!$AT150*_xlfn.XLOOKUP($A150,'[1]SSP4-change-rate'!$B$2:$B$147,'[1]SSP4-change-rate'!G$2:G$147)</f>
        <v>2572.3098859906677</v>
      </c>
      <c r="AY150">
        <f>Sheet1!$AT150*_xlfn.XLOOKUP($A150,'[1]SSP4-change-rate'!$B$2:$B$147,'[1]SSP4-change-rate'!H$2:H$147)</f>
        <v>2497.4397186296264</v>
      </c>
    </row>
    <row r="151" spans="1:51" hidden="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f>Sheet1!$AT151*_xlfn.XLOOKUP($A151,'[1]SSP4-change-rate'!$B$2:$B$147,'[1]SSP4-change-rate'!C$2:C$147)</f>
        <v>20445.39673865748</v>
      </c>
      <c r="AU151">
        <f>Sheet1!$AT151*_xlfn.XLOOKUP($A151,'[1]SSP4-change-rate'!$B$2:$B$147,'[1]SSP4-change-rate'!D$2:D$147)</f>
        <v>20363.977444423352</v>
      </c>
      <c r="AV151">
        <f>Sheet1!$AT151*_xlfn.XLOOKUP($A151,'[1]SSP4-change-rate'!$B$2:$B$147,'[1]SSP4-change-rate'!E$2:E$147)</f>
        <v>20248.544510264652</v>
      </c>
      <c r="AW151">
        <f>Sheet1!$AT151*_xlfn.XLOOKUP($A151,'[1]SSP4-change-rate'!$B$2:$B$147,'[1]SSP4-change-rate'!F$2:F$147)</f>
        <v>19873.393693288086</v>
      </c>
      <c r="AX151">
        <f>Sheet1!$AT151*_xlfn.XLOOKUP($A151,'[1]SSP4-change-rate'!$B$2:$B$147,'[1]SSP4-change-rate'!G$2:G$147)</f>
        <v>19307.336143374225</v>
      </c>
      <c r="AY151">
        <f>Sheet1!$AT151*_xlfn.XLOOKUP($A151,'[1]SSP4-change-rate'!$B$2:$B$147,'[1]SSP4-change-rate'!H$2:H$147)</f>
        <v>18526.930404496819</v>
      </c>
    </row>
    <row r="152" spans="1:51" hidden="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7359.2226001267973</v>
      </c>
      <c r="AU152">
        <v>7289.6770539809049</v>
      </c>
      <c r="AV152">
        <v>7205.7087293391769</v>
      </c>
      <c r="AW152">
        <v>7004.9652441135659</v>
      </c>
      <c r="AX152">
        <v>6784.6516611141906</v>
      </c>
      <c r="AY152">
        <v>6555.1804620947541</v>
      </c>
    </row>
    <row r="153" spans="1:51" hidden="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f>Sheet1!$AT153*_xlfn.XLOOKUP($A153,'[1]SSP4-change-rate'!$B$2:$B$147,'[1]SSP4-change-rate'!C$2:C$147)</f>
        <v>2833.1911780123337</v>
      </c>
      <c r="AU153">
        <f>Sheet1!$AT153*_xlfn.XLOOKUP($A153,'[1]SSP4-change-rate'!$B$2:$B$147,'[1]SSP4-change-rate'!D$2:D$147)</f>
        <v>2874.2386606353057</v>
      </c>
      <c r="AV153">
        <f>Sheet1!$AT153*_xlfn.XLOOKUP($A153,'[1]SSP4-change-rate'!$B$2:$B$147,'[1]SSP4-change-rate'!E$2:E$147)</f>
        <v>2928.8504443132611</v>
      </c>
      <c r="AW153">
        <f>Sheet1!$AT153*_xlfn.XLOOKUP($A153,'[1]SSP4-change-rate'!$B$2:$B$147,'[1]SSP4-change-rate'!F$2:F$147)</f>
        <v>3033.616323476454</v>
      </c>
      <c r="AX153">
        <f>Sheet1!$AT153*_xlfn.XLOOKUP($A153,'[1]SSP4-change-rate'!$B$2:$B$147,'[1]SSP4-change-rate'!G$2:G$147)</f>
        <v>3149.701634416243</v>
      </c>
      <c r="AY153">
        <f>Sheet1!$AT153*_xlfn.XLOOKUP($A153,'[1]SSP4-change-rate'!$B$2:$B$147,'[1]SSP4-change-rate'!H$2:H$147)</f>
        <v>3255.355657620772</v>
      </c>
    </row>
    <row r="154" spans="1:51" hidden="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f>Sheet1!$AT154*_xlfn.XLOOKUP($A154,'[1]SSP4-change-rate'!$B$2:$B$147,'[1]SSP4-change-rate'!C$2:C$147)</f>
        <v>1591.2208717932706</v>
      </c>
      <c r="AU154">
        <f>Sheet1!$AT154*_xlfn.XLOOKUP($A154,'[1]SSP4-change-rate'!$B$2:$B$147,'[1]SSP4-change-rate'!D$2:D$147)</f>
        <v>1614.2093002609167</v>
      </c>
      <c r="AV154">
        <f>Sheet1!$AT154*_xlfn.XLOOKUP($A154,'[1]SSP4-change-rate'!$B$2:$B$147,'[1]SSP4-change-rate'!E$2:E$147)</f>
        <v>1653.2164901748267</v>
      </c>
      <c r="AW154">
        <f>Sheet1!$AT154*_xlfn.XLOOKUP($A154,'[1]SSP4-change-rate'!$B$2:$B$147,'[1]SSP4-change-rate'!F$2:F$147)</f>
        <v>1708.8495915518799</v>
      </c>
      <c r="AX154">
        <f>Sheet1!$AT154*_xlfn.XLOOKUP($A154,'[1]SSP4-change-rate'!$B$2:$B$147,'[1]SSP4-change-rate'!G$2:G$147)</f>
        <v>1756.585024319859</v>
      </c>
      <c r="AY154">
        <f>Sheet1!$AT154*_xlfn.XLOOKUP($A154,'[1]SSP4-change-rate'!$B$2:$B$147,'[1]SSP4-change-rate'!H$2:H$147)</f>
        <v>1696.4255575316686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f>Sheet1!$AT155*_xlfn.XLOOKUP($A155,'[1]SSP4-change-rate'!$B$2:$B$147,'[1]SSP4-change-rate'!C$2:C$147)</f>
        <v>27210.186892155212</v>
      </c>
      <c r="AU155">
        <f>Sheet1!$AT155*_xlfn.XLOOKUP($A155,'[1]SSP4-change-rate'!$B$2:$B$147,'[1]SSP4-change-rate'!D$2:D$147)</f>
        <v>27125.376449586256</v>
      </c>
      <c r="AV155">
        <f>Sheet1!$AT155*_xlfn.XLOOKUP($A155,'[1]SSP4-change-rate'!$B$2:$B$147,'[1]SSP4-change-rate'!E$2:E$147)</f>
        <v>27020.607643754021</v>
      </c>
      <c r="AW155">
        <f>Sheet1!$AT155*_xlfn.XLOOKUP($A155,'[1]SSP4-change-rate'!$B$2:$B$147,'[1]SSP4-change-rate'!F$2:F$147)</f>
        <v>26582.410286174356</v>
      </c>
      <c r="AX155">
        <f>Sheet1!$AT155*_xlfn.XLOOKUP($A155,'[1]SSP4-change-rate'!$B$2:$B$147,'[1]SSP4-change-rate'!G$2:G$147)</f>
        <v>26005.280055925574</v>
      </c>
      <c r="AY155">
        <f>Sheet1!$AT155*_xlfn.XLOOKUP($A155,'[1]SSP4-change-rate'!$B$2:$B$147,'[1]SSP4-change-rate'!H$2:H$147)</f>
        <v>25266.805669112844</v>
      </c>
    </row>
    <row r="156" spans="1:51" hidden="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f>Sheet1!$AT156*_xlfn.XLOOKUP($A156,'[1]SSP4-change-rate'!$B$2:$B$147,'[1]SSP4-change-rate'!C$2:C$147)</f>
        <v>1019.0144790871595</v>
      </c>
      <c r="AU156">
        <f>Sheet1!$AT156*_xlfn.XLOOKUP($A156,'[1]SSP4-change-rate'!$B$2:$B$147,'[1]SSP4-change-rate'!D$2:D$147)</f>
        <v>1015.4897494057859</v>
      </c>
      <c r="AV156">
        <f>Sheet1!$AT156*_xlfn.XLOOKUP($A156,'[1]SSP4-change-rate'!$B$2:$B$147,'[1]SSP4-change-rate'!E$2:E$147)</f>
        <v>1008.6725029357085</v>
      </c>
      <c r="AW156">
        <f>Sheet1!$AT156*_xlfn.XLOOKUP($A156,'[1]SSP4-change-rate'!$B$2:$B$147,'[1]SSP4-change-rate'!F$2:F$147)</f>
        <v>993.39878866070933</v>
      </c>
      <c r="AX156">
        <f>Sheet1!$AT156*_xlfn.XLOOKUP($A156,'[1]SSP4-change-rate'!$B$2:$B$147,'[1]SSP4-change-rate'!G$2:G$147)</f>
        <v>974.52480727865395</v>
      </c>
      <c r="AY156">
        <f>Sheet1!$AT156*_xlfn.XLOOKUP($A156,'[1]SSP4-change-rate'!$B$2:$B$147,'[1]SSP4-change-rate'!H$2:H$147)</f>
        <v>953.11788159575474</v>
      </c>
    </row>
    <row r="157" spans="1:51" hidden="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f>Sheet1!$AT157*_xlfn.XLOOKUP($A157,'[1]SSP4-change-rate'!$B$2:$B$147,'[1]SSP4-change-rate'!C$2:C$147)</f>
        <v>549303.59724160191</v>
      </c>
      <c r="AU157">
        <f>Sheet1!$AT157*_xlfn.XLOOKUP($A157,'[1]SSP4-change-rate'!$B$2:$B$147,'[1]SSP4-change-rate'!D$2:D$147)</f>
        <v>546540.20313393895</v>
      </c>
      <c r="AV157">
        <f>Sheet1!$AT157*_xlfn.XLOOKUP($A157,'[1]SSP4-change-rate'!$B$2:$B$147,'[1]SSP4-change-rate'!E$2:E$147)</f>
        <v>542673.21950375452</v>
      </c>
      <c r="AW157">
        <f>Sheet1!$AT157*_xlfn.XLOOKUP($A157,'[1]SSP4-change-rate'!$B$2:$B$147,'[1]SSP4-change-rate'!F$2:F$147)</f>
        <v>534678.22681696666</v>
      </c>
      <c r="AX157">
        <f>Sheet1!$AT157*_xlfn.XLOOKUP($A157,'[1]SSP4-change-rate'!$B$2:$B$147,'[1]SSP4-change-rate'!G$2:G$147)</f>
        <v>524492.4662290765</v>
      </c>
      <c r="AY157">
        <f>Sheet1!$AT157*_xlfn.XLOOKUP($A157,'[1]SSP4-change-rate'!$B$2:$B$147,'[1]SSP4-change-rate'!H$2:H$147)</f>
        <v>512225.16273616446</v>
      </c>
    </row>
    <row r="158" spans="1:51" hidden="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f>Sheet1!$AT158*_xlfn.XLOOKUP($A158,'[1]SSP4-change-rate'!$B$2:$B$147,'[1]SSP4-change-rate'!C$2:C$147)</f>
        <v>7096.6947562995892</v>
      </c>
      <c r="AU158">
        <f>Sheet1!$AT158*_xlfn.XLOOKUP($A158,'[1]SSP4-change-rate'!$B$2:$B$147,'[1]SSP4-change-rate'!D$2:D$147)</f>
        <v>7005.0600636577892</v>
      </c>
      <c r="AV158">
        <f>Sheet1!$AT158*_xlfn.XLOOKUP($A158,'[1]SSP4-change-rate'!$B$2:$B$147,'[1]SSP4-change-rate'!E$2:E$147)</f>
        <v>6905.871905828466</v>
      </c>
      <c r="AW158">
        <f>Sheet1!$AT158*_xlfn.XLOOKUP($A158,'[1]SSP4-change-rate'!$B$2:$B$147,'[1]SSP4-change-rate'!F$2:F$147)</f>
        <v>6378.1620926298356</v>
      </c>
      <c r="AX158">
        <f>Sheet1!$AT158*_xlfn.XLOOKUP($A158,'[1]SSP4-change-rate'!$B$2:$B$147,'[1]SSP4-change-rate'!G$2:G$147)</f>
        <v>6147.5121330850925</v>
      </c>
      <c r="AY158">
        <f>Sheet1!$AT158*_xlfn.XLOOKUP($A158,'[1]SSP4-change-rate'!$B$2:$B$147,'[1]SSP4-change-rate'!H$2:H$147)</f>
        <v>6059.9145367183064</v>
      </c>
    </row>
    <row r="159" spans="1:51" hidden="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f>Sheet1!$AT159*_xlfn.XLOOKUP($A159,'[1]SSP4-change-rate'!$B$2:$B$147,'[1]SSP4-change-rate'!C$2:C$147)</f>
        <v>11736.055479313678</v>
      </c>
      <c r="AU159">
        <f>Sheet1!$AT159*_xlfn.XLOOKUP($A159,'[1]SSP4-change-rate'!$B$2:$B$147,'[1]SSP4-change-rate'!D$2:D$147)</f>
        <v>11666.487670363356</v>
      </c>
      <c r="AV159">
        <f>Sheet1!$AT159*_xlfn.XLOOKUP($A159,'[1]SSP4-change-rate'!$B$2:$B$147,'[1]SSP4-change-rate'!E$2:E$147)</f>
        <v>11569.844974246151</v>
      </c>
      <c r="AW159">
        <f>Sheet1!$AT159*_xlfn.XLOOKUP($A159,'[1]SSP4-change-rate'!$B$2:$B$147,'[1]SSP4-change-rate'!F$2:F$147)</f>
        <v>11287.930100060279</v>
      </c>
      <c r="AX159">
        <f>Sheet1!$AT159*_xlfn.XLOOKUP($A159,'[1]SSP4-change-rate'!$B$2:$B$147,'[1]SSP4-change-rate'!G$2:G$147)</f>
        <v>10880.104761546079</v>
      </c>
      <c r="AY159">
        <f>Sheet1!$AT159*_xlfn.XLOOKUP($A159,'[1]SSP4-change-rate'!$B$2:$B$147,'[1]SSP4-change-rate'!H$2:H$147)</f>
        <v>10299.751017391478</v>
      </c>
    </row>
    <row r="160" spans="1:51" hidden="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f>Sheet1!$AT160*_xlfn.XLOOKUP($A160,'[1]SSP4-change-rate'!$B$2:$B$147,'[1]SSP4-change-rate'!C$2:C$147)</f>
        <v>16374.646317931951</v>
      </c>
      <c r="AU160">
        <f>Sheet1!$AT160*_xlfn.XLOOKUP($A160,'[1]SSP4-change-rate'!$B$2:$B$147,'[1]SSP4-change-rate'!D$2:D$147)</f>
        <v>16242.342071032495</v>
      </c>
      <c r="AV160">
        <f>Sheet1!$AT160*_xlfn.XLOOKUP($A160,'[1]SSP4-change-rate'!$B$2:$B$147,'[1]SSP4-change-rate'!E$2:E$147)</f>
        <v>16095.934157829062</v>
      </c>
      <c r="AW160">
        <f>Sheet1!$AT160*_xlfn.XLOOKUP($A160,'[1]SSP4-change-rate'!$B$2:$B$147,'[1]SSP4-change-rate'!F$2:F$147)</f>
        <v>15534.158407279194</v>
      </c>
      <c r="AX160">
        <f>Sheet1!$AT160*_xlfn.XLOOKUP($A160,'[1]SSP4-change-rate'!$B$2:$B$147,'[1]SSP4-change-rate'!G$2:G$147)</f>
        <v>14860.251635446686</v>
      </c>
      <c r="AY160">
        <f>Sheet1!$AT160*_xlfn.XLOOKUP($A160,'[1]SSP4-change-rate'!$B$2:$B$147,'[1]SSP4-change-rate'!H$2:H$147)</f>
        <v>14184.35416588061</v>
      </c>
    </row>
    <row r="161" spans="1:51" hidden="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1133.6669730639851</v>
      </c>
      <c r="AU161">
        <v>1130.9363885192965</v>
      </c>
      <c r="AV161">
        <v>1126.9636831513815</v>
      </c>
      <c r="AW161">
        <v>1116.7954413985185</v>
      </c>
      <c r="AX161">
        <v>1102.4425736533171</v>
      </c>
      <c r="AY161">
        <v>1084.2736469067711</v>
      </c>
    </row>
    <row r="162" spans="1:51" hidden="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f>Sheet1!$AT162*_xlfn.XLOOKUP($A162,'[1]SSP4-change-rate'!$B$2:$B$147,'[1]SSP4-change-rate'!C$2:C$147)</f>
        <v>1184.3258716484272</v>
      </c>
      <c r="AU162">
        <f>Sheet1!$AT162*_xlfn.XLOOKUP($A162,'[1]SSP4-change-rate'!$B$2:$B$147,'[1]SSP4-change-rate'!D$2:D$147)</f>
        <v>1171.6356170993979</v>
      </c>
      <c r="AV162">
        <f>Sheet1!$AT162*_xlfn.XLOOKUP($A162,'[1]SSP4-change-rate'!$B$2:$B$147,'[1]SSP4-change-rate'!E$2:E$147)</f>
        <v>1157.9697685883386</v>
      </c>
      <c r="AW162">
        <f>Sheet1!$AT162*_xlfn.XLOOKUP($A162,'[1]SSP4-change-rate'!$B$2:$B$147,'[1]SSP4-change-rate'!F$2:F$147)</f>
        <v>955.35495129286653</v>
      </c>
      <c r="AX162">
        <f>Sheet1!$AT162*_xlfn.XLOOKUP($A162,'[1]SSP4-change-rate'!$B$2:$B$147,'[1]SSP4-change-rate'!G$2:G$147)</f>
        <v>714.8844771751194</v>
      </c>
      <c r="AY162">
        <f>Sheet1!$AT162*_xlfn.XLOOKUP($A162,'[1]SSP4-change-rate'!$B$2:$B$147,'[1]SSP4-change-rate'!H$2:H$147)</f>
        <v>563.43597125712824</v>
      </c>
    </row>
    <row r="163" spans="1:51" hidden="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f>Sheet1!$AT163*_xlfn.XLOOKUP($A163,'[1]SSP4-change-rate'!$B$2:$B$147,'[1]SSP4-change-rate'!C$2:C$147)</f>
        <v>14408.939168286945</v>
      </c>
      <c r="AU163">
        <f>Sheet1!$AT163*_xlfn.XLOOKUP($A163,'[1]SSP4-change-rate'!$B$2:$B$147,'[1]SSP4-change-rate'!D$2:D$147)</f>
        <v>14302.477238550111</v>
      </c>
      <c r="AV163">
        <f>Sheet1!$AT163*_xlfn.XLOOKUP($A163,'[1]SSP4-change-rate'!$B$2:$B$147,'[1]SSP4-change-rate'!E$2:E$147)</f>
        <v>14154.790142864105</v>
      </c>
      <c r="AW163">
        <f>Sheet1!$AT163*_xlfn.XLOOKUP($A163,'[1]SSP4-change-rate'!$B$2:$B$147,'[1]SSP4-change-rate'!F$2:F$147)</f>
        <v>13788.209478078219</v>
      </c>
      <c r="AX163">
        <f>Sheet1!$AT163*_xlfn.XLOOKUP($A163,'[1]SSP4-change-rate'!$B$2:$B$147,'[1]SSP4-change-rate'!G$2:G$147)</f>
        <v>13325.739558745918</v>
      </c>
      <c r="AY163">
        <f>Sheet1!$AT163*_xlfn.XLOOKUP($A163,'[1]SSP4-change-rate'!$B$2:$B$147,'[1]SSP4-change-rate'!H$2:H$147)</f>
        <v>12810.048449830718</v>
      </c>
    </row>
    <row r="164" spans="1:51" hidden="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f>Sheet1!$AT164*_xlfn.XLOOKUP($A164,'[1]SSP4-change-rate'!$B$2:$B$147,'[1]SSP4-change-rate'!C$2:C$147)</f>
        <v>2091.6074765131589</v>
      </c>
      <c r="AU164">
        <f>Sheet1!$AT164*_xlfn.XLOOKUP($A164,'[1]SSP4-change-rate'!$B$2:$B$147,'[1]SSP4-change-rate'!D$2:D$147)</f>
        <v>2109.658795463255</v>
      </c>
      <c r="AV164">
        <f>Sheet1!$AT164*_xlfn.XLOOKUP($A164,'[1]SSP4-change-rate'!$B$2:$B$147,'[1]SSP4-change-rate'!E$2:E$147)</f>
        <v>2138.2086368349496</v>
      </c>
      <c r="AW164">
        <f>Sheet1!$AT164*_xlfn.XLOOKUP($A164,'[1]SSP4-change-rate'!$B$2:$B$147,'[1]SSP4-change-rate'!F$2:F$147)</f>
        <v>2154.8923332542086</v>
      </c>
      <c r="AX164">
        <f>Sheet1!$AT164*_xlfn.XLOOKUP($A164,'[1]SSP4-change-rate'!$B$2:$B$147,'[1]SSP4-change-rate'!G$2:G$147)</f>
        <v>2032.1899662826479</v>
      </c>
      <c r="AY164">
        <f>Sheet1!$AT164*_xlfn.XLOOKUP($A164,'[1]SSP4-change-rate'!$B$2:$B$147,'[1]SSP4-change-rate'!H$2:H$147)</f>
        <v>1575.5030109504339</v>
      </c>
    </row>
    <row r="165" spans="1:51" hidden="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2283.254633850921</v>
      </c>
      <c r="AU165">
        <v>2295.8441151622928</v>
      </c>
      <c r="AV165">
        <v>2311.6577157444499</v>
      </c>
      <c r="AW165">
        <v>2322.4029153159204</v>
      </c>
      <c r="AX165">
        <v>2284.0646134580707</v>
      </c>
      <c r="AY165">
        <v>2131.6490428345519</v>
      </c>
    </row>
    <row r="167" spans="1:51" x14ac:dyDescent="0.25">
      <c r="AS167">
        <f>AS93+AS155</f>
        <v>26777.54193563521</v>
      </c>
      <c r="AT167">
        <f t="shared" ref="AT167:AY167" si="0">AT93+AT155</f>
        <v>28134.893409680426</v>
      </c>
      <c r="AU167">
        <f t="shared" si="0"/>
        <v>28030.095415747612</v>
      </c>
      <c r="AV167">
        <f t="shared" si="0"/>
        <v>27915.64110016757</v>
      </c>
      <c r="AW167">
        <f t="shared" si="0"/>
        <v>27453.503079550217</v>
      </c>
      <c r="AX167">
        <f t="shared" si="0"/>
        <v>26863.543295356209</v>
      </c>
      <c r="AY167">
        <f t="shared" si="0"/>
        <v>26125.068908543479</v>
      </c>
    </row>
    <row r="168" spans="1:51" x14ac:dyDescent="0.25">
      <c r="AT168">
        <f>1+(AT167-$AS$167)/$AS$167</f>
        <v>1.0506899205800093</v>
      </c>
      <c r="AU168">
        <f t="shared" ref="AU168:AY168" si="1">1+(AU167-$AS$167)/$AS$167</f>
        <v>1.046776268080287</v>
      </c>
      <c r="AV168">
        <f t="shared" si="1"/>
        <v>1.042502002882415</v>
      </c>
      <c r="AW168">
        <f t="shared" si="1"/>
        <v>1.0252435845508077</v>
      </c>
      <c r="AX168">
        <f t="shared" si="1"/>
        <v>1.0032116973218721</v>
      </c>
      <c r="AY168">
        <f t="shared" si="1"/>
        <v>0.97563357276556328</v>
      </c>
    </row>
    <row r="170" spans="1:51" x14ac:dyDescent="0.25">
      <c r="AS170">
        <f>AS20</f>
        <v>2930.091934086965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187F-A203-4F42-804A-A0ED8B26863B}">
  <dimension ref="A1:AY165"/>
  <sheetViews>
    <sheetView showGridLines="0" workbookViewId="0">
      <selection activeCell="AU7" sqref="AU7"/>
    </sheetView>
  </sheetViews>
  <sheetFormatPr defaultRowHeight="15" x14ac:dyDescent="0.25"/>
  <cols>
    <col min="12" max="44" width="0" hidden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1870</v>
      </c>
      <c r="L1">
        <v>1880</v>
      </c>
      <c r="M1">
        <v>1890</v>
      </c>
      <c r="N1">
        <v>1900</v>
      </c>
      <c r="O1">
        <v>1910</v>
      </c>
      <c r="P1">
        <v>1920</v>
      </c>
      <c r="Q1">
        <v>1930</v>
      </c>
      <c r="R1">
        <v>1940</v>
      </c>
      <c r="S1">
        <v>1950</v>
      </c>
      <c r="T1">
        <v>1960</v>
      </c>
      <c r="U1">
        <v>1970</v>
      </c>
      <c r="V1">
        <v>1980</v>
      </c>
      <c r="W1">
        <v>1990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2020</v>
      </c>
      <c r="AU1">
        <v>2024</v>
      </c>
      <c r="AV1">
        <v>2030</v>
      </c>
      <c r="AW1">
        <v>2040</v>
      </c>
      <c r="AX1">
        <v>2050</v>
      </c>
      <c r="AY1">
        <v>2060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 t="e">
        <f>Sheet1!$AT2*_xlfn.XLOOKUP($A2,'[1]SSP4-change-rate'!$B$2:$B$147,'[1]SSP4-change-rate'!C$2:C$147)</f>
        <v>#N/A</v>
      </c>
      <c r="AU2" t="e">
        <f>Sheet1!$AT2*_xlfn.XLOOKUP($A2,'[1]SSP4-change-rate'!$B$2:$B$147,'[1]SSP4-change-rate'!D$2:D$147)</f>
        <v>#N/A</v>
      </c>
      <c r="AV2" t="e">
        <f>Sheet1!$AT2*_xlfn.XLOOKUP($A2,'[1]SSP4-change-rate'!$B$2:$B$147,'[1]SSP4-change-rate'!E$2:E$147)</f>
        <v>#N/A</v>
      </c>
      <c r="AW2" t="e">
        <f>Sheet1!$AT2*_xlfn.XLOOKUP($A2,'[1]SSP4-change-rate'!$B$2:$B$147,'[1]SSP4-change-rate'!F$2:F$147)</f>
        <v>#N/A</v>
      </c>
      <c r="AX2" t="e">
        <f>Sheet1!$AT2*_xlfn.XLOOKUP($A2,'[1]SSP4-change-rate'!$B$2:$B$147,'[1]SSP4-change-rate'!G$2:G$147)</f>
        <v>#N/A</v>
      </c>
      <c r="AY2" t="e">
        <f>Sheet1!$AT2*_xlfn.XLOOKUP($A2,'[1]SSP4-change-rate'!$B$2:$B$147,'[1]SSP4-change-rate'!H$2:H$147)</f>
        <v>#N/A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 t="e">
        <f>Sheet1!$AT3*_xlfn.XLOOKUP($A3,'[1]SSP4-change-rate'!$B$2:$B$147,'[1]SSP4-change-rate'!C$2:C$147)</f>
        <v>#N/A</v>
      </c>
      <c r="AU3" t="e">
        <f>Sheet1!$AT3*_xlfn.XLOOKUP($A3,'[1]SSP4-change-rate'!$B$2:$B$147,'[1]SSP4-change-rate'!D$2:D$147)</f>
        <v>#N/A</v>
      </c>
      <c r="AV3" t="e">
        <f>Sheet1!$AT3*_xlfn.XLOOKUP($A3,'[1]SSP4-change-rate'!$B$2:$B$147,'[1]SSP4-change-rate'!E$2:E$147)</f>
        <v>#N/A</v>
      </c>
      <c r="AW3" t="e">
        <f>Sheet1!$AT3*_xlfn.XLOOKUP($A3,'[1]SSP4-change-rate'!$B$2:$B$147,'[1]SSP4-change-rate'!F$2:F$147)</f>
        <v>#N/A</v>
      </c>
      <c r="AX3" t="e">
        <f>Sheet1!$AT3*_xlfn.XLOOKUP($A3,'[1]SSP4-change-rate'!$B$2:$B$147,'[1]SSP4-change-rate'!G$2:G$147)</f>
        <v>#N/A</v>
      </c>
      <c r="AY3" t="e">
        <f>Sheet1!$AT3*_xlfn.XLOOKUP($A3,'[1]SSP4-change-rate'!$B$2:$B$147,'[1]SSP4-change-rate'!H$2:H$147)</f>
        <v>#N/A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 t="e">
        <f>Sheet1!$AT4*_xlfn.XLOOKUP($A4,'[1]SSP4-change-rate'!$B$2:$B$147,'[1]SSP4-change-rate'!C$2:C$147)</f>
        <v>#N/A</v>
      </c>
      <c r="AU4" t="e">
        <f>Sheet1!$AT4*_xlfn.XLOOKUP($A4,'[1]SSP4-change-rate'!$B$2:$B$147,'[1]SSP4-change-rate'!D$2:D$147)</f>
        <v>#N/A</v>
      </c>
      <c r="AV4" t="e">
        <f>Sheet1!$AT4*_xlfn.XLOOKUP($A4,'[1]SSP4-change-rate'!$B$2:$B$147,'[1]SSP4-change-rate'!E$2:E$147)</f>
        <v>#N/A</v>
      </c>
      <c r="AW4" t="e">
        <f>Sheet1!$AT4*_xlfn.XLOOKUP($A4,'[1]SSP4-change-rate'!$B$2:$B$147,'[1]SSP4-change-rate'!F$2:F$147)</f>
        <v>#N/A</v>
      </c>
      <c r="AX4" t="e">
        <f>Sheet1!$AT4*_xlfn.XLOOKUP($A4,'[1]SSP4-change-rate'!$B$2:$B$147,'[1]SSP4-change-rate'!G$2:G$147)</f>
        <v>#N/A</v>
      </c>
      <c r="AY4" t="e">
        <f>Sheet1!$AT4*_xlfn.XLOOKUP($A4,'[1]SSP4-change-rate'!$B$2:$B$147,'[1]SSP4-change-rate'!H$2:H$147)</f>
        <v>#N/A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 t="e">
        <f>Sheet1!$AT5*_xlfn.XLOOKUP($A5,'[1]SSP4-change-rate'!$B$2:$B$147,'[1]SSP4-change-rate'!C$2:C$147)</f>
        <v>#N/A</v>
      </c>
      <c r="AU5" t="e">
        <f>Sheet1!$AT5*_xlfn.XLOOKUP($A5,'[1]SSP4-change-rate'!$B$2:$B$147,'[1]SSP4-change-rate'!D$2:D$147)</f>
        <v>#N/A</v>
      </c>
      <c r="AV5" t="e">
        <f>Sheet1!$AT5*_xlfn.XLOOKUP($A5,'[1]SSP4-change-rate'!$B$2:$B$147,'[1]SSP4-change-rate'!E$2:E$147)</f>
        <v>#N/A</v>
      </c>
      <c r="AW5" t="e">
        <f>Sheet1!$AT5*_xlfn.XLOOKUP($A5,'[1]SSP4-change-rate'!$B$2:$B$147,'[1]SSP4-change-rate'!F$2:F$147)</f>
        <v>#N/A</v>
      </c>
      <c r="AX5" t="e">
        <f>Sheet1!$AT5*_xlfn.XLOOKUP($A5,'[1]SSP4-change-rate'!$B$2:$B$147,'[1]SSP4-change-rate'!G$2:G$147)</f>
        <v>#N/A</v>
      </c>
      <c r="AY5" t="e">
        <f>Sheet1!$AT5*_xlfn.XLOOKUP($A5,'[1]SSP4-change-rate'!$B$2:$B$147,'[1]SSP4-change-rate'!H$2:H$147)</f>
        <v>#N/A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f>Sheet1!$AT6*_xlfn.XLOOKUP($A6,'[1]SSP4-change-rate'!$B$2:$B$147,'[1]SSP4-change-rate'!C$2:C$147)</f>
        <v>18351.102305760567</v>
      </c>
      <c r="AU6">
        <f>Sheet1!$AT6*_xlfn.XLOOKUP($A6,'[1]SSP4-change-rate'!$B$2:$B$147,'[1]SSP4-change-rate'!D$2:D$147)</f>
        <v>18249.595093259421</v>
      </c>
      <c r="AV6">
        <f>Sheet1!$AT6*_xlfn.XLOOKUP($A6,'[1]SSP4-change-rate'!$B$2:$B$147,'[1]SSP4-change-rate'!E$2:E$147)</f>
        <v>18105.192423651006</v>
      </c>
      <c r="AW6">
        <f>Sheet1!$AT6*_xlfn.XLOOKUP($A6,'[1]SSP4-change-rate'!$B$2:$B$147,'[1]SSP4-change-rate'!F$2:F$147)</f>
        <v>17756.356808698383</v>
      </c>
      <c r="AX6">
        <f>Sheet1!$AT6*_xlfn.XLOOKUP($A6,'[1]SSP4-change-rate'!$B$2:$B$147,'[1]SSP4-change-rate'!G$2:G$147)</f>
        <v>17289.666418715417</v>
      </c>
      <c r="AY6">
        <f>Sheet1!$AT6*_xlfn.XLOOKUP($A6,'[1]SSP4-change-rate'!$B$2:$B$147,'[1]SSP4-change-rate'!H$2:H$147)</f>
        <v>16733.314697044803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f>Sheet1!$AT7*_xlfn.XLOOKUP($A7,'[1]SSP4-change-rate'!$B$2:$B$147,'[1]SSP4-change-rate'!C$2:C$147)</f>
        <v>730.894482593112</v>
      </c>
      <c r="AU7">
        <f>Sheet1!$AT7*_xlfn.XLOOKUP($A7,'[1]SSP4-change-rate'!$B$2:$B$147,'[1]SSP4-change-rate'!D$2:D$147)</f>
        <v>723.20085646055293</v>
      </c>
      <c r="AV7">
        <f>Sheet1!$AT7*_xlfn.XLOOKUP($A7,'[1]SSP4-change-rate'!$B$2:$B$147,'[1]SSP4-change-rate'!E$2:E$147)</f>
        <v>717.01673925273644</v>
      </c>
      <c r="AW7">
        <f>Sheet1!$AT7*_xlfn.XLOOKUP($A7,'[1]SSP4-change-rate'!$B$2:$B$147,'[1]SSP4-change-rate'!F$2:F$147)</f>
        <v>699.28823469719362</v>
      </c>
      <c r="AX7">
        <f>Sheet1!$AT7*_xlfn.XLOOKUP($A7,'[1]SSP4-change-rate'!$B$2:$B$147,'[1]SSP4-change-rate'!G$2:G$147)</f>
        <v>681.46200550951994</v>
      </c>
      <c r="AY7">
        <f>Sheet1!$AT7*_xlfn.XLOOKUP($A7,'[1]SSP4-change-rate'!$B$2:$B$147,'[1]SSP4-change-rate'!H$2:H$147)</f>
        <v>662.3731248500078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f>Sheet1!$AT8*_xlfn.XLOOKUP($A8,'[1]SSP4-change-rate'!$B$2:$B$147,'[1]SSP4-change-rate'!C$2:C$147)</f>
        <v>31650.091398994697</v>
      </c>
      <c r="AU8">
        <f>Sheet1!$AT8*_xlfn.XLOOKUP($A8,'[1]SSP4-change-rate'!$B$2:$B$147,'[1]SSP4-change-rate'!D$2:D$147)</f>
        <v>31508.541399115602</v>
      </c>
      <c r="AV8">
        <f>Sheet1!$AT8*_xlfn.XLOOKUP($A8,'[1]SSP4-change-rate'!$B$2:$B$147,'[1]SSP4-change-rate'!E$2:E$147)</f>
        <v>31328.589350012084</v>
      </c>
      <c r="AW8">
        <f>Sheet1!$AT8*_xlfn.XLOOKUP($A8,'[1]SSP4-change-rate'!$B$2:$B$147,'[1]SSP4-change-rate'!F$2:F$147)</f>
        <v>30963.347055167193</v>
      </c>
      <c r="AX8">
        <f>Sheet1!$AT8*_xlfn.XLOOKUP($A8,'[1]SSP4-change-rate'!$B$2:$B$147,'[1]SSP4-change-rate'!G$2:G$147)</f>
        <v>30495.5499150205</v>
      </c>
      <c r="AY8">
        <f>Sheet1!$AT8*_xlfn.XLOOKUP($A8,'[1]SSP4-change-rate'!$B$2:$B$147,'[1]SSP4-change-rate'!H$2:H$147)</f>
        <v>29969.634186023879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f>Sheet1!$AT9*_xlfn.XLOOKUP($A9,'[1]SSP4-change-rate'!$B$2:$B$147,'[1]SSP4-change-rate'!C$2:C$147)</f>
        <v>6041.641668423732</v>
      </c>
      <c r="AU9">
        <f>Sheet1!$AT9*_xlfn.XLOOKUP($A9,'[1]SSP4-change-rate'!$B$2:$B$147,'[1]SSP4-change-rate'!D$2:D$147)</f>
        <v>6038.0045519840123</v>
      </c>
      <c r="AV9">
        <f>Sheet1!$AT9*_xlfn.XLOOKUP($A9,'[1]SSP4-change-rate'!$B$2:$B$147,'[1]SSP4-change-rate'!E$2:E$147)</f>
        <v>6030.9894899450965</v>
      </c>
      <c r="AW9">
        <f>Sheet1!$AT9*_xlfn.XLOOKUP($A9,'[1]SSP4-change-rate'!$B$2:$B$147,'[1]SSP4-change-rate'!F$2:F$147)</f>
        <v>6017.9072612721102</v>
      </c>
      <c r="AX9">
        <f>Sheet1!$AT9*_xlfn.XLOOKUP($A9,'[1]SSP4-change-rate'!$B$2:$B$147,'[1]SSP4-change-rate'!G$2:G$147)</f>
        <v>5996.4007942410926</v>
      </c>
      <c r="AY9">
        <f>Sheet1!$AT9*_xlfn.XLOOKUP($A9,'[1]SSP4-change-rate'!$B$2:$B$147,'[1]SSP4-change-rate'!H$2:H$147)</f>
        <v>5974.2222991911613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f>Sheet1!$AT10*_xlfn.XLOOKUP($A10,'[1]SSP4-change-rate'!$B$2:$B$147,'[1]SSP4-change-rate'!C$2:C$147)</f>
        <v>1927.5621902922921</v>
      </c>
      <c r="AU10">
        <f>Sheet1!$AT10*_xlfn.XLOOKUP($A10,'[1]SSP4-change-rate'!$B$2:$B$147,'[1]SSP4-change-rate'!D$2:D$147)</f>
        <v>1910.6261128244362</v>
      </c>
      <c r="AV10">
        <f>Sheet1!$AT10*_xlfn.XLOOKUP($A10,'[1]SSP4-change-rate'!$B$2:$B$147,'[1]SSP4-change-rate'!E$2:E$147)</f>
        <v>1889.8785556005757</v>
      </c>
      <c r="AW10">
        <f>Sheet1!$AT10*_xlfn.XLOOKUP($A10,'[1]SSP4-change-rate'!$B$2:$B$147,'[1]SSP4-change-rate'!F$2:F$147)</f>
        <v>1833.1788689990153</v>
      </c>
      <c r="AX10">
        <f>Sheet1!$AT10*_xlfn.XLOOKUP($A10,'[1]SSP4-change-rate'!$B$2:$B$147,'[1]SSP4-change-rate'!G$2:G$147)</f>
        <v>1764.933070686629</v>
      </c>
      <c r="AY10">
        <f>Sheet1!$AT10*_xlfn.XLOOKUP($A10,'[1]SSP4-change-rate'!$B$2:$B$147,'[1]SSP4-change-rate'!H$2:H$147)</f>
        <v>1692.2045276847996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f>Sheet1!$AT11*_xlfn.XLOOKUP($A11,'[1]SSP4-change-rate'!$B$2:$B$147,'[1]SSP4-change-rate'!C$2:C$147)</f>
        <v>374.47265943507858</v>
      </c>
      <c r="AU11">
        <f>Sheet1!$AT11*_xlfn.XLOOKUP($A11,'[1]SSP4-change-rate'!$B$2:$B$147,'[1]SSP4-change-rate'!D$2:D$147)</f>
        <v>374.47265943507858</v>
      </c>
      <c r="AV11">
        <f>Sheet1!$AT11*_xlfn.XLOOKUP($A11,'[1]SSP4-change-rate'!$B$2:$B$147,'[1]SSP4-change-rate'!E$2:E$147)</f>
        <v>374.47265943507858</v>
      </c>
      <c r="AW11">
        <f>Sheet1!$AT11*_xlfn.XLOOKUP($A11,'[1]SSP4-change-rate'!$B$2:$B$147,'[1]SSP4-change-rate'!F$2:F$147)</f>
        <v>357.82943012685291</v>
      </c>
      <c r="AX11">
        <f>Sheet1!$AT11*_xlfn.XLOOKUP($A11,'[1]SSP4-change-rate'!$B$2:$B$147,'[1]SSP4-change-rate'!G$2:G$147)</f>
        <v>345.10225477350383</v>
      </c>
      <c r="AY11">
        <f>Sheet1!$AT11*_xlfn.XLOOKUP($A11,'[1]SSP4-change-rate'!$B$2:$B$147,'[1]SSP4-change-rate'!H$2:H$147)</f>
        <v>293.81700971060013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f>Sheet1!$AT12*_xlfn.XLOOKUP($A12,'[1]SSP4-change-rate'!$B$2:$B$147,'[1]SSP4-change-rate'!C$2:C$147)</f>
        <v>14508.563420070202</v>
      </c>
      <c r="AU12">
        <f>Sheet1!$AT12*_xlfn.XLOOKUP($A12,'[1]SSP4-change-rate'!$B$2:$B$147,'[1]SSP4-change-rate'!D$2:D$147)</f>
        <v>14431.559819657077</v>
      </c>
      <c r="AV12">
        <f>Sheet1!$AT12*_xlfn.XLOOKUP($A12,'[1]SSP4-change-rate'!$B$2:$B$147,'[1]SSP4-change-rate'!E$2:E$147)</f>
        <v>14322.461106221779</v>
      </c>
      <c r="AW12">
        <f>Sheet1!$AT12*_xlfn.XLOOKUP($A12,'[1]SSP4-change-rate'!$B$2:$B$147,'[1]SSP4-change-rate'!F$2:F$147)</f>
        <v>14088.835093426063</v>
      </c>
      <c r="AX12">
        <f>Sheet1!$AT12*_xlfn.XLOOKUP($A12,'[1]SSP4-change-rate'!$B$2:$B$147,'[1]SSP4-change-rate'!G$2:G$147)</f>
        <v>13784.455777997231</v>
      </c>
      <c r="AY12">
        <f>Sheet1!$AT12*_xlfn.XLOOKUP($A12,'[1]SSP4-change-rate'!$B$2:$B$147,'[1]SSP4-change-rate'!H$2:H$147)</f>
        <v>13402.579458649547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f>Sheet1!$AT13*_xlfn.XLOOKUP($A13,'[1]SSP4-change-rate'!$B$2:$B$147,'[1]SSP4-change-rate'!C$2:C$147)</f>
        <v>1140.4957494711857</v>
      </c>
      <c r="AU13">
        <f>Sheet1!$AT13*_xlfn.XLOOKUP($A13,'[1]SSP4-change-rate'!$B$2:$B$147,'[1]SSP4-change-rate'!D$2:D$147)</f>
        <v>1139.9149504135703</v>
      </c>
      <c r="AV13">
        <f>Sheet1!$AT13*_xlfn.XLOOKUP($A13,'[1]SSP4-change-rate'!$B$2:$B$147,'[1]SSP4-change-rate'!E$2:E$147)</f>
        <v>1154.4396910520468</v>
      </c>
      <c r="AW13">
        <f>Sheet1!$AT13*_xlfn.XLOOKUP($A13,'[1]SSP4-change-rate'!$B$2:$B$147,'[1]SSP4-change-rate'!F$2:F$147)</f>
        <v>1164.5516360203346</v>
      </c>
      <c r="AX13">
        <f>Sheet1!$AT13*_xlfn.XLOOKUP($A13,'[1]SSP4-change-rate'!$B$2:$B$147,'[1]SSP4-change-rate'!G$2:G$147)</f>
        <v>1171.865777759084</v>
      </c>
      <c r="AY13">
        <f>Sheet1!$AT13*_xlfn.XLOOKUP($A13,'[1]SSP4-change-rate'!$B$2:$B$147,'[1]SSP4-change-rate'!H$2:H$147)</f>
        <v>1171.8913086039154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f>Sheet1!$AT14*_xlfn.XLOOKUP($A14,'[1]SSP4-change-rate'!$B$2:$B$147,'[1]SSP4-change-rate'!C$2:C$147)</f>
        <v>1379.6295619531738</v>
      </c>
      <c r="AU14">
        <f>Sheet1!$AT14*_xlfn.XLOOKUP($A14,'[1]SSP4-change-rate'!$B$2:$B$147,'[1]SSP4-change-rate'!D$2:D$147)</f>
        <v>1385.550718871428</v>
      </c>
      <c r="AV14">
        <f>Sheet1!$AT14*_xlfn.XLOOKUP($A14,'[1]SSP4-change-rate'!$B$2:$B$147,'[1]SSP4-change-rate'!E$2:E$147)</f>
        <v>1385.0826432257161</v>
      </c>
      <c r="AW14">
        <f>Sheet1!$AT14*_xlfn.XLOOKUP($A14,'[1]SSP4-change-rate'!$B$2:$B$147,'[1]SSP4-change-rate'!F$2:F$147)</f>
        <v>1389.0790795007983</v>
      </c>
      <c r="AX14">
        <f>Sheet1!$AT14*_xlfn.XLOOKUP($A14,'[1]SSP4-change-rate'!$B$2:$B$147,'[1]SSP4-change-rate'!G$2:G$147)</f>
        <v>1391.9111307539438</v>
      </c>
      <c r="AY14">
        <f>Sheet1!$AT14*_xlfn.XLOOKUP($A14,'[1]SSP4-change-rate'!$B$2:$B$147,'[1]SSP4-change-rate'!H$2:H$147)</f>
        <v>1376.1100987849259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f>Sheet1!$AT15*_xlfn.XLOOKUP($A15,'[1]SSP4-change-rate'!$B$2:$B$147,'[1]SSP4-change-rate'!C$2:C$147)</f>
        <v>23379.367995099008</v>
      </c>
      <c r="AU15">
        <f>Sheet1!$AT15*_xlfn.XLOOKUP($A15,'[1]SSP4-change-rate'!$B$2:$B$147,'[1]SSP4-change-rate'!D$2:D$147)</f>
        <v>23299.047022393494</v>
      </c>
      <c r="AV15">
        <f>Sheet1!$AT15*_xlfn.XLOOKUP($A15,'[1]SSP4-change-rate'!$B$2:$B$147,'[1]SSP4-change-rate'!E$2:E$147)</f>
        <v>23149.668894812443</v>
      </c>
      <c r="AW15">
        <f>Sheet1!$AT15*_xlfn.XLOOKUP($A15,'[1]SSP4-change-rate'!$B$2:$B$147,'[1]SSP4-change-rate'!F$2:F$147)</f>
        <v>22697.068106576418</v>
      </c>
      <c r="AX15">
        <f>Sheet1!$AT15*_xlfn.XLOOKUP($A15,'[1]SSP4-change-rate'!$B$2:$B$147,'[1]SSP4-change-rate'!G$2:G$147)</f>
        <v>21695.393158570274</v>
      </c>
      <c r="AY15">
        <f>Sheet1!$AT15*_xlfn.XLOOKUP($A15,'[1]SSP4-change-rate'!$B$2:$B$147,'[1]SSP4-change-rate'!H$2:H$147)</f>
        <v>19057.567693653018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f>Sheet1!$AT16*_xlfn.XLOOKUP($A16,'[1]SSP4-change-rate'!$B$2:$B$147,'[1]SSP4-change-rate'!C$2:C$147)</f>
        <v>2655.0167575602218</v>
      </c>
      <c r="AU16">
        <f>Sheet1!$AT16*_xlfn.XLOOKUP($A16,'[1]SSP4-change-rate'!$B$2:$B$147,'[1]SSP4-change-rate'!D$2:D$147)</f>
        <v>2649.9348895477046</v>
      </c>
      <c r="AV16">
        <f>Sheet1!$AT16*_xlfn.XLOOKUP($A16,'[1]SSP4-change-rate'!$B$2:$B$147,'[1]SSP4-change-rate'!E$2:E$147)</f>
        <v>2640.1918673964374</v>
      </c>
      <c r="AW16">
        <f>Sheet1!$AT16*_xlfn.XLOOKUP($A16,'[1]SSP4-change-rate'!$B$2:$B$147,'[1]SSP4-change-rate'!F$2:F$147)</f>
        <v>2610.4010872213817</v>
      </c>
      <c r="AX16">
        <f>Sheet1!$AT16*_xlfn.XLOOKUP($A16,'[1]SSP4-change-rate'!$B$2:$B$147,'[1]SSP4-change-rate'!G$2:G$147)</f>
        <v>2570.5267306171031</v>
      </c>
      <c r="AY16">
        <f>Sheet1!$AT16*_xlfn.XLOOKUP($A16,'[1]SSP4-change-rate'!$B$2:$B$147,'[1]SSP4-change-rate'!H$2:H$147)</f>
        <v>2520.4211590347268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f>Sheet1!$AT17*_xlfn.XLOOKUP($A17,'[1]SSP4-change-rate'!$B$2:$B$147,'[1]SSP4-change-rate'!C$2:C$147)</f>
        <v>664.36467000786627</v>
      </c>
      <c r="AU17">
        <f>Sheet1!$AT17*_xlfn.XLOOKUP($A17,'[1]SSP4-change-rate'!$B$2:$B$147,'[1]SSP4-change-rate'!D$2:D$147)</f>
        <v>659.54794300772585</v>
      </c>
      <c r="AV17">
        <f>Sheet1!$AT17*_xlfn.XLOOKUP($A17,'[1]SSP4-change-rate'!$B$2:$B$147,'[1]SSP4-change-rate'!E$2:E$147)</f>
        <v>654.01229606027061</v>
      </c>
      <c r="AW17">
        <f>Sheet1!$AT17*_xlfn.XLOOKUP($A17,'[1]SSP4-change-rate'!$B$2:$B$147,'[1]SSP4-change-rate'!F$2:F$147)</f>
        <v>641.13336804082292</v>
      </c>
      <c r="AX17">
        <f>Sheet1!$AT17*_xlfn.XLOOKUP($A17,'[1]SSP4-change-rate'!$B$2:$B$147,'[1]SSP4-change-rate'!G$2:G$147)</f>
        <v>624.86983071058432</v>
      </c>
      <c r="AY17">
        <f>Sheet1!$AT17*_xlfn.XLOOKUP($A17,'[1]SSP4-change-rate'!$B$2:$B$147,'[1]SSP4-change-rate'!H$2:H$147)</f>
        <v>607.09100393058065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f>Sheet1!$AT18*_xlfn.XLOOKUP($A18,'[1]SSP4-change-rate'!$B$2:$B$147,'[1]SSP4-change-rate'!C$2:C$147)</f>
        <v>202.52896283782965</v>
      </c>
      <c r="AU18">
        <f>Sheet1!$AT18*_xlfn.XLOOKUP($A18,'[1]SSP4-change-rate'!$B$2:$B$147,'[1]SSP4-change-rate'!D$2:D$147)</f>
        <v>201.05415007191567</v>
      </c>
      <c r="AV18">
        <f>Sheet1!$AT18*_xlfn.XLOOKUP($A18,'[1]SSP4-change-rate'!$B$2:$B$147,'[1]SSP4-change-rate'!E$2:E$147)</f>
        <v>199.78062207893132</v>
      </c>
      <c r="AW18">
        <f>Sheet1!$AT18*_xlfn.XLOOKUP($A18,'[1]SSP4-change-rate'!$B$2:$B$147,'[1]SSP4-change-rate'!F$2:F$147)</f>
        <v>194.72324649140688</v>
      </c>
      <c r="AX18">
        <f>Sheet1!$AT18*_xlfn.XLOOKUP($A18,'[1]SSP4-change-rate'!$B$2:$B$147,'[1]SSP4-change-rate'!G$2:G$147)</f>
        <v>190.17734075836697</v>
      </c>
      <c r="AY18">
        <f>Sheet1!$AT18*_xlfn.XLOOKUP($A18,'[1]SSP4-change-rate'!$B$2:$B$147,'[1]SSP4-change-rate'!H$2:H$147)</f>
        <v>183.46830679272458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f>Sheet1!$AT19*_xlfn.XLOOKUP($A19,'[1]SSP4-change-rate'!$B$2:$B$147,'[1]SSP4-change-rate'!C$2:C$147)</f>
        <v>768.15401774983002</v>
      </c>
      <c r="AU19">
        <f>Sheet1!$AT19*_xlfn.XLOOKUP($A19,'[1]SSP4-change-rate'!$B$2:$B$147,'[1]SSP4-change-rate'!D$2:D$147)</f>
        <v>764.24483699792245</v>
      </c>
      <c r="AV19">
        <f>Sheet1!$AT19*_xlfn.XLOOKUP($A19,'[1]SSP4-change-rate'!$B$2:$B$147,'[1]SSP4-change-rate'!E$2:E$147)</f>
        <v>760.71426939389949</v>
      </c>
      <c r="AW19">
        <f>Sheet1!$AT19*_xlfn.XLOOKUP($A19,'[1]SSP4-change-rate'!$B$2:$B$147,'[1]SSP4-change-rate'!F$2:F$147)</f>
        <v>747.57846370295954</v>
      </c>
      <c r="AX19">
        <f>Sheet1!$AT19*_xlfn.XLOOKUP($A19,'[1]SSP4-change-rate'!$B$2:$B$147,'[1]SSP4-change-rate'!G$2:G$147)</f>
        <v>731.26979560317852</v>
      </c>
      <c r="AY19">
        <f>Sheet1!$AT19*_xlfn.XLOOKUP($A19,'[1]SSP4-change-rate'!$B$2:$B$147,'[1]SSP4-change-rate'!H$2:H$147)</f>
        <v>711.87342635033758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f>Sheet1!$AT20*_xlfn.XLOOKUP($A20,'[1]SSP4-change-rate'!$B$2:$B$147,'[1]SSP4-change-rate'!C$2:C$147)</f>
        <v>3205.9998719623268</v>
      </c>
      <c r="AU20">
        <f>Sheet1!$AT20*_xlfn.XLOOKUP($A20,'[1]SSP4-change-rate'!$B$2:$B$147,'[1]SSP4-change-rate'!D$2:D$147)</f>
        <v>3205.9998719623268</v>
      </c>
      <c r="AV20">
        <f>Sheet1!$AT20*_xlfn.XLOOKUP($A20,'[1]SSP4-change-rate'!$B$2:$B$147,'[1]SSP4-change-rate'!E$2:E$147)</f>
        <v>3205.9998719623268</v>
      </c>
      <c r="AW20">
        <f>Sheet1!$AT20*_xlfn.XLOOKUP($A20,'[1]SSP4-change-rate'!$B$2:$B$147,'[1]SSP4-change-rate'!F$2:F$147)</f>
        <v>3205.9998719623268</v>
      </c>
      <c r="AX20">
        <f>Sheet1!$AT20*_xlfn.XLOOKUP($A20,'[1]SSP4-change-rate'!$B$2:$B$147,'[1]SSP4-change-rate'!G$2:G$147)</f>
        <v>3205.9998719623268</v>
      </c>
      <c r="AY20">
        <f>Sheet1!$AT20*_xlfn.XLOOKUP($A20,'[1]SSP4-change-rate'!$B$2:$B$147,'[1]SSP4-change-rate'!H$2:H$147)</f>
        <v>3205.9998719623268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f>Sheet1!$AT21*_xlfn.XLOOKUP($A21,'[1]SSP4-change-rate'!$B$2:$B$147,'[1]SSP4-change-rate'!C$2:C$147)</f>
        <v>2784.2486217017922</v>
      </c>
      <c r="AU21">
        <f>Sheet1!$AT21*_xlfn.XLOOKUP($A21,'[1]SSP4-change-rate'!$B$2:$B$147,'[1]SSP4-change-rate'!D$2:D$147)</f>
        <v>2801.7394168891565</v>
      </c>
      <c r="AV21">
        <f>Sheet1!$AT21*_xlfn.XLOOKUP($A21,'[1]SSP4-change-rate'!$B$2:$B$147,'[1]SSP4-change-rate'!E$2:E$147)</f>
        <v>2824.5134758824415</v>
      </c>
      <c r="AW21">
        <f>Sheet1!$AT21*_xlfn.XLOOKUP($A21,'[1]SSP4-change-rate'!$B$2:$B$147,'[1]SSP4-change-rate'!F$2:F$147)</f>
        <v>2855.2336060827411</v>
      </c>
      <c r="AX21">
        <f>Sheet1!$AT21*_xlfn.XLOOKUP($A21,'[1]SSP4-change-rate'!$B$2:$B$147,'[1]SSP4-change-rate'!G$2:G$147)</f>
        <v>2868.9775518844772</v>
      </c>
      <c r="AY21">
        <f>Sheet1!$AT21*_xlfn.XLOOKUP($A21,'[1]SSP4-change-rate'!$B$2:$B$147,'[1]SSP4-change-rate'!H$2:H$147)</f>
        <v>2854.6192253295535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f>Sheet1!$AT22*_xlfn.XLOOKUP($A22,'[1]SSP4-change-rate'!$B$2:$B$147,'[1]SSP4-change-rate'!C$2:C$147)</f>
        <v>71254.210467188954</v>
      </c>
      <c r="AU22">
        <f>Sheet1!$AT22*_xlfn.XLOOKUP($A22,'[1]SSP4-change-rate'!$B$2:$B$147,'[1]SSP4-change-rate'!D$2:D$147)</f>
        <v>70889.051670025903</v>
      </c>
      <c r="AV22">
        <f>Sheet1!$AT22*_xlfn.XLOOKUP($A22,'[1]SSP4-change-rate'!$B$2:$B$147,'[1]SSP4-change-rate'!E$2:E$147)</f>
        <v>70379.663614421966</v>
      </c>
      <c r="AW22">
        <f>Sheet1!$AT22*_xlfn.XLOOKUP($A22,'[1]SSP4-change-rate'!$B$2:$B$147,'[1]SSP4-change-rate'!F$2:F$147)</f>
        <v>69090.252295298298</v>
      </c>
      <c r="AX22">
        <f>Sheet1!$AT22*_xlfn.XLOOKUP($A22,'[1]SSP4-change-rate'!$B$2:$B$147,'[1]SSP4-change-rate'!G$2:G$147)</f>
        <v>67246.410781206549</v>
      </c>
      <c r="AY22">
        <f>Sheet1!$AT22*_xlfn.XLOOKUP($A22,'[1]SSP4-change-rate'!$B$2:$B$147,'[1]SSP4-change-rate'!H$2:H$147)</f>
        <v>64938.9583321194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f>Sheet1!$AT23*_xlfn.XLOOKUP($A23,'[1]SSP4-change-rate'!$B$2:$B$147,'[1]SSP4-change-rate'!C$2:C$147)</f>
        <v>107.50895862598746</v>
      </c>
      <c r="AU23">
        <f>Sheet1!$AT23*_xlfn.XLOOKUP($A23,'[1]SSP4-change-rate'!$B$2:$B$147,'[1]SSP4-change-rate'!D$2:D$147)</f>
        <v>105.87576857876188</v>
      </c>
      <c r="AV23">
        <f>Sheet1!$AT23*_xlfn.XLOOKUP($A23,'[1]SSP4-change-rate'!$B$2:$B$147,'[1]SSP4-change-rate'!E$2:E$147)</f>
        <v>103.72086213649898</v>
      </c>
      <c r="AW23">
        <f>Sheet1!$AT23*_xlfn.XLOOKUP($A23,'[1]SSP4-change-rate'!$B$2:$B$147,'[1]SSP4-change-rate'!F$2:F$147)</f>
        <v>98.861498910418902</v>
      </c>
      <c r="AX23">
        <f>Sheet1!$AT23*_xlfn.XLOOKUP($A23,'[1]SSP4-change-rate'!$B$2:$B$147,'[1]SSP4-change-rate'!G$2:G$147)</f>
        <v>94.346352061749471</v>
      </c>
      <c r="AY23">
        <f>Sheet1!$AT23*_xlfn.XLOOKUP($A23,'[1]SSP4-change-rate'!$B$2:$B$147,'[1]SSP4-change-rate'!H$2:H$147)</f>
        <v>89.269749256286048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f>Sheet1!$AT24*_xlfn.XLOOKUP($A24,'[1]SSP4-change-rate'!$B$2:$B$147,'[1]SSP4-change-rate'!C$2:C$147)</f>
        <v>529.53620081079168</v>
      </c>
      <c r="AU24">
        <f>Sheet1!$AT24*_xlfn.XLOOKUP($A24,'[1]SSP4-change-rate'!$B$2:$B$147,'[1]SSP4-change-rate'!D$2:D$147)</f>
        <v>522.0341243340124</v>
      </c>
      <c r="AV24">
        <f>Sheet1!$AT24*_xlfn.XLOOKUP($A24,'[1]SSP4-change-rate'!$B$2:$B$147,'[1]SSP4-change-rate'!E$2:E$147)</f>
        <v>517.72263571762642</v>
      </c>
      <c r="AW24">
        <f>Sheet1!$AT24*_xlfn.XLOOKUP($A24,'[1]SSP4-change-rate'!$B$2:$B$147,'[1]SSP4-change-rate'!F$2:F$147)</f>
        <v>497.2742693202394</v>
      </c>
      <c r="AX24">
        <f>Sheet1!$AT24*_xlfn.XLOOKUP($A24,'[1]SSP4-change-rate'!$B$2:$B$147,'[1]SSP4-change-rate'!G$2:G$147)</f>
        <v>475.22255219171194</v>
      </c>
      <c r="AY24">
        <f>Sheet1!$AT24*_xlfn.XLOOKUP($A24,'[1]SSP4-change-rate'!$B$2:$B$147,'[1]SSP4-change-rate'!H$2:H$147)</f>
        <v>449.34943994866524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f>Sheet1!$AT25*_xlfn.XLOOKUP($A25,'[1]SSP4-change-rate'!$B$2:$B$147,'[1]SSP4-change-rate'!C$2:C$147)</f>
        <v>194.48987104293579</v>
      </c>
      <c r="AU25">
        <f>Sheet1!$AT25*_xlfn.XLOOKUP($A25,'[1]SSP4-change-rate'!$B$2:$B$147,'[1]SSP4-change-rate'!D$2:D$147)</f>
        <v>203.75129347355178</v>
      </c>
      <c r="AV25">
        <f>Sheet1!$AT25*_xlfn.XLOOKUP($A25,'[1]SSP4-change-rate'!$B$2:$B$147,'[1]SSP4-change-rate'!E$2:E$147)</f>
        <v>202.94595239262864</v>
      </c>
      <c r="AW25">
        <f>Sheet1!$AT25*_xlfn.XLOOKUP($A25,'[1]SSP4-change-rate'!$B$2:$B$147,'[1]SSP4-change-rate'!F$2:F$147)</f>
        <v>201.97025069843335</v>
      </c>
      <c r="AX25">
        <f>Sheet1!$AT25*_xlfn.XLOOKUP($A25,'[1]SSP4-change-rate'!$B$2:$B$147,'[1]SSP4-change-rate'!G$2:G$147)</f>
        <v>208.38200468885978</v>
      </c>
      <c r="AY25">
        <f>Sheet1!$AT25*_xlfn.XLOOKUP($A25,'[1]SSP4-change-rate'!$B$2:$B$147,'[1]SSP4-change-rate'!H$2:H$147)</f>
        <v>207.03760465860904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f>Sheet1!$AT26*_xlfn.XLOOKUP($A26,'[1]SSP4-change-rate'!$B$2:$B$147,'[1]SSP4-change-rate'!C$2:C$147)</f>
        <v>46021.872106691095</v>
      </c>
      <c r="AU26">
        <f>Sheet1!$AT26*_xlfn.XLOOKUP($A26,'[1]SSP4-change-rate'!$B$2:$B$147,'[1]SSP4-change-rate'!D$2:D$147)</f>
        <v>45791.381195383859</v>
      </c>
      <c r="AV26">
        <f>Sheet1!$AT26*_xlfn.XLOOKUP($A26,'[1]SSP4-change-rate'!$B$2:$B$147,'[1]SSP4-change-rate'!E$2:E$147)</f>
        <v>45478.860249421341</v>
      </c>
      <c r="AW26">
        <f>Sheet1!$AT26*_xlfn.XLOOKUP($A26,'[1]SSP4-change-rate'!$B$2:$B$147,'[1]SSP4-change-rate'!F$2:F$147)</f>
        <v>44832.028442938477</v>
      </c>
      <c r="AX26">
        <f>Sheet1!$AT26*_xlfn.XLOOKUP($A26,'[1]SSP4-change-rate'!$B$2:$B$147,'[1]SSP4-change-rate'!G$2:G$147)</f>
        <v>43946.093798177099</v>
      </c>
      <c r="AY26">
        <f>Sheet1!$AT26*_xlfn.XLOOKUP($A26,'[1]SSP4-change-rate'!$B$2:$B$147,'[1]SSP4-change-rate'!H$2:H$147)</f>
        <v>42917.538639305203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f>Sheet1!$AT27*_xlfn.XLOOKUP($A27,'[1]SSP4-change-rate'!$B$2:$B$147,'[1]SSP4-change-rate'!C$2:C$147)</f>
        <v>8113.0033380685618</v>
      </c>
      <c r="AU27">
        <f>Sheet1!$AT27*_xlfn.XLOOKUP($A27,'[1]SSP4-change-rate'!$B$2:$B$147,'[1]SSP4-change-rate'!D$2:D$147)</f>
        <v>8099.5945464671377</v>
      </c>
      <c r="AV27">
        <f>Sheet1!$AT27*_xlfn.XLOOKUP($A27,'[1]SSP4-change-rate'!$B$2:$B$147,'[1]SSP4-change-rate'!E$2:E$147)</f>
        <v>8077.1772114965534</v>
      </c>
      <c r="AW27">
        <f>Sheet1!$AT27*_xlfn.XLOOKUP($A27,'[1]SSP4-change-rate'!$B$2:$B$147,'[1]SSP4-change-rate'!F$2:F$147)</f>
        <v>8032.2936745194247</v>
      </c>
      <c r="AX27">
        <f>Sheet1!$AT27*_xlfn.XLOOKUP($A27,'[1]SSP4-change-rate'!$B$2:$B$147,'[1]SSP4-change-rate'!G$2:G$147)</f>
        <v>7971.0005644574694</v>
      </c>
      <c r="AY27">
        <f>Sheet1!$AT27*_xlfn.XLOOKUP($A27,'[1]SSP4-change-rate'!$B$2:$B$147,'[1]SSP4-change-rate'!H$2:H$147)</f>
        <v>7895.8002238414037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f>Sheet1!$AT28*_xlfn.XLOOKUP($A28,'[1]SSP4-change-rate'!$B$2:$B$147,'[1]SSP4-change-rate'!C$2:C$147)</f>
        <v>8540.043692668427</v>
      </c>
      <c r="AU28">
        <f>Sheet1!$AT28*_xlfn.XLOOKUP($A28,'[1]SSP4-change-rate'!$B$2:$B$147,'[1]SSP4-change-rate'!D$2:D$147)</f>
        <v>8500.7891119628039</v>
      </c>
      <c r="AV28">
        <f>Sheet1!$AT28*_xlfn.XLOOKUP($A28,'[1]SSP4-change-rate'!$B$2:$B$147,'[1]SSP4-change-rate'!E$2:E$147)</f>
        <v>8438.3234131778936</v>
      </c>
      <c r="AW28">
        <f>Sheet1!$AT28*_xlfn.XLOOKUP($A28,'[1]SSP4-change-rate'!$B$2:$B$147,'[1]SSP4-change-rate'!F$2:F$147)</f>
        <v>8292.5733063573844</v>
      </c>
      <c r="AX28">
        <f>Sheet1!$AT28*_xlfn.XLOOKUP($A28,'[1]SSP4-change-rate'!$B$2:$B$147,'[1]SSP4-change-rate'!G$2:G$147)</f>
        <v>8111.4224133409125</v>
      </c>
      <c r="AY28">
        <f>Sheet1!$AT28*_xlfn.XLOOKUP($A28,'[1]SSP4-change-rate'!$B$2:$B$147,'[1]SSP4-change-rate'!H$2:H$147)</f>
        <v>7901.5795767882646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f>Sheet1!$AT29*_xlfn.XLOOKUP($A29,'[1]SSP4-change-rate'!$B$2:$B$147,'[1]SSP4-change-rate'!C$2:C$147)</f>
        <v>353050.44331976504</v>
      </c>
      <c r="AU29">
        <f>Sheet1!$AT29*_xlfn.XLOOKUP($A29,'[1]SSP4-change-rate'!$B$2:$B$147,'[1]SSP4-change-rate'!D$2:D$147)</f>
        <v>349710.61777800746</v>
      </c>
      <c r="AV29">
        <f>Sheet1!$AT29*_xlfn.XLOOKUP($A29,'[1]SSP4-change-rate'!$B$2:$B$147,'[1]SSP4-change-rate'!E$2:E$147)</f>
        <v>345680.41638248926</v>
      </c>
      <c r="AW29">
        <f>Sheet1!$AT29*_xlfn.XLOOKUP($A29,'[1]SSP4-change-rate'!$B$2:$B$147,'[1]SSP4-change-rate'!F$2:F$147)</f>
        <v>336048.71107082622</v>
      </c>
      <c r="AX29">
        <f>Sheet1!$AT29*_xlfn.XLOOKUP($A29,'[1]SSP4-change-rate'!$B$2:$B$147,'[1]SSP4-change-rate'!G$2:G$147)</f>
        <v>325484.82533214503</v>
      </c>
      <c r="AY29">
        <f>Sheet1!$AT29*_xlfn.XLOOKUP($A29,'[1]SSP4-change-rate'!$B$2:$B$147,'[1]SSP4-change-rate'!H$2:H$147)</f>
        <v>314488.17592661252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f>Sheet1!$AT30*_xlfn.XLOOKUP($A30,'[1]SSP4-change-rate'!$B$2:$B$147,'[1]SSP4-change-rate'!C$2:C$147)</f>
        <v>2421.7572146604011</v>
      </c>
      <c r="AU30">
        <f>Sheet1!$AT30*_xlfn.XLOOKUP($A30,'[1]SSP4-change-rate'!$B$2:$B$147,'[1]SSP4-change-rate'!D$2:D$147)</f>
        <v>2445.7532846227377</v>
      </c>
      <c r="AV30">
        <f>Sheet1!$AT30*_xlfn.XLOOKUP($A30,'[1]SSP4-change-rate'!$B$2:$B$147,'[1]SSP4-change-rate'!E$2:E$147)</f>
        <v>2481.5355116662449</v>
      </c>
      <c r="AW30">
        <f>Sheet1!$AT30*_xlfn.XLOOKUP($A30,'[1]SSP4-change-rate'!$B$2:$B$147,'[1]SSP4-change-rate'!F$2:F$147)</f>
        <v>2536.4748956696071</v>
      </c>
      <c r="AX30">
        <f>Sheet1!$AT30*_xlfn.XLOOKUP($A30,'[1]SSP4-change-rate'!$B$2:$B$147,'[1]SSP4-change-rate'!G$2:G$147)</f>
        <v>2545.1602832569433</v>
      </c>
      <c r="AY30">
        <f>Sheet1!$AT30*_xlfn.XLOOKUP($A30,'[1]SSP4-change-rate'!$B$2:$B$147,'[1]SSP4-change-rate'!H$2:H$147)</f>
        <v>2396.3365259488219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f>Sheet1!$AT31*_xlfn.XLOOKUP($A31,'[1]SSP4-change-rate'!$B$2:$B$147,'[1]SSP4-change-rate'!C$2:C$147)</f>
        <v>2318.6035733937597</v>
      </c>
      <c r="AU31">
        <f>Sheet1!$AT31*_xlfn.XLOOKUP($A31,'[1]SSP4-change-rate'!$B$2:$B$147,'[1]SSP4-change-rate'!D$2:D$147)</f>
        <v>2319.0349415004375</v>
      </c>
      <c r="AV31">
        <f>Sheet1!$AT31*_xlfn.XLOOKUP($A31,'[1]SSP4-change-rate'!$B$2:$B$147,'[1]SSP4-change-rate'!E$2:E$147)</f>
        <v>2319.6413836922525</v>
      </c>
      <c r="AW31">
        <f>Sheet1!$AT31*_xlfn.XLOOKUP($A31,'[1]SSP4-change-rate'!$B$2:$B$147,'[1]SSP4-change-rate'!F$2:F$147)</f>
        <v>2260.8763708824513</v>
      </c>
      <c r="AX31">
        <f>Sheet1!$AT31*_xlfn.XLOOKUP($A31,'[1]SSP4-change-rate'!$B$2:$B$147,'[1]SSP4-change-rate'!G$2:G$147)</f>
        <v>2088.6607718477467</v>
      </c>
      <c r="AY31">
        <f>Sheet1!$AT31*_xlfn.XLOOKUP($A31,'[1]SSP4-change-rate'!$B$2:$B$147,'[1]SSP4-change-rate'!H$2:H$147)</f>
        <v>1639.0148530917556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 t="e">
        <f>Sheet1!$AT32*_xlfn.XLOOKUP($A32,'[1]SSP4-change-rate'!$B$2:$B$147,'[1]SSP4-change-rate'!C$2:C$147)</f>
        <v>#N/A</v>
      </c>
      <c r="AU32" t="e">
        <f>Sheet1!$AT32*_xlfn.XLOOKUP($A32,'[1]SSP4-change-rate'!$B$2:$B$147,'[1]SSP4-change-rate'!D$2:D$147)</f>
        <v>#N/A</v>
      </c>
      <c r="AV32" t="e">
        <f>Sheet1!$AT32*_xlfn.XLOOKUP($A32,'[1]SSP4-change-rate'!$B$2:$B$147,'[1]SSP4-change-rate'!E$2:E$147)</f>
        <v>#N/A</v>
      </c>
      <c r="AW32" t="e">
        <f>Sheet1!$AT32*_xlfn.XLOOKUP($A32,'[1]SSP4-change-rate'!$B$2:$B$147,'[1]SSP4-change-rate'!F$2:F$147)</f>
        <v>#N/A</v>
      </c>
      <c r="AX32" t="e">
        <f>Sheet1!$AT32*_xlfn.XLOOKUP($A32,'[1]SSP4-change-rate'!$B$2:$B$147,'[1]SSP4-change-rate'!G$2:G$147)</f>
        <v>#N/A</v>
      </c>
      <c r="AY32" t="e">
        <f>Sheet1!$AT32*_xlfn.XLOOKUP($A32,'[1]SSP4-change-rate'!$B$2:$B$147,'[1]SSP4-change-rate'!H$2:H$147)</f>
        <v>#N/A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f>Sheet1!$AT33*_xlfn.XLOOKUP($A33,'[1]SSP4-change-rate'!$B$2:$B$147,'[1]SSP4-change-rate'!C$2:C$147)</f>
        <v>410.67485559612055</v>
      </c>
      <c r="AU33">
        <f>Sheet1!$AT33*_xlfn.XLOOKUP($A33,'[1]SSP4-change-rate'!$B$2:$B$147,'[1]SSP4-change-rate'!D$2:D$147)</f>
        <v>404.09137296895801</v>
      </c>
      <c r="AV33">
        <f>Sheet1!$AT33*_xlfn.XLOOKUP($A33,'[1]SSP4-change-rate'!$B$2:$B$147,'[1]SSP4-change-rate'!E$2:E$147)</f>
        <v>396.2491195518304</v>
      </c>
      <c r="AW33">
        <f>Sheet1!$AT33*_xlfn.XLOOKUP($A33,'[1]SSP4-change-rate'!$B$2:$B$147,'[1]SSP4-change-rate'!F$2:F$147)</f>
        <v>369.63695045828013</v>
      </c>
      <c r="AX33">
        <f>Sheet1!$AT33*_xlfn.XLOOKUP($A33,'[1]SSP4-change-rate'!$B$2:$B$147,'[1]SSP4-change-rate'!G$2:G$147)</f>
        <v>311.97653687155184</v>
      </c>
      <c r="AY33">
        <f>Sheet1!$AT33*_xlfn.XLOOKUP($A33,'[1]SSP4-change-rate'!$B$2:$B$147,'[1]SSP4-change-rate'!H$2:H$147)</f>
        <v>220.27817016355723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f>Sheet1!$AT34*_xlfn.XLOOKUP($A34,'[1]SSP4-change-rate'!$B$2:$B$147,'[1]SSP4-change-rate'!C$2:C$147)</f>
        <v>7009.1364876011121</v>
      </c>
      <c r="AU34">
        <f>Sheet1!$AT34*_xlfn.XLOOKUP($A34,'[1]SSP4-change-rate'!$B$2:$B$147,'[1]SSP4-change-rate'!D$2:D$147)</f>
        <v>6965.5605833209966</v>
      </c>
      <c r="AV34">
        <f>Sheet1!$AT34*_xlfn.XLOOKUP($A34,'[1]SSP4-change-rate'!$B$2:$B$147,'[1]SSP4-change-rate'!E$2:E$147)</f>
        <v>6908.5909048498315</v>
      </c>
      <c r="AW34">
        <f>Sheet1!$AT34*_xlfn.XLOOKUP($A34,'[1]SSP4-change-rate'!$B$2:$B$147,'[1]SSP4-change-rate'!F$2:F$147)</f>
        <v>6764.0187414805569</v>
      </c>
      <c r="AX34">
        <f>Sheet1!$AT34*_xlfn.XLOOKUP($A34,'[1]SSP4-change-rate'!$B$2:$B$147,'[1]SSP4-change-rate'!G$2:G$147)</f>
        <v>6545.356952062506</v>
      </c>
      <c r="AY34">
        <f>Sheet1!$AT34*_xlfn.XLOOKUP($A34,'[1]SSP4-change-rate'!$B$2:$B$147,'[1]SSP4-change-rate'!H$2:H$147)</f>
        <v>6200.0926764125416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f>Sheet1!$AT35*_xlfn.XLOOKUP($A35,'[1]SSP4-change-rate'!$B$2:$B$147,'[1]SSP4-change-rate'!C$2:C$147)</f>
        <v>1924.3965413160947</v>
      </c>
      <c r="AU35">
        <f>Sheet1!$AT35*_xlfn.XLOOKUP($A35,'[1]SSP4-change-rate'!$B$2:$B$147,'[1]SSP4-change-rate'!D$2:D$147)</f>
        <v>1910.3758213229794</v>
      </c>
      <c r="AV35">
        <f>Sheet1!$AT35*_xlfn.XLOOKUP($A35,'[1]SSP4-change-rate'!$B$2:$B$147,'[1]SSP4-change-rate'!E$2:E$147)</f>
        <v>1894.7392190530652</v>
      </c>
      <c r="AW35">
        <f>Sheet1!$AT35*_xlfn.XLOOKUP($A35,'[1]SSP4-change-rate'!$B$2:$B$147,'[1]SSP4-change-rate'!F$2:F$147)</f>
        <v>1857.3696515995398</v>
      </c>
      <c r="AX35">
        <f>Sheet1!$AT35*_xlfn.XLOOKUP($A35,'[1]SSP4-change-rate'!$B$2:$B$147,'[1]SSP4-change-rate'!G$2:G$147)</f>
        <v>1810.1092599258211</v>
      </c>
      <c r="AY35">
        <f>Sheet1!$AT35*_xlfn.XLOOKUP($A35,'[1]SSP4-change-rate'!$B$2:$B$147,'[1]SSP4-change-rate'!H$2:H$147)</f>
        <v>1746.9156498127975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 t="e">
        <f>Sheet1!$AT36*_xlfn.XLOOKUP($A36,'[1]SSP4-change-rate'!$B$2:$B$147,'[1]SSP4-change-rate'!C$2:C$147)</f>
        <v>#N/A</v>
      </c>
      <c r="AU36" t="e">
        <f>Sheet1!$AT36*_xlfn.XLOOKUP($A36,'[1]SSP4-change-rate'!$B$2:$B$147,'[1]SSP4-change-rate'!D$2:D$147)</f>
        <v>#N/A</v>
      </c>
      <c r="AV36" t="e">
        <f>Sheet1!$AT36*_xlfn.XLOOKUP($A36,'[1]SSP4-change-rate'!$B$2:$B$147,'[1]SSP4-change-rate'!E$2:E$147)</f>
        <v>#N/A</v>
      </c>
      <c r="AW36" t="e">
        <f>Sheet1!$AT36*_xlfn.XLOOKUP($A36,'[1]SSP4-change-rate'!$B$2:$B$147,'[1]SSP4-change-rate'!F$2:F$147)</f>
        <v>#N/A</v>
      </c>
      <c r="AX36" t="e">
        <f>Sheet1!$AT36*_xlfn.XLOOKUP($A36,'[1]SSP4-change-rate'!$B$2:$B$147,'[1]SSP4-change-rate'!G$2:G$147)</f>
        <v>#N/A</v>
      </c>
      <c r="AY36" t="e">
        <f>Sheet1!$AT36*_xlfn.XLOOKUP($A36,'[1]SSP4-change-rate'!$B$2:$B$147,'[1]SSP4-change-rate'!H$2:H$147)</f>
        <v>#N/A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f>Sheet1!$AT37*_xlfn.XLOOKUP($A37,'[1]SSP4-change-rate'!$B$2:$B$147,'[1]SSP4-change-rate'!C$2:C$147)</f>
        <v>473.74286883154372</v>
      </c>
      <c r="AU37">
        <f>Sheet1!$AT37*_xlfn.XLOOKUP($A37,'[1]SSP4-change-rate'!$B$2:$B$147,'[1]SSP4-change-rate'!D$2:D$147)</f>
        <v>472.54956185715696</v>
      </c>
      <c r="AV37">
        <f>Sheet1!$AT37*_xlfn.XLOOKUP($A37,'[1]SSP4-change-rate'!$B$2:$B$147,'[1]SSP4-change-rate'!E$2:E$147)</f>
        <v>470.41446460087712</v>
      </c>
      <c r="AW37">
        <f>Sheet1!$AT37*_xlfn.XLOOKUP($A37,'[1]SSP4-change-rate'!$B$2:$B$147,'[1]SSP4-change-rate'!F$2:F$147)</f>
        <v>464.24902376477928</v>
      </c>
      <c r="AX37">
        <f>Sheet1!$AT37*_xlfn.XLOOKUP($A37,'[1]SSP4-change-rate'!$B$2:$B$147,'[1]SSP4-change-rate'!G$2:G$147)</f>
        <v>452.28136302877243</v>
      </c>
      <c r="AY37">
        <f>Sheet1!$AT37*_xlfn.XLOOKUP($A37,'[1]SSP4-change-rate'!$B$2:$B$147,'[1]SSP4-change-rate'!H$2:H$147)</f>
        <v>439.85663277206447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f>Sheet1!$AT38*_xlfn.XLOOKUP($A38,'[1]SSP4-change-rate'!$B$2:$B$147,'[1]SSP4-change-rate'!C$2:C$147)</f>
        <v>10493.247780439164</v>
      </c>
      <c r="AU38">
        <f>Sheet1!$AT38*_xlfn.XLOOKUP($A38,'[1]SSP4-change-rate'!$B$2:$B$147,'[1]SSP4-change-rate'!D$2:D$147)</f>
        <v>10462.655195990894</v>
      </c>
      <c r="AV38">
        <f>Sheet1!$AT38*_xlfn.XLOOKUP($A38,'[1]SSP4-change-rate'!$B$2:$B$147,'[1]SSP4-change-rate'!E$2:E$147)</f>
        <v>10422.337828939635</v>
      </c>
      <c r="AW38">
        <f>Sheet1!$AT38*_xlfn.XLOOKUP($A38,'[1]SSP4-change-rate'!$B$2:$B$147,'[1]SSP4-change-rate'!F$2:F$147)</f>
        <v>10327.024205801394</v>
      </c>
      <c r="AX38">
        <f>Sheet1!$AT38*_xlfn.XLOOKUP($A38,'[1]SSP4-change-rate'!$B$2:$B$147,'[1]SSP4-change-rate'!G$2:G$147)</f>
        <v>10193.682858886606</v>
      </c>
      <c r="AY38">
        <f>Sheet1!$AT38*_xlfn.XLOOKUP($A38,'[1]SSP4-change-rate'!$B$2:$B$147,'[1]SSP4-change-rate'!H$2:H$147)</f>
        <v>10032.495081108842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f>Sheet1!$AT39*_xlfn.XLOOKUP($A39,'[1]SSP4-change-rate'!$B$2:$B$147,'[1]SSP4-change-rate'!C$2:C$147)</f>
        <v>65058.149024529914</v>
      </c>
      <c r="AU39">
        <f>Sheet1!$AT39*_xlfn.XLOOKUP($A39,'[1]SSP4-change-rate'!$B$2:$B$147,'[1]SSP4-change-rate'!D$2:D$147)</f>
        <v>64948.979287563197</v>
      </c>
      <c r="AV39">
        <f>Sheet1!$AT39*_xlfn.XLOOKUP($A39,'[1]SSP4-change-rate'!$B$2:$B$147,'[1]SSP4-change-rate'!E$2:E$147)</f>
        <v>64790.951198738672</v>
      </c>
      <c r="AW39">
        <f>Sheet1!$AT39*_xlfn.XLOOKUP($A39,'[1]SSP4-change-rate'!$B$2:$B$147,'[1]SSP4-change-rate'!F$2:F$147)</f>
        <v>64448.437077519469</v>
      </c>
      <c r="AX39">
        <f>Sheet1!$AT39*_xlfn.XLOOKUP($A39,'[1]SSP4-change-rate'!$B$2:$B$147,'[1]SSP4-change-rate'!G$2:G$147)</f>
        <v>64001.486857244425</v>
      </c>
      <c r="AY39">
        <f>Sheet1!$AT39*_xlfn.XLOOKUP($A39,'[1]SSP4-change-rate'!$B$2:$B$147,'[1]SSP4-change-rate'!H$2:H$147)</f>
        <v>63418.834653009711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f>Sheet1!$AT40*_xlfn.XLOOKUP($A40,'[1]SSP4-change-rate'!$B$2:$B$147,'[1]SSP4-change-rate'!C$2:C$147)</f>
        <v>51.66440742196265</v>
      </c>
      <c r="AU40">
        <f>Sheet1!$AT40*_xlfn.XLOOKUP($A40,'[1]SSP4-change-rate'!$B$2:$B$147,'[1]SSP4-change-rate'!D$2:D$147)</f>
        <v>51.66440742196265</v>
      </c>
      <c r="AV40">
        <f>Sheet1!$AT40*_xlfn.XLOOKUP($A40,'[1]SSP4-change-rate'!$B$2:$B$147,'[1]SSP4-change-rate'!E$2:E$147)</f>
        <v>51.66440742196265</v>
      </c>
      <c r="AW40">
        <f>Sheet1!$AT40*_xlfn.XLOOKUP($A40,'[1]SSP4-change-rate'!$B$2:$B$147,'[1]SSP4-change-rate'!F$2:F$147)</f>
        <v>50.372797236413582</v>
      </c>
      <c r="AX40">
        <f>Sheet1!$AT40*_xlfn.XLOOKUP($A40,'[1]SSP4-change-rate'!$B$2:$B$147,'[1]SSP4-change-rate'!G$2:G$147)</f>
        <v>49.316025266418897</v>
      </c>
      <c r="AY40">
        <f>Sheet1!$AT40*_xlfn.XLOOKUP($A40,'[1]SSP4-change-rate'!$B$2:$B$147,'[1]SSP4-change-rate'!H$2:H$147)</f>
        <v>43.866006301666403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f>Sheet1!$AT41*_xlfn.XLOOKUP($A41,'[1]SSP4-change-rate'!$B$2:$B$147,'[1]SSP4-change-rate'!C$2:C$147)</f>
        <v>6841.8326812125943</v>
      </c>
      <c r="AU41">
        <f>Sheet1!$AT41*_xlfn.XLOOKUP($A41,'[1]SSP4-change-rate'!$B$2:$B$147,'[1]SSP4-change-rate'!D$2:D$147)</f>
        <v>6832.3821291505183</v>
      </c>
      <c r="AV41">
        <f>Sheet1!$AT41*_xlfn.XLOOKUP($A41,'[1]SSP4-change-rate'!$B$2:$B$147,'[1]SSP4-change-rate'!E$2:E$147)</f>
        <v>6814.2788934089031</v>
      </c>
      <c r="AW41">
        <f>Sheet1!$AT41*_xlfn.XLOOKUP($A41,'[1]SSP4-change-rate'!$B$2:$B$147,'[1]SSP4-change-rate'!F$2:F$147)</f>
        <v>6802.7884896783607</v>
      </c>
      <c r="AX41">
        <f>Sheet1!$AT41*_xlfn.XLOOKUP($A41,'[1]SSP4-change-rate'!$B$2:$B$147,'[1]SSP4-change-rate'!G$2:G$147)</f>
        <v>6801.2264555701695</v>
      </c>
      <c r="AY41">
        <f>Sheet1!$AT41*_xlfn.XLOOKUP($A41,'[1]SSP4-change-rate'!$B$2:$B$147,'[1]SSP4-change-rate'!H$2:H$147)</f>
        <v>6838.9781225173883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f>Sheet1!$AT42*_xlfn.XLOOKUP($A42,'[1]SSP4-change-rate'!$B$2:$B$147,'[1]SSP4-change-rate'!C$2:C$147)</f>
        <v>2865.8862486959761</v>
      </c>
      <c r="AU42">
        <f>Sheet1!$AT42*_xlfn.XLOOKUP($A42,'[1]SSP4-change-rate'!$B$2:$B$147,'[1]SSP4-change-rate'!D$2:D$147)</f>
        <v>2841.5615530920099</v>
      </c>
      <c r="AV42">
        <f>Sheet1!$AT42*_xlfn.XLOOKUP($A42,'[1]SSP4-change-rate'!$B$2:$B$147,'[1]SSP4-change-rate'!E$2:E$147)</f>
        <v>2814.2246978814387</v>
      </c>
      <c r="AW42">
        <f>Sheet1!$AT42*_xlfn.XLOOKUP($A42,'[1]SSP4-change-rate'!$B$2:$B$147,'[1]SSP4-change-rate'!F$2:F$147)</f>
        <v>2733.030921071294</v>
      </c>
      <c r="AX42">
        <f>Sheet1!$AT42*_xlfn.XLOOKUP($A42,'[1]SSP4-change-rate'!$B$2:$B$147,'[1]SSP4-change-rate'!G$2:G$147)</f>
        <v>2624.5239598536355</v>
      </c>
      <c r="AY42">
        <f>Sheet1!$AT42*_xlfn.XLOOKUP($A42,'[1]SSP4-change-rate'!$B$2:$B$147,'[1]SSP4-change-rate'!H$2:H$147)</f>
        <v>2505.0711930753009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f>Sheet1!$AT43*_xlfn.XLOOKUP($A43,'[1]SSP4-change-rate'!$B$2:$B$147,'[1]SSP4-change-rate'!C$2:C$147)</f>
        <v>8049.092636759081</v>
      </c>
      <c r="AU43">
        <f>Sheet1!$AT43*_xlfn.XLOOKUP($A43,'[1]SSP4-change-rate'!$B$2:$B$147,'[1]SSP4-change-rate'!D$2:D$147)</f>
        <v>8015.8366692890713</v>
      </c>
      <c r="AV43">
        <f>Sheet1!$AT43*_xlfn.XLOOKUP($A43,'[1]SSP4-change-rate'!$B$2:$B$147,'[1]SSP4-change-rate'!E$2:E$147)</f>
        <v>7967.6519555627074</v>
      </c>
      <c r="AW43">
        <f>Sheet1!$AT43*_xlfn.XLOOKUP($A43,'[1]SSP4-change-rate'!$B$2:$B$147,'[1]SSP4-change-rate'!F$2:F$147)</f>
        <v>7787.1061424938489</v>
      </c>
      <c r="AX43">
        <f>Sheet1!$AT43*_xlfn.XLOOKUP($A43,'[1]SSP4-change-rate'!$B$2:$B$147,'[1]SSP4-change-rate'!G$2:G$147)</f>
        <v>7490.6955606293959</v>
      </c>
      <c r="AY43">
        <f>Sheet1!$AT43*_xlfn.XLOOKUP($A43,'[1]SSP4-change-rate'!$B$2:$B$147,'[1]SSP4-change-rate'!H$2:H$147)</f>
        <v>7068.9198936913735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f>Sheet1!$AT44*_xlfn.XLOOKUP($A44,'[1]SSP4-change-rate'!$B$2:$B$147,'[1]SSP4-change-rate'!C$2:C$147)</f>
        <v>5231.0010060057139</v>
      </c>
      <c r="AU44">
        <f>Sheet1!$AT44*_xlfn.XLOOKUP($A44,'[1]SSP4-change-rate'!$B$2:$B$147,'[1]SSP4-change-rate'!D$2:D$147)</f>
        <v>5198.0697401820071</v>
      </c>
      <c r="AV44">
        <f>Sheet1!$AT44*_xlfn.XLOOKUP($A44,'[1]SSP4-change-rate'!$B$2:$B$147,'[1]SSP4-change-rate'!E$2:E$147)</f>
        <v>5156.9377378262188</v>
      </c>
      <c r="AW44">
        <f>Sheet1!$AT44*_xlfn.XLOOKUP($A44,'[1]SSP4-change-rate'!$B$2:$B$147,'[1]SSP4-change-rate'!F$2:F$147)</f>
        <v>5032.4457695961128</v>
      </c>
      <c r="AX44">
        <f>Sheet1!$AT44*_xlfn.XLOOKUP($A44,'[1]SSP4-change-rate'!$B$2:$B$147,'[1]SSP4-change-rate'!G$2:G$147)</f>
        <v>4862.5155927398218</v>
      </c>
      <c r="AY44">
        <f>Sheet1!$AT44*_xlfn.XLOOKUP($A44,'[1]SSP4-change-rate'!$B$2:$B$147,'[1]SSP4-change-rate'!H$2:H$147)</f>
        <v>4636.0485004413204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f>Sheet1!$AT45*_xlfn.XLOOKUP($A45,'[1]SSP4-change-rate'!$B$2:$B$147,'[1]SSP4-change-rate'!C$2:C$147)</f>
        <v>18155.230334430053</v>
      </c>
      <c r="AU45">
        <f>Sheet1!$AT45*_xlfn.XLOOKUP($A45,'[1]SSP4-change-rate'!$B$2:$B$147,'[1]SSP4-change-rate'!D$2:D$147)</f>
        <v>18030.285745794103</v>
      </c>
      <c r="AV45">
        <f>Sheet1!$AT45*_xlfn.XLOOKUP($A45,'[1]SSP4-change-rate'!$B$2:$B$147,'[1]SSP4-change-rate'!E$2:E$147)</f>
        <v>17862.940777779047</v>
      </c>
      <c r="AW45">
        <f>Sheet1!$AT45*_xlfn.XLOOKUP($A45,'[1]SSP4-change-rate'!$B$2:$B$147,'[1]SSP4-change-rate'!F$2:F$147)</f>
        <v>17311.633780569435</v>
      </c>
      <c r="AX45">
        <f>Sheet1!$AT45*_xlfn.XLOOKUP($A45,'[1]SSP4-change-rate'!$B$2:$B$147,'[1]SSP4-change-rate'!G$2:G$147)</f>
        <v>16522.706304450272</v>
      </c>
      <c r="AY45">
        <f>Sheet1!$AT45*_xlfn.XLOOKUP($A45,'[1]SSP4-change-rate'!$B$2:$B$147,'[1]SSP4-change-rate'!H$2:H$147)</f>
        <v>15587.306410566127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f>Sheet1!$AT46*_xlfn.XLOOKUP($A46,'[1]SSP4-change-rate'!$B$2:$B$147,'[1]SSP4-change-rate'!C$2:C$147)</f>
        <v>109.1589092299342</v>
      </c>
      <c r="AU46">
        <f>Sheet1!$AT46*_xlfn.XLOOKUP($A46,'[1]SSP4-change-rate'!$B$2:$B$147,'[1]SSP4-change-rate'!D$2:D$147)</f>
        <v>109.1589092299342</v>
      </c>
      <c r="AV46">
        <f>Sheet1!$AT46*_xlfn.XLOOKUP($A46,'[1]SSP4-change-rate'!$B$2:$B$147,'[1]SSP4-change-rate'!E$2:E$147)</f>
        <v>106.49649680969189</v>
      </c>
      <c r="AW46">
        <f>Sheet1!$AT46*_xlfn.XLOOKUP($A46,'[1]SSP4-change-rate'!$B$2:$B$147,'[1]SSP4-change-rate'!F$2:F$147)</f>
        <v>105.3948089116606</v>
      </c>
      <c r="AX46">
        <f>Sheet1!$AT46*_xlfn.XLOOKUP($A46,'[1]SSP4-change-rate'!$B$2:$B$147,'[1]SSP4-change-rate'!G$2:G$147)</f>
        <v>100.97199103768914</v>
      </c>
      <c r="AY46">
        <f>Sheet1!$AT46*_xlfn.XLOOKUP($A46,'[1]SSP4-change-rate'!$B$2:$B$147,'[1]SSP4-change-rate'!H$2:H$147)</f>
        <v>98.040872178737189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f>Sheet1!$AT47*_xlfn.XLOOKUP($A47,'[1]SSP4-change-rate'!$B$2:$B$147,'[1]SSP4-change-rate'!C$2:C$147)</f>
        <v>27260.135589894882</v>
      </c>
      <c r="AU47">
        <f>Sheet1!$AT47*_xlfn.XLOOKUP($A47,'[1]SSP4-change-rate'!$B$2:$B$147,'[1]SSP4-change-rate'!D$2:D$147)</f>
        <v>27187.368558004862</v>
      </c>
      <c r="AV47">
        <f>Sheet1!$AT47*_xlfn.XLOOKUP($A47,'[1]SSP4-change-rate'!$B$2:$B$147,'[1]SSP4-change-rate'!E$2:E$147)</f>
        <v>27084.463088657067</v>
      </c>
      <c r="AW47">
        <f>Sheet1!$AT47*_xlfn.XLOOKUP($A47,'[1]SSP4-change-rate'!$B$2:$B$147,'[1]SSP4-change-rate'!F$2:F$147)</f>
        <v>26832.02810006437</v>
      </c>
      <c r="AX47">
        <f>Sheet1!$AT47*_xlfn.XLOOKUP($A47,'[1]SSP4-change-rate'!$B$2:$B$147,'[1]SSP4-change-rate'!G$2:G$147)</f>
        <v>26470.547401100663</v>
      </c>
      <c r="AY47">
        <f>Sheet1!$AT47*_xlfn.XLOOKUP($A47,'[1]SSP4-change-rate'!$B$2:$B$147,'[1]SSP4-change-rate'!H$2:H$147)</f>
        <v>26036.125100461515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f>Sheet1!$AT48*_xlfn.XLOOKUP($A48,'[1]SSP4-change-rate'!$B$2:$B$147,'[1]SSP4-change-rate'!C$2:C$147)</f>
        <v>922.54780209332944</v>
      </c>
      <c r="AU48">
        <f>Sheet1!$AT48*_xlfn.XLOOKUP($A48,'[1]SSP4-change-rate'!$B$2:$B$147,'[1]SSP4-change-rate'!D$2:D$147)</f>
        <v>922.54780209332944</v>
      </c>
      <c r="AV48">
        <f>Sheet1!$AT48*_xlfn.XLOOKUP($A48,'[1]SSP4-change-rate'!$B$2:$B$147,'[1]SSP4-change-rate'!E$2:E$147)</f>
        <v>920.89152237682435</v>
      </c>
      <c r="AW48">
        <f>Sheet1!$AT48*_xlfn.XLOOKUP($A48,'[1]SSP4-change-rate'!$B$2:$B$147,'[1]SSP4-change-rate'!F$2:F$147)</f>
        <v>916.39748341270717</v>
      </c>
      <c r="AX48">
        <f>Sheet1!$AT48*_xlfn.XLOOKUP($A48,'[1]SSP4-change-rate'!$B$2:$B$147,'[1]SSP4-change-rate'!G$2:G$147)</f>
        <v>905.30391794205229</v>
      </c>
      <c r="AY48">
        <f>Sheet1!$AT48*_xlfn.XLOOKUP($A48,'[1]SSP4-change-rate'!$B$2:$B$147,'[1]SSP4-change-rate'!H$2:H$147)</f>
        <v>889.98729143121193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f>Sheet1!$AT49*_xlfn.XLOOKUP($A49,'[1]SSP4-change-rate'!$B$2:$B$147,'[1]SSP4-change-rate'!C$2:C$147)</f>
        <v>3059.6617933410107</v>
      </c>
      <c r="AU49">
        <f>Sheet1!$AT49*_xlfn.XLOOKUP($A49,'[1]SSP4-change-rate'!$B$2:$B$147,'[1]SSP4-change-rate'!D$2:D$147)</f>
        <v>3060.8111914296774</v>
      </c>
      <c r="AV49">
        <f>Sheet1!$AT49*_xlfn.XLOOKUP($A49,'[1]SSP4-change-rate'!$B$2:$B$147,'[1]SSP4-change-rate'!E$2:E$147)</f>
        <v>3043.4776688732095</v>
      </c>
      <c r="AW49">
        <f>Sheet1!$AT49*_xlfn.XLOOKUP($A49,'[1]SSP4-change-rate'!$B$2:$B$147,'[1]SSP4-change-rate'!F$2:F$147)</f>
        <v>2968.6530228778511</v>
      </c>
      <c r="AX49">
        <f>Sheet1!$AT49*_xlfn.XLOOKUP($A49,'[1]SSP4-change-rate'!$B$2:$B$147,'[1]SSP4-change-rate'!G$2:G$147)</f>
        <v>2823.9612711142963</v>
      </c>
      <c r="AY49">
        <f>Sheet1!$AT49*_xlfn.XLOOKUP($A49,'[1]SSP4-change-rate'!$B$2:$B$147,'[1]SSP4-change-rate'!H$2:H$147)</f>
        <v>2544.0871581115075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f>Sheet1!$AT50*_xlfn.XLOOKUP($A50,'[1]SSP4-change-rate'!$B$2:$B$147,'[1]SSP4-change-rate'!C$2:C$147)</f>
        <v>6103.1122850161682</v>
      </c>
      <c r="AU50">
        <f>Sheet1!$AT50*_xlfn.XLOOKUP($A50,'[1]SSP4-change-rate'!$B$2:$B$147,'[1]SSP4-change-rate'!D$2:D$147)</f>
        <v>6069.5960502897187</v>
      </c>
      <c r="AV50">
        <f>Sheet1!$AT50*_xlfn.XLOOKUP($A50,'[1]SSP4-change-rate'!$B$2:$B$147,'[1]SSP4-change-rate'!E$2:E$147)</f>
        <v>6021.4194215681646</v>
      </c>
      <c r="AW50">
        <f>Sheet1!$AT50*_xlfn.XLOOKUP($A50,'[1]SSP4-change-rate'!$B$2:$B$147,'[1]SSP4-change-rate'!F$2:F$147)</f>
        <v>5915.5404796477596</v>
      </c>
      <c r="AX50">
        <f>Sheet1!$AT50*_xlfn.XLOOKUP($A50,'[1]SSP4-change-rate'!$B$2:$B$147,'[1]SSP4-change-rate'!G$2:G$147)</f>
        <v>5776.864692065802</v>
      </c>
      <c r="AY50">
        <f>Sheet1!$AT50*_xlfn.XLOOKUP($A50,'[1]SSP4-change-rate'!$B$2:$B$147,'[1]SSP4-change-rate'!H$2:H$147)</f>
        <v>5601.7713642084645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f>Sheet1!$AT51*_xlfn.XLOOKUP($A51,'[1]SSP4-change-rate'!$B$2:$B$147,'[1]SSP4-change-rate'!C$2:C$147)</f>
        <v>75164.19365131222</v>
      </c>
      <c r="AU51">
        <f>Sheet1!$AT51*_xlfn.XLOOKUP($A51,'[1]SSP4-change-rate'!$B$2:$B$147,'[1]SSP4-change-rate'!D$2:D$147)</f>
        <v>74896.582855302171</v>
      </c>
      <c r="AV51">
        <f>Sheet1!$AT51*_xlfn.XLOOKUP($A51,'[1]SSP4-change-rate'!$B$2:$B$147,'[1]SSP4-change-rate'!E$2:E$147)</f>
        <v>74513.139309171369</v>
      </c>
      <c r="AW51">
        <f>Sheet1!$AT51*_xlfn.XLOOKUP($A51,'[1]SSP4-change-rate'!$B$2:$B$147,'[1]SSP4-change-rate'!F$2:F$147)</f>
        <v>73668.148966799199</v>
      </c>
      <c r="AX51">
        <f>Sheet1!$AT51*_xlfn.XLOOKUP($A51,'[1]SSP4-change-rate'!$B$2:$B$147,'[1]SSP4-change-rate'!G$2:G$147)</f>
        <v>72561.206328495347</v>
      </c>
      <c r="AY51">
        <f>Sheet1!$AT51*_xlfn.XLOOKUP($A51,'[1]SSP4-change-rate'!$B$2:$B$147,'[1]SSP4-change-rate'!H$2:H$147)</f>
        <v>71201.955088574483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f>Sheet1!$AT52*_xlfn.XLOOKUP($A52,'[1]SSP4-change-rate'!$B$2:$B$147,'[1]SSP4-change-rate'!C$2:C$147)</f>
        <v>259.88175128624982</v>
      </c>
      <c r="AU52">
        <f>Sheet1!$AT52*_xlfn.XLOOKUP($A52,'[1]SSP4-change-rate'!$B$2:$B$147,'[1]SSP4-change-rate'!D$2:D$147)</f>
        <v>259.88175128624982</v>
      </c>
      <c r="AV52">
        <f>Sheet1!$AT52*_xlfn.XLOOKUP($A52,'[1]SSP4-change-rate'!$B$2:$B$147,'[1]SSP4-change-rate'!E$2:E$147)</f>
        <v>259.88175128624982</v>
      </c>
      <c r="AW52">
        <f>Sheet1!$AT52*_xlfn.XLOOKUP($A52,'[1]SSP4-change-rate'!$B$2:$B$147,'[1]SSP4-change-rate'!F$2:F$147)</f>
        <v>261.51622770943379</v>
      </c>
      <c r="AX52">
        <f>Sheet1!$AT52*_xlfn.XLOOKUP($A52,'[1]SSP4-change-rate'!$B$2:$B$147,'[1]SSP4-change-rate'!G$2:G$147)</f>
        <v>261.41951312818031</v>
      </c>
      <c r="AY52">
        <f>Sheet1!$AT52*_xlfn.XLOOKUP($A52,'[1]SSP4-change-rate'!$B$2:$B$147,'[1]SSP4-change-rate'!H$2:H$147)</f>
        <v>257.02590786552179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f>Sheet1!$AT53*_xlfn.XLOOKUP($A53,'[1]SSP4-change-rate'!$B$2:$B$147,'[1]SSP4-change-rate'!C$2:C$147)</f>
        <v>84860.379718220327</v>
      </c>
      <c r="AU53">
        <f>Sheet1!$AT53*_xlfn.XLOOKUP($A53,'[1]SSP4-change-rate'!$B$2:$B$147,'[1]SSP4-change-rate'!D$2:D$147)</f>
        <v>84390.490524490015</v>
      </c>
      <c r="AV53">
        <f>Sheet1!$AT53*_xlfn.XLOOKUP($A53,'[1]SSP4-change-rate'!$B$2:$B$147,'[1]SSP4-change-rate'!E$2:E$147)</f>
        <v>83719.498656495911</v>
      </c>
      <c r="AW53">
        <f>Sheet1!$AT53*_xlfn.XLOOKUP($A53,'[1]SSP4-change-rate'!$B$2:$B$147,'[1]SSP4-change-rate'!F$2:F$147)</f>
        <v>82378.159588102659</v>
      </c>
      <c r="AX53">
        <f>Sheet1!$AT53*_xlfn.XLOOKUP($A53,'[1]SSP4-change-rate'!$B$2:$B$147,'[1]SSP4-change-rate'!G$2:G$147)</f>
        <v>80752.31774223398</v>
      </c>
      <c r="AY53">
        <f>Sheet1!$AT53*_xlfn.XLOOKUP($A53,'[1]SSP4-change-rate'!$B$2:$B$147,'[1]SSP4-change-rate'!H$2:H$147)</f>
        <v>78921.809114442643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f>Sheet1!$AT54*_xlfn.XLOOKUP($A54,'[1]SSP4-change-rate'!$B$2:$B$147,'[1]SSP4-change-rate'!C$2:C$147)</f>
        <v>396.74444017983603</v>
      </c>
      <c r="AU54">
        <f>Sheet1!$AT54*_xlfn.XLOOKUP($A54,'[1]SSP4-change-rate'!$B$2:$B$147,'[1]SSP4-change-rate'!D$2:D$147)</f>
        <v>392.57549685045075</v>
      </c>
      <c r="AV54">
        <f>Sheet1!$AT54*_xlfn.XLOOKUP($A54,'[1]SSP4-change-rate'!$B$2:$B$147,'[1]SSP4-change-rate'!E$2:E$147)</f>
        <v>388.54300472392214</v>
      </c>
      <c r="AW54">
        <f>Sheet1!$AT54*_xlfn.XLOOKUP($A54,'[1]SSP4-change-rate'!$B$2:$B$147,'[1]SSP4-change-rate'!F$2:F$147)</f>
        <v>379.35861896249003</v>
      </c>
      <c r="AX54">
        <f>Sheet1!$AT54*_xlfn.XLOOKUP($A54,'[1]SSP4-change-rate'!$B$2:$B$147,'[1]SSP4-change-rate'!G$2:G$147)</f>
        <v>371.35964134733757</v>
      </c>
      <c r="AY54">
        <f>Sheet1!$AT54*_xlfn.XLOOKUP($A54,'[1]SSP4-change-rate'!$B$2:$B$147,'[1]SSP4-change-rate'!H$2:H$147)</f>
        <v>361.72983464306219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f>Sheet1!$AT55*_xlfn.XLOOKUP($A55,'[1]SSP4-change-rate'!$B$2:$B$147,'[1]SSP4-change-rate'!C$2:C$147)</f>
        <v>4655.4756251332856</v>
      </c>
      <c r="AU55">
        <f>Sheet1!$AT55*_xlfn.XLOOKUP($A55,'[1]SSP4-change-rate'!$B$2:$B$147,'[1]SSP4-change-rate'!D$2:D$147)</f>
        <v>4669.7698666132937</v>
      </c>
      <c r="AV55">
        <f>Sheet1!$AT55*_xlfn.XLOOKUP($A55,'[1]SSP4-change-rate'!$B$2:$B$147,'[1]SSP4-change-rate'!E$2:E$147)</f>
        <v>4691.1067875531453</v>
      </c>
      <c r="AW55">
        <f>Sheet1!$AT55*_xlfn.XLOOKUP($A55,'[1]SSP4-change-rate'!$B$2:$B$147,'[1]SSP4-change-rate'!F$2:F$147)</f>
        <v>4689.8702504729954</v>
      </c>
      <c r="AX55">
        <f>Sheet1!$AT55*_xlfn.XLOOKUP($A55,'[1]SSP4-change-rate'!$B$2:$B$147,'[1]SSP4-change-rate'!G$2:G$147)</f>
        <v>4518.6540432288311</v>
      </c>
      <c r="AY55">
        <f>Sheet1!$AT55*_xlfn.XLOOKUP($A55,'[1]SSP4-change-rate'!$B$2:$B$147,'[1]SSP4-change-rate'!H$2:H$147)</f>
        <v>3903.4009300955504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f>Sheet1!$AT56*_xlfn.XLOOKUP($A56,'[1]SSP4-change-rate'!$B$2:$B$147,'[1]SSP4-change-rate'!C$2:C$147)</f>
        <v>1281.924242606824</v>
      </c>
      <c r="AU56">
        <f>Sheet1!$AT56*_xlfn.XLOOKUP($A56,'[1]SSP4-change-rate'!$B$2:$B$147,'[1]SSP4-change-rate'!D$2:D$147)</f>
        <v>1281.924242606824</v>
      </c>
      <c r="AV56">
        <f>Sheet1!$AT56*_xlfn.XLOOKUP($A56,'[1]SSP4-change-rate'!$B$2:$B$147,'[1]SSP4-change-rate'!E$2:E$147)</f>
        <v>1260.1967130711153</v>
      </c>
      <c r="AW56">
        <f>Sheet1!$AT56*_xlfn.XLOOKUP($A56,'[1]SSP4-change-rate'!$B$2:$B$147,'[1]SSP4-change-rate'!F$2:F$147)</f>
        <v>1243.6578473051277</v>
      </c>
      <c r="AX56">
        <f>Sheet1!$AT56*_xlfn.XLOOKUP($A56,'[1]SSP4-change-rate'!$B$2:$B$147,'[1]SSP4-change-rate'!G$2:G$147)</f>
        <v>1183.3146854832223</v>
      </c>
      <c r="AY56">
        <f>Sheet1!$AT56*_xlfn.XLOOKUP($A56,'[1]SSP4-change-rate'!$B$2:$B$147,'[1]SSP4-change-rate'!H$2:H$147)</f>
        <v>1077.3618634674372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f>Sheet1!$AT57*_xlfn.XLOOKUP($A57,'[1]SSP4-change-rate'!$B$2:$B$147,'[1]SSP4-change-rate'!C$2:C$147)</f>
        <v>229.31831755263403</v>
      </c>
      <c r="AU57">
        <f>Sheet1!$AT57*_xlfn.XLOOKUP($A57,'[1]SSP4-change-rate'!$B$2:$B$147,'[1]SSP4-change-rate'!D$2:D$147)</f>
        <v>236.9622614710552</v>
      </c>
      <c r="AV57">
        <f>Sheet1!$AT57*_xlfn.XLOOKUP($A57,'[1]SSP4-change-rate'!$B$2:$B$147,'[1]SSP4-change-rate'!E$2:E$147)</f>
        <v>242.80763034984778</v>
      </c>
      <c r="AW57">
        <f>Sheet1!$AT57*_xlfn.XLOOKUP($A57,'[1]SSP4-change-rate'!$B$2:$B$147,'[1]SSP4-change-rate'!F$2:F$147)</f>
        <v>240.23823743609282</v>
      </c>
      <c r="AX57">
        <f>Sheet1!$AT57*_xlfn.XLOOKUP($A57,'[1]SSP4-change-rate'!$B$2:$B$147,'[1]SSP4-change-rate'!G$2:G$147)</f>
        <v>238.49105025473941</v>
      </c>
      <c r="AY57">
        <f>Sheet1!$AT57*_xlfn.XLOOKUP($A57,'[1]SSP4-change-rate'!$B$2:$B$147,'[1]SSP4-change-rate'!H$2:H$147)</f>
        <v>241.17960983983923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 t="e">
        <f>Sheet1!$AT58*_xlfn.XLOOKUP($A58,'[1]SSP4-change-rate'!$B$2:$B$147,'[1]SSP4-change-rate'!C$2:C$147)</f>
        <v>#N/A</v>
      </c>
      <c r="AU58" t="e">
        <f>Sheet1!$AT58*_xlfn.XLOOKUP($A58,'[1]SSP4-change-rate'!$B$2:$B$147,'[1]SSP4-change-rate'!D$2:D$147)</f>
        <v>#N/A</v>
      </c>
      <c r="AV58" t="e">
        <f>Sheet1!$AT58*_xlfn.XLOOKUP($A58,'[1]SSP4-change-rate'!$B$2:$B$147,'[1]SSP4-change-rate'!E$2:E$147)</f>
        <v>#N/A</v>
      </c>
      <c r="AW58" t="e">
        <f>Sheet1!$AT58*_xlfn.XLOOKUP($A58,'[1]SSP4-change-rate'!$B$2:$B$147,'[1]SSP4-change-rate'!F$2:F$147)</f>
        <v>#N/A</v>
      </c>
      <c r="AX58" t="e">
        <f>Sheet1!$AT58*_xlfn.XLOOKUP($A58,'[1]SSP4-change-rate'!$B$2:$B$147,'[1]SSP4-change-rate'!G$2:G$147)</f>
        <v>#N/A</v>
      </c>
      <c r="AY58" t="e">
        <f>Sheet1!$AT58*_xlfn.XLOOKUP($A58,'[1]SSP4-change-rate'!$B$2:$B$147,'[1]SSP4-change-rate'!H$2:H$147)</f>
        <v>#N/A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f>Sheet1!$AT59*_xlfn.XLOOKUP($A59,'[1]SSP4-change-rate'!$B$2:$B$147,'[1]SSP4-change-rate'!C$2:C$147)</f>
        <v>5188.6535635654773</v>
      </c>
      <c r="AU59">
        <f>Sheet1!$AT59*_xlfn.XLOOKUP($A59,'[1]SSP4-change-rate'!$B$2:$B$147,'[1]SSP4-change-rate'!D$2:D$147)</f>
        <v>5175.5698524893523</v>
      </c>
      <c r="AV59">
        <f>Sheet1!$AT59*_xlfn.XLOOKUP($A59,'[1]SSP4-change-rate'!$B$2:$B$147,'[1]SSP4-change-rate'!E$2:E$147)</f>
        <v>5158.9577455601493</v>
      </c>
      <c r="AW59">
        <f>Sheet1!$AT59*_xlfn.XLOOKUP($A59,'[1]SSP4-change-rate'!$B$2:$B$147,'[1]SSP4-change-rate'!F$2:F$147)</f>
        <v>5112.1756541791101</v>
      </c>
      <c r="AX59">
        <f>Sheet1!$AT59*_xlfn.XLOOKUP($A59,'[1]SSP4-change-rate'!$B$2:$B$147,'[1]SSP4-change-rate'!G$2:G$147)</f>
        <v>5045.7393314030542</v>
      </c>
      <c r="AY59">
        <f>Sheet1!$AT59*_xlfn.XLOOKUP($A59,'[1]SSP4-change-rate'!$B$2:$B$147,'[1]SSP4-change-rate'!H$2:H$147)</f>
        <v>4958.824204115409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f>Sheet1!$AT60*_xlfn.XLOOKUP($A60,'[1]SSP4-change-rate'!$B$2:$B$147,'[1]SSP4-change-rate'!C$2:C$147)</f>
        <v>3478.0068088301005</v>
      </c>
      <c r="AU60">
        <f>Sheet1!$AT60*_xlfn.XLOOKUP($A60,'[1]SSP4-change-rate'!$B$2:$B$147,'[1]SSP4-change-rate'!D$2:D$147)</f>
        <v>3533.2132661131177</v>
      </c>
      <c r="AV60">
        <f>Sheet1!$AT60*_xlfn.XLOOKUP($A60,'[1]SSP4-change-rate'!$B$2:$B$147,'[1]SSP4-change-rate'!E$2:E$147)</f>
        <v>3596.6567475668335</v>
      </c>
      <c r="AW60">
        <f>Sheet1!$AT60*_xlfn.XLOOKUP($A60,'[1]SSP4-change-rate'!$B$2:$B$147,'[1]SSP4-change-rate'!F$2:F$147)</f>
        <v>3708.5717623673809</v>
      </c>
      <c r="AX60">
        <f>Sheet1!$AT60*_xlfn.XLOOKUP($A60,'[1]SSP4-change-rate'!$B$2:$B$147,'[1]SSP4-change-rate'!G$2:G$147)</f>
        <v>3807.3684367182332</v>
      </c>
      <c r="AY60">
        <f>Sheet1!$AT60*_xlfn.XLOOKUP($A60,'[1]SSP4-change-rate'!$B$2:$B$147,'[1]SSP4-change-rate'!H$2:H$147)</f>
        <v>3876.6663004956549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f>Sheet1!$AT61*_xlfn.XLOOKUP($A61,'[1]SSP4-change-rate'!$B$2:$B$147,'[1]SSP4-change-rate'!C$2:C$147)</f>
        <v>168.54024812413414</v>
      </c>
      <c r="AU61">
        <f>Sheet1!$AT61*_xlfn.XLOOKUP($A61,'[1]SSP4-change-rate'!$B$2:$B$147,'[1]SSP4-change-rate'!D$2:D$147)</f>
        <v>168.54024812413414</v>
      </c>
      <c r="AV61">
        <f>Sheet1!$AT61*_xlfn.XLOOKUP($A61,'[1]SSP4-change-rate'!$B$2:$B$147,'[1]SSP4-change-rate'!E$2:E$147)</f>
        <v>168.54024812413414</v>
      </c>
      <c r="AW61">
        <f>Sheet1!$AT61*_xlfn.XLOOKUP($A61,'[1]SSP4-change-rate'!$B$2:$B$147,'[1]SSP4-change-rate'!F$2:F$147)</f>
        <v>164.10497843665692</v>
      </c>
      <c r="AX61">
        <f>Sheet1!$AT61*_xlfn.XLOOKUP($A61,'[1]SSP4-change-rate'!$B$2:$B$147,'[1]SSP4-change-rate'!G$2:G$147)</f>
        <v>152.64022471619697</v>
      </c>
      <c r="AY61">
        <f>Sheet1!$AT61*_xlfn.XLOOKUP($A61,'[1]SSP4-change-rate'!$B$2:$B$147,'[1]SSP4-change-rate'!H$2:H$147)</f>
        <v>145.93119044894542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f>Sheet1!$AT62*_xlfn.XLOOKUP($A62,'[1]SSP4-change-rate'!$B$2:$B$147,'[1]SSP4-change-rate'!C$2:C$147)</f>
        <v>2611.0739899783025</v>
      </c>
      <c r="AU62">
        <f>Sheet1!$AT62*_xlfn.XLOOKUP($A62,'[1]SSP4-change-rate'!$B$2:$B$147,'[1]SSP4-change-rate'!D$2:D$147)</f>
        <v>2629.2792803972497</v>
      </c>
      <c r="AV62">
        <f>Sheet1!$AT62*_xlfn.XLOOKUP($A62,'[1]SSP4-change-rate'!$B$2:$B$147,'[1]SSP4-change-rate'!E$2:E$147)</f>
        <v>2650.826884087583</v>
      </c>
      <c r="AW62">
        <f>Sheet1!$AT62*_xlfn.XLOOKUP($A62,'[1]SSP4-change-rate'!$B$2:$B$147,'[1]SSP4-change-rate'!F$2:F$147)</f>
        <v>2682.372228038515</v>
      </c>
      <c r="AX62">
        <f>Sheet1!$AT62*_xlfn.XLOOKUP($A62,'[1]SSP4-change-rate'!$B$2:$B$147,'[1]SSP4-change-rate'!G$2:G$147)</f>
        <v>2702.1692952256803</v>
      </c>
      <c r="AY62">
        <f>Sheet1!$AT62*_xlfn.XLOOKUP($A62,'[1]SSP4-change-rate'!$B$2:$B$147,'[1]SSP4-change-rate'!H$2:H$147)</f>
        <v>2703.8291889265079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f>Sheet1!$AT63*_xlfn.XLOOKUP($A63,'[1]SSP4-change-rate'!$B$2:$B$147,'[1]SSP4-change-rate'!C$2:C$147)</f>
        <v>2810.8942875580788</v>
      </c>
      <c r="AU63">
        <f>Sheet1!$AT63*_xlfn.XLOOKUP($A63,'[1]SSP4-change-rate'!$B$2:$B$147,'[1]SSP4-change-rate'!D$2:D$147)</f>
        <v>2803.1910492573761</v>
      </c>
      <c r="AV63">
        <f>Sheet1!$AT63*_xlfn.XLOOKUP($A63,'[1]SSP4-change-rate'!$B$2:$B$147,'[1]SSP4-change-rate'!E$2:E$147)</f>
        <v>2790.8901418881169</v>
      </c>
      <c r="AW63">
        <f>Sheet1!$AT63*_xlfn.XLOOKUP($A63,'[1]SSP4-change-rate'!$B$2:$B$147,'[1]SSP4-change-rate'!F$2:F$147)</f>
        <v>2755.8113693967352</v>
      </c>
      <c r="AX63">
        <f>Sheet1!$AT63*_xlfn.XLOOKUP($A63,'[1]SSP4-change-rate'!$B$2:$B$147,'[1]SSP4-change-rate'!G$2:G$147)</f>
        <v>2707.5220382655798</v>
      </c>
      <c r="AY63">
        <f>Sheet1!$AT63*_xlfn.XLOOKUP($A63,'[1]SSP4-change-rate'!$B$2:$B$147,'[1]SSP4-change-rate'!H$2:H$147)</f>
        <v>2647.3989690308322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f>Sheet1!$AT64*_xlfn.XLOOKUP($A64,'[1]SSP4-change-rate'!$B$2:$B$147,'[1]SSP4-change-rate'!C$2:C$147)</f>
        <v>862.08819812013553</v>
      </c>
      <c r="AU64">
        <f>Sheet1!$AT64*_xlfn.XLOOKUP($A64,'[1]SSP4-change-rate'!$B$2:$B$147,'[1]SSP4-change-rate'!D$2:D$147)</f>
        <v>838.99812370718575</v>
      </c>
      <c r="AV64">
        <f>Sheet1!$AT64*_xlfn.XLOOKUP($A64,'[1]SSP4-change-rate'!$B$2:$B$147,'[1]SSP4-change-rate'!E$2:E$147)</f>
        <v>800.26388977296892</v>
      </c>
      <c r="AW64">
        <f>Sheet1!$AT64*_xlfn.XLOOKUP($A64,'[1]SSP4-change-rate'!$B$2:$B$147,'[1]SSP4-change-rate'!F$2:F$147)</f>
        <v>617.21644914582873</v>
      </c>
      <c r="AX64">
        <f>Sheet1!$AT64*_xlfn.XLOOKUP($A64,'[1]SSP4-change-rate'!$B$2:$B$147,'[1]SSP4-change-rate'!G$2:G$147)</f>
        <v>322.48348289594151</v>
      </c>
      <c r="AY64">
        <f>Sheet1!$AT64*_xlfn.XLOOKUP($A64,'[1]SSP4-change-rate'!$B$2:$B$147,'[1]SSP4-change-rate'!H$2:H$147)</f>
        <v>138.02768979399724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f>Sheet1!$AT65*_xlfn.XLOOKUP($A65,'[1]SSP4-change-rate'!$B$2:$B$147,'[1]SSP4-change-rate'!C$2:C$147)</f>
        <v>9305.7793605064435</v>
      </c>
      <c r="AU65">
        <f>Sheet1!$AT65*_xlfn.XLOOKUP($A65,'[1]SSP4-change-rate'!$B$2:$B$147,'[1]SSP4-change-rate'!D$2:D$147)</f>
        <v>9282.4249981680405</v>
      </c>
      <c r="AV65">
        <f>Sheet1!$AT65*_xlfn.XLOOKUP($A65,'[1]SSP4-change-rate'!$B$2:$B$147,'[1]SSP4-change-rate'!E$2:E$147)</f>
        <v>9245.7977087246963</v>
      </c>
      <c r="AW65">
        <f>Sheet1!$AT65*_xlfn.XLOOKUP($A65,'[1]SSP4-change-rate'!$B$2:$B$147,'[1]SSP4-change-rate'!F$2:F$147)</f>
        <v>9160.9425163315063</v>
      </c>
      <c r="AX65">
        <f>Sheet1!$AT65*_xlfn.XLOOKUP($A65,'[1]SSP4-change-rate'!$B$2:$B$147,'[1]SSP4-change-rate'!G$2:G$147)</f>
        <v>9048.0979981813889</v>
      </c>
      <c r="AY65">
        <f>Sheet1!$AT65*_xlfn.XLOOKUP($A65,'[1]SSP4-change-rate'!$B$2:$B$147,'[1]SSP4-change-rate'!H$2:H$147)</f>
        <v>8899.3384583237057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f>Sheet1!$AT66*_xlfn.XLOOKUP($A66,'[1]SSP4-change-rate'!$B$2:$B$147,'[1]SSP4-change-rate'!C$2:C$147)</f>
        <v>63280.825151982455</v>
      </c>
      <c r="AU66">
        <f>Sheet1!$AT66*_xlfn.XLOOKUP($A66,'[1]SSP4-change-rate'!$B$2:$B$147,'[1]SSP4-change-rate'!D$2:D$147)</f>
        <v>62747.663510064987</v>
      </c>
      <c r="AV66">
        <f>Sheet1!$AT66*_xlfn.XLOOKUP($A66,'[1]SSP4-change-rate'!$B$2:$B$147,'[1]SSP4-change-rate'!E$2:E$147)</f>
        <v>62055.975751725418</v>
      </c>
      <c r="AW66">
        <f>Sheet1!$AT66*_xlfn.XLOOKUP($A66,'[1]SSP4-change-rate'!$B$2:$B$147,'[1]SSP4-change-rate'!F$2:F$147)</f>
        <v>59867.628405080919</v>
      </c>
      <c r="AX66">
        <f>Sheet1!$AT66*_xlfn.XLOOKUP($A66,'[1]SSP4-change-rate'!$B$2:$B$147,'[1]SSP4-change-rate'!G$2:G$147)</f>
        <v>56862.333658956719</v>
      </c>
      <c r="AY66">
        <f>Sheet1!$AT66*_xlfn.XLOOKUP($A66,'[1]SSP4-change-rate'!$B$2:$B$147,'[1]SSP4-change-rate'!H$2:H$147)</f>
        <v>53002.368688301089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f>Sheet1!$AT67*_xlfn.XLOOKUP($A67,'[1]SSP4-change-rate'!$B$2:$B$147,'[1]SSP4-change-rate'!C$2:C$147)</f>
        <v>116932.21525360206</v>
      </c>
      <c r="AU67">
        <f>Sheet1!$AT67*_xlfn.XLOOKUP($A67,'[1]SSP4-change-rate'!$B$2:$B$147,'[1]SSP4-change-rate'!D$2:D$147)</f>
        <v>115142.14347505169</v>
      </c>
      <c r="AV67">
        <f>Sheet1!$AT67*_xlfn.XLOOKUP($A67,'[1]SSP4-change-rate'!$B$2:$B$147,'[1]SSP4-change-rate'!E$2:E$147)</f>
        <v>113023.38909647687</v>
      </c>
      <c r="AW67">
        <f>Sheet1!$AT67*_xlfn.XLOOKUP($A67,'[1]SSP4-change-rate'!$B$2:$B$147,'[1]SSP4-change-rate'!F$2:F$147)</f>
        <v>106037.20474050142</v>
      </c>
      <c r="AX67">
        <f>Sheet1!$AT67*_xlfn.XLOOKUP($A67,'[1]SSP4-change-rate'!$B$2:$B$147,'[1]SSP4-change-rate'!G$2:G$147)</f>
        <v>97344.523305733077</v>
      </c>
      <c r="AY67">
        <f>Sheet1!$AT67*_xlfn.XLOOKUP($A67,'[1]SSP4-change-rate'!$B$2:$B$147,'[1]SSP4-change-rate'!H$2:H$147)</f>
        <v>87826.782975276277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f>Sheet1!$AT68*_xlfn.XLOOKUP($A68,'[1]SSP4-change-rate'!$B$2:$B$147,'[1]SSP4-change-rate'!C$2:C$147)</f>
        <v>4057.0569741499962</v>
      </c>
      <c r="AU68">
        <f>Sheet1!$AT68*_xlfn.XLOOKUP($A68,'[1]SSP4-change-rate'!$B$2:$B$147,'[1]SSP4-change-rate'!D$2:D$147)</f>
        <v>4036.9983255175202</v>
      </c>
      <c r="AV68">
        <f>Sheet1!$AT68*_xlfn.XLOOKUP($A68,'[1]SSP4-change-rate'!$B$2:$B$147,'[1]SSP4-change-rate'!E$2:E$147)</f>
        <v>4004.6790864138366</v>
      </c>
      <c r="AW68">
        <f>Sheet1!$AT68*_xlfn.XLOOKUP($A68,'[1]SSP4-change-rate'!$B$2:$B$147,'[1]SSP4-change-rate'!F$2:F$147)</f>
        <v>3942.902593378099</v>
      </c>
      <c r="AX68">
        <f>Sheet1!$AT68*_xlfn.XLOOKUP($A68,'[1]SSP4-change-rate'!$B$2:$B$147,'[1]SSP4-change-rate'!G$2:G$147)</f>
        <v>3865.5339598064297</v>
      </c>
      <c r="AY68">
        <f>Sheet1!$AT68*_xlfn.XLOOKUP($A68,'[1]SSP4-change-rate'!$B$2:$B$147,'[1]SSP4-change-rate'!H$2:H$147)</f>
        <v>3782.1969149464016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f>Sheet1!$AT69*_xlfn.XLOOKUP($A69,'[1]SSP4-change-rate'!$B$2:$B$147,'[1]SSP4-change-rate'!C$2:C$147)</f>
        <v>18225.628641525149</v>
      </c>
      <c r="AU69">
        <f>Sheet1!$AT69*_xlfn.XLOOKUP($A69,'[1]SSP4-change-rate'!$B$2:$B$147,'[1]SSP4-change-rate'!D$2:D$147)</f>
        <v>18145.098141555398</v>
      </c>
      <c r="AV69">
        <f>Sheet1!$AT69*_xlfn.XLOOKUP($A69,'[1]SSP4-change-rate'!$B$2:$B$147,'[1]SSP4-change-rate'!E$2:E$147)</f>
        <v>18030.388952500387</v>
      </c>
      <c r="AW69">
        <f>Sheet1!$AT69*_xlfn.XLOOKUP($A69,'[1]SSP4-change-rate'!$B$2:$B$147,'[1]SSP4-change-rate'!F$2:F$147)</f>
        <v>17713.903717508645</v>
      </c>
      <c r="AX69">
        <f>Sheet1!$AT69*_xlfn.XLOOKUP($A69,'[1]SSP4-change-rate'!$B$2:$B$147,'[1]SSP4-change-rate'!G$2:G$147)</f>
        <v>17255.724389231746</v>
      </c>
      <c r="AY69">
        <f>Sheet1!$AT69*_xlfn.XLOOKUP($A69,'[1]SSP4-change-rate'!$B$2:$B$147,'[1]SSP4-change-rate'!H$2:H$147)</f>
        <v>16697.995492262446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f>Sheet1!$AT70*_xlfn.XLOOKUP($A70,'[1]SSP4-change-rate'!$B$2:$B$147,'[1]SSP4-change-rate'!C$2:C$147)</f>
        <v>8063.7893675811601</v>
      </c>
      <c r="AU70">
        <f>Sheet1!$AT70*_xlfn.XLOOKUP($A70,'[1]SSP4-change-rate'!$B$2:$B$147,'[1]SSP4-change-rate'!D$2:D$147)</f>
        <v>7863.0382597558473</v>
      </c>
      <c r="AV70">
        <f>Sheet1!$AT70*_xlfn.XLOOKUP($A70,'[1]SSP4-change-rate'!$B$2:$B$147,'[1]SSP4-change-rate'!E$2:E$147)</f>
        <v>7627.1928972299111</v>
      </c>
      <c r="AW70">
        <f>Sheet1!$AT70*_xlfn.XLOOKUP($A70,'[1]SSP4-change-rate'!$B$2:$B$147,'[1]SSP4-change-rate'!F$2:F$147)</f>
        <v>6563.6058723300257</v>
      </c>
      <c r="AX70">
        <f>Sheet1!$AT70*_xlfn.XLOOKUP($A70,'[1]SSP4-change-rate'!$B$2:$B$147,'[1]SSP4-change-rate'!G$2:G$147)</f>
        <v>5155.6646704317627</v>
      </c>
      <c r="AY70">
        <f>Sheet1!$AT70*_xlfn.XLOOKUP($A70,'[1]SSP4-change-rate'!$B$2:$B$147,'[1]SSP4-change-rate'!H$2:H$147)</f>
        <v>4073.3609204586128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f>Sheet1!$AT71*_xlfn.XLOOKUP($A71,'[1]SSP4-change-rate'!$B$2:$B$147,'[1]SSP4-change-rate'!C$2:C$147)</f>
        <v>234.97933179862829</v>
      </c>
      <c r="AU71">
        <f>Sheet1!$AT71*_xlfn.XLOOKUP($A71,'[1]SSP4-change-rate'!$B$2:$B$147,'[1]SSP4-change-rate'!D$2:D$147)</f>
        <v>234.97933179862829</v>
      </c>
      <c r="AV71">
        <f>Sheet1!$AT71*_xlfn.XLOOKUP($A71,'[1]SSP4-change-rate'!$B$2:$B$147,'[1]SSP4-change-rate'!E$2:E$147)</f>
        <v>232.88130205042626</v>
      </c>
      <c r="AW71">
        <f>Sheet1!$AT71*_xlfn.XLOOKUP($A71,'[1]SSP4-change-rate'!$B$2:$B$147,'[1]SSP4-change-rate'!F$2:F$147)</f>
        <v>231.18934257606978</v>
      </c>
      <c r="AX71">
        <f>Sheet1!$AT71*_xlfn.XLOOKUP($A71,'[1]SSP4-change-rate'!$B$2:$B$147,'[1]SSP4-change-rate'!G$2:G$147)</f>
        <v>226.52683784903735</v>
      </c>
      <c r="AY71">
        <f>Sheet1!$AT71*_xlfn.XLOOKUP($A71,'[1]SSP4-change-rate'!$B$2:$B$147,'[1]SSP4-change-rate'!H$2:H$147)</f>
        <v>224.50254630442194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f>Sheet1!$AT72*_xlfn.XLOOKUP($A72,'[1]SSP4-change-rate'!$B$2:$B$147,'[1]SSP4-change-rate'!C$2:C$147)</f>
        <v>2992.4262560344373</v>
      </c>
      <c r="AU72">
        <f>Sheet1!$AT72*_xlfn.XLOOKUP($A72,'[1]SSP4-change-rate'!$B$2:$B$147,'[1]SSP4-change-rate'!D$2:D$147)</f>
        <v>2967.5433791951691</v>
      </c>
      <c r="AV72">
        <f>Sheet1!$AT72*_xlfn.XLOOKUP($A72,'[1]SSP4-change-rate'!$B$2:$B$147,'[1]SSP4-change-rate'!E$2:E$147)</f>
        <v>2936.4525073687619</v>
      </c>
      <c r="AW72">
        <f>Sheet1!$AT72*_xlfn.XLOOKUP($A72,'[1]SSP4-change-rate'!$B$2:$B$147,'[1]SSP4-change-rate'!F$2:F$147)</f>
        <v>2867.9589640809859</v>
      </c>
      <c r="AX72">
        <f>Sheet1!$AT72*_xlfn.XLOOKUP($A72,'[1]SSP4-change-rate'!$B$2:$B$147,'[1]SSP4-change-rate'!G$2:G$147)</f>
        <v>2781.5357555532296</v>
      </c>
      <c r="AY72">
        <f>Sheet1!$AT72*_xlfn.XLOOKUP($A72,'[1]SSP4-change-rate'!$B$2:$B$147,'[1]SSP4-change-rate'!H$2:H$147)</f>
        <v>2688.7868253663846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f>Sheet1!$AT73*_xlfn.XLOOKUP($A73,'[1]SSP4-change-rate'!$B$2:$B$147,'[1]SSP4-change-rate'!C$2:C$147)</f>
        <v>31759.413910833631</v>
      </c>
      <c r="AU73">
        <f>Sheet1!$AT73*_xlfn.XLOOKUP($A73,'[1]SSP4-change-rate'!$B$2:$B$147,'[1]SSP4-change-rate'!D$2:D$147)</f>
        <v>31687.405740543851</v>
      </c>
      <c r="AV73">
        <f>Sheet1!$AT73*_xlfn.XLOOKUP($A73,'[1]SSP4-change-rate'!$B$2:$B$147,'[1]SSP4-change-rate'!E$2:E$147)</f>
        <v>31582.861892380679</v>
      </c>
      <c r="AW73">
        <f>Sheet1!$AT73*_xlfn.XLOOKUP($A73,'[1]SSP4-change-rate'!$B$2:$B$147,'[1]SSP4-change-rate'!F$2:F$147)</f>
        <v>31327.091280939258</v>
      </c>
      <c r="AX73">
        <f>Sheet1!$AT73*_xlfn.XLOOKUP($A73,'[1]SSP4-change-rate'!$B$2:$B$147,'[1]SSP4-change-rate'!G$2:G$147)</f>
        <v>30986.99675906483</v>
      </c>
      <c r="AY73">
        <f>Sheet1!$AT73*_xlfn.XLOOKUP($A73,'[1]SSP4-change-rate'!$B$2:$B$147,'[1]SSP4-change-rate'!H$2:H$147)</f>
        <v>30521.130622731045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f>Sheet1!$AT74*_xlfn.XLOOKUP($A74,'[1]SSP4-change-rate'!$B$2:$B$147,'[1]SSP4-change-rate'!C$2:C$147)</f>
        <v>970.76341965961967</v>
      </c>
      <c r="AU74">
        <f>Sheet1!$AT74*_xlfn.XLOOKUP($A74,'[1]SSP4-change-rate'!$B$2:$B$147,'[1]SSP4-change-rate'!D$2:D$147)</f>
        <v>959.85811518177229</v>
      </c>
      <c r="AV74">
        <f>Sheet1!$AT74*_xlfn.XLOOKUP($A74,'[1]SSP4-change-rate'!$B$2:$B$147,'[1]SSP4-change-rate'!E$2:E$147)</f>
        <v>949.58301410034551</v>
      </c>
      <c r="AW74">
        <f>Sheet1!$AT74*_xlfn.XLOOKUP($A74,'[1]SSP4-change-rate'!$B$2:$B$147,'[1]SSP4-change-rate'!F$2:F$147)</f>
        <v>920.46738613740536</v>
      </c>
      <c r="AX74">
        <f>Sheet1!$AT74*_xlfn.XLOOKUP($A74,'[1]SSP4-change-rate'!$B$2:$B$147,'[1]SSP4-change-rate'!G$2:G$147)</f>
        <v>893.82567322124896</v>
      </c>
      <c r="AY74">
        <f>Sheet1!$AT74*_xlfn.XLOOKUP($A74,'[1]SSP4-change-rate'!$B$2:$B$147,'[1]SSP4-change-rate'!H$2:H$147)</f>
        <v>860.16841766905122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f>Sheet1!$AT75*_xlfn.XLOOKUP($A75,'[1]SSP4-change-rate'!$B$2:$B$147,'[1]SSP4-change-rate'!C$2:C$147)</f>
        <v>2179.9514435147298</v>
      </c>
      <c r="AU75">
        <f>Sheet1!$AT75*_xlfn.XLOOKUP($A75,'[1]SSP4-change-rate'!$B$2:$B$147,'[1]SSP4-change-rate'!D$2:D$147)</f>
        <v>2189.7462177947682</v>
      </c>
      <c r="AV75">
        <f>Sheet1!$AT75*_xlfn.XLOOKUP($A75,'[1]SSP4-change-rate'!$B$2:$B$147,'[1]SSP4-change-rate'!E$2:E$147)</f>
        <v>2203.6242394558312</v>
      </c>
      <c r="AW75">
        <f>Sheet1!$AT75*_xlfn.XLOOKUP($A75,'[1]SSP4-change-rate'!$B$2:$B$147,'[1]SSP4-change-rate'!F$2:F$147)</f>
        <v>2212.7969169498238</v>
      </c>
      <c r="AX75">
        <f>Sheet1!$AT75*_xlfn.XLOOKUP($A75,'[1]SSP4-change-rate'!$B$2:$B$147,'[1]SSP4-change-rate'!G$2:G$147)</f>
        <v>2228.581833965643</v>
      </c>
      <c r="AY75">
        <f>Sheet1!$AT75*_xlfn.XLOOKUP($A75,'[1]SSP4-change-rate'!$B$2:$B$147,'[1]SSP4-change-rate'!H$2:H$147)</f>
        <v>2251.5834049967611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f>Sheet1!$AT76*_xlfn.XLOOKUP($A76,'[1]SSP4-change-rate'!$B$2:$B$147,'[1]SSP4-change-rate'!C$2:C$147)</f>
        <v>78157.967430786666</v>
      </c>
      <c r="AU76">
        <f>Sheet1!$AT76*_xlfn.XLOOKUP($A76,'[1]SSP4-change-rate'!$B$2:$B$147,'[1]SSP4-change-rate'!D$2:D$147)</f>
        <v>78157.967430786666</v>
      </c>
      <c r="AV76">
        <f>Sheet1!$AT76*_xlfn.XLOOKUP($A76,'[1]SSP4-change-rate'!$B$2:$B$147,'[1]SSP4-change-rate'!E$2:E$147)</f>
        <v>78157.967430786666</v>
      </c>
      <c r="AW76">
        <f>Sheet1!$AT76*_xlfn.XLOOKUP($A76,'[1]SSP4-change-rate'!$B$2:$B$147,'[1]SSP4-change-rate'!F$2:F$147)</f>
        <v>78157.967430786666</v>
      </c>
      <c r="AX76">
        <f>Sheet1!$AT76*_xlfn.XLOOKUP($A76,'[1]SSP4-change-rate'!$B$2:$B$147,'[1]SSP4-change-rate'!G$2:G$147)</f>
        <v>78157.967430786666</v>
      </c>
      <c r="AY76">
        <f>Sheet1!$AT76*_xlfn.XLOOKUP($A76,'[1]SSP4-change-rate'!$B$2:$B$147,'[1]SSP4-change-rate'!H$2:H$147)</f>
        <v>78157.967430786666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f>Sheet1!$AT77*_xlfn.XLOOKUP($A77,'[1]SSP4-change-rate'!$B$2:$B$147,'[1]SSP4-change-rate'!C$2:C$147)</f>
        <v>4769.1452728215072</v>
      </c>
      <c r="AU77">
        <f>Sheet1!$AT77*_xlfn.XLOOKUP($A77,'[1]SSP4-change-rate'!$B$2:$B$147,'[1]SSP4-change-rate'!D$2:D$147)</f>
        <v>4751.4431633004115</v>
      </c>
      <c r="AV77">
        <f>Sheet1!$AT77*_xlfn.XLOOKUP($A77,'[1]SSP4-change-rate'!$B$2:$B$147,'[1]SSP4-change-rate'!E$2:E$147)</f>
        <v>4730.2408418717514</v>
      </c>
      <c r="AW77">
        <f>Sheet1!$AT77*_xlfn.XLOOKUP($A77,'[1]SSP4-change-rate'!$B$2:$B$147,'[1]SSP4-change-rate'!F$2:F$147)</f>
        <v>4655.1103651622661</v>
      </c>
      <c r="AX77">
        <f>Sheet1!$AT77*_xlfn.XLOOKUP($A77,'[1]SSP4-change-rate'!$B$2:$B$147,'[1]SSP4-change-rate'!G$2:G$147)</f>
        <v>4556.5785307392471</v>
      </c>
      <c r="AY77">
        <f>Sheet1!$AT77*_xlfn.XLOOKUP($A77,'[1]SSP4-change-rate'!$B$2:$B$147,'[1]SSP4-change-rate'!H$2:H$147)</f>
        <v>4425.176666309083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f>Sheet1!$AT78*_xlfn.XLOOKUP($A78,'[1]SSP4-change-rate'!$B$2:$B$147,'[1]SSP4-change-rate'!C$2:C$147)</f>
        <v>2333.8881188531172</v>
      </c>
      <c r="AU78">
        <f>Sheet1!$AT78*_xlfn.XLOOKUP($A78,'[1]SSP4-change-rate'!$B$2:$B$147,'[1]SSP4-change-rate'!D$2:D$147)</f>
        <v>2346.4521160476329</v>
      </c>
      <c r="AV78">
        <f>Sheet1!$AT78*_xlfn.XLOOKUP($A78,'[1]SSP4-change-rate'!$B$2:$B$147,'[1]SSP4-change-rate'!E$2:E$147)</f>
        <v>2375.0009037153682</v>
      </c>
      <c r="AW78">
        <f>Sheet1!$AT78*_xlfn.XLOOKUP($A78,'[1]SSP4-change-rate'!$B$2:$B$147,'[1]SSP4-change-rate'!F$2:F$147)</f>
        <v>2334.8761901369103</v>
      </c>
      <c r="AX78">
        <f>Sheet1!$AT78*_xlfn.XLOOKUP($A78,'[1]SSP4-change-rate'!$B$2:$B$147,'[1]SSP4-change-rate'!G$2:G$147)</f>
        <v>2075.9358548527161</v>
      </c>
      <c r="AY78">
        <f>Sheet1!$AT78*_xlfn.XLOOKUP($A78,'[1]SSP4-change-rate'!$B$2:$B$147,'[1]SSP4-change-rate'!H$2:H$147)</f>
        <v>1386.5056425782004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f>Sheet1!$AT79*_xlfn.XLOOKUP($A79,'[1]SSP4-change-rate'!$B$2:$B$147,'[1]SSP4-change-rate'!C$2:C$147)</f>
        <v>544.29065354086845</v>
      </c>
      <c r="AU79">
        <f>Sheet1!$AT79*_xlfn.XLOOKUP($A79,'[1]SSP4-change-rate'!$B$2:$B$147,'[1]SSP4-change-rate'!D$2:D$147)</f>
        <v>527.62869475900516</v>
      </c>
      <c r="AV79">
        <f>Sheet1!$AT79*_xlfn.XLOOKUP($A79,'[1]SSP4-change-rate'!$B$2:$B$147,'[1]SSP4-change-rate'!E$2:E$147)</f>
        <v>518.84718577681326</v>
      </c>
      <c r="AW79">
        <f>Sheet1!$AT79*_xlfn.XLOOKUP($A79,'[1]SSP4-change-rate'!$B$2:$B$147,'[1]SSP4-change-rate'!F$2:F$147)</f>
        <v>487.97155750629946</v>
      </c>
      <c r="AX79">
        <f>Sheet1!$AT79*_xlfn.XLOOKUP($A79,'[1]SSP4-change-rate'!$B$2:$B$147,'[1]SSP4-change-rate'!G$2:G$147)</f>
        <v>479.35264747261039</v>
      </c>
      <c r="AY79">
        <f>Sheet1!$AT79*_xlfn.XLOOKUP($A79,'[1]SSP4-change-rate'!$B$2:$B$147,'[1]SSP4-change-rate'!H$2:H$147)</f>
        <v>465.33406000190195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f>Sheet1!$AT80*_xlfn.XLOOKUP($A80,'[1]SSP4-change-rate'!$B$2:$B$147,'[1]SSP4-change-rate'!C$2:C$147)</f>
        <v>1011.5415514110299</v>
      </c>
      <c r="AU80">
        <f>Sheet1!$AT80*_xlfn.XLOOKUP($A80,'[1]SSP4-change-rate'!$B$2:$B$147,'[1]SSP4-change-rate'!D$2:D$147)</f>
        <v>1001.8151903397701</v>
      </c>
      <c r="AV80">
        <f>Sheet1!$AT80*_xlfn.XLOOKUP($A80,'[1]SSP4-change-rate'!$B$2:$B$147,'[1]SSP4-change-rate'!E$2:E$147)</f>
        <v>987.45722875838635</v>
      </c>
      <c r="AW80">
        <f>Sheet1!$AT80*_xlfn.XLOOKUP($A80,'[1]SSP4-change-rate'!$B$2:$B$147,'[1]SSP4-change-rate'!F$2:F$147)</f>
        <v>883.55057959983844</v>
      </c>
      <c r="AX80">
        <f>Sheet1!$AT80*_xlfn.XLOOKUP($A80,'[1]SSP4-change-rate'!$B$2:$B$147,'[1]SSP4-change-rate'!G$2:G$147)</f>
        <v>740.15235469099753</v>
      </c>
      <c r="AY80">
        <f>Sheet1!$AT80*_xlfn.XLOOKUP($A80,'[1]SSP4-change-rate'!$B$2:$B$147,'[1]SSP4-change-rate'!H$2:H$147)</f>
        <v>625.09556972079451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f>Sheet1!$AT81*_xlfn.XLOOKUP($A81,'[1]SSP4-change-rate'!$B$2:$B$147,'[1]SSP4-change-rate'!C$2:C$147)</f>
        <v>21364.847894374005</v>
      </c>
      <c r="AU81">
        <f>Sheet1!$AT81*_xlfn.XLOOKUP($A81,'[1]SSP4-change-rate'!$B$2:$B$147,'[1]SSP4-change-rate'!D$2:D$147)</f>
        <v>21319.345267927529</v>
      </c>
      <c r="AV81">
        <f>Sheet1!$AT81*_xlfn.XLOOKUP($A81,'[1]SSP4-change-rate'!$B$2:$B$147,'[1]SSP4-change-rate'!E$2:E$147)</f>
        <v>21251.213095265353</v>
      </c>
      <c r="AW81">
        <f>Sheet1!$AT81*_xlfn.XLOOKUP($A81,'[1]SSP4-change-rate'!$B$2:$B$147,'[1]SSP4-change-rate'!F$2:F$147)</f>
        <v>21109.478155516223</v>
      </c>
      <c r="AX81">
        <f>Sheet1!$AT81*_xlfn.XLOOKUP($A81,'[1]SSP4-change-rate'!$B$2:$B$147,'[1]SSP4-change-rate'!G$2:G$147)</f>
        <v>21006.985824602416</v>
      </c>
      <c r="AY81">
        <f>Sheet1!$AT81*_xlfn.XLOOKUP($A81,'[1]SSP4-change-rate'!$B$2:$B$147,'[1]SSP4-change-rate'!H$2:H$147)</f>
        <v>21006.985824602416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 t="e">
        <f>Sheet1!$AT82*_xlfn.XLOOKUP($A82,'[1]SSP4-change-rate'!$B$2:$B$147,'[1]SSP4-change-rate'!C$2:C$147)</f>
        <v>#N/A</v>
      </c>
      <c r="AU82" t="e">
        <f>Sheet1!$AT82*_xlfn.XLOOKUP($A82,'[1]SSP4-change-rate'!$B$2:$B$147,'[1]SSP4-change-rate'!D$2:D$147)</f>
        <v>#N/A</v>
      </c>
      <c r="AV82" t="e">
        <f>Sheet1!$AT82*_xlfn.XLOOKUP($A82,'[1]SSP4-change-rate'!$B$2:$B$147,'[1]SSP4-change-rate'!E$2:E$147)</f>
        <v>#N/A</v>
      </c>
      <c r="AW82" t="e">
        <f>Sheet1!$AT82*_xlfn.XLOOKUP($A82,'[1]SSP4-change-rate'!$B$2:$B$147,'[1]SSP4-change-rate'!F$2:F$147)</f>
        <v>#N/A</v>
      </c>
      <c r="AX82" t="e">
        <f>Sheet1!$AT82*_xlfn.XLOOKUP($A82,'[1]SSP4-change-rate'!$B$2:$B$147,'[1]SSP4-change-rate'!G$2:G$147)</f>
        <v>#N/A</v>
      </c>
      <c r="AY82" t="e">
        <f>Sheet1!$AT82*_xlfn.XLOOKUP($A82,'[1]SSP4-change-rate'!$B$2:$B$147,'[1]SSP4-change-rate'!H$2:H$147)</f>
        <v>#N/A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f>Sheet1!$AT83*_xlfn.XLOOKUP($A83,'[1]SSP4-change-rate'!$B$2:$B$147,'[1]SSP4-change-rate'!C$2:C$147)</f>
        <v>352.39591579626676</v>
      </c>
      <c r="AU83">
        <f>Sheet1!$AT83*_xlfn.XLOOKUP($A83,'[1]SSP4-change-rate'!$B$2:$B$147,'[1]SSP4-change-rate'!D$2:D$147)</f>
        <v>349.50742468318259</v>
      </c>
      <c r="AV83">
        <f>Sheet1!$AT83*_xlfn.XLOOKUP($A83,'[1]SSP4-change-rate'!$B$2:$B$147,'[1]SSP4-change-rate'!E$2:E$147)</f>
        <v>349.70587063751663</v>
      </c>
      <c r="AW83">
        <f>Sheet1!$AT83*_xlfn.XLOOKUP($A83,'[1]SSP4-change-rate'!$B$2:$B$147,'[1]SSP4-change-rate'!F$2:F$147)</f>
        <v>342.99869137503299</v>
      </c>
      <c r="AX83">
        <f>Sheet1!$AT83*_xlfn.XLOOKUP($A83,'[1]SSP4-change-rate'!$B$2:$B$147,'[1]SSP4-change-rate'!G$2:G$147)</f>
        <v>336.10015090395387</v>
      </c>
      <c r="AY83">
        <f>Sheet1!$AT83*_xlfn.XLOOKUP($A83,'[1]SSP4-change-rate'!$B$2:$B$147,'[1]SSP4-change-rate'!H$2:H$147)</f>
        <v>324.48336801042387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f>Sheet1!$AT84*_xlfn.XLOOKUP($A84,'[1]SSP4-change-rate'!$B$2:$B$147,'[1]SSP4-change-rate'!C$2:C$147)</f>
        <v>1402.8043905743525</v>
      </c>
      <c r="AU84">
        <f>Sheet1!$AT84*_xlfn.XLOOKUP($A84,'[1]SSP4-change-rate'!$B$2:$B$147,'[1]SSP4-change-rate'!D$2:D$147)</f>
        <v>1389.61426583702</v>
      </c>
      <c r="AV84">
        <f>Sheet1!$AT84*_xlfn.XLOOKUP($A84,'[1]SSP4-change-rate'!$B$2:$B$147,'[1]SSP4-change-rate'!E$2:E$147)</f>
        <v>1376.1713581479248</v>
      </c>
      <c r="AW84">
        <f>Sheet1!$AT84*_xlfn.XLOOKUP($A84,'[1]SSP4-change-rate'!$B$2:$B$147,'[1]SSP4-change-rate'!F$2:F$147)</f>
        <v>1342.1975336099754</v>
      </c>
      <c r="AX84">
        <f>Sheet1!$AT84*_xlfn.XLOOKUP($A84,'[1]SSP4-change-rate'!$B$2:$B$147,'[1]SSP4-change-rate'!G$2:G$147)</f>
        <v>1301.6328159773648</v>
      </c>
      <c r="AY84">
        <f>Sheet1!$AT84*_xlfn.XLOOKUP($A84,'[1]SSP4-change-rate'!$B$2:$B$147,'[1]SSP4-change-rate'!H$2:H$147)</f>
        <v>1253.2519681460265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f>Sheet1!$AT85*_xlfn.XLOOKUP($A85,'[1]SSP4-change-rate'!$B$2:$B$147,'[1]SSP4-change-rate'!C$2:C$147)</f>
        <v>535.13378915189662</v>
      </c>
      <c r="AU85">
        <f>Sheet1!$AT85*_xlfn.XLOOKUP($A85,'[1]SSP4-change-rate'!$B$2:$B$147,'[1]SSP4-change-rate'!D$2:D$147)</f>
        <v>535.13378915189662</v>
      </c>
      <c r="AV85">
        <f>Sheet1!$AT85*_xlfn.XLOOKUP($A85,'[1]SSP4-change-rate'!$B$2:$B$147,'[1]SSP4-change-rate'!E$2:E$147)</f>
        <v>535.13378915189662</v>
      </c>
      <c r="AW85">
        <f>Sheet1!$AT85*_xlfn.XLOOKUP($A85,'[1]SSP4-change-rate'!$B$2:$B$147,'[1]SSP4-change-rate'!F$2:F$147)</f>
        <v>439.57418394620078</v>
      </c>
      <c r="AX85">
        <f>Sheet1!$AT85*_xlfn.XLOOKUP($A85,'[1]SSP4-change-rate'!$B$2:$B$147,'[1]SSP4-change-rate'!G$2:G$147)</f>
        <v>161.0596841136776</v>
      </c>
      <c r="AY85">
        <f>Sheet1!$AT85*_xlfn.XLOOKUP($A85,'[1]SSP4-change-rate'!$B$2:$B$147,'[1]SSP4-change-rate'!H$2:H$147)</f>
        <v>27.147801857232931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f>Sheet1!$AT86*_xlfn.XLOOKUP($A86,'[1]SSP4-change-rate'!$B$2:$B$147,'[1]SSP4-change-rate'!C$2:C$147)</f>
        <v>3151.246412830692</v>
      </c>
      <c r="AU86">
        <f>Sheet1!$AT86*_xlfn.XLOOKUP($A86,'[1]SSP4-change-rate'!$B$2:$B$147,'[1]SSP4-change-rate'!D$2:D$147)</f>
        <v>3128.9602627230552</v>
      </c>
      <c r="AV86">
        <f>Sheet1!$AT86*_xlfn.XLOOKUP($A86,'[1]SSP4-change-rate'!$B$2:$B$147,'[1]SSP4-change-rate'!E$2:E$147)</f>
        <v>3100.7617523748759</v>
      </c>
      <c r="AW86">
        <f>Sheet1!$AT86*_xlfn.XLOOKUP($A86,'[1]SSP4-change-rate'!$B$2:$B$147,'[1]SSP4-change-rate'!F$2:F$147)</f>
        <v>3028.0788445853436</v>
      </c>
      <c r="AX86">
        <f>Sheet1!$AT86*_xlfn.XLOOKUP($A86,'[1]SSP4-change-rate'!$B$2:$B$147,'[1]SSP4-change-rate'!G$2:G$147)</f>
        <v>2923.0353495476293</v>
      </c>
      <c r="AY86">
        <f>Sheet1!$AT86*_xlfn.XLOOKUP($A86,'[1]SSP4-change-rate'!$B$2:$B$147,'[1]SSP4-change-rate'!H$2:H$147)</f>
        <v>2798.7808108228242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f>Sheet1!$AT87*_xlfn.XLOOKUP($A87,'[1]SSP4-change-rate'!$B$2:$B$147,'[1]SSP4-change-rate'!C$2:C$147)</f>
        <v>4815.2004454465432</v>
      </c>
      <c r="AU87">
        <f>Sheet1!$AT87*_xlfn.XLOOKUP($A87,'[1]SSP4-change-rate'!$B$2:$B$147,'[1]SSP4-change-rate'!D$2:D$147)</f>
        <v>4771.303008456538</v>
      </c>
      <c r="AV87">
        <f>Sheet1!$AT87*_xlfn.XLOOKUP($A87,'[1]SSP4-change-rate'!$B$2:$B$147,'[1]SSP4-change-rate'!E$2:E$147)</f>
        <v>4730.6477785699662</v>
      </c>
      <c r="AW87">
        <f>Sheet1!$AT87*_xlfn.XLOOKUP($A87,'[1]SSP4-change-rate'!$B$2:$B$147,'[1]SSP4-change-rate'!F$2:F$147)</f>
        <v>4629.1240875389094</v>
      </c>
      <c r="AX87">
        <f>Sheet1!$AT87*_xlfn.XLOOKUP($A87,'[1]SSP4-change-rate'!$B$2:$B$147,'[1]SSP4-change-rate'!G$2:G$147)</f>
        <v>4503.3326721166559</v>
      </c>
      <c r="AY87">
        <f>Sheet1!$AT87*_xlfn.XLOOKUP($A87,'[1]SSP4-change-rate'!$B$2:$B$147,'[1]SSP4-change-rate'!H$2:H$147)</f>
        <v>4306.6130851069156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f>Sheet1!$AT88*_xlfn.XLOOKUP($A88,'[1]SSP4-change-rate'!$B$2:$B$147,'[1]SSP4-change-rate'!C$2:C$147)</f>
        <v>#N/A</v>
      </c>
      <c r="AU88" t="e">
        <f>Sheet1!$AT88*_xlfn.XLOOKUP($A88,'[1]SSP4-change-rate'!$B$2:$B$147,'[1]SSP4-change-rate'!D$2:D$147)</f>
        <v>#N/A</v>
      </c>
      <c r="AV88" t="e">
        <f>Sheet1!$AT88*_xlfn.XLOOKUP($A88,'[1]SSP4-change-rate'!$B$2:$B$147,'[1]SSP4-change-rate'!E$2:E$147)</f>
        <v>#N/A</v>
      </c>
      <c r="AW88" t="e">
        <f>Sheet1!$AT88*_xlfn.XLOOKUP($A88,'[1]SSP4-change-rate'!$B$2:$B$147,'[1]SSP4-change-rate'!F$2:F$147)</f>
        <v>#N/A</v>
      </c>
      <c r="AX88" t="e">
        <f>Sheet1!$AT88*_xlfn.XLOOKUP($A88,'[1]SSP4-change-rate'!$B$2:$B$147,'[1]SSP4-change-rate'!G$2:G$147)</f>
        <v>#N/A</v>
      </c>
      <c r="AY88" t="e">
        <f>Sheet1!$AT88*_xlfn.XLOOKUP($A88,'[1]SSP4-change-rate'!$B$2:$B$147,'[1]SSP4-change-rate'!H$2:H$147)</f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f>Sheet1!$AT89*_xlfn.XLOOKUP($A89,'[1]SSP4-change-rate'!$B$2:$B$147,'[1]SSP4-change-rate'!C$2:C$147)</f>
        <v>2723.918885867377</v>
      </c>
      <c r="AU89">
        <f>Sheet1!$AT89*_xlfn.XLOOKUP($A89,'[1]SSP4-change-rate'!$B$2:$B$147,'[1]SSP4-change-rate'!D$2:D$147)</f>
        <v>2715.0425748719149</v>
      </c>
      <c r="AV89">
        <f>Sheet1!$AT89*_xlfn.XLOOKUP($A89,'[1]SSP4-change-rate'!$B$2:$B$147,'[1]SSP4-change-rate'!E$2:E$147)</f>
        <v>2702.5005926471595</v>
      </c>
      <c r="AW89">
        <f>Sheet1!$AT89*_xlfn.XLOOKUP($A89,'[1]SSP4-change-rate'!$B$2:$B$147,'[1]SSP4-change-rate'!F$2:F$147)</f>
        <v>2675.5071644279728</v>
      </c>
      <c r="AX89">
        <f>Sheet1!$AT89*_xlfn.XLOOKUP($A89,'[1]SSP4-change-rate'!$B$2:$B$147,'[1]SSP4-change-rate'!G$2:G$147)</f>
        <v>2644.1008624888386</v>
      </c>
      <c r="AY89">
        <f>Sheet1!$AT89*_xlfn.XLOOKUP($A89,'[1]SSP4-change-rate'!$B$2:$B$147,'[1]SSP4-change-rate'!H$2:H$147)</f>
        <v>2594.4567943463076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f>Sheet1!$AT90*_xlfn.XLOOKUP($A90,'[1]SSP4-change-rate'!$B$2:$B$147,'[1]SSP4-change-rate'!C$2:C$147)</f>
        <v>1021.9656054753763</v>
      </c>
      <c r="AU90">
        <f>Sheet1!$AT90*_xlfn.XLOOKUP($A90,'[1]SSP4-change-rate'!$B$2:$B$147,'[1]SSP4-change-rate'!D$2:D$147)</f>
        <v>1022.0452971164769</v>
      </c>
      <c r="AV90">
        <f>Sheet1!$AT90*_xlfn.XLOOKUP($A90,'[1]SSP4-change-rate'!$B$2:$B$147,'[1]SSP4-change-rate'!E$2:E$147)</f>
        <v>1018.0884407815068</v>
      </c>
      <c r="AW90">
        <f>Sheet1!$AT90*_xlfn.XLOOKUP($A90,'[1]SSP4-change-rate'!$B$2:$B$147,'[1]SSP4-change-rate'!F$2:F$147)</f>
        <v>1011.3255552682365</v>
      </c>
      <c r="AX90">
        <f>Sheet1!$AT90*_xlfn.XLOOKUP($A90,'[1]SSP4-change-rate'!$B$2:$B$147,'[1]SSP4-change-rate'!G$2:G$147)</f>
        <v>997.85106862423595</v>
      </c>
      <c r="AY90">
        <f>Sheet1!$AT90*_xlfn.XLOOKUP($A90,'[1]SSP4-change-rate'!$B$2:$B$147,'[1]SSP4-change-rate'!H$2:H$147)</f>
        <v>982.87490341476428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f>Sheet1!$AT91*_xlfn.XLOOKUP($A91,'[1]SSP4-change-rate'!$B$2:$B$147,'[1]SSP4-change-rate'!C$2:C$147)</f>
        <v>1853.398583301748</v>
      </c>
      <c r="AU91">
        <f>Sheet1!$AT91*_xlfn.XLOOKUP($A91,'[1]SSP4-change-rate'!$B$2:$B$147,'[1]SSP4-change-rate'!D$2:D$147)</f>
        <v>1848.1049593303997</v>
      </c>
      <c r="AV91">
        <f>Sheet1!$AT91*_xlfn.XLOOKUP($A91,'[1]SSP4-change-rate'!$B$2:$B$147,'[1]SSP4-change-rate'!E$2:E$147)</f>
        <v>1837.7863022842669</v>
      </c>
      <c r="AW91">
        <f>Sheet1!$AT91*_xlfn.XLOOKUP($A91,'[1]SSP4-change-rate'!$B$2:$B$147,'[1]SSP4-change-rate'!F$2:F$147)</f>
        <v>1813.3887561478314</v>
      </c>
      <c r="AX91">
        <f>Sheet1!$AT91*_xlfn.XLOOKUP($A91,'[1]SSP4-change-rate'!$B$2:$B$147,'[1]SSP4-change-rate'!G$2:G$147)</f>
        <v>1781.5988566713188</v>
      </c>
      <c r="AY91">
        <f>Sheet1!$AT91*_xlfn.XLOOKUP($A91,'[1]SSP4-change-rate'!$B$2:$B$147,'[1]SSP4-change-rate'!H$2:H$147)</f>
        <v>1747.5969024022502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f>Sheet1!$AT92*_xlfn.XLOOKUP($A92,'[1]SSP4-change-rate'!$B$2:$B$147,'[1]SSP4-change-rate'!C$2:C$147)</f>
        <v>5494.1223263496395</v>
      </c>
      <c r="AU92">
        <f>Sheet1!$AT92*_xlfn.XLOOKUP($A92,'[1]SSP4-change-rate'!$B$2:$B$147,'[1]SSP4-change-rate'!D$2:D$147)</f>
        <v>5464.9964506759907</v>
      </c>
      <c r="AV92">
        <f>Sheet1!$AT92*_xlfn.XLOOKUP($A92,'[1]SSP4-change-rate'!$B$2:$B$147,'[1]SSP4-change-rate'!E$2:E$147)</f>
        <v>5423.5586019294133</v>
      </c>
      <c r="AW92">
        <f>Sheet1!$AT92*_xlfn.XLOOKUP($A92,'[1]SSP4-change-rate'!$B$2:$B$147,'[1]SSP4-change-rate'!F$2:F$147)</f>
        <v>5283.5554918136022</v>
      </c>
      <c r="AX92">
        <f>Sheet1!$AT92*_xlfn.XLOOKUP($A92,'[1]SSP4-change-rate'!$B$2:$B$147,'[1]SSP4-change-rate'!G$2:G$147)</f>
        <v>5062.8658313657525</v>
      </c>
      <c r="AY92">
        <f>Sheet1!$AT92*_xlfn.XLOOKUP($A92,'[1]SSP4-change-rate'!$B$2:$B$147,'[1]SSP4-change-rate'!H$2:H$147)</f>
        <v>4745.5798802067229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f>Sheet1!$AT93*_xlfn.XLOOKUP($A93,'[1]SSP4-change-rate'!$B$2:$B$147,'[1]SSP4-change-rate'!C$2:C$147)</f>
        <v>924.7065175252128</v>
      </c>
      <c r="AU93">
        <f>Sheet1!$AT93*_xlfn.XLOOKUP($A93,'[1]SSP4-change-rate'!$B$2:$B$147,'[1]SSP4-change-rate'!D$2:D$147)</f>
        <v>904.71896616135393</v>
      </c>
      <c r="AV93">
        <f>Sheet1!$AT93*_xlfn.XLOOKUP($A93,'[1]SSP4-change-rate'!$B$2:$B$147,'[1]SSP4-change-rate'!E$2:E$147)</f>
        <v>895.03345641354952</v>
      </c>
      <c r="AW93">
        <f>Sheet1!$AT93*_xlfn.XLOOKUP($A93,'[1]SSP4-change-rate'!$B$2:$B$147,'[1]SSP4-change-rate'!F$2:F$147)</f>
        <v>871.09279337586133</v>
      </c>
      <c r="AX93">
        <f>Sheet1!$AT93*_xlfn.XLOOKUP($A93,'[1]SSP4-change-rate'!$B$2:$B$147,'[1]SSP4-change-rate'!G$2:G$147)</f>
        <v>858.26323943063528</v>
      </c>
      <c r="AY93">
        <f>Sheet1!$AT93*_xlfn.XLOOKUP($A93,'[1]SSP4-change-rate'!$B$2:$B$147,'[1]SSP4-change-rate'!H$2:H$147)</f>
        <v>858.26323943063528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f>Sheet1!$AT94*_xlfn.XLOOKUP($A94,'[1]SSP4-change-rate'!$B$2:$B$147,'[1]SSP4-change-rate'!C$2:C$147)</f>
        <v>510.66114037575869</v>
      </c>
      <c r="AU94">
        <f>Sheet1!$AT94*_xlfn.XLOOKUP($A94,'[1]SSP4-change-rate'!$B$2:$B$147,'[1]SSP4-change-rate'!D$2:D$147)</f>
        <v>521.08279630179459</v>
      </c>
      <c r="AV94">
        <f>Sheet1!$AT94*_xlfn.XLOOKUP($A94,'[1]SSP4-change-rate'!$B$2:$B$147,'[1]SSP4-change-rate'!E$2:E$147)</f>
        <v>529.57451594523116</v>
      </c>
      <c r="AW94">
        <f>Sheet1!$AT94*_xlfn.XLOOKUP($A94,'[1]SSP4-change-rate'!$B$2:$B$147,'[1]SSP4-change-rate'!F$2:F$147)</f>
        <v>538.58792149005797</v>
      </c>
      <c r="AX94">
        <f>Sheet1!$AT94*_xlfn.XLOOKUP($A94,'[1]SSP4-change-rate'!$B$2:$B$147,'[1]SSP4-change-rate'!G$2:G$147)</f>
        <v>548.10962400331425</v>
      </c>
      <c r="AY94">
        <f>Sheet1!$AT94*_xlfn.XLOOKUP($A94,'[1]SSP4-change-rate'!$B$2:$B$147,'[1]SSP4-change-rate'!H$2:H$147)</f>
        <v>560.26822258368952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f>Sheet1!$AT95*_xlfn.XLOOKUP($A95,'[1]SSP4-change-rate'!$B$2:$B$147,'[1]SSP4-change-rate'!C$2:C$147)</f>
        <v>50097.434655760429</v>
      </c>
      <c r="AU95">
        <f>Sheet1!$AT95*_xlfn.XLOOKUP($A95,'[1]SSP4-change-rate'!$B$2:$B$147,'[1]SSP4-change-rate'!D$2:D$147)</f>
        <v>49814.596566944507</v>
      </c>
      <c r="AV95">
        <f>Sheet1!$AT95*_xlfn.XLOOKUP($A95,'[1]SSP4-change-rate'!$B$2:$B$147,'[1]SSP4-change-rate'!E$2:E$147)</f>
        <v>49425.218239139351</v>
      </c>
      <c r="AW95">
        <f>Sheet1!$AT95*_xlfn.XLOOKUP($A95,'[1]SSP4-change-rate'!$B$2:$B$147,'[1]SSP4-change-rate'!F$2:F$147)</f>
        <v>48438.346132837098</v>
      </c>
      <c r="AX95">
        <f>Sheet1!$AT95*_xlfn.XLOOKUP($A95,'[1]SSP4-change-rate'!$B$2:$B$147,'[1]SSP4-change-rate'!G$2:G$147)</f>
        <v>47089.545492391066</v>
      </c>
      <c r="AY95">
        <f>Sheet1!$AT95*_xlfn.XLOOKUP($A95,'[1]SSP4-change-rate'!$B$2:$B$147,'[1]SSP4-change-rate'!H$2:H$147)</f>
        <v>45593.686799618117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f>Sheet1!$AT96*_xlfn.XLOOKUP($A96,'[1]SSP4-change-rate'!$B$2:$B$147,'[1]SSP4-change-rate'!C$2:C$147)</f>
        <v>#N/A</v>
      </c>
      <c r="AU96" t="e">
        <f>Sheet1!$AT96*_xlfn.XLOOKUP($A96,'[1]SSP4-change-rate'!$B$2:$B$147,'[1]SSP4-change-rate'!D$2:D$147)</f>
        <v>#N/A</v>
      </c>
      <c r="AV96" t="e">
        <f>Sheet1!$AT96*_xlfn.XLOOKUP($A96,'[1]SSP4-change-rate'!$B$2:$B$147,'[1]SSP4-change-rate'!E$2:E$147)</f>
        <v>#N/A</v>
      </c>
      <c r="AW96" t="e">
        <f>Sheet1!$AT96*_xlfn.XLOOKUP($A96,'[1]SSP4-change-rate'!$B$2:$B$147,'[1]SSP4-change-rate'!F$2:F$147)</f>
        <v>#N/A</v>
      </c>
      <c r="AX96" t="e">
        <f>Sheet1!$AT96*_xlfn.XLOOKUP($A96,'[1]SSP4-change-rate'!$B$2:$B$147,'[1]SSP4-change-rate'!G$2:G$147)</f>
        <v>#N/A</v>
      </c>
      <c r="AY96" t="e">
        <f>Sheet1!$AT96*_xlfn.XLOOKUP($A96,'[1]SSP4-change-rate'!$B$2:$B$147,'[1]SSP4-change-rate'!H$2:H$147)</f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f>Sheet1!$AT97*_xlfn.XLOOKUP($A97,'[1]SSP4-change-rate'!$B$2:$B$147,'[1]SSP4-change-rate'!C$2:C$147)</f>
        <v>1020.0768882774046</v>
      </c>
      <c r="AU97">
        <f>Sheet1!$AT97*_xlfn.XLOOKUP($A97,'[1]SSP4-change-rate'!$B$2:$B$147,'[1]SSP4-change-rate'!D$2:D$147)</f>
        <v>1014.6219316556003</v>
      </c>
      <c r="AV97">
        <f>Sheet1!$AT97*_xlfn.XLOOKUP($A97,'[1]SSP4-change-rate'!$B$2:$B$147,'[1]SSP4-change-rate'!E$2:E$147)</f>
        <v>1005.4346362925614</v>
      </c>
      <c r="AW97">
        <f>Sheet1!$AT97*_xlfn.XLOOKUP($A97,'[1]SSP4-change-rate'!$B$2:$B$147,'[1]SSP4-change-rate'!F$2:F$147)</f>
        <v>958.25404656362252</v>
      </c>
      <c r="AX97">
        <f>Sheet1!$AT97*_xlfn.XLOOKUP($A97,'[1]SSP4-change-rate'!$B$2:$B$147,'[1]SSP4-change-rate'!G$2:G$147)</f>
        <v>906.06829488169456</v>
      </c>
      <c r="AY97">
        <f>Sheet1!$AT97*_xlfn.XLOOKUP($A97,'[1]SSP4-change-rate'!$B$2:$B$147,'[1]SSP4-change-rate'!H$2:H$147)</f>
        <v>841.27689437709546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f>Sheet1!$AT98*_xlfn.XLOOKUP($A98,'[1]SSP4-change-rate'!$B$2:$B$147,'[1]SSP4-change-rate'!C$2:C$147)</f>
        <v>261.44778638200802</v>
      </c>
      <c r="AU98">
        <f>Sheet1!$AT98*_xlfn.XLOOKUP($A98,'[1]SSP4-change-rate'!$B$2:$B$147,'[1]SSP4-change-rate'!D$2:D$147)</f>
        <v>261.44778638200802</v>
      </c>
      <c r="AV98">
        <f>Sheet1!$AT98*_xlfn.XLOOKUP($A98,'[1]SSP4-change-rate'!$B$2:$B$147,'[1]SSP4-change-rate'!E$2:E$147)</f>
        <v>259.33933649183052</v>
      </c>
      <c r="AW98">
        <f>Sheet1!$AT98*_xlfn.XLOOKUP($A98,'[1]SSP4-change-rate'!$B$2:$B$147,'[1]SSP4-change-rate'!F$2:F$147)</f>
        <v>255.59447773166457</v>
      </c>
      <c r="AX98">
        <f>Sheet1!$AT98*_xlfn.XLOOKUP($A98,'[1]SSP4-change-rate'!$B$2:$B$147,'[1]SSP4-change-rate'!G$2:G$147)</f>
        <v>252.73286016927443</v>
      </c>
      <c r="AY98">
        <f>Sheet1!$AT98*_xlfn.XLOOKUP($A98,'[1]SSP4-change-rate'!$B$2:$B$147,'[1]SSP4-change-rate'!H$2:H$147)</f>
        <v>247.68737657242866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 t="e">
        <f>Sheet1!$AT99*_xlfn.XLOOKUP($A99,'[1]SSP4-change-rate'!$B$2:$B$147,'[1]SSP4-change-rate'!C$2:C$147)</f>
        <v>#N/A</v>
      </c>
      <c r="AU99" t="e">
        <f>Sheet1!$AT99*_xlfn.XLOOKUP($A99,'[1]SSP4-change-rate'!$B$2:$B$147,'[1]SSP4-change-rate'!D$2:D$147)</f>
        <v>#N/A</v>
      </c>
      <c r="AV99" t="e">
        <f>Sheet1!$AT99*_xlfn.XLOOKUP($A99,'[1]SSP4-change-rate'!$B$2:$B$147,'[1]SSP4-change-rate'!E$2:E$147)</f>
        <v>#N/A</v>
      </c>
      <c r="AW99" t="e">
        <f>Sheet1!$AT99*_xlfn.XLOOKUP($A99,'[1]SSP4-change-rate'!$B$2:$B$147,'[1]SSP4-change-rate'!F$2:F$147)</f>
        <v>#N/A</v>
      </c>
      <c r="AX99" t="e">
        <f>Sheet1!$AT99*_xlfn.XLOOKUP($A99,'[1]SSP4-change-rate'!$B$2:$B$147,'[1]SSP4-change-rate'!G$2:G$147)</f>
        <v>#N/A</v>
      </c>
      <c r="AY99" t="e">
        <f>Sheet1!$AT99*_xlfn.XLOOKUP($A99,'[1]SSP4-change-rate'!$B$2:$B$147,'[1]SSP4-change-rate'!H$2:H$147)</f>
        <v>#N/A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 t="e">
        <f>Sheet1!$AT100*_xlfn.XLOOKUP($A100,'[1]SSP4-change-rate'!$B$2:$B$147,'[1]SSP4-change-rate'!C$2:C$147)</f>
        <v>#N/A</v>
      </c>
      <c r="AU100" t="e">
        <f>Sheet1!$AT100*_xlfn.XLOOKUP($A100,'[1]SSP4-change-rate'!$B$2:$B$147,'[1]SSP4-change-rate'!D$2:D$147)</f>
        <v>#N/A</v>
      </c>
      <c r="AV100" t="e">
        <f>Sheet1!$AT100*_xlfn.XLOOKUP($A100,'[1]SSP4-change-rate'!$B$2:$B$147,'[1]SSP4-change-rate'!E$2:E$147)</f>
        <v>#N/A</v>
      </c>
      <c r="AW100" t="e">
        <f>Sheet1!$AT100*_xlfn.XLOOKUP($A100,'[1]SSP4-change-rate'!$B$2:$B$147,'[1]SSP4-change-rate'!F$2:F$147)</f>
        <v>#N/A</v>
      </c>
      <c r="AX100" t="e">
        <f>Sheet1!$AT100*_xlfn.XLOOKUP($A100,'[1]SSP4-change-rate'!$B$2:$B$147,'[1]SSP4-change-rate'!G$2:G$147)</f>
        <v>#N/A</v>
      </c>
      <c r="AY100" t="e">
        <f>Sheet1!$AT100*_xlfn.XLOOKUP($A100,'[1]SSP4-change-rate'!$B$2:$B$147,'[1]SSP4-change-rate'!H$2:H$147)</f>
        <v>#N/A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f>Sheet1!$AT101*_xlfn.XLOOKUP($A101,'[1]SSP4-change-rate'!$B$2:$B$147,'[1]SSP4-change-rate'!C$2:C$147)</f>
        <v>365.71299054923685</v>
      </c>
      <c r="AU101">
        <f>Sheet1!$AT101*_xlfn.XLOOKUP($A101,'[1]SSP4-change-rate'!$B$2:$B$147,'[1]SSP4-change-rate'!D$2:D$147)</f>
        <v>365.71299054923685</v>
      </c>
      <c r="AV101">
        <f>Sheet1!$AT101*_xlfn.XLOOKUP($A101,'[1]SSP4-change-rate'!$B$2:$B$147,'[1]SSP4-change-rate'!E$2:E$147)</f>
        <v>363.45550295325387</v>
      </c>
      <c r="AW101">
        <f>Sheet1!$AT101*_xlfn.XLOOKUP($A101,'[1]SSP4-change-rate'!$B$2:$B$147,'[1]SSP4-change-rate'!F$2:F$147)</f>
        <v>354.74160083275973</v>
      </c>
      <c r="AX101">
        <f>Sheet1!$AT101*_xlfn.XLOOKUP($A101,'[1]SSP4-change-rate'!$B$2:$B$147,'[1]SSP4-change-rate'!G$2:G$147)</f>
        <v>338.38212648683839</v>
      </c>
      <c r="AY101">
        <f>Sheet1!$AT101*_xlfn.XLOOKUP($A101,'[1]SSP4-change-rate'!$B$2:$B$147,'[1]SSP4-change-rate'!H$2:H$147)</f>
        <v>315.00488681761999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f>Sheet1!$AT102*_xlfn.XLOOKUP($A102,'[1]SSP4-change-rate'!$B$2:$B$147,'[1]SSP4-change-rate'!C$2:C$147)</f>
        <v>1720.0903181815852</v>
      </c>
      <c r="AU102">
        <f>Sheet1!$AT102*_xlfn.XLOOKUP($A102,'[1]SSP4-change-rate'!$B$2:$B$147,'[1]SSP4-change-rate'!D$2:D$147)</f>
        <v>1705.0130895564098</v>
      </c>
      <c r="AV102">
        <f>Sheet1!$AT102*_xlfn.XLOOKUP($A102,'[1]SSP4-change-rate'!$B$2:$B$147,'[1]SSP4-change-rate'!E$2:E$147)</f>
        <v>1674.8895636405202</v>
      </c>
      <c r="AW102">
        <f>Sheet1!$AT102*_xlfn.XLOOKUP($A102,'[1]SSP4-change-rate'!$B$2:$B$147,'[1]SSP4-change-rate'!F$2:F$147)</f>
        <v>1589.3473484990966</v>
      </c>
      <c r="AX102">
        <f>Sheet1!$AT102*_xlfn.XLOOKUP($A102,'[1]SSP4-change-rate'!$B$2:$B$147,'[1]SSP4-change-rate'!G$2:G$147)</f>
        <v>1455.4373117628415</v>
      </c>
      <c r="AY102">
        <f>Sheet1!$AT102*_xlfn.XLOOKUP($A102,'[1]SSP4-change-rate'!$B$2:$B$147,'[1]SSP4-change-rate'!H$2:H$147)</f>
        <v>1276.8597016505385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f>Sheet1!$AT103*_xlfn.XLOOKUP($A103,'[1]SSP4-change-rate'!$B$2:$B$147,'[1]SSP4-change-rate'!C$2:C$147)</f>
        <v>265.40339540699432</v>
      </c>
      <c r="AU103">
        <f>Sheet1!$AT103*_xlfn.XLOOKUP($A103,'[1]SSP4-change-rate'!$B$2:$B$147,'[1]SSP4-change-rate'!D$2:D$147)</f>
        <v>268.1971153586469</v>
      </c>
      <c r="AV103">
        <f>Sheet1!$AT103*_xlfn.XLOOKUP($A103,'[1]SSP4-change-rate'!$B$2:$B$147,'[1]SSP4-change-rate'!E$2:E$147)</f>
        <v>265.40339540699432</v>
      </c>
      <c r="AW103">
        <f>Sheet1!$AT103*_xlfn.XLOOKUP($A103,'[1]SSP4-change-rate'!$B$2:$B$147,'[1]SSP4-change-rate'!F$2:F$147)</f>
        <v>263.13499031804565</v>
      </c>
      <c r="AX103">
        <f>Sheet1!$AT103*_xlfn.XLOOKUP($A103,'[1]SSP4-change-rate'!$B$2:$B$147,'[1]SSP4-change-rate'!G$2:G$147)</f>
        <v>255.71714010016973</v>
      </c>
      <c r="AY103">
        <f>Sheet1!$AT103*_xlfn.XLOOKUP($A103,'[1]SSP4-change-rate'!$B$2:$B$147,'[1]SSP4-change-rate'!H$2:H$147)</f>
        <v>243.1540089656894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f>Sheet1!$AT104*_xlfn.XLOOKUP($A104,'[1]SSP4-change-rate'!$B$2:$B$147,'[1]SSP4-change-rate'!C$2:C$147)</f>
        <v>681.65666620467948</v>
      </c>
      <c r="AU104">
        <f>Sheet1!$AT104*_xlfn.XLOOKUP($A104,'[1]SSP4-change-rate'!$B$2:$B$147,'[1]SSP4-change-rate'!D$2:D$147)</f>
        <v>691.22377730930657</v>
      </c>
      <c r="AV104">
        <f>Sheet1!$AT104*_xlfn.XLOOKUP($A104,'[1]SSP4-change-rate'!$B$2:$B$147,'[1]SSP4-change-rate'!E$2:E$147)</f>
        <v>697.92347301183668</v>
      </c>
      <c r="AW104">
        <f>Sheet1!$AT104*_xlfn.XLOOKUP($A104,'[1]SSP4-change-rate'!$B$2:$B$147,'[1]SSP4-change-rate'!F$2:F$147)</f>
        <v>720.58376008692653</v>
      </c>
      <c r="AX104">
        <f>Sheet1!$AT104*_xlfn.XLOOKUP($A104,'[1]SSP4-change-rate'!$B$2:$B$147,'[1]SSP4-change-rate'!G$2:G$147)</f>
        <v>747.131582826971</v>
      </c>
      <c r="AY104">
        <f>Sheet1!$AT104*_xlfn.XLOOKUP($A104,'[1]SSP4-change-rate'!$B$2:$B$147,'[1]SSP4-change-rate'!H$2:H$147)</f>
        <v>764.33909516098788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f>Sheet1!$AT105*_xlfn.XLOOKUP($A105,'[1]SSP4-change-rate'!$B$2:$B$147,'[1]SSP4-change-rate'!C$2:C$147)</f>
        <v>10910.281825688649</v>
      </c>
      <c r="AU105">
        <f>Sheet1!$AT105*_xlfn.XLOOKUP($A105,'[1]SSP4-change-rate'!$B$2:$B$147,'[1]SSP4-change-rate'!D$2:D$147)</f>
        <v>10842.847407064824</v>
      </c>
      <c r="AV105">
        <f>Sheet1!$AT105*_xlfn.XLOOKUP($A105,'[1]SSP4-change-rate'!$B$2:$B$147,'[1]SSP4-change-rate'!E$2:E$147)</f>
        <v>10748.743840009971</v>
      </c>
      <c r="AW105">
        <f>Sheet1!$AT105*_xlfn.XLOOKUP($A105,'[1]SSP4-change-rate'!$B$2:$B$147,'[1]SSP4-change-rate'!F$2:F$147)</f>
        <v>10512.330772136329</v>
      </c>
      <c r="AX105">
        <f>Sheet1!$AT105*_xlfn.XLOOKUP($A105,'[1]SSP4-change-rate'!$B$2:$B$147,'[1]SSP4-change-rate'!G$2:G$147)</f>
        <v>10213.668250031797</v>
      </c>
      <c r="AY105">
        <f>Sheet1!$AT105*_xlfn.XLOOKUP($A105,'[1]SSP4-change-rate'!$B$2:$B$147,'[1]SSP4-change-rate'!H$2:H$147)</f>
        <v>9879.7007253126903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f>Sheet1!$AT106*_xlfn.XLOOKUP($A106,'[1]SSP4-change-rate'!$B$2:$B$147,'[1]SSP4-change-rate'!C$2:C$147)</f>
        <v>161.04531064042081</v>
      </c>
      <c r="AU106">
        <f>Sheet1!$AT106*_xlfn.XLOOKUP($A106,'[1]SSP4-change-rate'!$B$2:$B$147,'[1]SSP4-change-rate'!D$2:D$147)</f>
        <v>161.01334452080181</v>
      </c>
      <c r="AV106">
        <f>Sheet1!$AT106*_xlfn.XLOOKUP($A106,'[1]SSP4-change-rate'!$B$2:$B$147,'[1]SSP4-change-rate'!E$2:E$147)</f>
        <v>161.63273741885106</v>
      </c>
      <c r="AW106">
        <f>Sheet1!$AT106*_xlfn.XLOOKUP($A106,'[1]SSP4-change-rate'!$B$2:$B$147,'[1]SSP4-change-rate'!F$2:F$147)</f>
        <v>162.73310969361629</v>
      </c>
      <c r="AX106">
        <f>Sheet1!$AT106*_xlfn.XLOOKUP($A106,'[1]SSP4-change-rate'!$B$2:$B$147,'[1]SSP4-change-rate'!G$2:G$147)</f>
        <v>162.5398599247732</v>
      </c>
      <c r="AY106">
        <f>Sheet1!$AT106*_xlfn.XLOOKUP($A106,'[1]SSP4-change-rate'!$B$2:$B$147,'[1]SSP4-change-rate'!H$2:H$147)</f>
        <v>161.85476040981104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f>Sheet1!$AT107*_xlfn.XLOOKUP($A107,'[1]SSP4-change-rate'!$B$2:$B$147,'[1]SSP4-change-rate'!C$2:C$147)</f>
        <v>#N/A</v>
      </c>
      <c r="AU107" t="e">
        <f>Sheet1!$AT107*_xlfn.XLOOKUP($A107,'[1]SSP4-change-rate'!$B$2:$B$147,'[1]SSP4-change-rate'!D$2:D$147)</f>
        <v>#N/A</v>
      </c>
      <c r="AV107" t="e">
        <f>Sheet1!$AT107*_xlfn.XLOOKUP($A107,'[1]SSP4-change-rate'!$B$2:$B$147,'[1]SSP4-change-rate'!E$2:E$147)</f>
        <v>#N/A</v>
      </c>
      <c r="AW107" t="e">
        <f>Sheet1!$AT107*_xlfn.XLOOKUP($A107,'[1]SSP4-change-rate'!$B$2:$B$147,'[1]SSP4-change-rate'!F$2:F$147)</f>
        <v>#N/A</v>
      </c>
      <c r="AX107" t="e">
        <f>Sheet1!$AT107*_xlfn.XLOOKUP($A107,'[1]SSP4-change-rate'!$B$2:$B$147,'[1]SSP4-change-rate'!G$2:G$147)</f>
        <v>#N/A</v>
      </c>
      <c r="AY107" t="e">
        <f>Sheet1!$AT107*_xlfn.XLOOKUP($A107,'[1]SSP4-change-rate'!$B$2:$B$147,'[1]SSP4-change-rate'!H$2:H$147)</f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f>Sheet1!$AT108*_xlfn.XLOOKUP($A108,'[1]SSP4-change-rate'!$B$2:$B$147,'[1]SSP4-change-rate'!C$2:C$147)</f>
        <v>566.14902390453051</v>
      </c>
      <c r="AU108">
        <f>Sheet1!$AT108*_xlfn.XLOOKUP($A108,'[1]SSP4-change-rate'!$B$2:$B$147,'[1]SSP4-change-rate'!D$2:D$147)</f>
        <v>576.29158312828247</v>
      </c>
      <c r="AV108">
        <f>Sheet1!$AT108*_xlfn.XLOOKUP($A108,'[1]SSP4-change-rate'!$B$2:$B$147,'[1]SSP4-change-rate'!E$2:E$147)</f>
        <v>579.26834174902058</v>
      </c>
      <c r="AW108">
        <f>Sheet1!$AT108*_xlfn.XLOOKUP($A108,'[1]SSP4-change-rate'!$B$2:$B$147,'[1]SSP4-change-rate'!F$2:F$147)</f>
        <v>609.99221430791181</v>
      </c>
      <c r="AX108">
        <f>Sheet1!$AT108*_xlfn.XLOOKUP($A108,'[1]SSP4-change-rate'!$B$2:$B$147,'[1]SSP4-change-rate'!G$2:G$147)</f>
        <v>633.13482433047204</v>
      </c>
      <c r="AY108">
        <f>Sheet1!$AT108*_xlfn.XLOOKUP($A108,'[1]SSP4-change-rate'!$B$2:$B$147,'[1]SSP4-change-rate'!H$2:H$147)</f>
        <v>628.71807823979066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f>Sheet1!$AT109*_xlfn.XLOOKUP($A109,'[1]SSP4-change-rate'!$B$2:$B$147,'[1]SSP4-change-rate'!C$2:C$147)</f>
        <v>28814.881110978007</v>
      </c>
      <c r="AU109">
        <f>Sheet1!$AT109*_xlfn.XLOOKUP($A109,'[1]SSP4-change-rate'!$B$2:$B$147,'[1]SSP4-change-rate'!D$2:D$147)</f>
        <v>28857.270470369378</v>
      </c>
      <c r="AV109">
        <f>Sheet1!$AT109*_xlfn.XLOOKUP($A109,'[1]SSP4-change-rate'!$B$2:$B$147,'[1]SSP4-change-rate'!E$2:E$147)</f>
        <v>28909.506048448347</v>
      </c>
      <c r="AW109">
        <f>Sheet1!$AT109*_xlfn.XLOOKUP($A109,'[1]SSP4-change-rate'!$B$2:$B$147,'[1]SSP4-change-rate'!F$2:F$147)</f>
        <v>28135.676795015126</v>
      </c>
      <c r="AX109">
        <f>Sheet1!$AT109*_xlfn.XLOOKUP($A109,'[1]SSP4-change-rate'!$B$2:$B$147,'[1]SSP4-change-rate'!G$2:G$147)</f>
        <v>24404.986800129431</v>
      </c>
      <c r="AY109">
        <f>Sheet1!$AT109*_xlfn.XLOOKUP($A109,'[1]SSP4-change-rate'!$B$2:$B$147,'[1]SSP4-change-rate'!H$2:H$147)</f>
        <v>15592.163072278074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f>Sheet1!$AT110*_xlfn.XLOOKUP($A110,'[1]SSP4-change-rate'!$B$2:$B$147,'[1]SSP4-change-rate'!C$2:C$147)</f>
        <v>1585.6907016756595</v>
      </c>
      <c r="AU110">
        <f>Sheet1!$AT110*_xlfn.XLOOKUP($A110,'[1]SSP4-change-rate'!$B$2:$B$147,'[1]SSP4-change-rate'!D$2:D$147)</f>
        <v>1576.3079164586438</v>
      </c>
      <c r="AV110">
        <f>Sheet1!$AT110*_xlfn.XLOOKUP($A110,'[1]SSP4-change-rate'!$B$2:$B$147,'[1]SSP4-change-rate'!E$2:E$147)</f>
        <v>1567.7732926171775</v>
      </c>
      <c r="AW110">
        <f>Sheet1!$AT110*_xlfn.XLOOKUP($A110,'[1]SSP4-change-rate'!$B$2:$B$147,'[1]SSP4-change-rate'!F$2:F$147)</f>
        <v>1537.6394682915486</v>
      </c>
      <c r="AX110">
        <f>Sheet1!$AT110*_xlfn.XLOOKUP($A110,'[1]SSP4-change-rate'!$B$2:$B$147,'[1]SSP4-change-rate'!G$2:G$147)</f>
        <v>1471.4672189278365</v>
      </c>
      <c r="AY110">
        <f>Sheet1!$AT110*_xlfn.XLOOKUP($A110,'[1]SSP4-change-rate'!$B$2:$B$147,'[1]SSP4-change-rate'!H$2:H$147)</f>
        <v>1349.8442998441531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f>Sheet1!$AT111*_xlfn.XLOOKUP($A111,'[1]SSP4-change-rate'!$B$2:$B$147,'[1]SSP4-change-rate'!C$2:C$147)</f>
        <v>19187.713759237758</v>
      </c>
      <c r="AU111">
        <f>Sheet1!$AT111*_xlfn.XLOOKUP($A111,'[1]SSP4-change-rate'!$B$2:$B$147,'[1]SSP4-change-rate'!D$2:D$147)</f>
        <v>19111.104336980359</v>
      </c>
      <c r="AV111">
        <f>Sheet1!$AT111*_xlfn.XLOOKUP($A111,'[1]SSP4-change-rate'!$B$2:$B$147,'[1]SSP4-change-rate'!E$2:E$147)</f>
        <v>18999.719381345636</v>
      </c>
      <c r="AW111">
        <f>Sheet1!$AT111*_xlfn.XLOOKUP($A111,'[1]SSP4-change-rate'!$B$2:$B$147,'[1]SSP4-change-rate'!F$2:F$147)</f>
        <v>18757.650325560757</v>
      </c>
      <c r="AX111">
        <f>Sheet1!$AT111*_xlfn.XLOOKUP($A111,'[1]SSP4-change-rate'!$B$2:$B$147,'[1]SSP4-change-rate'!G$2:G$147)</f>
        <v>18448.709500832749</v>
      </c>
      <c r="AY111">
        <f>Sheet1!$AT111*_xlfn.XLOOKUP($A111,'[1]SSP4-change-rate'!$B$2:$B$147,'[1]SSP4-change-rate'!H$2:H$147)</f>
        <v>18060.441066263851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f>Sheet1!$AT112*_xlfn.XLOOKUP($A112,'[1]SSP4-change-rate'!$B$2:$B$147,'[1]SSP4-change-rate'!C$2:C$147)</f>
        <v>6291.4785355089234</v>
      </c>
      <c r="AU112">
        <f>Sheet1!$AT112*_xlfn.XLOOKUP($A112,'[1]SSP4-change-rate'!$B$2:$B$147,'[1]SSP4-change-rate'!D$2:D$147)</f>
        <v>6274.3704327898749</v>
      </c>
      <c r="AV112">
        <f>Sheet1!$AT112*_xlfn.XLOOKUP($A112,'[1]SSP4-change-rate'!$B$2:$B$147,'[1]SSP4-change-rate'!E$2:E$147)</f>
        <v>6248.0174506672802</v>
      </c>
      <c r="AW112">
        <f>Sheet1!$AT112*_xlfn.XLOOKUP($A112,'[1]SSP4-change-rate'!$B$2:$B$147,'[1]SSP4-change-rate'!F$2:F$147)</f>
        <v>6196.5926543792029</v>
      </c>
      <c r="AX112">
        <f>Sheet1!$AT112*_xlfn.XLOOKUP($A112,'[1]SSP4-change-rate'!$B$2:$B$147,'[1]SSP4-change-rate'!G$2:G$147)</f>
        <v>6149.8493205320692</v>
      </c>
      <c r="AY112">
        <f>Sheet1!$AT112*_xlfn.XLOOKUP($A112,'[1]SSP4-change-rate'!$B$2:$B$147,'[1]SSP4-change-rate'!H$2:H$147)</f>
        <v>6104.3548625759267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f>Sheet1!$AT113*_xlfn.XLOOKUP($A113,'[1]SSP4-change-rate'!$B$2:$B$147,'[1]SSP4-change-rate'!C$2:C$147)</f>
        <v>1176.5497165750137</v>
      </c>
      <c r="AU113">
        <f>Sheet1!$AT113*_xlfn.XLOOKUP($A113,'[1]SSP4-change-rate'!$B$2:$B$147,'[1]SSP4-change-rate'!D$2:D$147)</f>
        <v>1199.6669005415874</v>
      </c>
      <c r="AV113">
        <f>Sheet1!$AT113*_xlfn.XLOOKUP($A113,'[1]SSP4-change-rate'!$B$2:$B$147,'[1]SSP4-change-rate'!E$2:E$147)</f>
        <v>1229.9219036376296</v>
      </c>
      <c r="AW113">
        <f>Sheet1!$AT113*_xlfn.XLOOKUP($A113,'[1]SSP4-change-rate'!$B$2:$B$147,'[1]SSP4-change-rate'!F$2:F$147)</f>
        <v>1261.0359994141768</v>
      </c>
      <c r="AX113">
        <f>Sheet1!$AT113*_xlfn.XLOOKUP($A113,'[1]SSP4-change-rate'!$B$2:$B$147,'[1]SSP4-change-rate'!G$2:G$147)</f>
        <v>1301.9927241814748</v>
      </c>
      <c r="AY113">
        <f>Sheet1!$AT113*_xlfn.XLOOKUP($A113,'[1]SSP4-change-rate'!$B$2:$B$147,'[1]SSP4-change-rate'!H$2:H$147)</f>
        <v>1325.9186463529604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f>Sheet1!$AT114*_xlfn.XLOOKUP($A114,'[1]SSP4-change-rate'!$B$2:$B$147,'[1]SSP4-change-rate'!C$2:C$147)</f>
        <v>5432.4821803809918</v>
      </c>
      <c r="AU114">
        <f>Sheet1!$AT114*_xlfn.XLOOKUP($A114,'[1]SSP4-change-rate'!$B$2:$B$147,'[1]SSP4-change-rate'!D$2:D$147)</f>
        <v>5407.9496560837506</v>
      </c>
      <c r="AV114">
        <f>Sheet1!$AT114*_xlfn.XLOOKUP($A114,'[1]SSP4-change-rate'!$B$2:$B$147,'[1]SSP4-change-rate'!E$2:E$147)</f>
        <v>5374.098052691359</v>
      </c>
      <c r="AW114">
        <f>Sheet1!$AT114*_xlfn.XLOOKUP($A114,'[1]SSP4-change-rate'!$B$2:$B$147,'[1]SSP4-change-rate'!F$2:F$147)</f>
        <v>5307.2759407277299</v>
      </c>
      <c r="AX114">
        <f>Sheet1!$AT114*_xlfn.XLOOKUP($A114,'[1]SSP4-change-rate'!$B$2:$B$147,'[1]SSP4-change-rate'!G$2:G$147)</f>
        <v>5218.1875493838006</v>
      </c>
      <c r="AY114">
        <f>Sheet1!$AT114*_xlfn.XLOOKUP($A114,'[1]SSP4-change-rate'!$B$2:$B$147,'[1]SSP4-change-rate'!H$2:H$147)</f>
        <v>5120.4597319744171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f>Sheet1!$AT115*_xlfn.XLOOKUP($A115,'[1]SSP4-change-rate'!$B$2:$B$147,'[1]SSP4-change-rate'!C$2:C$147)</f>
        <v>1321.4596544996539</v>
      </c>
      <c r="AU115">
        <f>Sheet1!$AT115*_xlfn.XLOOKUP($A115,'[1]SSP4-change-rate'!$B$2:$B$147,'[1]SSP4-change-rate'!D$2:D$147)</f>
        <v>1310.7296098504733</v>
      </c>
      <c r="AV115">
        <f>Sheet1!$AT115*_xlfn.XLOOKUP($A115,'[1]SSP4-change-rate'!$B$2:$B$147,'[1]SSP4-change-rate'!E$2:E$147)</f>
        <v>1296.0102784648057</v>
      </c>
      <c r="AW115">
        <f>Sheet1!$AT115*_xlfn.XLOOKUP($A115,'[1]SSP4-change-rate'!$B$2:$B$147,'[1]SSP4-change-rate'!F$2:F$147)</f>
        <v>1262.5163324388609</v>
      </c>
      <c r="AX115">
        <f>Sheet1!$AT115*_xlfn.XLOOKUP($A115,'[1]SSP4-change-rate'!$B$2:$B$147,'[1]SSP4-change-rate'!G$2:G$147)</f>
        <v>1224.3533955449525</v>
      </c>
      <c r="AY115">
        <f>Sheet1!$AT115*_xlfn.XLOOKUP($A115,'[1]SSP4-change-rate'!$B$2:$B$147,'[1]SSP4-change-rate'!H$2:H$147)</f>
        <v>1181.8660587494041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f>Sheet1!$AT116*_xlfn.XLOOKUP($A116,'[1]SSP4-change-rate'!$B$2:$B$147,'[1]SSP4-change-rate'!C$2:C$147)</f>
        <v>25404.180461755099</v>
      </c>
      <c r="AU116">
        <f>Sheet1!$AT116*_xlfn.XLOOKUP($A116,'[1]SSP4-change-rate'!$B$2:$B$147,'[1]SSP4-change-rate'!D$2:D$147)</f>
        <v>25709.235525567216</v>
      </c>
      <c r="AV116">
        <f>Sheet1!$AT116*_xlfn.XLOOKUP($A116,'[1]SSP4-change-rate'!$B$2:$B$147,'[1]SSP4-change-rate'!E$2:E$147)</f>
        <v>26117.655941766319</v>
      </c>
      <c r="AW116">
        <f>Sheet1!$AT116*_xlfn.XLOOKUP($A116,'[1]SSP4-change-rate'!$B$2:$B$147,'[1]SSP4-change-rate'!F$2:F$147)</f>
        <v>26797.064835674992</v>
      </c>
      <c r="AX116">
        <f>Sheet1!$AT116*_xlfn.XLOOKUP($A116,'[1]SSP4-change-rate'!$B$2:$B$147,'[1]SSP4-change-rate'!G$2:G$147)</f>
        <v>27543.301929471818</v>
      </c>
      <c r="AY116">
        <f>Sheet1!$AT116*_xlfn.XLOOKUP($A116,'[1]SSP4-change-rate'!$B$2:$B$147,'[1]SSP4-change-rate'!H$2:H$147)</f>
        <v>28093.735976199456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f>Sheet1!$AT117*_xlfn.XLOOKUP($A117,'[1]SSP4-change-rate'!$B$2:$B$147,'[1]SSP4-change-rate'!C$2:C$147)</f>
        <v>2224.9038991071202</v>
      </c>
      <c r="AU117">
        <f>Sheet1!$AT117*_xlfn.XLOOKUP($A117,'[1]SSP4-change-rate'!$B$2:$B$147,'[1]SSP4-change-rate'!D$2:D$147)</f>
        <v>2218.2797955608917</v>
      </c>
      <c r="AV117">
        <f>Sheet1!$AT117*_xlfn.XLOOKUP($A117,'[1]SSP4-change-rate'!$B$2:$B$147,'[1]SSP4-change-rate'!E$2:E$147)</f>
        <v>2193.0131857894594</v>
      </c>
      <c r="AW117">
        <f>Sheet1!$AT117*_xlfn.XLOOKUP($A117,'[1]SSP4-change-rate'!$B$2:$B$147,'[1]SSP4-change-rate'!F$2:F$147)</f>
        <v>2160.2490966977848</v>
      </c>
      <c r="AX117">
        <f>Sheet1!$AT117*_xlfn.XLOOKUP($A117,'[1]SSP4-change-rate'!$B$2:$B$147,'[1]SSP4-change-rate'!G$2:G$147)</f>
        <v>2099.7878313259621</v>
      </c>
      <c r="AY117">
        <f>Sheet1!$AT117*_xlfn.XLOOKUP($A117,'[1]SSP4-change-rate'!$B$2:$B$147,'[1]SSP4-change-rate'!H$2:H$147)</f>
        <v>2033.7657685075594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f>Sheet1!$AT118*_xlfn.XLOOKUP($A118,'[1]SSP4-change-rate'!$B$2:$B$147,'[1]SSP4-change-rate'!C$2:C$147)</f>
        <v>6259.691952127494</v>
      </c>
      <c r="AU118">
        <f>Sheet1!$AT118*_xlfn.XLOOKUP($A118,'[1]SSP4-change-rate'!$B$2:$B$147,'[1]SSP4-change-rate'!D$2:D$147)</f>
        <v>6223.9852210670288</v>
      </c>
      <c r="AV118">
        <f>Sheet1!$AT118*_xlfn.XLOOKUP($A118,'[1]SSP4-change-rate'!$B$2:$B$147,'[1]SSP4-change-rate'!E$2:E$147)</f>
        <v>6172.5842065747074</v>
      </c>
      <c r="AW118">
        <f>Sheet1!$AT118*_xlfn.XLOOKUP($A118,'[1]SSP4-change-rate'!$B$2:$B$147,'[1]SSP4-change-rate'!F$2:F$147)</f>
        <v>6037.6541641971753</v>
      </c>
      <c r="AX118">
        <f>Sheet1!$AT118*_xlfn.XLOOKUP($A118,'[1]SSP4-change-rate'!$B$2:$B$147,'[1]SSP4-change-rate'!G$2:G$147)</f>
        <v>5865.1960001914886</v>
      </c>
      <c r="AY118">
        <f>Sheet1!$AT118*_xlfn.XLOOKUP($A118,'[1]SSP4-change-rate'!$B$2:$B$147,'[1]SSP4-change-rate'!H$2:H$147)</f>
        <v>5678.2136804109223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f>Sheet1!$AT119*_xlfn.XLOOKUP($A119,'[1]SSP4-change-rate'!$B$2:$B$147,'[1]SSP4-change-rate'!C$2:C$147)</f>
        <v>14736.190212593609</v>
      </c>
      <c r="AU119">
        <f>Sheet1!$AT119*_xlfn.XLOOKUP($A119,'[1]SSP4-change-rate'!$B$2:$B$147,'[1]SSP4-change-rate'!D$2:D$147)</f>
        <v>14891.702817689</v>
      </c>
      <c r="AV119">
        <f>Sheet1!$AT119*_xlfn.XLOOKUP($A119,'[1]SSP4-change-rate'!$B$2:$B$147,'[1]SSP4-change-rate'!E$2:E$147)</f>
        <v>15081.394998627402</v>
      </c>
      <c r="AW119">
        <f>Sheet1!$AT119*_xlfn.XLOOKUP($A119,'[1]SSP4-change-rate'!$B$2:$B$147,'[1]SSP4-change-rate'!F$2:F$147)</f>
        <v>15367.068230640763</v>
      </c>
      <c r="AX119">
        <f>Sheet1!$AT119*_xlfn.XLOOKUP($A119,'[1]SSP4-change-rate'!$B$2:$B$147,'[1]SSP4-change-rate'!G$2:G$147)</f>
        <v>15646.949086644459</v>
      </c>
      <c r="AY119">
        <f>Sheet1!$AT119*_xlfn.XLOOKUP($A119,'[1]SSP4-change-rate'!$B$2:$B$147,'[1]SSP4-change-rate'!H$2:H$147)</f>
        <v>15834.250489238995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f>Sheet1!$AT120*_xlfn.XLOOKUP($A120,'[1]SSP4-change-rate'!$B$2:$B$147,'[1]SSP4-change-rate'!C$2:C$147)</f>
        <v>244.87082017976269</v>
      </c>
      <c r="AU120">
        <f>Sheet1!$AT120*_xlfn.XLOOKUP($A120,'[1]SSP4-change-rate'!$B$2:$B$147,'[1]SSP4-change-rate'!D$2:D$147)</f>
        <v>244.4940958410246</v>
      </c>
      <c r="AV120">
        <f>Sheet1!$AT120*_xlfn.XLOOKUP($A120,'[1]SSP4-change-rate'!$B$2:$B$147,'[1]SSP4-change-rate'!E$2:E$147)</f>
        <v>250.82254150357639</v>
      </c>
      <c r="AW120">
        <f>Sheet1!$AT120*_xlfn.XLOOKUP($A120,'[1]SSP4-change-rate'!$B$2:$B$147,'[1]SSP4-change-rate'!F$2:F$147)</f>
        <v>251.86042788221184</v>
      </c>
      <c r="AX120">
        <f>Sheet1!$AT120*_xlfn.XLOOKUP($A120,'[1]SSP4-change-rate'!$B$2:$B$147,'[1]SSP4-change-rate'!G$2:G$147)</f>
        <v>252.59305356124869</v>
      </c>
      <c r="AY120">
        <f>Sheet1!$AT120*_xlfn.XLOOKUP($A120,'[1]SSP4-change-rate'!$B$2:$B$147,'[1]SSP4-change-rate'!H$2:H$147)</f>
        <v>250.7396249609306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f>Sheet1!$AT121*_xlfn.XLOOKUP($A121,'[1]SSP4-change-rate'!$B$2:$B$147,'[1]SSP4-change-rate'!C$2:C$147)</f>
        <v>41835.986875977629</v>
      </c>
      <c r="AU121">
        <f>Sheet1!$AT121*_xlfn.XLOOKUP($A121,'[1]SSP4-change-rate'!$B$2:$B$147,'[1]SSP4-change-rate'!D$2:D$147)</f>
        <v>41757.724564333475</v>
      </c>
      <c r="AV121">
        <f>Sheet1!$AT121*_xlfn.XLOOKUP($A121,'[1]SSP4-change-rate'!$B$2:$B$147,'[1]SSP4-change-rate'!E$2:E$147)</f>
        <v>41643.42404103437</v>
      </c>
      <c r="AW121">
        <f>Sheet1!$AT121*_xlfn.XLOOKUP($A121,'[1]SSP4-change-rate'!$B$2:$B$147,'[1]SSP4-change-rate'!F$2:F$147)</f>
        <v>41372.923236080744</v>
      </c>
      <c r="AX121">
        <f>Sheet1!$AT121*_xlfn.XLOOKUP($A121,'[1]SSP4-change-rate'!$B$2:$B$147,'[1]SSP4-change-rate'!G$2:G$147)</f>
        <v>40949.777489036453</v>
      </c>
      <c r="AY121">
        <f>Sheet1!$AT121*_xlfn.XLOOKUP($A121,'[1]SSP4-change-rate'!$B$2:$B$147,'[1]SSP4-change-rate'!H$2:H$147)</f>
        <v>40390.384928655476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 t="e">
        <f>Sheet1!$AT122*_xlfn.XLOOKUP($A122,'[1]SSP4-change-rate'!$B$2:$B$147,'[1]SSP4-change-rate'!C$2:C$147)</f>
        <v>#N/A</v>
      </c>
      <c r="AU122" t="e">
        <f>Sheet1!$AT122*_xlfn.XLOOKUP($A122,'[1]SSP4-change-rate'!$B$2:$B$147,'[1]SSP4-change-rate'!D$2:D$147)</f>
        <v>#N/A</v>
      </c>
      <c r="AV122" t="e">
        <f>Sheet1!$AT122*_xlfn.XLOOKUP($A122,'[1]SSP4-change-rate'!$B$2:$B$147,'[1]SSP4-change-rate'!E$2:E$147)</f>
        <v>#N/A</v>
      </c>
      <c r="AW122" t="e">
        <f>Sheet1!$AT122*_xlfn.XLOOKUP($A122,'[1]SSP4-change-rate'!$B$2:$B$147,'[1]SSP4-change-rate'!F$2:F$147)</f>
        <v>#N/A</v>
      </c>
      <c r="AX122" t="e">
        <f>Sheet1!$AT122*_xlfn.XLOOKUP($A122,'[1]SSP4-change-rate'!$B$2:$B$147,'[1]SSP4-change-rate'!G$2:G$147)</f>
        <v>#N/A</v>
      </c>
      <c r="AY122" t="e">
        <f>Sheet1!$AT122*_xlfn.XLOOKUP($A122,'[1]SSP4-change-rate'!$B$2:$B$147,'[1]SSP4-change-rate'!H$2:H$147)</f>
        <v>#N/A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f>Sheet1!$AT123*_xlfn.XLOOKUP($A123,'[1]SSP4-change-rate'!$B$2:$B$147,'[1]SSP4-change-rate'!C$2:C$147)</f>
        <v>4158.7523015637507</v>
      </c>
      <c r="AU123">
        <f>Sheet1!$AT123*_xlfn.XLOOKUP($A123,'[1]SSP4-change-rate'!$B$2:$B$147,'[1]SSP4-change-rate'!D$2:D$147)</f>
        <v>4149.0945760842678</v>
      </c>
      <c r="AV123">
        <f>Sheet1!$AT123*_xlfn.XLOOKUP($A123,'[1]SSP4-change-rate'!$B$2:$B$147,'[1]SSP4-change-rate'!E$2:E$147)</f>
        <v>4135.805828277943</v>
      </c>
      <c r="AW123">
        <f>Sheet1!$AT123*_xlfn.XLOOKUP($A123,'[1]SSP4-change-rate'!$B$2:$B$147,'[1]SSP4-change-rate'!F$2:F$147)</f>
        <v>4099.438739357327</v>
      </c>
      <c r="AX123">
        <f>Sheet1!$AT123*_xlfn.XLOOKUP($A123,'[1]SSP4-change-rate'!$B$2:$B$147,'[1]SSP4-change-rate'!G$2:G$147)</f>
        <v>4044.5667573939386</v>
      </c>
      <c r="AY123">
        <f>Sheet1!$AT123*_xlfn.XLOOKUP($A123,'[1]SSP4-change-rate'!$B$2:$B$147,'[1]SSP4-change-rate'!H$2:H$147)</f>
        <v>3972.6522633192039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f>Sheet1!$AT124*_xlfn.XLOOKUP($A124,'[1]SSP4-change-rate'!$B$2:$B$147,'[1]SSP4-change-rate'!C$2:C$147)</f>
        <v>2395.0291437821907</v>
      </c>
      <c r="AU124">
        <f>Sheet1!$AT124*_xlfn.XLOOKUP($A124,'[1]SSP4-change-rate'!$B$2:$B$147,'[1]SSP4-change-rate'!D$2:D$147)</f>
        <v>2409.3480696017677</v>
      </c>
      <c r="AV124">
        <f>Sheet1!$AT124*_xlfn.XLOOKUP($A124,'[1]SSP4-change-rate'!$B$2:$B$147,'[1]SSP4-change-rate'!E$2:E$147)</f>
        <v>2430.3399281315897</v>
      </c>
      <c r="AW124">
        <f>Sheet1!$AT124*_xlfn.XLOOKUP($A124,'[1]SSP4-change-rate'!$B$2:$B$147,'[1]SSP4-change-rate'!F$2:F$147)</f>
        <v>2449.2194750649551</v>
      </c>
      <c r="AX124">
        <f>Sheet1!$AT124*_xlfn.XLOOKUP($A124,'[1]SSP4-change-rate'!$B$2:$B$147,'[1]SSP4-change-rate'!G$2:G$147)</f>
        <v>2433.9376700769731</v>
      </c>
      <c r="AY124">
        <f>Sheet1!$AT124*_xlfn.XLOOKUP($A124,'[1]SSP4-change-rate'!$B$2:$B$147,'[1]SSP4-change-rate'!H$2:H$147)</f>
        <v>2326.0524510052855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 t="e">
        <f>Sheet1!$AT125*_xlfn.XLOOKUP($A125,'[1]SSP4-change-rate'!$B$2:$B$147,'[1]SSP4-change-rate'!C$2:C$147)</f>
        <v>#N/A</v>
      </c>
      <c r="AU125" t="e">
        <f>Sheet1!$AT125*_xlfn.XLOOKUP($A125,'[1]SSP4-change-rate'!$B$2:$B$147,'[1]SSP4-change-rate'!D$2:D$147)</f>
        <v>#N/A</v>
      </c>
      <c r="AV125" t="e">
        <f>Sheet1!$AT125*_xlfn.XLOOKUP($A125,'[1]SSP4-change-rate'!$B$2:$B$147,'[1]SSP4-change-rate'!E$2:E$147)</f>
        <v>#N/A</v>
      </c>
      <c r="AW125" t="e">
        <f>Sheet1!$AT125*_xlfn.XLOOKUP($A125,'[1]SSP4-change-rate'!$B$2:$B$147,'[1]SSP4-change-rate'!F$2:F$147)</f>
        <v>#N/A</v>
      </c>
      <c r="AX125" t="e">
        <f>Sheet1!$AT125*_xlfn.XLOOKUP($A125,'[1]SSP4-change-rate'!$B$2:$B$147,'[1]SSP4-change-rate'!G$2:G$147)</f>
        <v>#N/A</v>
      </c>
      <c r="AY125" t="e">
        <f>Sheet1!$AT125*_xlfn.XLOOKUP($A125,'[1]SSP4-change-rate'!$B$2:$B$147,'[1]SSP4-change-rate'!H$2:H$147)</f>
        <v>#N/A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 t="e">
        <f>Sheet1!$AT126*_xlfn.XLOOKUP($A126,'[1]SSP4-change-rate'!$B$2:$B$147,'[1]SSP4-change-rate'!C$2:C$147)</f>
        <v>#N/A</v>
      </c>
      <c r="AU126" t="e">
        <f>Sheet1!$AT126*_xlfn.XLOOKUP($A126,'[1]SSP4-change-rate'!$B$2:$B$147,'[1]SSP4-change-rate'!D$2:D$147)</f>
        <v>#N/A</v>
      </c>
      <c r="AV126" t="e">
        <f>Sheet1!$AT126*_xlfn.XLOOKUP($A126,'[1]SSP4-change-rate'!$B$2:$B$147,'[1]SSP4-change-rate'!E$2:E$147)</f>
        <v>#N/A</v>
      </c>
      <c r="AW126" t="e">
        <f>Sheet1!$AT126*_xlfn.XLOOKUP($A126,'[1]SSP4-change-rate'!$B$2:$B$147,'[1]SSP4-change-rate'!F$2:F$147)</f>
        <v>#N/A</v>
      </c>
      <c r="AX126" t="e">
        <f>Sheet1!$AT126*_xlfn.XLOOKUP($A126,'[1]SSP4-change-rate'!$B$2:$B$147,'[1]SSP4-change-rate'!G$2:G$147)</f>
        <v>#N/A</v>
      </c>
      <c r="AY126" t="e">
        <f>Sheet1!$AT126*_xlfn.XLOOKUP($A126,'[1]SSP4-change-rate'!$B$2:$B$147,'[1]SSP4-change-rate'!H$2:H$147)</f>
        <v>#N/A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f>Sheet1!$AT127*_xlfn.XLOOKUP($A127,'[1]SSP4-change-rate'!$B$2:$B$147,'[1]SSP4-change-rate'!C$2:C$147)</f>
        <v>11657.767885816942</v>
      </c>
      <c r="AU127">
        <f>Sheet1!$AT127*_xlfn.XLOOKUP($A127,'[1]SSP4-change-rate'!$B$2:$B$147,'[1]SSP4-change-rate'!D$2:D$147)</f>
        <v>11622.674770311116</v>
      </c>
      <c r="AV127">
        <f>Sheet1!$AT127*_xlfn.XLOOKUP($A127,'[1]SSP4-change-rate'!$B$2:$B$147,'[1]SSP4-change-rate'!E$2:E$147)</f>
        <v>11571.223095633224</v>
      </c>
      <c r="AW127">
        <f>Sheet1!$AT127*_xlfn.XLOOKUP($A127,'[1]SSP4-change-rate'!$B$2:$B$147,'[1]SSP4-change-rate'!F$2:F$147)</f>
        <v>11415.449156907503</v>
      </c>
      <c r="AX127">
        <f>Sheet1!$AT127*_xlfn.XLOOKUP($A127,'[1]SSP4-change-rate'!$B$2:$B$147,'[1]SSP4-change-rate'!G$2:G$147)</f>
        <v>11216.00079802232</v>
      </c>
      <c r="AY127">
        <f>Sheet1!$AT127*_xlfn.XLOOKUP($A127,'[1]SSP4-change-rate'!$B$2:$B$147,'[1]SSP4-change-rate'!H$2:H$147)</f>
        <v>10968.396975873708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f>Sheet1!$AT128*_xlfn.XLOOKUP($A128,'[1]SSP4-change-rate'!$B$2:$B$147,'[1]SSP4-change-rate'!C$2:C$147)</f>
        <v>70661.814813215155</v>
      </c>
      <c r="AU128">
        <f>Sheet1!$AT128*_xlfn.XLOOKUP($A128,'[1]SSP4-change-rate'!$B$2:$B$147,'[1]SSP4-change-rate'!D$2:D$147)</f>
        <v>70568.617759573302</v>
      </c>
      <c r="AV128">
        <f>Sheet1!$AT128*_xlfn.XLOOKUP($A128,'[1]SSP4-change-rate'!$B$2:$B$147,'[1]SSP4-change-rate'!E$2:E$147)</f>
        <v>70443.315192362614</v>
      </c>
      <c r="AW128">
        <f>Sheet1!$AT128*_xlfn.XLOOKUP($A128,'[1]SSP4-change-rate'!$B$2:$B$147,'[1]SSP4-change-rate'!F$2:F$147)</f>
        <v>69889.826614929611</v>
      </c>
      <c r="AX128">
        <f>Sheet1!$AT128*_xlfn.XLOOKUP($A128,'[1]SSP4-change-rate'!$B$2:$B$147,'[1]SSP4-change-rate'!G$2:G$147)</f>
        <v>68967.180102014958</v>
      </c>
      <c r="AY128">
        <f>Sheet1!$AT128*_xlfn.XLOOKUP($A128,'[1]SSP4-change-rate'!$B$2:$B$147,'[1]SSP4-change-rate'!H$2:H$147)</f>
        <v>67363.265415278132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f>Sheet1!$AT129*_xlfn.XLOOKUP($A129,'[1]SSP4-change-rate'!$B$2:$B$147,'[1]SSP4-change-rate'!C$2:C$147)</f>
        <v>599.05248548137615</v>
      </c>
      <c r="AU129">
        <f>Sheet1!$AT129*_xlfn.XLOOKUP($A129,'[1]SSP4-change-rate'!$B$2:$B$147,'[1]SSP4-change-rate'!D$2:D$147)</f>
        <v>599.05248548137615</v>
      </c>
      <c r="AV129">
        <f>Sheet1!$AT129*_xlfn.XLOOKUP($A129,'[1]SSP4-change-rate'!$B$2:$B$147,'[1]SSP4-change-rate'!E$2:E$147)</f>
        <v>610.14605002732765</v>
      </c>
      <c r="AW129">
        <f>Sheet1!$AT129*_xlfn.XLOOKUP($A129,'[1]SSP4-change-rate'!$B$2:$B$147,'[1]SSP4-change-rate'!F$2:F$147)</f>
        <v>599.05248548137615</v>
      </c>
      <c r="AX129">
        <f>Sheet1!$AT129*_xlfn.XLOOKUP($A129,'[1]SSP4-change-rate'!$B$2:$B$147,'[1]SSP4-change-rate'!G$2:G$147)</f>
        <v>590.73231207191259</v>
      </c>
      <c r="AY129">
        <f>Sheet1!$AT129*_xlfn.XLOOKUP($A129,'[1]SSP4-change-rate'!$B$2:$B$147,'[1]SSP4-change-rate'!H$2:H$147)</f>
        <v>533.22254202188424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f>Sheet1!$AT130*_xlfn.XLOOKUP($A130,'[1]SSP4-change-rate'!$B$2:$B$147,'[1]SSP4-change-rate'!C$2:C$147)</f>
        <v>12629.436333833992</v>
      </c>
      <c r="AU130">
        <f>Sheet1!$AT130*_xlfn.XLOOKUP($A130,'[1]SSP4-change-rate'!$B$2:$B$147,'[1]SSP4-change-rate'!D$2:D$147)</f>
        <v>12741.603755553469</v>
      </c>
      <c r="AV130">
        <f>Sheet1!$AT130*_xlfn.XLOOKUP($A130,'[1]SSP4-change-rate'!$B$2:$B$147,'[1]SSP4-change-rate'!E$2:E$147)</f>
        <v>12890.399448908041</v>
      </c>
      <c r="AW130">
        <f>Sheet1!$AT130*_xlfn.XLOOKUP($A130,'[1]SSP4-change-rate'!$B$2:$B$147,'[1]SSP4-change-rate'!F$2:F$147)</f>
        <v>13195.18327824058</v>
      </c>
      <c r="AX130">
        <f>Sheet1!$AT130*_xlfn.XLOOKUP($A130,'[1]SSP4-change-rate'!$B$2:$B$147,'[1]SSP4-change-rate'!G$2:G$147)</f>
        <v>13601.517326750145</v>
      </c>
      <c r="AY130">
        <f>Sheet1!$AT130*_xlfn.XLOOKUP($A130,'[1]SSP4-change-rate'!$B$2:$B$147,'[1]SSP4-change-rate'!H$2:H$147)</f>
        <v>14086.946139249978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f>Sheet1!$AT131*_xlfn.XLOOKUP($A131,'[1]SSP4-change-rate'!$B$2:$B$147,'[1]SSP4-change-rate'!C$2:C$147)</f>
        <v>3271.6012045150142</v>
      </c>
      <c r="AU131">
        <f>Sheet1!$AT131*_xlfn.XLOOKUP($A131,'[1]SSP4-change-rate'!$B$2:$B$147,'[1]SSP4-change-rate'!D$2:D$147)</f>
        <v>3289.2366377199364</v>
      </c>
      <c r="AV131">
        <f>Sheet1!$AT131*_xlfn.XLOOKUP($A131,'[1]SSP4-change-rate'!$B$2:$B$147,'[1]SSP4-change-rate'!E$2:E$147)</f>
        <v>3305.8228971729154</v>
      </c>
      <c r="AW131">
        <f>Sheet1!$AT131*_xlfn.XLOOKUP($A131,'[1]SSP4-change-rate'!$B$2:$B$147,'[1]SSP4-change-rate'!F$2:F$147)</f>
        <v>3242.3601437459324</v>
      </c>
      <c r="AX131">
        <f>Sheet1!$AT131*_xlfn.XLOOKUP($A131,'[1]SSP4-change-rate'!$B$2:$B$147,'[1]SSP4-change-rate'!G$2:G$147)</f>
        <v>2927.3291587032327</v>
      </c>
      <c r="AY131">
        <f>Sheet1!$AT131*_xlfn.XLOOKUP($A131,'[1]SSP4-change-rate'!$B$2:$B$147,'[1]SSP4-change-rate'!H$2:H$147)</f>
        <v>2140.3517919018245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f>Sheet1!$AT132*_xlfn.XLOOKUP($A132,'[1]SSP4-change-rate'!$B$2:$B$147,'[1]SSP4-change-rate'!C$2:C$147)</f>
        <v>1143.7267471623863</v>
      </c>
      <c r="AU132">
        <f>Sheet1!$AT132*_xlfn.XLOOKUP($A132,'[1]SSP4-change-rate'!$B$2:$B$147,'[1]SSP4-change-rate'!D$2:D$147)</f>
        <v>1161.0683448775444</v>
      </c>
      <c r="AV132">
        <f>Sheet1!$AT132*_xlfn.XLOOKUP($A132,'[1]SSP4-change-rate'!$B$2:$B$147,'[1]SSP4-change-rate'!E$2:E$147)</f>
        <v>1179.4810507926873</v>
      </c>
      <c r="AW132">
        <f>Sheet1!$AT132*_xlfn.XLOOKUP($A132,'[1]SSP4-change-rate'!$B$2:$B$147,'[1]SSP4-change-rate'!F$2:F$147)</f>
        <v>1205.8375174087364</v>
      </c>
      <c r="AX132">
        <f>Sheet1!$AT132*_xlfn.XLOOKUP($A132,'[1]SSP4-change-rate'!$B$2:$B$147,'[1]SSP4-change-rate'!G$2:G$147)</f>
        <v>1228.2751058517567</v>
      </c>
      <c r="AY132">
        <f>Sheet1!$AT132*_xlfn.XLOOKUP($A132,'[1]SSP4-change-rate'!$B$2:$B$147,'[1]SSP4-change-rate'!H$2:H$147)</f>
        <v>1241.1264018794132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f>Sheet1!$AT133*_xlfn.XLOOKUP($A133,'[1]SSP4-change-rate'!$B$2:$B$147,'[1]SSP4-change-rate'!C$2:C$147)</f>
        <v>#N/A</v>
      </c>
      <c r="AU133" t="e">
        <f>Sheet1!$AT133*_xlfn.XLOOKUP($A133,'[1]SSP4-change-rate'!$B$2:$B$147,'[1]SSP4-change-rate'!D$2:D$147)</f>
        <v>#N/A</v>
      </c>
      <c r="AV133" t="e">
        <f>Sheet1!$AT133*_xlfn.XLOOKUP($A133,'[1]SSP4-change-rate'!$B$2:$B$147,'[1]SSP4-change-rate'!E$2:E$147)</f>
        <v>#N/A</v>
      </c>
      <c r="AW133" t="e">
        <f>Sheet1!$AT133*_xlfn.XLOOKUP($A133,'[1]SSP4-change-rate'!$B$2:$B$147,'[1]SSP4-change-rate'!F$2:F$147)</f>
        <v>#N/A</v>
      </c>
      <c r="AX133" t="e">
        <f>Sheet1!$AT133*_xlfn.XLOOKUP($A133,'[1]SSP4-change-rate'!$B$2:$B$147,'[1]SSP4-change-rate'!G$2:G$147)</f>
        <v>#N/A</v>
      </c>
      <c r="AY133" t="e">
        <f>Sheet1!$AT133*_xlfn.XLOOKUP($A133,'[1]SSP4-change-rate'!$B$2:$B$147,'[1]SSP4-change-rate'!H$2:H$147)</f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 t="e">
        <f>Sheet1!$AT134*_xlfn.XLOOKUP($A134,'[1]SSP4-change-rate'!$B$2:$B$147,'[1]SSP4-change-rate'!C$2:C$147)</f>
        <v>#N/A</v>
      </c>
      <c r="AU134" t="e">
        <f>Sheet1!$AT134*_xlfn.XLOOKUP($A134,'[1]SSP4-change-rate'!$B$2:$B$147,'[1]SSP4-change-rate'!D$2:D$147)</f>
        <v>#N/A</v>
      </c>
      <c r="AV134" t="e">
        <f>Sheet1!$AT134*_xlfn.XLOOKUP($A134,'[1]SSP4-change-rate'!$B$2:$B$147,'[1]SSP4-change-rate'!E$2:E$147)</f>
        <v>#N/A</v>
      </c>
      <c r="AW134" t="e">
        <f>Sheet1!$AT134*_xlfn.XLOOKUP($A134,'[1]SSP4-change-rate'!$B$2:$B$147,'[1]SSP4-change-rate'!F$2:F$147)</f>
        <v>#N/A</v>
      </c>
      <c r="AX134" t="e">
        <f>Sheet1!$AT134*_xlfn.XLOOKUP($A134,'[1]SSP4-change-rate'!$B$2:$B$147,'[1]SSP4-change-rate'!G$2:G$147)</f>
        <v>#N/A</v>
      </c>
      <c r="AY134" t="e">
        <f>Sheet1!$AT134*_xlfn.XLOOKUP($A134,'[1]SSP4-change-rate'!$B$2:$B$147,'[1]SSP4-change-rate'!H$2:H$147)</f>
        <v>#N/A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f>Sheet1!$AT135*_xlfn.XLOOKUP($A135,'[1]SSP4-change-rate'!$B$2:$B$147,'[1]SSP4-change-rate'!C$2:C$147)</f>
        <v>3190.856274889924</v>
      </c>
      <c r="AU135">
        <f>Sheet1!$AT135*_xlfn.XLOOKUP($A135,'[1]SSP4-change-rate'!$B$2:$B$147,'[1]SSP4-change-rate'!D$2:D$147)</f>
        <v>3164.8084685642916</v>
      </c>
      <c r="AV135">
        <f>Sheet1!$AT135*_xlfn.XLOOKUP($A135,'[1]SSP4-change-rate'!$B$2:$B$147,'[1]SSP4-change-rate'!E$2:E$147)</f>
        <v>3126.52449515424</v>
      </c>
      <c r="AW135">
        <f>Sheet1!$AT135*_xlfn.XLOOKUP($A135,'[1]SSP4-change-rate'!$B$2:$B$147,'[1]SSP4-change-rate'!F$2:F$147)</f>
        <v>3101.5122991930057</v>
      </c>
      <c r="AX135">
        <f>Sheet1!$AT135*_xlfn.XLOOKUP($A135,'[1]SSP4-change-rate'!$B$2:$B$147,'[1]SSP4-change-rate'!G$2:G$147)</f>
        <v>3076.8971222152836</v>
      </c>
      <c r="AY135">
        <f>Sheet1!$AT135*_xlfn.XLOOKUP($A135,'[1]SSP4-change-rate'!$B$2:$B$147,'[1]SSP4-change-rate'!H$2:H$147)</f>
        <v>3052.6695858198877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 t="e">
        <f>Sheet1!$AT136*_xlfn.XLOOKUP($A136,'[1]SSP4-change-rate'!$B$2:$B$147,'[1]SSP4-change-rate'!C$2:C$147)</f>
        <v>#N/A</v>
      </c>
      <c r="AU136" t="e">
        <f>Sheet1!$AT136*_xlfn.XLOOKUP($A136,'[1]SSP4-change-rate'!$B$2:$B$147,'[1]SSP4-change-rate'!D$2:D$147)</f>
        <v>#N/A</v>
      </c>
      <c r="AV136" t="e">
        <f>Sheet1!$AT136*_xlfn.XLOOKUP($A136,'[1]SSP4-change-rate'!$B$2:$B$147,'[1]SSP4-change-rate'!E$2:E$147)</f>
        <v>#N/A</v>
      </c>
      <c r="AW136" t="e">
        <f>Sheet1!$AT136*_xlfn.XLOOKUP($A136,'[1]SSP4-change-rate'!$B$2:$B$147,'[1]SSP4-change-rate'!F$2:F$147)</f>
        <v>#N/A</v>
      </c>
      <c r="AX136" t="e">
        <f>Sheet1!$AT136*_xlfn.XLOOKUP($A136,'[1]SSP4-change-rate'!$B$2:$B$147,'[1]SSP4-change-rate'!G$2:G$147)</f>
        <v>#N/A</v>
      </c>
      <c r="AY136" t="e">
        <f>Sheet1!$AT136*_xlfn.XLOOKUP($A136,'[1]SSP4-change-rate'!$B$2:$B$147,'[1]SSP4-change-rate'!H$2:H$147)</f>
        <v>#N/A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f>Sheet1!$AT137*_xlfn.XLOOKUP($A137,'[1]SSP4-change-rate'!$B$2:$B$147,'[1]SSP4-change-rate'!C$2:C$147)</f>
        <v>3041.0914821052133</v>
      </c>
      <c r="AU137">
        <f>Sheet1!$AT137*_xlfn.XLOOKUP($A137,'[1]SSP4-change-rate'!$B$2:$B$147,'[1]SSP4-change-rate'!D$2:D$147)</f>
        <v>3028.9464525172234</v>
      </c>
      <c r="AV137">
        <f>Sheet1!$AT137*_xlfn.XLOOKUP($A137,'[1]SSP4-change-rate'!$B$2:$B$147,'[1]SSP4-change-rate'!E$2:E$147)</f>
        <v>3011.1724724192554</v>
      </c>
      <c r="AW137">
        <f>Sheet1!$AT137*_xlfn.XLOOKUP($A137,'[1]SSP4-change-rate'!$B$2:$B$147,'[1]SSP4-change-rate'!F$2:F$147)</f>
        <v>2953.0256936415044</v>
      </c>
      <c r="AX137">
        <f>Sheet1!$AT137*_xlfn.XLOOKUP($A137,'[1]SSP4-change-rate'!$B$2:$B$147,'[1]SSP4-change-rate'!G$2:G$147)</f>
        <v>2875.2594442198588</v>
      </c>
      <c r="AY137">
        <f>Sheet1!$AT137*_xlfn.XLOOKUP($A137,'[1]SSP4-change-rate'!$B$2:$B$147,'[1]SSP4-change-rate'!H$2:H$147)</f>
        <v>2791.6052370427642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 t="e">
        <f>Sheet1!$AT138*_xlfn.XLOOKUP($A138,'[1]SSP4-change-rate'!$B$2:$B$147,'[1]SSP4-change-rate'!C$2:C$147)</f>
        <v>#N/A</v>
      </c>
      <c r="AU138" t="e">
        <f>Sheet1!$AT138*_xlfn.XLOOKUP($A138,'[1]SSP4-change-rate'!$B$2:$B$147,'[1]SSP4-change-rate'!D$2:D$147)</f>
        <v>#N/A</v>
      </c>
      <c r="AV138" t="e">
        <f>Sheet1!$AT138*_xlfn.XLOOKUP($A138,'[1]SSP4-change-rate'!$B$2:$B$147,'[1]SSP4-change-rate'!E$2:E$147)</f>
        <v>#N/A</v>
      </c>
      <c r="AW138" t="e">
        <f>Sheet1!$AT138*_xlfn.XLOOKUP($A138,'[1]SSP4-change-rate'!$B$2:$B$147,'[1]SSP4-change-rate'!F$2:F$147)</f>
        <v>#N/A</v>
      </c>
      <c r="AX138" t="e">
        <f>Sheet1!$AT138*_xlfn.XLOOKUP($A138,'[1]SSP4-change-rate'!$B$2:$B$147,'[1]SSP4-change-rate'!G$2:G$147)</f>
        <v>#N/A</v>
      </c>
      <c r="AY138" t="e">
        <f>Sheet1!$AT138*_xlfn.XLOOKUP($A138,'[1]SSP4-change-rate'!$B$2:$B$147,'[1]SSP4-change-rate'!H$2:H$147)</f>
        <v>#N/A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f>Sheet1!$AT139*_xlfn.XLOOKUP($A139,'[1]SSP4-change-rate'!$B$2:$B$147,'[1]SSP4-change-rate'!C$2:C$147)</f>
        <v>293.18072044138199</v>
      </c>
      <c r="AU139">
        <f>Sheet1!$AT139*_xlfn.XLOOKUP($A139,'[1]SSP4-change-rate'!$B$2:$B$147,'[1]SSP4-change-rate'!D$2:D$147)</f>
        <v>290.653300437577</v>
      </c>
      <c r="AV139">
        <f>Sheet1!$AT139*_xlfn.XLOOKUP($A139,'[1]SSP4-change-rate'!$B$2:$B$147,'[1]SSP4-change-rate'!E$2:E$147)</f>
        <v>286.36256415204753</v>
      </c>
      <c r="AW139">
        <f>Sheet1!$AT139*_xlfn.XLOOKUP($A139,'[1]SSP4-change-rate'!$B$2:$B$147,'[1]SSP4-change-rate'!F$2:F$147)</f>
        <v>280.27339312635257</v>
      </c>
      <c r="AX139">
        <f>Sheet1!$AT139*_xlfn.XLOOKUP($A139,'[1]SSP4-change-rate'!$B$2:$B$147,'[1]SSP4-change-rate'!G$2:G$147)</f>
        <v>268.00863838328354</v>
      </c>
      <c r="AY139">
        <f>Sheet1!$AT139*_xlfn.XLOOKUP($A139,'[1]SSP4-change-rate'!$B$2:$B$147,'[1]SSP4-change-rate'!H$2:H$147)</f>
        <v>254.41302187062072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f>Sheet1!$AT140*_xlfn.XLOOKUP($A140,'[1]SSP4-change-rate'!$B$2:$B$147,'[1]SSP4-change-rate'!C$2:C$147)</f>
        <v>3162.0114299320444</v>
      </c>
      <c r="AU140">
        <f>Sheet1!$AT140*_xlfn.XLOOKUP($A140,'[1]SSP4-change-rate'!$B$2:$B$147,'[1]SSP4-change-rate'!D$2:D$147)</f>
        <v>3152.9269115847133</v>
      </c>
      <c r="AV140">
        <f>Sheet1!$AT140*_xlfn.XLOOKUP($A140,'[1]SSP4-change-rate'!$B$2:$B$147,'[1]SSP4-change-rate'!E$2:E$147)</f>
        <v>3141.3175765443448</v>
      </c>
      <c r="AW140">
        <f>Sheet1!$AT140*_xlfn.XLOOKUP($A140,'[1]SSP4-change-rate'!$B$2:$B$147,'[1]SSP4-change-rate'!F$2:F$147)</f>
        <v>3115.9463033416796</v>
      </c>
      <c r="AX140">
        <f>Sheet1!$AT140*_xlfn.XLOOKUP($A140,'[1]SSP4-change-rate'!$B$2:$B$147,'[1]SSP4-change-rate'!G$2:G$147)</f>
        <v>3083.5812713098976</v>
      </c>
      <c r="AY140">
        <f>Sheet1!$AT140*_xlfn.XLOOKUP($A140,'[1]SSP4-change-rate'!$B$2:$B$147,'[1]SSP4-change-rate'!H$2:H$147)</f>
        <v>3042.0374443889259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f>Sheet1!$AT141*_xlfn.XLOOKUP($A141,'[1]SSP4-change-rate'!$B$2:$B$147,'[1]SSP4-change-rate'!C$2:C$147)</f>
        <v>821.11586422362245</v>
      </c>
      <c r="AU141">
        <f>Sheet1!$AT141*_xlfn.XLOOKUP($A141,'[1]SSP4-change-rate'!$B$2:$B$147,'[1]SSP4-change-rate'!D$2:D$147)</f>
        <v>818.84758835560137</v>
      </c>
      <c r="AV141">
        <f>Sheet1!$AT141*_xlfn.XLOOKUP($A141,'[1]SSP4-change-rate'!$B$2:$B$147,'[1]SSP4-change-rate'!E$2:E$147)</f>
        <v>818.92036726045762</v>
      </c>
      <c r="AW141">
        <f>Sheet1!$AT141*_xlfn.XLOOKUP($A141,'[1]SSP4-change-rate'!$B$2:$B$147,'[1]SSP4-change-rate'!F$2:F$147)</f>
        <v>819.05275903713095</v>
      </c>
      <c r="AX141">
        <f>Sheet1!$AT141*_xlfn.XLOOKUP($A141,'[1]SSP4-change-rate'!$B$2:$B$147,'[1]SSP4-change-rate'!G$2:G$147)</f>
        <v>817.27887420388595</v>
      </c>
      <c r="AY141">
        <f>Sheet1!$AT141*_xlfn.XLOOKUP($A141,'[1]SSP4-change-rate'!$B$2:$B$147,'[1]SSP4-change-rate'!H$2:H$147)</f>
        <v>817.56892744511867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f>Sheet1!$AT142*_xlfn.XLOOKUP($A142,'[1]SSP4-change-rate'!$B$2:$B$147,'[1]SSP4-change-rate'!C$2:C$147)</f>
        <v>10768.796093369354</v>
      </c>
      <c r="AU142">
        <f>Sheet1!$AT142*_xlfn.XLOOKUP($A142,'[1]SSP4-change-rate'!$B$2:$B$147,'[1]SSP4-change-rate'!D$2:D$147)</f>
        <v>10743.781327901184</v>
      </c>
      <c r="AV142">
        <f>Sheet1!$AT142*_xlfn.XLOOKUP($A142,'[1]SSP4-change-rate'!$B$2:$B$147,'[1]SSP4-change-rate'!E$2:E$147)</f>
        <v>10706.823288537451</v>
      </c>
      <c r="AW142">
        <f>Sheet1!$AT142*_xlfn.XLOOKUP($A142,'[1]SSP4-change-rate'!$B$2:$B$147,'[1]SSP4-change-rate'!F$2:F$147)</f>
        <v>10647.153591749066</v>
      </c>
      <c r="AX142">
        <f>Sheet1!$AT142*_xlfn.XLOOKUP($A142,'[1]SSP4-change-rate'!$B$2:$B$147,'[1]SSP4-change-rate'!G$2:G$147)</f>
        <v>10574.405463483497</v>
      </c>
      <c r="AY142">
        <f>Sheet1!$AT142*_xlfn.XLOOKUP($A142,'[1]SSP4-change-rate'!$B$2:$B$147,'[1]SSP4-change-rate'!H$2:H$147)</f>
        <v>10464.806794772197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f>Sheet1!$AT143*_xlfn.XLOOKUP($A143,'[1]SSP4-change-rate'!$B$2:$B$147,'[1]SSP4-change-rate'!C$2:C$147)</f>
        <v>84.426445050927171</v>
      </c>
      <c r="AU143">
        <f>Sheet1!$AT143*_xlfn.XLOOKUP($A143,'[1]SSP4-change-rate'!$B$2:$B$147,'[1]SSP4-change-rate'!D$2:D$147)</f>
        <v>83.042404968125084</v>
      </c>
      <c r="AV143">
        <f>Sheet1!$AT143*_xlfn.XLOOKUP($A143,'[1]SSP4-change-rate'!$B$2:$B$147,'[1]SSP4-change-rate'!E$2:E$147)</f>
        <v>83.107281847006433</v>
      </c>
      <c r="AW143">
        <f>Sheet1!$AT143*_xlfn.XLOOKUP($A143,'[1]SSP4-change-rate'!$B$2:$B$147,'[1]SSP4-change-rate'!F$2:F$147)</f>
        <v>82.014260906614965</v>
      </c>
      <c r="AX143">
        <f>Sheet1!$AT143*_xlfn.XLOOKUP($A143,'[1]SSP4-change-rate'!$B$2:$B$147,'[1]SSP4-change-rate'!G$2:G$147)</f>
        <v>82.204696496955407</v>
      </c>
      <c r="AY143">
        <f>Sheet1!$AT143*_xlfn.XLOOKUP($A143,'[1]SSP4-change-rate'!$B$2:$B$147,'[1]SSP4-change-rate'!H$2:H$147)</f>
        <v>80.357700711123442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f>Sheet1!$AT144*_xlfn.XLOOKUP($A144,'[1]SSP4-change-rate'!$B$2:$B$147,'[1]SSP4-change-rate'!C$2:C$147)</f>
        <v>4295.5486168378939</v>
      </c>
      <c r="AU144">
        <f>Sheet1!$AT144*_xlfn.XLOOKUP($A144,'[1]SSP4-change-rate'!$B$2:$B$147,'[1]SSP4-change-rate'!D$2:D$147)</f>
        <v>4351.0490517285261</v>
      </c>
      <c r="AV144">
        <f>Sheet1!$AT144*_xlfn.XLOOKUP($A144,'[1]SSP4-change-rate'!$B$2:$B$147,'[1]SSP4-change-rate'!E$2:E$147)</f>
        <v>4429.4639030318385</v>
      </c>
      <c r="AW144">
        <f>Sheet1!$AT144*_xlfn.XLOOKUP($A144,'[1]SSP4-change-rate'!$B$2:$B$147,'[1]SSP4-change-rate'!F$2:F$147)</f>
        <v>4570.5623441690013</v>
      </c>
      <c r="AX144">
        <f>Sheet1!$AT144*_xlfn.XLOOKUP($A144,'[1]SSP4-change-rate'!$B$2:$B$147,'[1]SSP4-change-rate'!G$2:G$147)</f>
        <v>4757.6619388705994</v>
      </c>
      <c r="AY144">
        <f>Sheet1!$AT144*_xlfn.XLOOKUP($A144,'[1]SSP4-change-rate'!$B$2:$B$147,'[1]SSP4-change-rate'!H$2:H$147)</f>
        <v>4986.5765604108019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f>Sheet1!$AT145*_xlfn.XLOOKUP($A145,'[1]SSP4-change-rate'!$B$2:$B$147,'[1]SSP4-change-rate'!C$2:C$147)</f>
        <v>552.53468507671971</v>
      </c>
      <c r="AU145">
        <f>Sheet1!$AT145*_xlfn.XLOOKUP($A145,'[1]SSP4-change-rate'!$B$2:$B$147,'[1]SSP4-change-rate'!D$2:D$147)</f>
        <v>561.59263073371505</v>
      </c>
      <c r="AV145">
        <f>Sheet1!$AT145*_xlfn.XLOOKUP($A145,'[1]SSP4-change-rate'!$B$2:$B$147,'[1]SSP4-change-rate'!E$2:E$147)</f>
        <v>561.59263073371505</v>
      </c>
      <c r="AW145">
        <f>Sheet1!$AT145*_xlfn.XLOOKUP($A145,'[1]SSP4-change-rate'!$B$2:$B$147,'[1]SSP4-change-rate'!F$2:F$147)</f>
        <v>561.59263073371505</v>
      </c>
      <c r="AX145">
        <f>Sheet1!$AT145*_xlfn.XLOOKUP($A145,'[1]SSP4-change-rate'!$B$2:$B$147,'[1]SSP4-change-rate'!G$2:G$147)</f>
        <v>542.22736760496628</v>
      </c>
      <c r="AY145">
        <f>Sheet1!$AT145*_xlfn.XLOOKUP($A145,'[1]SSP4-change-rate'!$B$2:$B$147,'[1]SSP4-change-rate'!H$2:H$147)</f>
        <v>484.30924118320377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f>Sheet1!$AT146*_xlfn.XLOOKUP($A146,'[1]SSP4-change-rate'!$B$2:$B$147,'[1]SSP4-change-rate'!C$2:C$147)</f>
        <v>772.89171531314719</v>
      </c>
      <c r="AU146">
        <f>Sheet1!$AT146*_xlfn.XLOOKUP($A146,'[1]SSP4-change-rate'!$B$2:$B$147,'[1]SSP4-change-rate'!D$2:D$147)</f>
        <v>772.89171531314719</v>
      </c>
      <c r="AV146">
        <f>Sheet1!$AT146*_xlfn.XLOOKUP($A146,'[1]SSP4-change-rate'!$B$2:$B$147,'[1]SSP4-change-rate'!E$2:E$147)</f>
        <v>785.3577107214237</v>
      </c>
      <c r="AW146">
        <f>Sheet1!$AT146*_xlfn.XLOOKUP($A146,'[1]SSP4-change-rate'!$B$2:$B$147,'[1]SSP4-change-rate'!F$2:F$147)</f>
        <v>795.62382458706315</v>
      </c>
      <c r="AX146">
        <f>Sheet1!$AT146*_xlfn.XLOOKUP($A146,'[1]SSP4-change-rate'!$B$2:$B$147,'[1]SSP4-change-rate'!G$2:G$147)</f>
        <v>799.00292191156427</v>
      </c>
      <c r="AY146">
        <f>Sheet1!$AT146*_xlfn.XLOOKUP($A146,'[1]SSP4-change-rate'!$B$2:$B$147,'[1]SSP4-change-rate'!H$2:H$147)</f>
        <v>797.04458141668306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f>Sheet1!$AT147*_xlfn.XLOOKUP($A147,'[1]SSP4-change-rate'!$B$2:$B$147,'[1]SSP4-change-rate'!C$2:C$147)</f>
        <v>11155.003483387796</v>
      </c>
      <c r="AU147">
        <f>Sheet1!$AT147*_xlfn.XLOOKUP($A147,'[1]SSP4-change-rate'!$B$2:$B$147,'[1]SSP4-change-rate'!D$2:D$147)</f>
        <v>11101.289220976316</v>
      </c>
      <c r="AV147">
        <f>Sheet1!$AT147*_xlfn.XLOOKUP($A147,'[1]SSP4-change-rate'!$B$2:$B$147,'[1]SSP4-change-rate'!E$2:E$147)</f>
        <v>11028.550106001625</v>
      </c>
      <c r="AW147">
        <f>Sheet1!$AT147*_xlfn.XLOOKUP($A147,'[1]SSP4-change-rate'!$B$2:$B$147,'[1]SSP4-change-rate'!F$2:F$147)</f>
        <v>10821.223195898125</v>
      </c>
      <c r="AX147">
        <f>Sheet1!$AT147*_xlfn.XLOOKUP($A147,'[1]SSP4-change-rate'!$B$2:$B$147,'[1]SSP4-change-rate'!G$2:G$147)</f>
        <v>10511.876992423608</v>
      </c>
      <c r="AY147">
        <f>Sheet1!$AT147*_xlfn.XLOOKUP($A147,'[1]SSP4-change-rate'!$B$2:$B$147,'[1]SSP4-change-rate'!H$2:H$147)</f>
        <v>10082.866311736107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f>Sheet1!$AT148*_xlfn.XLOOKUP($A148,'[1]SSP4-change-rate'!$B$2:$B$147,'[1]SSP4-change-rate'!C$2:C$147)</f>
        <v>608.39406791615784</v>
      </c>
      <c r="AU148">
        <f>Sheet1!$AT148*_xlfn.XLOOKUP($A148,'[1]SSP4-change-rate'!$B$2:$B$147,'[1]SSP4-change-rate'!D$2:D$147)</f>
        <v>541.00445163934717</v>
      </c>
      <c r="AV148">
        <f>Sheet1!$AT148*_xlfn.XLOOKUP($A148,'[1]SSP4-change-rate'!$B$2:$B$147,'[1]SSP4-change-rate'!E$2:E$147)</f>
        <v>505.17740796652157</v>
      </c>
      <c r="AW148">
        <f>Sheet1!$AT148*_xlfn.XLOOKUP($A148,'[1]SSP4-change-rate'!$B$2:$B$147,'[1]SSP4-change-rate'!F$2:F$147)</f>
        <v>476.29287057041643</v>
      </c>
      <c r="AX148">
        <f>Sheet1!$AT148*_xlfn.XLOOKUP($A148,'[1]SSP4-change-rate'!$B$2:$B$147,'[1]SSP4-change-rate'!G$2:G$147)</f>
        <v>586.48756408095051</v>
      </c>
      <c r="AY148">
        <f>Sheet1!$AT148*_xlfn.XLOOKUP($A148,'[1]SSP4-change-rate'!$B$2:$B$147,'[1]SSP4-change-rate'!H$2:H$147)</f>
        <v>672.61409526840453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f>Sheet1!$AT149*_xlfn.XLOOKUP($A149,'[1]SSP4-change-rate'!$B$2:$B$147,'[1]SSP4-change-rate'!C$2:C$147)</f>
        <v>1051.0342830368645</v>
      </c>
      <c r="AU149">
        <f>Sheet1!$AT149*_xlfn.XLOOKUP($A149,'[1]SSP4-change-rate'!$B$2:$B$147,'[1]SSP4-change-rate'!D$2:D$147)</f>
        <v>1043.2473067915453</v>
      </c>
      <c r="AV149">
        <f>Sheet1!$AT149*_xlfn.XLOOKUP($A149,'[1]SSP4-change-rate'!$B$2:$B$147,'[1]SSP4-change-rate'!E$2:E$147)</f>
        <v>1032.1711951021534</v>
      </c>
      <c r="AW149">
        <f>Sheet1!$AT149*_xlfn.XLOOKUP($A149,'[1]SSP4-change-rate'!$B$2:$B$147,'[1]SSP4-change-rate'!F$2:F$147)</f>
        <v>999.44044657524876</v>
      </c>
      <c r="AX149">
        <f>Sheet1!$AT149*_xlfn.XLOOKUP($A149,'[1]SSP4-change-rate'!$B$2:$B$147,'[1]SSP4-change-rate'!G$2:G$147)</f>
        <v>961.91890549217362</v>
      </c>
      <c r="AY149">
        <f>Sheet1!$AT149*_xlfn.XLOOKUP($A149,'[1]SSP4-change-rate'!$B$2:$B$147,'[1]SSP4-change-rate'!H$2:H$147)</f>
        <v>923.00647034897884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f>Sheet1!$AT150*_xlfn.XLOOKUP($A150,'[1]SSP4-change-rate'!$B$2:$B$147,'[1]SSP4-change-rate'!C$2:C$147)</f>
        <v>2715.0009594398243</v>
      </c>
      <c r="AU150">
        <f>Sheet1!$AT150*_xlfn.XLOOKUP($A150,'[1]SSP4-change-rate'!$B$2:$B$147,'[1]SSP4-change-rate'!D$2:D$147)</f>
        <v>2699.0795717744986</v>
      </c>
      <c r="AV150">
        <f>Sheet1!$AT150*_xlfn.XLOOKUP($A150,'[1]SSP4-change-rate'!$B$2:$B$147,'[1]SSP4-change-rate'!E$2:E$147)</f>
        <v>2678.8050868672044</v>
      </c>
      <c r="AW150">
        <f>Sheet1!$AT150*_xlfn.XLOOKUP($A150,'[1]SSP4-change-rate'!$B$2:$B$147,'[1]SSP4-change-rate'!F$2:F$147)</f>
        <v>2634.42019168655</v>
      </c>
      <c r="AX150">
        <f>Sheet1!$AT150*_xlfn.XLOOKUP($A150,'[1]SSP4-change-rate'!$B$2:$B$147,'[1]SSP4-change-rate'!G$2:G$147)</f>
        <v>2572.3098859906677</v>
      </c>
      <c r="AY150">
        <f>Sheet1!$AT150*_xlfn.XLOOKUP($A150,'[1]SSP4-change-rate'!$B$2:$B$147,'[1]SSP4-change-rate'!H$2:H$147)</f>
        <v>2497.4397186296264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f>Sheet1!$AT151*_xlfn.XLOOKUP($A151,'[1]SSP4-change-rate'!$B$2:$B$147,'[1]SSP4-change-rate'!C$2:C$147)</f>
        <v>20445.39673865748</v>
      </c>
      <c r="AU151">
        <f>Sheet1!$AT151*_xlfn.XLOOKUP($A151,'[1]SSP4-change-rate'!$B$2:$B$147,'[1]SSP4-change-rate'!D$2:D$147)</f>
        <v>20363.977444423352</v>
      </c>
      <c r="AV151">
        <f>Sheet1!$AT151*_xlfn.XLOOKUP($A151,'[1]SSP4-change-rate'!$B$2:$B$147,'[1]SSP4-change-rate'!E$2:E$147)</f>
        <v>20248.544510264652</v>
      </c>
      <c r="AW151">
        <f>Sheet1!$AT151*_xlfn.XLOOKUP($A151,'[1]SSP4-change-rate'!$B$2:$B$147,'[1]SSP4-change-rate'!F$2:F$147)</f>
        <v>19873.393693288086</v>
      </c>
      <c r="AX151">
        <f>Sheet1!$AT151*_xlfn.XLOOKUP($A151,'[1]SSP4-change-rate'!$B$2:$B$147,'[1]SSP4-change-rate'!G$2:G$147)</f>
        <v>19307.336143374225</v>
      </c>
      <c r="AY151">
        <f>Sheet1!$AT151*_xlfn.XLOOKUP($A151,'[1]SSP4-change-rate'!$B$2:$B$147,'[1]SSP4-change-rate'!H$2:H$147)</f>
        <v>18526.930404496819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 t="e">
        <f>Sheet1!$AT152*_xlfn.XLOOKUP($A152,'[1]SSP4-change-rate'!$B$2:$B$147,'[1]SSP4-change-rate'!C$2:C$147)</f>
        <v>#N/A</v>
      </c>
      <c r="AU152" t="e">
        <f>Sheet1!$AT152*_xlfn.XLOOKUP($A152,'[1]SSP4-change-rate'!$B$2:$B$147,'[1]SSP4-change-rate'!D$2:D$147)</f>
        <v>#N/A</v>
      </c>
      <c r="AV152" t="e">
        <f>Sheet1!$AT152*_xlfn.XLOOKUP($A152,'[1]SSP4-change-rate'!$B$2:$B$147,'[1]SSP4-change-rate'!E$2:E$147)</f>
        <v>#N/A</v>
      </c>
      <c r="AW152" t="e">
        <f>Sheet1!$AT152*_xlfn.XLOOKUP($A152,'[1]SSP4-change-rate'!$B$2:$B$147,'[1]SSP4-change-rate'!F$2:F$147)</f>
        <v>#N/A</v>
      </c>
      <c r="AX152" t="e">
        <f>Sheet1!$AT152*_xlfn.XLOOKUP($A152,'[1]SSP4-change-rate'!$B$2:$B$147,'[1]SSP4-change-rate'!G$2:G$147)</f>
        <v>#N/A</v>
      </c>
      <c r="AY152" t="e">
        <f>Sheet1!$AT152*_xlfn.XLOOKUP($A152,'[1]SSP4-change-rate'!$B$2:$B$147,'[1]SSP4-change-rate'!H$2:H$147)</f>
        <v>#N/A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f>Sheet1!$AT153*_xlfn.XLOOKUP($A153,'[1]SSP4-change-rate'!$B$2:$B$147,'[1]SSP4-change-rate'!C$2:C$147)</f>
        <v>2833.1911780123337</v>
      </c>
      <c r="AU153">
        <f>Sheet1!$AT153*_xlfn.XLOOKUP($A153,'[1]SSP4-change-rate'!$B$2:$B$147,'[1]SSP4-change-rate'!D$2:D$147)</f>
        <v>2874.2386606353057</v>
      </c>
      <c r="AV153">
        <f>Sheet1!$AT153*_xlfn.XLOOKUP($A153,'[1]SSP4-change-rate'!$B$2:$B$147,'[1]SSP4-change-rate'!E$2:E$147)</f>
        <v>2928.8504443132611</v>
      </c>
      <c r="AW153">
        <f>Sheet1!$AT153*_xlfn.XLOOKUP($A153,'[1]SSP4-change-rate'!$B$2:$B$147,'[1]SSP4-change-rate'!F$2:F$147)</f>
        <v>3033.616323476454</v>
      </c>
      <c r="AX153">
        <f>Sheet1!$AT153*_xlfn.XLOOKUP($A153,'[1]SSP4-change-rate'!$B$2:$B$147,'[1]SSP4-change-rate'!G$2:G$147)</f>
        <v>3149.701634416243</v>
      </c>
      <c r="AY153">
        <f>Sheet1!$AT153*_xlfn.XLOOKUP($A153,'[1]SSP4-change-rate'!$B$2:$B$147,'[1]SSP4-change-rate'!H$2:H$147)</f>
        <v>3255.355657620772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f>Sheet1!$AT154*_xlfn.XLOOKUP($A154,'[1]SSP4-change-rate'!$B$2:$B$147,'[1]SSP4-change-rate'!C$2:C$147)</f>
        <v>1591.2208717932706</v>
      </c>
      <c r="AU154">
        <f>Sheet1!$AT154*_xlfn.XLOOKUP($A154,'[1]SSP4-change-rate'!$B$2:$B$147,'[1]SSP4-change-rate'!D$2:D$147)</f>
        <v>1614.2093002609167</v>
      </c>
      <c r="AV154">
        <f>Sheet1!$AT154*_xlfn.XLOOKUP($A154,'[1]SSP4-change-rate'!$B$2:$B$147,'[1]SSP4-change-rate'!E$2:E$147)</f>
        <v>1653.2164901748267</v>
      </c>
      <c r="AW154">
        <f>Sheet1!$AT154*_xlfn.XLOOKUP($A154,'[1]SSP4-change-rate'!$B$2:$B$147,'[1]SSP4-change-rate'!F$2:F$147)</f>
        <v>1708.8495915518799</v>
      </c>
      <c r="AX154">
        <f>Sheet1!$AT154*_xlfn.XLOOKUP($A154,'[1]SSP4-change-rate'!$B$2:$B$147,'[1]SSP4-change-rate'!G$2:G$147)</f>
        <v>1756.585024319859</v>
      </c>
      <c r="AY154">
        <f>Sheet1!$AT154*_xlfn.XLOOKUP($A154,'[1]SSP4-change-rate'!$B$2:$B$147,'[1]SSP4-change-rate'!H$2:H$147)</f>
        <v>1696.4255575316686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f>Sheet1!$AT155*_xlfn.XLOOKUP($A155,'[1]SSP4-change-rate'!$B$2:$B$147,'[1]SSP4-change-rate'!C$2:C$147)</f>
        <v>27210.186892155212</v>
      </c>
      <c r="AU155">
        <f>Sheet1!$AT155*_xlfn.XLOOKUP($A155,'[1]SSP4-change-rate'!$B$2:$B$147,'[1]SSP4-change-rate'!D$2:D$147)</f>
        <v>27125.376449586256</v>
      </c>
      <c r="AV155">
        <f>Sheet1!$AT155*_xlfn.XLOOKUP($A155,'[1]SSP4-change-rate'!$B$2:$B$147,'[1]SSP4-change-rate'!E$2:E$147)</f>
        <v>27020.607643754021</v>
      </c>
      <c r="AW155">
        <f>Sheet1!$AT155*_xlfn.XLOOKUP($A155,'[1]SSP4-change-rate'!$B$2:$B$147,'[1]SSP4-change-rate'!F$2:F$147)</f>
        <v>26582.410286174356</v>
      </c>
      <c r="AX155">
        <f>Sheet1!$AT155*_xlfn.XLOOKUP($A155,'[1]SSP4-change-rate'!$B$2:$B$147,'[1]SSP4-change-rate'!G$2:G$147)</f>
        <v>26005.280055925574</v>
      </c>
      <c r="AY155">
        <f>Sheet1!$AT155*_xlfn.XLOOKUP($A155,'[1]SSP4-change-rate'!$B$2:$B$147,'[1]SSP4-change-rate'!H$2:H$147)</f>
        <v>25266.805669112844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f>Sheet1!$AT156*_xlfn.XLOOKUP($A156,'[1]SSP4-change-rate'!$B$2:$B$147,'[1]SSP4-change-rate'!C$2:C$147)</f>
        <v>1019.0144790871595</v>
      </c>
      <c r="AU156">
        <f>Sheet1!$AT156*_xlfn.XLOOKUP($A156,'[1]SSP4-change-rate'!$B$2:$B$147,'[1]SSP4-change-rate'!D$2:D$147)</f>
        <v>1015.4897494057859</v>
      </c>
      <c r="AV156">
        <f>Sheet1!$AT156*_xlfn.XLOOKUP($A156,'[1]SSP4-change-rate'!$B$2:$B$147,'[1]SSP4-change-rate'!E$2:E$147)</f>
        <v>1008.6725029357085</v>
      </c>
      <c r="AW156">
        <f>Sheet1!$AT156*_xlfn.XLOOKUP($A156,'[1]SSP4-change-rate'!$B$2:$B$147,'[1]SSP4-change-rate'!F$2:F$147)</f>
        <v>993.39878866070933</v>
      </c>
      <c r="AX156">
        <f>Sheet1!$AT156*_xlfn.XLOOKUP($A156,'[1]SSP4-change-rate'!$B$2:$B$147,'[1]SSP4-change-rate'!G$2:G$147)</f>
        <v>974.52480727865395</v>
      </c>
      <c r="AY156">
        <f>Sheet1!$AT156*_xlfn.XLOOKUP($A156,'[1]SSP4-change-rate'!$B$2:$B$147,'[1]SSP4-change-rate'!H$2:H$147)</f>
        <v>953.11788159575474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f>Sheet1!$AT157*_xlfn.XLOOKUP($A157,'[1]SSP4-change-rate'!$B$2:$B$147,'[1]SSP4-change-rate'!C$2:C$147)</f>
        <v>549303.59724160191</v>
      </c>
      <c r="AU157">
        <f>Sheet1!$AT157*_xlfn.XLOOKUP($A157,'[1]SSP4-change-rate'!$B$2:$B$147,'[1]SSP4-change-rate'!D$2:D$147)</f>
        <v>546540.20313393895</v>
      </c>
      <c r="AV157">
        <f>Sheet1!$AT157*_xlfn.XLOOKUP($A157,'[1]SSP4-change-rate'!$B$2:$B$147,'[1]SSP4-change-rate'!E$2:E$147)</f>
        <v>542673.21950375452</v>
      </c>
      <c r="AW157">
        <f>Sheet1!$AT157*_xlfn.XLOOKUP($A157,'[1]SSP4-change-rate'!$B$2:$B$147,'[1]SSP4-change-rate'!F$2:F$147)</f>
        <v>534678.22681696666</v>
      </c>
      <c r="AX157">
        <f>Sheet1!$AT157*_xlfn.XLOOKUP($A157,'[1]SSP4-change-rate'!$B$2:$B$147,'[1]SSP4-change-rate'!G$2:G$147)</f>
        <v>524492.4662290765</v>
      </c>
      <c r="AY157">
        <f>Sheet1!$AT157*_xlfn.XLOOKUP($A157,'[1]SSP4-change-rate'!$B$2:$B$147,'[1]SSP4-change-rate'!H$2:H$147)</f>
        <v>512225.16273616446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f>Sheet1!$AT158*_xlfn.XLOOKUP($A158,'[1]SSP4-change-rate'!$B$2:$B$147,'[1]SSP4-change-rate'!C$2:C$147)</f>
        <v>7096.6947562995892</v>
      </c>
      <c r="AU158">
        <f>Sheet1!$AT158*_xlfn.XLOOKUP($A158,'[1]SSP4-change-rate'!$B$2:$B$147,'[1]SSP4-change-rate'!D$2:D$147)</f>
        <v>7005.0600636577892</v>
      </c>
      <c r="AV158">
        <f>Sheet1!$AT158*_xlfn.XLOOKUP($A158,'[1]SSP4-change-rate'!$B$2:$B$147,'[1]SSP4-change-rate'!E$2:E$147)</f>
        <v>6905.871905828466</v>
      </c>
      <c r="AW158">
        <f>Sheet1!$AT158*_xlfn.XLOOKUP($A158,'[1]SSP4-change-rate'!$B$2:$B$147,'[1]SSP4-change-rate'!F$2:F$147)</f>
        <v>6378.1620926298356</v>
      </c>
      <c r="AX158">
        <f>Sheet1!$AT158*_xlfn.XLOOKUP($A158,'[1]SSP4-change-rate'!$B$2:$B$147,'[1]SSP4-change-rate'!G$2:G$147)</f>
        <v>6147.5121330850925</v>
      </c>
      <c r="AY158">
        <f>Sheet1!$AT158*_xlfn.XLOOKUP($A158,'[1]SSP4-change-rate'!$B$2:$B$147,'[1]SSP4-change-rate'!H$2:H$147)</f>
        <v>6059.9145367183064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f>Sheet1!$AT159*_xlfn.XLOOKUP($A159,'[1]SSP4-change-rate'!$B$2:$B$147,'[1]SSP4-change-rate'!C$2:C$147)</f>
        <v>11736.055479313678</v>
      </c>
      <c r="AU159">
        <f>Sheet1!$AT159*_xlfn.XLOOKUP($A159,'[1]SSP4-change-rate'!$B$2:$B$147,'[1]SSP4-change-rate'!D$2:D$147)</f>
        <v>11666.487670363356</v>
      </c>
      <c r="AV159">
        <f>Sheet1!$AT159*_xlfn.XLOOKUP($A159,'[1]SSP4-change-rate'!$B$2:$B$147,'[1]SSP4-change-rate'!E$2:E$147)</f>
        <v>11569.844974246151</v>
      </c>
      <c r="AW159">
        <f>Sheet1!$AT159*_xlfn.XLOOKUP($A159,'[1]SSP4-change-rate'!$B$2:$B$147,'[1]SSP4-change-rate'!F$2:F$147)</f>
        <v>11287.930100060279</v>
      </c>
      <c r="AX159">
        <f>Sheet1!$AT159*_xlfn.XLOOKUP($A159,'[1]SSP4-change-rate'!$B$2:$B$147,'[1]SSP4-change-rate'!G$2:G$147)</f>
        <v>10880.104761546079</v>
      </c>
      <c r="AY159">
        <f>Sheet1!$AT159*_xlfn.XLOOKUP($A159,'[1]SSP4-change-rate'!$B$2:$B$147,'[1]SSP4-change-rate'!H$2:H$147)</f>
        <v>10299.751017391478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f>Sheet1!$AT160*_xlfn.XLOOKUP($A160,'[1]SSP4-change-rate'!$B$2:$B$147,'[1]SSP4-change-rate'!C$2:C$147)</f>
        <v>16374.646317931951</v>
      </c>
      <c r="AU160">
        <f>Sheet1!$AT160*_xlfn.XLOOKUP($A160,'[1]SSP4-change-rate'!$B$2:$B$147,'[1]SSP4-change-rate'!D$2:D$147)</f>
        <v>16242.342071032495</v>
      </c>
      <c r="AV160">
        <f>Sheet1!$AT160*_xlfn.XLOOKUP($A160,'[1]SSP4-change-rate'!$B$2:$B$147,'[1]SSP4-change-rate'!E$2:E$147)</f>
        <v>16095.934157829062</v>
      </c>
      <c r="AW160">
        <f>Sheet1!$AT160*_xlfn.XLOOKUP($A160,'[1]SSP4-change-rate'!$B$2:$B$147,'[1]SSP4-change-rate'!F$2:F$147)</f>
        <v>15534.158407279194</v>
      </c>
      <c r="AX160">
        <f>Sheet1!$AT160*_xlfn.XLOOKUP($A160,'[1]SSP4-change-rate'!$B$2:$B$147,'[1]SSP4-change-rate'!G$2:G$147)</f>
        <v>14860.251635446686</v>
      </c>
      <c r="AY160">
        <f>Sheet1!$AT160*_xlfn.XLOOKUP($A160,'[1]SSP4-change-rate'!$B$2:$B$147,'[1]SSP4-change-rate'!H$2:H$147)</f>
        <v>14184.35416588061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 t="e">
        <f>Sheet1!$AT161*_xlfn.XLOOKUP($A161,'[1]SSP4-change-rate'!$B$2:$B$147,'[1]SSP4-change-rate'!C$2:C$147)</f>
        <v>#N/A</v>
      </c>
      <c r="AU161" t="e">
        <f>Sheet1!$AT161*_xlfn.XLOOKUP($A161,'[1]SSP4-change-rate'!$B$2:$B$147,'[1]SSP4-change-rate'!D$2:D$147)</f>
        <v>#N/A</v>
      </c>
      <c r="AV161" t="e">
        <f>Sheet1!$AT161*_xlfn.XLOOKUP($A161,'[1]SSP4-change-rate'!$B$2:$B$147,'[1]SSP4-change-rate'!E$2:E$147)</f>
        <v>#N/A</v>
      </c>
      <c r="AW161" t="e">
        <f>Sheet1!$AT161*_xlfn.XLOOKUP($A161,'[1]SSP4-change-rate'!$B$2:$B$147,'[1]SSP4-change-rate'!F$2:F$147)</f>
        <v>#N/A</v>
      </c>
      <c r="AX161" t="e">
        <f>Sheet1!$AT161*_xlfn.XLOOKUP($A161,'[1]SSP4-change-rate'!$B$2:$B$147,'[1]SSP4-change-rate'!G$2:G$147)</f>
        <v>#N/A</v>
      </c>
      <c r="AY161" t="e">
        <f>Sheet1!$AT161*_xlfn.XLOOKUP($A161,'[1]SSP4-change-rate'!$B$2:$B$147,'[1]SSP4-change-rate'!H$2:H$147)</f>
        <v>#N/A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f>Sheet1!$AT162*_xlfn.XLOOKUP($A162,'[1]SSP4-change-rate'!$B$2:$B$147,'[1]SSP4-change-rate'!C$2:C$147)</f>
        <v>1184.3258716484272</v>
      </c>
      <c r="AU162">
        <f>Sheet1!$AT162*_xlfn.XLOOKUP($A162,'[1]SSP4-change-rate'!$B$2:$B$147,'[1]SSP4-change-rate'!D$2:D$147)</f>
        <v>1171.6356170993979</v>
      </c>
      <c r="AV162">
        <f>Sheet1!$AT162*_xlfn.XLOOKUP($A162,'[1]SSP4-change-rate'!$B$2:$B$147,'[1]SSP4-change-rate'!E$2:E$147)</f>
        <v>1157.9697685883386</v>
      </c>
      <c r="AW162">
        <f>Sheet1!$AT162*_xlfn.XLOOKUP($A162,'[1]SSP4-change-rate'!$B$2:$B$147,'[1]SSP4-change-rate'!F$2:F$147)</f>
        <v>955.35495129286653</v>
      </c>
      <c r="AX162">
        <f>Sheet1!$AT162*_xlfn.XLOOKUP($A162,'[1]SSP4-change-rate'!$B$2:$B$147,'[1]SSP4-change-rate'!G$2:G$147)</f>
        <v>714.8844771751194</v>
      </c>
      <c r="AY162">
        <f>Sheet1!$AT162*_xlfn.XLOOKUP($A162,'[1]SSP4-change-rate'!$B$2:$B$147,'[1]SSP4-change-rate'!H$2:H$147)</f>
        <v>563.43597125712824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f>Sheet1!$AT163*_xlfn.XLOOKUP($A163,'[1]SSP4-change-rate'!$B$2:$B$147,'[1]SSP4-change-rate'!C$2:C$147)</f>
        <v>14408.939168286945</v>
      </c>
      <c r="AU163">
        <f>Sheet1!$AT163*_xlfn.XLOOKUP($A163,'[1]SSP4-change-rate'!$B$2:$B$147,'[1]SSP4-change-rate'!D$2:D$147)</f>
        <v>14302.477238550111</v>
      </c>
      <c r="AV163">
        <f>Sheet1!$AT163*_xlfn.XLOOKUP($A163,'[1]SSP4-change-rate'!$B$2:$B$147,'[1]SSP4-change-rate'!E$2:E$147)</f>
        <v>14154.790142864105</v>
      </c>
      <c r="AW163">
        <f>Sheet1!$AT163*_xlfn.XLOOKUP($A163,'[1]SSP4-change-rate'!$B$2:$B$147,'[1]SSP4-change-rate'!F$2:F$147)</f>
        <v>13788.209478078219</v>
      </c>
      <c r="AX163">
        <f>Sheet1!$AT163*_xlfn.XLOOKUP($A163,'[1]SSP4-change-rate'!$B$2:$B$147,'[1]SSP4-change-rate'!G$2:G$147)</f>
        <v>13325.739558745918</v>
      </c>
      <c r="AY163">
        <f>Sheet1!$AT163*_xlfn.XLOOKUP($A163,'[1]SSP4-change-rate'!$B$2:$B$147,'[1]SSP4-change-rate'!H$2:H$147)</f>
        <v>12810.048449830718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f>Sheet1!$AT164*_xlfn.XLOOKUP($A164,'[1]SSP4-change-rate'!$B$2:$B$147,'[1]SSP4-change-rate'!C$2:C$147)</f>
        <v>2091.6074765131589</v>
      </c>
      <c r="AU164">
        <f>Sheet1!$AT164*_xlfn.XLOOKUP($A164,'[1]SSP4-change-rate'!$B$2:$B$147,'[1]SSP4-change-rate'!D$2:D$147)</f>
        <v>2109.658795463255</v>
      </c>
      <c r="AV164">
        <f>Sheet1!$AT164*_xlfn.XLOOKUP($A164,'[1]SSP4-change-rate'!$B$2:$B$147,'[1]SSP4-change-rate'!E$2:E$147)</f>
        <v>2138.2086368349496</v>
      </c>
      <c r="AW164">
        <f>Sheet1!$AT164*_xlfn.XLOOKUP($A164,'[1]SSP4-change-rate'!$B$2:$B$147,'[1]SSP4-change-rate'!F$2:F$147)</f>
        <v>2154.8923332542086</v>
      </c>
      <c r="AX164">
        <f>Sheet1!$AT164*_xlfn.XLOOKUP($A164,'[1]SSP4-change-rate'!$B$2:$B$147,'[1]SSP4-change-rate'!G$2:G$147)</f>
        <v>2032.1899662826479</v>
      </c>
      <c r="AY164">
        <f>Sheet1!$AT164*_xlfn.XLOOKUP($A164,'[1]SSP4-change-rate'!$B$2:$B$147,'[1]SSP4-change-rate'!H$2:H$147)</f>
        <v>1575.5030109504339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 t="e">
        <f>Sheet1!$AT165*_xlfn.XLOOKUP($A165,'[1]SSP4-change-rate'!$B$2:$B$147,'[1]SSP4-change-rate'!C$2:C$147)</f>
        <v>#N/A</v>
      </c>
      <c r="AU165" t="e">
        <f>Sheet1!$AT165*_xlfn.XLOOKUP($A165,'[1]SSP4-change-rate'!$B$2:$B$147,'[1]SSP4-change-rate'!D$2:D$147)</f>
        <v>#N/A</v>
      </c>
      <c r="AV165" t="e">
        <f>Sheet1!$AT165*_xlfn.XLOOKUP($A165,'[1]SSP4-change-rate'!$B$2:$B$147,'[1]SSP4-change-rate'!E$2:E$147)</f>
        <v>#N/A</v>
      </c>
      <c r="AW165" t="e">
        <f>Sheet1!$AT165*_xlfn.XLOOKUP($A165,'[1]SSP4-change-rate'!$B$2:$B$147,'[1]SSP4-change-rate'!F$2:F$147)</f>
        <v>#N/A</v>
      </c>
      <c r="AX165" t="e">
        <f>Sheet1!$AT165*_xlfn.XLOOKUP($A165,'[1]SSP4-change-rate'!$B$2:$B$147,'[1]SSP4-change-rate'!G$2:G$147)</f>
        <v>#N/A</v>
      </c>
      <c r="AY165" t="e">
        <f>Sheet1!$AT165*_xlfn.XLOOKUP($A165,'[1]SSP4-change-rate'!$B$2:$B$147,'[1]SSP4-change-rate'!H$2:H$147)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005F-B0E5-4DC1-9A8C-AFD805BF2FCE}">
  <dimension ref="A1:AY165"/>
  <sheetViews>
    <sheetView showGridLines="0" workbookViewId="0">
      <selection activeCell="AT2" sqref="AT2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1870</v>
      </c>
      <c r="L1">
        <v>1880</v>
      </c>
      <c r="M1">
        <v>1890</v>
      </c>
      <c r="N1">
        <v>1900</v>
      </c>
      <c r="O1">
        <v>1910</v>
      </c>
      <c r="P1">
        <v>1920</v>
      </c>
      <c r="Q1">
        <v>1930</v>
      </c>
      <c r="R1">
        <v>1940</v>
      </c>
      <c r="S1">
        <v>1950</v>
      </c>
      <c r="T1">
        <v>1960</v>
      </c>
      <c r="U1">
        <v>1970</v>
      </c>
      <c r="V1">
        <v>1980</v>
      </c>
      <c r="W1">
        <v>1990</v>
      </c>
      <c r="X1">
        <v>1992</v>
      </c>
      <c r="Y1">
        <v>1993</v>
      </c>
      <c r="Z1">
        <v>1994</v>
      </c>
      <c r="AA1">
        <v>1995</v>
      </c>
      <c r="AB1">
        <v>1996</v>
      </c>
      <c r="AC1">
        <v>1997</v>
      </c>
      <c r="AD1">
        <v>1998</v>
      </c>
      <c r="AE1">
        <v>1999</v>
      </c>
      <c r="AF1">
        <v>2000</v>
      </c>
      <c r="AG1">
        <v>2001</v>
      </c>
      <c r="AH1">
        <v>2002</v>
      </c>
      <c r="AI1">
        <v>2003</v>
      </c>
      <c r="AJ1">
        <v>2004</v>
      </c>
      <c r="AK1">
        <v>2005</v>
      </c>
      <c r="AL1">
        <v>2006</v>
      </c>
      <c r="AM1">
        <v>2007</v>
      </c>
      <c r="AN1">
        <v>2008</v>
      </c>
      <c r="AO1">
        <v>2009</v>
      </c>
      <c r="AP1">
        <v>2010</v>
      </c>
      <c r="AQ1">
        <v>2011</v>
      </c>
      <c r="AR1">
        <v>2012</v>
      </c>
      <c r="AS1">
        <v>2013</v>
      </c>
      <c r="AT1">
        <v>2020</v>
      </c>
      <c r="AU1">
        <v>2024</v>
      </c>
      <c r="AV1">
        <v>2030</v>
      </c>
      <c r="AW1">
        <v>2040</v>
      </c>
      <c r="AX1">
        <v>2050</v>
      </c>
      <c r="AY1">
        <v>2060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1831.675538021801</v>
      </c>
      <c r="AU2">
        <v>1917.35198409337</v>
      </c>
      <c r="AV2">
        <v>2045.8666532007235</v>
      </c>
      <c r="AW2">
        <v>2321.4751159444609</v>
      </c>
      <c r="AX2">
        <v>2708.8660788483639</v>
      </c>
      <c r="AY2">
        <v>3376.6761331474831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4128.6397900766824</v>
      </c>
      <c r="AU3">
        <v>4318.8619302942188</v>
      </c>
      <c r="AV3">
        <v>4604.1951406205262</v>
      </c>
      <c r="AW3">
        <v>5244.3205102377733</v>
      </c>
      <c r="AX3">
        <v>6485.2540990349753</v>
      </c>
      <c r="AY3">
        <v>9212.6937672500935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790.84911567180939</v>
      </c>
      <c r="AU4">
        <v>806.2956463718026</v>
      </c>
      <c r="AV4">
        <v>829.46544242179289</v>
      </c>
      <c r="AW4">
        <v>873.25727877982376</v>
      </c>
      <c r="AX4">
        <v>923.18427441652807</v>
      </c>
      <c r="AY4">
        <v>975.41554580631225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3678.9721789489809</v>
      </c>
      <c r="AU5">
        <v>3889.0821528402262</v>
      </c>
      <c r="AV5">
        <v>4204.2471136770937</v>
      </c>
      <c r="AW5">
        <v>5054.7120124833755</v>
      </c>
      <c r="AX5">
        <v>6669.7441799782</v>
      </c>
      <c r="AY5">
        <v>9777.6741764748822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v>18421.238736430245</v>
      </c>
      <c r="AU6">
        <v>18828.017741250431</v>
      </c>
      <c r="AV6">
        <v>19438.186248480706</v>
      </c>
      <c r="AW6">
        <v>20455.133760531171</v>
      </c>
      <c r="AX6">
        <v>21470.714407646083</v>
      </c>
      <c r="AY6">
        <v>22338.673641721416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v>730.894482593112</v>
      </c>
      <c r="AU7">
        <v>779.13351844425733</v>
      </c>
      <c r="AV7">
        <v>851.4920722209755</v>
      </c>
      <c r="AW7">
        <v>972.089661848839</v>
      </c>
      <c r="AX7">
        <v>1076.2421256183575</v>
      </c>
      <c r="AY7">
        <v>1152.9860462906342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v>31757.540106894598</v>
      </c>
      <c r="AU8">
        <v>33097.67438785392</v>
      </c>
      <c r="AV8">
        <v>35107.875809292913</v>
      </c>
      <c r="AW8">
        <v>38687.42848102119</v>
      </c>
      <c r="AX8">
        <v>42285.820903653308</v>
      </c>
      <c r="AY8">
        <v>46129.13008803525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v>6045.4176944664969</v>
      </c>
      <c r="AU9">
        <v>6142.9454988280741</v>
      </c>
      <c r="AV9">
        <v>6289.2372053704385</v>
      </c>
      <c r="AW9">
        <v>6530.8797563555954</v>
      </c>
      <c r="AX9">
        <v>6818.2384656352415</v>
      </c>
      <c r="AY9">
        <v>7149.136373290592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v>1937.224156158419</v>
      </c>
      <c r="AU10">
        <v>2080.6983055052642</v>
      </c>
      <c r="AV10">
        <v>2295.9095295255324</v>
      </c>
      <c r="AW10">
        <v>2686.9089004932866</v>
      </c>
      <c r="AX10">
        <v>3105.3751694215857</v>
      </c>
      <c r="AY10">
        <v>3569.0810349907815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v>374.47265943507858</v>
      </c>
      <c r="AU11">
        <v>377.46844071055921</v>
      </c>
      <c r="AV11">
        <v>381.96211262378011</v>
      </c>
      <c r="AW11">
        <v>404.43047218988488</v>
      </c>
      <c r="AX11">
        <v>441.87773813339277</v>
      </c>
      <c r="AY11">
        <v>539.24062958651314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v>14570.203625784787</v>
      </c>
      <c r="AU12">
        <v>14803.846089271759</v>
      </c>
      <c r="AV12">
        <v>15154.309784502218</v>
      </c>
      <c r="AW12">
        <v>15741.23771210234</v>
      </c>
      <c r="AX12">
        <v>16329.576524143809</v>
      </c>
      <c r="AY12">
        <v>16799.401043112179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v>1131.6546971497037</v>
      </c>
      <c r="AU13">
        <v>1192.22213164504</v>
      </c>
      <c r="AV13">
        <v>1283.0732833880443</v>
      </c>
      <c r="AW13">
        <v>1450.4306681777894</v>
      </c>
      <c r="AX13">
        <v>1633.7268515189385</v>
      </c>
      <c r="AY13">
        <v>1832.9618334114921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v>1379.6295619531738</v>
      </c>
      <c r="AU14">
        <v>1446.1177336135679</v>
      </c>
      <c r="AV14">
        <v>1545.8499911041586</v>
      </c>
      <c r="AW14">
        <v>1739.7738251136409</v>
      </c>
      <c r="AX14">
        <v>1978.0231068967194</v>
      </c>
      <c r="AY14">
        <v>2260.5978364533935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v>23466.065280618535</v>
      </c>
      <c r="AU15">
        <v>24194.400963431141</v>
      </c>
      <c r="AV15">
        <v>25286.904487650041</v>
      </c>
      <c r="AW15">
        <v>28018.163298197305</v>
      </c>
      <c r="AX15">
        <v>34049.693171489169</v>
      </c>
      <c r="AY15">
        <v>52872.618474177361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v>2660.3267910753425</v>
      </c>
      <c r="AU16">
        <v>2710.5347934232909</v>
      </c>
      <c r="AV16">
        <v>2785.8467969452145</v>
      </c>
      <c r="AW16">
        <v>2909.6234694002269</v>
      </c>
      <c r="AX16">
        <v>3057.8068096632701</v>
      </c>
      <c r="AY16">
        <v>3205.9901499263133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v>667.24694623349694</v>
      </c>
      <c r="AU17">
        <v>667.24694623349694</v>
      </c>
      <c r="AV17">
        <v>667.24694623349694</v>
      </c>
      <c r="AW17">
        <v>667.24694623349694</v>
      </c>
      <c r="AX17">
        <v>667.24694623349694</v>
      </c>
      <c r="AY17">
        <v>667.24694623349694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v>204.12367908064721</v>
      </c>
      <c r="AU18">
        <v>204.12367908064721</v>
      </c>
      <c r="AV18">
        <v>204.12367908064721</v>
      </c>
      <c r="AW18">
        <v>204.12367908064721</v>
      </c>
      <c r="AX18">
        <v>204.12367908064721</v>
      </c>
      <c r="AY18">
        <v>204.12367908064721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v>768.15401774983002</v>
      </c>
      <c r="AU19">
        <v>790.81653765600004</v>
      </c>
      <c r="AV19">
        <v>824.81031751525484</v>
      </c>
      <c r="AW19">
        <v>888.05455911386878</v>
      </c>
      <c r="AX19">
        <v>944.71085887929348</v>
      </c>
      <c r="AY19">
        <v>988.19127497834063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3227.0117104466462</v>
      </c>
      <c r="AU20">
        <v>3844.6981175575238</v>
      </c>
      <c r="AV20">
        <v>4771.2277282238401</v>
      </c>
      <c r="AW20">
        <v>8875.5765818812379</v>
      </c>
      <c r="AX20">
        <v>12196.80737611075</v>
      </c>
      <c r="AY20">
        <v>13682.505404878963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v>2768.1701888526964</v>
      </c>
      <c r="AU21">
        <v>2854.2507675567899</v>
      </c>
      <c r="AV21">
        <v>2983.3716356129307</v>
      </c>
      <c r="AW21">
        <v>3241.6133717252114</v>
      </c>
      <c r="AX21">
        <v>3520.2426133200411</v>
      </c>
      <c r="AY21">
        <v>3887.2177120059141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v>71483.830729216323</v>
      </c>
      <c r="AU22">
        <v>73053.988026662948</v>
      </c>
      <c r="AV22">
        <v>75409.2239728329</v>
      </c>
      <c r="AW22">
        <v>79896.988052150249</v>
      </c>
      <c r="AX22">
        <v>83829.102859540144</v>
      </c>
      <c r="AY22">
        <v>88325.829023888597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v>109.84610990046545</v>
      </c>
      <c r="AU23">
        <v>115.2331988151243</v>
      </c>
      <c r="AV23">
        <v>123.31383218711257</v>
      </c>
      <c r="AW23">
        <v>134.67722286647106</v>
      </c>
      <c r="AX23">
        <v>144.35714825999864</v>
      </c>
      <c r="AY23">
        <v>151.93274204623765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v>532.1707092725369</v>
      </c>
      <c r="AU24">
        <v>548.48245515062229</v>
      </c>
      <c r="AV24">
        <v>572.95007396775043</v>
      </c>
      <c r="AW24">
        <v>621.88531160200671</v>
      </c>
      <c r="AX24">
        <v>678.97642217530574</v>
      </c>
      <c r="AY24">
        <v>744.22340568764741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v>194.48987104293579</v>
      </c>
      <c r="AU25">
        <v>204.63716866256721</v>
      </c>
      <c r="AV25">
        <v>219.85811509201434</v>
      </c>
      <c r="AW25">
        <v>236.7702777914001</v>
      </c>
      <c r="AX25">
        <v>253.68244049078581</v>
      </c>
      <c r="AY25">
        <v>270.59460319017154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v>46204.238512166186</v>
      </c>
      <c r="AU26">
        <v>47487.542354983307</v>
      </c>
      <c r="AV26">
        <v>49412.498119208991</v>
      </c>
      <c r="AW26">
        <v>52627.382939689152</v>
      </c>
      <c r="AX26">
        <v>55482.849931192388</v>
      </c>
      <c r="AY26">
        <v>58701.047358391232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v>8123.4268969611558</v>
      </c>
      <c r="AU27">
        <v>8253.903560634355</v>
      </c>
      <c r="AV27">
        <v>8449.6185561441525</v>
      </c>
      <c r="AW27">
        <v>8777.9011875014003</v>
      </c>
      <c r="AX27">
        <v>9171.0039562603943</v>
      </c>
      <c r="AY27">
        <v>9566.1976971936401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v>8565.2820929422905</v>
      </c>
      <c r="AU28">
        <v>8755.9799572325901</v>
      </c>
      <c r="AV28">
        <v>9042.0267536680385</v>
      </c>
      <c r="AW28">
        <v>9518.7714143937865</v>
      </c>
      <c r="AX28">
        <v>9995.5160751195326</v>
      </c>
      <c r="AY28">
        <v>10403.167306754591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v>353981.99297207361</v>
      </c>
      <c r="AU29">
        <v>382823.8913164268</v>
      </c>
      <c r="AV29">
        <v>426086.73883295647</v>
      </c>
      <c r="AW29">
        <v>509105.07575998211</v>
      </c>
      <c r="AX29">
        <v>594949.93649852858</v>
      </c>
      <c r="AY29">
        <v>667622.45570146362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v>2406.6212320687737</v>
      </c>
      <c r="AU30">
        <v>2466.786762870493</v>
      </c>
      <c r="AV30">
        <v>2557.0350590730723</v>
      </c>
      <c r="AW30">
        <v>2724.6390377350044</v>
      </c>
      <c r="AX30">
        <v>2930.9208576266137</v>
      </c>
      <c r="AY30">
        <v>3326.2943457521978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v>2329.3877760607074</v>
      </c>
      <c r="AU31">
        <v>2406.120549860354</v>
      </c>
      <c r="AV31">
        <v>2521.2197105598243</v>
      </c>
      <c r="AW31">
        <v>2804.4001852966162</v>
      </c>
      <c r="AX31">
        <v>3306.8171566038277</v>
      </c>
      <c r="AY31">
        <v>4521.7527417649026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3960.3574929408337</v>
      </c>
      <c r="AU32">
        <v>4142.8262275939414</v>
      </c>
      <c r="AV32">
        <v>4416.5293295736055</v>
      </c>
      <c r="AW32">
        <v>5030.563353582781</v>
      </c>
      <c r="AX32">
        <v>6220.9168081145162</v>
      </c>
      <c r="AY32">
        <v>8837.1867361721506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v>413.02156905666982</v>
      </c>
      <c r="AU33">
        <v>429.1394839466862</v>
      </c>
      <c r="AV33">
        <v>453.31635628171074</v>
      </c>
      <c r="AW33">
        <v>527.86171264803659</v>
      </c>
      <c r="AX33">
        <v>695.08507963195655</v>
      </c>
      <c r="AY33">
        <v>1120.1950848561387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v>7035.1605092134923</v>
      </c>
      <c r="AU34">
        <v>7273.2353214898849</v>
      </c>
      <c r="AV34">
        <v>7630.3475399044737</v>
      </c>
      <c r="AW34">
        <v>8173.237802208384</v>
      </c>
      <c r="AX34">
        <v>8877.999014281806</v>
      </c>
      <c r="AY34">
        <v>10078.334364880355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v>1928.0973038955487</v>
      </c>
      <c r="AU35">
        <v>1998.3281669042231</v>
      </c>
      <c r="AV35">
        <v>2103.6744614172344</v>
      </c>
      <c r="AW35">
        <v>2249.9887593519725</v>
      </c>
      <c r="AX35">
        <v>2380.04591307174</v>
      </c>
      <c r="AY35">
        <v>2510.103066791507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2296.3318872330128</v>
      </c>
      <c r="AU36">
        <v>2365.6029227453951</v>
      </c>
      <c r="AV36">
        <v>2469.5094760139673</v>
      </c>
      <c r="AW36">
        <v>2705.4131407480954</v>
      </c>
      <c r="AX36">
        <v>3201.0994651387819</v>
      </c>
      <c r="AY36">
        <v>4064.7672091499912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v>473.74286883154372</v>
      </c>
      <c r="AU37">
        <v>492.87656139794387</v>
      </c>
      <c r="AV37">
        <v>521.57710024754419</v>
      </c>
      <c r="AW37">
        <v>598.84778176569898</v>
      </c>
      <c r="AX37">
        <v>698.19580086046926</v>
      </c>
      <c r="AY37">
        <v>819.62115753185526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v>10516.845788940902</v>
      </c>
      <c r="AU38">
        <v>10683.08544783431</v>
      </c>
      <c r="AV38">
        <v>10932.444936174423</v>
      </c>
      <c r="AW38">
        <v>11181.804424514537</v>
      </c>
      <c r="AX38">
        <v>11599.590935680864</v>
      </c>
      <c r="AY38">
        <v>11929.882889534874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v>65136.959622984825</v>
      </c>
      <c r="AU39">
        <v>65554.872029088729</v>
      </c>
      <c r="AV39">
        <v>66181.740638244577</v>
      </c>
      <c r="AW39">
        <v>67747.942976518942</v>
      </c>
      <c r="AX39">
        <v>69318.02205325439</v>
      </c>
      <c r="AY39">
        <v>70886.162760759296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v>51.66440742196265</v>
      </c>
      <c r="AU40">
        <v>52.672493420439963</v>
      </c>
      <c r="AV40">
        <v>54.184622418155953</v>
      </c>
      <c r="AW40">
        <v>56.70483741434925</v>
      </c>
      <c r="AX40">
        <v>61.745267406735842</v>
      </c>
      <c r="AY40">
        <v>71.826127391509047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v>6846.7057814128884</v>
      </c>
      <c r="AU41">
        <v>6975.4191525351616</v>
      </c>
      <c r="AV41">
        <v>7168.4892092185719</v>
      </c>
      <c r="AW41">
        <v>7497.3189894579555</v>
      </c>
      <c r="AX41">
        <v>7877.8220208778139</v>
      </c>
      <c r="AY41">
        <v>8314.6958717672806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v>2885.4708927645133</v>
      </c>
      <c r="AU42">
        <v>2983.0677023727249</v>
      </c>
      <c r="AV42">
        <v>3129.4629167850421</v>
      </c>
      <c r="AW42">
        <v>3346.9340686294263</v>
      </c>
      <c r="AX42">
        <v>3590.9260926499551</v>
      </c>
      <c r="AY42">
        <v>3856.1348144113995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v>8059.9258704559306</v>
      </c>
      <c r="AU43">
        <v>8264.2620192843897</v>
      </c>
      <c r="AV43">
        <v>8570.766242527081</v>
      </c>
      <c r="AW43">
        <v>9400.6900902462767</v>
      </c>
      <c r="AX43">
        <v>10612.593675640299</v>
      </c>
      <c r="AY43">
        <v>12651.352998410744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v>5243.5604321906012</v>
      </c>
      <c r="AU44">
        <v>5408.660626016178</v>
      </c>
      <c r="AV44">
        <v>5656.3109167545435</v>
      </c>
      <c r="AW44">
        <v>6069.061401318485</v>
      </c>
      <c r="AX44">
        <v>6604.0077530230665</v>
      </c>
      <c r="AY44">
        <v>7263.8654355825265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v>18211.985135753384</v>
      </c>
      <c r="AU45">
        <v>18999.88123282346</v>
      </c>
      <c r="AV45">
        <v>20181.725378428571</v>
      </c>
      <c r="AW45">
        <v>22578.102464392163</v>
      </c>
      <c r="AX45">
        <v>26101.762251776941</v>
      </c>
      <c r="AY45">
        <v>30330.875072993527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v>109.1589092299342</v>
      </c>
      <c r="AU46">
        <v>123.28535630674919</v>
      </c>
      <c r="AV46">
        <v>144.4750269219717</v>
      </c>
      <c r="AW46">
        <v>195.84392538311721</v>
      </c>
      <c r="AX46">
        <v>263.26560461337073</v>
      </c>
      <c r="AY46">
        <v>353.16117692037534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v>27325.507617688392</v>
      </c>
      <c r="AU47">
        <v>27843.796788987151</v>
      </c>
      <c r="AV47">
        <v>28621.230545935287</v>
      </c>
      <c r="AW47">
        <v>29915.596696246845</v>
      </c>
      <c r="AX47">
        <v>31215.389958299744</v>
      </c>
      <c r="AY47">
        <v>32296.741972763382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v>922.54780209332944</v>
      </c>
      <c r="AU48">
        <v>945.99208617292879</v>
      </c>
      <c r="AV48">
        <v>981.15851229232794</v>
      </c>
      <c r="AW48">
        <v>1047.3810030366512</v>
      </c>
      <c r="AX48">
        <v>1112.8423157264417</v>
      </c>
      <c r="AY48">
        <v>1166.8859575982458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v>3081.2848448840568</v>
      </c>
      <c r="AU49">
        <v>3232.3671985686942</v>
      </c>
      <c r="AV49">
        <v>3458.9907290956503</v>
      </c>
      <c r="AW49">
        <v>3975.8514127536214</v>
      </c>
      <c r="AX49">
        <v>4731.2631811768097</v>
      </c>
      <c r="AY49">
        <v>5983.6563761942007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v>6129.018668963884</v>
      </c>
      <c r="AU50">
        <v>6129.018668963884</v>
      </c>
      <c r="AV50">
        <v>6129.018668963884</v>
      </c>
      <c r="AW50">
        <v>6129.018668963884</v>
      </c>
      <c r="AX50">
        <v>6129.018668963884</v>
      </c>
      <c r="AY50">
        <v>6129.018668963884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v>75363.030608623521</v>
      </c>
      <c r="AU51">
        <v>76796.60859131701</v>
      </c>
      <c r="AV51">
        <v>78946.97556535725</v>
      </c>
      <c r="AW51">
        <v>83132.039625380523</v>
      </c>
      <c r="AX51">
        <v>87922.776721293994</v>
      </c>
      <c r="AY51">
        <v>92736.283480210841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v>259.88175128624982</v>
      </c>
      <c r="AU52">
        <v>265.21265900494211</v>
      </c>
      <c r="AV52">
        <v>273.2090205829806</v>
      </c>
      <c r="AW52">
        <v>286.53628987971138</v>
      </c>
      <c r="AX52">
        <v>303.19537650062483</v>
      </c>
      <c r="AY52">
        <v>321.52037178362957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v>85219.250821918802</v>
      </c>
      <c r="AU53">
        <v>87108.082115703233</v>
      </c>
      <c r="AV53">
        <v>89941.329056379909</v>
      </c>
      <c r="AW53">
        <v>93995.238502631473</v>
      </c>
      <c r="AX53">
        <v>99396.049458712543</v>
      </c>
      <c r="AY53">
        <v>104120.76867652625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v>396.74444017983603</v>
      </c>
      <c r="AU54">
        <v>501.60744012447429</v>
      </c>
      <c r="AV54">
        <v>658.90194004143189</v>
      </c>
      <c r="AW54">
        <v>945.29784621626516</v>
      </c>
      <c r="AX54">
        <v>1139.8429495198825</v>
      </c>
      <c r="AY54">
        <v>1231.6937523910985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v>4650.3932281626167</v>
      </c>
      <c r="AU55">
        <v>4836.2302678279048</v>
      </c>
      <c r="AV55">
        <v>5114.9858273258369</v>
      </c>
      <c r="AW55">
        <v>5726.997231992771</v>
      </c>
      <c r="AX55">
        <v>6700.8547956233679</v>
      </c>
      <c r="AY55">
        <v>8787.0542553274427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v>1281.924242606824</v>
      </c>
      <c r="AU56">
        <v>1331.5471165141851</v>
      </c>
      <c r="AV56">
        <v>1405.9814273752265</v>
      </c>
      <c r="AW56">
        <v>1571.3910070664292</v>
      </c>
      <c r="AX56">
        <v>1798.8291791418337</v>
      </c>
      <c r="AY56">
        <v>2088.2959436014389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v>229.31831755263403</v>
      </c>
      <c r="AU57">
        <v>246.51719136908159</v>
      </c>
      <c r="AV57">
        <v>272.31550209375291</v>
      </c>
      <c r="AW57">
        <v>322.47888405839166</v>
      </c>
      <c r="AX57">
        <v>379.80846344655015</v>
      </c>
      <c r="AY57">
        <v>437.13804283470864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101.65898315866707</v>
      </c>
      <c r="AU58">
        <v>106.3427992172293</v>
      </c>
      <c r="AV58">
        <v>113.36852330507271</v>
      </c>
      <c r="AW58">
        <v>129.1302505271384</v>
      </c>
      <c r="AX58">
        <v>159.68560367462527</v>
      </c>
      <c r="AY58">
        <v>226.84301080996934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v>5197.6499286518501</v>
      </c>
      <c r="AU59">
        <v>5280.2336387388677</v>
      </c>
      <c r="AV59">
        <v>5404.1092038693923</v>
      </c>
      <c r="AW59">
        <v>5652.7645353357757</v>
      </c>
      <c r="AX59">
        <v>5901.419866802159</v>
      </c>
      <c r="AY59">
        <v>6192.2712545173827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v>3437.7210156776282</v>
      </c>
      <c r="AU60">
        <v>3602.91020734006</v>
      </c>
      <c r="AV60">
        <v>3850.6939948337072</v>
      </c>
      <c r="AW60">
        <v>4263.6669739897852</v>
      </c>
      <c r="AX60">
        <v>4732.4471124912807</v>
      </c>
      <c r="AY60">
        <v>5251.4536944036499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v>168.54024812413414</v>
      </c>
      <c r="AU61">
        <v>174.86050742878919</v>
      </c>
      <c r="AV61">
        <v>184.34089638577174</v>
      </c>
      <c r="AW61">
        <v>215.94219290904687</v>
      </c>
      <c r="AX61">
        <v>289.67855146335557</v>
      </c>
      <c r="AY61">
        <v>437.15126857197299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v>2590.988805440008</v>
      </c>
      <c r="AU62">
        <v>2694.1797015874022</v>
      </c>
      <c r="AV62">
        <v>2848.9660458084936</v>
      </c>
      <c r="AW62">
        <v>3123.7678888097066</v>
      </c>
      <c r="AX62">
        <v>3421.0025353212227</v>
      </c>
      <c r="AY62">
        <v>3757.4945879757693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v>2816.1928630294419</v>
      </c>
      <c r="AU63">
        <v>2860.115137039993</v>
      </c>
      <c r="AV63">
        <v>2925.9985480558198</v>
      </c>
      <c r="AW63">
        <v>3035.8042330821968</v>
      </c>
      <c r="AX63">
        <v>3145.6099181085742</v>
      </c>
      <c r="AY63">
        <v>3255.4156031349512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v>874.95518615177934</v>
      </c>
      <c r="AU64">
        <v>933.98830714515236</v>
      </c>
      <c r="AV64">
        <v>1022.5379886352121</v>
      </c>
      <c r="AW64">
        <v>1517.9945398295931</v>
      </c>
      <c r="AX64">
        <v>3900.4026370621491</v>
      </c>
      <c r="AY64">
        <v>8728.4686040201595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v>9319.9866572400406</v>
      </c>
      <c r="AU65">
        <v>9380.0438504967187</v>
      </c>
      <c r="AV65">
        <v>9470.129640381736</v>
      </c>
      <c r="AW65">
        <v>9620.2726235234313</v>
      </c>
      <c r="AX65">
        <v>9770.4156066651267</v>
      </c>
      <c r="AY65">
        <v>9923.3390154205554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v>63521.004072854943</v>
      </c>
      <c r="AU66">
        <v>66854.11170415036</v>
      </c>
      <c r="AV66">
        <v>71853.773151093468</v>
      </c>
      <c r="AW66">
        <v>83654.893756661651</v>
      </c>
      <c r="AX66">
        <v>99360.636521927983</v>
      </c>
      <c r="AY66">
        <v>121959.45527861675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v>117607.26746782308</v>
      </c>
      <c r="AU67">
        <v>128270.3263849057</v>
      </c>
      <c r="AV67">
        <v>144264.91476052965</v>
      </c>
      <c r="AW67">
        <v>184303.41637474686</v>
      </c>
      <c r="AX67">
        <v>243194.96400806229</v>
      </c>
      <c r="AY67">
        <v>322977.72479767562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v>4073.1351391730477</v>
      </c>
      <c r="AU68">
        <v>4200.6321670751404</v>
      </c>
      <c r="AV68">
        <v>4391.8777089282794</v>
      </c>
      <c r="AW68">
        <v>4741.6483164472938</v>
      </c>
      <c r="AX68">
        <v>5060.3908862025255</v>
      </c>
      <c r="AY68">
        <v>5379.1334559577572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v>18281.657041787767</v>
      </c>
      <c r="AU69">
        <v>18738.304805966789</v>
      </c>
      <c r="AV69">
        <v>19423.276452235325</v>
      </c>
      <c r="AW69">
        <v>20706.614134324645</v>
      </c>
      <c r="AX69">
        <v>21990.935971078146</v>
      </c>
      <c r="AY69">
        <v>23277.226117160004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v>8112.2478201187369</v>
      </c>
      <c r="AU70">
        <v>8875.9895357473924</v>
      </c>
      <c r="AV70">
        <v>10021.602109190375</v>
      </c>
      <c r="AW70">
        <v>13775.662380990309</v>
      </c>
      <c r="AX70">
        <v>21106.557395131684</v>
      </c>
      <c r="AY70">
        <v>33308.367904452898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v>234.97933179862829</v>
      </c>
      <c r="AU71">
        <v>234.97933179862829</v>
      </c>
      <c r="AV71">
        <v>234.97933179862829</v>
      </c>
      <c r="AW71">
        <v>234.97933179862829</v>
      </c>
      <c r="AX71">
        <v>234.97933179862829</v>
      </c>
      <c r="AY71">
        <v>234.97933179862829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v>3011.7768184291172</v>
      </c>
      <c r="AU72">
        <v>3166.685622724965</v>
      </c>
      <c r="AV72">
        <v>3399.048829168737</v>
      </c>
      <c r="AW72">
        <v>3788.3537638492467</v>
      </c>
      <c r="AX72">
        <v>4185.790394293319</v>
      </c>
      <c r="AY72">
        <v>4610.671497939411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v>31806.638904829459</v>
      </c>
      <c r="AU73">
        <v>32213.77113683768</v>
      </c>
      <c r="AV73">
        <v>32824.469484850015</v>
      </c>
      <c r="AW73">
        <v>33840.788809369427</v>
      </c>
      <c r="AX73">
        <v>34857.10813388884</v>
      </c>
      <c r="AY73">
        <v>35873.427458408252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v>976.40739302973384</v>
      </c>
      <c r="AU74">
        <v>994.57311196982187</v>
      </c>
      <c r="AV74">
        <v>1021.8216903799541</v>
      </c>
      <c r="AW74">
        <v>1067.2359877301742</v>
      </c>
      <c r="AX74">
        <v>1103.5674256103503</v>
      </c>
      <c r="AY74">
        <v>1148.9817229605706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v>2170.5225877901853</v>
      </c>
      <c r="AU75">
        <v>2313.1649519036928</v>
      </c>
      <c r="AV75">
        <v>2527.1284980739547</v>
      </c>
      <c r="AW75">
        <v>2942.7007399794488</v>
      </c>
      <c r="AX75">
        <v>3421.4511943367925</v>
      </c>
      <c r="AY75">
        <v>3929.6848145049989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v>78320.445943524217</v>
      </c>
      <c r="AU76">
        <v>78320.445943524217</v>
      </c>
      <c r="AV76">
        <v>78320.445943524217</v>
      </c>
      <c r="AW76">
        <v>78320.445943524217</v>
      </c>
      <c r="AX76">
        <v>78320.445943524217</v>
      </c>
      <c r="AY76">
        <v>78320.445943524217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v>4772.3417508864013</v>
      </c>
      <c r="AU77">
        <v>5051.7966055238776</v>
      </c>
      <c r="AV77">
        <v>5470.9788874800934</v>
      </c>
      <c r="AW77">
        <v>6425.0809796565372</v>
      </c>
      <c r="AX77">
        <v>7607.1786773530739</v>
      </c>
      <c r="AY77">
        <v>9009.9468205529902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v>2319.4814020700737</v>
      </c>
      <c r="AU78">
        <v>2445.5401739217082</v>
      </c>
      <c r="AV78">
        <v>2634.6283316991598</v>
      </c>
      <c r="AW78">
        <v>3088.4399103650439</v>
      </c>
      <c r="AX78">
        <v>3964.5483747339031</v>
      </c>
      <c r="AY78">
        <v>6813.4766185808412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v>544.29065354086845</v>
      </c>
      <c r="AU79">
        <v>834.35466797810409</v>
      </c>
      <c r="AV79">
        <v>1269.4506896339576</v>
      </c>
      <c r="AW79">
        <v>3205.1737094137698</v>
      </c>
      <c r="AX79">
        <v>4244.9623458535116</v>
      </c>
      <c r="AY79">
        <v>4499.0207343687243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v>1011.5415514110299</v>
      </c>
      <c r="AU80">
        <v>1148.9585168857359</v>
      </c>
      <c r="AV80">
        <v>1355.0839650977946</v>
      </c>
      <c r="AW80">
        <v>2481.1396544044128</v>
      </c>
      <c r="AX80">
        <v>6011.9922395183848</v>
      </c>
      <c r="AY80">
        <v>12482.041030619122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v>21396.55902819704</v>
      </c>
      <c r="AU81">
        <v>21601.814567150232</v>
      </c>
      <c r="AV81">
        <v>21909.697875580019</v>
      </c>
      <c r="AW81">
        <v>22251.297511734112</v>
      </c>
      <c r="AX81">
        <v>22421.357936659304</v>
      </c>
      <c r="AY81">
        <v>22421.357936659304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1040.589147905388</v>
      </c>
      <c r="AU82">
        <v>1142.9642614857239</v>
      </c>
      <c r="AV82">
        <v>1296.5269318562277</v>
      </c>
      <c r="AW82">
        <v>1546.403031450337</v>
      </c>
      <c r="AX82">
        <v>1751.1532586110091</v>
      </c>
      <c r="AY82">
        <v>1887.2043963954027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v>352.39591579626676</v>
      </c>
      <c r="AU83">
        <v>366.97781576025022</v>
      </c>
      <c r="AV83">
        <v>388.85066570622541</v>
      </c>
      <c r="AW83">
        <v>432.59636559817579</v>
      </c>
      <c r="AX83">
        <v>488.49364879344563</v>
      </c>
      <c r="AY83">
        <v>558.97283195269904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v>1408.8078330447136</v>
      </c>
      <c r="AU84">
        <v>1462.2251300476589</v>
      </c>
      <c r="AV84">
        <v>1542.351075552077</v>
      </c>
      <c r="AW84">
        <v>1670.024285421754</v>
      </c>
      <c r="AX84">
        <v>1793.2949708131666</v>
      </c>
      <c r="AY84">
        <v>1888.683001175569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v>535.13378915189662</v>
      </c>
      <c r="AU85">
        <v>560.31655570022122</v>
      </c>
      <c r="AV85">
        <v>598.09070552270805</v>
      </c>
      <c r="AW85">
        <v>818.43991282054787</v>
      </c>
      <c r="AX85">
        <v>2896.0181530573232</v>
      </c>
      <c r="AY85">
        <v>9254.6667065092715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v>3167.9575680502489</v>
      </c>
      <c r="AU86">
        <v>3273.7318584532582</v>
      </c>
      <c r="AV86">
        <v>3432.3932940577711</v>
      </c>
      <c r="AW86">
        <v>3720.5491682453699</v>
      </c>
      <c r="AX86">
        <v>4058.780910813131</v>
      </c>
      <c r="AY86">
        <v>4419.8542775542992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v>4830.3903522145138</v>
      </c>
      <c r="AU87">
        <v>4931.8018623715043</v>
      </c>
      <c r="AV87">
        <v>5083.9191276069878</v>
      </c>
      <c r="AW87">
        <v>5337.4479029994636</v>
      </c>
      <c r="AX87">
        <v>5631.0075376644336</v>
      </c>
      <c r="AY87">
        <v>6004.6288908743963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v>2728.5278856742589</v>
      </c>
      <c r="AU89">
        <v>2788.3943202966479</v>
      </c>
      <c r="AV89">
        <v>2878.1939722302309</v>
      </c>
      <c r="AW89">
        <v>3027.8600587862034</v>
      </c>
      <c r="AX89">
        <v>3177.5261453421754</v>
      </c>
      <c r="AY89">
        <v>3327.1922318981469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v>1024.1969714261959</v>
      </c>
      <c r="AU90">
        <v>1056.1199939122071</v>
      </c>
      <c r="AV90">
        <v>1104.0045276412241</v>
      </c>
      <c r="AW90">
        <v>1206.4242247838436</v>
      </c>
      <c r="AX90">
        <v>1316.8246775479658</v>
      </c>
      <c r="AY90">
        <v>1441.8565156181771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v>1858.8497556055765</v>
      </c>
      <c r="AU91">
        <v>1882.0538502481429</v>
      </c>
      <c r="AV91">
        <v>1916.8599922119922</v>
      </c>
      <c r="AW91">
        <v>1977.3924130186865</v>
      </c>
      <c r="AX91">
        <v>2053.0579390270545</v>
      </c>
      <c r="AY91">
        <v>2128.723465035423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v>5510.6141172091793</v>
      </c>
      <c r="AU92">
        <v>5668.0104888349961</v>
      </c>
      <c r="AV92">
        <v>5904.1050462737203</v>
      </c>
      <c r="AW92">
        <v>6384.6514906180282</v>
      </c>
      <c r="AX92">
        <v>7112.4355983568703</v>
      </c>
      <c r="AY92">
        <v>8193.6650981315634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v>921.31931416431462</v>
      </c>
      <c r="AU93">
        <v>1412.689615051949</v>
      </c>
      <c r="AV93">
        <v>2149.7450663834006</v>
      </c>
      <c r="AW93">
        <v>3669.6285209601997</v>
      </c>
      <c r="AX93">
        <v>3910.2278323024725</v>
      </c>
      <c r="AY93">
        <v>3910.2278323024725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v>510.66114037575869</v>
      </c>
      <c r="AU94">
        <v>540.12236001282167</v>
      </c>
      <c r="AV94">
        <v>584.3141894684162</v>
      </c>
      <c r="AW94">
        <v>672.69784837960515</v>
      </c>
      <c r="AX94">
        <v>775.81211710932564</v>
      </c>
      <c r="AY94">
        <v>893.65699565757768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v>50298.13424638303</v>
      </c>
      <c r="AU95">
        <v>51715.39631286553</v>
      </c>
      <c r="AV95">
        <v>53841.289412589264</v>
      </c>
      <c r="AW95">
        <v>57768.098322906997</v>
      </c>
      <c r="AX95">
        <v>62092.665894399157</v>
      </c>
      <c r="AY95">
        <v>67201.466854589831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v>1020.0768882774046</v>
      </c>
      <c r="AU97">
        <v>1093.363965687626</v>
      </c>
      <c r="AV97">
        <v>1203.2945818029577</v>
      </c>
      <c r="AW97">
        <v>1470.6933777591707</v>
      </c>
      <c r="AX97">
        <v>1851.9842534745112</v>
      </c>
      <c r="AY97">
        <v>2371.9263567227026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v>261.44778638200802</v>
      </c>
      <c r="AU98">
        <v>261.44778638200802</v>
      </c>
      <c r="AV98">
        <v>261.44778638200802</v>
      </c>
      <c r="AW98">
        <v>261.44778638200802</v>
      </c>
      <c r="AX98">
        <v>261.44778638200802</v>
      </c>
      <c r="AY98">
        <v>261.44778638200802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5133.0340938141344</v>
      </c>
      <c r="AU99">
        <v>5423.7365643854846</v>
      </c>
      <c r="AV99">
        <v>5859.7902702425108</v>
      </c>
      <c r="AW99">
        <v>7056.0104853747907</v>
      </c>
      <c r="AX99">
        <v>9495.4654616409589</v>
      </c>
      <c r="AY99">
        <v>13454.830381973821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93.123017049350821</v>
      </c>
      <c r="AU100">
        <v>94.941856462867619</v>
      </c>
      <c r="AV100">
        <v>97.670115583142859</v>
      </c>
      <c r="AW100">
        <v>102.82663386580806</v>
      </c>
      <c r="AX100">
        <v>108.70557129365123</v>
      </c>
      <c r="AY100">
        <v>114.85583874638567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v>365.71299054923685</v>
      </c>
      <c r="AU101">
        <v>383.24303472432422</v>
      </c>
      <c r="AV101">
        <v>409.53810098695533</v>
      </c>
      <c r="AW101">
        <v>492.65468974814547</v>
      </c>
      <c r="AX101">
        <v>664.93271008952161</v>
      </c>
      <c r="AY101">
        <v>1080.5156538954725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v>1732.7691165957001</v>
      </c>
      <c r="AU102">
        <v>1824.9084267638841</v>
      </c>
      <c r="AV102">
        <v>1963.1173920161602</v>
      </c>
      <c r="AW102">
        <v>2337.8630938195956</v>
      </c>
      <c r="AX102">
        <v>2997.9656144274813</v>
      </c>
      <c r="AY102">
        <v>4122.2027198377873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v>265.40339540699432</v>
      </c>
      <c r="AU103">
        <v>275.51400094630839</v>
      </c>
      <c r="AV103">
        <v>290.67990925527948</v>
      </c>
      <c r="AW103">
        <v>321.01172587322168</v>
      </c>
      <c r="AX103">
        <v>361.45414803047794</v>
      </c>
      <c r="AY103">
        <v>429.70073542084793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v>675.97619398630718</v>
      </c>
      <c r="AU104">
        <v>741.64245283069124</v>
      </c>
      <c r="AV104">
        <v>840.14184109726739</v>
      </c>
      <c r="AW104">
        <v>1042.9346992931596</v>
      </c>
      <c r="AX104">
        <v>1284.3547685739836</v>
      </c>
      <c r="AY104">
        <v>1564.4020489397394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v>10956.363064292724</v>
      </c>
      <c r="AU105">
        <v>11361.139810834649</v>
      </c>
      <c r="AV105">
        <v>11968.304930647537</v>
      </c>
      <c r="AW105">
        <v>13067.745529807466</v>
      </c>
      <c r="AX105">
        <v>14254.684861772512</v>
      </c>
      <c r="AY105">
        <v>15441.624193737556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v>160.31328650114617</v>
      </c>
      <c r="AU106">
        <v>166.2098671540619</v>
      </c>
      <c r="AV106">
        <v>175.05473813343548</v>
      </c>
      <c r="AW106">
        <v>188.56773546303401</v>
      </c>
      <c r="AX106">
        <v>202.08073279263255</v>
      </c>
      <c r="AY106">
        <v>216.82218442492183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v>560.43034689539388</v>
      </c>
      <c r="AU108">
        <v>598.42562465101378</v>
      </c>
      <c r="AV108">
        <v>655.41854128444368</v>
      </c>
      <c r="AW108">
        <v>793.15142314856587</v>
      </c>
      <c r="AX108">
        <v>964.13017304885557</v>
      </c>
      <c r="AY108">
        <v>1220.5982978992899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v>28725.087153012977</v>
      </c>
      <c r="AU109">
        <v>30777.324649938331</v>
      </c>
      <c r="AV109">
        <v>33855.680895326368</v>
      </c>
      <c r="AW109">
        <v>41769.894646767236</v>
      </c>
      <c r="AX109">
        <v>58627.559800082672</v>
      </c>
      <c r="AY109">
        <v>114019.25880524123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v>1585.6907016756595</v>
      </c>
      <c r="AU110">
        <v>1630.9961502949641</v>
      </c>
      <c r="AV110">
        <v>1698.9543232239209</v>
      </c>
      <c r="AW110">
        <v>1868.849755546313</v>
      </c>
      <c r="AX110">
        <v>2168.1893267810037</v>
      </c>
      <c r="AY110">
        <v>2807.3197626604792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v>19246.212886552508</v>
      </c>
      <c r="AU111">
        <v>19552.703166120009</v>
      </c>
      <c r="AV111">
        <v>20012.438585471256</v>
      </c>
      <c r="AW111">
        <v>20780.475692661683</v>
      </c>
      <c r="AX111">
        <v>21387.297463672985</v>
      </c>
      <c r="AY111">
        <v>22153.523162591733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v>6306.6973998908998</v>
      </c>
      <c r="AU112">
        <v>6483.1746288197637</v>
      </c>
      <c r="AV112">
        <v>6747.8904722130619</v>
      </c>
      <c r="AW112">
        <v>7240.2934547154737</v>
      </c>
      <c r="AX112">
        <v>7823.2985859983291</v>
      </c>
      <c r="AY112">
        <v>8496.9058660616301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v>1164.033230228471</v>
      </c>
      <c r="AU113">
        <v>1217.246177896058</v>
      </c>
      <c r="AV113">
        <v>1297.065599397439</v>
      </c>
      <c r="AW113">
        <v>1452.2700300945685</v>
      </c>
      <c r="AX113">
        <v>1607.4744607916978</v>
      </c>
      <c r="AY113">
        <v>1773.764922252908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v>5452.0704574737119</v>
      </c>
      <c r="AU114">
        <v>5604.7799053777744</v>
      </c>
      <c r="AV114">
        <v>5833.844077233869</v>
      </c>
      <c r="AW114">
        <v>6215.617696994027</v>
      </c>
      <c r="AX114">
        <v>6593.1017255209244</v>
      </c>
      <c r="AY114">
        <v>6970.5857540478228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v>1332.2853753175102</v>
      </c>
      <c r="AU115">
        <v>1373.5311494698201</v>
      </c>
      <c r="AV115">
        <v>1435.3998106982849</v>
      </c>
      <c r="AW115">
        <v>1539.100123552814</v>
      </c>
      <c r="AX115">
        <v>1642.8004364073433</v>
      </c>
      <c r="AY115">
        <v>1747.0866267356269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v>25146.388962604447</v>
      </c>
      <c r="AU116">
        <v>26356.47268642754</v>
      </c>
      <c r="AV116">
        <v>28171.59827216218</v>
      </c>
      <c r="AW116">
        <v>31196.807581719913</v>
      </c>
      <c r="AX116">
        <v>34222.016891277643</v>
      </c>
      <c r="AY116">
        <v>37625.819646592892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v>2232.0579309370464</v>
      </c>
      <c r="AU117">
        <v>2297.2641176835218</v>
      </c>
      <c r="AV117">
        <v>2395.0733978032354</v>
      </c>
      <c r="AW117">
        <v>2576.8983416155229</v>
      </c>
      <c r="AX117">
        <v>2764.9931110765101</v>
      </c>
      <c r="AY117">
        <v>2953.0878805374969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v>6283.5448882542732</v>
      </c>
      <c r="AU118">
        <v>6420.257998793697</v>
      </c>
      <c r="AV118">
        <v>6625.3276646028316</v>
      </c>
      <c r="AW118">
        <v>7016.7711862328051</v>
      </c>
      <c r="AX118">
        <v>7457.8754531441928</v>
      </c>
      <c r="AY118">
        <v>7898.9797200555813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v>14610.727292826945</v>
      </c>
      <c r="AU119">
        <v>15318.41920694391</v>
      </c>
      <c r="AV119">
        <v>16379.957078119362</v>
      </c>
      <c r="AW119">
        <v>18032.534350095797</v>
      </c>
      <c r="AX119">
        <v>19879.532477598867</v>
      </c>
      <c r="AY119">
        <v>21862.625203970591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v>240.78963984343332</v>
      </c>
      <c r="AU120">
        <v>257.34392758266938</v>
      </c>
      <c r="AV120">
        <v>282.1753591915234</v>
      </c>
      <c r="AW120">
        <v>331.08575478472085</v>
      </c>
      <c r="AX120">
        <v>383.75848850047186</v>
      </c>
      <c r="AY120">
        <v>443.95589846133021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v>41883.430725916369</v>
      </c>
      <c r="AU121">
        <v>42555.518515590673</v>
      </c>
      <c r="AV121">
        <v>43563.650200102129</v>
      </c>
      <c r="AW121">
        <v>44906.26761610528</v>
      </c>
      <c r="AX121">
        <v>46246.288093199328</v>
      </c>
      <c r="AY121">
        <v>47256.497328838057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2813.3230259352808</v>
      </c>
      <c r="AU122">
        <v>2942.2697267554031</v>
      </c>
      <c r="AV122">
        <v>3135.6897779855867</v>
      </c>
      <c r="AW122">
        <v>3552.3731994919558</v>
      </c>
      <c r="AX122">
        <v>4136.6132108454949</v>
      </c>
      <c r="AY122">
        <v>5134.389358676237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v>4166.5277465720164</v>
      </c>
      <c r="AU123">
        <v>4232.9114488686901</v>
      </c>
      <c r="AV123">
        <v>4332.4870023136991</v>
      </c>
      <c r="AW123">
        <v>4532.0767680294675</v>
      </c>
      <c r="AX123">
        <v>4764.5659456764051</v>
      </c>
      <c r="AY123">
        <v>4964.1557113921726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v>2385.8994265886117</v>
      </c>
      <c r="AU124">
        <v>2458.5137569630479</v>
      </c>
      <c r="AV124">
        <v>2567.4352525247018</v>
      </c>
      <c r="AW124">
        <v>2770.189551622153</v>
      </c>
      <c r="AX124">
        <v>3029.5264458165675</v>
      </c>
      <c r="AY124">
        <v>3416.174178979149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1157.2241834796391</v>
      </c>
      <c r="AU125">
        <v>1223.314474775804</v>
      </c>
      <c r="AV125">
        <v>1322.4499117200512</v>
      </c>
      <c r="AW125">
        <v>1589.9644511695874</v>
      </c>
      <c r="AX125">
        <v>2097.9743491559534</v>
      </c>
      <c r="AY125">
        <v>3075.5766732744332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1116.2037946998403</v>
      </c>
      <c r="AU126">
        <v>1179.951368411771</v>
      </c>
      <c r="AV126">
        <v>1275.5727289796669</v>
      </c>
      <c r="AW126">
        <v>1533.6046197176349</v>
      </c>
      <c r="AX126">
        <v>2023.6069753307272</v>
      </c>
      <c r="AY126">
        <v>2966.5560075634517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v>11673.450981627459</v>
      </c>
      <c r="AU127">
        <v>11969.839839256731</v>
      </c>
      <c r="AV127">
        <v>12414.423125700636</v>
      </c>
      <c r="AW127">
        <v>13167.954119673363</v>
      </c>
      <c r="AX127">
        <v>13993.698500568473</v>
      </c>
      <c r="AY127">
        <v>14631.060132970404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v>70684.559422473452</v>
      </c>
      <c r="AU128">
        <v>73333.736012667738</v>
      </c>
      <c r="AV128">
        <v>77307.50089795918</v>
      </c>
      <c r="AW128">
        <v>86132.796907247655</v>
      </c>
      <c r="AX128">
        <v>95512.884516654376</v>
      </c>
      <c r="AY128">
        <v>105441.22577802981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v>599.05248548137615</v>
      </c>
      <c r="AU129">
        <v>617.84628894745856</v>
      </c>
      <c r="AV129">
        <v>646.03699414658206</v>
      </c>
      <c r="AW129">
        <v>728.25988431069254</v>
      </c>
      <c r="AX129">
        <v>845.72115597370748</v>
      </c>
      <c r="AY129">
        <v>1057.1514449671345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v>12558.021143524866</v>
      </c>
      <c r="AU130">
        <v>13063.24427496235</v>
      </c>
      <c r="AV130">
        <v>13821.078972118577</v>
      </c>
      <c r="AW130">
        <v>15283.492832776994</v>
      </c>
      <c r="AX130">
        <v>16652.216402747756</v>
      </c>
      <c r="AY130">
        <v>17923.023052375785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v>3260.4066751582477</v>
      </c>
      <c r="AU131">
        <v>3445.9044134255969</v>
      </c>
      <c r="AV131">
        <v>3724.1510208266195</v>
      </c>
      <c r="AW131">
        <v>4336.9560490312542</v>
      </c>
      <c r="AX131">
        <v>5387.4789545249132</v>
      </c>
      <c r="AY131">
        <v>8221.99796529384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v>1134.274459995755</v>
      </c>
      <c r="AU132">
        <v>1190.988182995543</v>
      </c>
      <c r="AV132">
        <v>1276.0587674952246</v>
      </c>
      <c r="AW132">
        <v>1438.6937084504982</v>
      </c>
      <c r="AX132">
        <v>1618.0091561704153</v>
      </c>
      <c r="AY132">
        <v>1822.3453640372977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561.34709230013289</v>
      </c>
      <c r="AU134">
        <v>587.21048817178848</v>
      </c>
      <c r="AV134">
        <v>626.00558197927228</v>
      </c>
      <c r="AW134">
        <v>713.03969810775038</v>
      </c>
      <c r="AX134">
        <v>881.76220654337726</v>
      </c>
      <c r="AY134">
        <v>1252.5962838723078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v>3204.0416313977335</v>
      </c>
      <c r="AU135">
        <v>3222.6833281622298</v>
      </c>
      <c r="AV135">
        <v>3250.645873308973</v>
      </c>
      <c r="AW135">
        <v>3273.947994264593</v>
      </c>
      <c r="AX135">
        <v>3273.947994264593</v>
      </c>
      <c r="AY135">
        <v>3297.250115220213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394.13263173944773</v>
      </c>
      <c r="AU136">
        <v>412.29182133967572</v>
      </c>
      <c r="AV136">
        <v>439.53060574001796</v>
      </c>
      <c r="AW136">
        <v>500.63893908913451</v>
      </c>
      <c r="AX136">
        <v>619.10226987959675</v>
      </c>
      <c r="AY136">
        <v>879.47203546871947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v>3044.897604110351</v>
      </c>
      <c r="AU137">
        <v>3232.529132147421</v>
      </c>
      <c r="AV137">
        <v>3513.9764242030265</v>
      </c>
      <c r="AW137">
        <v>4169.9813906484233</v>
      </c>
      <c r="AX137">
        <v>4995.2779613377925</v>
      </c>
      <c r="AY137">
        <v>5868.7756137910701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445.41588245083511</v>
      </c>
      <c r="AU138">
        <v>465.93788648962942</v>
      </c>
      <c r="AV138">
        <v>496.72089254782117</v>
      </c>
      <c r="AW138">
        <v>565.78044263803076</v>
      </c>
      <c r="AX138">
        <v>699.65783510164442</v>
      </c>
      <c r="AY138">
        <v>993.90606415988498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v>293.18072044138199</v>
      </c>
      <c r="AU139">
        <v>311.94428654963042</v>
      </c>
      <c r="AV139">
        <v>340.08963571200309</v>
      </c>
      <c r="AW139">
        <v>408.10756285440374</v>
      </c>
      <c r="AX139">
        <v>497.23450186858378</v>
      </c>
      <c r="AY139">
        <v>595.74322393688817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v>3168.2175367621367</v>
      </c>
      <c r="AU140">
        <v>3209.6741903734628</v>
      </c>
      <c r="AV140">
        <v>3271.8591707904525</v>
      </c>
      <c r="AW140">
        <v>3359.4184822971329</v>
      </c>
      <c r="AX140">
        <v>3477.3555141224579</v>
      </c>
      <c r="AY140">
        <v>3573.8494492522691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v>821.11586422362245</v>
      </c>
      <c r="AU141">
        <v>837.22181462520678</v>
      </c>
      <c r="AV141">
        <v>861.38074022758292</v>
      </c>
      <c r="AW141">
        <v>908.83577266082216</v>
      </c>
      <c r="AX141">
        <v>970.6711179526186</v>
      </c>
      <c r="AY141">
        <v>1045.4487448171167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v>10792.851483004579</v>
      </c>
      <c r="AU142">
        <v>11095.874757339399</v>
      </c>
      <c r="AV142">
        <v>11550.40966884163</v>
      </c>
      <c r="AW142">
        <v>12479.712412337392</v>
      </c>
      <c r="AX142">
        <v>13665.455659734516</v>
      </c>
      <c r="AY142">
        <v>15021.767132203646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v>84.426445050927171</v>
      </c>
      <c r="AU143">
        <v>86.648193604898935</v>
      </c>
      <c r="AV143">
        <v>89.980816435856596</v>
      </c>
      <c r="AW143">
        <v>96.646062097771889</v>
      </c>
      <c r="AX143">
        <v>104.42218203667306</v>
      </c>
      <c r="AY143">
        <v>112.19830197557427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v>4250.5297667050945</v>
      </c>
      <c r="AU144">
        <v>4416.7825607092054</v>
      </c>
      <c r="AV144">
        <v>4666.1617517153709</v>
      </c>
      <c r="AW144">
        <v>4998.6673397235918</v>
      </c>
      <c r="AX144">
        <v>5272.9844498303746</v>
      </c>
      <c r="AY144">
        <v>5489.1130820357184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v>561.59263073371505</v>
      </c>
      <c r="AU145">
        <v>577.4121414586084</v>
      </c>
      <c r="AV145">
        <v>601.14140754594848</v>
      </c>
      <c r="AW145">
        <v>664.41945044552199</v>
      </c>
      <c r="AX145">
        <v>751.42675943243569</v>
      </c>
      <c r="AY145">
        <v>917.53162204381601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v>772.89171531314719</v>
      </c>
      <c r="AU146">
        <v>800.76649848837553</v>
      </c>
      <c r="AV146">
        <v>842.57867325121799</v>
      </c>
      <c r="AW146">
        <v>905.93045319491853</v>
      </c>
      <c r="AX146">
        <v>956.61187714987898</v>
      </c>
      <c r="AY146">
        <v>1013.6284790992095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v>11187.371392090357</v>
      </c>
      <c r="AU147">
        <v>11433.73588845047</v>
      </c>
      <c r="AV147">
        <v>11803.282632990638</v>
      </c>
      <c r="AW147">
        <v>12595.168514148143</v>
      </c>
      <c r="AX147">
        <v>13563.029035562871</v>
      </c>
      <c r="AY147">
        <v>14882.838837492045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v>611.4209040749447</v>
      </c>
      <c r="AU148">
        <v>1007.565854852019</v>
      </c>
      <c r="AV148">
        <v>1601.7832810176305</v>
      </c>
      <c r="AW148">
        <v>7053.4259428265477</v>
      </c>
      <c r="AX148">
        <v>11319.423505478728</v>
      </c>
      <c r="AY148">
        <v>12298.161910861056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v>1054.3779764081378</v>
      </c>
      <c r="AU149">
        <v>1142.331881464052</v>
      </c>
      <c r="AV149">
        <v>1274.2627390479231</v>
      </c>
      <c r="AW149">
        <v>1563.6249787718075</v>
      </c>
      <c r="AX149">
        <v>1878.1823475481672</v>
      </c>
      <c r="AY149">
        <v>2184.3413399737019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v>2723.3228014610959</v>
      </c>
      <c r="AU150">
        <v>2791.150057493192</v>
      </c>
      <c r="AV150">
        <v>2892.8909415413359</v>
      </c>
      <c r="AW150">
        <v>3040.5321669560276</v>
      </c>
      <c r="AX150">
        <v>3230.565427390779</v>
      </c>
      <c r="AY150">
        <v>3400.1335674710194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v>20482.99401107134</v>
      </c>
      <c r="AU151">
        <v>21060.103635891948</v>
      </c>
      <c r="AV151">
        <v>21925.768073122857</v>
      </c>
      <c r="AW151">
        <v>23700.058801249514</v>
      </c>
      <c r="AX151">
        <v>25956.401824434419</v>
      </c>
      <c r="AY151">
        <v>29033.079454999137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7194.3695638611762</v>
      </c>
      <c r="AU152">
        <v>7531.1584047772276</v>
      </c>
      <c r="AV152">
        <v>8036.3416661513038</v>
      </c>
      <c r="AW152">
        <v>8916.9650932363893</v>
      </c>
      <c r="AX152">
        <v>9765.2049779256977</v>
      </c>
      <c r="AY152">
        <v>10384.670805044861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v>2794.6443592638666</v>
      </c>
      <c r="AU153">
        <v>3004.2426862086568</v>
      </c>
      <c r="AV153">
        <v>3318.6401766258418</v>
      </c>
      <c r="AW153">
        <v>3860.1025212332161</v>
      </c>
      <c r="AX153">
        <v>4375.3650749724911</v>
      </c>
      <c r="AY153">
        <v>4899.3608923344664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v>1578.0702860759709</v>
      </c>
      <c r="AU154">
        <v>1700.547382905748</v>
      </c>
      <c r="AV154">
        <v>1884.263028150413</v>
      </c>
      <c r="AW154">
        <v>2237.5623459286157</v>
      </c>
      <c r="AX154">
        <v>2685.0748151143389</v>
      </c>
      <c r="AY154">
        <v>3321.0135871151033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v>27232.029305875585</v>
      </c>
      <c r="AU155">
        <v>28931.714954628889</v>
      </c>
      <c r="AV155">
        <v>31481.243427758836</v>
      </c>
      <c r="AW155">
        <v>37847.21314324838</v>
      </c>
      <c r="AX155">
        <v>45689.258717780882</v>
      </c>
      <c r="AY155">
        <v>54162.562266074317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v>1022.6494891195752</v>
      </c>
      <c r="AU156">
        <v>1035.4431288188489</v>
      </c>
      <c r="AV156">
        <v>1054.6335883677593</v>
      </c>
      <c r="AW156">
        <v>1085.7760007936231</v>
      </c>
      <c r="AX156">
        <v>1110.1849186409215</v>
      </c>
      <c r="AY156">
        <v>1127.0186550873343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v>551380.12851869932</v>
      </c>
      <c r="AU157">
        <v>565258.15654385579</v>
      </c>
      <c r="AV157">
        <v>586075.19858159043</v>
      </c>
      <c r="AW157">
        <v>616433.38488662033</v>
      </c>
      <c r="AX157">
        <v>642452.53620176599</v>
      </c>
      <c r="AY157">
        <v>668473.83874893433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v>7148.3070817999496</v>
      </c>
      <c r="AU158">
        <v>8045.3327077958611</v>
      </c>
      <c r="AV158">
        <v>9390.8711467897265</v>
      </c>
      <c r="AW158">
        <v>19367.598743093531</v>
      </c>
      <c r="AX158">
        <v>37235.147456112565</v>
      </c>
      <c r="AY158">
        <v>49274.175594478729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v>11766.688512193814</v>
      </c>
      <c r="AU159">
        <v>12166.876162890199</v>
      </c>
      <c r="AV159">
        <v>12767.157638934777</v>
      </c>
      <c r="AW159">
        <v>14040.481982059642</v>
      </c>
      <c r="AX159">
        <v>15682.237945047513</v>
      </c>
      <c r="AY159">
        <v>18216.554192138647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v>16394.194244296374</v>
      </c>
      <c r="AU160">
        <v>17970.326245493579</v>
      </c>
      <c r="AV160">
        <v>20334.524247289391</v>
      </c>
      <c r="AW160">
        <v>26002.876067237445</v>
      </c>
      <c r="AX160">
        <v>33272.674857675687</v>
      </c>
      <c r="AY160">
        <v>41896.274179868502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1122.398923812957</v>
      </c>
      <c r="AU161">
        <v>1144.3211452465471</v>
      </c>
      <c r="AV161">
        <v>1177.2044773969326</v>
      </c>
      <c r="AW161">
        <v>1239.3552834432837</v>
      </c>
      <c r="AX161">
        <v>1310.2133081427842</v>
      </c>
      <c r="AY161">
        <v>1384.3416363352942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v>1176.1768404214886</v>
      </c>
      <c r="AU162">
        <v>1368.9775930866581</v>
      </c>
      <c r="AV162">
        <v>1658.1787220844124</v>
      </c>
      <c r="AW162">
        <v>3085.7345342822582</v>
      </c>
      <c r="AX162">
        <v>6967.1181076731709</v>
      </c>
      <c r="AY162">
        <v>15984.473884237916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v>14486.763763979181</v>
      </c>
      <c r="AU163">
        <v>14802.82812319728</v>
      </c>
      <c r="AV163">
        <v>15276.924662024425</v>
      </c>
      <c r="AW163">
        <v>16293.463773560739</v>
      </c>
      <c r="AX163">
        <v>17308.560985648062</v>
      </c>
      <c r="AY163">
        <v>18552.920210124426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v>2066.5368389522137</v>
      </c>
      <c r="AU164">
        <v>2202.885661316071</v>
      </c>
      <c r="AV164">
        <v>2407.4088948618573</v>
      </c>
      <c r="AW164">
        <v>2854.8034682432644</v>
      </c>
      <c r="AX164">
        <v>3582.20008755045</v>
      </c>
      <c r="AY164">
        <v>5350.4738775817259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2170.6971524458354</v>
      </c>
      <c r="AU165">
        <v>2270.7094274558308</v>
      </c>
      <c r="AV165">
        <v>2420.7278399708252</v>
      </c>
      <c r="AW165">
        <v>2757.283797304824</v>
      </c>
      <c r="AX165">
        <v>3409.7241032019015</v>
      </c>
      <c r="AY165">
        <v>4843.7183052372429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BA3E-643B-494B-BEDE-7864A9FEFBDD}">
  <dimension ref="A1:AY165"/>
  <sheetViews>
    <sheetView showGridLines="0" workbookViewId="0">
      <selection activeCell="K6" sqref="K6"/>
    </sheetView>
  </sheetViews>
  <sheetFormatPr defaultRowHeight="15" x14ac:dyDescent="0.25"/>
  <cols>
    <col min="1" max="1" width="11.85546875" customWidth="1"/>
    <col min="2" max="2" width="13.85546875" customWidth="1"/>
    <col min="3" max="3" width="13.5703125" customWidth="1"/>
    <col min="4" max="4" width="27.28515625" customWidth="1"/>
    <col min="5" max="5" width="13.42578125" customWidth="1"/>
    <col min="7" max="7" width="11.5703125" customWidth="1"/>
    <col min="8" max="9" width="12.85546875" customWidth="1"/>
    <col min="10" max="10" width="14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f>Table5[[#This Row],[FUA_area]]+Table5[[#This Row],[FUA_urban]]</f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1831.675538021801</v>
      </c>
      <c r="AU2">
        <v>1917.35198409337</v>
      </c>
      <c r="AV2">
        <v>2045.8666532007235</v>
      </c>
      <c r="AW2">
        <v>2321.4751159444609</v>
      </c>
      <c r="AX2">
        <v>2708.8660788483639</v>
      </c>
      <c r="AY2">
        <v>3376.6761331474831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f>Table5[[#This Row],[FUA_area]]+Table5[[#This Row],[FUA_urban]]</f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4128.6397900766824</v>
      </c>
      <c r="AU3">
        <v>4318.8619302942188</v>
      </c>
      <c r="AV3">
        <v>4604.1951406205262</v>
      </c>
      <c r="AW3">
        <v>5244.3205102377733</v>
      </c>
      <c r="AX3">
        <v>6485.2540990349753</v>
      </c>
      <c r="AY3">
        <v>9212.6937672500935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f>Table5[[#This Row],[FUA_area]]+Table5[[#This Row],[FUA_urban]]</f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790.84911567180939</v>
      </c>
      <c r="AU4">
        <v>806.2956463718026</v>
      </c>
      <c r="AV4">
        <v>829.46544242179289</v>
      </c>
      <c r="AW4">
        <v>873.25727877982376</v>
      </c>
      <c r="AX4">
        <v>923.18427441652807</v>
      </c>
      <c r="AY4">
        <v>975.41554580631225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f>Table5[[#This Row],[FUA_area]]+Table5[[#This Row],[FUA_urban]]</f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3678.9721789489809</v>
      </c>
      <c r="AU5">
        <v>3889.0821528402262</v>
      </c>
      <c r="AV5">
        <v>4204.2471136770937</v>
      </c>
      <c r="AW5">
        <v>5054.7120124833755</v>
      </c>
      <c r="AX5">
        <v>6669.7441799782</v>
      </c>
      <c r="AY5">
        <v>9777.6741764748822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f>Table5[[#This Row],[FUA_area]]+Table5[[#This Row],[FUA_urban]]</f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v>18421.238736430245</v>
      </c>
      <c r="AU6">
        <v>18828.017741250431</v>
      </c>
      <c r="AV6">
        <v>19438.186248480706</v>
      </c>
      <c r="AW6">
        <v>20455.133760531171</v>
      </c>
      <c r="AX6">
        <v>21470.714407646083</v>
      </c>
      <c r="AY6">
        <v>22338.673641721416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f>Table5[[#This Row],[FUA_area]]+Table5[[#This Row],[FUA_urban]]</f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v>730.894482593112</v>
      </c>
      <c r="AU7">
        <v>779.13351844425733</v>
      </c>
      <c r="AV7">
        <v>851.4920722209755</v>
      </c>
      <c r="AW7">
        <v>972.089661848839</v>
      </c>
      <c r="AX7">
        <v>1076.2421256183575</v>
      </c>
      <c r="AY7">
        <v>1152.9860462906342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f>Table5[[#This Row],[FUA_area]]+Table5[[#This Row],[FUA_urban]]</f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v>31757.540106894598</v>
      </c>
      <c r="AU8">
        <v>33097.67438785392</v>
      </c>
      <c r="AV8">
        <v>35107.875809292913</v>
      </c>
      <c r="AW8">
        <v>38687.42848102119</v>
      </c>
      <c r="AX8">
        <v>42285.820903653308</v>
      </c>
      <c r="AY8">
        <v>46129.13008803525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f>Table5[[#This Row],[FUA_area]]+Table5[[#This Row],[FUA_urban]]</f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v>6045.4176944664969</v>
      </c>
      <c r="AU9">
        <v>6142.9454988280741</v>
      </c>
      <c r="AV9">
        <v>6289.2372053704385</v>
      </c>
      <c r="AW9">
        <v>6530.8797563555954</v>
      </c>
      <c r="AX9">
        <v>6818.2384656352415</v>
      </c>
      <c r="AY9">
        <v>7149.136373290592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f>Table5[[#This Row],[FUA_area]]+Table5[[#This Row],[FUA_urban]]</f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v>1937.224156158419</v>
      </c>
      <c r="AU10">
        <v>2080.6983055052642</v>
      </c>
      <c r="AV10">
        <v>2295.9095295255324</v>
      </c>
      <c r="AW10">
        <v>2686.9089004932866</v>
      </c>
      <c r="AX10">
        <v>3105.3751694215857</v>
      </c>
      <c r="AY10">
        <v>3569.0810349907815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f>Table5[[#This Row],[FUA_area]]+Table5[[#This Row],[FUA_urban]]</f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v>374.47265943507858</v>
      </c>
      <c r="AU11">
        <v>377.46844071055921</v>
      </c>
      <c r="AV11">
        <v>381.96211262378011</v>
      </c>
      <c r="AW11">
        <v>404.43047218988488</v>
      </c>
      <c r="AX11">
        <v>441.87773813339277</v>
      </c>
      <c r="AY11">
        <v>539.24062958651314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f>Table5[[#This Row],[FUA_area]]+Table5[[#This Row],[FUA_urban]]</f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v>14570.203625784787</v>
      </c>
      <c r="AU12">
        <v>14803.846089271759</v>
      </c>
      <c r="AV12">
        <v>15154.309784502218</v>
      </c>
      <c r="AW12">
        <v>15741.23771210234</v>
      </c>
      <c r="AX12">
        <v>16329.576524143809</v>
      </c>
      <c r="AY12">
        <v>16799.401043112179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f>Table5[[#This Row],[FUA_area]]+Table5[[#This Row],[FUA_urban]]</f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v>1131.6546971497037</v>
      </c>
      <c r="AU13">
        <v>1192.22213164504</v>
      </c>
      <c r="AV13">
        <v>1283.0732833880443</v>
      </c>
      <c r="AW13">
        <v>1450.4306681777894</v>
      </c>
      <c r="AX13">
        <v>1633.7268515189385</v>
      </c>
      <c r="AY13">
        <v>1832.9618334114921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f>Table5[[#This Row],[FUA_area]]+Table5[[#This Row],[FUA_urban]]</f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v>1379.6295619531738</v>
      </c>
      <c r="AU14">
        <v>1446.1177336135679</v>
      </c>
      <c r="AV14">
        <v>1545.8499911041586</v>
      </c>
      <c r="AW14">
        <v>1739.7738251136409</v>
      </c>
      <c r="AX14">
        <v>1978.0231068967194</v>
      </c>
      <c r="AY14">
        <v>2260.5978364533935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f>Table5[[#This Row],[FUA_area]]+Table5[[#This Row],[FUA_urban]]</f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v>23466.065280618535</v>
      </c>
      <c r="AU15">
        <v>24194.400963431141</v>
      </c>
      <c r="AV15">
        <v>25286.904487650041</v>
      </c>
      <c r="AW15">
        <v>28018.163298197305</v>
      </c>
      <c r="AX15">
        <v>34049.693171489169</v>
      </c>
      <c r="AY15">
        <v>52872.618474177361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f>Table5[[#This Row],[FUA_area]]+Table5[[#This Row],[FUA_urban]]</f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v>2660.3267910753425</v>
      </c>
      <c r="AU16">
        <v>2710.5347934232909</v>
      </c>
      <c r="AV16">
        <v>2785.8467969452145</v>
      </c>
      <c r="AW16">
        <v>2909.6234694002269</v>
      </c>
      <c r="AX16">
        <v>3057.8068096632701</v>
      </c>
      <c r="AY16">
        <v>3205.9901499263133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f>Table5[[#This Row],[FUA_area]]+Table5[[#This Row],[FUA_urban]]</f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v>667.24694623349694</v>
      </c>
      <c r="AU17">
        <v>667.24694623349694</v>
      </c>
      <c r="AV17">
        <v>667.24694623349694</v>
      </c>
      <c r="AW17">
        <v>667.24694623349694</v>
      </c>
      <c r="AX17">
        <v>667.24694623349694</v>
      </c>
      <c r="AY17">
        <v>667.24694623349694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f>Table5[[#This Row],[FUA_area]]+Table5[[#This Row],[FUA_urban]]</f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v>204.12367908064721</v>
      </c>
      <c r="AU18">
        <v>204.12367908064721</v>
      </c>
      <c r="AV18">
        <v>204.12367908064721</v>
      </c>
      <c r="AW18">
        <v>204.12367908064721</v>
      </c>
      <c r="AX18">
        <v>204.12367908064721</v>
      </c>
      <c r="AY18">
        <v>204.12367908064721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f>Table5[[#This Row],[FUA_area]]+Table5[[#This Row],[FUA_urban]]</f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v>768.15401774983002</v>
      </c>
      <c r="AU19">
        <v>790.81653765600004</v>
      </c>
      <c r="AV19">
        <v>824.81031751525484</v>
      </c>
      <c r="AW19">
        <v>888.05455911386878</v>
      </c>
      <c r="AX19">
        <v>944.71085887929348</v>
      </c>
      <c r="AY19">
        <v>988.19127497834063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f>Table5[[#This Row],[FUA_area]]+Table5[[#This Row],[FUA_urban]]</f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v>3227.0117104466462</v>
      </c>
      <c r="AU20">
        <v>3844.6981175575238</v>
      </c>
      <c r="AV20">
        <v>4771.2277282238401</v>
      </c>
      <c r="AW20">
        <v>8875.5765818812379</v>
      </c>
      <c r="AX20">
        <v>12196.80737611075</v>
      </c>
      <c r="AY20">
        <v>13682.505404878963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f>Table5[[#This Row],[FUA_area]]+Table5[[#This Row],[FUA_urban]]</f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v>2768.1701888526964</v>
      </c>
      <c r="AU21">
        <v>2854.2507675567899</v>
      </c>
      <c r="AV21">
        <v>2983.3716356129307</v>
      </c>
      <c r="AW21">
        <v>3241.6133717252114</v>
      </c>
      <c r="AX21">
        <v>3520.2426133200411</v>
      </c>
      <c r="AY21">
        <v>3887.2177120059141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f>Table5[[#This Row],[FUA_area]]+Table5[[#This Row],[FUA_urban]]</f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v>71483.830729216323</v>
      </c>
      <c r="AU22">
        <v>73053.988026662948</v>
      </c>
      <c r="AV22">
        <v>75409.2239728329</v>
      </c>
      <c r="AW22">
        <v>79896.988052150249</v>
      </c>
      <c r="AX22">
        <v>83829.102859540144</v>
      </c>
      <c r="AY22">
        <v>88325.829023888597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f>Table5[[#This Row],[FUA_area]]+Table5[[#This Row],[FUA_urban]]</f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v>109.84610990046545</v>
      </c>
      <c r="AU23">
        <v>115.2331988151243</v>
      </c>
      <c r="AV23">
        <v>123.31383218711257</v>
      </c>
      <c r="AW23">
        <v>134.67722286647106</v>
      </c>
      <c r="AX23">
        <v>144.35714825999864</v>
      </c>
      <c r="AY23">
        <v>151.93274204623765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f>Table5[[#This Row],[FUA_area]]+Table5[[#This Row],[FUA_urban]]</f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v>532.1707092725369</v>
      </c>
      <c r="AU24">
        <v>548.48245515062229</v>
      </c>
      <c r="AV24">
        <v>572.95007396775043</v>
      </c>
      <c r="AW24">
        <v>621.88531160200671</v>
      </c>
      <c r="AX24">
        <v>678.97642217530574</v>
      </c>
      <c r="AY24">
        <v>744.22340568764741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f>Table5[[#This Row],[FUA_area]]+Table5[[#This Row],[FUA_urban]]</f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v>194.48987104293579</v>
      </c>
      <c r="AU25">
        <v>204.63716866256721</v>
      </c>
      <c r="AV25">
        <v>219.85811509201434</v>
      </c>
      <c r="AW25">
        <v>236.7702777914001</v>
      </c>
      <c r="AX25">
        <v>253.68244049078581</v>
      </c>
      <c r="AY25">
        <v>270.59460319017154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f>Table5[[#This Row],[FUA_area]]+Table5[[#This Row],[FUA_urban]]</f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v>46204.238512166186</v>
      </c>
      <c r="AU26">
        <v>47487.542354983307</v>
      </c>
      <c r="AV26">
        <v>49412.498119208991</v>
      </c>
      <c r="AW26">
        <v>52627.382939689152</v>
      </c>
      <c r="AX26">
        <v>55482.849931192388</v>
      </c>
      <c r="AY26">
        <v>58701.047358391232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f>Table5[[#This Row],[FUA_area]]+Table5[[#This Row],[FUA_urban]]</f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v>8123.4268969611558</v>
      </c>
      <c r="AU27">
        <v>8253.903560634355</v>
      </c>
      <c r="AV27">
        <v>8449.6185561441525</v>
      </c>
      <c r="AW27">
        <v>8777.9011875014003</v>
      </c>
      <c r="AX27">
        <v>9171.0039562603943</v>
      </c>
      <c r="AY27">
        <v>9566.1976971936401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f>Table5[[#This Row],[FUA_area]]+Table5[[#This Row],[FUA_urban]]</f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v>8565.2820929422905</v>
      </c>
      <c r="AU28">
        <v>8755.9799572325901</v>
      </c>
      <c r="AV28">
        <v>9042.0267536680385</v>
      </c>
      <c r="AW28">
        <v>9518.7714143937865</v>
      </c>
      <c r="AX28">
        <v>9995.5160751195326</v>
      </c>
      <c r="AY28">
        <v>10403.167306754591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f>Table5[[#This Row],[FUA_area]]+Table5[[#This Row],[FUA_urban]]</f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v>353981.99297207361</v>
      </c>
      <c r="AU29">
        <v>382823.8913164268</v>
      </c>
      <c r="AV29">
        <v>426086.73883295647</v>
      </c>
      <c r="AW29">
        <v>509105.07575998211</v>
      </c>
      <c r="AX29">
        <v>594949.93649852858</v>
      </c>
      <c r="AY29">
        <v>667622.45570146362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f>Table5[[#This Row],[FUA_area]]+Table5[[#This Row],[FUA_urban]]</f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v>2406.6212320687737</v>
      </c>
      <c r="AU30">
        <v>2466.786762870493</v>
      </c>
      <c r="AV30">
        <v>2557.0350590730723</v>
      </c>
      <c r="AW30">
        <v>2724.6390377350044</v>
      </c>
      <c r="AX30">
        <v>2930.9208576266137</v>
      </c>
      <c r="AY30">
        <v>3326.2943457521978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f>Table5[[#This Row],[FUA_area]]+Table5[[#This Row],[FUA_urban]]</f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v>2329.3877760607074</v>
      </c>
      <c r="AU31">
        <v>2406.120549860354</v>
      </c>
      <c r="AV31">
        <v>2521.2197105598243</v>
      </c>
      <c r="AW31">
        <v>2804.4001852966162</v>
      </c>
      <c r="AX31">
        <v>3306.8171566038277</v>
      </c>
      <c r="AY31">
        <v>4521.7527417649026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f>Table5[[#This Row],[FUA_area]]+Table5[[#This Row],[FUA_urban]]</f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3960.3574929408337</v>
      </c>
      <c r="AU32">
        <v>4142.8262275939414</v>
      </c>
      <c r="AV32">
        <v>4416.5293295736055</v>
      </c>
      <c r="AW32">
        <v>5030.563353582781</v>
      </c>
      <c r="AX32">
        <v>6220.9168081145162</v>
      </c>
      <c r="AY32">
        <v>8837.1867361721506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f>Table5[[#This Row],[FUA_area]]+Table5[[#This Row],[FUA_urban]]</f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v>413.02156905666982</v>
      </c>
      <c r="AU33">
        <v>429.1394839466862</v>
      </c>
      <c r="AV33">
        <v>453.31635628171074</v>
      </c>
      <c r="AW33">
        <v>527.86171264803659</v>
      </c>
      <c r="AX33">
        <v>695.08507963195655</v>
      </c>
      <c r="AY33">
        <v>1120.1950848561387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f>Table5[[#This Row],[FUA_area]]+Table5[[#This Row],[FUA_urban]]</f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v>7035.1605092134923</v>
      </c>
      <c r="AU34">
        <v>7273.2353214898849</v>
      </c>
      <c r="AV34">
        <v>7630.3475399044737</v>
      </c>
      <c r="AW34">
        <v>8173.237802208384</v>
      </c>
      <c r="AX34">
        <v>8877.999014281806</v>
      </c>
      <c r="AY34">
        <v>10078.334364880355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f>Table5[[#This Row],[FUA_area]]+Table5[[#This Row],[FUA_urban]]</f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v>1928.0973038955487</v>
      </c>
      <c r="AU35">
        <v>1998.3281669042231</v>
      </c>
      <c r="AV35">
        <v>2103.6744614172344</v>
      </c>
      <c r="AW35">
        <v>2249.9887593519725</v>
      </c>
      <c r="AX35">
        <v>2380.04591307174</v>
      </c>
      <c r="AY35">
        <v>2510.103066791507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f>Table5[[#This Row],[FUA_area]]+Table5[[#This Row],[FUA_urban]]</f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2296.3318872330128</v>
      </c>
      <c r="AU36">
        <v>2365.6029227453951</v>
      </c>
      <c r="AV36">
        <v>2469.5094760139673</v>
      </c>
      <c r="AW36">
        <v>2705.4131407480954</v>
      </c>
      <c r="AX36">
        <v>3201.0994651387819</v>
      </c>
      <c r="AY36">
        <v>4064.7672091499912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f>Table5[[#This Row],[FUA_area]]+Table5[[#This Row],[FUA_urban]]</f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v>473.74286883154372</v>
      </c>
      <c r="AU37">
        <v>492.87656139794387</v>
      </c>
      <c r="AV37">
        <v>521.57710024754419</v>
      </c>
      <c r="AW37">
        <v>598.84778176569898</v>
      </c>
      <c r="AX37">
        <v>698.19580086046926</v>
      </c>
      <c r="AY37">
        <v>819.62115753185526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f>Table5[[#This Row],[FUA_area]]+Table5[[#This Row],[FUA_urban]]</f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v>10516.845788940902</v>
      </c>
      <c r="AU38">
        <v>10683.08544783431</v>
      </c>
      <c r="AV38">
        <v>10932.444936174423</v>
      </c>
      <c r="AW38">
        <v>11181.804424514537</v>
      </c>
      <c r="AX38">
        <v>11599.590935680864</v>
      </c>
      <c r="AY38">
        <v>11929.882889534874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f>Table5[[#This Row],[FUA_area]]+Table5[[#This Row],[FUA_urban]]</f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v>65136.959622984825</v>
      </c>
      <c r="AU39">
        <v>65554.872029088729</v>
      </c>
      <c r="AV39">
        <v>66181.740638244577</v>
      </c>
      <c r="AW39">
        <v>67747.942976518942</v>
      </c>
      <c r="AX39">
        <v>69318.02205325439</v>
      </c>
      <c r="AY39">
        <v>70886.162760759296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f>Table5[[#This Row],[FUA_area]]+Table5[[#This Row],[FUA_urban]]</f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v>51.66440742196265</v>
      </c>
      <c r="AU40">
        <v>52.672493420439963</v>
      </c>
      <c r="AV40">
        <v>54.184622418155953</v>
      </c>
      <c r="AW40">
        <v>56.70483741434925</v>
      </c>
      <c r="AX40">
        <v>61.745267406735842</v>
      </c>
      <c r="AY40">
        <v>71.826127391509047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f>Table5[[#This Row],[FUA_area]]+Table5[[#This Row],[FUA_urban]]</f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v>6846.7057814128884</v>
      </c>
      <c r="AU41">
        <v>6975.4191525351616</v>
      </c>
      <c r="AV41">
        <v>7168.4892092185719</v>
      </c>
      <c r="AW41">
        <v>7497.3189894579555</v>
      </c>
      <c r="AX41">
        <v>7877.8220208778139</v>
      </c>
      <c r="AY41">
        <v>8314.6958717672806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f>Table5[[#This Row],[FUA_area]]+Table5[[#This Row],[FUA_urban]]</f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v>2885.4708927645133</v>
      </c>
      <c r="AU42">
        <v>2983.0677023727249</v>
      </c>
      <c r="AV42">
        <v>3129.4629167850421</v>
      </c>
      <c r="AW42">
        <v>3346.9340686294263</v>
      </c>
      <c r="AX42">
        <v>3590.9260926499551</v>
      </c>
      <c r="AY42">
        <v>3856.1348144113995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f>Table5[[#This Row],[FUA_area]]+Table5[[#This Row],[FUA_urban]]</f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v>8059.9258704559306</v>
      </c>
      <c r="AU43">
        <v>8264.2620192843897</v>
      </c>
      <c r="AV43">
        <v>8570.766242527081</v>
      </c>
      <c r="AW43">
        <v>9400.6900902462767</v>
      </c>
      <c r="AX43">
        <v>10612.593675640299</v>
      </c>
      <c r="AY43">
        <v>12651.352998410744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f>Table5[[#This Row],[FUA_area]]+Table5[[#This Row],[FUA_urban]]</f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v>5243.5604321906012</v>
      </c>
      <c r="AU44">
        <v>5408.660626016178</v>
      </c>
      <c r="AV44">
        <v>5656.3109167545435</v>
      </c>
      <c r="AW44">
        <v>6069.061401318485</v>
      </c>
      <c r="AX44">
        <v>6604.0077530230665</v>
      </c>
      <c r="AY44">
        <v>7263.8654355825265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f>Table5[[#This Row],[FUA_area]]+Table5[[#This Row],[FUA_urban]]</f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v>18211.985135753384</v>
      </c>
      <c r="AU45">
        <v>18999.88123282346</v>
      </c>
      <c r="AV45">
        <v>20181.725378428571</v>
      </c>
      <c r="AW45">
        <v>22578.102464392163</v>
      </c>
      <c r="AX45">
        <v>26101.762251776941</v>
      </c>
      <c r="AY45">
        <v>30330.875072993527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f>Table5[[#This Row],[FUA_area]]+Table5[[#This Row],[FUA_urban]]</f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v>109.1589092299342</v>
      </c>
      <c r="AU46">
        <v>123.28535630674919</v>
      </c>
      <c r="AV46">
        <v>144.4750269219717</v>
      </c>
      <c r="AW46">
        <v>195.84392538311721</v>
      </c>
      <c r="AX46">
        <v>263.26560461337073</v>
      </c>
      <c r="AY46">
        <v>353.16117692037534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f>Table5[[#This Row],[FUA_area]]+Table5[[#This Row],[FUA_urban]]</f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v>27325.507617688392</v>
      </c>
      <c r="AU47">
        <v>27843.796788987151</v>
      </c>
      <c r="AV47">
        <v>28621.230545935287</v>
      </c>
      <c r="AW47">
        <v>29915.596696246845</v>
      </c>
      <c r="AX47">
        <v>31215.389958299744</v>
      </c>
      <c r="AY47">
        <v>32296.741972763382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f>Table5[[#This Row],[FUA_area]]+Table5[[#This Row],[FUA_urban]]</f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v>922.54780209332944</v>
      </c>
      <c r="AU48">
        <v>945.99208617292879</v>
      </c>
      <c r="AV48">
        <v>981.15851229232794</v>
      </c>
      <c r="AW48">
        <v>1047.3810030366512</v>
      </c>
      <c r="AX48">
        <v>1112.8423157264417</v>
      </c>
      <c r="AY48">
        <v>1166.8859575982458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f>Table5[[#This Row],[FUA_area]]+Table5[[#This Row],[FUA_urban]]</f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v>3081.2848448840568</v>
      </c>
      <c r="AU49">
        <v>3232.3671985686942</v>
      </c>
      <c r="AV49">
        <v>3458.9907290956503</v>
      </c>
      <c r="AW49">
        <v>3975.8514127536214</v>
      </c>
      <c r="AX49">
        <v>4731.2631811768097</v>
      </c>
      <c r="AY49">
        <v>5983.6563761942007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f>Table5[[#This Row],[FUA_area]]+Table5[[#This Row],[FUA_urban]]</f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v>6129.018668963884</v>
      </c>
      <c r="AU50">
        <v>6129.018668963884</v>
      </c>
      <c r="AV50">
        <v>6129.018668963884</v>
      </c>
      <c r="AW50">
        <v>6129.018668963884</v>
      </c>
      <c r="AX50">
        <v>6129.018668963884</v>
      </c>
      <c r="AY50">
        <v>6129.018668963884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f>Table5[[#This Row],[FUA_area]]+Table5[[#This Row],[FUA_urban]]</f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v>75363.030608623521</v>
      </c>
      <c r="AU51">
        <v>76796.60859131701</v>
      </c>
      <c r="AV51">
        <v>78946.97556535725</v>
      </c>
      <c r="AW51">
        <v>83132.039625380523</v>
      </c>
      <c r="AX51">
        <v>87922.776721293994</v>
      </c>
      <c r="AY51">
        <v>92736.283480210841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f>Table5[[#This Row],[FUA_area]]+Table5[[#This Row],[FUA_urban]]</f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v>259.88175128624982</v>
      </c>
      <c r="AU52">
        <v>265.21265900494211</v>
      </c>
      <c r="AV52">
        <v>273.2090205829806</v>
      </c>
      <c r="AW52">
        <v>286.53628987971138</v>
      </c>
      <c r="AX52">
        <v>303.19537650062483</v>
      </c>
      <c r="AY52">
        <v>321.52037178362957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f>Table5[[#This Row],[FUA_area]]+Table5[[#This Row],[FUA_urban]]</f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v>85219.250821918802</v>
      </c>
      <c r="AU53">
        <v>87108.082115703233</v>
      </c>
      <c r="AV53">
        <v>89941.329056379909</v>
      </c>
      <c r="AW53">
        <v>93995.238502631473</v>
      </c>
      <c r="AX53">
        <v>99396.049458712543</v>
      </c>
      <c r="AY53">
        <v>104120.76867652625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f>Table5[[#This Row],[FUA_area]]+Table5[[#This Row],[FUA_urban]]</f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v>396.74444017983603</v>
      </c>
      <c r="AU54">
        <v>501.60744012447429</v>
      </c>
      <c r="AV54">
        <v>658.90194004143189</v>
      </c>
      <c r="AW54">
        <v>945.29784621626516</v>
      </c>
      <c r="AX54">
        <v>1139.8429495198825</v>
      </c>
      <c r="AY54">
        <v>1231.6937523910985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f>Table5[[#This Row],[FUA_area]]+Table5[[#This Row],[FUA_urban]]</f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v>4650.3932281626167</v>
      </c>
      <c r="AU55">
        <v>4836.2302678279048</v>
      </c>
      <c r="AV55">
        <v>5114.9858273258369</v>
      </c>
      <c r="AW55">
        <v>5726.997231992771</v>
      </c>
      <c r="AX55">
        <v>6700.8547956233679</v>
      </c>
      <c r="AY55">
        <v>8787.0542553274427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f>Table5[[#This Row],[FUA_area]]+Table5[[#This Row],[FUA_urban]]</f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v>1281.924242606824</v>
      </c>
      <c r="AU56">
        <v>1331.5471165141851</v>
      </c>
      <c r="AV56">
        <v>1405.9814273752265</v>
      </c>
      <c r="AW56">
        <v>1571.3910070664292</v>
      </c>
      <c r="AX56">
        <v>1798.8291791418337</v>
      </c>
      <c r="AY56">
        <v>2088.2959436014389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f>Table5[[#This Row],[FUA_area]]+Table5[[#This Row],[FUA_urban]]</f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v>229.31831755263403</v>
      </c>
      <c r="AU57">
        <v>246.51719136908159</v>
      </c>
      <c r="AV57">
        <v>272.31550209375291</v>
      </c>
      <c r="AW57">
        <v>322.47888405839166</v>
      </c>
      <c r="AX57">
        <v>379.80846344655015</v>
      </c>
      <c r="AY57">
        <v>437.13804283470864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f>Table5[[#This Row],[FUA_area]]+Table5[[#This Row],[FUA_urban]]</f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101.65898315866707</v>
      </c>
      <c r="AU58">
        <v>106.3427992172293</v>
      </c>
      <c r="AV58">
        <v>113.36852330507271</v>
      </c>
      <c r="AW58">
        <v>129.1302505271384</v>
      </c>
      <c r="AX58">
        <v>159.68560367462527</v>
      </c>
      <c r="AY58">
        <v>226.84301080996934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f>Table5[[#This Row],[FUA_area]]+Table5[[#This Row],[FUA_urban]]</f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v>5197.6499286518501</v>
      </c>
      <c r="AU59">
        <v>5280.2336387388677</v>
      </c>
      <c r="AV59">
        <v>5404.1092038693923</v>
      </c>
      <c r="AW59">
        <v>5652.7645353357757</v>
      </c>
      <c r="AX59">
        <v>5901.419866802159</v>
      </c>
      <c r="AY59">
        <v>6192.2712545173827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f>Table5[[#This Row],[FUA_area]]+Table5[[#This Row],[FUA_urban]]</f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v>3437.7210156776282</v>
      </c>
      <c r="AU60">
        <v>3602.91020734006</v>
      </c>
      <c r="AV60">
        <v>3850.6939948337072</v>
      </c>
      <c r="AW60">
        <v>4263.6669739897852</v>
      </c>
      <c r="AX60">
        <v>4732.4471124912807</v>
      </c>
      <c r="AY60">
        <v>5251.4536944036499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f>Table5[[#This Row],[FUA_area]]+Table5[[#This Row],[FUA_urban]]</f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v>168.54024812413414</v>
      </c>
      <c r="AU61">
        <v>174.86050742878919</v>
      </c>
      <c r="AV61">
        <v>184.34089638577174</v>
      </c>
      <c r="AW61">
        <v>215.94219290904687</v>
      </c>
      <c r="AX61">
        <v>289.67855146335557</v>
      </c>
      <c r="AY61">
        <v>437.15126857197299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f>Table5[[#This Row],[FUA_area]]+Table5[[#This Row],[FUA_urban]]</f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v>2590.988805440008</v>
      </c>
      <c r="AU62">
        <v>2694.1797015874022</v>
      </c>
      <c r="AV62">
        <v>2848.9660458084936</v>
      </c>
      <c r="AW62">
        <v>3123.7678888097066</v>
      </c>
      <c r="AX62">
        <v>3421.0025353212227</v>
      </c>
      <c r="AY62">
        <v>3757.4945879757693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f>Table5[[#This Row],[FUA_area]]+Table5[[#This Row],[FUA_urban]]</f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v>2816.1928630294419</v>
      </c>
      <c r="AU63">
        <v>2860.115137039993</v>
      </c>
      <c r="AV63">
        <v>2925.9985480558198</v>
      </c>
      <c r="AW63">
        <v>3035.8042330821968</v>
      </c>
      <c r="AX63">
        <v>3145.6099181085742</v>
      </c>
      <c r="AY63">
        <v>3255.4156031349512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f>Table5[[#This Row],[FUA_area]]+Table5[[#This Row],[FUA_urban]]</f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v>874.95518615177934</v>
      </c>
      <c r="AU64">
        <v>933.98830714515236</v>
      </c>
      <c r="AV64">
        <v>1022.5379886352121</v>
      </c>
      <c r="AW64">
        <v>1517.9945398295931</v>
      </c>
      <c r="AX64">
        <v>3900.4026370621491</v>
      </c>
      <c r="AY64">
        <v>8728.4686040201595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f>Table5[[#This Row],[FUA_area]]+Table5[[#This Row],[FUA_urban]]</f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v>9319.9866572400406</v>
      </c>
      <c r="AU65">
        <v>9380.0438504967187</v>
      </c>
      <c r="AV65">
        <v>9470.129640381736</v>
      </c>
      <c r="AW65">
        <v>9620.2726235234313</v>
      </c>
      <c r="AX65">
        <v>9770.4156066651267</v>
      </c>
      <c r="AY65">
        <v>9923.3390154205554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f>Table5[[#This Row],[FUA_area]]+Table5[[#This Row],[FUA_urban]]</f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v>63521.004072854943</v>
      </c>
      <c r="AU66">
        <v>66854.11170415036</v>
      </c>
      <c r="AV66">
        <v>71853.773151093468</v>
      </c>
      <c r="AW66">
        <v>83654.893756661651</v>
      </c>
      <c r="AX66">
        <v>99360.636521927983</v>
      </c>
      <c r="AY66">
        <v>121959.45527861675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f>Table5[[#This Row],[FUA_area]]+Table5[[#This Row],[FUA_urban]]</f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v>117607.26746782308</v>
      </c>
      <c r="AU67">
        <v>128270.3263849057</v>
      </c>
      <c r="AV67">
        <v>144264.91476052965</v>
      </c>
      <c r="AW67">
        <v>184303.41637474686</v>
      </c>
      <c r="AX67">
        <v>243194.96400806229</v>
      </c>
      <c r="AY67">
        <v>322977.72479767562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f>Table5[[#This Row],[FUA_area]]+Table5[[#This Row],[FUA_urban]]</f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v>4073.1351391730477</v>
      </c>
      <c r="AU68">
        <v>4200.6321670751404</v>
      </c>
      <c r="AV68">
        <v>4391.8777089282794</v>
      </c>
      <c r="AW68">
        <v>4741.6483164472938</v>
      </c>
      <c r="AX68">
        <v>5060.3908862025255</v>
      </c>
      <c r="AY68">
        <v>5379.1334559577572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f>Table5[[#This Row],[FUA_area]]+Table5[[#This Row],[FUA_urban]]</f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v>18281.657041787767</v>
      </c>
      <c r="AU69">
        <v>18738.304805966789</v>
      </c>
      <c r="AV69">
        <v>19423.276452235325</v>
      </c>
      <c r="AW69">
        <v>20706.614134324645</v>
      </c>
      <c r="AX69">
        <v>21990.935971078146</v>
      </c>
      <c r="AY69">
        <v>23277.226117160004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f>Table5[[#This Row],[FUA_area]]+Table5[[#This Row],[FUA_urban]]</f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v>8112.2478201187369</v>
      </c>
      <c r="AU70">
        <v>8875.9895357473924</v>
      </c>
      <c r="AV70">
        <v>10021.602109190375</v>
      </c>
      <c r="AW70">
        <v>13775.662380990309</v>
      </c>
      <c r="AX70">
        <v>21106.557395131684</v>
      </c>
      <c r="AY70">
        <v>33308.367904452898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f>Table5[[#This Row],[FUA_area]]+Table5[[#This Row],[FUA_urban]]</f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v>234.97933179862829</v>
      </c>
      <c r="AU71">
        <v>234.97933179862829</v>
      </c>
      <c r="AV71">
        <v>234.97933179862829</v>
      </c>
      <c r="AW71">
        <v>234.97933179862829</v>
      </c>
      <c r="AX71">
        <v>234.97933179862829</v>
      </c>
      <c r="AY71">
        <v>234.97933179862829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f>Table5[[#This Row],[FUA_area]]+Table5[[#This Row],[FUA_urban]]</f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v>3011.7768184291172</v>
      </c>
      <c r="AU72">
        <v>3166.685622724965</v>
      </c>
      <c r="AV72">
        <v>3399.048829168737</v>
      </c>
      <c r="AW72">
        <v>3788.3537638492467</v>
      </c>
      <c r="AX72">
        <v>4185.790394293319</v>
      </c>
      <c r="AY72">
        <v>4610.671497939411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f>Table5[[#This Row],[FUA_area]]+Table5[[#This Row],[FUA_urban]]</f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v>31806.638904829459</v>
      </c>
      <c r="AU73">
        <v>32213.77113683768</v>
      </c>
      <c r="AV73">
        <v>32824.469484850015</v>
      </c>
      <c r="AW73">
        <v>33840.788809369427</v>
      </c>
      <c r="AX73">
        <v>34857.10813388884</v>
      </c>
      <c r="AY73">
        <v>35873.427458408252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f>Table5[[#This Row],[FUA_area]]+Table5[[#This Row],[FUA_urban]]</f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v>976.40739302973384</v>
      </c>
      <c r="AU74">
        <v>994.57311196982187</v>
      </c>
      <c r="AV74">
        <v>1021.8216903799541</v>
      </c>
      <c r="AW74">
        <v>1067.2359877301742</v>
      </c>
      <c r="AX74">
        <v>1103.5674256103503</v>
      </c>
      <c r="AY74">
        <v>1148.9817229605706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f>Table5[[#This Row],[FUA_area]]+Table5[[#This Row],[FUA_urban]]</f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v>2170.5225877901853</v>
      </c>
      <c r="AU75">
        <v>2313.1649519036928</v>
      </c>
      <c r="AV75">
        <v>2527.1284980739547</v>
      </c>
      <c r="AW75">
        <v>2942.7007399794488</v>
      </c>
      <c r="AX75">
        <v>3421.4511943367925</v>
      </c>
      <c r="AY75">
        <v>3929.6848145049989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f>Table5[[#This Row],[FUA_area]]+Table5[[#This Row],[FUA_urban]]</f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v>78320.445943524217</v>
      </c>
      <c r="AU76">
        <v>78320.445943524217</v>
      </c>
      <c r="AV76">
        <v>78320.445943524217</v>
      </c>
      <c r="AW76">
        <v>78320.445943524217</v>
      </c>
      <c r="AX76">
        <v>78320.445943524217</v>
      </c>
      <c r="AY76">
        <v>78320.445943524217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f>Table5[[#This Row],[FUA_area]]+Table5[[#This Row],[FUA_urban]]</f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v>4772.3417508864013</v>
      </c>
      <c r="AU77">
        <v>5051.7966055238776</v>
      </c>
      <c r="AV77">
        <v>5470.9788874800934</v>
      </c>
      <c r="AW77">
        <v>6425.0809796565372</v>
      </c>
      <c r="AX77">
        <v>7607.1786773530739</v>
      </c>
      <c r="AY77">
        <v>9009.9468205529902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f>Table5[[#This Row],[FUA_area]]+Table5[[#This Row],[FUA_urban]]</f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v>2319.4814020700737</v>
      </c>
      <c r="AU78">
        <v>2445.5401739217082</v>
      </c>
      <c r="AV78">
        <v>2634.6283316991598</v>
      </c>
      <c r="AW78">
        <v>3088.4399103650439</v>
      </c>
      <c r="AX78">
        <v>3964.5483747339031</v>
      </c>
      <c r="AY78">
        <v>6813.4766185808412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f>Table5[[#This Row],[FUA_area]]+Table5[[#This Row],[FUA_urban]]</f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v>544.29065354086845</v>
      </c>
      <c r="AU79">
        <v>834.35466797810409</v>
      </c>
      <c r="AV79">
        <v>1269.4506896339576</v>
      </c>
      <c r="AW79">
        <v>3205.1737094137698</v>
      </c>
      <c r="AX79">
        <v>4244.9623458535116</v>
      </c>
      <c r="AY79">
        <v>4499.0207343687243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f>Table5[[#This Row],[FUA_area]]+Table5[[#This Row],[FUA_urban]]</f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v>1011.5415514110299</v>
      </c>
      <c r="AU80">
        <v>1148.9585168857359</v>
      </c>
      <c r="AV80">
        <v>1355.0839650977946</v>
      </c>
      <c r="AW80">
        <v>2481.1396544044128</v>
      </c>
      <c r="AX80">
        <v>6011.9922395183848</v>
      </c>
      <c r="AY80">
        <v>12482.041030619122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f>Table5[[#This Row],[FUA_area]]+Table5[[#This Row],[FUA_urban]]</f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v>21396.55902819704</v>
      </c>
      <c r="AU81">
        <v>21601.814567150232</v>
      </c>
      <c r="AV81">
        <v>21909.697875580019</v>
      </c>
      <c r="AW81">
        <v>22251.297511734112</v>
      </c>
      <c r="AX81">
        <v>22421.357936659304</v>
      </c>
      <c r="AY81">
        <v>22421.357936659304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f>Table5[[#This Row],[FUA_area]]+Table5[[#This Row],[FUA_urban]]</f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1040.589147905388</v>
      </c>
      <c r="AU82">
        <v>1142.9642614857239</v>
      </c>
      <c r="AV82">
        <v>1296.5269318562277</v>
      </c>
      <c r="AW82">
        <v>1546.403031450337</v>
      </c>
      <c r="AX82">
        <v>1751.1532586110091</v>
      </c>
      <c r="AY82">
        <v>1887.2043963954027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f>Table5[[#This Row],[FUA_area]]+Table5[[#This Row],[FUA_urban]]</f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v>352.39591579626676</v>
      </c>
      <c r="AU83">
        <v>366.97781576025022</v>
      </c>
      <c r="AV83">
        <v>388.85066570622541</v>
      </c>
      <c r="AW83">
        <v>432.59636559817579</v>
      </c>
      <c r="AX83">
        <v>488.49364879344563</v>
      </c>
      <c r="AY83">
        <v>558.97283195269904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f>Table5[[#This Row],[FUA_area]]+Table5[[#This Row],[FUA_urban]]</f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v>1408.8078330447136</v>
      </c>
      <c r="AU84">
        <v>1462.2251300476589</v>
      </c>
      <c r="AV84">
        <v>1542.351075552077</v>
      </c>
      <c r="AW84">
        <v>1670.024285421754</v>
      </c>
      <c r="AX84">
        <v>1793.2949708131666</v>
      </c>
      <c r="AY84">
        <v>1888.683001175569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f>Table5[[#This Row],[FUA_area]]+Table5[[#This Row],[FUA_urban]]</f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v>535.13378915189662</v>
      </c>
      <c r="AU85">
        <v>560.31655570022122</v>
      </c>
      <c r="AV85">
        <v>598.09070552270805</v>
      </c>
      <c r="AW85">
        <v>818.43991282054787</v>
      </c>
      <c r="AX85">
        <v>2896.0181530573232</v>
      </c>
      <c r="AY85">
        <v>9254.6667065092715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f>Table5[[#This Row],[FUA_area]]+Table5[[#This Row],[FUA_urban]]</f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v>3167.9575680502489</v>
      </c>
      <c r="AU86">
        <v>3273.7318584532582</v>
      </c>
      <c r="AV86">
        <v>3432.3932940577711</v>
      </c>
      <c r="AW86">
        <v>3720.5491682453699</v>
      </c>
      <c r="AX86">
        <v>4058.780910813131</v>
      </c>
      <c r="AY86">
        <v>4419.8542775542992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f>Table5[[#This Row],[FUA_area]]+Table5[[#This Row],[FUA_urban]]</f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v>4830.3903522145138</v>
      </c>
      <c r="AU87">
        <v>4931.8018623715043</v>
      </c>
      <c r="AV87">
        <v>5083.9191276069878</v>
      </c>
      <c r="AW87">
        <v>5337.4479029994636</v>
      </c>
      <c r="AX87">
        <v>5631.0075376644336</v>
      </c>
      <c r="AY87">
        <v>6004.6288908743963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f>Table5[[#This Row],[FUA_area]]+Table5[[#This Row],[FUA_urban]]</f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f>Table5[[#This Row],[FUA_area]]+Table5[[#This Row],[FUA_urban]]</f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v>2728.5278856742589</v>
      </c>
      <c r="AU89">
        <v>2788.3943202966479</v>
      </c>
      <c r="AV89">
        <v>2878.1939722302309</v>
      </c>
      <c r="AW89">
        <v>3027.8600587862034</v>
      </c>
      <c r="AX89">
        <v>3177.5261453421754</v>
      </c>
      <c r="AY89">
        <v>3327.1922318981469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f>Table5[[#This Row],[FUA_area]]+Table5[[#This Row],[FUA_urban]]</f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v>1024.1969714261959</v>
      </c>
      <c r="AU90">
        <v>1056.1199939122071</v>
      </c>
      <c r="AV90">
        <v>1104.0045276412241</v>
      </c>
      <c r="AW90">
        <v>1206.4242247838436</v>
      </c>
      <c r="AX90">
        <v>1316.8246775479658</v>
      </c>
      <c r="AY90">
        <v>1441.8565156181771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f>Table5[[#This Row],[FUA_area]]+Table5[[#This Row],[FUA_urban]]</f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v>1858.8497556055765</v>
      </c>
      <c r="AU91">
        <v>1882.0538502481429</v>
      </c>
      <c r="AV91">
        <v>1916.8599922119922</v>
      </c>
      <c r="AW91">
        <v>1977.3924130186865</v>
      </c>
      <c r="AX91">
        <v>2053.0579390270545</v>
      </c>
      <c r="AY91">
        <v>2128.723465035423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f>Table5[[#This Row],[FUA_area]]+Table5[[#This Row],[FUA_urban]]</f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v>5510.6141172091793</v>
      </c>
      <c r="AU92">
        <v>5668.0104888349961</v>
      </c>
      <c r="AV92">
        <v>5904.1050462737203</v>
      </c>
      <c r="AW92">
        <v>6384.6514906180282</v>
      </c>
      <c r="AX92">
        <v>7112.4355983568703</v>
      </c>
      <c r="AY92">
        <v>8193.6650981315634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f>Table5[[#This Row],[FUA_area]]+Table5[[#This Row],[FUA_urban]]</f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v>921.31931416431462</v>
      </c>
      <c r="AU93">
        <v>1412.689615051949</v>
      </c>
      <c r="AV93">
        <v>2149.7450663834006</v>
      </c>
      <c r="AW93">
        <v>3669.6285209601997</v>
      </c>
      <c r="AX93">
        <v>3910.2278323024725</v>
      </c>
      <c r="AY93">
        <v>3910.2278323024725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f>Table5[[#This Row],[FUA_area]]+Table5[[#This Row],[FUA_urban]]</f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v>510.66114037575869</v>
      </c>
      <c r="AU94">
        <v>540.12236001282167</v>
      </c>
      <c r="AV94">
        <v>584.3141894684162</v>
      </c>
      <c r="AW94">
        <v>672.69784837960515</v>
      </c>
      <c r="AX94">
        <v>775.81211710932564</v>
      </c>
      <c r="AY94">
        <v>893.65699565757768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f>Table5[[#This Row],[FUA_area]]+Table5[[#This Row],[FUA_urban]]</f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v>50298.13424638303</v>
      </c>
      <c r="AU95">
        <v>51715.39631286553</v>
      </c>
      <c r="AV95">
        <v>53841.289412589264</v>
      </c>
      <c r="AW95">
        <v>57768.098322906997</v>
      </c>
      <c r="AX95">
        <v>62092.665894399157</v>
      </c>
      <c r="AY95">
        <v>67201.466854589831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f>Table5[[#This Row],[FUA_area]]+Table5[[#This Row],[FUA_urban]]</f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f>Table5[[#This Row],[FUA_area]]+Table5[[#This Row],[FUA_urban]]</f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v>1020.0768882774046</v>
      </c>
      <c r="AU97">
        <v>1093.363965687626</v>
      </c>
      <c r="AV97">
        <v>1203.2945818029577</v>
      </c>
      <c r="AW97">
        <v>1470.6933777591707</v>
      </c>
      <c r="AX97">
        <v>1851.9842534745112</v>
      </c>
      <c r="AY97">
        <v>2371.9263567227026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f>Table5[[#This Row],[FUA_area]]+Table5[[#This Row],[FUA_urban]]</f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v>261.44778638200802</v>
      </c>
      <c r="AU98">
        <v>261.44778638200802</v>
      </c>
      <c r="AV98">
        <v>261.44778638200802</v>
      </c>
      <c r="AW98">
        <v>261.44778638200802</v>
      </c>
      <c r="AX98">
        <v>261.44778638200802</v>
      </c>
      <c r="AY98">
        <v>261.44778638200802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f>Table5[[#This Row],[FUA_area]]+Table5[[#This Row],[FUA_urban]]</f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5133.0340938141344</v>
      </c>
      <c r="AU99">
        <v>5423.7365643854846</v>
      </c>
      <c r="AV99">
        <v>5859.7902702425108</v>
      </c>
      <c r="AW99">
        <v>7056.0104853747907</v>
      </c>
      <c r="AX99">
        <v>9495.4654616409589</v>
      </c>
      <c r="AY99">
        <v>13454.830381973821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f>Table5[[#This Row],[FUA_area]]+Table5[[#This Row],[FUA_urban]]</f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93.123017049350821</v>
      </c>
      <c r="AU100">
        <v>94.941856462867619</v>
      </c>
      <c r="AV100">
        <v>97.670115583142859</v>
      </c>
      <c r="AW100">
        <v>102.82663386580806</v>
      </c>
      <c r="AX100">
        <v>108.70557129365123</v>
      </c>
      <c r="AY100">
        <v>114.85583874638567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f>Table5[[#This Row],[FUA_area]]+Table5[[#This Row],[FUA_urban]]</f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v>365.71299054923685</v>
      </c>
      <c r="AU101">
        <v>383.24303472432422</v>
      </c>
      <c r="AV101">
        <v>409.53810098695533</v>
      </c>
      <c r="AW101">
        <v>492.65468974814547</v>
      </c>
      <c r="AX101">
        <v>664.93271008952161</v>
      </c>
      <c r="AY101">
        <v>1080.5156538954725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f>Table5[[#This Row],[FUA_area]]+Table5[[#This Row],[FUA_urban]]</f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v>1732.7691165957001</v>
      </c>
      <c r="AU102">
        <v>1824.9084267638841</v>
      </c>
      <c r="AV102">
        <v>1963.1173920161602</v>
      </c>
      <c r="AW102">
        <v>2337.8630938195956</v>
      </c>
      <c r="AX102">
        <v>2997.9656144274813</v>
      </c>
      <c r="AY102">
        <v>4122.2027198377873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f>Table5[[#This Row],[FUA_area]]+Table5[[#This Row],[FUA_urban]]</f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v>265.40339540699432</v>
      </c>
      <c r="AU103">
        <v>275.51400094630839</v>
      </c>
      <c r="AV103">
        <v>290.67990925527948</v>
      </c>
      <c r="AW103">
        <v>321.01172587322168</v>
      </c>
      <c r="AX103">
        <v>361.45414803047794</v>
      </c>
      <c r="AY103">
        <v>429.70073542084793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f>Table5[[#This Row],[FUA_area]]+Table5[[#This Row],[FUA_urban]]</f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v>675.97619398630718</v>
      </c>
      <c r="AU104">
        <v>741.64245283069124</v>
      </c>
      <c r="AV104">
        <v>840.14184109726739</v>
      </c>
      <c r="AW104">
        <v>1042.9346992931596</v>
      </c>
      <c r="AX104">
        <v>1284.3547685739836</v>
      </c>
      <c r="AY104">
        <v>1564.4020489397394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f>Table5[[#This Row],[FUA_area]]+Table5[[#This Row],[FUA_urban]]</f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v>10956.363064292724</v>
      </c>
      <c r="AU105">
        <v>11361.139810834649</v>
      </c>
      <c r="AV105">
        <v>11968.304930647537</v>
      </c>
      <c r="AW105">
        <v>13067.745529807466</v>
      </c>
      <c r="AX105">
        <v>14254.684861772512</v>
      </c>
      <c r="AY105">
        <v>15441.624193737556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f>Table5[[#This Row],[FUA_area]]+Table5[[#This Row],[FUA_urban]]</f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v>160.31328650114617</v>
      </c>
      <c r="AU106">
        <v>166.2098671540619</v>
      </c>
      <c r="AV106">
        <v>175.05473813343548</v>
      </c>
      <c r="AW106">
        <v>188.56773546303401</v>
      </c>
      <c r="AX106">
        <v>202.08073279263255</v>
      </c>
      <c r="AY106">
        <v>216.82218442492183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f>Table5[[#This Row],[FUA_area]]+Table5[[#This Row],[FUA_urban]]</f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f>Table5[[#This Row],[FUA_area]]+Table5[[#This Row],[FUA_urban]]</f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v>560.43034689539388</v>
      </c>
      <c r="AU108">
        <v>598.42562465101378</v>
      </c>
      <c r="AV108">
        <v>655.41854128444368</v>
      </c>
      <c r="AW108">
        <v>793.15142314856587</v>
      </c>
      <c r="AX108">
        <v>964.13017304885557</v>
      </c>
      <c r="AY108">
        <v>1220.5982978992899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f>Table5[[#This Row],[FUA_area]]+Table5[[#This Row],[FUA_urban]]</f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v>28725.087153012977</v>
      </c>
      <c r="AU109">
        <v>30777.324649938331</v>
      </c>
      <c r="AV109">
        <v>33855.680895326368</v>
      </c>
      <c r="AW109">
        <v>41769.894646767236</v>
      </c>
      <c r="AX109">
        <v>58627.559800082672</v>
      </c>
      <c r="AY109">
        <v>114019.25880524123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f>Table5[[#This Row],[FUA_area]]+Table5[[#This Row],[FUA_urban]]</f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v>1585.6907016756595</v>
      </c>
      <c r="AU110">
        <v>1630.9961502949641</v>
      </c>
      <c r="AV110">
        <v>1698.9543232239209</v>
      </c>
      <c r="AW110">
        <v>1868.849755546313</v>
      </c>
      <c r="AX110">
        <v>2168.1893267810037</v>
      </c>
      <c r="AY110">
        <v>2807.3197626604792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f>Table5[[#This Row],[FUA_area]]+Table5[[#This Row],[FUA_urban]]</f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v>19246.212886552508</v>
      </c>
      <c r="AU111">
        <v>19552.703166120009</v>
      </c>
      <c r="AV111">
        <v>20012.438585471256</v>
      </c>
      <c r="AW111">
        <v>20780.475692661683</v>
      </c>
      <c r="AX111">
        <v>21387.297463672985</v>
      </c>
      <c r="AY111">
        <v>22153.523162591733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f>Table5[[#This Row],[FUA_area]]+Table5[[#This Row],[FUA_urban]]</f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v>6306.6973998908998</v>
      </c>
      <c r="AU112">
        <v>6483.1746288197637</v>
      </c>
      <c r="AV112">
        <v>6747.8904722130619</v>
      </c>
      <c r="AW112">
        <v>7240.2934547154737</v>
      </c>
      <c r="AX112">
        <v>7823.2985859983291</v>
      </c>
      <c r="AY112">
        <v>8496.9058660616301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f>Table5[[#This Row],[FUA_area]]+Table5[[#This Row],[FUA_urban]]</f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v>1164.033230228471</v>
      </c>
      <c r="AU113">
        <v>1217.246177896058</v>
      </c>
      <c r="AV113">
        <v>1297.065599397439</v>
      </c>
      <c r="AW113">
        <v>1452.2700300945685</v>
      </c>
      <c r="AX113">
        <v>1607.4744607916978</v>
      </c>
      <c r="AY113">
        <v>1773.764922252908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f>Table5[[#This Row],[FUA_area]]+Table5[[#This Row],[FUA_urban]]</f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v>5452.0704574737119</v>
      </c>
      <c r="AU114">
        <v>5604.7799053777744</v>
      </c>
      <c r="AV114">
        <v>5833.844077233869</v>
      </c>
      <c r="AW114">
        <v>6215.617696994027</v>
      </c>
      <c r="AX114">
        <v>6593.1017255209244</v>
      </c>
      <c r="AY114">
        <v>6970.5857540478228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f>Table5[[#This Row],[FUA_area]]+Table5[[#This Row],[FUA_urban]]</f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v>1332.2853753175102</v>
      </c>
      <c r="AU115">
        <v>1373.5311494698201</v>
      </c>
      <c r="AV115">
        <v>1435.3998106982849</v>
      </c>
      <c r="AW115">
        <v>1539.100123552814</v>
      </c>
      <c r="AX115">
        <v>1642.8004364073433</v>
      </c>
      <c r="AY115">
        <v>1747.0866267356269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f>Table5[[#This Row],[FUA_area]]+Table5[[#This Row],[FUA_urban]]</f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v>25146.388962604447</v>
      </c>
      <c r="AU116">
        <v>26356.47268642754</v>
      </c>
      <c r="AV116">
        <v>28171.59827216218</v>
      </c>
      <c r="AW116">
        <v>31196.807581719913</v>
      </c>
      <c r="AX116">
        <v>34222.016891277643</v>
      </c>
      <c r="AY116">
        <v>37625.819646592892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f>Table5[[#This Row],[FUA_area]]+Table5[[#This Row],[FUA_urban]]</f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v>2232.0579309370464</v>
      </c>
      <c r="AU117">
        <v>2297.2641176835218</v>
      </c>
      <c r="AV117">
        <v>2395.0733978032354</v>
      </c>
      <c r="AW117">
        <v>2576.8983416155229</v>
      </c>
      <c r="AX117">
        <v>2764.9931110765101</v>
      </c>
      <c r="AY117">
        <v>2953.0878805374969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f>Table5[[#This Row],[FUA_area]]+Table5[[#This Row],[FUA_urban]]</f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v>6283.5448882542732</v>
      </c>
      <c r="AU118">
        <v>6420.257998793697</v>
      </c>
      <c r="AV118">
        <v>6625.3276646028316</v>
      </c>
      <c r="AW118">
        <v>7016.7711862328051</v>
      </c>
      <c r="AX118">
        <v>7457.8754531441928</v>
      </c>
      <c r="AY118">
        <v>7898.9797200555813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f>Table5[[#This Row],[FUA_area]]+Table5[[#This Row],[FUA_urban]]</f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v>14610.727292826945</v>
      </c>
      <c r="AU119">
        <v>15318.41920694391</v>
      </c>
      <c r="AV119">
        <v>16379.957078119362</v>
      </c>
      <c r="AW119">
        <v>18032.534350095797</v>
      </c>
      <c r="AX119">
        <v>19879.532477598867</v>
      </c>
      <c r="AY119">
        <v>21862.625203970591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f>Table5[[#This Row],[FUA_area]]+Table5[[#This Row],[FUA_urban]]</f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v>240.78963984343332</v>
      </c>
      <c r="AU120">
        <v>257.34392758266938</v>
      </c>
      <c r="AV120">
        <v>282.1753591915234</v>
      </c>
      <c r="AW120">
        <v>331.08575478472085</v>
      </c>
      <c r="AX120">
        <v>383.75848850047186</v>
      </c>
      <c r="AY120">
        <v>443.95589846133021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f>Table5[[#This Row],[FUA_area]]+Table5[[#This Row],[FUA_urban]]</f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v>41883.430725916369</v>
      </c>
      <c r="AU121">
        <v>42555.518515590673</v>
      </c>
      <c r="AV121">
        <v>43563.650200102129</v>
      </c>
      <c r="AW121">
        <v>44906.26761610528</v>
      </c>
      <c r="AX121">
        <v>46246.288093199328</v>
      </c>
      <c r="AY121">
        <v>47256.497328838057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f>Table5[[#This Row],[FUA_area]]+Table5[[#This Row],[FUA_urban]]</f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2813.3230259352808</v>
      </c>
      <c r="AU122">
        <v>2942.2697267554031</v>
      </c>
      <c r="AV122">
        <v>3135.6897779855867</v>
      </c>
      <c r="AW122">
        <v>3552.3731994919558</v>
      </c>
      <c r="AX122">
        <v>4136.6132108454949</v>
      </c>
      <c r="AY122">
        <v>5134.389358676237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f>Table5[[#This Row],[FUA_area]]+Table5[[#This Row],[FUA_urban]]</f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v>4166.5277465720164</v>
      </c>
      <c r="AU123">
        <v>4232.9114488686901</v>
      </c>
      <c r="AV123">
        <v>4332.4870023136991</v>
      </c>
      <c r="AW123">
        <v>4532.0767680294675</v>
      </c>
      <c r="AX123">
        <v>4764.5659456764051</v>
      </c>
      <c r="AY123">
        <v>4964.1557113921726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f>Table5[[#This Row],[FUA_area]]+Table5[[#This Row],[FUA_urban]]</f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v>2385.8994265886117</v>
      </c>
      <c r="AU124">
        <v>2458.5137569630479</v>
      </c>
      <c r="AV124">
        <v>2567.4352525247018</v>
      </c>
      <c r="AW124">
        <v>2770.189551622153</v>
      </c>
      <c r="AX124">
        <v>3029.5264458165675</v>
      </c>
      <c r="AY124">
        <v>3416.174178979149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f>Table5[[#This Row],[FUA_area]]+Table5[[#This Row],[FUA_urban]]</f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1157.2241834796391</v>
      </c>
      <c r="AU125">
        <v>1223.314474775804</v>
      </c>
      <c r="AV125">
        <v>1322.4499117200512</v>
      </c>
      <c r="AW125">
        <v>1589.9644511695874</v>
      </c>
      <c r="AX125">
        <v>2097.9743491559534</v>
      </c>
      <c r="AY125">
        <v>3075.5766732744332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f>Table5[[#This Row],[FUA_area]]+Table5[[#This Row],[FUA_urban]]</f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1116.2037946998403</v>
      </c>
      <c r="AU126">
        <v>1179.951368411771</v>
      </c>
      <c r="AV126">
        <v>1275.5727289796669</v>
      </c>
      <c r="AW126">
        <v>1533.6046197176349</v>
      </c>
      <c r="AX126">
        <v>2023.6069753307272</v>
      </c>
      <c r="AY126">
        <v>2966.5560075634517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f>Table5[[#This Row],[FUA_area]]+Table5[[#This Row],[FUA_urban]]</f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v>11673.450981627459</v>
      </c>
      <c r="AU127">
        <v>11969.839839256731</v>
      </c>
      <c r="AV127">
        <v>12414.423125700636</v>
      </c>
      <c r="AW127">
        <v>13167.954119673363</v>
      </c>
      <c r="AX127">
        <v>13993.698500568473</v>
      </c>
      <c r="AY127">
        <v>14631.060132970404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f>Table5[[#This Row],[FUA_area]]+Table5[[#This Row],[FUA_urban]]</f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v>70684.559422473452</v>
      </c>
      <c r="AU128">
        <v>73333.736012667738</v>
      </c>
      <c r="AV128">
        <v>77307.50089795918</v>
      </c>
      <c r="AW128">
        <v>86132.796907247655</v>
      </c>
      <c r="AX128">
        <v>95512.884516654376</v>
      </c>
      <c r="AY128">
        <v>105441.22577802981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f>Table5[[#This Row],[FUA_area]]+Table5[[#This Row],[FUA_urban]]</f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v>599.05248548137615</v>
      </c>
      <c r="AU129">
        <v>617.84628894745856</v>
      </c>
      <c r="AV129">
        <v>646.03699414658206</v>
      </c>
      <c r="AW129">
        <v>728.25988431069254</v>
      </c>
      <c r="AX129">
        <v>845.72115597370748</v>
      </c>
      <c r="AY129">
        <v>1057.1514449671345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f>Table5[[#This Row],[FUA_area]]+Table5[[#This Row],[FUA_urban]]</f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v>12558.021143524866</v>
      </c>
      <c r="AU130">
        <v>13063.24427496235</v>
      </c>
      <c r="AV130">
        <v>13821.078972118577</v>
      </c>
      <c r="AW130">
        <v>15283.492832776994</v>
      </c>
      <c r="AX130">
        <v>16652.216402747756</v>
      </c>
      <c r="AY130">
        <v>17923.023052375785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f>Table5[[#This Row],[FUA_area]]+Table5[[#This Row],[FUA_urban]]</f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v>3260.4066751582477</v>
      </c>
      <c r="AU131">
        <v>3445.9044134255969</v>
      </c>
      <c r="AV131">
        <v>3724.1510208266195</v>
      </c>
      <c r="AW131">
        <v>4336.9560490312542</v>
      </c>
      <c r="AX131">
        <v>5387.4789545249132</v>
      </c>
      <c r="AY131">
        <v>8221.99796529384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f>Table5[[#This Row],[FUA_area]]+Table5[[#This Row],[FUA_urban]]</f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v>1134.274459995755</v>
      </c>
      <c r="AU132">
        <v>1190.988182995543</v>
      </c>
      <c r="AV132">
        <v>1276.0587674952246</v>
      </c>
      <c r="AW132">
        <v>1438.6937084504982</v>
      </c>
      <c r="AX132">
        <v>1618.0091561704153</v>
      </c>
      <c r="AY132">
        <v>1822.3453640372977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f>Table5[[#This Row],[FUA_area]]+Table5[[#This Row],[FUA_urban]]</f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f>Table5[[#This Row],[FUA_area]]+Table5[[#This Row],[FUA_urban]]</f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561.34709230013289</v>
      </c>
      <c r="AU134">
        <v>587.21048817178848</v>
      </c>
      <c r="AV134">
        <v>626.00558197927228</v>
      </c>
      <c r="AW134">
        <v>713.03969810775038</v>
      </c>
      <c r="AX134">
        <v>881.76220654337726</v>
      </c>
      <c r="AY134">
        <v>1252.5962838723078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f>Table5[[#This Row],[FUA_area]]+Table5[[#This Row],[FUA_urban]]</f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v>3204.0416313977335</v>
      </c>
      <c r="AU135">
        <v>3222.6833281622298</v>
      </c>
      <c r="AV135">
        <v>3250.645873308973</v>
      </c>
      <c r="AW135">
        <v>3273.947994264593</v>
      </c>
      <c r="AX135">
        <v>3273.947994264593</v>
      </c>
      <c r="AY135">
        <v>3297.250115220213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f>Table5[[#This Row],[FUA_area]]+Table5[[#This Row],[FUA_urban]]</f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394.13263173944773</v>
      </c>
      <c r="AU136">
        <v>412.29182133967572</v>
      </c>
      <c r="AV136">
        <v>439.53060574001796</v>
      </c>
      <c r="AW136">
        <v>500.63893908913451</v>
      </c>
      <c r="AX136">
        <v>619.10226987959675</v>
      </c>
      <c r="AY136">
        <v>879.47203546871947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f>Table5[[#This Row],[FUA_area]]+Table5[[#This Row],[FUA_urban]]</f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v>3044.897604110351</v>
      </c>
      <c r="AU137">
        <v>3232.529132147421</v>
      </c>
      <c r="AV137">
        <v>3513.9764242030265</v>
      </c>
      <c r="AW137">
        <v>4169.9813906484233</v>
      </c>
      <c r="AX137">
        <v>4995.2779613377925</v>
      </c>
      <c r="AY137">
        <v>5868.7756137910701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f>Table5[[#This Row],[FUA_area]]+Table5[[#This Row],[FUA_urban]]</f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445.41588245083511</v>
      </c>
      <c r="AU138">
        <v>465.93788648962942</v>
      </c>
      <c r="AV138">
        <v>496.72089254782117</v>
      </c>
      <c r="AW138">
        <v>565.78044263803076</v>
      </c>
      <c r="AX138">
        <v>699.65783510164442</v>
      </c>
      <c r="AY138">
        <v>993.90606415988498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f>Table5[[#This Row],[FUA_area]]+Table5[[#This Row],[FUA_urban]]</f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v>293.18072044138199</v>
      </c>
      <c r="AU139">
        <v>311.94428654963042</v>
      </c>
      <c r="AV139">
        <v>340.08963571200309</v>
      </c>
      <c r="AW139">
        <v>408.10756285440374</v>
      </c>
      <c r="AX139">
        <v>497.23450186858378</v>
      </c>
      <c r="AY139">
        <v>595.74322393688817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f>Table5[[#This Row],[FUA_area]]+Table5[[#This Row],[FUA_urban]]</f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v>3168.2175367621367</v>
      </c>
      <c r="AU140">
        <v>3209.6741903734628</v>
      </c>
      <c r="AV140">
        <v>3271.8591707904525</v>
      </c>
      <c r="AW140">
        <v>3359.4184822971329</v>
      </c>
      <c r="AX140">
        <v>3477.3555141224579</v>
      </c>
      <c r="AY140">
        <v>3573.8494492522691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f>Table5[[#This Row],[FUA_area]]+Table5[[#This Row],[FUA_urban]]</f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v>821.11586422362245</v>
      </c>
      <c r="AU141">
        <v>837.22181462520678</v>
      </c>
      <c r="AV141">
        <v>861.38074022758292</v>
      </c>
      <c r="AW141">
        <v>908.83577266082216</v>
      </c>
      <c r="AX141">
        <v>970.6711179526186</v>
      </c>
      <c r="AY141">
        <v>1045.4487448171167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f>Table5[[#This Row],[FUA_area]]+Table5[[#This Row],[FUA_urban]]</f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v>10792.851483004579</v>
      </c>
      <c r="AU142">
        <v>11095.874757339399</v>
      </c>
      <c r="AV142">
        <v>11550.40966884163</v>
      </c>
      <c r="AW142">
        <v>12479.712412337392</v>
      </c>
      <c r="AX142">
        <v>13665.455659734516</v>
      </c>
      <c r="AY142">
        <v>15021.767132203646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f>Table5[[#This Row],[FUA_area]]+Table5[[#This Row],[FUA_urban]]</f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v>84.426445050927171</v>
      </c>
      <c r="AU143">
        <v>86.648193604898935</v>
      </c>
      <c r="AV143">
        <v>89.980816435856596</v>
      </c>
      <c r="AW143">
        <v>96.646062097771889</v>
      </c>
      <c r="AX143">
        <v>104.42218203667306</v>
      </c>
      <c r="AY143">
        <v>112.19830197557427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f>Table5[[#This Row],[FUA_area]]+Table5[[#This Row],[FUA_urban]]</f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v>4250.5297667050945</v>
      </c>
      <c r="AU144">
        <v>4416.7825607092054</v>
      </c>
      <c r="AV144">
        <v>4666.1617517153709</v>
      </c>
      <c r="AW144">
        <v>4998.6673397235918</v>
      </c>
      <c r="AX144">
        <v>5272.9844498303746</v>
      </c>
      <c r="AY144">
        <v>5489.1130820357184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f>Table5[[#This Row],[FUA_area]]+Table5[[#This Row],[FUA_urban]]</f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v>561.59263073371505</v>
      </c>
      <c r="AU145">
        <v>577.4121414586084</v>
      </c>
      <c r="AV145">
        <v>601.14140754594848</v>
      </c>
      <c r="AW145">
        <v>664.41945044552199</v>
      </c>
      <c r="AX145">
        <v>751.42675943243569</v>
      </c>
      <c r="AY145">
        <v>917.53162204381601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f>Table5[[#This Row],[FUA_area]]+Table5[[#This Row],[FUA_urban]]</f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v>772.89171531314719</v>
      </c>
      <c r="AU146">
        <v>800.76649848837553</v>
      </c>
      <c r="AV146">
        <v>842.57867325121799</v>
      </c>
      <c r="AW146">
        <v>905.93045319491853</v>
      </c>
      <c r="AX146">
        <v>956.61187714987898</v>
      </c>
      <c r="AY146">
        <v>1013.6284790992095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f>Table5[[#This Row],[FUA_area]]+Table5[[#This Row],[FUA_urban]]</f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v>11187.371392090357</v>
      </c>
      <c r="AU147">
        <v>11433.73588845047</v>
      </c>
      <c r="AV147">
        <v>11803.282632990638</v>
      </c>
      <c r="AW147">
        <v>12595.168514148143</v>
      </c>
      <c r="AX147">
        <v>13563.029035562871</v>
      </c>
      <c r="AY147">
        <v>14882.838837492045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f>Table5[[#This Row],[FUA_area]]+Table5[[#This Row],[FUA_urban]]</f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v>611.4209040749447</v>
      </c>
      <c r="AU148">
        <v>1007.565854852019</v>
      </c>
      <c r="AV148">
        <v>1601.7832810176305</v>
      </c>
      <c r="AW148">
        <v>7053.4259428265477</v>
      </c>
      <c r="AX148">
        <v>11319.423505478728</v>
      </c>
      <c r="AY148">
        <v>12298.161910861056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f>Table5[[#This Row],[FUA_area]]+Table5[[#This Row],[FUA_urban]]</f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v>1054.3779764081378</v>
      </c>
      <c r="AU149">
        <v>1142.331881464052</v>
      </c>
      <c r="AV149">
        <v>1274.2627390479231</v>
      </c>
      <c r="AW149">
        <v>1563.6249787718075</v>
      </c>
      <c r="AX149">
        <v>1878.1823475481672</v>
      </c>
      <c r="AY149">
        <v>2184.3413399737019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f>Table5[[#This Row],[FUA_area]]+Table5[[#This Row],[FUA_urban]]</f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v>2723.3228014610959</v>
      </c>
      <c r="AU150">
        <v>2791.150057493192</v>
      </c>
      <c r="AV150">
        <v>2892.8909415413359</v>
      </c>
      <c r="AW150">
        <v>3040.5321669560276</v>
      </c>
      <c r="AX150">
        <v>3230.565427390779</v>
      </c>
      <c r="AY150">
        <v>3400.1335674710194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f>Table5[[#This Row],[FUA_area]]+Table5[[#This Row],[FUA_urban]]</f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v>20482.99401107134</v>
      </c>
      <c r="AU151">
        <v>21060.103635891948</v>
      </c>
      <c r="AV151">
        <v>21925.768073122857</v>
      </c>
      <c r="AW151">
        <v>23700.058801249514</v>
      </c>
      <c r="AX151">
        <v>25956.401824434419</v>
      </c>
      <c r="AY151">
        <v>29033.079454999137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f>Table5[[#This Row],[FUA_area]]+Table5[[#This Row],[FUA_urban]]</f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7194.3695638611762</v>
      </c>
      <c r="AU152">
        <v>7531.1584047772276</v>
      </c>
      <c r="AV152">
        <v>8036.3416661513038</v>
      </c>
      <c r="AW152">
        <v>8916.9650932363893</v>
      </c>
      <c r="AX152">
        <v>9765.2049779256977</v>
      </c>
      <c r="AY152">
        <v>10384.670805044861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f>Table5[[#This Row],[FUA_area]]+Table5[[#This Row],[FUA_urban]]</f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v>2794.6443592638666</v>
      </c>
      <c r="AU153">
        <v>3004.2426862086568</v>
      </c>
      <c r="AV153">
        <v>3318.6401766258418</v>
      </c>
      <c r="AW153">
        <v>3860.1025212332161</v>
      </c>
      <c r="AX153">
        <v>4375.3650749724911</v>
      </c>
      <c r="AY153">
        <v>4899.3608923344664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f>Table5[[#This Row],[FUA_area]]+Table5[[#This Row],[FUA_urban]]</f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v>1578.0702860759709</v>
      </c>
      <c r="AU154">
        <v>1700.547382905748</v>
      </c>
      <c r="AV154">
        <v>1884.263028150413</v>
      </c>
      <c r="AW154">
        <v>2237.5623459286157</v>
      </c>
      <c r="AX154">
        <v>2685.0748151143389</v>
      </c>
      <c r="AY154">
        <v>3321.0135871151033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f>Table5[[#This Row],[FUA_area]]+Table5[[#This Row],[FUA_urban]]</f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v>27232.029305875585</v>
      </c>
      <c r="AU155">
        <v>28931.714954628889</v>
      </c>
      <c r="AV155">
        <v>31481.243427758836</v>
      </c>
      <c r="AW155">
        <v>37847.21314324838</v>
      </c>
      <c r="AX155">
        <v>45689.258717780882</v>
      </c>
      <c r="AY155">
        <v>54162.562266074317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f>Table5[[#This Row],[FUA_area]]+Table5[[#This Row],[FUA_urban]]</f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v>1022.6494891195752</v>
      </c>
      <c r="AU156">
        <v>1035.4431288188489</v>
      </c>
      <c r="AV156">
        <v>1054.6335883677593</v>
      </c>
      <c r="AW156">
        <v>1085.7760007936231</v>
      </c>
      <c r="AX156">
        <v>1110.1849186409215</v>
      </c>
      <c r="AY156">
        <v>1127.0186550873343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f>Table5[[#This Row],[FUA_area]]+Table5[[#This Row],[FUA_urban]]</f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v>551380.12851869932</v>
      </c>
      <c r="AU157">
        <v>565258.15654385579</v>
      </c>
      <c r="AV157">
        <v>586075.19858159043</v>
      </c>
      <c r="AW157">
        <v>616433.38488662033</v>
      </c>
      <c r="AX157">
        <v>642452.53620176599</v>
      </c>
      <c r="AY157">
        <v>668473.83874893433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f>Table5[[#This Row],[FUA_area]]+Table5[[#This Row],[FUA_urban]]</f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v>7148.3070817999496</v>
      </c>
      <c r="AU158">
        <v>8045.3327077958611</v>
      </c>
      <c r="AV158">
        <v>9390.8711467897265</v>
      </c>
      <c r="AW158">
        <v>19367.598743093531</v>
      </c>
      <c r="AX158">
        <v>37235.147456112565</v>
      </c>
      <c r="AY158">
        <v>49274.175594478729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f>Table5[[#This Row],[FUA_area]]+Table5[[#This Row],[FUA_urban]]</f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v>11766.688512193814</v>
      </c>
      <c r="AU159">
        <v>12166.876162890199</v>
      </c>
      <c r="AV159">
        <v>12767.157638934777</v>
      </c>
      <c r="AW159">
        <v>14040.481982059642</v>
      </c>
      <c r="AX159">
        <v>15682.237945047513</v>
      </c>
      <c r="AY159">
        <v>18216.554192138647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f>Table5[[#This Row],[FUA_area]]+Table5[[#This Row],[FUA_urban]]</f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v>16394.194244296374</v>
      </c>
      <c r="AU160">
        <v>17970.326245493579</v>
      </c>
      <c r="AV160">
        <v>20334.524247289391</v>
      </c>
      <c r="AW160">
        <v>26002.876067237445</v>
      </c>
      <c r="AX160">
        <v>33272.674857675687</v>
      </c>
      <c r="AY160">
        <v>41896.274179868502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f>Table5[[#This Row],[FUA_area]]+Table5[[#This Row],[FUA_urban]]</f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1122.398923812957</v>
      </c>
      <c r="AU161">
        <v>1144.3211452465471</v>
      </c>
      <c r="AV161">
        <v>1177.2044773969326</v>
      </c>
      <c r="AW161">
        <v>1239.3552834432837</v>
      </c>
      <c r="AX161">
        <v>1310.2133081427842</v>
      </c>
      <c r="AY161">
        <v>1384.3416363352942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f>Table5[[#This Row],[FUA_area]]+Table5[[#This Row],[FUA_urban]]</f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v>1176.1768404214886</v>
      </c>
      <c r="AU162">
        <v>1368.9775930866581</v>
      </c>
      <c r="AV162">
        <v>1658.1787220844124</v>
      </c>
      <c r="AW162">
        <v>3085.7345342822582</v>
      </c>
      <c r="AX162">
        <v>6967.1181076731709</v>
      </c>
      <c r="AY162">
        <v>15984.473884237916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f>Table5[[#This Row],[FUA_area]]+Table5[[#This Row],[FUA_urban]]</f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v>14486.763763979181</v>
      </c>
      <c r="AU163">
        <v>14802.82812319728</v>
      </c>
      <c r="AV163">
        <v>15276.924662024425</v>
      </c>
      <c r="AW163">
        <v>16293.463773560739</v>
      </c>
      <c r="AX163">
        <v>17308.560985648062</v>
      </c>
      <c r="AY163">
        <v>18552.920210124426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f>Table5[[#This Row],[FUA_area]]+Table5[[#This Row],[FUA_urban]]</f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v>2066.5368389522137</v>
      </c>
      <c r="AU164">
        <v>2202.885661316071</v>
      </c>
      <c r="AV164">
        <v>2407.4088948618573</v>
      </c>
      <c r="AW164">
        <v>2854.8034682432644</v>
      </c>
      <c r="AX164">
        <v>3582.20008755045</v>
      </c>
      <c r="AY164">
        <v>5350.4738775817259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f>Table5[[#This Row],[FUA_area]]+Table5[[#This Row],[FUA_urban]]</f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2170.6971524458354</v>
      </c>
      <c r="AU165">
        <v>2270.7094274558308</v>
      </c>
      <c r="AV165">
        <v>2420.7278399708252</v>
      </c>
      <c r="AW165">
        <v>2757.283797304824</v>
      </c>
      <c r="AX165">
        <v>3409.7241032019015</v>
      </c>
      <c r="AY165">
        <v>4843.7183052372429</v>
      </c>
    </row>
  </sheetData>
  <conditionalFormatting sqref="K2:AY2">
    <cfRule type="cellIs" dxfId="0" priority="1" operator="greaterThan">
      <formula>$I$2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849B-20D5-4F34-82C3-DC08FE966882}">
  <dimension ref="A1:AY165"/>
  <sheetViews>
    <sheetView showGridLines="0" topLeftCell="M1" workbookViewId="0">
      <selection activeCell="AF6" sqref="AF6"/>
    </sheetView>
  </sheetViews>
  <sheetFormatPr defaultRowHeight="15" x14ac:dyDescent="0.25"/>
  <cols>
    <col min="1" max="1" width="11.140625" customWidth="1"/>
    <col min="2" max="2" width="13.140625" customWidth="1"/>
    <col min="3" max="3" width="12.85546875" customWidth="1"/>
    <col min="4" max="4" width="14.42578125" customWidth="1"/>
    <col min="5" max="5" width="12.7109375" customWidth="1"/>
    <col min="7" max="7" width="10.85546875" customWidth="1"/>
    <col min="8" max="9" width="12.140625" customWidth="1"/>
    <col min="10" max="10" width="13.28515625" customWidth="1"/>
    <col min="11" max="11" width="12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574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201</v>
      </c>
      <c r="B2" t="s">
        <v>202</v>
      </c>
      <c r="C2" t="s">
        <v>203</v>
      </c>
      <c r="D2" t="s">
        <v>204</v>
      </c>
      <c r="E2" t="s">
        <v>61</v>
      </c>
      <c r="F2" t="s">
        <v>61</v>
      </c>
      <c r="G2">
        <v>2308025.9586943681</v>
      </c>
      <c r="H2">
        <v>8264.2620192843897</v>
      </c>
      <c r="I2">
        <f>Table2[[#This Row],[FUA_area]]+Table2[[#This Row],[FUA_urban]]</f>
        <v>2316290.2207136527</v>
      </c>
      <c r="J2">
        <v>43090991.999999903</v>
      </c>
      <c r="K2" s="1" t="e">
        <f>[2]Urban_area_finals!K96/[2]Urban_area_finals!$G96</f>
        <v>#N/A</v>
      </c>
      <c r="L2" s="1" t="e">
        <f>[2]Urban_area_finals!L96/[2]Urban_area_finals!$G96</f>
        <v>#N/A</v>
      </c>
      <c r="M2" s="1" t="e">
        <f>[2]Urban_area_finals!M96/[2]Urban_area_finals!$G96</f>
        <v>#N/A</v>
      </c>
      <c r="N2" s="1" t="e">
        <f>[2]Urban_area_finals!N96/[2]Urban_area_finals!$G96</f>
        <v>#N/A</v>
      </c>
      <c r="O2" s="1" t="e">
        <f>[2]Urban_area_finals!O96/[2]Urban_area_finals!$G96</f>
        <v>#N/A</v>
      </c>
      <c r="P2" s="1" t="e">
        <f>[2]Urban_area_finals!P96/[2]Urban_area_finals!$G96</f>
        <v>#N/A</v>
      </c>
      <c r="Q2" s="1" t="e">
        <f>[2]Urban_area_finals!Q96/[2]Urban_area_finals!$G96</f>
        <v>#N/A</v>
      </c>
      <c r="R2" s="1" t="e">
        <f>[2]Urban_area_finals!R96/[2]Urban_area_finals!$G96</f>
        <v>#N/A</v>
      </c>
      <c r="S2" s="1" t="e">
        <f>[2]Urban_area_finals!S96/[2]Urban_area_finals!$G96</f>
        <v>#N/A</v>
      </c>
      <c r="T2" s="1" t="e">
        <f>[2]Urban_area_finals!T96/[2]Urban_area_finals!$G96</f>
        <v>#N/A</v>
      </c>
      <c r="U2" s="1" t="e">
        <f>[2]Urban_area_finals!U96/[2]Urban_area_finals!$G96</f>
        <v>#N/A</v>
      </c>
      <c r="V2" s="1" t="e">
        <f>[2]Urban_area_finals!V96/[2]Urban_area_finals!$G96</f>
        <v>#N/A</v>
      </c>
      <c r="W2" s="1" t="e">
        <f>[2]Urban_area_finals!W96/[2]Urban_area_finals!$G96</f>
        <v>#N/A</v>
      </c>
      <c r="X2" s="1" t="e">
        <f>[2]Urban_area_finals!X96/[2]Urban_area_finals!$G96</f>
        <v>#N/A</v>
      </c>
      <c r="Y2" s="1" t="e">
        <f>[2]Urban_area_finals!Y96/[2]Urban_area_finals!$G96</f>
        <v>#N/A</v>
      </c>
      <c r="Z2" s="1" t="e">
        <f>[2]Urban_area_finals!Z96/[2]Urban_area_finals!$G96</f>
        <v>#N/A</v>
      </c>
      <c r="AA2" s="1" t="e">
        <f>[2]Urban_area_finals!AA96/[2]Urban_area_finals!$G96</f>
        <v>#N/A</v>
      </c>
      <c r="AB2" s="1" t="e">
        <f>[2]Urban_area_finals!AB96/[2]Urban_area_finals!$G96</f>
        <v>#N/A</v>
      </c>
      <c r="AC2" s="1" t="e">
        <f>[2]Urban_area_finals!AC96/[2]Urban_area_finals!$G96</f>
        <v>#N/A</v>
      </c>
      <c r="AD2" s="1" t="e">
        <f>[2]Urban_area_finals!AD96/[2]Urban_area_finals!$G96</f>
        <v>#N/A</v>
      </c>
      <c r="AE2" s="1" t="e">
        <f>[2]Urban_area_finals!AE96/[2]Urban_area_finals!$G96</f>
        <v>#N/A</v>
      </c>
      <c r="AF2" s="1" t="e">
        <f>[2]Urban_area_finals!AF96/[2]Urban_area_finals!$G96</f>
        <v>#N/A</v>
      </c>
      <c r="AG2" s="1" t="e">
        <f>[2]Urban_area_finals!AG96/[2]Urban_area_finals!$G96</f>
        <v>#N/A</v>
      </c>
      <c r="AH2" s="1" t="e">
        <f>[2]Urban_area_finals!AH96/[2]Urban_area_finals!$G96</f>
        <v>#N/A</v>
      </c>
      <c r="AI2" s="1" t="e">
        <f>[2]Urban_area_finals!AI96/[2]Urban_area_finals!$G96</f>
        <v>#N/A</v>
      </c>
      <c r="AJ2" s="1" t="e">
        <f>[2]Urban_area_finals!AJ96/[2]Urban_area_finals!$G96</f>
        <v>#N/A</v>
      </c>
      <c r="AK2" s="1" t="e">
        <f>[2]Urban_area_finals!AK96/[2]Urban_area_finals!$G96</f>
        <v>#N/A</v>
      </c>
      <c r="AL2" s="1" t="e">
        <f>[2]Urban_area_finals!AL96/[2]Urban_area_finals!$G96</f>
        <v>#N/A</v>
      </c>
      <c r="AM2" s="1" t="e">
        <f>[2]Urban_area_finals!AM96/[2]Urban_area_finals!$G96</f>
        <v>#N/A</v>
      </c>
      <c r="AN2" s="1" t="e">
        <f>[2]Urban_area_finals!AN96/[2]Urban_area_finals!$G96</f>
        <v>#N/A</v>
      </c>
      <c r="AO2" s="1" t="e">
        <f>[2]Urban_area_finals!AO96/[2]Urban_area_finals!$G96</f>
        <v>#N/A</v>
      </c>
      <c r="AP2" s="1" t="e">
        <f>[2]Urban_area_finals!AP96/[2]Urban_area_finals!$G96</f>
        <v>#N/A</v>
      </c>
      <c r="AQ2" s="1" t="e">
        <f>[2]Urban_area_finals!AQ96/[2]Urban_area_finals!$G96</f>
        <v>#N/A</v>
      </c>
      <c r="AR2" s="1" t="e">
        <f>[2]Urban_area_finals!AR96/[2]Urban_area_finals!$G96</f>
        <v>#N/A</v>
      </c>
      <c r="AS2" s="1" t="e">
        <f>[2]Urban_area_finals!AS96/[2]Urban_area_finals!$G96</f>
        <v>#N/A</v>
      </c>
      <c r="AT2" s="1" t="e">
        <f>[2]Urban_area_finals!AT96/[2]Urban_area_finals!$G96</f>
        <v>#N/A</v>
      </c>
      <c r="AU2" s="1" t="e">
        <f>[2]Urban_area_finals!AU96/[2]Urban_area_finals!$G96</f>
        <v>#N/A</v>
      </c>
      <c r="AV2" s="1" t="e">
        <f>[2]Urban_area_finals!AV96/[2]Urban_area_finals!$G96</f>
        <v>#N/A</v>
      </c>
      <c r="AW2" s="1" t="e">
        <f>[2]Urban_area_finals!AW96/[2]Urban_area_finals!$G96</f>
        <v>#N/A</v>
      </c>
      <c r="AX2" s="1" t="e">
        <f>[2]Urban_area_finals!AX96/[2]Urban_area_finals!$G96</f>
        <v>#N/A</v>
      </c>
      <c r="AY2" s="1" t="e">
        <f>[2]Urban_area_finals!AY96/[2]Urban_area_finals!$G96</f>
        <v>#N/A</v>
      </c>
    </row>
    <row r="3" spans="1:51" x14ac:dyDescent="0.25">
      <c r="A3" t="s">
        <v>241</v>
      </c>
      <c r="B3" t="s">
        <v>242</v>
      </c>
      <c r="C3" t="s">
        <v>243</v>
      </c>
      <c r="D3" t="s">
        <v>105</v>
      </c>
      <c r="E3" t="s">
        <v>61</v>
      </c>
      <c r="F3" t="s">
        <v>61</v>
      </c>
      <c r="G3">
        <v>244816.17396590189</v>
      </c>
      <c r="H3">
        <v>1331.5471165141851</v>
      </c>
      <c r="I3">
        <f>Table2[[#This Row],[FUA_area]]+Table2[[#This Row],[FUA_urban]]</f>
        <v>246147.72108241607</v>
      </c>
      <c r="J3">
        <v>13041590</v>
      </c>
      <c r="K3" s="1" t="e">
        <f>[2]Urban_area_finals!K88/[2]Urban_area_finals!$G88</f>
        <v>#N/A</v>
      </c>
      <c r="L3" s="1" t="e">
        <f>[2]Urban_area_finals!L88/[2]Urban_area_finals!$G88</f>
        <v>#N/A</v>
      </c>
      <c r="M3" s="1" t="e">
        <f>[2]Urban_area_finals!M88/[2]Urban_area_finals!$G88</f>
        <v>#N/A</v>
      </c>
      <c r="N3" s="1" t="e">
        <f>[2]Urban_area_finals!N88/[2]Urban_area_finals!$G88</f>
        <v>#N/A</v>
      </c>
      <c r="O3" s="1" t="e">
        <f>[2]Urban_area_finals!O88/[2]Urban_area_finals!$G88</f>
        <v>#N/A</v>
      </c>
      <c r="P3" s="1" t="e">
        <f>[2]Urban_area_finals!P88/[2]Urban_area_finals!$G88</f>
        <v>#N/A</v>
      </c>
      <c r="Q3" s="1" t="e">
        <f>[2]Urban_area_finals!Q88/[2]Urban_area_finals!$G88</f>
        <v>#N/A</v>
      </c>
      <c r="R3" s="1" t="e">
        <f>[2]Urban_area_finals!R88/[2]Urban_area_finals!$G88</f>
        <v>#N/A</v>
      </c>
      <c r="S3" s="1" t="e">
        <f>[2]Urban_area_finals!S88/[2]Urban_area_finals!$G88</f>
        <v>#N/A</v>
      </c>
      <c r="T3" s="1" t="e">
        <f>[2]Urban_area_finals!T88/[2]Urban_area_finals!$G88</f>
        <v>#N/A</v>
      </c>
      <c r="U3" s="1" t="e">
        <f>[2]Urban_area_finals!U88/[2]Urban_area_finals!$G88</f>
        <v>#N/A</v>
      </c>
      <c r="V3" s="1" t="e">
        <f>[2]Urban_area_finals!V88/[2]Urban_area_finals!$G88</f>
        <v>#N/A</v>
      </c>
      <c r="W3" s="1" t="e">
        <f>[2]Urban_area_finals!W88/[2]Urban_area_finals!$G88</f>
        <v>#N/A</v>
      </c>
      <c r="X3" s="1" t="e">
        <f>[2]Urban_area_finals!X88/[2]Urban_area_finals!$G88</f>
        <v>#N/A</v>
      </c>
      <c r="Y3" s="1" t="e">
        <f>[2]Urban_area_finals!Y88/[2]Urban_area_finals!$G88</f>
        <v>#N/A</v>
      </c>
      <c r="Z3" s="1" t="e">
        <f>[2]Urban_area_finals!Z88/[2]Urban_area_finals!$G88</f>
        <v>#N/A</v>
      </c>
      <c r="AA3" s="1" t="e">
        <f>[2]Urban_area_finals!AA88/[2]Urban_area_finals!$G88</f>
        <v>#N/A</v>
      </c>
      <c r="AB3" s="1" t="e">
        <f>[2]Urban_area_finals!AB88/[2]Urban_area_finals!$G88</f>
        <v>#N/A</v>
      </c>
      <c r="AC3" s="1" t="e">
        <f>[2]Urban_area_finals!AC88/[2]Urban_area_finals!$G88</f>
        <v>#N/A</v>
      </c>
      <c r="AD3" s="1" t="e">
        <f>[2]Urban_area_finals!AD88/[2]Urban_area_finals!$G88</f>
        <v>#N/A</v>
      </c>
      <c r="AE3" s="1" t="e">
        <f>[2]Urban_area_finals!AE88/[2]Urban_area_finals!$G88</f>
        <v>#N/A</v>
      </c>
      <c r="AF3" s="1" t="e">
        <f>[2]Urban_area_finals!AF88/[2]Urban_area_finals!$G88</f>
        <v>#N/A</v>
      </c>
      <c r="AG3" s="1" t="e">
        <f>[2]Urban_area_finals!AG88/[2]Urban_area_finals!$G88</f>
        <v>#N/A</v>
      </c>
      <c r="AH3" s="1" t="e">
        <f>[2]Urban_area_finals!AH88/[2]Urban_area_finals!$G88</f>
        <v>#N/A</v>
      </c>
      <c r="AI3" s="1" t="e">
        <f>[2]Urban_area_finals!AI88/[2]Urban_area_finals!$G88</f>
        <v>#N/A</v>
      </c>
      <c r="AJ3" s="1" t="e">
        <f>[2]Urban_area_finals!AJ88/[2]Urban_area_finals!$G88</f>
        <v>#N/A</v>
      </c>
      <c r="AK3" s="1" t="e">
        <f>[2]Urban_area_finals!AK88/[2]Urban_area_finals!$G88</f>
        <v>#N/A</v>
      </c>
      <c r="AL3" s="1" t="e">
        <f>[2]Urban_area_finals!AL88/[2]Urban_area_finals!$G88</f>
        <v>#N/A</v>
      </c>
      <c r="AM3" s="1" t="e">
        <f>[2]Urban_area_finals!AM88/[2]Urban_area_finals!$G88</f>
        <v>#N/A</v>
      </c>
      <c r="AN3" s="1" t="e">
        <f>[2]Urban_area_finals!AN88/[2]Urban_area_finals!$G88</f>
        <v>#N/A</v>
      </c>
      <c r="AO3" s="1" t="e">
        <f>[2]Urban_area_finals!AO88/[2]Urban_area_finals!$G88</f>
        <v>#N/A</v>
      </c>
      <c r="AP3" s="1" t="e">
        <f>[2]Urban_area_finals!AP88/[2]Urban_area_finals!$G88</f>
        <v>#N/A</v>
      </c>
      <c r="AQ3" s="1" t="e">
        <f>[2]Urban_area_finals!AQ88/[2]Urban_area_finals!$G88</f>
        <v>#N/A</v>
      </c>
      <c r="AR3" s="1" t="e">
        <f>[2]Urban_area_finals!AR88/[2]Urban_area_finals!$G88</f>
        <v>#N/A</v>
      </c>
      <c r="AS3" s="1" t="e">
        <f>[2]Urban_area_finals!AS88/[2]Urban_area_finals!$G88</f>
        <v>#N/A</v>
      </c>
      <c r="AT3" s="1" t="e">
        <f>[2]Urban_area_finals!AT88/[2]Urban_area_finals!$G88</f>
        <v>#N/A</v>
      </c>
      <c r="AU3" s="1" t="e">
        <f>[2]Urban_area_finals!AU88/[2]Urban_area_finals!$G88</f>
        <v>#N/A</v>
      </c>
      <c r="AV3" s="1" t="e">
        <f>[2]Urban_area_finals!AV88/[2]Urban_area_finals!$G88</f>
        <v>#N/A</v>
      </c>
      <c r="AW3" s="1" t="e">
        <f>[2]Urban_area_finals!AW88/[2]Urban_area_finals!$G88</f>
        <v>#N/A</v>
      </c>
      <c r="AX3" s="1" t="e">
        <f>[2]Urban_area_finals!AX88/[2]Urban_area_finals!$G88</f>
        <v>#N/A</v>
      </c>
      <c r="AY3" s="1" t="e">
        <f>[2]Urban_area_finals!AY88/[2]Urban_area_finals!$G88</f>
        <v>#N/A</v>
      </c>
    </row>
    <row r="4" spans="1:51" x14ac:dyDescent="0.25">
      <c r="A4" t="s">
        <v>262</v>
      </c>
      <c r="B4" t="s">
        <v>263</v>
      </c>
      <c r="C4" t="s">
        <v>264</v>
      </c>
      <c r="D4" t="s">
        <v>65</v>
      </c>
      <c r="E4" t="s">
        <v>66</v>
      </c>
      <c r="F4" t="s">
        <v>66</v>
      </c>
      <c r="G4">
        <v>57078.573019018062</v>
      </c>
      <c r="H4">
        <v>2860.115137039993</v>
      </c>
      <c r="I4">
        <f>Table2[[#This Row],[FUA_area]]+Table2[[#This Row],[FUA_urban]]</f>
        <v>59938.688156058051</v>
      </c>
      <c r="J4">
        <v>4114644</v>
      </c>
      <c r="K4" s="1" t="e">
        <f>[2]Urban_area_finals!K133/[2]Urban_area_finals!$G133</f>
        <v>#N/A</v>
      </c>
      <c r="L4" s="1" t="e">
        <f>[2]Urban_area_finals!L133/[2]Urban_area_finals!$G133</f>
        <v>#N/A</v>
      </c>
      <c r="M4" s="1" t="e">
        <f>[2]Urban_area_finals!M133/[2]Urban_area_finals!$G133</f>
        <v>#N/A</v>
      </c>
      <c r="N4" s="1" t="e">
        <f>[2]Urban_area_finals!N133/[2]Urban_area_finals!$G133</f>
        <v>#N/A</v>
      </c>
      <c r="O4" s="1" t="e">
        <f>[2]Urban_area_finals!O133/[2]Urban_area_finals!$G133</f>
        <v>#N/A</v>
      </c>
      <c r="P4" s="1" t="e">
        <f>[2]Urban_area_finals!P133/[2]Urban_area_finals!$G133</f>
        <v>#N/A</v>
      </c>
      <c r="Q4" s="1" t="e">
        <f>[2]Urban_area_finals!Q133/[2]Urban_area_finals!$G133</f>
        <v>#N/A</v>
      </c>
      <c r="R4" s="1" t="e">
        <f>[2]Urban_area_finals!R133/[2]Urban_area_finals!$G133</f>
        <v>#N/A</v>
      </c>
      <c r="S4" s="1" t="e">
        <f>[2]Urban_area_finals!S133/[2]Urban_area_finals!$G133</f>
        <v>#N/A</v>
      </c>
      <c r="T4" s="1" t="e">
        <f>[2]Urban_area_finals!T133/[2]Urban_area_finals!$G133</f>
        <v>#N/A</v>
      </c>
      <c r="U4" s="1" t="e">
        <f>[2]Urban_area_finals!U133/[2]Urban_area_finals!$G133</f>
        <v>#N/A</v>
      </c>
      <c r="V4" s="1" t="e">
        <f>[2]Urban_area_finals!V133/[2]Urban_area_finals!$G133</f>
        <v>#N/A</v>
      </c>
      <c r="W4" s="1" t="e">
        <f>[2]Urban_area_finals!W133/[2]Urban_area_finals!$G133</f>
        <v>#N/A</v>
      </c>
      <c r="X4" s="1" t="e">
        <f>[2]Urban_area_finals!X133/[2]Urban_area_finals!$G133</f>
        <v>#N/A</v>
      </c>
      <c r="Y4" s="1" t="e">
        <f>[2]Urban_area_finals!Y133/[2]Urban_area_finals!$G133</f>
        <v>#N/A</v>
      </c>
      <c r="Z4" s="1" t="e">
        <f>[2]Urban_area_finals!Z133/[2]Urban_area_finals!$G133</f>
        <v>#N/A</v>
      </c>
      <c r="AA4" s="1" t="e">
        <f>[2]Urban_area_finals!AA133/[2]Urban_area_finals!$G133</f>
        <v>#N/A</v>
      </c>
      <c r="AB4" s="1" t="e">
        <f>[2]Urban_area_finals!AB133/[2]Urban_area_finals!$G133</f>
        <v>#N/A</v>
      </c>
      <c r="AC4" s="1" t="e">
        <f>[2]Urban_area_finals!AC133/[2]Urban_area_finals!$G133</f>
        <v>#N/A</v>
      </c>
      <c r="AD4" s="1" t="e">
        <f>[2]Urban_area_finals!AD133/[2]Urban_area_finals!$G133</f>
        <v>#N/A</v>
      </c>
      <c r="AE4" s="1" t="e">
        <f>[2]Urban_area_finals!AE133/[2]Urban_area_finals!$G133</f>
        <v>#N/A</v>
      </c>
      <c r="AF4" s="1" t="e">
        <f>[2]Urban_area_finals!AF133/[2]Urban_area_finals!$G133</f>
        <v>#N/A</v>
      </c>
      <c r="AG4" s="1" t="e">
        <f>[2]Urban_area_finals!AG133/[2]Urban_area_finals!$G133</f>
        <v>#N/A</v>
      </c>
      <c r="AH4" s="1" t="e">
        <f>[2]Urban_area_finals!AH133/[2]Urban_area_finals!$G133</f>
        <v>#N/A</v>
      </c>
      <c r="AI4" s="1" t="e">
        <f>[2]Urban_area_finals!AI133/[2]Urban_area_finals!$G133</f>
        <v>#N/A</v>
      </c>
      <c r="AJ4" s="1" t="e">
        <f>[2]Urban_area_finals!AJ133/[2]Urban_area_finals!$G133</f>
        <v>#N/A</v>
      </c>
      <c r="AK4" s="1" t="e">
        <f>[2]Urban_area_finals!AK133/[2]Urban_area_finals!$G133</f>
        <v>#N/A</v>
      </c>
      <c r="AL4" s="1" t="e">
        <f>[2]Urban_area_finals!AL133/[2]Urban_area_finals!$G133</f>
        <v>#N/A</v>
      </c>
      <c r="AM4" s="1" t="e">
        <f>[2]Urban_area_finals!AM133/[2]Urban_area_finals!$G133</f>
        <v>#N/A</v>
      </c>
      <c r="AN4" s="1" t="e">
        <f>[2]Urban_area_finals!AN133/[2]Urban_area_finals!$G133</f>
        <v>#N/A</v>
      </c>
      <c r="AO4" s="1" t="e">
        <f>[2]Urban_area_finals!AO133/[2]Urban_area_finals!$G133</f>
        <v>#N/A</v>
      </c>
      <c r="AP4" s="1" t="e">
        <f>[2]Urban_area_finals!AP133/[2]Urban_area_finals!$G133</f>
        <v>#N/A</v>
      </c>
      <c r="AQ4" s="1" t="e">
        <f>[2]Urban_area_finals!AQ133/[2]Urban_area_finals!$G133</f>
        <v>#N/A</v>
      </c>
      <c r="AR4" s="1" t="e">
        <f>[2]Urban_area_finals!AR133/[2]Urban_area_finals!$G133</f>
        <v>#N/A</v>
      </c>
      <c r="AS4" s="1" t="e">
        <f>[2]Urban_area_finals!AS133/[2]Urban_area_finals!$G133</f>
        <v>#N/A</v>
      </c>
      <c r="AT4" s="1" t="e">
        <f>[2]Urban_area_finals!AT133/[2]Urban_area_finals!$G133</f>
        <v>#N/A</v>
      </c>
      <c r="AU4" s="1" t="e">
        <f>[2]Urban_area_finals!AU133/[2]Urban_area_finals!$G133</f>
        <v>#N/A</v>
      </c>
      <c r="AV4" s="1" t="e">
        <f>[2]Urban_area_finals!AV133/[2]Urban_area_finals!$G133</f>
        <v>#N/A</v>
      </c>
      <c r="AW4" s="1" t="e">
        <f>[2]Urban_area_finals!AW133/[2]Urban_area_finals!$G133</f>
        <v>#N/A</v>
      </c>
      <c r="AX4" s="1" t="e">
        <f>[2]Urban_area_finals!AX133/[2]Urban_area_finals!$G133</f>
        <v>#N/A</v>
      </c>
      <c r="AY4" s="1" t="e">
        <f>[2]Urban_area_finals!AY133/[2]Urban_area_finals!$G133</f>
        <v>#N/A</v>
      </c>
    </row>
    <row r="5" spans="1:51" x14ac:dyDescent="0.25">
      <c r="A5" t="s">
        <v>409</v>
      </c>
      <c r="B5" t="s">
        <v>410</v>
      </c>
      <c r="C5" t="s">
        <v>411</v>
      </c>
      <c r="D5" t="s">
        <v>91</v>
      </c>
      <c r="E5" t="s">
        <v>66</v>
      </c>
      <c r="F5" t="s">
        <v>66</v>
      </c>
      <c r="G5">
        <v>37686.935422500908</v>
      </c>
      <c r="H5">
        <v>19552.703166120009</v>
      </c>
      <c r="I5">
        <f>Table2[[#This Row],[FUA_area]]+Table2[[#This Row],[FUA_urban]]</f>
        <v>57239.638588620917</v>
      </c>
      <c r="J5">
        <v>17402279</v>
      </c>
      <c r="K5" s="1" t="e">
        <f>[2]Urban_area_finals!K107/[2]Urban_area_finals!$G107</f>
        <v>#N/A</v>
      </c>
      <c r="L5" s="1" t="e">
        <f>[2]Urban_area_finals!L107/[2]Urban_area_finals!$G107</f>
        <v>#N/A</v>
      </c>
      <c r="M5" s="1" t="e">
        <f>[2]Urban_area_finals!M107/[2]Urban_area_finals!$G107</f>
        <v>#N/A</v>
      </c>
      <c r="N5" s="1" t="e">
        <f>[2]Urban_area_finals!N107/[2]Urban_area_finals!$G107</f>
        <v>#N/A</v>
      </c>
      <c r="O5" s="1" t="e">
        <f>[2]Urban_area_finals!O107/[2]Urban_area_finals!$G107</f>
        <v>#N/A</v>
      </c>
      <c r="P5" s="1" t="e">
        <f>[2]Urban_area_finals!P107/[2]Urban_area_finals!$G107</f>
        <v>#N/A</v>
      </c>
      <c r="Q5" s="1" t="e">
        <f>[2]Urban_area_finals!Q107/[2]Urban_area_finals!$G107</f>
        <v>#N/A</v>
      </c>
      <c r="R5" s="1" t="e">
        <f>[2]Urban_area_finals!R107/[2]Urban_area_finals!$G107</f>
        <v>#N/A</v>
      </c>
      <c r="S5" s="1" t="e">
        <f>[2]Urban_area_finals!S107/[2]Urban_area_finals!$G107</f>
        <v>#N/A</v>
      </c>
      <c r="T5" s="1" t="e">
        <f>[2]Urban_area_finals!T107/[2]Urban_area_finals!$G107</f>
        <v>#N/A</v>
      </c>
      <c r="U5" s="1" t="e">
        <f>[2]Urban_area_finals!U107/[2]Urban_area_finals!$G107</f>
        <v>#N/A</v>
      </c>
      <c r="V5" s="1" t="e">
        <f>[2]Urban_area_finals!V107/[2]Urban_area_finals!$G107</f>
        <v>#N/A</v>
      </c>
      <c r="W5" s="1" t="e">
        <f>[2]Urban_area_finals!W107/[2]Urban_area_finals!$G107</f>
        <v>#N/A</v>
      </c>
      <c r="X5" s="1" t="e">
        <f>[2]Urban_area_finals!X107/[2]Urban_area_finals!$G107</f>
        <v>#N/A</v>
      </c>
      <c r="Y5" s="1" t="e">
        <f>[2]Urban_area_finals!Y107/[2]Urban_area_finals!$G107</f>
        <v>#N/A</v>
      </c>
      <c r="Z5" s="1" t="e">
        <f>[2]Urban_area_finals!Z107/[2]Urban_area_finals!$G107</f>
        <v>#N/A</v>
      </c>
      <c r="AA5" s="1" t="e">
        <f>[2]Urban_area_finals!AA107/[2]Urban_area_finals!$G107</f>
        <v>#N/A</v>
      </c>
      <c r="AB5" s="1" t="e">
        <f>[2]Urban_area_finals!AB107/[2]Urban_area_finals!$G107</f>
        <v>#N/A</v>
      </c>
      <c r="AC5" s="1" t="e">
        <f>[2]Urban_area_finals!AC107/[2]Urban_area_finals!$G107</f>
        <v>#N/A</v>
      </c>
      <c r="AD5" s="1" t="e">
        <f>[2]Urban_area_finals!AD107/[2]Urban_area_finals!$G107</f>
        <v>#N/A</v>
      </c>
      <c r="AE5" s="1" t="e">
        <f>[2]Urban_area_finals!AE107/[2]Urban_area_finals!$G107</f>
        <v>#N/A</v>
      </c>
      <c r="AF5" s="1" t="e">
        <f>[2]Urban_area_finals!AF107/[2]Urban_area_finals!$G107</f>
        <v>#N/A</v>
      </c>
      <c r="AG5" s="1" t="e">
        <f>[2]Urban_area_finals!AG107/[2]Urban_area_finals!$G107</f>
        <v>#N/A</v>
      </c>
      <c r="AH5" s="1" t="e">
        <f>[2]Urban_area_finals!AH107/[2]Urban_area_finals!$G107</f>
        <v>#N/A</v>
      </c>
      <c r="AI5" s="1" t="e">
        <f>[2]Urban_area_finals!AI107/[2]Urban_area_finals!$G107</f>
        <v>#N/A</v>
      </c>
      <c r="AJ5" s="1" t="e">
        <f>[2]Urban_area_finals!AJ107/[2]Urban_area_finals!$G107</f>
        <v>#N/A</v>
      </c>
      <c r="AK5" s="1" t="e">
        <f>[2]Urban_area_finals!AK107/[2]Urban_area_finals!$G107</f>
        <v>#N/A</v>
      </c>
      <c r="AL5" s="1" t="e">
        <f>[2]Urban_area_finals!AL107/[2]Urban_area_finals!$G107</f>
        <v>#N/A</v>
      </c>
      <c r="AM5" s="1" t="e">
        <f>[2]Urban_area_finals!AM107/[2]Urban_area_finals!$G107</f>
        <v>#N/A</v>
      </c>
      <c r="AN5" s="1" t="e">
        <f>[2]Urban_area_finals!AN107/[2]Urban_area_finals!$G107</f>
        <v>#N/A</v>
      </c>
      <c r="AO5" s="1" t="e">
        <f>[2]Urban_area_finals!AO107/[2]Urban_area_finals!$G107</f>
        <v>#N/A</v>
      </c>
      <c r="AP5" s="1" t="e">
        <f>[2]Urban_area_finals!AP107/[2]Urban_area_finals!$G107</f>
        <v>#N/A</v>
      </c>
      <c r="AQ5" s="1" t="e">
        <f>[2]Urban_area_finals!AQ107/[2]Urban_area_finals!$G107</f>
        <v>#N/A</v>
      </c>
      <c r="AR5" s="1" t="e">
        <f>[2]Urban_area_finals!AR107/[2]Urban_area_finals!$G107</f>
        <v>#N/A</v>
      </c>
      <c r="AS5" s="1" t="e">
        <f>[2]Urban_area_finals!AS107/[2]Urban_area_finals!$G107</f>
        <v>#N/A</v>
      </c>
      <c r="AT5" s="1" t="e">
        <f>[2]Urban_area_finals!AT107/[2]Urban_area_finals!$G107</f>
        <v>#N/A</v>
      </c>
      <c r="AU5" s="1" t="e">
        <f>[2]Urban_area_finals!AU107/[2]Urban_area_finals!$G107</f>
        <v>#N/A</v>
      </c>
      <c r="AV5" s="1" t="e">
        <f>[2]Urban_area_finals!AV107/[2]Urban_area_finals!$G107</f>
        <v>#N/A</v>
      </c>
      <c r="AW5" s="1" t="e">
        <f>[2]Urban_area_finals!AW107/[2]Urban_area_finals!$G107</f>
        <v>#N/A</v>
      </c>
      <c r="AX5" s="1" t="e">
        <f>[2]Urban_area_finals!AX107/[2]Urban_area_finals!$G107</f>
        <v>#N/A</v>
      </c>
      <c r="AY5" s="1" t="e">
        <f>[2]Urban_area_finals!AY107/[2]Urban_area_finals!$G107</f>
        <v>#N/A</v>
      </c>
    </row>
    <row r="6" spans="1:51" x14ac:dyDescent="0.25">
      <c r="A6" t="s">
        <v>499</v>
      </c>
      <c r="B6" t="s">
        <v>500</v>
      </c>
      <c r="C6" t="s">
        <v>501</v>
      </c>
      <c r="D6" t="s">
        <v>65</v>
      </c>
      <c r="E6" t="s">
        <v>66</v>
      </c>
      <c r="F6" t="s">
        <v>66</v>
      </c>
      <c r="G6">
        <v>19956.762000219151</v>
      </c>
      <c r="H6">
        <v>837.22181462520678</v>
      </c>
      <c r="I6">
        <f>Table2[[#This Row],[FUA_area]]+Table2[[#This Row],[FUA_urban]]</f>
        <v>20793.983814844356</v>
      </c>
      <c r="J6">
        <v>2116256</v>
      </c>
      <c r="K6" s="1">
        <f>[2]Urban_area_finals!K98/[2]Urban_area_finals!$G98</f>
        <v>0.18740418497466041</v>
      </c>
      <c r="L6" s="1">
        <f>[2]Urban_area_finals!L98/[2]Urban_area_finals!$G98</f>
        <v>0.20882180611462159</v>
      </c>
      <c r="M6" s="1">
        <f>[2]Urban_area_finals!M98/[2]Urban_area_finals!$G98</f>
        <v>0.23023942725458282</v>
      </c>
      <c r="N6" s="1">
        <f>[2]Urban_area_finals!N98/[2]Urban_area_finals!$G98</f>
        <v>0.25701145367953432</v>
      </c>
      <c r="O6" s="1">
        <f>[2]Urban_area_finals!O98/[2]Urban_area_finals!$G98</f>
        <v>0.29984669595945662</v>
      </c>
      <c r="P6" s="1">
        <f>[2]Urban_area_finals!P98/[2]Urban_area_finals!$G98</f>
        <v>0.3319731276693984</v>
      </c>
      <c r="Q6" s="1">
        <f>[2]Urban_area_finals!Q98/[2]Urban_area_finals!$G98</f>
        <v>0.36409955937934024</v>
      </c>
      <c r="R6" s="1">
        <f>[2]Urban_area_finals!R98/[2]Urban_area_finals!$G98</f>
        <v>0.39622599108928203</v>
      </c>
      <c r="S6" s="1">
        <f>[2]Urban_area_finals!S98/[2]Urban_area_finals!$G98</f>
        <v>0.42835242279922381</v>
      </c>
      <c r="T6" s="1">
        <f>[2]Urban_area_finals!T98/[2]Urban_area_finals!$G98</f>
        <v>0.42835242279922381</v>
      </c>
      <c r="U6" s="1">
        <f>[2]Urban_area_finals!U98/[2]Urban_area_finals!$G98</f>
        <v>0.42835242279922381</v>
      </c>
      <c r="V6" s="1">
        <f>[2]Urban_area_finals!V98/[2]Urban_area_finals!$G98</f>
        <v>0.46047885450916565</v>
      </c>
      <c r="W6" s="1">
        <f>[2]Urban_area_finals!W98/[2]Urban_area_finals!$G98</f>
        <v>0.50866850207407821</v>
      </c>
      <c r="X6" s="1">
        <f>[2]Urban_area_finals!X98/[2]Urban_area_finals!$G98</f>
        <v>0.51937731264405884</v>
      </c>
      <c r="Y6" s="1">
        <f>[2]Urban_area_finals!Y98/[2]Urban_area_finals!$G98</f>
        <v>0.52473171792904916</v>
      </c>
      <c r="Z6" s="1">
        <f>[2]Urban_area_finals!Z98/[2]Urban_area_finals!$G98</f>
        <v>0.55685814963899094</v>
      </c>
      <c r="AA6" s="1">
        <f>[2]Urban_area_finals!AA98/[2]Urban_area_finals!$G98</f>
        <v>0.56221255492398126</v>
      </c>
      <c r="AB6" s="1">
        <f>[2]Urban_area_finals!AB98/[2]Urban_area_finals!$G98</f>
        <v>0.56756696020897157</v>
      </c>
      <c r="AC6" s="1">
        <f>[2]Urban_area_finals!AC98/[2]Urban_area_finals!$G98</f>
        <v>0.57292136549396178</v>
      </c>
      <c r="AD6" s="1">
        <f>[2]Urban_area_finals!AD98/[2]Urban_area_finals!$G98</f>
        <v>0.61040220248889387</v>
      </c>
      <c r="AE6" s="1">
        <f>[2]Urban_area_finals!AE98/[2]Urban_area_finals!$G98</f>
        <v>0.61575660777388419</v>
      </c>
      <c r="AF6" s="1">
        <f>[2]Urban_area_finals!AF98/[2]Urban_area_finals!$G98</f>
        <v>0.61575660777388419</v>
      </c>
      <c r="AG6" s="1">
        <f>[2]Urban_area_finals!AG98/[2]Urban_area_finals!$G98</f>
        <v>0.62646541834386482</v>
      </c>
      <c r="AH6" s="1">
        <f>[2]Urban_area_finals!AH98/[2]Urban_area_finals!$G98</f>
        <v>0.62646541834386482</v>
      </c>
      <c r="AI6" s="1">
        <f>[2]Urban_area_finals!AI98/[2]Urban_area_finals!$G98</f>
        <v>0.62646541834386482</v>
      </c>
      <c r="AJ6" s="1">
        <f>[2]Urban_area_finals!AJ98/[2]Urban_area_finals!$G98</f>
        <v>0.63717422891384545</v>
      </c>
      <c r="AK6" s="1">
        <f>[2]Urban_area_finals!AK98/[2]Urban_area_finals!$G98</f>
        <v>0.63717422891384545</v>
      </c>
      <c r="AL6" s="1">
        <f>[2]Urban_area_finals!AL98/[2]Urban_area_finals!$G98</f>
        <v>0.64788303948382597</v>
      </c>
      <c r="AM6" s="1">
        <f>[2]Urban_area_finals!AM98/[2]Urban_area_finals!$G98</f>
        <v>0.64788303948382597</v>
      </c>
      <c r="AN6" s="1">
        <f>[2]Urban_area_finals!AN98/[2]Urban_area_finals!$G98</f>
        <v>0.66394625533879681</v>
      </c>
      <c r="AO6" s="1">
        <f>[2]Urban_area_finals!AO98/[2]Urban_area_finals!$G98</f>
        <v>0.67465506590877744</v>
      </c>
      <c r="AP6" s="1">
        <f>[2]Urban_area_finals!AP98/[2]Urban_area_finals!$G98</f>
        <v>0.69607268704873859</v>
      </c>
      <c r="AQ6" s="1">
        <f>[2]Urban_area_finals!AQ98/[2]Urban_area_finals!$G98</f>
        <v>0.72819911875868049</v>
      </c>
      <c r="AR6" s="1">
        <f>[2]Urban_area_finals!AR98/[2]Urban_area_finals!$G98</f>
        <v>0.74426233461365132</v>
      </c>
      <c r="AS6" s="1">
        <f>[2]Urban_area_finals!AS98/[2]Urban_area_finals!$G98</f>
        <v>0.80851519803353489</v>
      </c>
      <c r="AT6" s="1">
        <f>[2]Urban_area_finals!AT98/[2]Urban_area_finals!$G98</f>
        <v>0.80851519803353489</v>
      </c>
      <c r="AU6" s="1">
        <f>[2]Urban_area_finals!AU98/[2]Urban_area_finals!$G98</f>
        <v>0.80851519803353489</v>
      </c>
      <c r="AV6" s="1">
        <f>[2]Urban_area_finals!AV98/[2]Urban_area_finals!$G98</f>
        <v>0.80851519803353489</v>
      </c>
      <c r="AW6" s="1">
        <f>[2]Urban_area_finals!AW98/[2]Urban_area_finals!$G98</f>
        <v>0.80851519803353489</v>
      </c>
      <c r="AX6" s="1">
        <f>[2]Urban_area_finals!AX98/[2]Urban_area_finals!$G98</f>
        <v>0.80851519803353489</v>
      </c>
      <c r="AY6" s="1">
        <f>[2]Urban_area_finals!AY98/[2]Urban_area_finals!$G98</f>
        <v>0.80851519803353489</v>
      </c>
    </row>
    <row r="7" spans="1:51" x14ac:dyDescent="0.25">
      <c r="A7" t="s">
        <v>299</v>
      </c>
      <c r="B7" t="s">
        <v>300</v>
      </c>
      <c r="C7" t="s">
        <v>301</v>
      </c>
      <c r="D7" t="s">
        <v>70</v>
      </c>
      <c r="E7" t="s">
        <v>71</v>
      </c>
      <c r="F7" t="s">
        <v>70</v>
      </c>
      <c r="G7">
        <v>89194.609916811387</v>
      </c>
      <c r="H7">
        <v>2313.1649519036928</v>
      </c>
      <c r="I7">
        <f>Table2[[#This Row],[FUA_area]]+Table2[[#This Row],[FUA_urban]]</f>
        <v>91507.774868715074</v>
      </c>
      <c r="J7">
        <v>10817082</v>
      </c>
      <c r="K7" s="1">
        <f>[2]Urban_area_finals!K17/[2]Urban_area_finals!$G17</f>
        <v>0</v>
      </c>
      <c r="L7" s="1">
        <f>[2]Urban_area_finals!L17/[2]Urban_area_finals!$G17</f>
        <v>0</v>
      </c>
      <c r="M7" s="1">
        <f>[2]Urban_area_finals!M17/[2]Urban_area_finals!$G17</f>
        <v>0</v>
      </c>
      <c r="N7" s="1">
        <f>[2]Urban_area_finals!N17/[2]Urban_area_finals!$G17</f>
        <v>0</v>
      </c>
      <c r="O7" s="1">
        <f>[2]Urban_area_finals!O17/[2]Urban_area_finals!$G17</f>
        <v>0</v>
      </c>
      <c r="P7" s="1">
        <f>[2]Urban_area_finals!P17/[2]Urban_area_finals!$G17</f>
        <v>0</v>
      </c>
      <c r="Q7" s="1">
        <f>[2]Urban_area_finals!Q17/[2]Urban_area_finals!$G17</f>
        <v>0</v>
      </c>
      <c r="R7" s="1">
        <f>[2]Urban_area_finals!R17/[2]Urban_area_finals!$G17</f>
        <v>0</v>
      </c>
      <c r="S7" s="1">
        <f>[2]Urban_area_finals!S17/[2]Urban_area_finals!$G17</f>
        <v>0</v>
      </c>
      <c r="T7" s="1">
        <f>[2]Urban_area_finals!T17/[2]Urban_area_finals!$G17</f>
        <v>0</v>
      </c>
      <c r="U7" s="1">
        <f>[2]Urban_area_finals!U17/[2]Urban_area_finals!$G17</f>
        <v>0</v>
      </c>
      <c r="V7" s="1">
        <f>[2]Urban_area_finals!V17/[2]Urban_area_finals!$G17</f>
        <v>0</v>
      </c>
      <c r="W7" s="1">
        <f>[2]Urban_area_finals!W17/[2]Urban_area_finals!$G17</f>
        <v>0</v>
      </c>
      <c r="X7" s="1">
        <f>[2]Urban_area_finals!X17/[2]Urban_area_finals!$G17</f>
        <v>0.3084246833810359</v>
      </c>
      <c r="Y7" s="1">
        <f>[2]Urban_area_finals!Y17/[2]Urban_area_finals!$G17</f>
        <v>0.32195208177494095</v>
      </c>
      <c r="Z7" s="1">
        <f>[2]Urban_area_finals!Z17/[2]Urban_area_finals!$G17</f>
        <v>0.32736304113250303</v>
      </c>
      <c r="AA7" s="1">
        <f>[2]Urban_area_finals!AA17/[2]Urban_area_finals!$G17</f>
        <v>0.33006852081128396</v>
      </c>
      <c r="AB7" s="1">
        <f>[2]Urban_area_finals!AB17/[2]Urban_area_finals!$G17</f>
        <v>0.33142126065067445</v>
      </c>
      <c r="AC7" s="1">
        <f>[2]Urban_area_finals!AC17/[2]Urban_area_finals!$G17</f>
        <v>0.33142126065067445</v>
      </c>
      <c r="AD7" s="1">
        <f>[2]Urban_area_finals!AD17/[2]Urban_area_finals!$G17</f>
        <v>0.332774000490065</v>
      </c>
      <c r="AE7" s="1">
        <f>[2]Urban_area_finals!AE17/[2]Urban_area_finals!$G17</f>
        <v>0.3341267403294555</v>
      </c>
      <c r="AF7" s="1">
        <f>[2]Urban_area_finals!AF17/[2]Urban_area_finals!$G17</f>
        <v>0.3341267403294555</v>
      </c>
      <c r="AG7" s="1">
        <f>[2]Urban_area_finals!AG17/[2]Urban_area_finals!$G17</f>
        <v>0.33818495984762703</v>
      </c>
      <c r="AH7" s="1">
        <f>[2]Urban_area_finals!AH17/[2]Urban_area_finals!$G17</f>
        <v>0.34630139888397005</v>
      </c>
      <c r="AI7" s="1">
        <f>[2]Urban_area_finals!AI17/[2]Urban_area_finals!$G17</f>
        <v>0.35171235824153213</v>
      </c>
      <c r="AJ7" s="1">
        <f>[2]Urban_area_finals!AJ17/[2]Urban_area_finals!$G17</f>
        <v>0.35306509808092262</v>
      </c>
      <c r="AK7" s="1">
        <f>[2]Urban_area_finals!AK17/[2]Urban_area_finals!$G17</f>
        <v>0.35577057775970361</v>
      </c>
      <c r="AL7" s="1">
        <f>[2]Urban_area_finals!AL17/[2]Urban_area_finals!$G17</f>
        <v>0.35712331759909416</v>
      </c>
      <c r="AM7" s="1">
        <f>[2]Urban_area_finals!AM17/[2]Urban_area_finals!$G17</f>
        <v>0.38553085422629485</v>
      </c>
      <c r="AN7" s="1">
        <f>[2]Urban_area_finals!AN17/[2]Urban_area_finals!$G17</f>
        <v>0.39770551278080934</v>
      </c>
      <c r="AO7" s="1">
        <f>[2]Urban_area_finals!AO17/[2]Urban_area_finals!$G17</f>
        <v>0.4247603095686196</v>
      </c>
      <c r="AP7" s="1">
        <f>[2]Urban_area_finals!AP17/[2]Urban_area_finals!$G17</f>
        <v>0.48157538282302093</v>
      </c>
      <c r="AQ7" s="1">
        <f>[2]Urban_area_finals!AQ17/[2]Urban_area_finals!$G17</f>
        <v>0.56409251302584196</v>
      </c>
      <c r="AR7" s="1">
        <f>[2]Urban_area_finals!AR17/[2]Urban_area_finals!$G17</f>
        <v>0.61279114724390016</v>
      </c>
      <c r="AS7" s="1">
        <f>[2]Urban_area_finals!AS17/[2]Urban_area_finals!$G17</f>
        <v>0.63578772451353893</v>
      </c>
      <c r="AT7" s="1">
        <f>[2]Urban_area_finals!AT17/[2]Urban_area_finals!$G17</f>
        <v>0.73318499294965545</v>
      </c>
      <c r="AU7" s="1">
        <f>[2]Urban_area_finals!AU17/[2]Urban_area_finals!$G17</f>
        <v>0.73318499294965545</v>
      </c>
      <c r="AV7" s="1">
        <f>[2]Urban_area_finals!AV17/[2]Urban_area_finals!$G17</f>
        <v>0.73318499294965545</v>
      </c>
      <c r="AW7" s="1">
        <f>[2]Urban_area_finals!AW17/[2]Urban_area_finals!$G17</f>
        <v>0.73318499294965545</v>
      </c>
      <c r="AX7" s="1">
        <f>[2]Urban_area_finals!AX17/[2]Urban_area_finals!$G17</f>
        <v>0.73318499294965545</v>
      </c>
      <c r="AY7" s="1">
        <f>[2]Urban_area_finals!AY17/[2]Urban_area_finals!$G17</f>
        <v>0.73318499294965545</v>
      </c>
    </row>
    <row r="8" spans="1:51" x14ac:dyDescent="0.25">
      <c r="A8" t="s">
        <v>529</v>
      </c>
      <c r="B8" t="s">
        <v>530</v>
      </c>
      <c r="C8" t="s">
        <v>531</v>
      </c>
      <c r="D8" t="s">
        <v>530</v>
      </c>
      <c r="E8" t="s">
        <v>66</v>
      </c>
      <c r="F8" t="s">
        <v>66</v>
      </c>
      <c r="G8">
        <v>780704.35801202187</v>
      </c>
      <c r="H8">
        <v>21060.103635891948</v>
      </c>
      <c r="I8">
        <f>Table2[[#This Row],[FUA_area]]+Table2[[#This Row],[FUA_urban]]</f>
        <v>801764.46164791379</v>
      </c>
      <c r="J8">
        <v>83811677</v>
      </c>
      <c r="K8" s="1">
        <f>[2]Urban_area_finals!K111/[2]Urban_area_finals!$G111</f>
        <v>4.3882999068487583E-2</v>
      </c>
      <c r="L8" s="1">
        <f>[2]Urban_area_finals!L111/[2]Urban_area_finals!$G111</f>
        <v>5.0323658296502191E-2</v>
      </c>
      <c r="M8" s="1">
        <f>[2]Urban_area_finals!M111/[2]Urban_area_finals!$G111</f>
        <v>5.8158191536549809E-2</v>
      </c>
      <c r="N8" s="1">
        <f>[2]Urban_area_finals!N111/[2]Urban_area_finals!$G111</f>
        <v>6.7771115757467137E-2</v>
      </c>
      <c r="O8" s="1">
        <f>[2]Urban_area_finals!O111/[2]Urban_area_finals!$G111</f>
        <v>7.9595012549195432E-2</v>
      </c>
      <c r="P8" s="1">
        <f>[2]Urban_area_finals!P111/[2]Urban_area_finals!$G111</f>
        <v>9.2428266384120064E-2</v>
      </c>
      <c r="Q8" s="1">
        <f>[2]Urban_area_finals!Q111/[2]Urban_area_finals!$G111</f>
        <v>0.10800120362200613</v>
      </c>
      <c r="R8" s="1">
        <f>[2]Urban_area_finals!R111/[2]Urban_area_finals!$G111</f>
        <v>0.12256478381669587</v>
      </c>
      <c r="S8" s="1">
        <f>[2]Urban_area_finals!S111/[2]Urban_area_finals!$G111</f>
        <v>0.13977191817213788</v>
      </c>
      <c r="T8" s="1">
        <f>[2]Urban_area_finals!T111/[2]Urban_area_finals!$G111</f>
        <v>0.1647655211465229</v>
      </c>
      <c r="U8" s="1">
        <f>[2]Urban_area_finals!U111/[2]Urban_area_finals!$G111</f>
        <v>0.19321977684043823</v>
      </c>
      <c r="V8" s="1">
        <f>[2]Urban_area_finals!V111/[2]Urban_area_finals!$G111</f>
        <v>0.21946305996354248</v>
      </c>
      <c r="W8" s="1">
        <f>[2]Urban_area_finals!W111/[2]Urban_area_finals!$G111</f>
        <v>0.2460908600554835</v>
      </c>
      <c r="X8" s="1">
        <f>[2]Urban_area_finals!X111/[2]Urban_area_finals!$G111</f>
        <v>0.25642475359296962</v>
      </c>
      <c r="Y8" s="1">
        <f>[2]Urban_area_finals!Y111/[2]Urban_area_finals!$G111</f>
        <v>0.29910613713384254</v>
      </c>
      <c r="Z8" s="1">
        <f>[2]Urban_area_finals!Z111/[2]Urban_area_finals!$G111</f>
        <v>0.33049233471513761</v>
      </c>
      <c r="AA8" s="1">
        <f>[2]Urban_area_finals!AA111/[2]Urban_area_finals!$G111</f>
        <v>0.34356591165558514</v>
      </c>
      <c r="AB8" s="1">
        <f>[2]Urban_area_finals!AB111/[2]Urban_area_finals!$G111</f>
        <v>0.34914140770371721</v>
      </c>
      <c r="AC8" s="1">
        <f>[2]Urban_area_finals!AC111/[2]Urban_area_finals!$G111</f>
        <v>0.35442851602522174</v>
      </c>
      <c r="AD8" s="1">
        <f>[2]Urban_area_finals!AD111/[2]Urban_area_finals!$G111</f>
        <v>0.3589465904090528</v>
      </c>
      <c r="AE8" s="1">
        <f>[2]Urban_area_finals!AE111/[2]Urban_area_finals!$G111</f>
        <v>0.3635127294139886</v>
      </c>
      <c r="AF8" s="1">
        <f>[2]Urban_area_finals!AF111/[2]Urban_area_finals!$G111</f>
        <v>0.3663966066802638</v>
      </c>
      <c r="AG8" s="1">
        <f>[2]Urban_area_finals!AG111/[2]Urban_area_finals!$G111</f>
        <v>0.36904016084101604</v>
      </c>
      <c r="AH8" s="1">
        <f>[2]Urban_area_finals!AH111/[2]Urban_area_finals!$G111</f>
        <v>0.37096274568519955</v>
      </c>
      <c r="AI8" s="1">
        <f>[2]Urban_area_finals!AI111/[2]Urban_area_finals!$G111</f>
        <v>0.37408694605699766</v>
      </c>
      <c r="AJ8" s="1">
        <f>[2]Urban_area_finals!AJ111/[2]Urban_area_finals!$G111</f>
        <v>0.37721114642879577</v>
      </c>
      <c r="AK8" s="1">
        <f>[2]Urban_area_finals!AK111/[2]Urban_area_finals!$G111</f>
        <v>0.37932598975739762</v>
      </c>
      <c r="AL8" s="1">
        <f>[2]Urban_area_finals!AL111/[2]Urban_area_finals!$G111</f>
        <v>0.3849495504266342</v>
      </c>
      <c r="AM8" s="1">
        <f>[2]Urban_area_finals!AM111/[2]Urban_area_finals!$G111</f>
        <v>0.397302158050513</v>
      </c>
      <c r="AN8" s="1">
        <f>[2]Urban_area_finals!AN111/[2]Urban_area_finals!$G111</f>
        <v>0.40417539886846887</v>
      </c>
      <c r="AO8" s="1">
        <f>[2]Urban_area_finals!AO111/[2]Urban_area_finals!$G111</f>
        <v>0.41643187725013847</v>
      </c>
      <c r="AP8" s="1">
        <f>[2]Urban_area_finals!AP111/[2]Urban_area_finals!$G111</f>
        <v>0.43032255274936398</v>
      </c>
      <c r="AQ8" s="1">
        <f>[2]Urban_area_finals!AQ111/[2]Urban_area_finals!$G111</f>
        <v>0.45406647557502983</v>
      </c>
      <c r="AR8" s="1">
        <f>[2]Urban_area_finals!AR111/[2]Urban_area_finals!$G111</f>
        <v>0.48564493164074318</v>
      </c>
      <c r="AS8" s="1">
        <f>[2]Urban_area_finals!AS111/[2]Urban_area_finals!$G111</f>
        <v>0.49972786562438704</v>
      </c>
      <c r="AT8" s="1">
        <f>[2]Urban_area_finals!AT111/[2]Urban_area_finals!$G111</f>
        <v>0.51068659923623283</v>
      </c>
      <c r="AU8" s="1">
        <f>[2]Urban_area_finals!AU111/[2]Urban_area_finals!$G111</f>
        <v>0.51881913312712891</v>
      </c>
      <c r="AV8" s="1">
        <f>[2]Urban_area_finals!AV111/[2]Urban_area_finals!$G111</f>
        <v>0.53101793396347297</v>
      </c>
      <c r="AW8" s="1">
        <f>[2]Urban_area_finals!AW111/[2]Urban_area_finals!$G111</f>
        <v>0.55139733331181773</v>
      </c>
      <c r="AX8" s="1">
        <f>[2]Urban_area_finals!AX111/[2]Urban_area_finals!$G111</f>
        <v>0.56749898138185417</v>
      </c>
      <c r="AY8" s="1">
        <f>[2]Urban_area_finals!AY111/[2]Urban_area_finals!$G111</f>
        <v>0.58783031610909431</v>
      </c>
    </row>
    <row r="9" spans="1:51" x14ac:dyDescent="0.25">
      <c r="A9" t="s">
        <v>406</v>
      </c>
      <c r="B9" t="s">
        <v>407</v>
      </c>
      <c r="C9" t="s">
        <v>408</v>
      </c>
      <c r="D9" t="s">
        <v>121</v>
      </c>
      <c r="E9" t="s">
        <v>76</v>
      </c>
      <c r="F9" t="s">
        <v>77</v>
      </c>
      <c r="G9">
        <v>128178.8526096712</v>
      </c>
      <c r="H9">
        <v>1630.9961502949641</v>
      </c>
      <c r="I9">
        <f>Table2[[#This Row],[FUA_area]]+Table2[[#This Row],[FUA_urban]]</f>
        <v>129809.84875996616</v>
      </c>
      <c r="J9">
        <v>6709703.9999999981</v>
      </c>
      <c r="K9" s="1">
        <f>[2]Urban_area_finals!K90/[2]Urban_area_finals!$G90</f>
        <v>4.0704140580127751E-2</v>
      </c>
      <c r="L9" s="1">
        <f>[2]Urban_area_finals!L90/[2]Urban_area_finals!$G90</f>
        <v>4.379559429507416E-2</v>
      </c>
      <c r="M9" s="1">
        <f>[2]Urban_area_finals!M90/[2]Urban_area_finals!$G90</f>
        <v>4.8432774867493776E-2</v>
      </c>
      <c r="N9" s="1">
        <f>[2]Urban_area_finals!N90/[2]Urban_area_finals!$G90</f>
        <v>5.358519772573779E-2</v>
      </c>
      <c r="O9" s="1">
        <f>[2]Urban_area_finals!O90/[2]Urban_area_finals!$G90</f>
        <v>5.9252862869806223E-2</v>
      </c>
      <c r="P9" s="1">
        <f>[2]Urban_area_finals!P90/[2]Urban_area_finals!$G90</f>
        <v>6.2859558870577037E-2</v>
      </c>
      <c r="Q9" s="1">
        <f>[2]Urban_area_finals!Q90/[2]Urban_area_finals!$G90</f>
        <v>6.6466254871347843E-2</v>
      </c>
      <c r="R9" s="1">
        <f>[2]Urban_area_finals!R90/[2]Urban_area_finals!$G90</f>
        <v>7.0588193157943055E-2</v>
      </c>
      <c r="S9" s="1">
        <f>[2]Urban_area_finals!S90/[2]Urban_area_finals!$G90</f>
        <v>7.110343544376746E-2</v>
      </c>
      <c r="T9" s="1">
        <f>[2]Urban_area_finals!T90/[2]Urban_area_finals!$G90</f>
        <v>7.7801585159484682E-2</v>
      </c>
      <c r="U9" s="1">
        <f>[2]Urban_area_finals!U90/[2]Urban_area_finals!$G90</f>
        <v>9.0682642305094735E-2</v>
      </c>
      <c r="V9" s="1">
        <f>[2]Urban_area_finals!V90/[2]Urban_area_finals!$G90</f>
        <v>0.10510942630817799</v>
      </c>
      <c r="W9" s="1">
        <f>[2]Urban_area_finals!W90/[2]Urban_area_finals!$G90</f>
        <v>0.11335330288136843</v>
      </c>
      <c r="X9" s="1">
        <f>[2]Urban_area_finals!X90/[2]Urban_area_finals!$G90</f>
        <v>0.11644475659631483</v>
      </c>
      <c r="Y9" s="1">
        <f>[2]Urban_area_finals!Y90/[2]Urban_area_finals!$G90</f>
        <v>0.11747524116796364</v>
      </c>
      <c r="Z9" s="1">
        <f>[2]Urban_area_finals!Z90/[2]Urban_area_finals!$G90</f>
        <v>0.1339629943143445</v>
      </c>
      <c r="AA9" s="1">
        <f>[2]Urban_area_finals!AA90/[2]Urban_area_finals!$G90</f>
        <v>0.14272211317335931</v>
      </c>
      <c r="AB9" s="1">
        <f>[2]Urban_area_finals!AB90/[2]Urban_area_finals!$G90</f>
        <v>0.14478308231665693</v>
      </c>
      <c r="AC9" s="1">
        <f>[2]Urban_area_finals!AC90/[2]Urban_area_finals!$G90</f>
        <v>0.15354220117567174</v>
      </c>
      <c r="AD9" s="1">
        <f>[2]Urban_area_finals!AD90/[2]Urban_area_finals!$G90</f>
        <v>0.15714889717644256</v>
      </c>
      <c r="AE9" s="1">
        <f>[2]Urban_area_finals!AE90/[2]Urban_area_finals!$G90</f>
        <v>0.1612708354630378</v>
      </c>
      <c r="AF9" s="1">
        <f>[2]Urban_area_finals!AF90/[2]Urban_area_finals!$G90</f>
        <v>0.16178607774886219</v>
      </c>
      <c r="AG9" s="1">
        <f>[2]Urban_area_finals!AG90/[2]Urban_area_finals!$G90</f>
        <v>0.16436228917798421</v>
      </c>
      <c r="AH9" s="1">
        <f>[2]Urban_area_finals!AH90/[2]Urban_area_finals!$G90</f>
        <v>0.16436228917798421</v>
      </c>
      <c r="AI9" s="1">
        <f>[2]Urban_area_finals!AI90/[2]Urban_area_finals!$G90</f>
        <v>0.17054519660787701</v>
      </c>
      <c r="AJ9" s="1">
        <f>[2]Urban_area_finals!AJ90/[2]Urban_area_finals!$G90</f>
        <v>0.17054519660787701</v>
      </c>
      <c r="AK9" s="1">
        <f>[2]Urban_area_finals!AK90/[2]Urban_area_finals!$G90</f>
        <v>0.17106043889370143</v>
      </c>
      <c r="AL9" s="1">
        <f>[2]Urban_area_finals!AL90/[2]Urban_area_finals!$G90</f>
        <v>0.17260616575117463</v>
      </c>
      <c r="AM9" s="1">
        <f>[2]Urban_area_finals!AM90/[2]Urban_area_finals!$G90</f>
        <v>0.17260616575117463</v>
      </c>
      <c r="AN9" s="1">
        <f>[2]Urban_area_finals!AN90/[2]Urban_area_finals!$G90</f>
        <v>0.17724334632359426</v>
      </c>
      <c r="AO9" s="1">
        <f>[2]Urban_area_finals!AO90/[2]Urban_area_finals!$G90</f>
        <v>0.18188052689601386</v>
      </c>
      <c r="AP9" s="1">
        <f>[2]Urban_area_finals!AP90/[2]Urban_area_finals!$G90</f>
        <v>0.20712739890140955</v>
      </c>
      <c r="AQ9" s="1">
        <f>[2]Urban_area_finals!AQ90/[2]Urban_area_finals!$G90</f>
        <v>0.23185902862098082</v>
      </c>
      <c r="AR9" s="1">
        <f>[2]Urban_area_finals!AR90/[2]Urban_area_finals!$G90</f>
        <v>0.24834678176736175</v>
      </c>
      <c r="AS9" s="1">
        <f>[2]Urban_area_finals!AS90/[2]Urban_area_finals!$G90</f>
        <v>0.37818783779511095</v>
      </c>
      <c r="AT9" s="1">
        <f>[2]Urban_area_finals!AT90/[2]Urban_area_finals!$G90</f>
        <v>0.39673656008478952</v>
      </c>
      <c r="AU9" s="1">
        <f>[2]Urban_area_finals!AU90/[2]Urban_area_finals!$G90</f>
        <v>0.40910237494457513</v>
      </c>
      <c r="AV9" s="1">
        <f>[2]Urban_area_finals!AV90/[2]Urban_area_finals!$G90</f>
        <v>0.4276510972342536</v>
      </c>
      <c r="AW9" s="1">
        <f>[2]Urban_area_finals!AW90/[2]Urban_area_finals!$G90</f>
        <v>0.46732475324273248</v>
      </c>
      <c r="AX9" s="1">
        <f>[2]Urban_area_finals!AX90/[2]Urban_area_finals!$G90</f>
        <v>0.51008986296615777</v>
      </c>
      <c r="AY9" s="1">
        <f>[2]Urban_area_finals!AY90/[2]Urban_area_finals!$G90</f>
        <v>0.55852263783365175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f>Table2[[#This Row],[FUA_area]]+Table2[[#This Row],[FUA_urban]]</f>
        <v>88316.18595955515</v>
      </c>
      <c r="J10">
        <v>10273527</v>
      </c>
      <c r="K10" s="1">
        <f>[2]Urban_area_finals!K12/[2]Urban_area_finals!$G12</f>
        <v>8.7848703752943347E-2</v>
      </c>
      <c r="L10" s="1">
        <f>[2]Urban_area_finals!L12/[2]Urban_area_finals!$G12</f>
        <v>0.10360817309774438</v>
      </c>
      <c r="M10" s="1">
        <f>[2]Urban_area_finals!M12/[2]Urban_area_finals!$G12</f>
        <v>0.12092980558459566</v>
      </c>
      <c r="N10" s="1">
        <f>[2]Urban_area_finals!N12/[2]Urban_area_finals!$G12</f>
        <v>0.14119198045648271</v>
      </c>
      <c r="O10" s="1">
        <f>[2]Urban_area_finals!O12/[2]Urban_area_finals!$G12</f>
        <v>0.1655433470825601</v>
      </c>
      <c r="P10" s="1">
        <f>[2]Urban_area_finals!P12/[2]Urban_area_finals!$G12</f>
        <v>0.16733524009844125</v>
      </c>
      <c r="Q10" s="1">
        <f>[2]Urban_area_finals!Q12/[2]Urban_area_finals!$G12</f>
        <v>0.18231362787221717</v>
      </c>
      <c r="R10" s="1">
        <f>[2]Urban_area_finals!R12/[2]Urban_area_finals!$G12</f>
        <v>0.18888390226378141</v>
      </c>
      <c r="S10" s="1">
        <f>[2]Urban_area_finals!S12/[2]Urban_area_finals!$G12</f>
        <v>0.19651093407496795</v>
      </c>
      <c r="T10" s="1">
        <f>[2]Urban_area_finals!T12/[2]Urban_area_finals!$G12</f>
        <v>0.21080013222725108</v>
      </c>
      <c r="U10" s="1">
        <f>[2]Urban_area_finals!U12/[2]Urban_area_finals!$G12</f>
        <v>0.2260082498748579</v>
      </c>
      <c r="V10" s="1">
        <f>[2]Urban_area_finals!V12/[2]Urban_area_finals!$G12</f>
        <v>0.2357028505505227</v>
      </c>
      <c r="W10" s="1">
        <f>[2]Urban_area_finals!W12/[2]Urban_area_finals!$G12</f>
        <v>0.24199744909348986</v>
      </c>
      <c r="X10" s="1">
        <f>[2]Urban_area_finals!X12/[2]Urban_area_finals!$G12</f>
        <v>0.24548934317571985</v>
      </c>
      <c r="Y10" s="1">
        <f>[2]Urban_area_finals!Y12/[2]Urban_area_finals!$G12</f>
        <v>0.28316504248399055</v>
      </c>
      <c r="Z10" s="1">
        <f>[2]Urban_area_finals!Z12/[2]Urban_area_finals!$G12</f>
        <v>0.30586235401848533</v>
      </c>
      <c r="AA10" s="1">
        <f>[2]Urban_area_finals!AA12/[2]Urban_area_finals!$G12</f>
        <v>0.31284614218294521</v>
      </c>
      <c r="AB10" s="1">
        <f>[2]Urban_area_finals!AB12/[2]Urban_area_finals!$G12</f>
        <v>0.3163839822399413</v>
      </c>
      <c r="AC10" s="1">
        <f>[2]Urban_area_finals!AC12/[2]Urban_area_finals!$G12</f>
        <v>0.3187731729277829</v>
      </c>
      <c r="AD10" s="1">
        <f>[2]Urban_area_finals!AD12/[2]Urban_area_finals!$G12</f>
        <v>0.32401101405112787</v>
      </c>
      <c r="AE10" s="1">
        <f>[2]Urban_area_finals!AE12/[2]Urban_area_finals!$G12</f>
        <v>0.33434885837351919</v>
      </c>
      <c r="AF10" s="1">
        <f>[2]Urban_area_finals!AF12/[2]Urban_area_finals!$G12</f>
        <v>0.33604885943986801</v>
      </c>
      <c r="AG10" s="1">
        <f>[2]Urban_area_finals!AG12/[2]Urban_area_finals!$G12</f>
        <v>0.33692183296042549</v>
      </c>
      <c r="AH10" s="1">
        <f>[2]Urban_area_finals!AH12/[2]Urban_area_finals!$G12</f>
        <v>0.33733534673332116</v>
      </c>
      <c r="AI10" s="1">
        <f>[2]Urban_area_finals!AI12/[2]Urban_area_finals!$G12</f>
        <v>0.33807048232958009</v>
      </c>
      <c r="AJ10" s="1">
        <f>[2]Urban_area_finals!AJ12/[2]Urban_area_finals!$G12</f>
        <v>0.33981642937069506</v>
      </c>
      <c r="AK10" s="1">
        <f>[2]Urban_area_finals!AK12/[2]Urban_area_finals!$G12</f>
        <v>0.34128670056321292</v>
      </c>
      <c r="AL10" s="1">
        <f>[2]Urban_area_finals!AL12/[2]Urban_area_finals!$G12</f>
        <v>0.3432164315033927</v>
      </c>
      <c r="AM10" s="1">
        <f>[2]Urban_area_finals!AM12/[2]Urban_area_finals!$G12</f>
        <v>0.34997048979402173</v>
      </c>
      <c r="AN10" s="1">
        <f>[2]Urban_area_finals!AN12/[2]Urban_area_finals!$G12</f>
        <v>0.35525427689213279</v>
      </c>
      <c r="AO10" s="1">
        <f>[2]Urban_area_finals!AO12/[2]Urban_area_finals!$G12</f>
        <v>0.36402995807247396</v>
      </c>
      <c r="AP10" s="1">
        <f>[2]Urban_area_finals!AP12/[2]Urban_area_finals!$G12</f>
        <v>0.38098402276119575</v>
      </c>
      <c r="AQ10" s="1">
        <f>[2]Urban_area_finals!AQ12/[2]Urban_area_finals!$G12</f>
        <v>0.40358944234615812</v>
      </c>
      <c r="AR10" s="1">
        <f>[2]Urban_area_finals!AR12/[2]Urban_area_finals!$G12</f>
        <v>0.44204622322545395</v>
      </c>
      <c r="AS10" s="1">
        <f>[2]Urban_area_finals!AS12/[2]Urban_area_finals!$G12</f>
        <v>0.4639624531889236</v>
      </c>
      <c r="AT10" s="1">
        <f>[2]Urban_area_finals!AT12/[2]Urban_area_finals!$G12</f>
        <v>0.47448408141037968</v>
      </c>
      <c r="AU10" s="1">
        <f>[2]Urban_area_finals!AU12/[2]Urban_area_finals!$G12</f>
        <v>0.48209273483165971</v>
      </c>
      <c r="AV10" s="1">
        <f>[2]Urban_area_finals!AV12/[2]Urban_area_finals!$G12</f>
        <v>0.49350571496357981</v>
      </c>
      <c r="AW10" s="1">
        <f>[2]Urban_area_finals!AW12/[2]Urban_area_finals!$G12</f>
        <v>0.51261924046631224</v>
      </c>
      <c r="AX10" s="1">
        <f>[2]Urban_area_finals!AX12/[2]Urban_area_finals!$G12</f>
        <v>0.53177871194381077</v>
      </c>
      <c r="AY10" s="1">
        <f>[2]Urban_area_finals!AY12/[2]Urban_area_finals!$G12</f>
        <v>0.54707872154095005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f>Table2[[#This Row],[FUA_area]]+Table2[[#This Row],[FUA_urban]]</f>
        <v>27312.759511871809</v>
      </c>
      <c r="J11">
        <v>12053895</v>
      </c>
      <c r="K11" s="1">
        <f>[2]Urban_area_finals!K125/[2]Urban_area_finals!$G125</f>
        <v>2.9918533551571563E-3</v>
      </c>
      <c r="L11" s="1">
        <f>[2]Urban_area_finals!L125/[2]Urban_area_finals!$G125</f>
        <v>3.2931242172867629E-3</v>
      </c>
      <c r="M11" s="1">
        <f>[2]Urban_area_finals!M125/[2]Urban_area_finals!$G125</f>
        <v>3.5988997887976106E-3</v>
      </c>
      <c r="N11" s="1">
        <f>[2]Urban_area_finals!N125/[2]Urban_area_finals!$G125</f>
        <v>3.9683136978304829E-3</v>
      </c>
      <c r="O11" s="1">
        <f>[2]Urban_area_finals!O125/[2]Urban_area_finals!$G125</f>
        <v>4.5071238947502505E-3</v>
      </c>
      <c r="P11" s="1">
        <f>[2]Urban_area_finals!P125/[2]Urban_area_finals!$G125</f>
        <v>4.9539692694699506E-3</v>
      </c>
      <c r="Q11" s="1">
        <f>[2]Urban_area_finals!Q125/[2]Urban_area_finals!$G125</f>
        <v>5.5125018976887701E-3</v>
      </c>
      <c r="R11" s="1">
        <f>[2]Urban_area_finals!R125/[2]Urban_area_finals!$G125</f>
        <v>6.557787900373366E-3</v>
      </c>
      <c r="S11" s="1">
        <f>[2]Urban_area_finals!S125/[2]Urban_area_finals!$G125</f>
        <v>7.5769723466208071E-3</v>
      </c>
      <c r="T11" s="1">
        <f>[2]Urban_area_finals!T125/[2]Urban_area_finals!$G125</f>
        <v>1.2210080563314726E-2</v>
      </c>
      <c r="U11" s="1">
        <f>[2]Urban_area_finals!U125/[2]Urban_area_finals!$G125</f>
        <v>1.9958207984718056E-2</v>
      </c>
      <c r="V11" s="1">
        <f>[2]Urban_area_finals!V125/[2]Urban_area_finals!$G125</f>
        <v>3.0849255207238007E-2</v>
      </c>
      <c r="W11" s="1">
        <f>[2]Urban_area_finals!W125/[2]Urban_area_finals!$G125</f>
        <v>4.7604430725102211E-2</v>
      </c>
      <c r="X11" s="1">
        <f>[2]Urban_area_finals!X125/[2]Urban_area_finals!$G125</f>
        <v>5.9643603880365235E-2</v>
      </c>
      <c r="Y11" s="1">
        <f>[2]Urban_area_finals!Y125/[2]Urban_area_finals!$G125</f>
        <v>6.5382404577927489E-2</v>
      </c>
      <c r="Z11" s="1">
        <f>[2]Urban_area_finals!Z125/[2]Urban_area_finals!$G125</f>
        <v>7.2229563819746961E-2</v>
      </c>
      <c r="AA11" s="1">
        <f>[2]Urban_area_finals!AA125/[2]Urban_area_finals!$G125</f>
        <v>8.123710350161871E-2</v>
      </c>
      <c r="AB11" s="1">
        <f>[2]Urban_area_finals!AB125/[2]Urban_area_finals!$G125</f>
        <v>8.4324531723159318E-2</v>
      </c>
      <c r="AC11" s="1">
        <f>[2]Urban_area_finals!AC125/[2]Urban_area_finals!$G125</f>
        <v>8.7564255773983496E-2</v>
      </c>
      <c r="AD11" s="1">
        <f>[2]Urban_area_finals!AD125/[2]Urban_area_finals!$G125</f>
        <v>9.0962875042502819E-2</v>
      </c>
      <c r="AE11" s="1">
        <f>[2]Urban_area_finals!AE125/[2]Urban_area_finals!$G125</f>
        <v>9.3750650475304606E-2</v>
      </c>
      <c r="AF11" s="1">
        <f>[2]Urban_area_finals!AF125/[2]Urban_area_finals!$G125</f>
        <v>9.583480109281213E-2</v>
      </c>
      <c r="AG11" s="1">
        <f>[2]Urban_area_finals!AG125/[2]Urban_area_finals!$G125</f>
        <v>9.770561574644103E-2</v>
      </c>
      <c r="AH11" s="1">
        <f>[2]Urban_area_finals!AH125/[2]Urban_area_finals!$G125</f>
        <v>9.983310730407044E-2</v>
      </c>
      <c r="AI11" s="1">
        <f>[2]Urban_area_finals!AI125/[2]Urban_area_finals!$G125</f>
        <v>0.10222779183337098</v>
      </c>
      <c r="AJ11" s="1">
        <f>[2]Urban_area_finals!AJ125/[2]Urban_area_finals!$G125</f>
        <v>0.10527521550384708</v>
      </c>
      <c r="AK11" s="1">
        <f>[2]Urban_area_finals!AK125/[2]Urban_area_finals!$G125</f>
        <v>0.10793555209031876</v>
      </c>
      <c r="AL11" s="1">
        <f>[2]Urban_area_finals!AL125/[2]Urban_area_finals!$G125</f>
        <v>0.11108524406377963</v>
      </c>
      <c r="AM11" s="1">
        <f>[2]Urban_area_finals!AM125/[2]Urban_area_finals!$G125</f>
        <v>0.11706175515775873</v>
      </c>
      <c r="AN11" s="1">
        <f>[2]Urban_area_finals!AN125/[2]Urban_area_finals!$G125</f>
        <v>0.12088698395902558</v>
      </c>
      <c r="AO11" s="1">
        <f>[2]Urban_area_finals!AO125/[2]Urban_area_finals!$G125</f>
        <v>0.12751179597224882</v>
      </c>
      <c r="AP11" s="1">
        <f>[2]Urban_area_finals!AP125/[2]Urban_area_finals!$G125</f>
        <v>0.13732180842558403</v>
      </c>
      <c r="AQ11" s="1">
        <f>[2]Urban_area_finals!AQ125/[2]Urban_area_finals!$G125</f>
        <v>0.1492676571030086</v>
      </c>
      <c r="AR11" s="1">
        <f>[2]Urban_area_finals!AR125/[2]Urban_area_finals!$G125</f>
        <v>0.16122475474921452</v>
      </c>
      <c r="AS11" s="1">
        <f>[2]Urban_area_finals!AS125/[2]Urban_area_finals!$G125</f>
        <v>0.17246817253730559</v>
      </c>
      <c r="AT11" s="1">
        <f>[2]Urban_area_finals!AT125/[2]Urban_area_finals!$G125</f>
        <v>0.18605005742707248</v>
      </c>
      <c r="AU11" s="1">
        <f>[2]Urban_area_finals!AU125/[2]Urban_area_finals!$G125</f>
        <v>0.19667557205644226</v>
      </c>
      <c r="AV11" s="1">
        <f>[2]Urban_area_finals!AV125/[2]Urban_area_finals!$G125</f>
        <v>0.21261384400049693</v>
      </c>
      <c r="AW11" s="1">
        <f>[2]Urban_area_finals!AW125/[2]Urban_area_finals!$G125</f>
        <v>0.25562287901522257</v>
      </c>
      <c r="AX11" s="1">
        <f>[2]Urban_area_finals!AX125/[2]Urban_area_finals!$G125</f>
        <v>0.33729700235551446</v>
      </c>
      <c r="AY11" s="1">
        <f>[2]Urban_area_finals!AY125/[2]Urban_area_finals!$G125</f>
        <v>0.49446876832758535</v>
      </c>
    </row>
    <row r="12" spans="1:51" x14ac:dyDescent="0.25">
      <c r="A12" t="s">
        <v>505</v>
      </c>
      <c r="B12" t="s">
        <v>506</v>
      </c>
      <c r="C12" t="s">
        <v>507</v>
      </c>
      <c r="D12" t="s">
        <v>60</v>
      </c>
      <c r="E12" t="s">
        <v>61</v>
      </c>
      <c r="F12" t="s">
        <v>61</v>
      </c>
      <c r="G12">
        <v>17383.257981505139</v>
      </c>
      <c r="H12">
        <v>86.648193604898935</v>
      </c>
      <c r="I12">
        <f>Table2[[#This Row],[FUA_area]]+Table2[[#This Row],[FUA_urban]]</f>
        <v>17469.906175110038</v>
      </c>
      <c r="J12">
        <v>1244401</v>
      </c>
      <c r="K12" s="1">
        <f>[2]Urban_area_finals!K53/[2]Urban_area_finals!$G53</f>
        <v>7.6033770856322541E-2</v>
      </c>
      <c r="L12" s="1">
        <f>[2]Urban_area_finals!L53/[2]Urban_area_finals!$G53</f>
        <v>9.0827087361078598E-2</v>
      </c>
      <c r="M12" s="1">
        <f>[2]Urban_area_finals!M53/[2]Urban_area_finals!$G53</f>
        <v>0.10622333379615947</v>
      </c>
      <c r="N12" s="1">
        <f>[2]Urban_area_finals!N53/[2]Urban_area_finals!$G53</f>
        <v>0.12463422988286459</v>
      </c>
      <c r="O12" s="1">
        <f>[2]Urban_area_finals!O53/[2]Urban_area_finals!$G53</f>
        <v>0.1441756195889288</v>
      </c>
      <c r="P12" s="1">
        <f>[2]Urban_area_finals!P53/[2]Urban_area_finals!$G53</f>
        <v>0.15227210722471959</v>
      </c>
      <c r="Q12" s="1">
        <f>[2]Urban_area_finals!Q53/[2]Urban_area_finals!$G53</f>
        <v>0.1601855625602332</v>
      </c>
      <c r="R12" s="1">
        <f>[2]Urban_area_finals!R53/[2]Urban_area_finals!$G53</f>
        <v>0.16725922263565146</v>
      </c>
      <c r="S12" s="1">
        <f>[2]Urban_area_finals!S53/[2]Urban_area_finals!$G53</f>
        <v>0.17879025755311415</v>
      </c>
      <c r="T12" s="1">
        <f>[2]Urban_area_finals!T53/[2]Urban_area_finals!$G53</f>
        <v>0.18540095357489017</v>
      </c>
      <c r="U12" s="1">
        <f>[2]Urban_area_finals!U53/[2]Urban_area_finals!$G53</f>
        <v>0.19472483428312792</v>
      </c>
      <c r="V12" s="1">
        <f>[2]Urban_area_finals!V53/[2]Urban_area_finals!$G53</f>
        <v>0.22704618519089917</v>
      </c>
      <c r="W12" s="1">
        <f>[2]Urban_area_finals!W53/[2]Urban_area_finals!$G53</f>
        <v>0.23413061187221609</v>
      </c>
      <c r="X12" s="1">
        <f>[2]Urban_area_finals!X53/[2]Urban_area_finals!$G53</f>
        <v>0.23894328470891618</v>
      </c>
      <c r="Y12" s="1">
        <f>[2]Urban_area_finals!Y53/[2]Urban_area_finals!$G53</f>
        <v>0.25382273406086153</v>
      </c>
      <c r="Z12" s="1">
        <f>[2]Urban_area_finals!Z53/[2]Urban_area_finals!$G53</f>
        <v>0.26460010656541816</v>
      </c>
      <c r="AA12" s="1">
        <f>[2]Urban_area_finals!AA53/[2]Urban_area_finals!$G53</f>
        <v>0.26888521571308399</v>
      </c>
      <c r="AB12" s="1">
        <f>[2]Urban_area_finals!AB53/[2]Urban_area_finals!$G53</f>
        <v>0.27172759967032972</v>
      </c>
      <c r="AC12" s="1">
        <f>[2]Urban_area_finals!AC53/[2]Urban_area_finals!$G53</f>
        <v>0.27432235169190627</v>
      </c>
      <c r="AD12" s="1">
        <f>[2]Urban_area_finals!AD53/[2]Urban_area_finals!$G53</f>
        <v>0.27670177159550974</v>
      </c>
      <c r="AE12" s="1">
        <f>[2]Urban_area_finals!AE53/[2]Urban_area_finals!$G53</f>
        <v>0.27811219696823386</v>
      </c>
      <c r="AF12" s="1">
        <f>[2]Urban_area_finals!AF53/[2]Urban_area_finals!$G53</f>
        <v>0.27946878931146479</v>
      </c>
      <c r="AG12" s="1">
        <f>[2]Urban_area_finals!AG53/[2]Urban_area_finals!$G53</f>
        <v>0.28055621650722923</v>
      </c>
      <c r="AH12" s="1">
        <f>[2]Urban_area_finals!AH53/[2]Urban_area_finals!$G53</f>
        <v>0.28134217873783129</v>
      </c>
      <c r="AI12" s="1">
        <f>[2]Urban_area_finals!AI53/[2]Urban_area_finals!$G53</f>
        <v>0.28221427381562258</v>
      </c>
      <c r="AJ12" s="1">
        <f>[2]Urban_area_finals!AJ53/[2]Urban_area_finals!$G53</f>
        <v>0.28348473331166418</v>
      </c>
      <c r="AK12" s="1">
        <f>[2]Urban_area_finals!AK53/[2]Urban_area_finals!$G53</f>
        <v>0.28491669189618574</v>
      </c>
      <c r="AL12" s="1">
        <f>[2]Urban_area_finals!AL53/[2]Urban_area_finals!$G53</f>
        <v>0.28798517457730327</v>
      </c>
      <c r="AM12" s="1">
        <f>[2]Urban_area_finals!AM53/[2]Urban_area_finals!$G53</f>
        <v>0.29122592295279931</v>
      </c>
      <c r="AN12" s="1">
        <f>[2]Urban_area_finals!AN53/[2]Urban_area_finals!$G53</f>
        <v>0.29337924413253086</v>
      </c>
      <c r="AO12" s="1">
        <f>[2]Urban_area_finals!AO53/[2]Urban_area_finals!$G53</f>
        <v>0.2966199925080269</v>
      </c>
      <c r="AP12" s="1">
        <f>[2]Urban_area_finals!AP53/[2]Urban_area_finals!$G53</f>
        <v>0.29965617537144845</v>
      </c>
      <c r="AQ12" s="1">
        <f>[2]Urban_area_finals!AQ53/[2]Urban_area_finals!$G53</f>
        <v>0.31044431448190374</v>
      </c>
      <c r="AR12" s="1">
        <f>[2]Urban_area_finals!AR53/[2]Urban_area_finals!$G53</f>
        <v>0.32731558592510074</v>
      </c>
      <c r="AS12" s="1">
        <f>[2]Urban_area_finals!AS53/[2]Urban_area_finals!$G53</f>
        <v>0.33952491701417892</v>
      </c>
      <c r="AT12" s="1">
        <f>[2]Urban_area_finals!AT53/[2]Urban_area_finals!$G53</f>
        <v>0.34741683913789517</v>
      </c>
      <c r="AU12" s="1">
        <f>[2]Urban_area_finals!AU53/[2]Urban_area_finals!$G53</f>
        <v>0.35511711567661536</v>
      </c>
      <c r="AV12" s="1">
        <f>[2]Urban_area_finals!AV53/[2]Urban_area_finals!$G53</f>
        <v>0.36666753048469564</v>
      </c>
      <c r="AW12" s="1">
        <f>[2]Urban_area_finals!AW53/[2]Urban_area_finals!$G53</f>
        <v>0.38319427053913563</v>
      </c>
      <c r="AX12" s="1">
        <f>[2]Urban_area_finals!AX53/[2]Urban_area_finals!$G53</f>
        <v>0.4052119796018912</v>
      </c>
      <c r="AY12" s="1">
        <f>[2]Urban_area_finals!AY53/[2]Urban_area_finals!$G53</f>
        <v>0.42447343755459027</v>
      </c>
    </row>
    <row r="13" spans="1:51" x14ac:dyDescent="0.25">
      <c r="A13" t="s">
        <v>523</v>
      </c>
      <c r="B13" t="s">
        <v>524</v>
      </c>
      <c r="C13" t="s">
        <v>525</v>
      </c>
      <c r="D13" t="s">
        <v>308</v>
      </c>
      <c r="E13" t="s">
        <v>71</v>
      </c>
      <c r="F13" t="s">
        <v>82</v>
      </c>
      <c r="G13">
        <v>489598.02638364962</v>
      </c>
      <c r="H13">
        <v>1142.331881464052</v>
      </c>
      <c r="I13">
        <f>Table2[[#This Row],[FUA_area]]+Table2[[#This Row],[FUA_urban]]</f>
        <v>490740.35826511367</v>
      </c>
      <c r="J13">
        <v>6204361.9999999898</v>
      </c>
      <c r="K13" s="1">
        <f>[2]Urban_area_finals!K15/[2]Urban_area_finals!$G15</f>
        <v>6.3684266244051786E-3</v>
      </c>
      <c r="L13" s="1">
        <f>[2]Urban_area_finals!L15/[2]Urban_area_finals!$G15</f>
        <v>7.0215985858826328E-3</v>
      </c>
      <c r="M13" s="1">
        <f>[2]Urban_area_finals!M15/[2]Urban_area_finals!$G15</f>
        <v>8.0013565280988141E-3</v>
      </c>
      <c r="N13" s="1">
        <f>[2]Urban_area_finals!N15/[2]Urban_area_finals!$G15</f>
        <v>9.1444074606843607E-3</v>
      </c>
      <c r="O13" s="1">
        <f>[2]Urban_area_finals!O15/[2]Urban_area_finals!$G15</f>
        <v>1.0450751383639269E-2</v>
      </c>
      <c r="P13" s="1">
        <f>[2]Urban_area_finals!P15/[2]Urban_area_finals!$G15</f>
        <v>1.1103923345116722E-2</v>
      </c>
      <c r="Q13" s="1">
        <f>[2]Urban_area_finals!Q15/[2]Urban_area_finals!$G15</f>
        <v>1.2246974277702268E-2</v>
      </c>
      <c r="R13" s="1">
        <f>[2]Urban_area_finals!R15/[2]Urban_area_finals!$G15</f>
        <v>1.3226732219918449E-2</v>
      </c>
      <c r="S13" s="1">
        <f>[2]Urban_area_finals!S15/[2]Urban_area_finals!$G15</f>
        <v>1.3716611191026538E-2</v>
      </c>
      <c r="T13" s="1">
        <f>[2]Urban_area_finals!T15/[2]Urban_area_finals!$G15</f>
        <v>1.6329299036936352E-2</v>
      </c>
      <c r="U13" s="1">
        <f>[2]Urban_area_finals!U15/[2]Urban_area_finals!$G15</f>
        <v>2.3677483603557717E-2</v>
      </c>
      <c r="V13" s="1">
        <f>[2]Urban_area_finals!V15/[2]Urban_area_finals!$G15</f>
        <v>4.3762521418989439E-2</v>
      </c>
      <c r="W13" s="1">
        <f>[2]Urban_area_finals!W15/[2]Urban_area_finals!$G15</f>
        <v>5.7805718590754701E-2</v>
      </c>
      <c r="X13" s="1">
        <f>[2]Urban_area_finals!X15/[2]Urban_area_finals!$G15</f>
        <v>6.1724750359619419E-2</v>
      </c>
      <c r="Y13" s="1">
        <f>[2]Urban_area_finals!Y15/[2]Urban_area_finals!$G15</f>
        <v>6.6133661099592247E-2</v>
      </c>
      <c r="Z13" s="1">
        <f>[2]Urban_area_finals!Z15/[2]Urban_area_finals!$G15</f>
        <v>7.266538071436679E-2</v>
      </c>
      <c r="AA13" s="1">
        <f>[2]Urban_area_finals!AA15/[2]Urban_area_finals!$G15</f>
        <v>7.5604654541015309E-2</v>
      </c>
      <c r="AB13" s="1">
        <f>[2]Urban_area_finals!AB15/[2]Urban_area_finals!$G15</f>
        <v>7.674770547360088E-2</v>
      </c>
      <c r="AC13" s="1">
        <f>[2]Urban_area_finals!AC15/[2]Urban_area_finals!$G15</f>
        <v>7.7074291454339597E-2</v>
      </c>
      <c r="AD13" s="1">
        <f>[2]Urban_area_finals!AD15/[2]Urban_area_finals!$G15</f>
        <v>7.7400877435078327E-2</v>
      </c>
      <c r="AE13" s="1">
        <f>[2]Urban_area_finals!AE15/[2]Urban_area_finals!$G15</f>
        <v>7.7727463415817058E-2</v>
      </c>
      <c r="AF13" s="1">
        <f>[2]Urban_area_finals!AF15/[2]Urban_area_finals!$G15</f>
        <v>7.9686979300249414E-2</v>
      </c>
      <c r="AG13" s="1">
        <f>[2]Urban_area_finals!AG15/[2]Urban_area_finals!$G15</f>
        <v>8.3116132098006043E-2</v>
      </c>
      <c r="AH13" s="1">
        <f>[2]Urban_area_finals!AH15/[2]Urban_area_finals!$G15</f>
        <v>8.7361749847609499E-2</v>
      </c>
      <c r="AI13" s="1">
        <f>[2]Urban_area_finals!AI15/[2]Urban_area_finals!$G15</f>
        <v>8.9974437693519316E-2</v>
      </c>
      <c r="AJ13" s="1">
        <f>[2]Urban_area_finals!AJ15/[2]Urban_area_finals!$G15</f>
        <v>9.1607367597212969E-2</v>
      </c>
      <c r="AK13" s="1">
        <f>[2]Urban_area_finals!AK15/[2]Urban_area_finals!$G15</f>
        <v>9.1933953577951671E-2</v>
      </c>
      <c r="AL13" s="1">
        <f>[2]Urban_area_finals!AL15/[2]Urban_area_finals!$G15</f>
        <v>9.3077004510537215E-2</v>
      </c>
      <c r="AM13" s="1">
        <f>[2]Urban_area_finals!AM15/[2]Urban_area_finals!$G15</f>
        <v>9.5363106375708329E-2</v>
      </c>
      <c r="AN13" s="1">
        <f>[2]Urban_area_finals!AN15/[2]Urban_area_finals!$G15</f>
        <v>9.7649208240879415E-2</v>
      </c>
      <c r="AO13" s="1">
        <f>[2]Urban_area_finals!AO15/[2]Urban_area_finals!$G15</f>
        <v>0.10222141197122159</v>
      </c>
      <c r="AP13" s="1">
        <f>[2]Urban_area_finals!AP15/[2]Urban_area_finals!$G15</f>
        <v>0.10597715074971695</v>
      </c>
      <c r="AQ13" s="1">
        <f>[2]Urban_area_finals!AQ15/[2]Urban_area_finals!$G15</f>
        <v>0.11985705493111284</v>
      </c>
      <c r="AR13" s="1">
        <f>[2]Urban_area_finals!AR15/[2]Urban_area_finals!$G15</f>
        <v>0.14092185068876073</v>
      </c>
      <c r="AS13" s="1">
        <f>[2]Urban_area_finals!AS15/[2]Urban_area_finals!$G15</f>
        <v>0.16247652541751673</v>
      </c>
      <c r="AT13" s="1">
        <f>[2]Urban_area_finals!AT15/[2]Urban_area_finals!$G15</f>
        <v>0.16835507307081379</v>
      </c>
      <c r="AU13" s="1">
        <f>[2]Urban_area_finals!AU15/[2]Urban_area_finals!$G15</f>
        <v>0.17358044876263345</v>
      </c>
      <c r="AV13" s="1">
        <f>[2]Urban_area_finals!AV15/[2]Urban_area_finals!$G15</f>
        <v>0.18141851230036288</v>
      </c>
      <c r="AW13" s="1">
        <f>[2]Urban_area_finals!AW15/[2]Urban_area_finals!$G15</f>
        <v>0.20101367114468655</v>
      </c>
      <c r="AX13" s="1">
        <f>[2]Urban_area_finals!AX15/[2]Urban_area_finals!$G15</f>
        <v>0.24428631359256789</v>
      </c>
      <c r="AY13" s="1">
        <f>[2]Urban_area_finals!AY15/[2]Urban_area_finals!$G15</f>
        <v>0.3793296166280315</v>
      </c>
    </row>
    <row r="14" spans="1:51" x14ac:dyDescent="0.25">
      <c r="A14" t="s">
        <v>290</v>
      </c>
      <c r="B14" t="s">
        <v>291</v>
      </c>
      <c r="C14" t="s">
        <v>292</v>
      </c>
      <c r="D14" t="s">
        <v>70</v>
      </c>
      <c r="E14" t="s">
        <v>71</v>
      </c>
      <c r="F14" t="s">
        <v>70</v>
      </c>
      <c r="G14">
        <v>22158.652598420798</v>
      </c>
      <c r="H14">
        <v>3166.685622724965</v>
      </c>
      <c r="I14">
        <f>Table2[[#This Row],[FUA_area]]+Table2[[#This Row],[FUA_urban]]</f>
        <v>25325.338221145765</v>
      </c>
      <c r="J14">
        <v>8685595</v>
      </c>
      <c r="K14" s="1">
        <f>[2]Urban_area_finals!K64/[2]Urban_area_finals!$G64</f>
        <v>3.8888804192889065E-3</v>
      </c>
      <c r="L14" s="1">
        <f>[2]Urban_area_finals!L64/[2]Urban_area_finals!$G64</f>
        <v>3.8888804192889065E-3</v>
      </c>
      <c r="M14" s="1">
        <f>[2]Urban_area_finals!M64/[2]Urban_area_finals!$G64</f>
        <v>3.8888804192889065E-3</v>
      </c>
      <c r="N14" s="1">
        <f>[2]Urban_area_finals!N64/[2]Urban_area_finals!$G64</f>
        <v>3.8888804192889065E-3</v>
      </c>
      <c r="O14" s="1">
        <f>[2]Urban_area_finals!O64/[2]Urban_area_finals!$G64</f>
        <v>4.277768461217797E-3</v>
      </c>
      <c r="P14" s="1">
        <f>[2]Urban_area_finals!P64/[2]Urban_area_finals!$G64</f>
        <v>4.277768461217797E-3</v>
      </c>
      <c r="Q14" s="1">
        <f>[2]Urban_area_finals!Q64/[2]Urban_area_finals!$G64</f>
        <v>4.277768461217797E-3</v>
      </c>
      <c r="R14" s="1">
        <f>[2]Urban_area_finals!R64/[2]Urban_area_finals!$G64</f>
        <v>4.277768461217797E-3</v>
      </c>
      <c r="S14" s="1">
        <f>[2]Urban_area_finals!S64/[2]Urban_area_finals!$G64</f>
        <v>4.277768461217797E-3</v>
      </c>
      <c r="T14" s="1">
        <f>[2]Urban_area_finals!T64/[2]Urban_area_finals!$G64</f>
        <v>4.6666565031466883E-3</v>
      </c>
      <c r="U14" s="1">
        <f>[2]Urban_area_finals!U64/[2]Urban_area_finals!$G64</f>
        <v>5.4444325870044684E-3</v>
      </c>
      <c r="V14" s="1">
        <f>[2]Urban_area_finals!V64/[2]Urban_area_finals!$G64</f>
        <v>5.4444325870044684E-3</v>
      </c>
      <c r="W14" s="1">
        <f>[2]Urban_area_finals!W64/[2]Urban_area_finals!$G64</f>
        <v>6.9999847547200312E-3</v>
      </c>
      <c r="X14" s="1">
        <f>[2]Urban_area_finals!X64/[2]Urban_area_finals!$G64</f>
        <v>8.1666488805067043E-3</v>
      </c>
      <c r="Y14" s="1">
        <f>[2]Urban_area_finals!Y64/[2]Urban_area_finals!$G64</f>
        <v>8.1666488805067043E-3</v>
      </c>
      <c r="Z14" s="1">
        <f>[2]Urban_area_finals!Z64/[2]Urban_area_finals!$G64</f>
        <v>9.3333130062933766E-3</v>
      </c>
      <c r="AA14" s="1">
        <f>[2]Urban_area_finals!AA64/[2]Urban_area_finals!$G64</f>
        <v>1.2055529299795611E-2</v>
      </c>
      <c r="AB14" s="1">
        <f>[2]Urban_area_finals!AB64/[2]Urban_area_finals!$G64</f>
        <v>1.283330538365339E-2</v>
      </c>
      <c r="AC14" s="1">
        <f>[2]Urban_area_finals!AC64/[2]Urban_area_finals!$G64</f>
        <v>1.283330538365339E-2</v>
      </c>
      <c r="AD14" s="1">
        <f>[2]Urban_area_finals!AD64/[2]Urban_area_finals!$G64</f>
        <v>1.283330538365339E-2</v>
      </c>
      <c r="AE14" s="1">
        <f>[2]Urban_area_finals!AE64/[2]Urban_area_finals!$G64</f>
        <v>1.283330538365339E-2</v>
      </c>
      <c r="AF14" s="1">
        <f>[2]Urban_area_finals!AF64/[2]Urban_area_finals!$G64</f>
        <v>1.283330538365339E-2</v>
      </c>
      <c r="AG14" s="1">
        <f>[2]Urban_area_finals!AG64/[2]Urban_area_finals!$G64</f>
        <v>1.283330538365339E-2</v>
      </c>
      <c r="AH14" s="1">
        <f>[2]Urban_area_finals!AH64/[2]Urban_area_finals!$G64</f>
        <v>1.283330538365339E-2</v>
      </c>
      <c r="AI14" s="1">
        <f>[2]Urban_area_finals!AI64/[2]Urban_area_finals!$G64</f>
        <v>1.283330538365339E-2</v>
      </c>
      <c r="AJ14" s="1">
        <f>[2]Urban_area_finals!AJ64/[2]Urban_area_finals!$G64</f>
        <v>1.283330538365339E-2</v>
      </c>
      <c r="AK14" s="1">
        <f>[2]Urban_area_finals!AK64/[2]Urban_area_finals!$G64</f>
        <v>1.283330538365339E-2</v>
      </c>
      <c r="AL14" s="1">
        <f>[2]Urban_area_finals!AL64/[2]Urban_area_finals!$G64</f>
        <v>1.283330538365339E-2</v>
      </c>
      <c r="AM14" s="1">
        <f>[2]Urban_area_finals!AM64/[2]Urban_area_finals!$G64</f>
        <v>1.283330538365339E-2</v>
      </c>
      <c r="AN14" s="1">
        <f>[2]Urban_area_finals!AN64/[2]Urban_area_finals!$G64</f>
        <v>1.283330538365339E-2</v>
      </c>
      <c r="AO14" s="1">
        <f>[2]Urban_area_finals!AO64/[2]Urban_area_finals!$G64</f>
        <v>1.283330538365339E-2</v>
      </c>
      <c r="AP14" s="1">
        <f>[2]Urban_area_finals!AP64/[2]Urban_area_finals!$G64</f>
        <v>2.3333282515733435E-2</v>
      </c>
      <c r="AQ14" s="1">
        <f>[2]Urban_area_finals!AQ64/[2]Urban_area_finals!$G64</f>
        <v>2.9944379228524578E-2</v>
      </c>
      <c r="AR14" s="1">
        <f>[2]Urban_area_finals!AR64/[2]Urban_area_finals!$G64</f>
        <v>3.149993139624014E-2</v>
      </c>
      <c r="AS14" s="1">
        <f>[2]Urban_area_finals!AS64/[2]Urban_area_finals!$G64</f>
        <v>3.1888819438169035E-2</v>
      </c>
      <c r="AT14" s="1">
        <f>[2]Urban_area_finals!AT64/[2]Urban_area_finals!$G64</f>
        <v>3.2277707480097922E-2</v>
      </c>
      <c r="AU14" s="1">
        <f>[2]Urban_area_finals!AU64/[2]Urban_area_finals!$G64</f>
        <v>3.445548051489971E-2</v>
      </c>
      <c r="AV14" s="1">
        <f>[2]Urban_area_finals!AV64/[2]Urban_area_finals!$G64</f>
        <v>3.7722140067102394E-2</v>
      </c>
      <c r="AW14" s="1">
        <f>[2]Urban_area_finals!AW64/[2]Urban_area_finals!$G64</f>
        <v>5.5999878037760249E-2</v>
      </c>
      <c r="AX14" s="1">
        <f>[2]Urban_area_finals!AX64/[2]Urban_area_finals!$G64</f>
        <v>0.14388857551368955</v>
      </c>
      <c r="AY14" s="1">
        <f>[2]Urban_area_finals!AY64/[2]Urban_area_finals!$G64</f>
        <v>0.32199929871712141</v>
      </c>
    </row>
    <row r="15" spans="1:51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61</v>
      </c>
      <c r="G15">
        <v>1246918.1156743991</v>
      </c>
      <c r="H15">
        <v>4318.8619302942188</v>
      </c>
      <c r="I15">
        <f>Table2[[#This Row],[FUA_area]]+Table2[[#This Row],[FUA_urban]]</f>
        <v>1251236.9776046933</v>
      </c>
      <c r="K15" s="1">
        <f>[2]Urban_area_finals!K152/[2]Urban_area_finals!$G152</f>
        <v>2.6254683545016814E-2</v>
      </c>
      <c r="L15" s="1">
        <f>[2]Urban_area_finals!L152/[2]Urban_area_finals!$G152</f>
        <v>2.6685088193295778E-2</v>
      </c>
      <c r="M15" s="1">
        <f>[2]Urban_area_finals!M152/[2]Urban_area_finals!$G152</f>
        <v>2.8607562288941818E-2</v>
      </c>
      <c r="N15" s="1">
        <f>[2]Urban_area_finals!N152/[2]Urban_area_finals!$G152</f>
        <v>3.3284626133573234E-2</v>
      </c>
      <c r="O15" s="1">
        <f>[2]Urban_area_finals!O152/[2]Urban_area_finals!$G152</f>
        <v>5.0472118421513203E-2</v>
      </c>
      <c r="P15" s="1">
        <f>[2]Urban_area_finals!P152/[2]Urban_area_finals!$G152</f>
        <v>5.3341482743372963E-2</v>
      </c>
      <c r="Q15" s="1">
        <f>[2]Urban_area_finals!Q152/[2]Urban_area_finals!$G152</f>
        <v>5.3599725532340346E-2</v>
      </c>
      <c r="R15" s="1">
        <f>[2]Urban_area_finals!R152/[2]Urban_area_finals!$G152</f>
        <v>5.377188739165193E-2</v>
      </c>
      <c r="S15" s="1">
        <f>[2]Urban_area_finals!S152/[2]Urban_area_finals!$G152</f>
        <v>5.3944049250963508E-2</v>
      </c>
      <c r="T15" s="1">
        <f>[2]Urban_area_finals!T152/[2]Urban_area_finals!$G152</f>
        <v>5.5550893271204979E-2</v>
      </c>
      <c r="U15" s="1">
        <f>[2]Urban_area_finals!U152/[2]Urban_area_finals!$G152</f>
        <v>5.7530754653288226E-2</v>
      </c>
      <c r="V15" s="1">
        <f>[2]Urban_area_finals!V152/[2]Urban_area_finals!$G152</f>
        <v>5.8563725809157731E-2</v>
      </c>
      <c r="W15" s="1">
        <f>[2]Urban_area_finals!W152/[2]Urban_area_finals!$G152</f>
        <v>6.4532003598626042E-2</v>
      </c>
      <c r="X15" s="1">
        <f>[2]Urban_area_finals!X152/[2]Urban_area_finals!$G152</f>
        <v>6.513457010621658E-2</v>
      </c>
      <c r="Y15" s="1">
        <f>[2]Urban_area_finals!Y152/[2]Urban_area_finals!$G152</f>
        <v>7.57799117403163E-2</v>
      </c>
      <c r="Z15" s="1">
        <f>[2]Urban_area_finals!Z152/[2]Urban_area_finals!$G152</f>
        <v>8.1891657745877589E-2</v>
      </c>
      <c r="AA15" s="1">
        <f>[2]Urban_area_finals!AA152/[2]Urban_area_finals!$G152</f>
        <v>8.6626108876946203E-2</v>
      </c>
      <c r="AB15" s="1">
        <f>[2]Urban_area_finals!AB152/[2]Urban_area_finals!$G152</f>
        <v>8.7228675384536755E-2</v>
      </c>
      <c r="AC15" s="1">
        <f>[2]Urban_area_finals!AC152/[2]Urban_area_finals!$G152</f>
        <v>8.8204259253969061E-2</v>
      </c>
      <c r="AD15" s="1">
        <f>[2]Urban_area_finals!AD152/[2]Urban_area_finals!$G152</f>
        <v>8.9897184203866332E-2</v>
      </c>
      <c r="AE15" s="1">
        <f>[2]Urban_area_finals!AE152/[2]Urban_area_finals!$G152</f>
        <v>0.10378490752166758</v>
      </c>
      <c r="AF15" s="1">
        <f>[2]Urban_area_finals!AF152/[2]Urban_area_finals!$G152</f>
        <v>0.1094088615925127</v>
      </c>
      <c r="AG15" s="1">
        <f>[2]Urban_area_finals!AG152/[2]Urban_area_finals!$G152</f>
        <v>0.11305295428127461</v>
      </c>
      <c r="AH15" s="1">
        <f>[2]Urban_area_finals!AH152/[2]Urban_area_finals!$G152</f>
        <v>0.11684051518612949</v>
      </c>
      <c r="AI15" s="1">
        <f>[2]Urban_area_finals!AI152/[2]Urban_area_finals!$G152</f>
        <v>0.11887776385464993</v>
      </c>
      <c r="AJ15" s="1">
        <f>[2]Urban_area_finals!AJ152/[2]Urban_area_finals!$G152</f>
        <v>0.12260793747306761</v>
      </c>
      <c r="AK15" s="1">
        <f>[2]Urban_area_finals!AK152/[2]Urban_area_finals!$G152</f>
        <v>0.12599378737286213</v>
      </c>
      <c r="AL15" s="1">
        <f>[2]Urban_area_finals!AL152/[2]Urban_area_finals!$G152</f>
        <v>0.13107256222255392</v>
      </c>
      <c r="AM15" s="1">
        <f>[2]Urban_area_finals!AM152/[2]Urban_area_finals!$G152</f>
        <v>0.13589309428327831</v>
      </c>
      <c r="AN15" s="1">
        <f>[2]Urban_area_finals!AN152/[2]Urban_area_finals!$G152</f>
        <v>0.13772948744926855</v>
      </c>
      <c r="AO15" s="1">
        <f>[2]Urban_area_finals!AO152/[2]Urban_area_finals!$G152</f>
        <v>0.14513244739966674</v>
      </c>
      <c r="AP15" s="1">
        <f>[2]Urban_area_finals!AP152/[2]Urban_area_finals!$G152</f>
        <v>0.14989559217395393</v>
      </c>
      <c r="AQ15" s="1">
        <f>[2]Urban_area_finals!AQ152/[2]Urban_area_finals!$G152</f>
        <v>0.15933580079287255</v>
      </c>
      <c r="AR15" s="1">
        <f>[2]Urban_area_finals!AR152/[2]Urban_area_finals!$G152</f>
        <v>0.1728792003920506</v>
      </c>
      <c r="AS15" s="1">
        <f>[2]Urban_area_finals!AS152/[2]Urban_area_finals!$G152</f>
        <v>0.185045305116736</v>
      </c>
      <c r="AT15" s="1">
        <f>[2]Urban_area_finals!AT152/[2]Urban_area_finals!$G152</f>
        <v>0.19761312084648175</v>
      </c>
      <c r="AU15" s="1">
        <f>[2]Urban_area_finals!AU152/[2]Urban_area_finals!$G152</f>
        <v>0.20686395142015762</v>
      </c>
      <c r="AV15" s="1">
        <f>[2]Urban_area_finals!AV152/[2]Urban_area_finals!$G152</f>
        <v>0.22074019728067143</v>
      </c>
      <c r="AW15" s="1">
        <f>[2]Urban_area_finals!AW152/[2]Urban_area_finals!$G152</f>
        <v>0.24492893851394926</v>
      </c>
      <c r="AX15" s="1">
        <f>[2]Urban_area_finals!AX152/[2]Urban_area_finals!$G152</f>
        <v>0.26822817680745048</v>
      </c>
      <c r="AY15" s="1">
        <f>[2]Urban_area_finals!AY152/[2]Urban_area_finals!$G152</f>
        <v>0.28524350723607889</v>
      </c>
    </row>
    <row r="16" spans="1:51" x14ac:dyDescent="0.25">
      <c r="A16" t="s">
        <v>370</v>
      </c>
      <c r="B16" t="s">
        <v>371</v>
      </c>
      <c r="C16" t="s">
        <v>372</v>
      </c>
      <c r="D16" t="s">
        <v>91</v>
      </c>
      <c r="E16" t="s">
        <v>66</v>
      </c>
      <c r="F16" t="s">
        <v>66</v>
      </c>
      <c r="G16">
        <v>323.36780683640768</v>
      </c>
      <c r="H16">
        <v>261.44778638200802</v>
      </c>
      <c r="I16">
        <f>Table2[[#This Row],[FUA_area]]+Table2[[#This Row],[FUA_urban]]</f>
        <v>584.81559321841564</v>
      </c>
      <c r="J16">
        <v>509586</v>
      </c>
      <c r="K16" s="1">
        <f>[2]Urban_area_finals!K126/[2]Urban_area_finals!$G126</f>
        <v>1.5495930491869724E-3</v>
      </c>
      <c r="L16" s="1">
        <f>[2]Urban_area_finals!L126/[2]Urban_area_finals!$G126</f>
        <v>1.7056325265476814E-3</v>
      </c>
      <c r="M16" s="1">
        <f>[2]Urban_area_finals!M126/[2]Urban_area_finals!$G126</f>
        <v>1.8640051618266232E-3</v>
      </c>
      <c r="N16" s="1">
        <f>[2]Urban_area_finals!N126/[2]Urban_area_finals!$G126</f>
        <v>2.0553384785894891E-3</v>
      </c>
      <c r="O16" s="1">
        <f>[2]Urban_area_finals!O126/[2]Urban_area_finals!$G126</f>
        <v>2.3344084853258581E-3</v>
      </c>
      <c r="P16" s="1">
        <f>[2]Urban_area_finals!P126/[2]Urban_area_finals!$G126</f>
        <v>2.5658464619009581E-3</v>
      </c>
      <c r="Q16" s="1">
        <f>[2]Urban_area_finals!Q126/[2]Urban_area_finals!$G126</f>
        <v>2.855131455411795E-3</v>
      </c>
      <c r="R16" s="1">
        <f>[2]Urban_area_finals!R126/[2]Urban_area_finals!$G126</f>
        <v>3.3965242751435635E-3</v>
      </c>
      <c r="S16" s="1">
        <f>[2]Urban_area_finals!S126/[2]Urban_area_finals!$G126</f>
        <v>3.9243981199702767E-3</v>
      </c>
      <c r="T16" s="1">
        <f>[2]Urban_area_finals!T126/[2]Urban_area_finals!$G126</f>
        <v>6.3240586101291681E-3</v>
      </c>
      <c r="U16" s="1">
        <f>[2]Urban_area_finals!U126/[2]Urban_area_finals!$G126</f>
        <v>1.0337104361761907E-2</v>
      </c>
      <c r="V16" s="1">
        <f>[2]Urban_area_finals!V126/[2]Urban_area_finals!$G126</f>
        <v>1.5977986140039271E-2</v>
      </c>
      <c r="W16" s="1">
        <f>[2]Urban_area_finals!W126/[2]Urban_area_finals!$G126</f>
        <v>2.4656119871305084E-2</v>
      </c>
      <c r="X16" s="1">
        <f>[2]Urban_area_finals!X126/[2]Urban_area_finals!$G126</f>
        <v>3.0891659125659353E-2</v>
      </c>
      <c r="Y16" s="1">
        <f>[2]Urban_area_finals!Y126/[2]Urban_area_finals!$G126</f>
        <v>3.386399921588569E-2</v>
      </c>
      <c r="Z16" s="1">
        <f>[2]Urban_area_finals!Z126/[2]Urban_area_finals!$G126</f>
        <v>3.7410399760387805E-2</v>
      </c>
      <c r="AA16" s="1">
        <f>[2]Urban_area_finals!AA126/[2]Urban_area_finals!$G126</f>
        <v>4.2075742350539964E-2</v>
      </c>
      <c r="AB16" s="1">
        <f>[2]Urban_area_finals!AB126/[2]Urban_area_finals!$G126</f>
        <v>4.3674837207149909E-2</v>
      </c>
      <c r="AC16" s="1">
        <f>[2]Urban_area_finals!AC126/[2]Urban_area_finals!$G126</f>
        <v>4.5352811784943776E-2</v>
      </c>
      <c r="AD16" s="1">
        <f>[2]Urban_area_finals!AD126/[2]Urban_area_finals!$G126</f>
        <v>4.7113084154661519E-2</v>
      </c>
      <c r="AE16" s="1">
        <f>[2]Urban_area_finals!AE126/[2]Urban_area_finals!$G126</f>
        <v>4.8556977594798711E-2</v>
      </c>
      <c r="AF16" s="1">
        <f>[2]Urban_area_finals!AF126/[2]Urban_area_finals!$G126</f>
        <v>4.9636437356682231E-2</v>
      </c>
      <c r="AG16" s="1">
        <f>[2]Urban_area_finals!AG126/[2]Urban_area_finals!$G126</f>
        <v>5.060540242262819E-2</v>
      </c>
      <c r="AH16" s="1">
        <f>[2]Urban_area_finals!AH126/[2]Urban_area_finals!$G126</f>
        <v>5.1707310082715806E-2</v>
      </c>
      <c r="AI16" s="1">
        <f>[2]Urban_area_finals!AI126/[2]Urban_area_finals!$G126</f>
        <v>5.2947607002751439E-2</v>
      </c>
      <c r="AJ16" s="1">
        <f>[2]Urban_area_finals!AJ126/[2]Urban_area_finals!$G126</f>
        <v>5.4525982002166996E-2</v>
      </c>
      <c r="AK16" s="1">
        <f>[2]Urban_area_finals!AK126/[2]Urban_area_finals!$G126</f>
        <v>5.5903870084745746E-2</v>
      </c>
      <c r="AL16" s="1">
        <f>[2]Urban_area_finals!AL126/[2]Urban_area_finals!$G126</f>
        <v>5.7535213673408581E-2</v>
      </c>
      <c r="AM16" s="1">
        <f>[2]Urban_area_finals!AM126/[2]Urban_area_finals!$G126</f>
        <v>6.0630672892241964E-2</v>
      </c>
      <c r="AN16" s="1">
        <f>[2]Urban_area_finals!AN126/[2]Urban_area_finals!$G126</f>
        <v>6.2611902337119482E-2</v>
      </c>
      <c r="AO16" s="1">
        <f>[2]Urban_area_finals!AO126/[2]Urban_area_finals!$G126</f>
        <v>6.6043140913758139E-2</v>
      </c>
      <c r="AP16" s="1">
        <f>[2]Urban_area_finals!AP126/[2]Urban_area_finals!$G126</f>
        <v>7.1124114245530071E-2</v>
      </c>
      <c r="AQ16" s="1">
        <f>[2]Urban_area_finals!AQ126/[2]Urban_area_finals!$G126</f>
        <v>7.731131725307995E-2</v>
      </c>
      <c r="AR16" s="1">
        <f>[2]Urban_area_finals!AR126/[2]Urban_area_finals!$G126</f>
        <v>8.3504346523405701E-2</v>
      </c>
      <c r="AS16" s="1">
        <f>[2]Urban_area_finals!AS126/[2]Urban_area_finals!$G126</f>
        <v>8.932773423173003E-2</v>
      </c>
      <c r="AT16" s="1">
        <f>[2]Urban_area_finals!AT126/[2]Urban_area_finals!$G126</f>
        <v>9.6362301746131085E-2</v>
      </c>
      <c r="AU16" s="1">
        <f>[2]Urban_area_finals!AU126/[2]Urban_area_finals!$G126</f>
        <v>0.10186565423676178</v>
      </c>
      <c r="AV16" s="1">
        <f>[2]Urban_area_finals!AV126/[2]Urban_area_finals!$G126</f>
        <v>0.1101206829727078</v>
      </c>
      <c r="AW16" s="1">
        <f>[2]Urban_area_finals!AW126/[2]Urban_area_finals!$G126</f>
        <v>0.13239667507512057</v>
      </c>
      <c r="AX16" s="1">
        <f>[2]Urban_area_finals!AX126/[2]Urban_area_finals!$G126</f>
        <v>0.17469876638865281</v>
      </c>
      <c r="AY16" s="1">
        <f>[2]Urban_area_finals!AY126/[2]Urban_area_finals!$G126</f>
        <v>0.25610391803451926</v>
      </c>
    </row>
    <row r="17" spans="1:51" x14ac:dyDescent="0.25">
      <c r="A17" t="s">
        <v>358</v>
      </c>
      <c r="B17" t="s">
        <v>359</v>
      </c>
      <c r="C17" t="s">
        <v>360</v>
      </c>
      <c r="D17" t="s">
        <v>98</v>
      </c>
      <c r="E17" t="s">
        <v>61</v>
      </c>
      <c r="F17" t="s">
        <v>61</v>
      </c>
      <c r="G17">
        <v>591446.36567610258</v>
      </c>
      <c r="H17">
        <v>540.12236001282167</v>
      </c>
      <c r="I17">
        <f>Table2[[#This Row],[FUA_area]]+Table2[[#This Row],[FUA_urban]]</f>
        <v>591986.48803611542</v>
      </c>
      <c r="J17">
        <v>27879129</v>
      </c>
      <c r="K17" s="1">
        <f>[2]Urban_area_finals!K27/[2]Urban_area_finals!$G27</f>
        <v>1.1865704128281493E-2</v>
      </c>
      <c r="L17" s="1">
        <f>[2]Urban_area_finals!L27/[2]Urban_area_finals!$G27</f>
        <v>1.2930575011588804E-2</v>
      </c>
      <c r="M17" s="1">
        <f>[2]Urban_area_finals!M27/[2]Urban_area_finals!$G27</f>
        <v>1.3894029620295421E-2</v>
      </c>
      <c r="N17" s="1">
        <f>[2]Urban_area_finals!N27/[2]Urban_area_finals!$G27</f>
        <v>1.6682977171814578E-2</v>
      </c>
      <c r="O17" s="1">
        <f>[2]Urban_area_finals!O27/[2]Urban_area_finals!$G27</f>
        <v>2.0232546782838954E-2</v>
      </c>
      <c r="P17" s="1">
        <f>[2]Urban_area_finals!P27/[2]Urban_area_finals!$G27</f>
        <v>2.1196001391545573E-2</v>
      </c>
      <c r="Q17" s="1">
        <f>[2]Urban_area_finals!Q27/[2]Urban_area_finals!$G27</f>
        <v>2.2666537373255673E-2</v>
      </c>
      <c r="R17" s="1">
        <f>[2]Urban_area_finals!R27/[2]Urban_area_finals!$G27</f>
        <v>2.4339905904167163E-2</v>
      </c>
      <c r="S17" s="1">
        <f>[2]Urban_area_finals!S27/[2]Urban_area_finals!$G27</f>
        <v>2.7686642965990143E-2</v>
      </c>
      <c r="T17" s="1">
        <f>[2]Urban_area_finals!T27/[2]Urban_area_finals!$G27</f>
        <v>3.4532241501537164E-2</v>
      </c>
      <c r="U17" s="1">
        <f>[2]Urban_area_finals!U27/[2]Urban_area_finals!$G27</f>
        <v>4.5485199158412391E-2</v>
      </c>
      <c r="V17" s="1">
        <f>[2]Urban_area_finals!V27/[2]Urban_area_finals!$G27</f>
        <v>4.7107859552023526E-2</v>
      </c>
      <c r="W17" s="1">
        <f>[2]Urban_area_finals!W27/[2]Urban_area_finals!$G27</f>
        <v>6.4906415744445764E-2</v>
      </c>
      <c r="X17" s="1">
        <f>[2]Urban_area_finals!X27/[2]Urban_area_finals!$G27</f>
        <v>6.5667037803951001E-2</v>
      </c>
      <c r="Y17" s="1">
        <f>[2]Urban_area_finals!Y27/[2]Urban_area_finals!$G27</f>
        <v>7.1599889868091737E-2</v>
      </c>
      <c r="Z17" s="1">
        <f>[2]Urban_area_finals!Z27/[2]Urban_area_finals!$G27</f>
        <v>7.7634158206833184E-2</v>
      </c>
      <c r="AA17" s="1">
        <f>[2]Urban_area_finals!AA27/[2]Urban_area_finals!$G27</f>
        <v>8.2197890563864534E-2</v>
      </c>
      <c r="AB17" s="1">
        <f>[2]Urban_area_finals!AB27/[2]Urban_area_finals!$G27</f>
        <v>8.4276924193178795E-2</v>
      </c>
      <c r="AC17" s="1">
        <f>[2]Urban_area_finals!AC27/[2]Urban_area_finals!$G27</f>
        <v>8.5696752037588558E-2</v>
      </c>
      <c r="AD17" s="1">
        <f>[2]Urban_area_finals!AD27/[2]Urban_area_finals!$G27</f>
        <v>9.8424494499975965E-2</v>
      </c>
      <c r="AE17" s="1">
        <f>[2]Urban_area_finals!AE27/[2]Urban_area_finals!$G27</f>
        <v>9.994573861898641E-2</v>
      </c>
      <c r="AF17" s="1">
        <f>[2]Urban_area_finals!AF27/[2]Urban_area_finals!$G27</f>
        <v>0.10166981528719825</v>
      </c>
      <c r="AG17" s="1">
        <f>[2]Urban_area_finals!AG27/[2]Urban_area_finals!$G27</f>
        <v>0.10435734656411672</v>
      </c>
      <c r="AH17" s="1">
        <f>[2]Urban_area_finals!AH27/[2]Urban_area_finals!$G27</f>
        <v>0.10694346156643447</v>
      </c>
      <c r="AI17" s="1">
        <f>[2]Urban_area_finals!AI27/[2]Urban_area_finals!$G27</f>
        <v>0.10770408362593969</v>
      </c>
      <c r="AJ17" s="1">
        <f>[2]Urban_area_finals!AJ27/[2]Urban_area_finals!$G27</f>
        <v>0.10963099284335294</v>
      </c>
      <c r="AK17" s="1">
        <f>[2]Urban_area_finals!AK27/[2]Urban_area_finals!$G27</f>
        <v>0.11389047637658217</v>
      </c>
      <c r="AL17" s="1">
        <f>[2]Urban_area_finals!AL27/[2]Urban_area_finals!$G27</f>
        <v>0.11622305069239822</v>
      </c>
      <c r="AM17" s="1">
        <f>[2]Urban_area_finals!AM27/[2]Urban_area_finals!$G27</f>
        <v>0.12088819932403026</v>
      </c>
      <c r="AN17" s="1">
        <f>[2]Urban_area_finals!AN27/[2]Urban_area_finals!$G27</f>
        <v>0.12367714687554941</v>
      </c>
      <c r="AO17" s="1">
        <f>[2]Urban_area_finals!AO27/[2]Urban_area_finals!$G27</f>
        <v>0.13853463110455144</v>
      </c>
      <c r="AP17" s="1">
        <f>[2]Urban_area_finals!AP27/[2]Urban_area_finals!$G27</f>
        <v>0.14664793307260715</v>
      </c>
      <c r="AQ17" s="1">
        <f>[2]Urban_area_finals!AQ27/[2]Urban_area_finals!$G27</f>
        <v>0.15465981876606216</v>
      </c>
      <c r="AR17" s="1">
        <f>[2]Urban_area_finals!AR27/[2]Urban_area_finals!$G27</f>
        <v>0.17149492034977781</v>
      </c>
      <c r="AS17" s="1">
        <f>[2]Urban_area_finals!AS27/[2]Urban_area_finals!$G27</f>
        <v>0.19091613693581119</v>
      </c>
      <c r="AT17" s="1">
        <f>[2]Urban_area_finals!AT27/[2]Urban_area_finals!$G27</f>
        <v>0.19700111341185297</v>
      </c>
      <c r="AU17" s="1">
        <f>[2]Urban_area_finals!AU27/[2]Urban_area_finals!$G27</f>
        <v>0.20016530117939471</v>
      </c>
      <c r="AV17" s="1">
        <f>[2]Urban_area_finals!AV27/[2]Urban_area_finals!$G27</f>
        <v>0.20491158283070732</v>
      </c>
      <c r="AW17" s="1">
        <f>[2]Urban_area_finals!AW27/[2]Urban_area_finals!$G27</f>
        <v>0.21287276038686201</v>
      </c>
      <c r="AX17" s="1">
        <f>[2]Urban_area_finals!AX27/[2]Urban_area_finals!$G27</f>
        <v>0.22240589019932747</v>
      </c>
      <c r="AY17" s="1">
        <f>[2]Urban_area_finals!AY27/[2]Urban_area_finals!$G27</f>
        <v>0.23198972814909327</v>
      </c>
    </row>
    <row r="18" spans="1:51" x14ac:dyDescent="0.25">
      <c r="A18" t="s">
        <v>337</v>
      </c>
      <c r="B18" t="s">
        <v>338</v>
      </c>
      <c r="C18" t="s">
        <v>339</v>
      </c>
      <c r="D18" t="s">
        <v>54</v>
      </c>
      <c r="E18" t="s">
        <v>55</v>
      </c>
      <c r="F18" t="s">
        <v>56</v>
      </c>
      <c r="G18">
        <v>65837.40275741677</v>
      </c>
      <c r="H18">
        <v>4931.8018623715043</v>
      </c>
      <c r="I18">
        <f>Table2[[#This Row],[FUA_area]]+Table2[[#This Row],[FUA_urban]]</f>
        <v>70769.204619788274</v>
      </c>
      <c r="J18">
        <v>21683158</v>
      </c>
      <c r="K18" s="1">
        <f>[2]Urban_area_finals!K81/[2]Urban_area_finals!$G81</f>
        <v>1.0634451305365901E-2</v>
      </c>
      <c r="L18" s="1">
        <f>[2]Urban_area_finals!L81/[2]Urban_area_finals!$G81</f>
        <v>1.1708192585160797E-2</v>
      </c>
      <c r="M18" s="1">
        <f>[2]Urban_area_finals!M81/[2]Urban_area_finals!$G81</f>
        <v>1.2884895357538768E-2</v>
      </c>
      <c r="N18" s="1">
        <f>[2]Urban_area_finals!N81/[2]Urban_area_finals!$G81</f>
        <v>1.4282229899737608E-2</v>
      </c>
      <c r="O18" s="1">
        <f>[2]Urban_area_finals!O81/[2]Urban_area_finals!$G81</f>
        <v>1.5929613781066762E-2</v>
      </c>
      <c r="P18" s="1">
        <f>[2]Urban_area_finals!P81/[2]Urban_area_finals!$G81</f>
        <v>1.9224381543725078E-2</v>
      </c>
      <c r="Q18" s="1">
        <f>[2]Urban_area_finals!Q81/[2]Urban_area_finals!$G81</f>
        <v>2.3357550031702697E-2</v>
      </c>
      <c r="R18" s="1">
        <f>[2]Urban_area_finals!R81/[2]Urban_area_finals!$G81</f>
        <v>2.7078872549348029E-2</v>
      </c>
      <c r="S18" s="1">
        <f>[2]Urban_area_finals!S81/[2]Urban_area_finals!$G81</f>
        <v>3.3330106027605992E-2</v>
      </c>
      <c r="T18" s="1">
        <f>[2]Urban_area_finals!T81/[2]Urban_area_finals!$G81</f>
        <v>4.2979068761105341E-2</v>
      </c>
      <c r="U18" s="1">
        <f>[2]Urban_area_finals!U81/[2]Urban_area_finals!$G81</f>
        <v>5.3878278190256285E-2</v>
      </c>
      <c r="V18" s="1">
        <f>[2]Urban_area_finals!V81/[2]Urban_area_finals!$G81</f>
        <v>5.4834349192813395E-2</v>
      </c>
      <c r="W18" s="1">
        <f>[2]Urban_area_finals!W81/[2]Urban_area_finals!$G81</f>
        <v>6.3939086894087935E-2</v>
      </c>
      <c r="X18" s="1">
        <f>[2]Urban_area_finals!X81/[2]Urban_area_finals!$G81</f>
        <v>6.9101870307896274E-2</v>
      </c>
      <c r="Y18" s="1">
        <f>[2]Urban_area_finals!Y81/[2]Urban_area_finals!$G81</f>
        <v>8.0162876368249189E-2</v>
      </c>
      <c r="Z18" s="1">
        <f>[2]Urban_area_finals!Z81/[2]Urban_area_finals!$G81</f>
        <v>9.215053586184975E-2</v>
      </c>
      <c r="AA18" s="1">
        <f>[2]Urban_area_finals!AA81/[2]Urban_area_finals!$G81</f>
        <v>0.10768301245723896</v>
      </c>
      <c r="AB18" s="1">
        <f>[2]Urban_area_finals!AB81/[2]Urban_area_finals!$G81</f>
        <v>0.11108074171248035</v>
      </c>
      <c r="AC18" s="1">
        <f>[2]Urban_area_finals!AC81/[2]Urban_area_finals!$G81</f>
        <v>0.11425783919790086</v>
      </c>
      <c r="AD18" s="1">
        <f>[2]Urban_area_finals!AD81/[2]Urban_area_finals!$G81</f>
        <v>0.11921469962654306</v>
      </c>
      <c r="AE18" s="1">
        <f>[2]Urban_area_finals!AE81/[2]Urban_area_finals!$G81</f>
        <v>0.1233625768991754</v>
      </c>
      <c r="AF18" s="1">
        <f>[2]Urban_area_finals!AF81/[2]Urban_area_finals!$G81</f>
        <v>0.12803997041937781</v>
      </c>
      <c r="AG18" s="1">
        <f>[2]Urban_area_finals!AG81/[2]Urban_area_finals!$G81</f>
        <v>0.13270265515492555</v>
      </c>
      <c r="AH18" s="1">
        <f>[2]Urban_area_finals!AH81/[2]Urban_area_finals!$G81</f>
        <v>0.1353208188234665</v>
      </c>
      <c r="AI18" s="1">
        <f>[2]Urban_area_finals!AI81/[2]Urban_area_finals!$G81</f>
        <v>0.13774776829149607</v>
      </c>
      <c r="AJ18" s="1">
        <f>[2]Urban_area_finals!AJ81/[2]Urban_area_finals!$G81</f>
        <v>0.13958636637333666</v>
      </c>
      <c r="AK18" s="1">
        <f>[2]Urban_area_finals!AK81/[2]Urban_area_finals!$G81</f>
        <v>0.14251341451962685</v>
      </c>
      <c r="AL18" s="1">
        <f>[2]Urban_area_finals!AL81/[2]Urban_area_finals!$G81</f>
        <v>0.14776445064136354</v>
      </c>
      <c r="AM18" s="1">
        <f>[2]Urban_area_finals!AM81/[2]Urban_area_finals!$G81</f>
        <v>0.15579544706284318</v>
      </c>
      <c r="AN18" s="1">
        <f>[2]Urban_area_finals!AN81/[2]Urban_area_finals!$G81</f>
        <v>0.16122298860043657</v>
      </c>
      <c r="AO18" s="1">
        <f>[2]Urban_area_finals!AO81/[2]Urban_area_finals!$G81</f>
        <v>0.16872446877434613</v>
      </c>
      <c r="AP18" s="1">
        <f>[2]Urban_area_finals!AP81/[2]Urban_area_finals!$G81</f>
        <v>0.18038853500554278</v>
      </c>
      <c r="AQ18" s="1">
        <f>[2]Urban_area_finals!AQ81/[2]Urban_area_finals!$G81</f>
        <v>0.19025812950886298</v>
      </c>
      <c r="AR18" s="1">
        <f>[2]Urban_area_finals!AR81/[2]Urban_area_finals!$G81</f>
        <v>0.20077491053699106</v>
      </c>
      <c r="AS18" s="1">
        <f>[2]Urban_area_finals!AS81/[2]Urban_area_finals!$G81</f>
        <v>0.21479238231294365</v>
      </c>
      <c r="AT18" s="1">
        <f>[2]Urban_area_finals!AT81/[2]Urban_area_finals!$G81</f>
        <v>0.21282140516921055</v>
      </c>
      <c r="AU18" s="1">
        <f>[2]Urban_area_finals!AU81/[2]Urban_area_finals!$G81</f>
        <v>0.21486298447928631</v>
      </c>
      <c r="AV18" s="1">
        <f>[2]Urban_area_finals!AV81/[2]Urban_area_finals!$G81</f>
        <v>0.21792535344439995</v>
      </c>
      <c r="AW18" s="1">
        <f>[2]Urban_area_finals!AW81/[2]Urban_area_finals!$G81</f>
        <v>0.22132308269964138</v>
      </c>
      <c r="AX18" s="1">
        <f>[2]Urban_area_finals!AX81/[2]Urban_area_finals!$G81</f>
        <v>0.22301459293493467</v>
      </c>
      <c r="AY18" s="1">
        <f>[2]Urban_area_finals!AY81/[2]Urban_area_finals!$G81</f>
        <v>0.22301459293493467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f>Table2[[#This Row],[FUA_area]]+Table2[[#This Row],[FUA_urban]]</f>
        <v>51859.670978158822</v>
      </c>
      <c r="J19">
        <v>3340977</v>
      </c>
      <c r="K19" s="1">
        <f>[2]Urban_area_finals!K76/[2]Urban_area_finals!$G76</f>
        <v>1.2182227279466046E-2</v>
      </c>
      <c r="L19" s="1">
        <f>[2]Urban_area_finals!L76/[2]Urban_area_finals!$G76</f>
        <v>1.4083843245041234E-2</v>
      </c>
      <c r="M19" s="1">
        <f>[2]Urban_area_finals!M76/[2]Urban_area_finals!$G76</f>
        <v>1.736845264012565E-2</v>
      </c>
      <c r="N19" s="1">
        <f>[2]Urban_area_finals!N76/[2]Urban_area_finals!$G76</f>
        <v>2.1112259072351803E-2</v>
      </c>
      <c r="O19" s="1">
        <f>[2]Urban_area_finals!O76/[2]Urban_area_finals!$G76</f>
        <v>2.8054237810318041E-2</v>
      </c>
      <c r="P19" s="1">
        <f>[2]Urban_area_finals!P76/[2]Urban_area_finals!$G76</f>
        <v>3.2068160146745212E-2</v>
      </c>
      <c r="Q19" s="1">
        <f>[2]Urban_area_finals!Q76/[2]Urban_area_finals!$G76</f>
        <v>3.7594731546698103E-2</v>
      </c>
      <c r="R19" s="1">
        <f>[2]Urban_area_finals!R76/[2]Urban_area_finals!$G76</f>
        <v>4.3175326127491198E-2</v>
      </c>
      <c r="S19" s="1">
        <f>[2]Urban_area_finals!S76/[2]Urban_area_finals!$G76</f>
        <v>5.153271220347079E-2</v>
      </c>
      <c r="T19" s="1">
        <f>[2]Urban_area_finals!T76/[2]Urban_area_finals!$G76</f>
        <v>6.4860230916749168E-2</v>
      </c>
      <c r="U19" s="1">
        <f>[2]Urban_area_finals!U76/[2]Urban_area_finals!$G76</f>
        <v>8.8046980133364802E-2</v>
      </c>
      <c r="V19" s="1">
        <f>[2]Urban_area_finals!V76/[2]Urban_area_finals!$G76</f>
        <v>0.11203327242641548</v>
      </c>
      <c r="W19" s="1">
        <f>[2]Urban_area_finals!W76/[2]Urban_area_finals!$G76</f>
        <v>0.12644665707458197</v>
      </c>
      <c r="X19" s="1">
        <f>[2]Urban_area_finals!X76/[2]Urban_area_finals!$G76</f>
        <v>0.12986092210368286</v>
      </c>
      <c r="Y19" s="1">
        <f>[2]Urban_area_finals!Y76/[2]Urban_area_finals!$G76</f>
        <v>0.13900704661992941</v>
      </c>
      <c r="Z19" s="1">
        <f>[2]Urban_area_finals!Z76/[2]Urban_area_finals!$G76</f>
        <v>0.14975225728904604</v>
      </c>
      <c r="AA19" s="1">
        <f>[2]Urban_area_finals!AA76/[2]Urban_area_finals!$G76</f>
        <v>0.15625664826220664</v>
      </c>
      <c r="AB19" s="1">
        <f>[2]Urban_area_finals!AB76/[2]Urban_area_finals!$G76</f>
        <v>0.15956826924771117</v>
      </c>
      <c r="AC19" s="1">
        <f>[2]Urban_area_finals!AC76/[2]Urban_area_finals!$G76</f>
        <v>0.1614590805771183</v>
      </c>
      <c r="AD19" s="1">
        <f>[2]Urban_area_finals!AD76/[2]Urban_area_finals!$G76</f>
        <v>0.1643979416148254</v>
      </c>
      <c r="AE19" s="1">
        <f>[2]Urban_area_finals!AE76/[2]Urban_area_finals!$G76</f>
        <v>0.16620231585488821</v>
      </c>
      <c r="AF19" s="1">
        <f>[2]Urban_area_finals!AF76/[2]Urban_area_finals!$G76</f>
        <v>0.16822278281831185</v>
      </c>
      <c r="AG19" s="1">
        <f>[2]Urban_area_finals!AG76/[2]Urban_area_finals!$G76</f>
        <v>0.16999474314987056</v>
      </c>
      <c r="AH19" s="1">
        <f>[2]Urban_area_finals!AH76/[2]Urban_area_finals!$G76</f>
        <v>0.17173969189100916</v>
      </c>
      <c r="AI19" s="1">
        <f>[2]Urban_area_finals!AI76/[2]Urban_area_finals!$G76</f>
        <v>0.17282015550781324</v>
      </c>
      <c r="AJ19" s="1">
        <f>[2]Urban_area_finals!AJ76/[2]Urban_area_finals!$G76</f>
        <v>0.17399786085012969</v>
      </c>
      <c r="AK19" s="1">
        <f>[2]Urban_area_finals!AK76/[2]Urban_area_finals!$G76</f>
        <v>0.17533763573496675</v>
      </c>
      <c r="AL19" s="1">
        <f>[2]Urban_area_finals!AL76/[2]Urban_area_finals!$G76</f>
        <v>0.1774661490600708</v>
      </c>
      <c r="AM19" s="1">
        <f>[2]Urban_area_finals!AM76/[2]Urban_area_finals!$G76</f>
        <v>0.18131259953589335</v>
      </c>
      <c r="AN19" s="1">
        <f>[2]Urban_area_finals!AN76/[2]Urban_area_finals!$G76</f>
        <v>0.18351134299608962</v>
      </c>
      <c r="AO19" s="1">
        <f>[2]Urban_area_finals!AO76/[2]Urban_area_finals!$G76</f>
        <v>0.18610985799450347</v>
      </c>
      <c r="AP19" s="1">
        <f>[2]Urban_area_finals!AP76/[2]Urban_area_finals!$G76</f>
        <v>0.18907573062263067</v>
      </c>
      <c r="AQ19" s="1">
        <f>[2]Urban_area_finals!AQ76/[2]Urban_area_finals!$G76</f>
        <v>0.19456448579599545</v>
      </c>
      <c r="AR19" s="1">
        <f>[2]Urban_area_finals!AR76/[2]Urban_area_finals!$G76</f>
        <v>0.20256531887842966</v>
      </c>
      <c r="AS19" s="1">
        <f>[2]Urban_area_finals!AS76/[2]Urban_area_finals!$G76</f>
        <v>0.21137649967346697</v>
      </c>
      <c r="AT19" s="1">
        <f>[2]Urban_area_finals!AT76/[2]Urban_area_finals!$G76</f>
        <v>0.21027442678432681</v>
      </c>
      <c r="AU19" s="1">
        <f>[2]Urban_area_finals!AU76/[2]Urban_area_finals!$G76</f>
        <v>0.21027442678432681</v>
      </c>
      <c r="AV19" s="1">
        <f>[2]Urban_area_finals!AV76/[2]Urban_area_finals!$G76</f>
        <v>0.21027442678432681</v>
      </c>
      <c r="AW19" s="1">
        <f>[2]Urban_area_finals!AW76/[2]Urban_area_finals!$G76</f>
        <v>0.21027442678432681</v>
      </c>
      <c r="AX19" s="1">
        <f>[2]Urban_area_finals!AX76/[2]Urban_area_finals!$G76</f>
        <v>0.21027442678432681</v>
      </c>
      <c r="AY19" s="1">
        <f>[2]Urban_area_finals!AY76/[2]Urban_area_finals!$G76</f>
        <v>0.21027442678432681</v>
      </c>
    </row>
    <row r="20" spans="1:51" x14ac:dyDescent="0.25">
      <c r="A20" t="s">
        <v>565</v>
      </c>
      <c r="B20" t="s">
        <v>566</v>
      </c>
      <c r="C20" t="s">
        <v>567</v>
      </c>
      <c r="D20" t="s">
        <v>566</v>
      </c>
      <c r="E20" t="s">
        <v>61</v>
      </c>
      <c r="F20" t="s">
        <v>61</v>
      </c>
      <c r="G20">
        <v>1219709.0736007169</v>
      </c>
      <c r="H20">
        <v>14802.82812319728</v>
      </c>
      <c r="I20">
        <f>Table2[[#This Row],[FUA_area]]+Table2[[#This Row],[FUA_urban]]</f>
        <v>1234511.9017239141</v>
      </c>
      <c r="J20">
        <v>58466146</v>
      </c>
      <c r="K20" s="1">
        <f>[2]Urban_area_finals!K72/[2]Urban_area_finals!$G72</f>
        <v>3.2110408164544545E-3</v>
      </c>
      <c r="L20" s="1">
        <f>[2]Urban_area_finals!L72/[2]Urban_area_finals!$G72</f>
        <v>3.5780169097635356E-3</v>
      </c>
      <c r="M20" s="1">
        <f>[2]Urban_area_finals!M72/[2]Urban_area_finals!$G72</f>
        <v>3.9449930030726159E-3</v>
      </c>
      <c r="N20" s="1">
        <f>[2]Urban_area_finals!N72/[2]Urban_area_finals!$G72</f>
        <v>4.3119690963816966E-3</v>
      </c>
      <c r="O20" s="1">
        <f>[2]Urban_area_finals!O72/[2]Urban_area_finals!$G72</f>
        <v>4.7248172013544124E-3</v>
      </c>
      <c r="P20" s="1">
        <f>[2]Urban_area_finals!P72/[2]Urban_area_finals!$G72</f>
        <v>5.9633615162725589E-3</v>
      </c>
      <c r="Q20" s="1">
        <f>[2]Urban_area_finals!Q72/[2]Urban_area_finals!$G72</f>
        <v>7.5230099128361519E-3</v>
      </c>
      <c r="R20" s="1">
        <f>[2]Urban_area_finals!R72/[2]Urban_area_finals!$G72</f>
        <v>9.495506414372459E-3</v>
      </c>
      <c r="S20" s="1">
        <f>[2]Urban_area_finals!S72/[2]Urban_area_finals!$G72</f>
        <v>1.2018467055872388E-2</v>
      </c>
      <c r="T20" s="1">
        <f>[2]Urban_area_finals!T72/[2]Urban_area_finals!$G72</f>
        <v>2.1330485423590308E-2</v>
      </c>
      <c r="U20" s="1">
        <f>[2]Urban_area_finals!U72/[2]Urban_area_finals!$G72</f>
        <v>2.8119543149808298E-2</v>
      </c>
      <c r="V20" s="1">
        <f>[2]Urban_area_finals!V72/[2]Urban_area_finals!$G72</f>
        <v>3.6881097377562601E-2</v>
      </c>
      <c r="W20" s="1">
        <f>[2]Urban_area_finals!W72/[2]Urban_area_finals!$G72</f>
        <v>4.5275675512007812E-2</v>
      </c>
      <c r="X20" s="1">
        <f>[2]Urban_area_finals!X72/[2]Urban_area_finals!$G72</f>
        <v>4.9083052480089526E-2</v>
      </c>
      <c r="Y20" s="1">
        <f>[2]Urban_area_finals!Y72/[2]Urban_area_finals!$G72</f>
        <v>4.9862876678371325E-2</v>
      </c>
      <c r="Z20" s="1">
        <f>[2]Urban_area_finals!Z72/[2]Urban_area_finals!$G72</f>
        <v>5.775286268451655E-2</v>
      </c>
      <c r="AA20" s="1">
        <f>[2]Urban_area_finals!AA72/[2]Urban_area_finals!$G72</f>
        <v>6.8899761518779884E-2</v>
      </c>
      <c r="AB20" s="1">
        <f>[2]Urban_area_finals!AB72/[2]Urban_area_finals!$G72</f>
        <v>7.123923411362526E-2</v>
      </c>
      <c r="AC20" s="1">
        <f>[2]Urban_area_finals!AC72/[2]Urban_area_finals!$G72</f>
        <v>7.6422771431616035E-2</v>
      </c>
      <c r="AD20" s="1">
        <f>[2]Urban_area_finals!AD72/[2]Urban_area_finals!$G72</f>
        <v>7.7477827699879626E-2</v>
      </c>
      <c r="AE20" s="1">
        <f>[2]Urban_area_finals!AE72/[2]Urban_area_finals!$G72</f>
        <v>8.1285204667961353E-2</v>
      </c>
      <c r="AF20" s="1">
        <f>[2]Urban_area_finals!AF72/[2]Urban_area_finals!$G72</f>
        <v>8.2340260936224957E-2</v>
      </c>
      <c r="AG20" s="1">
        <f>[2]Urban_area_finals!AG72/[2]Urban_area_finals!$G72</f>
        <v>8.4863221577724884E-2</v>
      </c>
      <c r="AH20" s="1">
        <f>[2]Urban_area_finals!AH72/[2]Urban_area_finals!$G72</f>
        <v>8.6560486009279389E-2</v>
      </c>
      <c r="AI20" s="1">
        <f>[2]Urban_area_finals!AI72/[2]Urban_area_finals!$G72</f>
        <v>8.8991702627452027E-2</v>
      </c>
      <c r="AJ20" s="1">
        <f>[2]Urban_area_finals!AJ72/[2]Urban_area_finals!$G72</f>
        <v>9.1881639362261056E-2</v>
      </c>
      <c r="AK20" s="1">
        <f>[2]Urban_area_finals!AK72/[2]Urban_area_finals!$G72</f>
        <v>9.3441287758824654E-2</v>
      </c>
      <c r="AL20" s="1">
        <f>[2]Urban_area_finals!AL72/[2]Urban_area_finals!$G72</f>
        <v>9.5138552190379144E-2</v>
      </c>
      <c r="AM20" s="1">
        <f>[2]Urban_area_finals!AM72/[2]Urban_area_finals!$G72</f>
        <v>9.8211976971842682E-2</v>
      </c>
      <c r="AN20" s="1">
        <f>[2]Urban_area_finals!AN72/[2]Urban_area_finals!$G72</f>
        <v>0.1015147618116244</v>
      </c>
      <c r="AO20" s="1">
        <f>[2]Urban_area_finals!AO72/[2]Urban_area_finals!$G72</f>
        <v>0.10541388280303339</v>
      </c>
      <c r="AP20" s="1">
        <f>[2]Urban_area_finals!AP72/[2]Urban_area_finals!$G72</f>
        <v>0.11165247638928776</v>
      </c>
      <c r="AQ20" s="1">
        <f>[2]Urban_area_finals!AQ72/[2]Urban_area_finals!$G72</f>
        <v>0.11885438222047848</v>
      </c>
      <c r="AR20" s="1">
        <f>[2]Urban_area_finals!AR72/[2]Urban_area_finals!$G72</f>
        <v>0.1241296635617965</v>
      </c>
      <c r="AS20" s="1">
        <f>[2]Urban_area_finals!AS72/[2]Urban_area_finals!$G72</f>
        <v>0.12945081691477817</v>
      </c>
      <c r="AT20" s="1">
        <f>[2]Urban_area_finals!AT72/[2]Urban_area_finals!$G72</f>
        <v>0.13591877055935073</v>
      </c>
      <c r="AU20" s="1">
        <f>[2]Urban_area_finals!AU72/[2]Urban_area_finals!$G72</f>
        <v>0.14290966513688871</v>
      </c>
      <c r="AV20" s="1">
        <f>[2]Urban_area_finals!AV72/[2]Urban_area_finals!$G72</f>
        <v>0.15339600700319569</v>
      </c>
      <c r="AW20" s="1">
        <f>[2]Urban_area_finals!AW72/[2]Urban_area_finals!$G72</f>
        <v>0.1709649874703679</v>
      </c>
      <c r="AX20" s="1">
        <f>[2]Urban_area_finals!AX72/[2]Urban_area_finals!$G72</f>
        <v>0.18890094403084923</v>
      </c>
      <c r="AY20" s="1">
        <f>[2]Urban_area_finals!AY72/[2]Urban_area_finals!$G72</f>
        <v>0.20807544490624869</v>
      </c>
    </row>
    <row r="21" spans="1:51" x14ac:dyDescent="0.25">
      <c r="A21" t="s">
        <v>532</v>
      </c>
      <c r="B21" t="s">
        <v>533</v>
      </c>
      <c r="C21" t="s">
        <v>534</v>
      </c>
      <c r="D21" t="s">
        <v>160</v>
      </c>
      <c r="E21" t="s">
        <v>55</v>
      </c>
      <c r="F21" t="s">
        <v>161</v>
      </c>
      <c r="G21">
        <v>36406.335434832858</v>
      </c>
      <c r="H21">
        <v>7531.1584047772276</v>
      </c>
      <c r="I21">
        <f>Table2[[#This Row],[FUA_area]]+Table2[[#This Row],[FUA_urban]]</f>
        <v>43937.493839610084</v>
      </c>
      <c r="J21">
        <v>23800895</v>
      </c>
      <c r="K21" s="1">
        <f>[2]Urban_area_finals!K39/[2]Urban_area_finals!$G39</f>
        <v>1.4637014284884297E-2</v>
      </c>
      <c r="L21" s="1">
        <f>[2]Urban_area_finals!L39/[2]Urban_area_finals!$G39</f>
        <v>1.9176547212616735E-2</v>
      </c>
      <c r="M21" s="1">
        <f>[2]Urban_area_finals!M39/[2]Urban_area_finals!$G39</f>
        <v>2.5189532355555877E-2</v>
      </c>
      <c r="N21" s="1">
        <f>[2]Urban_area_finals!N39/[2]Urban_area_finals!$G39</f>
        <v>3.5140751911933547E-2</v>
      </c>
      <c r="O21" s="1">
        <f>[2]Urban_area_finals!O39/[2]Urban_area_finals!$G39</f>
        <v>5.0546994926815469E-2</v>
      </c>
      <c r="P21" s="1">
        <f>[2]Urban_area_finals!P39/[2]Urban_area_finals!$G39</f>
        <v>5.0546994926815469E-2</v>
      </c>
      <c r="Q21" s="1">
        <f>[2]Urban_area_finals!Q39/[2]Urban_area_finals!$G39</f>
        <v>5.468024507461957E-2</v>
      </c>
      <c r="R21" s="1">
        <f>[2]Urban_area_finals!R39/[2]Urban_area_finals!$G39</f>
        <v>5.9479798981506134E-2</v>
      </c>
      <c r="S21" s="1">
        <f>[2]Urban_area_finals!S39/[2]Urban_area_finals!$G39</f>
        <v>5.9604392367350829E-2</v>
      </c>
      <c r="T21" s="1">
        <f>[2]Urban_area_finals!T39/[2]Urban_area_finals!$G39</f>
        <v>6.6386606240287596E-2</v>
      </c>
      <c r="U21" s="1">
        <f>[2]Urban_area_finals!U39/[2]Urban_area_finals!$G39</f>
        <v>7.3390921366251846E-2</v>
      </c>
      <c r="V21" s="1">
        <f>[2]Urban_area_finals!V39/[2]Urban_area_finals!$G39</f>
        <v>7.600738246899022E-2</v>
      </c>
      <c r="W21" s="1">
        <f>[2]Urban_area_finals!W39/[2]Urban_area_finals!$G39</f>
        <v>7.9490580168909017E-2</v>
      </c>
      <c r="X21" s="1">
        <f>[2]Urban_area_finals!X39/[2]Urban_area_finals!$G39</f>
        <v>8.0655257471370215E-2</v>
      </c>
      <c r="Y21" s="1">
        <f>[2]Urban_area_finals!Y39/[2]Urban_area_finals!$G39</f>
        <v>8.8250036904163623E-2</v>
      </c>
      <c r="Z21" s="1">
        <f>[2]Urban_area_finals!Z39/[2]Urban_area_finals!$G39</f>
        <v>9.8558785306878199E-2</v>
      </c>
      <c r="AA21" s="1">
        <f>[2]Urban_area_finals!AA39/[2]Urban_area_finals!$G39</f>
        <v>0.10485345984390099</v>
      </c>
      <c r="AB21" s="1">
        <f>[2]Urban_area_finals!AB39/[2]Urban_area_finals!$G39</f>
        <v>0.10790328924522959</v>
      </c>
      <c r="AC21" s="1">
        <f>[2]Urban_area_finals!AC39/[2]Urban_area_finals!$G39</f>
        <v>0.11055225297036224</v>
      </c>
      <c r="AD21" s="1">
        <f>[2]Urban_area_finals!AD39/[2]Urban_area_finals!$G39</f>
        <v>0.1133203929776072</v>
      </c>
      <c r="AE21" s="1">
        <f>[2]Urban_area_finals!AE39/[2]Urban_area_finals!$G39</f>
        <v>0.11524888190633362</v>
      </c>
      <c r="AF21" s="1">
        <f>[2]Urban_area_finals!AF39/[2]Urban_area_finals!$G39</f>
        <v>0.1163864736901329</v>
      </c>
      <c r="AG21" s="1">
        <f>[2]Urban_area_finals!AG39/[2]Urban_area_finals!$G39</f>
        <v>0.11725862739104571</v>
      </c>
      <c r="AH21" s="1">
        <f>[2]Urban_area_finals!AH39/[2]Urban_area_finals!$G39</f>
        <v>0.11813619819569088</v>
      </c>
      <c r="AI21" s="1">
        <f>[2]Urban_area_finals!AI39/[2]Urban_area_finals!$G39</f>
        <v>0.11862373753160486</v>
      </c>
      <c r="AJ21" s="1">
        <f>[2]Urban_area_finals!AJ39/[2]Urban_area_finals!$G39</f>
        <v>0.11936046363920823</v>
      </c>
      <c r="AK21" s="1">
        <f>[2]Urban_area_finals!AK39/[2]Urban_area_finals!$G39</f>
        <v>0.1203084567923743</v>
      </c>
      <c r="AL21" s="1">
        <f>[2]Urban_area_finals!AL39/[2]Urban_area_finals!$G39</f>
        <v>0.12217735758004457</v>
      </c>
      <c r="AM21" s="1">
        <f>[2]Urban_area_finals!AM39/[2]Urban_area_finals!$G39</f>
        <v>0.12475589895665631</v>
      </c>
      <c r="AN21" s="1">
        <f>[2]Urban_area_finals!AN39/[2]Urban_area_finals!$G39</f>
        <v>0.12782739677291441</v>
      </c>
      <c r="AO21" s="1">
        <f>[2]Urban_area_finals!AO39/[2]Urban_area_finals!$G39</f>
        <v>0.1343658409778942</v>
      </c>
      <c r="AP21" s="1">
        <f>[2]Urban_area_finals!AP39/[2]Urban_area_finals!$G39</f>
        <v>0.14184686123230766</v>
      </c>
      <c r="AQ21" s="1">
        <f>[2]Urban_area_finals!AQ39/[2]Urban_area_finals!$G39</f>
        <v>0.1556983954759972</v>
      </c>
      <c r="AR21" s="1">
        <f>[2]Urban_area_finals!AR39/[2]Urban_area_finals!$G39</f>
        <v>0.16840692083215508</v>
      </c>
      <c r="AS21" s="1">
        <f>[2]Urban_area_finals!AS39/[2]Urban_area_finals!$G39</f>
        <v>0.17926821381557217</v>
      </c>
      <c r="AT21" s="1">
        <f>[2]Urban_area_finals!AT39/[2]Urban_area_finals!$G39</f>
        <v>0.18203635382281713</v>
      </c>
      <c r="AU21" s="1">
        <f>[2]Urban_area_finals!AU39/[2]Urban_area_finals!$G39</f>
        <v>0.18320428138751776</v>
      </c>
      <c r="AV21" s="1">
        <f>[2]Urban_area_finals!AV39/[2]Urban_area_finals!$G39</f>
        <v>0.18495617273456866</v>
      </c>
      <c r="AW21" s="1">
        <f>[2]Urban_area_finals!AW39/[2]Urban_area_finals!$G39</f>
        <v>0.18933319255032977</v>
      </c>
      <c r="AX21" s="1">
        <f>[2]Urban_area_finals!AX39/[2]Urban_area_finals!$G39</f>
        <v>0.19372104657355566</v>
      </c>
      <c r="AY21" s="1">
        <f>[2]Urban_area_finals!AY39/[2]Urban_area_finals!$G39</f>
        <v>0.19810348349304915</v>
      </c>
    </row>
    <row r="22" spans="1:51" x14ac:dyDescent="0.25">
      <c r="A22" t="s">
        <v>487</v>
      </c>
      <c r="B22" t="s">
        <v>488</v>
      </c>
      <c r="C22" t="s">
        <v>489</v>
      </c>
      <c r="D22" t="s">
        <v>65</v>
      </c>
      <c r="E22" t="s">
        <v>66</v>
      </c>
      <c r="F22" t="s">
        <v>66</v>
      </c>
      <c r="G22">
        <v>78231.644478324612</v>
      </c>
      <c r="H22">
        <v>3232.529132147421</v>
      </c>
      <c r="I22">
        <f>Table2[[#This Row],[FUA_area]]+Table2[[#This Row],[FUA_urban]]</f>
        <v>81464.173610472033</v>
      </c>
      <c r="J22">
        <v>7384063</v>
      </c>
      <c r="K22" s="1">
        <f>[2]Urban_area_finals!K41/[2]Urban_area_finals!$G41</f>
        <v>1.8509431215631342E-2</v>
      </c>
      <c r="L22" s="1">
        <f>[2]Urban_area_finals!L41/[2]Urban_area_finals!$G41</f>
        <v>2.0904769372948339E-2</v>
      </c>
      <c r="M22" s="1">
        <f>[2]Urban_area_finals!M41/[2]Urban_area_finals!$G41</f>
        <v>2.3898942069594583E-2</v>
      </c>
      <c r="N22" s="1">
        <f>[2]Urban_area_finals!N41/[2]Urban_area_finals!$G41</f>
        <v>2.8199662852050104E-2</v>
      </c>
      <c r="O22" s="1">
        <f>[2]Urban_area_finals!O41/[2]Urban_area_finals!$G41</f>
        <v>3.3970250231041055E-2</v>
      </c>
      <c r="P22" s="1">
        <f>[2]Urban_area_finals!P41/[2]Urban_area_finals!$G41</f>
        <v>3.9087563567127358E-2</v>
      </c>
      <c r="Q22" s="1">
        <f>[2]Urban_area_finals!Q41/[2]Urban_area_finals!$G41</f>
        <v>4.3224965838856724E-2</v>
      </c>
      <c r="R22" s="1">
        <f>[2]Urban_area_finals!R41/[2]Urban_area_finals!$G41</f>
        <v>4.7199049599859925E-2</v>
      </c>
      <c r="S22" s="1">
        <f>[2]Urban_area_finals!S41/[2]Urban_area_finals!$G41</f>
        <v>5.0084343289355397E-2</v>
      </c>
      <c r="T22" s="1">
        <f>[2]Urban_area_finals!T41/[2]Urban_area_finals!$G41</f>
        <v>5.8849103364992592E-2</v>
      </c>
      <c r="U22" s="1">
        <f>[2]Urban_area_finals!U41/[2]Urban_area_finals!$G41</f>
        <v>7.0934673158728354E-2</v>
      </c>
      <c r="V22" s="1">
        <f>[2]Urban_area_finals!V41/[2]Urban_area_finals!$G41</f>
        <v>8.1278178838051746E-2</v>
      </c>
      <c r="W22" s="1">
        <f>[2]Urban_area_finals!W41/[2]Urban_area_finals!$G41</f>
        <v>8.4980065081178016E-2</v>
      </c>
      <c r="X22" s="1">
        <f>[2]Urban_area_finals!X41/[2]Urban_area_finals!$G41</f>
        <v>8.8845269835030438E-2</v>
      </c>
      <c r="Y22" s="1">
        <f>[2]Urban_area_finals!Y41/[2]Urban_area_finals!$G41</f>
        <v>9.4833615228322926E-2</v>
      </c>
      <c r="Z22" s="1">
        <f>[2]Urban_area_finals!Z41/[2]Urban_area_finals!$G41</f>
        <v>0.10016868657871079</v>
      </c>
      <c r="AA22" s="1">
        <f>[2]Urban_area_finals!AA41/[2]Urban_area_finals!$G41</f>
        <v>0.10278178275032934</v>
      </c>
      <c r="AB22" s="1">
        <f>[2]Urban_area_finals!AB41/[2]Urban_area_finals!$G41</f>
        <v>0.10387057282183706</v>
      </c>
      <c r="AC22" s="1">
        <f>[2]Urban_area_finals!AC41/[2]Urban_area_finals!$G41</f>
        <v>0.10539487892194788</v>
      </c>
      <c r="AD22" s="1">
        <f>[2]Urban_area_finals!AD41/[2]Urban_area_finals!$G41</f>
        <v>0.10751801956138796</v>
      </c>
      <c r="AE22" s="1">
        <f>[2]Urban_area_finals!AE41/[2]Urban_area_finals!$G41</f>
        <v>0.1084434911221695</v>
      </c>
      <c r="AF22" s="1">
        <f>[2]Urban_area_finals!AF41/[2]Urban_area_finals!$G41</f>
        <v>0.10898788615792337</v>
      </c>
      <c r="AG22" s="1">
        <f>[2]Urban_area_finals!AG41/[2]Urban_area_finals!$G41</f>
        <v>0.10926008367580031</v>
      </c>
      <c r="AH22" s="1">
        <f>[2]Urban_area_finals!AH41/[2]Urban_area_finals!$G41</f>
        <v>0.10969559970440337</v>
      </c>
      <c r="AI22" s="1">
        <f>[2]Urban_area_finals!AI41/[2]Urban_area_finals!$G41</f>
        <v>0.10985891821512955</v>
      </c>
      <c r="AJ22" s="1">
        <f>[2]Urban_area_finals!AJ41/[2]Urban_area_finals!$G41</f>
        <v>0.1108388292794865</v>
      </c>
      <c r="AK22" s="1">
        <f>[2]Urban_area_finals!AK41/[2]Urban_area_finals!$G41</f>
        <v>0.11160098232954191</v>
      </c>
      <c r="AL22" s="1">
        <f>[2]Urban_area_finals!AL41/[2]Urban_area_finals!$G41</f>
        <v>0.11219981686887116</v>
      </c>
      <c r="AM22" s="1">
        <f>[2]Urban_area_finals!AM41/[2]Urban_area_finals!$G41</f>
        <v>0.11399632048685893</v>
      </c>
      <c r="AN22" s="1">
        <f>[2]Urban_area_finals!AN41/[2]Urban_area_finals!$G41</f>
        <v>0.11535730807624356</v>
      </c>
      <c r="AO22" s="1">
        <f>[2]Urban_area_finals!AO41/[2]Urban_area_finals!$G41</f>
        <v>0.1180248437514375</v>
      </c>
      <c r="AP22" s="1">
        <f>[2]Urban_area_finals!AP41/[2]Urban_area_finals!$G41</f>
        <v>0.1243942656697577</v>
      </c>
      <c r="AQ22" s="1">
        <f>[2]Urban_area_finals!AQ41/[2]Urban_area_finals!$G41</f>
        <v>0.13457445283835492</v>
      </c>
      <c r="AR22" s="1">
        <f>[2]Urban_area_finals!AR41/[2]Urban_area_finals!$G41</f>
        <v>0.14812988922862613</v>
      </c>
      <c r="AS22" s="1">
        <f>[2]Urban_area_finals!AS41/[2]Urban_area_finals!$G41</f>
        <v>0.1589089109365526</v>
      </c>
      <c r="AT22" s="1">
        <f>[2]Urban_area_finals!AT41/[2]Urban_area_finals!$G41</f>
        <v>0.15869115292225108</v>
      </c>
      <c r="AU22" s="1">
        <f>[2]Urban_area_finals!AU41/[2]Urban_area_finals!$G41</f>
        <v>0.16167443771818224</v>
      </c>
      <c r="AV22" s="1">
        <f>[2]Urban_area_finals!AV41/[2]Urban_area_finals!$G41</f>
        <v>0.16614936491207902</v>
      </c>
      <c r="AW22" s="1">
        <f>[2]Urban_area_finals!AW41/[2]Urban_area_finals!$G41</f>
        <v>0.17377089541263308</v>
      </c>
      <c r="AX22" s="1">
        <f>[2]Urban_area_finals!AX41/[2]Urban_area_finals!$G41</f>
        <v>0.18259009499184567</v>
      </c>
      <c r="AY22" s="1">
        <f>[2]Urban_area_finals!AY41/[2]Urban_area_finals!$G41</f>
        <v>0.1927158426568675</v>
      </c>
    </row>
    <row r="23" spans="1:51" x14ac:dyDescent="0.25">
      <c r="A23" t="s">
        <v>109</v>
      </c>
      <c r="B23" t="s">
        <v>110</v>
      </c>
      <c r="C23" t="s">
        <v>111</v>
      </c>
      <c r="D23" t="s">
        <v>54</v>
      </c>
      <c r="E23" t="s">
        <v>55</v>
      </c>
      <c r="F23" t="s">
        <v>56</v>
      </c>
      <c r="G23">
        <v>139384.36693706401</v>
      </c>
      <c r="H23">
        <v>24194.400963431141</v>
      </c>
      <c r="I23">
        <f>Table2[[#This Row],[FUA_area]]+Table2[[#This Row],[FUA_urban]]</f>
        <v>163578.76790049515</v>
      </c>
      <c r="J23">
        <v>166426991</v>
      </c>
      <c r="K23" s="1">
        <f>[2]Urban_area_finals!K84/[2]Urban_area_finals!$G84</f>
        <v>2.5800937649685884E-3</v>
      </c>
      <c r="L23" s="1">
        <f>[2]Urban_area_finals!L84/[2]Urban_area_finals!$G84</f>
        <v>2.5800937649685884E-3</v>
      </c>
      <c r="M23" s="1">
        <f>[2]Urban_area_finals!M84/[2]Urban_area_finals!$G84</f>
        <v>2.5800937649685884E-3</v>
      </c>
      <c r="N23" s="1">
        <f>[2]Urban_area_finals!N84/[2]Urban_area_finals!$G84</f>
        <v>2.5800937649685884E-3</v>
      </c>
      <c r="O23" s="1">
        <f>[2]Urban_area_finals!O84/[2]Urban_area_finals!$G84</f>
        <v>2.8667708499650981E-3</v>
      </c>
      <c r="P23" s="1">
        <f>[2]Urban_area_finals!P84/[2]Urban_area_finals!$G84</f>
        <v>3.1534479349616079E-3</v>
      </c>
      <c r="Q23" s="1">
        <f>[2]Urban_area_finals!Q84/[2]Urban_area_finals!$G84</f>
        <v>3.7268021049546274E-3</v>
      </c>
      <c r="R23" s="1">
        <f>[2]Urban_area_finals!R84/[2]Urban_area_finals!$G84</f>
        <v>4.5868333599441572E-3</v>
      </c>
      <c r="S23" s="1">
        <f>[2]Urban_area_finals!S84/[2]Urban_area_finals!$G84</f>
        <v>5.7335416999301963E-3</v>
      </c>
      <c r="T23" s="1">
        <f>[2]Urban_area_finals!T84/[2]Urban_area_finals!$G84</f>
        <v>9.3170052623865688E-3</v>
      </c>
      <c r="U23" s="1">
        <f>[2]Urban_area_finals!U84/[2]Urban_area_finals!$G84</f>
        <v>1.6627270929797568E-2</v>
      </c>
      <c r="V23" s="1">
        <f>[2]Urban_area_finals!V84/[2]Urban_area_finals!$G84</f>
        <v>2.1357442832239979E-2</v>
      </c>
      <c r="W23" s="1">
        <f>[2]Urban_area_finals!W84/[2]Urban_area_finals!$G84</f>
        <v>2.4510890767201591E-2</v>
      </c>
      <c r="X23" s="1">
        <f>[2]Urban_area_finals!X84/[2]Urban_area_finals!$G84</f>
        <v>2.6660968904675415E-2</v>
      </c>
      <c r="Y23" s="1">
        <f>[2]Urban_area_finals!Y84/[2]Urban_area_finals!$G84</f>
        <v>3.5261281454570706E-2</v>
      </c>
      <c r="Z23" s="1">
        <f>[2]Urban_area_finals!Z84/[2]Urban_area_finals!$G84</f>
        <v>4.414827108946251E-2</v>
      </c>
      <c r="AA23" s="1">
        <f>[2]Urban_area_finals!AA84/[2]Urban_area_finals!$G84</f>
        <v>6.7369114974179814E-2</v>
      </c>
      <c r="AB23" s="1">
        <f>[2]Urban_area_finals!AB84/[2]Urban_area_finals!$G84</f>
        <v>7.869285983154195E-2</v>
      </c>
      <c r="AC23" s="1">
        <f>[2]Urban_area_finals!AC84/[2]Urban_area_finals!$G84</f>
        <v>8.7866526551430277E-2</v>
      </c>
      <c r="AD23" s="1">
        <f>[2]Urban_area_finals!AD84/[2]Urban_area_finals!$G84</f>
        <v>9.5320130761339522E-2</v>
      </c>
      <c r="AE23" s="1">
        <f>[2]Urban_area_finals!AE84/[2]Urban_area_finals!$G84</f>
        <v>9.8043563068806364E-2</v>
      </c>
      <c r="AF23" s="1">
        <f>[2]Urban_area_finals!AF84/[2]Urban_area_finals!$G84</f>
        <v>0.10062365683377496</v>
      </c>
      <c r="AG23" s="1">
        <f>[2]Urban_area_finals!AG84/[2]Urban_area_finals!$G84</f>
        <v>0.10119701100376798</v>
      </c>
      <c r="AH23" s="1">
        <f>[2]Urban_area_finals!AH84/[2]Urban_area_finals!$G84</f>
        <v>0.10263039642875052</v>
      </c>
      <c r="AI23" s="1">
        <f>[2]Urban_area_finals!AI84/[2]Urban_area_finals!$G84</f>
        <v>0.10320375059874354</v>
      </c>
      <c r="AJ23" s="1">
        <f>[2]Urban_area_finals!AJ84/[2]Urban_area_finals!$G84</f>
        <v>0.10363376622623831</v>
      </c>
      <c r="AK23" s="1">
        <f>[2]Urban_area_finals!AK84/[2]Urban_area_finals!$G84</f>
        <v>0.10406378185373306</v>
      </c>
      <c r="AL23" s="1">
        <f>[2]Urban_area_finals!AL84/[2]Urban_area_finals!$G84</f>
        <v>0.10435045893872959</v>
      </c>
      <c r="AM23" s="1">
        <f>[2]Urban_area_finals!AM84/[2]Urban_area_finals!$G84</f>
        <v>0.10435045893872959</v>
      </c>
      <c r="AN23" s="1">
        <f>[2]Urban_area_finals!AN84/[2]Urban_area_finals!$G84</f>
        <v>0.10449379748122782</v>
      </c>
      <c r="AO23" s="1">
        <f>[2]Urban_area_finals!AO84/[2]Urban_area_finals!$G84</f>
        <v>0.10478047456622434</v>
      </c>
      <c r="AP23" s="1">
        <f>[2]Urban_area_finals!AP84/[2]Urban_area_finals!$G84</f>
        <v>0.10736056833119294</v>
      </c>
      <c r="AQ23" s="1">
        <f>[2]Urban_area_finals!AQ84/[2]Urban_area_finals!$G84</f>
        <v>0.11037067772365629</v>
      </c>
      <c r="AR23" s="1">
        <f>[2]Urban_area_finals!AR84/[2]Urban_area_finals!$G84</f>
        <v>0.12126440695352365</v>
      </c>
      <c r="AS23" s="1">
        <f>[2]Urban_area_finals!AS84/[2]Urban_area_finals!$G84</f>
        <v>0.12957804241842244</v>
      </c>
      <c r="AT23" s="1">
        <f>[2]Urban_area_finals!AT84/[2]Urban_area_finals!$G84</f>
        <v>0.13760500079832472</v>
      </c>
      <c r="AU23" s="1">
        <f>[2]Urban_area_finals!AU84/[2]Urban_area_finals!$G84</f>
        <v>0.14282252374526119</v>
      </c>
      <c r="AV23" s="1">
        <f>[2]Urban_area_finals!AV84/[2]Urban_area_finals!$G84</f>
        <v>0.15064880816566589</v>
      </c>
      <c r="AW23" s="1">
        <f>[2]Urban_area_finals!AW84/[2]Urban_area_finals!$G84</f>
        <v>0.16311926136301408</v>
      </c>
      <c r="AX23" s="1">
        <f>[2]Urban_area_finals!AX84/[2]Urban_area_finals!$G84</f>
        <v>0.17515969893286751</v>
      </c>
      <c r="AY23" s="1">
        <f>[2]Urban_area_finals!AY84/[2]Urban_area_finals!$G84</f>
        <v>0.18447670419525405</v>
      </c>
    </row>
    <row r="24" spans="1:51" x14ac:dyDescent="0.25">
      <c r="A24" t="s">
        <v>418</v>
      </c>
      <c r="B24" t="s">
        <v>419</v>
      </c>
      <c r="C24" t="s">
        <v>420</v>
      </c>
      <c r="D24" t="s">
        <v>86</v>
      </c>
      <c r="E24" t="s">
        <v>86</v>
      </c>
      <c r="F24" t="s">
        <v>87</v>
      </c>
      <c r="G24">
        <v>268709.44145945518</v>
      </c>
      <c r="H24">
        <v>5604.7799053777744</v>
      </c>
      <c r="I24">
        <f>Table2[[#This Row],[FUA_area]]+Table2[[#This Row],[FUA_urban]]</f>
        <v>274314.22136483295</v>
      </c>
      <c r="J24">
        <v>5026485</v>
      </c>
      <c r="K24" s="1">
        <f>[2]Urban_area_finals!K135/[2]Urban_area_finals!$G135</f>
        <v>9.1279078964096923E-3</v>
      </c>
      <c r="L24" s="1">
        <f>[2]Urban_area_finals!L135/[2]Urban_area_finals!$G135</f>
        <v>9.6984021399352995E-3</v>
      </c>
      <c r="M24" s="1">
        <f>[2]Urban_area_finals!M135/[2]Urban_area_finals!$G135</f>
        <v>1.0268896383460905E-2</v>
      </c>
      <c r="N24" s="1">
        <f>[2]Urban_area_finals!N135/[2]Urban_area_finals!$G135</f>
        <v>1.1409884870512114E-2</v>
      </c>
      <c r="O24" s="1">
        <f>[2]Urban_area_finals!O135/[2]Urban_area_finals!$G135</f>
        <v>1.3691861844614541E-2</v>
      </c>
      <c r="P24" s="1">
        <f>[2]Urban_area_finals!P135/[2]Urban_area_finals!$G135</f>
        <v>1.7114827305768174E-2</v>
      </c>
      <c r="Q24" s="1">
        <f>[2]Urban_area_finals!Q135/[2]Urban_area_finals!$G135</f>
        <v>1.7685321549293778E-2</v>
      </c>
      <c r="R24" s="1">
        <f>[2]Urban_area_finals!R135/[2]Urban_area_finals!$G135</f>
        <v>2.1108287010447417E-2</v>
      </c>
      <c r="S24" s="1">
        <f>[2]Urban_area_finals!S135/[2]Urban_area_finals!$G135</f>
        <v>2.5672240958652261E-2</v>
      </c>
      <c r="T24" s="1">
        <f>[2]Urban_area_finals!T135/[2]Urban_area_finals!$G135</f>
        <v>3.308866612448514E-2</v>
      </c>
      <c r="U24" s="1">
        <f>[2]Urban_area_finals!U135/[2]Urban_area_finals!$G135</f>
        <v>4.5639539482048457E-2</v>
      </c>
      <c r="V24" s="1">
        <f>[2]Urban_area_finals!V135/[2]Urban_area_finals!$G135</f>
        <v>6.4465849518393445E-2</v>
      </c>
      <c r="W24" s="1">
        <f>[2]Urban_area_finals!W135/[2]Urban_area_finals!$G135</f>
        <v>8.4433148041789668E-2</v>
      </c>
      <c r="X24" s="1">
        <f>[2]Urban_area_finals!X135/[2]Urban_area_finals!$G135</f>
        <v>9.1279078964096913E-2</v>
      </c>
      <c r="Y24" s="1">
        <f>[2]Urban_area_finals!Y135/[2]Urban_area_finals!$G135</f>
        <v>0.10440044656518585</v>
      </c>
      <c r="Z24" s="1">
        <f>[2]Urban_area_finals!Z135/[2]Urban_area_finals!$G135</f>
        <v>0.11638082567922357</v>
      </c>
      <c r="AA24" s="1">
        <f>[2]Urban_area_finals!AA135/[2]Urban_area_finals!$G135</f>
        <v>0.12493823933210765</v>
      </c>
      <c r="AB24" s="1">
        <f>[2]Urban_area_finals!AB135/[2]Urban_area_finals!$G135</f>
        <v>0.12664972206268449</v>
      </c>
      <c r="AC24" s="1">
        <f>[2]Urban_area_finals!AC135/[2]Urban_area_finals!$G135</f>
        <v>0.12836120479326132</v>
      </c>
      <c r="AD24" s="1">
        <f>[2]Urban_area_finals!AD135/[2]Urban_area_finals!$G135</f>
        <v>0.13121367601088935</v>
      </c>
      <c r="AE24" s="1">
        <f>[2]Urban_area_finals!AE135/[2]Urban_area_finals!$G135</f>
        <v>0.13520713571556858</v>
      </c>
      <c r="AF24" s="1">
        <f>[2]Urban_area_finals!AF135/[2]Urban_area_finals!$G135</f>
        <v>0.13634812420261977</v>
      </c>
      <c r="AG24" s="1">
        <f>[2]Urban_area_finals!AG135/[2]Urban_area_finals!$G135</f>
        <v>0.13748911268967098</v>
      </c>
      <c r="AH24" s="1">
        <f>[2]Urban_area_finals!AH135/[2]Urban_area_finals!$G135</f>
        <v>0.13748911268967098</v>
      </c>
      <c r="AI24" s="1">
        <f>[2]Urban_area_finals!AI135/[2]Urban_area_finals!$G135</f>
        <v>0.13748911268967098</v>
      </c>
      <c r="AJ24" s="1">
        <f>[2]Urban_area_finals!AJ135/[2]Urban_area_finals!$G135</f>
        <v>0.13977108966377344</v>
      </c>
      <c r="AK24" s="1">
        <f>[2]Urban_area_finals!AK135/[2]Urban_area_finals!$G135</f>
        <v>0.14091207815082465</v>
      </c>
      <c r="AL24" s="1">
        <f>[2]Urban_area_finals!AL135/[2]Urban_area_finals!$G135</f>
        <v>0.14262356088140146</v>
      </c>
      <c r="AM24" s="1">
        <f>[2]Urban_area_finals!AM135/[2]Urban_area_finals!$G135</f>
        <v>0.14262356088140146</v>
      </c>
      <c r="AN24" s="1">
        <f>[2]Urban_area_finals!AN135/[2]Urban_area_finals!$G135</f>
        <v>0.14376454936845268</v>
      </c>
      <c r="AO24" s="1">
        <f>[2]Urban_area_finals!AO135/[2]Urban_area_finals!$G135</f>
        <v>0.14433504361197827</v>
      </c>
      <c r="AP24" s="1">
        <f>[2]Urban_area_finals!AP135/[2]Urban_area_finals!$G135</f>
        <v>0.14490553785550389</v>
      </c>
      <c r="AQ24" s="1">
        <f>[2]Urban_area_finals!AQ135/[2]Urban_area_finals!$G135</f>
        <v>0.15061048029075993</v>
      </c>
      <c r="AR24" s="1">
        <f>[2]Urban_area_finals!AR135/[2]Urban_area_finals!$G135</f>
        <v>0.15289245726486236</v>
      </c>
      <c r="AS24" s="1">
        <f>[2]Urban_area_finals!AS135/[2]Urban_area_finals!$G135</f>
        <v>0.15346295150838798</v>
      </c>
      <c r="AT24" s="1">
        <f>[2]Urban_area_finals!AT135/[2]Urban_area_finals!$G135</f>
        <v>0.15688591696954157</v>
      </c>
      <c r="AU24" s="1">
        <f>[2]Urban_area_finals!AU135/[2]Urban_area_finals!$G135</f>
        <v>0.15779870775918259</v>
      </c>
      <c r="AV24" s="1">
        <f>[2]Urban_area_finals!AV135/[2]Urban_area_finals!$G135</f>
        <v>0.159167893943644</v>
      </c>
      <c r="AW24" s="1">
        <f>[2]Urban_area_finals!AW135/[2]Urban_area_finals!$G135</f>
        <v>0.16030888243069522</v>
      </c>
      <c r="AX24" s="1">
        <f>[2]Urban_area_finals!AX135/[2]Urban_area_finals!$G135</f>
        <v>0.16030888243069522</v>
      </c>
      <c r="AY24" s="1">
        <f>[2]Urban_area_finals!AY135/[2]Urban_area_finals!$G135</f>
        <v>0.16144987091774643</v>
      </c>
    </row>
    <row r="25" spans="1:51" x14ac:dyDescent="0.25">
      <c r="A25" t="s">
        <v>334</v>
      </c>
      <c r="B25" t="s">
        <v>335</v>
      </c>
      <c r="C25" t="s">
        <v>336</v>
      </c>
      <c r="D25" t="s">
        <v>204</v>
      </c>
      <c r="E25" t="s">
        <v>61</v>
      </c>
      <c r="F25" t="s">
        <v>61</v>
      </c>
      <c r="G25">
        <v>1616058.3265904009</v>
      </c>
      <c r="H25">
        <v>3273.7318584532582</v>
      </c>
      <c r="I25">
        <f>Table2[[#This Row],[FUA_area]]+Table2[[#This Row],[FUA_urban]]</f>
        <v>1619332.0584488541</v>
      </c>
      <c r="J25">
        <v>6612020</v>
      </c>
      <c r="K25" s="1">
        <f>[2]Urban_area_finals!K38/[2]Urban_area_finals!$G38</f>
        <v>1.1236794303998002E-2</v>
      </c>
      <c r="L25" s="1">
        <f>[2]Urban_area_finals!L38/[2]Urban_area_finals!$G38</f>
        <v>1.345640799367662E-2</v>
      </c>
      <c r="M25" s="1">
        <f>[2]Urban_area_finals!M38/[2]Urban_area_finals!$G38</f>
        <v>1.5731512025597201E-2</v>
      </c>
      <c r="N25" s="1">
        <f>[2]Urban_area_finals!N38/[2]Urban_area_finals!$G38</f>
        <v>2.0115249062712469E-2</v>
      </c>
      <c r="O25" s="1">
        <f>[2]Urban_area_finals!O38/[2]Urban_area_finals!$G38</f>
        <v>2.9493116901604634E-2</v>
      </c>
      <c r="P25" s="1">
        <f>[2]Urban_area_finals!P38/[2]Urban_area_finals!$G38</f>
        <v>3.0963610971016711E-2</v>
      </c>
      <c r="Q25" s="1">
        <f>[2]Urban_area_finals!Q38/[2]Urban_area_finals!$G38</f>
        <v>3.4348521847776613E-2</v>
      </c>
      <c r="R25" s="1">
        <f>[2]Urban_area_finals!R38/[2]Urban_area_finals!$G38</f>
        <v>3.4348521847776613E-2</v>
      </c>
      <c r="S25" s="1">
        <f>[2]Urban_area_finals!S38/[2]Urban_area_finals!$G38</f>
        <v>3.4348521847776613E-2</v>
      </c>
      <c r="T25" s="1">
        <f>[2]Urban_area_finals!T38/[2]Urban_area_finals!$G38</f>
        <v>3.7455981013326665E-2</v>
      </c>
      <c r="U25" s="1">
        <f>[2]Urban_area_finals!U38/[2]Urban_area_finals!$G38</f>
        <v>4.1950698734925872E-2</v>
      </c>
      <c r="V25" s="1">
        <f>[2]Urban_area_finals!V38/[2]Urban_area_finals!$G38</f>
        <v>5.0329740413462651E-2</v>
      </c>
      <c r="W25" s="1">
        <f>[2]Urban_area_finals!W38/[2]Urban_area_finals!$G38</f>
        <v>5.2577099274262254E-2</v>
      </c>
      <c r="X25" s="1">
        <f>[2]Urban_area_finals!X38/[2]Urban_area_finals!$G38</f>
        <v>5.2715825129867167E-2</v>
      </c>
      <c r="Y25" s="1">
        <f>[2]Urban_area_finals!Y38/[2]Urban_area_finals!$G38</f>
        <v>5.7793191445007004E-2</v>
      </c>
      <c r="Z25" s="1">
        <f>[2]Urban_area_finals!Z38/[2]Urban_area_finals!$G38</f>
        <v>6.7476256166229973E-2</v>
      </c>
      <c r="AA25" s="1">
        <f>[2]Urban_area_finals!AA38/[2]Urban_area_finals!$G38</f>
        <v>7.1998719058950167E-2</v>
      </c>
      <c r="AB25" s="1">
        <f>[2]Urban_area_finals!AB38/[2]Urban_area_finals!$G38</f>
        <v>7.4440294117596631E-2</v>
      </c>
      <c r="AC25" s="1">
        <f>[2]Urban_area_finals!AC38/[2]Urban_area_finals!$G38</f>
        <v>7.6881869176243123E-2</v>
      </c>
      <c r="AD25" s="1">
        <f>[2]Urban_area_finals!AD38/[2]Urban_area_finals!$G38</f>
        <v>7.9073737694800764E-2</v>
      </c>
      <c r="AE25" s="1">
        <f>[2]Urban_area_finals!AE38/[2]Urban_area_finals!$G38</f>
        <v>8.0322270395244977E-2</v>
      </c>
      <c r="AF25" s="1">
        <f>[2]Urban_area_finals!AF38/[2]Urban_area_finals!$G38</f>
        <v>8.1709528951294103E-2</v>
      </c>
      <c r="AG25" s="1">
        <f>[2]Urban_area_finals!AG38/[2]Urban_area_finals!$G38</f>
        <v>8.2930316480617342E-2</v>
      </c>
      <c r="AH25" s="1">
        <f>[2]Urban_area_finals!AH38/[2]Urban_area_finals!$G38</f>
        <v>8.3623945758641918E-2</v>
      </c>
      <c r="AI25" s="1">
        <f>[2]Urban_area_finals!AI38/[2]Urban_area_finals!$G38</f>
        <v>8.4123358838819606E-2</v>
      </c>
      <c r="AJ25" s="1">
        <f>[2]Urban_area_finals!AJ38/[2]Urban_area_finals!$G38</f>
        <v>8.4955713972449082E-2</v>
      </c>
      <c r="AK25" s="1">
        <f>[2]Urban_area_finals!AK38/[2]Urban_area_finals!$G38</f>
        <v>8.5732578763836595E-2</v>
      </c>
      <c r="AL25" s="1">
        <f>[2]Urban_area_finals!AL38/[2]Urban_area_finals!$G38</f>
        <v>8.7064346977643772E-2</v>
      </c>
      <c r="AM25" s="1">
        <f>[2]Urban_area_finals!AM38/[2]Urban_area_finals!$G38</f>
        <v>8.9783373747500075E-2</v>
      </c>
      <c r="AN25" s="1">
        <f>[2]Urban_area_finals!AN38/[2]Urban_area_finals!$G38</f>
        <v>9.1725535725968879E-2</v>
      </c>
      <c r="AO25" s="1">
        <f>[2]Urban_area_finals!AO38/[2]Urban_area_finals!$G38</f>
        <v>9.7024863410076559E-2</v>
      </c>
      <c r="AP25" s="1">
        <f>[2]Urban_area_finals!AP38/[2]Urban_area_finals!$G38</f>
        <v>0.10285134934548294</v>
      </c>
      <c r="AQ25" s="1">
        <f>[2]Urban_area_finals!AQ38/[2]Urban_area_finals!$G38</f>
        <v>0.11389392745163408</v>
      </c>
      <c r="AR25" s="1">
        <f>[2]Urban_area_finals!AR38/[2]Urban_area_finals!$G38</f>
        <v>0.12285561772371148</v>
      </c>
      <c r="AS25" s="1">
        <f>[2]Urban_area_finals!AS38/[2]Urban_area_finals!$G38</f>
        <v>0.13026357841301386</v>
      </c>
      <c r="AT25" s="1">
        <f>[2]Urban_area_finals!AT38/[2]Urban_area_finals!$G38</f>
        <v>0.13339878274968492</v>
      </c>
      <c r="AU25" s="1">
        <f>[2]Urban_area_finals!AU38/[2]Urban_area_finals!$G38</f>
        <v>0.1355074157548796</v>
      </c>
      <c r="AV25" s="1">
        <f>[2]Urban_area_finals!AV38/[2]Urban_area_finals!$G38</f>
        <v>0.13867036526267162</v>
      </c>
      <c r="AW25" s="1">
        <f>[2]Urban_area_finals!AW38/[2]Urban_area_finals!$G38</f>
        <v>0.14183331477046368</v>
      </c>
      <c r="AX25" s="1">
        <f>[2]Urban_area_finals!AX38/[2]Urban_area_finals!$G38</f>
        <v>0.14713264245457136</v>
      </c>
      <c r="AY25" s="1">
        <f>[2]Urban_area_finals!AY38/[2]Urban_area_finals!$G38</f>
        <v>0.15132216329383974</v>
      </c>
    </row>
    <row r="26" spans="1:51" x14ac:dyDescent="0.25">
      <c r="A26" t="s">
        <v>445</v>
      </c>
      <c r="B26" t="s">
        <v>446</v>
      </c>
      <c r="C26" t="s">
        <v>447</v>
      </c>
      <c r="D26" t="s">
        <v>91</v>
      </c>
      <c r="E26" t="s">
        <v>66</v>
      </c>
      <c r="F26" t="s">
        <v>66</v>
      </c>
      <c r="G26">
        <v>91878.032767611265</v>
      </c>
      <c r="H26">
        <v>4232.9114488686901</v>
      </c>
      <c r="I26">
        <f>Table2[[#This Row],[FUA_area]]+Table2[[#This Row],[FUA_urban]]</f>
        <v>96110.944216479955</v>
      </c>
      <c r="J26">
        <v>10298401</v>
      </c>
      <c r="K26" s="1">
        <f>[2]Urban_area_finals!K121/[2]Urban_area_finals!$G121</f>
        <v>4.3143757537520535E-3</v>
      </c>
      <c r="L26" s="1">
        <f>[2]Urban_area_finals!L121/[2]Urban_area_finals!$G121</f>
        <v>5.7026238286587835E-3</v>
      </c>
      <c r="M26" s="1">
        <f>[2]Urban_area_finals!M121/[2]Urban_area_finals!$G121</f>
        <v>7.2903806089413305E-3</v>
      </c>
      <c r="N26" s="1">
        <f>[2]Urban_area_finals!N121/[2]Urban_area_finals!$G121</f>
        <v>8.6536900956760837E-3</v>
      </c>
      <c r="O26" s="1">
        <f>[2]Urban_area_finals!O121/[2]Urban_area_finals!$G121</f>
        <v>1.0183256836890685E-2</v>
      </c>
      <c r="P26" s="1">
        <f>[2]Urban_area_finals!P121/[2]Urban_area_finals!$G121</f>
        <v>1.0183256836890685E-2</v>
      </c>
      <c r="Q26" s="1">
        <f>[2]Urban_area_finals!Q121/[2]Urban_area_finals!$G121</f>
        <v>1.2519171262332549E-2</v>
      </c>
      <c r="R26" s="1">
        <f>[2]Urban_area_finals!R121/[2]Urban_area_finals!$G121</f>
        <v>1.2519171262332549E-2</v>
      </c>
      <c r="S26" s="1">
        <f>[2]Urban_area_finals!S121/[2]Urban_area_finals!$G121</f>
        <v>1.2519171262332549E-2</v>
      </c>
      <c r="T26" s="1">
        <f>[2]Urban_area_finals!T121/[2]Urban_area_finals!$G121</f>
        <v>1.7141122936872318E-2</v>
      </c>
      <c r="U26" s="1">
        <f>[2]Urban_area_finals!U121/[2]Urban_area_finals!$G121</f>
        <v>2.0848659711772927E-2</v>
      </c>
      <c r="V26" s="1">
        <f>[2]Urban_area_finals!V121/[2]Urban_area_finals!$G121</f>
        <v>2.5719997268032473E-2</v>
      </c>
      <c r="W26" s="1">
        <f>[2]Urban_area_finals!W121/[2]Urban_area_finals!$G121</f>
        <v>2.9510662670173004E-2</v>
      </c>
      <c r="X26" s="1">
        <f>[2]Urban_area_finals!X121/[2]Urban_area_finals!$G121</f>
        <v>2.9884741492752661E-2</v>
      </c>
      <c r="Y26" s="1">
        <f>[2]Urban_area_finals!Y121/[2]Urban_area_finals!$G121</f>
        <v>3.3035316465145778E-2</v>
      </c>
      <c r="Z26" s="1">
        <f>[2]Urban_area_finals!Z121/[2]Urban_area_finals!$G121</f>
        <v>4.0741340210286733E-2</v>
      </c>
      <c r="AA26" s="1">
        <f>[2]Urban_area_finals!AA121/[2]Urban_area_finals!$G121</f>
        <v>4.7341753213136689E-2</v>
      </c>
      <c r="AB26" s="1">
        <f>[2]Urban_area_finals!AB121/[2]Urban_area_finals!$G121</f>
        <v>5.0151500813846117E-2</v>
      </c>
      <c r="AC26" s="1">
        <f>[2]Urban_area_finals!AC121/[2]Urban_area_finals!$G121</f>
        <v>5.3418455864375131E-2</v>
      </c>
      <c r="AD26" s="1">
        <f>[2]Urban_area_finals!AD121/[2]Urban_area_finals!$G121</f>
        <v>5.8988073889450029E-2</v>
      </c>
      <c r="AE26" s="1">
        <f>[2]Urban_area_finals!AE121/[2]Urban_area_finals!$G121</f>
        <v>6.1847698666503415E-2</v>
      </c>
      <c r="AF26" s="1">
        <f>[2]Urban_area_finals!AF121/[2]Urban_area_finals!$G121</f>
        <v>6.5280910971512285E-2</v>
      </c>
      <c r="AG26" s="1">
        <f>[2]Urban_area_finals!AG121/[2]Urban_area_finals!$G121</f>
        <v>6.693517065358677E-2</v>
      </c>
      <c r="AH26" s="1">
        <f>[2]Urban_area_finals!AH121/[2]Urban_area_finals!$G121</f>
        <v>6.8755687590141112E-2</v>
      </c>
      <c r="AI26" s="1">
        <f>[2]Urban_area_finals!AI121/[2]Urban_area_finals!$G121</f>
        <v>6.9803108293364155E-2</v>
      </c>
      <c r="AJ26" s="1">
        <f>[2]Urban_area_finals!AJ121/[2]Urban_area_finals!$G121</f>
        <v>7.1000160525619041E-2</v>
      </c>
      <c r="AK26" s="1">
        <f>[2]Urban_area_finals!AK121/[2]Urban_area_finals!$G121</f>
        <v>7.2521414404109655E-2</v>
      </c>
      <c r="AL26" s="1">
        <f>[2]Urban_area_finals!AL121/[2]Urban_area_finals!$G121</f>
        <v>7.4982021770411411E-2</v>
      </c>
      <c r="AM26" s="1">
        <f>[2]Urban_area_finals!AM121/[2]Urban_area_finals!$G121</f>
        <v>7.7351187646749239E-2</v>
      </c>
      <c r="AN26" s="1">
        <f>[2]Urban_area_finals!AN121/[2]Urban_area_finals!$G121</f>
        <v>8.033550536466251E-2</v>
      </c>
      <c r="AO26" s="1">
        <f>[2]Urban_area_finals!AO121/[2]Urban_area_finals!$G121</f>
        <v>8.715205279833628E-2</v>
      </c>
      <c r="AP26" s="1">
        <f>[2]Urban_area_finals!AP121/[2]Urban_area_finals!$G121</f>
        <v>0.10006192860869646</v>
      </c>
      <c r="AQ26" s="1">
        <f>[2]Urban_area_finals!AQ121/[2]Urban_area_finals!$G121</f>
        <v>0.11189113226493766</v>
      </c>
      <c r="AR26" s="1">
        <f>[2]Urban_area_finals!AR121/[2]Urban_area_finals!$G121</f>
        <v>0.12253990941437189</v>
      </c>
      <c r="AS26" s="1">
        <f>[2]Urban_area_finals!AS121/[2]Urban_area_finals!$G121</f>
        <v>0.13086108500108828</v>
      </c>
      <c r="AT26" s="1">
        <f>[2]Urban_area_finals!AT121/[2]Urban_area_finals!$G121</f>
        <v>0.13406985001254934</v>
      </c>
      <c r="AU26" s="1">
        <f>[2]Urban_area_finals!AU121/[2]Urban_area_finals!$G121</f>
        <v>0.13622121888551858</v>
      </c>
      <c r="AV26" s="1">
        <f>[2]Urban_area_finals!AV121/[2]Urban_area_finals!$G121</f>
        <v>0.13944827219497244</v>
      </c>
      <c r="AW26" s="1">
        <f>[2]Urban_area_finals!AW121/[2]Urban_area_finals!$G121</f>
        <v>0.14374602222327651</v>
      </c>
      <c r="AX26" s="1">
        <f>[2]Urban_area_finals!AX121/[2]Urban_area_finals!$G121</f>
        <v>0.14803545938885657</v>
      </c>
      <c r="AY26" s="1">
        <f>[2]Urban_area_finals!AY121/[2]Urban_area_finals!$G121</f>
        <v>0.15126916298848961</v>
      </c>
    </row>
    <row r="27" spans="1:51" x14ac:dyDescent="0.25">
      <c r="A27" t="s">
        <v>83</v>
      </c>
      <c r="B27" t="s">
        <v>84</v>
      </c>
      <c r="C27" t="s">
        <v>85</v>
      </c>
      <c r="D27" t="s">
        <v>86</v>
      </c>
      <c r="E27" t="s">
        <v>86</v>
      </c>
      <c r="F27" t="s">
        <v>87</v>
      </c>
      <c r="G27">
        <v>7688058.2283057887</v>
      </c>
      <c r="H27">
        <v>33097.67438785392</v>
      </c>
      <c r="I27">
        <f>Table2[[#This Row],[FUA_area]]+Table2[[#This Row],[FUA_urban]]</f>
        <v>7721155.9026936423</v>
      </c>
      <c r="J27">
        <v>25544183</v>
      </c>
      <c r="K27" s="1">
        <f>[2]Urban_area_finals!K37/[2]Urban_area_finals!$G37</f>
        <v>2.4123725806018889E-3</v>
      </c>
      <c r="L27" s="1">
        <f>[2]Urban_area_finals!L37/[2]Urban_area_finals!$G37</f>
        <v>2.8948470967222668E-3</v>
      </c>
      <c r="M27" s="1">
        <f>[2]Urban_area_finals!M37/[2]Urban_area_finals!$G37</f>
        <v>3.538146451549437E-3</v>
      </c>
      <c r="N27" s="1">
        <f>[2]Urban_area_finals!N37/[2]Urban_area_finals!$G37</f>
        <v>4.3422706450834004E-3</v>
      </c>
      <c r="O27" s="1">
        <f>[2]Urban_area_finals!O37/[2]Urban_area_finals!$G37</f>
        <v>5.9505190321513255E-3</v>
      </c>
      <c r="P27" s="1">
        <f>[2]Urban_area_finals!P37/[2]Urban_area_finals!$G37</f>
        <v>6.7546432256852893E-3</v>
      </c>
      <c r="Q27" s="1">
        <f>[2]Urban_area_finals!Q37/[2]Urban_area_finals!$G37</f>
        <v>7.5587674192192523E-3</v>
      </c>
      <c r="R27" s="1">
        <f>[2]Urban_area_finals!R37/[2]Urban_area_finals!$G37</f>
        <v>8.3628916127532153E-3</v>
      </c>
      <c r="S27" s="1">
        <f>[2]Urban_area_finals!S37/[2]Urban_area_finals!$G37</f>
        <v>1.0775264193355102E-2</v>
      </c>
      <c r="T27" s="1">
        <f>[2]Urban_area_finals!T37/[2]Urban_area_finals!$G37</f>
        <v>1.2222687741716236E-2</v>
      </c>
      <c r="U27" s="1">
        <f>[2]Urban_area_finals!U37/[2]Urban_area_finals!$G37</f>
        <v>1.4152585806197748E-2</v>
      </c>
      <c r="V27" s="1">
        <f>[2]Urban_area_finals!V37/[2]Urban_area_finals!$G37</f>
        <v>1.8334031612574356E-2</v>
      </c>
      <c r="W27" s="1">
        <f>[2]Urban_area_finals!W37/[2]Urban_area_finals!$G37</f>
        <v>2.1068053870589829E-2</v>
      </c>
      <c r="X27" s="1">
        <f>[2]Urban_area_finals!X37/[2]Urban_area_finals!$G37</f>
        <v>2.782269709627512E-2</v>
      </c>
      <c r="Y27" s="1">
        <f>[2]Urban_area_finals!Y37/[2]Urban_area_finals!$G37</f>
        <v>3.2164967741358519E-2</v>
      </c>
      <c r="Z27" s="1">
        <f>[2]Urban_area_finals!Z37/[2]Urban_area_finals!$G37</f>
        <v>3.7472187418682676E-2</v>
      </c>
      <c r="AA27" s="1">
        <f>[2]Urban_area_finals!AA37/[2]Urban_area_finals!$G37</f>
        <v>3.8919610967043813E-2</v>
      </c>
      <c r="AB27" s="1">
        <f>[2]Urban_area_finals!AB37/[2]Urban_area_finals!$G37</f>
        <v>3.9080435805750602E-2</v>
      </c>
      <c r="AC27" s="1">
        <f>[2]Urban_area_finals!AC37/[2]Urban_area_finals!$G37</f>
        <v>3.9402085483164186E-2</v>
      </c>
      <c r="AD27" s="1">
        <f>[2]Urban_area_finals!AD37/[2]Urban_area_finals!$G37</f>
        <v>4.0206209676698142E-2</v>
      </c>
      <c r="AE27" s="1">
        <f>[2]Urban_area_finals!AE37/[2]Urban_area_finals!$G37</f>
        <v>4.0206209676698142E-2</v>
      </c>
      <c r="AF27" s="1">
        <f>[2]Urban_area_finals!AF37/[2]Urban_area_finals!$G37</f>
        <v>4.1492808386352491E-2</v>
      </c>
      <c r="AG27" s="1">
        <f>[2]Urban_area_finals!AG37/[2]Urban_area_finals!$G37</f>
        <v>4.2618582257300038E-2</v>
      </c>
      <c r="AH27" s="1">
        <f>[2]Urban_area_finals!AH37/[2]Urban_area_finals!$G37</f>
        <v>4.5513429354022299E-2</v>
      </c>
      <c r="AI27" s="1">
        <f>[2]Urban_area_finals!AI37/[2]Urban_area_finals!$G37</f>
        <v>4.6800028063676648E-2</v>
      </c>
      <c r="AJ27" s="1">
        <f>[2]Urban_area_finals!AJ37/[2]Urban_area_finals!$G37</f>
        <v>4.8086626773330983E-2</v>
      </c>
      <c r="AK27" s="1">
        <f>[2]Urban_area_finals!AK37/[2]Urban_area_finals!$G37</f>
        <v>4.9694875160398916E-2</v>
      </c>
      <c r="AL27" s="1">
        <f>[2]Urban_area_finals!AL37/[2]Urban_area_finals!$G37</f>
        <v>5.1624773224880412E-2</v>
      </c>
      <c r="AM27" s="1">
        <f>[2]Urban_area_finals!AM37/[2]Urban_area_finals!$G37</f>
        <v>5.6931992902204569E-2</v>
      </c>
      <c r="AN27" s="1">
        <f>[2]Urban_area_finals!AN37/[2]Urban_area_finals!$G37</f>
        <v>6.1113438708581179E-2</v>
      </c>
      <c r="AO27" s="1">
        <f>[2]Urban_area_finals!AO37/[2]Urban_area_finals!$G37</f>
        <v>6.2721687095649112E-2</v>
      </c>
      <c r="AP27" s="1">
        <f>[2]Urban_area_finals!AP37/[2]Urban_area_finals!$G37</f>
        <v>7.3657776127711017E-2</v>
      </c>
      <c r="AQ27" s="1">
        <f>[2]Urban_area_finals!AQ37/[2]Urban_area_finals!$G37</f>
        <v>8.1055718708223465E-2</v>
      </c>
      <c r="AR27" s="1">
        <f>[2]Urban_area_finals!AR37/[2]Urban_area_finals!$G37</f>
        <v>8.6845412901668001E-2</v>
      </c>
      <c r="AS27" s="1">
        <f>[2]Urban_area_finals!AS37/[2]Urban_area_finals!$G37</f>
        <v>8.9901084837097078E-2</v>
      </c>
      <c r="AT27" s="1">
        <f>[2]Urban_area_finals!AT37/[2]Urban_area_finals!$G37</f>
        <v>8.2824791933998193E-2</v>
      </c>
      <c r="AU27" s="1">
        <f>[2]Urban_area_finals!AU37/[2]Urban_area_finals!$G37</f>
        <v>8.6169948579099459E-2</v>
      </c>
      <c r="AV27" s="1">
        <f>[2]Urban_area_finals!AV37/[2]Urban_area_finals!$G37</f>
        <v>9.11876835467514E-2</v>
      </c>
      <c r="AW27" s="1">
        <f>[2]Urban_area_finals!AW37/[2]Urban_area_finals!$G37</f>
        <v>0.10469696999812199</v>
      </c>
      <c r="AX27" s="1">
        <f>[2]Urban_area_finals!AX37/[2]Urban_area_finals!$G37</f>
        <v>0.12206605257845558</v>
      </c>
      <c r="AY27" s="1">
        <f>[2]Urban_area_finals!AY37/[2]Urban_area_finals!$G37</f>
        <v>0.1432949312877522</v>
      </c>
    </row>
    <row r="28" spans="1:51" x14ac:dyDescent="0.25">
      <c r="A28" t="s">
        <v>322</v>
      </c>
      <c r="B28" t="s">
        <v>323</v>
      </c>
      <c r="C28" t="s">
        <v>324</v>
      </c>
      <c r="D28" t="s">
        <v>70</v>
      </c>
      <c r="E28" t="s">
        <v>71</v>
      </c>
      <c r="F28" t="s">
        <v>70</v>
      </c>
      <c r="G28">
        <v>17428.292156195839</v>
      </c>
      <c r="H28">
        <v>1142.9642614857239</v>
      </c>
      <c r="I28">
        <f>Table2[[#This Row],[FUA_area]]+Table2[[#This Row],[FUA_urban]]</f>
        <v>18571.256417681565</v>
      </c>
      <c r="J28">
        <v>4468361</v>
      </c>
      <c r="K28" s="1">
        <f>[2]Urban_area_finals!K5/[2]Urban_area_finals!$G5</f>
        <v>8.3216330557535953E-4</v>
      </c>
      <c r="L28" s="1">
        <f>[2]Urban_area_finals!L5/[2]Urban_area_finals!$G5</f>
        <v>9.159597109276343E-4</v>
      </c>
      <c r="M28" s="1">
        <f>[2]Urban_area_finals!M5/[2]Urban_area_finals!$G5</f>
        <v>1.0010090700193989E-3</v>
      </c>
      <c r="N28" s="1">
        <f>[2]Urban_area_finals!N5/[2]Urban_area_finals!$G5</f>
        <v>1.103758992282939E-3</v>
      </c>
      <c r="O28" s="1">
        <f>[2]Urban_area_finals!O5/[2]Urban_area_finals!$G5</f>
        <v>1.2536253197129184E-3</v>
      </c>
      <c r="P28" s="1">
        <f>[2]Urban_area_finals!P5/[2]Urban_area_finals!$G5</f>
        <v>1.3779122682917447E-3</v>
      </c>
      <c r="Q28" s="1">
        <f>[2]Urban_area_finals!Q5/[2]Urban_area_finals!$G5</f>
        <v>1.5332642534982026E-3</v>
      </c>
      <c r="R28" s="1">
        <f>[2]Urban_area_finals!R5/[2]Urban_area_finals!$G5</f>
        <v>1.8240033212290059E-3</v>
      </c>
      <c r="S28" s="1">
        <f>[2]Urban_area_finals!S5/[2]Urban_area_finals!$G5</f>
        <v>2.107482421672989E-3</v>
      </c>
      <c r="T28" s="1">
        <f>[2]Urban_area_finals!T5/[2]Urban_area_finals!$G5</f>
        <v>3.3961494086583353E-3</v>
      </c>
      <c r="U28" s="1">
        <f>[2]Urban_area_finals!U5/[2]Urban_area_finals!$G5</f>
        <v>5.5512374299010727E-3</v>
      </c>
      <c r="V28" s="1">
        <f>[2]Urban_area_finals!V5/[2]Urban_area_finals!$G5</f>
        <v>8.5805068432054151E-3</v>
      </c>
      <c r="W28" s="1">
        <f>[2]Urban_area_finals!W5/[2]Urban_area_finals!$G5</f>
        <v>1.3240842959080588E-2</v>
      </c>
      <c r="X28" s="1">
        <f>[2]Urban_area_finals!X5/[2]Urban_area_finals!$G5</f>
        <v>1.6589455654956373E-2</v>
      </c>
      <c r="Y28" s="1">
        <f>[2]Urban_area_finals!Y5/[2]Urban_area_finals!$G5</f>
        <v>1.8185663353535476E-2</v>
      </c>
      <c r="Z28" s="1">
        <f>[2]Urban_area_finals!Z5/[2]Urban_area_finals!$G5</f>
        <v>2.0090153310789439E-2</v>
      </c>
      <c r="AA28" s="1">
        <f>[2]Urban_area_finals!AA5/[2]Urban_area_finals!$G5</f>
        <v>2.2595538136501891E-2</v>
      </c>
      <c r="AB28" s="1">
        <f>[2]Urban_area_finals!AB5/[2]Urban_area_finals!$G5</f>
        <v>2.3454284929734649E-2</v>
      </c>
      <c r="AC28" s="1">
        <f>[2]Urban_area_finals!AC5/[2]Urban_area_finals!$G5</f>
        <v>2.435539175391729E-2</v>
      </c>
      <c r="AD28" s="1">
        <f>[2]Urban_area_finals!AD5/[2]Urban_area_finals!$G5</f>
        <v>2.5300694183265329E-2</v>
      </c>
      <c r="AE28" s="1">
        <f>[2]Urban_area_finals!AE5/[2]Urban_area_finals!$G5</f>
        <v>2.607609462706157E-2</v>
      </c>
      <c r="AF28" s="1">
        <f>[2]Urban_area_finals!AF5/[2]Urban_area_finals!$G5</f>
        <v>2.665578669792875E-2</v>
      </c>
      <c r="AG28" s="1">
        <f>[2]Urban_area_finals!AG5/[2]Urban_area_finals!$G5</f>
        <v>2.7176140846837522E-2</v>
      </c>
      <c r="AH28" s="1">
        <f>[2]Urban_area_finals!AH5/[2]Urban_area_finals!$G5</f>
        <v>2.7767887900258047E-2</v>
      </c>
      <c r="AI28" s="1">
        <f>[2]Urban_area_finals!AI5/[2]Urban_area_finals!$G5</f>
        <v>2.8433952829636323E-2</v>
      </c>
      <c r="AJ28" s="1">
        <f>[2]Urban_area_finals!AJ5/[2]Urban_area_finals!$G5</f>
        <v>2.9281572633842526E-2</v>
      </c>
      <c r="AK28" s="1">
        <f>[2]Urban_area_finals!AK5/[2]Urban_area_finals!$G5</f>
        <v>3.0021526844474303E-2</v>
      </c>
      <c r="AL28" s="1">
        <f>[2]Urban_area_finals!AL5/[2]Urban_area_finals!$G5</f>
        <v>3.0897591869406552E-2</v>
      </c>
      <c r="AM28" s="1">
        <f>[2]Urban_area_finals!AM5/[2]Urban_area_finals!$G5</f>
        <v>3.2559917069670992E-2</v>
      </c>
      <c r="AN28" s="1">
        <f>[2]Urban_area_finals!AN5/[2]Urban_area_finals!$G5</f>
        <v>3.3623877988195716E-2</v>
      </c>
      <c r="AO28" s="1">
        <f>[2]Urban_area_finals!AO5/[2]Urban_area_finals!$G5</f>
        <v>3.5466523602572624E-2</v>
      </c>
      <c r="AP28" s="1">
        <f>[2]Urban_area_finals!AP5/[2]Urban_area_finals!$G5</f>
        <v>3.8195110676143978E-2</v>
      </c>
      <c r="AQ28" s="1">
        <f>[2]Urban_area_finals!AQ5/[2]Urban_area_finals!$G5</f>
        <v>4.1517765814362312E-2</v>
      </c>
      <c r="AR28" s="1">
        <f>[2]Urban_area_finals!AR5/[2]Urban_area_finals!$G5</f>
        <v>4.4843549775398527E-2</v>
      </c>
      <c r="AS28" s="1">
        <f>[2]Urban_area_finals!AS5/[2]Urban_area_finals!$G5</f>
        <v>4.7970828622931207E-2</v>
      </c>
      <c r="AT28" s="1">
        <f>[2]Urban_area_finals!AT5/[2]Urban_area_finals!$G5</f>
        <v>5.174853591140182E-2</v>
      </c>
      <c r="AU28" s="1">
        <f>[2]Urban_area_finals!AU5/[2]Urban_area_finals!$G5</f>
        <v>5.4703949271543345E-2</v>
      </c>
      <c r="AV28" s="1">
        <f>[2]Urban_area_finals!AV5/[2]Urban_area_finals!$G5</f>
        <v>5.9137069311755629E-2</v>
      </c>
      <c r="AW28" s="1">
        <f>[2]Urban_area_finals!AW5/[2]Urban_area_finals!$G5</f>
        <v>7.109973475649313E-2</v>
      </c>
      <c r="AX28" s="1">
        <f>[2]Urban_area_finals!AX5/[2]Urban_area_finals!$G5</f>
        <v>9.3816826936720249E-2</v>
      </c>
      <c r="AY28" s="1">
        <f>[2]Urban_area_finals!AY5/[2]Urban_area_finals!$G5</f>
        <v>0.1375330659325199</v>
      </c>
    </row>
    <row r="29" spans="1:51" x14ac:dyDescent="0.25">
      <c r="A29" t="s">
        <v>484</v>
      </c>
      <c r="B29" t="s">
        <v>485</v>
      </c>
      <c r="C29" t="s">
        <v>486</v>
      </c>
      <c r="D29" t="s">
        <v>98</v>
      </c>
      <c r="E29" t="s">
        <v>61</v>
      </c>
      <c r="F29" t="s">
        <v>61</v>
      </c>
      <c r="G29">
        <v>633532.0589049554</v>
      </c>
      <c r="H29">
        <v>412.29182133967572</v>
      </c>
      <c r="I29">
        <f>Table2[[#This Row],[FUA_area]]+Table2[[#This Row],[FUA_urban]]</f>
        <v>633944.35072629503</v>
      </c>
      <c r="K29" s="1">
        <f>[2]Urban_area_finals!K161/[2]Urban_area_finals!$G161</f>
        <v>1.1098451137877077E-2</v>
      </c>
      <c r="L29" s="1">
        <f>[2]Urban_area_finals!L161/[2]Urban_area_finals!$G161</f>
        <v>1.2316970610536248E-2</v>
      </c>
      <c r="M29" s="1">
        <f>[2]Urban_area_finals!M161/[2]Urban_area_finals!$G161</f>
        <v>1.3654284545848907E-2</v>
      </c>
      <c r="N29" s="1">
        <f>[2]Urban_area_finals!N161/[2]Urban_area_finals!$G161</f>
        <v>1.542886744673309E-2</v>
      </c>
      <c r="O29" s="1">
        <f>[2]Urban_area_finals!O161/[2]Urban_area_finals!$G161</f>
        <v>1.8096049286229217E-2</v>
      </c>
      <c r="P29" s="1">
        <f>[2]Urban_area_finals!P161/[2]Urban_area_finals!$G161</f>
        <v>1.9138409349502398E-2</v>
      </c>
      <c r="Q29" s="1">
        <f>[2]Urban_area_finals!Q161/[2]Urban_area_finals!$G161</f>
        <v>2.0653237891822527E-2</v>
      </c>
      <c r="R29" s="1">
        <f>[2]Urban_area_finals!R161/[2]Urban_area_finals!$G161</f>
        <v>2.1955128739973837E-2</v>
      </c>
      <c r="S29" s="1">
        <f>[2]Urban_area_finals!S161/[2]Urban_area_finals!$G161</f>
        <v>2.4082917686454076E-2</v>
      </c>
      <c r="T29" s="1">
        <f>[2]Urban_area_finals!T161/[2]Urban_area_finals!$G161</f>
        <v>2.6919956924278253E-2</v>
      </c>
      <c r="U29" s="1">
        <f>[2]Urban_area_finals!U161/[2]Urban_area_finals!$G161</f>
        <v>3.1595313177682806E-2</v>
      </c>
      <c r="V29" s="1">
        <f>[2]Urban_area_finals!V161/[2]Urban_area_finals!$G161</f>
        <v>3.5756196316760865E-2</v>
      </c>
      <c r="W29" s="1">
        <f>[2]Urban_area_finals!W161/[2]Urban_area_finals!$G161</f>
        <v>3.8753366291191388E-2</v>
      </c>
      <c r="X29" s="1">
        <f>[2]Urban_area_finals!X161/[2]Urban_area_finals!$G161</f>
        <v>4.0241750596142399E-2</v>
      </c>
      <c r="Y29" s="1">
        <f>[2]Urban_area_finals!Y161/[2]Urban_area_finals!$G161</f>
        <v>4.5055956441993741E-2</v>
      </c>
      <c r="Z29" s="1">
        <f>[2]Urban_area_finals!Z161/[2]Urban_area_finals!$G161</f>
        <v>5.0201668353234419E-2</v>
      </c>
      <c r="AA29" s="1">
        <f>[2]Urban_area_finals!AA161/[2]Urban_area_finals!$G161</f>
        <v>5.3144201595496848E-2</v>
      </c>
      <c r="AB29" s="1">
        <f>[2]Urban_area_finals!AB161/[2]Urban_area_finals!$G161</f>
        <v>5.4463361245509573E-2</v>
      </c>
      <c r="AC29" s="1">
        <f>[2]Urban_area_finals!AC161/[2]Urban_area_finals!$G161</f>
        <v>5.6114419562361947E-2</v>
      </c>
      <c r="AD29" s="1">
        <f>[2]Urban_area_finals!AD161/[2]Urban_area_finals!$G161</f>
        <v>5.8462094752034448E-2</v>
      </c>
      <c r="AE29" s="1">
        <f>[2]Urban_area_finals!AE161/[2]Urban_area_finals!$G161</f>
        <v>5.9950549641952469E-2</v>
      </c>
      <c r="AF29" s="1">
        <f>[2]Urban_area_finals!AF161/[2]Urban_area_finals!$G161</f>
        <v>6.1192632718084977E-2</v>
      </c>
      <c r="AG29" s="1">
        <f>[2]Urban_area_finals!AG161/[2]Urban_area_finals!$G161</f>
        <v>6.2537673150177178E-2</v>
      </c>
      <c r="AH29" s="1">
        <f>[2]Urban_area_finals!AH161/[2]Urban_area_finals!$G161</f>
        <v>6.3961679449871439E-2</v>
      </c>
      <c r="AI29" s="1">
        <f>[2]Urban_area_finals!AI161/[2]Urban_area_finals!$G161</f>
        <v>6.4887328259772586E-2</v>
      </c>
      <c r="AJ29" s="1">
        <f>[2]Urban_area_finals!AJ161/[2]Urban_area_finals!$G161</f>
        <v>6.6021516341269529E-2</v>
      </c>
      <c r="AK29" s="1">
        <f>[2]Urban_area_finals!AK161/[2]Urban_area_finals!$G161</f>
        <v>6.7127918701847061E-2</v>
      </c>
      <c r="AL29" s="1">
        <f>[2]Urban_area_finals!AL161/[2]Urban_area_finals!$G161</f>
        <v>6.8940858495135621E-2</v>
      </c>
      <c r="AM29" s="1">
        <f>[2]Urban_area_finals!AM161/[2]Urban_area_finals!$G161</f>
        <v>7.1412582584501449E-2</v>
      </c>
      <c r="AN29" s="1">
        <f>[2]Urban_area_finals!AN161/[2]Urban_area_finals!$G161</f>
        <v>7.3574091019608004E-2</v>
      </c>
      <c r="AO29" s="1">
        <f>[2]Urban_area_finals!AO161/[2]Urban_area_finals!$G161</f>
        <v>7.7466946523325739E-2</v>
      </c>
      <c r="AP29" s="1">
        <f>[2]Urban_area_finals!AP161/[2]Urban_area_finals!$G161</f>
        <v>8.2058174014491683E-2</v>
      </c>
      <c r="AQ29" s="1">
        <f>[2]Urban_area_finals!AQ161/[2]Urban_area_finals!$G161</f>
        <v>8.905991794981151E-2</v>
      </c>
      <c r="AR29" s="1">
        <f>[2]Urban_area_finals!AR161/[2]Urban_area_finals!$G161</f>
        <v>9.6456992218020843E-2</v>
      </c>
      <c r="AS29" s="1">
        <f>[2]Urban_area_finals!AS161/[2]Urban_area_finals!$G161</f>
        <v>0.10247980786090362</v>
      </c>
      <c r="AT29" s="1">
        <f>[2]Urban_area_finals!AT161/[2]Urban_area_finals!$G161</f>
        <v>0.10357440455604684</v>
      </c>
      <c r="AU29" s="1">
        <f>[2]Urban_area_finals!AU161/[2]Urban_area_finals!$G161</f>
        <v>0.10559737605339682</v>
      </c>
      <c r="AV29" s="1">
        <f>[2]Urban_area_finals!AV161/[2]Urban_area_finals!$G161</f>
        <v>0.10863183329942182</v>
      </c>
      <c r="AW29" s="1">
        <f>[2]Urban_area_finals!AW161/[2]Urban_area_finals!$G161</f>
        <v>0.11436707822202112</v>
      </c>
      <c r="AX29" s="1">
        <f>[2]Urban_area_finals!AX161/[2]Urban_area_finals!$G161</f>
        <v>0.12090582087453229</v>
      </c>
      <c r="AY29" s="1">
        <f>[2]Urban_area_finals!AY161/[2]Urban_area_finals!$G161</f>
        <v>0.12774634547802338</v>
      </c>
    </row>
    <row r="30" spans="1:51" x14ac:dyDescent="0.25">
      <c r="A30" t="s">
        <v>397</v>
      </c>
      <c r="B30" t="s">
        <v>398</v>
      </c>
      <c r="C30" t="s">
        <v>399</v>
      </c>
      <c r="D30" t="s">
        <v>86</v>
      </c>
      <c r="E30" t="s">
        <v>86</v>
      </c>
      <c r="F30" t="s">
        <v>140</v>
      </c>
      <c r="G30">
        <v>18827.031779864621</v>
      </c>
      <c r="H30" t="e">
        <v>#N/A</v>
      </c>
      <c r="I30" t="e">
        <f>Table2[[#This Row],[FUA_area]]+Table2[[#This Row],[FUA_urban]]</f>
        <v>#N/A</v>
      </c>
      <c r="K30" s="1">
        <f>[2]Urban_area_finals!K160/[2]Urban_area_finals!$G160</f>
        <v>5.6825906882697395E-4</v>
      </c>
      <c r="L30" s="1">
        <f>[2]Urban_area_finals!L160/[2]Urban_area_finals!$G160</f>
        <v>7.0196708502155605E-4</v>
      </c>
      <c r="M30" s="1">
        <f>[2]Urban_area_finals!M160/[2]Urban_area_finals!$G160</f>
        <v>8.5238860324046088E-4</v>
      </c>
      <c r="N30" s="1">
        <f>[2]Urban_area_finals!N160/[2]Urban_area_finals!$G160</f>
        <v>1.0195236234836885E-3</v>
      </c>
      <c r="O30" s="1">
        <f>[2]Urban_area_finals!O160/[2]Urban_area_finals!$G160</f>
        <v>1.2033721457512388E-3</v>
      </c>
      <c r="P30" s="1">
        <f>[2]Urban_area_finals!P160/[2]Urban_area_finals!$G160</f>
        <v>1.2702261538485302E-3</v>
      </c>
      <c r="Q30" s="1">
        <f>[2]Urban_area_finals!Q160/[2]Urban_area_finals!$G160</f>
        <v>1.3036531578971757E-3</v>
      </c>
      <c r="R30" s="1">
        <f>[2]Urban_area_finals!R160/[2]Urban_area_finals!$G160</f>
        <v>1.3036531578971757E-3</v>
      </c>
      <c r="S30" s="1">
        <f>[2]Urban_area_finals!S160/[2]Urban_area_finals!$G160</f>
        <v>1.3036531578971757E-3</v>
      </c>
      <c r="T30" s="1">
        <f>[2]Urban_area_finals!T160/[2]Urban_area_finals!$G160</f>
        <v>1.5042151821890487E-3</v>
      </c>
      <c r="U30" s="1">
        <f>[2]Urban_area_finals!U160/[2]Urban_area_finals!$G160</f>
        <v>2.0390472469673771E-3</v>
      </c>
      <c r="V30" s="1">
        <f>[2]Urban_area_finals!V160/[2]Urban_area_finals!$G160</f>
        <v>2.2897497773322188E-3</v>
      </c>
      <c r="W30" s="1">
        <f>[2]Urban_area_finals!W160/[2]Urban_area_finals!$G160</f>
        <v>2.6407333198429968E-3</v>
      </c>
      <c r="X30" s="1">
        <f>[2]Urban_area_finals!X160/[2]Urban_area_finals!$G160</f>
        <v>2.7577278340132562E-3</v>
      </c>
      <c r="Y30" s="1">
        <f>[2]Urban_area_finals!Y160/[2]Urban_area_finals!$G160</f>
        <v>3.2591328947429391E-3</v>
      </c>
      <c r="Z30" s="1">
        <f>[2]Urban_area_finals!Z160/[2]Urban_area_finals!$G160</f>
        <v>3.9276729757158494E-3</v>
      </c>
      <c r="AA30" s="1">
        <f>[2]Urban_area_finals!AA160/[2]Urban_area_finals!$G160</f>
        <v>4.5460725506157916E-3</v>
      </c>
      <c r="AB30" s="1">
        <f>[2]Urban_area_finals!AB160/[2]Urban_area_finals!$G160</f>
        <v>5.4820286639778665E-3</v>
      </c>
      <c r="AC30" s="1">
        <f>[2]Urban_area_finals!AC160/[2]Urban_area_finals!$G160</f>
        <v>6.8023953238993649E-3</v>
      </c>
      <c r="AD30" s="1">
        <f>[2]Urban_area_finals!AD160/[2]Urban_area_finals!$G160</f>
        <v>7.7049244332127948E-3</v>
      </c>
      <c r="AE30" s="1">
        <f>[2]Urban_area_finals!AE160/[2]Urban_area_finals!$G160</f>
        <v>8.7077345546721606E-3</v>
      </c>
      <c r="AF30" s="1">
        <f>[2]Urban_area_finals!AF160/[2]Urban_area_finals!$G160</f>
        <v>1.009495522269095E-2</v>
      </c>
      <c r="AG30" s="1">
        <f>[2]Urban_area_finals!AG160/[2]Urban_area_finals!$G160</f>
        <v>1.4189763218650028E-2</v>
      </c>
      <c r="AH30" s="1">
        <f>[2]Urban_area_finals!AH160/[2]Urban_area_finals!$G160</f>
        <v>1.5877826923106624E-2</v>
      </c>
      <c r="AI30" s="1">
        <f>[2]Urban_area_finals!AI160/[2]Urban_area_finals!$G160</f>
        <v>1.7064485566833543E-2</v>
      </c>
      <c r="AJ30" s="1">
        <f>[2]Urban_area_finals!AJ160/[2]Urban_area_finals!$G160</f>
        <v>1.7783166153879419E-2</v>
      </c>
      <c r="AK30" s="1">
        <f>[2]Urban_area_finals!AK160/[2]Urban_area_finals!$G160</f>
        <v>1.8434992732828011E-2</v>
      </c>
      <c r="AL30" s="1">
        <f>[2]Urban_area_finals!AL160/[2]Urban_area_finals!$G160</f>
        <v>1.9487943360360343E-2</v>
      </c>
      <c r="AM30" s="1">
        <f>[2]Urban_area_finals!AM160/[2]Urban_area_finals!$G160</f>
        <v>2.1376569089108819E-2</v>
      </c>
      <c r="AN30" s="1">
        <f>[2]Urban_area_finals!AN160/[2]Urban_area_finals!$G160</f>
        <v>2.2362665708543859E-2</v>
      </c>
      <c r="AO30" s="1">
        <f>[2]Urban_area_finals!AO160/[2]Urban_area_finals!$G160</f>
        <v>2.4050729413000457E-2</v>
      </c>
      <c r="AP30" s="1">
        <f>[2]Urban_area_finals!AP160/[2]Urban_area_finals!$G160</f>
        <v>2.8112110404910889E-2</v>
      </c>
      <c r="AQ30" s="1">
        <f>[2]Urban_area_finals!AQ160/[2]Urban_area_finals!$G160</f>
        <v>3.2858744979818548E-2</v>
      </c>
      <c r="AR30" s="1">
        <f>[2]Urban_area_finals!AR160/[2]Urban_area_finals!$G160</f>
        <v>3.5399197287515616E-2</v>
      </c>
      <c r="AS30" s="1">
        <f>[2]Urban_area_finals!AS160/[2]Urban_area_finals!$G160</f>
        <v>4.6179406093203798E-2</v>
      </c>
      <c r="AT30" s="1">
        <f>[2]Urban_area_finals!AT160/[2]Urban_area_finals!$G160</f>
        <v>4.9789522530457521E-2</v>
      </c>
      <c r="AU30" s="1">
        <f>[2]Urban_area_finals!AU160/[2]Urban_area_finals!$G160</f>
        <v>5.4576269510223555E-2</v>
      </c>
      <c r="AV30" s="1">
        <f>[2]Urban_area_finals!AV160/[2]Urban_area_finals!$G160</f>
        <v>6.1756389979872622E-2</v>
      </c>
      <c r="AW30" s="1">
        <f>[2]Urban_area_finals!AW160/[2]Urban_area_finals!$G160</f>
        <v>7.8971297064925047E-2</v>
      </c>
      <c r="AX30" s="1">
        <f>[2]Urban_area_finals!AX160/[2]Urban_area_finals!$G160</f>
        <v>0.10104983323905545</v>
      </c>
      <c r="AY30" s="1">
        <f>[2]Urban_area_finals!AY160/[2]Urban_area_finals!$G160</f>
        <v>0.12723989091116919</v>
      </c>
    </row>
    <row r="31" spans="1:51" x14ac:dyDescent="0.25">
      <c r="A31" t="s">
        <v>293</v>
      </c>
      <c r="B31" t="s">
        <v>294</v>
      </c>
      <c r="C31" t="s">
        <v>295</v>
      </c>
      <c r="D31" t="s">
        <v>91</v>
      </c>
      <c r="E31" t="s">
        <v>66</v>
      </c>
      <c r="F31" t="s">
        <v>66</v>
      </c>
      <c r="G31">
        <v>300733.69396872638</v>
      </c>
      <c r="H31">
        <v>32213.77113683768</v>
      </c>
      <c r="I31">
        <f>Table2[[#This Row],[FUA_area]]+Table2[[#This Row],[FUA_urban]]</f>
        <v>332947.46510556404</v>
      </c>
      <c r="J31">
        <v>59639898</v>
      </c>
      <c r="K31" s="1">
        <f>[2]Urban_area_finals!K109/[2]Urban_area_finals!$G109</f>
        <v>1.2102605442928685E-3</v>
      </c>
      <c r="L31" s="1">
        <f>[2]Urban_area_finals!L109/[2]Urban_area_finals!$G109</f>
        <v>1.3132614416794953E-3</v>
      </c>
      <c r="M31" s="1">
        <f>[2]Urban_area_finals!M109/[2]Urban_area_finals!$G109</f>
        <v>1.4162623390661226E-3</v>
      </c>
      <c r="N31" s="1">
        <f>[2]Urban_area_finals!N109/[2]Urban_area_finals!$G109</f>
        <v>1.5192632364527496E-3</v>
      </c>
      <c r="O31" s="1">
        <f>[2]Urban_area_finals!O109/[2]Urban_area_finals!$G109</f>
        <v>1.6222641338393769E-3</v>
      </c>
      <c r="P31" s="1">
        <f>[2]Urban_area_finals!P109/[2]Urban_area_finals!$G109</f>
        <v>1.6222641338393769E-3</v>
      </c>
      <c r="Q31" s="1">
        <f>[2]Urban_area_finals!Q109/[2]Urban_area_finals!$G109</f>
        <v>1.6222641338393769E-3</v>
      </c>
      <c r="R31" s="1">
        <f>[2]Urban_area_finals!R109/[2]Urban_area_finals!$G109</f>
        <v>1.6308475419549288E-3</v>
      </c>
      <c r="S31" s="1">
        <f>[2]Urban_area_finals!S109/[2]Urban_area_finals!$G109</f>
        <v>1.8797663773059445E-3</v>
      </c>
      <c r="T31" s="1">
        <f>[2]Urban_area_finals!T109/[2]Urban_area_finals!$G109</f>
        <v>2.8754417187100063E-3</v>
      </c>
      <c r="U31" s="1">
        <f>[2]Urban_area_finals!U109/[2]Urban_area_finals!$G109</f>
        <v>4.4547888119716222E-3</v>
      </c>
      <c r="V31" s="1">
        <f>[2]Urban_area_finals!V109/[2]Urban_area_finals!$G109</f>
        <v>6.6349744733218956E-3</v>
      </c>
      <c r="W31" s="1">
        <f>[2]Urban_area_finals!W109/[2]Urban_area_finals!$G109</f>
        <v>9.6477507218807376E-3</v>
      </c>
      <c r="X31" s="1">
        <f>[2]Urban_area_finals!X109/[2]Urban_area_finals!$G109</f>
        <v>1.0574758798360383E-2</v>
      </c>
      <c r="Y31" s="1">
        <f>[2]Urban_area_finals!Y109/[2]Urban_area_finals!$G109</f>
        <v>1.163051799657331E-2</v>
      </c>
      <c r="Z31" s="1">
        <f>[2]Urban_area_finals!Z109/[2]Urban_area_finals!$G109</f>
        <v>1.2222773156546416E-2</v>
      </c>
      <c r="AA31" s="1">
        <f>[2]Urban_area_finals!AA109/[2]Urban_area_finals!$G109</f>
        <v>1.2480275400012982E-2</v>
      </c>
      <c r="AB31" s="1">
        <f>[2]Urban_area_finals!AB109/[2]Urban_area_finals!$G109</f>
        <v>1.2591859705515162E-2</v>
      </c>
      <c r="AC31" s="1">
        <f>[2]Urban_area_finals!AC109/[2]Urban_area_finals!$G109</f>
        <v>1.2763527867826207E-2</v>
      </c>
      <c r="AD31" s="1">
        <f>[2]Urban_area_finals!AD109/[2]Urban_area_finals!$G109</f>
        <v>1.2926612622021699E-2</v>
      </c>
      <c r="AE31" s="1">
        <f>[2]Urban_area_finals!AE109/[2]Urban_area_finals!$G109</f>
        <v>1.3072530559986089E-2</v>
      </c>
      <c r="AF31" s="1">
        <f>[2]Urban_area_finals!AF109/[2]Urban_area_finals!$G109</f>
        <v>1.3158364641141611E-2</v>
      </c>
      <c r="AG31" s="1">
        <f>[2]Urban_area_finals!AG109/[2]Urban_area_finals!$G109</f>
        <v>1.3269948946643791E-2</v>
      </c>
      <c r="AH31" s="1">
        <f>[2]Urban_area_finals!AH109/[2]Urban_area_finals!$G109</f>
        <v>1.3596118455034776E-2</v>
      </c>
      <c r="AI31" s="1">
        <f>[2]Urban_area_finals!AI109/[2]Urban_area_finals!$G109</f>
        <v>1.3845037290385793E-2</v>
      </c>
      <c r="AJ31" s="1">
        <f>[2]Urban_area_finals!AJ109/[2]Urban_area_finals!$G109</f>
        <v>1.4437292450358899E-2</v>
      </c>
      <c r="AK31" s="1">
        <f>[2]Urban_area_finals!AK109/[2]Urban_area_finals!$G109</f>
        <v>1.5123965099603079E-2</v>
      </c>
      <c r="AL31" s="1">
        <f>[2]Urban_area_finals!AL109/[2]Urban_area_finals!$G109</f>
        <v>1.5656136402767317E-2</v>
      </c>
      <c r="AM31" s="1">
        <f>[2]Urban_area_finals!AM109/[2]Urban_area_finals!$G109</f>
        <v>1.6514477214322545E-2</v>
      </c>
      <c r="AN31" s="1">
        <f>[2]Urban_area_finals!AN109/[2]Urban_area_finals!$G109</f>
        <v>1.7149649414873409E-2</v>
      </c>
      <c r="AO31" s="1">
        <f>[2]Urban_area_finals!AO109/[2]Urban_area_finals!$G109</f>
        <v>1.8076657491353055E-2</v>
      </c>
      <c r="AP31" s="1">
        <f>[2]Urban_area_finals!AP109/[2]Urban_area_finals!$G109</f>
        <v>2.0668846742249839E-2</v>
      </c>
      <c r="AQ31" s="1">
        <f>[2]Urban_area_finals!AQ109/[2]Urban_area_finals!$G109</f>
        <v>2.341553733922656E-2</v>
      </c>
      <c r="AR31" s="1">
        <f>[2]Urban_area_finals!AR109/[2]Urban_area_finals!$G109</f>
        <v>2.5896142284621164E-2</v>
      </c>
      <c r="AS31" s="1">
        <f>[2]Urban_area_finals!AS109/[2]Urban_area_finals!$G109</f>
        <v>2.9157837368531024E-2</v>
      </c>
      <c r="AT31" s="1">
        <f>[2]Urban_area_finals!AT109/[2]Urban_area_finals!$G109</f>
        <v>3.1621275497694522E-2</v>
      </c>
      <c r="AU31" s="1">
        <f>[2]Urban_area_finals!AU109/[2]Urban_area_finals!$G109</f>
        <v>3.3880428513707872E-2</v>
      </c>
      <c r="AV31" s="1">
        <f>[2]Urban_area_finals!AV109/[2]Urban_area_finals!$G109</f>
        <v>3.7269158037727908E-2</v>
      </c>
      <c r="AW31" s="1">
        <f>[2]Urban_area_finals!AW109/[2]Urban_area_finals!$G109</f>
        <v>4.5981317275013443E-2</v>
      </c>
      <c r="AX31" s="1">
        <f>[2]Urban_area_finals!AX109/[2]Urban_area_finals!$G109</f>
        <v>6.4538645620837429E-2</v>
      </c>
      <c r="AY31" s="1">
        <f>[2]Urban_area_finals!AY109/[2]Urban_area_finals!$G109</f>
        <v>0.12551517687372066</v>
      </c>
    </row>
    <row r="32" spans="1:51" x14ac:dyDescent="0.25">
      <c r="A32" t="s">
        <v>391</v>
      </c>
      <c r="B32" t="s">
        <v>392</v>
      </c>
      <c r="C32" t="s">
        <v>393</v>
      </c>
      <c r="D32" t="s">
        <v>139</v>
      </c>
      <c r="E32" t="s">
        <v>55</v>
      </c>
      <c r="F32" t="s">
        <v>140</v>
      </c>
      <c r="G32">
        <v>329578.76250869757</v>
      </c>
      <c r="H32">
        <v>11361.139810834649</v>
      </c>
      <c r="I32">
        <f>Table2[[#This Row],[FUA_area]]+Table2[[#This Row],[FUA_urban]]</f>
        <v>340939.90231953224</v>
      </c>
      <c r="J32">
        <v>33003633</v>
      </c>
      <c r="K32" s="1">
        <f>[2]Urban_area_finals!K73/[2]Urban_area_finals!$G73</f>
        <v>9.9298513274382154E-3</v>
      </c>
      <c r="L32" s="1">
        <f>[2]Urban_area_finals!L73/[2]Urban_area_finals!$G73</f>
        <v>1.0980124063994182E-2</v>
      </c>
      <c r="M32" s="1">
        <f>[2]Urban_area_finals!M73/[2]Urban_area_finals!$G73</f>
        <v>1.2326885276420013E-2</v>
      </c>
      <c r="N32" s="1">
        <f>[2]Urban_area_finals!N73/[2]Urban_area_finals!$G73</f>
        <v>1.3867117782421943E-2</v>
      </c>
      <c r="O32" s="1">
        <f>[2]Urban_area_finals!O73/[2]Urban_area_finals!$G73</f>
        <v>1.5922436199892708E-2</v>
      </c>
      <c r="P32" s="1">
        <f>[2]Urban_area_finals!P73/[2]Urban_area_finals!$G73</f>
        <v>1.7932527561722304E-2</v>
      </c>
      <c r="Q32" s="1">
        <f>[2]Urban_area_finals!Q73/[2]Urban_area_finals!$G73</f>
        <v>1.9487835752937957E-2</v>
      </c>
      <c r="R32" s="1">
        <f>[2]Urban_area_finals!R73/[2]Urban_area_finals!$G73</f>
        <v>2.12768170649663E-2</v>
      </c>
      <c r="S32" s="1">
        <f>[2]Urban_area_finals!S73/[2]Urban_area_finals!$G73</f>
        <v>2.2970319037307736E-2</v>
      </c>
      <c r="T32" s="1">
        <f>[2]Urban_area_finals!T73/[2]Urban_area_finals!$G73</f>
        <v>2.6199028287246528E-2</v>
      </c>
      <c r="U32" s="1">
        <f>[2]Urban_area_finals!U73/[2]Urban_area_finals!$G73</f>
        <v>3.0965457428984964E-2</v>
      </c>
      <c r="V32" s="1">
        <f>[2]Urban_area_finals!V73/[2]Urban_area_finals!$G73</f>
        <v>3.4664025534751425E-2</v>
      </c>
      <c r="W32" s="1">
        <f>[2]Urban_area_finals!W73/[2]Urban_area_finals!$G73</f>
        <v>3.5922845250097216E-2</v>
      </c>
      <c r="X32" s="1">
        <f>[2]Urban_area_finals!X73/[2]Urban_area_finals!$G73</f>
        <v>3.6181644512932779E-2</v>
      </c>
      <c r="Y32" s="1">
        <f>[2]Urban_area_finals!Y73/[2]Urban_area_finals!$G73</f>
        <v>4.0493290484057268E-2</v>
      </c>
      <c r="Z32" s="1">
        <f>[2]Urban_area_finals!Z73/[2]Urban_area_finals!$G73</f>
        <v>4.5619023456722738E-2</v>
      </c>
      <c r="AA32" s="1">
        <f>[2]Urban_area_finals!AA73/[2]Urban_area_finals!$G73</f>
        <v>4.911406981210395E-2</v>
      </c>
      <c r="AB32" s="1">
        <f>[2]Urban_area_finals!AB73/[2]Urban_area_finals!$G73</f>
        <v>5.0277410187762835E-2</v>
      </c>
      <c r="AC32" s="1">
        <f>[2]Urban_area_finals!AC73/[2]Urban_area_finals!$G73</f>
        <v>5.155381820252463E-2</v>
      </c>
      <c r="AD32" s="1">
        <f>[2]Urban_area_finals!AD73/[2]Urban_area_finals!$G73</f>
        <v>5.374984301532347E-2</v>
      </c>
      <c r="AE32" s="1">
        <f>[2]Urban_area_finals!AE73/[2]Urban_area_finals!$G73</f>
        <v>5.5616715367622707E-2</v>
      </c>
      <c r="AF32" s="1">
        <f>[2]Urban_area_finals!AF73/[2]Urban_area_finals!$G73</f>
        <v>5.8202195381776033E-2</v>
      </c>
      <c r="AG32" s="1">
        <f>[2]Urban_area_finals!AG73/[2]Urban_area_finals!$G73</f>
        <v>6.0533901361498353E-2</v>
      </c>
      <c r="AH32" s="1">
        <f>[2]Urban_area_finals!AH73/[2]Urban_area_finals!$G73</f>
        <v>6.2423387241618188E-2</v>
      </c>
      <c r="AI32" s="1">
        <f>[2]Urban_area_finals!AI73/[2]Urban_area_finals!$G73</f>
        <v>6.3621904216109082E-2</v>
      </c>
      <c r="AJ32" s="1">
        <f>[2]Urban_area_finals!AJ73/[2]Urban_area_finals!$G73</f>
        <v>6.5119422280672135E-2</v>
      </c>
      <c r="AK32" s="1">
        <f>[2]Urban_area_finals!AK73/[2]Urban_area_finals!$G73</f>
        <v>6.6476233949907121E-2</v>
      </c>
      <c r="AL32" s="1">
        <f>[2]Urban_area_finals!AL73/[2]Urban_area_finals!$G73</f>
        <v>6.8855679599472891E-2</v>
      </c>
      <c r="AM32" s="1">
        <f>[2]Urban_area_finals!AM73/[2]Urban_area_finals!$G73</f>
        <v>7.4313077646840267E-2</v>
      </c>
      <c r="AN32" s="1">
        <f>[2]Urban_area_finals!AN73/[2]Urban_area_finals!$G73</f>
        <v>7.6878456747375271E-2</v>
      </c>
      <c r="AO32" s="1">
        <f>[2]Urban_area_finals!AO73/[2]Urban_area_finals!$G73</f>
        <v>8.0406167087386238E-2</v>
      </c>
      <c r="AP32" s="1">
        <f>[2]Urban_area_finals!AP73/[2]Urban_area_finals!$G73</f>
        <v>8.705454426663764E-2</v>
      </c>
      <c r="AQ32" s="1">
        <f>[2]Urban_area_finals!AQ73/[2]Urban_area_finals!$G73</f>
        <v>9.3197885991229343E-2</v>
      </c>
      <c r="AR32" s="1">
        <f>[2]Urban_area_finals!AR73/[2]Urban_area_finals!$G73</f>
        <v>9.9130168122828932E-2</v>
      </c>
      <c r="AS32" s="1">
        <f>[2]Urban_area_finals!AS73/[2]Urban_area_finals!$G73</f>
        <v>0.10369307551418214</v>
      </c>
      <c r="AT32" s="1">
        <f>[2]Urban_area_finals!AT73/[2]Urban_area_finals!$G73</f>
        <v>0.10576346961686663</v>
      </c>
      <c r="AU32" s="1">
        <f>[2]Urban_area_finals!AU73/[2]Urban_area_finals!$G73</f>
        <v>0.10711726614905885</v>
      </c>
      <c r="AV32" s="1">
        <f>[2]Urban_area_finals!AV73/[2]Urban_area_finals!$G73</f>
        <v>0.10914796094734722</v>
      </c>
      <c r="AW32" s="1">
        <f>[2]Urban_area_finals!AW73/[2]Urban_area_finals!$G73</f>
        <v>0.11252742704942323</v>
      </c>
      <c r="AX32" s="1">
        <f>[2]Urban_area_finals!AX73/[2]Urban_area_finals!$G73</f>
        <v>0.11590689315149924</v>
      </c>
      <c r="AY32" s="1">
        <f>[2]Urban_area_finals!AY73/[2]Urban_area_finals!$G73</f>
        <v>0.11928635925357525</v>
      </c>
    </row>
    <row r="33" spans="1:51" x14ac:dyDescent="0.25">
      <c r="A33" t="s">
        <v>457</v>
      </c>
      <c r="B33" t="s">
        <v>458</v>
      </c>
      <c r="C33" t="s">
        <v>459</v>
      </c>
      <c r="D33" t="s">
        <v>65</v>
      </c>
      <c r="E33" t="s">
        <v>66</v>
      </c>
      <c r="F33" t="s">
        <v>66</v>
      </c>
      <c r="G33">
        <v>238338.5989880198</v>
      </c>
      <c r="H33">
        <v>11969.839839256731</v>
      </c>
      <c r="I33">
        <f>Table2[[#This Row],[FUA_area]]+Table2[[#This Row],[FUA_urban]]</f>
        <v>250308.43882727652</v>
      </c>
      <c r="J33">
        <v>19489725</v>
      </c>
      <c r="K33" s="1">
        <f>[2]Urban_area_finals!K93/[2]Urban_area_finals!$G93</f>
        <v>1.4422108819215633E-3</v>
      </c>
      <c r="L33" s="1">
        <f>[2]Urban_area_finals!L93/[2]Urban_area_finals!$G93</f>
        <v>1.8460299288596009E-3</v>
      </c>
      <c r="M33" s="1">
        <f>[2]Urban_area_finals!M93/[2]Urban_area_finals!$G93</f>
        <v>2.4229142816282259E-3</v>
      </c>
      <c r="N33" s="1">
        <f>[2]Urban_area_finals!N93/[2]Urban_area_finals!$G93</f>
        <v>3.1728639402274386E-3</v>
      </c>
      <c r="O33" s="1">
        <f>[2]Urban_area_finals!O93/[2]Urban_area_finals!$G93</f>
        <v>4.0958789046572396E-3</v>
      </c>
      <c r="P33" s="1">
        <f>[2]Urban_area_finals!P93/[2]Urban_area_finals!$G93</f>
        <v>4.5573863868721394E-3</v>
      </c>
      <c r="Q33" s="1">
        <f>[2]Urban_area_finals!Q93/[2]Urban_area_finals!$G93</f>
        <v>4.8458285632564518E-3</v>
      </c>
      <c r="R33" s="1">
        <f>[2]Urban_area_finals!R93/[2]Urban_area_finals!$G93</f>
        <v>4.9035169985333152E-3</v>
      </c>
      <c r="S33" s="1">
        <f>[2]Urban_area_finals!S93/[2]Urban_area_finals!$G93</f>
        <v>4.9612054338101768E-3</v>
      </c>
      <c r="T33" s="1">
        <f>[2]Urban_area_finals!T93/[2]Urban_area_finals!$G93</f>
        <v>4.9612054338101768E-3</v>
      </c>
      <c r="U33" s="1">
        <f>[2]Urban_area_finals!U93/[2]Urban_area_finals!$G93</f>
        <v>5.7688435276862533E-3</v>
      </c>
      <c r="V33" s="1">
        <f>[2]Urban_area_finals!V93/[2]Urban_area_finals!$G93</f>
        <v>7.0956775390540903E-3</v>
      </c>
      <c r="W33" s="1">
        <f>[2]Urban_area_finals!W93/[2]Urban_area_finals!$G93</f>
        <v>9.1724612090211405E-3</v>
      </c>
      <c r="X33" s="1">
        <f>[2]Urban_area_finals!X93/[2]Urban_area_finals!$G93</f>
        <v>9.1724612090211405E-3</v>
      </c>
      <c r="Y33" s="1">
        <f>[2]Urban_area_finals!Y93/[2]Urban_area_finals!$G93</f>
        <v>9.1724612090211405E-3</v>
      </c>
      <c r="Z33" s="1">
        <f>[2]Urban_area_finals!Z93/[2]Urban_area_finals!$G93</f>
        <v>9.4609033854054555E-3</v>
      </c>
      <c r="AA33" s="1">
        <f>[2]Urban_area_finals!AA93/[2]Urban_area_finals!$G93</f>
        <v>9.6916571265129037E-3</v>
      </c>
      <c r="AB33" s="1">
        <f>[2]Urban_area_finals!AB93/[2]Urban_area_finals!$G93</f>
        <v>9.6916571265129037E-3</v>
      </c>
      <c r="AC33" s="1">
        <f>[2]Urban_area_finals!AC93/[2]Urban_area_finals!$G93</f>
        <v>9.6916571265129037E-3</v>
      </c>
      <c r="AD33" s="1">
        <f>[2]Urban_area_finals!AD93/[2]Urban_area_finals!$G93</f>
        <v>1.0210853044004667E-2</v>
      </c>
      <c r="AE33" s="1">
        <f>[2]Urban_area_finals!AE93/[2]Urban_area_finals!$G93</f>
        <v>1.0210853044004667E-2</v>
      </c>
      <c r="AF33" s="1">
        <f>[2]Urban_area_finals!AF93/[2]Urban_area_finals!$G93</f>
        <v>1.0383918349835255E-2</v>
      </c>
      <c r="AG33" s="1">
        <f>[2]Urban_area_finals!AG93/[2]Urban_area_finals!$G93</f>
        <v>1.0441606785112117E-2</v>
      </c>
      <c r="AH33" s="1">
        <f>[2]Urban_area_finals!AH93/[2]Urban_area_finals!$G93</f>
        <v>1.0556983655665842E-2</v>
      </c>
      <c r="AI33" s="1">
        <f>[2]Urban_area_finals!AI93/[2]Urban_area_finals!$G93</f>
        <v>1.0556983655665842E-2</v>
      </c>
      <c r="AJ33" s="1">
        <f>[2]Urban_area_finals!AJ93/[2]Urban_area_finals!$G93</f>
        <v>1.0614672090942705E-2</v>
      </c>
      <c r="AK33" s="1">
        <f>[2]Urban_area_finals!AK93/[2]Urban_area_finals!$G93</f>
        <v>1.0614672090942705E-2</v>
      </c>
      <c r="AL33" s="1">
        <f>[2]Urban_area_finals!AL93/[2]Urban_area_finals!$G93</f>
        <v>1.0845425832050155E-2</v>
      </c>
      <c r="AM33" s="1">
        <f>[2]Urban_area_finals!AM93/[2]Urban_area_finals!$G93</f>
        <v>1.1710752361203093E-2</v>
      </c>
      <c r="AN33" s="1">
        <f>[2]Urban_area_finals!AN93/[2]Urban_area_finals!$G93</f>
        <v>1.2576078890356029E-2</v>
      </c>
      <c r="AO33" s="1">
        <f>[2]Urban_area_finals!AO93/[2]Urban_area_finals!$G93</f>
        <v>1.3499093854785831E-2</v>
      </c>
      <c r="AP33" s="1">
        <f>[2]Urban_area_finals!AP93/[2]Urban_area_finals!$G93</f>
        <v>1.4537485689769356E-2</v>
      </c>
      <c r="AQ33" s="1">
        <f>[2]Urban_area_finals!AQ93/[2]Urban_area_finals!$G93</f>
        <v>1.7652661194719931E-2</v>
      </c>
      <c r="AR33" s="1">
        <f>[2]Urban_area_finals!AR93/[2]Urban_area_finals!$G93</f>
        <v>2.122934418188541E-2</v>
      </c>
      <c r="AS33" s="1">
        <f>[2]Urban_area_finals!AS93/[2]Urban_area_finals!$G93</f>
        <v>2.244080132269952E-2</v>
      </c>
      <c r="AT33" s="1">
        <f>[2]Urban_area_finals!AT93/[2]Urban_area_finals!$G93</f>
        <v>2.7171253015402252E-2</v>
      </c>
      <c r="AU33" s="1">
        <f>[2]Urban_area_finals!AU93/[2]Urban_area_finals!$G93</f>
        <v>4.1662587956950117E-2</v>
      </c>
      <c r="AV33" s="1">
        <f>[2]Urban_area_finals!AV93/[2]Urban_area_finals!$G93</f>
        <v>6.3399590369271924E-2</v>
      </c>
      <c r="AW33" s="1">
        <f>[2]Urban_area_finals!AW93/[2]Urban_area_finals!$G93</f>
        <v>0.1082235045793941</v>
      </c>
      <c r="AX33" s="1">
        <f>[2]Urban_area_finals!AX93/[2]Urban_area_finals!$G93</f>
        <v>0.11531918211844819</v>
      </c>
      <c r="AY33" s="1">
        <f>[2]Urban_area_finals!AY93/[2]Urban_area_finals!$G93</f>
        <v>0.11531918211844819</v>
      </c>
    </row>
    <row r="34" spans="1:51" x14ac:dyDescent="0.25">
      <c r="A34" t="s">
        <v>559</v>
      </c>
      <c r="B34" t="s">
        <v>560</v>
      </c>
      <c r="C34" t="s">
        <v>561</v>
      </c>
      <c r="D34" t="s">
        <v>65</v>
      </c>
      <c r="E34" t="s">
        <v>66</v>
      </c>
      <c r="F34" t="s">
        <v>66</v>
      </c>
      <c r="G34">
        <v>10836.643750199861</v>
      </c>
      <c r="H34">
        <v>1144.3211452465471</v>
      </c>
      <c r="I34">
        <f>Table2[[#This Row],[FUA_area]]+Table2[[#This Row],[FUA_urban]]</f>
        <v>11980.964895446408</v>
      </c>
      <c r="K34" s="1">
        <f>[2]Urban_area_finals!K158/[2]Urban_area_finals!$G158</f>
        <v>7.6239244745635536E-4</v>
      </c>
      <c r="L34" s="1">
        <f>[2]Urban_area_finals!L158/[2]Urban_area_finals!$G158</f>
        <v>8.7747055273278661E-4</v>
      </c>
      <c r="M34" s="1">
        <f>[2]Urban_area_finals!M158/[2]Urban_area_finals!$G158</f>
        <v>1.0261131053815099E-3</v>
      </c>
      <c r="N34" s="1">
        <f>[2]Urban_area_finals!N158/[2]Urban_area_finals!$G158</f>
        <v>1.2370896317216336E-3</v>
      </c>
      <c r="O34" s="1">
        <f>[2]Urban_area_finals!O158/[2]Urban_area_finals!$G158</f>
        <v>1.5391696580722648E-3</v>
      </c>
      <c r="P34" s="1">
        <f>[2]Urban_area_finals!P158/[2]Urban_area_finals!$G158</f>
        <v>1.6590426844018803E-3</v>
      </c>
      <c r="Q34" s="1">
        <f>[2]Urban_area_finals!Q158/[2]Urban_area_finals!$G158</f>
        <v>1.7741207896783114E-3</v>
      </c>
      <c r="R34" s="1">
        <f>[2]Urban_area_finals!R158/[2]Urban_area_finals!$G158</f>
        <v>1.9035836581142965E-3</v>
      </c>
      <c r="S34" s="1">
        <f>[2]Urban_area_finals!S158/[2]Urban_area_finals!$G158</f>
        <v>2.013866842337543E-3</v>
      </c>
      <c r="T34" s="1">
        <f>[2]Urban_area_finals!T158/[2]Urban_area_finals!$G158</f>
        <v>2.910517079283068E-3</v>
      </c>
      <c r="U34" s="1">
        <f>[2]Urban_area_finals!U158/[2]Urban_area_finals!$G158</f>
        <v>4.4880461057808093E-3</v>
      </c>
      <c r="V34" s="1">
        <f>[2]Urban_area_finals!V158/[2]Urban_area_finals!$G158</f>
        <v>6.8135828165753528E-3</v>
      </c>
      <c r="W34" s="1">
        <f>[2]Urban_area_finals!W158/[2]Urban_area_finals!$G158</f>
        <v>8.5061899483495247E-3</v>
      </c>
      <c r="X34" s="1">
        <f>[2]Urban_area_finals!X158/[2]Urban_area_finals!$G158</f>
        <v>8.6548325009982493E-3</v>
      </c>
      <c r="Y34" s="1">
        <f>[2]Urban_area_finals!Y158/[2]Urban_area_finals!$G158</f>
        <v>9.4411995537205286E-3</v>
      </c>
      <c r="Z34" s="1">
        <f>[2]Urban_area_finals!Z158/[2]Urban_area_finals!$G158</f>
        <v>1.0059744369581344E-2</v>
      </c>
      <c r="AA34" s="1">
        <f>[2]Urban_area_finals!AA158/[2]Urban_area_finals!$G158</f>
        <v>1.0328259948559685E-2</v>
      </c>
      <c r="AB34" s="1">
        <f>[2]Urban_area_finals!AB158/[2]Urban_area_finals!$G158</f>
        <v>1.0467312659102036E-2</v>
      </c>
      <c r="AC34" s="1">
        <f>[2]Urban_area_finals!AC158/[2]Urban_area_finals!$G158</f>
        <v>1.0548826317006179E-2</v>
      </c>
      <c r="AD34" s="1">
        <f>[2]Urban_area_finals!AD158/[2]Urban_area_finals!$G158</f>
        <v>1.0668699343335792E-2</v>
      </c>
      <c r="AE34" s="1">
        <f>[2]Urban_area_finals!AE158/[2]Urban_area_finals!$G158</f>
        <v>1.0711853632814454E-2</v>
      </c>
      <c r="AF34" s="1">
        <f>[2]Urban_area_finals!AF158/[2]Urban_area_finals!$G158</f>
        <v>1.0793367290718591E-2</v>
      </c>
      <c r="AG34" s="1">
        <f>[2]Urban_area_finals!AG158/[2]Urban_area_finals!$G158</f>
        <v>1.0860496185463175E-2</v>
      </c>
      <c r="AH34" s="1">
        <f>[2]Urban_area_finals!AH158/[2]Urban_area_finals!$G158</f>
        <v>1.0951599685473686E-2</v>
      </c>
      <c r="AI34" s="1">
        <f>[2]Urban_area_finals!AI158/[2]Urban_area_finals!$G158</f>
        <v>1.1061882869696931E-2</v>
      </c>
      <c r="AJ34" s="1">
        <f>[2]Urban_area_finals!AJ158/[2]Urban_area_finals!$G158</f>
        <v>1.1152986369707438E-2</v>
      </c>
      <c r="AK34" s="1">
        <f>[2]Urban_area_finals!AK158/[2]Urban_area_finals!$G158</f>
        <v>1.1253679711824317E-2</v>
      </c>
      <c r="AL34" s="1">
        <f>[2]Urban_area_finals!AL158/[2]Urban_area_finals!$G158</f>
        <v>1.1363962896047563E-2</v>
      </c>
      <c r="AM34" s="1">
        <f>[2]Urban_area_finals!AM158/[2]Urban_area_finals!$G158</f>
        <v>1.1713992132930041E-2</v>
      </c>
      <c r="AN34" s="1">
        <f>[2]Urban_area_finals!AN158/[2]Urban_area_finals!$G158</f>
        <v>1.1819480396100101E-2</v>
      </c>
      <c r="AO34" s="1">
        <f>[2]Urban_area_finals!AO158/[2]Urban_area_finals!$G158</f>
        <v>1.1963328027695641E-2</v>
      </c>
      <c r="AP34" s="1">
        <f>[2]Urban_area_finals!AP158/[2]Urban_area_finals!$G158</f>
        <v>1.215991979087621E-2</v>
      </c>
      <c r="AQ34" s="1">
        <f>[2]Urban_area_finals!AQ158/[2]Urban_area_finals!$G158</f>
        <v>1.2850388422534796E-2</v>
      </c>
      <c r="AR34" s="1">
        <f>[2]Urban_area_finals!AR158/[2]Urban_area_finals!$G158</f>
        <v>1.3924450738448153E-2</v>
      </c>
      <c r="AS34" s="1">
        <f>[2]Urban_area_finals!AS158/[2]Urban_area_finals!$G158</f>
        <v>1.5012897817521062E-2</v>
      </c>
      <c r="AT34" s="1">
        <f>[2]Urban_area_finals!AT158/[2]Urban_area_finals!$G158</f>
        <v>1.5971882028157986E-2</v>
      </c>
      <c r="AU34" s="1">
        <f>[2]Urban_area_finals!AU158/[2]Urban_area_finals!$G158</f>
        <v>1.7976159028389161E-2</v>
      </c>
      <c r="AV34" s="1">
        <f>[2]Urban_area_finals!AV158/[2]Urban_area_finals!$G158</f>
        <v>2.098257452873592E-2</v>
      </c>
      <c r="AW34" s="1">
        <f>[2]Urban_area_finals!AW158/[2]Urban_area_finals!$G158</f>
        <v>4.3274162504991248E-2</v>
      </c>
      <c r="AX34" s="1">
        <f>[2]Urban_area_finals!AX158/[2]Urban_area_finals!$G158</f>
        <v>8.3196675193806455E-2</v>
      </c>
      <c r="AY34" s="1">
        <f>[2]Urban_area_finals!AY158/[2]Urban_area_finals!$G158</f>
        <v>0.11009618230217218</v>
      </c>
    </row>
    <row r="35" spans="1:51" x14ac:dyDescent="0.25">
      <c r="A35" t="s">
        <v>517</v>
      </c>
      <c r="B35" t="s">
        <v>518</v>
      </c>
      <c r="C35" t="s">
        <v>519</v>
      </c>
      <c r="D35" t="s">
        <v>139</v>
      </c>
      <c r="E35" t="s">
        <v>55</v>
      </c>
      <c r="F35" t="s">
        <v>140</v>
      </c>
      <c r="G35">
        <v>513939.55580678303</v>
      </c>
      <c r="H35">
        <v>11433.73588845047</v>
      </c>
      <c r="I35">
        <f>Table2[[#This Row],[FUA_area]]+Table2[[#This Row],[FUA_urban]]</f>
        <v>525373.29169523355</v>
      </c>
      <c r="J35">
        <v>71389373</v>
      </c>
      <c r="K35" s="1">
        <f>[2]Urban_area_finals!K82/[2]Urban_area_finals!$G82</f>
        <v>4.2509760901953287E-4</v>
      </c>
      <c r="L35" s="1">
        <f>[2]Urban_area_finals!L82/[2]Urban_area_finals!$G82</f>
        <v>4.6374284620312673E-4</v>
      </c>
      <c r="M35" s="1">
        <f>[2]Urban_area_finals!M82/[2]Urban_area_finals!$G82</f>
        <v>5.0238808338672069E-4</v>
      </c>
      <c r="N35" s="1">
        <f>[2]Urban_area_finals!N82/[2]Urban_area_finals!$G82</f>
        <v>5.4103332057031455E-4</v>
      </c>
      <c r="O35" s="1">
        <f>[2]Urban_area_finals!O82/[2]Urban_area_finals!$G82</f>
        <v>6.9561426930469009E-4</v>
      </c>
      <c r="P35" s="1">
        <f>[2]Urban_area_finals!P82/[2]Urban_area_finals!$G82</f>
        <v>7.3425950648828406E-4</v>
      </c>
      <c r="Q35" s="1">
        <f>[2]Urban_area_finals!Q82/[2]Urban_area_finals!$G82</f>
        <v>7.7290474367187792E-4</v>
      </c>
      <c r="R35" s="1">
        <f>[2]Urban_area_finals!R82/[2]Urban_area_finals!$G82</f>
        <v>8.1154998085547177E-4</v>
      </c>
      <c r="S35" s="1">
        <f>[2]Urban_area_finals!S82/[2]Urban_area_finals!$G82</f>
        <v>8.5019521803906574E-4</v>
      </c>
      <c r="T35" s="1">
        <f>[2]Urban_area_finals!T82/[2]Urban_area_finals!$G82</f>
        <v>2.0095523335468828E-3</v>
      </c>
      <c r="U35" s="1">
        <f>[2]Urban_area_finals!U82/[2]Urban_area_finals!$G82</f>
        <v>6.260528423742211E-3</v>
      </c>
      <c r="V35" s="1">
        <f>[2]Urban_area_finals!V82/[2]Urban_area_finals!$G82</f>
        <v>1.4260092520746148E-2</v>
      </c>
      <c r="W35" s="1">
        <f>[2]Urban_area_finals!W82/[2]Urban_area_finals!$G82</f>
        <v>2.6356051759211036E-2</v>
      </c>
      <c r="X35" s="1">
        <f>[2]Urban_area_finals!X82/[2]Urban_area_finals!$G82</f>
        <v>2.8017796958105575E-2</v>
      </c>
      <c r="Y35" s="1">
        <f>[2]Urban_area_finals!Y82/[2]Urban_area_finals!$G82</f>
        <v>3.0993480221242303E-2</v>
      </c>
      <c r="Z35" s="1">
        <f>[2]Urban_area_finals!Z82/[2]Urban_area_finals!$G82</f>
        <v>3.466477775368372E-2</v>
      </c>
      <c r="AA35" s="1">
        <f>[2]Urban_area_finals!AA82/[2]Urban_area_finals!$G82</f>
        <v>3.7833687202738421E-2</v>
      </c>
      <c r="AB35" s="1">
        <f>[2]Urban_area_finals!AB82/[2]Urban_area_finals!$G82</f>
        <v>3.8142849100207182E-2</v>
      </c>
      <c r="AC35" s="1">
        <f>[2]Urban_area_finals!AC82/[2]Urban_area_finals!$G82</f>
        <v>3.9418141927265775E-2</v>
      </c>
      <c r="AD35" s="1">
        <f>[2]Urban_area_finals!AD82/[2]Urban_area_finals!$G82</f>
        <v>3.9688658587550933E-2</v>
      </c>
      <c r="AE35" s="1">
        <f>[2]Urban_area_finals!AE82/[2]Urban_area_finals!$G82</f>
        <v>3.9881884773468906E-2</v>
      </c>
      <c r="AF35" s="1">
        <f>[2]Urban_area_finals!AF82/[2]Urban_area_finals!$G82</f>
        <v>4.0036465722203277E-2</v>
      </c>
      <c r="AG35" s="1">
        <f>[2]Urban_area_finals!AG82/[2]Urban_area_finals!$G82</f>
        <v>4.0191046670937654E-2</v>
      </c>
      <c r="AH35" s="1">
        <f>[2]Urban_area_finals!AH82/[2]Urban_area_finals!$G82</f>
        <v>4.0422918094039216E-2</v>
      </c>
      <c r="AI35" s="1">
        <f>[2]Urban_area_finals!AI82/[2]Urban_area_finals!$G82</f>
        <v>4.1311758549261876E-2</v>
      </c>
      <c r="AJ35" s="1">
        <f>[2]Urban_area_finals!AJ82/[2]Urban_area_finals!$G82</f>
        <v>4.181414663264859E-2</v>
      </c>
      <c r="AK35" s="1">
        <f>[2]Urban_area_finals!AK82/[2]Urban_area_finals!$G82</f>
        <v>4.2471115664769694E-2</v>
      </c>
      <c r="AL35" s="1">
        <f>[2]Urban_area_finals!AL82/[2]Urban_area_finals!$G82</f>
        <v>4.2896213273789223E-2</v>
      </c>
      <c r="AM35" s="1">
        <f>[2]Urban_area_finals!AM82/[2]Urban_area_finals!$G82</f>
        <v>4.3398601357175937E-2</v>
      </c>
      <c r="AN35" s="1">
        <f>[2]Urban_area_finals!AN82/[2]Urban_area_finals!$G82</f>
        <v>4.4094215626480637E-2</v>
      </c>
      <c r="AO35" s="1">
        <f>[2]Urban_area_finals!AO82/[2]Urban_area_finals!$G82</f>
        <v>4.6258348908761897E-2</v>
      </c>
      <c r="AP35" s="1">
        <f>[2]Urban_area_finals!AP82/[2]Urban_area_finals!$G82</f>
        <v>4.6683446517781425E-2</v>
      </c>
      <c r="AQ35" s="1">
        <f>[2]Urban_area_finals!AQ82/[2]Urban_area_finals!$G82</f>
        <v>4.7610932210187681E-2</v>
      </c>
      <c r="AR35" s="1">
        <f>[2]Urban_area_finals!AR82/[2]Urban_area_finals!$G82</f>
        <v>4.9891001204019722E-2</v>
      </c>
      <c r="AS35" s="1">
        <f>[2]Urban_area_finals!AS82/[2]Urban_area_finals!$G82</f>
        <v>5.1591391640097857E-2</v>
      </c>
      <c r="AT35" s="1">
        <f>[2]Urban_area_finals!AT82/[2]Urban_area_finals!$G82</f>
        <v>5.9706891448652571E-2</v>
      </c>
      <c r="AU35" s="1">
        <f>[2]Urban_area_finals!AU82/[2]Urban_area_finals!$G82</f>
        <v>6.5580967500558848E-2</v>
      </c>
      <c r="AV35" s="1">
        <f>[2]Urban_area_finals!AV82/[2]Urban_area_finals!$G82</f>
        <v>7.4392081578418243E-2</v>
      </c>
      <c r="AW35" s="1">
        <f>[2]Urban_area_finals!AW82/[2]Urban_area_finals!$G82</f>
        <v>8.8729464573531577E-2</v>
      </c>
      <c r="AX35" s="1">
        <f>[2]Urban_area_finals!AX82/[2]Urban_area_finals!$G82</f>
        <v>0.10047761667734413</v>
      </c>
      <c r="AY35" s="1">
        <f>[2]Urban_area_finals!AY82/[2]Urban_area_finals!$G82</f>
        <v>0.1082839545884301</v>
      </c>
    </row>
    <row r="36" spans="1:51" x14ac:dyDescent="0.25">
      <c r="A36" t="s">
        <v>430</v>
      </c>
      <c r="B36" t="s">
        <v>431</v>
      </c>
      <c r="C36" t="s">
        <v>432</v>
      </c>
      <c r="D36" t="s">
        <v>75</v>
      </c>
      <c r="E36" t="s">
        <v>76</v>
      </c>
      <c r="F36" t="s">
        <v>77</v>
      </c>
      <c r="G36">
        <v>1292462.59599691</v>
      </c>
      <c r="H36">
        <v>6420.257998793697</v>
      </c>
      <c r="I36">
        <f>Table2[[#This Row],[FUA_area]]+Table2[[#This Row],[FUA_urban]]</f>
        <v>1298882.8539957036</v>
      </c>
      <c r="J36">
        <v>33090275.000000011</v>
      </c>
      <c r="K36" s="1">
        <f>[2]Urban_area_finals!K67/[2]Urban_area_finals!$G67</f>
        <v>2.8380355448700185E-3</v>
      </c>
      <c r="L36" s="1">
        <f>[2]Urban_area_finals!L67/[2]Urban_area_finals!$G67</f>
        <v>3.0258117660130097E-3</v>
      </c>
      <c r="M36" s="1">
        <f>[2]Urban_area_finals!M67/[2]Urban_area_finals!$G67</f>
        <v>3.4025526653948339E-3</v>
      </c>
      <c r="N36" s="1">
        <f>[2]Urban_area_finals!N67/[2]Urban_area_finals!$G67</f>
        <v>3.8387164195687442E-3</v>
      </c>
      <c r="O36" s="1">
        <f>[2]Urban_area_finals!O67/[2]Urban_area_finals!$G67</f>
        <v>4.1203807512832308E-3</v>
      </c>
      <c r="P36" s="1">
        <f>[2]Urban_area_finals!P67/[2]Urban_area_finals!$G67</f>
        <v>4.1203807512832308E-3</v>
      </c>
      <c r="Q36" s="1">
        <f>[2]Urban_area_finals!Q67/[2]Urban_area_finals!$G67</f>
        <v>4.1203807512832308E-3</v>
      </c>
      <c r="R36" s="1">
        <f>[2]Urban_area_finals!R67/[2]Urban_area_finals!$G67</f>
        <v>4.1203807512832308E-3</v>
      </c>
      <c r="S36" s="1">
        <f>[2]Urban_area_finals!S67/[2]Urban_area_finals!$G67</f>
        <v>4.1393960648166981E-3</v>
      </c>
      <c r="T36" s="1">
        <f>[2]Urban_area_finals!T67/[2]Urban_area_finals!$G67</f>
        <v>4.5898213041407083E-3</v>
      </c>
      <c r="U36" s="1">
        <f>[2]Urban_area_finals!U67/[2]Urban_area_finals!$G67</f>
        <v>5.634475091385577E-3</v>
      </c>
      <c r="V36" s="1">
        <f>[2]Urban_area_finals!V67/[2]Urban_area_finals!$G67</f>
        <v>7.5336295305406401E-3</v>
      </c>
      <c r="W36" s="1">
        <f>[2]Urban_area_finals!W67/[2]Urban_area_finals!$G67</f>
        <v>9.5076567667337301E-3</v>
      </c>
      <c r="X36" s="1">
        <f>[2]Urban_area_finals!X67/[2]Urban_area_finals!$G67</f>
        <v>9.9770973195912084E-3</v>
      </c>
      <c r="Y36" s="1">
        <f>[2]Urban_area_finals!Y67/[2]Urban_area_finals!$G67</f>
        <v>1.1240427212470953E-2</v>
      </c>
      <c r="Z36" s="1">
        <f>[2]Urban_area_finals!Z67/[2]Urban_area_finals!$G67</f>
        <v>1.2817509778652909E-2</v>
      </c>
      <c r="AA36" s="1">
        <f>[2]Urban_area_finals!AA67/[2]Urban_area_finals!$G67</f>
        <v>1.3868105851376988E-2</v>
      </c>
      <c r="AB36" s="1">
        <f>[2]Urban_area_finals!AB67/[2]Urban_area_finals!$G67</f>
        <v>1.4345865603905356E-2</v>
      </c>
      <c r="AC36" s="1">
        <f>[2]Urban_area_finals!AC67/[2]Urban_area_finals!$G67</f>
        <v>1.4735679531341441E-2</v>
      </c>
      <c r="AD36" s="1">
        <f>[2]Urban_area_finals!AD67/[2]Urban_area_finals!$G67</f>
        <v>1.5694764407685705E-2</v>
      </c>
      <c r="AE36" s="1">
        <f>[2]Urban_area_finals!AE67/[2]Urban_area_finals!$G67</f>
        <v>1.6259281528210521E-2</v>
      </c>
      <c r="AF36" s="1">
        <f>[2]Urban_area_finals!AF67/[2]Urban_area_finals!$G67</f>
        <v>1.6859452361610586E-2</v>
      </c>
      <c r="AG36" s="1">
        <f>[2]Urban_area_finals!AG67/[2]Urban_area_finals!$G67</f>
        <v>1.7276600802251029E-2</v>
      </c>
      <c r="AH36" s="1">
        <f>[2]Urban_area_finals!AH67/[2]Urban_area_finals!$G67</f>
        <v>1.7759114383162768E-2</v>
      </c>
      <c r="AI36" s="1">
        <f>[2]Urban_area_finals!AI67/[2]Urban_area_finals!$G67</f>
        <v>1.8188147394761624E-2</v>
      </c>
      <c r="AJ36" s="1">
        <f>[2]Urban_area_finals!AJ67/[2]Urban_area_finals!$G67</f>
        <v>1.8722953087890397E-2</v>
      </c>
      <c r="AK36" s="1">
        <f>[2]Urban_area_finals!AK67/[2]Urban_area_finals!$G67</f>
        <v>1.9266077980690063E-2</v>
      </c>
      <c r="AL36" s="1">
        <f>[2]Urban_area_finals!AL67/[2]Urban_area_finals!$G67</f>
        <v>1.997677532400341E-2</v>
      </c>
      <c r="AM36" s="1">
        <f>[2]Urban_area_finals!AM67/[2]Urban_area_finals!$G67</f>
        <v>2.1656065200427753E-2</v>
      </c>
      <c r="AN36" s="1">
        <f>[2]Urban_area_finals!AN67/[2]Urban_area_finals!$G67</f>
        <v>2.2783910984381546E-2</v>
      </c>
      <c r="AO36" s="1">
        <f>[2]Urban_area_finals!AO67/[2]Urban_area_finals!$G67</f>
        <v>2.4548769771706492E-2</v>
      </c>
      <c r="AP36" s="1">
        <f>[2]Urban_area_finals!AP67/[2]Urban_area_finals!$G67</f>
        <v>2.68282304815309E-2</v>
      </c>
      <c r="AQ36" s="1">
        <f>[2]Urban_area_finals!AQ67/[2]Urban_area_finals!$G67</f>
        <v>3.0062022239316213E-2</v>
      </c>
      <c r="AR36" s="1">
        <f>[2]Urban_area_finals!AR67/[2]Urban_area_finals!$G67</f>
        <v>3.333622153836014E-2</v>
      </c>
      <c r="AS36" s="1">
        <f>[2]Urban_area_finals!AS67/[2]Urban_area_finals!$G67</f>
        <v>3.5837923725106954E-2</v>
      </c>
      <c r="AT36" s="1">
        <f>[2]Urban_area_finals!AT67/[2]Urban_area_finals!$G67</f>
        <v>3.8951681316212253E-2</v>
      </c>
      <c r="AU36" s="1">
        <f>[2]Urban_area_finals!AU67/[2]Urban_area_finals!$G67</f>
        <v>4.2483300422215493E-2</v>
      </c>
      <c r="AV36" s="1">
        <f>[2]Urban_area_finals!AV67/[2]Urban_area_finals!$G67</f>
        <v>4.7780729081220365E-2</v>
      </c>
      <c r="AW36" s="1">
        <f>[2]Urban_area_finals!AW67/[2]Urban_area_finals!$G67</f>
        <v>6.1041533356622227E-2</v>
      </c>
      <c r="AX36" s="1">
        <f>[2]Urban_area_finals!AX67/[2]Urban_area_finals!$G67</f>
        <v>8.0546491213576488E-2</v>
      </c>
      <c r="AY36" s="1">
        <f>[2]Urban_area_finals!AY67/[2]Urban_area_finals!$G67</f>
        <v>0.10697064628252119</v>
      </c>
    </row>
    <row r="37" spans="1:51" x14ac:dyDescent="0.25">
      <c r="A37" t="s">
        <v>346</v>
      </c>
      <c r="B37" t="s">
        <v>347</v>
      </c>
      <c r="C37" t="s">
        <v>348</v>
      </c>
      <c r="D37" t="s">
        <v>91</v>
      </c>
      <c r="E37" t="s">
        <v>66</v>
      </c>
      <c r="F37" t="s">
        <v>66</v>
      </c>
      <c r="G37">
        <v>2581.554296904997</v>
      </c>
      <c r="H37">
        <v>1056.1199939122071</v>
      </c>
      <c r="I37">
        <f>Table2[[#This Row],[FUA_area]]+Table2[[#This Row],[FUA_urban]]</f>
        <v>3637.6742908172041</v>
      </c>
      <c r="J37">
        <v>626072</v>
      </c>
      <c r="K37" s="1">
        <f>[2]Urban_area_finals!K65/[2]Urban_area_finals!$G65</f>
        <v>5.8573207844427894E-3</v>
      </c>
      <c r="L37" s="1">
        <f>[2]Urban_area_finals!L65/[2]Urban_area_finals!$G65</f>
        <v>7.1423452422542163E-3</v>
      </c>
      <c r="M37" s="1">
        <f>[2]Urban_area_finals!M65/[2]Urban_area_finals!$G65</f>
        <v>8.785981176664185E-3</v>
      </c>
      <c r="N37" s="1">
        <f>[2]Urban_area_finals!N65/[2]Urban_area_finals!$G65</f>
        <v>1.1266377223137405E-2</v>
      </c>
      <c r="O37" s="1">
        <f>[2]Urban_area_finals!O65/[2]Urban_area_finals!$G65</f>
        <v>1.4613417671390428E-2</v>
      </c>
      <c r="P37" s="1">
        <f>[2]Urban_area_finals!P65/[2]Urban_area_finals!$G65</f>
        <v>1.5360524914304048E-2</v>
      </c>
      <c r="Q37" s="1">
        <f>[2]Urban_area_finals!Q65/[2]Urban_area_finals!$G65</f>
        <v>1.6854739400131293E-2</v>
      </c>
      <c r="R37" s="1">
        <f>[2]Urban_area_finals!R65/[2]Urban_area_finals!$G65</f>
        <v>1.8528259624257803E-2</v>
      </c>
      <c r="S37" s="1">
        <f>[2]Urban_area_finals!S65/[2]Urban_area_finals!$G65</f>
        <v>2.0201779848384314E-2</v>
      </c>
      <c r="T37" s="1">
        <f>[2]Urban_area_finals!T65/[2]Urban_area_finals!$G65</f>
        <v>2.2562638735991354E-2</v>
      </c>
      <c r="U37" s="1">
        <f>[2]Urban_area_finals!U65/[2]Urban_area_finals!$G65</f>
        <v>2.5849910604811288E-2</v>
      </c>
      <c r="V37" s="1">
        <f>[2]Urban_area_finals!V65/[2]Urban_area_finals!$G65</f>
        <v>2.8688918127883052E-2</v>
      </c>
      <c r="W37" s="1">
        <f>[2]Urban_area_finals!W65/[2]Urban_area_finals!$G65</f>
        <v>2.9764752557678666E-2</v>
      </c>
      <c r="X37" s="1">
        <f>[2]Urban_area_finals!X65/[2]Urban_area_finals!$G65</f>
        <v>2.9764752557678666E-2</v>
      </c>
      <c r="Y37" s="1">
        <f>[2]Urban_area_finals!Y65/[2]Urban_area_finals!$G65</f>
        <v>3.810246938859467E-2</v>
      </c>
      <c r="Z37" s="1">
        <f>[2]Urban_area_finals!Z65/[2]Urban_area_finals!$G65</f>
        <v>4.7456252069873209E-2</v>
      </c>
      <c r="AA37" s="1">
        <f>[2]Urban_area_finals!AA65/[2]Urban_area_finals!$G65</f>
        <v>5.107225112557514E-2</v>
      </c>
      <c r="AB37" s="1">
        <f>[2]Urban_area_finals!AB65/[2]Urban_area_finals!$G65</f>
        <v>5.286530850856782E-2</v>
      </c>
      <c r="AC37" s="1">
        <f>[2]Urban_area_finals!AC65/[2]Urban_area_finals!$G65</f>
        <v>5.4359522994395074E-2</v>
      </c>
      <c r="AD37" s="1">
        <f>[2]Urban_area_finals!AD65/[2]Urban_area_finals!$G65</f>
        <v>5.6780150461435197E-2</v>
      </c>
      <c r="AE37" s="1">
        <f>[2]Urban_area_finals!AE65/[2]Urban_area_finals!$G65</f>
        <v>5.7766332022081174E-2</v>
      </c>
      <c r="AF37" s="1">
        <f>[2]Urban_area_finals!AF65/[2]Urban_area_finals!$G65</f>
        <v>6.0157075199404761E-2</v>
      </c>
      <c r="AG37" s="1">
        <f>[2]Urban_area_finals!AG65/[2]Urban_area_finals!$G65</f>
        <v>6.4012148572839045E-2</v>
      </c>
      <c r="AH37" s="1">
        <f>[2]Urban_area_finals!AH65/[2]Urban_area_finals!$G65</f>
        <v>6.5416710189516655E-2</v>
      </c>
      <c r="AI37" s="1">
        <f>[2]Urban_area_finals!AI65/[2]Urban_area_finals!$G65</f>
        <v>6.6641966067895006E-2</v>
      </c>
      <c r="AJ37" s="1">
        <f>[2]Urban_area_finals!AJ65/[2]Urban_area_finals!$G65</f>
        <v>6.7448841890241709E-2</v>
      </c>
      <c r="AK37" s="1">
        <f>[2]Urban_area_finals!AK65/[2]Urban_area_finals!$G65</f>
        <v>6.8136180553722239E-2</v>
      </c>
      <c r="AL37" s="1">
        <f>[2]Urban_area_finals!AL65/[2]Urban_area_finals!$G65</f>
        <v>6.974993219841566E-2</v>
      </c>
      <c r="AM37" s="1">
        <f>[2]Urban_area_finals!AM65/[2]Urban_area_finals!$G65</f>
        <v>7.1782063899140713E-2</v>
      </c>
      <c r="AN37" s="1">
        <f>[2]Urban_area_finals!AN65/[2]Urban_area_finals!$G65</f>
        <v>7.2828014039219777E-2</v>
      </c>
      <c r="AO37" s="1">
        <f>[2]Urban_area_finals!AO65/[2]Urban_area_finals!$G65</f>
        <v>7.8625566244229478E-2</v>
      </c>
      <c r="AP37" s="1">
        <f>[2]Urban_area_finals!AP65/[2]Urban_area_finals!$G65</f>
        <v>8.3287515440010465E-2</v>
      </c>
      <c r="AQ37" s="1">
        <f>[2]Urban_area_finals!AQ65/[2]Urban_area_finals!$G65</f>
        <v>8.8069001794657653E-2</v>
      </c>
      <c r="AR37" s="1">
        <f>[2]Urban_area_finals!AR65/[2]Urban_area_finals!$G65</f>
        <v>9.4852735560313331E-2</v>
      </c>
      <c r="AS37" s="1">
        <f>[2]Urban_area_finals!AS65/[2]Urban_area_finals!$G65</f>
        <v>9.9365263307511609E-2</v>
      </c>
      <c r="AT37" s="1">
        <f>[2]Urban_area_finals!AT65/[2]Urban_area_finals!$G65</f>
        <v>0.10017213912985831</v>
      </c>
      <c r="AU37" s="1">
        <f>[2]Urban_area_finals!AU65/[2]Urban_area_finals!$G65</f>
        <v>0.10081763978773567</v>
      </c>
      <c r="AV37" s="1">
        <f>[2]Urban_area_finals!AV65/[2]Urban_area_finals!$G65</f>
        <v>0.10178589077455173</v>
      </c>
      <c r="AW37" s="1">
        <f>[2]Urban_area_finals!AW65/[2]Urban_area_finals!$G65</f>
        <v>0.10339964241924515</v>
      </c>
      <c r="AX37" s="1">
        <f>[2]Urban_area_finals!AX65/[2]Urban_area_finals!$G65</f>
        <v>0.10501339406393857</v>
      </c>
      <c r="AY37" s="1">
        <f>[2]Urban_area_finals!AY65/[2]Urban_area_finals!$G65</f>
        <v>0.10665702999834853</v>
      </c>
    </row>
    <row r="38" spans="1:51" x14ac:dyDescent="0.25">
      <c r="A38" t="s">
        <v>382</v>
      </c>
      <c r="B38" t="s">
        <v>383</v>
      </c>
      <c r="C38" t="s">
        <v>384</v>
      </c>
      <c r="D38" t="s">
        <v>60</v>
      </c>
      <c r="E38" t="s">
        <v>61</v>
      </c>
      <c r="F38" t="s">
        <v>61</v>
      </c>
      <c r="G38">
        <v>787460.6457683167</v>
      </c>
      <c r="H38">
        <v>1824.9084267638841</v>
      </c>
      <c r="I38">
        <f>Table2[[#This Row],[FUA_area]]+Table2[[#This Row],[FUA_urban]]</f>
        <v>789285.55419508053</v>
      </c>
      <c r="J38">
        <v>30720751</v>
      </c>
      <c r="K38" s="1">
        <f>[2]Urban_area_finals!K74/[2]Urban_area_finals!$G74</f>
        <v>6.1928394437297104E-3</v>
      </c>
      <c r="L38" s="1">
        <f>[2]Urban_area_finals!L74/[2]Urban_area_finals!$G74</f>
        <v>6.6056954066450249E-3</v>
      </c>
      <c r="M38" s="1">
        <f>[2]Urban_area_finals!M74/[2]Urban_area_finals!$G74</f>
        <v>7.0185513695603394E-3</v>
      </c>
      <c r="N38" s="1">
        <f>[2]Urban_area_finals!N74/[2]Urban_area_finals!$G74</f>
        <v>7.8442632953909675E-3</v>
      </c>
      <c r="O38" s="1">
        <f>[2]Urban_area_finals!O74/[2]Urban_area_finals!$G74</f>
        <v>9.0828311841369084E-3</v>
      </c>
      <c r="P38" s="1">
        <f>[2]Urban_area_finals!P74/[2]Urban_area_finals!$G74</f>
        <v>1.0321399072882851E-2</v>
      </c>
      <c r="Q38" s="1">
        <f>[2]Urban_area_finals!Q74/[2]Urban_area_finals!$G74</f>
        <v>1.1559966961628794E-2</v>
      </c>
      <c r="R38" s="1">
        <f>[2]Urban_area_finals!R74/[2]Urban_area_finals!$G74</f>
        <v>1.321139081329005E-2</v>
      </c>
      <c r="S38" s="1">
        <f>[2]Urban_area_finals!S74/[2]Urban_area_finals!$G74</f>
        <v>1.5275670627866621E-2</v>
      </c>
      <c r="T38" s="1">
        <f>[2]Urban_area_finals!T74/[2]Urban_area_finals!$G74</f>
        <v>2.1468510071596329E-2</v>
      </c>
      <c r="U38" s="1">
        <f>[2]Urban_area_finals!U74/[2]Urban_area_finals!$G74</f>
        <v>3.3441332996140438E-2</v>
      </c>
      <c r="V38" s="1">
        <f>[2]Urban_area_finals!V74/[2]Urban_area_finals!$G74</f>
        <v>4.2937020143192658E-2</v>
      </c>
      <c r="W38" s="1">
        <f>[2]Urban_area_finals!W74/[2]Urban_area_finals!$G74</f>
        <v>4.9955571512753011E-2</v>
      </c>
      <c r="X38" s="1">
        <f>[2]Urban_area_finals!X74/[2]Urban_area_finals!$G74</f>
        <v>5.4084131141906147E-2</v>
      </c>
      <c r="Y38" s="1">
        <f>[2]Urban_area_finals!Y74/[2]Urban_area_finals!$G74</f>
        <v>5.4909843067736774E-2</v>
      </c>
      <c r="Z38" s="1">
        <f>[2]Urban_area_finals!Z74/[2]Urban_area_finals!$G74</f>
        <v>6.275410636312774E-2</v>
      </c>
      <c r="AA38" s="1">
        <f>[2]Urban_area_finals!AA74/[2]Urban_area_finals!$G74</f>
        <v>6.646981002936557E-2</v>
      </c>
      <c r="AB38" s="1">
        <f>[2]Urban_area_finals!AB74/[2]Urban_area_finals!$G74</f>
        <v>6.7708377918111504E-2</v>
      </c>
      <c r="AC38" s="1">
        <f>[2]Urban_area_finals!AC74/[2]Urban_area_finals!$G74</f>
        <v>6.9359801769772758E-2</v>
      </c>
      <c r="AD38" s="1">
        <f>[2]Urban_area_finals!AD74/[2]Urban_area_finals!$G74</f>
        <v>7.968120084265562E-2</v>
      </c>
      <c r="AE38" s="1">
        <f>[2]Urban_area_finals!AE74/[2]Urban_area_finals!$G74</f>
        <v>8.0919768731401553E-2</v>
      </c>
      <c r="AF38" s="1">
        <f>[2]Urban_area_finals!AF74/[2]Urban_area_finals!$G74</f>
        <v>8.2571192583062808E-2</v>
      </c>
      <c r="AG38" s="1">
        <f>[2]Urban_area_finals!AG74/[2]Urban_area_finals!$G74</f>
        <v>8.2571192583062808E-2</v>
      </c>
      <c r="AH38" s="1">
        <f>[2]Urban_area_finals!AH74/[2]Urban_area_finals!$G74</f>
        <v>8.2571192583062808E-2</v>
      </c>
      <c r="AI38" s="1">
        <f>[2]Urban_area_finals!AI74/[2]Urban_area_finals!$G74</f>
        <v>8.2571192583062808E-2</v>
      </c>
      <c r="AJ38" s="1">
        <f>[2]Urban_area_finals!AJ74/[2]Urban_area_finals!$G74</f>
        <v>8.2571192583062808E-2</v>
      </c>
      <c r="AK38" s="1">
        <f>[2]Urban_area_finals!AK74/[2]Urban_area_finals!$G74</f>
        <v>8.3396904508893435E-2</v>
      </c>
      <c r="AL38" s="1">
        <f>[2]Urban_area_finals!AL74/[2]Urban_area_finals!$G74</f>
        <v>8.4222616434724062E-2</v>
      </c>
      <c r="AM38" s="1">
        <f>[2]Urban_area_finals!AM74/[2]Urban_area_finals!$G74</f>
        <v>8.4635472397639397E-2</v>
      </c>
      <c r="AN38" s="1">
        <f>[2]Urban_area_finals!AN74/[2]Urban_area_finals!$G74</f>
        <v>8.4635472397639397E-2</v>
      </c>
      <c r="AO38" s="1">
        <f>[2]Urban_area_finals!AO74/[2]Urban_area_finals!$G74</f>
        <v>8.6286896249300638E-2</v>
      </c>
      <c r="AP38" s="1">
        <f>[2]Urban_area_finals!AP74/[2]Urban_area_finals!$G74</f>
        <v>8.6286896249300638E-2</v>
      </c>
      <c r="AQ38" s="1">
        <f>[2]Urban_area_finals!AQ74/[2]Urban_area_finals!$G74</f>
        <v>8.7525464138046585E-2</v>
      </c>
      <c r="AR38" s="1">
        <f>[2]Urban_area_finals!AR74/[2]Urban_area_finals!$G74</f>
        <v>8.958974395262316E-2</v>
      </c>
      <c r="AS38" s="1">
        <f>[2]Urban_area_finals!AS74/[2]Urban_area_finals!$G74</f>
        <v>8.958974395262316E-2</v>
      </c>
      <c r="AT38" s="1">
        <f>[2]Urban_area_finals!AT74/[2]Urban_area_finals!$G74</f>
        <v>8.8764032026792533E-2</v>
      </c>
      <c r="AU38" s="1">
        <f>[2]Urban_area_finals!AU74/[2]Urban_area_finals!$G74</f>
        <v>9.0415455878453788E-2</v>
      </c>
      <c r="AV38" s="1">
        <f>[2]Urban_area_finals!AV74/[2]Urban_area_finals!$G74</f>
        <v>9.2892591655945683E-2</v>
      </c>
      <c r="AW38" s="1">
        <f>[2]Urban_area_finals!AW74/[2]Urban_area_finals!$G74</f>
        <v>9.7021151285098819E-2</v>
      </c>
      <c r="AX38" s="1">
        <f>[2]Urban_area_finals!AX74/[2]Urban_area_finals!$G74</f>
        <v>0.10032399898842131</v>
      </c>
      <c r="AY38" s="1">
        <f>[2]Urban_area_finals!AY74/[2]Urban_area_finals!$G74</f>
        <v>0.10445255861757446</v>
      </c>
    </row>
    <row r="39" spans="1:51" x14ac:dyDescent="0.25">
      <c r="A39" t="s">
        <v>217</v>
      </c>
      <c r="B39" t="s">
        <v>218</v>
      </c>
      <c r="C39" t="s">
        <v>219</v>
      </c>
      <c r="D39" t="s">
        <v>65</v>
      </c>
      <c r="E39" t="s">
        <v>66</v>
      </c>
      <c r="F39" t="s">
        <v>66</v>
      </c>
      <c r="G39">
        <v>45489.856653638657</v>
      </c>
      <c r="H39">
        <v>945.99208617292879</v>
      </c>
      <c r="I39">
        <f>Table2[[#This Row],[FUA_area]]+Table2[[#This Row],[FUA_urban]]</f>
        <v>46435.848739811583</v>
      </c>
      <c r="J39">
        <v>1329091</v>
      </c>
      <c r="K39" s="1">
        <f>[2]Urban_area_finals!K85/[2]Urban_area_finals!$G85</f>
        <v>0</v>
      </c>
      <c r="L39" s="1">
        <f>[2]Urban_area_finals!L85/[2]Urban_area_finals!$G85</f>
        <v>0</v>
      </c>
      <c r="M39" s="1">
        <f>[2]Urban_area_finals!M85/[2]Urban_area_finals!$G85</f>
        <v>0</v>
      </c>
      <c r="N39" s="1">
        <f>[2]Urban_area_finals!N85/[2]Urban_area_finals!$G85</f>
        <v>0</v>
      </c>
      <c r="O39" s="1">
        <f>[2]Urban_area_finals!O85/[2]Urban_area_finals!$G85</f>
        <v>0</v>
      </c>
      <c r="P39" s="1">
        <f>[2]Urban_area_finals!P85/[2]Urban_area_finals!$G85</f>
        <v>0</v>
      </c>
      <c r="Q39" s="1">
        <f>[2]Urban_area_finals!Q85/[2]Urban_area_finals!$G85</f>
        <v>0</v>
      </c>
      <c r="R39" s="1">
        <f>[2]Urban_area_finals!R85/[2]Urban_area_finals!$G85</f>
        <v>0</v>
      </c>
      <c r="S39" s="1">
        <f>[2]Urban_area_finals!S85/[2]Urban_area_finals!$G85</f>
        <v>0</v>
      </c>
      <c r="T39" s="1">
        <f>[2]Urban_area_finals!T85/[2]Urban_area_finals!$G85</f>
        <v>0</v>
      </c>
      <c r="U39" s="1">
        <f>[2]Urban_area_finals!U85/[2]Urban_area_finals!$G85</f>
        <v>0</v>
      </c>
      <c r="V39" s="1">
        <f>[2]Urban_area_finals!V85/[2]Urban_area_finals!$G85</f>
        <v>0</v>
      </c>
      <c r="W39" s="1">
        <f>[2]Urban_area_finals!W85/[2]Urban_area_finals!$G85</f>
        <v>0</v>
      </c>
      <c r="X39" s="1">
        <f>[2]Urban_area_finals!X85/[2]Urban_area_finals!$G85</f>
        <v>3.2818062616337215E-4</v>
      </c>
      <c r="Y39" s="1">
        <f>[2]Urban_area_finals!Y85/[2]Urban_area_finals!$G85</f>
        <v>3.2818062616337215E-4</v>
      </c>
      <c r="Z39" s="1">
        <f>[2]Urban_area_finals!Z85/[2]Urban_area_finals!$G85</f>
        <v>3.2818062616337215E-4</v>
      </c>
      <c r="AA39" s="1">
        <f>[2]Urban_area_finals!AA85/[2]Urban_area_finals!$G85</f>
        <v>3.2818062616337215E-4</v>
      </c>
      <c r="AB39" s="1">
        <f>[2]Urban_area_finals!AB85/[2]Urban_area_finals!$G85</f>
        <v>3.2818062616337215E-4</v>
      </c>
      <c r="AC39" s="1">
        <f>[2]Urban_area_finals!AC85/[2]Urban_area_finals!$G85</f>
        <v>3.2818062616337215E-4</v>
      </c>
      <c r="AD39" s="1">
        <f>[2]Urban_area_finals!AD85/[2]Urban_area_finals!$G85</f>
        <v>6.563612523267443E-4</v>
      </c>
      <c r="AE39" s="1">
        <f>[2]Urban_area_finals!AE85/[2]Urban_area_finals!$G85</f>
        <v>6.563612523267443E-4</v>
      </c>
      <c r="AF39" s="1">
        <f>[2]Urban_area_finals!AF85/[2]Urban_area_finals!$G85</f>
        <v>6.563612523267443E-4</v>
      </c>
      <c r="AG39" s="1">
        <f>[2]Urban_area_finals!AG85/[2]Urban_area_finals!$G85</f>
        <v>6.563612523267443E-4</v>
      </c>
      <c r="AH39" s="1">
        <f>[2]Urban_area_finals!AH85/[2]Urban_area_finals!$G85</f>
        <v>6.563612523267443E-4</v>
      </c>
      <c r="AI39" s="1">
        <f>[2]Urban_area_finals!AI85/[2]Urban_area_finals!$G85</f>
        <v>6.563612523267443E-4</v>
      </c>
      <c r="AJ39" s="1">
        <f>[2]Urban_area_finals!AJ85/[2]Urban_area_finals!$G85</f>
        <v>6.563612523267443E-4</v>
      </c>
      <c r="AK39" s="1">
        <f>[2]Urban_area_finals!AK85/[2]Urban_area_finals!$G85</f>
        <v>9.8454187849011639E-4</v>
      </c>
      <c r="AL39" s="1">
        <f>[2]Urban_area_finals!AL85/[2]Urban_area_finals!$G85</f>
        <v>9.8454187849011639E-4</v>
      </c>
      <c r="AM39" s="1">
        <f>[2]Urban_area_finals!AM85/[2]Urban_area_finals!$G85</f>
        <v>1.3127225046534886E-3</v>
      </c>
      <c r="AN39" s="1">
        <f>[2]Urban_area_finals!AN85/[2]Urban_area_finals!$G85</f>
        <v>1.3127225046534886E-3</v>
      </c>
      <c r="AO39" s="1">
        <f>[2]Urban_area_finals!AO85/[2]Urban_area_finals!$G85</f>
        <v>1.6409031308168606E-3</v>
      </c>
      <c r="AP39" s="1">
        <f>[2]Urban_area_finals!AP85/[2]Urban_area_finals!$G85</f>
        <v>2.6254450093069772E-3</v>
      </c>
      <c r="AQ39" s="1">
        <f>[2]Urban_area_finals!AQ85/[2]Urban_area_finals!$G85</f>
        <v>3.6099868877970936E-3</v>
      </c>
      <c r="AR39" s="1">
        <f>[2]Urban_area_finals!AR85/[2]Urban_area_finals!$G85</f>
        <v>3.9381675139604656E-3</v>
      </c>
      <c r="AS39" s="1">
        <f>[2]Urban_area_finals!AS85/[2]Urban_area_finals!$G85</f>
        <v>6.8917931494308152E-3</v>
      </c>
      <c r="AT39" s="1">
        <f>[2]Urban_area_finals!AT85/[2]Urban_area_finals!$G85</f>
        <v>5.5790706447773264E-3</v>
      </c>
      <c r="AU39" s="1">
        <f>[2]Urban_area_finals!AU85/[2]Urban_area_finals!$G85</f>
        <v>5.8416151457080243E-3</v>
      </c>
      <c r="AV39" s="1">
        <f>[2]Urban_area_finals!AV85/[2]Urban_area_finals!$G85</f>
        <v>6.2354318971040712E-3</v>
      </c>
      <c r="AW39" s="1">
        <f>[2]Urban_area_finals!AW85/[2]Urban_area_finals!$G85</f>
        <v>8.5326962802476768E-3</v>
      </c>
      <c r="AX39" s="1">
        <f>[2]Urban_area_finals!AX85/[2]Urban_area_finals!$G85</f>
        <v>3.019261760703024E-2</v>
      </c>
      <c r="AY39" s="1">
        <f>[2]Urban_area_finals!AY85/[2]Urban_area_finals!$G85</f>
        <v>9.6485104092031412E-2</v>
      </c>
    </row>
    <row r="40" spans="1:51" x14ac:dyDescent="0.25">
      <c r="A40" t="s">
        <v>154</v>
      </c>
      <c r="B40" t="s">
        <v>155</v>
      </c>
      <c r="C40" t="s">
        <v>156</v>
      </c>
      <c r="D40" t="s">
        <v>75</v>
      </c>
      <c r="E40" t="s">
        <v>76</v>
      </c>
      <c r="F40" t="s">
        <v>77</v>
      </c>
      <c r="G40">
        <v>752545.10315481038</v>
      </c>
      <c r="H40">
        <v>8755.9799572325901</v>
      </c>
      <c r="I40">
        <f>Table2[[#This Row],[FUA_area]]+Table2[[#This Row],[FUA_urban]]</f>
        <v>761301.08311204298</v>
      </c>
      <c r="J40">
        <v>19206692</v>
      </c>
      <c r="K40" s="1">
        <f>[2]Urban_area_finals!K87/[2]Urban_area_finals!$G87</f>
        <v>5.2695595385691607E-3</v>
      </c>
      <c r="L40" s="1">
        <f>[2]Urban_area_finals!L87/[2]Urban_area_finals!$G87</f>
        <v>5.4722349054372055E-3</v>
      </c>
      <c r="M40" s="1">
        <f>[2]Urban_area_finals!M87/[2]Urban_area_finals!$G87</f>
        <v>5.8775856391732944E-3</v>
      </c>
      <c r="N40" s="1">
        <f>[2]Urban_area_finals!N87/[2]Urban_area_finals!$G87</f>
        <v>7.0936378403815628E-3</v>
      </c>
      <c r="O40" s="1">
        <f>[2]Urban_area_finals!O87/[2]Urban_area_finals!$G87</f>
        <v>8.1070146747217863E-3</v>
      </c>
      <c r="P40" s="1">
        <f>[2]Urban_area_finals!P87/[2]Urban_area_finals!$G87</f>
        <v>8.5123654084578761E-3</v>
      </c>
      <c r="Q40" s="1">
        <f>[2]Urban_area_finals!Q87/[2]Urban_area_finals!$G87</f>
        <v>8.7150407753259201E-3</v>
      </c>
      <c r="R40" s="1">
        <f>[2]Urban_area_finals!R87/[2]Urban_area_finals!$G87</f>
        <v>8.9177161421939641E-3</v>
      </c>
      <c r="S40" s="1">
        <f>[2]Urban_area_finals!S87/[2]Urban_area_finals!$G87</f>
        <v>1.1147145177742457E-2</v>
      </c>
      <c r="T40" s="1">
        <f>[2]Urban_area_finals!T87/[2]Urban_area_finals!$G87</f>
        <v>1.2768548112686812E-2</v>
      </c>
      <c r="U40" s="1">
        <f>[2]Urban_area_finals!U87/[2]Urban_area_finals!$G87</f>
        <v>1.7024730816915752E-2</v>
      </c>
      <c r="V40" s="1">
        <f>[2]Urban_area_finals!V87/[2]Urban_area_finals!$G87</f>
        <v>1.7835432284387928E-2</v>
      </c>
      <c r="W40" s="1">
        <f>[2]Urban_area_finals!W87/[2]Urban_area_finals!$G87</f>
        <v>1.7835432284387928E-2</v>
      </c>
      <c r="X40" s="1">
        <f>[2]Urban_area_finals!X87/[2]Urban_area_finals!$G87</f>
        <v>1.7835432284387928E-2</v>
      </c>
      <c r="Y40" s="1">
        <f>[2]Urban_area_finals!Y87/[2]Urban_area_finals!$G87</f>
        <v>2.573977159224167E-2</v>
      </c>
      <c r="Z40" s="1">
        <f>[2]Urban_area_finals!Z87/[2]Urban_area_finals!$G87</f>
        <v>3.6684241403116075E-2</v>
      </c>
      <c r="AA40" s="1">
        <f>[2]Urban_area_finals!AA87/[2]Urban_area_finals!$G87</f>
        <v>3.9521696539268715E-2</v>
      </c>
      <c r="AB40" s="1">
        <f>[2]Urban_area_finals!AB87/[2]Urban_area_finals!$G87</f>
        <v>4.0535073373608933E-2</v>
      </c>
      <c r="AC40" s="1">
        <f>[2]Urban_area_finals!AC87/[2]Urban_area_finals!$G87</f>
        <v>4.0535073373608933E-2</v>
      </c>
      <c r="AD40" s="1">
        <f>[2]Urban_area_finals!AD87/[2]Urban_area_finals!$G87</f>
        <v>4.1345774841081109E-2</v>
      </c>
      <c r="AE40" s="1">
        <f>[2]Urban_area_finals!AE87/[2]Urban_area_finals!$G87</f>
        <v>4.1751125574817194E-2</v>
      </c>
      <c r="AF40" s="1">
        <f>[2]Urban_area_finals!AF87/[2]Urban_area_finals!$G87</f>
        <v>4.1953800941685236E-2</v>
      </c>
      <c r="AG40" s="1">
        <f>[2]Urban_area_finals!AG87/[2]Urban_area_finals!$G87</f>
        <v>4.256182704228937E-2</v>
      </c>
      <c r="AH40" s="1">
        <f>[2]Urban_area_finals!AH87/[2]Urban_area_finals!$G87</f>
        <v>4.256182704228937E-2</v>
      </c>
      <c r="AI40" s="1">
        <f>[2]Urban_area_finals!AI87/[2]Urban_area_finals!$G87</f>
        <v>4.2764502409157419E-2</v>
      </c>
      <c r="AJ40" s="1">
        <f>[2]Urban_area_finals!AJ87/[2]Urban_area_finals!$G87</f>
        <v>4.3777879243497644E-2</v>
      </c>
      <c r="AK40" s="1">
        <f>[2]Urban_area_finals!AK87/[2]Urban_area_finals!$G87</f>
        <v>4.4385905344101771E-2</v>
      </c>
      <c r="AL40" s="1">
        <f>[2]Urban_area_finals!AL87/[2]Urban_area_finals!$G87</f>
        <v>4.5804632912178088E-2</v>
      </c>
      <c r="AM40" s="1">
        <f>[2]Urban_area_finals!AM87/[2]Urban_area_finals!$G87</f>
        <v>4.823673731459463E-2</v>
      </c>
      <c r="AN40" s="1">
        <f>[2]Urban_area_finals!AN87/[2]Urban_area_finals!$G87</f>
        <v>5.0871517083879207E-2</v>
      </c>
      <c r="AO40" s="1">
        <f>[2]Urban_area_finals!AO87/[2]Urban_area_finals!$G87</f>
        <v>5.1479543184483341E-2</v>
      </c>
      <c r="AP40" s="1">
        <f>[2]Urban_area_finals!AP87/[2]Urban_area_finals!$G87</f>
        <v>6.2221337628489713E-2</v>
      </c>
      <c r="AQ40" s="1">
        <f>[2]Urban_area_finals!AQ87/[2]Urban_area_finals!$G87</f>
        <v>6.6882871066454727E-2</v>
      </c>
      <c r="AR40" s="1">
        <f>[2]Urban_area_finals!AR87/[2]Urban_area_finals!$G87</f>
        <v>7.032835230321148E-2</v>
      </c>
      <c r="AS40" s="1">
        <f>[2]Urban_area_finals!AS87/[2]Urban_area_finals!$G87</f>
        <v>7.0733703036947579E-2</v>
      </c>
      <c r="AT40" s="1">
        <f>[2]Urban_area_finals!AT87/[2]Urban_area_finals!$G87</f>
        <v>7.3368482806232149E-2</v>
      </c>
      <c r="AU40" s="1">
        <f>[2]Urban_area_finals!AU87/[2]Urban_area_finals!$G87</f>
        <v>7.4908815594429301E-2</v>
      </c>
      <c r="AV40" s="1">
        <f>[2]Urban_area_finals!AV87/[2]Urban_area_finals!$G87</f>
        <v>7.7219314776725001E-2</v>
      </c>
      <c r="AW40" s="1">
        <f>[2]Urban_area_finals!AW87/[2]Urban_area_finals!$G87</f>
        <v>8.1070146747217867E-2</v>
      </c>
      <c r="AX40" s="1">
        <f>[2]Urban_area_finals!AX87/[2]Urban_area_finals!$G87</f>
        <v>8.5529004818314838E-2</v>
      </c>
      <c r="AY40" s="1">
        <f>[2]Urban_area_finals!AY87/[2]Urban_area_finals!$G87</f>
        <v>9.1203915090620091E-2</v>
      </c>
    </row>
    <row r="41" spans="1:51" x14ac:dyDescent="0.25">
      <c r="A41" t="s">
        <v>373</v>
      </c>
      <c r="B41" t="s">
        <v>374</v>
      </c>
      <c r="C41" t="s">
        <v>375</v>
      </c>
      <c r="D41" t="s">
        <v>139</v>
      </c>
      <c r="E41" t="s">
        <v>55</v>
      </c>
      <c r="F41" t="s">
        <v>140</v>
      </c>
      <c r="G41">
        <v>669297.40984901658</v>
      </c>
      <c r="H41">
        <v>5423.7365643854846</v>
      </c>
      <c r="I41">
        <f>Table2[[#This Row],[FUA_area]]+Table2[[#This Row],[FUA_urban]]</f>
        <v>674721.14641340205</v>
      </c>
      <c r="K41" s="1">
        <f>[2]Urban_area_finals!K155/[2]Urban_area_finals!$G155</f>
        <v>1.3317249973672956E-3</v>
      </c>
      <c r="L41" s="1">
        <f>[2]Urban_area_finals!L155/[2]Urban_area_finals!$G155</f>
        <v>1.9009721531046888E-3</v>
      </c>
      <c r="M41" s="1">
        <f>[2]Urban_area_finals!M155/[2]Urban_area_finals!$G155</f>
        <v>2.7313418573454732E-3</v>
      </c>
      <c r="N41" s="1">
        <f>[2]Urban_area_finals!N155/[2]Urban_area_finals!$G155</f>
        <v>4.0891791095631078E-3</v>
      </c>
      <c r="O41" s="1">
        <f>[2]Urban_area_finals!O155/[2]Urban_area_finals!$G155</f>
        <v>6.3348330266922732E-3</v>
      </c>
      <c r="P41" s="1">
        <f>[2]Urban_area_finals!P155/[2]Urban_area_finals!$G155</f>
        <v>6.6742923397466822E-3</v>
      </c>
      <c r="Q41" s="1">
        <f>[2]Urban_area_finals!Q155/[2]Urban_area_finals!$G155</f>
        <v>6.6742923397466822E-3</v>
      </c>
      <c r="R41" s="1">
        <f>[2]Urban_area_finals!R155/[2]Urban_area_finals!$G155</f>
        <v>7.405435475556177E-3</v>
      </c>
      <c r="S41" s="1">
        <f>[2]Urban_area_finals!S155/[2]Urban_area_finals!$G155</f>
        <v>9.1601790014989668E-3</v>
      </c>
      <c r="T41" s="1">
        <f>[2]Urban_area_finals!T155/[2]Urban_area_finals!$G155</f>
        <v>1.2455545563611765E-2</v>
      </c>
      <c r="U41" s="1">
        <f>[2]Urban_area_finals!U155/[2]Urban_area_finals!$G155</f>
        <v>1.6408940947953112E-2</v>
      </c>
      <c r="V41" s="1">
        <f>[2]Urban_area_finals!V155/[2]Urban_area_finals!$G155</f>
        <v>1.9766976921706723E-2</v>
      </c>
      <c r="W41" s="1">
        <f>[2]Urban_area_finals!W155/[2]Urban_area_finals!$G155</f>
        <v>2.2451316720321586E-2</v>
      </c>
      <c r="X41" s="1">
        <f>[2]Urban_area_finals!X155/[2]Urban_area_finals!$G155</f>
        <v>2.2524431033902535E-2</v>
      </c>
      <c r="Y41" s="1">
        <f>[2]Urban_area_finals!Y155/[2]Urban_area_finals!$G155</f>
        <v>2.3866600933209966E-2</v>
      </c>
      <c r="Z41" s="1">
        <f>[2]Urban_area_finals!Z155/[2]Urban_area_finals!$G155</f>
        <v>2.4592521618049396E-2</v>
      </c>
      <c r="AA41" s="1">
        <f>[2]Urban_area_finals!AA155/[2]Urban_area_finals!$G155</f>
        <v>2.4817087009762314E-2</v>
      </c>
      <c r="AB41" s="1">
        <f>[2]Urban_area_finals!AB155/[2]Urban_area_finals!$G155</f>
        <v>2.4952870734984076E-2</v>
      </c>
      <c r="AC41" s="1">
        <f>[2]Urban_area_finals!AC155/[2]Urban_area_finals!$G155</f>
        <v>2.5062542205355497E-2</v>
      </c>
      <c r="AD41" s="1">
        <f>[2]Urban_area_finals!AD155/[2]Urban_area_finals!$G155</f>
        <v>2.5360221910649367E-2</v>
      </c>
      <c r="AE41" s="1">
        <f>[2]Urban_area_finals!AE155/[2]Urban_area_finals!$G155</f>
        <v>2.5616122008182689E-2</v>
      </c>
      <c r="AF41" s="1">
        <f>[2]Urban_area_finals!AF155/[2]Urban_area_finals!$G155</f>
        <v>2.5929469066386757E-2</v>
      </c>
      <c r="AG41" s="1">
        <f>[2]Urban_area_finals!AG155/[2]Urban_area_finals!$G155</f>
        <v>2.6211481418770419E-2</v>
      </c>
      <c r="AH41" s="1">
        <f>[2]Urban_area_finals!AH155/[2]Urban_area_finals!$G155</f>
        <v>2.6389044751752723E-2</v>
      </c>
      <c r="AI41" s="1">
        <f>[2]Urban_area_finals!AI155/[2]Urban_area_finals!$G155</f>
        <v>2.6540495829884693E-2</v>
      </c>
      <c r="AJ41" s="1">
        <f>[2]Urban_area_finals!AJ155/[2]Urban_area_finals!$G155</f>
        <v>2.7041851123011204E-2</v>
      </c>
      <c r="AK41" s="1">
        <f>[2]Urban_area_finals!AK155/[2]Urban_area_finals!$G155</f>
        <v>2.7417867592856089E-2</v>
      </c>
      <c r="AL41" s="1">
        <f>[2]Urban_area_finals!AL155/[2]Urban_area_finals!$G155</f>
        <v>2.8086341317024772E-2</v>
      </c>
      <c r="AM41" s="1">
        <f>[2]Urban_area_finals!AM155/[2]Urban_area_finals!$G155</f>
        <v>2.8796594648953993E-2</v>
      </c>
      <c r="AN41" s="1">
        <f>[2]Urban_area_finals!AN155/[2]Urban_area_finals!$G155</f>
        <v>2.9564294941553968E-2</v>
      </c>
      <c r="AO41" s="1">
        <f>[2]Urban_area_finals!AO155/[2]Urban_area_finals!$G155</f>
        <v>3.0467778959375698E-2</v>
      </c>
      <c r="AP41" s="1">
        <f>[2]Urban_area_finals!AP155/[2]Urban_area_finals!$G155</f>
        <v>3.1971844838755231E-2</v>
      </c>
      <c r="AQ41" s="1">
        <f>[2]Urban_area_finals!AQ155/[2]Urban_area_finals!$G155</f>
        <v>3.6437040418163223E-2</v>
      </c>
      <c r="AR41" s="1">
        <f>[2]Urban_area_finals!AR155/[2]Urban_area_finals!$G155</f>
        <v>4.1419258643607931E-2</v>
      </c>
      <c r="AS41" s="1">
        <f>[2]Urban_area_finals!AS155/[2]Urban_area_finals!$G155</f>
        <v>4.3262783836041874E-2</v>
      </c>
      <c r="AT41" s="1">
        <f>[2]Urban_area_finals!AT155/[2]Urban_area_finals!$G155</f>
        <v>4.5283872361458116E-2</v>
      </c>
      <c r="AU41" s="1">
        <f>[2]Urban_area_finals!AU155/[2]Urban_area_finals!$G155</f>
        <v>4.8110262826458833E-2</v>
      </c>
      <c r="AV41" s="1">
        <f>[2]Urban_area_finals!AV155/[2]Urban_area_finals!$G155</f>
        <v>5.2349848523959887E-2</v>
      </c>
      <c r="AW41" s="1">
        <f>[2]Urban_area_finals!AW155/[2]Urban_area_finals!$G155</f>
        <v>6.2935756640287374E-2</v>
      </c>
      <c r="AX41" s="1">
        <f>[2]Urban_area_finals!AX155/[2]Urban_area_finals!$G155</f>
        <v>7.5976216712546729E-2</v>
      </c>
      <c r="AY41" s="1">
        <f>[2]Urban_area_finals!AY155/[2]Urban_area_finals!$G155</f>
        <v>9.0066389429789742E-2</v>
      </c>
    </row>
    <row r="42" spans="1:51" x14ac:dyDescent="0.25">
      <c r="A42" t="s">
        <v>168</v>
      </c>
      <c r="B42" t="s">
        <v>169</v>
      </c>
      <c r="C42" t="s">
        <v>170</v>
      </c>
      <c r="D42" t="s">
        <v>105</v>
      </c>
      <c r="E42" t="s">
        <v>61</v>
      </c>
      <c r="F42" t="s">
        <v>61</v>
      </c>
      <c r="G42">
        <v>2328869.300489808</v>
      </c>
      <c r="H42">
        <v>4142.8262275939414</v>
      </c>
      <c r="I42">
        <f>Table2[[#This Row],[FUA_area]]+Table2[[#This Row],[FUA_urban]]</f>
        <v>2333012.1267174021</v>
      </c>
      <c r="K42" s="1">
        <f>[2]Urban_area_finals!K148/[2]Urban_area_finals!$G148</f>
        <v>2.4538081764371539E-4</v>
      </c>
      <c r="L42" s="1">
        <f>[2]Urban_area_finals!L148/[2]Urban_area_finals!$G148</f>
        <v>2.6173953881996308E-4</v>
      </c>
      <c r="M42" s="1">
        <f>[2]Urban_area_finals!M148/[2]Urban_area_finals!$G148</f>
        <v>2.9445698117245845E-4</v>
      </c>
      <c r="N42" s="1">
        <f>[2]Urban_area_finals!N148/[2]Urban_area_finals!$G148</f>
        <v>3.4353314470120157E-4</v>
      </c>
      <c r="O42" s="1">
        <f>[2]Urban_area_finals!O148/[2]Urban_area_finals!$G148</f>
        <v>4.2532675058244002E-4</v>
      </c>
      <c r="P42" s="1">
        <f>[2]Urban_area_finals!P148/[2]Urban_area_finals!$G148</f>
        <v>4.4168547175868776E-4</v>
      </c>
      <c r="Q42" s="1">
        <f>[2]Urban_area_finals!Q148/[2]Urban_area_finals!$G148</f>
        <v>4.580441929349354E-4</v>
      </c>
      <c r="R42" s="1">
        <f>[2]Urban_area_finals!R148/[2]Urban_area_finals!$G148</f>
        <v>4.9076163528743077E-4</v>
      </c>
      <c r="S42" s="1">
        <f>[2]Urban_area_finals!S148/[2]Urban_area_finals!$G148</f>
        <v>5.2347907763992615E-4</v>
      </c>
      <c r="T42" s="1">
        <f>[2]Urban_area_finals!T148/[2]Urban_area_finals!$G148</f>
        <v>7.6885989528364159E-4</v>
      </c>
      <c r="U42" s="1">
        <f>[2]Urban_area_finals!U148/[2]Urban_area_finals!$G148</f>
        <v>1.1941866458660816E-3</v>
      </c>
      <c r="V42" s="1">
        <f>[2]Urban_area_finals!V148/[2]Urban_area_finals!$G148</f>
        <v>1.48864362703854E-3</v>
      </c>
      <c r="W42" s="1">
        <f>[2]Urban_area_finals!W148/[2]Urban_area_finals!$G148</f>
        <v>1.8648942140922372E-3</v>
      </c>
      <c r="X42" s="1">
        <f>[2]Urban_area_finals!X148/[2]Urban_area_finals!$G148</f>
        <v>1.8648942140922372E-3</v>
      </c>
      <c r="Y42" s="1">
        <f>[2]Urban_area_finals!Y148/[2]Urban_area_finals!$G148</f>
        <v>1.9630465411497231E-3</v>
      </c>
      <c r="Z42" s="1">
        <f>[2]Urban_area_finals!Z148/[2]Urban_area_finals!$G148</f>
        <v>2.0448401470309617E-3</v>
      </c>
      <c r="AA42" s="1">
        <f>[2]Urban_area_finals!AA148/[2]Urban_area_finals!$G148</f>
        <v>2.0939163105597046E-3</v>
      </c>
      <c r="AB42" s="1">
        <f>[2]Urban_area_finals!AB148/[2]Urban_area_finals!$G148</f>
        <v>2.2084273587934383E-3</v>
      </c>
      <c r="AC42" s="1">
        <f>[2]Urban_area_finals!AC148/[2]Urban_area_finals!$G148</f>
        <v>2.2084273587934383E-3</v>
      </c>
      <c r="AD42" s="1">
        <f>[2]Urban_area_finals!AD148/[2]Urban_area_finals!$G148</f>
        <v>2.2084273587934383E-3</v>
      </c>
      <c r="AE42" s="1">
        <f>[2]Urban_area_finals!AE148/[2]Urban_area_finals!$G148</f>
        <v>2.2084273587934383E-3</v>
      </c>
      <c r="AF42" s="1">
        <f>[2]Urban_area_finals!AF148/[2]Urban_area_finals!$G148</f>
        <v>2.2084273587934383E-3</v>
      </c>
      <c r="AG42" s="1">
        <f>[2]Urban_area_finals!AG148/[2]Urban_area_finals!$G148</f>
        <v>2.2084273587934383E-3</v>
      </c>
      <c r="AH42" s="1">
        <f>[2]Urban_area_finals!AH148/[2]Urban_area_finals!$G148</f>
        <v>2.2411448011459339E-3</v>
      </c>
      <c r="AI42" s="1">
        <f>[2]Urban_area_finals!AI148/[2]Urban_area_finals!$G148</f>
        <v>2.3229384070271725E-3</v>
      </c>
      <c r="AJ42" s="1">
        <f>[2]Urban_area_finals!AJ148/[2]Urban_area_finals!$G148</f>
        <v>2.3720145705559159E-3</v>
      </c>
      <c r="AK42" s="1">
        <f>[2]Urban_area_finals!AK148/[2]Urban_area_finals!$G148</f>
        <v>2.4374494552609066E-3</v>
      </c>
      <c r="AL42" s="1">
        <f>[2]Urban_area_finals!AL148/[2]Urban_area_finals!$G148</f>
        <v>2.4865256187896496E-3</v>
      </c>
      <c r="AM42" s="1">
        <f>[2]Urban_area_finals!AM148/[2]Urban_area_finals!$G148</f>
        <v>2.5519605034946403E-3</v>
      </c>
      <c r="AN42" s="1">
        <f>[2]Urban_area_finals!AN148/[2]Urban_area_finals!$G148</f>
        <v>2.6501128305521262E-3</v>
      </c>
      <c r="AO42" s="1">
        <f>[2]Urban_area_finals!AO148/[2]Urban_area_finals!$G148</f>
        <v>2.666471551728374E-3</v>
      </c>
      <c r="AP42" s="1">
        <f>[2]Urban_area_finals!AP148/[2]Urban_area_finals!$G148</f>
        <v>2.7482651576096126E-3</v>
      </c>
      <c r="AQ42" s="1">
        <f>[2]Urban_area_finals!AQ148/[2]Urban_area_finals!$G148</f>
        <v>2.9609285329008327E-3</v>
      </c>
      <c r="AR42" s="1">
        <f>[2]Urban_area_finals!AR148/[2]Urban_area_finals!$G148</f>
        <v>3.2881029564257864E-3</v>
      </c>
      <c r="AS42" s="1">
        <f>[2]Urban_area_finals!AS148/[2]Urban_area_finals!$G148</f>
        <v>3.7788645917132173E-3</v>
      </c>
      <c r="AT42" s="1">
        <f>[2]Urban_area_finals!AT148/[2]Urban_area_finals!$G148</f>
        <v>4.3023436693531434E-3</v>
      </c>
      <c r="AU42" s="1">
        <f>[2]Urban_area_finals!AU148/[2]Urban_area_finals!$G148</f>
        <v>7.0898697577857503E-3</v>
      </c>
      <c r="AV42" s="1">
        <f>[2]Urban_area_finals!AV148/[2]Urban_area_finals!$G148</f>
        <v>1.127115889043466E-2</v>
      </c>
      <c r="AW42" s="1">
        <f>[2]Urban_area_finals!AW148/[2]Urban_area_finals!$G148</f>
        <v>4.9632360048735502E-2</v>
      </c>
      <c r="AX42" s="1">
        <f>[2]Urban_area_finals!AX148/[2]Urban_area_finals!$G148</f>
        <v>7.9650613407150017E-2</v>
      </c>
      <c r="AY42" s="1">
        <f>[2]Urban_area_finals!AY148/[2]Urban_area_finals!$G148</f>
        <v>8.6537635022350304E-2</v>
      </c>
    </row>
    <row r="43" spans="1:51" x14ac:dyDescent="0.25">
      <c r="A43" t="s">
        <v>520</v>
      </c>
      <c r="B43" t="s">
        <v>521</v>
      </c>
      <c r="C43" t="s">
        <v>522</v>
      </c>
      <c r="D43" t="s">
        <v>308</v>
      </c>
      <c r="E43" t="s">
        <v>71</v>
      </c>
      <c r="F43" t="s">
        <v>82</v>
      </c>
      <c r="G43">
        <v>142113.4504968246</v>
      </c>
      <c r="H43">
        <v>1007.565854852019</v>
      </c>
      <c r="I43">
        <f>Table2[[#This Row],[FUA_area]]+Table2[[#This Row],[FUA_urban]]</f>
        <v>143121.01635167663</v>
      </c>
      <c r="J43">
        <v>9442814.0000000093</v>
      </c>
      <c r="K43" s="1">
        <f>[2]Urban_area_finals!K9/[2]Urban_area_finals!$G9</f>
        <v>7.5204493505085053E-3</v>
      </c>
      <c r="L43" s="1">
        <f>[2]Urban_area_finals!L9/[2]Urban_area_finals!$G9</f>
        <v>1.0736089762450073E-2</v>
      </c>
      <c r="M43" s="1">
        <f>[2]Urban_area_finals!M9/[2]Urban_area_finals!$G9</f>
        <v>1.2577303224126295E-2</v>
      </c>
      <c r="N43" s="1">
        <f>[2]Urban_area_finals!N9/[2]Urban_area_finals!$G9</f>
        <v>1.4262921181998888E-2</v>
      </c>
      <c r="O43" s="1">
        <f>[2]Urban_area_finals!O9/[2]Urban_area_finals!$G9</f>
        <v>1.5896673971936944E-2</v>
      </c>
      <c r="P43" s="1">
        <f>[2]Urban_area_finals!P9/[2]Urban_area_finals!$G9</f>
        <v>1.5896673971936944E-2</v>
      </c>
      <c r="Q43" s="1">
        <f>[2]Urban_area_finals!Q9/[2]Urban_area_finals!$G9</f>
        <v>1.6674651490955067E-2</v>
      </c>
      <c r="R43" s="1">
        <f>[2]Urban_area_finals!R9/[2]Urban_area_finals!$G9</f>
        <v>1.7297033506169564E-2</v>
      </c>
      <c r="S43" s="1">
        <f>[2]Urban_area_finals!S9/[2]Urban_area_finals!$G9</f>
        <v>1.8386202032794934E-2</v>
      </c>
      <c r="T43" s="1">
        <f>[2]Urban_area_finals!T9/[2]Urban_area_finals!$G9</f>
        <v>1.9086381799911241E-2</v>
      </c>
      <c r="U43" s="1">
        <f>[2]Urban_area_finals!U9/[2]Urban_area_finals!$G9</f>
        <v>2.0590471670012944E-2</v>
      </c>
      <c r="V43" s="1">
        <f>[2]Urban_area_finals!V9/[2]Urban_area_finals!$G9</f>
        <v>2.1394381772998333E-2</v>
      </c>
      <c r="W43" s="1">
        <f>[2]Urban_area_finals!W9/[2]Urban_area_finals!$G9</f>
        <v>2.2302022211852807E-2</v>
      </c>
      <c r="X43" s="1">
        <f>[2]Urban_area_finals!X9/[2]Urban_area_finals!$G9</f>
        <v>2.2613213219460058E-2</v>
      </c>
      <c r="Y43" s="1">
        <f>[2]Urban_area_finals!Y9/[2]Urban_area_finals!$G9</f>
        <v>2.6114112055041605E-2</v>
      </c>
      <c r="Z43" s="1">
        <f>[2]Urban_area_finals!Z9/[2]Urban_area_finals!$G9</f>
        <v>2.9770606394426771E-2</v>
      </c>
      <c r="AA43" s="1">
        <f>[2]Urban_area_finals!AA9/[2]Urban_area_finals!$G9</f>
        <v>3.1689617608004803E-2</v>
      </c>
      <c r="AB43" s="1">
        <f>[2]Urban_area_finals!AB9/[2]Urban_area_finals!$G9</f>
        <v>3.2726920966695633E-2</v>
      </c>
      <c r="AC43" s="1">
        <f>[2]Urban_area_finals!AC9/[2]Urban_area_finals!$G9</f>
        <v>3.3453033317779213E-2</v>
      </c>
      <c r="AD43" s="1">
        <f>[2]Urban_area_finals!AD9/[2]Urban_area_finals!$G9</f>
        <v>3.4957123187880912E-2</v>
      </c>
      <c r="AE43" s="1">
        <f>[2]Urban_area_finals!AE9/[2]Urban_area_finals!$G9</f>
        <v>3.5890696210702663E-2</v>
      </c>
      <c r="AF43" s="1">
        <f>[2]Urban_area_finals!AF9/[2]Urban_area_finals!$G9</f>
        <v>3.6279684970211723E-2</v>
      </c>
      <c r="AG43" s="1">
        <f>[2]Urban_area_finals!AG9/[2]Urban_area_finals!$G9</f>
        <v>3.6668673729720783E-2</v>
      </c>
      <c r="AH43" s="1">
        <f>[2]Urban_area_finals!AH9/[2]Urban_area_finals!$G9</f>
        <v>3.7187325409066198E-2</v>
      </c>
      <c r="AI43" s="1">
        <f>[2]Urban_area_finals!AI9/[2]Urban_area_finals!$G9</f>
        <v>3.7576314168575251E-2</v>
      </c>
      <c r="AJ43" s="1">
        <f>[2]Urban_area_finals!AJ9/[2]Urban_area_finals!$G9</f>
        <v>3.8432089439495193E-2</v>
      </c>
      <c r="AK43" s="1">
        <f>[2]Urban_area_finals!AK9/[2]Urban_area_finals!$G9</f>
        <v>3.8847010782971515E-2</v>
      </c>
      <c r="AL43" s="1">
        <f>[2]Urban_area_finals!AL9/[2]Urban_area_finals!$G9</f>
        <v>3.9884314141662346E-2</v>
      </c>
      <c r="AM43" s="1">
        <f>[2]Urban_area_finals!AM9/[2]Urban_area_finals!$G9</f>
        <v>4.1414336595731321E-2</v>
      </c>
      <c r="AN43" s="1">
        <f>[2]Urban_area_finals!AN9/[2]Urban_area_finals!$G9</f>
        <v>4.2788763545996665E-2</v>
      </c>
      <c r="AO43" s="1">
        <f>[2]Urban_area_finals!AO9/[2]Urban_area_finals!$G9</f>
        <v>4.5900673622069149E-2</v>
      </c>
      <c r="AP43" s="1">
        <f>[2]Urban_area_finals!AP9/[2]Urban_area_finals!$G9</f>
        <v>5.0957527495686938E-2</v>
      </c>
      <c r="AQ43" s="1">
        <f>[2]Urban_area_finals!AQ9/[2]Urban_area_finals!$G9</f>
        <v>5.7570336407340973E-2</v>
      </c>
      <c r="AR43" s="1">
        <f>[2]Urban_area_finals!AR9/[2]Urban_area_finals!$G9</f>
        <v>6.5376044181489457E-2</v>
      </c>
      <c r="AS43" s="1">
        <f>[2]Urban_area_finals!AS9/[2]Urban_area_finals!$G9</f>
        <v>7.0251369967336344E-2</v>
      </c>
      <c r="AT43" s="1">
        <f>[2]Urban_area_finals!AT9/[2]Urban_area_finals!$G9</f>
        <v>7.2014785677110768E-2</v>
      </c>
      <c r="AU43" s="1">
        <f>[2]Urban_area_finals!AU9/[2]Urban_area_finals!$G9</f>
        <v>7.3176565438844487E-2</v>
      </c>
      <c r="AV43" s="1">
        <f>[2]Urban_area_finals!AV9/[2]Urban_area_finals!$G9</f>
        <v>7.4919235081445074E-2</v>
      </c>
      <c r="AW43" s="1">
        <f>[2]Urban_area_finals!AW9/[2]Urban_area_finals!$G9</f>
        <v>7.7797751901812123E-2</v>
      </c>
      <c r="AX43" s="1">
        <f>[2]Urban_area_finals!AX9/[2]Urban_area_finals!$G9</f>
        <v>8.1220852985491851E-2</v>
      </c>
      <c r="AY43" s="1">
        <f>[2]Urban_area_finals!AY9/[2]Urban_area_finals!$G9</f>
        <v>8.5162605748517001E-2</v>
      </c>
    </row>
    <row r="44" spans="1:51" x14ac:dyDescent="0.25">
      <c r="A44" t="s">
        <v>220</v>
      </c>
      <c r="B44" t="s">
        <v>221</v>
      </c>
      <c r="C44" t="s">
        <v>222</v>
      </c>
      <c r="D44" t="s">
        <v>98</v>
      </c>
      <c r="E44" t="s">
        <v>61</v>
      </c>
      <c r="F44" t="s">
        <v>61</v>
      </c>
      <c r="G44">
        <v>1129022.523669105</v>
      </c>
      <c r="H44">
        <v>3232.3671985686942</v>
      </c>
      <c r="I44">
        <f>Table2[[#This Row],[FUA_area]]+Table2[[#This Row],[FUA_urban]]</f>
        <v>1132254.8908676738</v>
      </c>
      <c r="J44">
        <v>115638354</v>
      </c>
      <c r="K44" s="1">
        <f>[2]Urban_area_finals!K42/[2]Urban_area_finals!$G42</f>
        <v>1.4337975079397234E-3</v>
      </c>
      <c r="L44" s="1">
        <f>[2]Urban_area_finals!L42/[2]Urban_area_finals!$G42</f>
        <v>1.7646738559258131E-3</v>
      </c>
      <c r="M44" s="1">
        <f>[2]Urban_area_finals!M42/[2]Urban_area_finals!$G42</f>
        <v>2.2058423199072669E-3</v>
      </c>
      <c r="N44" s="1">
        <f>[2]Urban_area_finals!N42/[2]Urban_area_finals!$G42</f>
        <v>2.8675950158794468E-3</v>
      </c>
      <c r="O44" s="1">
        <f>[2]Urban_area_finals!O42/[2]Urban_area_finals!$G42</f>
        <v>3.749931943842353E-3</v>
      </c>
      <c r="P44" s="1">
        <f>[2]Urban_area_finals!P42/[2]Urban_area_finals!$G42</f>
        <v>4.8528531037959873E-3</v>
      </c>
      <c r="Q44" s="1">
        <f>[2]Urban_area_finals!Q42/[2]Urban_area_finals!$G42</f>
        <v>6.2866506117357102E-3</v>
      </c>
      <c r="R44" s="1">
        <f>[2]Urban_area_finals!R42/[2]Urban_area_finals!$G42</f>
        <v>7.61015600368007E-3</v>
      </c>
      <c r="S44" s="1">
        <f>[2]Urban_area_finals!S42/[2]Urban_area_finals!$G42</f>
        <v>1.0367458903564154E-2</v>
      </c>
      <c r="T44" s="1">
        <f>[2]Urban_area_finals!T42/[2]Urban_area_finals!$G42</f>
        <v>1.4668851427383322E-2</v>
      </c>
      <c r="U44" s="1">
        <f>[2]Urban_area_finals!U42/[2]Urban_area_finals!$G42</f>
        <v>2.1065794155114399E-2</v>
      </c>
      <c r="V44" s="1">
        <f>[2]Urban_area_finals!V42/[2]Urban_area_finals!$G42</f>
        <v>2.6249523606896474E-2</v>
      </c>
      <c r="W44" s="1">
        <f>[2]Urban_area_finals!W42/[2]Urban_area_finals!$G42</f>
        <v>2.6800984186873291E-2</v>
      </c>
      <c r="X44" s="1">
        <f>[2]Urban_area_finals!X42/[2]Urban_area_finals!$G42</f>
        <v>2.76833211148362E-2</v>
      </c>
      <c r="Y44" s="1">
        <f>[2]Urban_area_finals!Y42/[2]Urban_area_finals!$G42</f>
        <v>2.9117118622775922E-2</v>
      </c>
      <c r="Z44" s="1">
        <f>[2]Urban_area_finals!Z42/[2]Urban_area_finals!$G42</f>
        <v>3.1764129406664642E-2</v>
      </c>
      <c r="AA44" s="1">
        <f>[2]Urban_area_finals!AA42/[2]Urban_area_finals!$G42</f>
        <v>3.3308219030599724E-2</v>
      </c>
      <c r="AB44" s="1">
        <f>[2]Urban_area_finals!AB42/[2]Urban_area_finals!$G42</f>
        <v>3.3969971726571901E-2</v>
      </c>
      <c r="AC44" s="1">
        <f>[2]Urban_area_finals!AC42/[2]Urban_area_finals!$G42</f>
        <v>3.5844937698493083E-2</v>
      </c>
      <c r="AD44" s="1">
        <f>[2]Urban_area_finals!AD42/[2]Urban_area_finals!$G42</f>
        <v>3.7719903670414258E-2</v>
      </c>
      <c r="AE44" s="1">
        <f>[2]Urban_area_finals!AE42/[2]Urban_area_finals!$G42</f>
        <v>4.290363312219634E-2</v>
      </c>
      <c r="AF44" s="1">
        <f>[2]Urban_area_finals!AF42/[2]Urban_area_finals!$G42</f>
        <v>4.3124217354187061E-2</v>
      </c>
      <c r="AG44" s="1">
        <f>[2]Urban_area_finals!AG42/[2]Urban_area_finals!$G42</f>
        <v>4.3124217354187061E-2</v>
      </c>
      <c r="AH44" s="1">
        <f>[2]Urban_area_finals!AH42/[2]Urban_area_finals!$G42</f>
        <v>4.3565385818168517E-2</v>
      </c>
      <c r="AI44" s="1">
        <f>[2]Urban_area_finals!AI42/[2]Urban_area_finals!$G42</f>
        <v>4.3785970050159238E-2</v>
      </c>
      <c r="AJ44" s="1">
        <f>[2]Urban_area_finals!AJ42/[2]Urban_area_finals!$G42</f>
        <v>4.3785970050159238E-2</v>
      </c>
      <c r="AK44" s="1">
        <f>[2]Urban_area_finals!AK42/[2]Urban_area_finals!$G42</f>
        <v>4.4116846398145337E-2</v>
      </c>
      <c r="AL44" s="1">
        <f>[2]Urban_area_finals!AL42/[2]Urban_area_finals!$G42</f>
        <v>4.4558014862126794E-2</v>
      </c>
      <c r="AM44" s="1">
        <f>[2]Urban_area_finals!AM42/[2]Urban_area_finals!$G42</f>
        <v>4.4888891210112879E-2</v>
      </c>
      <c r="AN44" s="1">
        <f>[2]Urban_area_finals!AN42/[2]Urban_area_finals!$G42</f>
        <v>4.5219767558098971E-2</v>
      </c>
      <c r="AO44" s="1">
        <f>[2]Urban_area_finals!AO42/[2]Urban_area_finals!$G42</f>
        <v>4.6763857182034053E-2</v>
      </c>
      <c r="AP44" s="1">
        <f>[2]Urban_area_finals!AP42/[2]Urban_area_finals!$G42</f>
        <v>4.84182389219645E-2</v>
      </c>
      <c r="AQ44" s="1">
        <f>[2]Urban_area_finals!AQ42/[2]Urban_area_finals!$G42</f>
        <v>5.1837294517820771E-2</v>
      </c>
      <c r="AR44" s="1">
        <f>[2]Urban_area_finals!AR42/[2]Urban_area_finals!$G42</f>
        <v>5.5918102809649213E-2</v>
      </c>
      <c r="AS44" s="1">
        <f>[2]Urban_area_finals!AS42/[2]Urban_area_finals!$G42</f>
        <v>5.7131316085598211E-2</v>
      </c>
      <c r="AT44" s="1">
        <f>[2]Urban_area_finals!AT42/[2]Urban_area_finals!$G42</f>
        <v>5.9998911101477648E-2</v>
      </c>
      <c r="AU44" s="1">
        <f>[2]Urban_area_finals!AU42/[2]Urban_area_finals!$G42</f>
        <v>6.2028286035792336E-2</v>
      </c>
      <c r="AV44" s="1">
        <f>[2]Urban_area_finals!AV42/[2]Urban_area_finals!$G42</f>
        <v>6.5072348437264366E-2</v>
      </c>
      <c r="AW44" s="1">
        <f>[2]Urban_area_finals!AW42/[2]Urban_area_finals!$G42</f>
        <v>6.9594325193074263E-2</v>
      </c>
      <c r="AX44" s="1">
        <f>[2]Urban_area_finals!AX42/[2]Urban_area_finals!$G42</f>
        <v>7.4667762528860981E-2</v>
      </c>
      <c r="AY44" s="1">
        <f>[2]Urban_area_finals!AY42/[2]Urban_area_finals!$G42</f>
        <v>8.0182368328629142E-2</v>
      </c>
    </row>
    <row r="45" spans="1:51" x14ac:dyDescent="0.25">
      <c r="A45" t="s">
        <v>141</v>
      </c>
      <c r="B45" t="s">
        <v>142</v>
      </c>
      <c r="C45" t="s">
        <v>143</v>
      </c>
      <c r="D45" t="s">
        <v>60</v>
      </c>
      <c r="E45" t="s">
        <v>61</v>
      </c>
      <c r="F45" t="s">
        <v>61</v>
      </c>
      <c r="G45">
        <v>577870.82410037157</v>
      </c>
      <c r="H45">
        <v>548.48245515062229</v>
      </c>
      <c r="I45">
        <f>Table2[[#This Row],[FUA_area]]+Table2[[#This Row],[FUA_urban]]</f>
        <v>578419.30655552214</v>
      </c>
      <c r="J45">
        <v>2523551</v>
      </c>
      <c r="K45" s="1">
        <f>[2]Urban_area_finals!K68/[2]Urban_area_finals!$G68</f>
        <v>2.930473220049907E-3</v>
      </c>
      <c r="L45" s="1">
        <f>[2]Urban_area_finals!L68/[2]Urban_area_finals!$G68</f>
        <v>3.0107601575855205E-3</v>
      </c>
      <c r="M45" s="1">
        <f>[2]Urban_area_finals!M68/[2]Urban_area_finals!$G68</f>
        <v>3.0107601575855205E-3</v>
      </c>
      <c r="N45" s="1">
        <f>[2]Urban_area_finals!N68/[2]Urban_area_finals!$G68</f>
        <v>3.0107601575855205E-3</v>
      </c>
      <c r="O45" s="1">
        <f>[2]Urban_area_finals!O68/[2]Urban_area_finals!$G68</f>
        <v>3.331907907727976E-3</v>
      </c>
      <c r="P45" s="1">
        <f>[2]Urban_area_finals!P68/[2]Urban_area_finals!$G68</f>
        <v>3.5727687203348179E-3</v>
      </c>
      <c r="Q45" s="1">
        <f>[2]Urban_area_finals!Q68/[2]Urban_area_finals!$G68</f>
        <v>3.5727687203348179E-3</v>
      </c>
      <c r="R45" s="1">
        <f>[2]Urban_area_finals!R68/[2]Urban_area_finals!$G68</f>
        <v>3.8939164704772738E-3</v>
      </c>
      <c r="S45" s="1">
        <f>[2]Urban_area_finals!S68/[2]Urban_area_finals!$G68</f>
        <v>2.0553456009117153E-2</v>
      </c>
      <c r="T45" s="1">
        <f>[2]Urban_area_finals!T68/[2]Urban_area_finals!$G68</f>
        <v>2.4246655135755392E-2</v>
      </c>
      <c r="U45" s="1">
        <f>[2]Urban_area_finals!U68/[2]Urban_area_finals!$G68</f>
        <v>2.9425162606802491E-2</v>
      </c>
      <c r="V45" s="1">
        <f>[2]Urban_area_finals!V68/[2]Urban_area_finals!$G68</f>
        <v>2.9425162606802491E-2</v>
      </c>
      <c r="W45" s="1">
        <f>[2]Urban_area_finals!W68/[2]Urban_area_finals!$G68</f>
        <v>2.9425162606802491E-2</v>
      </c>
      <c r="X45" s="1">
        <f>[2]Urban_area_finals!X68/[2]Urban_area_finals!$G68</f>
        <v>2.9585736481873716E-2</v>
      </c>
      <c r="Y45" s="1">
        <f>[2]Urban_area_finals!Y68/[2]Urban_area_finals!$G68</f>
        <v>3.1472479513960636E-2</v>
      </c>
      <c r="Z45" s="1">
        <f>[2]Urban_area_finals!Z68/[2]Urban_area_finals!$G68</f>
        <v>3.343950948358318E-2</v>
      </c>
      <c r="AA45" s="1">
        <f>[2]Urban_area_finals!AA68/[2]Urban_area_finals!$G68</f>
        <v>3.5968548015955018E-2</v>
      </c>
      <c r="AB45" s="1">
        <f>[2]Urban_area_finals!AB68/[2]Urban_area_finals!$G68</f>
        <v>3.7373569422828268E-2</v>
      </c>
      <c r="AC45" s="1">
        <f>[2]Urban_area_finals!AC68/[2]Urban_area_finals!$G68</f>
        <v>3.8738447360933695E-2</v>
      </c>
      <c r="AD45" s="1">
        <f>[2]Urban_area_finals!AD68/[2]Urban_area_finals!$G68</f>
        <v>4.0344186111645981E-2</v>
      </c>
      <c r="AE45" s="1">
        <f>[2]Urban_area_finals!AE68/[2]Urban_area_finals!$G68</f>
        <v>4.0825907736859658E-2</v>
      </c>
      <c r="AF45" s="1">
        <f>[2]Urban_area_finals!AF68/[2]Urban_area_finals!$G68</f>
        <v>4.1668920580983607E-2</v>
      </c>
      <c r="AG45" s="1">
        <f>[2]Urban_area_finals!AG68/[2]Urban_area_finals!$G68</f>
        <v>4.2712650768946585E-2</v>
      </c>
      <c r="AH45" s="1">
        <f>[2]Urban_area_finals!AH68/[2]Urban_area_finals!$G68</f>
        <v>4.3716237488141761E-2</v>
      </c>
      <c r="AI45" s="1">
        <f>[2]Urban_area_finals!AI68/[2]Urban_area_finals!$G68</f>
        <v>4.4157815644587636E-2</v>
      </c>
      <c r="AJ45" s="1">
        <f>[2]Urban_area_finals!AJ68/[2]Urban_area_finals!$G68</f>
        <v>4.544240664515746E-2</v>
      </c>
      <c r="AK45" s="1">
        <f>[2]Urban_area_finals!AK68/[2]Urban_area_finals!$G68</f>
        <v>4.6044558676674556E-2</v>
      </c>
      <c r="AL45" s="1">
        <f>[2]Urban_area_finals!AL68/[2]Urban_area_finals!$G68</f>
        <v>4.6566423770656049E-2</v>
      </c>
      <c r="AM45" s="1">
        <f>[2]Urban_area_finals!AM68/[2]Urban_area_finals!$G68</f>
        <v>4.7570010489851225E-2</v>
      </c>
      <c r="AN45" s="1">
        <f>[2]Urban_area_finals!AN68/[2]Urban_area_finals!$G68</f>
        <v>4.8332736396439556E-2</v>
      </c>
      <c r="AO45" s="1">
        <f>[2]Urban_area_finals!AO68/[2]Urban_area_finals!$G68</f>
        <v>4.9657470865777181E-2</v>
      </c>
      <c r="AP45" s="1">
        <f>[2]Urban_area_finals!AP68/[2]Urban_area_finals!$G68</f>
        <v>5.0139192490990872E-2</v>
      </c>
      <c r="AQ45" s="1">
        <f>[2]Urban_area_finals!AQ68/[2]Urban_area_finals!$G68</f>
        <v>5.1664644304167534E-2</v>
      </c>
      <c r="AR45" s="1">
        <f>[2]Urban_area_finals!AR68/[2]Urban_area_finals!$G68</f>
        <v>5.3952822023932527E-2</v>
      </c>
      <c r="AS45" s="1">
        <f>[2]Urban_area_finals!AS68/[2]Urban_area_finals!$G68</f>
        <v>5.5076839149431123E-2</v>
      </c>
      <c r="AT45" s="1">
        <f>[2]Urban_area_finals!AT68/[2]Urban_area_finals!$G68</f>
        <v>5.7967168900713226E-2</v>
      </c>
      <c r="AU45" s="1">
        <f>[2]Urban_area_finals!AU68/[2]Urban_area_finals!$G68</f>
        <v>5.9781653689018097E-2</v>
      </c>
      <c r="AV45" s="1">
        <f>[2]Urban_area_finals!AV68/[2]Urban_area_finals!$G68</f>
        <v>6.2503380871475417E-2</v>
      </c>
      <c r="AW45" s="1">
        <f>[2]Urban_area_finals!AW68/[2]Urban_area_finals!$G68</f>
        <v>6.7481170998683462E-2</v>
      </c>
      <c r="AX45" s="1">
        <f>[2]Urban_area_finals!AX68/[2]Urban_area_finals!$G68</f>
        <v>7.201738296944564E-2</v>
      </c>
      <c r="AY45" s="1">
        <f>[2]Urban_area_finals!AY68/[2]Urban_area_finals!$G68</f>
        <v>7.6553594940207831E-2</v>
      </c>
    </row>
    <row r="46" spans="1:51" x14ac:dyDescent="0.25">
      <c r="A46" t="s">
        <v>541</v>
      </c>
      <c r="B46" t="s">
        <v>542</v>
      </c>
      <c r="C46" t="s">
        <v>543</v>
      </c>
      <c r="D46" t="s">
        <v>129</v>
      </c>
      <c r="E46" t="s">
        <v>71</v>
      </c>
      <c r="F46" t="s">
        <v>82</v>
      </c>
      <c r="G46">
        <v>601362.64603230427</v>
      </c>
      <c r="H46">
        <v>28931.714954628889</v>
      </c>
      <c r="I46">
        <f>Table2[[#This Row],[FUA_area]]+Table2[[#This Row],[FUA_urban]]</f>
        <v>630294.36098693311</v>
      </c>
      <c r="J46">
        <v>44090698</v>
      </c>
      <c r="K46" s="1">
        <f>[2]Urban_area_finals!K70/[2]Urban_area_finals!$G70</f>
        <v>1.532291674013876E-4</v>
      </c>
      <c r="L46" s="1">
        <f>[2]Urban_area_finals!L70/[2]Urban_area_finals!$G70</f>
        <v>1.7110590359821614E-4</v>
      </c>
      <c r="M46" s="1">
        <f>[2]Urban_area_finals!M70/[2]Urban_area_finals!$G70</f>
        <v>1.9409027870842427E-4</v>
      </c>
      <c r="N46" s="1">
        <f>[2]Urban_area_finals!N70/[2]Urban_area_finals!$G70</f>
        <v>2.2728993164539157E-4</v>
      </c>
      <c r="O46" s="1">
        <f>[2]Urban_area_finals!O70/[2]Urban_area_finals!$G70</f>
        <v>2.7581250132249763E-4</v>
      </c>
      <c r="P46" s="1">
        <f>[2]Urban_area_finals!P70/[2]Urban_area_finals!$G70</f>
        <v>3.064583348027752E-4</v>
      </c>
      <c r="Q46" s="1">
        <f>[2]Urban_area_finals!Q70/[2]Urban_area_finals!$G70</f>
        <v>3.2688889045629356E-4</v>
      </c>
      <c r="R46" s="1">
        <f>[2]Urban_area_finals!R70/[2]Urban_area_finals!$G70</f>
        <v>4.8011805785768108E-4</v>
      </c>
      <c r="S46" s="1">
        <f>[2]Urban_area_finals!S70/[2]Urban_area_finals!$G70</f>
        <v>6.333472252590687E-4</v>
      </c>
      <c r="T46" s="1">
        <f>[2]Urban_area_finals!T70/[2]Urban_area_finals!$G70</f>
        <v>9.7555903245550083E-4</v>
      </c>
      <c r="U46" s="1">
        <f>[2]Urban_area_finals!U70/[2]Urban_area_finals!$G70</f>
        <v>1.774904522399406E-3</v>
      </c>
      <c r="V46" s="1">
        <f>[2]Urban_area_finals!V70/[2]Urban_area_finals!$G70</f>
        <v>2.9317847362798823E-3</v>
      </c>
      <c r="W46" s="1">
        <f>[2]Urban_area_finals!W70/[2]Urban_area_finals!$G70</f>
        <v>4.1448489782075345E-3</v>
      </c>
      <c r="X46" s="1">
        <f>[2]Urban_area_finals!X70/[2]Urban_area_finals!$G70</f>
        <v>4.3670312709395464E-3</v>
      </c>
      <c r="Y46" s="1">
        <f>[2]Urban_area_finals!Y70/[2]Urban_area_finals!$G70</f>
        <v>4.7373350921595661E-3</v>
      </c>
      <c r="Z46" s="1">
        <f>[2]Urban_area_finals!Z70/[2]Urban_area_finals!$G70</f>
        <v>4.9084409957577818E-3</v>
      </c>
      <c r="AA46" s="1">
        <f>[2]Urban_area_finals!AA70/[2]Urban_area_finals!$G70</f>
        <v>5.031024329678893E-3</v>
      </c>
      <c r="AB46" s="1">
        <f>[2]Urban_area_finals!AB70/[2]Urban_area_finals!$G70</f>
        <v>5.0821007188126882E-3</v>
      </c>
      <c r="AC46" s="1">
        <f>[2]Urban_area_finals!AC70/[2]Urban_area_finals!$G70</f>
        <v>5.3783437757887039E-3</v>
      </c>
      <c r="AD46" s="1">
        <f>[2]Urban_area_finals!AD70/[2]Urban_area_finals!$G70</f>
        <v>5.8124930834259686E-3</v>
      </c>
      <c r="AE46" s="1">
        <f>[2]Urban_area_finals!AE70/[2]Urban_area_finals!$G70</f>
        <v>6.5173472534723522E-3</v>
      </c>
      <c r="AF46" s="1">
        <f>[2]Urban_area_finals!AF70/[2]Urban_area_finals!$G70</f>
        <v>6.6475920457635318E-3</v>
      </c>
      <c r="AG46" s="1">
        <f>[2]Urban_area_finals!AG70/[2]Urban_area_finals!$G70</f>
        <v>6.7931597547948499E-3</v>
      </c>
      <c r="AH46" s="1">
        <f>[2]Urban_area_finals!AH70/[2]Urban_area_finals!$G70</f>
        <v>6.8825434357789933E-3</v>
      </c>
      <c r="AI46" s="1">
        <f>[2]Urban_area_finals!AI70/[2]Urban_area_finals!$G70</f>
        <v>7.2043246873219058E-3</v>
      </c>
      <c r="AJ46" s="1">
        <f>[2]Urban_area_finals!AJ70/[2]Urban_area_finals!$G70</f>
        <v>7.4852448275577839E-3</v>
      </c>
      <c r="AK46" s="1">
        <f>[2]Urban_area_finals!AK70/[2]Urban_area_finals!$G70</f>
        <v>7.725303856486624E-3</v>
      </c>
      <c r="AL46" s="1">
        <f>[2]Urban_area_finals!AL70/[2]Urban_area_finals!$G70</f>
        <v>7.9423785103052563E-3</v>
      </c>
      <c r="AM46" s="1">
        <f>[2]Urban_area_finals!AM70/[2]Urban_area_finals!$G70</f>
        <v>8.2539444840214124E-3</v>
      </c>
      <c r="AN46" s="1">
        <f>[2]Urban_area_finals!AN70/[2]Urban_area_finals!$G70</f>
        <v>8.5655104577375667E-3</v>
      </c>
      <c r="AO46" s="1">
        <f>[2]Urban_area_finals!AO70/[2]Urban_area_finals!$G70</f>
        <v>9.1554427522329077E-3</v>
      </c>
      <c r="AP46" s="1">
        <f>[2]Urban_area_finals!AP70/[2]Urban_area_finals!$G70</f>
        <v>1.109634553931715E-2</v>
      </c>
      <c r="AQ46" s="1">
        <f>[2]Urban_area_finals!AQ70/[2]Urban_area_finals!$G70</f>
        <v>1.3149616382495745E-2</v>
      </c>
      <c r="AR46" s="1">
        <f>[2]Urban_area_finals!AR70/[2]Urban_area_finals!$G70</f>
        <v>1.5044550419359572E-2</v>
      </c>
      <c r="AS46" s="1">
        <f>[2]Urban_area_finals!AS70/[2]Urban_area_finals!$G70</f>
        <v>1.7322557374726866E-2</v>
      </c>
      <c r="AT46" s="1">
        <f>[2]Urban_area_finals!AT70/[2]Urban_area_finals!$G70</f>
        <v>1.8586698005788313E-2</v>
      </c>
      <c r="AU46" s="1">
        <f>[2]Urban_area_finals!AU70/[2]Urban_area_finals!$G70</f>
        <v>2.0336575097512161E-2</v>
      </c>
      <c r="AV46" s="1">
        <f>[2]Urban_area_finals!AV70/[2]Urban_area_finals!$G70</f>
        <v>2.2961390735097925E-2</v>
      </c>
      <c r="AW46" s="1">
        <f>[2]Urban_area_finals!AW70/[2]Urban_area_finals!$G70</f>
        <v>3.1562654665229152E-2</v>
      </c>
      <c r="AX46" s="1">
        <f>[2]Urban_area_finals!AX70/[2]Urban_area_finals!$G70</f>
        <v>4.8359125231877922E-2</v>
      </c>
      <c r="AY46" s="1">
        <f>[2]Urban_area_finals!AY70/[2]Urban_area_finals!$G70</f>
        <v>7.6315786824261087E-2</v>
      </c>
    </row>
    <row r="47" spans="1:51" x14ac:dyDescent="0.25">
      <c r="A47" t="s">
        <v>349</v>
      </c>
      <c r="B47" t="s">
        <v>350</v>
      </c>
      <c r="C47" t="s">
        <v>351</v>
      </c>
      <c r="D47" t="s">
        <v>65</v>
      </c>
      <c r="E47" t="s">
        <v>66</v>
      </c>
      <c r="F47" t="s">
        <v>66</v>
      </c>
      <c r="G47">
        <v>64710.102911044647</v>
      </c>
      <c r="H47">
        <v>1882.0538502481429</v>
      </c>
      <c r="I47">
        <f>Table2[[#This Row],[FUA_area]]+Table2[[#This Row],[FUA_urban]]</f>
        <v>66592.15676129279</v>
      </c>
      <c r="J47">
        <v>1907241</v>
      </c>
      <c r="K47" s="1">
        <f>[2]Urban_area_finals!K137/[2]Urban_area_finals!$G137</f>
        <v>1.9535917887825299E-3</v>
      </c>
      <c r="L47" s="1">
        <f>[2]Urban_area_finals!L137/[2]Urban_area_finals!$G137</f>
        <v>2.449503550550403E-3</v>
      </c>
      <c r="M47" s="1">
        <f>[2]Urban_area_finals!M137/[2]Urban_area_finals!$G137</f>
        <v>2.9303876831737949E-3</v>
      </c>
      <c r="N47" s="1">
        <f>[2]Urban_area_finals!N137/[2]Urban_area_finals!$G137</f>
        <v>3.3812165575082256E-3</v>
      </c>
      <c r="O47" s="1">
        <f>[2]Urban_area_finals!O137/[2]Urban_area_finals!$G137</f>
        <v>3.8470730609871358E-3</v>
      </c>
      <c r="P47" s="1">
        <f>[2]Urban_area_finals!P137/[2]Urban_area_finals!$G137</f>
        <v>3.8470730609871358E-3</v>
      </c>
      <c r="Q47" s="1">
        <f>[2]Urban_area_finals!Q137/[2]Urban_area_finals!$G137</f>
        <v>3.8470730609871358E-3</v>
      </c>
      <c r="R47" s="1">
        <f>[2]Urban_area_finals!R137/[2]Urban_area_finals!$G137</f>
        <v>3.8470730609871358E-3</v>
      </c>
      <c r="S47" s="1">
        <f>[2]Urban_area_finals!S137/[2]Urban_area_finals!$G137</f>
        <v>3.8470730609871358E-3</v>
      </c>
      <c r="T47" s="1">
        <f>[2]Urban_area_finals!T137/[2]Urban_area_finals!$G137</f>
        <v>4.553371630777743E-3</v>
      </c>
      <c r="U47" s="1">
        <f>[2]Urban_area_finals!U137/[2]Urban_area_finals!$G137</f>
        <v>6.2064108366706528E-3</v>
      </c>
      <c r="V47" s="1">
        <f>[2]Urban_area_finals!V137/[2]Urban_area_finals!$G137</f>
        <v>7.7091737511187529E-3</v>
      </c>
      <c r="W47" s="1">
        <f>[2]Urban_area_finals!W137/[2]Urban_area_finals!$G137</f>
        <v>8.700997274654499E-3</v>
      </c>
      <c r="X47" s="1">
        <f>[2]Urban_area_finals!X137/[2]Urban_area_finals!$G137</f>
        <v>8.9564669701106756E-3</v>
      </c>
      <c r="Y47" s="1">
        <f>[2]Urban_area_finals!Y137/[2]Urban_area_finals!$G137</f>
        <v>9.963318122790903E-3</v>
      </c>
      <c r="Z47" s="1">
        <f>[2]Urban_area_finals!Z137/[2]Urban_area_finals!$G137</f>
        <v>1.142099814980556E-2</v>
      </c>
      <c r="AA47" s="1">
        <f>[2]Urban_area_finals!AA137/[2]Urban_area_finals!$G137</f>
        <v>1.2502987448208193E-2</v>
      </c>
      <c r="AB47" s="1">
        <f>[2]Urban_area_finals!AB137/[2]Urban_area_finals!$G137</f>
        <v>1.3149175501420878E-2</v>
      </c>
      <c r="AC47" s="1">
        <f>[2]Urban_area_finals!AC137/[2]Urban_area_finals!$G137</f>
        <v>1.3720225408911154E-2</v>
      </c>
      <c r="AD47" s="1">
        <f>[2]Urban_area_finals!AD137/[2]Urban_area_finals!$G137</f>
        <v>1.4110943766667659E-2</v>
      </c>
      <c r="AE47" s="1">
        <f>[2]Urban_area_finals!AE137/[2]Urban_area_finals!$G137</f>
        <v>1.43964687204128E-2</v>
      </c>
      <c r="AF47" s="1">
        <f>[2]Urban_area_finals!AF137/[2]Urban_area_finals!$G137</f>
        <v>1.487735285303619E-2</v>
      </c>
      <c r="AG47" s="1">
        <f>[2]Urban_area_finals!AG137/[2]Urban_area_finals!$G137</f>
        <v>1.5343209356515102E-2</v>
      </c>
      <c r="AH47" s="1">
        <f>[2]Urban_area_finals!AH137/[2]Urban_area_finals!$G137</f>
        <v>1.6019452668016746E-2</v>
      </c>
      <c r="AI47" s="1">
        <f>[2]Urban_area_finals!AI137/[2]Urban_area_finals!$G137</f>
        <v>1.6425198654917733E-2</v>
      </c>
      <c r="AJ47" s="1">
        <f>[2]Urban_area_finals!AJ137/[2]Urban_area_finals!$G137</f>
        <v>1.6966193304119047E-2</v>
      </c>
      <c r="AK47" s="1">
        <f>[2]Urban_area_finals!AK137/[2]Urban_area_finals!$G137</f>
        <v>1.7642436615620694E-2</v>
      </c>
      <c r="AL47" s="1">
        <f>[2]Urban_area_finals!AL137/[2]Urban_area_finals!$G137</f>
        <v>1.8589177251722998E-2</v>
      </c>
      <c r="AM47" s="1">
        <f>[2]Urban_area_finals!AM137/[2]Urban_area_finals!$G137</f>
        <v>2.0242216457615907E-2</v>
      </c>
      <c r="AN47" s="1">
        <f>[2]Urban_area_finals!AN137/[2]Urban_area_finals!$G137</f>
        <v>2.1835145146930891E-2</v>
      </c>
      <c r="AO47" s="1">
        <f>[2]Urban_area_finals!AO137/[2]Urban_area_finals!$G137</f>
        <v>2.5081113042138791E-2</v>
      </c>
      <c r="AP47" s="1">
        <f>[2]Urban_area_finals!AP137/[2]Urban_area_finals!$G137</f>
        <v>2.7200008751510612E-2</v>
      </c>
      <c r="AQ47" s="1">
        <f>[2]Urban_area_finals!AQ137/[2]Urban_area_finals!$G137</f>
        <v>3.0716473971319165E-2</v>
      </c>
      <c r="AR47" s="1">
        <f>[2]Urban_area_finals!AR137/[2]Urban_area_finals!$G137</f>
        <v>3.4638685178028705E-2</v>
      </c>
      <c r="AS47" s="1">
        <f>[2]Urban_area_finals!AS137/[2]Urban_area_finals!$G137</f>
        <v>3.6532166450233314E-2</v>
      </c>
      <c r="AT47" s="1">
        <f>[2]Urban_area_finals!AT137/[2]Urban_area_finals!$G137</f>
        <v>3.8921559484205795E-2</v>
      </c>
      <c r="AU47" s="1">
        <f>[2]Urban_area_finals!AU137/[2]Urban_area_finals!$G137</f>
        <v>4.131996909566496E-2</v>
      </c>
      <c r="AV47" s="1">
        <f>[2]Urban_area_finals!AV137/[2]Urban_area_finals!$G137</f>
        <v>4.4917583512853708E-2</v>
      </c>
      <c r="AW47" s="1">
        <f>[2]Urban_area_finals!AW137/[2]Urban_area_finals!$G137</f>
        <v>5.3303000575474116E-2</v>
      </c>
      <c r="AX47" s="1">
        <f>[2]Urban_area_finals!AX137/[2]Urban_area_finals!$G137</f>
        <v>6.3852396234899772E-2</v>
      </c>
      <c r="AY47" s="1">
        <f>[2]Urban_area_finals!AY137/[2]Urban_area_finals!$G137</f>
        <v>7.5017924689249157E-2</v>
      </c>
    </row>
    <row r="48" spans="1:51" x14ac:dyDescent="0.25">
      <c r="A48" t="s">
        <v>162</v>
      </c>
      <c r="B48" t="s">
        <v>163</v>
      </c>
      <c r="C48" t="s">
        <v>164</v>
      </c>
      <c r="D48" t="s">
        <v>105</v>
      </c>
      <c r="E48" t="s">
        <v>61</v>
      </c>
      <c r="F48" t="s">
        <v>61</v>
      </c>
      <c r="G48">
        <v>321543.24568924127</v>
      </c>
      <c r="H48">
        <v>2466.786762870493</v>
      </c>
      <c r="I48">
        <f>Table2[[#This Row],[FUA_area]]+Table2[[#This Row],[FUA_urban]]</f>
        <v>324010.03245211177</v>
      </c>
      <c r="J48">
        <v>26477572</v>
      </c>
      <c r="K48" s="1">
        <f>[2]Urban_area_finals!K119/[2]Urban_area_finals!$G119</f>
        <v>1.5442910107495054E-3</v>
      </c>
      <c r="L48" s="1">
        <f>[2]Urban_area_finals!L119/[2]Urban_area_finals!$G119</f>
        <v>1.8728635662281236E-3</v>
      </c>
      <c r="M48" s="1">
        <f>[2]Urban_area_finals!M119/[2]Urban_area_finals!$G119</f>
        <v>2.3000078883503271E-3</v>
      </c>
      <c r="N48" s="1">
        <f>[2]Urban_area_finals!N119/[2]Urban_area_finals!$G119</f>
        <v>2.9242957437597018E-3</v>
      </c>
      <c r="O48" s="1">
        <f>[2]Urban_area_finals!O119/[2]Urban_area_finals!$G119</f>
        <v>3.9428706657434181E-3</v>
      </c>
      <c r="P48" s="1">
        <f>[2]Urban_area_finals!P119/[2]Urban_area_finals!$G119</f>
        <v>4.8300165655356863E-3</v>
      </c>
      <c r="Q48" s="1">
        <f>[2]Urban_area_finals!Q119/[2]Urban_area_finals!$G119</f>
        <v>5.8157342319715422E-3</v>
      </c>
      <c r="R48" s="1">
        <f>[2]Urban_area_finals!R119/[2]Urban_area_finals!$G119</f>
        <v>7.0971671983381538E-3</v>
      </c>
      <c r="S48" s="1">
        <f>[2]Urban_area_finals!S119/[2]Urban_area_finals!$G119</f>
        <v>8.0828848647740061E-3</v>
      </c>
      <c r="T48" s="1">
        <f>[2]Urban_area_finals!T119/[2]Urban_area_finals!$G119</f>
        <v>1.0021462942097855E-2</v>
      </c>
      <c r="U48" s="1">
        <f>[2]Urban_area_finals!U119/[2]Urban_area_finals!$G119</f>
        <v>1.1467182186203774E-2</v>
      </c>
      <c r="V48" s="1">
        <f>[2]Urban_area_finals!V119/[2]Urban_area_finals!$G119</f>
        <v>1.268290064147466E-2</v>
      </c>
      <c r="W48" s="1">
        <f>[2]Urban_area_finals!W119/[2]Urban_area_finals!$G119</f>
        <v>1.6461485029478768E-2</v>
      </c>
      <c r="X48" s="1">
        <f>[2]Urban_area_finals!X119/[2]Urban_area_finals!$G119</f>
        <v>1.7184344651531732E-2</v>
      </c>
      <c r="Y48" s="1">
        <f>[2]Urban_area_finals!Y119/[2]Urban_area_finals!$G119</f>
        <v>2.0240069417482878E-2</v>
      </c>
      <c r="Z48" s="1">
        <f>[2]Urban_area_finals!Z119/[2]Urban_area_finals!$G119</f>
        <v>2.3525794972269063E-2</v>
      </c>
      <c r="AA48" s="1">
        <f>[2]Urban_area_finals!AA119/[2]Urban_area_finals!$G119</f>
        <v>2.7764380937943235E-2</v>
      </c>
      <c r="AB48" s="1">
        <f>[2]Urban_area_finals!AB119/[2]Urban_area_finals!$G119</f>
        <v>3.0294389615128595E-2</v>
      </c>
      <c r="AC48" s="1">
        <f>[2]Urban_area_finals!AC119/[2]Urban_area_finals!$G119</f>
        <v>3.1477250814851622E-2</v>
      </c>
      <c r="AD48" s="1">
        <f>[2]Urban_area_finals!AD119/[2]Urban_area_finals!$G119</f>
        <v>3.1871537881425958E-2</v>
      </c>
      <c r="AE48" s="1">
        <f>[2]Urban_area_finals!AE119/[2]Urban_area_finals!$G119</f>
        <v>3.2660112014574645E-2</v>
      </c>
      <c r="AF48" s="1">
        <f>[2]Urban_area_finals!AF119/[2]Urban_area_finals!$G119</f>
        <v>3.3120113592244718E-2</v>
      </c>
      <c r="AG48" s="1">
        <f>[2]Urban_area_finals!AG119/[2]Urban_area_finals!$G119</f>
        <v>3.3777258703201946E-2</v>
      </c>
      <c r="AH48" s="1">
        <f>[2]Urban_area_finals!AH119/[2]Urban_area_finals!$G119</f>
        <v>3.459869009189849E-2</v>
      </c>
      <c r="AI48" s="1">
        <f>[2]Urban_area_finals!AI119/[2]Urban_area_finals!$G119</f>
        <v>3.5058691669568563E-2</v>
      </c>
      <c r="AJ48" s="1">
        <f>[2]Urban_area_finals!AJ119/[2]Urban_area_finals!$G119</f>
        <v>3.54529787361429E-2</v>
      </c>
      <c r="AK48" s="1">
        <f>[2]Urban_area_finals!AK119/[2]Urban_area_finals!$G119</f>
        <v>3.5814408547169378E-2</v>
      </c>
      <c r="AL48" s="1">
        <f>[2]Urban_area_finals!AL119/[2]Urban_area_finals!$G119</f>
        <v>3.5945837569360824E-2</v>
      </c>
      <c r="AM48" s="1">
        <f>[2]Urban_area_finals!AM119/[2]Urban_area_finals!$G119</f>
        <v>3.7062984257988131E-2</v>
      </c>
      <c r="AN48" s="1">
        <f>[2]Urban_area_finals!AN119/[2]Urban_area_finals!$G119</f>
        <v>3.742441406901461E-2</v>
      </c>
      <c r="AO48" s="1">
        <f>[2]Urban_area_finals!AO119/[2]Urban_area_finals!$G119</f>
        <v>3.7917272902232541E-2</v>
      </c>
      <c r="AP48" s="1">
        <f>[2]Urban_area_finals!AP119/[2]Urban_area_finals!$G119</f>
        <v>4.0907283157087963E-2</v>
      </c>
      <c r="AQ48" s="1">
        <f>[2]Urban_area_finals!AQ119/[2]Urban_area_finals!$G119</f>
        <v>4.2550145934481053E-2</v>
      </c>
      <c r="AR48" s="1">
        <f>[2]Urban_area_finals!AR119/[2]Urban_area_finals!$G119</f>
        <v>4.4981582845022829E-2</v>
      </c>
      <c r="AS48" s="1">
        <f>[2]Urban_area_finals!AS119/[2]Urban_area_finals!$G119</f>
        <v>4.6788731900155228E-2</v>
      </c>
      <c r="AT48" s="1">
        <f>[2]Urban_area_finals!AT119/[2]Urban_area_finals!$G119</f>
        <v>4.9384455088436315E-2</v>
      </c>
      <c r="AU48" s="1">
        <f>[2]Urban_area_finals!AU119/[2]Urban_area_finals!$G119</f>
        <v>5.1776463292320649E-2</v>
      </c>
      <c r="AV48" s="1">
        <f>[2]Urban_area_finals!AV119/[2]Urban_area_finals!$G119</f>
        <v>5.536447559814716E-2</v>
      </c>
      <c r="AW48" s="1">
        <f>[2]Urban_area_finals!AW119/[2]Urban_area_finals!$G119</f>
        <v>6.0950209041283676E-2</v>
      </c>
      <c r="AX48" s="1">
        <f>[2]Urban_area_finals!AX119/[2]Urban_area_finals!$G119</f>
        <v>6.7193087595377413E-2</v>
      </c>
      <c r="AY48" s="1">
        <f>[2]Urban_area_finals!AY119/[2]Urban_area_finals!$G119</f>
        <v>7.3895967727141229E-2</v>
      </c>
    </row>
    <row r="49" spans="1:51" x14ac:dyDescent="0.25">
      <c r="A49" t="s">
        <v>394</v>
      </c>
      <c r="B49" t="s">
        <v>395</v>
      </c>
      <c r="C49" t="s">
        <v>396</v>
      </c>
      <c r="D49" t="s">
        <v>60</v>
      </c>
      <c r="E49" t="s">
        <v>61</v>
      </c>
      <c r="F49" t="s">
        <v>61</v>
      </c>
      <c r="G49">
        <v>824048.01432687859</v>
      </c>
      <c r="H49">
        <v>166.2098671540619</v>
      </c>
      <c r="I49">
        <f>Table2[[#This Row],[FUA_area]]+Table2[[#This Row],[FUA_urban]]</f>
        <v>824214.22419403261</v>
      </c>
      <c r="J49">
        <v>2467078</v>
      </c>
      <c r="K49" s="1">
        <f>[2]Urban_area_finals!K51/[2]Urban_area_finals!$G51</f>
        <v>1.0049829208903819E-2</v>
      </c>
      <c r="L49" s="1">
        <f>[2]Urban_area_finals!L51/[2]Urban_area_finals!$G51</f>
        <v>1.0844751275892992E-2</v>
      </c>
      <c r="M49" s="1">
        <f>[2]Urban_area_finals!M51/[2]Urban_area_finals!$G51</f>
        <v>1.1585719356434933E-2</v>
      </c>
      <c r="N49" s="1">
        <f>[2]Urban_area_finals!N51/[2]Urban_area_finals!$G51</f>
        <v>1.2312299707257614E-2</v>
      </c>
      <c r="O49" s="1">
        <f>[2]Urban_area_finals!O51/[2]Urban_area_finals!$G51</f>
        <v>1.3166571159338737E-2</v>
      </c>
      <c r="P49" s="1">
        <f>[2]Urban_area_finals!P51/[2]Urban_area_finals!$G51</f>
        <v>1.3166571159338737E-2</v>
      </c>
      <c r="Q49" s="1">
        <f>[2]Urban_area_finals!Q51/[2]Urban_area_finals!$G51</f>
        <v>1.4200689232910622E-2</v>
      </c>
      <c r="R49" s="1">
        <f>[2]Urban_area_finals!R51/[2]Urban_area_finals!$G51</f>
        <v>1.440931131383991E-2</v>
      </c>
      <c r="S49" s="1">
        <f>[2]Urban_area_finals!S51/[2]Urban_area_finals!$G51</f>
        <v>1.4920075718873674E-2</v>
      </c>
      <c r="T49" s="1">
        <f>[2]Urban_area_finals!T51/[2]Urban_area_finals!$G51</f>
        <v>1.7838986385668755E-2</v>
      </c>
      <c r="U49" s="1">
        <f>[2]Urban_area_finals!U51/[2]Urban_area_finals!$G51</f>
        <v>2.3178632577729501E-2</v>
      </c>
      <c r="V49" s="1">
        <f>[2]Urban_area_finals!V51/[2]Urban_area_finals!$G51</f>
        <v>2.5736051535328142E-2</v>
      </c>
      <c r="W49" s="1">
        <f>[2]Urban_area_finals!W51/[2]Urban_area_finals!$G51</f>
        <v>2.7856443202704233E-2</v>
      </c>
      <c r="X49" s="1">
        <f>[2]Urban_area_finals!X51/[2]Urban_area_finals!$G51</f>
        <v>2.8791645634456201E-2</v>
      </c>
      <c r="Y49" s="1">
        <f>[2]Urban_area_finals!Y51/[2]Urban_area_finals!$G51</f>
        <v>3.1334676862335591E-2</v>
      </c>
      <c r="Z49" s="1">
        <f>[2]Urban_area_finals!Z51/[2]Urban_area_finals!$G51</f>
        <v>3.4356100103380402E-2</v>
      </c>
      <c r="AA49" s="1">
        <f>[2]Urban_area_finals!AA51/[2]Urban_area_finals!$G51</f>
        <v>3.6030472149459404E-2</v>
      </c>
      <c r="AB49" s="1">
        <f>[2]Urban_area_finals!AB51/[2]Urban_area_finals!$G51</f>
        <v>3.6877549736680899E-2</v>
      </c>
      <c r="AC49" s="1">
        <f>[2]Urban_area_finals!AC51/[2]Urban_area_finals!$G51</f>
        <v>3.7478237452460039E-2</v>
      </c>
      <c r="AD49" s="1">
        <f>[2]Urban_area_finals!AD51/[2]Urban_area_finals!$G51</f>
        <v>3.841343988421201E-2</v>
      </c>
      <c r="AE49" s="1">
        <f>[2]Urban_area_finals!AE51/[2]Urban_area_finals!$G51</f>
        <v>3.9318068390310539E-2</v>
      </c>
      <c r="AF49" s="1">
        <f>[2]Urban_area_finals!AF51/[2]Urban_area_finals!$G51</f>
        <v>3.9839623592633752E-2</v>
      </c>
      <c r="AG49" s="1">
        <f>[2]Urban_area_finals!AG51/[2]Urban_area_finals!$G51</f>
        <v>4.0350387997667519E-2</v>
      </c>
      <c r="AH49" s="1">
        <f>[2]Urban_area_finals!AH51/[2]Urban_area_finals!$G51</f>
        <v>4.079820608517952E-2</v>
      </c>
      <c r="AI49" s="1">
        <f>[2]Urban_area_finals!AI51/[2]Urban_area_finals!$G51</f>
        <v>4.1141713132226872E-2</v>
      </c>
      <c r="AJ49" s="1">
        <f>[2]Urban_area_finals!AJ51/[2]Urban_area_finals!$G51</f>
        <v>4.1612911280532676E-2</v>
      </c>
      <c r="AK49" s="1">
        <f>[2]Urban_area_finals!AK51/[2]Urban_area_finals!$G51</f>
        <v>4.2103892557202455E-2</v>
      </c>
      <c r="AL49" s="1">
        <f>[2]Urban_area_finals!AL51/[2]Urban_area_finals!$G51</f>
        <v>4.2889822293117094E-2</v>
      </c>
      <c r="AM49" s="1">
        <f>[2]Urban_area_finals!AM51/[2]Urban_area_finals!$G51</f>
        <v>4.4368161521771164E-2</v>
      </c>
      <c r="AN49" s="1">
        <f>[2]Urban_area_finals!AN51/[2]Urban_area_finals!$G51</f>
        <v>4.5981385716543303E-2</v>
      </c>
      <c r="AO49" s="1">
        <f>[2]Urban_area_finals!AO51/[2]Urban_area_finals!$G51</f>
        <v>4.7504686600570063E-2</v>
      </c>
      <c r="AP49" s="1">
        <f>[2]Urban_area_finals!AP51/[2]Urban_area_finals!$G51</f>
        <v>4.8961444234645241E-2</v>
      </c>
      <c r="AQ49" s="1">
        <f>[2]Urban_area_finals!AQ51/[2]Urban_area_finals!$G51</f>
        <v>5.1882153367655219E-2</v>
      </c>
      <c r="AR49" s="1">
        <f>[2]Urban_area_finals!AR51/[2]Urban_area_finals!$G51</f>
        <v>5.5576202973075493E-2</v>
      </c>
      <c r="AS49" s="1">
        <f>[2]Urban_area_finals!AS51/[2]Urban_area_finals!$G51</f>
        <v>5.8583238484401043E-2</v>
      </c>
      <c r="AT49" s="1">
        <f>[2]Urban_area_finals!AT51/[2]Urban_area_finals!$G51</f>
        <v>5.9525634781012644E-2</v>
      </c>
      <c r="AU49" s="1">
        <f>[2]Urban_area_finals!AU51/[2]Urban_area_finals!$G51</f>
        <v>6.065794910991848E-2</v>
      </c>
      <c r="AV49" s="1">
        <f>[2]Urban_area_finals!AV51/[2]Urban_area_finals!$G51</f>
        <v>6.2356420603277236E-2</v>
      </c>
      <c r="AW49" s="1">
        <f>[2]Urban_area_finals!AW51/[2]Urban_area_finals!$G51</f>
        <v>6.5662001506277462E-2</v>
      </c>
      <c r="AX49" s="1">
        <f>[2]Urban_area_finals!AX51/[2]Urban_area_finals!$G51</f>
        <v>6.9445974422443116E-2</v>
      </c>
      <c r="AY49" s="1">
        <f>[2]Urban_area_finals!AY51/[2]Urban_area_finals!$G51</f>
        <v>7.3247932000757826E-2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f>Table2[[#This Row],[FUA_area]]+Table2[[#This Row],[FUA_urban]]</f>
        <v>343069.11991982575</v>
      </c>
      <c r="J50">
        <v>5525213</v>
      </c>
      <c r="K50" s="1">
        <f>[2]Urban_area_finals!K140/[2]Urban_area_finals!$G140</f>
        <v>3.5668825876045518E-3</v>
      </c>
      <c r="L50" s="1">
        <f>[2]Urban_area_finals!L140/[2]Urban_area_finals!$G140</f>
        <v>3.6032793487025577E-3</v>
      </c>
      <c r="M50" s="1">
        <f>[2]Urban_area_finals!M140/[2]Urban_area_finals!$G140</f>
        <v>4.1492307651726425E-3</v>
      </c>
      <c r="N50" s="1">
        <f>[2]Urban_area_finals!N140/[2]Urban_area_finals!$G140</f>
        <v>5.4959109257988505E-3</v>
      </c>
      <c r="O50" s="1">
        <f>[2]Urban_area_finals!O140/[2]Urban_area_finals!$G140</f>
        <v>8.189271247051268E-3</v>
      </c>
      <c r="P50" s="1">
        <f>[2]Urban_area_finals!P140/[2]Urban_area_finals!$G140</f>
        <v>8.5896356191293294E-3</v>
      </c>
      <c r="Q50" s="1">
        <f>[2]Urban_area_finals!Q140/[2]Urban_area_finals!$G140</f>
        <v>9.6815384520694981E-3</v>
      </c>
      <c r="R50" s="1">
        <f>[2]Urban_area_finals!R140/[2]Urban_area_finals!$G140</f>
        <v>1.0045506063049556E-2</v>
      </c>
      <c r="S50" s="1">
        <f>[2]Urban_area_finals!S140/[2]Urban_area_finals!$G140</f>
        <v>1.0555060718421633E-2</v>
      </c>
      <c r="T50" s="1">
        <f>[2]Urban_area_finals!T140/[2]Urban_area_finals!$G140</f>
        <v>1.3648785411752112E-2</v>
      </c>
      <c r="U50" s="1">
        <f>[2]Urban_area_finals!U140/[2]Urban_area_finals!$G140</f>
        <v>1.8598744921080879E-2</v>
      </c>
      <c r="V50" s="1">
        <f>[2]Urban_area_finals!V140/[2]Urban_area_finals!$G140</f>
        <v>2.6132874468368046E-2</v>
      </c>
      <c r="W50" s="1">
        <f>[2]Urban_area_finals!W140/[2]Urban_area_finals!$G140</f>
        <v>3.0900850172206781E-2</v>
      </c>
      <c r="X50" s="1">
        <f>[2]Urban_area_finals!X140/[2]Urban_area_finals!$G140</f>
        <v>3.1119230738794815E-2</v>
      </c>
      <c r="Y50" s="1">
        <f>[2]Urban_area_finals!Y140/[2]Urban_area_finals!$G140</f>
        <v>3.4103765148831275E-2</v>
      </c>
      <c r="Z50" s="1">
        <f>[2]Urban_area_finals!Z140/[2]Urban_area_finals!$G140</f>
        <v>3.7233886603259755E-2</v>
      </c>
      <c r="AA50" s="1">
        <f>[2]Urban_area_finals!AA140/[2]Urban_area_finals!$G140</f>
        <v>3.8580566763885965E-2</v>
      </c>
      <c r="AB50" s="1">
        <f>[2]Urban_area_finals!AB140/[2]Urban_area_finals!$G140</f>
        <v>3.9344898746944086E-2</v>
      </c>
      <c r="AC50" s="1">
        <f>[2]Urban_area_finals!AC140/[2]Urban_area_finals!$G140</f>
        <v>4.0145627491100212E-2</v>
      </c>
      <c r="AD50" s="1">
        <f>[2]Urban_area_finals!AD140/[2]Urban_area_finals!$G140</f>
        <v>4.0909959474158333E-2</v>
      </c>
      <c r="AE50" s="1">
        <f>[2]Urban_area_finals!AE140/[2]Urban_area_finals!$G140</f>
        <v>4.2038259068196498E-2</v>
      </c>
      <c r="AF50" s="1">
        <f>[2]Urban_area_finals!AF140/[2]Urban_area_finals!$G140</f>
        <v>4.2584210484666596E-2</v>
      </c>
      <c r="AG50" s="1">
        <f>[2]Urban_area_finals!AG140/[2]Urban_area_finals!$G140</f>
        <v>4.32757489455287E-2</v>
      </c>
      <c r="AH50" s="1">
        <f>[2]Urban_area_finals!AH140/[2]Urban_area_finals!$G140</f>
        <v>4.3639716556508751E-2</v>
      </c>
      <c r="AI50" s="1">
        <f>[2]Urban_area_finals!AI140/[2]Urban_area_finals!$G140</f>
        <v>4.3785303600900771E-2</v>
      </c>
      <c r="AJ50" s="1">
        <f>[2]Urban_area_finals!AJ140/[2]Urban_area_finals!$G140</f>
        <v>4.3967287406390804E-2</v>
      </c>
      <c r="AK50" s="1">
        <f>[2]Urban_area_finals!AK140/[2]Urban_area_finals!$G140</f>
        <v>4.4222064734076846E-2</v>
      </c>
      <c r="AL50" s="1">
        <f>[2]Urban_area_finals!AL140/[2]Urban_area_finals!$G140</f>
        <v>4.498639671713496E-2</v>
      </c>
      <c r="AM50" s="1">
        <f>[2]Urban_area_finals!AM140/[2]Urban_area_finals!$G140</f>
        <v>4.5787125461291087E-2</v>
      </c>
      <c r="AN50" s="1">
        <f>[2]Urban_area_finals!AN140/[2]Urban_area_finals!$G140</f>
        <v>4.640587039995718E-2</v>
      </c>
      <c r="AO50" s="1">
        <f>[2]Urban_area_finals!AO140/[2]Urban_area_finals!$G140</f>
        <v>4.8334898738151472E-2</v>
      </c>
      <c r="AP50" s="1">
        <f>[2]Urban_area_finals!AP140/[2]Urban_area_finals!$G140</f>
        <v>4.9936356226463731E-2</v>
      </c>
      <c r="AQ50" s="1">
        <f>[2]Urban_area_finals!AQ140/[2]Urban_area_finals!$G140</f>
        <v>5.4231174036028396E-2</v>
      </c>
      <c r="AR50" s="1">
        <f>[2]Urban_area_finals!AR140/[2]Urban_area_finals!$G140</f>
        <v>5.9035546500965132E-2</v>
      </c>
      <c r="AS50" s="1">
        <f>[2]Urban_area_finals!AS140/[2]Urban_area_finals!$G140</f>
        <v>6.3039190221745756E-2</v>
      </c>
      <c r="AT50" s="1">
        <f>[2]Urban_area_finals!AT140/[2]Urban_area_finals!$G140</f>
        <v>6.4531457426763986E-2</v>
      </c>
      <c r="AU50" s="1">
        <f>[2]Urban_area_finals!AU140/[2]Urban_area_finals!$G140</f>
        <v>6.5375862284237723E-2</v>
      </c>
      <c r="AV50" s="1">
        <f>[2]Urban_area_finals!AV140/[2]Urban_area_finals!$G140</f>
        <v>6.6642469570448323E-2</v>
      </c>
      <c r="AW50" s="1">
        <f>[2]Urban_area_finals!AW140/[2]Urban_area_finals!$G140</f>
        <v>6.8425910864250594E-2</v>
      </c>
      <c r="AX50" s="1">
        <f>[2]Urban_area_finals!AX140/[2]Urban_area_finals!$G140</f>
        <v>7.0828097096718959E-2</v>
      </c>
      <c r="AY50" s="1">
        <f>[2]Urban_area_finals!AY140/[2]Urban_area_finals!$G140</f>
        <v>7.2793522196011262E-2</v>
      </c>
    </row>
    <row r="51" spans="1:51" x14ac:dyDescent="0.25">
      <c r="A51" t="s">
        <v>315</v>
      </c>
      <c r="B51" t="s">
        <v>316</v>
      </c>
      <c r="C51" t="s">
        <v>317</v>
      </c>
      <c r="D51" t="s">
        <v>139</v>
      </c>
      <c r="E51" t="s">
        <v>55</v>
      </c>
      <c r="F51" t="s">
        <v>140</v>
      </c>
      <c r="G51">
        <v>181696.91258783301</v>
      </c>
      <c r="H51">
        <v>1148.9585168857359</v>
      </c>
      <c r="I51">
        <f>Table2[[#This Row],[FUA_area]]+Table2[[#This Row],[FUA_urban]]</f>
        <v>182845.87110471874</v>
      </c>
      <c r="J51">
        <v>16296273</v>
      </c>
      <c r="K51" s="1">
        <f>[2]Urban_area_finals!K29/[2]Urban_area_finals!$G29</f>
        <v>6.6591662960169262E-4</v>
      </c>
      <c r="L51" s="1">
        <f>[2]Urban_area_finals!L29/[2]Urban_area_finals!$G29</f>
        <v>6.8360751547929513E-4</v>
      </c>
      <c r="M51" s="1">
        <f>[2]Urban_area_finals!M29/[2]Urban_area_finals!$G29</f>
        <v>7.4882615446090421E-4</v>
      </c>
      <c r="N51" s="1">
        <f>[2]Urban_area_finals!N29/[2]Urban_area_finals!$G29</f>
        <v>9.2626309938252877E-4</v>
      </c>
      <c r="O51" s="1">
        <f>[2]Urban_area_finals!O29/[2]Urban_area_finals!$G29</f>
        <v>1.6568702818202305E-3</v>
      </c>
      <c r="P51" s="1">
        <f>[2]Urban_area_finals!P29/[2]Urban_area_finals!$G29</f>
        <v>1.8665204816234596E-3</v>
      </c>
      <c r="Q51" s="1">
        <f>[2]Urban_area_finals!Q29/[2]Urban_area_finals!$G29</f>
        <v>1.9061269425434651E-3</v>
      </c>
      <c r="R51" s="1">
        <f>[2]Urban_area_finals!R29/[2]Urban_area_finals!$G29</f>
        <v>1.9222335699842672E-3</v>
      </c>
      <c r="S51" s="1">
        <f>[2]Urban_area_finals!S29/[2]Urban_area_finals!$G29</f>
        <v>1.9407165850802699E-3</v>
      </c>
      <c r="T51" s="1">
        <f>[2]Urban_area_finals!T29/[2]Urban_area_finals!$G29</f>
        <v>2.0959739118866917E-3</v>
      </c>
      <c r="U51" s="1">
        <f>[2]Urban_area_finals!U29/[2]Urban_area_finals!$G29</f>
        <v>2.3682023199435294E-3</v>
      </c>
      <c r="V51" s="1">
        <f>[2]Urban_area_finals!V29/[2]Urban_area_finals!$G29</f>
        <v>2.6280207035787656E-3</v>
      </c>
      <c r="W51" s="1">
        <f>[2]Urban_area_finals!W29/[2]Urban_area_finals!$G29</f>
        <v>3.7076928282581156E-3</v>
      </c>
      <c r="X51" s="1">
        <f>[2]Urban_area_finals!X29/[2]Urban_area_finals!$G29</f>
        <v>3.9965559499013561E-3</v>
      </c>
      <c r="Y51" s="1">
        <f>[2]Urban_area_finals!Y29/[2]Urban_area_finals!$G29</f>
        <v>4.7678257655502628E-3</v>
      </c>
      <c r="Z51" s="1">
        <f>[2]Urban_area_finals!Z29/[2]Urban_area_finals!$G29</f>
        <v>5.6742856344727897E-3</v>
      </c>
      <c r="AA51" s="1">
        <f>[2]Urban_area_finals!AA29/[2]Urban_area_finals!$G29</f>
        <v>6.578897201885715E-3</v>
      </c>
      <c r="AB51" s="1">
        <f>[2]Urban_area_finals!AB29/[2]Urban_area_finals!$G29</f>
        <v>7.0647364558377827E-3</v>
      </c>
      <c r="AC51" s="1">
        <f>[2]Urban_area_finals!AC29/[2]Urban_area_finals!$G29</f>
        <v>7.5109692488698442E-3</v>
      </c>
      <c r="AD51" s="1">
        <f>[2]Urban_area_finals!AD29/[2]Urban_area_finals!$G29</f>
        <v>8.2024980565331418E-3</v>
      </c>
      <c r="AE51" s="1">
        <f>[2]Urban_area_finals!AE29/[2]Urban_area_finals!$G29</f>
        <v>8.6904496550676089E-3</v>
      </c>
      <c r="AF51" s="1">
        <f>[2]Urban_area_finals!AF29/[2]Urban_area_finals!$G29</f>
        <v>9.3188721683316964E-3</v>
      </c>
      <c r="AG51" s="1">
        <f>[2]Urban_area_finals!AG29/[2]Urban_area_finals!$G29</f>
        <v>1.0076411744195001E-2</v>
      </c>
      <c r="AH51" s="1">
        <f>[2]Urban_area_finals!AH29/[2]Urban_area_finals!$G29</f>
        <v>1.1191201597556757E-2</v>
      </c>
      <c r="AI51" s="1">
        <f>[2]Urban_area_finals!AI29/[2]Urban_area_finals!$G29</f>
        <v>1.2484220525058537E-2</v>
      </c>
      <c r="AJ51" s="1">
        <f>[2]Urban_area_finals!AJ29/[2]Urban_area_finals!$G29</f>
        <v>1.3605875498313092E-2</v>
      </c>
      <c r="AK51" s="1">
        <f>[2]Urban_area_finals!AK29/[2]Urban_area_finals!$G29</f>
        <v>1.4754198821920451E-2</v>
      </c>
      <c r="AL51" s="1">
        <f>[2]Urban_area_finals!AL29/[2]Urban_area_finals!$G29</f>
        <v>1.6063060333790236E-2</v>
      </c>
      <c r="AM51" s="1">
        <f>[2]Urban_area_finals!AM29/[2]Urban_area_finals!$G29</f>
        <v>1.7950968304310495E-2</v>
      </c>
      <c r="AN51" s="1">
        <f>[2]Urban_area_finals!AN29/[2]Urban_area_finals!$G29</f>
        <v>1.9112229738485059E-2</v>
      </c>
      <c r="AO51" s="1">
        <f>[2]Urban_area_finals!AO29/[2]Urban_area_finals!$G29</f>
        <v>2.1071957424806931E-2</v>
      </c>
      <c r="AP51" s="1">
        <f>[2]Urban_area_finals!AP29/[2]Urban_area_finals!$G29</f>
        <v>2.4047458812190545E-2</v>
      </c>
      <c r="AQ51" s="1">
        <f>[2]Urban_area_finals!AQ29/[2]Urban_area_finals!$G29</f>
        <v>2.703246575019496E-2</v>
      </c>
      <c r="AR51" s="1">
        <f>[2]Urban_area_finals!AR29/[2]Urban_area_finals!$G29</f>
        <v>3.0187252384009801E-2</v>
      </c>
      <c r="AS51" s="1">
        <f>[2]Urban_area_finals!AS29/[2]Urban_area_finals!$G29</f>
        <v>3.4567198875616802E-2</v>
      </c>
      <c r="AT51" s="1">
        <f>[2]Urban_area_finals!AT29/[2]Urban_area_finals!$G29</f>
        <v>3.7862456424161264E-2</v>
      </c>
      <c r="AU51" s="1">
        <f>[2]Urban_area_finals!AU29/[2]Urban_area_finals!$G29</f>
        <v>4.0947430069527779E-2</v>
      </c>
      <c r="AV51" s="1">
        <f>[2]Urban_area_finals!AV29/[2]Urban_area_finals!$G29</f>
        <v>4.5574890537577538E-2</v>
      </c>
      <c r="AW51" s="1">
        <f>[2]Urban_area_finals!AW29/[2]Urban_area_finals!$G29</f>
        <v>5.4454659075842772E-2</v>
      </c>
      <c r="AX51" s="1">
        <f>[2]Urban_area_finals!AX29/[2]Urban_area_finals!$G29</f>
        <v>6.3636756932464053E-2</v>
      </c>
      <c r="AY51" s="1">
        <f>[2]Urban_area_finals!AY29/[2]Urban_area_finals!$G29</f>
        <v>7.1409920952624342E-2</v>
      </c>
    </row>
    <row r="52" spans="1:51" x14ac:dyDescent="0.25">
      <c r="A52" t="s">
        <v>51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643838.73146685481</v>
      </c>
      <c r="H52">
        <v>1917.35198409337</v>
      </c>
      <c r="I52">
        <f>Table2[[#This Row],[FUA_area]]+Table2[[#This Row],[FUA_urban]]</f>
        <v>645756.08345094812</v>
      </c>
      <c r="K52" s="1">
        <f>[2]Urban_area_finals!K157/[2]Urban_area_finals!$G157</f>
        <v>3.4395592295166822E-3</v>
      </c>
      <c r="L52" s="1">
        <f>[2]Urban_area_finals!L157/[2]Urban_area_finals!$G157</f>
        <v>4.686530029019924E-3</v>
      </c>
      <c r="M52" s="1">
        <f>[2]Urban_area_finals!M157/[2]Urban_area_finals!$G157</f>
        <v>6.1133589369199185E-3</v>
      </c>
      <c r="N52" s="1">
        <f>[2]Urban_area_finals!N157/[2]Urban_area_finals!$G157</f>
        <v>7.6346587704424493E-3</v>
      </c>
      <c r="O52" s="1">
        <f>[2]Urban_area_finals!O157/[2]Urban_area_finals!$G157</f>
        <v>9.697803864867318E-3</v>
      </c>
      <c r="P52" s="1">
        <f>[2]Urban_area_finals!P157/[2]Urban_area_finals!$G157</f>
        <v>1.1338554916845269E-2</v>
      </c>
      <c r="Q52" s="1">
        <f>[2]Urban_area_finals!Q157/[2]Urban_area_finals!$G157</f>
        <v>1.3323806916345786E-2</v>
      </c>
      <c r="R52" s="1">
        <f>[2]Urban_area_finals!R157/[2]Urban_area_finals!$G157</f>
        <v>1.4505601860912324E-2</v>
      </c>
      <c r="S52" s="1">
        <f>[2]Urban_area_finals!S157/[2]Urban_area_finals!$G157</f>
        <v>1.7653345851426704E-2</v>
      </c>
      <c r="T52" s="1">
        <f>[2]Urban_area_finals!T157/[2]Urban_area_finals!$G157</f>
        <v>2.2252899042673951E-2</v>
      </c>
      <c r="U52" s="1">
        <f>[2]Urban_area_finals!U157/[2]Urban_area_finals!$G157</f>
        <v>2.6784551256130006E-2</v>
      </c>
      <c r="V52" s="1">
        <f>[2]Urban_area_finals!V157/[2]Urban_area_finals!$G157</f>
        <v>2.991344648023412E-2</v>
      </c>
      <c r="W52" s="1">
        <f>[2]Urban_area_finals!W157/[2]Urban_area_finals!$G157</f>
        <v>3.4572498187137875E-2</v>
      </c>
      <c r="X52" s="1">
        <f>[2]Urban_area_finals!X157/[2]Urban_area_finals!$G157</f>
        <v>3.6156021659171401E-2</v>
      </c>
      <c r="Y52" s="1">
        <f>[2]Urban_area_finals!Y157/[2]Urban_area_finals!$G157</f>
        <v>3.8666541088876072E-2</v>
      </c>
      <c r="Z52" s="1">
        <f>[2]Urban_area_finals!Z157/[2]Urban_area_finals!$G157</f>
        <v>4.0531887682778746E-2</v>
      </c>
      <c r="AA52" s="1">
        <f>[2]Urban_area_finals!AA157/[2]Urban_area_finals!$G157</f>
        <v>4.1687339773085162E-2</v>
      </c>
      <c r="AB52" s="1">
        <f>[2]Urban_area_finals!AB157/[2]Urban_area_finals!$G157</f>
        <v>4.2271651531803393E-2</v>
      </c>
      <c r="AC52" s="1">
        <f>[2]Urban_area_finals!AC157/[2]Urban_area_finals!$G157</f>
        <v>4.2807592359854325E-2</v>
      </c>
      <c r="AD52" s="1">
        <f>[2]Urban_area_finals!AD157/[2]Urban_area_finals!$G157</f>
        <v>4.3653288819032993E-2</v>
      </c>
      <c r="AE52" s="1">
        <f>[2]Urban_area_finals!AE157/[2]Urban_area_finals!$G157</f>
        <v>4.4377944404757785E-2</v>
      </c>
      <c r="AF52" s="1">
        <f>[2]Urban_area_finals!AF157/[2]Urban_area_finals!$G157</f>
        <v>4.496634384775778E-2</v>
      </c>
      <c r="AG52" s="1">
        <f>[2]Urban_area_finals!AG157/[2]Urban_area_finals!$G157</f>
        <v>4.5366028533083885E-2</v>
      </c>
      <c r="AH52" s="1">
        <f>[2]Urban_area_finals!AH157/[2]Urban_area_finals!$G157</f>
        <v>4.5771163464118997E-2</v>
      </c>
      <c r="AI52" s="1">
        <f>[2]Urban_area_finals!AI157/[2]Urban_area_finals!$G157</f>
        <v>4.6151999383034853E-2</v>
      </c>
      <c r="AJ52" s="1">
        <f>[2]Urban_area_finals!AJ157/[2]Urban_area_finals!$G157</f>
        <v>4.6550548600504928E-2</v>
      </c>
      <c r="AK52" s="1">
        <f>[2]Urban_area_finals!AK157/[2]Urban_area_finals!$G157</f>
        <v>4.6986114070081908E-2</v>
      </c>
      <c r="AL52" s="1">
        <f>[2]Urban_area_finals!AL157/[2]Urban_area_finals!$G157</f>
        <v>4.7653769169433494E-2</v>
      </c>
      <c r="AM52" s="1">
        <f>[2]Urban_area_finals!AM157/[2]Urban_area_finals!$G157</f>
        <v>4.8772886288346619E-2</v>
      </c>
      <c r="AN52" s="1">
        <f>[2]Urban_area_finals!AN157/[2]Urban_area_finals!$G157</f>
        <v>4.934266405850754E-2</v>
      </c>
      <c r="AO52" s="1">
        <f>[2]Urban_area_finals!AO157/[2]Urban_area_finals!$G157</f>
        <v>5.0129997469885751E-2</v>
      </c>
      <c r="AP52" s="1">
        <f>[2]Urban_area_finals!AP157/[2]Urban_area_finals!$G157</f>
        <v>5.0998857473327636E-2</v>
      </c>
      <c r="AQ52" s="1">
        <f>[2]Urban_area_finals!AQ157/[2]Urban_area_finals!$G157</f>
        <v>5.2616672074613569E-2</v>
      </c>
      <c r="AR52" s="1">
        <f>[2]Urban_area_finals!AR157/[2]Urban_area_finals!$G157</f>
        <v>5.4536066938463766E-2</v>
      </c>
      <c r="AS52" s="1">
        <f>[2]Urban_area_finals!AS157/[2]Urban_area_finals!$G157</f>
        <v>5.6146160358328624E-2</v>
      </c>
      <c r="AT52" s="1">
        <f>[2]Urban_area_finals!AT157/[2]Urban_area_finals!$G157</f>
        <v>5.8206126142756595E-2</v>
      </c>
      <c r="AU52" s="1">
        <f>[2]Urban_area_finals!AU157/[2]Urban_area_finals!$G157</f>
        <v>5.9671152189333776E-2</v>
      </c>
      <c r="AV52" s="1">
        <f>[2]Urban_area_finals!AV157/[2]Urban_area_finals!$G157</f>
        <v>6.186869125919954E-2</v>
      </c>
      <c r="AW52" s="1">
        <f>[2]Urban_area_finals!AW157/[2]Urban_area_finals!$G157</f>
        <v>6.5073435736087148E-2</v>
      </c>
      <c r="AX52" s="1">
        <f>[2]Urban_area_finals!AX157/[2]Urban_area_finals!$G157</f>
        <v>6.7820132479848153E-2</v>
      </c>
      <c r="AY52" s="1">
        <f>[2]Urban_area_finals!AY157/[2]Urban_area_finals!$G157</f>
        <v>7.0567056317180368E-2</v>
      </c>
    </row>
    <row r="53" spans="1:51" x14ac:dyDescent="0.25">
      <c r="A53" t="s">
        <v>379</v>
      </c>
      <c r="B53" t="s">
        <v>380</v>
      </c>
      <c r="C53" t="s">
        <v>381</v>
      </c>
      <c r="D53" t="s">
        <v>160</v>
      </c>
      <c r="E53" t="s">
        <v>55</v>
      </c>
      <c r="F53" t="s">
        <v>161</v>
      </c>
      <c r="G53">
        <v>1566250.2234417249</v>
      </c>
      <c r="H53">
        <v>383.24303472432422</v>
      </c>
      <c r="I53">
        <f>Table2[[#This Row],[FUA_area]]+Table2[[#This Row],[FUA_urban]]</f>
        <v>1566633.4664764493</v>
      </c>
      <c r="J53">
        <v>3266460</v>
      </c>
      <c r="K53" s="1">
        <f>[2]Urban_area_finals!K80/[2]Urban_area_finals!$G80</f>
        <v>1.0504135363356059E-4</v>
      </c>
      <c r="L53" s="1">
        <f>[2]Urban_area_finals!L80/[2]Urban_area_finals!$G80</f>
        <v>1.0504135363356059E-4</v>
      </c>
      <c r="M53" s="1">
        <f>[2]Urban_area_finals!M80/[2]Urban_area_finals!$G80</f>
        <v>1.0504135363356059E-4</v>
      </c>
      <c r="N53" s="1">
        <f>[2]Urban_area_finals!N80/[2]Urban_area_finals!$G80</f>
        <v>1.0504135363356059E-4</v>
      </c>
      <c r="O53" s="1">
        <f>[2]Urban_area_finals!O80/[2]Urban_area_finals!$G80</f>
        <v>1.0504135363356059E-4</v>
      </c>
      <c r="P53" s="1">
        <f>[2]Urban_area_finals!P80/[2]Urban_area_finals!$G80</f>
        <v>1.0504135363356059E-4</v>
      </c>
      <c r="Q53" s="1">
        <f>[2]Urban_area_finals!Q80/[2]Urban_area_finals!$G80</f>
        <v>1.0504135363356059E-4</v>
      </c>
      <c r="R53" s="1">
        <f>[2]Urban_area_finals!R80/[2]Urban_area_finals!$G80</f>
        <v>1.0504135363356059E-4</v>
      </c>
      <c r="S53" s="1">
        <f>[2]Urban_area_finals!S80/[2]Urban_area_finals!$G80</f>
        <v>1.0504135363356059E-4</v>
      </c>
      <c r="T53" s="1">
        <f>[2]Urban_area_finals!T80/[2]Urban_area_finals!$G80</f>
        <v>1.0504135363356059E-4</v>
      </c>
      <c r="U53" s="1">
        <f>[2]Urban_area_finals!U80/[2]Urban_area_finals!$G80</f>
        <v>3.6764473771746213E-4</v>
      </c>
      <c r="V53" s="1">
        <f>[2]Urban_area_finals!V80/[2]Urban_area_finals!$G80</f>
        <v>3.6764473771746213E-4</v>
      </c>
      <c r="W53" s="1">
        <f>[2]Urban_area_finals!W80/[2]Urban_area_finals!$G80</f>
        <v>6.3024812180136362E-4</v>
      </c>
      <c r="X53" s="1">
        <f>[2]Urban_area_finals!X80/[2]Urban_area_finals!$G80</f>
        <v>6.8276879861814388E-4</v>
      </c>
      <c r="Y53" s="1">
        <f>[2]Urban_area_finals!Y80/[2]Urban_area_finals!$G80</f>
        <v>6.8276879861814388E-4</v>
      </c>
      <c r="Z53" s="1">
        <f>[2]Urban_area_finals!Z80/[2]Urban_area_finals!$G80</f>
        <v>1.7331823349537496E-3</v>
      </c>
      <c r="AA53" s="1">
        <f>[2]Urban_area_finals!AA80/[2]Urban_area_finals!$G80</f>
        <v>1.7331823349537496E-3</v>
      </c>
      <c r="AB53" s="1">
        <f>[2]Urban_area_finals!AB80/[2]Urban_area_finals!$G80</f>
        <v>1.7331823349537496E-3</v>
      </c>
      <c r="AC53" s="1">
        <f>[2]Urban_area_finals!AC80/[2]Urban_area_finals!$G80</f>
        <v>1.7331823349537496E-3</v>
      </c>
      <c r="AD53" s="1">
        <f>[2]Urban_area_finals!AD80/[2]Urban_area_finals!$G80</f>
        <v>1.7331823349537496E-3</v>
      </c>
      <c r="AE53" s="1">
        <f>[2]Urban_area_finals!AE80/[2]Urban_area_finals!$G80</f>
        <v>1.7331823349537496E-3</v>
      </c>
      <c r="AF53" s="1">
        <f>[2]Urban_area_finals!AF80/[2]Urban_area_finals!$G80</f>
        <v>1.7331823349537496E-3</v>
      </c>
      <c r="AG53" s="1">
        <f>[2]Urban_area_finals!AG80/[2]Urban_area_finals!$G80</f>
        <v>1.7331823349537496E-3</v>
      </c>
      <c r="AH53" s="1">
        <f>[2]Urban_area_finals!AH80/[2]Urban_area_finals!$G80</f>
        <v>1.7331823349537496E-3</v>
      </c>
      <c r="AI53" s="1">
        <f>[2]Urban_area_finals!AI80/[2]Urban_area_finals!$G80</f>
        <v>1.7331823349537496E-3</v>
      </c>
      <c r="AJ53" s="1">
        <f>[2]Urban_area_finals!AJ80/[2]Urban_area_finals!$G80</f>
        <v>1.7331823349537496E-3</v>
      </c>
      <c r="AK53" s="1">
        <f>[2]Urban_area_finals!AK80/[2]Urban_area_finals!$G80</f>
        <v>1.7331823349537496E-3</v>
      </c>
      <c r="AL53" s="1">
        <f>[2]Urban_area_finals!AL80/[2]Urban_area_finals!$G80</f>
        <v>2.1008270726712119E-3</v>
      </c>
      <c r="AM53" s="1">
        <f>[2]Urban_area_finals!AM80/[2]Urban_area_finals!$G80</f>
        <v>2.5735131640222345E-3</v>
      </c>
      <c r="AN53" s="1">
        <f>[2]Urban_area_finals!AN80/[2]Urban_area_finals!$G80</f>
        <v>2.7310751944725755E-3</v>
      </c>
      <c r="AO53" s="1">
        <f>[2]Urban_area_finals!AO80/[2]Urban_area_finals!$G80</f>
        <v>2.783595871289356E-3</v>
      </c>
      <c r="AP53" s="1">
        <f>[2]Urban_area_finals!AP80/[2]Urban_area_finals!$G80</f>
        <v>3.5714060235410598E-3</v>
      </c>
      <c r="AQ53" s="1">
        <f>[2]Urban_area_finals!AQ80/[2]Urban_area_finals!$G80</f>
        <v>4.4642575294263258E-3</v>
      </c>
      <c r="AR53" s="1">
        <f>[2]Urban_area_finals!AR80/[2]Urban_area_finals!$G80</f>
        <v>4.7268609135102269E-3</v>
      </c>
      <c r="AS53" s="1">
        <f>[2]Urban_area_finals!AS80/[2]Urban_area_finals!$G80</f>
        <v>5.1470263280444691E-3</v>
      </c>
      <c r="AT53" s="1">
        <f>[2]Urban_area_finals!AT80/[2]Urban_area_finals!$G80</f>
        <v>5.567191742578712E-3</v>
      </c>
      <c r="AU53" s="1">
        <f>[2]Urban_area_finals!AU80/[2]Urban_area_finals!$G80</f>
        <v>6.3234894887403484E-3</v>
      </c>
      <c r="AV53" s="1">
        <f>[2]Urban_area_finals!AV80/[2]Urban_area_finals!$G80</f>
        <v>7.4579361079828016E-3</v>
      </c>
      <c r="AW53" s="1">
        <f>[2]Urban_area_finals!AW80/[2]Urban_area_finals!$G80</f>
        <v>1.3655375972362877E-2</v>
      </c>
      <c r="AX53" s="1">
        <f>[2]Urban_area_finals!AX80/[2]Urban_area_finals!$G80</f>
        <v>3.3088026394571583E-2</v>
      </c>
      <c r="AY53" s="1">
        <f>[2]Urban_area_finals!AY80/[2]Urban_area_finals!$G80</f>
        <v>6.8697045276348623E-2</v>
      </c>
    </row>
    <row r="54" spans="1:51" x14ac:dyDescent="0.25">
      <c r="A54" t="s">
        <v>136</v>
      </c>
      <c r="B54" t="s">
        <v>137</v>
      </c>
      <c r="C54" t="s">
        <v>138</v>
      </c>
      <c r="D54" t="s">
        <v>139</v>
      </c>
      <c r="E54" t="s">
        <v>55</v>
      </c>
      <c r="F54" t="s">
        <v>140</v>
      </c>
      <c r="G54">
        <v>5777.4913640251616</v>
      </c>
      <c r="H54">
        <v>115.2331988151243</v>
      </c>
      <c r="I54">
        <f>Table2[[#This Row],[FUA_area]]+Table2[[#This Row],[FUA_urban]]</f>
        <v>5892.7245628402861</v>
      </c>
      <c r="J54">
        <v>439894</v>
      </c>
      <c r="K54" s="1">
        <f>[2]Urban_area_finals!K20/[2]Urban_area_finals!$G20</f>
        <v>4.9647915309875294E-4</v>
      </c>
      <c r="L54" s="1">
        <f>[2]Urban_area_finals!L20/[2]Urban_area_finals!$G20</f>
        <v>5.6582958056692484E-4</v>
      </c>
      <c r="M54" s="1">
        <f>[2]Urban_area_finals!M20/[2]Urban_area_finals!$G20</f>
        <v>6.6995516620304023E-4</v>
      </c>
      <c r="N54" s="1">
        <f>[2]Urban_area_finals!N20/[2]Urban_area_finals!$G20</f>
        <v>8.885232472107844E-4</v>
      </c>
      <c r="O54" s="1">
        <f>[2]Urban_area_finals!O20/[2]Urban_area_finals!$G20</f>
        <v>1.2734923903975242E-3</v>
      </c>
      <c r="P54" s="1">
        <f>[2]Urban_area_finals!P20/[2]Urban_area_finals!$G20</f>
        <v>1.3988477225248038E-3</v>
      </c>
      <c r="Q54" s="1">
        <f>[2]Urban_area_finals!Q20/[2]Urban_area_finals!$G20</f>
        <v>1.4810214061618554E-3</v>
      </c>
      <c r="R54" s="1">
        <f>[2]Urban_area_finals!R20/[2]Urban_area_finals!$G20</f>
        <v>1.6386616205891649E-3</v>
      </c>
      <c r="S54" s="1">
        <f>[2]Urban_area_finals!S20/[2]Urban_area_finals!$G20</f>
        <v>1.7507948074992575E-3</v>
      </c>
      <c r="T54" s="1">
        <f>[2]Urban_area_finals!T20/[2]Urban_area_finals!$G20</f>
        <v>2.3447136246955423E-3</v>
      </c>
      <c r="U54" s="1">
        <f>[2]Urban_area_finals!U20/[2]Urban_area_finals!$G20</f>
        <v>3.2397404215974181E-3</v>
      </c>
      <c r="V54" s="1">
        <f>[2]Urban_area_finals!V20/[2]Urban_area_finals!$G20</f>
        <v>4.1428176405054898E-3</v>
      </c>
      <c r="W54" s="1">
        <f>[2]Urban_area_finals!W20/[2]Urban_area_finals!$G20</f>
        <v>4.9916810995088573E-3</v>
      </c>
      <c r="X54" s="1">
        <f>[2]Urban_area_finals!X20/[2]Urban_area_finals!$G20</f>
        <v>5.0455889261115366E-3</v>
      </c>
      <c r="Y54" s="1">
        <f>[2]Urban_area_finals!Y20/[2]Urban_area_finals!$G20</f>
        <v>5.4427704455625387E-3</v>
      </c>
      <c r="Z54" s="1">
        <f>[2]Urban_area_finals!Z20/[2]Urban_area_finals!$G20</f>
        <v>5.7811954302508673E-3</v>
      </c>
      <c r="AA54" s="1">
        <f>[2]Urban_area_finals!AA20/[2]Urban_area_finals!$G20</f>
        <v>5.9747191161544991E-3</v>
      </c>
      <c r="AB54" s="1">
        <f>[2]Urban_area_finals!AB20/[2]Urban_area_finals!$G20</f>
        <v>6.1549844032290314E-3</v>
      </c>
      <c r="AC54" s="1">
        <f>[2]Urban_area_finals!AC20/[2]Urban_area_finals!$G20</f>
        <v>6.3412470095790558E-3</v>
      </c>
      <c r="AD54" s="1">
        <f>[2]Urban_area_finals!AD20/[2]Urban_area_finals!$G20</f>
        <v>6.4666419599845038E-3</v>
      </c>
      <c r="AE54" s="1">
        <f>[2]Urban_area_finals!AE20/[2]Urban_area_finals!$G20</f>
        <v>6.5495964489858333E-3</v>
      </c>
      <c r="AF54" s="1">
        <f>[2]Urban_area_finals!AF20/[2]Urban_area_finals!$G20</f>
        <v>6.6376868644991201E-3</v>
      </c>
      <c r="AG54" s="1">
        <f>[2]Urban_area_finals!AG20/[2]Urban_area_finals!$G20</f>
        <v>6.7056662897435424E-3</v>
      </c>
      <c r="AH54" s="1">
        <f>[2]Urban_area_finals!AH20/[2]Urban_area_finals!$G20</f>
        <v>6.8257619945647071E-3</v>
      </c>
      <c r="AI54" s="1">
        <f>[2]Urban_area_finals!AI20/[2]Urban_area_finals!$G20</f>
        <v>7.0502855796977324E-3</v>
      </c>
      <c r="AJ54" s="1">
        <f>[2]Urban_area_finals!AJ20/[2]Urban_area_finals!$G20</f>
        <v>7.3732398969762383E-3</v>
      </c>
      <c r="AK54" s="1">
        <f>[2]Urban_area_finals!AK20/[2]Urban_area_finals!$G20</f>
        <v>7.7103268235879921E-3</v>
      </c>
      <c r="AL54" s="1">
        <f>[2]Urban_area_finals!AL20/[2]Urban_area_finals!$G20</f>
        <v>8.0215968584581299E-3</v>
      </c>
      <c r="AM54" s="1">
        <f>[2]Urban_area_finals!AM20/[2]Urban_area_finals!$G20</f>
        <v>8.5583730687599242E-3</v>
      </c>
      <c r="AN54" s="1">
        <f>[2]Urban_area_finals!AN20/[2]Urban_area_finals!$G20</f>
        <v>8.9299458058508287E-3</v>
      </c>
      <c r="AO54" s="1">
        <f>[2]Urban_area_finals!AO20/[2]Urban_area_finals!$G20</f>
        <v>9.3326144142299502E-3</v>
      </c>
      <c r="AP54" s="1">
        <f>[2]Urban_area_finals!AP20/[2]Urban_area_finals!$G20</f>
        <v>9.8450074431245468E-3</v>
      </c>
      <c r="AQ54" s="1">
        <f>[2]Urban_area_finals!AQ20/[2]Urban_area_finals!$G20</f>
        <v>1.1118278018558239E-2</v>
      </c>
      <c r="AR54" s="1">
        <f>[2]Urban_area_finals!AR20/[2]Urban_area_finals!$G20</f>
        <v>1.2763623013321753E-2</v>
      </c>
      <c r="AS54" s="1">
        <f>[2]Urban_area_finals!AS20/[2]Urban_area_finals!$G20</f>
        <v>1.4150261473638244E-2</v>
      </c>
      <c r="AT54" s="1">
        <f>[2]Urban_area_finals!AT20/[2]Urban_area_finals!$G20</f>
        <v>1.5584172957201606E-2</v>
      </c>
      <c r="AU54" s="1">
        <f>[2]Urban_area_finals!AU20/[2]Urban_area_finals!$G20</f>
        <v>1.8567159281845599E-2</v>
      </c>
      <c r="AV54" s="1">
        <f>[2]Urban_area_finals!AV20/[2]Urban_area_finals!$G20</f>
        <v>2.3041638768811584E-2</v>
      </c>
      <c r="AW54" s="1">
        <f>[2]Urban_area_finals!AW20/[2]Urban_area_finals!$G20</f>
        <v>4.2862726558801668E-2</v>
      </c>
      <c r="AX54" s="1">
        <f>[2]Urban_area_finals!AX20/[2]Urban_area_finals!$G20</f>
        <v>5.8901910724294806E-2</v>
      </c>
      <c r="AY54" s="1">
        <f>[2]Urban_area_finals!AY20/[2]Urban_area_finals!$G20</f>
        <v>6.6076776240755142E-2</v>
      </c>
    </row>
    <row r="55" spans="1:51" x14ac:dyDescent="0.25">
      <c r="A55" t="s">
        <v>130</v>
      </c>
      <c r="B55" t="s">
        <v>131</v>
      </c>
      <c r="C55" t="s">
        <v>132</v>
      </c>
      <c r="D55" t="s">
        <v>75</v>
      </c>
      <c r="E55" t="s">
        <v>76</v>
      </c>
      <c r="F55" t="s">
        <v>77</v>
      </c>
      <c r="G55">
        <v>1084380.2191149129</v>
      </c>
      <c r="H55">
        <v>2854.2507675567899</v>
      </c>
      <c r="I55">
        <f>Table2[[#This Row],[FUA_area]]+Table2[[#This Row],[FUA_urban]]</f>
        <v>1087234.4698824696</v>
      </c>
      <c r="J55">
        <v>11862352</v>
      </c>
      <c r="K55" s="1">
        <f>[2]Urban_area_finals!K66/[2]Urban_area_finals!$G66</f>
        <v>8.1357478188754696E-4</v>
      </c>
      <c r="L55" s="1">
        <f>[2]Urban_area_finals!L66/[2]Urban_area_finals!$G66</f>
        <v>1.038606104537294E-3</v>
      </c>
      <c r="M55" s="1">
        <f>[2]Urban_area_finals!M66/[2]Urban_area_finals!$G66</f>
        <v>1.3040276645857134E-3</v>
      </c>
      <c r="N55" s="1">
        <f>[2]Urban_area_finals!N66/[2]Urban_area_finals!$G66</f>
        <v>1.6098394620328057E-3</v>
      </c>
      <c r="O55" s="1">
        <f>[2]Urban_area_finals!O66/[2]Urban_area_finals!$G66</f>
        <v>2.1176024464732608E-3</v>
      </c>
      <c r="P55" s="1">
        <f>[2]Urban_area_finals!P66/[2]Urban_area_finals!$G66</f>
        <v>2.5041947187176977E-3</v>
      </c>
      <c r="Q55" s="1">
        <f>[2]Urban_area_finals!Q66/[2]Urban_area_finals!$G66</f>
        <v>2.8907869909621351E-3</v>
      </c>
      <c r="R55" s="1">
        <f>[2]Urban_area_finals!R66/[2]Urban_area_finals!$G66</f>
        <v>3.2600691614642842E-3</v>
      </c>
      <c r="S55" s="1">
        <f>[2]Urban_area_finals!S66/[2]Urban_area_finals!$G66</f>
        <v>3.4793304501999347E-3</v>
      </c>
      <c r="T55" s="1">
        <f>[2]Urban_area_finals!T66/[2]Urban_area_finals!$G66</f>
        <v>4.004403536382678E-3</v>
      </c>
      <c r="U55" s="1">
        <f>[2]Urban_area_finals!U66/[2]Urban_area_finals!$G66</f>
        <v>4.6044870634486699E-3</v>
      </c>
      <c r="V55" s="1">
        <f>[2]Urban_area_finals!V66/[2]Urban_area_finals!$G66</f>
        <v>5.4353719470785055E-3</v>
      </c>
      <c r="W55" s="1">
        <f>[2]Urban_area_finals!W66/[2]Urban_area_finals!$G66</f>
        <v>6.9471208325716776E-3</v>
      </c>
      <c r="X55" s="1">
        <f>[2]Urban_area_finals!X66/[2]Urban_area_finals!$G66</f>
        <v>7.5818245631222459E-3</v>
      </c>
      <c r="Y55" s="1">
        <f>[2]Urban_area_finals!Y66/[2]Urban_area_finals!$G66</f>
        <v>1.0207189994035961E-2</v>
      </c>
      <c r="Z55" s="1">
        <f>[2]Urban_area_finals!Z66/[2]Urban_area_finals!$G66</f>
        <v>1.2059370880460803E-2</v>
      </c>
      <c r="AA55" s="1">
        <f>[2]Urban_area_finals!AA66/[2]Urban_area_finals!$G66</f>
        <v>1.4528945395693925E-2</v>
      </c>
      <c r="AB55" s="1">
        <f>[2]Urban_area_finals!AB66/[2]Urban_area_finals!$G66</f>
        <v>1.4800136989656442E-2</v>
      </c>
      <c r="AC55" s="1">
        <f>[2]Urban_area_finals!AC66/[2]Urban_area_finals!$G66</f>
        <v>1.4927077735766554E-2</v>
      </c>
      <c r="AD55" s="1">
        <f>[2]Urban_area_finals!AD66/[2]Urban_area_finals!$G66</f>
        <v>1.5146339024502204E-2</v>
      </c>
      <c r="AE55" s="1">
        <f>[2]Urban_area_finals!AE66/[2]Urban_area_finals!$G66</f>
        <v>1.5325210075839184E-2</v>
      </c>
      <c r="AF55" s="1">
        <f>[2]Urban_area_finals!AF66/[2]Urban_area_finals!$G66</f>
        <v>1.5561781466317124E-2</v>
      </c>
      <c r="AG55" s="1">
        <f>[2]Urban_area_finals!AG66/[2]Urban_area_finals!$G66</f>
        <v>1.579835285679506E-2</v>
      </c>
      <c r="AH55" s="1">
        <f>[2]Urban_area_finals!AH66/[2]Urban_area_finals!$G66</f>
        <v>1.6075314484671671E-2</v>
      </c>
      <c r="AI55" s="1">
        <f>[2]Urban_area_finals!AI66/[2]Urban_area_finals!$G66</f>
        <v>1.6421516519517437E-2</v>
      </c>
      <c r="AJ55" s="1">
        <f>[2]Urban_area_finals!AJ66/[2]Urban_area_finals!$G66</f>
        <v>1.6779258622191397E-2</v>
      </c>
      <c r="AK55" s="1">
        <f>[2]Urban_area_finals!AK66/[2]Urban_area_finals!$G66</f>
        <v>1.7777474489330015E-2</v>
      </c>
      <c r="AL55" s="1">
        <f>[2]Urban_area_finals!AL66/[2]Urban_area_finals!$G66</f>
        <v>1.8487188660763834E-2</v>
      </c>
      <c r="AM55" s="1">
        <f>[2]Urban_area_finals!AM66/[2]Urban_area_finals!$G66</f>
        <v>1.9491174561816552E-2</v>
      </c>
      <c r="AN55" s="1">
        <f>[2]Urban_area_finals!AN66/[2]Urban_area_finals!$G66</f>
        <v>2.0131648326281216E-2</v>
      </c>
      <c r="AO55" s="1">
        <f>[2]Urban_area_finals!AO66/[2]Urban_area_finals!$G66</f>
        <v>2.1810728195283173E-2</v>
      </c>
      <c r="AP55" s="1">
        <f>[2]Urban_area_finals!AP66/[2]Urban_area_finals!$G66</f>
        <v>2.4689975118417119E-2</v>
      </c>
      <c r="AQ55" s="1">
        <f>[2]Urban_area_finals!AQ66/[2]Urban_area_finals!$G66</f>
        <v>2.7528831804152384E-2</v>
      </c>
      <c r="AR55" s="1">
        <f>[2]Urban_area_finals!AR66/[2]Urban_area_finals!$G66</f>
        <v>3.0188817438550682E-2</v>
      </c>
      <c r="AS55" s="1">
        <f>[2]Urban_area_finals!AS66/[2]Urban_area_finals!$G66</f>
        <v>3.2208329308484308E-2</v>
      </c>
      <c r="AT55" s="1">
        <f>[2]Urban_area_finals!AT66/[2]Urban_area_finals!$G66</f>
        <v>3.3604677515695555E-2</v>
      </c>
      <c r="AU55" s="1">
        <f>[2]Urban_area_finals!AU66/[2]Urban_area_finals!$G66</f>
        <v>3.536799987984332E-2</v>
      </c>
      <c r="AV55" s="1">
        <f>[2]Urban_area_finals!AV66/[2]Urban_area_finals!$G66</f>
        <v>3.8012983426064961E-2</v>
      </c>
      <c r="AW55" s="1">
        <f>[2]Urban_area_finals!AW66/[2]Urban_area_finals!$G66</f>
        <v>4.4256160121116918E-2</v>
      </c>
      <c r="AX55" s="1">
        <f>[2]Urban_area_finals!AX66/[2]Urban_area_finals!$G66</f>
        <v>5.2565008957415275E-2</v>
      </c>
      <c r="AY55" s="1">
        <f>[2]Urban_area_finals!AY66/[2]Urban_area_finals!$G66</f>
        <v>6.4520519227422343E-2</v>
      </c>
    </row>
    <row r="56" spans="1:51" x14ac:dyDescent="0.25">
      <c r="A56" t="s">
        <v>259</v>
      </c>
      <c r="B56" t="s">
        <v>260</v>
      </c>
      <c r="C56" t="s">
        <v>261</v>
      </c>
      <c r="D56" t="s">
        <v>121</v>
      </c>
      <c r="E56" t="s">
        <v>76</v>
      </c>
      <c r="F56" t="s">
        <v>77</v>
      </c>
      <c r="G56">
        <v>112289.7423911981</v>
      </c>
      <c r="H56">
        <v>2694.1797015874022</v>
      </c>
      <c r="I56">
        <f>Table2[[#This Row],[FUA_area]]+Table2[[#This Row],[FUA_urban]]</f>
        <v>114983.92209278551</v>
      </c>
      <c r="J56">
        <v>10041783</v>
      </c>
      <c r="K56" s="1">
        <f>[2]Urban_area_finals!K47/[2]Urban_area_finals!$G47</f>
        <v>5.6464902695874562E-3</v>
      </c>
      <c r="L56" s="1">
        <f>[2]Urban_area_finals!L47/[2]Urban_area_finals!$G47</f>
        <v>6.2443854880670406E-3</v>
      </c>
      <c r="M56" s="1">
        <f>[2]Urban_area_finals!M47/[2]Urban_area_finals!$G47</f>
        <v>6.8503241399790861E-3</v>
      </c>
      <c r="N56" s="1">
        <f>[2]Urban_area_finals!N47/[2]Urban_area_finals!$G47</f>
        <v>7.3248867124942703E-3</v>
      </c>
      <c r="O56" s="1">
        <f>[2]Urban_area_finals!O47/[2]Urban_area_finals!$G47</f>
        <v>8.2069832455874663E-3</v>
      </c>
      <c r="P56" s="1">
        <f>[2]Urban_area_finals!P47/[2]Urban_area_finals!$G47</f>
        <v>8.8477767757068441E-3</v>
      </c>
      <c r="Q56" s="1">
        <f>[2]Urban_area_finals!Q47/[2]Urban_area_finals!$G47</f>
        <v>9.890741977449255E-3</v>
      </c>
      <c r="R56" s="1">
        <f>[2]Urban_area_finals!R47/[2]Urban_area_finals!$G47</f>
        <v>1.0944431757101615E-2</v>
      </c>
      <c r="S56" s="1">
        <f>[2]Urban_area_finals!S47/[2]Urban_area_finals!$G47</f>
        <v>1.1925730635861829E-2</v>
      </c>
      <c r="T56" s="1">
        <f>[2]Urban_area_finals!T47/[2]Urban_area_finals!$G47</f>
        <v>1.3671155690705815E-2</v>
      </c>
      <c r="U56" s="1">
        <f>[2]Urban_area_finals!U47/[2]Urban_area_finals!$G47</f>
        <v>1.7775987885738292E-2</v>
      </c>
      <c r="V56" s="1">
        <f>[2]Urban_area_finals!V47/[2]Urban_area_finals!$G47</f>
        <v>2.1727994845554016E-2</v>
      </c>
      <c r="W56" s="1">
        <f>[2]Urban_area_finals!W47/[2]Urban_area_finals!$G47</f>
        <v>2.3264290631154021E-2</v>
      </c>
      <c r="X56" s="1">
        <f>[2]Urban_area_finals!X47/[2]Urban_area_finals!$G47</f>
        <v>2.4130300297382296E-2</v>
      </c>
      <c r="Y56" s="1">
        <f>[2]Urban_area_finals!Y47/[2]Urban_area_finals!$G47</f>
        <v>2.5964203119983351E-2</v>
      </c>
      <c r="Z56" s="1">
        <f>[2]Urban_area_finals!Z47/[2]Urban_area_finals!$G47</f>
        <v>2.8859839155669226E-2</v>
      </c>
      <c r="AA56" s="1">
        <f>[2]Urban_area_finals!AA47/[2]Urban_area_finals!$G47</f>
        <v>3.0988667870793841E-2</v>
      </c>
      <c r="AB56" s="1">
        <f>[2]Urban_area_finals!AB47/[2]Urban_area_finals!$G47</f>
        <v>3.1589244233750917E-2</v>
      </c>
      <c r="AC56" s="1">
        <f>[2]Urban_area_finals!AC47/[2]Urban_area_finals!$G47</f>
        <v>3.2575905401466099E-2</v>
      </c>
      <c r="AD56" s="1">
        <f>[2]Urban_area_finals!AD47/[2]Urban_area_finals!$G47</f>
        <v>3.4053216008561392E-2</v>
      </c>
      <c r="AE56" s="1">
        <f>[2]Urban_area_finals!AE47/[2]Urban_area_finals!$G47</f>
        <v>3.543132426998967E-2</v>
      </c>
      <c r="AF56" s="1">
        <f>[2]Urban_area_finals!AF47/[2]Urban_area_finals!$G47</f>
        <v>3.6568129528444127E-2</v>
      </c>
      <c r="AG56" s="1">
        <f>[2]Urban_area_finals!AG47/[2]Urban_area_finals!$G47</f>
        <v>3.7334936849005386E-2</v>
      </c>
      <c r="AH56" s="1">
        <f>[2]Urban_area_finals!AH47/[2]Urban_area_finals!$G47</f>
        <v>3.8364496328360358E-2</v>
      </c>
      <c r="AI56" s="1">
        <f>[2]Urban_area_finals!AI47/[2]Urban_area_finals!$G47</f>
        <v>3.9077680759371888E-2</v>
      </c>
      <c r="AJ56" s="1">
        <f>[2]Urban_area_finals!AJ47/[2]Urban_area_finals!$G47</f>
        <v>4.0131370539024241E-2</v>
      </c>
      <c r="AK56" s="1">
        <f>[2]Urban_area_finals!AK47/[2]Urban_area_finals!$G47</f>
        <v>4.1131437429126873E-2</v>
      </c>
      <c r="AL56" s="1">
        <f>[2]Urban_area_finals!AL47/[2]Urban_area_finals!$G47</f>
        <v>4.3008238563367718E-2</v>
      </c>
      <c r="AM56" s="1">
        <f>[2]Urban_area_finals!AM47/[2]Urban_area_finals!$G47</f>
        <v>4.5061995233122688E-2</v>
      </c>
      <c r="AN56" s="1">
        <f>[2]Urban_area_finals!AN47/[2]Urban_area_finals!$G47</f>
        <v>4.5968222066513277E-2</v>
      </c>
      <c r="AO56" s="1">
        <f>[2]Urban_area_finals!AO47/[2]Urban_area_finals!$G47</f>
        <v>4.7547416163753069E-2</v>
      </c>
      <c r="AP56" s="1">
        <f>[2]Urban_area_finals!AP47/[2]Urban_area_finals!$G47</f>
        <v>4.8552845342810666E-2</v>
      </c>
      <c r="AQ56" s="1">
        <f>[2]Urban_area_finals!AQ47/[2]Urban_area_finals!$G47</f>
        <v>5.0038199383338422E-2</v>
      </c>
      <c r="AR56" s="1">
        <f>[2]Urban_area_finals!AR47/[2]Urban_area_finals!$G47</f>
        <v>5.200884057429131E-2</v>
      </c>
      <c r="AS56" s="1">
        <f>[2]Urban_area_finals!AS47/[2]Urban_area_finals!$G47</f>
        <v>5.3403035702584506E-2</v>
      </c>
      <c r="AT56" s="1">
        <f>[2]Urban_area_finals!AT47/[2]Urban_area_finals!$G47</f>
        <v>5.3998249776586606E-2</v>
      </c>
      <c r="AU56" s="1">
        <f>[2]Urban_area_finals!AU47/[2]Urban_area_finals!$G47</f>
        <v>5.5022446966986611E-2</v>
      </c>
      <c r="AV56" s="1">
        <f>[2]Urban_area_finals!AV47/[2]Urban_area_finals!$G47</f>
        <v>5.6558742752586613E-2</v>
      </c>
      <c r="AW56" s="1">
        <f>[2]Urban_area_finals!AW47/[2]Urban_area_finals!$G47</f>
        <v>5.9116554584109145E-2</v>
      </c>
      <c r="AX56" s="1">
        <f>[2]Urban_area_finals!AX47/[2]Urban_area_finals!$G47</f>
        <v>6.1685090993541608E-2</v>
      </c>
      <c r="AY56" s="1">
        <f>[2]Urban_area_finals!AY47/[2]Urban_area_finals!$G47</f>
        <v>6.3821963142098689E-2</v>
      </c>
    </row>
    <row r="57" spans="1:51" x14ac:dyDescent="0.25">
      <c r="A57" t="s">
        <v>171</v>
      </c>
      <c r="B57" t="s">
        <v>172</v>
      </c>
      <c r="C57" t="s">
        <v>173</v>
      </c>
      <c r="D57" t="s">
        <v>105</v>
      </c>
      <c r="E57" t="s">
        <v>61</v>
      </c>
      <c r="F57" t="s">
        <v>61</v>
      </c>
      <c r="G57">
        <v>341732.66713136568</v>
      </c>
      <c r="H57">
        <v>429.1394839466862</v>
      </c>
      <c r="I57">
        <f>Table2[[#This Row],[FUA_area]]+Table2[[#This Row],[FUA_urban]]</f>
        <v>342161.80661531235</v>
      </c>
      <c r="J57">
        <v>5272024</v>
      </c>
      <c r="K57" s="1">
        <f>[2]Urban_area_finals!K127/[2]Urban_area_finals!$G127</f>
        <v>7.9039966372652177E-4</v>
      </c>
      <c r="L57" s="1">
        <f>[2]Urban_area_finals!L127/[2]Urban_area_finals!$G127</f>
        <v>9.2213294101427517E-4</v>
      </c>
      <c r="M57" s="1">
        <f>[2]Urban_area_finals!M127/[2]Urban_area_finals!$G127</f>
        <v>1.1065595292171304E-3</v>
      </c>
      <c r="N57" s="1">
        <f>[2]Urban_area_finals!N127/[2]Urban_area_finals!$G127</f>
        <v>1.383199411521413E-3</v>
      </c>
      <c r="O57" s="1">
        <f>[2]Urban_area_finals!O127/[2]Urban_area_finals!$G127</f>
        <v>1.8179192265709997E-3</v>
      </c>
      <c r="P57" s="1">
        <f>[2]Urban_area_finals!P127/[2]Urban_area_finals!$G127</f>
        <v>1.9364791761299783E-3</v>
      </c>
      <c r="Q57" s="1">
        <f>[2]Urban_area_finals!Q127/[2]Urban_area_finals!$G127</f>
        <v>2.3053323525356884E-3</v>
      </c>
      <c r="R57" s="1">
        <f>[2]Urban_area_finals!R127/[2]Urban_area_finals!$G127</f>
        <v>2.5424522516536451E-3</v>
      </c>
      <c r="S57" s="1">
        <f>[2]Urban_area_finals!S127/[2]Urban_area_finals!$G127</f>
        <v>2.8849587726018041E-3</v>
      </c>
      <c r="T57" s="1">
        <f>[2]Urban_area_finals!T127/[2]Urban_area_finals!$G127</f>
        <v>3.859785024531181E-3</v>
      </c>
      <c r="U57" s="1">
        <f>[2]Urban_area_finals!U127/[2]Urban_area_finals!$G127</f>
        <v>5.1244244864936152E-3</v>
      </c>
      <c r="V57" s="1">
        <f>[2]Urban_area_finals!V127/[2]Urban_area_finals!$G127</f>
        <v>6.5998371921164563E-3</v>
      </c>
      <c r="W57" s="1">
        <f>[2]Urban_area_finals!W127/[2]Urban_area_finals!$G127</f>
        <v>8.2728498136709263E-3</v>
      </c>
      <c r="X57" s="1">
        <f>[2]Urban_area_finals!X127/[2]Urban_area_finals!$G127</f>
        <v>8.2860231413997027E-3</v>
      </c>
      <c r="Y57" s="1">
        <f>[2]Urban_area_finals!Y127/[2]Urban_area_finals!$G127</f>
        <v>1.0103942367970702E-2</v>
      </c>
      <c r="Z57" s="1">
        <f>[2]Urban_area_finals!Z127/[2]Urban_area_finals!$G127</f>
        <v>1.2620047964166797E-2</v>
      </c>
      <c r="AA57" s="1">
        <f>[2]Urban_area_finals!AA127/[2]Urban_area_finals!$G127</f>
        <v>1.474095372849963E-2</v>
      </c>
      <c r="AB57" s="1">
        <f>[2]Urban_area_finals!AB127/[2]Urban_area_finals!$G127</f>
        <v>1.5518180064497374E-2</v>
      </c>
      <c r="AC57" s="1">
        <f>[2]Urban_area_finals!AC127/[2]Urban_area_finals!$G127</f>
        <v>1.6637912921443281E-2</v>
      </c>
      <c r="AD57" s="1">
        <f>[2]Urban_area_finals!AD127/[2]Urban_area_finals!$G127</f>
        <v>1.7797165761575515E-2</v>
      </c>
      <c r="AE57" s="1">
        <f>[2]Urban_area_finals!AE127/[2]Urban_area_finals!$G127</f>
        <v>1.8824685324419992E-2</v>
      </c>
      <c r="AF57" s="1">
        <f>[2]Urban_area_finals!AF127/[2]Urban_area_finals!$G127</f>
        <v>2.113001767695568E-2</v>
      </c>
      <c r="AG57" s="1">
        <f>[2]Urban_area_finals!AG127/[2]Urban_area_finals!$G127</f>
        <v>2.3185056802644637E-2</v>
      </c>
      <c r="AH57" s="1">
        <f>[2]Urban_area_finals!AH127/[2]Urban_area_finals!$G127</f>
        <v>2.3777856550439527E-2</v>
      </c>
      <c r="AI57" s="1">
        <f>[2]Urban_area_finals!AI127/[2]Urban_area_finals!$G127</f>
        <v>2.4344309642776868E-2</v>
      </c>
      <c r="AJ57" s="1">
        <f>[2]Urban_area_finals!AJ127/[2]Urban_area_finals!$G127</f>
        <v>2.485806942419911E-2</v>
      </c>
      <c r="AK57" s="1">
        <f>[2]Urban_area_finals!AK127/[2]Urban_area_finals!$G127</f>
        <v>2.5793375692942159E-2</v>
      </c>
      <c r="AL57" s="1">
        <f>[2]Urban_area_finals!AL127/[2]Urban_area_finals!$G127</f>
        <v>2.7058015154904594E-2</v>
      </c>
      <c r="AM57" s="1">
        <f>[2]Urban_area_finals!AM127/[2]Urban_area_finals!$G127</f>
        <v>2.8783721087374165E-2</v>
      </c>
      <c r="AN57" s="1">
        <f>[2]Urban_area_finals!AN127/[2]Urban_area_finals!$G127</f>
        <v>3.0575293658487612E-2</v>
      </c>
      <c r="AO57" s="1">
        <f>[2]Urban_area_finals!AO127/[2]Urban_area_finals!$G127</f>
        <v>3.392131890159656E-2</v>
      </c>
      <c r="AP57" s="1">
        <f>[2]Urban_area_finals!AP127/[2]Urban_area_finals!$G127</f>
        <v>3.6542811119622855E-2</v>
      </c>
      <c r="AQ57" s="1">
        <f>[2]Urban_area_finals!AQ127/[2]Urban_area_finals!$G127</f>
        <v>4.1034915875135254E-2</v>
      </c>
      <c r="AR57" s="1">
        <f>[2]Urban_area_finals!AR127/[2]Urban_area_finals!$G127</f>
        <v>4.5342594042444791E-2</v>
      </c>
      <c r="AS57" s="1">
        <f>[2]Urban_area_finals!AS127/[2]Urban_area_finals!$G127</f>
        <v>4.7568886428607834E-2</v>
      </c>
      <c r="AT57" s="1">
        <f>[2]Urban_area_finals!AT127/[2]Urban_area_finals!$G127</f>
        <v>4.8978432495586789E-2</v>
      </c>
      <c r="AU57" s="1">
        <f>[2]Urban_area_finals!AU127/[2]Urban_area_finals!$G127</f>
        <v>5.0221994633183185E-2</v>
      </c>
      <c r="AV57" s="1">
        <f>[2]Urban_area_finals!AV127/[2]Urban_area_finals!$G127</f>
        <v>5.2087337839577773E-2</v>
      </c>
      <c r="AW57" s="1">
        <f>[2]Urban_area_finals!AW127/[2]Urban_area_finals!$G127</f>
        <v>5.5248936494483862E-2</v>
      </c>
      <c r="AX57" s="1">
        <f>[2]Urban_area_finals!AX127/[2]Urban_area_finals!$G127</f>
        <v>5.8713521687151785E-2</v>
      </c>
      <c r="AY57" s="1">
        <f>[2]Urban_area_finals!AY127/[2]Urban_area_finals!$G127</f>
        <v>6.1387707216093192E-2</v>
      </c>
    </row>
    <row r="58" spans="1:51" x14ac:dyDescent="0.25">
      <c r="A58" t="s">
        <v>385</v>
      </c>
      <c r="B58" t="s">
        <v>386</v>
      </c>
      <c r="C58" t="s">
        <v>387</v>
      </c>
      <c r="D58" t="s">
        <v>105</v>
      </c>
      <c r="E58" t="s">
        <v>61</v>
      </c>
      <c r="F58" t="s">
        <v>61</v>
      </c>
      <c r="G58">
        <v>1041174.278885236</v>
      </c>
      <c r="H58">
        <v>275.51400094630839</v>
      </c>
      <c r="I58">
        <f>Table2[[#This Row],[FUA_area]]+Table2[[#This Row],[FUA_urban]]</f>
        <v>1041449.7928861823</v>
      </c>
      <c r="J58">
        <v>4440927.9999999991</v>
      </c>
      <c r="K58" s="1">
        <f>[2]Urban_area_finals!K63/[2]Urban_area_finals!$G63</f>
        <v>7.638473389810854E-4</v>
      </c>
      <c r="L58" s="1">
        <f>[2]Urban_area_finals!L63/[2]Urban_area_finals!$G63</f>
        <v>8.7700990771902407E-4</v>
      </c>
      <c r="M58" s="1">
        <f>[2]Urban_area_finals!M63/[2]Urban_area_finals!$G63</f>
        <v>1.0467537608259319E-3</v>
      </c>
      <c r="N58" s="1">
        <f>[2]Urban_area_finals!N63/[2]Urban_area_finals!$G63</f>
        <v>1.3296601826707783E-3</v>
      </c>
      <c r="O58" s="1">
        <f>[2]Urban_area_finals!O63/[2]Urban_area_finals!$G63</f>
        <v>1.7540198154380481E-3</v>
      </c>
      <c r="P58" s="1">
        <f>[2]Urban_area_finals!P63/[2]Urban_area_finals!$G63</f>
        <v>2.0369262372828944E-3</v>
      </c>
      <c r="Q58" s="1">
        <f>[2]Urban_area_finals!Q63/[2]Urban_area_finals!$G63</f>
        <v>2.4047045856811946E-3</v>
      </c>
      <c r="R58" s="1">
        <f>[2]Urban_area_finals!R63/[2]Urban_area_finals!$G63</f>
        <v>2.8290642184484647E-3</v>
      </c>
      <c r="S58" s="1">
        <f>[2]Urban_area_finals!S63/[2]Urban_area_finals!$G63</f>
        <v>3.3665864199536725E-3</v>
      </c>
      <c r="T58" s="1">
        <f>[2]Urban_area_finals!T63/[2]Urban_area_finals!$G63</f>
        <v>4.2718869698571815E-3</v>
      </c>
      <c r="U58" s="1">
        <f>[2]Urban_area_finals!U63/[2]Urban_area_finals!$G63</f>
        <v>6.1673599962176525E-3</v>
      </c>
      <c r="V58" s="1">
        <f>[2]Urban_area_finals!V63/[2]Urban_area_finals!$G63</f>
        <v>8.1759955913160622E-3</v>
      </c>
      <c r="W58" s="1">
        <f>[2]Urban_area_finals!W63/[2]Urban_area_finals!$G63</f>
        <v>9.5056557739868416E-3</v>
      </c>
      <c r="X58" s="1">
        <f>[2]Urban_area_finals!X63/[2]Urban_area_finals!$G63</f>
        <v>1.0071468617676535E-2</v>
      </c>
      <c r="Y58" s="1">
        <f>[2]Urban_area_finals!Y63/[2]Urban_area_finals!$G63</f>
        <v>1.1712325864376642E-2</v>
      </c>
      <c r="Z58" s="1">
        <f>[2]Urban_area_finals!Z63/[2]Urban_area_finals!$G63</f>
        <v>1.3890705312581962E-2</v>
      </c>
      <c r="AA58" s="1">
        <f>[2]Urban_area_finals!AA63/[2]Urban_area_finals!$G63</f>
        <v>1.4909168431223408E-2</v>
      </c>
      <c r="AB58" s="1">
        <f>[2]Urban_area_finals!AB63/[2]Urban_area_finals!$G63</f>
        <v>1.5531562559282069E-2</v>
      </c>
      <c r="AC58" s="1">
        <f>[2]Urban_area_finals!AC63/[2]Urban_area_finals!$G63</f>
        <v>1.6861222741952848E-2</v>
      </c>
      <c r="AD58" s="1">
        <f>[2]Urban_area_finals!AD63/[2]Urban_area_finals!$G63</f>
        <v>1.8586951915206412E-2</v>
      </c>
      <c r="AE58" s="1">
        <f>[2]Urban_area_finals!AE63/[2]Urban_area_finals!$G63</f>
        <v>1.9661996318216829E-2</v>
      </c>
      <c r="AF58" s="1">
        <f>[2]Urban_area_finals!AF63/[2]Urban_area_finals!$G63</f>
        <v>2.0878493932149664E-2</v>
      </c>
      <c r="AG58" s="1">
        <f>[2]Urban_area_finals!AG63/[2]Urban_area_finals!$G63</f>
        <v>2.1953538335160089E-2</v>
      </c>
      <c r="AH58" s="1">
        <f>[2]Urban_area_finals!AH63/[2]Urban_area_finals!$G63</f>
        <v>2.8488676679776035E-2</v>
      </c>
      <c r="AI58" s="1">
        <f>[2]Urban_area_finals!AI63/[2]Urban_area_finals!$G63</f>
        <v>2.8913036312543307E-2</v>
      </c>
      <c r="AJ58" s="1">
        <f>[2]Urban_area_finals!AJ63/[2]Urban_area_finals!$G63</f>
        <v>2.979004622026233E-2</v>
      </c>
      <c r="AK58" s="1">
        <f>[2]Urban_area_finals!AK63/[2]Urban_area_finals!$G63</f>
        <v>3.0978253192010686E-2</v>
      </c>
      <c r="AL58" s="1">
        <f>[2]Urban_area_finals!AL63/[2]Urban_area_finals!$G63</f>
        <v>3.1402612824777958E-2</v>
      </c>
      <c r="AM58" s="1">
        <f>[2]Urban_area_finals!AM63/[2]Urban_area_finals!$G63</f>
        <v>3.4259967685410904E-2</v>
      </c>
      <c r="AN58" s="1">
        <f>[2]Urban_area_finals!AN63/[2]Urban_area_finals!$G63</f>
        <v>3.6013987500848957E-2</v>
      </c>
      <c r="AO58" s="1">
        <f>[2]Urban_area_finals!AO63/[2]Urban_area_finals!$G63</f>
        <v>3.7626554105364578E-2</v>
      </c>
      <c r="AP58" s="1">
        <f>[2]Urban_area_finals!AP63/[2]Urban_area_finals!$G63</f>
        <v>3.9041086214588808E-2</v>
      </c>
      <c r="AQ58" s="1">
        <f>[2]Urban_area_finals!AQ63/[2]Urban_area_finals!$G63</f>
        <v>4.1672115937745884E-2</v>
      </c>
      <c r="AR58" s="1">
        <f>[2]Urban_area_finals!AR63/[2]Urban_area_finals!$G63</f>
        <v>4.5010411715515071E-2</v>
      </c>
      <c r="AS58" s="1">
        <f>[2]Urban_area_finals!AS63/[2]Urban_area_finals!$G63</f>
        <v>4.9819820886877461E-2</v>
      </c>
      <c r="AT58" s="1">
        <f>[2]Urban_area_finals!AT63/[2]Urban_area_finals!$G63</f>
        <v>4.933887996974122E-2</v>
      </c>
      <c r="AU58" s="1">
        <f>[2]Urban_area_finals!AU63/[2]Urban_area_finals!$G63</f>
        <v>5.0108385437159203E-2</v>
      </c>
      <c r="AV58" s="1">
        <f>[2]Urban_area_finals!AV63/[2]Urban_area_finals!$G63</f>
        <v>5.1262643638286184E-2</v>
      </c>
      <c r="AW58" s="1">
        <f>[2]Urban_area_finals!AW63/[2]Urban_area_finals!$G63</f>
        <v>5.3186407306831135E-2</v>
      </c>
      <c r="AX58" s="1">
        <f>[2]Urban_area_finals!AX63/[2]Urban_area_finals!$G63</f>
        <v>5.5110170975376092E-2</v>
      </c>
      <c r="AY58" s="1">
        <f>[2]Urban_area_finals!AY63/[2]Urban_area_finals!$G63</f>
        <v>5.7033934643921043E-2</v>
      </c>
    </row>
    <row r="59" spans="1:51" x14ac:dyDescent="0.25">
      <c r="A59" t="s">
        <v>144</v>
      </c>
      <c r="B59" t="s">
        <v>145</v>
      </c>
      <c r="C59" t="s">
        <v>146</v>
      </c>
      <c r="D59" t="s">
        <v>105</v>
      </c>
      <c r="E59" t="s">
        <v>61</v>
      </c>
      <c r="F59" t="s">
        <v>61</v>
      </c>
      <c r="G59">
        <v>620199.66860529792</v>
      </c>
      <c r="H59">
        <v>204.63716866256721</v>
      </c>
      <c r="I59">
        <f>Table2[[#This Row],[FUA_area]]+Table2[[#This Row],[FUA_urban]]</f>
        <v>620404.30577396054</v>
      </c>
      <c r="J59">
        <v>5352088</v>
      </c>
      <c r="K59" s="1">
        <f>[2]Urban_area_finals!K123/[2]Urban_area_finals!$G123</f>
        <v>2.0291030981784328E-3</v>
      </c>
      <c r="L59" s="1">
        <f>[2]Urban_area_finals!L123/[2]Urban_area_finals!$G123</f>
        <v>2.1882484392120355E-3</v>
      </c>
      <c r="M59" s="1">
        <f>[2]Urban_area_finals!M123/[2]Urban_area_finals!$G123</f>
        <v>2.6497699282094825E-3</v>
      </c>
      <c r="N59" s="1">
        <f>[2]Urban_area_finals!N123/[2]Urban_area_finals!$G123</f>
        <v>3.1033341501552508E-3</v>
      </c>
      <c r="O59" s="1">
        <f>[2]Urban_area_finals!O123/[2]Urban_area_finals!$G123</f>
        <v>3.8911035882715828E-3</v>
      </c>
      <c r="P59" s="1">
        <f>[2]Urban_area_finals!P123/[2]Urban_area_finals!$G123</f>
        <v>4.0422916622535046E-3</v>
      </c>
      <c r="Q59" s="1">
        <f>[2]Urban_area_finals!Q123/[2]Urban_area_finals!$G123</f>
        <v>4.4401550148375117E-3</v>
      </c>
      <c r="R59" s="1">
        <f>[2]Urban_area_finals!R123/[2]Urban_area_finals!$G123</f>
        <v>5.1324372483336827E-3</v>
      </c>
      <c r="S59" s="1">
        <f>[2]Urban_area_finals!S123/[2]Urban_area_finals!$G123</f>
        <v>5.7451468113130528E-3</v>
      </c>
      <c r="T59" s="1">
        <f>[2]Urban_area_finals!T123/[2]Urban_area_finals!$G123</f>
        <v>6.6522752552045875E-3</v>
      </c>
      <c r="U59" s="1">
        <f>[2]Urban_area_finals!U123/[2]Urban_area_finals!$G123</f>
        <v>7.5037028297343612E-3</v>
      </c>
      <c r="V59" s="1">
        <f>[2]Urban_area_finals!V123/[2]Urban_area_finals!$G123</f>
        <v>9.29408791636239E-3</v>
      </c>
      <c r="W59" s="1">
        <f>[2]Urban_area_finals!W123/[2]Urban_area_finals!$G123</f>
        <v>1.0654780582199692E-2</v>
      </c>
      <c r="X59" s="1">
        <f>[2]Urban_area_finals!X123/[2]Urban_area_finals!$G123</f>
        <v>1.1474379088522745E-2</v>
      </c>
      <c r="Y59" s="1">
        <f>[2]Urban_area_finals!Y123/[2]Urban_area_finals!$G123</f>
        <v>1.3153362436427254E-2</v>
      </c>
      <c r="Z59" s="1">
        <f>[2]Urban_area_finals!Z123/[2]Urban_area_finals!$G123</f>
        <v>1.4458354232902794E-2</v>
      </c>
      <c r="AA59" s="1">
        <f>[2]Urban_area_finals!AA123/[2]Urban_area_finals!$G123</f>
        <v>1.7625346519471483E-2</v>
      </c>
      <c r="AB59" s="1">
        <f>[2]Urban_area_finals!AB123/[2]Urban_area_finals!$G123</f>
        <v>1.8540432230414697E-2</v>
      </c>
      <c r="AC59" s="1">
        <f>[2]Urban_area_finals!AC123/[2]Urban_area_finals!$G123</f>
        <v>1.9702193219959998E-2</v>
      </c>
      <c r="AD59" s="1">
        <f>[2]Urban_area_finals!AD123/[2]Urban_area_finals!$G123</f>
        <v>2.1007185016435538E-2</v>
      </c>
      <c r="AE59" s="1">
        <f>[2]Urban_area_finals!AE123/[2]Urban_area_finals!$G123</f>
        <v>2.1946142528533795E-2</v>
      </c>
      <c r="AF59" s="1">
        <f>[2]Urban_area_finals!AF123/[2]Urban_area_finals!$G123</f>
        <v>2.3084031716924053E-2</v>
      </c>
      <c r="AG59" s="1">
        <f>[2]Urban_area_finals!AG123/[2]Urban_area_finals!$G123</f>
        <v>2.5304109224342806E-2</v>
      </c>
      <c r="AH59" s="1">
        <f>[2]Urban_area_finals!AH123/[2]Urban_area_finals!$G123</f>
        <v>2.7158152447384277E-2</v>
      </c>
      <c r="AI59" s="1">
        <f>[2]Urban_area_finals!AI123/[2]Urban_area_finals!$G123</f>
        <v>2.8296041635774542E-2</v>
      </c>
      <c r="AJ59" s="1">
        <f>[2]Urban_area_finals!AJ123/[2]Urban_area_finals!$G123</f>
        <v>2.910768287504591E-2</v>
      </c>
      <c r="AK59" s="1">
        <f>[2]Urban_area_finals!AK123/[2]Urban_area_finals!$G123</f>
        <v>3.0420631938573129E-2</v>
      </c>
      <c r="AL59" s="1">
        <f>[2]Urban_area_finals!AL123/[2]Urban_area_finals!$G123</f>
        <v>3.2147358888787718E-2</v>
      </c>
      <c r="AM59" s="1">
        <f>[2]Urban_area_finals!AM123/[2]Urban_area_finals!$G123</f>
        <v>3.3762684100278786E-2</v>
      </c>
      <c r="AN59" s="1">
        <f>[2]Urban_area_finals!AN123/[2]Urban_area_finals!$G123</f>
        <v>3.4661855277118646E-2</v>
      </c>
      <c r="AO59" s="1">
        <f>[2]Urban_area_finals!AO123/[2]Urban_area_finals!$G123</f>
        <v>3.5489411050493372E-2</v>
      </c>
      <c r="AP59" s="1">
        <f>[2]Urban_area_finals!AP123/[2]Urban_area_finals!$G123</f>
        <v>3.7423026944051647E-2</v>
      </c>
      <c r="AQ59" s="1">
        <f>[2]Urban_area_finals!AQ123/[2]Urban_area_finals!$G123</f>
        <v>3.9897736997124164E-2</v>
      </c>
      <c r="AR59" s="1">
        <f>[2]Urban_area_finals!AR123/[2]Urban_area_finals!$G123</f>
        <v>4.267482319816053E-2</v>
      </c>
      <c r="AS59" s="1">
        <f>[2]Urban_area_finals!AS123/[2]Urban_area_finals!$G123</f>
        <v>4.5165447785336411E-2</v>
      </c>
      <c r="AT59" s="1">
        <f>[2]Urban_area_finals!AT123/[2]Urban_area_finals!$G123</f>
        <v>4.5348464927525048E-2</v>
      </c>
      <c r="AU59" s="1">
        <f>[2]Urban_area_finals!AU123/[2]Urban_area_finals!$G123</f>
        <v>4.6070984775817607E-2</v>
      </c>
      <c r="AV59" s="1">
        <f>[2]Urban_area_finals!AV123/[2]Urban_area_finals!$G123</f>
        <v>4.7154764548256442E-2</v>
      </c>
      <c r="AW59" s="1">
        <f>[2]Urban_area_finals!AW123/[2]Urban_area_finals!$G123</f>
        <v>4.9327098453365123E-2</v>
      </c>
      <c r="AX59" s="1">
        <f>[2]Urban_area_finals!AX123/[2]Urban_area_finals!$G123</f>
        <v>5.1857509375799395E-2</v>
      </c>
      <c r="AY59" s="1">
        <f>[2]Urban_area_finals!AY123/[2]Urban_area_finals!$G123</f>
        <v>5.4029843280908069E-2</v>
      </c>
    </row>
    <row r="60" spans="1:51" x14ac:dyDescent="0.25">
      <c r="A60" t="s">
        <v>118</v>
      </c>
      <c r="B60" t="s">
        <v>119</v>
      </c>
      <c r="C60" t="s">
        <v>120</v>
      </c>
      <c r="D60" t="s">
        <v>121</v>
      </c>
      <c r="E60" t="s">
        <v>122</v>
      </c>
      <c r="F60" t="s">
        <v>77</v>
      </c>
      <c r="G60">
        <v>13388.080335178791</v>
      </c>
      <c r="H60">
        <v>204.12367908064721</v>
      </c>
      <c r="I60">
        <f>Table2[[#This Row],[FUA_area]]+Table2[[#This Row],[FUA_urban]]</f>
        <v>13592.204014259438</v>
      </c>
      <c r="J60">
        <v>405769</v>
      </c>
      <c r="K60" s="1">
        <f>[2]Urban_area_finals!K141/[2]Urban_area_finals!$G141</f>
        <v>3.6028672533147906E-3</v>
      </c>
      <c r="L60" s="1">
        <f>[2]Urban_area_finals!L141/[2]Urban_area_finals!$G141</f>
        <v>4.7557847743755237E-3</v>
      </c>
      <c r="M60" s="1">
        <f>[2]Urban_area_finals!M141/[2]Urban_area_finals!$G141</f>
        <v>6.1248743306351449E-3</v>
      </c>
      <c r="N60" s="1">
        <f>[2]Urban_area_finals!N141/[2]Urban_area_finals!$G141</f>
        <v>7.9263079572925391E-3</v>
      </c>
      <c r="O60" s="1">
        <f>[2]Urban_area_finals!O141/[2]Urban_area_finals!$G141</f>
        <v>1.0376257689546597E-2</v>
      </c>
      <c r="P60" s="1">
        <f>[2]Urban_area_finals!P141/[2]Urban_area_finals!$G141</f>
        <v>1.188946193593881E-2</v>
      </c>
      <c r="Q60" s="1">
        <f>[2]Urban_area_finals!Q141/[2]Urban_area_finals!$G141</f>
        <v>1.3258551492198432E-2</v>
      </c>
      <c r="R60" s="1">
        <f>[2]Urban_area_finals!R141/[2]Urban_area_finals!$G141</f>
        <v>1.3690895562596204E-2</v>
      </c>
      <c r="S60" s="1">
        <f>[2]Urban_area_finals!S141/[2]Urban_area_finals!$G141</f>
        <v>1.3835010252728798E-2</v>
      </c>
      <c r="T60" s="1">
        <f>[2]Urban_area_finals!T141/[2]Urban_area_finals!$G141</f>
        <v>1.3907067597795092E-2</v>
      </c>
      <c r="U60" s="1">
        <f>[2]Urban_area_finals!U141/[2]Urban_area_finals!$G141</f>
        <v>1.397912494286139E-2</v>
      </c>
      <c r="V60" s="1">
        <f>[2]Urban_area_finals!V141/[2]Urban_area_finals!$G141</f>
        <v>1.4843813083656938E-2</v>
      </c>
      <c r="W60" s="1">
        <f>[2]Urban_area_finals!W141/[2]Urban_area_finals!$G141</f>
        <v>1.6140845294850263E-2</v>
      </c>
      <c r="X60" s="1">
        <f>[2]Urban_area_finals!X141/[2]Urban_area_finals!$G141</f>
        <v>1.6429074675115445E-2</v>
      </c>
      <c r="Y60" s="1">
        <f>[2]Urban_area_finals!Y141/[2]Urban_area_finals!$G141</f>
        <v>1.8590795027104319E-2</v>
      </c>
      <c r="Z60" s="1">
        <f>[2]Urban_area_finals!Z141/[2]Urban_area_finals!$G141</f>
        <v>2.0680458034026898E-2</v>
      </c>
      <c r="AA60" s="1">
        <f>[2]Urban_area_finals!AA141/[2]Urban_area_finals!$G141</f>
        <v>2.1112802104424674E-2</v>
      </c>
      <c r="AB60" s="1">
        <f>[2]Urban_area_finals!AB141/[2]Urban_area_finals!$G141</f>
        <v>2.1617203519888741E-2</v>
      </c>
      <c r="AC60" s="1">
        <f>[2]Urban_area_finals!AC141/[2]Urban_area_finals!$G141</f>
        <v>2.2265719625485406E-2</v>
      </c>
      <c r="AD60" s="1">
        <f>[2]Urban_area_finals!AD141/[2]Urban_area_finals!$G141</f>
        <v>2.3346579801479844E-2</v>
      </c>
      <c r="AE60" s="1">
        <f>[2]Urban_area_finals!AE141/[2]Urban_area_finals!$G141</f>
        <v>2.428332528734169E-2</v>
      </c>
      <c r="AF60" s="1">
        <f>[2]Urban_area_finals!AF141/[2]Urban_area_finals!$G141</f>
        <v>2.4787726702805761E-2</v>
      </c>
      <c r="AG60" s="1">
        <f>[2]Urban_area_finals!AG141/[2]Urban_area_finals!$G141</f>
        <v>2.5148013428137241E-2</v>
      </c>
      <c r="AH60" s="1">
        <f>[2]Urban_area_finals!AH141/[2]Urban_area_finals!$G141</f>
        <v>2.5652414843601309E-2</v>
      </c>
      <c r="AI60" s="1">
        <f>[2]Urban_area_finals!AI141/[2]Urban_area_finals!$G141</f>
        <v>2.5796529533733906E-2</v>
      </c>
      <c r="AJ60" s="1">
        <f>[2]Urban_area_finals!AJ141/[2]Urban_area_finals!$G141</f>
        <v>2.630093094919797E-2</v>
      </c>
      <c r="AK60" s="1">
        <f>[2]Urban_area_finals!AK141/[2]Urban_area_finals!$G141</f>
        <v>2.6445045639330565E-2</v>
      </c>
      <c r="AL60" s="1">
        <f>[2]Urban_area_finals!AL141/[2]Urban_area_finals!$G141</f>
        <v>2.7453848470258703E-2</v>
      </c>
      <c r="AM60" s="1">
        <f>[2]Urban_area_finals!AM141/[2]Urban_area_finals!$G141</f>
        <v>2.7814135195590183E-2</v>
      </c>
      <c r="AN60" s="1">
        <f>[2]Urban_area_finals!AN141/[2]Urban_area_finals!$G141</f>
        <v>2.817442192092166E-2</v>
      </c>
      <c r="AO60" s="1">
        <f>[2]Urban_area_finals!AO141/[2]Urban_area_finals!$G141</f>
        <v>3.0192027582777944E-2</v>
      </c>
      <c r="AP60" s="1">
        <f>[2]Urban_area_finals!AP141/[2]Urban_area_finals!$G141</f>
        <v>3.3939009526225326E-2</v>
      </c>
      <c r="AQ60" s="1">
        <f>[2]Urban_area_finals!AQ141/[2]Urban_area_finals!$G141</f>
        <v>3.7325704744341229E-2</v>
      </c>
      <c r="AR60" s="1">
        <f>[2]Urban_area_finals!AR141/[2]Urban_area_finals!$G141</f>
        <v>3.9271253061131224E-2</v>
      </c>
      <c r="AS60" s="1">
        <f>[2]Urban_area_finals!AS141/[2]Urban_area_finals!$G141</f>
        <v>4.0135941201926768E-2</v>
      </c>
      <c r="AT60" s="1">
        <f>[2]Urban_area_finals!AT141/[2]Urban_area_finals!$G141</f>
        <v>4.114474403285491E-2</v>
      </c>
      <c r="AU60" s="1">
        <f>[2]Urban_area_finals!AU141/[2]Urban_area_finals!$G141</f>
        <v>4.1951786297597424E-2</v>
      </c>
      <c r="AV60" s="1">
        <f>[2]Urban_area_finals!AV141/[2]Urban_area_finals!$G141</f>
        <v>4.3162349694711187E-2</v>
      </c>
      <c r="AW60" s="1">
        <f>[2]Urban_area_finals!AW141/[2]Urban_area_finals!$G141</f>
        <v>4.5540242081898955E-2</v>
      </c>
      <c r="AX60" s="1">
        <f>[2]Urban_area_finals!AX141/[2]Urban_area_finals!$G141</f>
        <v>4.8638707919749676E-2</v>
      </c>
      <c r="AY60" s="1">
        <f>[2]Urban_area_finals!AY141/[2]Urban_area_finals!$G141</f>
        <v>5.2385689863197062E-2</v>
      </c>
    </row>
    <row r="61" spans="1:51" x14ac:dyDescent="0.25">
      <c r="A61" t="s">
        <v>151</v>
      </c>
      <c r="B61" t="s">
        <v>152</v>
      </c>
      <c r="C61" t="s">
        <v>153</v>
      </c>
      <c r="D61" t="s">
        <v>91</v>
      </c>
      <c r="E61" t="s">
        <v>66</v>
      </c>
      <c r="F61" t="s">
        <v>66</v>
      </c>
      <c r="G61">
        <v>41235.436471763584</v>
      </c>
      <c r="H61">
        <v>8253.903560634355</v>
      </c>
      <c r="I61">
        <f>Table2[[#This Row],[FUA_area]]+Table2[[#This Row],[FUA_urban]]</f>
        <v>49489.340032397937</v>
      </c>
      <c r="J61">
        <v>8606425.9999999981</v>
      </c>
      <c r="K61" s="1">
        <f>[2]Urban_area_finals!K89/[2]Urban_area_finals!$G89</f>
        <v>1.27493098616413E-3</v>
      </c>
      <c r="L61" s="1">
        <f>[2]Urban_area_finals!L89/[2]Urban_area_finals!$G89</f>
        <v>1.4520047342424817E-3</v>
      </c>
      <c r="M61" s="1">
        <f>[2]Urban_area_finals!M89/[2]Urban_area_finals!$G89</f>
        <v>1.6644932319365036E-3</v>
      </c>
      <c r="N61" s="1">
        <f>[2]Urban_area_finals!N89/[2]Urban_area_finals!$G89</f>
        <v>1.9478112288618657E-3</v>
      </c>
      <c r="O61" s="1">
        <f>[2]Urban_area_finals!O89/[2]Urban_area_finals!$G89</f>
        <v>2.3373734746342388E-3</v>
      </c>
      <c r="P61" s="1">
        <f>[2]Urban_area_finals!P89/[2]Urban_area_finals!$G89</f>
        <v>2.5144472227125901E-3</v>
      </c>
      <c r="Q61" s="1">
        <f>[2]Urban_area_finals!Q89/[2]Urban_area_finals!$G89</f>
        <v>2.7269357204066117E-3</v>
      </c>
      <c r="R61" s="1">
        <f>[2]Urban_area_finals!R89/[2]Urban_area_finals!$G89</f>
        <v>3.3644012134886772E-3</v>
      </c>
      <c r="S61" s="1">
        <f>[2]Urban_area_finals!S89/[2]Urban_area_finals!$G89</f>
        <v>3.4352307127200176E-3</v>
      </c>
      <c r="T61" s="1">
        <f>[2]Urban_area_finals!T89/[2]Urban_area_finals!$G89</f>
        <v>4.533087950805796E-3</v>
      </c>
      <c r="U61" s="1">
        <f>[2]Urban_area_finals!U89/[2]Urban_area_finals!$G89</f>
        <v>6.5871434285146718E-3</v>
      </c>
      <c r="V61" s="1">
        <f>[2]Urban_area_finals!V89/[2]Urban_area_finals!$G89</f>
        <v>8.9953464023802519E-3</v>
      </c>
      <c r="W61" s="1">
        <f>[2]Urban_area_finals!W89/[2]Urban_area_finals!$G89</f>
        <v>1.0943157631242118E-2</v>
      </c>
      <c r="X61" s="1">
        <f>[2]Urban_area_finals!X89/[2]Urban_area_finals!$G89</f>
        <v>1.0978572380857787E-2</v>
      </c>
      <c r="Y61" s="1">
        <f>[2]Urban_area_finals!Y89/[2]Urban_area_finals!$G89</f>
        <v>1.6078296325514309E-2</v>
      </c>
      <c r="Z61" s="1">
        <f>[2]Urban_area_finals!Z89/[2]Urban_area_finals!$G89</f>
        <v>1.8769817296305249E-2</v>
      </c>
      <c r="AA61" s="1">
        <f>[2]Urban_area_finals!AA89/[2]Urban_area_finals!$G89</f>
        <v>2.1319679268633509E-2</v>
      </c>
      <c r="AB61" s="1">
        <f>[2]Urban_area_finals!AB89/[2]Urban_area_finals!$G89</f>
        <v>2.1709241514405883E-2</v>
      </c>
      <c r="AC61" s="1">
        <f>[2]Urban_area_finals!AC89/[2]Urban_area_finals!$G89</f>
        <v>2.3090416749417027E-2</v>
      </c>
      <c r="AD61" s="1">
        <f>[2]Urban_area_finals!AD89/[2]Urban_area_finals!$G89</f>
        <v>2.4188273987502801E-2</v>
      </c>
      <c r="AE61" s="1">
        <f>[2]Urban_area_finals!AE89/[2]Urban_area_finals!$G89</f>
        <v>2.4861154230200539E-2</v>
      </c>
      <c r="AF61" s="1">
        <f>[2]Urban_area_finals!AF89/[2]Urban_area_finals!$G89</f>
        <v>2.5038227978278892E-2</v>
      </c>
      <c r="AG61" s="1">
        <f>[2]Urban_area_finals!AG89/[2]Urban_area_finals!$G89</f>
        <v>2.5321545975204252E-2</v>
      </c>
      <c r="AH61" s="1">
        <f>[2]Urban_area_finals!AH89/[2]Urban_area_finals!$G89</f>
        <v>2.5604863972129615E-2</v>
      </c>
      <c r="AI61" s="1">
        <f>[2]Urban_area_finals!AI89/[2]Urban_area_finals!$G89</f>
        <v>2.5923596718670651E-2</v>
      </c>
      <c r="AJ61" s="1">
        <f>[2]Urban_area_finals!AJ89/[2]Urban_area_finals!$G89</f>
        <v>2.6171499965980338E-2</v>
      </c>
      <c r="AK61" s="1">
        <f>[2]Urban_area_finals!AK89/[2]Urban_area_finals!$G89</f>
        <v>2.624232946521168E-2</v>
      </c>
      <c r="AL61" s="1">
        <f>[2]Urban_area_finals!AL89/[2]Urban_area_finals!$G89</f>
        <v>2.7163112955219105E-2</v>
      </c>
      <c r="AM61" s="1">
        <f>[2]Urban_area_finals!AM89/[2]Urban_area_finals!$G89</f>
        <v>2.8154725944457878E-2</v>
      </c>
      <c r="AN61" s="1">
        <f>[2]Urban_area_finals!AN89/[2]Urban_area_finals!$G89</f>
        <v>2.9110924184080973E-2</v>
      </c>
      <c r="AO61" s="1">
        <f>[2]Urban_area_finals!AO89/[2]Urban_area_finals!$G89</f>
        <v>3.1448297658715214E-2</v>
      </c>
      <c r="AP61" s="1">
        <f>[2]Urban_area_finals!AP89/[2]Urban_area_finals!$G89</f>
        <v>3.3608597385271104E-2</v>
      </c>
      <c r="AQ61" s="1">
        <f>[2]Urban_area_finals!AQ89/[2]Urban_area_finals!$G89</f>
        <v>3.7539634592610498E-2</v>
      </c>
      <c r="AR61" s="1">
        <f>[2]Urban_area_finals!AR89/[2]Urban_area_finals!$G89</f>
        <v>3.9699934319166387E-2</v>
      </c>
      <c r="AS61" s="1">
        <f>[2]Urban_area_finals!AS89/[2]Urban_area_finals!$G89</f>
        <v>4.1151939053408866E-2</v>
      </c>
      <c r="AT61" s="1">
        <f>[2]Urban_area_finals!AT89/[2]Urban_area_finals!$G89</f>
        <v>4.196647829456928E-2</v>
      </c>
      <c r="AU61" s="1">
        <f>[2]Urban_area_finals!AU89/[2]Urban_area_finals!$G89</f>
        <v>4.2887261784576712E-2</v>
      </c>
      <c r="AV61" s="1">
        <f>[2]Urban_area_finals!AV89/[2]Urban_area_finals!$G89</f>
        <v>4.4268437019587853E-2</v>
      </c>
      <c r="AW61" s="1">
        <f>[2]Urban_area_finals!AW89/[2]Urban_area_finals!$G89</f>
        <v>4.6570395744606426E-2</v>
      </c>
      <c r="AX61" s="1">
        <f>[2]Urban_area_finals!AX89/[2]Urban_area_finals!$G89</f>
        <v>4.8872354469624991E-2</v>
      </c>
      <c r="AY61" s="1">
        <f>[2]Urban_area_finals!AY89/[2]Urban_area_finals!$G89</f>
        <v>5.1174313194643557E-2</v>
      </c>
    </row>
    <row r="62" spans="1:51" x14ac:dyDescent="0.25">
      <c r="A62" t="s">
        <v>284</v>
      </c>
      <c r="B62" t="s">
        <v>285</v>
      </c>
      <c r="C62" t="s">
        <v>286</v>
      </c>
      <c r="D62" t="s">
        <v>70</v>
      </c>
      <c r="E62" t="s">
        <v>71</v>
      </c>
      <c r="F62" t="s">
        <v>70</v>
      </c>
      <c r="G62">
        <v>436454.49114158959</v>
      </c>
      <c r="H62">
        <v>8875.9895357473924</v>
      </c>
      <c r="I62">
        <f>Table2[[#This Row],[FUA_area]]+Table2[[#This Row],[FUA_urban]]</f>
        <v>445330.48067733698</v>
      </c>
      <c r="J62">
        <v>42042956</v>
      </c>
      <c r="K62" s="1">
        <f>[2]Urban_area_finals!K35/[2]Urban_area_finals!$G35</f>
        <v>9.5297819293538289E-4</v>
      </c>
      <c r="L62" s="1">
        <f>[2]Urban_area_finals!L35/[2]Urban_area_finals!$G35</f>
        <v>1.0165100724644084E-3</v>
      </c>
      <c r="M62" s="1">
        <f>[2]Urban_area_finals!M35/[2]Urban_area_finals!$G35</f>
        <v>1.1435738315224596E-3</v>
      </c>
      <c r="N62" s="1">
        <f>[2]Urban_area_finals!N35/[2]Urban_area_finals!$G35</f>
        <v>1.3341694701095362E-3</v>
      </c>
      <c r="O62" s="1">
        <f>[2]Urban_area_finals!O35/[2]Urban_area_finals!$G35</f>
        <v>1.6518288677546636E-3</v>
      </c>
      <c r="P62" s="1">
        <f>[2]Urban_area_finals!P35/[2]Urban_area_finals!$G35</f>
        <v>1.9059563858707658E-3</v>
      </c>
      <c r="Q62" s="1">
        <f>[2]Urban_area_finals!Q35/[2]Urban_area_finals!$G35</f>
        <v>2.0330201449288167E-3</v>
      </c>
      <c r="R62" s="1">
        <f>[2]Urban_area_finals!R35/[2]Urban_area_finals!$G35</f>
        <v>2.541275181161021E-3</v>
      </c>
      <c r="S62" s="1">
        <f>[2]Urban_area_finals!S35/[2]Urban_area_finals!$G35</f>
        <v>3.6213171331544551E-3</v>
      </c>
      <c r="T62" s="1">
        <f>[2]Urban_area_finals!T35/[2]Urban_area_finals!$G35</f>
        <v>5.0825503623220421E-3</v>
      </c>
      <c r="U62" s="1">
        <f>[2]Urban_area_finals!U35/[2]Urban_area_finals!$G35</f>
        <v>8.005016820657216E-3</v>
      </c>
      <c r="V62" s="1">
        <f>[2]Urban_area_finals!V35/[2]Urban_area_finals!$G35</f>
        <v>1.1753397712869722E-2</v>
      </c>
      <c r="W62" s="1">
        <f>[2]Urban_area_finals!W35/[2]Urban_area_finals!$G35</f>
        <v>1.8614840702004479E-2</v>
      </c>
      <c r="X62" s="1">
        <f>[2]Urban_area_finals!X35/[2]Urban_area_finals!$G35</f>
        <v>2.0012542051643038E-2</v>
      </c>
      <c r="Y62" s="1">
        <f>[2]Urban_area_finals!Y35/[2]Urban_area_finals!$G35</f>
        <v>2.2045562196571854E-2</v>
      </c>
      <c r="Z62" s="1">
        <f>[2]Urban_area_finals!Z35/[2]Urban_area_finals!$G35</f>
        <v>2.344326354621042E-2</v>
      </c>
      <c r="AA62" s="1">
        <f>[2]Urban_area_finals!AA35/[2]Urban_area_finals!$G35</f>
        <v>2.3697391064326521E-2</v>
      </c>
      <c r="AB62" s="1">
        <f>[2]Urban_area_finals!AB35/[2]Urban_area_finals!$G35</f>
        <v>2.3824454823384571E-2</v>
      </c>
      <c r="AC62" s="1">
        <f>[2]Urban_area_finals!AC35/[2]Urban_area_finals!$G35</f>
        <v>2.3951518582442623E-2</v>
      </c>
      <c r="AD62" s="1">
        <f>[2]Urban_area_finals!AD35/[2]Urban_area_finals!$G35</f>
        <v>2.4396241739145803E-2</v>
      </c>
      <c r="AE62" s="1">
        <f>[2]Urban_area_finals!AE35/[2]Urban_area_finals!$G35</f>
        <v>2.4777433016319957E-2</v>
      </c>
      <c r="AF62" s="1">
        <f>[2]Urban_area_finals!AF35/[2]Urban_area_finals!$G35</f>
        <v>2.5476283691139235E-2</v>
      </c>
      <c r="AG62" s="1">
        <f>[2]Urban_area_finals!AG35/[2]Urban_area_finals!$G35</f>
        <v>2.5539815570668263E-2</v>
      </c>
      <c r="AH62" s="1">
        <f>[2]Urban_area_finals!AH35/[2]Urban_area_finals!$G35</f>
        <v>2.5730411209255333E-2</v>
      </c>
      <c r="AI62" s="1">
        <f>[2]Urban_area_finals!AI35/[2]Urban_area_finals!$G35</f>
        <v>2.5730411209255333E-2</v>
      </c>
      <c r="AJ62" s="1">
        <f>[2]Urban_area_finals!AJ35/[2]Urban_area_finals!$G35</f>
        <v>2.5730411209255333E-2</v>
      </c>
      <c r="AK62" s="1">
        <f>[2]Urban_area_finals!AK35/[2]Urban_area_finals!$G35</f>
        <v>2.585747496831339E-2</v>
      </c>
      <c r="AL62" s="1">
        <f>[2]Urban_area_finals!AL35/[2]Urban_area_finals!$G35</f>
        <v>2.5921006847842414E-2</v>
      </c>
      <c r="AM62" s="1">
        <f>[2]Urban_area_finals!AM35/[2]Urban_area_finals!$G35</f>
        <v>2.7064580679364875E-2</v>
      </c>
      <c r="AN62" s="1">
        <f>[2]Urban_area_finals!AN35/[2]Urban_area_finals!$G35</f>
        <v>2.7191644438422924E-2</v>
      </c>
      <c r="AO62" s="1">
        <f>[2]Urban_area_finals!AO35/[2]Urban_area_finals!$G35</f>
        <v>2.8525813908532465E-2</v>
      </c>
      <c r="AP62" s="1">
        <f>[2]Urban_area_finals!AP35/[2]Urban_area_finals!$G35</f>
        <v>2.9669387740054922E-2</v>
      </c>
      <c r="AQ62" s="1">
        <f>[2]Urban_area_finals!AQ35/[2]Urban_area_finals!$G35</f>
        <v>3.2845981716506198E-2</v>
      </c>
      <c r="AR62" s="1">
        <f>[2]Urban_area_finals!AR35/[2]Urban_area_finals!$G35</f>
        <v>3.3671896150383525E-2</v>
      </c>
      <c r="AS62" s="1">
        <f>[2]Urban_area_finals!AS35/[2]Urban_area_finals!$G35</f>
        <v>3.5133129379551112E-2</v>
      </c>
      <c r="AT62" s="1">
        <f>[2]Urban_area_finals!AT35/[2]Urban_area_finals!$G35</f>
        <v>3.7674404560712138E-2</v>
      </c>
      <c r="AU62" s="1">
        <f>[2]Urban_area_finals!AU35/[2]Urban_area_finals!$G35</f>
        <v>3.9046693158539092E-2</v>
      </c>
      <c r="AV62" s="1">
        <f>[2]Urban_area_finals!AV35/[2]Urban_area_finals!$G35</f>
        <v>4.1105126055279516E-2</v>
      </c>
      <c r="AW62" s="1">
        <f>[2]Urban_area_finals!AW35/[2]Urban_area_finals!$G35</f>
        <v>4.3964060634085665E-2</v>
      </c>
      <c r="AX62" s="1">
        <f>[2]Urban_area_finals!AX35/[2]Urban_area_finals!$G35</f>
        <v>4.6505335815246691E-2</v>
      </c>
      <c r="AY62" s="1">
        <f>[2]Urban_area_finals!AY35/[2]Urban_area_finals!$G35</f>
        <v>4.9046610996407704E-2</v>
      </c>
    </row>
    <row r="63" spans="1:51" x14ac:dyDescent="0.25">
      <c r="A63" t="s">
        <v>508</v>
      </c>
      <c r="B63" t="s">
        <v>509</v>
      </c>
      <c r="C63" t="s">
        <v>510</v>
      </c>
      <c r="D63" t="s">
        <v>70</v>
      </c>
      <c r="E63" t="s">
        <v>71</v>
      </c>
      <c r="F63" t="s">
        <v>70</v>
      </c>
      <c r="G63">
        <v>186917.5625894338</v>
      </c>
      <c r="H63">
        <v>4416.7825607092054</v>
      </c>
      <c r="I63">
        <f>Table2[[#This Row],[FUA_area]]+Table2[[#This Row],[FUA_urban]]</f>
        <v>191334.345150143</v>
      </c>
      <c r="J63">
        <v>20486035</v>
      </c>
      <c r="K63" s="1">
        <f>[2]Urban_area_finals!K60/[2]Urban_area_finals!$G60</f>
        <v>8.1810101524230569E-4</v>
      </c>
      <c r="L63" s="1">
        <f>[2]Urban_area_finals!L60/[2]Urban_area_finals!$G60</f>
        <v>8.1810101524230569E-4</v>
      </c>
      <c r="M63" s="1">
        <f>[2]Urban_area_finals!M60/[2]Urban_area_finals!$G60</f>
        <v>8.1810101524230569E-4</v>
      </c>
      <c r="N63" s="1">
        <f>[2]Urban_area_finals!N60/[2]Urban_area_finals!$G60</f>
        <v>8.6923232869494989E-4</v>
      </c>
      <c r="O63" s="1">
        <f>[2]Urban_area_finals!O60/[2]Urban_area_finals!$G60</f>
        <v>9.7149495560023798E-4</v>
      </c>
      <c r="P63" s="1">
        <f>[2]Urban_area_finals!P60/[2]Urban_area_finals!$G60</f>
        <v>1.0226262690528822E-3</v>
      </c>
      <c r="Q63" s="1">
        <f>[2]Urban_area_finals!Q60/[2]Urban_area_finals!$G60</f>
        <v>1.1248888959581704E-3</v>
      </c>
      <c r="R63" s="1">
        <f>[2]Urban_area_finals!R60/[2]Urban_area_finals!$G60</f>
        <v>1.3805454632213909E-3</v>
      </c>
      <c r="S63" s="1">
        <f>[2]Urban_area_finals!S60/[2]Urban_area_finals!$G60</f>
        <v>1.942989911200476E-3</v>
      </c>
      <c r="T63" s="1">
        <f>[2]Urban_area_finals!T60/[2]Urban_area_finals!$G60</f>
        <v>2.86335355334807E-3</v>
      </c>
      <c r="U63" s="1">
        <f>[2]Urban_area_finals!U60/[2]Urban_area_finals!$G60</f>
        <v>4.2950303300221052E-3</v>
      </c>
      <c r="V63" s="1">
        <f>[2]Urban_area_finals!V60/[2]Urban_area_finals!$G60</f>
        <v>5.9823636739593615E-3</v>
      </c>
      <c r="W63" s="1">
        <f>[2]Urban_area_finals!W60/[2]Urban_area_finals!$G60</f>
        <v>8.5389293465915669E-3</v>
      </c>
      <c r="X63" s="1">
        <f>[2]Urban_area_finals!X60/[2]Urban_area_finals!$G60</f>
        <v>9.1525051080232969E-3</v>
      </c>
      <c r="Y63" s="1">
        <f>[2]Urban_area_finals!Y60/[2]Urban_area_finals!$G60</f>
        <v>1.0533050571244687E-2</v>
      </c>
      <c r="Z63" s="1">
        <f>[2]Urban_area_finals!Z60/[2]Urban_area_finals!$G60</f>
        <v>1.1760202094108144E-2</v>
      </c>
      <c r="AA63" s="1">
        <f>[2]Urban_area_finals!AA60/[2]Urban_area_finals!$G60</f>
        <v>1.3600929378403334E-2</v>
      </c>
      <c r="AB63" s="1">
        <f>[2]Urban_area_finals!AB60/[2]Urban_area_finals!$G60</f>
        <v>1.4367899080192995E-2</v>
      </c>
      <c r="AC63" s="1">
        <f>[2]Urban_area_finals!AC60/[2]Urban_area_finals!$G60</f>
        <v>1.4930343528172079E-2</v>
      </c>
      <c r="AD63" s="1">
        <f>[2]Urban_area_finals!AD60/[2]Urban_area_finals!$G60</f>
        <v>1.5543919289603808E-2</v>
      </c>
      <c r="AE63" s="1">
        <f>[2]Urban_area_finals!AE60/[2]Urban_area_finals!$G60</f>
        <v>1.5850707170319674E-2</v>
      </c>
      <c r="AF63" s="1">
        <f>[2]Urban_area_finals!AF60/[2]Urban_area_finals!$G60</f>
        <v>1.6106363737582896E-2</v>
      </c>
      <c r="AG63" s="1">
        <f>[2]Urban_area_finals!AG60/[2]Urban_area_finals!$G60</f>
        <v>1.6259757677940825E-2</v>
      </c>
      <c r="AH63" s="1">
        <f>[2]Urban_area_finals!AH60/[2]Urban_area_finals!$G60</f>
        <v>1.6362020304846115E-2</v>
      </c>
      <c r="AI63" s="1">
        <f>[2]Urban_area_finals!AI60/[2]Urban_area_finals!$G60</f>
        <v>1.6566545558656692E-2</v>
      </c>
      <c r="AJ63" s="1">
        <f>[2]Urban_area_finals!AJ60/[2]Urban_area_finals!$G60</f>
        <v>1.6975596066277847E-2</v>
      </c>
      <c r="AK63" s="1">
        <f>[2]Urban_area_finals!AK60/[2]Urban_area_finals!$G60</f>
        <v>1.7077858693183134E-2</v>
      </c>
      <c r="AL63" s="1">
        <f>[2]Urban_area_finals!AL60/[2]Urban_area_finals!$G60</f>
        <v>1.7077858693183134E-2</v>
      </c>
      <c r="AM63" s="1">
        <f>[2]Urban_area_finals!AM60/[2]Urban_area_finals!$G60</f>
        <v>1.7486909200804285E-2</v>
      </c>
      <c r="AN63" s="1">
        <f>[2]Urban_area_finals!AN60/[2]Urban_area_finals!$G60</f>
        <v>1.8202747589141307E-2</v>
      </c>
      <c r="AO63" s="1">
        <f>[2]Urban_area_finals!AO60/[2]Urban_area_finals!$G60</f>
        <v>1.9532161738910047E-2</v>
      </c>
      <c r="AP63" s="1">
        <f>[2]Urban_area_finals!AP60/[2]Urban_area_finals!$G60</f>
        <v>2.0503656694510288E-2</v>
      </c>
      <c r="AQ63" s="1">
        <f>[2]Urban_area_finals!AQ60/[2]Urban_area_finals!$G60</f>
        <v>2.290682842678456E-2</v>
      </c>
      <c r="AR63" s="1">
        <f>[2]Urban_area_finals!AR60/[2]Urban_area_finals!$G60</f>
        <v>2.6383757741564363E-2</v>
      </c>
      <c r="AS63" s="1">
        <f>[2]Urban_area_finals!AS60/[2]Urban_area_finals!$G60</f>
        <v>2.9144848668007144E-2</v>
      </c>
      <c r="AT63" s="1">
        <f>[2]Urban_area_finals!AT60/[2]Urban_area_finals!$G60</f>
        <v>3.1496889086828773E-2</v>
      </c>
      <c r="AU63" s="1">
        <f>[2]Urban_area_finals!AU60/[2]Urban_area_finals!$G60</f>
        <v>3.3010375965027039E-2</v>
      </c>
      <c r="AV63" s="1">
        <f>[2]Urban_area_finals!AV60/[2]Urban_area_finals!$G60</f>
        <v>3.5280606282324434E-2</v>
      </c>
      <c r="AW63" s="1">
        <f>[2]Urban_area_finals!AW60/[2]Urban_area_finals!$G60</f>
        <v>3.9064323477820094E-2</v>
      </c>
      <c r="AX63" s="1">
        <f>[2]Urban_area_finals!AX60/[2]Urban_area_finals!$G60</f>
        <v>4.3359353807842206E-2</v>
      </c>
      <c r="AY63" s="1">
        <f>[2]Urban_area_finals!AY60/[2]Urban_area_finals!$G60</f>
        <v>4.8114565958938108E-2</v>
      </c>
    </row>
    <row r="64" spans="1:51" x14ac:dyDescent="0.25">
      <c r="A64" t="s">
        <v>205</v>
      </c>
      <c r="B64" t="s">
        <v>206</v>
      </c>
      <c r="C64" t="s">
        <v>207</v>
      </c>
      <c r="D64" t="s">
        <v>75</v>
      </c>
      <c r="E64" t="s">
        <v>76</v>
      </c>
      <c r="F64" t="s">
        <v>77</v>
      </c>
      <c r="G64">
        <v>256339.74082357291</v>
      </c>
      <c r="H64">
        <v>5408.660626016178</v>
      </c>
      <c r="I64">
        <f>Table2[[#This Row],[FUA_area]]+Table2[[#This Row],[FUA_urban]]</f>
        <v>261748.40144958909</v>
      </c>
      <c r="J64">
        <v>17487158</v>
      </c>
      <c r="K64" s="1">
        <f>[2]Urban_area_finals!K116/[2]Urban_area_finals!$G116</f>
        <v>2.3219794939871455E-3</v>
      </c>
      <c r="L64" s="1">
        <f>[2]Urban_area_finals!L116/[2]Urban_area_finals!$G116</f>
        <v>2.5899002048318165E-3</v>
      </c>
      <c r="M64" s="1">
        <f>[2]Urban_area_finals!M116/[2]Urban_area_finals!$G116</f>
        <v>2.8846129867609541E-3</v>
      </c>
      <c r="N64" s="1">
        <f>[2]Urban_area_finals!N116/[2]Urban_area_finals!$G116</f>
        <v>3.2195138753167919E-3</v>
      </c>
      <c r="O64" s="1">
        <f>[2]Urban_area_finals!O116/[2]Urban_area_finals!$G116</f>
        <v>3.6035335608608199E-3</v>
      </c>
      <c r="P64" s="1">
        <f>[2]Urban_area_finals!P116/[2]Urban_area_finals!$G116</f>
        <v>3.9384344494166586E-3</v>
      </c>
      <c r="Q64" s="1">
        <f>[2]Urban_area_finals!Q116/[2]Urban_area_finals!$G116</f>
        <v>4.5010679421904664E-3</v>
      </c>
      <c r="R64" s="1">
        <f>[2]Urban_area_finals!R116/[2]Urban_area_finals!$G116</f>
        <v>5.2244538614710772E-3</v>
      </c>
      <c r="S64" s="1">
        <f>[2]Urban_area_finals!S116/[2]Urban_area_finals!$G116</f>
        <v>7.3499581675054645E-3</v>
      </c>
      <c r="T64" s="1">
        <f>[2]Urban_area_finals!T116/[2]Urban_area_finals!$G116</f>
        <v>8.6806310313673283E-3</v>
      </c>
      <c r="U64" s="1">
        <f>[2]Urban_area_finals!U116/[2]Urban_area_finals!$G116</f>
        <v>9.6272842096851632E-3</v>
      </c>
      <c r="V64" s="1">
        <f>[2]Urban_area_finals!V116/[2]Urban_area_finals!$G116</f>
        <v>1.071236308860608E-2</v>
      </c>
      <c r="W64" s="1">
        <f>[2]Urban_area_finals!W116/[2]Urban_area_finals!$G116</f>
        <v>1.2498501160903884E-2</v>
      </c>
      <c r="X64" s="1">
        <f>[2]Urban_area_finals!X116/[2]Urban_area_finals!$G116</f>
        <v>1.2904847572351637E-2</v>
      </c>
      <c r="Y64" s="1">
        <f>[2]Urban_area_finals!Y116/[2]Urban_area_finals!$G116</f>
        <v>1.373986712115086E-2</v>
      </c>
      <c r="Z64" s="1">
        <f>[2]Urban_area_finals!Z116/[2]Urban_area_finals!$G116</f>
        <v>1.5240223101881016E-2</v>
      </c>
      <c r="AA64" s="1">
        <f>[2]Urban_area_finals!AA116/[2]Urban_area_finals!$G116</f>
        <v>1.6133292138029918E-2</v>
      </c>
      <c r="AB64" s="1">
        <f>[2]Urban_area_finals!AB116/[2]Urban_area_finals!$G116</f>
        <v>1.6544103894658414E-2</v>
      </c>
      <c r="AC64" s="1">
        <f>[2]Urban_area_finals!AC116/[2]Urban_area_finals!$G116</f>
        <v>1.711566807779371E-2</v>
      </c>
      <c r="AD64" s="1">
        <f>[2]Urban_area_finals!AD116/[2]Urban_area_finals!$G116</f>
        <v>1.7995341078400381E-2</v>
      </c>
      <c r="AE64" s="1">
        <f>[2]Urban_area_finals!AE116/[2]Urban_area_finals!$G116</f>
        <v>1.8584766642258652E-2</v>
      </c>
      <c r="AF64" s="1">
        <f>[2]Urban_area_finals!AF116/[2]Urban_area_finals!$G116</f>
        <v>1.9160796170574694E-2</v>
      </c>
      <c r="AG64" s="1">
        <f>[2]Urban_area_finals!AG116/[2]Urban_area_finals!$G116</f>
        <v>1.9549281201299468E-2</v>
      </c>
      <c r="AH64" s="1">
        <f>[2]Urban_area_finals!AH116/[2]Urban_area_finals!$G116</f>
        <v>2.0138706765157742E-2</v>
      </c>
      <c r="AI64" s="1">
        <f>[2]Urban_area_finals!AI116/[2]Urban_area_finals!$G116</f>
        <v>2.0513795760340282E-2</v>
      </c>
      <c r="AJ64" s="1">
        <f>[2]Urban_area_finals!AJ116/[2]Urban_area_finals!$G116</f>
        <v>2.1112152014560043E-2</v>
      </c>
      <c r="AK64" s="1">
        <f>[2]Urban_area_finals!AK116/[2]Urban_area_finals!$G116</f>
        <v>2.1652458781430132E-2</v>
      </c>
      <c r="AL64" s="1">
        <f>[2]Urban_area_finals!AL116/[2]Urban_area_finals!$G116</f>
        <v>2.221509227420394E-2</v>
      </c>
      <c r="AM64" s="1">
        <f>[2]Urban_area_finals!AM116/[2]Urban_area_finals!$G116</f>
        <v>2.3398408747101234E-2</v>
      </c>
      <c r="AN64" s="1">
        <f>[2]Urban_area_finals!AN116/[2]Urban_area_finals!$G116</f>
        <v>2.4019091727224724E-2</v>
      </c>
      <c r="AO64" s="1">
        <f>[2]Urban_area_finals!AO116/[2]Urban_area_finals!$G116</f>
        <v>2.463084401698672E-2</v>
      </c>
      <c r="AP64" s="1">
        <f>[2]Urban_area_finals!AP116/[2]Urban_area_finals!$G116</f>
        <v>2.5363160626628821E-2</v>
      </c>
      <c r="AQ64" s="1">
        <f>[2]Urban_area_finals!AQ116/[2]Urban_area_finals!$G116</f>
        <v>2.656433848024909E-2</v>
      </c>
      <c r="AR64" s="1">
        <f>[2]Urban_area_finals!AR116/[2]Urban_area_finals!$G116</f>
        <v>2.7841427201942024E-2</v>
      </c>
      <c r="AS64" s="1">
        <f>[2]Urban_area_finals!AS116/[2]Urban_area_finals!$G116</f>
        <v>2.9140842649538673E-2</v>
      </c>
      <c r="AT64" s="1">
        <f>[2]Urban_area_finals!AT116/[2]Urban_area_finals!$G116</f>
        <v>3.1735208199551238E-2</v>
      </c>
      <c r="AU64" s="1">
        <f>[2]Urban_area_finals!AU116/[2]Urban_area_finals!$G116</f>
        <v>3.3262356251365859E-2</v>
      </c>
      <c r="AV64" s="1">
        <f>[2]Urban_area_finals!AV116/[2]Urban_area_finals!$G116</f>
        <v>3.5553078329087794E-2</v>
      </c>
      <c r="AW64" s="1">
        <f>[2]Urban_area_finals!AW116/[2]Urban_area_finals!$G116</f>
        <v>3.937094845862435E-2</v>
      </c>
      <c r="AX64" s="1">
        <f>[2]Urban_area_finals!AX116/[2]Urban_area_finals!$G116</f>
        <v>4.3188818588160906E-2</v>
      </c>
      <c r="AY64" s="1">
        <f>[2]Urban_area_finals!AY116/[2]Urban_area_finals!$G116</f>
        <v>4.7484480652037121E-2</v>
      </c>
    </row>
    <row r="65" spans="1:51" x14ac:dyDescent="0.25">
      <c r="A65" t="s">
        <v>99</v>
      </c>
      <c r="B65" t="s">
        <v>100</v>
      </c>
      <c r="C65" t="s">
        <v>101</v>
      </c>
      <c r="D65" t="s">
        <v>91</v>
      </c>
      <c r="E65" t="s">
        <v>66</v>
      </c>
      <c r="F65" t="s">
        <v>66</v>
      </c>
      <c r="G65">
        <v>30707.465638205609</v>
      </c>
      <c r="H65">
        <v>14803.846089271759</v>
      </c>
      <c r="I65">
        <f>Table2[[#This Row],[FUA_area]]+Table2[[#This Row],[FUA_urban]]</f>
        <v>45511.311727477369</v>
      </c>
      <c r="J65">
        <v>11541270</v>
      </c>
      <c r="K65" s="1">
        <f>[2]Urban_area_finals!K105/[2]Urban_area_finals!$G105</f>
        <v>3.2897247989657346E-4</v>
      </c>
      <c r="L65" s="1">
        <f>[2]Urban_area_finals!L105/[2]Urban_area_finals!$G105</f>
        <v>4.1554418513251382E-4</v>
      </c>
      <c r="M65" s="1">
        <f>[2]Urban_area_finals!M105/[2]Urban_area_finals!$G105</f>
        <v>5.3674457246283042E-4</v>
      </c>
      <c r="N65" s="1">
        <f>[2]Urban_area_finals!N105/[2]Urban_area_finals!$G105</f>
        <v>6.4640206576168833E-4</v>
      </c>
      <c r="O65" s="1">
        <f>[2]Urban_area_finals!O105/[2]Urban_area_finals!$G105</f>
        <v>8.4840271131221578E-4</v>
      </c>
      <c r="P65" s="1">
        <f>[2]Urban_area_finals!P105/[2]Urban_area_finals!$G105</f>
        <v>1.0273175687998258E-3</v>
      </c>
      <c r="Q65" s="1">
        <f>[2]Urban_area_finals!Q105/[2]Urban_area_finals!$G105</f>
        <v>1.235089661366083E-3</v>
      </c>
      <c r="R65" s="1">
        <f>[2]Urban_area_finals!R105/[2]Urban_area_finals!$G105</f>
        <v>1.4370903069166102E-3</v>
      </c>
      <c r="S65" s="1">
        <f>[2]Urban_area_finals!S105/[2]Urban_area_finals!$G105</f>
        <v>1.4428617539323397E-3</v>
      </c>
      <c r="T65" s="1">
        <f>[2]Urban_area_finals!T105/[2]Urban_area_finals!$G105</f>
        <v>1.8699488330963124E-3</v>
      </c>
      <c r="U65" s="1">
        <f>[2]Urban_area_finals!U105/[2]Urban_area_finals!$G105</f>
        <v>2.5971511570782113E-3</v>
      </c>
      <c r="V65" s="1">
        <f>[2]Urban_area_finals!V105/[2]Urban_area_finals!$G105</f>
        <v>3.4513253154061564E-3</v>
      </c>
      <c r="W65" s="1">
        <f>[2]Urban_area_finals!W105/[2]Urban_area_finals!$G105</f>
        <v>4.565214589441923E-3</v>
      </c>
      <c r="X65" s="1">
        <f>[2]Urban_area_finals!X105/[2]Urban_area_finals!$G105</f>
        <v>5.0846448208575652E-3</v>
      </c>
      <c r="Y65" s="1">
        <f>[2]Urban_area_finals!Y105/[2]Urban_area_finals!$G105</f>
        <v>6.9776794420167952E-3</v>
      </c>
      <c r="Z65" s="1">
        <f>[2]Urban_area_finals!Z105/[2]Urban_area_finals!$G105</f>
        <v>8.4609413250592413E-3</v>
      </c>
      <c r="AA65" s="1">
        <f>[2]Urban_area_finals!AA105/[2]Urban_area_finals!$G105</f>
        <v>1.0307804370092634E-2</v>
      </c>
      <c r="AB65" s="1">
        <f>[2]Urban_area_finals!AB105/[2]Urban_area_finals!$G105</f>
        <v>1.1179292869467769E-2</v>
      </c>
      <c r="AC65" s="1">
        <f>[2]Urban_area_finals!AC105/[2]Urban_area_finals!$G105</f>
        <v>1.1652551524757577E-2</v>
      </c>
      <c r="AD65" s="1">
        <f>[2]Urban_area_finals!AD105/[2]Urban_area_finals!$G105</f>
        <v>1.2247010567377701E-2</v>
      </c>
      <c r="AE65" s="1">
        <f>[2]Urban_area_finals!AE105/[2]Urban_area_finals!$G105</f>
        <v>1.3355128394397738E-2</v>
      </c>
      <c r="AF65" s="1">
        <f>[2]Urban_area_finals!AF105/[2]Urban_area_finals!$G105</f>
        <v>1.4746047125188512E-2</v>
      </c>
      <c r="AG65" s="1">
        <f>[2]Urban_area_finals!AG105/[2]Urban_area_finals!$G105</f>
        <v>1.5807993376082713E-2</v>
      </c>
      <c r="AH65" s="1">
        <f>[2]Urban_area_finals!AH105/[2]Urban_area_finals!$G105</f>
        <v>1.6696796216505036E-2</v>
      </c>
      <c r="AI65" s="1">
        <f>[2]Urban_area_finals!AI105/[2]Urban_area_finals!$G105</f>
        <v>1.7522113139754335E-2</v>
      </c>
      <c r="AJ65" s="1">
        <f>[2]Urban_area_finals!AJ105/[2]Urban_area_finals!$G105</f>
        <v>1.818005809954748E-2</v>
      </c>
      <c r="AK65" s="1">
        <f>[2]Urban_area_finals!AK105/[2]Urban_area_finals!$G105</f>
        <v>1.865331675483729E-2</v>
      </c>
      <c r="AL65" s="1">
        <f>[2]Urban_area_finals!AL105/[2]Urban_area_finals!$G105</f>
        <v>1.9392061972850642E-2</v>
      </c>
      <c r="AM65" s="1">
        <f>[2]Urban_area_finals!AM105/[2]Urban_area_finals!$G105</f>
        <v>2.1562126050764886E-2</v>
      </c>
      <c r="AN65" s="1">
        <f>[2]Urban_area_finals!AN105/[2]Urban_area_finals!$G105</f>
        <v>2.320698845024775E-2</v>
      </c>
      <c r="AO65" s="1">
        <f>[2]Urban_area_finals!AO105/[2]Urban_area_finals!$G105</f>
        <v>2.4661393098211554E-2</v>
      </c>
      <c r="AP65" s="1">
        <f>[2]Urban_area_finals!AP105/[2]Urban_area_finals!$G105</f>
        <v>2.6785285599999955E-2</v>
      </c>
      <c r="AQ65" s="1">
        <f>[2]Urban_area_finals!AQ105/[2]Urban_area_finals!$G105</f>
        <v>2.8747577585347937E-2</v>
      </c>
      <c r="AR65" s="1">
        <f>[2]Urban_area_finals!AR105/[2]Urban_area_finals!$G105</f>
        <v>3.0242382362421841E-2</v>
      </c>
      <c r="AS65" s="1">
        <f>[2]Urban_area_finals!AS105/[2]Urban_area_finals!$G105</f>
        <v>3.1789130162637312E-2</v>
      </c>
      <c r="AT65" s="1">
        <f>[2]Urban_area_finals!AT105/[2]Urban_area_finals!$G105</f>
        <v>3.3243534810601112E-2</v>
      </c>
      <c r="AU65" s="1">
        <f>[2]Urban_area_finals!AU105/[2]Urban_area_finals!$G105</f>
        <v>3.4471698735548319E-2</v>
      </c>
      <c r="AV65" s="1">
        <f>[2]Urban_area_finals!AV105/[2]Urban_area_finals!$G105</f>
        <v>3.6313944622969128E-2</v>
      </c>
      <c r="AW65" s="1">
        <f>[2]Urban_area_finals!AW105/[2]Urban_area_finals!$G105</f>
        <v>3.9649840998060695E-2</v>
      </c>
      <c r="AX65" s="1">
        <f>[2]Urban_area_finals!AX105/[2]Urban_area_finals!$G105</f>
        <v>4.325122393587582E-2</v>
      </c>
      <c r="AY65" s="1">
        <f>[2]Urban_area_finals!AY105/[2]Urban_area_finals!$G105</f>
        <v>4.6852606873690937E-2</v>
      </c>
    </row>
    <row r="66" spans="1:51" x14ac:dyDescent="0.25">
      <c r="A66" t="s">
        <v>514</v>
      </c>
      <c r="B66" t="s">
        <v>515</v>
      </c>
      <c r="C66" t="s">
        <v>516</v>
      </c>
      <c r="D66" t="s">
        <v>105</v>
      </c>
      <c r="E66" t="s">
        <v>61</v>
      </c>
      <c r="F66" t="s">
        <v>61</v>
      </c>
      <c r="G66">
        <v>56904.461136953942</v>
      </c>
      <c r="H66">
        <v>800.76649848837553</v>
      </c>
      <c r="I66">
        <f>Table2[[#This Row],[FUA_area]]+Table2[[#This Row],[FUA_urban]]</f>
        <v>57705.227635442316</v>
      </c>
      <c r="J66">
        <v>8342234.0000000102</v>
      </c>
      <c r="K66" s="1">
        <f>[2]Urban_area_finals!K59/[2]Urban_area_finals!$G59</f>
        <v>8.5251355119997819E-4</v>
      </c>
      <c r="L66" s="1">
        <f>[2]Urban_area_finals!L59/[2]Urban_area_finals!$G59</f>
        <v>9.3208148264530932E-4</v>
      </c>
      <c r="M66" s="1">
        <f>[2]Urban_area_finals!M59/[2]Urban_area_finals!$G59</f>
        <v>1.1707852769813031E-3</v>
      </c>
      <c r="N66" s="1">
        <f>[2]Urban_area_finals!N59/[2]Urban_area_finals!$G59</f>
        <v>1.7845950338452876E-3</v>
      </c>
      <c r="O66" s="1">
        <f>[2]Urban_area_finals!O59/[2]Urban_area_finals!$G59</f>
        <v>4.0693313510612285E-3</v>
      </c>
      <c r="P66" s="1">
        <f>[2]Urban_area_finals!P59/[2]Urban_area_finals!$G59</f>
        <v>4.3989699241918862E-3</v>
      </c>
      <c r="Q66" s="1">
        <f>[2]Urban_area_finals!Q59/[2]Urban_area_finals!$G59</f>
        <v>4.9559454443092064E-3</v>
      </c>
      <c r="R66" s="1">
        <f>[2]Urban_area_finals!R59/[2]Urban_area_finals!$G59</f>
        <v>5.8311926902078507E-3</v>
      </c>
      <c r="S66" s="1">
        <f>[2]Urban_area_finals!S59/[2]Urban_area_finals!$G59</f>
        <v>6.1835649580371747E-3</v>
      </c>
      <c r="T66" s="1">
        <f>[2]Urban_area_finals!T59/[2]Urban_area_finals!$G59</f>
        <v>7.6271545714024711E-3</v>
      </c>
      <c r="U66" s="1">
        <f>[2]Urban_area_finals!U59/[2]Urban_area_finals!$G59</f>
        <v>1.03210973931944E-2</v>
      </c>
      <c r="V66" s="1">
        <f>[2]Urban_area_finals!V59/[2]Urban_area_finals!$G59</f>
        <v>1.2651301099807674E-2</v>
      </c>
      <c r="W66" s="1">
        <f>[2]Urban_area_finals!W59/[2]Urban_area_finals!$G59</f>
        <v>1.3867553766186312E-2</v>
      </c>
      <c r="X66" s="1">
        <f>[2]Urban_area_finals!X59/[2]Urban_area_finals!$G59</f>
        <v>1.461776569124229E-2</v>
      </c>
      <c r="Y66" s="1">
        <f>[2]Urban_area_finals!Y59/[2]Urban_area_finals!$G59</f>
        <v>1.5538480326538266E-2</v>
      </c>
      <c r="Z66" s="1">
        <f>[2]Urban_area_finals!Z59/[2]Urban_area_finals!$G59</f>
        <v>1.7334442207732888E-2</v>
      </c>
      <c r="AA66" s="1">
        <f>[2]Urban_area_finals!AA59/[2]Urban_area_finals!$G59</f>
        <v>1.8573428568810189E-2</v>
      </c>
      <c r="AB66" s="1">
        <f>[2]Urban_area_finals!AB59/[2]Urban_area_finals!$G59</f>
        <v>1.9084936699530177E-2</v>
      </c>
      <c r="AC66" s="1">
        <f>[2]Urban_area_finals!AC59/[2]Urban_area_finals!$G59</f>
        <v>2.0210254587114146E-2</v>
      </c>
      <c r="AD66" s="1">
        <f>[2]Urban_area_finals!AD59/[2]Urban_area_finals!$G59</f>
        <v>2.1176436611807455E-2</v>
      </c>
      <c r="AE66" s="1">
        <f>[2]Urban_area_finals!AE59/[2]Urban_area_finals!$G59</f>
        <v>2.2131251789151429E-2</v>
      </c>
      <c r="AF66" s="1">
        <f>[2]Urban_area_finals!AF59/[2]Urban_area_finals!$G59</f>
        <v>2.3097433813844742E-2</v>
      </c>
      <c r="AG66" s="1">
        <f>[2]Urban_area_finals!AG59/[2]Urban_area_finals!$G59</f>
        <v>2.4495556037812703E-2</v>
      </c>
      <c r="AH66" s="1">
        <f>[2]Urban_area_finals!AH59/[2]Urban_area_finals!$G59</f>
        <v>2.5325335894314016E-2</v>
      </c>
      <c r="AI66" s="1">
        <f>[2]Urban_area_finals!AI59/[2]Urban_area_finals!$G59</f>
        <v>2.579137663563667E-2</v>
      </c>
      <c r="AJ66" s="1">
        <f>[2]Urban_area_finals!AJ59/[2]Urban_area_finals!$G59</f>
        <v>2.6905327675871313E-2</v>
      </c>
      <c r="AK66" s="1">
        <f>[2]Urban_area_finals!AK59/[2]Urban_area_finals!$G59</f>
        <v>2.7644172753577959E-2</v>
      </c>
      <c r="AL66" s="1">
        <f>[2]Urban_area_finals!AL59/[2]Urban_area_finals!$G59</f>
        <v>2.8667189015017931E-2</v>
      </c>
      <c r="AM66" s="1">
        <f>[2]Urban_area_finals!AM59/[2]Urban_area_finals!$G59</f>
        <v>3.0144879170431228E-2</v>
      </c>
      <c r="AN66" s="1">
        <f>[2]Urban_area_finals!AN59/[2]Urban_area_finals!$G59</f>
        <v>3.0997392721631205E-2</v>
      </c>
      <c r="AO66" s="1">
        <f>[2]Urban_area_finals!AO59/[2]Urban_area_finals!$G59</f>
        <v>3.2270479624756508E-2</v>
      </c>
      <c r="AP66" s="1">
        <f>[2]Urban_area_finals!AP59/[2]Urban_area_finals!$G59</f>
        <v>3.3486732291135135E-2</v>
      </c>
      <c r="AQ66" s="1">
        <f>[2]Urban_area_finals!AQ59/[2]Urban_area_finals!$G59</f>
        <v>3.4953055599199104E-2</v>
      </c>
      <c r="AR66" s="1">
        <f>[2]Urban_area_finals!AR59/[2]Urban_area_finals!$G59</f>
        <v>3.7158223984969714E-2</v>
      </c>
      <c r="AS66" s="1">
        <f>[2]Urban_area_finals!AS59/[2]Urban_area_finals!$G59</f>
        <v>3.9113321729054989E-2</v>
      </c>
      <c r="AT66" s="1">
        <f>[2]Urban_area_finals!AT59/[2]Urban_area_finals!$G59</f>
        <v>3.9204256507849658E-2</v>
      </c>
      <c r="AU66" s="1">
        <f>[2]Urban_area_finals!AU59/[2]Urban_area_finals!$G59</f>
        <v>3.9827159742593113E-2</v>
      </c>
      <c r="AV66" s="1">
        <f>[2]Urban_area_finals!AV59/[2]Urban_area_finals!$G59</f>
        <v>4.0761514594708281E-2</v>
      </c>
      <c r="AW66" s="1">
        <f>[2]Urban_area_finals!AW59/[2]Urban_area_finals!$G59</f>
        <v>4.2637044407348237E-2</v>
      </c>
      <c r="AX66" s="1">
        <f>[2]Urban_area_finals!AX59/[2]Urban_area_finals!$G59</f>
        <v>4.4512574219988187E-2</v>
      </c>
      <c r="AY66" s="1">
        <f>[2]Urban_area_finals!AY59/[2]Urban_area_finals!$G59</f>
        <v>4.6706375758409462E-2</v>
      </c>
    </row>
    <row r="67" spans="1:51" x14ac:dyDescent="0.25">
      <c r="A67" t="s">
        <v>271</v>
      </c>
      <c r="B67" t="s">
        <v>272</v>
      </c>
      <c r="C67" t="s">
        <v>273</v>
      </c>
      <c r="D67" t="s">
        <v>274</v>
      </c>
      <c r="E67" t="s">
        <v>55</v>
      </c>
      <c r="F67" t="s">
        <v>140</v>
      </c>
      <c r="G67">
        <v>1890242.9295203481</v>
      </c>
      <c r="H67">
        <v>66854.11170415036</v>
      </c>
      <c r="I67">
        <f>Table2[[#This Row],[FUA_area]]+Table2[[#This Row],[FUA_urban]]</f>
        <v>1957097.0412244985</v>
      </c>
      <c r="J67">
        <v>270825846</v>
      </c>
      <c r="K67" s="1">
        <f>[2]Urban_area_finals!K75/[2]Urban_area_finals!$G75</f>
        <v>2.5184665809150139E-4</v>
      </c>
      <c r="L67" s="1">
        <f>[2]Urban_area_finals!L75/[2]Urban_area_finals!$G75</f>
        <v>2.9906790648365791E-4</v>
      </c>
      <c r="M67" s="1">
        <f>[2]Urban_area_finals!M75/[2]Urban_area_finals!$G75</f>
        <v>3.6202957100653327E-4</v>
      </c>
      <c r="N67" s="1">
        <f>[2]Urban_area_finals!N75/[2]Urban_area_finals!$G75</f>
        <v>4.5647206779084632E-4</v>
      </c>
      <c r="O67" s="1">
        <f>[2]Urban_area_finals!O75/[2]Urban_area_finals!$G75</f>
        <v>5.9813581296731583E-4</v>
      </c>
      <c r="P67" s="1">
        <f>[2]Urban_area_finals!P75/[2]Urban_area_finals!$G75</f>
        <v>7.0831872588234771E-4</v>
      </c>
      <c r="Q67" s="1">
        <f>[2]Urban_area_finals!Q75/[2]Urban_area_finals!$G75</f>
        <v>8.4998247105881716E-4</v>
      </c>
      <c r="R67" s="1">
        <f>[2]Urban_area_finals!R75/[2]Urban_area_finals!$G75</f>
        <v>1.0231270484967244E-3</v>
      </c>
      <c r="S67" s="1">
        <f>[2]Urban_area_finals!S75/[2]Urban_area_finals!$G75</f>
        <v>1.1962716259346317E-3</v>
      </c>
      <c r="T67" s="1">
        <f>[2]Urban_area_finals!T75/[2]Urban_area_finals!$G75</f>
        <v>2.3768028357385442E-3</v>
      </c>
      <c r="U67" s="1">
        <f>[2]Urban_area_finals!U75/[2]Urban_area_finals!$G75</f>
        <v>3.6832573745882082E-3</v>
      </c>
      <c r="V67" s="1">
        <f>[2]Urban_area_finals!V75/[2]Urban_area_finals!$G75</f>
        <v>3.9665848649411469E-3</v>
      </c>
      <c r="W67" s="1">
        <f>[2]Urban_area_finals!W75/[2]Urban_area_finals!$G75</f>
        <v>5.3202606521829676E-3</v>
      </c>
      <c r="X67" s="1">
        <f>[2]Urban_area_finals!X75/[2]Urban_area_finals!$G75</f>
        <v>5.7452518877123757E-3</v>
      </c>
      <c r="Y67" s="1">
        <f>[2]Urban_area_finals!Y75/[2]Urban_area_finals!$G75</f>
        <v>6.453570613594725E-3</v>
      </c>
      <c r="Z67" s="1">
        <f>[2]Urban_area_finals!Z75/[2]Urban_area_finals!$G75</f>
        <v>7.6498422395293551E-3</v>
      </c>
      <c r="AA67" s="1">
        <f>[2]Urban_area_finals!AA75/[2]Urban_area_finals!$G75</f>
        <v>9.4442496784313025E-3</v>
      </c>
      <c r="AB67" s="1">
        <f>[2]Urban_area_finals!AB75/[2]Urban_area_finals!$G75</f>
        <v>9.6331346719999277E-3</v>
      </c>
      <c r="AC67" s="1">
        <f>[2]Urban_area_finals!AC75/[2]Urban_area_finals!$G75</f>
        <v>9.7905388333071174E-3</v>
      </c>
      <c r="AD67" s="1">
        <f>[2]Urban_area_finals!AD75/[2]Urban_area_finals!$G75</f>
        <v>1.0042385491398619E-2</v>
      </c>
      <c r="AE67" s="1">
        <f>[2]Urban_area_finals!AE75/[2]Urban_area_finals!$G75</f>
        <v>1.0262751317228681E-2</v>
      </c>
      <c r="AF67" s="1">
        <f>[2]Urban_area_finals!AF75/[2]Urban_area_finals!$G75</f>
        <v>1.043589589466659E-2</v>
      </c>
      <c r="AG67" s="1">
        <f>[2]Urban_area_finals!AG75/[2]Urban_area_finals!$G75</f>
        <v>1.082940629793456E-2</v>
      </c>
      <c r="AH67" s="1">
        <f>[2]Urban_area_finals!AH75/[2]Urban_area_finals!$G75</f>
        <v>1.1112733788287501E-2</v>
      </c>
      <c r="AI67" s="1">
        <f>[2]Urban_area_finals!AI75/[2]Urban_area_finals!$G75</f>
        <v>1.1333099614117563E-2</v>
      </c>
      <c r="AJ67" s="1">
        <f>[2]Urban_area_finals!AJ75/[2]Urban_area_finals!$G75</f>
        <v>1.1584946272209065E-2</v>
      </c>
      <c r="AK67" s="1">
        <f>[2]Urban_area_finals!AK75/[2]Urban_area_finals!$G75</f>
        <v>1.1758090849646971E-2</v>
      </c>
      <c r="AL67" s="1">
        <f>[2]Urban_area_finals!AL75/[2]Urban_area_finals!$G75</f>
        <v>1.2293264998091413E-2</v>
      </c>
      <c r="AM67" s="1">
        <f>[2]Urban_area_finals!AM75/[2]Urban_area_finals!$G75</f>
        <v>1.4638587001568521E-2</v>
      </c>
      <c r="AN67" s="1">
        <f>[2]Urban_area_finals!AN75/[2]Urban_area_finals!$G75</f>
        <v>1.5488569472627335E-2</v>
      </c>
      <c r="AO67" s="1">
        <f>[2]Urban_area_finals!AO75/[2]Urban_area_finals!$G75</f>
        <v>1.720427483087569E-2</v>
      </c>
      <c r="AP67" s="1">
        <f>[2]Urban_area_finals!AP75/[2]Urban_area_finals!$G75</f>
        <v>1.9203307679476981E-2</v>
      </c>
      <c r="AQ67" s="1">
        <f>[2]Urban_area_finals!AQ75/[2]Urban_area_finals!$G75</f>
        <v>2.0006068902143643E-2</v>
      </c>
      <c r="AR67" s="1">
        <f>[2]Urban_area_finals!AR75/[2]Urban_area_finals!$G75</f>
        <v>2.0635685547372395E-2</v>
      </c>
      <c r="AS67" s="1">
        <f>[2]Urban_area_finals!AS75/[2]Urban_area_finals!$G75</f>
        <v>2.2162505912052124E-2</v>
      </c>
      <c r="AT67" s="1">
        <f>[2]Urban_area_finals!AT75/[2]Urban_area_finals!$G75</f>
        <v>2.4334683338091325E-2</v>
      </c>
      <c r="AU67" s="1">
        <f>[2]Urban_area_finals!AU75/[2]Urban_area_finals!$G75</f>
        <v>2.5933909616972357E-2</v>
      </c>
      <c r="AV67" s="1">
        <f>[2]Urban_area_finals!AV75/[2]Urban_area_finals!$G75</f>
        <v>2.8332749035293914E-2</v>
      </c>
      <c r="AW67" s="1">
        <f>[2]Urban_area_finals!AW75/[2]Urban_area_finals!$G75</f>
        <v>3.2991912209986679E-2</v>
      </c>
      <c r="AX67" s="1">
        <f>[2]Urban_area_finals!AX75/[2]Urban_area_finals!$G75</f>
        <v>3.8359394110561808E-2</v>
      </c>
      <c r="AY67" s="1">
        <f>[2]Urban_area_finals!AY75/[2]Urban_area_finals!$G75</f>
        <v>4.4057424749882029E-2</v>
      </c>
    </row>
    <row r="68" spans="1:51" x14ac:dyDescent="0.25">
      <c r="A68" t="s">
        <v>250</v>
      </c>
      <c r="B68" t="s">
        <v>251</v>
      </c>
      <c r="C68" t="s">
        <v>252</v>
      </c>
      <c r="D68" t="s">
        <v>91</v>
      </c>
      <c r="E68" t="s">
        <v>66</v>
      </c>
      <c r="F68" t="s">
        <v>66</v>
      </c>
      <c r="G68">
        <v>132578.71444676301</v>
      </c>
      <c r="H68">
        <v>5280.2336387388677</v>
      </c>
      <c r="I68">
        <f>Table2[[#This Row],[FUA_area]]+Table2[[#This Row],[FUA_urban]]</f>
        <v>137858.94808550188</v>
      </c>
      <c r="J68">
        <v>10543345</v>
      </c>
      <c r="K68" s="1">
        <f>[2]Urban_area_finals!K122/[2]Urban_area_finals!$G122</f>
        <v>1.3913711145905601E-3</v>
      </c>
      <c r="L68" s="1">
        <f>[2]Urban_area_finals!L122/[2]Urban_area_finals!$G122</f>
        <v>1.4363899811153991E-3</v>
      </c>
      <c r="M68" s="1">
        <f>[2]Urban_area_finals!M122/[2]Urban_area_finals!$G122</f>
        <v>1.5581144295428457E-3</v>
      </c>
      <c r="N68" s="1">
        <f>[2]Urban_area_finals!N122/[2]Urban_area_finals!$G122</f>
        <v>1.7822455570174246E-3</v>
      </c>
      <c r="O68" s="1">
        <f>[2]Urban_area_finals!O122/[2]Urban_area_finals!$G122</f>
        <v>2.4805015029761854E-3</v>
      </c>
      <c r="P68" s="1">
        <f>[2]Urban_area_finals!P122/[2]Urban_area_finals!$G122</f>
        <v>2.6862641044707223E-3</v>
      </c>
      <c r="Q68" s="1">
        <f>[2]Urban_area_finals!Q122/[2]Urban_area_finals!$G122</f>
        <v>2.8148583663757413E-3</v>
      </c>
      <c r="R68" s="1">
        <f>[2]Urban_area_finals!R122/[2]Urban_area_finals!$G122</f>
        <v>2.9260276565834611E-3</v>
      </c>
      <c r="S68" s="1">
        <f>[2]Urban_area_finals!S122/[2]Urban_area_finals!$G122</f>
        <v>3.10812766779547E-3</v>
      </c>
      <c r="T68" s="1">
        <f>[2]Urban_area_finals!T122/[2]Urban_area_finals!$G122</f>
        <v>3.6357216955753922E-3</v>
      </c>
      <c r="U68" s="1">
        <f>[2]Urban_area_finals!U122/[2]Urban_area_finals!$G122</f>
        <v>4.3443189646056321E-3</v>
      </c>
      <c r="V68" s="1">
        <f>[2]Urban_area_finals!V122/[2]Urban_area_finals!$G122</f>
        <v>4.8644421661322001E-3</v>
      </c>
      <c r="W68" s="1">
        <f>[2]Urban_area_finals!W122/[2]Urban_area_finals!$G122</f>
        <v>6.0404112206370961E-3</v>
      </c>
      <c r="X68" s="1">
        <f>[2]Urban_area_finals!X122/[2]Urban_area_finals!$G122</f>
        <v>6.2914745602027002E-3</v>
      </c>
      <c r="Y68" s="1">
        <f>[2]Urban_area_finals!Y122/[2]Urban_area_finals!$G122</f>
        <v>7.0214622202109059E-3</v>
      </c>
      <c r="Z68" s="1">
        <f>[2]Urban_area_finals!Z122/[2]Urban_area_finals!$G122</f>
        <v>7.6657189571859366E-3</v>
      </c>
      <c r="AA68" s="1">
        <f>[2]Urban_area_finals!AA122/[2]Urban_area_finals!$G122</f>
        <v>8.368691689628829E-3</v>
      </c>
      <c r="AB68" s="1">
        <f>[2]Urban_area_finals!AB122/[2]Urban_area_finals!$G122</f>
        <v>8.5520721806228786E-3</v>
      </c>
      <c r="AC68" s="1">
        <f>[2]Urban_area_finals!AC122/[2]Urban_area_finals!$G122</f>
        <v>8.734308322652911E-3</v>
      </c>
      <c r="AD68" s="1">
        <f>[2]Urban_area_finals!AD122/[2]Urban_area_finals!$G122</f>
        <v>9.070171701107077E-3</v>
      </c>
      <c r="AE68" s="1">
        <f>[2]Urban_area_finals!AE122/[2]Urban_area_finals!$G122</f>
        <v>9.6597692806385249E-3</v>
      </c>
      <c r="AF68" s="1">
        <f>[2]Urban_area_finals!AF122/[2]Urban_area_finals!$G122</f>
        <v>1.0045235653108725E-2</v>
      </c>
      <c r="AG68" s="1">
        <f>[2]Urban_area_finals!AG122/[2]Urban_area_finals!$G122</f>
        <v>1.0391821149379648E-2</v>
      </c>
      <c r="AH68" s="1">
        <f>[2]Urban_area_finals!AH122/[2]Urban_area_finals!$G122</f>
        <v>1.0856012033557414E-2</v>
      </c>
      <c r="AI68" s="1">
        <f>[2]Urban_area_finals!AI122/[2]Urban_area_finals!$G122</f>
        <v>1.1172050601911902E-2</v>
      </c>
      <c r="AJ68" s="1">
        <f>[2]Urban_area_finals!AJ122/[2]Urban_area_finals!$G122</f>
        <v>1.1495645414428891E-2</v>
      </c>
      <c r="AK68" s="1">
        <f>[2]Urban_area_finals!AK122/[2]Urban_area_finals!$G122</f>
        <v>1.2008997793929692E-2</v>
      </c>
      <c r="AL68" s="1">
        <f>[2]Urban_area_finals!AL122/[2]Urban_area_finals!$G122</f>
        <v>1.2612472335405172E-2</v>
      </c>
      <c r="AM68" s="1">
        <f>[2]Urban_area_finals!AM122/[2]Urban_area_finals!$G122</f>
        <v>1.3299879260494444E-2</v>
      </c>
      <c r="AN68" s="1">
        <f>[2]Urban_area_finals!AN122/[2]Urban_area_finals!$G122</f>
        <v>1.3698160926765431E-2</v>
      </c>
      <c r="AO68" s="1">
        <f>[2]Urban_area_finals!AO122/[2]Urban_area_finals!$G122</f>
        <v>1.4739795807765931E-2</v>
      </c>
      <c r="AP68" s="1">
        <f>[2]Urban_area_finals!AP122/[2]Urban_area_finals!$G122</f>
        <v>1.6135236431090633E-2</v>
      </c>
      <c r="AQ68" s="1">
        <f>[2]Urban_area_finals!AQ122/[2]Urban_area_finals!$G122</f>
        <v>1.8350307016228386E-2</v>
      </c>
      <c r="AR68" s="1">
        <f>[2]Urban_area_finals!AR122/[2]Urban_area_finals!$G122</f>
        <v>1.9994421275271065E-2</v>
      </c>
      <c r="AS68" s="1">
        <f>[2]Urban_area_finals!AS122/[2]Urban_area_finals!$G122</f>
        <v>2.1922924842377428E-2</v>
      </c>
      <c r="AT68" s="1">
        <f>[2]Urban_area_finals!AT122/[2]Urban_area_finals!$G122</f>
        <v>2.2927279704177579E-2</v>
      </c>
      <c r="AU68" s="1">
        <f>[2]Urban_area_finals!AU122/[2]Urban_area_finals!$G122</f>
        <v>2.397813559572633E-2</v>
      </c>
      <c r="AV68" s="1">
        <f>[2]Urban_area_finals!AV122/[2]Urban_area_finals!$G122</f>
        <v>2.5554419433049456E-2</v>
      </c>
      <c r="AW68" s="1">
        <f>[2]Urban_area_finals!AW122/[2]Urban_area_finals!$G122</f>
        <v>2.8950196336341338E-2</v>
      </c>
      <c r="AX68" s="1">
        <f>[2]Urban_area_finals!AX122/[2]Urban_area_finals!$G122</f>
        <v>3.3711481845040192E-2</v>
      </c>
      <c r="AY68" s="1">
        <f>[2]Urban_area_finals!AY122/[2]Urban_area_finals!$G122</f>
        <v>4.1842895341670967E-2</v>
      </c>
    </row>
    <row r="69" spans="1:51" x14ac:dyDescent="0.25">
      <c r="A69" t="s">
        <v>302</v>
      </c>
      <c r="B69" t="s">
        <v>303</v>
      </c>
      <c r="C69" t="s">
        <v>304</v>
      </c>
      <c r="D69" t="s">
        <v>303</v>
      </c>
      <c r="E69" t="s">
        <v>55</v>
      </c>
      <c r="F69" t="s">
        <v>87</v>
      </c>
      <c r="G69">
        <v>372467.76577284659</v>
      </c>
      <c r="H69">
        <v>78320.445943524217</v>
      </c>
      <c r="I69">
        <f>Table2[[#This Row],[FUA_area]]+Table2[[#This Row],[FUA_urban]]</f>
        <v>450788.21171637077</v>
      </c>
      <c r="J69">
        <v>125542768</v>
      </c>
      <c r="K69" s="1">
        <f>[2]Urban_area_finals!K129/[2]Urban_area_finals!$G129</f>
        <v>2.7879322033346459E-3</v>
      </c>
      <c r="L69" s="1">
        <f>[2]Urban_area_finals!L129/[2]Urban_area_finals!$G129</f>
        <v>2.7879322033346459E-3</v>
      </c>
      <c r="M69" s="1">
        <f>[2]Urban_area_finals!M129/[2]Urban_area_finals!$G129</f>
        <v>2.7879322033346459E-3</v>
      </c>
      <c r="N69" s="1">
        <f>[2]Urban_area_finals!N129/[2]Urban_area_finals!$G129</f>
        <v>2.7879322033346459E-3</v>
      </c>
      <c r="O69" s="1">
        <f>[2]Urban_area_finals!O129/[2]Urban_area_finals!$G129</f>
        <v>2.7879322033346459E-3</v>
      </c>
      <c r="P69" s="1">
        <f>[2]Urban_area_finals!P129/[2]Urban_area_finals!$G129</f>
        <v>2.7879322033346459E-3</v>
      </c>
      <c r="Q69" s="1">
        <f>[2]Urban_area_finals!Q129/[2]Urban_area_finals!$G129</f>
        <v>2.7879322033346459E-3</v>
      </c>
      <c r="R69" s="1">
        <f>[2]Urban_area_finals!R129/[2]Urban_area_finals!$G129</f>
        <v>2.7879322033346459E-3</v>
      </c>
      <c r="S69" s="1">
        <f>[2]Urban_area_finals!S129/[2]Urban_area_finals!$G129</f>
        <v>2.7879322033346459E-3</v>
      </c>
      <c r="T69" s="1">
        <f>[2]Urban_area_finals!T129/[2]Urban_area_finals!$G129</f>
        <v>2.7879322033346459E-3</v>
      </c>
      <c r="U69" s="1">
        <f>[2]Urban_area_finals!U129/[2]Urban_area_finals!$G129</f>
        <v>3.2525875705570867E-3</v>
      </c>
      <c r="V69" s="1">
        <f>[2]Urban_area_finals!V129/[2]Urban_area_finals!$G129</f>
        <v>4.6465536722244093E-3</v>
      </c>
      <c r="W69" s="1">
        <f>[2]Urban_area_finals!W129/[2]Urban_area_finals!$G129</f>
        <v>5.5758644066692918E-3</v>
      </c>
      <c r="X69" s="1">
        <f>[2]Urban_area_finals!X129/[2]Urban_area_finals!$G129</f>
        <v>6.040519773891734E-3</v>
      </c>
      <c r="Y69" s="1">
        <f>[2]Urban_area_finals!Y129/[2]Urban_area_finals!$G129</f>
        <v>6.040519773891734E-3</v>
      </c>
      <c r="Z69" s="1">
        <f>[2]Urban_area_finals!Z129/[2]Urban_area_finals!$G129</f>
        <v>6.040519773891734E-3</v>
      </c>
      <c r="AA69" s="1">
        <f>[2]Urban_area_finals!AA129/[2]Urban_area_finals!$G129</f>
        <v>6.040519773891734E-3</v>
      </c>
      <c r="AB69" s="1">
        <f>[2]Urban_area_finals!AB129/[2]Urban_area_finals!$G129</f>
        <v>6.5051751411141735E-3</v>
      </c>
      <c r="AC69" s="1">
        <f>[2]Urban_area_finals!AC129/[2]Urban_area_finals!$G129</f>
        <v>6.5051751411141735E-3</v>
      </c>
      <c r="AD69" s="1">
        <f>[2]Urban_area_finals!AD129/[2]Urban_area_finals!$G129</f>
        <v>6.9698305083366156E-3</v>
      </c>
      <c r="AE69" s="1">
        <f>[2]Urban_area_finals!AE129/[2]Urban_area_finals!$G129</f>
        <v>7.8991412427814964E-3</v>
      </c>
      <c r="AF69" s="1">
        <f>[2]Urban_area_finals!AF129/[2]Urban_area_finals!$G129</f>
        <v>8.828451977226379E-3</v>
      </c>
      <c r="AG69" s="1">
        <f>[2]Urban_area_finals!AG129/[2]Urban_area_finals!$G129</f>
        <v>8.828451977226379E-3</v>
      </c>
      <c r="AH69" s="1">
        <f>[2]Urban_area_finals!AH129/[2]Urban_area_finals!$G129</f>
        <v>8.828451977226379E-3</v>
      </c>
      <c r="AI69" s="1">
        <f>[2]Urban_area_finals!AI129/[2]Urban_area_finals!$G129</f>
        <v>8.828451977226379E-3</v>
      </c>
      <c r="AJ69" s="1">
        <f>[2]Urban_area_finals!AJ129/[2]Urban_area_finals!$G129</f>
        <v>9.2931073444488185E-3</v>
      </c>
      <c r="AK69" s="1">
        <f>[2]Urban_area_finals!AK129/[2]Urban_area_finals!$G129</f>
        <v>9.2931073444488185E-3</v>
      </c>
      <c r="AL69" s="1">
        <f>[2]Urban_area_finals!AL129/[2]Urban_area_finals!$G129</f>
        <v>1.0687073446116142E-2</v>
      </c>
      <c r="AM69" s="1">
        <f>[2]Urban_area_finals!AM129/[2]Urban_area_finals!$G129</f>
        <v>1.0687073446116142E-2</v>
      </c>
      <c r="AN69" s="1">
        <f>[2]Urban_area_finals!AN129/[2]Urban_area_finals!$G129</f>
        <v>1.1151728813338584E-2</v>
      </c>
      <c r="AO69" s="1">
        <f>[2]Urban_area_finals!AO129/[2]Urban_area_finals!$G129</f>
        <v>1.1151728813338584E-2</v>
      </c>
      <c r="AP69" s="1">
        <f>[2]Urban_area_finals!AP129/[2]Urban_area_finals!$G129</f>
        <v>1.2545694915005906E-2</v>
      </c>
      <c r="AQ69" s="1">
        <f>[2]Urban_area_finals!AQ129/[2]Urban_area_finals!$G129</f>
        <v>1.4404316383895671E-2</v>
      </c>
      <c r="AR69" s="1">
        <f>[2]Urban_area_finals!AR129/[2]Urban_area_finals!$G129</f>
        <v>2.0444836157787402E-2</v>
      </c>
      <c r="AS69" s="1">
        <f>[2]Urban_area_finals!AS129/[2]Urban_area_finals!$G129</f>
        <v>2.2303457626677167E-2</v>
      </c>
      <c r="AT69" s="1">
        <f>[2]Urban_area_finals!AT129/[2]Urban_area_finals!$G129</f>
        <v>2.3697423728344491E-2</v>
      </c>
      <c r="AU69" s="1">
        <f>[2]Urban_area_finals!AU129/[2]Urban_area_finals!$G129</f>
        <v>2.4440872315900398E-2</v>
      </c>
      <c r="AV69" s="1">
        <f>[2]Urban_area_finals!AV129/[2]Urban_area_finals!$G129</f>
        <v>2.5556045197234253E-2</v>
      </c>
      <c r="AW69" s="1">
        <f>[2]Urban_area_finals!AW129/[2]Urban_area_finals!$G129</f>
        <v>2.8808632767791342E-2</v>
      </c>
      <c r="AX69" s="1">
        <f>[2]Urban_area_finals!AX129/[2]Urban_area_finals!$G129</f>
        <v>3.3455186440015751E-2</v>
      </c>
      <c r="AY69" s="1">
        <f>[2]Urban_area_finals!AY129/[2]Urban_area_finals!$G129</f>
        <v>4.1818983050019694E-2</v>
      </c>
    </row>
    <row r="70" spans="1:51" x14ac:dyDescent="0.25">
      <c r="A70" t="s">
        <v>312</v>
      </c>
      <c r="B70" t="s">
        <v>313</v>
      </c>
      <c r="C70" t="s">
        <v>314</v>
      </c>
      <c r="D70" t="s">
        <v>308</v>
      </c>
      <c r="E70" t="s">
        <v>71</v>
      </c>
      <c r="F70" t="s">
        <v>82</v>
      </c>
      <c r="G70">
        <v>197448.54876372989</v>
      </c>
      <c r="H70">
        <v>834.35466797810409</v>
      </c>
      <c r="I70">
        <f>Table2[[#This Row],[FUA_area]]+Table2[[#This Row],[FUA_urban]]</f>
        <v>198282.90343170799</v>
      </c>
      <c r="J70">
        <v>6372332.9999999991</v>
      </c>
      <c r="K70" s="1">
        <f>[2]Urban_area_finals!K10/[2]Urban_area_finals!$G10</f>
        <v>5.80813046270761E-4</v>
      </c>
      <c r="L70" s="1">
        <f>[2]Urban_area_finals!L10/[2]Urban_area_finals!$G10</f>
        <v>6.7449256986281921E-4</v>
      </c>
      <c r="M70" s="1">
        <f>[2]Urban_area_finals!M10/[2]Urban_area_finals!$G10</f>
        <v>8.0564390289170084E-4</v>
      </c>
      <c r="N70" s="1">
        <f>[2]Urban_area_finals!N10/[2]Urban_area_finals!$G10</f>
        <v>1.0304747595126405E-3</v>
      </c>
      <c r="O70" s="1">
        <f>[2]Urban_area_finals!O10/[2]Urban_area_finals!$G10</f>
        <v>1.3302492350072269E-3</v>
      </c>
      <c r="P70" s="1">
        <f>[2]Urban_area_finals!P10/[2]Urban_area_finals!$G10</f>
        <v>1.4426646633176967E-3</v>
      </c>
      <c r="Q70" s="1">
        <f>[2]Urban_area_finals!Q10/[2]Urban_area_finals!$G10</f>
        <v>1.5738159963465783E-3</v>
      </c>
      <c r="R70" s="1">
        <f>[2]Urban_area_finals!R10/[2]Urban_area_finals!$G10</f>
        <v>1.742439138812283E-3</v>
      </c>
      <c r="S70" s="1">
        <f>[2]Urban_area_finals!S10/[2]Urban_area_finals!$G10</f>
        <v>1.9297981859963994E-3</v>
      </c>
      <c r="T70" s="1">
        <f>[2]Urban_area_finals!T10/[2]Urban_area_finals!$G10</f>
        <v>2.7916498030433352E-3</v>
      </c>
      <c r="U70" s="1">
        <f>[2]Urban_area_finals!U10/[2]Urban_area_finals!$G10</f>
        <v>3.9532758955848572E-3</v>
      </c>
      <c r="V70" s="1">
        <f>[2]Urban_area_finals!V10/[2]Urban_area_finals!$G10</f>
        <v>5.0399583692527323E-3</v>
      </c>
      <c r="W70" s="1">
        <f>[2]Urban_area_finals!W10/[2]Urban_area_finals!$G10</f>
        <v>6.1828485570758433E-3</v>
      </c>
      <c r="X70" s="1">
        <f>[2]Urban_area_finals!X10/[2]Urban_area_finals!$G10</f>
        <v>6.2015844617942552E-3</v>
      </c>
      <c r="Y70" s="1">
        <f>[2]Urban_area_finals!Y10/[2]Urban_area_finals!$G10</f>
        <v>6.4826230325704306E-3</v>
      </c>
      <c r="Z70" s="1">
        <f>[2]Urban_area_finals!Z10/[2]Urban_area_finals!$G10</f>
        <v>6.9884924599675447E-3</v>
      </c>
      <c r="AA70" s="1">
        <f>[2]Urban_area_finals!AA10/[2]Urban_area_finals!$G10</f>
        <v>7.1758515071516605E-3</v>
      </c>
      <c r="AB70" s="1">
        <f>[2]Urban_area_finals!AB10/[2]Urban_area_finals!$G10</f>
        <v>7.2507951260253074E-3</v>
      </c>
      <c r="AC70" s="1">
        <f>[2]Urban_area_finals!AC10/[2]Urban_area_finals!$G10</f>
        <v>7.4381541732094231E-3</v>
      </c>
      <c r="AD70" s="1">
        <f>[2]Urban_area_finals!AD10/[2]Urban_area_finals!$G10</f>
        <v>7.6255132203935407E-3</v>
      </c>
      <c r="AE70" s="1">
        <f>[2]Urban_area_finals!AE10/[2]Urban_area_finals!$G10</f>
        <v>7.7566645534224224E-3</v>
      </c>
      <c r="AF70" s="1">
        <f>[2]Urban_area_finals!AF10/[2]Urban_area_finals!$G10</f>
        <v>7.7941363628592454E-3</v>
      </c>
      <c r="AG70" s="1">
        <f>[2]Urban_area_finals!AG10/[2]Urban_area_finals!$G10</f>
        <v>8.0189672194801859E-3</v>
      </c>
      <c r="AH70" s="1">
        <f>[2]Urban_area_finals!AH10/[2]Urban_area_finals!$G10</f>
        <v>8.5248366468772992E-3</v>
      </c>
      <c r="AI70" s="1">
        <f>[2]Urban_area_finals!AI10/[2]Urban_area_finals!$G10</f>
        <v>1.0173596262097526E-2</v>
      </c>
      <c r="AJ70" s="1">
        <f>[2]Urban_area_finals!AJ10/[2]Urban_area_finals!$G10</f>
        <v>1.0267275785689582E-2</v>
      </c>
      <c r="AK70" s="1">
        <f>[2]Urban_area_finals!AK10/[2]Urban_area_finals!$G10</f>
        <v>1.0960504260270815E-2</v>
      </c>
      <c r="AL70" s="1">
        <f>[2]Urban_area_finals!AL10/[2]Urban_area_finals!$G10</f>
        <v>1.1241542831046988E-2</v>
      </c>
      <c r="AM70" s="1">
        <f>[2]Urban_area_finals!AM10/[2]Urban_area_finals!$G10</f>
        <v>1.2346961209433273E-2</v>
      </c>
      <c r="AN70" s="1">
        <f>[2]Urban_area_finals!AN10/[2]Urban_area_finals!$G10</f>
        <v>1.2890302446267213E-2</v>
      </c>
      <c r="AO70" s="1">
        <f>[2]Urban_area_finals!AO10/[2]Urban_area_finals!$G10</f>
        <v>1.3414907778382739E-2</v>
      </c>
      <c r="AP70" s="1">
        <f>[2]Urban_area_finals!AP10/[2]Urban_area_finals!$G10</f>
        <v>1.388330539634303E-2</v>
      </c>
      <c r="AQ70" s="1">
        <f>[2]Urban_area_finals!AQ10/[2]Urban_area_finals!$G10</f>
        <v>1.5044931488884554E-2</v>
      </c>
      <c r="AR70" s="1">
        <f>[2]Urban_area_finals!AR10/[2]Urban_area_finals!$G10</f>
        <v>1.6656219294667953E-2</v>
      </c>
      <c r="AS70" s="1">
        <f>[2]Urban_area_finals!AS10/[2]Urban_area_finals!$G10</f>
        <v>2.0141097572292523E-2</v>
      </c>
      <c r="AT70" s="1">
        <f>[2]Urban_area_finals!AT10/[2]Urban_area_finals!$G10</f>
        <v>2.2464349757375567E-2</v>
      </c>
      <c r="AU70" s="1">
        <f>[2]Urban_area_finals!AU10/[2]Urban_area_finals!$G10</f>
        <v>2.4128098096370516E-2</v>
      </c>
      <c r="AV70" s="1">
        <f>[2]Urban_area_finals!AV10/[2]Urban_area_finals!$G10</f>
        <v>2.6623720604862951E-2</v>
      </c>
      <c r="AW70" s="1">
        <f>[2]Urban_area_finals!AW10/[2]Urban_area_finals!$G10</f>
        <v>3.1157809546718568E-2</v>
      </c>
      <c r="AX70" s="1">
        <f>[2]Urban_area_finals!AX10/[2]Urban_area_finals!$G10</f>
        <v>3.6010408868787189E-2</v>
      </c>
      <c r="AY70" s="1">
        <f>[2]Urban_area_finals!AY10/[2]Urban_area_finals!$G10</f>
        <v>4.1387613522971323E-2</v>
      </c>
    </row>
    <row r="71" spans="1:51" x14ac:dyDescent="0.25">
      <c r="A71" t="s">
        <v>400</v>
      </c>
      <c r="B71" t="s">
        <v>401</v>
      </c>
      <c r="C71" t="s">
        <v>402</v>
      </c>
      <c r="D71" t="s">
        <v>105</v>
      </c>
      <c r="E71" t="s">
        <v>61</v>
      </c>
      <c r="F71" t="s">
        <v>61</v>
      </c>
      <c r="G71">
        <v>1183670.987808041</v>
      </c>
      <c r="H71">
        <v>598.42562465101378</v>
      </c>
      <c r="I71">
        <f>Table2[[#This Row],[FUA_area]]+Table2[[#This Row],[FUA_urban]]</f>
        <v>1184269.4134326919</v>
      </c>
      <c r="J71">
        <v>23881690</v>
      </c>
      <c r="K71" s="1">
        <f>[2]Urban_area_finals!K57/[2]Urban_area_finals!$G57</f>
        <v>2.6863573418377819E-3</v>
      </c>
      <c r="L71" s="1">
        <f>[2]Urban_area_finals!L57/[2]Urban_area_finals!$G57</f>
        <v>2.6863573418377819E-3</v>
      </c>
      <c r="M71" s="1">
        <f>[2]Urban_area_finals!M57/[2]Urban_area_finals!$G57</f>
        <v>2.6863573418377819E-3</v>
      </c>
      <c r="N71" s="1">
        <f>[2]Urban_area_finals!N57/[2]Urban_area_finals!$G57</f>
        <v>2.6863573418377819E-3</v>
      </c>
      <c r="O71" s="1">
        <f>[2]Urban_area_finals!O57/[2]Urban_area_finals!$G57</f>
        <v>2.6863573418377819E-3</v>
      </c>
      <c r="P71" s="1">
        <f>[2]Urban_area_finals!P57/[2]Urban_area_finals!$G57</f>
        <v>2.6863573418377819E-3</v>
      </c>
      <c r="Q71" s="1">
        <f>[2]Urban_area_finals!Q57/[2]Urban_area_finals!$G57</f>
        <v>2.6863573418377819E-3</v>
      </c>
      <c r="R71" s="1">
        <f>[2]Urban_area_finals!R57/[2]Urban_area_finals!$G57</f>
        <v>2.6863573418377819E-3</v>
      </c>
      <c r="S71" s="1">
        <f>[2]Urban_area_finals!S57/[2]Urban_area_finals!$G57</f>
        <v>2.6863573418377819E-3</v>
      </c>
      <c r="T71" s="1">
        <f>[2]Urban_area_finals!T57/[2]Urban_area_finals!$G57</f>
        <v>2.6863573418377819E-3</v>
      </c>
      <c r="U71" s="1">
        <f>[2]Urban_area_finals!U57/[2]Urban_area_finals!$G57</f>
        <v>4.0295360127566727E-3</v>
      </c>
      <c r="V71" s="1">
        <f>[2]Urban_area_finals!V57/[2]Urban_area_finals!$G57</f>
        <v>5.3727146836755639E-3</v>
      </c>
      <c r="W71" s="1">
        <f>[2]Urban_area_finals!W57/[2]Urban_area_finals!$G57</f>
        <v>6.7158933545944551E-3</v>
      </c>
      <c r="X71" s="1">
        <f>[2]Urban_area_finals!X57/[2]Urban_area_finals!$G57</f>
        <v>7.3874826900539002E-3</v>
      </c>
      <c r="Y71" s="1">
        <f>[2]Urban_area_finals!Y57/[2]Urban_area_finals!$G57</f>
        <v>7.3874826900539002E-3</v>
      </c>
      <c r="Z71" s="1">
        <f>[2]Urban_area_finals!Z57/[2]Urban_area_finals!$G57</f>
        <v>8.0590720255133454E-3</v>
      </c>
      <c r="AA71" s="1">
        <f>[2]Urban_area_finals!AA57/[2]Urban_area_finals!$G57</f>
        <v>1.4103376044648352E-2</v>
      </c>
      <c r="AB71" s="1">
        <f>[2]Urban_area_finals!AB57/[2]Urban_area_finals!$G57</f>
        <v>1.4103376044648352E-2</v>
      </c>
      <c r="AC71" s="1">
        <f>[2]Urban_area_finals!AC57/[2]Urban_area_finals!$G57</f>
        <v>1.4103376044648352E-2</v>
      </c>
      <c r="AD71" s="1">
        <f>[2]Urban_area_finals!AD57/[2]Urban_area_finals!$G57</f>
        <v>1.4103376044648352E-2</v>
      </c>
      <c r="AE71" s="1">
        <f>[2]Urban_area_finals!AE57/[2]Urban_area_finals!$G57</f>
        <v>1.4103376044648352E-2</v>
      </c>
      <c r="AF71" s="1">
        <f>[2]Urban_area_finals!AF57/[2]Urban_area_finals!$G57</f>
        <v>1.4103376044648352E-2</v>
      </c>
      <c r="AG71" s="1">
        <f>[2]Urban_area_finals!AG57/[2]Urban_area_finals!$G57</f>
        <v>1.4103376044648352E-2</v>
      </c>
      <c r="AH71" s="1">
        <f>[2]Urban_area_finals!AH57/[2]Urban_area_finals!$G57</f>
        <v>1.4103376044648352E-2</v>
      </c>
      <c r="AI71" s="1">
        <f>[2]Urban_area_finals!AI57/[2]Urban_area_finals!$G57</f>
        <v>1.4103376044648352E-2</v>
      </c>
      <c r="AJ71" s="1">
        <f>[2]Urban_area_finals!AJ57/[2]Urban_area_finals!$G57</f>
        <v>1.4103376044648352E-2</v>
      </c>
      <c r="AK71" s="1">
        <f>[2]Urban_area_finals!AK57/[2]Urban_area_finals!$G57</f>
        <v>1.47749653801078E-2</v>
      </c>
      <c r="AL71" s="1">
        <f>[2]Urban_area_finals!AL57/[2]Urban_area_finals!$G57</f>
        <v>1.47749653801078E-2</v>
      </c>
      <c r="AM71" s="1">
        <f>[2]Urban_area_finals!AM57/[2]Urban_area_finals!$G57</f>
        <v>1.47749653801078E-2</v>
      </c>
      <c r="AN71" s="1">
        <f>[2]Urban_area_finals!AN57/[2]Urban_area_finals!$G57</f>
        <v>1.5446554715567247E-2</v>
      </c>
      <c r="AO71" s="1">
        <f>[2]Urban_area_finals!AO57/[2]Urban_area_finals!$G57</f>
        <v>1.7461322721945581E-2</v>
      </c>
      <c r="AP71" s="1">
        <f>[2]Urban_area_finals!AP57/[2]Urban_area_finals!$G57</f>
        <v>1.813291205740503E-2</v>
      </c>
      <c r="AQ71" s="1">
        <f>[2]Urban_area_finals!AQ57/[2]Urban_area_finals!$G57</f>
        <v>1.813291205740503E-2</v>
      </c>
      <c r="AR71" s="1">
        <f>[2]Urban_area_finals!AR57/[2]Urban_area_finals!$G57</f>
        <v>1.813291205740503E-2</v>
      </c>
      <c r="AS71" s="1">
        <f>[2]Urban_area_finals!AS57/[2]Urban_area_finals!$G57</f>
        <v>1.8804501392864471E-2</v>
      </c>
      <c r="AT71" s="1">
        <f>[2]Urban_area_finals!AT57/[2]Urban_area_finals!$G57</f>
        <v>2.1490858734702255E-2</v>
      </c>
      <c r="AU71" s="1">
        <f>[2]Urban_area_finals!AU57/[2]Urban_area_finals!$G57</f>
        <v>2.3102673139804925E-2</v>
      </c>
      <c r="AV71" s="1">
        <f>[2]Urban_area_finals!AV57/[2]Urban_area_finals!$G57</f>
        <v>2.5520394747458926E-2</v>
      </c>
      <c r="AW71" s="1">
        <f>[2]Urban_area_finals!AW57/[2]Urban_area_finals!$G57</f>
        <v>3.0221520095675049E-2</v>
      </c>
      <c r="AX71" s="1">
        <f>[2]Urban_area_finals!AX57/[2]Urban_area_finals!$G57</f>
        <v>3.5594234779350614E-2</v>
      </c>
      <c r="AY71" s="1">
        <f>[2]Urban_area_finals!AY57/[2]Urban_area_finals!$G57</f>
        <v>4.0966949463026175E-2</v>
      </c>
    </row>
    <row r="72" spans="1:51" x14ac:dyDescent="0.25">
      <c r="A72" t="s">
        <v>214</v>
      </c>
      <c r="B72" t="s">
        <v>215</v>
      </c>
      <c r="C72" t="s">
        <v>216</v>
      </c>
      <c r="D72" t="s">
        <v>91</v>
      </c>
      <c r="E72" t="s">
        <v>66</v>
      </c>
      <c r="F72" t="s">
        <v>66</v>
      </c>
      <c r="G72">
        <v>506044.32052419242</v>
      </c>
      <c r="H72">
        <v>27843.796788987151</v>
      </c>
      <c r="I72">
        <f>Table2[[#This Row],[FUA_area]]+Table2[[#This Row],[FUA_urban]]</f>
        <v>533888.11731317954</v>
      </c>
      <c r="J72">
        <v>47329955.000000007</v>
      </c>
      <c r="K72" s="1">
        <f>[2]Urban_area_finals!K117/[2]Urban_area_finals!$G117</f>
        <v>6.6477194598302746E-4</v>
      </c>
      <c r="L72" s="1">
        <f>[2]Urban_area_finals!L117/[2]Urban_area_finals!$G117</f>
        <v>6.6477194598302746E-4</v>
      </c>
      <c r="M72" s="1">
        <f>[2]Urban_area_finals!M117/[2]Urban_area_finals!$G117</f>
        <v>6.6477194598302746E-4</v>
      </c>
      <c r="N72" s="1">
        <f>[2]Urban_area_finals!N117/[2]Urban_area_finals!$G117</f>
        <v>6.6477194598302746E-4</v>
      </c>
      <c r="O72" s="1">
        <f>[2]Urban_area_finals!O117/[2]Urban_area_finals!$G117</f>
        <v>7.4786843923090583E-4</v>
      </c>
      <c r="P72" s="1">
        <f>[2]Urban_area_finals!P117/[2]Urban_area_finals!$G117</f>
        <v>7.4786843923090583E-4</v>
      </c>
      <c r="Q72" s="1">
        <f>[2]Urban_area_finals!Q117/[2]Urban_area_finals!$G117</f>
        <v>7.4786843923090583E-4</v>
      </c>
      <c r="R72" s="1">
        <f>[2]Urban_area_finals!R117/[2]Urban_area_finals!$G117</f>
        <v>9.1406142572666277E-4</v>
      </c>
      <c r="S72" s="1">
        <f>[2]Urban_area_finals!S117/[2]Urban_area_finals!$G117</f>
        <v>1.1633509054702982E-3</v>
      </c>
      <c r="T72" s="1">
        <f>[2]Urban_area_finals!T117/[2]Urban_area_finals!$G117</f>
        <v>1.5788333717096901E-3</v>
      </c>
      <c r="U72" s="1">
        <f>[2]Urban_area_finals!U117/[2]Urban_area_finals!$G117</f>
        <v>2.3267018109405964E-3</v>
      </c>
      <c r="V72" s="1">
        <f>[2]Urban_area_finals!V117/[2]Urban_area_finals!$G117</f>
        <v>3.1576667434193803E-3</v>
      </c>
      <c r="W72" s="1">
        <f>[2]Urban_area_finals!W117/[2]Urban_area_finals!$G117</f>
        <v>4.321017648889678E-3</v>
      </c>
      <c r="X72" s="1">
        <f>[2]Urban_area_finals!X117/[2]Urban_area_finals!$G117</f>
        <v>4.7365001151290706E-3</v>
      </c>
      <c r="Y72" s="1">
        <f>[2]Urban_area_finals!Y117/[2]Urban_area_finals!$G117</f>
        <v>8.9744212707708708E-3</v>
      </c>
      <c r="Z72" s="1">
        <f>[2]Urban_area_finals!Z117/[2]Urban_area_finals!$G117</f>
        <v>1.1550412561455102E-2</v>
      </c>
      <c r="AA72" s="1">
        <f>[2]Urban_area_finals!AA117/[2]Urban_area_finals!$G117</f>
        <v>1.1799702041198739E-2</v>
      </c>
      <c r="AB72" s="1">
        <f>[2]Urban_area_finals!AB117/[2]Urban_area_finals!$G117</f>
        <v>1.1882798534446617E-2</v>
      </c>
      <c r="AC72" s="1">
        <f>[2]Urban_area_finals!AC117/[2]Urban_area_finals!$G117</f>
        <v>1.1882798534446617E-2</v>
      </c>
      <c r="AD72" s="1">
        <f>[2]Urban_area_finals!AD117/[2]Urban_area_finals!$G117</f>
        <v>1.1965895027694493E-2</v>
      </c>
      <c r="AE72" s="1">
        <f>[2]Urban_area_finals!AE117/[2]Urban_area_finals!$G117</f>
        <v>1.2464473987181765E-2</v>
      </c>
      <c r="AF72" s="1">
        <f>[2]Urban_area_finals!AF117/[2]Urban_area_finals!$G117</f>
        <v>1.3461631906156304E-2</v>
      </c>
      <c r="AG72" s="1">
        <f>[2]Urban_area_finals!AG117/[2]Urban_area_finals!$G117</f>
        <v>1.3627824892652064E-2</v>
      </c>
      <c r="AH72" s="1">
        <f>[2]Urban_area_finals!AH117/[2]Urban_area_finals!$G117</f>
        <v>1.3877114372395697E-2</v>
      </c>
      <c r="AI72" s="1">
        <f>[2]Urban_area_finals!AI117/[2]Urban_area_finals!$G117</f>
        <v>1.4043307358891454E-2</v>
      </c>
      <c r="AJ72" s="1">
        <f>[2]Urban_area_finals!AJ117/[2]Urban_area_finals!$G117</f>
        <v>1.4458789825130847E-2</v>
      </c>
      <c r="AK72" s="1">
        <f>[2]Urban_area_finals!AK117/[2]Urban_area_finals!$G117</f>
        <v>1.4957368784618117E-2</v>
      </c>
      <c r="AL72" s="1">
        <f>[2]Urban_area_finals!AL117/[2]Urban_area_finals!$G117</f>
        <v>1.5123561771113875E-2</v>
      </c>
      <c r="AM72" s="1">
        <f>[2]Urban_area_finals!AM117/[2]Urban_area_finals!$G117</f>
        <v>1.5206658264361751E-2</v>
      </c>
      <c r="AN72" s="1">
        <f>[2]Urban_area_finals!AN117/[2]Urban_area_finals!$G117</f>
        <v>1.5788333717096901E-2</v>
      </c>
      <c r="AO72" s="1">
        <f>[2]Urban_area_finals!AO117/[2]Urban_area_finals!$G117</f>
        <v>1.6619298649575686E-2</v>
      </c>
      <c r="AP72" s="1">
        <f>[2]Urban_area_finals!AP117/[2]Urban_area_finals!$G117</f>
        <v>1.7782649555045986E-2</v>
      </c>
      <c r="AQ72" s="1">
        <f>[2]Urban_area_finals!AQ117/[2]Urban_area_finals!$G117</f>
        <v>2.0275544352482338E-2</v>
      </c>
      <c r="AR72" s="1">
        <f>[2]Urban_area_finals!AR117/[2]Urban_area_finals!$G117</f>
        <v>2.5427526933850798E-2</v>
      </c>
      <c r="AS72" s="1">
        <f>[2]Urban_area_finals!AS117/[2]Urban_area_finals!$G117</f>
        <v>2.8169711211030787E-2</v>
      </c>
      <c r="AT72" s="1">
        <f>[2]Urban_area_finals!AT117/[2]Urban_area_finals!$G117</f>
        <v>2.958235159624472E-2</v>
      </c>
      <c r="AU72" s="1">
        <f>[2]Urban_area_finals!AU117/[2]Urban_area_finals!$G117</f>
        <v>3.0446555126022654E-2</v>
      </c>
      <c r="AV72" s="1">
        <f>[2]Urban_area_finals!AV117/[2]Urban_area_finals!$G117</f>
        <v>3.1742860420689564E-2</v>
      </c>
      <c r="AW72" s="1">
        <f>[2]Urban_area_finals!AW117/[2]Urban_area_finals!$G117</f>
        <v>3.4152658724878035E-2</v>
      </c>
      <c r="AX72" s="1">
        <f>[2]Urban_area_finals!AX117/[2]Urban_area_finals!$G117</f>
        <v>3.6645553522314391E-2</v>
      </c>
      <c r="AY72" s="1">
        <f>[2]Urban_area_finals!AY117/[2]Urban_area_finals!$G117</f>
        <v>3.9138448319750739E-2</v>
      </c>
    </row>
    <row r="73" spans="1:51" x14ac:dyDescent="0.25">
      <c r="A73" t="s">
        <v>388</v>
      </c>
      <c r="B73" t="s">
        <v>389</v>
      </c>
      <c r="C73" t="s">
        <v>390</v>
      </c>
      <c r="D73" t="s">
        <v>60</v>
      </c>
      <c r="E73" t="s">
        <v>61</v>
      </c>
      <c r="F73" t="s">
        <v>61</v>
      </c>
      <c r="G73">
        <v>117926.9297598032</v>
      </c>
      <c r="H73">
        <v>741.64245283069124</v>
      </c>
      <c r="I73">
        <f>Table2[[#This Row],[FUA_area]]+Table2[[#This Row],[FUA_urban]]</f>
        <v>118668.5722126339</v>
      </c>
      <c r="J73">
        <v>19120889</v>
      </c>
      <c r="K73" s="1">
        <f>[2]Urban_area_finals!K7/[2]Urban_area_finals!$G7</f>
        <v>2.4617394151447481E-4</v>
      </c>
      <c r="L73" s="1">
        <f>[2]Urban_area_finals!L7/[2]Urban_area_finals!$G7</f>
        <v>2.4617394151447481E-4</v>
      </c>
      <c r="M73" s="1">
        <f>[2]Urban_area_finals!M7/[2]Urban_area_finals!$G7</f>
        <v>2.4617394151447481E-4</v>
      </c>
      <c r="N73" s="1">
        <f>[2]Urban_area_finals!N7/[2]Urban_area_finals!$G7</f>
        <v>2.4617394151447481E-4</v>
      </c>
      <c r="O73" s="1">
        <f>[2]Urban_area_finals!O7/[2]Urban_area_finals!$G7</f>
        <v>2.4617394151447481E-4</v>
      </c>
      <c r="P73" s="1">
        <f>[2]Urban_area_finals!P7/[2]Urban_area_finals!$G7</f>
        <v>2.4617394151447481E-4</v>
      </c>
      <c r="Q73" s="1">
        <f>[2]Urban_area_finals!Q7/[2]Urban_area_finals!$G7</f>
        <v>2.4617394151447481E-4</v>
      </c>
      <c r="R73" s="1">
        <f>[2]Urban_area_finals!R7/[2]Urban_area_finals!$G7</f>
        <v>3.0771742689309346E-4</v>
      </c>
      <c r="S73" s="1">
        <f>[2]Urban_area_finals!S7/[2]Urban_area_finals!$G7</f>
        <v>3.0771742689309346E-4</v>
      </c>
      <c r="T73" s="1">
        <f>[2]Urban_area_finals!T7/[2]Urban_area_finals!$G7</f>
        <v>4.3080439765033087E-4</v>
      </c>
      <c r="U73" s="1">
        <f>[2]Urban_area_finals!U7/[2]Urban_area_finals!$G7</f>
        <v>6.7697833916480568E-4</v>
      </c>
      <c r="V73" s="1">
        <f>[2]Urban_area_finals!V7/[2]Urban_area_finals!$G7</f>
        <v>9.2315228067928038E-4</v>
      </c>
      <c r="W73" s="1">
        <f>[2]Urban_area_finals!W7/[2]Urban_area_finals!$G7</f>
        <v>1.1077827368151365E-3</v>
      </c>
      <c r="X73" s="1">
        <f>[2]Urban_area_finals!X7/[2]Urban_area_finals!$G7</f>
        <v>1.1077827368151365E-3</v>
      </c>
      <c r="Y73" s="1">
        <f>[2]Urban_area_finals!Y7/[2]Urban_area_finals!$G7</f>
        <v>1.1077827368151365E-3</v>
      </c>
      <c r="Z73" s="1">
        <f>[2]Urban_area_finals!Z7/[2]Urban_area_finals!$G7</f>
        <v>1.9078480467371796E-3</v>
      </c>
      <c r="AA73" s="1">
        <f>[2]Urban_area_finals!AA7/[2]Urban_area_finals!$G7</f>
        <v>3.015630783552316E-3</v>
      </c>
      <c r="AB73" s="1">
        <f>[2]Urban_area_finals!AB7/[2]Urban_area_finals!$G7</f>
        <v>4.1849570057460707E-3</v>
      </c>
      <c r="AC73" s="1">
        <f>[2]Urban_area_finals!AC7/[2]Urban_area_finals!$G7</f>
        <v>6.2774355086191065E-3</v>
      </c>
      <c r="AD73" s="1">
        <f>[2]Urban_area_finals!AD7/[2]Urban_area_finals!$G7</f>
        <v>6.7082399062694375E-3</v>
      </c>
      <c r="AE73" s="1">
        <f>[2]Urban_area_finals!AE7/[2]Urban_area_finals!$G7</f>
        <v>7.0159573331625303E-3</v>
      </c>
      <c r="AF73" s="1">
        <f>[2]Urban_area_finals!AF7/[2]Urban_area_finals!$G7</f>
        <v>7.3852182454342431E-3</v>
      </c>
      <c r="AG73" s="1">
        <f>[2]Urban_area_finals!AG7/[2]Urban_area_finals!$G7</f>
        <v>7.5083052161914812E-3</v>
      </c>
      <c r="AH73" s="1">
        <f>[2]Urban_area_finals!AH7/[2]Urban_area_finals!$G7</f>
        <v>7.6313921869487185E-3</v>
      </c>
      <c r="AI73" s="1">
        <f>[2]Urban_area_finals!AI7/[2]Urban_area_finals!$G7</f>
        <v>8.0621965845990486E-3</v>
      </c>
      <c r="AJ73" s="1">
        <f>[2]Urban_area_finals!AJ7/[2]Urban_area_finals!$G7</f>
        <v>8.5545444676279996E-3</v>
      </c>
      <c r="AK73" s="1">
        <f>[2]Urban_area_finals!AK7/[2]Urban_area_finals!$G7</f>
        <v>1.0216218572850704E-2</v>
      </c>
      <c r="AL73" s="1">
        <f>[2]Urban_area_finals!AL7/[2]Urban_area_finals!$G7</f>
        <v>1.1447088280423078E-2</v>
      </c>
      <c r="AM73" s="1">
        <f>[2]Urban_area_finals!AM7/[2]Urban_area_finals!$G7</f>
        <v>1.2985675414888546E-2</v>
      </c>
      <c r="AN73" s="1">
        <f>[2]Urban_area_finals!AN7/[2]Urban_area_finals!$G7</f>
        <v>1.3601110268674733E-2</v>
      </c>
      <c r="AO73" s="1">
        <f>[2]Urban_area_finals!AO7/[2]Urban_area_finals!$G7</f>
        <v>1.4031914666325061E-2</v>
      </c>
      <c r="AP73" s="1">
        <f>[2]Urban_area_finals!AP7/[2]Urban_area_finals!$G7</f>
        <v>1.4401175578596775E-2</v>
      </c>
      <c r="AQ73" s="1">
        <f>[2]Urban_area_finals!AQ7/[2]Urban_area_finals!$G7</f>
        <v>1.5570501800790528E-2</v>
      </c>
      <c r="AR73" s="1">
        <f>[2]Urban_area_finals!AR7/[2]Urban_area_finals!$G7</f>
        <v>1.9386197894264889E-2</v>
      </c>
      <c r="AS73" s="1">
        <f>[2]Urban_area_finals!AS7/[2]Urban_area_finals!$G7</f>
        <v>2.2771089590088917E-2</v>
      </c>
      <c r="AT73" s="1">
        <f>[2]Urban_area_finals!AT7/[2]Urban_area_finals!$G7</f>
        <v>2.461739415144748E-2</v>
      </c>
      <c r="AU73" s="1">
        <f>[2]Urban_area_finals!AU7/[2]Urban_area_finals!$G7</f>
        <v>2.624214216544301E-2</v>
      </c>
      <c r="AV73" s="1">
        <f>[2]Urban_area_finals!AV7/[2]Urban_area_finals!$G7</f>
        <v>2.8679264186436314E-2</v>
      </c>
      <c r="AW73" s="1">
        <f>[2]Urban_area_finals!AW7/[2]Urban_area_finals!$G7</f>
        <v>3.2741134221425147E-2</v>
      </c>
      <c r="AX73" s="1">
        <f>[2]Urban_area_finals!AX7/[2]Urban_area_finals!$G7</f>
        <v>3.6249112888006411E-2</v>
      </c>
      <c r="AY73" s="1">
        <f>[2]Urban_area_finals!AY7/[2]Urban_area_finals!$G7</f>
        <v>3.8833939273908401E-2</v>
      </c>
    </row>
    <row r="74" spans="1:51" x14ac:dyDescent="0.25">
      <c r="A74" t="s">
        <v>454</v>
      </c>
      <c r="B74" t="s">
        <v>455</v>
      </c>
      <c r="C74" t="s">
        <v>456</v>
      </c>
      <c r="D74" t="s">
        <v>70</v>
      </c>
      <c r="E74" t="s">
        <v>71</v>
      </c>
      <c r="F74" t="s">
        <v>70</v>
      </c>
      <c r="G74">
        <v>11583.4073540554</v>
      </c>
      <c r="H74">
        <v>1179.951368411771</v>
      </c>
      <c r="I74">
        <f>Table2[[#This Row],[FUA_area]]+Table2[[#This Row],[FUA_urban]]</f>
        <v>12763.358722467172</v>
      </c>
      <c r="K74" s="1">
        <f>[2]Urban_area_finals!K151/[2]Urban_area_finals!$G151</f>
        <v>9.0993837626863539E-4</v>
      </c>
      <c r="L74" s="1">
        <f>[2]Urban_area_finals!L151/[2]Urban_area_finals!$G151</f>
        <v>1.02693045321746E-3</v>
      </c>
      <c r="M74" s="1">
        <f>[2]Urban_area_finals!M151/[2]Urban_area_finals!$G151</f>
        <v>1.1547551298837684E-3</v>
      </c>
      <c r="N74" s="1">
        <f>[2]Urban_area_finals!N151/[2]Urban_area_finals!$G151</f>
        <v>1.295578926211057E-3</v>
      </c>
      <c r="O74" s="1">
        <f>[2]Urban_area_finals!O151/[2]Urban_area_finals!$G151</f>
        <v>1.4559014020298167E-3</v>
      </c>
      <c r="P74" s="1">
        <f>[2]Urban_area_finals!P151/[2]Urban_area_finals!$G151</f>
        <v>1.6400555972270402E-3</v>
      </c>
      <c r="Q74" s="1">
        <f>[2]Urban_area_finals!Q151/[2]Urban_area_finals!$G151</f>
        <v>1.8848723508421733E-3</v>
      </c>
      <c r="R74" s="1">
        <f>[2]Urban_area_finals!R151/[2]Urban_area_finals!$G151</f>
        <v>2.3333419791460009E-3</v>
      </c>
      <c r="S74" s="1">
        <f>[2]Urban_area_finals!S151/[2]Urban_area_finals!$G151</f>
        <v>2.6908177698229648E-3</v>
      </c>
      <c r="T74" s="1">
        <f>[2]Urban_area_finals!T151/[2]Urban_area_finals!$G151</f>
        <v>3.5010962286907499E-3</v>
      </c>
      <c r="U74" s="1">
        <f>[2]Urban_area_finals!U151/[2]Urban_area_finals!$G151</f>
        <v>3.7415799424188891E-3</v>
      </c>
      <c r="V74" s="1">
        <f>[2]Urban_area_finals!V151/[2]Urban_area_finals!$G151</f>
        <v>3.7415799424188891E-3</v>
      </c>
      <c r="W74" s="1">
        <f>[2]Urban_area_finals!W151/[2]Urban_area_finals!$G151</f>
        <v>4.4738636833207904E-3</v>
      </c>
      <c r="X74" s="1">
        <f>[2]Urban_area_finals!X151/[2]Urban_area_finals!$G151</f>
        <v>4.9288328714551088E-3</v>
      </c>
      <c r="Y74" s="1">
        <f>[2]Urban_area_finals!Y151/[2]Urban_area_finals!$G151</f>
        <v>6.1182523204348256E-3</v>
      </c>
      <c r="Z74" s="1">
        <f>[2]Urban_area_finals!Z151/[2]Urban_area_finals!$G151</f>
        <v>7.1040188947258465E-3</v>
      </c>
      <c r="AA74" s="1">
        <f>[2]Urban_area_finals!AA151/[2]Urban_area_finals!$G151</f>
        <v>7.9034647538761479E-3</v>
      </c>
      <c r="AB74" s="1">
        <f>[2]Urban_area_finals!AB151/[2]Urban_area_finals!$G151</f>
        <v>8.2934383437055642E-3</v>
      </c>
      <c r="AC74" s="1">
        <f>[2]Urban_area_finals!AC151/[2]Urban_area_finals!$G151</f>
        <v>8.6985775731394568E-3</v>
      </c>
      <c r="AD74" s="1">
        <f>[2]Urban_area_finals!AD151/[2]Urban_area_finals!$G151</f>
        <v>9.1123828823473346E-3</v>
      </c>
      <c r="AE74" s="1">
        <f>[2]Urban_area_finals!AE151/[2]Urban_area_finals!$G151</f>
        <v>9.4308613140413576E-3</v>
      </c>
      <c r="AF74" s="1">
        <f>[2]Urban_area_finals!AF151/[2]Urban_area_finals!$G151</f>
        <v>9.7125089066959353E-3</v>
      </c>
      <c r="AG74" s="1">
        <f>[2]Urban_area_finals!AG151/[2]Urban_area_finals!$G151</f>
        <v>9.9594921802545634E-3</v>
      </c>
      <c r="AH74" s="1">
        <f>[2]Urban_area_finals!AH151/[2]Urban_area_finals!$G151</f>
        <v>1.0251972372626627E-2</v>
      </c>
      <c r="AI74" s="1">
        <f>[2]Urban_area_finals!AI151/[2]Urban_area_finals!$G151</f>
        <v>1.044912568748483E-2</v>
      </c>
      <c r="AJ74" s="1">
        <f>[2]Urban_area_finals!AJ151/[2]Urban_area_finals!$G151</f>
        <v>1.080876799810529E-2</v>
      </c>
      <c r="AK74" s="1">
        <f>[2]Urban_area_finals!AK151/[2]Urban_area_finals!$G151</f>
        <v>1.1183575948330228E-2</v>
      </c>
      <c r="AL74" s="1">
        <f>[2]Urban_area_finals!AL151/[2]Urban_area_finals!$G151</f>
        <v>1.2084848244824878E-2</v>
      </c>
      <c r="AM74" s="1">
        <f>[2]Urban_area_finals!AM151/[2]Urban_area_finals!$G151</f>
        <v>1.3412924970188388E-2</v>
      </c>
      <c r="AN74" s="1">
        <f>[2]Urban_area_finals!AN151/[2]Urban_area_finals!$G151</f>
        <v>1.4446354983236334E-2</v>
      </c>
      <c r="AO74" s="1">
        <f>[2]Urban_area_finals!AO151/[2]Urban_area_finals!$G151</f>
        <v>1.582426166730027E-2</v>
      </c>
      <c r="AP74" s="1">
        <f>[2]Urban_area_finals!AP151/[2]Urban_area_finals!$G151</f>
        <v>1.7459984224640318E-2</v>
      </c>
      <c r="AQ74" s="1">
        <f>[2]Urban_area_finals!AQ151/[2]Urban_area_finals!$G151</f>
        <v>2.0311124470282042E-2</v>
      </c>
      <c r="AR74" s="1">
        <f>[2]Urban_area_finals!AR151/[2]Urban_area_finals!$G151</f>
        <v>2.3292255912533571E-2</v>
      </c>
      <c r="AS74" s="1">
        <f>[2]Urban_area_finals!AS151/[2]Urban_area_finals!$G151</f>
        <v>2.5785920367498331E-2</v>
      </c>
      <c r="AT74" s="1">
        <f>[2]Urban_area_finals!AT151/[2]Urban_area_finals!$G151</f>
        <v>2.6236556515745652E-2</v>
      </c>
      <c r="AU74" s="1">
        <f>[2]Urban_area_finals!AU151/[2]Urban_area_finals!$G151</f>
        <v>2.6975773120466749E-2</v>
      </c>
      <c r="AV74" s="1">
        <f>[2]Urban_area_finals!AV151/[2]Urban_area_finals!$G151</f>
        <v>2.8084598027548386E-2</v>
      </c>
      <c r="AW74" s="1">
        <f>[2]Urban_area_finals!AW151/[2]Urban_area_finals!$G151</f>
        <v>3.0357277448276473E-2</v>
      </c>
      <c r="AX74" s="1">
        <f>[2]Urban_area_finals!AX151/[2]Urban_area_finals!$G151</f>
        <v>3.3247415052901144E-2</v>
      </c>
      <c r="AY74" s="1">
        <f>[2]Urban_area_finals!AY151/[2]Urban_area_finals!$G151</f>
        <v>3.7188314830121728E-2</v>
      </c>
    </row>
    <row r="75" spans="1:51" x14ac:dyDescent="0.25">
      <c r="A75" t="s">
        <v>177</v>
      </c>
      <c r="B75" t="s">
        <v>178</v>
      </c>
      <c r="C75" t="s">
        <v>179</v>
      </c>
      <c r="D75" t="s">
        <v>121</v>
      </c>
      <c r="E75" t="s">
        <v>76</v>
      </c>
      <c r="F75" t="s">
        <v>77</v>
      </c>
      <c r="G75">
        <v>51177.910477348843</v>
      </c>
      <c r="H75">
        <v>1998.3281669042231</v>
      </c>
      <c r="I75">
        <f>Table2[[#This Row],[FUA_area]]+Table2[[#This Row],[FUA_urban]]</f>
        <v>53176.23864425307</v>
      </c>
      <c r="J75">
        <v>5105361</v>
      </c>
      <c r="K75" s="1">
        <f>[2]Urban_area_finals!K36/[2]Urban_area_finals!$G36</f>
        <v>8.1713567036726157E-4</v>
      </c>
      <c r="L75" s="1">
        <f>[2]Urban_area_finals!L36/[2]Urban_area_finals!$G36</f>
        <v>8.9329320637342689E-4</v>
      </c>
      <c r="M75" s="1">
        <f>[2]Urban_area_finals!M36/[2]Urban_area_finals!$G36</f>
        <v>1.017298297732712E-3</v>
      </c>
      <c r="N75" s="1">
        <f>[2]Urban_area_finals!N36/[2]Urban_area_finals!$G36</f>
        <v>1.1703666373090752E-3</v>
      </c>
      <c r="O75" s="1">
        <f>[2]Urban_area_finals!O36/[2]Urban_area_finals!$G36</f>
        <v>1.3751255314312821E-3</v>
      </c>
      <c r="P75" s="1">
        <f>[2]Urban_area_finals!P36/[2]Urban_area_finals!$G36</f>
        <v>1.5738835200047039E-3</v>
      </c>
      <c r="Q75" s="1">
        <f>[2]Urban_area_finals!Q36/[2]Urban_area_finals!$G36</f>
        <v>1.7620541866826759E-3</v>
      </c>
      <c r="R75" s="1">
        <f>[2]Urban_area_finals!R36/[2]Urban_area_finals!$G36</f>
        <v>1.9864472770377492E-3</v>
      </c>
      <c r="S75" s="1">
        <f>[2]Urban_area_finals!S36/[2]Urban_area_finals!$G36</f>
        <v>2.3417629131052531E-3</v>
      </c>
      <c r="T75" s="1">
        <f>[2]Urban_area_finals!T36/[2]Urban_area_finals!$G36</f>
        <v>3.065733020221474E-3</v>
      </c>
      <c r="U75" s="1">
        <f>[2]Urban_area_finals!U36/[2]Urban_area_finals!$G36</f>
        <v>4.1966546840986416E-3</v>
      </c>
      <c r="V75" s="1">
        <f>[2]Urban_area_finals!V36/[2]Urban_area_finals!$G36</f>
        <v>5.3961447134891465E-3</v>
      </c>
      <c r="W75" s="1">
        <f>[2]Urban_area_finals!W36/[2]Urban_area_finals!$G36</f>
        <v>6.8769200613373969E-3</v>
      </c>
      <c r="X75" s="1">
        <f>[2]Urban_area_finals!X36/[2]Urban_area_finals!$G36</f>
        <v>7.3795009803389244E-3</v>
      </c>
      <c r="Y75" s="1">
        <f>[2]Urban_area_finals!Y36/[2]Urban_area_finals!$G36</f>
        <v>8.8466440821453329E-3</v>
      </c>
      <c r="Z75" s="1">
        <f>[2]Urban_area_finals!Z36/[2]Urban_area_finals!$G36</f>
        <v>9.8616771805478572E-3</v>
      </c>
      <c r="AA75" s="1">
        <f>[2]Urban_area_finals!AA36/[2]Urban_area_finals!$G36</f>
        <v>1.054787429702201E-2</v>
      </c>
      <c r="AB75" s="1">
        <f>[2]Urban_area_finals!AB36/[2]Urban_area_finals!$G36</f>
        <v>1.081887781805892E-2</v>
      </c>
      <c r="AC75" s="1">
        <f>[2]Urban_area_finals!AC36/[2]Urban_area_finals!$G36</f>
        <v>1.1053326598675611E-2</v>
      </c>
      <c r="AD75" s="1">
        <f>[2]Urban_area_finals!AD36/[2]Urban_area_finals!$G36</f>
        <v>1.1456320697509173E-2</v>
      </c>
      <c r="AE75" s="1">
        <f>[2]Urban_area_finals!AE36/[2]Urban_area_finals!$G36</f>
        <v>1.1857531894723961E-2</v>
      </c>
      <c r="AF75" s="1">
        <f>[2]Urban_area_finals!AF36/[2]Urban_area_finals!$G36</f>
        <v>1.2146868689909029E-2</v>
      </c>
      <c r="AG75" s="1">
        <f>[2]Urban_area_finals!AG36/[2]Urban_area_finals!$G36</f>
        <v>1.2251601278107484E-2</v>
      </c>
      <c r="AH75" s="1">
        <f>[2]Urban_area_finals!AH36/[2]Urban_area_finals!$G36</f>
        <v>1.24219308353661E-2</v>
      </c>
      <c r="AI75" s="1">
        <f>[2]Urban_area_finals!AI36/[2]Urban_area_finals!$G36</f>
        <v>1.2565626860965639E-2</v>
      </c>
      <c r="AJ75" s="1">
        <f>[2]Urban_area_finals!AJ36/[2]Urban_area_finals!$G36</f>
        <v>1.2771946819589654E-2</v>
      </c>
      <c r="AK75" s="1">
        <f>[2]Urban_area_finals!AK36/[2]Urban_area_finals!$G36</f>
        <v>1.2917731445429416E-2</v>
      </c>
      <c r="AL75" s="1">
        <f>[2]Urban_area_finals!AL36/[2]Urban_area_finals!$G36</f>
        <v>1.3135634908303113E-2</v>
      </c>
      <c r="AM75" s="1">
        <f>[2]Urban_area_finals!AM36/[2]Urban_area_finals!$G36</f>
        <v>1.3619055136922872E-2</v>
      </c>
      <c r="AN75" s="1">
        <f>[2]Urban_area_finals!AN36/[2]Urban_area_finals!$G36</f>
        <v>1.401344973714606E-2</v>
      </c>
      <c r="AO75" s="1">
        <f>[2]Urban_area_finals!AO36/[2]Urban_area_finals!$G36</f>
        <v>1.4642239771897402E-2</v>
      </c>
      <c r="AP75" s="1">
        <f>[2]Urban_area_finals!AP36/[2]Urban_area_finals!$G36</f>
        <v>1.5897266110895293E-2</v>
      </c>
      <c r="AQ75" s="1">
        <f>[2]Urban_area_finals!AQ36/[2]Urban_area_finals!$G36</f>
        <v>1.7646138549752343E-2</v>
      </c>
      <c r="AR75" s="1">
        <f>[2]Urban_area_finals!AR36/[2]Urban_area_finals!$G36</f>
        <v>1.9060982558676446E-2</v>
      </c>
      <c r="AS75" s="1">
        <f>[2]Urban_area_finals!AS36/[2]Urban_area_finals!$G36</f>
        <v>2.0043090474730973E-2</v>
      </c>
      <c r="AT75" s="1">
        <f>[2]Urban_area_finals!AT36/[2]Urban_area_finals!$G36</f>
        <v>2.0737996582400203E-2</v>
      </c>
      <c r="AU75" s="1">
        <f>[2]Urban_area_finals!AU36/[2]Urban_area_finals!$G36</f>
        <v>2.1363577974054387E-2</v>
      </c>
      <c r="AV75" s="1">
        <f>[2]Urban_area_finals!AV36/[2]Urban_area_finals!$G36</f>
        <v>2.2301950061535653E-2</v>
      </c>
      <c r="AW75" s="1">
        <f>[2]Urban_area_finals!AW36/[2]Urban_area_finals!$G36</f>
        <v>2.4432377906147825E-2</v>
      </c>
      <c r="AX75" s="1">
        <f>[2]Urban_area_finals!AX36/[2]Urban_area_finals!$G36</f>
        <v>2.8908882961147957E-2</v>
      </c>
      <c r="AY75" s="1">
        <f>[2]Urban_area_finals!AY36/[2]Urban_area_finals!$G36</f>
        <v>3.6708599902419661E-2</v>
      </c>
    </row>
    <row r="76" spans="1:51" x14ac:dyDescent="0.25">
      <c r="A76" t="s">
        <v>208</v>
      </c>
      <c r="B76" t="s">
        <v>209</v>
      </c>
      <c r="C76" t="s">
        <v>210</v>
      </c>
      <c r="D76" t="s">
        <v>204</v>
      </c>
      <c r="E76" t="s">
        <v>61</v>
      </c>
      <c r="F76" t="s">
        <v>61</v>
      </c>
      <c r="G76">
        <v>983764.18107982387</v>
      </c>
      <c r="H76">
        <v>18999.88123282346</v>
      </c>
      <c r="I76">
        <f>Table2[[#This Row],[FUA_area]]+Table2[[#This Row],[FUA_urban]]</f>
        <v>1002764.0623126474</v>
      </c>
      <c r="J76">
        <v>106538717</v>
      </c>
      <c r="K76" s="1">
        <f>[2]Urban_area_finals!K55/[2]Urban_area_finals!$G55</f>
        <v>8.2079170482124918E-4</v>
      </c>
      <c r="L76" s="1">
        <f>[2]Urban_area_finals!L55/[2]Urban_area_finals!$G55</f>
        <v>8.9540913253227184E-4</v>
      </c>
      <c r="M76" s="1">
        <f>[2]Urban_area_finals!M55/[2]Urban_area_finals!$G55</f>
        <v>9.8868091717105029E-4</v>
      </c>
      <c r="N76" s="1">
        <f>[2]Urban_area_finals!N55/[2]Urban_area_finals!$G55</f>
        <v>1.1006070587375842E-3</v>
      </c>
      <c r="O76" s="1">
        <f>[2]Urban_area_finals!O55/[2]Urban_area_finals!$G55</f>
        <v>1.2311875572318738E-3</v>
      </c>
      <c r="P76" s="1">
        <f>[2]Urban_area_finals!P55/[2]Urban_area_finals!$G55</f>
        <v>1.3058049849428968E-3</v>
      </c>
      <c r="Q76" s="1">
        <f>[2]Urban_area_finals!Q55/[2]Urban_area_finals!$G55</f>
        <v>1.4177311265094305E-3</v>
      </c>
      <c r="R76" s="1">
        <f>[2]Urban_area_finals!R55/[2]Urban_area_finals!$G55</f>
        <v>1.5110029111482088E-3</v>
      </c>
      <c r="S76" s="1">
        <f>[2]Urban_area_finals!S55/[2]Urban_area_finals!$G55</f>
        <v>1.7162008373535213E-3</v>
      </c>
      <c r="T76" s="1">
        <f>[2]Urban_area_finals!T55/[2]Urban_area_finals!$G55</f>
        <v>2.4437207575359922E-3</v>
      </c>
      <c r="U76" s="1">
        <f>[2]Urban_area_finals!U55/[2]Urban_area_finals!$G55</f>
        <v>3.3204755331405081E-3</v>
      </c>
      <c r="V76" s="1">
        <f>[2]Urban_area_finals!V55/[2]Urban_area_finals!$G55</f>
        <v>3.544327816273576E-3</v>
      </c>
      <c r="W76" s="1">
        <f>[2]Urban_area_finals!W55/[2]Urban_area_finals!$G55</f>
        <v>4.6822435888666724E-3</v>
      </c>
      <c r="X76" s="1">
        <f>[2]Urban_area_finals!X55/[2]Urban_area_finals!$G55</f>
        <v>4.8314784442887171E-3</v>
      </c>
      <c r="Y76" s="1">
        <f>[2]Urban_area_finals!Y55/[2]Urban_area_finals!$G55</f>
        <v>5.4284178659768992E-3</v>
      </c>
      <c r="Z76" s="1">
        <f>[2]Urban_area_finals!Z55/[2]Urban_area_finals!$G55</f>
        <v>6.5476792816422389E-3</v>
      </c>
      <c r="AA76" s="1">
        <f>[2]Urban_area_finals!AA55/[2]Urban_area_finals!$G55</f>
        <v>6.9580751340528636E-3</v>
      </c>
      <c r="AB76" s="1">
        <f>[2]Urban_area_finals!AB55/[2]Urban_area_finals!$G55</f>
        <v>7.1073099894749083E-3</v>
      </c>
      <c r="AC76" s="1">
        <f>[2]Urban_area_finals!AC55/[2]Urban_area_finals!$G55</f>
        <v>7.181927417185931E-3</v>
      </c>
      <c r="AD76" s="1">
        <f>[2]Urban_area_finals!AD55/[2]Urban_area_finals!$G55</f>
        <v>7.2565448448969538E-3</v>
      </c>
      <c r="AE76" s="1">
        <f>[2]Urban_area_finals!AE55/[2]Urban_area_finals!$G55</f>
        <v>7.8348299096573804E-3</v>
      </c>
      <c r="AF76" s="1">
        <f>[2]Urban_area_finals!AF55/[2]Urban_area_finals!$G55</f>
        <v>8.0959909066459588E-3</v>
      </c>
      <c r="AG76" s="1">
        <f>[2]Urban_area_finals!AG55/[2]Urban_area_finals!$G55</f>
        <v>8.1519539774292261E-3</v>
      </c>
      <c r="AH76" s="1">
        <f>[2]Urban_area_finals!AH55/[2]Urban_area_finals!$G55</f>
        <v>8.2265714051402497E-3</v>
      </c>
      <c r="AI76" s="1">
        <f>[2]Urban_area_finals!AI55/[2]Urban_area_finals!$G55</f>
        <v>8.2452257620680043E-3</v>
      </c>
      <c r="AJ76" s="1">
        <f>[2]Urban_area_finals!AJ55/[2]Urban_area_finals!$G55</f>
        <v>8.282534475923517E-3</v>
      </c>
      <c r="AK76" s="1">
        <f>[2]Urban_area_finals!AK55/[2]Urban_area_finals!$G55</f>
        <v>8.3758062605622935E-3</v>
      </c>
      <c r="AL76" s="1">
        <f>[2]Urban_area_finals!AL55/[2]Urban_area_finals!$G55</f>
        <v>9.6069938177941669E-3</v>
      </c>
      <c r="AM76" s="1">
        <f>[2]Urban_area_finals!AM55/[2]Urban_area_finals!$G55</f>
        <v>9.9614265994215252E-3</v>
      </c>
      <c r="AN76" s="1">
        <f>[2]Urban_area_finals!AN55/[2]Urban_area_finals!$G55</f>
        <v>1.0558366021109707E-2</v>
      </c>
      <c r="AO76" s="1">
        <f>[2]Urban_area_finals!AO55/[2]Urban_area_finals!$G55</f>
        <v>1.139781208285871E-2</v>
      </c>
      <c r="AP76" s="1">
        <f>[2]Urban_area_finals!AP55/[2]Urban_area_finals!$G55</f>
        <v>1.2442456070813027E-2</v>
      </c>
      <c r="AQ76" s="1">
        <f>[2]Urban_area_finals!AQ55/[2]Urban_area_finals!$G55</f>
        <v>1.4251928692805328E-2</v>
      </c>
      <c r="AR76" s="1">
        <f>[2]Urban_area_finals!AR55/[2]Urban_area_finals!$G55</f>
        <v>1.7255280158173993E-2</v>
      </c>
      <c r="AS76" s="1">
        <f>[2]Urban_area_finals!AS55/[2]Urban_area_finals!$G55</f>
        <v>1.8374541573839328E-2</v>
      </c>
      <c r="AT76" s="1">
        <f>[2]Urban_area_finals!AT55/[2]Urban_area_finals!$G55</f>
        <v>1.9419185561793645E-2</v>
      </c>
      <c r="AU76" s="1">
        <f>[2]Urban_area_finals!AU55/[2]Urban_area_finals!$G55</f>
        <v>2.0195206809988282E-2</v>
      </c>
      <c r="AV76" s="1">
        <f>[2]Urban_area_finals!AV55/[2]Urban_area_finals!$G55</f>
        <v>2.1359238682280235E-2</v>
      </c>
      <c r="AW76" s="1">
        <f>[2]Urban_area_finals!AW55/[2]Urban_area_finals!$G55</f>
        <v>2.3914885581382762E-2</v>
      </c>
      <c r="AX76" s="1">
        <f>[2]Urban_area_finals!AX55/[2]Urban_area_finals!$G55</f>
        <v>2.7981535391633498E-2</v>
      </c>
      <c r="AY76" s="1">
        <f>[2]Urban_area_finals!AY55/[2]Urban_area_finals!$G55</f>
        <v>3.6693120076895396E-2</v>
      </c>
    </row>
    <row r="77" spans="1:51" x14ac:dyDescent="0.25">
      <c r="A77" t="s">
        <v>247</v>
      </c>
      <c r="B77" t="s">
        <v>248</v>
      </c>
      <c r="C77" t="s">
        <v>249</v>
      </c>
      <c r="D77" t="s">
        <v>105</v>
      </c>
      <c r="E77" t="s">
        <v>61</v>
      </c>
      <c r="F77" t="s">
        <v>61</v>
      </c>
      <c r="G77">
        <v>33882.279001983909</v>
      </c>
      <c r="H77">
        <v>106.3427992172293</v>
      </c>
      <c r="I77">
        <f>Table2[[#This Row],[FUA_area]]+Table2[[#This Row],[FUA_urban]]</f>
        <v>33988.621801201138</v>
      </c>
      <c r="K77" s="1">
        <f>[2]Urban_area_finals!K162/[2]Urban_area_finals!$G162</f>
        <v>1.1730181250109006E-4</v>
      </c>
      <c r="L77" s="1">
        <f>[2]Urban_area_finals!L162/[2]Urban_area_finals!$G162</f>
        <v>1.2750197010988053E-4</v>
      </c>
      <c r="M77" s="1">
        <f>[2]Urban_area_finals!M162/[2]Urban_area_finals!$G162</f>
        <v>1.3770212771867094E-4</v>
      </c>
      <c r="N77" s="1">
        <f>[2]Urban_area_finals!N162/[2]Urban_area_finals!$G162</f>
        <v>1.4790228532746141E-4</v>
      </c>
      <c r="O77" s="1">
        <f>[2]Urban_area_finals!O162/[2]Urban_area_finals!$G162</f>
        <v>1.5810244293625186E-4</v>
      </c>
      <c r="P77" s="1">
        <f>[2]Urban_area_finals!P162/[2]Urban_area_finals!$G162</f>
        <v>1.6320252174064704E-4</v>
      </c>
      <c r="Q77" s="1">
        <f>[2]Urban_area_finals!Q162/[2]Urban_area_finals!$G162</f>
        <v>1.6830260054504227E-4</v>
      </c>
      <c r="R77" s="1">
        <f>[2]Urban_area_finals!R162/[2]Urban_area_finals!$G162</f>
        <v>1.6830260054504227E-4</v>
      </c>
      <c r="S77" s="1">
        <f>[2]Urban_area_finals!S162/[2]Urban_area_finals!$G162</f>
        <v>1.6830260054504227E-4</v>
      </c>
      <c r="T77" s="1">
        <f>[2]Urban_area_finals!T162/[2]Urban_area_finals!$G162</f>
        <v>2.1930338858899449E-4</v>
      </c>
      <c r="U77" s="1">
        <f>[2]Urban_area_finals!U162/[2]Urban_area_finals!$G162</f>
        <v>3.3660520109008455E-4</v>
      </c>
      <c r="V77" s="1">
        <f>[2]Urban_area_finals!V162/[2]Urban_area_finals!$G162</f>
        <v>4.8450748641754596E-4</v>
      </c>
      <c r="W77" s="1">
        <f>[2]Urban_area_finals!W162/[2]Urban_area_finals!$G162</f>
        <v>7.8031205707246873E-4</v>
      </c>
      <c r="X77" s="1">
        <f>[2]Urban_area_finals!X162/[2]Urban_area_finals!$G162</f>
        <v>9.2821434239993015E-4</v>
      </c>
      <c r="Y77" s="1">
        <f>[2]Urban_area_finals!Y162/[2]Urban_area_finals!$G162</f>
        <v>1.0098156032702537E-3</v>
      </c>
      <c r="Z77" s="1">
        <f>[2]Urban_area_finals!Z162/[2]Urban_area_finals!$G162</f>
        <v>1.0353159972922299E-3</v>
      </c>
      <c r="AA77" s="1">
        <f>[2]Urban_area_finals!AA162/[2]Urban_area_finals!$G162</f>
        <v>1.0608163913142059E-3</v>
      </c>
      <c r="AB77" s="1">
        <f>[2]Urban_area_finals!AB162/[2]Urban_area_finals!$G162</f>
        <v>1.0761166277273916E-3</v>
      </c>
      <c r="AC77" s="1">
        <f>[2]Urban_area_finals!AC162/[2]Urban_area_finals!$G162</f>
        <v>1.0761166277273916E-3</v>
      </c>
      <c r="AD77" s="1">
        <f>[2]Urban_area_finals!AD162/[2]Urban_area_finals!$G162</f>
        <v>1.1373175733801343E-3</v>
      </c>
      <c r="AE77" s="1">
        <f>[2]Urban_area_finals!AE162/[2]Urban_area_finals!$G162</f>
        <v>1.1781182038152962E-3</v>
      </c>
      <c r="AF77" s="1">
        <f>[2]Urban_area_finals!AF162/[2]Urban_area_finals!$G162</f>
        <v>1.2138187554460622E-3</v>
      </c>
      <c r="AG77" s="1">
        <f>[2]Urban_area_finals!AG162/[2]Urban_area_finals!$G162</f>
        <v>1.2546193858812241E-3</v>
      </c>
      <c r="AH77" s="1">
        <f>[2]Urban_area_finals!AH162/[2]Urban_area_finals!$G162</f>
        <v>1.2801197799032001E-3</v>
      </c>
      <c r="AI77" s="1">
        <f>[2]Urban_area_finals!AI162/[2]Urban_area_finals!$G162</f>
        <v>1.2903199375119906E-3</v>
      </c>
      <c r="AJ77" s="1">
        <f>[2]Urban_area_finals!AJ162/[2]Urban_area_finals!$G162</f>
        <v>1.4790228532746139E-3</v>
      </c>
      <c r="AK77" s="1">
        <f>[2]Urban_area_finals!AK162/[2]Urban_area_finals!$G162</f>
        <v>1.5759243505581231E-3</v>
      </c>
      <c r="AL77" s="1">
        <f>[2]Urban_area_finals!AL162/[2]Urban_area_finals!$G162</f>
        <v>1.6779259266460275E-3</v>
      </c>
      <c r="AM77" s="1">
        <f>[2]Urban_area_finals!AM162/[2]Urban_area_finals!$G162</f>
        <v>1.8054278967559081E-3</v>
      </c>
      <c r="AN77" s="1">
        <f>[2]Urban_area_finals!AN162/[2]Urban_area_finals!$G162</f>
        <v>1.8819290788218365E-3</v>
      </c>
      <c r="AO77" s="1">
        <f>[2]Urban_area_finals!AO162/[2]Urban_area_finals!$G162</f>
        <v>1.9482301032789741E-3</v>
      </c>
      <c r="AP77" s="1">
        <f>[2]Urban_area_finals!AP162/[2]Urban_area_finals!$G162</f>
        <v>2.0094310489317166E-3</v>
      </c>
      <c r="AQ77" s="1">
        <f>[2]Urban_area_finals!AQ162/[2]Urban_area_finals!$G162</f>
        <v>2.1114326250196215E-3</v>
      </c>
      <c r="AR77" s="1">
        <f>[2]Urban_area_finals!AR162/[2]Urban_area_finals!$G162</f>
        <v>2.1675334918679688E-3</v>
      </c>
      <c r="AS77" s="1">
        <f>[2]Urban_area_finals!AS162/[2]Urban_area_finals!$G162</f>
        <v>2.3460362500218011E-3</v>
      </c>
      <c r="AT77" s="1">
        <f>[2]Urban_area_finals!AT162/[2]Urban_area_finals!$G162</f>
        <v>2.6010401902415623E-3</v>
      </c>
      <c r="AU77" s="1">
        <f>[2]Urban_area_finals!AU162/[2]Urban_area_finals!$G162</f>
        <v>3.027406778289003E-3</v>
      </c>
      <c r="AV77" s="1">
        <f>[2]Urban_area_finals!AV162/[2]Urban_area_finals!$G162</f>
        <v>3.6669566603601635E-3</v>
      </c>
      <c r="AW77" s="1">
        <f>[2]Urban_area_finals!AW162/[2]Urban_area_finals!$G162</f>
        <v>6.8239054402808048E-3</v>
      </c>
      <c r="AX77" s="1">
        <f>[2]Urban_area_finals!AX162/[2]Urban_area_finals!$G162</f>
        <v>1.5407338068077963E-2</v>
      </c>
      <c r="AY77" s="1">
        <f>[2]Urban_area_finals!AY162/[2]Urban_area_finals!$G162</f>
        <v>3.5348646193263271E-2</v>
      </c>
    </row>
    <row r="78" spans="1:51" x14ac:dyDescent="0.25">
      <c r="A78" t="s">
        <v>133</v>
      </c>
      <c r="B78" t="s">
        <v>134</v>
      </c>
      <c r="C78" t="s">
        <v>135</v>
      </c>
      <c r="D78" t="s">
        <v>134</v>
      </c>
      <c r="E78" t="s">
        <v>76</v>
      </c>
      <c r="F78" t="s">
        <v>77</v>
      </c>
      <c r="G78">
        <v>8509083.3303571269</v>
      </c>
      <c r="H78">
        <v>73053.988026662948</v>
      </c>
      <c r="I78">
        <f>Table2[[#This Row],[FUA_area]]+Table2[[#This Row],[FUA_urban]]</f>
        <v>8582137.3183837906</v>
      </c>
      <c r="J78">
        <v>213317639</v>
      </c>
      <c r="K78" s="1">
        <f>[2]Urban_area_finals!K95/[2]Urban_area_finals!$G95</f>
        <v>4.8287910450312644E-4</v>
      </c>
      <c r="L78" s="1">
        <f>[2]Urban_area_finals!L95/[2]Urban_area_finals!$G95</f>
        <v>5.2480573333723028E-4</v>
      </c>
      <c r="M78" s="1">
        <f>[2]Urban_area_finals!M95/[2]Urban_area_finals!$G95</f>
        <v>6.6504307805819807E-4</v>
      </c>
      <c r="N78" s="1">
        <f>[2]Urban_area_finals!N95/[2]Urban_area_finals!$G95</f>
        <v>8.4142406832580716E-4</v>
      </c>
      <c r="O78" s="1">
        <f>[2]Urban_area_finals!O95/[2]Urban_area_finals!$G95</f>
        <v>1.064068924893117E-3</v>
      </c>
      <c r="P78" s="1">
        <f>[2]Urban_area_finals!P95/[2]Urban_area_finals!$G95</f>
        <v>1.064068924893117E-3</v>
      </c>
      <c r="Q78" s="1">
        <f>[2]Urban_area_finals!Q95/[2]Urban_area_finals!$G95</f>
        <v>1.2679190857761732E-3</v>
      </c>
      <c r="R78" s="1">
        <f>[2]Urban_area_finals!R95/[2]Urban_area_finals!$G95</f>
        <v>1.5512852668618405E-3</v>
      </c>
      <c r="S78" s="1">
        <f>[2]Urban_area_finals!S95/[2]Urban_area_finals!$G95</f>
        <v>2.2625922112197395E-3</v>
      </c>
      <c r="T78" s="1">
        <f>[2]Urban_area_finals!T95/[2]Urban_area_finals!$G95</f>
        <v>3.4162973770685266E-3</v>
      </c>
      <c r="U78" s="1">
        <f>[2]Urban_area_finals!U95/[2]Urban_area_finals!$G95</f>
        <v>5.3622712532996886E-3</v>
      </c>
      <c r="V78" s="1">
        <f>[2]Urban_area_finals!V95/[2]Urban_area_finals!$G95</f>
        <v>8.1005138399132259E-3</v>
      </c>
      <c r="W78" s="1">
        <f>[2]Urban_area_finals!W95/[2]Urban_area_finals!$G95</f>
        <v>1.096309056720721E-2</v>
      </c>
      <c r="X78" s="1">
        <f>[2]Urban_area_finals!X95/[2]Urban_area_finals!$G95</f>
        <v>1.1746684802658391E-2</v>
      </c>
      <c r="Y78" s="1">
        <f>[2]Urban_area_finals!Y95/[2]Urban_area_finals!$G95</f>
        <v>1.2851234610563745E-2</v>
      </c>
      <c r="Z78" s="1">
        <f>[2]Urban_area_finals!Z95/[2]Urban_area_finals!$G95</f>
        <v>1.3714344866217537E-2</v>
      </c>
      <c r="AA78" s="1">
        <f>[2]Urban_area_finals!AA95/[2]Urban_area_finals!$G95</f>
        <v>1.4328786840510435E-2</v>
      </c>
      <c r="AB78" s="1">
        <f>[2]Urban_area_finals!AB95/[2]Urban_area_finals!$G95</f>
        <v>1.4607815784130507E-2</v>
      </c>
      <c r="AC78" s="1">
        <f>[2]Urban_area_finals!AC95/[2]Urban_area_finals!$G95</f>
        <v>1.4878170252819385E-2</v>
      </c>
      <c r="AD78" s="1">
        <f>[2]Urban_area_finals!AD95/[2]Urban_area_finals!$G95</f>
        <v>1.5392855765403555E-2</v>
      </c>
      <c r="AE78" s="1">
        <f>[2]Urban_area_finals!AE95/[2]Urban_area_finals!$G95</f>
        <v>1.5739834762651311E-2</v>
      </c>
      <c r="AF78" s="1">
        <f>[2]Urban_area_finals!AF95/[2]Urban_area_finals!$G95</f>
        <v>1.6023200943736979E-2</v>
      </c>
      <c r="AG78" s="1">
        <f>[2]Urban_area_finals!AG95/[2]Urban_area_finals!$G95</f>
        <v>1.6316687345575703E-2</v>
      </c>
      <c r="AH78" s="1">
        <f>[2]Urban_area_finals!AH95/[2]Urban_area_finals!$G95</f>
        <v>1.6598607780839505E-2</v>
      </c>
      <c r="AI78" s="1">
        <f>[2]Urban_area_finals!AI95/[2]Urban_area_finals!$G95</f>
        <v>1.6838601587269204E-2</v>
      </c>
      <c r="AJ78" s="1">
        <f>[2]Urban_area_finals!AJ95/[2]Urban_area_finals!$G95</f>
        <v>1.720437528020121E-2</v>
      </c>
      <c r="AK78" s="1">
        <f>[2]Urban_area_finals!AK95/[2]Urban_area_finals!$G95</f>
        <v>1.75036446653274E-2</v>
      </c>
      <c r="AL78" s="1">
        <f>[2]Urban_area_finals!AL95/[2]Urban_area_finals!$G95</f>
        <v>1.7935922666065231E-2</v>
      </c>
      <c r="AM78" s="1">
        <f>[2]Urban_area_finals!AM95/[2]Urban_area_finals!$G95</f>
        <v>1.8963847945411703E-2</v>
      </c>
      <c r="AN78" s="1">
        <f>[2]Urban_area_finals!AN95/[2]Urban_area_finals!$G95</f>
        <v>1.9432269591696173E-2</v>
      </c>
      <c r="AO78" s="1">
        <f>[2]Urban_area_finals!AO95/[2]Urban_area_finals!$G95</f>
        <v>2.0249115981050267E-2</v>
      </c>
      <c r="AP78" s="1">
        <f>[2]Urban_area_finals!AP95/[2]Urban_area_finals!$G95</f>
        <v>2.1521372304292036E-2</v>
      </c>
      <c r="AQ78" s="1">
        <f>[2]Urban_area_finals!AQ95/[2]Urban_area_finals!$G95</f>
        <v>2.2850012714586566E-2</v>
      </c>
      <c r="AR78" s="1">
        <f>[2]Urban_area_finals!AR95/[2]Urban_area_finals!$G95</f>
        <v>2.396179125160125E-2</v>
      </c>
      <c r="AS78" s="1">
        <f>[2]Urban_area_finals!AS95/[2]Urban_area_finals!$G95</f>
        <v>2.4751168470339893E-2</v>
      </c>
      <c r="AT78" s="1">
        <f>[2]Urban_area_finals!AT95/[2]Urban_area_finals!$G95</f>
        <v>2.5777648003864503E-2</v>
      </c>
      <c r="AU78" s="1">
        <f>[2]Urban_area_finals!AU95/[2]Urban_area_finals!$G95</f>
        <v>2.650399070476981E-2</v>
      </c>
      <c r="AV78" s="1">
        <f>[2]Urban_area_finals!AV95/[2]Urban_area_finals!$G95</f>
        <v>2.7593504756127759E-2</v>
      </c>
      <c r="AW78" s="1">
        <f>[2]Urban_area_finals!AW95/[2]Urban_area_finals!$G95</f>
        <v>2.9605982940164741E-2</v>
      </c>
      <c r="AX78" s="1">
        <f>[2]Urban_area_finals!AX95/[2]Urban_area_finals!$G95</f>
        <v>3.1822311285084781E-2</v>
      </c>
      <c r="AY78" s="1">
        <f>[2]Urban_area_finals!AY95/[2]Urban_area_finals!$G95</f>
        <v>3.4440556968483471E-2</v>
      </c>
    </row>
    <row r="79" spans="1:51" x14ac:dyDescent="0.25">
      <c r="A79" t="s">
        <v>211</v>
      </c>
      <c r="B79" t="s">
        <v>212</v>
      </c>
      <c r="C79" t="s">
        <v>213</v>
      </c>
      <c r="D79" t="s">
        <v>98</v>
      </c>
      <c r="E79" t="s">
        <v>61</v>
      </c>
      <c r="F79" t="s">
        <v>61</v>
      </c>
      <c r="G79">
        <v>120457.44702567111</v>
      </c>
      <c r="H79">
        <v>123.28535630674919</v>
      </c>
      <c r="I79">
        <f>Table2[[#This Row],[FUA_area]]+Table2[[#This Row],[FUA_urban]]</f>
        <v>120580.73238197785</v>
      </c>
      <c r="J79">
        <v>3523652</v>
      </c>
      <c r="K79" s="1">
        <f>[2]Urban_area_finals!K4/[2]Urban_area_finals!$G4</f>
        <v>2.9498744662791766E-3</v>
      </c>
      <c r="L79" s="1">
        <f>[2]Urban_area_finals!L4/[2]Urban_area_finals!$G4</f>
        <v>3.2737466385676082E-3</v>
      </c>
      <c r="M79" s="1">
        <f>[2]Urban_area_finals!M4/[2]Urban_area_finals!$G4</f>
        <v>3.6291933745283447E-3</v>
      </c>
      <c r="N79" s="1">
        <f>[2]Urban_area_finals!N4/[2]Urban_area_finals!$G4</f>
        <v>4.1008625040835885E-3</v>
      </c>
      <c r="O79" s="1">
        <f>[2]Urban_area_finals!O4/[2]Urban_area_finals!$G4</f>
        <v>4.809776883892997E-3</v>
      </c>
      <c r="P79" s="1">
        <f>[2]Urban_area_finals!P4/[2]Urban_area_finals!$G4</f>
        <v>5.0868273747335475E-3</v>
      </c>
      <c r="Q79" s="1">
        <f>[2]Urban_area_finals!Q4/[2]Urban_area_finals!$G4</f>
        <v>5.4894559922106885E-3</v>
      </c>
      <c r="R79" s="1">
        <f>[2]Urban_area_finals!R4/[2]Urban_area_finals!$G4</f>
        <v>5.8354875711341134E-3</v>
      </c>
      <c r="S79" s="1">
        <f>[2]Urban_area_finals!S4/[2]Urban_area_finals!$G4</f>
        <v>6.401035880972755E-3</v>
      </c>
      <c r="T79" s="1">
        <f>[2]Urban_area_finals!T4/[2]Urban_area_finals!$G4</f>
        <v>7.1550969209793246E-3</v>
      </c>
      <c r="U79" s="1">
        <f>[2]Urban_area_finals!U4/[2]Urban_area_finals!$G4</f>
        <v>8.397767079305115E-3</v>
      </c>
      <c r="V79" s="1">
        <f>[2]Urban_area_finals!V4/[2]Urban_area_finals!$G4</f>
        <v>9.5036946341193734E-3</v>
      </c>
      <c r="W79" s="1">
        <f>[2]Urban_area_finals!W4/[2]Urban_area_finals!$G4</f>
        <v>1.0300317069884079E-2</v>
      </c>
      <c r="X79" s="1">
        <f>[2]Urban_area_finals!X4/[2]Urban_area_finals!$G4</f>
        <v>1.0695917032675419E-2</v>
      </c>
      <c r="Y79" s="1">
        <f>[2]Urban_area_finals!Y4/[2]Urban_area_finals!$G4</f>
        <v>1.1975492238590617E-2</v>
      </c>
      <c r="Z79" s="1">
        <f>[2]Urban_area_finals!Z4/[2]Urban_area_finals!$G4</f>
        <v>1.3343178953540735E-2</v>
      </c>
      <c r="AA79" s="1">
        <f>[2]Urban_area_finals!AA4/[2]Urban_area_finals!$G4</f>
        <v>1.4125279407891878E-2</v>
      </c>
      <c r="AB79" s="1">
        <f>[2]Urban_area_finals!AB4/[2]Urban_area_finals!$G4</f>
        <v>1.4475900888328711E-2</v>
      </c>
      <c r="AC79" s="1">
        <f>[2]Urban_area_finals!AC4/[2]Urban_area_finals!$G4</f>
        <v>1.4914738227946202E-2</v>
      </c>
      <c r="AD79" s="1">
        <f>[2]Urban_area_finals!AD4/[2]Urban_area_finals!$G4</f>
        <v>1.5538730441913522E-2</v>
      </c>
      <c r="AE79" s="1">
        <f>[2]Urban_area_finals!AE4/[2]Urban_area_finals!$G4</f>
        <v>1.5934349165592242E-2</v>
      </c>
      <c r="AF79" s="1">
        <f>[2]Urban_area_finals!AF4/[2]Urban_area_finals!$G4</f>
        <v>1.6264484344435007E-2</v>
      </c>
      <c r="AG79" s="1">
        <f>[2]Urban_area_finals!AG4/[2]Urban_area_finals!$G4</f>
        <v>1.6621984717906116E-2</v>
      </c>
      <c r="AH79" s="1">
        <f>[2]Urban_area_finals!AH4/[2]Urban_area_finals!$G4</f>
        <v>1.7000473551267086E-2</v>
      </c>
      <c r="AI79" s="1">
        <f>[2]Urban_area_finals!AI4/[2]Urban_area_finals!$G4</f>
        <v>1.7246503177847157E-2</v>
      </c>
      <c r="AJ79" s="1">
        <f>[2]Urban_area_finals!AJ4/[2]Urban_area_finals!$G4</f>
        <v>1.7547960779453173E-2</v>
      </c>
      <c r="AK79" s="1">
        <f>[2]Urban_area_finals!AK4/[2]Urban_area_finals!$G4</f>
        <v>1.7842033171389028E-2</v>
      </c>
      <c r="AL79" s="1">
        <f>[2]Urban_area_finals!AL4/[2]Urban_area_finals!$G4</f>
        <v>1.8323897238607535E-2</v>
      </c>
      <c r="AM79" s="1">
        <f>[2]Urban_area_finals!AM4/[2]Urban_area_finals!$G4</f>
        <v>1.898086060118194E-2</v>
      </c>
      <c r="AN79" s="1">
        <f>[2]Urban_area_finals!AN4/[2]Urban_area_finals!$G4</f>
        <v>1.9555371265972551E-2</v>
      </c>
      <c r="AO79" s="1">
        <f>[2]Urban_area_finals!AO4/[2]Urban_area_finals!$G4</f>
        <v>2.0590059341693348E-2</v>
      </c>
      <c r="AP79" s="1">
        <f>[2]Urban_area_finals!AP4/[2]Urban_area_finals!$G4</f>
        <v>2.181036878639123E-2</v>
      </c>
      <c r="AQ79" s="1">
        <f>[2]Urban_area_finals!AQ4/[2]Urban_area_finals!$G4</f>
        <v>2.3671373119125164E-2</v>
      </c>
      <c r="AR79" s="1">
        <f>[2]Urban_area_finals!AR4/[2]Urban_area_finals!$G4</f>
        <v>2.5637452911510976E-2</v>
      </c>
      <c r="AS79" s="1">
        <f>[2]Urban_area_finals!AS4/[2]Urban_area_finals!$G4</f>
        <v>2.7238266381726887E-2</v>
      </c>
      <c r="AT79" s="1">
        <f>[2]Urban_area_finals!AT4/[2]Urban_area_finals!$G4</f>
        <v>2.7529200927616522E-2</v>
      </c>
      <c r="AU79" s="1">
        <f>[2]Urban_area_finals!AU4/[2]Urban_area_finals!$G4</f>
        <v>2.8066889645790641E-2</v>
      </c>
      <c r="AV79" s="1">
        <f>[2]Urban_area_finals!AV4/[2]Urban_area_finals!$G4</f>
        <v>2.8873422723051836E-2</v>
      </c>
      <c r="AW79" s="1">
        <f>[2]Urban_area_finals!AW4/[2]Urban_area_finals!$G4</f>
        <v>3.0397802327453923E-2</v>
      </c>
      <c r="AX79" s="1">
        <f>[2]Urban_area_finals!AX4/[2]Urban_area_finals!$G4</f>
        <v>3.2135744834258781E-2</v>
      </c>
      <c r="AY79" s="1">
        <f>[2]Urban_area_finals!AY4/[2]Urban_area_finals!$G4</f>
        <v>3.3953898431829388E-2</v>
      </c>
    </row>
    <row r="80" spans="1:51" x14ac:dyDescent="0.25">
      <c r="A80" t="s">
        <v>427</v>
      </c>
      <c r="B80" t="s">
        <v>428</v>
      </c>
      <c r="C80" t="s">
        <v>429</v>
      </c>
      <c r="D80" t="s">
        <v>121</v>
      </c>
      <c r="E80" t="s">
        <v>76</v>
      </c>
      <c r="F80" t="s">
        <v>77</v>
      </c>
      <c r="G80">
        <v>75452.349475164476</v>
      </c>
      <c r="H80">
        <v>2297.2641176835218</v>
      </c>
      <c r="I80">
        <f>Table2[[#This Row],[FUA_area]]+Table2[[#This Row],[FUA_urban]]</f>
        <v>77749.613592847993</v>
      </c>
      <c r="J80">
        <v>4265542.0000000009</v>
      </c>
      <c r="K80" s="1">
        <f>[2]Urban_area_finals!K62/[2]Urban_area_finals!$G62</f>
        <v>6.9921624730893744E-4</v>
      </c>
      <c r="L80" s="1">
        <f>[2]Urban_area_finals!L62/[2]Urban_area_finals!$G62</f>
        <v>7.4916026497386155E-4</v>
      </c>
      <c r="M80" s="1">
        <f>[2]Urban_area_finals!M62/[2]Urban_area_finals!$G62</f>
        <v>7.9910428263878566E-4</v>
      </c>
      <c r="N80" s="1">
        <f>[2]Urban_area_finals!N62/[2]Urban_area_finals!$G62</f>
        <v>8.4904830030370978E-4</v>
      </c>
      <c r="O80" s="1">
        <f>[2]Urban_area_finals!O62/[2]Urban_area_finals!$G62</f>
        <v>9.48936335633558E-4</v>
      </c>
      <c r="P80" s="1">
        <f>[2]Urban_area_finals!P62/[2]Urban_area_finals!$G62</f>
        <v>1.0488243709634061E-3</v>
      </c>
      <c r="Q80" s="1">
        <f>[2]Urban_area_finals!Q62/[2]Urban_area_finals!$G62</f>
        <v>1.2985444592880267E-3</v>
      </c>
      <c r="R80" s="1">
        <f>[2]Urban_area_finals!R62/[2]Urban_area_finals!$G62</f>
        <v>1.548264547612647E-3</v>
      </c>
      <c r="S80" s="1">
        <f>[2]Urban_area_finals!S62/[2]Urban_area_finals!$G62</f>
        <v>1.7979846359372678E-3</v>
      </c>
      <c r="T80" s="1">
        <f>[2]Urban_area_finals!T62/[2]Urban_area_finals!$G62</f>
        <v>2.2974248125865087E-3</v>
      </c>
      <c r="U80" s="1">
        <f>[2]Urban_area_finals!U62/[2]Urban_area_finals!$G62</f>
        <v>3.1964171305551427E-3</v>
      </c>
      <c r="V80" s="1">
        <f>[2]Urban_area_finals!V62/[2]Urban_area_finals!$G62</f>
        <v>4.1952974838536244E-3</v>
      </c>
      <c r="W80" s="1">
        <f>[2]Urban_area_finals!W62/[2]Urban_area_finals!$G62</f>
        <v>5.4938419431416509E-3</v>
      </c>
      <c r="X80" s="1">
        <f>[2]Urban_area_finals!X62/[2]Urban_area_finals!$G62</f>
        <v>5.7435620314662712E-3</v>
      </c>
      <c r="Y80" s="1">
        <f>[2]Urban_area_finals!Y62/[2]Urban_area_finals!$G62</f>
        <v>6.7923864024296782E-3</v>
      </c>
      <c r="Z80" s="1">
        <f>[2]Urban_area_finals!Z62/[2]Urban_area_finals!$G62</f>
        <v>8.0909308617177055E-3</v>
      </c>
      <c r="AA80" s="1">
        <f>[2]Urban_area_finals!AA62/[2]Urban_area_finals!$G62</f>
        <v>1.0488243709634061E-2</v>
      </c>
      <c r="AB80" s="1">
        <f>[2]Urban_area_finals!AB62/[2]Urban_area_finals!$G62</f>
        <v>1.0737963797958681E-2</v>
      </c>
      <c r="AC80" s="1">
        <f>[2]Urban_area_finals!AC62/[2]Urban_area_finals!$G62</f>
        <v>1.0937739868618379E-2</v>
      </c>
      <c r="AD80" s="1">
        <f>[2]Urban_area_finals!AD62/[2]Urban_area_finals!$G62</f>
        <v>1.1636956115927317E-2</v>
      </c>
      <c r="AE80" s="1">
        <f>[2]Urban_area_finals!AE62/[2]Urban_area_finals!$G62</f>
        <v>1.203650825724671E-2</v>
      </c>
      <c r="AF80" s="1">
        <f>[2]Urban_area_finals!AF62/[2]Urban_area_finals!$G62</f>
        <v>1.26358364692258E-2</v>
      </c>
      <c r="AG80" s="1">
        <f>[2]Urban_area_finals!AG62/[2]Urban_area_finals!$G62</f>
        <v>1.2685780486890723E-2</v>
      </c>
      <c r="AH80" s="1">
        <f>[2]Urban_area_finals!AH62/[2]Urban_area_finals!$G62</f>
        <v>1.3734604857854127E-2</v>
      </c>
      <c r="AI80" s="1">
        <f>[2]Urban_area_finals!AI62/[2]Urban_area_finals!$G62</f>
        <v>1.3834492893183977E-2</v>
      </c>
      <c r="AJ80" s="1">
        <f>[2]Urban_area_finals!AJ62/[2]Urban_area_finals!$G62</f>
        <v>1.4333933069833217E-2</v>
      </c>
      <c r="AK80" s="1">
        <f>[2]Urban_area_finals!AK62/[2]Urban_area_finals!$G62</f>
        <v>1.4383877087498142E-2</v>
      </c>
      <c r="AL80" s="1">
        <f>[2]Urban_area_finals!AL62/[2]Urban_area_finals!$G62</f>
        <v>1.4633597175822761E-2</v>
      </c>
      <c r="AM80" s="1">
        <f>[2]Urban_area_finals!AM62/[2]Urban_area_finals!$G62</f>
        <v>1.5882197617445866E-2</v>
      </c>
      <c r="AN80" s="1">
        <f>[2]Urban_area_finals!AN62/[2]Urban_area_finals!$G62</f>
        <v>1.7530350200388362E-2</v>
      </c>
      <c r="AO80" s="1">
        <f>[2]Urban_area_finals!AO62/[2]Urban_area_finals!$G62</f>
        <v>1.8229566447697299E-2</v>
      </c>
      <c r="AP80" s="1">
        <f>[2]Urban_area_finals!AP62/[2]Urban_area_finals!$G62</f>
        <v>1.8379398500692069E-2</v>
      </c>
      <c r="AQ80" s="1">
        <f>[2]Urban_area_finals!AQ62/[2]Urban_area_finals!$G62</f>
        <v>1.9977607065969644E-2</v>
      </c>
      <c r="AR80" s="1">
        <f>[2]Urban_area_finals!AR62/[2]Urban_area_finals!$G62</f>
        <v>2.0926543401603201E-2</v>
      </c>
      <c r="AS80" s="1">
        <f>[2]Urban_area_finals!AS62/[2]Urban_area_finals!$G62</f>
        <v>2.1725647684241987E-2</v>
      </c>
      <c r="AT80" s="1">
        <f>[2]Urban_area_finals!AT62/[2]Urban_area_finals!$G62</f>
        <v>2.3074136161194934E-2</v>
      </c>
      <c r="AU80" s="1">
        <f>[2]Urban_area_finals!AU62/[2]Urban_area_finals!$G62</f>
        <v>2.3993106086229538E-2</v>
      </c>
      <c r="AV80" s="1">
        <f>[2]Urban_area_finals!AV62/[2]Urban_area_finals!$G62</f>
        <v>2.5371560973781446E-2</v>
      </c>
      <c r="AW80" s="1">
        <f>[2]Urban_area_finals!AW62/[2]Urban_area_finals!$G62</f>
        <v>2.7818817839362724E-2</v>
      </c>
      <c r="AX80" s="1">
        <f>[2]Urban_area_finals!AX62/[2]Urban_area_finals!$G62</f>
        <v>3.0465850775603702E-2</v>
      </c>
      <c r="AY80" s="1">
        <f>[2]Urban_area_finals!AY62/[2]Urban_area_finals!$G62</f>
        <v>3.3462491835499153E-2</v>
      </c>
    </row>
    <row r="81" spans="1:51" x14ac:dyDescent="0.25">
      <c r="A81" t="s">
        <v>192</v>
      </c>
      <c r="B81" t="s">
        <v>193</v>
      </c>
      <c r="C81" t="s">
        <v>194</v>
      </c>
      <c r="D81" t="s">
        <v>98</v>
      </c>
      <c r="E81" t="s">
        <v>61</v>
      </c>
      <c r="F81" t="s">
        <v>61</v>
      </c>
      <c r="G81">
        <v>22372.294804524041</v>
      </c>
      <c r="H81">
        <v>52.672493420439963</v>
      </c>
      <c r="I81">
        <f>Table2[[#This Row],[FUA_area]]+Table2[[#This Row],[FUA_urban]]</f>
        <v>22424.96729794448</v>
      </c>
      <c r="J81">
        <v>1082341</v>
      </c>
      <c r="K81" s="1">
        <f>[2]Urban_area_finals!K142/[2]Urban_area_finals!$G142</f>
        <v>3.7690964283997727E-3</v>
      </c>
      <c r="L81" s="1">
        <f>[2]Urban_area_finals!L142/[2]Urban_area_finals!$G142</f>
        <v>4.3650423269262278E-3</v>
      </c>
      <c r="M81" s="1">
        <f>[2]Urban_area_finals!M142/[2]Urban_area_finals!$G142</f>
        <v>4.7989327618182965E-3</v>
      </c>
      <c r="N81" s="1">
        <f>[2]Urban_area_finals!N142/[2]Urban_area_finals!$G142</f>
        <v>5.4288580317519613E-3</v>
      </c>
      <c r="O81" s="1">
        <f>[2]Urban_area_finals!O142/[2]Urban_area_finals!$G142</f>
        <v>6.1267420445000461E-3</v>
      </c>
      <c r="P81" s="1">
        <f>[2]Urban_area_finals!P142/[2]Urban_area_finals!$G142</f>
        <v>6.6076808398020971E-3</v>
      </c>
      <c r="Q81" s="1">
        <f>[2]Urban_area_finals!Q142/[2]Urban_area_finals!$G142</f>
        <v>7.1565783779185691E-3</v>
      </c>
      <c r="R81" s="1">
        <f>[2]Urban_area_finals!R142/[2]Urban_area_finals!$G142</f>
        <v>7.5852412172095294E-3</v>
      </c>
      <c r="S81" s="1">
        <f>[2]Urban_area_finals!S142/[2]Urban_area_finals!$G142</f>
        <v>8.6255327418302691E-3</v>
      </c>
      <c r="T81" s="1">
        <f>[2]Urban_area_finals!T142/[2]Urban_area_finals!$G142</f>
        <v>9.7939003586781891E-3</v>
      </c>
      <c r="U81" s="1">
        <f>[2]Urban_area_finals!U142/[2]Urban_area_finals!$G142</f>
        <v>1.1837890238711906E-2</v>
      </c>
      <c r="V81" s="1">
        <f>[2]Urban_area_finals!V142/[2]Urban_area_finals!$G142</f>
        <v>1.2684760726091607E-2</v>
      </c>
      <c r="W81" s="1">
        <f>[2]Urban_area_finals!W142/[2]Urban_area_finals!$G142</f>
        <v>1.3181382308196985E-2</v>
      </c>
      <c r="X81" s="1">
        <f>[2]Urban_area_finals!X142/[2]Urban_area_finals!$G142</f>
        <v>1.4104052931792769E-2</v>
      </c>
      <c r="Y81" s="1">
        <f>[2]Urban_area_finals!Y142/[2]Urban_area_finals!$G142</f>
        <v>1.540311043866842E-2</v>
      </c>
      <c r="Z81" s="1">
        <f>[2]Urban_area_finals!Z142/[2]Urban_area_finals!$G142</f>
        <v>1.6333622455665865E-2</v>
      </c>
      <c r="AA81" s="1">
        <f>[2]Urban_area_finals!AA142/[2]Urban_area_finals!$G142</f>
        <v>1.6665574776336307E-2</v>
      </c>
      <c r="AB81" s="1">
        <f>[2]Urban_area_finals!AB142/[2]Urban_area_finals!$G142</f>
        <v>1.6801492261965145E-2</v>
      </c>
      <c r="AC81" s="1">
        <f>[2]Urban_area_finals!AC142/[2]Urban_area_finals!$G142</f>
        <v>1.6921726960790657E-2</v>
      </c>
      <c r="AD81" s="1">
        <f>[2]Urban_area_finals!AD142/[2]Urban_area_finals!$G142</f>
        <v>1.7013209883810068E-2</v>
      </c>
      <c r="AE81" s="1">
        <f>[2]Urban_area_finals!AE142/[2]Urban_area_finals!$G142</f>
        <v>1.7060258244220052E-2</v>
      </c>
      <c r="AF81" s="1">
        <f>[2]Urban_area_finals!AF142/[2]Urban_area_finals!$G142</f>
        <v>1.7091623817826709E-2</v>
      </c>
      <c r="AG81" s="1">
        <f>[2]Urban_area_finals!AG142/[2]Urban_area_finals!$G142</f>
        <v>1.7117761795832256E-2</v>
      </c>
      <c r="AH81" s="1">
        <f>[2]Urban_area_finals!AH142/[2]Urban_area_finals!$G142</f>
        <v>1.7143899773837804E-2</v>
      </c>
      <c r="AI81" s="1">
        <f>[2]Urban_area_finals!AI142/[2]Urban_area_finals!$G142</f>
        <v>1.7177879145245011E-2</v>
      </c>
      <c r="AJ81" s="1">
        <f>[2]Urban_area_finals!AJ142/[2]Urban_area_finals!$G142</f>
        <v>1.7261520674862758E-2</v>
      </c>
      <c r="AK81" s="1">
        <f>[2]Urban_area_finals!AK142/[2]Urban_area_finals!$G142</f>
        <v>1.7436645127499917E-2</v>
      </c>
      <c r="AL81" s="1">
        <f>[2]Urban_area_finals!AL142/[2]Urban_area_finals!$G142</f>
        <v>1.7664045536148171E-2</v>
      </c>
      <c r="AM81" s="1">
        <f>[2]Urban_area_finals!AM142/[2]Urban_area_finals!$G142</f>
        <v>1.7899287338198087E-2</v>
      </c>
      <c r="AN81" s="1">
        <f>[2]Urban_area_finals!AN142/[2]Urban_area_finals!$G142</f>
        <v>1.8056115206231363E-2</v>
      </c>
      <c r="AO81" s="1">
        <f>[2]Urban_area_finals!AO142/[2]Urban_area_finals!$G142</f>
        <v>1.8429888291710675E-2</v>
      </c>
      <c r="AP81" s="1">
        <f>[2]Urban_area_finals!AP142/[2]Urban_area_finals!$G142</f>
        <v>1.9153910282464309E-2</v>
      </c>
      <c r="AQ81" s="1">
        <f>[2]Urban_area_finals!AQ142/[2]Urban_area_finals!$G142</f>
        <v>2.1095962048276396E-2</v>
      </c>
      <c r="AR81" s="1">
        <f>[2]Urban_area_finals!AR142/[2]Urban_area_finals!$G142</f>
        <v>2.3437924877573343E-2</v>
      </c>
      <c r="AS81" s="1">
        <f>[2]Urban_area_finals!AS142/[2]Urban_area_finals!$G142</f>
        <v>2.4279567769351935E-2</v>
      </c>
      <c r="AT81" s="1">
        <f>[2]Urban_area_finals!AT142/[2]Urban_area_finals!$G142</f>
        <v>2.3981594820088707E-2</v>
      </c>
      <c r="AU81" s="1">
        <f>[2]Urban_area_finals!AU142/[2]Urban_area_finals!$G142</f>
        <v>2.4654909133511579E-2</v>
      </c>
      <c r="AV81" s="1">
        <f>[2]Urban_area_finals!AV142/[2]Urban_area_finals!$G142</f>
        <v>2.5664880603645888E-2</v>
      </c>
      <c r="AW81" s="1">
        <f>[2]Urban_area_finals!AW142/[2]Urban_area_finals!$G142</f>
        <v>2.7729780866084044E-2</v>
      </c>
      <c r="AX81" s="1">
        <f>[2]Urban_area_finals!AX142/[2]Urban_area_finals!$G142</f>
        <v>3.0364489049043104E-2</v>
      </c>
      <c r="AY81" s="1">
        <f>[2]Urban_area_finals!AY142/[2]Urban_area_finals!$G142</f>
        <v>3.3378197913082587E-2</v>
      </c>
    </row>
    <row r="82" spans="1:51" x14ac:dyDescent="0.25">
      <c r="A82" t="s">
        <v>364</v>
      </c>
      <c r="B82" t="s">
        <v>365</v>
      </c>
      <c r="C82" t="s">
        <v>366</v>
      </c>
      <c r="D82" t="s">
        <v>65</v>
      </c>
      <c r="E82" t="s">
        <v>66</v>
      </c>
      <c r="F82" t="s">
        <v>66</v>
      </c>
      <c r="G82">
        <v>24909.983747775859</v>
      </c>
      <c r="H82" t="e">
        <v>#N/A</v>
      </c>
      <c r="I82" t="e">
        <f>Table2[[#This Row],[FUA_area]]+Table2[[#This Row],[FUA_urban]]</f>
        <v>#N/A</v>
      </c>
      <c r="J82">
        <v>2114026</v>
      </c>
      <c r="K82" s="1">
        <f>[2]Urban_area_finals!K91/[2]Urban_area_finals!$G91</f>
        <v>3.2740401157246514E-3</v>
      </c>
      <c r="L82" s="1">
        <f>[2]Urban_area_finals!L91/[2]Urban_area_finals!$G91</f>
        <v>3.7027834642124032E-3</v>
      </c>
      <c r="M82" s="1">
        <f>[2]Urban_area_finals!M91/[2]Urban_area_finals!$G91</f>
        <v>4.2484568168331778E-3</v>
      </c>
      <c r="N82" s="1">
        <f>[2]Urban_area_finals!N91/[2]Urban_area_finals!$G91</f>
        <v>4.9890135096756598E-3</v>
      </c>
      <c r="O82" s="1">
        <f>[2]Urban_area_finals!O91/[2]Urban_area_finals!$G91</f>
        <v>6.0024068788285274E-3</v>
      </c>
      <c r="P82" s="1">
        <f>[2]Urban_area_finals!P91/[2]Urban_area_finals!$G91</f>
        <v>6.3921735592719379E-3</v>
      </c>
      <c r="Q82" s="1">
        <f>[2]Urban_area_finals!Q91/[2]Urban_area_finals!$G91</f>
        <v>6.8598935758040318E-3</v>
      </c>
      <c r="R82" s="1">
        <f>[2]Urban_area_finals!R91/[2]Urban_area_finals!$G91</f>
        <v>7.2106835882031007E-3</v>
      </c>
      <c r="S82" s="1">
        <f>[2]Urban_area_finals!S91/[2]Urban_area_finals!$G91</f>
        <v>7.3276135923361239E-3</v>
      </c>
      <c r="T82" s="1">
        <f>[2]Urban_area_finals!T91/[2]Urban_area_finals!$G91</f>
        <v>8.7697503099767437E-3</v>
      </c>
      <c r="U82" s="1">
        <f>[2]Urban_area_finals!U91/[2]Urban_area_finals!$G91</f>
        <v>1.1342210400903257E-2</v>
      </c>
      <c r="V82" s="1">
        <f>[2]Urban_area_finals!V91/[2]Urban_area_finals!$G91</f>
        <v>1.364183381551938E-2</v>
      </c>
      <c r="W82" s="1">
        <f>[2]Urban_area_finals!W91/[2]Urban_area_finals!$G91</f>
        <v>1.5356807209470387E-2</v>
      </c>
      <c r="X82" s="1">
        <f>[2]Urban_area_finals!X91/[2]Urban_area_finals!$G91</f>
        <v>1.5668620553825119E-2</v>
      </c>
      <c r="Y82" s="1">
        <f>[2]Urban_area_finals!Y91/[2]Urban_area_finals!$G91</f>
        <v>1.7695407292130854E-2</v>
      </c>
      <c r="Z82" s="1">
        <f>[2]Urban_area_finals!Z91/[2]Urban_area_finals!$G91</f>
        <v>1.933242734999318E-2</v>
      </c>
      <c r="AA82" s="1">
        <f>[2]Urban_area_finals!AA91/[2]Urban_area_finals!$G91</f>
        <v>1.9839124034569614E-2</v>
      </c>
      <c r="AB82" s="1">
        <f>[2]Urban_area_finals!AB91/[2]Urban_area_finals!$G91</f>
        <v>2.0267867383057366E-2</v>
      </c>
      <c r="AC82" s="1">
        <f>[2]Urban_area_finals!AC91/[2]Urban_area_finals!$G91</f>
        <v>2.0384797387190387E-2</v>
      </c>
      <c r="AD82" s="1">
        <f>[2]Urban_area_finals!AD91/[2]Urban_area_finals!$G91</f>
        <v>2.0579680727412092E-2</v>
      </c>
      <c r="AE82" s="1">
        <f>[2]Urban_area_finals!AE91/[2]Urban_area_finals!$G91</f>
        <v>2.0735587399589459E-2</v>
      </c>
      <c r="AF82" s="1">
        <f>[2]Urban_area_finals!AF91/[2]Urban_area_finals!$G91</f>
        <v>2.0774564067633797E-2</v>
      </c>
      <c r="AG82" s="1">
        <f>[2]Urban_area_finals!AG91/[2]Urban_area_finals!$G91</f>
        <v>2.1008424075899847E-2</v>
      </c>
      <c r="AH82" s="1">
        <f>[2]Urban_area_finals!AH91/[2]Urban_area_finals!$G91</f>
        <v>2.116433074807721E-2</v>
      </c>
      <c r="AI82" s="1">
        <f>[2]Urban_area_finals!AI91/[2]Urban_area_finals!$G91</f>
        <v>2.1748980768742324E-2</v>
      </c>
      <c r="AJ82" s="1">
        <f>[2]Urban_area_finals!AJ91/[2]Urban_area_finals!$G91</f>
        <v>2.2021817445052716E-2</v>
      </c>
      <c r="AK82" s="1">
        <f>[2]Urban_area_finals!AK91/[2]Urban_area_finals!$G91</f>
        <v>2.2450560793540467E-2</v>
      </c>
      <c r="AL82" s="1">
        <f>[2]Urban_area_finals!AL91/[2]Urban_area_finals!$G91</f>
        <v>2.3619860834870696E-2</v>
      </c>
      <c r="AM82" s="1">
        <f>[2]Urban_area_finals!AM91/[2]Urban_area_finals!$G91</f>
        <v>2.4438370863801861E-2</v>
      </c>
      <c r="AN82" s="1">
        <f>[2]Urban_area_finals!AN91/[2]Urban_area_finals!$G91</f>
        <v>2.4789160876200932E-2</v>
      </c>
      <c r="AO82" s="1">
        <f>[2]Urban_area_finals!AO91/[2]Urban_area_finals!$G91</f>
        <v>2.5880507581442481E-2</v>
      </c>
      <c r="AP82" s="1">
        <f>[2]Urban_area_finals!AP91/[2]Urban_area_finals!$G91</f>
        <v>2.6504134270151938E-2</v>
      </c>
      <c r="AQ82" s="1">
        <f>[2]Urban_area_finals!AQ91/[2]Urban_area_finals!$G91</f>
        <v>2.7751387647570853E-2</v>
      </c>
      <c r="AR82" s="1">
        <f>[2]Urban_area_finals!AR91/[2]Urban_area_finals!$G91</f>
        <v>2.8881711020856744E-2</v>
      </c>
      <c r="AS82" s="1">
        <f>[2]Urban_area_finals!AS91/[2]Urban_area_finals!$G91</f>
        <v>2.9115571029122791E-2</v>
      </c>
      <c r="AT82" s="1">
        <f>[2]Urban_area_finals!AT91/[2]Urban_area_finals!$G91</f>
        <v>2.8725804348679381E-2</v>
      </c>
      <c r="AU82" s="1">
        <f>[2]Urban_area_finals!AU91/[2]Urban_area_finals!$G91</f>
        <v>2.908438969468732E-2</v>
      </c>
      <c r="AV82" s="1">
        <f>[2]Urban_area_finals!AV91/[2]Urban_area_finals!$G91</f>
        <v>2.9622267713699225E-2</v>
      </c>
      <c r="AW82" s="1">
        <f>[2]Urban_area_finals!AW91/[2]Urban_area_finals!$G91</f>
        <v>3.0557707746763411E-2</v>
      </c>
      <c r="AX82" s="1">
        <f>[2]Urban_area_finals!AX91/[2]Urban_area_finals!$G91</f>
        <v>3.172700778809364E-2</v>
      </c>
      <c r="AY82" s="1">
        <f>[2]Urban_area_finals!AY91/[2]Urban_area_finals!$G91</f>
        <v>3.2896307829423883E-2</v>
      </c>
    </row>
    <row r="83" spans="1:51" x14ac:dyDescent="0.25">
      <c r="A83" t="s">
        <v>463</v>
      </c>
      <c r="B83" t="s">
        <v>464</v>
      </c>
      <c r="C83" t="s">
        <v>465</v>
      </c>
      <c r="D83" t="s">
        <v>98</v>
      </c>
      <c r="E83" t="s">
        <v>61</v>
      </c>
      <c r="F83" t="s">
        <v>61</v>
      </c>
      <c r="G83">
        <v>25279.224119407099</v>
      </c>
      <c r="H83">
        <v>617.84628894745856</v>
      </c>
      <c r="I83">
        <f>Table2[[#This Row],[FUA_area]]+Table2[[#This Row],[FUA_urban]]</f>
        <v>25897.070408354557</v>
      </c>
      <c r="J83">
        <v>12987329</v>
      </c>
      <c r="K83" s="1">
        <f>[2]Urban_area_finals!K45/[2]Urban_area_finals!$G45</f>
        <v>1.6858467182073554E-4</v>
      </c>
      <c r="L83" s="1">
        <f>[2]Urban_area_finals!L45/[2]Urban_area_finals!$G45</f>
        <v>2.0279025740755144E-4</v>
      </c>
      <c r="M83" s="1">
        <f>[2]Urban_area_finals!M45/[2]Urban_area_finals!$G45</f>
        <v>3.0052050194131119E-4</v>
      </c>
      <c r="N83" s="1">
        <f>[2]Urban_area_finals!N45/[2]Urban_area_finals!$G45</f>
        <v>3.9702911841839892E-4</v>
      </c>
      <c r="O83" s="1">
        <f>[2]Urban_area_finals!O45/[2]Urban_area_finals!$G45</f>
        <v>4.9842424712217453E-4</v>
      </c>
      <c r="P83" s="1">
        <f>[2]Urban_area_finals!P45/[2]Urban_area_finals!$G45</f>
        <v>5.7294355857916634E-4</v>
      </c>
      <c r="Q83" s="1">
        <f>[2]Urban_area_finals!Q45/[2]Urban_area_finals!$G45</f>
        <v>6.5845752254620616E-4</v>
      </c>
      <c r="R83" s="1">
        <f>[2]Urban_area_finals!R45/[2]Urban_area_finals!$G45</f>
        <v>7.7817707210006172E-4</v>
      </c>
      <c r="S83" s="1">
        <f>[2]Urban_area_finals!S45/[2]Urban_area_finals!$G45</f>
        <v>9.6997267699756536E-4</v>
      </c>
      <c r="T83" s="1">
        <f>[2]Urban_area_finals!T45/[2]Urban_area_finals!$G45</f>
        <v>1.3914343565494041E-3</v>
      </c>
      <c r="U83" s="1">
        <f>[2]Urban_area_finals!U45/[2]Urban_area_finals!$G45</f>
        <v>2.0156862935087941E-3</v>
      </c>
      <c r="V83" s="1">
        <f>[2]Urban_area_finals!V45/[2]Urban_area_finals!$G45</f>
        <v>2.6411598585248564E-3</v>
      </c>
      <c r="W83" s="1">
        <f>[2]Urban_area_finals!W45/[2]Urban_area_finals!$G45</f>
        <v>3.3790232047547428E-3</v>
      </c>
      <c r="X83" s="1">
        <f>[2]Urban_area_finals!X45/[2]Urban_area_finals!$G45</f>
        <v>3.5182888032153502E-3</v>
      </c>
      <c r="Y83" s="1">
        <f>[2]Urban_area_finals!Y45/[2]Urban_area_finals!$G45</f>
        <v>3.9825074647507081E-3</v>
      </c>
      <c r="Z83" s="1">
        <f>[2]Urban_area_finals!Z45/[2]Urban_area_finals!$G45</f>
        <v>4.4540558946260999E-3</v>
      </c>
      <c r="AA83" s="1">
        <f>[2]Urban_area_finals!AA45/[2]Urban_area_finals!$G45</f>
        <v>4.9744694467683702E-3</v>
      </c>
      <c r="AB83" s="1">
        <f>[2]Urban_area_finals!AB45/[2]Urban_area_finals!$G45</f>
        <v>5.263995296199633E-3</v>
      </c>
      <c r="AC83" s="1">
        <f>[2]Urban_area_finals!AC45/[2]Urban_area_finals!$G45</f>
        <v>5.4973262550239849E-3</v>
      </c>
      <c r="AD83" s="1">
        <f>[2]Urban_area_finals!AD45/[2]Urban_area_finals!$G45</f>
        <v>5.8699228123089428E-3</v>
      </c>
      <c r="AE83" s="1">
        <f>[2]Urban_area_finals!AE45/[2]Urban_area_finals!$G45</f>
        <v>6.2376328573672144E-3</v>
      </c>
      <c r="AF83" s="1">
        <f>[2]Urban_area_finals!AF45/[2]Urban_area_finals!$G45</f>
        <v>6.7189543116959807E-3</v>
      </c>
      <c r="AG83" s="1">
        <f>[2]Urban_area_finals!AG45/[2]Urban_area_finals!$G45</f>
        <v>7.3456495047687156E-3</v>
      </c>
      <c r="AH83" s="1">
        <f>[2]Urban_area_finals!AH45/[2]Urban_area_finals!$G45</f>
        <v>7.8110897943607458E-3</v>
      </c>
      <c r="AI83" s="1">
        <f>[2]Urban_area_finals!AI45/[2]Urban_area_finals!$G45</f>
        <v>8.3278384623330006E-3</v>
      </c>
      <c r="AJ83" s="1">
        <f>[2]Urban_area_finals!AJ45/[2]Urban_area_finals!$G45</f>
        <v>8.6173643117642643E-3</v>
      </c>
      <c r="AK83" s="1">
        <f>[2]Urban_area_finals!AK45/[2]Urban_area_finals!$G45</f>
        <v>9.1438860041898936E-3</v>
      </c>
      <c r="AL83" s="1">
        <f>[2]Urban_area_finals!AL45/[2]Urban_area_finals!$G45</f>
        <v>9.6826239771822462E-3</v>
      </c>
      <c r="AM83" s="1">
        <f>[2]Urban_area_finals!AM45/[2]Urban_area_finals!$G45</f>
        <v>1.1407562793203105E-2</v>
      </c>
      <c r="AN83" s="1">
        <f>[2]Urban_area_finals!AN45/[2]Urban_area_finals!$G45</f>
        <v>1.2460606178054365E-2</v>
      </c>
      <c r="AO83" s="1">
        <f>[2]Urban_area_finals!AO45/[2]Urban_area_finals!$G45</f>
        <v>1.350998467873561E-2</v>
      </c>
      <c r="AP83" s="1">
        <f>[2]Urban_area_finals!AP45/[2]Urban_area_finals!$G45</f>
        <v>1.4613114813910422E-2</v>
      </c>
      <c r="AQ83" s="1">
        <f>[2]Urban_area_finals!AQ45/[2]Urban_area_finals!$G45</f>
        <v>1.5551325161434515E-2</v>
      </c>
      <c r="AR83" s="1">
        <f>[2]Urban_area_finals!AR45/[2]Urban_area_finals!$G45</f>
        <v>1.6485870624788592E-2</v>
      </c>
      <c r="AS83" s="1">
        <f>[2]Urban_area_finals!AS45/[2]Urban_area_finals!$G45</f>
        <v>1.7554795174376591E-2</v>
      </c>
      <c r="AT83" s="1">
        <f>[2]Urban_area_finals!AT45/[2]Urban_area_finals!$G45</f>
        <v>1.8512551570807435E-2</v>
      </c>
      <c r="AU83" s="1">
        <f>[2]Urban_area_finals!AU45/[2]Urban_area_finals!$G45</f>
        <v>1.9313450924761597E-2</v>
      </c>
      <c r="AV83" s="1">
        <f>[2]Urban_area_finals!AV45/[2]Urban_area_finals!$G45</f>
        <v>2.0514799955692838E-2</v>
      </c>
      <c r="AW83" s="1">
        <f>[2]Urban_area_finals!AW45/[2]Urban_area_finals!$G45</f>
        <v>2.2950726300696798E-2</v>
      </c>
      <c r="AX83" s="1">
        <f>[2]Urban_area_finals!AX45/[2]Urban_area_finals!$G45</f>
        <v>2.6532539762859096E-2</v>
      </c>
      <c r="AY83" s="1">
        <f>[2]Urban_area_finals!AY45/[2]Urban_area_finals!$G45</f>
        <v>3.083144889428785E-2</v>
      </c>
    </row>
    <row r="84" spans="1:51" x14ac:dyDescent="0.25">
      <c r="A84" t="s">
        <v>287</v>
      </c>
      <c r="B84" t="s">
        <v>288</v>
      </c>
      <c r="C84" t="s">
        <v>289</v>
      </c>
      <c r="D84" t="s">
        <v>91</v>
      </c>
      <c r="E84" t="s">
        <v>66</v>
      </c>
      <c r="F84" t="s">
        <v>66</v>
      </c>
      <c r="G84">
        <v>102224.09202136721</v>
      </c>
      <c r="H84">
        <v>234.97933179862829</v>
      </c>
      <c r="I84">
        <f>Table2[[#This Row],[FUA_area]]+Table2[[#This Row],[FUA_urban]]</f>
        <v>102459.07135316584</v>
      </c>
      <c r="J84">
        <v>364330</v>
      </c>
      <c r="K84" s="1">
        <f>[2]Urban_area_finals!K144/[2]Urban_area_finals!$G144</f>
        <v>4.7437038860255617E-4</v>
      </c>
      <c r="L84" s="1">
        <f>[2]Urban_area_finals!L144/[2]Urban_area_finals!$G144</f>
        <v>5.6331483646553549E-4</v>
      </c>
      <c r="M84" s="1">
        <f>[2]Urban_area_finals!M144/[2]Urban_area_finals!$G144</f>
        <v>6.6708335897234464E-4</v>
      </c>
      <c r="N84" s="1">
        <f>[2]Urban_area_finals!N144/[2]Urban_area_finals!$G144</f>
        <v>7.4120373219149402E-4</v>
      </c>
      <c r="O84" s="1">
        <f>[2]Urban_area_finals!O144/[2]Urban_area_finals!$G144</f>
        <v>8.3014818005447324E-4</v>
      </c>
      <c r="P84" s="1">
        <f>[2]Urban_area_finals!P144/[2]Urban_area_finals!$G144</f>
        <v>8.5979632934213312E-4</v>
      </c>
      <c r="Q84" s="1">
        <f>[2]Urban_area_finals!Q144/[2]Urban_area_finals!$G144</f>
        <v>8.8944447862979279E-4</v>
      </c>
      <c r="R84" s="1">
        <f>[2]Urban_area_finals!R144/[2]Urban_area_finals!$G144</f>
        <v>1.2896944940131998E-3</v>
      </c>
      <c r="S84" s="1">
        <f>[2]Urban_area_finals!S144/[2]Urban_area_finals!$G144</f>
        <v>1.5120556136706479E-3</v>
      </c>
      <c r="T84" s="1">
        <f>[2]Urban_area_finals!T144/[2]Urban_area_finals!$G144</f>
        <v>2.1791389726429928E-3</v>
      </c>
      <c r="U84" s="1">
        <f>[2]Urban_area_finals!U144/[2]Urban_area_finals!$G144</f>
        <v>3.3502408695055535E-3</v>
      </c>
      <c r="V84" s="1">
        <f>[2]Urban_area_finals!V144/[2]Urban_area_finals!$G144</f>
        <v>4.9512409310391798E-3</v>
      </c>
      <c r="W84" s="1">
        <f>[2]Urban_area_finals!W144/[2]Urban_area_finals!$G144</f>
        <v>7.382389172627281E-3</v>
      </c>
      <c r="X84" s="1">
        <f>[2]Urban_area_finals!X144/[2]Urban_area_finals!$G144</f>
        <v>8.1532410541064349E-3</v>
      </c>
      <c r="Y84" s="1">
        <f>[2]Urban_area_finals!Y144/[2]Urban_area_finals!$G144</f>
        <v>9.3688151749004855E-3</v>
      </c>
      <c r="Z84" s="1">
        <f>[2]Urban_area_finals!Z144/[2]Urban_area_finals!$G144</f>
        <v>1.0925343012502621E-2</v>
      </c>
      <c r="AA84" s="1">
        <f>[2]Urban_area_finals!AA144/[2]Urban_area_finals!$G144</f>
        <v>1.2274333805091141E-2</v>
      </c>
      <c r="AB84" s="1">
        <f>[2]Urban_area_finals!AB144/[2]Urban_area_finals!$G144</f>
        <v>1.2985889387994975E-2</v>
      </c>
      <c r="AC84" s="1">
        <f>[2]Urban_area_finals!AC144/[2]Urban_area_finals!$G144</f>
        <v>1.3415787552666043E-2</v>
      </c>
      <c r="AD84" s="1">
        <f>[2]Urban_area_finals!AD144/[2]Urban_area_finals!$G144</f>
        <v>1.4186639434145196E-2</v>
      </c>
      <c r="AE84" s="1">
        <f>[2]Urban_area_finals!AE144/[2]Urban_area_finals!$G144</f>
        <v>1.4497945001665622E-2</v>
      </c>
      <c r="AF84" s="1">
        <f>[2]Urban_area_finals!AF144/[2]Urban_area_finals!$G144</f>
        <v>1.5061259838131159E-2</v>
      </c>
      <c r="AG84" s="1">
        <f>[2]Urban_area_finals!AG144/[2]Urban_area_finals!$G144</f>
        <v>1.5505982077446056E-2</v>
      </c>
      <c r="AH84" s="1">
        <f>[2]Urban_area_finals!AH144/[2]Urban_area_finals!$G144</f>
        <v>1.5846935794254145E-2</v>
      </c>
      <c r="AI84" s="1">
        <f>[2]Urban_area_finals!AI144/[2]Urban_area_finals!$G144</f>
        <v>1.6232361734993719E-2</v>
      </c>
      <c r="AJ84" s="1">
        <f>[2]Urban_area_finals!AJ144/[2]Urban_area_finals!$G144</f>
        <v>1.6588139526445639E-2</v>
      </c>
      <c r="AK84" s="1">
        <f>[2]Urban_area_finals!AK144/[2]Urban_area_finals!$G144</f>
        <v>1.706250991504819E-2</v>
      </c>
      <c r="AL84" s="1">
        <f>[2]Urban_area_finals!AL144/[2]Urban_area_finals!$G144</f>
        <v>1.7596176602226069E-2</v>
      </c>
      <c r="AM84" s="1">
        <f>[2]Urban_area_finals!AM144/[2]Urban_area_finals!$G144</f>
        <v>1.7937130319034152E-2</v>
      </c>
      <c r="AN84" s="1">
        <f>[2]Urban_area_finals!AN144/[2]Urban_area_finals!$G144</f>
        <v>1.8381852558349055E-2</v>
      </c>
      <c r="AO84" s="1">
        <f>[2]Urban_area_finals!AO144/[2]Urban_area_finals!$G144</f>
        <v>1.8915519245526927E-2</v>
      </c>
      <c r="AP84" s="1">
        <f>[2]Urban_area_finals!AP144/[2]Urban_area_finals!$G144</f>
        <v>1.9212000738403526E-2</v>
      </c>
      <c r="AQ84" s="1">
        <f>[2]Urban_area_finals!AQ144/[2]Urban_area_finals!$G144</f>
        <v>2.0101445217033317E-2</v>
      </c>
      <c r="AR84" s="1">
        <f>[2]Urban_area_finals!AR144/[2]Urban_area_finals!$G144</f>
        <v>2.0931593397087792E-2</v>
      </c>
      <c r="AS84" s="1">
        <f>[2]Urban_area_finals!AS144/[2]Urban_area_finals!$G144</f>
        <v>2.1643148979991627E-2</v>
      </c>
      <c r="AT84" s="1">
        <f>[2]Urban_area_finals!AT144/[2]Urban_area_finals!$G144</f>
        <v>2.2740130503635034E-2</v>
      </c>
      <c r="AU84" s="1">
        <f>[2]Urban_area_finals!AU144/[2]Urban_area_finals!$G144</f>
        <v>2.3629574982264829E-2</v>
      </c>
      <c r="AV84" s="1">
        <f>[2]Urban_area_finals!AV144/[2]Urban_area_finals!$G144</f>
        <v>2.4963741700209516E-2</v>
      </c>
      <c r="AW84" s="1">
        <f>[2]Urban_area_finals!AW144/[2]Urban_area_finals!$G144</f>
        <v>2.67426306574691E-2</v>
      </c>
      <c r="AX84" s="1">
        <f>[2]Urban_area_finals!AX144/[2]Urban_area_finals!$G144</f>
        <v>2.8210214047208259E-2</v>
      </c>
      <c r="AY84" s="1">
        <f>[2]Urban_area_finals!AY144/[2]Urban_area_finals!$G144</f>
        <v>2.936649186942699E-2</v>
      </c>
    </row>
    <row r="85" spans="1:51" x14ac:dyDescent="0.25">
      <c r="A85" t="s">
        <v>442</v>
      </c>
      <c r="B85" t="s">
        <v>443</v>
      </c>
      <c r="C85" t="s">
        <v>444</v>
      </c>
      <c r="D85" t="s">
        <v>321</v>
      </c>
      <c r="E85" t="s">
        <v>55</v>
      </c>
      <c r="F85" t="s">
        <v>161</v>
      </c>
      <c r="G85">
        <v>122706.3595086104</v>
      </c>
      <c r="H85">
        <v>2942.2697267554031</v>
      </c>
      <c r="I85">
        <f>Table2[[#This Row],[FUA_area]]+Table2[[#This Row],[FUA_urban]]</f>
        <v>125648.62923536581</v>
      </c>
      <c r="K85" s="1">
        <f>[2]Urban_area_finals!K147/[2]Urban_area_finals!$G147</f>
        <v>6.7358041673735525E-4</v>
      </c>
      <c r="L85" s="1">
        <f>[2]Urban_area_finals!L147/[2]Urban_area_finals!$G147</f>
        <v>8.1671625529404317E-4</v>
      </c>
      <c r="M85" s="1">
        <f>[2]Urban_area_finals!M147/[2]Urban_area_finals!$G147</f>
        <v>9.8511135947838184E-4</v>
      </c>
      <c r="N85" s="1">
        <f>[2]Urban_area_finals!N147/[2]Urban_area_finals!$G147</f>
        <v>1.1759591442206325E-3</v>
      </c>
      <c r="O85" s="1">
        <f>[2]Urban_area_finals!O147/[2]Urban_area_finals!$G147</f>
        <v>1.5211691077985272E-3</v>
      </c>
      <c r="P85" s="1">
        <f>[2]Urban_area_finals!P147/[2]Urban_area_finals!$G147</f>
        <v>1.8130539550513811E-3</v>
      </c>
      <c r="Q85" s="1">
        <f>[2]Urban_area_finals!Q147/[2]Urban_area_finals!$G147</f>
        <v>2.2480746408609226E-3</v>
      </c>
      <c r="R85" s="1">
        <f>[2]Urban_area_finals!R147/[2]Urban_area_finals!$G147</f>
        <v>2.5259265627650819E-3</v>
      </c>
      <c r="S85" s="1">
        <f>[2]Urban_area_finals!S147/[2]Urban_area_finals!$G147</f>
        <v>2.5904780193690786E-3</v>
      </c>
      <c r="T85" s="1">
        <f>[2]Urban_area_finals!T147/[2]Urban_area_finals!$G147</f>
        <v>2.6887084968099427E-3</v>
      </c>
      <c r="U85" s="1">
        <f>[2]Urban_area_finals!U147/[2]Urban_area_finals!$G147</f>
        <v>2.8514904308548036E-3</v>
      </c>
      <c r="V85" s="1">
        <f>[2]Urban_area_finals!V147/[2]Urban_area_finals!$G147</f>
        <v>4.0863878615399552E-3</v>
      </c>
      <c r="W85" s="1">
        <f>[2]Urban_area_finals!W147/[2]Urban_area_finals!$G147</f>
        <v>5.4139025995264918E-3</v>
      </c>
      <c r="X85" s="1">
        <f>[2]Urban_area_finals!X147/[2]Urban_area_finals!$G147</f>
        <v>5.69456110650039E-3</v>
      </c>
      <c r="Y85" s="1">
        <f>[2]Urban_area_finals!Y147/[2]Urban_area_finals!$G147</f>
        <v>6.4186600544930469E-3</v>
      </c>
      <c r="Z85" s="1">
        <f>[2]Urban_area_finals!Z147/[2]Urban_area_finals!$G147</f>
        <v>7.4767426257846435E-3</v>
      </c>
      <c r="AA85" s="1">
        <f>[2]Urban_area_finals!AA147/[2]Urban_area_finals!$G147</f>
        <v>8.5881503134012799E-3</v>
      </c>
      <c r="AB85" s="1">
        <f>[2]Urban_area_finals!AB147/[2]Urban_area_finals!$G147</f>
        <v>8.8631956502356977E-3</v>
      </c>
      <c r="AC85" s="1">
        <f>[2]Urban_area_finals!AC147/[2]Urban_area_finals!$G147</f>
        <v>9.2084056138135948E-3</v>
      </c>
      <c r="AD85" s="1">
        <f>[2]Urban_area_finals!AD147/[2]Urban_area_finals!$G147</f>
        <v>9.4778377805085356E-3</v>
      </c>
      <c r="AE85" s="1">
        <f>[2]Urban_area_finals!AE147/[2]Urban_area_finals!$G147</f>
        <v>9.7753357979008665E-3</v>
      </c>
      <c r="AF85" s="1">
        <f>[2]Urban_area_finals!AF147/[2]Urban_area_finals!$G147</f>
        <v>1.0075640400362939E-2</v>
      </c>
      <c r="AG85" s="1">
        <f>[2]Urban_area_finals!AG147/[2]Urban_area_finals!$G147</f>
        <v>1.0258068429895972E-2</v>
      </c>
      <c r="AH85" s="1">
        <f>[2]Urban_area_finals!AH147/[2]Urban_area_finals!$G147</f>
        <v>1.0496628160823784E-2</v>
      </c>
      <c r="AI85" s="1">
        <f>[2]Urban_area_finals!AI147/[2]Urban_area_finals!$G147</f>
        <v>1.0754833987239771E-2</v>
      </c>
      <c r="AJ85" s="1">
        <f>[2]Urban_area_finals!AJ147/[2]Urban_area_finals!$G147</f>
        <v>1.1231953449095397E-2</v>
      </c>
      <c r="AK85" s="1">
        <f>[2]Urban_area_finals!AK147/[2]Urban_area_finals!$G147</f>
        <v>1.1582776582812771E-2</v>
      </c>
      <c r="AL85" s="1">
        <f>[2]Urban_area_finals!AL147/[2]Urban_area_finals!$G147</f>
        <v>1.1967278737367011E-2</v>
      </c>
      <c r="AM85" s="1">
        <f>[2]Urban_area_finals!AM147/[2]Urban_area_finals!$G147</f>
        <v>1.3030974478798082E-2</v>
      </c>
      <c r="AN85" s="1">
        <f>[2]Urban_area_finals!AN147/[2]Urban_area_finals!$G147</f>
        <v>1.3609131003164313E-2</v>
      </c>
      <c r="AO85" s="1">
        <f>[2]Urban_area_finals!AO147/[2]Urban_area_finals!$G147</f>
        <v>1.4386555067482008E-2</v>
      </c>
      <c r="AP85" s="1">
        <f>[2]Urban_area_finals!AP147/[2]Urban_area_finals!$G147</f>
        <v>1.576739492179359E-2</v>
      </c>
      <c r="AQ85" s="1">
        <f>[2]Urban_area_finals!AQ147/[2]Urban_area_finals!$G147</f>
        <v>1.7692712279634527E-2</v>
      </c>
      <c r="AR85" s="1">
        <f>[2]Urban_area_finals!AR147/[2]Urban_area_finals!$G147</f>
        <v>1.9250366993339662E-2</v>
      </c>
      <c r="AS85" s="1">
        <f>[2]Urban_area_finals!AS147/[2]Urban_area_finals!$G147</f>
        <v>2.0990449736577831E-2</v>
      </c>
      <c r="AT85" s="1">
        <f>[2]Urban_area_finals!AT147/[2]Urban_area_finals!$G147</f>
        <v>2.1767873800895527E-2</v>
      </c>
      <c r="AU85" s="1">
        <f>[2]Urban_area_finals!AU147/[2]Urban_area_finals!$G147</f>
        <v>2.2247238530806946E-2</v>
      </c>
      <c r="AV85" s="1">
        <f>[2]Urban_area_finals!AV147/[2]Urban_area_finals!$G147</f>
        <v>2.2966285625674071E-2</v>
      </c>
      <c r="AW85" s="1">
        <f>[2]Urban_area_finals!AW147/[2]Urban_area_finals!$G147</f>
        <v>2.4507100828960772E-2</v>
      </c>
      <c r="AX85" s="1">
        <f>[2]Urban_area_finals!AX147/[2]Urban_area_finals!$G147</f>
        <v>2.6390319410755626E-2</v>
      </c>
      <c r="AY85" s="1">
        <f>[2]Urban_area_finals!AY147/[2]Urban_area_finals!$G147</f>
        <v>2.8958344749566794E-2</v>
      </c>
    </row>
    <row r="86" spans="1:51" x14ac:dyDescent="0.25">
      <c r="A86" t="s">
        <v>538</v>
      </c>
      <c r="B86" t="s">
        <v>539</v>
      </c>
      <c r="C86" t="s">
        <v>540</v>
      </c>
      <c r="D86" t="s">
        <v>98</v>
      </c>
      <c r="E86" t="s">
        <v>61</v>
      </c>
      <c r="F86" t="s">
        <v>61</v>
      </c>
      <c r="G86">
        <v>241440.00241884461</v>
      </c>
      <c r="H86">
        <v>1700.547382905748</v>
      </c>
      <c r="I86">
        <f>Table2[[#This Row],[FUA_area]]+Table2[[#This Row],[FUA_urban]]</f>
        <v>243140.54980175037</v>
      </c>
      <c r="J86">
        <v>43685862</v>
      </c>
      <c r="K86" s="1">
        <f>[2]Urban_area_finals!K16/[2]Urban_area_finals!$G16</f>
        <v>4.6868979414183367E-4</v>
      </c>
      <c r="L86" s="1">
        <f>[2]Urban_area_finals!L16/[2]Urban_area_finals!$G16</f>
        <v>5.7805074610826153E-4</v>
      </c>
      <c r="M86" s="1">
        <f>[2]Urban_area_finals!M16/[2]Urban_area_finals!$G16</f>
        <v>7.3428067748887275E-4</v>
      </c>
      <c r="N86" s="1">
        <f>[2]Urban_area_finals!N16/[2]Urban_area_finals!$G16</f>
        <v>8.2801863631723959E-4</v>
      </c>
      <c r="O86" s="1">
        <f>[2]Urban_area_finals!O16/[2]Urban_area_finals!$G16</f>
        <v>1.1561014922165231E-3</v>
      </c>
      <c r="P86" s="1">
        <f>[2]Urban_area_finals!P16/[2]Urban_area_finals!$G16</f>
        <v>1.3279544167351955E-3</v>
      </c>
      <c r="Q86" s="1">
        <f>[2]Urban_area_finals!Q16/[2]Urban_area_finals!$G16</f>
        <v>1.6560372726344792E-3</v>
      </c>
      <c r="R86" s="1">
        <f>[2]Urban_area_finals!R16/[2]Urban_area_finals!$G16</f>
        <v>2.1559730530524351E-3</v>
      </c>
      <c r="S86" s="1">
        <f>[2]Urban_area_finals!S16/[2]Urban_area_finals!$G16</f>
        <v>2.4840559089517183E-3</v>
      </c>
      <c r="T86" s="1">
        <f>[2]Urban_area_finals!T16/[2]Urban_area_finals!$G16</f>
        <v>3.2652055658547747E-3</v>
      </c>
      <c r="U86" s="1">
        <f>[2]Urban_area_finals!U16/[2]Urban_area_finals!$G16</f>
        <v>5.1243417492840481E-3</v>
      </c>
      <c r="V86" s="1">
        <f>[2]Urban_area_finals!V16/[2]Urban_area_finals!$G16</f>
        <v>6.4991651454334269E-3</v>
      </c>
      <c r="W86" s="1">
        <f>[2]Urban_area_finals!W16/[2]Urban_area_finals!$G16</f>
        <v>7.0928388846797502E-3</v>
      </c>
      <c r="X86" s="1">
        <f>[2]Urban_area_finals!X16/[2]Urban_area_finals!$G16</f>
        <v>7.139707864093933E-3</v>
      </c>
      <c r="Y86" s="1">
        <f>[2]Urban_area_finals!Y16/[2]Urban_area_finals!$G16</f>
        <v>8.1708254112059682E-3</v>
      </c>
      <c r="Z86" s="1">
        <f>[2]Urban_area_finals!Z16/[2]Urban_area_finals!$G16</f>
        <v>9.2956809171463664E-3</v>
      </c>
      <c r="AA86" s="1">
        <f>[2]Urban_area_finals!AA16/[2]Urban_area_finals!$G16</f>
        <v>9.5456488073553461E-3</v>
      </c>
      <c r="AB86" s="1">
        <f>[2]Urban_area_finals!AB16/[2]Urban_area_finals!$G16</f>
        <v>9.7175017318740179E-3</v>
      </c>
      <c r="AC86" s="1">
        <f>[2]Urban_area_finals!AC16/[2]Urban_area_finals!$G16</f>
        <v>9.8893546563926914E-3</v>
      </c>
      <c r="AD86" s="1">
        <f>[2]Urban_area_finals!AD16/[2]Urban_area_finals!$G16</f>
        <v>1.0358044450534525E-2</v>
      </c>
      <c r="AE86" s="1">
        <f>[2]Urban_area_finals!AE16/[2]Urban_area_finals!$G16</f>
        <v>1.070175029957187E-2</v>
      </c>
      <c r="AF86" s="1">
        <f>[2]Urban_area_finals!AF16/[2]Urban_area_finals!$G16</f>
        <v>1.1311047031956253E-2</v>
      </c>
      <c r="AG86" s="1">
        <f>[2]Urban_area_finals!AG16/[2]Urban_area_finals!$G16</f>
        <v>1.1810982812374211E-2</v>
      </c>
      <c r="AH86" s="1">
        <f>[2]Urban_area_finals!AH16/[2]Urban_area_finals!$G16</f>
        <v>1.2139065668273493E-2</v>
      </c>
      <c r="AI86" s="1">
        <f>[2]Urban_area_finals!AI16/[2]Urban_area_finals!$G16</f>
        <v>1.2451525531034714E-2</v>
      </c>
      <c r="AJ86" s="1">
        <f>[2]Urban_area_finals!AJ16/[2]Urban_area_finals!$G16</f>
        <v>1.2670247434967571E-2</v>
      </c>
      <c r="AK86" s="1">
        <f>[2]Urban_area_finals!AK16/[2]Urban_area_finals!$G16</f>
        <v>1.3201429201661648E-2</v>
      </c>
      <c r="AL86" s="1">
        <f>[2]Urban_area_finals!AL16/[2]Urban_area_finals!$G16</f>
        <v>1.4263792735049805E-2</v>
      </c>
      <c r="AM86" s="1">
        <f>[2]Urban_area_finals!AM16/[2]Urban_area_finals!$G16</f>
        <v>1.527928728902378E-2</v>
      </c>
      <c r="AN86" s="1">
        <f>[2]Urban_area_finals!AN16/[2]Urban_area_finals!$G16</f>
        <v>1.5951075993960409E-2</v>
      </c>
      <c r="AO86" s="1">
        <f>[2]Urban_area_finals!AO16/[2]Urban_area_finals!$G16</f>
        <v>1.6747848644001525E-2</v>
      </c>
      <c r="AP86" s="1">
        <f>[2]Urban_area_finals!AP16/[2]Urban_area_finals!$G16</f>
        <v>1.7357145376385906E-2</v>
      </c>
      <c r="AQ86" s="1">
        <f>[2]Urban_area_finals!AQ16/[2]Urban_area_finals!$G16</f>
        <v>1.8919444690192019E-2</v>
      </c>
      <c r="AR86" s="1">
        <f>[2]Urban_area_finals!AR16/[2]Urban_area_finals!$G16</f>
        <v>2.1434746585419863E-2</v>
      </c>
      <c r="AS86" s="1">
        <f>[2]Urban_area_finals!AS16/[2]Urban_area_finals!$G16</f>
        <v>2.3340751748263319E-2</v>
      </c>
      <c r="AT86" s="1">
        <f>[2]Urban_area_finals!AT16/[2]Urban_area_finals!$G16</f>
        <v>2.3840687528681275E-2</v>
      </c>
      <c r="AU86" s="1">
        <f>[2]Urban_area_finals!AU16/[2]Urban_area_finals!$G16</f>
        <v>2.4290629731057434E-2</v>
      </c>
      <c r="AV86" s="1">
        <f>[2]Urban_area_finals!AV16/[2]Urban_area_finals!$G16</f>
        <v>2.4965543034621677E-2</v>
      </c>
      <c r="AW86" s="1">
        <f>[2]Urban_area_finals!AW16/[2]Urban_area_finals!$G16</f>
        <v>2.6074775547424014E-2</v>
      </c>
      <c r="AX86" s="1">
        <f>[2]Urban_area_finals!AX16/[2]Urban_area_finals!$G16</f>
        <v>2.7402729964159211E-2</v>
      </c>
      <c r="AY86" s="1">
        <f>[2]Urban_area_finals!AY16/[2]Urban_area_finals!$G16</f>
        <v>2.8730684380894406E-2</v>
      </c>
    </row>
    <row r="87" spans="1:51" x14ac:dyDescent="0.25">
      <c r="A87" t="s">
        <v>550</v>
      </c>
      <c r="B87" t="s">
        <v>551</v>
      </c>
      <c r="C87" t="s">
        <v>552</v>
      </c>
      <c r="D87" t="s">
        <v>308</v>
      </c>
      <c r="E87" t="s">
        <v>71</v>
      </c>
      <c r="F87" t="s">
        <v>82</v>
      </c>
      <c r="G87">
        <v>447555.71504959039</v>
      </c>
      <c r="H87">
        <v>8045.3327077958611</v>
      </c>
      <c r="I87">
        <f>Table2[[#This Row],[FUA_area]]+Table2[[#This Row],[FUA_urban]]</f>
        <v>455601.04775738623</v>
      </c>
      <c r="J87">
        <v>33243472</v>
      </c>
      <c r="K87" s="1">
        <f>[2]Urban_area_finals!K44/[2]Urban_area_finals!$G44</f>
        <v>2.3305087818715779E-4</v>
      </c>
      <c r="L87" s="1">
        <f>[2]Urban_area_finals!L44/[2]Urban_area_finals!$G44</f>
        <v>2.542373216587176E-4</v>
      </c>
      <c r="M87" s="1">
        <f>[2]Urban_area_finals!M44/[2]Urban_area_finals!$G44</f>
        <v>2.754237651302774E-4</v>
      </c>
      <c r="N87" s="1">
        <f>[2]Urban_area_finals!N44/[2]Urban_area_finals!$G44</f>
        <v>3.0720343033761708E-4</v>
      </c>
      <c r="O87" s="1">
        <f>[2]Urban_area_finals!O44/[2]Urban_area_finals!$G44</f>
        <v>3.7076276075229651E-4</v>
      </c>
      <c r="P87" s="1">
        <f>[2]Urban_area_finals!P44/[2]Urban_area_finals!$G44</f>
        <v>4.1313564769541609E-4</v>
      </c>
      <c r="Q87" s="1">
        <f>[2]Urban_area_finals!Q44/[2]Urban_area_finals!$G44</f>
        <v>4.4491531290275573E-4</v>
      </c>
      <c r="R87" s="1">
        <f>[2]Urban_area_finals!R44/[2]Urban_area_finals!$G44</f>
        <v>6.6737296935413359E-4</v>
      </c>
      <c r="S87" s="1">
        <f>[2]Urban_area_finals!S44/[2]Urban_area_finals!$G44</f>
        <v>7.838984084477125E-4</v>
      </c>
      <c r="T87" s="1">
        <f>[2]Urban_area_finals!T44/[2]Urban_area_finals!$G44</f>
        <v>1.0911018387853295E-3</v>
      </c>
      <c r="U87" s="1">
        <f>[2]Urban_area_finals!U44/[2]Urban_area_finals!$G44</f>
        <v>1.6843222559890039E-3</v>
      </c>
      <c r="V87" s="1">
        <f>[2]Urban_area_finals!V44/[2]Urban_area_finals!$G44</f>
        <v>2.7330512078312138E-3</v>
      </c>
      <c r="W87" s="1">
        <f>[2]Urban_area_finals!W44/[2]Urban_area_finals!$G44</f>
        <v>4.3432209116697588E-3</v>
      </c>
      <c r="X87" s="1">
        <f>[2]Urban_area_finals!X44/[2]Urban_area_finals!$G44</f>
        <v>5.0000006592881121E-3</v>
      </c>
      <c r="Y87" s="1">
        <f>[2]Urban_area_finals!Y44/[2]Urban_area_finals!$G44</f>
        <v>5.6250007416991264E-3</v>
      </c>
      <c r="Z87" s="1">
        <f>[2]Urban_area_finals!Z44/[2]Urban_area_finals!$G44</f>
        <v>6.2288143806385815E-3</v>
      </c>
      <c r="AA87" s="1">
        <f>[2]Urban_area_finals!AA44/[2]Urban_area_finals!$G44</f>
        <v>6.8961873499927143E-3</v>
      </c>
      <c r="AB87" s="1">
        <f>[2]Urban_area_finals!AB44/[2]Urban_area_finals!$G44</f>
        <v>7.7754247540624457E-3</v>
      </c>
      <c r="AC87" s="1">
        <f>[2]Urban_area_finals!AC44/[2]Urban_area_finals!$G44</f>
        <v>8.0826281844000644E-3</v>
      </c>
      <c r="AD87" s="1">
        <f>[2]Urban_area_finals!AD44/[2]Urban_area_finals!$G44</f>
        <v>8.4110180582092405E-3</v>
      </c>
      <c r="AE87" s="1">
        <f>[2]Urban_area_finals!AE44/[2]Urban_area_finals!$G44</f>
        <v>8.580509605981718E-3</v>
      </c>
      <c r="AF87" s="1">
        <f>[2]Urban_area_finals!AF44/[2]Urban_area_finals!$G44</f>
        <v>8.9512723667340144E-3</v>
      </c>
      <c r="AG87" s="1">
        <f>[2]Urban_area_finals!AG44/[2]Urban_area_finals!$G44</f>
        <v>9.0889842492991538E-3</v>
      </c>
      <c r="AH87" s="1">
        <f>[2]Urban_area_finals!AH44/[2]Urban_area_finals!$G44</f>
        <v>9.4067809013725513E-3</v>
      </c>
      <c r="AI87" s="1">
        <f>[2]Urban_area_finals!AI44/[2]Urban_area_finals!$G44</f>
        <v>9.618645336088149E-3</v>
      </c>
      <c r="AJ87" s="1">
        <f>[2]Urban_area_finals!AJ44/[2]Urban_area_finals!$G44</f>
        <v>9.9576284316331056E-3</v>
      </c>
      <c r="AK87" s="1">
        <f>[2]Urban_area_finals!AK44/[2]Urban_area_finals!$G44</f>
        <v>1.0158899644612923E-2</v>
      </c>
      <c r="AL87" s="1">
        <f>[2]Urban_area_finals!AL44/[2]Urban_area_finals!$G44</f>
        <v>1.0794492948759718E-2</v>
      </c>
      <c r="AM87" s="1">
        <f>[2]Urban_area_finals!AM44/[2]Urban_area_finals!$G44</f>
        <v>1.1578391357207431E-2</v>
      </c>
      <c r="AN87" s="1">
        <f>[2]Urban_area_finals!AN44/[2]Urban_area_finals!$G44</f>
        <v>1.2319916878712023E-2</v>
      </c>
      <c r="AO87" s="1">
        <f>[2]Urban_area_finals!AO44/[2]Urban_area_finals!$G44</f>
        <v>1.2976696626330378E-2</v>
      </c>
      <c r="AP87" s="1">
        <f>[2]Urban_area_finals!AP44/[2]Urban_area_finals!$G44</f>
        <v>1.4279662899831305E-2</v>
      </c>
      <c r="AQ87" s="1">
        <f>[2]Urban_area_finals!AQ44/[2]Urban_area_finals!$G44</f>
        <v>1.6525425907816641E-2</v>
      </c>
      <c r="AR87" s="1">
        <f>[2]Urban_area_finals!AR44/[2]Urban_area_finals!$G44</f>
        <v>1.8082629502976288E-2</v>
      </c>
      <c r="AS87" s="1">
        <f>[2]Urban_area_finals!AS44/[2]Urban_area_finals!$G44</f>
        <v>2.0211867071868048E-2</v>
      </c>
      <c r="AT87" s="1">
        <f>[2]Urban_area_finals!AT44/[2]Urban_area_finals!$G44</f>
        <v>2.0455511171790983E-2</v>
      </c>
      <c r="AU87" s="1">
        <f>[2]Urban_area_finals!AU44/[2]Urban_area_finals!$G44</f>
        <v>2.1099579053326403E-2</v>
      </c>
      <c r="AV87" s="1">
        <f>[2]Urban_area_finals!AV44/[2]Urban_area_finals!$G44</f>
        <v>2.2065680875629531E-2</v>
      </c>
      <c r="AW87" s="1">
        <f>[2]Urban_area_finals!AW44/[2]Urban_area_finals!$G44</f>
        <v>2.3675850579468076E-2</v>
      </c>
      <c r="AX87" s="1">
        <f>[2]Urban_area_finals!AX44/[2]Urban_area_finals!$G44</f>
        <v>2.5762715261416713E-2</v>
      </c>
      <c r="AY87" s="1">
        <f>[2]Urban_area_finals!AY44/[2]Urban_area_finals!$G44</f>
        <v>2.8336868143211229E-2</v>
      </c>
    </row>
    <row r="88" spans="1:51" x14ac:dyDescent="0.25">
      <c r="A88" t="s">
        <v>424</v>
      </c>
      <c r="B88" t="s">
        <v>425</v>
      </c>
      <c r="C88" t="s">
        <v>426</v>
      </c>
      <c r="D88" t="s">
        <v>54</v>
      </c>
      <c r="E88" t="s">
        <v>55</v>
      </c>
      <c r="F88" t="s">
        <v>56</v>
      </c>
      <c r="G88">
        <v>792381.40819760051</v>
      </c>
      <c r="H88">
        <v>26356.47268642754</v>
      </c>
      <c r="I88">
        <f>Table2[[#This Row],[FUA_area]]+Table2[[#This Row],[FUA_urban]]</f>
        <v>818737.88088402804</v>
      </c>
      <c r="J88">
        <v>225112859</v>
      </c>
      <c r="K88" s="1">
        <f>[2]Urban_area_finals!K23/[2]Urban_area_finals!$G23</f>
        <v>5.0992101321836335E-4</v>
      </c>
      <c r="L88" s="1">
        <f>[2]Urban_area_finals!L23/[2]Urban_area_finals!$G23</f>
        <v>5.0992101321836335E-4</v>
      </c>
      <c r="M88" s="1">
        <f>[2]Urban_area_finals!M23/[2]Urban_area_finals!$G23</f>
        <v>5.0992101321836335E-4</v>
      </c>
      <c r="N88" s="1">
        <f>[2]Urban_area_finals!N23/[2]Urban_area_finals!$G23</f>
        <v>5.0992101321836335E-4</v>
      </c>
      <c r="O88" s="1">
        <f>[2]Urban_area_finals!O23/[2]Urban_area_finals!$G23</f>
        <v>5.0992101321836335E-4</v>
      </c>
      <c r="P88" s="1">
        <f>[2]Urban_area_finals!P23/[2]Urban_area_finals!$G23</f>
        <v>5.0992101321836335E-4</v>
      </c>
      <c r="Q88" s="1">
        <f>[2]Urban_area_finals!Q23/[2]Urban_area_finals!$G23</f>
        <v>5.8276687224955803E-4</v>
      </c>
      <c r="R88" s="1">
        <f>[2]Urban_area_finals!R23/[2]Urban_area_finals!$G23</f>
        <v>6.5561273128075283E-4</v>
      </c>
      <c r="S88" s="1">
        <f>[2]Urban_area_finals!S23/[2]Urban_area_finals!$G23</f>
        <v>7.2845859031194762E-4</v>
      </c>
      <c r="T88" s="1">
        <f>[2]Urban_area_finals!T23/[2]Urban_area_finals!$G23</f>
        <v>1.4569171806238952E-3</v>
      </c>
      <c r="U88" s="1">
        <f>[2]Urban_area_finals!U23/[2]Urban_area_finals!$G23</f>
        <v>2.4767592070606219E-3</v>
      </c>
      <c r="V88" s="1">
        <f>[2]Urban_area_finals!V23/[2]Urban_area_finals!$G23</f>
        <v>2.7681426431854007E-3</v>
      </c>
      <c r="W88" s="1">
        <f>[2]Urban_area_finals!W23/[2]Urban_area_finals!$G23</f>
        <v>3.2052177973725692E-3</v>
      </c>
      <c r="X88" s="1">
        <f>[2]Urban_area_finals!X23/[2]Urban_area_finals!$G23</f>
        <v>3.350909515434959E-3</v>
      </c>
      <c r="Y88" s="1">
        <f>[2]Urban_area_finals!Y23/[2]Urban_area_finals!$G23</f>
        <v>6.1190521586203589E-3</v>
      </c>
      <c r="Z88" s="1">
        <f>[2]Urban_area_finals!Z23/[2]Urban_area_finals!$G23</f>
        <v>1.0489803700492045E-2</v>
      </c>
      <c r="AA88" s="1">
        <f>[2]Urban_area_finals!AA23/[2]Urban_area_finals!$G23</f>
        <v>1.2675179471427888E-2</v>
      </c>
      <c r="AB88" s="1">
        <f>[2]Urban_area_finals!AB23/[2]Urban_area_finals!$G23</f>
        <v>1.3840713215927003E-2</v>
      </c>
      <c r="AC88" s="1">
        <f>[2]Urban_area_finals!AC23/[2]Urban_area_finals!$G23</f>
        <v>1.4350634229145369E-2</v>
      </c>
      <c r="AD88" s="1">
        <f>[2]Urban_area_finals!AD23/[2]Urban_area_finals!$G23</f>
        <v>1.4423480088176562E-2</v>
      </c>
      <c r="AE88" s="1">
        <f>[2]Urban_area_finals!AE23/[2]Urban_area_finals!$G23</f>
        <v>1.471486352430134E-2</v>
      </c>
      <c r="AF88" s="1">
        <f>[2]Urban_area_finals!AF23/[2]Urban_area_finals!$G23</f>
        <v>1.471486352430134E-2</v>
      </c>
      <c r="AG88" s="1">
        <f>[2]Urban_area_finals!AG23/[2]Urban_area_finals!$G23</f>
        <v>1.4933401101394924E-2</v>
      </c>
      <c r="AH88" s="1">
        <f>[2]Urban_area_finals!AH23/[2]Urban_area_finals!$G23</f>
        <v>1.4933401101394924E-2</v>
      </c>
      <c r="AI88" s="1">
        <f>[2]Urban_area_finals!AI23/[2]Urban_area_finals!$G23</f>
        <v>1.4933401101394924E-2</v>
      </c>
      <c r="AJ88" s="1">
        <f>[2]Urban_area_finals!AJ23/[2]Urban_area_finals!$G23</f>
        <v>1.500624696042612E-2</v>
      </c>
      <c r="AK88" s="1">
        <f>[2]Urban_area_finals!AK23/[2]Urban_area_finals!$G23</f>
        <v>1.500624696042612E-2</v>
      </c>
      <c r="AL88" s="1">
        <f>[2]Urban_area_finals!AL23/[2]Urban_area_finals!$G23</f>
        <v>1.500624696042612E-2</v>
      </c>
      <c r="AM88" s="1">
        <f>[2]Urban_area_finals!AM23/[2]Urban_area_finals!$G23</f>
        <v>1.500624696042612E-2</v>
      </c>
      <c r="AN88" s="1">
        <f>[2]Urban_area_finals!AN23/[2]Urban_area_finals!$G23</f>
        <v>1.5079092819457315E-2</v>
      </c>
      <c r="AO88" s="1">
        <f>[2]Urban_area_finals!AO23/[2]Urban_area_finals!$G23</f>
        <v>1.5589013832675679E-2</v>
      </c>
      <c r="AP88" s="1">
        <f>[2]Urban_area_finals!AP23/[2]Urban_area_finals!$G23</f>
        <v>1.5589013832675679E-2</v>
      </c>
      <c r="AQ88" s="1">
        <f>[2]Urban_area_finals!AQ23/[2]Urban_area_finals!$G23</f>
        <v>1.6026088986862846E-2</v>
      </c>
      <c r="AR88" s="1">
        <f>[2]Urban_area_finals!AR23/[2]Urban_area_finals!$G23</f>
        <v>1.6608855859112405E-2</v>
      </c>
      <c r="AS88" s="1">
        <f>[2]Urban_area_finals!AS23/[2]Urban_area_finals!$G23</f>
        <v>1.7410160308455547E-2</v>
      </c>
      <c r="AT88" s="1">
        <f>[2]Urban_area_finals!AT23/[2]Urban_area_finals!$G23</f>
        <v>1.901276920714183E-2</v>
      </c>
      <c r="AU88" s="1">
        <f>[2]Urban_area_finals!AU23/[2]Urban_area_finals!$G23</f>
        <v>1.9945196202741124E-2</v>
      </c>
      <c r="AV88" s="1">
        <f>[2]Urban_area_finals!AV23/[2]Urban_area_finals!$G23</f>
        <v>2.1343836696140067E-2</v>
      </c>
      <c r="AW88" s="1">
        <f>[2]Urban_area_finals!AW23/[2]Urban_area_finals!$G23</f>
        <v>2.3310674889982324E-2</v>
      </c>
      <c r="AX88" s="1">
        <f>[2]Urban_area_finals!AX23/[2]Urban_area_finals!$G23</f>
        <v>2.4986129647699799E-2</v>
      </c>
      <c r="AY88" s="1">
        <f>[2]Urban_area_finals!AY23/[2]Urban_area_finals!$G23</f>
        <v>2.6297355110261305E-2</v>
      </c>
    </row>
    <row r="89" spans="1:51" x14ac:dyDescent="0.25">
      <c r="A89" t="s">
        <v>226</v>
      </c>
      <c r="B89" t="s">
        <v>227</v>
      </c>
      <c r="C89" t="s">
        <v>228</v>
      </c>
      <c r="D89" t="s">
        <v>91</v>
      </c>
      <c r="E89" t="s">
        <v>66</v>
      </c>
      <c r="F89" t="s">
        <v>66</v>
      </c>
      <c r="G89">
        <v>1266060.0913518129</v>
      </c>
      <c r="H89">
        <v>76796.60859131701</v>
      </c>
      <c r="I89">
        <f>Table2[[#This Row],[FUA_area]]+Table2[[#This Row],[FUA_urban]]</f>
        <v>1342856.6999431299</v>
      </c>
      <c r="J89">
        <v>64916336</v>
      </c>
      <c r="K89" s="1">
        <f>[2]Urban_area_finals!K112/[2]Urban_area_finals!$G112</f>
        <v>3.0451971919822208E-3</v>
      </c>
      <c r="L89" s="1">
        <f>[2]Urban_area_finals!L112/[2]Urban_area_finals!$G112</f>
        <v>3.0451971919822208E-3</v>
      </c>
      <c r="M89" s="1">
        <f>[2]Urban_area_finals!M112/[2]Urban_area_finals!$G112</f>
        <v>3.0451971919822208E-3</v>
      </c>
      <c r="N89" s="1">
        <f>[2]Urban_area_finals!N112/[2]Urban_area_finals!$G112</f>
        <v>3.0694295303799572E-3</v>
      </c>
      <c r="O89" s="1">
        <f>[2]Urban_area_finals!O112/[2]Urban_area_finals!$G112</f>
        <v>3.4288758832797159E-3</v>
      </c>
      <c r="P89" s="1">
        <f>[2]Urban_area_finals!P112/[2]Urban_area_finals!$G112</f>
        <v>3.8165932976434998E-3</v>
      </c>
      <c r="Q89" s="1">
        <f>[2]Urban_area_finals!Q112/[2]Urban_area_finals!$G112</f>
        <v>4.1154588045489169E-3</v>
      </c>
      <c r="R89" s="1">
        <f>[2]Urban_area_finals!R112/[2]Urban_area_finals!$G112</f>
        <v>4.4385566498520703E-3</v>
      </c>
      <c r="S89" s="1">
        <f>[2]Urban_area_finals!S112/[2]Urban_area_finals!$G112</f>
        <v>4.8666612948787486E-3</v>
      </c>
      <c r="T89" s="1">
        <f>[2]Urban_area_finals!T112/[2]Urban_area_finals!$G112</f>
        <v>5.33919189363461E-3</v>
      </c>
      <c r="U89" s="1">
        <f>[2]Urban_area_finals!U112/[2]Urban_area_finals!$G112</f>
        <v>8.000710394319337E-3</v>
      </c>
      <c r="V89" s="1">
        <f>[2]Urban_area_finals!V112/[2]Urban_area_finals!$G112</f>
        <v>9.3496438984600021E-3</v>
      </c>
      <c r="W89" s="1">
        <f>[2]Urban_area_finals!W112/[2]Urban_area_finals!$G112</f>
        <v>1.0117001281054991E-2</v>
      </c>
      <c r="X89" s="1">
        <f>[2]Urban_area_finals!X112/[2]Urban_area_finals!$G112</f>
        <v>1.1053985032434136E-2</v>
      </c>
      <c r="Y89" s="1">
        <f>[2]Urban_area_finals!Y112/[2]Urban_area_finals!$G112</f>
        <v>1.1708258169173024E-2</v>
      </c>
      <c r="Z89" s="1">
        <f>[2]Urban_area_finals!Z112/[2]Urban_area_finals!$G112</f>
        <v>1.2415034705773671E-2</v>
      </c>
      <c r="AA89" s="1">
        <f>[2]Urban_area_finals!AA112/[2]Urban_area_finals!$G112</f>
        <v>1.2689667874281352E-2</v>
      </c>
      <c r="AB89" s="1">
        <f>[2]Urban_area_finals!AB112/[2]Urban_area_finals!$G112</f>
        <v>1.2859294243065507E-2</v>
      </c>
      <c r="AC89" s="1">
        <f>[2]Urban_area_finals!AC112/[2]Urban_area_finals!$G112</f>
        <v>1.2952184873590162E-2</v>
      </c>
      <c r="AD89" s="1">
        <f>[2]Urban_area_finals!AD112/[2]Urban_area_finals!$G112</f>
        <v>1.3053152950247398E-2</v>
      </c>
      <c r="AE89" s="1">
        <f>[2]Urban_area_finals!AE112/[2]Urban_area_finals!$G112</f>
        <v>1.3085462734777713E-2</v>
      </c>
      <c r="AF89" s="1">
        <f>[2]Urban_area_finals!AF112/[2]Urban_area_finals!$G112</f>
        <v>1.3089501457844E-2</v>
      </c>
      <c r="AG89" s="1">
        <f>[2]Urban_area_finals!AG112/[2]Urban_area_finals!$G112</f>
        <v>1.3089501457844E-2</v>
      </c>
      <c r="AH89" s="1">
        <f>[2]Urban_area_finals!AH112/[2]Urban_area_finals!$G112</f>
        <v>1.3105656350109161E-2</v>
      </c>
      <c r="AI89" s="1">
        <f>[2]Urban_area_finals!AI112/[2]Urban_area_finals!$G112</f>
        <v>1.3117772519308029E-2</v>
      </c>
      <c r="AJ89" s="1">
        <f>[2]Urban_area_finals!AJ112/[2]Urban_area_finals!$G112</f>
        <v>1.3190469534501238E-2</v>
      </c>
      <c r="AK89" s="1">
        <f>[2]Urban_area_finals!AK112/[2]Urban_area_finals!$G112</f>
        <v>1.3331824841821367E-2</v>
      </c>
      <c r="AL89" s="1">
        <f>[2]Urban_area_finals!AL112/[2]Urban_area_finals!$G112</f>
        <v>1.3505489933671812E-2</v>
      </c>
      <c r="AM89" s="1">
        <f>[2]Urban_area_finals!AM112/[2]Urban_area_finals!$G112</f>
        <v>1.3695309917787417E-2</v>
      </c>
      <c r="AN89" s="1">
        <f>[2]Urban_area_finals!AN112/[2]Urban_area_finals!$G112</f>
        <v>1.4010330316957989E-2</v>
      </c>
      <c r="AO89" s="1">
        <f>[2]Urban_area_finals!AO112/[2]Urban_area_finals!$G112</f>
        <v>1.4604022607702534E-2</v>
      </c>
      <c r="AP89" s="1">
        <f>[2]Urban_area_finals!AP112/[2]Urban_area_finals!$G112</f>
        <v>1.5403689774827841E-2</v>
      </c>
      <c r="AQ89" s="1">
        <f>[2]Urban_area_finals!AQ112/[2]Urban_area_finals!$G112</f>
        <v>1.7503825769298337E-2</v>
      </c>
      <c r="AR89" s="1">
        <f>[2]Urban_area_finals!AR112/[2]Urban_area_finals!$G112</f>
        <v>1.9268747749266815E-2</v>
      </c>
      <c r="AS89" s="1">
        <f>[2]Urban_area_finals!AS112/[2]Urban_area_finals!$G112</f>
        <v>1.9826091532414752E-2</v>
      </c>
      <c r="AT89" s="1">
        <f>[2]Urban_area_finals!AT112/[2]Urban_area_finals!$G112</f>
        <v>1.9397986887388075E-2</v>
      </c>
      <c r="AU89" s="1">
        <f>[2]Urban_area_finals!AU112/[2]Urban_area_finals!$G112</f>
        <v>1.9940791267497371E-2</v>
      </c>
      <c r="AV89" s="1">
        <f>[2]Urban_area_finals!AV112/[2]Urban_area_finals!$G112</f>
        <v>2.075499783766132E-2</v>
      </c>
      <c r="AW89" s="1">
        <f>[2]Urban_area_finals!AW112/[2]Urban_area_finals!$G112</f>
        <v>2.2269518987519849E-2</v>
      </c>
      <c r="AX89" s="1">
        <f>[2]Urban_area_finals!AX112/[2]Urban_area_finals!$G112</f>
        <v>2.4062712028952347E-2</v>
      </c>
      <c r="AY89" s="1">
        <f>[2]Urban_area_finals!AY112/[2]Urban_area_finals!$G112</f>
        <v>2.6134576961958821E-2</v>
      </c>
    </row>
    <row r="90" spans="1:51" x14ac:dyDescent="0.25">
      <c r="A90" t="s">
        <v>511</v>
      </c>
      <c r="B90" t="s">
        <v>512</v>
      </c>
      <c r="C90" t="s">
        <v>513</v>
      </c>
      <c r="D90" t="s">
        <v>105</v>
      </c>
      <c r="E90" t="s">
        <v>61</v>
      </c>
      <c r="F90" t="s">
        <v>61</v>
      </c>
      <c r="G90">
        <v>1269963.0034426691</v>
      </c>
      <c r="H90">
        <v>577.4121414586084</v>
      </c>
      <c r="I90">
        <f>Table2[[#This Row],[FUA_area]]+Table2[[#This Row],[FUA_urban]]</f>
        <v>1270540.4155841277</v>
      </c>
      <c r="J90">
        <v>16379190</v>
      </c>
      <c r="K90" s="1">
        <f>[2]Urban_area_finals!K114/[2]Urban_area_finals!$G114</f>
        <v>6.5451083374085735E-4</v>
      </c>
      <c r="L90" s="1">
        <f>[2]Urban_area_finals!L114/[2]Urban_area_finals!$G114</f>
        <v>8.141476224581397E-4</v>
      </c>
      <c r="M90" s="1">
        <f>[2]Urban_area_finals!M114/[2]Urban_area_finals!$G114</f>
        <v>1.1493848787644326E-3</v>
      </c>
      <c r="N90" s="1">
        <f>[2]Urban_area_finals!N114/[2]Urban_area_finals!$G114</f>
        <v>1.53251317168591E-3</v>
      </c>
      <c r="O90" s="1">
        <f>[2]Urban_area_finals!O114/[2]Urban_area_finals!$G114</f>
        <v>1.9635325012225722E-3</v>
      </c>
      <c r="P90" s="1">
        <f>[2]Urban_area_finals!P114/[2]Urban_area_finals!$G114</f>
        <v>2.4264791885026909E-3</v>
      </c>
      <c r="Q90" s="1">
        <f>[2]Urban_area_finals!Q114/[2]Urban_area_finals!$G114</f>
        <v>2.9053895546545371E-3</v>
      </c>
      <c r="R90" s="1">
        <f>[2]Urban_area_finals!R114/[2]Urban_area_finals!$G114</f>
        <v>3.3842999208063846E-3</v>
      </c>
      <c r="S90" s="1">
        <f>[2]Urban_area_finals!S114/[2]Urban_area_finals!$G114</f>
        <v>3.8951376447016873E-3</v>
      </c>
      <c r="T90" s="1">
        <f>[2]Urban_area_finals!T114/[2]Urban_area_finals!$G114</f>
        <v>5.0445225234661203E-3</v>
      </c>
      <c r="U90" s="1">
        <f>[2]Urban_area_finals!U114/[2]Urban_area_finals!$G114</f>
        <v>6.4173989064347488E-3</v>
      </c>
      <c r="V90" s="1">
        <f>[2]Urban_area_finals!V114/[2]Urban_area_finals!$G114</f>
        <v>7.3911833176101708E-3</v>
      </c>
      <c r="W90" s="1">
        <f>[2]Urban_area_finals!W114/[2]Urban_area_finals!$G114</f>
        <v>7.9978031147358436E-3</v>
      </c>
      <c r="X90" s="1">
        <f>[2]Urban_area_finals!X114/[2]Urban_area_finals!$G114</f>
        <v>8.8279144160657106E-3</v>
      </c>
      <c r="Y90" s="1">
        <f>[2]Urban_area_finals!Y114/[2]Urban_area_finals!$G114</f>
        <v>1.1461921429900868E-2</v>
      </c>
      <c r="Z90" s="1">
        <f>[2]Urban_area_finals!Z114/[2]Urban_area_finals!$G114</f>
        <v>1.2978470922715051E-2</v>
      </c>
      <c r="AA90" s="1">
        <f>[2]Urban_area_finals!AA114/[2]Urban_area_finals!$G114</f>
        <v>1.3489308646610352E-2</v>
      </c>
      <c r="AB90" s="1">
        <f>[2]Urban_area_finals!AB114/[2]Urban_area_finals!$G114</f>
        <v>1.3920327976147015E-2</v>
      </c>
      <c r="AC90" s="1">
        <f>[2]Urban_area_finals!AC114/[2]Urban_area_finals!$G114</f>
        <v>1.4127855801479483E-2</v>
      </c>
      <c r="AD90" s="1">
        <f>[2]Urban_area_finals!AD114/[2]Urban_area_finals!$G114</f>
        <v>1.451098409440096E-2</v>
      </c>
      <c r="AE90" s="1">
        <f>[2]Urban_area_finals!AE114/[2]Urban_area_finals!$G114</f>
        <v>1.4718511919733427E-2</v>
      </c>
      <c r="AF90" s="1">
        <f>[2]Urban_area_finals!AF114/[2]Urban_area_finals!$G114</f>
        <v>1.5149531249270091E-2</v>
      </c>
      <c r="AG90" s="1">
        <f>[2]Urban_area_finals!AG114/[2]Urban_area_finals!$G114</f>
        <v>1.551669586331984E-2</v>
      </c>
      <c r="AH90" s="1">
        <f>[2]Urban_area_finals!AH114/[2]Urban_area_finals!$G114</f>
        <v>1.5580550578806749E-2</v>
      </c>
      <c r="AI90" s="1">
        <f>[2]Urban_area_finals!AI114/[2]Urban_area_finals!$G114</f>
        <v>1.5628441615421935E-2</v>
      </c>
      <c r="AJ90" s="1">
        <f>[2]Urban_area_finals!AJ114/[2]Urban_area_finals!$G114</f>
        <v>1.5867896798497858E-2</v>
      </c>
      <c r="AK90" s="1">
        <f>[2]Urban_area_finals!AK114/[2]Urban_area_finals!$G114</f>
        <v>1.6187170375932425E-2</v>
      </c>
      <c r="AL90" s="1">
        <f>[2]Urban_area_finals!AL114/[2]Urban_area_finals!$G114</f>
        <v>1.6298916128034524E-2</v>
      </c>
      <c r="AM90" s="1">
        <f>[2]Urban_area_finals!AM114/[2]Urban_area_finals!$G114</f>
        <v>1.6666080742084269E-2</v>
      </c>
      <c r="AN90" s="1">
        <f>[2]Urban_area_finals!AN114/[2]Urban_area_finals!$G114</f>
        <v>1.6921499604031921E-2</v>
      </c>
      <c r="AO90" s="1">
        <f>[2]Urban_area_finals!AO114/[2]Urban_area_finals!$G114</f>
        <v>1.7192882144851301E-2</v>
      </c>
      <c r="AP90" s="1">
        <f>[2]Urban_area_finals!AP114/[2]Urban_area_finals!$G114</f>
        <v>1.7560046758901052E-2</v>
      </c>
      <c r="AQ90" s="1">
        <f>[2]Urban_area_finals!AQ114/[2]Urban_area_finals!$G114</f>
        <v>1.8677504279922028E-2</v>
      </c>
      <c r="AR90" s="1">
        <f>[2]Urban_area_finals!AR114/[2]Urban_area_finals!$G114</f>
        <v>1.9332015113662886E-2</v>
      </c>
      <c r="AS90" s="1">
        <f>[2]Urban_area_finals!AS114/[2]Urban_area_finals!$G114</f>
        <v>2.056121838678596E-2</v>
      </c>
      <c r="AT90" s="1">
        <f>[2]Urban_area_finals!AT114/[2]Urban_area_finals!$G114</f>
        <v>2.0289835845966581E-2</v>
      </c>
      <c r="AU90" s="1">
        <f>[2]Urban_area_finals!AU114/[2]Urban_area_finals!$G114</f>
        <v>2.0858142813800103E-2</v>
      </c>
      <c r="AV90" s="1">
        <f>[2]Urban_area_finals!AV114/[2]Urban_area_finals!$G114</f>
        <v>2.1710603265550389E-2</v>
      </c>
      <c r="AW90" s="1">
        <f>[2]Urban_area_finals!AW114/[2]Urban_area_finals!$G114</f>
        <v>2.3131370685134205E-2</v>
      </c>
      <c r="AX90" s="1">
        <f>[2]Urban_area_finals!AX114/[2]Urban_area_finals!$G114</f>
        <v>2.453617442584629E-2</v>
      </c>
      <c r="AY90" s="1">
        <f>[2]Urban_area_finals!AY114/[2]Urban_area_finals!$G114</f>
        <v>2.5940978166558375E-2</v>
      </c>
    </row>
    <row r="91" spans="1:51" x14ac:dyDescent="0.25">
      <c r="A91" t="s">
        <v>328</v>
      </c>
      <c r="B91" t="s">
        <v>329</v>
      </c>
      <c r="C91" t="s">
        <v>330</v>
      </c>
      <c r="D91" t="s">
        <v>70</v>
      </c>
      <c r="E91" t="s">
        <v>71</v>
      </c>
      <c r="F91" t="s">
        <v>70</v>
      </c>
      <c r="G91">
        <v>10238.05693740358</v>
      </c>
      <c r="H91">
        <v>1462.2251300476589</v>
      </c>
      <c r="I91">
        <f>Table2[[#This Row],[FUA_area]]+Table2[[#This Row],[FUA_urban]]</f>
        <v>11700.282067451239</v>
      </c>
      <c r="J91">
        <v>5694528</v>
      </c>
      <c r="K91" s="1">
        <f>[2]Urban_area_finals!K48/[2]Urban_area_finals!$G48</f>
        <v>1.6398259926856317E-3</v>
      </c>
      <c r="L91" s="1">
        <f>[2]Urban_area_finals!L48/[2]Urban_area_finals!$G48</f>
        <v>1.8406210121981578E-3</v>
      </c>
      <c r="M91" s="1">
        <f>[2]Urban_area_finals!M48/[2]Urban_area_finals!$G48</f>
        <v>2.0748818682961054E-3</v>
      </c>
      <c r="N91" s="1">
        <f>[2]Urban_area_finals!N48/[2]Urban_area_finals!$G48</f>
        <v>2.3593414792721845E-3</v>
      </c>
      <c r="O91" s="1">
        <f>[2]Urban_area_finals!O48/[2]Urban_area_finals!$G48</f>
        <v>2.7107327634191053E-3</v>
      </c>
      <c r="P91" s="1">
        <f>[2]Urban_area_finals!P48/[2]Urban_area_finals!$G48</f>
        <v>2.8947948646389208E-3</v>
      </c>
      <c r="Q91" s="1">
        <f>[2]Urban_area_finals!Q48/[2]Urban_area_finals!$G48</f>
        <v>3.129055720736869E-3</v>
      </c>
      <c r="R91" s="1">
        <f>[2]Urban_area_finals!R48/[2]Urban_area_finals!$G48</f>
        <v>3.3633165768348159E-3</v>
      </c>
      <c r="S91" s="1">
        <f>[2]Urban_area_finals!S48/[2]Urban_area_finals!$G48</f>
        <v>3.5975774329327637E-3</v>
      </c>
      <c r="T91" s="1">
        <f>[2]Urban_area_finals!T48/[2]Urban_area_finals!$G48</f>
        <v>4.049366226835948E-3</v>
      </c>
      <c r="U91" s="1">
        <f>[2]Urban_area_finals!U48/[2]Urban_area_finals!$G48</f>
        <v>4.7521487951297896E-3</v>
      </c>
      <c r="V91" s="1">
        <f>[2]Urban_area_finals!V48/[2]Urban_area_finals!$G48</f>
        <v>5.270869262203816E-3</v>
      </c>
      <c r="W91" s="1">
        <f>[2]Urban_area_finals!W48/[2]Urban_area_finals!$G48</f>
        <v>5.5553288731798956E-3</v>
      </c>
      <c r="X91" s="1">
        <f>[2]Urban_area_finals!X48/[2]Urban_area_finals!$G48</f>
        <v>5.6055276280580265E-3</v>
      </c>
      <c r="Y91" s="1">
        <f>[2]Urban_area_finals!Y48/[2]Urban_area_finals!$G48</f>
        <v>7.0110927646457105E-3</v>
      </c>
      <c r="Z91" s="1">
        <f>[2]Urban_area_finals!Z48/[2]Urban_area_finals!$G48</f>
        <v>7.6636765780614211E-3</v>
      </c>
      <c r="AA91" s="1">
        <f>[2]Urban_area_finals!AA48/[2]Urban_area_finals!$G48</f>
        <v>8.2660616365990008E-3</v>
      </c>
      <c r="AB91" s="1">
        <f>[2]Urban_area_finals!AB48/[2]Urban_area_finals!$G48</f>
        <v>8.3162603914771309E-3</v>
      </c>
      <c r="AC91" s="1">
        <f>[2]Urban_area_finals!AC48/[2]Urban_area_finals!$G48</f>
        <v>8.5505212475750804E-3</v>
      </c>
      <c r="AD91" s="1">
        <f>[2]Urban_area_finals!AD48/[2]Urban_area_finals!$G48</f>
        <v>1.0307477668309684E-2</v>
      </c>
      <c r="AE91" s="1">
        <f>[2]Urban_area_finals!AE48/[2]Urban_area_finals!$G48</f>
        <v>1.0340943504895105E-2</v>
      </c>
      <c r="AF91" s="1">
        <f>[2]Urban_area_finals!AF48/[2]Urban_area_finals!$G48</f>
        <v>1.0340943504895105E-2</v>
      </c>
      <c r="AG91" s="1">
        <f>[2]Urban_area_finals!AG48/[2]Urban_area_finals!$G48</f>
        <v>1.045807393294408E-2</v>
      </c>
      <c r="AH91" s="1">
        <f>[2]Urban_area_finals!AH48/[2]Urban_area_finals!$G48</f>
        <v>1.0541738524407632E-2</v>
      </c>
      <c r="AI91" s="1">
        <f>[2]Urban_area_finals!AI48/[2]Urban_area_finals!$G48</f>
        <v>1.0642136034163896E-2</v>
      </c>
      <c r="AJ91" s="1">
        <f>[2]Urban_area_finals!AJ48/[2]Urban_area_finals!$G48</f>
        <v>1.0775999380505582E-2</v>
      </c>
      <c r="AK91" s="1">
        <f>[2]Urban_area_finals!AK48/[2]Urban_area_finals!$G48</f>
        <v>1.0909862726847266E-2</v>
      </c>
      <c r="AL91" s="1">
        <f>[2]Urban_area_finals!AL48/[2]Urban_area_finals!$G48</f>
        <v>1.1077191909774369E-2</v>
      </c>
      <c r="AM91" s="1">
        <f>[2]Urban_area_finals!AM48/[2]Urban_area_finals!$G48</f>
        <v>1.1311452765872315E-2</v>
      </c>
      <c r="AN91" s="1">
        <f>[2]Urban_area_finals!AN48/[2]Urban_area_finals!$G48</f>
        <v>1.1796707396360922E-2</v>
      </c>
      <c r="AO91" s="1">
        <f>[2]Urban_area_finals!AO48/[2]Urban_area_finals!$G48</f>
        <v>1.2968011676850657E-2</v>
      </c>
      <c r="AP91" s="1">
        <f>[2]Urban_area_finals!AP48/[2]Urban_area_finals!$G48</f>
        <v>1.4574371832950869E-2</v>
      </c>
      <c r="AQ91" s="1">
        <f>[2]Urban_area_finals!AQ48/[2]Urban_area_finals!$G48</f>
        <v>1.6130533234172947E-2</v>
      </c>
      <c r="AR91" s="1">
        <f>[2]Urban_area_finals!AR48/[2]Urban_area_finals!$G48</f>
        <v>1.8824533079299342E-2</v>
      </c>
      <c r="AS91" s="1">
        <f>[2]Urban_area_finals!AS48/[2]Urban_area_finals!$G48</f>
        <v>1.9594247320764029E-2</v>
      </c>
      <c r="AT91" s="1">
        <f>[2]Urban_area_finals!AT48/[2]Urban_area_finals!$G48</f>
        <v>2.0280296970765159E-2</v>
      </c>
      <c r="AU91" s="1">
        <f>[2]Urban_area_finals!AU48/[2]Urban_area_finals!$G48</f>
        <v>2.0795670854180642E-2</v>
      </c>
      <c r="AV91" s="1">
        <f>[2]Urban_area_finals!AV48/[2]Urban_area_finals!$G48</f>
        <v>2.1568731679303867E-2</v>
      </c>
      <c r="AW91" s="1">
        <f>[2]Urban_area_finals!AW48/[2]Urban_area_finals!$G48</f>
        <v>2.3024495570769687E-2</v>
      </c>
      <c r="AX91" s="1">
        <f>[2]Urban_area_finals!AX48/[2]Urban_area_finals!$G48</f>
        <v>2.4463526543942786E-2</v>
      </c>
      <c r="AY91" s="1">
        <f>[2]Urban_area_finals!AY48/[2]Urban_area_finals!$G48</f>
        <v>2.5651563742725238E-2</v>
      </c>
    </row>
    <row r="92" spans="1:51" x14ac:dyDescent="0.25">
      <c r="A92" t="s">
        <v>147</v>
      </c>
      <c r="B92" t="s">
        <v>148</v>
      </c>
      <c r="C92" t="s">
        <v>149</v>
      </c>
      <c r="D92" t="s">
        <v>148</v>
      </c>
      <c r="E92" t="s">
        <v>122</v>
      </c>
      <c r="F92" t="s">
        <v>150</v>
      </c>
      <c r="G92">
        <v>9955196.1675422974</v>
      </c>
      <c r="H92">
        <v>47487.542354983307</v>
      </c>
      <c r="I92">
        <f>Table2[[#This Row],[FUA_area]]+Table2[[#This Row],[FUA_urban]]</f>
        <v>10002683.709897282</v>
      </c>
      <c r="J92">
        <v>37758236</v>
      </c>
      <c r="K92" s="1">
        <f>[2]Urban_area_finals!K79/[2]Urban_area_finals!$G79</f>
        <v>1.0651546280925169E-4</v>
      </c>
      <c r="L92" s="1">
        <f>[2]Urban_area_finals!L79/[2]Urban_area_finals!$G79</f>
        <v>1.1929731834636188E-4</v>
      </c>
      <c r="M92" s="1">
        <f>[2]Urban_area_finals!M79/[2]Urban_area_finals!$G79</f>
        <v>1.4060041090821222E-4</v>
      </c>
      <c r="N92" s="1">
        <f>[2]Urban_area_finals!N79/[2]Urban_area_finals!$G79</f>
        <v>1.6616412198243265E-4</v>
      </c>
      <c r="O92" s="1">
        <f>[2]Urban_area_finals!O79/[2]Urban_area_finals!$G79</f>
        <v>2.0877030710613332E-4</v>
      </c>
      <c r="P92" s="1">
        <f>[2]Urban_area_finals!P79/[2]Urban_area_finals!$G79</f>
        <v>2.2155216264324351E-4</v>
      </c>
      <c r="Q92" s="1">
        <f>[2]Urban_area_finals!Q79/[2]Urban_area_finals!$G79</f>
        <v>2.3859463669272376E-4</v>
      </c>
      <c r="R92" s="1">
        <f>[2]Urban_area_finals!R79/[2]Urban_area_finals!$G79</f>
        <v>2.5989772925457414E-4</v>
      </c>
      <c r="S92" s="1">
        <f>[2]Urban_area_finals!S79/[2]Urban_area_finals!$G79</f>
        <v>2.8546144032879451E-4</v>
      </c>
      <c r="T92" s="1">
        <f>[2]Urban_area_finals!T79/[2]Urban_area_finals!$G79</f>
        <v>4.0901937718752643E-4</v>
      </c>
      <c r="U92" s="1">
        <f>[2]Urban_area_finals!U79/[2]Urban_area_finals!$G79</f>
        <v>6.2205030280602989E-4</v>
      </c>
      <c r="V92" s="1">
        <f>[2]Urban_area_finals!V79/[2]Urban_area_finals!$G79</f>
        <v>8.1803875437505287E-4</v>
      </c>
      <c r="W92" s="1">
        <f>[2]Urban_area_finals!W79/[2]Urban_area_finals!$G79</f>
        <v>9.8420287635748549E-4</v>
      </c>
      <c r="X92" s="1">
        <f>[2]Urban_area_finals!X79/[2]Urban_area_finals!$G79</f>
        <v>1.001245350406966E-3</v>
      </c>
      <c r="Y92" s="1">
        <f>[2]Urban_area_finals!Y79/[2]Urban_area_finals!$G79</f>
        <v>1.1844519464388789E-3</v>
      </c>
      <c r="Z92" s="1">
        <f>[2]Urban_area_finals!Z79/[2]Urban_area_finals!$G79</f>
        <v>1.2781855537110202E-3</v>
      </c>
      <c r="AA92" s="1">
        <f>[2]Urban_area_finals!AA79/[2]Urban_area_finals!$G79</f>
        <v>1.3037492647852407E-3</v>
      </c>
      <c r="AB92" s="1">
        <f>[2]Urban_area_finals!AB79/[2]Urban_area_finals!$G79</f>
        <v>1.320791738834721E-3</v>
      </c>
      <c r="AC92" s="1">
        <f>[2]Urban_area_finals!AC79/[2]Urban_area_finals!$G79</f>
        <v>1.3293129758594612E-3</v>
      </c>
      <c r="AD92" s="1">
        <f>[2]Urban_area_finals!AD79/[2]Urban_area_finals!$G79</f>
        <v>1.3420948313965712E-3</v>
      </c>
      <c r="AE92" s="1">
        <f>[2]Urban_area_finals!AE79/[2]Urban_area_finals!$G79</f>
        <v>1.3633979239584214E-3</v>
      </c>
      <c r="AF92" s="1">
        <f>[2]Urban_area_finals!AF79/[2]Urban_area_finals!$G79</f>
        <v>1.3719191609831618E-3</v>
      </c>
      <c r="AG92" s="1">
        <f>[2]Urban_area_finals!AG79/[2]Urban_area_finals!$G79</f>
        <v>1.3889616350326419E-3</v>
      </c>
      <c r="AH92" s="1">
        <f>[2]Urban_area_finals!AH79/[2]Urban_area_finals!$G79</f>
        <v>1.3974828720573823E-3</v>
      </c>
      <c r="AI92" s="1">
        <f>[2]Urban_area_finals!AI79/[2]Urban_area_finals!$G79</f>
        <v>1.4187859646192325E-3</v>
      </c>
      <c r="AJ92" s="1">
        <f>[2]Urban_area_finals!AJ79/[2]Urban_area_finals!$G79</f>
        <v>1.4315678201563425E-3</v>
      </c>
      <c r="AK92" s="1">
        <f>[2]Urban_area_finals!AK79/[2]Urban_area_finals!$G79</f>
        <v>1.4528709127181931E-3</v>
      </c>
      <c r="AL92" s="1">
        <f>[2]Urban_area_finals!AL79/[2]Urban_area_finals!$G79</f>
        <v>1.5210408089161142E-3</v>
      </c>
      <c r="AM92" s="1">
        <f>[2]Urban_area_finals!AM79/[2]Urban_area_finals!$G79</f>
        <v>1.5508651385027045E-3</v>
      </c>
      <c r="AN92" s="1">
        <f>[2]Urban_area_finals!AN79/[2]Urban_area_finals!$G79</f>
        <v>1.5892107051140355E-3</v>
      </c>
      <c r="AO92" s="1">
        <f>[2]Urban_area_finals!AO79/[2]Urban_area_finals!$G79</f>
        <v>1.6147744161882555E-3</v>
      </c>
      <c r="AP92" s="1">
        <f>[2]Urban_area_finals!AP79/[2]Urban_area_finals!$G79</f>
        <v>1.6914655494109168E-3</v>
      </c>
      <c r="AQ92" s="1">
        <f>[2]Urban_area_finals!AQ79/[2]Urban_area_finals!$G79</f>
        <v>1.9641451342026009E-3</v>
      </c>
      <c r="AR92" s="1">
        <f>[2]Urban_area_finals!AR79/[2]Urban_area_finals!$G79</f>
        <v>2.2836915226303561E-3</v>
      </c>
      <c r="AS92" s="1">
        <f>[2]Urban_area_finals!AS79/[2]Urban_area_finals!$G79</f>
        <v>2.4413344075880487E-3</v>
      </c>
      <c r="AT92" s="1">
        <f>[2]Urban_area_finals!AT79/[2]Urban_area_finals!$G79</f>
        <v>2.7566201775034334E-3</v>
      </c>
      <c r="AU92" s="1">
        <f>[2]Urban_area_finals!AU79/[2]Urban_area_finals!$G79</f>
        <v>4.225681440568633E-3</v>
      </c>
      <c r="AV92" s="1">
        <f>[2]Urban_area_finals!AV79/[2]Urban_area_finals!$G79</f>
        <v>6.429273335166432E-3</v>
      </c>
      <c r="AW92" s="1">
        <f>[2]Urban_area_finals!AW79/[2]Urban_area_finals!$G79</f>
        <v>1.6232956532129958E-2</v>
      </c>
      <c r="AX92" s="1">
        <f>[2]Urban_area_finals!AX79/[2]Urban_area_finals!$G79</f>
        <v>2.1499081013419359E-2</v>
      </c>
      <c r="AY92" s="1">
        <f>[2]Urban_area_finals!AY79/[2]Urban_area_finals!$G79</f>
        <v>2.2785787804155123E-2</v>
      </c>
    </row>
    <row r="93" spans="1:51" x14ac:dyDescent="0.25">
      <c r="A93" t="s">
        <v>67</v>
      </c>
      <c r="B93" t="s">
        <v>68</v>
      </c>
      <c r="C93" t="s">
        <v>69</v>
      </c>
      <c r="D93" t="s">
        <v>70</v>
      </c>
      <c r="E93" t="s">
        <v>71</v>
      </c>
      <c r="F93" t="s">
        <v>70</v>
      </c>
      <c r="G93">
        <v>71093.261174532832</v>
      </c>
      <c r="H93">
        <v>3889.0821528402262</v>
      </c>
      <c r="I93">
        <f>Table2[[#This Row],[FUA_area]]+Table2[[#This Row],[FUA_urban]]</f>
        <v>74982.343327373062</v>
      </c>
      <c r="K93" s="1">
        <f>[2]Urban_area_finals!K150/[2]Urban_area_finals!$G150</f>
        <v>1.0382824483601988E-3</v>
      </c>
      <c r="L93" s="1">
        <f>[2]Urban_area_finals!L150/[2]Urban_area_finals!$G150</f>
        <v>1.1704274872424059E-3</v>
      </c>
      <c r="M93" s="1">
        <f>[2]Urban_area_finals!M150/[2]Urban_area_finals!$G150</f>
        <v>1.3403282515195296E-3</v>
      </c>
      <c r="N93" s="1">
        <f>[2]Urban_area_finals!N150/[2]Urban_area_finals!$G150</f>
        <v>1.557423672540298E-3</v>
      </c>
      <c r="O93" s="1">
        <f>[2]Urban_area_finals!O150/[2]Urban_area_finals!$G150</f>
        <v>1.8311526816534415E-3</v>
      </c>
      <c r="P93" s="1">
        <f>[2]Urban_area_finals!P150/[2]Urban_area_finals!$G150</f>
        <v>2.0482481026742102E-3</v>
      </c>
      <c r="Q93" s="1">
        <f>[2]Urban_area_finals!Q150/[2]Urban_area_finals!$G150</f>
        <v>2.369171768530999E-3</v>
      </c>
      <c r="R93" s="1">
        <f>[2]Urban_area_finals!R150/[2]Urban_area_finals!$G150</f>
        <v>2.9543855121522021E-3</v>
      </c>
      <c r="S93" s="1">
        <f>[2]Urban_area_finals!S150/[2]Urban_area_finals!$G150</f>
        <v>4.643954223574707E-3</v>
      </c>
      <c r="T93" s="1">
        <f>[2]Urban_area_finals!T150/[2]Urban_area_finals!$G150</f>
        <v>5.3235572806832011E-3</v>
      </c>
      <c r="U93" s="1">
        <f>[2]Urban_area_finals!U150/[2]Urban_area_finals!$G150</f>
        <v>5.3235572806832011E-3</v>
      </c>
      <c r="V93" s="1">
        <f>[2]Urban_area_finals!V150/[2]Urban_area_finals!$G150</f>
        <v>5.3235572806832011E-3</v>
      </c>
      <c r="W93" s="1">
        <f>[2]Urban_area_finals!W150/[2]Urban_area_finals!$G150</f>
        <v>5.4934580449603251E-3</v>
      </c>
      <c r="X93" s="1">
        <f>[2]Urban_area_finals!X150/[2]Urban_area_finals!$G150</f>
        <v>6.0975496512789855E-3</v>
      </c>
      <c r="Y93" s="1">
        <f>[2]Urban_area_finals!Y150/[2]Urban_area_finals!$G150</f>
        <v>6.5789351500641696E-3</v>
      </c>
      <c r="Z93" s="1">
        <f>[2]Urban_area_finals!Z150/[2]Urban_area_finals!$G150</f>
        <v>7.3812443147061408E-3</v>
      </c>
      <c r="AA93" s="1">
        <f>[2]Urban_area_finals!AA150/[2]Urban_area_finals!$G150</f>
        <v>8.3912099690201525E-3</v>
      </c>
      <c r="AB93" s="1">
        <f>[2]Urban_area_finals!AB150/[2]Urban_area_finals!$G150</f>
        <v>8.8254008110616906E-3</v>
      </c>
      <c r="AC93" s="1">
        <f>[2]Urban_area_finals!AC150/[2]Urban_area_finals!$G150</f>
        <v>9.0519351634311875E-3</v>
      </c>
      <c r="AD93" s="1">
        <f>[2]Urban_area_finals!AD150/[2]Urban_area_finals!$G150</f>
        <v>9.457809211426537E-3</v>
      </c>
      <c r="AE93" s="1">
        <f>[2]Urban_area_finals!AE150/[2]Urban_area_finals!$G150</f>
        <v>1.0024145092350282E-2</v>
      </c>
      <c r="AF93" s="1">
        <f>[2]Urban_area_finals!AF150/[2]Urban_area_finals!$G150</f>
        <v>1.056216417922784E-2</v>
      </c>
      <c r="AG93" s="1">
        <f>[2]Urban_area_finals!AG150/[2]Urban_area_finals!$G150</f>
        <v>1.0958599295874462E-2</v>
      </c>
      <c r="AH93" s="1">
        <f>[2]Urban_area_finals!AH150/[2]Urban_area_finals!$G150</f>
        <v>1.1128500060151586E-2</v>
      </c>
      <c r="AI93" s="1">
        <f>[2]Urban_area_finals!AI150/[2]Urban_area_finals!$G150</f>
        <v>1.159100769623931E-2</v>
      </c>
      <c r="AJ93" s="1">
        <f>[2]Urban_area_finals!AJ150/[2]Urban_area_finals!$G150</f>
        <v>1.1883614568049912E-2</v>
      </c>
      <c r="AK93" s="1">
        <f>[2]Urban_area_finals!AK150/[2]Urban_area_finals!$G150</f>
        <v>1.2195099302557971E-2</v>
      </c>
      <c r="AL93" s="1">
        <f>[2]Urban_area_finals!AL150/[2]Urban_area_finals!$G150</f>
        <v>1.2563217625158404E-2</v>
      </c>
      <c r="AM93" s="1">
        <f>[2]Urban_area_finals!AM150/[2]Urban_area_finals!$G150</f>
        <v>1.2921897016410111E-2</v>
      </c>
      <c r="AN93" s="1">
        <f>[2]Urban_area_finals!AN150/[2]Urban_area_finals!$G150</f>
        <v>1.3290015339010544E-2</v>
      </c>
      <c r="AO93" s="1">
        <f>[2]Urban_area_finals!AO150/[2]Urban_area_finals!$G150</f>
        <v>1.3799717631841913E-2</v>
      </c>
      <c r="AP93" s="1">
        <f>[2]Urban_area_finals!AP150/[2]Urban_area_finals!$G150</f>
        <v>1.4705855041319908E-2</v>
      </c>
      <c r="AQ93" s="1">
        <f>[2]Urban_area_finals!AQ150/[2]Urban_area_finals!$G150</f>
        <v>1.547984741191569E-2</v>
      </c>
      <c r="AR93" s="1">
        <f>[2]Urban_area_finals!AR150/[2]Urban_area_finals!$G150</f>
        <v>1.6669152761855557E-2</v>
      </c>
      <c r="AS93" s="1">
        <f>[2]Urban_area_finals!AS150/[2]Urban_area_finals!$G150</f>
        <v>1.7820702386400503E-2</v>
      </c>
      <c r="AT93" s="1">
        <f>[2]Urban_area_finals!AT150/[2]Urban_area_finals!$G150</f>
        <v>1.7584729102682276E-2</v>
      </c>
      <c r="AU93" s="1">
        <f>[2]Urban_area_finals!AU150/[2]Urban_area_finals!$G150</f>
        <v>1.8022695517263307E-2</v>
      </c>
      <c r="AV93" s="1">
        <f>[2]Urban_area_finals!AV150/[2]Urban_area_finals!$G150</f>
        <v>1.8679645139134851E-2</v>
      </c>
      <c r="AW93" s="1">
        <f>[2]Urban_area_finals!AW150/[2]Urban_area_finals!$G150</f>
        <v>1.9632977205356488E-2</v>
      </c>
      <c r="AX93" s="1">
        <f>[2]Urban_area_finals!AX150/[2]Urban_area_finals!$G150</f>
        <v>2.0860038280691266E-2</v>
      </c>
      <c r="AY93" s="1">
        <f>[2]Urban_area_finals!AY150/[2]Urban_area_finals!$G150</f>
        <v>2.1954954317143841E-2</v>
      </c>
    </row>
    <row r="94" spans="1:51" x14ac:dyDescent="0.25">
      <c r="A94" t="s">
        <v>343</v>
      </c>
      <c r="B94" t="s">
        <v>344</v>
      </c>
      <c r="C94" t="s">
        <v>345</v>
      </c>
      <c r="D94" t="s">
        <v>65</v>
      </c>
      <c r="E94" t="s">
        <v>66</v>
      </c>
      <c r="F94" t="s">
        <v>66</v>
      </c>
      <c r="G94">
        <v>65016.841930892901</v>
      </c>
      <c r="H94">
        <v>2788.3943202966479</v>
      </c>
      <c r="I94">
        <f>Table2[[#This Row],[FUA_area]]+Table2[[#This Row],[FUA_urban]]</f>
        <v>67805.236251189548</v>
      </c>
      <c r="J94">
        <v>2835902</v>
      </c>
      <c r="K94" s="1">
        <f>[2]Urban_area_finals!K110/[2]Urban_area_finals!$G110</f>
        <v>5.6805258165241437E-4</v>
      </c>
      <c r="L94" s="1">
        <f>[2]Urban_area_finals!L110/[2]Urban_area_finals!$G110</f>
        <v>5.6805258165241437E-4</v>
      </c>
      <c r="M94" s="1">
        <f>[2]Urban_area_finals!M110/[2]Urban_area_finals!$G110</f>
        <v>5.6805258165241437E-4</v>
      </c>
      <c r="N94" s="1">
        <f>[2]Urban_area_finals!N110/[2]Urban_area_finals!$G110</f>
        <v>5.6805258165241437E-4</v>
      </c>
      <c r="O94" s="1">
        <f>[2]Urban_area_finals!O110/[2]Urban_area_finals!$G110</f>
        <v>5.6805258165241437E-4</v>
      </c>
      <c r="P94" s="1">
        <f>[2]Urban_area_finals!P110/[2]Urban_area_finals!$G110</f>
        <v>5.6805258165241437E-4</v>
      </c>
      <c r="Q94" s="1">
        <f>[2]Urban_area_finals!Q110/[2]Urban_area_finals!$G110</f>
        <v>6.3116953516934938E-4</v>
      </c>
      <c r="R94" s="1">
        <f>[2]Urban_area_finals!R110/[2]Urban_area_finals!$G110</f>
        <v>6.9428648868628427E-4</v>
      </c>
      <c r="S94" s="1">
        <f>[2]Urban_area_finals!S110/[2]Urban_area_finals!$G110</f>
        <v>8.2052039572015427E-4</v>
      </c>
      <c r="T94" s="1">
        <f>[2]Urban_area_finals!T110/[2]Urban_area_finals!$G110</f>
        <v>1.0729882097878941E-3</v>
      </c>
      <c r="U94" s="1">
        <f>[2]Urban_area_finals!U110/[2]Urban_area_finals!$G110</f>
        <v>1.6410407914403085E-3</v>
      </c>
      <c r="V94" s="1">
        <f>[2]Urban_area_finals!V110/[2]Urban_area_finals!$G110</f>
        <v>2.3353272801265928E-3</v>
      </c>
      <c r="W94" s="1">
        <f>[2]Urban_area_finals!W110/[2]Urban_area_finals!$G110</f>
        <v>3.0927307223298115E-3</v>
      </c>
      <c r="X94" s="1">
        <f>[2]Urban_area_finals!X110/[2]Urban_area_finals!$G110</f>
        <v>3.2189646293636813E-3</v>
      </c>
      <c r="Y94" s="1">
        <f>[2]Urban_area_finals!Y110/[2]Urban_area_finals!$G110</f>
        <v>4.2919528391515763E-3</v>
      </c>
      <c r="Z94" s="1">
        <f>[2]Urban_area_finals!Z110/[2]Urban_area_finals!$G110</f>
        <v>4.7968884672870546E-3</v>
      </c>
      <c r="AA94" s="1">
        <f>[2]Urban_area_finals!AA110/[2]Urban_area_finals!$G110</f>
        <v>5.049356281354795E-3</v>
      </c>
      <c r="AB94" s="1">
        <f>[2]Urban_area_finals!AB110/[2]Urban_area_finals!$G110</f>
        <v>5.4911749559733393E-3</v>
      </c>
      <c r="AC94" s="1">
        <f>[2]Urban_area_finals!AC110/[2]Urban_area_finals!$G110</f>
        <v>5.5542919094902742E-3</v>
      </c>
      <c r="AD94" s="1">
        <f>[2]Urban_area_finals!AD110/[2]Urban_area_finals!$G110</f>
        <v>5.6805258165241439E-3</v>
      </c>
      <c r="AE94" s="1">
        <f>[2]Urban_area_finals!AE110/[2]Urban_area_finals!$G110</f>
        <v>5.8067597235580137E-3</v>
      </c>
      <c r="AF94" s="1">
        <f>[2]Urban_area_finals!AF110/[2]Urban_area_finals!$G110</f>
        <v>5.9961105841088184E-3</v>
      </c>
      <c r="AG94" s="1">
        <f>[2]Urban_area_finals!AG110/[2]Urban_area_finals!$G110</f>
        <v>6.1223444911426882E-3</v>
      </c>
      <c r="AH94" s="1">
        <f>[2]Urban_area_finals!AH110/[2]Urban_area_finals!$G110</f>
        <v>6.1854614446596231E-3</v>
      </c>
      <c r="AI94" s="1">
        <f>[2]Urban_area_finals!AI110/[2]Urban_area_finals!$G110</f>
        <v>6.4379292587273627E-3</v>
      </c>
      <c r="AJ94" s="1">
        <f>[2]Urban_area_finals!AJ110/[2]Urban_area_finals!$G110</f>
        <v>6.4379292587273627E-3</v>
      </c>
      <c r="AK94" s="1">
        <f>[2]Urban_area_finals!AK110/[2]Urban_area_finals!$G110</f>
        <v>6.4379292587273627E-3</v>
      </c>
      <c r="AL94" s="1">
        <f>[2]Urban_area_finals!AL110/[2]Urban_area_finals!$G110</f>
        <v>6.5010462122442976E-3</v>
      </c>
      <c r="AM94" s="1">
        <f>[2]Urban_area_finals!AM110/[2]Urban_area_finals!$G110</f>
        <v>6.5010462122442976E-3</v>
      </c>
      <c r="AN94" s="1">
        <f>[2]Urban_area_finals!AN110/[2]Urban_area_finals!$G110</f>
        <v>6.6272801192781682E-3</v>
      </c>
      <c r="AO94" s="1">
        <f>[2]Urban_area_finals!AO110/[2]Urban_area_finals!$G110</f>
        <v>7.8265022360999321E-3</v>
      </c>
      <c r="AP94" s="1">
        <f>[2]Urban_area_finals!AP110/[2]Urban_area_finals!$G110</f>
        <v>9.6568938880910431E-3</v>
      </c>
      <c r="AQ94" s="1">
        <f>[2]Urban_area_finals!AQ110/[2]Urban_area_finals!$G110</f>
        <v>1.0603648190845069E-2</v>
      </c>
      <c r="AR94" s="1">
        <f>[2]Urban_area_finals!AR110/[2]Urban_area_finals!$G110</f>
        <v>1.1361051633048288E-2</v>
      </c>
      <c r="AS94" s="1">
        <f>[2]Urban_area_finals!AS110/[2]Urban_area_finals!$G110</f>
        <v>1.1992221168217637E-2</v>
      </c>
      <c r="AT94" s="1">
        <f>[2]Urban_area_finals!AT110/[2]Urban_area_finals!$G110</f>
        <v>1.2370922889319246E-2</v>
      </c>
      <c r="AU94" s="1">
        <f>[2]Urban_area_finals!AU110/[2]Urban_area_finals!$G110</f>
        <v>1.2724377829014082E-2</v>
      </c>
      <c r="AV94" s="1">
        <f>[2]Urban_area_finals!AV110/[2]Urban_area_finals!$G110</f>
        <v>1.3254560238556336E-2</v>
      </c>
      <c r="AW94" s="1">
        <f>[2]Urban_area_finals!AW110/[2]Urban_area_finals!$G110</f>
        <v>1.4580016262411968E-2</v>
      </c>
      <c r="AX94" s="1">
        <f>[2]Urban_area_finals!AX110/[2]Urban_area_finals!$G110</f>
        <v>1.6915343542538562E-2</v>
      </c>
      <c r="AY94" s="1">
        <f>[2]Urban_area_finals!AY110/[2]Urban_area_finals!$G110</f>
        <v>2.1901582870376423E-2</v>
      </c>
    </row>
    <row r="95" spans="1:51" x14ac:dyDescent="0.25">
      <c r="A95" t="s">
        <v>88</v>
      </c>
      <c r="B95" t="s">
        <v>89</v>
      </c>
      <c r="C95" t="s">
        <v>90</v>
      </c>
      <c r="D95" t="s">
        <v>91</v>
      </c>
      <c r="E95" t="s">
        <v>66</v>
      </c>
      <c r="F95" t="s">
        <v>66</v>
      </c>
      <c r="G95">
        <v>83946.895594080444</v>
      </c>
      <c r="H95">
        <v>6142.9454988280741</v>
      </c>
      <c r="I95">
        <f>Table2[[#This Row],[FUA_area]]+Table2[[#This Row],[FUA_urban]]</f>
        <v>90089.841092908522</v>
      </c>
      <c r="J95">
        <v>8901099.9999999888</v>
      </c>
      <c r="K95" s="1">
        <f>[2]Urban_area_finals!K99/[2]Urban_area_finals!$G99</f>
        <v>2.8485163383660991E-4</v>
      </c>
      <c r="L95" s="1">
        <f>[2]Urban_area_finals!L99/[2]Urban_area_finals!$G99</f>
        <v>3.2634004204394449E-4</v>
      </c>
      <c r="M95" s="1">
        <f>[2]Urban_area_finals!M99/[2]Urban_area_finals!$G99</f>
        <v>3.7028297742090245E-4</v>
      </c>
      <c r="N95" s="1">
        <f>[2]Urban_area_finals!N99/[2]Urban_area_finals!$G99</f>
        <v>4.3499927467592137E-4</v>
      </c>
      <c r="O95" s="1">
        <f>[2]Urban_area_finals!O99/[2]Urban_area_finals!$G99</f>
        <v>5.0458369346632957E-4</v>
      </c>
      <c r="P95" s="1">
        <f>[2]Urban_area_finals!P99/[2]Urban_area_finals!$G99</f>
        <v>5.6910447485877737E-4</v>
      </c>
      <c r="Q95" s="1">
        <f>[2]Urban_area_finals!Q99/[2]Urban_area_finals!$G99</f>
        <v>6.8144689956429279E-4</v>
      </c>
      <c r="R95" s="1">
        <f>[2]Urban_area_finals!R99/[2]Urban_area_finals!$G99</f>
        <v>7.7569633464053987E-4</v>
      </c>
      <c r="S95" s="1">
        <f>[2]Urban_area_finals!S99/[2]Urban_area_finals!$G99</f>
        <v>8.1357023641926243E-4</v>
      </c>
      <c r="T95" s="1">
        <f>[2]Urban_area_finals!T99/[2]Urban_area_finals!$G99</f>
        <v>1.0337402967549448E-3</v>
      </c>
      <c r="U95" s="1">
        <f>[2]Urban_area_finals!U99/[2]Urban_area_finals!$G99</f>
        <v>1.3601477359174287E-3</v>
      </c>
      <c r="V95" s="1">
        <f>[2]Urban_area_finals!V99/[2]Urban_area_finals!$G99</f>
        <v>1.5972018138488992E-3</v>
      </c>
      <c r="W95" s="1">
        <f>[2]Urban_area_finals!W99/[2]Urban_area_finals!$G99</f>
        <v>1.9924071953865284E-3</v>
      </c>
      <c r="X95" s="1">
        <f>[2]Urban_area_finals!X99/[2]Urban_area_finals!$G99</f>
        <v>2.1097288920107486E-3</v>
      </c>
      <c r="Y95" s="1">
        <f>[2]Urban_area_finals!Y99/[2]Urban_area_finals!$G99</f>
        <v>2.4600080010590639E-3</v>
      </c>
      <c r="Z95" s="1">
        <f>[2]Urban_area_finals!Z99/[2]Urban_area_finals!$G99</f>
        <v>2.9954399677276566E-3</v>
      </c>
      <c r="AA95" s="1">
        <f>[2]Urban_area_finals!AA99/[2]Urban_area_finals!$G99</f>
        <v>3.3672234755087425E-3</v>
      </c>
      <c r="AB95" s="1">
        <f>[2]Urban_area_finals!AB99/[2]Urban_area_finals!$G99</f>
        <v>3.6887049645266353E-3</v>
      </c>
      <c r="AC95" s="1">
        <f>[2]Urban_area_finals!AC99/[2]Urban_area_finals!$G99</f>
        <v>3.8171826123779336E-3</v>
      </c>
      <c r="AD95" s="1">
        <f>[2]Urban_area_finals!AD99/[2]Urban_area_finals!$G99</f>
        <v>3.9272710330015021E-3</v>
      </c>
      <c r="AE95" s="1">
        <f>[2]Urban_area_finals!AE99/[2]Urban_area_finals!$G99</f>
        <v>4.0325243130078618E-3</v>
      </c>
      <c r="AF95" s="1">
        <f>[2]Urban_area_finals!AF99/[2]Urban_area_finals!$G99</f>
        <v>4.1133705157575806E-3</v>
      </c>
      <c r="AG95" s="1">
        <f>[2]Urban_area_finals!AG99/[2]Urban_area_finals!$G99</f>
        <v>4.2343570806166507E-3</v>
      </c>
      <c r="AH95" s="1">
        <f>[2]Urban_area_finals!AH99/[2]Urban_area_finals!$G99</f>
        <v>4.3497378607049901E-3</v>
      </c>
      <c r="AI95" s="1">
        <f>[2]Urban_area_finals!AI99/[2]Urban_area_finals!$G99</f>
        <v>4.4240256099485646E-3</v>
      </c>
      <c r="AJ95" s="1">
        <f>[2]Urban_area_finals!AJ99/[2]Urban_area_finals!$G99</f>
        <v>4.5117036498523869E-3</v>
      </c>
      <c r="AK95" s="1">
        <f>[2]Urban_area_finals!AK99/[2]Urban_area_finals!$G99</f>
        <v>4.5856620222056339E-3</v>
      </c>
      <c r="AL95" s="1">
        <f>[2]Urban_area_finals!AL99/[2]Urban_area_finals!$G99</f>
        <v>4.7088341902868213E-3</v>
      </c>
      <c r="AM95" s="1">
        <f>[2]Urban_area_finals!AM99/[2]Urban_area_finals!$G99</f>
        <v>4.9502807209777667E-3</v>
      </c>
      <c r="AN95" s="1">
        <f>[2]Urban_area_finals!AN99/[2]Urban_area_finals!$G99</f>
        <v>5.0853466331506475E-3</v>
      </c>
      <c r="AO95" s="1">
        <f>[2]Urban_area_finals!AO99/[2]Urban_area_finals!$G99</f>
        <v>5.2906006733135415E-3</v>
      </c>
      <c r="AP95" s="1">
        <f>[2]Urban_area_finals!AP99/[2]Urban_area_finals!$G99</f>
        <v>5.7882901673129697E-3</v>
      </c>
      <c r="AQ95" s="1">
        <f>[2]Urban_area_finals!AQ99/[2]Urban_area_finals!$G99</f>
        <v>6.3180270881822466E-3</v>
      </c>
      <c r="AR95" s="1">
        <f>[2]Urban_area_finals!AR99/[2]Urban_area_finals!$G99</f>
        <v>6.7338433386308245E-3</v>
      </c>
      <c r="AS95" s="1">
        <f>[2]Urban_area_finals!AS99/[2]Urban_area_finals!$G99</f>
        <v>7.2317407016948042E-3</v>
      </c>
      <c r="AT95" s="1">
        <f>[2]Urban_area_finals!AT99/[2]Urban_area_finals!$G99</f>
        <v>7.6692872529897727E-3</v>
      </c>
      <c r="AU95" s="1">
        <f>[2]Urban_area_finals!AU99/[2]Urban_area_finals!$G99</f>
        <v>8.1036270043372757E-3</v>
      </c>
      <c r="AV95" s="1">
        <f>[2]Urban_area_finals!AV99/[2]Urban_area_finals!$G99</f>
        <v>8.7551366313585333E-3</v>
      </c>
      <c r="AW95" s="1">
        <f>[2]Urban_area_finals!AW99/[2]Urban_area_finals!$G99</f>
        <v>1.0542414151829035E-2</v>
      </c>
      <c r="AX95" s="1">
        <f>[2]Urban_area_finals!AX99/[2]Urban_area_finals!$G99</f>
        <v>1.4187213818417425E-2</v>
      </c>
      <c r="AY95" s="1">
        <f>[2]Urban_area_finals!AY99/[2]Urban_area_finals!$G99</f>
        <v>2.0102917154586075E-2</v>
      </c>
    </row>
    <row r="96" spans="1:51" x14ac:dyDescent="0.25">
      <c r="A96" t="s">
        <v>436</v>
      </c>
      <c r="B96" t="s">
        <v>437</v>
      </c>
      <c r="C96" t="s">
        <v>438</v>
      </c>
      <c r="D96" t="s">
        <v>86</v>
      </c>
      <c r="E96" t="s">
        <v>86</v>
      </c>
      <c r="F96" t="s">
        <v>140</v>
      </c>
      <c r="G96">
        <v>463612.81774329889</v>
      </c>
      <c r="H96">
        <v>257.34392758266938</v>
      </c>
      <c r="I96">
        <f>Table2[[#This Row],[FUA_area]]+Table2[[#This Row],[FUA_urban]]</f>
        <v>463870.16167088156</v>
      </c>
      <c r="J96">
        <v>9648816</v>
      </c>
      <c r="K96" s="1">
        <f>[2]Urban_area_finals!K11/[2]Urban_area_finals!$G11</f>
        <v>8.3416063731202327E-4</v>
      </c>
      <c r="L96" s="1">
        <f>[2]Urban_area_finals!L11/[2]Urban_area_finals!$G11</f>
        <v>8.3416063731202327E-4</v>
      </c>
      <c r="M96" s="1">
        <f>[2]Urban_area_finals!M11/[2]Urban_area_finals!$G11</f>
        <v>8.3416063731202327E-4</v>
      </c>
      <c r="N96" s="1">
        <f>[2]Urban_area_finals!N11/[2]Urban_area_finals!$G11</f>
        <v>8.3416063731202327E-4</v>
      </c>
      <c r="O96" s="1">
        <f>[2]Urban_area_finals!O11/[2]Urban_area_finals!$G11</f>
        <v>8.3416063731202327E-4</v>
      </c>
      <c r="P96" s="1">
        <f>[2]Urban_area_finals!P11/[2]Urban_area_finals!$G11</f>
        <v>8.3416063731202327E-4</v>
      </c>
      <c r="Q96" s="1">
        <f>[2]Urban_area_finals!Q11/[2]Urban_area_finals!$G11</f>
        <v>8.3416063731202327E-4</v>
      </c>
      <c r="R96" s="1">
        <f>[2]Urban_area_finals!R11/[2]Urban_area_finals!$G11</f>
        <v>8.3416063731202327E-4</v>
      </c>
      <c r="S96" s="1">
        <f>[2]Urban_area_finals!S11/[2]Urban_area_finals!$G11</f>
        <v>8.3416063731202327E-4</v>
      </c>
      <c r="T96" s="1">
        <f>[2]Urban_area_finals!T11/[2]Urban_area_finals!$G11</f>
        <v>8.3416063731202327E-4</v>
      </c>
      <c r="U96" s="1">
        <f>[2]Urban_area_finals!U11/[2]Urban_area_finals!$G11</f>
        <v>8.3416063731202327E-4</v>
      </c>
      <c r="V96" s="1">
        <f>[2]Urban_area_finals!V11/[2]Urban_area_finals!$G11</f>
        <v>1.1122141830826975E-3</v>
      </c>
      <c r="W96" s="1">
        <f>[2]Urban_area_finals!W11/[2]Urban_area_finals!$G11</f>
        <v>1.3902677288533719E-3</v>
      </c>
      <c r="X96" s="1">
        <f>[2]Urban_area_finals!X11/[2]Urban_area_finals!$G11</f>
        <v>1.3902677288533719E-3</v>
      </c>
      <c r="Y96" s="1">
        <f>[2]Urban_area_finals!Y11/[2]Urban_area_finals!$G11</f>
        <v>2.5024819119360696E-3</v>
      </c>
      <c r="Z96" s="1">
        <f>[2]Urban_area_finals!Z11/[2]Urban_area_finals!$G11</f>
        <v>2.5024819119360696E-3</v>
      </c>
      <c r="AA96" s="1">
        <f>[2]Urban_area_finals!AA11/[2]Urban_area_finals!$G11</f>
        <v>2.5024819119360696E-3</v>
      </c>
      <c r="AB96" s="1">
        <f>[2]Urban_area_finals!AB11/[2]Urban_area_finals!$G11</f>
        <v>2.5024819119360696E-3</v>
      </c>
      <c r="AC96" s="1">
        <f>[2]Urban_area_finals!AC11/[2]Urban_area_finals!$G11</f>
        <v>2.5024819119360696E-3</v>
      </c>
      <c r="AD96" s="1">
        <f>[2]Urban_area_finals!AD11/[2]Urban_area_finals!$G11</f>
        <v>2.5024819119360696E-3</v>
      </c>
      <c r="AE96" s="1">
        <f>[2]Urban_area_finals!AE11/[2]Urban_area_finals!$G11</f>
        <v>2.5024819119360696E-3</v>
      </c>
      <c r="AF96" s="1">
        <f>[2]Urban_area_finals!AF11/[2]Urban_area_finals!$G11</f>
        <v>2.5024819119360696E-3</v>
      </c>
      <c r="AG96" s="1">
        <f>[2]Urban_area_finals!AG11/[2]Urban_area_finals!$G11</f>
        <v>2.5024819119360696E-3</v>
      </c>
      <c r="AH96" s="1">
        <f>[2]Urban_area_finals!AH11/[2]Urban_area_finals!$G11</f>
        <v>2.5024819119360696E-3</v>
      </c>
      <c r="AI96" s="1">
        <f>[2]Urban_area_finals!AI11/[2]Urban_area_finals!$G11</f>
        <v>2.5024819119360696E-3</v>
      </c>
      <c r="AJ96" s="1">
        <f>[2]Urban_area_finals!AJ11/[2]Urban_area_finals!$G11</f>
        <v>3.0585890034774185E-3</v>
      </c>
      <c r="AK96" s="1">
        <f>[2]Urban_area_finals!AK11/[2]Urban_area_finals!$G11</f>
        <v>3.6146960950187673E-3</v>
      </c>
      <c r="AL96" s="1">
        <f>[2]Urban_area_finals!AL11/[2]Urban_area_finals!$G11</f>
        <v>3.6146960950187673E-3</v>
      </c>
      <c r="AM96" s="1">
        <f>[2]Urban_area_finals!AM11/[2]Urban_area_finals!$G11</f>
        <v>3.6146960950187673E-3</v>
      </c>
      <c r="AN96" s="1">
        <f>[2]Urban_area_finals!AN11/[2]Urban_area_finals!$G11</f>
        <v>4.1708031865601162E-3</v>
      </c>
      <c r="AO96" s="1">
        <f>[2]Urban_area_finals!AO11/[2]Urban_area_finals!$G11</f>
        <v>4.1708031865601162E-3</v>
      </c>
      <c r="AP96" s="1">
        <f>[2]Urban_area_finals!AP11/[2]Urban_area_finals!$G11</f>
        <v>5.0049638238721392E-3</v>
      </c>
      <c r="AQ96" s="1">
        <f>[2]Urban_area_finals!AQ11/[2]Urban_area_finals!$G11</f>
        <v>9.4538205562029291E-3</v>
      </c>
      <c r="AR96" s="1">
        <f>[2]Urban_area_finals!AR11/[2]Urban_area_finals!$G11</f>
        <v>1.3624623742763044E-2</v>
      </c>
      <c r="AS96" s="1">
        <f>[2]Urban_area_finals!AS11/[2]Urban_area_finals!$G11</f>
        <v>1.390267728853372E-2</v>
      </c>
      <c r="AT96" s="1">
        <f>[2]Urban_area_finals!AT11/[2]Urban_area_finals!$G11</f>
        <v>1.390267728853372E-2</v>
      </c>
      <c r="AU96" s="1">
        <f>[2]Urban_area_finals!AU11/[2]Urban_area_finals!$G11</f>
        <v>1.401389870684199E-2</v>
      </c>
      <c r="AV96" s="1">
        <f>[2]Urban_area_finals!AV11/[2]Urban_area_finals!$G11</f>
        <v>1.4180730834304392E-2</v>
      </c>
      <c r="AW96" s="1">
        <f>[2]Urban_area_finals!AW11/[2]Urban_area_finals!$G11</f>
        <v>1.5014891471616417E-2</v>
      </c>
      <c r="AX96" s="1">
        <f>[2]Urban_area_finals!AX11/[2]Urban_area_finals!$G11</f>
        <v>1.6405159200469789E-2</v>
      </c>
      <c r="AY96" s="1">
        <f>[2]Urban_area_finals!AY11/[2]Urban_area_finals!$G11</f>
        <v>2.0019855295488557E-2</v>
      </c>
    </row>
    <row r="97" spans="1:51" x14ac:dyDescent="0.25">
      <c r="A97" t="s">
        <v>376</v>
      </c>
      <c r="B97" t="s">
        <v>377</v>
      </c>
      <c r="C97" t="s">
        <v>378</v>
      </c>
      <c r="D97" t="s">
        <v>65</v>
      </c>
      <c r="E97" t="s">
        <v>66</v>
      </c>
      <c r="F97" t="s">
        <v>66</v>
      </c>
      <c r="G97">
        <v>13336.64066818275</v>
      </c>
      <c r="H97">
        <v>94.941856462867619</v>
      </c>
      <c r="I97">
        <f>Table2[[#This Row],[FUA_area]]+Table2[[#This Row],[FUA_urban]]</f>
        <v>13431.582524645617</v>
      </c>
      <c r="K97" s="1">
        <f>[2]Urban_area_finals!K159/[2]Urban_area_finals!$G159</f>
        <v>1.5375660044507006E-4</v>
      </c>
      <c r="L97" s="1">
        <f>[2]Urban_area_finals!L159/[2]Urban_area_finals!$G159</f>
        <v>1.807907279958516E-4</v>
      </c>
      <c r="M97" s="1">
        <f>[2]Urban_area_finals!M159/[2]Urban_area_finals!$G159</f>
        <v>2.1965228635010008E-4</v>
      </c>
      <c r="N97" s="1">
        <f>[2]Urban_area_finals!N159/[2]Urban_area_finals!$G159</f>
        <v>2.4499678092895777E-4</v>
      </c>
      <c r="O97" s="1">
        <f>[2]Urban_area_finals!O159/[2]Urban_area_finals!$G159</f>
        <v>2.7203090847973934E-4</v>
      </c>
      <c r="P97" s="1">
        <f>[2]Urban_area_finals!P159/[2]Urban_area_finals!$G159</f>
        <v>2.8554797225513012E-4</v>
      </c>
      <c r="Q97" s="1">
        <f>[2]Urban_area_finals!Q159/[2]Urban_area_finals!$G159</f>
        <v>3.8354668462671325E-4</v>
      </c>
      <c r="R97" s="1">
        <f>[2]Urban_area_finals!R159/[2]Urban_area_finals!$G159</f>
        <v>4.7816613105444868E-4</v>
      </c>
      <c r="S97" s="1">
        <f>[2]Urban_area_finals!S159/[2]Urban_area_finals!$G159</f>
        <v>6.7585318876953865E-4</v>
      </c>
      <c r="T97" s="1">
        <f>[2]Urban_area_finals!T159/[2]Urban_area_finals!$G159</f>
        <v>1.1911912452063119E-3</v>
      </c>
      <c r="U97" s="1">
        <f>[2]Urban_area_finals!U159/[2]Urban_area_finals!$G159</f>
        <v>1.9667327793193574E-3</v>
      </c>
      <c r="V97" s="1">
        <f>[2]Urban_area_finals!V159/[2]Urban_area_finals!$G159</f>
        <v>3.0852698067329442E-3</v>
      </c>
      <c r="W97" s="1">
        <f>[2]Urban_area_finals!W159/[2]Urban_area_finals!$G159</f>
        <v>4.4217694875247071E-3</v>
      </c>
      <c r="X97" s="1">
        <f>[2]Urban_area_finals!X159/[2]Urban_area_finals!$G159</f>
        <v>4.8036265391794971E-3</v>
      </c>
      <c r="Y97" s="1">
        <f>[2]Urban_area_finals!Y159/[2]Urban_area_finals!$G159</f>
        <v>5.6484430251414197E-3</v>
      </c>
      <c r="Z97" s="1">
        <f>[2]Urban_area_finals!Z159/[2]Urban_area_finals!$G159</f>
        <v>6.2229182355955275E-3</v>
      </c>
      <c r="AA97" s="1">
        <f>[2]Urban_area_finals!AA159/[2]Urban_area_finals!$G159</f>
        <v>6.4189156603386942E-3</v>
      </c>
      <c r="AB97" s="1">
        <f>[2]Urban_area_finals!AB159/[2]Urban_area_finals!$G159</f>
        <v>6.4797424473279535E-3</v>
      </c>
      <c r="AC97" s="1">
        <f>[2]Urban_area_finals!AC159/[2]Urban_area_finals!$G159</f>
        <v>6.5338107024295166E-3</v>
      </c>
      <c r="AD97" s="1">
        <f>[2]Urban_area_finals!AD159/[2]Urban_area_finals!$G159</f>
        <v>6.6943258347622802E-3</v>
      </c>
      <c r="AE97" s="1">
        <f>[2]Urban_area_finals!AE159/[2]Urban_area_finals!$G159</f>
        <v>6.8582202330388937E-3</v>
      </c>
      <c r="AF97" s="1">
        <f>[2]Urban_area_finals!AF159/[2]Urban_area_finals!$G159</f>
        <v>6.9393226156912388E-3</v>
      </c>
      <c r="AG97" s="1">
        <f>[2]Urban_area_finals!AG159/[2]Urban_area_finals!$G159</f>
        <v>7.0288731632032024E-3</v>
      </c>
      <c r="AH97" s="1">
        <f>[2]Urban_area_finals!AH159/[2]Urban_area_finals!$G159</f>
        <v>7.1218029766590141E-3</v>
      </c>
      <c r="AI97" s="1">
        <f>[2]Urban_area_finals!AI159/[2]Urban_area_finals!$G159</f>
        <v>7.2333187528059876E-3</v>
      </c>
      <c r="AJ97" s="1">
        <f>[2]Urban_area_finals!AJ159/[2]Urban_area_finals!$G159</f>
        <v>7.3499034278687331E-3</v>
      </c>
      <c r="AK97" s="1">
        <f>[2]Urban_area_finals!AK159/[2]Urban_area_finals!$G159</f>
        <v>7.4394539753806976E-3</v>
      </c>
      <c r="AL97" s="1">
        <f>[2]Urban_area_finals!AL159/[2]Urban_area_finals!$G159</f>
        <v>7.599969107713463E-3</v>
      </c>
      <c r="AM97" s="1">
        <f>[2]Urban_area_finals!AM159/[2]Urban_area_finals!$G159</f>
        <v>7.8246902929793357E-3</v>
      </c>
      <c r="AN97" s="1">
        <f>[2]Urban_area_finals!AN159/[2]Urban_area_finals!$G159</f>
        <v>8.052790744189053E-3</v>
      </c>
      <c r="AO97" s="1">
        <f>[2]Urban_area_finals!AO159/[2]Urban_area_finals!$G159</f>
        <v>8.3265112856407177E-3</v>
      </c>
      <c r="AP97" s="1">
        <f>[2]Urban_area_finals!AP159/[2]Urban_area_finals!$G159</f>
        <v>8.6306452205870098E-3</v>
      </c>
      <c r="AQ97" s="1">
        <f>[2]Urban_area_finals!AQ159/[2]Urban_area_finals!$G159</f>
        <v>9.5988049134993723E-3</v>
      </c>
      <c r="AR97" s="1">
        <f>[2]Urban_area_finals!AR159/[2]Urban_area_finals!$G159</f>
        <v>1.1178611742248172E-2</v>
      </c>
      <c r="AS97" s="1">
        <f>[2]Urban_area_finals!AS159/[2]Urban_area_finals!$G159</f>
        <v>1.2327562163156386E-2</v>
      </c>
      <c r="AT97" s="1">
        <f>[2]Urban_area_finals!AT159/[2]Urban_area_finals!$G159</f>
        <v>1.2896968474694724E-2</v>
      </c>
      <c r="AU97" s="1">
        <f>[2]Urban_area_finals!AU159/[2]Urban_area_finals!$G159</f>
        <v>1.3335597194206154E-2</v>
      </c>
      <c r="AV97" s="1">
        <f>[2]Urban_area_finals!AV159/[2]Urban_area_finals!$G159</f>
        <v>1.3993540273473298E-2</v>
      </c>
      <c r="AW97" s="1">
        <f>[2]Urban_area_finals!AW159/[2]Urban_area_finals!$G159</f>
        <v>1.5389177108282397E-2</v>
      </c>
      <c r="AX97" s="1">
        <f>[2]Urban_area_finals!AX159/[2]Urban_area_finals!$G159</f>
        <v>1.7188636223381296E-2</v>
      </c>
      <c r="AY97" s="1">
        <f>[2]Urban_area_finals!AY159/[2]Urban_area_finals!$G159</f>
        <v>1.9966392829224099E-2</v>
      </c>
    </row>
    <row r="98" spans="1:51" x14ac:dyDescent="0.25">
      <c r="A98" t="s">
        <v>352</v>
      </c>
      <c r="B98" t="s">
        <v>353</v>
      </c>
      <c r="C98" t="s">
        <v>354</v>
      </c>
      <c r="D98" t="s">
        <v>204</v>
      </c>
      <c r="E98" t="s">
        <v>61</v>
      </c>
      <c r="F98" t="s">
        <v>61</v>
      </c>
      <c r="G98">
        <v>413477.27282282402</v>
      </c>
      <c r="H98">
        <v>5668.0104888349961</v>
      </c>
      <c r="I98">
        <f>Table2[[#This Row],[FUA_area]]+Table2[[#This Row],[FUA_urban]]</f>
        <v>419145.283311659</v>
      </c>
      <c r="J98">
        <v>36488841</v>
      </c>
      <c r="K98" s="1">
        <f>[2]Urban_area_finals!K92/[2]Urban_area_finals!$G92</f>
        <v>2.4002114249568212E-4</v>
      </c>
      <c r="L98" s="1">
        <f>[2]Urban_area_finals!L92/[2]Urban_area_finals!$G92</f>
        <v>2.5686473144274756E-4</v>
      </c>
      <c r="M98" s="1">
        <f>[2]Urban_area_finals!M92/[2]Urban_area_finals!$G92</f>
        <v>2.7791921762657931E-4</v>
      </c>
      <c r="N98" s="1">
        <f>[2]Urban_area_finals!N92/[2]Urban_area_finals!$G92</f>
        <v>3.1160639552071018E-4</v>
      </c>
      <c r="O98" s="1">
        <f>[2]Urban_area_finals!O92/[2]Urban_area_finals!$G92</f>
        <v>3.5792626512514005E-4</v>
      </c>
      <c r="P98" s="1">
        <f>[2]Urban_area_finals!P92/[2]Urban_area_finals!$G92</f>
        <v>3.9161344301927086E-4</v>
      </c>
      <c r="Q98" s="1">
        <f>[2]Urban_area_finals!Q92/[2]Urban_area_finals!$G92</f>
        <v>4.3372241538693437E-4</v>
      </c>
      <c r="R98" s="1">
        <f>[2]Urban_area_finals!R92/[2]Urban_area_finals!$G92</f>
        <v>4.9688587393842973E-4</v>
      </c>
      <c r="S98" s="1">
        <f>[2]Urban_area_finals!S92/[2]Urban_area_finals!$G92</f>
        <v>5.9794740762082212E-4</v>
      </c>
      <c r="T98" s="1">
        <f>[2]Urban_area_finals!T92/[2]Urban_area_finals!$G92</f>
        <v>9.8113905616656035E-4</v>
      </c>
      <c r="U98" s="1">
        <f>[2]Urban_area_finals!U92/[2]Urban_area_finals!$G92</f>
        <v>1.7222569698374388E-3</v>
      </c>
      <c r="V98" s="1">
        <f>[2]Urban_area_finals!V92/[2]Urban_area_finals!$G92</f>
        <v>2.543381931006877E-3</v>
      </c>
      <c r="W98" s="1">
        <f>[2]Urban_area_finals!W92/[2]Urban_area_finals!$G92</f>
        <v>3.751909437958821E-3</v>
      </c>
      <c r="X98" s="1">
        <f>[2]Urban_area_finals!X92/[2]Urban_area_finals!$G92</f>
        <v>3.9371889163765409E-3</v>
      </c>
      <c r="Y98" s="1">
        <f>[2]Urban_area_finals!Y92/[2]Urban_area_finals!$G92</f>
        <v>4.3161696676855118E-3</v>
      </c>
      <c r="Z98" s="1">
        <f>[2]Urban_area_finals!Z92/[2]Urban_area_finals!$G92</f>
        <v>4.7035722134680172E-3</v>
      </c>
      <c r="AA98" s="1">
        <f>[2]Urban_area_finals!AA92/[2]Urban_area_finals!$G92</f>
        <v>5.0109677117519602E-3</v>
      </c>
      <c r="AB98" s="1">
        <f>[2]Urban_area_finals!AB92/[2]Urban_area_finals!$G92</f>
        <v>5.0783420675402221E-3</v>
      </c>
      <c r="AC98" s="1">
        <f>[2]Urban_area_finals!AC92/[2]Urban_area_finals!$G92</f>
        <v>5.2004580874064465E-3</v>
      </c>
      <c r="AD98" s="1">
        <f>[2]Urban_area_finals!AD92/[2]Urban_area_finals!$G92</f>
        <v>5.5962824276624837E-3</v>
      </c>
      <c r="AE98" s="1">
        <f>[2]Urban_area_finals!AE92/[2]Urban_area_finals!$G92</f>
        <v>5.7731401116066705E-3</v>
      </c>
      <c r="AF98" s="1">
        <f>[2]Urban_area_finals!AF92/[2]Urban_area_finals!$G92</f>
        <v>5.924732412130259E-3</v>
      </c>
      <c r="AG98" s="1">
        <f>[2]Urban_area_finals!AG92/[2]Urban_area_finals!$G92</f>
        <v>6.0636920209435497E-3</v>
      </c>
      <c r="AH98" s="1">
        <f>[2]Urban_area_finals!AH92/[2]Urban_area_finals!$G92</f>
        <v>6.2531823965980352E-3</v>
      </c>
      <c r="AI98" s="1">
        <f>[2]Urban_area_finals!AI92/[2]Urban_area_finals!$G92</f>
        <v>6.4047746971216237E-3</v>
      </c>
      <c r="AJ98" s="1">
        <f>[2]Urban_area_finals!AJ92/[2]Urban_area_finals!$G92</f>
        <v>6.5942650727761091E-3</v>
      </c>
      <c r="AK98" s="1">
        <f>[2]Urban_area_finals!AK92/[2]Urban_area_finals!$G92</f>
        <v>6.7753336539570618E-3</v>
      </c>
      <c r="AL98" s="1">
        <f>[2]Urban_area_finals!AL92/[2]Urban_area_finals!$G92</f>
        <v>7.0658855632939411E-3</v>
      </c>
      <c r="AM98" s="1">
        <f>[2]Urban_area_finals!AM92/[2]Urban_area_finals!$G92</f>
        <v>7.777527196307454E-3</v>
      </c>
      <c r="AN98" s="1">
        <f>[2]Urban_area_finals!AN92/[2]Urban_area_finals!$G92</f>
        <v>8.110188078011997E-3</v>
      </c>
      <c r="AO98" s="1">
        <f>[2]Urban_area_finals!AO92/[2]Urban_area_finals!$G92</f>
        <v>8.6323393353710236E-3</v>
      </c>
      <c r="AP98" s="1">
        <f>[2]Urban_area_finals!AP92/[2]Urban_area_finals!$G92</f>
        <v>9.3860899407522021E-3</v>
      </c>
      <c r="AQ98" s="1">
        <f>[2]Urban_area_finals!AQ92/[2]Urban_area_finals!$G92</f>
        <v>1.0805162309542463E-2</v>
      </c>
      <c r="AR98" s="1">
        <f>[2]Urban_area_finals!AR92/[2]Urban_area_finals!$G92</f>
        <v>1.2068431480572369E-2</v>
      </c>
      <c r="AS98" s="1">
        <f>[2]Urban_area_finals!AS92/[2]Urban_area_finals!$G92</f>
        <v>1.2940087208583003E-2</v>
      </c>
      <c r="AT98" s="1">
        <f>[2]Urban_area_finals!AT92/[2]Urban_area_finals!$G92</f>
        <v>1.3327489754365509E-2</v>
      </c>
      <c r="AU98" s="1">
        <f>[2]Urban_area_finals!AU92/[2]Urban_area_finals!$G92</f>
        <v>1.3708154864569187E-2</v>
      </c>
      <c r="AV98" s="1">
        <f>[2]Urban_area_finals!AV92/[2]Urban_area_finals!$G92</f>
        <v>1.4279152529874703E-2</v>
      </c>
      <c r="AW98" s="1">
        <f>[2]Urban_area_finals!AW92/[2]Urban_area_finals!$G92</f>
        <v>1.5441360167222218E-2</v>
      </c>
      <c r="AX98" s="1">
        <f>[2]Urban_area_finals!AX92/[2]Urban_area_finals!$G92</f>
        <v>1.720151521219055E-2</v>
      </c>
      <c r="AY98" s="1">
        <f>[2]Urban_area_finals!AY92/[2]Urban_area_finals!$G92</f>
        <v>1.9816482396222461E-2</v>
      </c>
    </row>
    <row r="99" spans="1:51" x14ac:dyDescent="0.25">
      <c r="A99" t="s">
        <v>102</v>
      </c>
      <c r="B99" t="s">
        <v>103</v>
      </c>
      <c r="C99" t="s">
        <v>104</v>
      </c>
      <c r="D99" t="s">
        <v>105</v>
      </c>
      <c r="E99" t="s">
        <v>61</v>
      </c>
      <c r="F99" t="s">
        <v>61</v>
      </c>
      <c r="G99">
        <v>115286.1605111614</v>
      </c>
      <c r="H99">
        <v>1192.22213164504</v>
      </c>
      <c r="I99">
        <f>Table2[[#This Row],[FUA_area]]+Table2[[#This Row],[FUA_urban]]</f>
        <v>116478.38264280645</v>
      </c>
      <c r="J99">
        <v>12466822</v>
      </c>
      <c r="K99" s="1">
        <f>[2]Urban_area_finals!K19/[2]Urban_area_finals!$G19</f>
        <v>7.740070035286351E-5</v>
      </c>
      <c r="L99" s="1">
        <f>[2]Urban_area_finals!L19/[2]Urban_area_finals!$G19</f>
        <v>7.740070035286351E-5</v>
      </c>
      <c r="M99" s="1">
        <f>[2]Urban_area_finals!M19/[2]Urban_area_finals!$G19</f>
        <v>7.740070035286351E-5</v>
      </c>
      <c r="N99" s="1">
        <f>[2]Urban_area_finals!N19/[2]Urban_area_finals!$G19</f>
        <v>1.0320093380381802E-4</v>
      </c>
      <c r="O99" s="1">
        <f>[2]Urban_area_finals!O19/[2]Urban_area_finals!$G19</f>
        <v>1.2900116725477251E-4</v>
      </c>
      <c r="P99" s="1">
        <f>[2]Urban_area_finals!P19/[2]Urban_area_finals!$G19</f>
        <v>1.5480140070572702E-4</v>
      </c>
      <c r="Q99" s="1">
        <f>[2]Urban_area_finals!Q19/[2]Urban_area_finals!$G19</f>
        <v>1.8060163415668153E-4</v>
      </c>
      <c r="R99" s="1">
        <f>[2]Urban_area_finals!R19/[2]Urban_area_finals!$G19</f>
        <v>1.8060163415668153E-4</v>
      </c>
      <c r="S99" s="1">
        <f>[2]Urban_area_finals!S19/[2]Urban_area_finals!$G19</f>
        <v>1.8060163415668153E-4</v>
      </c>
      <c r="T99" s="1">
        <f>[2]Urban_area_finals!T19/[2]Urban_area_finals!$G19</f>
        <v>1.8060163415668153E-4</v>
      </c>
      <c r="U99" s="1">
        <f>[2]Urban_area_finals!U19/[2]Urban_area_finals!$G19</f>
        <v>2.0640186760763604E-4</v>
      </c>
      <c r="V99" s="1">
        <f>[2]Urban_area_finals!V19/[2]Urban_area_finals!$G19</f>
        <v>2.5800233450954502E-4</v>
      </c>
      <c r="W99" s="1">
        <f>[2]Urban_area_finals!W19/[2]Urban_area_finals!$G19</f>
        <v>3.0960280141145404E-4</v>
      </c>
      <c r="X99" s="1">
        <f>[2]Urban_area_finals!X19/[2]Urban_area_finals!$G19</f>
        <v>3.3540303486240855E-4</v>
      </c>
      <c r="Y99" s="1">
        <f>[2]Urban_area_finals!Y19/[2]Urban_area_finals!$G19</f>
        <v>4.6440420211718109E-4</v>
      </c>
      <c r="Z99" s="1">
        <f>[2]Urban_area_finals!Z19/[2]Urban_area_finals!$G19</f>
        <v>7.2240653662672611E-4</v>
      </c>
      <c r="AA99" s="1">
        <f>[2]Urban_area_finals!AA19/[2]Urban_area_finals!$G19</f>
        <v>1.6254147074101337E-3</v>
      </c>
      <c r="AB99" s="1">
        <f>[2]Urban_area_finals!AB19/[2]Urban_area_finals!$G19</f>
        <v>2.4768224112916323E-3</v>
      </c>
      <c r="AC99" s="1">
        <f>[2]Urban_area_finals!AC19/[2]Urban_area_finals!$G19</f>
        <v>3.3798305820750404E-3</v>
      </c>
      <c r="AD99" s="1">
        <f>[2]Urban_area_finals!AD19/[2]Urban_area_finals!$G19</f>
        <v>3.9990361848979477E-3</v>
      </c>
      <c r="AE99" s="1">
        <f>[2]Urban_area_finals!AE19/[2]Urban_area_finals!$G19</f>
        <v>5.1858469236418549E-3</v>
      </c>
      <c r="AF99" s="1">
        <f>[2]Urban_area_finals!AF19/[2]Urban_area_finals!$G19</f>
        <v>5.5212499585042636E-3</v>
      </c>
      <c r="AG99" s="1">
        <f>[2]Urban_area_finals!AG19/[2]Urban_area_finals!$G19</f>
        <v>5.8824532268176265E-3</v>
      </c>
      <c r="AH99" s="1">
        <f>[2]Urban_area_finals!AH19/[2]Urban_area_finals!$G19</f>
        <v>6.2436564951309894E-3</v>
      </c>
      <c r="AI99" s="1">
        <f>[2]Urban_area_finals!AI19/[2]Urban_area_finals!$G19</f>
        <v>6.5016588296405347E-3</v>
      </c>
      <c r="AJ99" s="1">
        <f>[2]Urban_area_finals!AJ19/[2]Urban_area_finals!$G19</f>
        <v>6.8886623314048517E-3</v>
      </c>
      <c r="AK99" s="1">
        <f>[2]Urban_area_finals!AK19/[2]Urban_area_finals!$G19</f>
        <v>7.1982651328163071E-3</v>
      </c>
      <c r="AL99" s="1">
        <f>[2]Urban_area_finals!AL19/[2]Urban_area_finals!$G19</f>
        <v>7.5594684011296692E-3</v>
      </c>
      <c r="AM99" s="1">
        <f>[2]Urban_area_finals!AM19/[2]Urban_area_finals!$G19</f>
        <v>7.9722721363449413E-3</v>
      </c>
      <c r="AN99" s="1">
        <f>[2]Urban_area_finals!AN19/[2]Urban_area_finals!$G19</f>
        <v>8.8236798402264397E-3</v>
      </c>
      <c r="AO99" s="1">
        <f>[2]Urban_area_finals!AO19/[2]Urban_area_finals!$G19</f>
        <v>9.9072896451665293E-3</v>
      </c>
      <c r="AP99" s="1">
        <f>[2]Urban_area_finals!AP19/[2]Urban_area_finals!$G19</f>
        <v>1.1094100383910436E-2</v>
      </c>
      <c r="AQ99" s="1">
        <f>[2]Urban_area_finals!AQ19/[2]Urban_area_finals!$G19</f>
        <v>1.1945508087791936E-2</v>
      </c>
      <c r="AR99" s="1">
        <f>[2]Urban_area_finals!AR19/[2]Urban_area_finals!$G19</f>
        <v>1.2538913457163889E-2</v>
      </c>
      <c r="AS99" s="1">
        <f>[2]Urban_area_finals!AS19/[2]Urban_area_finals!$G19</f>
        <v>1.4422330499083567E-2</v>
      </c>
      <c r="AT99" s="1">
        <f>[2]Urban_area_finals!AT19/[2]Urban_area_finals!$G19</f>
        <v>1.5041536101906476E-2</v>
      </c>
      <c r="AU99" s="1">
        <f>[2]Urban_area_finals!AU19/[2]Urban_area_finals!$G19</f>
        <v>1.5485300117262894E-2</v>
      </c>
      <c r="AV99" s="1">
        <f>[2]Urban_area_finals!AV19/[2]Urban_area_finals!$G19</f>
        <v>1.6150946140297519E-2</v>
      </c>
      <c r="AW99" s="1">
        <f>[2]Urban_area_finals!AW19/[2]Urban_area_finals!$G19</f>
        <v>1.7389357345943338E-2</v>
      </c>
      <c r="AX99" s="1">
        <f>[2]Urban_area_finals!AX19/[2]Urban_area_finals!$G19</f>
        <v>1.849876738433438E-2</v>
      </c>
      <c r="AY99" s="1">
        <f>[2]Urban_area_finals!AY19/[2]Urban_area_finals!$G19</f>
        <v>1.935017508821588E-2</v>
      </c>
    </row>
    <row r="100" spans="1:51" x14ac:dyDescent="0.25">
      <c r="A100" t="s">
        <v>238</v>
      </c>
      <c r="B100" t="s">
        <v>239</v>
      </c>
      <c r="C100" t="s">
        <v>240</v>
      </c>
      <c r="D100" t="s">
        <v>105</v>
      </c>
      <c r="E100" t="s">
        <v>61</v>
      </c>
      <c r="F100" t="s">
        <v>61</v>
      </c>
      <c r="G100">
        <v>239474.1640098466</v>
      </c>
      <c r="H100">
        <v>4836.2302678279048</v>
      </c>
      <c r="I100">
        <f>Table2[[#This Row],[FUA_area]]+Table2[[#This Row],[FUA_urban]]</f>
        <v>244310.3942776745</v>
      </c>
      <c r="J100">
        <v>31849247</v>
      </c>
      <c r="K100" s="1">
        <f>[2]Urban_area_finals!K50/[2]Urban_area_finals!$G50</f>
        <v>1.0321394112477246E-2</v>
      </c>
      <c r="L100" s="1">
        <f>[2]Urban_area_finals!L50/[2]Urban_area_finals!$G50</f>
        <v>1.0321394112477246E-2</v>
      </c>
      <c r="M100" s="1">
        <f>[2]Urban_area_finals!M50/[2]Urban_area_finals!$G50</f>
        <v>1.0321394112477246E-2</v>
      </c>
      <c r="N100" s="1">
        <f>[2]Urban_area_finals!N50/[2]Urban_area_finals!$G50</f>
        <v>1.0321394112477246E-2</v>
      </c>
      <c r="O100" s="1">
        <f>[2]Urban_area_finals!O50/[2]Urban_area_finals!$G50</f>
        <v>1.0321394112477246E-2</v>
      </c>
      <c r="P100" s="1">
        <f>[2]Urban_area_finals!P50/[2]Urban_area_finals!$G50</f>
        <v>1.0321394112477246E-2</v>
      </c>
      <c r="Q100" s="1">
        <f>[2]Urban_area_finals!Q50/[2]Urban_area_finals!$G50</f>
        <v>1.0321394112477246E-2</v>
      </c>
      <c r="R100" s="1">
        <f>[2]Urban_area_finals!R50/[2]Urban_area_finals!$G50</f>
        <v>1.0321394112477246E-2</v>
      </c>
      <c r="S100" s="1">
        <f>[2]Urban_area_finals!S50/[2]Urban_area_finals!$G50</f>
        <v>1.0321394112477246E-2</v>
      </c>
      <c r="T100" s="1">
        <f>[2]Urban_area_finals!T50/[2]Urban_area_finals!$G50</f>
        <v>1.0321394112477246E-2</v>
      </c>
      <c r="U100" s="1">
        <f>[2]Urban_area_finals!U50/[2]Urban_area_finals!$G50</f>
        <v>1.0321394112477246E-2</v>
      </c>
      <c r="V100" s="1">
        <f>[2]Urban_area_finals!V50/[2]Urban_area_finals!$G50</f>
        <v>1.0321394112477246E-2</v>
      </c>
      <c r="W100" s="1">
        <f>[2]Urban_area_finals!W50/[2]Urban_area_finals!$G50</f>
        <v>1.0321394112477246E-2</v>
      </c>
      <c r="X100" s="1">
        <f>[2]Urban_area_finals!X50/[2]Urban_area_finals!$G50</f>
        <v>1.0676299632382801E-2</v>
      </c>
      <c r="Y100" s="1">
        <f>[2]Urban_area_finals!Y50/[2]Urban_area_finals!$G50</f>
        <v>1.1510592459026458E-2</v>
      </c>
      <c r="Z100" s="1">
        <f>[2]Urban_area_finals!Z50/[2]Urban_area_finals!$G50</f>
        <v>1.2517040948310869E-2</v>
      </c>
      <c r="AA100" s="1">
        <f>[2]Urban_area_finals!AA50/[2]Urban_area_finals!$G50</f>
        <v>1.3052047776825214E-2</v>
      </c>
      <c r="AB100" s="1">
        <f>[2]Urban_area_finals!AB50/[2]Urban_area_finals!$G50</f>
        <v>1.3242743280058051E-2</v>
      </c>
      <c r="AC100" s="1">
        <f>[2]Urban_area_finals!AC50/[2]Urban_area_finals!$G50</f>
        <v>1.3396359102106726E-2</v>
      </c>
      <c r="AD100" s="1">
        <f>[2]Urban_area_finals!AD50/[2]Urban_area_finals!$G50</f>
        <v>1.3552623472811408E-2</v>
      </c>
      <c r="AE100" s="1">
        <f>[2]Urban_area_finals!AE50/[2]Urban_area_finals!$G50</f>
        <v>1.3600297348619618E-2</v>
      </c>
      <c r="AF100" s="1">
        <f>[2]Urban_area_finals!AF50/[2]Urban_area_finals!$G50</f>
        <v>1.3624134286523724E-2</v>
      </c>
      <c r="AG100" s="1">
        <f>[2]Urban_area_finals!AG50/[2]Urban_area_finals!$G50</f>
        <v>1.3661213967707886E-2</v>
      </c>
      <c r="AH100" s="1">
        <f>[2]Urban_area_finals!AH50/[2]Urban_area_finals!$G50</f>
        <v>1.3690348002924011E-2</v>
      </c>
      <c r="AI100" s="1">
        <f>[2]Urban_area_finals!AI50/[2]Urban_area_finals!$G50</f>
        <v>1.3777750108572398E-2</v>
      </c>
      <c r="AJ100" s="1">
        <f>[2]Urban_area_finals!AJ50/[2]Urban_area_finals!$G50</f>
        <v>1.3867800762876793E-2</v>
      </c>
      <c r="AK100" s="1">
        <f>[2]Urban_area_finals!AK50/[2]Urban_area_finals!$G50</f>
        <v>1.4055847717453615E-2</v>
      </c>
      <c r="AL100" s="1">
        <f>[2]Urban_area_finals!AL50/[2]Urban_area_finals!$G50</f>
        <v>1.4198869344878242E-2</v>
      </c>
      <c r="AM100" s="1">
        <f>[2]Urban_area_finals!AM50/[2]Urban_area_finals!$G50</f>
        <v>1.4341890972302868E-2</v>
      </c>
      <c r="AN100" s="1">
        <f>[2]Urban_area_finals!AN50/[2]Urban_area_finals!$G50</f>
        <v>1.4511398086287614E-2</v>
      </c>
      <c r="AO100" s="1">
        <f>[2]Urban_area_finals!AO50/[2]Urban_area_finals!$G50</f>
        <v>1.504905346345797E-2</v>
      </c>
      <c r="AP100" s="1">
        <f>[2]Urban_area_finals!AP50/[2]Urban_area_finals!$G50</f>
        <v>1.5369527850835375E-2</v>
      </c>
      <c r="AQ100" s="1">
        <f>[2]Urban_area_finals!AQ50/[2]Urban_area_finals!$G50</f>
        <v>1.6979845433690431E-2</v>
      </c>
      <c r="AR100" s="1">
        <f>[2]Urban_area_finals!AR50/[2]Urban_area_finals!$G50</f>
        <v>1.8282931372448148E-2</v>
      </c>
      <c r="AS100" s="1">
        <f>[2]Urban_area_finals!AS50/[2]Urban_area_finals!$G50</f>
        <v>1.8780858519778329E-2</v>
      </c>
      <c r="AT100" s="1">
        <f>[2]Urban_area_finals!AT50/[2]Urban_area_finals!$G50</f>
        <v>1.819023216948774E-2</v>
      </c>
      <c r="AU100" s="1">
        <f>[2]Urban_area_finals!AU50/[2]Urban_area_finals!$G50</f>
        <v>1.819023216948774E-2</v>
      </c>
      <c r="AV100" s="1">
        <f>[2]Urban_area_finals!AV50/[2]Urban_area_finals!$G50</f>
        <v>1.819023216948774E-2</v>
      </c>
      <c r="AW100" s="1">
        <f>[2]Urban_area_finals!AW50/[2]Urban_area_finals!$G50</f>
        <v>1.819023216948774E-2</v>
      </c>
      <c r="AX100" s="1">
        <f>[2]Urban_area_finals!AX50/[2]Urban_area_finals!$G50</f>
        <v>1.819023216948774E-2</v>
      </c>
      <c r="AY100" s="1">
        <f>[2]Urban_area_finals!AY50/[2]Urban_area_finals!$G50</f>
        <v>1.819023216948774E-2</v>
      </c>
    </row>
    <row r="101" spans="1:51" x14ac:dyDescent="0.25">
      <c r="A101" t="s">
        <v>331</v>
      </c>
      <c r="B101" t="s">
        <v>332</v>
      </c>
      <c r="C101" t="s">
        <v>333</v>
      </c>
      <c r="D101" t="s">
        <v>105</v>
      </c>
      <c r="E101" t="s">
        <v>61</v>
      </c>
      <c r="F101" t="s">
        <v>61</v>
      </c>
      <c r="G101">
        <v>95918.088015760382</v>
      </c>
      <c r="H101">
        <v>560.31655570022122</v>
      </c>
      <c r="I101">
        <f>Table2[[#This Row],[FUA_area]]+Table2[[#This Row],[FUA_urban]]</f>
        <v>96478.404571460604</v>
      </c>
      <c r="J101">
        <v>5034186</v>
      </c>
      <c r="K101" s="1">
        <f>[2]Urban_area_finals!K146/[2]Urban_area_finals!$G146</f>
        <v>1.1133007619776886E-3</v>
      </c>
      <c r="L101" s="1">
        <f>[2]Urban_area_finals!L146/[2]Urban_area_finals!$G146</f>
        <v>1.1133007619776886E-3</v>
      </c>
      <c r="M101" s="1">
        <f>[2]Urban_area_finals!M146/[2]Urban_area_finals!$G146</f>
        <v>1.1133007619776886E-3</v>
      </c>
      <c r="N101" s="1">
        <f>[2]Urban_area_finals!N146/[2]Urban_area_finals!$G146</f>
        <v>1.1133007619776886E-3</v>
      </c>
      <c r="O101" s="1">
        <f>[2]Urban_area_finals!O146/[2]Urban_area_finals!$G146</f>
        <v>1.1133007619776886E-3</v>
      </c>
      <c r="P101" s="1">
        <f>[2]Urban_area_finals!P146/[2]Urban_area_finals!$G146</f>
        <v>1.1133007619776886E-3</v>
      </c>
      <c r="Q101" s="1">
        <f>[2]Urban_area_finals!Q146/[2]Urban_area_finals!$G146</f>
        <v>1.2246308381754574E-3</v>
      </c>
      <c r="R101" s="1">
        <f>[2]Urban_area_finals!R146/[2]Urban_area_finals!$G146</f>
        <v>1.3359609143732262E-3</v>
      </c>
      <c r="S101" s="1">
        <f>[2]Urban_area_finals!S146/[2]Urban_area_finals!$G146</f>
        <v>1.4472909905709952E-3</v>
      </c>
      <c r="T101" s="1">
        <f>[2]Urban_area_finals!T146/[2]Urban_area_finals!$G146</f>
        <v>2.1152714477576085E-3</v>
      </c>
      <c r="U101" s="1">
        <f>[2]Urban_area_finals!U146/[2]Urban_area_finals!$G146</f>
        <v>3.4512323621308347E-3</v>
      </c>
      <c r="V101" s="1">
        <f>[2]Urban_area_finals!V146/[2]Urban_area_finals!$G146</f>
        <v>3.6738925145263727E-3</v>
      </c>
      <c r="W101" s="1">
        <f>[2]Urban_area_finals!W146/[2]Urban_area_finals!$G146</f>
        <v>4.5645331241085238E-3</v>
      </c>
      <c r="X101" s="1">
        <f>[2]Urban_area_finals!X146/[2]Urban_area_finals!$G146</f>
        <v>4.8985233527018297E-3</v>
      </c>
      <c r="Y101" s="1">
        <f>[2]Urban_area_finals!Y146/[2]Urban_area_finals!$G146</f>
        <v>5.7891639622839807E-3</v>
      </c>
      <c r="Z101" s="1">
        <f>[2]Urban_area_finals!Z146/[2]Urban_area_finals!$G146</f>
        <v>5.7891639622839807E-3</v>
      </c>
      <c r="AA101" s="1">
        <f>[2]Urban_area_finals!AA146/[2]Urban_area_finals!$G146</f>
        <v>5.7891639622839807E-3</v>
      </c>
      <c r="AB101" s="1">
        <f>[2]Urban_area_finals!AB146/[2]Urban_area_finals!$G146</f>
        <v>5.7891639622839807E-3</v>
      </c>
      <c r="AC101" s="1">
        <f>[2]Urban_area_finals!AC146/[2]Urban_area_finals!$G146</f>
        <v>5.7891639622839807E-3</v>
      </c>
      <c r="AD101" s="1">
        <f>[2]Urban_area_finals!AD146/[2]Urban_area_finals!$G146</f>
        <v>5.7891639622839807E-3</v>
      </c>
      <c r="AE101" s="1">
        <f>[2]Urban_area_finals!AE146/[2]Urban_area_finals!$G146</f>
        <v>5.7891639622839807E-3</v>
      </c>
      <c r="AF101" s="1">
        <f>[2]Urban_area_finals!AF146/[2]Urban_area_finals!$G146</f>
        <v>5.7891639622839807E-3</v>
      </c>
      <c r="AG101" s="1">
        <f>[2]Urban_area_finals!AG146/[2]Urban_area_finals!$G146</f>
        <v>5.7891639622839807E-3</v>
      </c>
      <c r="AH101" s="1">
        <f>[2]Urban_area_finals!AH146/[2]Urban_area_finals!$G146</f>
        <v>5.7891639622839807E-3</v>
      </c>
      <c r="AI101" s="1">
        <f>[2]Urban_area_finals!AI146/[2]Urban_area_finals!$G146</f>
        <v>5.7891639622839807E-3</v>
      </c>
      <c r="AJ101" s="1">
        <f>[2]Urban_area_finals!AJ146/[2]Urban_area_finals!$G146</f>
        <v>5.7891639622839807E-3</v>
      </c>
      <c r="AK101" s="1">
        <f>[2]Urban_area_finals!AK146/[2]Urban_area_finals!$G146</f>
        <v>6.3458143432728251E-3</v>
      </c>
      <c r="AL101" s="1">
        <f>[2]Urban_area_finals!AL146/[2]Urban_area_finals!$G146</f>
        <v>8.5724158672282023E-3</v>
      </c>
      <c r="AM101" s="1">
        <f>[2]Urban_area_finals!AM146/[2]Urban_area_finals!$G146</f>
        <v>8.7950760196237408E-3</v>
      </c>
      <c r="AN101" s="1">
        <f>[2]Urban_area_finals!AN146/[2]Urban_area_finals!$G146</f>
        <v>9.2403963244148141E-3</v>
      </c>
      <c r="AO101" s="1">
        <f>[2]Urban_area_finals!AO146/[2]Urban_area_finals!$G146</f>
        <v>1.0242367010194736E-2</v>
      </c>
      <c r="AP101" s="1">
        <f>[2]Urban_area_finals!AP146/[2]Urban_area_finals!$G146</f>
        <v>1.0465027162590273E-2</v>
      </c>
      <c r="AQ101" s="1">
        <f>[2]Urban_area_finals!AQ146/[2]Urban_area_finals!$G146</f>
        <v>1.1021677543579118E-2</v>
      </c>
      <c r="AR101" s="1">
        <f>[2]Urban_area_finals!AR146/[2]Urban_area_finals!$G146</f>
        <v>1.1912318153161268E-2</v>
      </c>
      <c r="AS101" s="1">
        <f>[2]Urban_area_finals!AS146/[2]Urban_area_finals!$G146</f>
        <v>1.2914288838941189E-2</v>
      </c>
      <c r="AT101" s="1">
        <f>[2]Urban_area_finals!AT146/[2]Urban_area_finals!$G146</f>
        <v>1.35822692961278E-2</v>
      </c>
      <c r="AU101" s="1">
        <f>[2]Urban_area_finals!AU146/[2]Urban_area_finals!$G146</f>
        <v>1.4072121631397984E-2</v>
      </c>
      <c r="AV101" s="1">
        <f>[2]Urban_area_finals!AV146/[2]Urban_area_finals!$G146</f>
        <v>1.4806900134303261E-2</v>
      </c>
      <c r="AW101" s="1">
        <f>[2]Urban_area_finals!AW146/[2]Urban_area_finals!$G146</f>
        <v>1.5920200896280948E-2</v>
      </c>
      <c r="AX101" s="1">
        <f>[2]Urban_area_finals!AX146/[2]Urban_area_finals!$G146</f>
        <v>1.6810841505863098E-2</v>
      </c>
      <c r="AY101" s="1">
        <f>[2]Urban_area_finals!AY146/[2]Urban_area_finals!$G146</f>
        <v>1.7812812191643018E-2</v>
      </c>
    </row>
    <row r="102" spans="1:51" x14ac:dyDescent="0.25">
      <c r="A102" t="s">
        <v>433</v>
      </c>
      <c r="B102" t="s">
        <v>434</v>
      </c>
      <c r="C102" t="s">
        <v>435</v>
      </c>
      <c r="D102" t="s">
        <v>139</v>
      </c>
      <c r="E102" t="s">
        <v>55</v>
      </c>
      <c r="F102" t="s">
        <v>140</v>
      </c>
      <c r="G102">
        <v>295856.8089222096</v>
      </c>
      <c r="H102">
        <v>15318.41920694391</v>
      </c>
      <c r="I102">
        <f>Table2[[#This Row],[FUA_area]]+Table2[[#This Row],[FUA_urban]]</f>
        <v>311175.22812915349</v>
      </c>
      <c r="J102">
        <v>111287624</v>
      </c>
      <c r="K102" s="1">
        <f>[2]Urban_area_finals!K54/[2]Urban_area_finals!$G54</f>
        <v>1.0045700639804148E-4</v>
      </c>
      <c r="L102" s="1">
        <f>[2]Urban_area_finals!L54/[2]Urban_area_finals!$G54</f>
        <v>1.0958946152513617E-4</v>
      </c>
      <c r="M102" s="1">
        <f>[2]Urban_area_finals!M54/[2]Urban_area_finals!$G54</f>
        <v>1.2785437177932553E-4</v>
      </c>
      <c r="N102" s="1">
        <f>[2]Urban_area_finals!N54/[2]Urban_area_finals!$G54</f>
        <v>1.5525173716060959E-4</v>
      </c>
      <c r="O102" s="1">
        <f>[2]Urban_area_finals!O54/[2]Urban_area_finals!$G54</f>
        <v>2.0091401279608297E-4</v>
      </c>
      <c r="P102" s="1">
        <f>[2]Urban_area_finals!P54/[2]Urban_area_finals!$G54</f>
        <v>2.1917892305027233E-4</v>
      </c>
      <c r="Q102" s="1">
        <f>[2]Urban_area_finals!Q54/[2]Urban_area_finals!$G54</f>
        <v>2.3744383330446173E-4</v>
      </c>
      <c r="R102" s="1">
        <f>[2]Urban_area_finals!R54/[2]Urban_area_finals!$G54</f>
        <v>2.922385640670298E-4</v>
      </c>
      <c r="S102" s="1">
        <f>[2]Urban_area_finals!S54/[2]Urban_area_finals!$G54</f>
        <v>2.922385640670298E-4</v>
      </c>
      <c r="T102" s="1">
        <f>[2]Urban_area_finals!T54/[2]Urban_area_finals!$G54</f>
        <v>3.7443066021088193E-4</v>
      </c>
      <c r="U102" s="1">
        <f>[2]Urban_area_finals!U54/[2]Urban_area_finals!$G54</f>
        <v>4.8402012173601812E-4</v>
      </c>
      <c r="V102" s="1">
        <f>[2]Urban_area_finals!V54/[2]Urban_area_finals!$G54</f>
        <v>5.7534467300696481E-4</v>
      </c>
      <c r="W102" s="1">
        <f>[2]Urban_area_finals!W54/[2]Urban_area_finals!$G54</f>
        <v>6.7580167940500639E-4</v>
      </c>
      <c r="X102" s="1">
        <f>[2]Urban_area_finals!X54/[2]Urban_area_finals!$G54</f>
        <v>6.7580167940500639E-4</v>
      </c>
      <c r="Y102" s="1">
        <f>[2]Urban_area_finals!Y54/[2]Urban_area_finals!$G54</f>
        <v>6.8493413453210106E-4</v>
      </c>
      <c r="Z102" s="1">
        <f>[2]Urban_area_finals!Z54/[2]Urban_area_finals!$G54</f>
        <v>7.3972886529466908E-4</v>
      </c>
      <c r="AA102" s="1">
        <f>[2]Urban_area_finals!AA54/[2]Urban_area_finals!$G54</f>
        <v>7.6712623067595319E-4</v>
      </c>
      <c r="AB102" s="1">
        <f>[2]Urban_area_finals!AB54/[2]Urban_area_finals!$G54</f>
        <v>7.6712623067595319E-4</v>
      </c>
      <c r="AC102" s="1">
        <f>[2]Urban_area_finals!AC54/[2]Urban_area_finals!$G54</f>
        <v>7.7625868580304786E-4</v>
      </c>
      <c r="AD102" s="1">
        <f>[2]Urban_area_finals!AD54/[2]Urban_area_finals!$G54</f>
        <v>7.7625868580304786E-4</v>
      </c>
      <c r="AE102" s="1">
        <f>[2]Urban_area_finals!AE54/[2]Urban_area_finals!$G54</f>
        <v>7.8539114093014253E-4</v>
      </c>
      <c r="AF102" s="1">
        <f>[2]Urban_area_finals!AF54/[2]Urban_area_finals!$G54</f>
        <v>7.945235960572372E-4</v>
      </c>
      <c r="AG102" s="1">
        <f>[2]Urban_area_finals!AG54/[2]Urban_area_finals!$G54</f>
        <v>7.945235960572372E-4</v>
      </c>
      <c r="AH102" s="1">
        <f>[2]Urban_area_finals!AH54/[2]Urban_area_finals!$G54</f>
        <v>8.1278850631142654E-4</v>
      </c>
      <c r="AI102" s="1">
        <f>[2]Urban_area_finals!AI54/[2]Urban_area_finals!$G54</f>
        <v>8.4931832681980522E-4</v>
      </c>
      <c r="AJ102" s="1">
        <f>[2]Urban_area_finals!AJ54/[2]Urban_area_finals!$G54</f>
        <v>9.7717269859913091E-4</v>
      </c>
      <c r="AK102" s="1">
        <f>[2]Urban_area_finals!AK54/[2]Urban_area_finals!$G54</f>
        <v>1.0958946152513616E-3</v>
      </c>
      <c r="AL102" s="1">
        <f>[2]Urban_area_finals!AL54/[2]Urban_area_finals!$G54</f>
        <v>1.2694112626661605E-3</v>
      </c>
      <c r="AM102" s="1">
        <f>[2]Urban_area_finals!AM54/[2]Urban_area_finals!$G54</f>
        <v>1.8264910254189362E-3</v>
      </c>
      <c r="AN102" s="1">
        <f>[2]Urban_area_finals!AN54/[2]Urban_area_finals!$G54</f>
        <v>2.2009216856298179E-3</v>
      </c>
      <c r="AO102" s="1">
        <f>[2]Urban_area_finals!AO54/[2]Urban_area_finals!$G54</f>
        <v>2.5114251599510375E-3</v>
      </c>
      <c r="AP102" s="1">
        <f>[2]Urban_area_finals!AP54/[2]Urban_area_finals!$G54</f>
        <v>2.6666768971116469E-3</v>
      </c>
      <c r="AQ102" s="1">
        <f>[2]Urban_area_finals!AQ54/[2]Urban_area_finals!$G54</f>
        <v>3.3424785765166533E-3</v>
      </c>
      <c r="AR102" s="1">
        <f>[2]Urban_area_finals!AR54/[2]Urban_area_finals!$G54</f>
        <v>3.9452206149049023E-3</v>
      </c>
      <c r="AS102" s="1">
        <f>[2]Urban_area_finals!AS54/[2]Urban_area_finals!$G54</f>
        <v>4.6758170250724767E-3</v>
      </c>
      <c r="AT102" s="1">
        <f>[2]Urban_area_finals!AT54/[2]Urban_area_finals!$G54</f>
        <v>5.6803870890528921E-3</v>
      </c>
      <c r="AU102" s="1">
        <f>[2]Urban_area_finals!AU54/[2]Urban_area_finals!$G54</f>
        <v>7.1817627119472567E-3</v>
      </c>
      <c r="AV102" s="1">
        <f>[2]Urban_area_finals!AV54/[2]Urban_area_finals!$G54</f>
        <v>9.4338261462888068E-3</v>
      </c>
      <c r="AW102" s="1">
        <f>[2]Urban_area_finals!AW54/[2]Urban_area_finals!$G54</f>
        <v>1.3534298498354316E-2</v>
      </c>
      <c r="AX102" s="1">
        <f>[2]Urban_area_finals!AX54/[2]Urban_area_finals!$G54</f>
        <v>1.6319697312118193E-2</v>
      </c>
      <c r="AY102" s="1">
        <f>[2]Urban_area_finals!AY54/[2]Urban_area_finals!$G54</f>
        <v>1.7634770850419829E-2</v>
      </c>
    </row>
    <row r="103" spans="1:51" x14ac:dyDescent="0.25">
      <c r="A103" t="s">
        <v>502</v>
      </c>
      <c r="B103" t="s">
        <v>503</v>
      </c>
      <c r="C103" t="s">
        <v>504</v>
      </c>
      <c r="D103" t="s">
        <v>91</v>
      </c>
      <c r="E103" t="s">
        <v>66</v>
      </c>
      <c r="F103" t="s">
        <v>66</v>
      </c>
      <c r="G103">
        <v>450047.27850558591</v>
      </c>
      <c r="H103">
        <v>11095.874757339399</v>
      </c>
      <c r="I103">
        <f>Table2[[#This Row],[FUA_area]]+Table2[[#This Row],[FUA_urban]]</f>
        <v>461143.15326292533</v>
      </c>
      <c r="J103">
        <v>10321414</v>
      </c>
      <c r="K103" s="1">
        <f>[2]Urban_area_finals!K134/[2]Urban_area_finals!$G134</f>
        <v>4.1930459811095086E-4</v>
      </c>
      <c r="L103" s="1">
        <f>[2]Urban_area_finals!L134/[2]Urban_area_finals!$G134</f>
        <v>4.268479918236666E-4</v>
      </c>
      <c r="M103" s="1">
        <f>[2]Urban_area_finals!M134/[2]Urban_area_finals!$G134</f>
        <v>4.3582672562630833E-4</v>
      </c>
      <c r="N103" s="1">
        <f>[2]Urban_area_finals!N134/[2]Urban_area_finals!$G134</f>
        <v>4.507402707489591E-4</v>
      </c>
      <c r="O103" s="1">
        <f>[2]Urban_area_finals!O134/[2]Urban_area_finals!$G134</f>
        <v>4.6982596144455558E-4</v>
      </c>
      <c r="P103" s="1">
        <f>[2]Urban_area_finals!P134/[2]Urban_area_finals!$G134</f>
        <v>4.8006503791101488E-4</v>
      </c>
      <c r="Q103" s="1">
        <f>[2]Urban_area_finals!Q134/[2]Urban_area_finals!$G134</f>
        <v>4.961469872943649E-4</v>
      </c>
      <c r="R103" s="1">
        <f>[2]Urban_area_finals!R134/[2]Urban_area_finals!$G134</f>
        <v>5.1791793055502107E-4</v>
      </c>
      <c r="S103" s="1">
        <f>[2]Urban_area_finals!S134/[2]Urban_area_finals!$G134</f>
        <v>5.9769905606308813E-4</v>
      </c>
      <c r="T103" s="1">
        <f>[2]Urban_area_finals!T134/[2]Urban_area_finals!$G134</f>
        <v>7.1937049444296942E-4</v>
      </c>
      <c r="U103" s="1">
        <f>[2]Urban_area_finals!U134/[2]Urban_area_finals!$G134</f>
        <v>9.9441575203572993E-4</v>
      </c>
      <c r="V103" s="1">
        <f>[2]Urban_area_finals!V134/[2]Urban_area_finals!$G134</f>
        <v>1.3473493597090454E-3</v>
      </c>
      <c r="W103" s="1">
        <f>[2]Urban_area_finals!W134/[2]Urban_area_finals!$G134</f>
        <v>1.7998807224743211E-3</v>
      </c>
      <c r="X103" s="1">
        <f>[2]Urban_area_finals!X134/[2]Urban_area_finals!$G134</f>
        <v>1.9505152526825332E-3</v>
      </c>
      <c r="Y103" s="1">
        <f>[2]Urban_area_finals!Y134/[2]Urban_area_finals!$G134</f>
        <v>2.252814115971473E-3</v>
      </c>
      <c r="Z103" s="1">
        <f>[2]Urban_area_finals!Z134/[2]Urban_area_finals!$G134</f>
        <v>2.5799358033520947E-3</v>
      </c>
      <c r="AA103" s="1">
        <f>[2]Urban_area_finals!AA134/[2]Urban_area_finals!$G134</f>
        <v>2.8208288508796155E-3</v>
      </c>
      <c r="AB103" s="1">
        <f>[2]Urban_area_finals!AB134/[2]Urban_area_finals!$G134</f>
        <v>2.8833001808318344E-3</v>
      </c>
      <c r="AC103" s="1">
        <f>[2]Urban_area_finals!AC134/[2]Urban_area_finals!$G134</f>
        <v>3.0134617230192736E-3</v>
      </c>
      <c r="AD103" s="1">
        <f>[2]Urban_area_finals!AD134/[2]Urban_area_finals!$G134</f>
        <v>3.1448092948718107E-3</v>
      </c>
      <c r="AE103" s="1">
        <f>[2]Urban_area_finals!AE134/[2]Urban_area_finals!$G134</f>
        <v>3.2400736679910219E-3</v>
      </c>
      <c r="AF103" s="1">
        <f>[2]Urban_area_finals!AF134/[2]Urban_area_finals!$G134</f>
        <v>3.363067856357023E-3</v>
      </c>
      <c r="AG103" s="1">
        <f>[2]Urban_area_finals!AG134/[2]Urban_area_finals!$G134</f>
        <v>3.469168267635458E-3</v>
      </c>
      <c r="AH103" s="1">
        <f>[2]Urban_area_finals!AH134/[2]Urban_area_finals!$G134</f>
        <v>3.5510054101543852E-3</v>
      </c>
      <c r="AI103" s="1">
        <f>[2]Urban_area_finals!AI134/[2]Urban_area_finals!$G134</f>
        <v>3.6407671274448108E-3</v>
      </c>
      <c r="AJ103" s="1">
        <f>[2]Urban_area_finals!AJ134/[2]Urban_area_finals!$G134</f>
        <v>3.7714628514106461E-3</v>
      </c>
      <c r="AK103" s="1">
        <f>[2]Urban_area_finals!AK134/[2]Urban_area_finals!$G134</f>
        <v>3.9170112082419955E-3</v>
      </c>
      <c r="AL103" s="1">
        <f>[2]Urban_area_finals!AL134/[2]Urban_area_finals!$G134</f>
        <v>4.1056504105636254E-3</v>
      </c>
      <c r="AM103" s="1">
        <f>[2]Urban_area_finals!AM134/[2]Urban_area_finals!$G134</f>
        <v>4.4303204813036677E-3</v>
      </c>
      <c r="AN103" s="1">
        <f>[2]Urban_area_finals!AN134/[2]Urban_area_finals!$G134</f>
        <v>4.685487541186111E-3</v>
      </c>
      <c r="AO103" s="1">
        <f>[2]Urban_area_finals!AO134/[2]Urban_area_finals!$G134</f>
        <v>4.9640937475653492E-3</v>
      </c>
      <c r="AP103" s="1">
        <f>[2]Urban_area_finals!AP134/[2]Urban_area_finals!$G134</f>
        <v>5.4169858021644885E-3</v>
      </c>
      <c r="AQ103" s="1">
        <f>[2]Urban_area_finals!AQ134/[2]Urban_area_finals!$G134</f>
        <v>6.0870011977485388E-3</v>
      </c>
      <c r="AR103" s="1">
        <f>[2]Urban_area_finals!AR134/[2]Urban_area_finals!$G134</f>
        <v>6.8353724516947573E-3</v>
      </c>
      <c r="AS103" s="1">
        <f>[2]Urban_area_finals!AS134/[2]Urban_area_finals!$G134</f>
        <v>7.4517600957283436E-3</v>
      </c>
      <c r="AT103" s="1">
        <f>[2]Urban_area_finals!AT134/[2]Urban_area_finals!$G134</f>
        <v>7.731932221343372E-3</v>
      </c>
      <c r="AU103" s="1">
        <f>[2]Urban_area_finals!AU134/[2]Urban_area_finals!$G134</f>
        <v>8.0881717505694242E-3</v>
      </c>
      <c r="AV103" s="1">
        <f>[2]Urban_area_finals!AV134/[2]Urban_area_finals!$G134</f>
        <v>8.6225310444085091E-3</v>
      </c>
      <c r="AW103" s="1">
        <f>[2]Urban_area_finals!AW134/[2]Urban_area_finals!$G134</f>
        <v>9.821329249797844E-3</v>
      </c>
      <c r="AX103" s="1">
        <f>[2]Urban_area_finals!AX134/[2]Urban_area_finals!$G134</f>
        <v>1.2145294257069681E-2</v>
      </c>
      <c r="AY103" s="1">
        <f>[2]Urban_area_finals!AY134/[2]Urban_area_finals!$G134</f>
        <v>1.7253121465228925E-2</v>
      </c>
    </row>
    <row r="104" spans="1:51" x14ac:dyDescent="0.25">
      <c r="A104" t="s">
        <v>562</v>
      </c>
      <c r="B104" t="s">
        <v>563</v>
      </c>
      <c r="C104" t="s">
        <v>564</v>
      </c>
      <c r="D104" t="s">
        <v>70</v>
      </c>
      <c r="E104" t="s">
        <v>71</v>
      </c>
      <c r="F104" t="s">
        <v>70</v>
      </c>
      <c r="G104">
        <v>452194.79684866202</v>
      </c>
      <c r="H104">
        <v>1368.9775930866581</v>
      </c>
      <c r="I104">
        <f>Table2[[#This Row],[FUA_area]]+Table2[[#This Row],[FUA_urban]]</f>
        <v>453563.77444174868</v>
      </c>
      <c r="J104">
        <v>31927134</v>
      </c>
      <c r="K104" s="1">
        <f>[2]Urban_area_finals!K13/[2]Urban_area_finals!$G13</f>
        <v>5.5301689225260181E-4</v>
      </c>
      <c r="L104" s="1">
        <f>[2]Urban_area_finals!L13/[2]Urban_area_finals!$G13</f>
        <v>5.5301689225260181E-4</v>
      </c>
      <c r="M104" s="1">
        <f>[2]Urban_area_finals!M13/[2]Urban_area_finals!$G13</f>
        <v>5.5301689225260181E-4</v>
      </c>
      <c r="N104" s="1">
        <f>[2]Urban_area_finals!N13/[2]Urban_area_finals!$G13</f>
        <v>5.5301689225260181E-4</v>
      </c>
      <c r="O104" s="1">
        <f>[2]Urban_area_finals!O13/[2]Urban_area_finals!$G13</f>
        <v>5.5301689225260181E-4</v>
      </c>
      <c r="P104" s="1">
        <f>[2]Urban_area_finals!P13/[2]Urban_area_finals!$G13</f>
        <v>5.5301689225260181E-4</v>
      </c>
      <c r="Q104" s="1">
        <f>[2]Urban_area_finals!Q13/[2]Urban_area_finals!$G13</f>
        <v>5.5301689225260181E-4</v>
      </c>
      <c r="R104" s="1">
        <f>[2]Urban_area_finals!R13/[2]Urban_area_finals!$G13</f>
        <v>5.5301689225260181E-4</v>
      </c>
      <c r="S104" s="1">
        <f>[2]Urban_area_finals!S13/[2]Urban_area_finals!$G13</f>
        <v>5.5301689225260181E-4</v>
      </c>
      <c r="T104" s="1">
        <f>[2]Urban_area_finals!T13/[2]Urban_area_finals!$G13</f>
        <v>6.2214400378417722E-4</v>
      </c>
      <c r="U104" s="1">
        <f>[2]Urban_area_finals!U13/[2]Urban_area_finals!$G13</f>
        <v>9.6777956144205321E-4</v>
      </c>
      <c r="V104" s="1">
        <f>[2]Urban_area_finals!V13/[2]Urban_area_finals!$G13</f>
        <v>1.6590506767578056E-3</v>
      </c>
      <c r="W104" s="1">
        <f>[2]Urban_area_finals!W13/[2]Urban_area_finals!$G13</f>
        <v>2.4194489036051337E-3</v>
      </c>
      <c r="X104" s="1">
        <f>[2]Urban_area_finals!X13/[2]Urban_area_finals!$G13</f>
        <v>2.4194489036051337E-3</v>
      </c>
      <c r="Y104" s="1">
        <f>[2]Urban_area_finals!Y13/[2]Urban_area_finals!$G13</f>
        <v>2.4885760151367089E-3</v>
      </c>
      <c r="Z104" s="1">
        <f>[2]Urban_area_finals!Z13/[2]Urban_area_finals!$G13</f>
        <v>3.4563555765787621E-3</v>
      </c>
      <c r="AA104" s="1">
        <f>[2]Urban_area_finals!AA13/[2]Urban_area_finals!$G13</f>
        <v>3.7328640227050629E-3</v>
      </c>
      <c r="AB104" s="1">
        <f>[2]Urban_area_finals!AB13/[2]Urban_area_finals!$G13</f>
        <v>3.8019911342366385E-3</v>
      </c>
      <c r="AC104" s="1">
        <f>[2]Urban_area_finals!AC13/[2]Urban_area_finals!$G13</f>
        <v>3.8019911342366385E-3</v>
      </c>
      <c r="AD104" s="1">
        <f>[2]Urban_area_finals!AD13/[2]Urban_area_finals!$G13</f>
        <v>4.0093724688313641E-3</v>
      </c>
      <c r="AE104" s="1">
        <f>[2]Urban_area_finals!AE13/[2]Urban_area_finals!$G13</f>
        <v>4.0093724688313641E-3</v>
      </c>
      <c r="AF104" s="1">
        <f>[2]Urban_area_finals!AF13/[2]Urban_area_finals!$G13</f>
        <v>4.6315164726155409E-3</v>
      </c>
      <c r="AG104" s="1">
        <f>[2]Urban_area_finals!AG13/[2]Urban_area_finals!$G13</f>
        <v>4.700643584147117E-3</v>
      </c>
      <c r="AH104" s="1">
        <f>[2]Urban_area_finals!AH13/[2]Urban_area_finals!$G13</f>
        <v>4.8388978072102674E-3</v>
      </c>
      <c r="AI104" s="1">
        <f>[2]Urban_area_finals!AI13/[2]Urban_area_finals!$G13</f>
        <v>4.8388978072102674E-3</v>
      </c>
      <c r="AJ104" s="1">
        <f>[2]Urban_area_finals!AJ13/[2]Urban_area_finals!$G13</f>
        <v>4.9771520302734178E-3</v>
      </c>
      <c r="AK104" s="1">
        <f>[2]Urban_area_finals!AK13/[2]Urban_area_finals!$G13</f>
        <v>5.1845333648681434E-3</v>
      </c>
      <c r="AL104" s="1">
        <f>[2]Urban_area_finals!AL13/[2]Urban_area_finals!$G13</f>
        <v>5.3227875879312938E-3</v>
      </c>
      <c r="AM104" s="1">
        <f>[2]Urban_area_finals!AM13/[2]Urban_area_finals!$G13</f>
        <v>5.7375502571207441E-3</v>
      </c>
      <c r="AN104" s="1">
        <f>[2]Urban_area_finals!AN13/[2]Urban_area_finals!$G13</f>
        <v>6.2905671493733465E-3</v>
      </c>
      <c r="AO104" s="1">
        <f>[2]Urban_area_finals!AO13/[2]Urban_area_finals!$G13</f>
        <v>7.1200924877522489E-3</v>
      </c>
      <c r="AP104" s="1">
        <f>[2]Urban_area_finals!AP13/[2]Urban_area_finals!$G13</f>
        <v>7.5348551569417001E-3</v>
      </c>
      <c r="AQ104" s="1">
        <f>[2]Urban_area_finals!AQ13/[2]Urban_area_finals!$G13</f>
        <v>8.0187449376627282E-3</v>
      </c>
      <c r="AR104" s="1">
        <f>[2]Urban_area_finals!AR13/[2]Urban_area_finals!$G13</f>
        <v>8.917397387573205E-3</v>
      </c>
      <c r="AS104" s="1">
        <f>[2]Urban_area_finals!AS13/[2]Urban_area_finals!$G13</f>
        <v>8.986524499104781E-3</v>
      </c>
      <c r="AT104" s="1">
        <f>[2]Urban_area_finals!AT13/[2]Urban_area_finals!$G13</f>
        <v>9.8160498374836834E-3</v>
      </c>
      <c r="AU104" s="1">
        <f>[2]Urban_area_finals!AU13/[2]Urban_area_finals!$G13</f>
        <v>1.0341415885123655E-2</v>
      </c>
      <c r="AV104" s="1">
        <f>[2]Urban_area_finals!AV13/[2]Urban_area_finals!$G13</f>
        <v>1.1129464956583611E-2</v>
      </c>
      <c r="AW104" s="1">
        <f>[2]Urban_area_finals!AW13/[2]Urban_area_finals!$G13</f>
        <v>1.2581134298746693E-2</v>
      </c>
      <c r="AX104" s="1">
        <f>[2]Urban_area_finals!AX13/[2]Urban_area_finals!$G13</f>
        <v>1.4171057863972924E-2</v>
      </c>
      <c r="AY104" s="1">
        <f>[2]Urban_area_finals!AY13/[2]Urban_area_finals!$G13</f>
        <v>1.5899235652262304E-2</v>
      </c>
    </row>
    <row r="105" spans="1:51" x14ac:dyDescent="0.25">
      <c r="A105" t="s">
        <v>157</v>
      </c>
      <c r="B105" t="s">
        <v>158</v>
      </c>
      <c r="C105" t="s">
        <v>159</v>
      </c>
      <c r="D105" t="s">
        <v>160</v>
      </c>
      <c r="E105" t="s">
        <v>55</v>
      </c>
      <c r="F105" t="s">
        <v>161</v>
      </c>
      <c r="G105">
        <v>9349155.5066191163</v>
      </c>
      <c r="H105">
        <v>382823.8913164268</v>
      </c>
      <c r="I105">
        <f>Table2[[#This Row],[FUA_area]]+Table2[[#This Row],[FUA_urban]]</f>
        <v>9731979.3979355432</v>
      </c>
      <c r="J105">
        <v>1423998017</v>
      </c>
      <c r="K105" s="1">
        <f>[2]Urban_area_finals!K18/[2]Urban_area_finals!$G18</f>
        <v>9.087420820306719E-4</v>
      </c>
      <c r="L105" s="1">
        <f>[2]Urban_area_finals!L18/[2]Urban_area_finals!$G18</f>
        <v>9.087420820306719E-4</v>
      </c>
      <c r="M105" s="1">
        <f>[2]Urban_area_finals!M18/[2]Urban_area_finals!$G18</f>
        <v>9.087420820306719E-4</v>
      </c>
      <c r="N105" s="1">
        <f>[2]Urban_area_finals!N18/[2]Urban_area_finals!$G18</f>
        <v>1.0097134244785244E-3</v>
      </c>
      <c r="O105" s="1">
        <f>[2]Urban_area_finals!O18/[2]Urban_area_finals!$G18</f>
        <v>1.1106847669263768E-3</v>
      </c>
      <c r="P105" s="1">
        <f>[2]Urban_area_finals!P18/[2]Urban_area_finals!$G18</f>
        <v>1.2116561093742295E-3</v>
      </c>
      <c r="Q105" s="1">
        <f>[2]Urban_area_finals!Q18/[2]Urban_area_finals!$G18</f>
        <v>1.413598794269934E-3</v>
      </c>
      <c r="R105" s="1">
        <f>[2]Urban_area_finals!R18/[2]Urban_area_finals!$G18</f>
        <v>1.7165128216134916E-3</v>
      </c>
      <c r="S105" s="1">
        <f>[2]Urban_area_finals!S18/[2]Urban_area_finals!$G18</f>
        <v>2.1203981914049009E-3</v>
      </c>
      <c r="T105" s="1">
        <f>[2]Urban_area_finals!T18/[2]Urban_area_finals!$G18</f>
        <v>3.0291402734355728E-3</v>
      </c>
      <c r="U105" s="1">
        <f>[2]Urban_area_finals!U18/[2]Urban_area_finals!$G18</f>
        <v>5.1495384648404738E-3</v>
      </c>
      <c r="V105" s="1">
        <f>[2]Urban_area_finals!V18/[2]Urban_area_finals!$G18</f>
        <v>6.6641086015582617E-3</v>
      </c>
      <c r="W105" s="1">
        <f>[2]Urban_area_finals!W18/[2]Urban_area_finals!$G18</f>
        <v>8.7845067929631614E-3</v>
      </c>
      <c r="X105" s="1">
        <f>[2]Urban_area_finals!X18/[2]Urban_area_finals!$G18</f>
        <v>9.5922775325459828E-3</v>
      </c>
      <c r="Y105" s="1">
        <f>[2]Urban_area_finals!Y18/[2]Urban_area_finals!$G18</f>
        <v>1.0299076929680948E-2</v>
      </c>
      <c r="Z105" s="1">
        <f>[2]Urban_area_finals!Z18/[2]Urban_area_finals!$G18</f>
        <v>1.1409761696607327E-2</v>
      </c>
      <c r="AA105" s="1">
        <f>[2]Urban_area_finals!AA18/[2]Urban_area_finals!$G18</f>
        <v>1.1611704381503031E-2</v>
      </c>
      <c r="AB105" s="1">
        <f>[2]Urban_area_finals!AB18/[2]Urban_area_finals!$G18</f>
        <v>1.1813647066398736E-2</v>
      </c>
      <c r="AC105" s="1">
        <f>[2]Urban_area_finals!AC18/[2]Urban_area_finals!$G18</f>
        <v>1.201558975129444E-2</v>
      </c>
      <c r="AD105" s="1">
        <f>[2]Urban_area_finals!AD18/[2]Urban_area_finals!$G18</f>
        <v>1.2621417805981555E-2</v>
      </c>
      <c r="AE105" s="1">
        <f>[2]Urban_area_finals!AE18/[2]Urban_area_finals!$G18</f>
        <v>1.2621417805981555E-2</v>
      </c>
      <c r="AF105" s="1">
        <f>[2]Urban_area_finals!AF18/[2]Urban_area_finals!$G18</f>
        <v>1.2924331833325111E-2</v>
      </c>
      <c r="AG105" s="1">
        <f>[2]Urban_area_finals!AG18/[2]Urban_area_finals!$G18</f>
        <v>1.3025303175772964E-2</v>
      </c>
      <c r="AH105" s="1">
        <f>[2]Urban_area_finals!AH18/[2]Urban_area_finals!$G18</f>
        <v>1.3126274518220815E-2</v>
      </c>
      <c r="AI105" s="1">
        <f>[2]Urban_area_finals!AI18/[2]Urban_area_finals!$G18</f>
        <v>1.3732102572907932E-2</v>
      </c>
      <c r="AJ105" s="1">
        <f>[2]Urban_area_finals!AJ18/[2]Urban_area_finals!$G18</f>
        <v>1.3833073915355784E-2</v>
      </c>
      <c r="AK105" s="1">
        <f>[2]Urban_area_finals!AK18/[2]Urban_area_finals!$G18</f>
        <v>1.3833073915355784E-2</v>
      </c>
      <c r="AL105" s="1">
        <f>[2]Urban_area_finals!AL18/[2]Urban_area_finals!$G18</f>
        <v>1.4035016600251488E-2</v>
      </c>
      <c r="AM105" s="1">
        <f>[2]Urban_area_finals!AM18/[2]Urban_area_finals!$G18</f>
        <v>1.413598794269934E-2</v>
      </c>
      <c r="AN105" s="1">
        <f>[2]Urban_area_finals!AN18/[2]Urban_area_finals!$G18</f>
        <v>1.4236959285147194E-2</v>
      </c>
      <c r="AO105" s="1">
        <f>[2]Urban_area_finals!AO18/[2]Urban_area_finals!$G18</f>
        <v>1.4236959285147194E-2</v>
      </c>
      <c r="AP105" s="1">
        <f>[2]Urban_area_finals!AP18/[2]Urban_area_finals!$G18</f>
        <v>1.4640844654938603E-2</v>
      </c>
      <c r="AQ105" s="1">
        <f>[2]Urban_area_finals!AQ18/[2]Urban_area_finals!$G18</f>
        <v>1.5246672709625719E-2</v>
      </c>
      <c r="AR105" s="1">
        <f>[2]Urban_area_finals!AR18/[2]Urban_area_finals!$G18</f>
        <v>1.5852500764312834E-2</v>
      </c>
      <c r="AS105" s="1">
        <f>[2]Urban_area_finals!AS18/[2]Urban_area_finals!$G18</f>
        <v>1.615541479165639E-2</v>
      </c>
      <c r="AT105" s="1">
        <f>[2]Urban_area_finals!AT18/[2]Urban_area_finals!$G18</f>
        <v>1.5246672709625719E-2</v>
      </c>
      <c r="AU105" s="1">
        <f>[2]Urban_area_finals!AU18/[2]Urban_area_finals!$G18</f>
        <v>1.5246672709625719E-2</v>
      </c>
      <c r="AV105" s="1">
        <f>[2]Urban_area_finals!AV18/[2]Urban_area_finals!$G18</f>
        <v>1.5246672709625719E-2</v>
      </c>
      <c r="AW105" s="1">
        <f>[2]Urban_area_finals!AW18/[2]Urban_area_finals!$G18</f>
        <v>1.5246672709625719E-2</v>
      </c>
      <c r="AX105" s="1">
        <f>[2]Urban_area_finals!AX18/[2]Urban_area_finals!$G18</f>
        <v>1.5246672709625719E-2</v>
      </c>
      <c r="AY105" s="1">
        <f>[2]Urban_area_finals!AY18/[2]Urban_area_finals!$G18</f>
        <v>1.5246672709625719E-2</v>
      </c>
    </row>
    <row r="106" spans="1:51" x14ac:dyDescent="0.25">
      <c r="A106" t="s">
        <v>490</v>
      </c>
      <c r="B106" t="s">
        <v>491</v>
      </c>
      <c r="C106" t="s">
        <v>492</v>
      </c>
      <c r="D106" t="s">
        <v>98</v>
      </c>
      <c r="E106" t="s">
        <v>61</v>
      </c>
      <c r="F106" t="s">
        <v>61</v>
      </c>
      <c r="G106">
        <v>628102.11105371732</v>
      </c>
      <c r="H106">
        <v>465.93788648962942</v>
      </c>
      <c r="I106">
        <f>Table2[[#This Row],[FUA_area]]+Table2[[#This Row],[FUA_urban]]</f>
        <v>628568.04894020699</v>
      </c>
      <c r="K106" s="1">
        <f>[2]Urban_area_finals!K163/[2]Urban_area_finals!$G163</f>
        <v>7.3294335323196164E-5</v>
      </c>
      <c r="L106" s="1">
        <f>[2]Urban_area_finals!L163/[2]Urban_area_finals!$G163</f>
        <v>1.3949567045382498E-4</v>
      </c>
      <c r="M106" s="1">
        <f>[2]Urban_area_finals!M163/[2]Urban_area_finals!$G163</f>
        <v>1.8560017170551288E-4</v>
      </c>
      <c r="N106" s="1">
        <f>[2]Urban_area_finals!N163/[2]Urban_area_finals!$G163</f>
        <v>2.8608434110021733E-4</v>
      </c>
      <c r="O106" s="1">
        <f>[2]Urban_area_finals!O163/[2]Urban_area_finals!$G163</f>
        <v>5.4852534822521007E-4</v>
      </c>
      <c r="P106" s="1">
        <f>[2]Urban_area_finals!P163/[2]Urban_area_finals!$G163</f>
        <v>6.8565668528151262E-4</v>
      </c>
      <c r="Q106" s="1">
        <f>[2]Urban_area_finals!Q163/[2]Urban_area_finals!$G163</f>
        <v>8.6771035689074173E-4</v>
      </c>
      <c r="R106" s="1">
        <f>[2]Urban_area_finals!R163/[2]Urban_area_finals!$G163</f>
        <v>1.0745895291739567E-3</v>
      </c>
      <c r="S106" s="1">
        <f>[2]Urban_area_finals!S163/[2]Urban_area_finals!$G163</f>
        <v>1.4587937062713562E-3</v>
      </c>
      <c r="T106" s="1">
        <f>[2]Urban_area_finals!T163/[2]Urban_area_finals!$G163</f>
        <v>2.0155942213878949E-3</v>
      </c>
      <c r="U106" s="1">
        <f>[2]Urban_area_finals!U163/[2]Urban_area_finals!$G163</f>
        <v>2.7532662414149014E-3</v>
      </c>
      <c r="V106" s="1">
        <f>[2]Urban_area_finals!V163/[2]Urban_area_finals!$G163</f>
        <v>3.7084569340139744E-3</v>
      </c>
      <c r="W106" s="1">
        <f>[2]Urban_area_finals!W163/[2]Urban_area_finals!$G163</f>
        <v>5.18616530746551E-3</v>
      </c>
      <c r="X106" s="1">
        <f>[2]Urban_area_finals!X163/[2]Urban_area_finals!$G163</f>
        <v>5.5597299842740583E-3</v>
      </c>
      <c r="Y106" s="1">
        <f>[2]Urban_area_finals!Y163/[2]Urban_area_finals!$G163</f>
        <v>6.252479669748138E-3</v>
      </c>
      <c r="Z106" s="1">
        <f>[2]Urban_area_finals!Z163/[2]Urban_area_finals!$G163</f>
        <v>6.7407145163365248E-3</v>
      </c>
      <c r="AA106" s="1">
        <f>[2]Urban_area_finals!AA163/[2]Urban_area_finals!$G163</f>
        <v>7.0031555234615177E-3</v>
      </c>
      <c r="AB106" s="1">
        <f>[2]Urban_area_finals!AB163/[2]Urban_area_finals!$G163</f>
        <v>7.0965466926636561E-3</v>
      </c>
      <c r="AC106" s="1">
        <f>[2]Urban_area_finals!AC163/[2]Urban_area_finals!$G163</f>
        <v>7.1923021952633153E-3</v>
      </c>
      <c r="AD106" s="1">
        <f>[2]Urban_area_finals!AD163/[2]Urban_area_finals!$G163</f>
        <v>7.3199761987295282E-3</v>
      </c>
      <c r="AE106" s="1">
        <f>[2]Urban_area_finals!AE163/[2]Urban_area_finals!$G163</f>
        <v>7.5126693706276081E-3</v>
      </c>
      <c r="AF106" s="1">
        <f>[2]Urban_area_finals!AF163/[2]Urban_area_finals!$G163</f>
        <v>7.6367968739975371E-3</v>
      </c>
      <c r="AG106" s="1">
        <f>[2]Urban_area_finals!AG163/[2]Urban_area_finals!$G163</f>
        <v>7.7762925444513605E-3</v>
      </c>
      <c r="AH106" s="1">
        <f>[2]Urban_area_finals!AH163/[2]Urban_area_finals!$G163</f>
        <v>7.9252455484952779E-3</v>
      </c>
      <c r="AI106" s="1">
        <f>[2]Urban_area_finals!AI163/[2]Urban_area_finals!$G163</f>
        <v>8.0576482187565343E-3</v>
      </c>
      <c r="AJ106" s="1">
        <f>[2]Urban_area_finals!AJ163/[2]Urban_area_finals!$G163</f>
        <v>8.2219693898843444E-3</v>
      </c>
      <c r="AK106" s="1">
        <f>[2]Urban_area_finals!AK163/[2]Urban_area_finals!$G163</f>
        <v>8.3910192278072015E-3</v>
      </c>
      <c r="AL106" s="1">
        <f>[2]Urban_area_finals!AL163/[2]Urban_area_finals!$G163</f>
        <v>8.5541582322362503E-3</v>
      </c>
      <c r="AM106" s="1">
        <f>[2]Urban_area_finals!AM163/[2]Urban_area_finals!$G163</f>
        <v>8.8969865748770079E-3</v>
      </c>
      <c r="AN106" s="1">
        <f>[2]Urban_area_finals!AN163/[2]Urban_area_finals!$G163</f>
        <v>9.0518504124147275E-3</v>
      </c>
      <c r="AO106" s="1">
        <f>[2]Urban_area_finals!AO163/[2]Urban_area_finals!$G163</f>
        <v>9.2008034164586423E-3</v>
      </c>
      <c r="AP106" s="1">
        <f>[2]Urban_area_finals!AP163/[2]Urban_area_finals!$G163</f>
        <v>9.5495425925932048E-3</v>
      </c>
      <c r="AQ106" s="1">
        <f>[2]Urban_area_finals!AQ163/[2]Urban_area_finals!$G163</f>
        <v>1.0154811942358953E-2</v>
      </c>
      <c r="AR106" s="1">
        <f>[2]Urban_area_finals!AR163/[2]Urban_area_finals!$G163</f>
        <v>1.0867658461711975E-2</v>
      </c>
      <c r="AS106" s="1">
        <f>[2]Urban_area_finals!AS163/[2]Urban_area_finals!$G163</f>
        <v>1.1353528974902839E-2</v>
      </c>
      <c r="AT106" s="1">
        <f>[2]Urban_area_finals!AT163/[2]Urban_area_finals!$G163</f>
        <v>1.1877228822454065E-2</v>
      </c>
      <c r="AU106" s="1">
        <f>[2]Urban_area_finals!AU163/[2]Urban_area_finals!$G163</f>
        <v>1.2136359762822527E-2</v>
      </c>
      <c r="AV106" s="1">
        <f>[2]Urban_area_finals!AV163/[2]Urban_area_finals!$G163</f>
        <v>1.2525056173375217E-2</v>
      </c>
      <c r="AW106" s="1">
        <f>[2]Urban_area_finals!AW163/[2]Urban_area_finals!$G163</f>
        <v>1.3358483696001885E-2</v>
      </c>
      <c r="AX106" s="1">
        <f>[2]Urban_area_finals!AX163/[2]Urban_area_finals!$G163</f>
        <v>1.4190729051929789E-2</v>
      </c>
      <c r="AY106" s="1">
        <f>[2]Urban_area_finals!AY163/[2]Urban_area_finals!$G163</f>
        <v>1.521093891296073E-2</v>
      </c>
    </row>
    <row r="107" spans="1:51" x14ac:dyDescent="0.25">
      <c r="A107" t="s">
        <v>460</v>
      </c>
      <c r="B107" t="s">
        <v>461</v>
      </c>
      <c r="C107" t="s">
        <v>462</v>
      </c>
      <c r="D107" t="s">
        <v>81</v>
      </c>
      <c r="E107" t="s">
        <v>71</v>
      </c>
      <c r="F107" t="s">
        <v>82</v>
      </c>
      <c r="G107">
        <v>16925822.852334712</v>
      </c>
      <c r="H107">
        <v>73333.736012667738</v>
      </c>
      <c r="I107">
        <f>Table2[[#This Row],[FUA_area]]+Table2[[#This Row],[FUA_urban]]</f>
        <v>16999156.588347379</v>
      </c>
      <c r="J107">
        <v>145761661</v>
      </c>
      <c r="K107" s="1">
        <f>[2]Urban_area_finals!K69/[2]Urban_area_finals!$G69</f>
        <v>1.8448212538658686E-4</v>
      </c>
      <c r="L107" s="1">
        <f>[2]Urban_area_finals!L69/[2]Urban_area_finals!$G69</f>
        <v>2.0936293834990943E-4</v>
      </c>
      <c r="M107" s="1">
        <f>[2]Urban_area_finals!M69/[2]Urban_area_finals!$G69</f>
        <v>2.3970539318322962E-4</v>
      </c>
      <c r="N107" s="1">
        <f>[2]Urban_area_finals!N69/[2]Urban_area_finals!$G69</f>
        <v>2.7247524440321549E-4</v>
      </c>
      <c r="O107" s="1">
        <f>[2]Urban_area_finals!O69/[2]Urban_area_finals!$G69</f>
        <v>3.1798892665319575E-4</v>
      </c>
      <c r="P107" s="1">
        <f>[2]Urban_area_finals!P69/[2]Urban_area_finals!$G69</f>
        <v>3.5015192877651521E-4</v>
      </c>
      <c r="Q107" s="1">
        <f>[2]Urban_area_finals!Q69/[2]Urban_area_finals!$G69</f>
        <v>3.8595602547983305E-4</v>
      </c>
      <c r="R107" s="1">
        <f>[2]Urban_area_finals!R69/[2]Urban_area_finals!$G69</f>
        <v>4.2540121676314932E-4</v>
      </c>
      <c r="S107" s="1">
        <f>[2]Urban_area_finals!S69/[2]Urban_area_finals!$G69</f>
        <v>4.6970120081979682E-4</v>
      </c>
      <c r="T107" s="1">
        <f>[2]Urban_area_finals!T69/[2]Urban_area_finals!$G69</f>
        <v>6.9423536658636638E-4</v>
      </c>
      <c r="U107" s="1">
        <f>[2]Urban_area_finals!U69/[2]Urban_area_finals!$G69</f>
        <v>1.1566543782461664E-3</v>
      </c>
      <c r="V107" s="1">
        <f>[2]Urban_area_finals!V69/[2]Urban_area_finals!$G69</f>
        <v>1.9595157331358192E-3</v>
      </c>
      <c r="W107" s="1">
        <f>[2]Urban_area_finals!W69/[2]Urban_area_finals!$G69</f>
        <v>3.2939768967052419E-3</v>
      </c>
      <c r="X107" s="1">
        <f>[2]Urban_area_finals!X69/[2]Urban_area_finals!$G69</f>
        <v>3.5725206320751214E-3</v>
      </c>
      <c r="Y107" s="1">
        <f>[2]Urban_area_finals!Y69/[2]Urban_area_finals!$G69</f>
        <v>3.927527353624968E-3</v>
      </c>
      <c r="Z107" s="1">
        <f>[2]Urban_area_finals!Z69/[2]Urban_area_finals!$G69</f>
        <v>4.3547491176781162E-3</v>
      </c>
      <c r="AA107" s="1">
        <f>[2]Urban_area_finals!AA69/[2]Urban_area_finals!$G69</f>
        <v>4.6697037988479807E-3</v>
      </c>
      <c r="AB107" s="1">
        <f>[2]Urban_area_finals!AB69/[2]Urban_area_finals!$G69</f>
        <v>4.7613380124446065E-3</v>
      </c>
      <c r="AC107" s="1">
        <f>[2]Urban_area_finals!AC69/[2]Urban_area_finals!$G69</f>
        <v>4.8930242664212168E-3</v>
      </c>
      <c r="AD107" s="1">
        <f>[2]Urban_area_finals!AD69/[2]Urban_area_finals!$G69</f>
        <v>5.1727816999844294E-3</v>
      </c>
      <c r="AE107" s="1">
        <f>[2]Urban_area_finals!AE69/[2]Urban_area_finals!$G69</f>
        <v>5.3730419018843427E-3</v>
      </c>
      <c r="AF107" s="1">
        <f>[2]Urban_area_finals!AF69/[2]Urban_area_finals!$G69</f>
        <v>5.5132240432142826E-3</v>
      </c>
      <c r="AG107" s="1">
        <f>[2]Urban_area_finals!AG69/[2]Urban_area_finals!$G69</f>
        <v>5.6631157700908841E-3</v>
      </c>
      <c r="AH107" s="1">
        <f>[2]Urban_area_finals!AH69/[2]Urban_area_finals!$G69</f>
        <v>6.0247978317040608E-3</v>
      </c>
      <c r="AI107" s="1">
        <f>[2]Urban_area_finals!AI69/[2]Urban_area_finals!$G69</f>
        <v>6.3324703237139278E-3</v>
      </c>
      <c r="AJ107" s="1">
        <f>[2]Urban_area_finals!AJ69/[2]Urban_area_finals!$G69</f>
        <v>6.5600387349638283E-3</v>
      </c>
      <c r="AK107" s="1">
        <f>[2]Urban_area_finals!AK69/[2]Urban_area_finals!$G69</f>
        <v>6.8428304140103731E-3</v>
      </c>
      <c r="AL107" s="1">
        <f>[2]Urban_area_finals!AL69/[2]Urban_area_finals!$G69</f>
        <v>7.2882576509635142E-3</v>
      </c>
      <c r="AM107" s="1">
        <f>[2]Urban_area_finals!AM69/[2]Urban_area_finals!$G69</f>
        <v>7.6966670930200039E-3</v>
      </c>
      <c r="AN107" s="1">
        <f>[2]Urban_area_finals!AN69/[2]Urban_area_finals!$G69</f>
        <v>7.9964505467732087E-3</v>
      </c>
      <c r="AO107" s="1">
        <f>[2]Urban_area_finals!AO69/[2]Urban_area_finals!$G69</f>
        <v>8.3484230228397221E-3</v>
      </c>
      <c r="AP107" s="1">
        <f>[2]Urban_area_finals!AP69/[2]Urban_area_finals!$G69</f>
        <v>8.7501571248328816E-3</v>
      </c>
      <c r="AQ107" s="1">
        <f>[2]Urban_area_finals!AQ69/[2]Urban_area_finals!$G69</f>
        <v>9.3764253925926119E-3</v>
      </c>
      <c r="AR107" s="1">
        <f>[2]Urban_area_finals!AR69/[2]Urban_area_finals!$G69</f>
        <v>1.0024540227832331E-2</v>
      </c>
      <c r="AS107" s="1">
        <f>[2]Urban_area_finals!AS69/[2]Urban_area_finals!$G69</f>
        <v>1.0829222130011983E-2</v>
      </c>
      <c r="AT107" s="1">
        <f>[2]Urban_area_finals!AT69/[2]Urban_area_finals!$G69</f>
        <v>1.1272828819675123E-2</v>
      </c>
      <c r="AU107" s="1">
        <f>[2]Urban_area_finals!AU69/[2]Urban_area_finals!$G69</f>
        <v>1.1554406800528336E-2</v>
      </c>
      <c r="AV107" s="1">
        <f>[2]Urban_area_finals!AV69/[2]Urban_area_finals!$G69</f>
        <v>1.1976773771808153E-2</v>
      </c>
      <c r="AW107" s="1">
        <f>[2]Urban_area_finals!AW69/[2]Urban_area_finals!$G69</f>
        <v>1.2768104993861145E-2</v>
      </c>
      <c r="AX107" s="1">
        <f>[2]Urban_area_finals!AX69/[2]Urban_area_finals!$G69</f>
        <v>1.3560043065010801E-2</v>
      </c>
      <c r="AY107" s="1">
        <f>[2]Urban_area_finals!AY69/[2]Urban_area_finals!$G69</f>
        <v>1.4353194834353791E-2</v>
      </c>
    </row>
    <row r="108" spans="1:51" x14ac:dyDescent="0.25">
      <c r="A108" t="s">
        <v>415</v>
      </c>
      <c r="B108" t="s">
        <v>416</v>
      </c>
      <c r="C108" t="s">
        <v>417</v>
      </c>
      <c r="D108" t="s">
        <v>54</v>
      </c>
      <c r="E108" t="s">
        <v>55</v>
      </c>
      <c r="F108" t="s">
        <v>56</v>
      </c>
      <c r="G108">
        <v>147662.6383505803</v>
      </c>
      <c r="H108">
        <v>1217.246177896058</v>
      </c>
      <c r="I108">
        <f>Table2[[#This Row],[FUA_area]]+Table2[[#This Row],[FUA_urban]]</f>
        <v>148879.88452847637</v>
      </c>
      <c r="J108">
        <v>28999223</v>
      </c>
      <c r="K108" s="1">
        <f>[2]Urban_area_finals!K28/[2]Urban_area_finals!$G28</f>
        <v>2.2953251838672323E-4</v>
      </c>
      <c r="L108" s="1">
        <f>[2]Urban_area_finals!L28/[2]Urban_area_finals!$G28</f>
        <v>2.8155988922104718E-4</v>
      </c>
      <c r="M108" s="1">
        <f>[2]Urban_area_finals!M28/[2]Urban_area_finals!$G28</f>
        <v>3.3970812721235039E-4</v>
      </c>
      <c r="N108" s="1">
        <f>[2]Urban_area_finals!N28/[2]Urban_area_finals!$G28</f>
        <v>4.2233983383157067E-4</v>
      </c>
      <c r="O108" s="1">
        <f>[2]Urban_area_finals!O28/[2]Urban_area_finals!$G28</f>
        <v>5.6311977844209437E-4</v>
      </c>
      <c r="P108" s="1">
        <f>[2]Urban_area_finals!P28/[2]Urban_area_finals!$G28</f>
        <v>6.3963061790433531E-4</v>
      </c>
      <c r="Q108" s="1">
        <f>[2]Urban_area_finals!Q28/[2]Urban_area_finals!$G28</f>
        <v>7.3756449241600393E-4</v>
      </c>
      <c r="R108" s="1">
        <f>[2]Urban_area_finals!R28/[2]Urban_area_finals!$G28</f>
        <v>8.9976747207595503E-4</v>
      </c>
      <c r="S108" s="1">
        <f>[2]Urban_area_finals!S28/[2]Urban_area_finals!$G28</f>
        <v>1.1323604240411679E-3</v>
      </c>
      <c r="T108" s="1">
        <f>[2]Urban_area_finals!T28/[2]Urban_area_finals!$G28</f>
        <v>1.5914254608146144E-3</v>
      </c>
      <c r="U108" s="1">
        <f>[2]Urban_area_finals!U28/[2]Urban_area_finals!$G28</f>
        <v>2.2677812816608253E-3</v>
      </c>
      <c r="V108" s="1">
        <f>[2]Urban_area_finals!V28/[2]Urban_area_finals!$G28</f>
        <v>2.9288349346145884E-3</v>
      </c>
      <c r="W108" s="1">
        <f>[2]Urban_area_finals!W28/[2]Urban_area_finals!$G28</f>
        <v>3.6143720561962679E-3</v>
      </c>
      <c r="X108" s="1">
        <f>[2]Urban_area_finals!X28/[2]Urban_area_finals!$G28</f>
        <v>3.8255419731120536E-3</v>
      </c>
      <c r="Y108" s="1">
        <f>[2]Urban_area_finals!Y28/[2]Urban_area_finals!$G28</f>
        <v>4.8048807182287396E-3</v>
      </c>
      <c r="Z108" s="1">
        <f>[2]Urban_area_finals!Z28/[2]Urban_area_finals!$G28</f>
        <v>5.420027867505158E-3</v>
      </c>
      <c r="AA108" s="1">
        <f>[2]Urban_area_finals!AA28/[2]Urban_area_finals!$G28</f>
        <v>5.6434395187349023E-3</v>
      </c>
      <c r="AB108" s="1">
        <f>[2]Urban_area_finals!AB28/[2]Urban_area_finals!$G28</f>
        <v>5.7168899246186526E-3</v>
      </c>
      <c r="AC108" s="1">
        <f>[2]Urban_area_finals!AC28/[2]Urban_area_finals!$G28</f>
        <v>5.8423677013367276E-3</v>
      </c>
      <c r="AD108" s="1">
        <f>[2]Urban_area_finals!AD28/[2]Urban_area_finals!$G28</f>
        <v>6.013751981732149E-3</v>
      </c>
      <c r="AE108" s="1">
        <f>[2]Urban_area_finals!AE28/[2]Urban_area_finals!$G28</f>
        <v>6.2983723045316846E-3</v>
      </c>
      <c r="AF108" s="1">
        <f>[2]Urban_area_finals!AF28/[2]Urban_area_finals!$G28</f>
        <v>6.5126026550259607E-3</v>
      </c>
      <c r="AG108" s="1">
        <f>[2]Urban_area_finals!AG28/[2]Urban_area_finals!$G28</f>
        <v>6.6533825996364839E-3</v>
      </c>
      <c r="AH108" s="1">
        <f>[2]Urban_area_finals!AH28/[2]Urban_area_finals!$G28</f>
        <v>6.7819208099330489E-3</v>
      </c>
      <c r="AI108" s="1">
        <f>[2]Urban_area_finals!AI28/[2]Urban_area_finals!$G28</f>
        <v>6.8523107822383101E-3</v>
      </c>
      <c r="AJ108" s="1">
        <f>[2]Urban_area_finals!AJ28/[2]Urban_area_finals!$G28</f>
        <v>6.9594259574854477E-3</v>
      </c>
      <c r="AK108" s="1">
        <f>[2]Urban_area_finals!AK28/[2]Urban_area_finals!$G28</f>
        <v>7.0787828670465444E-3</v>
      </c>
      <c r="AL108" s="1">
        <f>[2]Urban_area_finals!AL28/[2]Urban_area_finals!$G28</f>
        <v>7.2073210773431094E-3</v>
      </c>
      <c r="AM108" s="1">
        <f>[2]Urban_area_finals!AM28/[2]Urban_area_finals!$G28</f>
        <v>7.5133644351920732E-3</v>
      </c>
      <c r="AN108" s="1">
        <f>[2]Urban_area_finals!AN28/[2]Urban_area_finals!$G28</f>
        <v>7.7643199886282249E-3</v>
      </c>
      <c r="AO108" s="1">
        <f>[2]Urban_area_finals!AO28/[2]Urban_area_finals!$G28</f>
        <v>8.0366985771138013E-3</v>
      </c>
      <c r="AP108" s="1">
        <f>[2]Urban_area_finals!AP28/[2]Urban_area_finals!$G28</f>
        <v>8.6151205234483441E-3</v>
      </c>
      <c r="AQ108" s="1">
        <f>[2]Urban_area_finals!AQ28/[2]Urban_area_finals!$G28</f>
        <v>9.6067010028789892E-3</v>
      </c>
      <c r="AR108" s="1">
        <f>[2]Urban_area_finals!AR28/[2]Urban_area_finals!$G28</f>
        <v>1.0347325928873483E-2</v>
      </c>
      <c r="AS108" s="1">
        <f>[2]Urban_area_finals!AS28/[2]Urban_area_finals!$G28</f>
        <v>1.1014500448984225E-2</v>
      </c>
      <c r="AT108" s="1">
        <f>[2]Urban_area_finals!AT28/[2]Urban_area_finals!$G28</f>
        <v>1.1381752478402982E-2</v>
      </c>
      <c r="AU108" s="1">
        <f>[2]Urban_area_finals!AU28/[2]Urban_area_finals!$G28</f>
        <v>1.1635156378701925E-2</v>
      </c>
      <c r="AV108" s="1">
        <f>[2]Urban_area_finals!AV28/[2]Urban_area_finals!$G28</f>
        <v>1.2015262229150338E-2</v>
      </c>
      <c r="AW108" s="1">
        <f>[2]Urban_area_finals!AW28/[2]Urban_area_finals!$G28</f>
        <v>1.2648771979897696E-2</v>
      </c>
      <c r="AX108" s="1">
        <f>[2]Urban_area_finals!AX28/[2]Urban_area_finals!$G28</f>
        <v>1.328228173064505E-2</v>
      </c>
      <c r="AY108" s="1">
        <f>[2]Urban_area_finals!AY28/[2]Urban_area_finals!$G28</f>
        <v>1.3823978474037716E-2</v>
      </c>
    </row>
    <row r="109" spans="1:51" x14ac:dyDescent="0.25">
      <c r="A109" t="s">
        <v>571</v>
      </c>
      <c r="B109" t="s">
        <v>572</v>
      </c>
      <c r="C109" t="s">
        <v>573</v>
      </c>
      <c r="D109" t="s">
        <v>60</v>
      </c>
      <c r="E109" t="s">
        <v>61</v>
      </c>
      <c r="F109" t="s">
        <v>61</v>
      </c>
      <c r="G109">
        <v>390042.59770946641</v>
      </c>
      <c r="H109">
        <v>2270.7094274558308</v>
      </c>
      <c r="I109">
        <f>Table2[[#This Row],[FUA_area]]+Table2[[#This Row],[FUA_urban]]</f>
        <v>392313.30713692226</v>
      </c>
      <c r="K109" s="1">
        <f>[2]Urban_area_finals!K154/[2]Urban_area_finals!$G154</f>
        <v>3.902135125234212E-4</v>
      </c>
      <c r="L109" s="1">
        <f>[2]Urban_area_finals!L154/[2]Urban_area_finals!$G154</f>
        <v>3.902135125234212E-4</v>
      </c>
      <c r="M109" s="1">
        <f>[2]Urban_area_finals!M154/[2]Urban_area_finals!$G154</f>
        <v>3.902135125234212E-4</v>
      </c>
      <c r="N109" s="1">
        <f>[2]Urban_area_finals!N154/[2]Urban_area_finals!$G154</f>
        <v>3.902135125234212E-4</v>
      </c>
      <c r="O109" s="1">
        <f>[2]Urban_area_finals!O154/[2]Urban_area_finals!$G154</f>
        <v>3.902135125234212E-4</v>
      </c>
      <c r="P109" s="1">
        <f>[2]Urban_area_finals!P154/[2]Urban_area_finals!$G154</f>
        <v>3.902135125234212E-4</v>
      </c>
      <c r="Q109" s="1">
        <f>[2]Urban_area_finals!Q154/[2]Urban_area_finals!$G154</f>
        <v>3.902135125234212E-4</v>
      </c>
      <c r="R109" s="1">
        <f>[2]Urban_area_finals!R154/[2]Urban_area_finals!$G154</f>
        <v>3.902135125234212E-4</v>
      </c>
      <c r="S109" s="1">
        <f>[2]Urban_area_finals!S154/[2]Urban_area_finals!$G154</f>
        <v>3.902135125234212E-4</v>
      </c>
      <c r="T109" s="1">
        <f>[2]Urban_area_finals!T154/[2]Urban_area_finals!$G154</f>
        <v>4.877668906542764E-4</v>
      </c>
      <c r="U109" s="1">
        <f>[2]Urban_area_finals!U154/[2]Urban_area_finals!$G154</f>
        <v>7.8042702504684241E-4</v>
      </c>
      <c r="V109" s="1">
        <f>[2]Urban_area_finals!V154/[2]Urban_area_finals!$G154</f>
        <v>1.0243104703739807E-3</v>
      </c>
      <c r="W109" s="1">
        <f>[2]Urban_area_finals!W154/[2]Urban_area_finals!$G154</f>
        <v>1.8535141844862506E-3</v>
      </c>
      <c r="X109" s="1">
        <f>[2]Urban_area_finals!X154/[2]Urban_area_finals!$G154</f>
        <v>1.9022908735516781E-3</v>
      </c>
      <c r="Y109" s="1">
        <f>[2]Urban_area_finals!Y154/[2]Urban_area_finals!$G154</f>
        <v>2.1461743188788168E-3</v>
      </c>
      <c r="Z109" s="1">
        <f>[2]Urban_area_finals!Z154/[2]Urban_area_finals!$G154</f>
        <v>2.2925043860750993E-3</v>
      </c>
      <c r="AA109" s="1">
        <f>[2]Urban_area_finals!AA154/[2]Urban_area_finals!$G154</f>
        <v>2.4388344532713822E-3</v>
      </c>
      <c r="AB109" s="1">
        <f>[2]Urban_area_finals!AB154/[2]Urban_area_finals!$G154</f>
        <v>2.4388344532713822E-3</v>
      </c>
      <c r="AC109" s="1">
        <f>[2]Urban_area_finals!AC154/[2]Urban_area_finals!$G154</f>
        <v>2.4388344532713822E-3</v>
      </c>
      <c r="AD109" s="1">
        <f>[2]Urban_area_finals!AD154/[2]Urban_area_finals!$G154</f>
        <v>2.5363878314022376E-3</v>
      </c>
      <c r="AE109" s="1">
        <f>[2]Urban_area_finals!AE154/[2]Urban_area_finals!$G154</f>
        <v>2.5363878314022376E-3</v>
      </c>
      <c r="AF109" s="1">
        <f>[2]Urban_area_finals!AF154/[2]Urban_area_finals!$G154</f>
        <v>2.5363878314022376E-3</v>
      </c>
      <c r="AG109" s="1">
        <f>[2]Urban_area_finals!AG154/[2]Urban_area_finals!$G154</f>
        <v>2.5851645204676655E-3</v>
      </c>
      <c r="AH109" s="1">
        <f>[2]Urban_area_finals!AH154/[2]Urban_area_finals!$G154</f>
        <v>2.633941209533093E-3</v>
      </c>
      <c r="AI109" s="1">
        <f>[2]Urban_area_finals!AI154/[2]Urban_area_finals!$G154</f>
        <v>2.633941209533093E-3</v>
      </c>
      <c r="AJ109" s="1">
        <f>[2]Urban_area_finals!AJ154/[2]Urban_area_finals!$G154</f>
        <v>2.6827178985985205E-3</v>
      </c>
      <c r="AK109" s="1">
        <f>[2]Urban_area_finals!AK154/[2]Urban_area_finals!$G154</f>
        <v>2.6827178985985205E-3</v>
      </c>
      <c r="AL109" s="1">
        <f>[2]Urban_area_finals!AL154/[2]Urban_area_finals!$G154</f>
        <v>2.6827178985985205E-3</v>
      </c>
      <c r="AM109" s="1">
        <f>[2]Urban_area_finals!AM154/[2]Urban_area_finals!$G154</f>
        <v>2.731494587663948E-3</v>
      </c>
      <c r="AN109" s="1">
        <f>[2]Urban_area_finals!AN154/[2]Urban_area_finals!$G154</f>
        <v>2.8778246548602313E-3</v>
      </c>
      <c r="AO109" s="1">
        <f>[2]Urban_area_finals!AO154/[2]Urban_area_finals!$G154</f>
        <v>3.0729314111219421E-3</v>
      </c>
      <c r="AP109" s="1">
        <f>[2]Urban_area_finals!AP154/[2]Urban_area_finals!$G154</f>
        <v>3.2192614783182246E-3</v>
      </c>
      <c r="AQ109" s="1">
        <f>[2]Urban_area_finals!AQ154/[2]Urban_area_finals!$G154</f>
        <v>4.0484651924304945E-3</v>
      </c>
      <c r="AR109" s="1">
        <f>[2]Urban_area_finals!AR154/[2]Urban_area_finals!$G154</f>
        <v>5.1215523518699027E-3</v>
      </c>
      <c r="AS109" s="1">
        <f>[2]Urban_area_finals!AS154/[2]Urban_area_finals!$G154</f>
        <v>5.9507560659821726E-3</v>
      </c>
      <c r="AT109" s="1">
        <f>[2]Urban_area_finals!AT154/[2]Urban_area_finals!$G154</f>
        <v>6.5360763347673042E-3</v>
      </c>
      <c r="AU109" s="1">
        <f>[2]Urban_area_finals!AU154/[2]Urban_area_finals!$G154</f>
        <v>7.0433539010477525E-3</v>
      </c>
      <c r="AV109" s="1">
        <f>[2]Urban_area_finals!AV154/[2]Urban_area_finals!$G154</f>
        <v>7.8042702504684223E-3</v>
      </c>
      <c r="AW109" s="1">
        <f>[2]Urban_area_finals!AW154/[2]Urban_area_finals!$G154</f>
        <v>9.2675709224312539E-3</v>
      </c>
      <c r="AX109" s="1">
        <f>[2]Urban_area_finals!AX154/[2]Urban_area_finals!$G154</f>
        <v>1.1121085106917504E-2</v>
      </c>
      <c r="AY109" s="1">
        <f>[2]Urban_area_finals!AY154/[2]Urban_area_finals!$G154</f>
        <v>1.3755026316450597E-2</v>
      </c>
    </row>
    <row r="110" spans="1:51" x14ac:dyDescent="0.25">
      <c r="A110" t="s">
        <v>232</v>
      </c>
      <c r="B110" t="s">
        <v>233</v>
      </c>
      <c r="C110" t="s">
        <v>234</v>
      </c>
      <c r="D110" t="s">
        <v>91</v>
      </c>
      <c r="E110" t="s">
        <v>66</v>
      </c>
      <c r="F110" t="s">
        <v>66</v>
      </c>
      <c r="G110">
        <v>245293.95591010471</v>
      </c>
      <c r="H110">
        <v>87108.082115703233</v>
      </c>
      <c r="I110">
        <f>Table2[[#This Row],[FUA_area]]+Table2[[#This Row],[FUA_urban]]</f>
        <v>332402.03802580794</v>
      </c>
      <c r="J110">
        <v>66951172.000000007</v>
      </c>
      <c r="K110" s="1">
        <f>[2]Urban_area_finals!K104/[2]Urban_area_finals!$G104</f>
        <v>2.4566405970804633E-4</v>
      </c>
      <c r="L110" s="1">
        <f>[2]Urban_area_finals!L104/[2]Urban_area_finals!$G104</f>
        <v>2.4566405970804633E-4</v>
      </c>
      <c r="M110" s="1">
        <f>[2]Urban_area_finals!M104/[2]Urban_area_finals!$G104</f>
        <v>2.4566405970804633E-4</v>
      </c>
      <c r="N110" s="1">
        <f>[2]Urban_area_finals!N104/[2]Urban_area_finals!$G104</f>
        <v>2.4566405970804633E-4</v>
      </c>
      <c r="O110" s="1">
        <f>[2]Urban_area_finals!O104/[2]Urban_area_finals!$G104</f>
        <v>2.4566405970804633E-4</v>
      </c>
      <c r="P110" s="1">
        <f>[2]Urban_area_finals!P104/[2]Urban_area_finals!$G104</f>
        <v>2.4566405970804633E-4</v>
      </c>
      <c r="Q110" s="1">
        <f>[2]Urban_area_finals!Q104/[2]Urban_area_finals!$G104</f>
        <v>2.4566405970804633E-4</v>
      </c>
      <c r="R110" s="1">
        <f>[2]Urban_area_finals!R104/[2]Urban_area_finals!$G104</f>
        <v>2.4566405970804633E-4</v>
      </c>
      <c r="S110" s="1">
        <f>[2]Urban_area_finals!S104/[2]Urban_area_finals!$G104</f>
        <v>3.2755207961072843E-4</v>
      </c>
      <c r="T110" s="1">
        <f>[2]Urban_area_finals!T104/[2]Urban_area_finals!$G104</f>
        <v>3.6849608956206946E-4</v>
      </c>
      <c r="U110" s="1">
        <f>[2]Urban_area_finals!U104/[2]Urban_area_finals!$G104</f>
        <v>5.3227212936743373E-4</v>
      </c>
      <c r="V110" s="1">
        <f>[2]Urban_area_finals!V104/[2]Urban_area_finals!$G104</f>
        <v>9.826562388321853E-4</v>
      </c>
      <c r="W110" s="1">
        <f>[2]Urban_area_finals!W104/[2]Urban_area_finals!$G104</f>
        <v>1.8015364378590065E-3</v>
      </c>
      <c r="X110" s="1">
        <f>[2]Urban_area_finals!X104/[2]Urban_area_finals!$G104</f>
        <v>1.9653124776643706E-3</v>
      </c>
      <c r="Y110" s="1">
        <f>[2]Urban_area_finals!Y104/[2]Urban_area_finals!$G104</f>
        <v>2.33380856722644E-3</v>
      </c>
      <c r="Z110" s="1">
        <f>[2]Urban_area_finals!Z104/[2]Urban_area_finals!$G104</f>
        <v>2.4975846070318043E-3</v>
      </c>
      <c r="AA110" s="1">
        <f>[2]Urban_area_finals!AA104/[2]Urban_area_finals!$G104</f>
        <v>2.7432486667398506E-3</v>
      </c>
      <c r="AB110" s="1">
        <f>[2]Urban_area_finals!AB104/[2]Urban_area_finals!$G104</f>
        <v>2.7432486667398506E-3</v>
      </c>
      <c r="AC110" s="1">
        <f>[2]Urban_area_finals!AC104/[2]Urban_area_finals!$G104</f>
        <v>2.7432486667398506E-3</v>
      </c>
      <c r="AD110" s="1">
        <f>[2]Urban_area_finals!AD104/[2]Urban_area_finals!$G104</f>
        <v>2.7432486667398506E-3</v>
      </c>
      <c r="AE110" s="1">
        <f>[2]Urban_area_finals!AE104/[2]Urban_area_finals!$G104</f>
        <v>2.7841926766911918E-3</v>
      </c>
      <c r="AF110" s="1">
        <f>[2]Urban_area_finals!AF104/[2]Urban_area_finals!$G104</f>
        <v>3.193632776204602E-3</v>
      </c>
      <c r="AG110" s="1">
        <f>[2]Urban_area_finals!AG104/[2]Urban_area_finals!$G104</f>
        <v>3.5621288657666714E-3</v>
      </c>
      <c r="AH110" s="1">
        <f>[2]Urban_area_finals!AH104/[2]Urban_area_finals!$G104</f>
        <v>3.7259049055720366E-3</v>
      </c>
      <c r="AI110" s="1">
        <f>[2]Urban_area_finals!AI104/[2]Urban_area_finals!$G104</f>
        <v>3.8896809453774005E-3</v>
      </c>
      <c r="AJ110" s="1">
        <f>[2]Urban_area_finals!AJ104/[2]Urban_area_finals!$G104</f>
        <v>3.9306249553287412E-3</v>
      </c>
      <c r="AK110" s="1">
        <f>[2]Urban_area_finals!AK104/[2]Urban_area_finals!$G104</f>
        <v>3.9306249553287412E-3</v>
      </c>
      <c r="AL110" s="1">
        <f>[2]Urban_area_finals!AL104/[2]Urban_area_finals!$G104</f>
        <v>3.9306249553287412E-3</v>
      </c>
      <c r="AM110" s="1">
        <f>[2]Urban_area_finals!AM104/[2]Urban_area_finals!$G104</f>
        <v>4.0125129752314236E-3</v>
      </c>
      <c r="AN110" s="1">
        <f>[2]Urban_area_finals!AN104/[2]Urban_area_finals!$G104</f>
        <v>4.0534569851827648E-3</v>
      </c>
      <c r="AO110" s="1">
        <f>[2]Urban_area_finals!AO104/[2]Urban_area_finals!$G104</f>
        <v>4.1353450050854463E-3</v>
      </c>
      <c r="AP110" s="1">
        <f>[2]Urban_area_finals!AP104/[2]Urban_area_finals!$G104</f>
        <v>4.1353450050854463E-3</v>
      </c>
      <c r="AQ110" s="1">
        <f>[2]Urban_area_finals!AQ104/[2]Urban_area_finals!$G104</f>
        <v>4.4628970846961749E-3</v>
      </c>
      <c r="AR110" s="1">
        <f>[2]Urban_area_finals!AR104/[2]Urban_area_finals!$G104</f>
        <v>4.7495051543555615E-3</v>
      </c>
      <c r="AS110" s="1">
        <f>[2]Urban_area_finals!AS104/[2]Urban_area_finals!$G104</f>
        <v>4.9951692140636087E-3</v>
      </c>
      <c r="AT110" s="1">
        <f>[2]Urban_area_finals!AT104/[2]Urban_area_finals!$G104</f>
        <v>5.7321613931877475E-3</v>
      </c>
      <c r="AU110" s="1">
        <f>[2]Urban_area_finals!AU104/[2]Urban_area_finals!$G104</f>
        <v>6.2889999285259852E-3</v>
      </c>
      <c r="AV110" s="1">
        <f>[2]Urban_area_finals!AV104/[2]Urban_area_finals!$G104</f>
        <v>7.1242577315333427E-3</v>
      </c>
      <c r="AW110" s="1">
        <f>[2]Urban_area_finals!AW104/[2]Urban_area_finals!$G104</f>
        <v>8.8439061494896675E-3</v>
      </c>
      <c r="AX110" s="1">
        <f>[2]Urban_area_finals!AX104/[2]Urban_area_finals!$G104</f>
        <v>1.089110664705672E-2</v>
      </c>
      <c r="AY110" s="1">
        <f>[2]Urban_area_finals!AY104/[2]Urban_area_finals!$G104</f>
        <v>1.3265859224234502E-2</v>
      </c>
    </row>
    <row r="111" spans="1:51" x14ac:dyDescent="0.25">
      <c r="A111" t="s">
        <v>126</v>
      </c>
      <c r="B111" t="s">
        <v>127</v>
      </c>
      <c r="C111" t="s">
        <v>128</v>
      </c>
      <c r="D111" t="s">
        <v>129</v>
      </c>
      <c r="E111" t="s">
        <v>71</v>
      </c>
      <c r="F111" t="s">
        <v>82</v>
      </c>
      <c r="G111">
        <v>207069.80853644921</v>
      </c>
      <c r="H111">
        <v>3844.6981175575238</v>
      </c>
      <c r="I111">
        <f>Table2[[#This Row],[FUA_area]]+Table2[[#This Row],[FUA_urban]]</f>
        <v>210914.50665400675</v>
      </c>
      <c r="K111" s="1">
        <f>[2]Urban_area_finals!K165/[2]Urban_area_finals!$G165</f>
        <v>3.0180663482001275E-4</v>
      </c>
      <c r="L111" s="1">
        <f>[2]Urban_area_finals!L165/[2]Urban_area_finals!$G165</f>
        <v>3.0723621103218387E-4</v>
      </c>
      <c r="M111" s="1">
        <f>[2]Urban_area_finals!M165/[2]Urban_area_finals!$G165</f>
        <v>3.136989148664093E-4</v>
      </c>
      <c r="N111" s="1">
        <f>[2]Urban_area_finals!N165/[2]Urban_area_finals!$G165</f>
        <v>3.2443337112322482E-4</v>
      </c>
      <c r="O111" s="1">
        <f>[2]Urban_area_finals!O165/[2]Urban_area_finals!$G165</f>
        <v>3.3817085005382664E-4</v>
      </c>
      <c r="P111" s="1">
        <f>[2]Urban_area_finals!P165/[2]Urban_area_finals!$G165</f>
        <v>3.4554072204170586E-4</v>
      </c>
      <c r="Q111" s="1">
        <f>[2]Urban_area_finals!Q165/[2]Urban_area_finals!$G165</f>
        <v>3.5711617112240096E-4</v>
      </c>
      <c r="R111" s="1">
        <f>[2]Urban_area_finals!R165/[2]Urban_area_finals!$G165</f>
        <v>3.7278643839816657E-4</v>
      </c>
      <c r="S111" s="1">
        <f>[2]Urban_area_finals!S165/[2]Urban_area_finals!$G165</f>
        <v>4.3021121532696969E-4</v>
      </c>
      <c r="T111" s="1">
        <f>[2]Urban_area_finals!T165/[2]Urban_area_finals!$G165</f>
        <v>5.1778775881487532E-4</v>
      </c>
      <c r="U111" s="1">
        <f>[2]Urban_area_finals!U165/[2]Urban_area_finals!$G165</f>
        <v>7.1575955304573546E-4</v>
      </c>
      <c r="V111" s="1">
        <f>[2]Urban_area_finals!V165/[2]Urban_area_finals!$G165</f>
        <v>9.6979374424385962E-4</v>
      </c>
      <c r="W111" s="1">
        <f>[2]Urban_area_finals!W165/[2]Urban_area_finals!$G165</f>
        <v>1.2955163057469013E-3</v>
      </c>
      <c r="X111" s="1">
        <f>[2]Urban_area_finals!X165/[2]Urban_area_finals!$G165</f>
        <v>1.4039398738514525E-3</v>
      </c>
      <c r="Y111" s="1">
        <f>[2]Urban_area_finals!Y165/[2]Urban_area_finals!$G165</f>
        <v>1.6215282405189898E-3</v>
      </c>
      <c r="Z111" s="1">
        <f>[2]Urban_area_finals!Z165/[2]Urban_area_finals!$G165</f>
        <v>1.8569835541257956E-3</v>
      </c>
      <c r="AA111" s="1">
        <f>[2]Urban_area_finals!AA165/[2]Urban_area_finals!$G165</f>
        <v>2.0303733055221794E-3</v>
      </c>
      <c r="AB111" s="1">
        <f>[2]Urban_area_finals!AB165/[2]Urban_area_finals!$G165</f>
        <v>2.0753388555079227E-3</v>
      </c>
      <c r="AC111" s="1">
        <f>[2]Urban_area_finals!AC165/[2]Urban_area_finals!$G165</f>
        <v>2.1690263972318972E-3</v>
      </c>
      <c r="AD111" s="1">
        <f>[2]Urban_area_finals!AD165/[2]Urban_area_finals!$G165</f>
        <v>2.2635676181753045E-3</v>
      </c>
      <c r="AE111" s="1">
        <f>[2]Urban_area_finals!AE165/[2]Urban_area_finals!$G165</f>
        <v>2.3321369112354762E-3</v>
      </c>
      <c r="AF111" s="1">
        <f>[2]Urban_area_finals!AF165/[2]Urban_area_finals!$G165</f>
        <v>2.4206655423556606E-3</v>
      </c>
      <c r="AG111" s="1">
        <f>[2]Urban_area_finals!AG165/[2]Urban_area_finals!$G165</f>
        <v>2.4970343878804374E-3</v>
      </c>
      <c r="AH111" s="1">
        <f>[2]Urban_area_finals!AH165/[2]Urban_area_finals!$G165</f>
        <v>2.5559390426306999E-3</v>
      </c>
      <c r="AI111" s="1">
        <f>[2]Urban_area_finals!AI165/[2]Urban_area_finals!$G165</f>
        <v>2.6205476397058039E-3</v>
      </c>
      <c r="AJ111" s="1">
        <f>[2]Urban_area_finals!AJ165/[2]Urban_area_finals!$G165</f>
        <v>2.7146196742439434E-3</v>
      </c>
      <c r="AK111" s="1">
        <f>[2]Urban_area_finals!AK165/[2]Urban_area_finals!$G165</f>
        <v>2.8193823216767491E-3</v>
      </c>
      <c r="AL111" s="1">
        <f>[2]Urban_area_finals!AL165/[2]Urban_area_finals!$G165</f>
        <v>2.955160853809034E-3</v>
      </c>
      <c r="AM111" s="1">
        <f>[2]Urban_area_finals!AM165/[2]Urban_area_finals!$G165</f>
        <v>3.1888515452974681E-3</v>
      </c>
      <c r="AN111" s="1">
        <f>[2]Urban_area_finals!AN165/[2]Urban_area_finals!$G165</f>
        <v>3.3725154307091402E-3</v>
      </c>
      <c r="AO111" s="1">
        <f>[2]Urban_area_finals!AO165/[2]Urban_area_finals!$G165</f>
        <v>3.5730503210158714E-3</v>
      </c>
      <c r="AP111" s="1">
        <f>[2]Urban_area_finals!AP165/[2]Urban_area_finals!$G165</f>
        <v>3.8990325009182238E-3</v>
      </c>
      <c r="AQ111" s="1">
        <f>[2]Urban_area_finals!AQ165/[2]Urban_area_finals!$G165</f>
        <v>4.3812954971501764E-3</v>
      </c>
      <c r="AR111" s="1">
        <f>[2]Urban_area_finals!AR165/[2]Urban_area_finals!$G165</f>
        <v>4.9199573929822283E-3</v>
      </c>
      <c r="AS111" s="1">
        <f>[2]Urban_area_finals!AS165/[2]Urban_area_finals!$G165</f>
        <v>5.3636202610464314E-3</v>
      </c>
      <c r="AT111" s="1">
        <f>[2]Urban_area_finals!AT165/[2]Urban_area_finals!$G165</f>
        <v>5.5652822670992893E-3</v>
      </c>
      <c r="AU111" s="1">
        <f>[2]Urban_area_finals!AU165/[2]Urban_area_finals!$G165</f>
        <v>5.8216959911317921E-3</v>
      </c>
      <c r="AV111" s="1">
        <f>[2]Urban_area_finals!AV165/[2]Urban_area_finals!$G165</f>
        <v>6.2063165771805489E-3</v>
      </c>
      <c r="AW111" s="1">
        <f>[2]Urban_area_finals!AW165/[2]Urban_area_finals!$G165</f>
        <v>7.069186323486288E-3</v>
      </c>
      <c r="AX111" s="1">
        <f>[2]Urban_area_finals!AX165/[2]Urban_area_finals!$G165</f>
        <v>8.7419274797819E-3</v>
      </c>
      <c r="AY111" s="1">
        <f>[2]Urban_area_finals!AY165/[2]Urban_area_finals!$G165</f>
        <v>1.2418434124072815E-2</v>
      </c>
    </row>
    <row r="112" spans="1:51" x14ac:dyDescent="0.25">
      <c r="A112" t="s">
        <v>189</v>
      </c>
      <c r="B112" t="s">
        <v>190</v>
      </c>
      <c r="C112" t="s">
        <v>191</v>
      </c>
      <c r="D112" t="s">
        <v>91</v>
      </c>
      <c r="E112" t="s">
        <v>66</v>
      </c>
      <c r="F112" t="s">
        <v>66</v>
      </c>
      <c r="G112">
        <v>357823.90854952572</v>
      </c>
      <c r="H112">
        <v>65554.872029088729</v>
      </c>
      <c r="I112">
        <f>Table2[[#This Row],[FUA_area]]+Table2[[#This Row],[FUA_urban]]</f>
        <v>423378.78057861445</v>
      </c>
      <c r="J112">
        <v>83267652</v>
      </c>
      <c r="K112" s="1">
        <f>[2]Urban_area_finals!K113/[2]Urban_area_finals!$G113</f>
        <v>8.2584423363317341E-4</v>
      </c>
      <c r="L112" s="1">
        <f>[2]Urban_area_finals!L113/[2]Urban_area_finals!$G113</f>
        <v>9.0092098214527986E-4</v>
      </c>
      <c r="M112" s="1">
        <f>[2]Urban_area_finals!M113/[2]Urban_area_finals!$G113</f>
        <v>9.0092098214527986E-4</v>
      </c>
      <c r="N112" s="1">
        <f>[2]Urban_area_finals!N113/[2]Urban_area_finals!$G113</f>
        <v>9.0092098214527986E-4</v>
      </c>
      <c r="O112" s="1">
        <f>[2]Urban_area_finals!O113/[2]Urban_area_finals!$G113</f>
        <v>9.7599773065738663E-4</v>
      </c>
      <c r="P112" s="1">
        <f>[2]Urban_area_finals!P113/[2]Urban_area_finals!$G113</f>
        <v>9.7599773065738663E-4</v>
      </c>
      <c r="Q112" s="1">
        <f>[2]Urban_area_finals!Q113/[2]Urban_area_finals!$G113</f>
        <v>9.7599773065738663E-4</v>
      </c>
      <c r="R112" s="1">
        <f>[2]Urban_area_finals!R113/[2]Urban_area_finals!$G113</f>
        <v>9.7599773065738663E-4</v>
      </c>
      <c r="S112" s="1">
        <f>[2]Urban_area_finals!S113/[2]Urban_area_finals!$G113</f>
        <v>9.7599773065738663E-4</v>
      </c>
      <c r="T112" s="1">
        <f>[2]Urban_area_finals!T113/[2]Urban_area_finals!$G113</f>
        <v>1.0510744791694935E-3</v>
      </c>
      <c r="U112" s="1">
        <f>[2]Urban_area_finals!U113/[2]Urban_area_finals!$G113</f>
        <v>1.2012279761937068E-3</v>
      </c>
      <c r="V112" s="1">
        <f>[2]Urban_area_finals!V113/[2]Urban_area_finals!$G113</f>
        <v>1.8769187128026667E-3</v>
      </c>
      <c r="W112" s="1">
        <f>[2]Urban_area_finals!W113/[2]Urban_area_finals!$G113</f>
        <v>2.7778396949479467E-3</v>
      </c>
      <c r="X112" s="1">
        <f>[2]Urban_area_finals!X113/[2]Urban_area_finals!$G113</f>
        <v>3.0781466889963733E-3</v>
      </c>
      <c r="Y112" s="1">
        <f>[2]Urban_area_finals!Y113/[2]Urban_area_finals!$G113</f>
        <v>3.6036839285811194E-3</v>
      </c>
      <c r="Z112" s="1">
        <f>[2]Urban_area_finals!Z113/[2]Urban_area_finals!$G113</f>
        <v>4.5046049107264003E-3</v>
      </c>
      <c r="AA112" s="1">
        <f>[2]Urban_area_finals!AA113/[2]Urban_area_finals!$G113</f>
        <v>4.579681659238507E-3</v>
      </c>
      <c r="AB112" s="1">
        <f>[2]Urban_area_finals!AB113/[2]Urban_area_finals!$G113</f>
        <v>4.8049119047748274E-3</v>
      </c>
      <c r="AC112" s="1">
        <f>[2]Urban_area_finals!AC113/[2]Urban_area_finals!$G113</f>
        <v>4.8799886532869333E-3</v>
      </c>
      <c r="AD112" s="1">
        <f>[2]Urban_area_finals!AD113/[2]Urban_area_finals!$G113</f>
        <v>4.95506540179904E-3</v>
      </c>
      <c r="AE112" s="1">
        <f>[2]Urban_area_finals!AE113/[2]Urban_area_finals!$G113</f>
        <v>5.0301421503111468E-3</v>
      </c>
      <c r="AF112" s="1">
        <f>[2]Urban_area_finals!AF113/[2]Urban_area_finals!$G113</f>
        <v>5.0301421503111468E-3</v>
      </c>
      <c r="AG112" s="1">
        <f>[2]Urban_area_finals!AG113/[2]Urban_area_finals!$G113</f>
        <v>5.0301421503111468E-3</v>
      </c>
      <c r="AH112" s="1">
        <f>[2]Urban_area_finals!AH113/[2]Urban_area_finals!$G113</f>
        <v>5.0301421503111468E-3</v>
      </c>
      <c r="AI112" s="1">
        <f>[2]Urban_area_finals!AI113/[2]Urban_area_finals!$G113</f>
        <v>5.1802956473353604E-3</v>
      </c>
      <c r="AJ112" s="1">
        <f>[2]Urban_area_finals!AJ113/[2]Urban_area_finals!$G113</f>
        <v>5.4055258928716807E-3</v>
      </c>
      <c r="AK112" s="1">
        <f>[2]Urban_area_finals!AK113/[2]Urban_area_finals!$G113</f>
        <v>5.5556793898958933E-3</v>
      </c>
      <c r="AL112" s="1">
        <f>[2]Urban_area_finals!AL113/[2]Urban_area_finals!$G113</f>
        <v>5.5556793898958933E-3</v>
      </c>
      <c r="AM112" s="1">
        <f>[2]Urban_area_finals!AM113/[2]Urban_area_finals!$G113</f>
        <v>5.5556793898958933E-3</v>
      </c>
      <c r="AN112" s="1">
        <f>[2]Urban_area_finals!AN113/[2]Urban_area_finals!$G113</f>
        <v>5.7058328869201069E-3</v>
      </c>
      <c r="AO112" s="1">
        <f>[2]Urban_area_finals!AO113/[2]Urban_area_finals!$G113</f>
        <v>5.7809096354322137E-3</v>
      </c>
      <c r="AP112" s="1">
        <f>[2]Urban_area_finals!AP113/[2]Urban_area_finals!$G113</f>
        <v>5.8559863839443204E-3</v>
      </c>
      <c r="AQ112" s="1">
        <f>[2]Urban_area_finals!AQ113/[2]Urban_area_finals!$G113</f>
        <v>6.2313701265048534E-3</v>
      </c>
      <c r="AR112" s="1">
        <f>[2]Urban_area_finals!AR113/[2]Urban_area_finals!$G113</f>
        <v>6.7569073660896E-3</v>
      </c>
      <c r="AS112" s="1">
        <f>[2]Urban_area_finals!AS113/[2]Urban_area_finals!$G113</f>
        <v>7.2824446056743482E-3</v>
      </c>
      <c r="AT112" s="1">
        <f>[2]Urban_area_finals!AT113/[2]Urban_area_finals!$G113</f>
        <v>7.8830585937712007E-3</v>
      </c>
      <c r="AU112" s="1">
        <f>[2]Urban_area_finals!AU113/[2]Urban_area_finals!$G113</f>
        <v>8.2434269866293128E-3</v>
      </c>
      <c r="AV112" s="1">
        <f>[2]Urban_area_finals!AV113/[2]Urban_area_finals!$G113</f>
        <v>8.7839795759164802E-3</v>
      </c>
      <c r="AW112" s="1">
        <f>[2]Urban_area_finals!AW113/[2]Urban_area_finals!$G113</f>
        <v>9.835054055085975E-3</v>
      </c>
      <c r="AX112" s="1">
        <f>[2]Urban_area_finals!AX113/[2]Urban_area_finals!$G113</f>
        <v>1.0886128534255466E-2</v>
      </c>
      <c r="AY112" s="1">
        <f>[2]Urban_area_finals!AY113/[2]Urban_area_finals!$G113</f>
        <v>1.2012279761937068E-2</v>
      </c>
    </row>
    <row r="113" spans="1:51" x14ac:dyDescent="0.25">
      <c r="A113" t="s">
        <v>281</v>
      </c>
      <c r="B113" t="s">
        <v>282</v>
      </c>
      <c r="C113" t="s">
        <v>283</v>
      </c>
      <c r="D113" t="s">
        <v>70</v>
      </c>
      <c r="E113" t="s">
        <v>71</v>
      </c>
      <c r="F113" t="s">
        <v>70</v>
      </c>
      <c r="G113">
        <v>1621745.289867236</v>
      </c>
      <c r="H113">
        <v>18738.304805966789</v>
      </c>
      <c r="I113">
        <f>Table2[[#This Row],[FUA_area]]+Table2[[#This Row],[FUA_urban]]</f>
        <v>1640483.5946732028</v>
      </c>
      <c r="J113">
        <v>86990161</v>
      </c>
      <c r="K113" s="1">
        <f>[2]Urban_area_finals!K78/[2]Urban_area_finals!$G78</f>
        <v>1.6134248859920201E-4</v>
      </c>
      <c r="L113" s="1">
        <f>[2]Urban_area_finals!L78/[2]Urban_area_finals!$G78</f>
        <v>1.6134248859920201E-4</v>
      </c>
      <c r="M113" s="1">
        <f>[2]Urban_area_finals!M78/[2]Urban_area_finals!$G78</f>
        <v>1.6134248859920201E-4</v>
      </c>
      <c r="N113" s="1">
        <f>[2]Urban_area_finals!N78/[2]Urban_area_finals!$G78</f>
        <v>1.6134248859920201E-4</v>
      </c>
      <c r="O113" s="1">
        <f>[2]Urban_area_finals!O78/[2]Urban_area_finals!$G78</f>
        <v>1.6134248859920201E-4</v>
      </c>
      <c r="P113" s="1">
        <f>[2]Urban_area_finals!P78/[2]Urban_area_finals!$G78</f>
        <v>1.6134248859920201E-4</v>
      </c>
      <c r="Q113" s="1">
        <f>[2]Urban_area_finals!Q78/[2]Urban_area_finals!$G78</f>
        <v>1.6134248859920201E-4</v>
      </c>
      <c r="R113" s="1">
        <f>[2]Urban_area_finals!R78/[2]Urban_area_finals!$G78</f>
        <v>1.6134248859920201E-4</v>
      </c>
      <c r="S113" s="1">
        <f>[2]Urban_area_finals!S78/[2]Urban_area_finals!$G78</f>
        <v>1.8285482041242892E-4</v>
      </c>
      <c r="T113" s="1">
        <f>[2]Urban_area_finals!T78/[2]Urban_area_finals!$G78</f>
        <v>2.3663564994549628E-4</v>
      </c>
      <c r="U113" s="1">
        <f>[2]Urban_area_finals!U78/[2]Urban_area_finals!$G78</f>
        <v>3.8722197263808475E-4</v>
      </c>
      <c r="V113" s="1">
        <f>[2]Urban_area_finals!V78/[2]Urban_area_finals!$G78</f>
        <v>7.5293161346294264E-4</v>
      </c>
      <c r="W113" s="1">
        <f>[2]Urban_area_finals!W78/[2]Urban_area_finals!$G78</f>
        <v>1.1509097520076409E-3</v>
      </c>
      <c r="X113" s="1">
        <f>[2]Urban_area_finals!X78/[2]Urban_area_finals!$G78</f>
        <v>1.4628385632994313E-3</v>
      </c>
      <c r="Y113" s="1">
        <f>[2]Urban_area_finals!Y78/[2]Urban_area_finals!$G78</f>
        <v>1.61342488599202E-3</v>
      </c>
      <c r="Z113" s="1">
        <f>[2]Urban_area_finals!Z78/[2]Urban_area_finals!$G78</f>
        <v>1.8608167018441296E-3</v>
      </c>
      <c r="AA113" s="1">
        <f>[2]Urban_area_finals!AA78/[2]Urban_area_finals!$G78</f>
        <v>1.9253536972838104E-3</v>
      </c>
      <c r="AB113" s="1">
        <f>[2]Urban_area_finals!AB78/[2]Urban_area_finals!$G78</f>
        <v>1.9576221950036508E-3</v>
      </c>
      <c r="AC113" s="1">
        <f>[2]Urban_area_finals!AC78/[2]Urban_area_finals!$G78</f>
        <v>1.9576221950036508E-3</v>
      </c>
      <c r="AD113" s="1">
        <f>[2]Urban_area_finals!AD78/[2]Urban_area_finals!$G78</f>
        <v>2.0114030245367179E-3</v>
      </c>
      <c r="AE113" s="1">
        <f>[2]Urban_area_finals!AE78/[2]Urban_area_finals!$G78</f>
        <v>2.0221591904433316E-3</v>
      </c>
      <c r="AF113" s="1">
        <f>[2]Urban_area_finals!AF78/[2]Urban_area_finals!$G78</f>
        <v>2.0436715222565587E-3</v>
      </c>
      <c r="AG113" s="1">
        <f>[2]Urban_area_finals!AG78/[2]Urban_area_finals!$G78</f>
        <v>2.0651838540697858E-3</v>
      </c>
      <c r="AH113" s="1">
        <f>[2]Urban_area_finals!AH78/[2]Urban_area_finals!$G78</f>
        <v>2.0759400199763987E-3</v>
      </c>
      <c r="AI113" s="1">
        <f>[2]Urban_area_finals!AI78/[2]Urban_area_finals!$G78</f>
        <v>2.0759400199763987E-3</v>
      </c>
      <c r="AJ113" s="1">
        <f>[2]Urban_area_finals!AJ78/[2]Urban_area_finals!$G78</f>
        <v>2.1189646836028528E-3</v>
      </c>
      <c r="AK113" s="1">
        <f>[2]Urban_area_finals!AK78/[2]Urban_area_finals!$G78</f>
        <v>2.1512331813226928E-3</v>
      </c>
      <c r="AL113" s="1">
        <f>[2]Urban_area_finals!AL78/[2]Urban_area_finals!$G78</f>
        <v>2.215770176762374E-3</v>
      </c>
      <c r="AM113" s="1">
        <f>[2]Urban_area_finals!AM78/[2]Urban_area_finals!$G78</f>
        <v>2.5384551539607779E-3</v>
      </c>
      <c r="AN113" s="1">
        <f>[2]Urban_area_finals!AN78/[2]Urban_area_finals!$G78</f>
        <v>2.6460168130269125E-3</v>
      </c>
      <c r="AO113" s="1">
        <f>[2]Urban_area_finals!AO78/[2]Urban_area_finals!$G78</f>
        <v>2.6997976425599804E-3</v>
      </c>
      <c r="AP113" s="1">
        <f>[2]Urban_area_finals!AP78/[2]Urban_area_finals!$G78</f>
        <v>3.1085319470112917E-3</v>
      </c>
      <c r="AQ113" s="1">
        <f>[2]Urban_area_finals!AQ78/[2]Urban_area_finals!$G78</f>
        <v>3.3666799287700149E-3</v>
      </c>
      <c r="AR113" s="1">
        <f>[2]Urban_area_finals!AR78/[2]Urban_area_finals!$G78</f>
        <v>3.7539019014081001E-3</v>
      </c>
      <c r="AS113" s="1">
        <f>[2]Urban_area_finals!AS78/[2]Urban_area_finals!$G78</f>
        <v>3.9905375513535953E-3</v>
      </c>
      <c r="AT113" s="1">
        <f>[2]Urban_area_finals!AT78/[2]Urban_area_finals!$G78</f>
        <v>3.9582690536337558E-3</v>
      </c>
      <c r="AU113" s="1">
        <f>[2]Urban_area_finals!AU78/[2]Urban_area_finals!$G78</f>
        <v>4.1733923717660248E-3</v>
      </c>
      <c r="AV113" s="1">
        <f>[2]Urban_area_finals!AV78/[2]Urban_area_finals!$G78</f>
        <v>4.4960773489644288E-3</v>
      </c>
      <c r="AW113" s="1">
        <f>[2]Urban_area_finals!AW78/[2]Urban_area_finals!$G78</f>
        <v>5.2705212942405983E-3</v>
      </c>
      <c r="AX113" s="1">
        <f>[2]Urban_area_finals!AX78/[2]Urban_area_finals!$G78</f>
        <v>6.7656283552598702E-3</v>
      </c>
      <c r="AY113" s="1">
        <f>[2]Urban_area_finals!AY78/[2]Urban_area_finals!$G78</f>
        <v>1.1627415345049156E-2</v>
      </c>
    </row>
    <row r="114" spans="1:51" x14ac:dyDescent="0.25">
      <c r="A114" t="s">
        <v>568</v>
      </c>
      <c r="B114" t="s">
        <v>569</v>
      </c>
      <c r="C114" t="s">
        <v>570</v>
      </c>
      <c r="D114" t="s">
        <v>60</v>
      </c>
      <c r="E114" t="s">
        <v>61</v>
      </c>
      <c r="F114" t="s">
        <v>61</v>
      </c>
      <c r="G114">
        <v>751172.35043800029</v>
      </c>
      <c r="H114">
        <v>2202.885661316071</v>
      </c>
      <c r="I114">
        <f>Table2[[#This Row],[FUA_area]]+Table2[[#This Row],[FUA_urban]]</f>
        <v>753375.23609931639</v>
      </c>
      <c r="J114">
        <v>18654917</v>
      </c>
      <c r="K114" s="1">
        <f>[2]Urban_area_finals!K22/[2]Urban_area_finals!$G22</f>
        <v>2.0327482336777219E-4</v>
      </c>
      <c r="L114" s="1">
        <f>[2]Urban_area_finals!L22/[2]Urban_area_finals!$G22</f>
        <v>2.4961727014591713E-4</v>
      </c>
      <c r="M114" s="1">
        <f>[2]Urban_area_finals!M22/[2]Urban_area_finals!$G22</f>
        <v>3.417755449888191E-4</v>
      </c>
      <c r="N114" s="1">
        <f>[2]Urban_area_finals!N22/[2]Urban_area_finals!$G22</f>
        <v>4.5526187772393546E-4</v>
      </c>
      <c r="O114" s="1">
        <f>[2]Urban_area_finals!O22/[2]Urban_area_finals!$G22</f>
        <v>6.3036259992544914E-4</v>
      </c>
      <c r="P114" s="1">
        <f>[2]Urban_area_finals!P22/[2]Urban_area_finals!$G22</f>
        <v>8.8998562562573843E-4</v>
      </c>
      <c r="Q114" s="1">
        <f>[2]Urban_area_finals!Q22/[2]Urban_area_finals!$G22</f>
        <v>1.2078000191554032E-3</v>
      </c>
      <c r="R114" s="1">
        <f>[2]Urban_area_finals!R22/[2]Urban_area_finals!$G22</f>
        <v>1.2567755595004879E-3</v>
      </c>
      <c r="S114" s="1">
        <f>[2]Urban_area_finals!S22/[2]Urban_area_finals!$G22</f>
        <v>1.6156662126744176E-3</v>
      </c>
      <c r="T114" s="1">
        <f>[2]Urban_area_finals!T22/[2]Urban_area_finals!$G22</f>
        <v>2.2007396032484978E-3</v>
      </c>
      <c r="U114" s="1">
        <f>[2]Urban_area_finals!U22/[2]Urban_area_finals!$G22</f>
        <v>2.5003856511662758E-3</v>
      </c>
      <c r="V114" s="1">
        <f>[2]Urban_area_finals!V22/[2]Urban_area_finals!$G22</f>
        <v>2.5122345722175059E-3</v>
      </c>
      <c r="W114" s="1">
        <f>[2]Urban_area_finals!W22/[2]Urban_area_finals!$G22</f>
        <v>2.6528417686921047E-3</v>
      </c>
      <c r="X114" s="1">
        <f>[2]Urban_area_finals!X22/[2]Urban_area_finals!$G22</f>
        <v>2.8953496862072835E-3</v>
      </c>
      <c r="Y114" s="1">
        <f>[2]Urban_area_finals!Y22/[2]Urban_area_finals!$G22</f>
        <v>3.467257608946664E-3</v>
      </c>
      <c r="Z114" s="1">
        <f>[2]Urban_area_finals!Z22/[2]Urban_area_finals!$G22</f>
        <v>3.881443227026334E-3</v>
      </c>
      <c r="AA114" s="1">
        <f>[2]Urban_area_finals!AA22/[2]Urban_area_finals!$G22</f>
        <v>4.1963612176323644E-3</v>
      </c>
      <c r="AB114" s="1">
        <f>[2]Urban_area_finals!AB22/[2]Urban_area_finals!$G22</f>
        <v>4.3493439538715819E-3</v>
      </c>
      <c r="AC114" s="1">
        <f>[2]Urban_area_finals!AC22/[2]Urban_area_finals!$G22</f>
        <v>4.4960072655501433E-3</v>
      </c>
      <c r="AD114" s="1">
        <f>[2]Urban_area_finals!AD22/[2]Urban_area_finals!$G22</f>
        <v>4.6492533111460541E-3</v>
      </c>
      <c r="AE114" s="1">
        <f>[2]Urban_area_finals!AE22/[2]Urban_area_finals!$G22</f>
        <v>4.8182979181436063E-3</v>
      </c>
      <c r="AF114" s="1">
        <f>[2]Urban_area_finals!AF22/[2]Urban_area_finals!$G22</f>
        <v>4.926254754388148E-3</v>
      </c>
      <c r="AG114" s="1">
        <f>[2]Urban_area_finals!AG22/[2]Urban_area_finals!$G22</f>
        <v>4.9955051151986717E-3</v>
      </c>
      <c r="AH114" s="1">
        <f>[2]Urban_area_finals!AH22/[2]Urban_area_finals!$G22</f>
        <v>5.0829238216210815E-3</v>
      </c>
      <c r="AI114" s="1">
        <f>[2]Urban_area_finals!AI22/[2]Urban_area_finals!$G22</f>
        <v>5.1842979239482738E-3</v>
      </c>
      <c r="AJ114" s="1">
        <f>[2]Urban_area_finals!AJ22/[2]Urban_area_finals!$G22</f>
        <v>5.3104231058047026E-3</v>
      </c>
      <c r="AK114" s="1">
        <f>[2]Urban_area_finals!AK22/[2]Urban_area_finals!$G22</f>
        <v>5.4354950502343551E-3</v>
      </c>
      <c r="AL114" s="1">
        <f>[2]Urban_area_finals!AL22/[2]Urban_area_finals!$G22</f>
        <v>5.5961137578176981E-3</v>
      </c>
      <c r="AM114" s="1">
        <f>[2]Urban_area_finals!AM22/[2]Urban_area_finals!$G22</f>
        <v>5.8957598057354762E-3</v>
      </c>
      <c r="AN114" s="1">
        <f>[2]Urban_area_finals!AN22/[2]Urban_area_finals!$G22</f>
        <v>6.0634878659495579E-3</v>
      </c>
      <c r="AO114" s="1">
        <f>[2]Urban_area_finals!AO22/[2]Urban_area_finals!$G22</f>
        <v>6.3033626898977967E-3</v>
      </c>
      <c r="AP114" s="1">
        <f>[2]Urban_area_finals!AP22/[2]Urban_area_finals!$G22</f>
        <v>6.6156475869368868E-3</v>
      </c>
      <c r="AQ114" s="1">
        <f>[2]Urban_area_finals!AQ22/[2]Urban_area_finals!$G22</f>
        <v>7.2183627044094664E-3</v>
      </c>
      <c r="AR114" s="1">
        <f>[2]Urban_area_finals!AR22/[2]Urban_area_finals!$G22</f>
        <v>7.7536706265683786E-3</v>
      </c>
      <c r="AS114" s="1">
        <f>[2]Urban_area_finals!AS22/[2]Urban_area_finals!$G22</f>
        <v>8.1649598417244135E-3</v>
      </c>
      <c r="AT114" s="1">
        <f>[2]Urban_area_finals!AT22/[2]Urban_area_finals!$G22</f>
        <v>8.4008850253222446E-3</v>
      </c>
      <c r="AU114" s="1">
        <f>[2]Urban_area_finals!AU22/[2]Urban_area_finals!$G22</f>
        <v>8.5854122224934028E-3</v>
      </c>
      <c r="AV114" s="1">
        <f>[2]Urban_area_finals!AV22/[2]Urban_area_finals!$G22</f>
        <v>8.8622030182501418E-3</v>
      </c>
      <c r="AW114" s="1">
        <f>[2]Urban_area_finals!AW22/[2]Urban_area_finals!$G22</f>
        <v>9.3896116597082333E-3</v>
      </c>
      <c r="AX114" s="1">
        <f>[2]Urban_area_finals!AX22/[2]Urban_area_finals!$G22</f>
        <v>9.8517195807062141E-3</v>
      </c>
      <c r="AY114" s="1">
        <f>[2]Urban_area_finals!AY22/[2]Urban_area_finals!$G22</f>
        <v>1.0380181459591083E-2</v>
      </c>
    </row>
    <row r="115" spans="1:51" x14ac:dyDescent="0.25">
      <c r="A115" t="s">
        <v>78</v>
      </c>
      <c r="B115" t="s">
        <v>79</v>
      </c>
      <c r="C115" t="s">
        <v>80</v>
      </c>
      <c r="D115" t="s">
        <v>81</v>
      </c>
      <c r="E115" t="s">
        <v>66</v>
      </c>
      <c r="F115" t="s">
        <v>82</v>
      </c>
      <c r="G115">
        <v>29690.16452743176</v>
      </c>
      <c r="H115">
        <v>779.13351844425733</v>
      </c>
      <c r="I115">
        <f>Table2[[#This Row],[FUA_area]]+Table2[[#This Row],[FUA_urban]]</f>
        <v>30469.298045876018</v>
      </c>
      <c r="J115">
        <v>2812494</v>
      </c>
      <c r="K115" s="1">
        <f>[2]Urban_area_finals!K30/[2]Urban_area_finals!$G30</f>
        <v>1.7374954578055422E-4</v>
      </c>
      <c r="L115" s="1">
        <f>[2]Urban_area_finals!L30/[2]Urban_area_finals!$G30</f>
        <v>1.8711489545598147E-4</v>
      </c>
      <c r="M115" s="1">
        <f>[2]Urban_area_finals!M30/[2]Urban_area_finals!$G30</f>
        <v>2.0048024513140869E-4</v>
      </c>
      <c r="N115" s="1">
        <f>[2]Urban_area_finals!N30/[2]Urban_area_finals!$G30</f>
        <v>2.2721094448226319E-4</v>
      </c>
      <c r="O115" s="1">
        <f>[2]Urban_area_finals!O30/[2]Urban_area_finals!$G30</f>
        <v>2.5394164383311767E-4</v>
      </c>
      <c r="P115" s="1">
        <f>[2]Urban_area_finals!P30/[2]Urban_area_finals!$G30</f>
        <v>2.6730699350854494E-4</v>
      </c>
      <c r="Q115" s="1">
        <f>[2]Urban_area_finals!Q30/[2]Urban_area_finals!$G30</f>
        <v>2.8067234318397217E-4</v>
      </c>
      <c r="R115" s="1">
        <f>[2]Urban_area_finals!R30/[2]Urban_area_finals!$G30</f>
        <v>3.0740304253482666E-4</v>
      </c>
      <c r="S115" s="1">
        <f>[2]Urban_area_finals!S30/[2]Urban_area_finals!$G30</f>
        <v>3.6086444123653566E-4</v>
      </c>
      <c r="T115" s="1">
        <f>[2]Urban_area_finals!T30/[2]Urban_area_finals!$G30</f>
        <v>5.8807538571879888E-4</v>
      </c>
      <c r="U115" s="1">
        <f>[2]Urban_area_finals!U30/[2]Urban_area_finals!$G30</f>
        <v>1.0959586733850341E-3</v>
      </c>
      <c r="V115" s="1">
        <f>[2]Urban_area_finals!V30/[2]Urban_area_finals!$G30</f>
        <v>1.6840340591038332E-3</v>
      </c>
      <c r="W115" s="1">
        <f>[2]Urban_area_finals!W30/[2]Urban_area_finals!$G30</f>
        <v>2.0716291996912234E-3</v>
      </c>
      <c r="X115" s="1">
        <f>[2]Urban_area_finals!X30/[2]Urban_area_finals!$G30</f>
        <v>2.2854747944980589E-3</v>
      </c>
      <c r="Y115" s="1">
        <f>[2]Urban_area_finals!Y30/[2]Urban_area_finals!$G30</f>
        <v>2.9403769285939944E-3</v>
      </c>
      <c r="Z115" s="1">
        <f>[2]Urban_area_finals!Z30/[2]Urban_area_finals!$G30</f>
        <v>3.1943185724271125E-3</v>
      </c>
      <c r="AA115" s="1">
        <f>[2]Urban_area_finals!AA30/[2]Urban_area_finals!$G30</f>
        <v>3.3413374188568119E-3</v>
      </c>
      <c r="AB115" s="1">
        <f>[2]Urban_area_finals!AB30/[2]Urban_area_finals!$G30</f>
        <v>3.4616255659356571E-3</v>
      </c>
      <c r="AC115" s="1">
        <f>[2]Urban_area_finals!AC30/[2]Urban_area_finals!$G30</f>
        <v>3.5551830136636479E-3</v>
      </c>
      <c r="AD115" s="1">
        <f>[2]Urban_area_finals!AD30/[2]Urban_area_finals!$G30</f>
        <v>3.7823939581459109E-3</v>
      </c>
      <c r="AE115" s="1">
        <f>[2]Urban_area_finals!AE30/[2]Urban_area_finals!$G30</f>
        <v>3.8759514058739012E-3</v>
      </c>
      <c r="AF115" s="1">
        <f>[2]Urban_area_finals!AF30/[2]Urban_area_finals!$G30</f>
        <v>3.9561435039264653E-3</v>
      </c>
      <c r="AG115" s="1">
        <f>[2]Urban_area_finals!AG30/[2]Urban_area_finals!$G30</f>
        <v>3.9561435039264653E-3</v>
      </c>
      <c r="AH115" s="1">
        <f>[2]Urban_area_finals!AH30/[2]Urban_area_finals!$G30</f>
        <v>4.0229702523036015E-3</v>
      </c>
      <c r="AI115" s="1">
        <f>[2]Urban_area_finals!AI30/[2]Urban_area_finals!$G30</f>
        <v>4.1566237490578738E-3</v>
      </c>
      <c r="AJ115" s="1">
        <f>[2]Urban_area_finals!AJ30/[2]Urban_area_finals!$G30</f>
        <v>4.2100851477595829E-3</v>
      </c>
      <c r="AK115" s="1">
        <f>[2]Urban_area_finals!AK30/[2]Urban_area_finals!$G30</f>
        <v>4.3704693438647102E-3</v>
      </c>
      <c r="AL115" s="1">
        <f>[2]Urban_area_finals!AL30/[2]Urban_area_finals!$G30</f>
        <v>4.4239307425664193E-3</v>
      </c>
      <c r="AM115" s="1">
        <f>[2]Urban_area_finals!AM30/[2]Urban_area_finals!$G30</f>
        <v>4.6377763373732549E-3</v>
      </c>
      <c r="AN115" s="1">
        <f>[2]Urban_area_finals!AN30/[2]Urban_area_finals!$G30</f>
        <v>4.7446991347766731E-3</v>
      </c>
      <c r="AO115" s="1">
        <f>[2]Urban_area_finals!AO30/[2]Urban_area_finals!$G30</f>
        <v>4.9585447295835087E-3</v>
      </c>
      <c r="AP115" s="1">
        <f>[2]Urban_area_finals!AP30/[2]Urban_area_finals!$G30</f>
        <v>5.092198226337781E-3</v>
      </c>
      <c r="AQ115" s="1">
        <f>[2]Urban_area_finals!AQ30/[2]Urban_area_finals!$G30</f>
        <v>5.5733508146531621E-3</v>
      </c>
      <c r="AR115" s="1">
        <f>[2]Urban_area_finals!AR30/[2]Urban_area_finals!$G30</f>
        <v>6.2950796971262329E-3</v>
      </c>
      <c r="AS115" s="1">
        <f>[2]Urban_area_finals!AS30/[2]Urban_area_finals!$G30</f>
        <v>7.4444997692129774E-3</v>
      </c>
      <c r="AT115" s="1">
        <f>[2]Urban_area_finals!AT30/[2]Urban_area_finals!$G30</f>
        <v>7.4845958182392586E-3</v>
      </c>
      <c r="AU115" s="1">
        <f>[2]Urban_area_finals!AU30/[2]Urban_area_finals!$G30</f>
        <v>7.67171071369524E-3</v>
      </c>
      <c r="AV115" s="1">
        <f>[2]Urban_area_finals!AV30/[2]Urban_area_finals!$G30</f>
        <v>7.9523830568792135E-3</v>
      </c>
      <c r="AW115" s="1">
        <f>[2]Urban_area_finals!AW30/[2]Urban_area_finals!$G30</f>
        <v>8.4736316942208741E-3</v>
      </c>
      <c r="AX115" s="1">
        <f>[2]Urban_area_finals!AX30/[2]Urban_area_finals!$G30</f>
        <v>9.1151684786413834E-3</v>
      </c>
      <c r="AY115" s="1">
        <f>[2]Urban_area_finals!AY30/[2]Urban_area_finals!$G30</f>
        <v>1.0344780648780688E-2</v>
      </c>
    </row>
    <row r="116" spans="1:51" x14ac:dyDescent="0.25">
      <c r="A116" t="s">
        <v>253</v>
      </c>
      <c r="B116" t="s">
        <v>254</v>
      </c>
      <c r="C116" t="s">
        <v>255</v>
      </c>
      <c r="D116" t="s">
        <v>121</v>
      </c>
      <c r="E116" t="s">
        <v>76</v>
      </c>
      <c r="F116" t="s">
        <v>77</v>
      </c>
      <c r="G116">
        <v>109144.77954317079</v>
      </c>
      <c r="H116">
        <v>3602.91020734006</v>
      </c>
      <c r="I116">
        <f>Table2[[#This Row],[FUA_area]]+Table2[[#This Row],[FUA_urban]]</f>
        <v>112747.68975051085</v>
      </c>
      <c r="J116">
        <v>17231175</v>
      </c>
      <c r="K116" s="1">
        <f>[2]Urban_area_finals!K31/[2]Urban_area_finals!$G31</f>
        <v>2.352120846458139E-4</v>
      </c>
      <c r="L116" s="1">
        <f>[2]Urban_area_finals!L31/[2]Urban_area_finals!$G31</f>
        <v>2.352120846458139E-4</v>
      </c>
      <c r="M116" s="1">
        <f>[2]Urban_area_finals!M31/[2]Urban_area_finals!$G31</f>
        <v>2.352120846458139E-4</v>
      </c>
      <c r="N116" s="1">
        <f>[2]Urban_area_finals!N31/[2]Urban_area_finals!$G31</f>
        <v>2.5481309169963172E-4</v>
      </c>
      <c r="O116" s="1">
        <f>[2]Urban_area_finals!O31/[2]Urban_area_finals!$G31</f>
        <v>2.5481309169963172E-4</v>
      </c>
      <c r="P116" s="1">
        <f>[2]Urban_area_finals!P31/[2]Urban_area_finals!$G31</f>
        <v>2.5481309169963172E-4</v>
      </c>
      <c r="Q116" s="1">
        <f>[2]Urban_area_finals!Q31/[2]Urban_area_finals!$G31</f>
        <v>2.5481309169963172E-4</v>
      </c>
      <c r="R116" s="1">
        <f>[2]Urban_area_finals!R31/[2]Urban_area_finals!$G31</f>
        <v>2.5481309169963172E-4</v>
      </c>
      <c r="S116" s="1">
        <f>[2]Urban_area_finals!S31/[2]Urban_area_finals!$G31</f>
        <v>2.7441409875344954E-4</v>
      </c>
      <c r="T116" s="1">
        <f>[2]Urban_area_finals!T31/[2]Urban_area_finals!$G31</f>
        <v>3.33217119914903E-4</v>
      </c>
      <c r="U116" s="1">
        <f>[2]Urban_area_finals!U31/[2]Urban_area_finals!$G31</f>
        <v>4.9002517634544568E-4</v>
      </c>
      <c r="V116" s="1">
        <f>[2]Urban_area_finals!V31/[2]Urban_area_finals!$G31</f>
        <v>8.2324229626034868E-4</v>
      </c>
      <c r="W116" s="1">
        <f>[2]Urban_area_finals!W31/[2]Urban_area_finals!$G31</f>
        <v>1.1956614302828874E-3</v>
      </c>
      <c r="X116" s="1">
        <f>[2]Urban_area_finals!X31/[2]Urban_area_finals!$G31</f>
        <v>1.3916715008210655E-3</v>
      </c>
      <c r="Y116" s="1">
        <f>[2]Urban_area_finals!Y31/[2]Urban_area_finals!$G31</f>
        <v>1.5680805643054261E-3</v>
      </c>
      <c r="Z116" s="1">
        <f>[2]Urban_area_finals!Z31/[2]Urban_area_finals!$G31</f>
        <v>1.8424946630588757E-3</v>
      </c>
      <c r="AA116" s="1">
        <f>[2]Urban_area_finals!AA31/[2]Urban_area_finals!$G31</f>
        <v>2.0385047335970538E-3</v>
      </c>
      <c r="AB116" s="1">
        <f>[2]Urban_area_finals!AB31/[2]Urban_area_finals!$G31</f>
        <v>2.0385047335970538E-3</v>
      </c>
      <c r="AC116" s="1">
        <f>[2]Urban_area_finals!AC31/[2]Urban_area_finals!$G31</f>
        <v>2.0777067477046897E-3</v>
      </c>
      <c r="AD116" s="1">
        <f>[2]Urban_area_finals!AD31/[2]Urban_area_finals!$G31</f>
        <v>2.1169087618123253E-3</v>
      </c>
      <c r="AE116" s="1">
        <f>[2]Urban_area_finals!AE31/[2]Urban_area_finals!$G31</f>
        <v>2.1561107759199608E-3</v>
      </c>
      <c r="AF116" s="1">
        <f>[2]Urban_area_finals!AF31/[2]Urban_area_finals!$G31</f>
        <v>2.1757117829737786E-3</v>
      </c>
      <c r="AG116" s="1">
        <f>[2]Urban_area_finals!AG31/[2]Urban_area_finals!$G31</f>
        <v>2.1953127900275963E-3</v>
      </c>
      <c r="AH116" s="1">
        <f>[2]Urban_area_finals!AH31/[2]Urban_area_finals!$G31</f>
        <v>2.2149137970814145E-3</v>
      </c>
      <c r="AI116" s="1">
        <f>[2]Urban_area_finals!AI31/[2]Urban_area_finals!$G31</f>
        <v>2.2149137970814145E-3</v>
      </c>
      <c r="AJ116" s="1">
        <f>[2]Urban_area_finals!AJ31/[2]Urban_area_finals!$G31</f>
        <v>2.2541158111890496E-3</v>
      </c>
      <c r="AK116" s="1">
        <f>[2]Urban_area_finals!AK31/[2]Urban_area_finals!$G31</f>
        <v>2.293317825296686E-3</v>
      </c>
      <c r="AL116" s="1">
        <f>[2]Urban_area_finals!AL31/[2]Urban_area_finals!$G31</f>
        <v>2.3325198394043211E-3</v>
      </c>
      <c r="AM116" s="1">
        <f>[2]Urban_area_finals!AM31/[2]Urban_area_finals!$G31</f>
        <v>2.9793530721803096E-3</v>
      </c>
      <c r="AN116" s="1">
        <f>[2]Urban_area_finals!AN31/[2]Urban_area_finals!$G31</f>
        <v>3.0381560933417625E-3</v>
      </c>
      <c r="AO116" s="1">
        <f>[2]Urban_area_finals!AO31/[2]Urban_area_finals!$G31</f>
        <v>3.2341661638799414E-3</v>
      </c>
      <c r="AP116" s="1">
        <f>[2]Urban_area_finals!AP31/[2]Urban_area_finals!$G31</f>
        <v>4.2142165165708328E-3</v>
      </c>
      <c r="AQ116" s="1">
        <f>[2]Urban_area_finals!AQ31/[2]Urban_area_finals!$G31</f>
        <v>4.4690296082704637E-3</v>
      </c>
      <c r="AR116" s="1">
        <f>[2]Urban_area_finals!AR31/[2]Urban_area_finals!$G31</f>
        <v>4.9786557916697274E-3</v>
      </c>
      <c r="AS116" s="1">
        <f>[2]Urban_area_finals!AS31/[2]Urban_area_finals!$G31</f>
        <v>5.1158628410464526E-3</v>
      </c>
      <c r="AT116" s="1">
        <f>[2]Urban_area_finals!AT31/[2]Urban_area_finals!$G31</f>
        <v>4.998256798723546E-3</v>
      </c>
      <c r="AU116" s="1">
        <f>[2]Urban_area_finals!AU31/[2]Urban_area_finals!$G31</f>
        <v>5.1629052579756146E-3</v>
      </c>
      <c r="AV116" s="1">
        <f>[2]Urban_area_finals!AV31/[2]Urban_area_finals!$G31</f>
        <v>5.4098779468537191E-3</v>
      </c>
      <c r="AW116" s="1">
        <f>[2]Urban_area_finals!AW31/[2]Urban_area_finals!$G31</f>
        <v>6.0175091655220725E-3</v>
      </c>
      <c r="AX116" s="1">
        <f>[2]Urban_area_finals!AX31/[2]Urban_area_finals!$G31</f>
        <v>7.0955645534820531E-3</v>
      </c>
      <c r="AY116" s="1">
        <f>[2]Urban_area_finals!AY31/[2]Urban_area_finals!$G31</f>
        <v>9.702498491639823E-3</v>
      </c>
    </row>
    <row r="117" spans="1:51" x14ac:dyDescent="0.25">
      <c r="A117" t="s">
        <v>309</v>
      </c>
      <c r="B117" t="s">
        <v>310</v>
      </c>
      <c r="C117" t="s">
        <v>311</v>
      </c>
      <c r="D117" t="s">
        <v>98</v>
      </c>
      <c r="E117" t="s">
        <v>61</v>
      </c>
      <c r="F117" t="s">
        <v>61</v>
      </c>
      <c r="G117">
        <v>585983.76478242478</v>
      </c>
      <c r="H117">
        <v>2445.5401739217082</v>
      </c>
      <c r="I117">
        <f>Table2[[#This Row],[FUA_area]]+Table2[[#This Row],[FUA_urban]]</f>
        <v>588429.30495634652</v>
      </c>
      <c r="J117">
        <v>51460216</v>
      </c>
      <c r="K117" s="1">
        <f>[2]Urban_area_finals!K130/[2]Urban_area_finals!$G130</f>
        <v>7.9125068376124369E-5</v>
      </c>
      <c r="L117" s="1">
        <f>[2]Urban_area_finals!L130/[2]Urban_area_finals!$G130</f>
        <v>7.9125068376124369E-5</v>
      </c>
      <c r="M117" s="1">
        <f>[2]Urban_area_finals!M130/[2]Urban_area_finals!$G130</f>
        <v>7.9125068376124369E-5</v>
      </c>
      <c r="N117" s="1">
        <f>[2]Urban_area_finals!N130/[2]Urban_area_finals!$G130</f>
        <v>8.4253545030132444E-5</v>
      </c>
      <c r="O117" s="1">
        <f>[2]Urban_area_finals!O130/[2]Urban_area_finals!$G130</f>
        <v>9.3777858816147409E-5</v>
      </c>
      <c r="P117" s="1">
        <f>[2]Urban_area_finals!P130/[2]Urban_area_finals!$G130</f>
        <v>1.0037161451415777E-4</v>
      </c>
      <c r="Q117" s="1">
        <f>[2]Urban_area_finals!Q130/[2]Urban_area_finals!$G130</f>
        <v>1.1062856782217391E-4</v>
      </c>
      <c r="R117" s="1">
        <f>[2]Urban_area_finals!R130/[2]Urban_area_finals!$G130</f>
        <v>1.2271711993519291E-4</v>
      </c>
      <c r="S117" s="1">
        <f>[2]Urban_area_finals!S130/[2]Urban_area_finals!$G130</f>
        <v>1.362709510922142E-4</v>
      </c>
      <c r="T117" s="1">
        <f>[2]Urban_area_finals!T130/[2]Urban_area_finals!$G130</f>
        <v>2.1759393803434204E-4</v>
      </c>
      <c r="U117" s="1">
        <f>[2]Urban_area_finals!U130/[2]Urban_area_finals!$G130</f>
        <v>4.4507850961569964E-4</v>
      </c>
      <c r="V117" s="1">
        <f>[2]Urban_area_finals!V130/[2]Urban_area_finals!$G130</f>
        <v>1.01140886012259E-3</v>
      </c>
      <c r="W117" s="1">
        <f>[2]Urban_area_finals!W130/[2]Urban_area_finals!$G130</f>
        <v>2.0946163934012925E-3</v>
      </c>
      <c r="X117" s="1">
        <f>[2]Urban_area_finals!X130/[2]Urban_area_finals!$G130</f>
        <v>2.2993891398006144E-3</v>
      </c>
      <c r="Y117" s="1">
        <f>[2]Urban_area_finals!Y130/[2]Urban_area_finals!$G130</f>
        <v>2.4191757016478028E-3</v>
      </c>
      <c r="Z117" s="1">
        <f>[2]Urban_area_finals!Z130/[2]Urban_area_finals!$G130</f>
        <v>2.5096566826149453E-3</v>
      </c>
      <c r="AA117" s="1">
        <f>[2]Urban_area_finals!AA130/[2]Urban_area_finals!$G130</f>
        <v>2.55105081560801E-3</v>
      </c>
      <c r="AB117" s="1">
        <f>[2]Urban_area_finals!AB130/[2]Urban_area_finals!$G130</f>
        <v>2.569000483897038E-3</v>
      </c>
      <c r="AC117" s="1">
        <f>[2]Urban_area_finals!AC130/[2]Urban_area_finals!$G130</f>
        <v>2.5917123090790739E-3</v>
      </c>
      <c r="AD117" s="1">
        <f>[2]Urban_area_finals!AD130/[2]Urban_area_finals!$G130</f>
        <v>2.630908523506136E-3</v>
      </c>
      <c r="AE117" s="1">
        <f>[2]Urban_area_finals!AE130/[2]Urban_area_finals!$G130</f>
        <v>2.656550906776176E-3</v>
      </c>
      <c r="AF117" s="1">
        <f>[2]Urban_area_finals!AF130/[2]Urban_area_finals!$G130</f>
        <v>2.7071030337942558E-3</v>
      </c>
      <c r="AG117" s="1">
        <f>[2]Urban_area_finals!AG130/[2]Urban_area_finals!$G130</f>
        <v>2.7433686901333124E-3</v>
      </c>
      <c r="AH117" s="1">
        <f>[2]Urban_area_finals!AH130/[2]Urban_area_finals!$G130</f>
        <v>2.7997819333274009E-3</v>
      </c>
      <c r="AI117" s="1">
        <f>[2]Urban_area_finals!AI130/[2]Urban_area_finals!$G130</f>
        <v>2.9071136233005694E-3</v>
      </c>
      <c r="AJ117" s="1">
        <f>[2]Urban_area_finals!AJ130/[2]Urban_area_finals!$G130</f>
        <v>2.9913671683307018E-3</v>
      </c>
      <c r="AK117" s="1">
        <f>[2]Urban_area_finals!AK130/[2]Urban_area_finals!$G130</f>
        <v>3.0847787073858489E-3</v>
      </c>
      <c r="AL117" s="1">
        <f>[2]Urban_area_finals!AL130/[2]Urban_area_finals!$G130</f>
        <v>3.1693985721769824E-3</v>
      </c>
      <c r="AM117" s="1">
        <f>[2]Urban_area_finals!AM130/[2]Urban_area_finals!$G130</f>
        <v>3.3492615748282649E-3</v>
      </c>
      <c r="AN117" s="1">
        <f>[2]Urban_area_finals!AN130/[2]Urban_area_finals!$G130</f>
        <v>3.4891957235304847E-3</v>
      </c>
      <c r="AO117" s="1">
        <f>[2]Urban_area_finals!AO130/[2]Urban_area_finals!$G130</f>
        <v>3.7276698879418597E-3</v>
      </c>
      <c r="AP117" s="1">
        <f>[2]Urban_area_finals!AP130/[2]Urban_area_finals!$G130</f>
        <v>4.330265894787807E-3</v>
      </c>
      <c r="AQ117" s="1">
        <f>[2]Urban_area_finals!AQ130/[2]Urban_area_finals!$G130</f>
        <v>4.9335945411557551E-3</v>
      </c>
      <c r="AR117" s="1">
        <f>[2]Urban_area_finals!AR130/[2]Urban_area_finals!$G130</f>
        <v>5.500291211423646E-3</v>
      </c>
      <c r="AS117" s="1">
        <f>[2]Urban_area_finals!AS130/[2]Urban_area_finals!$G130</f>
        <v>6.1303612003446367E-3</v>
      </c>
      <c r="AT117" s="1">
        <f>[2]Urban_area_finals!AT130/[2]Urban_area_finals!$G130</f>
        <v>6.5303823793572656E-3</v>
      </c>
      <c r="AU117" s="1">
        <f>[2]Urban_area_finals!AU130/[2]Urban_area_finals!$G130</f>
        <v>6.7931069119468784E-3</v>
      </c>
      <c r="AV117" s="1">
        <f>[2]Urban_area_finals!AV130/[2]Urban_area_finals!$G130</f>
        <v>7.1871937108312989E-3</v>
      </c>
      <c r="AW117" s="1">
        <f>[2]Urban_area_finals!AW130/[2]Urban_area_finals!$G130</f>
        <v>7.9476735346684941E-3</v>
      </c>
      <c r="AX117" s="1">
        <f>[2]Urban_area_finals!AX130/[2]Urban_area_finals!$G130</f>
        <v>8.6594328302926106E-3</v>
      </c>
      <c r="AY117" s="1">
        <f>[2]Urban_area_finals!AY130/[2]Urban_area_finals!$G130</f>
        <v>9.3202736791376511E-3</v>
      </c>
    </row>
    <row r="118" spans="1:51" x14ac:dyDescent="0.25">
      <c r="A118" t="s">
        <v>296</v>
      </c>
      <c r="B118" t="s">
        <v>297</v>
      </c>
      <c r="C118" t="s">
        <v>298</v>
      </c>
      <c r="D118" t="s">
        <v>121</v>
      </c>
      <c r="E118" t="s">
        <v>76</v>
      </c>
      <c r="F118" t="s">
        <v>77</v>
      </c>
      <c r="G118">
        <v>11000.034256386811</v>
      </c>
      <c r="H118">
        <v>994.57311196982187</v>
      </c>
      <c r="I118">
        <f>Table2[[#This Row],[FUA_area]]+Table2[[#This Row],[FUA_urban]]</f>
        <v>11994.607368356632</v>
      </c>
      <c r="J118">
        <v>2814476</v>
      </c>
      <c r="K118" s="1">
        <f>[2]Urban_area_finals!K132/[2]Urban_area_finals!$G132</f>
        <v>2.1180013937735633E-4</v>
      </c>
      <c r="L118" s="1">
        <f>[2]Urban_area_finals!L132/[2]Urban_area_finals!$G132</f>
        <v>2.1180013937735633E-4</v>
      </c>
      <c r="M118" s="1">
        <f>[2]Urban_area_finals!M132/[2]Urban_area_finals!$G132</f>
        <v>2.1180013937735633E-4</v>
      </c>
      <c r="N118" s="1">
        <f>[2]Urban_area_finals!N132/[2]Urban_area_finals!$G132</f>
        <v>2.3298015331509194E-4</v>
      </c>
      <c r="O118" s="1">
        <f>[2]Urban_area_finals!O132/[2]Urban_area_finals!$G132</f>
        <v>2.7534018119056321E-4</v>
      </c>
      <c r="P118" s="1">
        <f>[2]Urban_area_finals!P132/[2]Urban_area_finals!$G132</f>
        <v>2.7534018119056321E-4</v>
      </c>
      <c r="Q118" s="1">
        <f>[2]Urban_area_finals!Q132/[2]Urban_area_finals!$G132</f>
        <v>2.9652019512829881E-4</v>
      </c>
      <c r="R118" s="1">
        <f>[2]Urban_area_finals!R132/[2]Urban_area_finals!$G132</f>
        <v>3.1770020906603442E-4</v>
      </c>
      <c r="S118" s="1">
        <f>[2]Urban_area_finals!S132/[2]Urban_area_finals!$G132</f>
        <v>3.6006023694150569E-4</v>
      </c>
      <c r="T118" s="1">
        <f>[2]Urban_area_finals!T132/[2]Urban_area_finals!$G132</f>
        <v>4.6596030663018388E-4</v>
      </c>
      <c r="U118" s="1">
        <f>[2]Urban_area_finals!U132/[2]Urban_area_finals!$G132</f>
        <v>6.5658043206980445E-4</v>
      </c>
      <c r="V118" s="1">
        <f>[2]Urban_area_finals!V132/[2]Urban_area_finals!$G132</f>
        <v>9.5310062719810348E-4</v>
      </c>
      <c r="W118" s="1">
        <f>[2]Urban_area_finals!W132/[2]Urban_area_finals!$G132</f>
        <v>1.2284408083886665E-3</v>
      </c>
      <c r="X118" s="1">
        <f>[2]Urban_area_finals!X132/[2]Urban_area_finals!$G132</f>
        <v>1.2919808502018734E-3</v>
      </c>
      <c r="Y118" s="1">
        <f>[2]Urban_area_finals!Y132/[2]Urban_area_finals!$G132</f>
        <v>1.376700905952816E-3</v>
      </c>
      <c r="Z118" s="1">
        <f>[2]Urban_area_finals!Z132/[2]Urban_area_finals!$G132</f>
        <v>1.715581128956586E-3</v>
      </c>
      <c r="AA118" s="1">
        <f>[2]Urban_area_finals!AA132/[2]Urban_area_finals!$G132</f>
        <v>1.9909213101471494E-3</v>
      </c>
      <c r="AB118" s="1">
        <f>[2]Urban_area_finals!AB132/[2]Urban_area_finals!$G132</f>
        <v>2.0968213798358273E-3</v>
      </c>
      <c r="AC118" s="1">
        <f>[2]Urban_area_finals!AC132/[2]Urban_area_finals!$G132</f>
        <v>2.1391814077112987E-3</v>
      </c>
      <c r="AD118" s="1">
        <f>[2]Urban_area_finals!AD132/[2]Urban_area_finals!$G132</f>
        <v>2.3721615610263905E-3</v>
      </c>
      <c r="AE118" s="1">
        <f>[2]Urban_area_finals!AE132/[2]Urban_area_finals!$G132</f>
        <v>2.6475017422169537E-3</v>
      </c>
      <c r="AF118" s="1">
        <f>[2]Urban_area_finals!AF132/[2]Urban_area_finals!$G132</f>
        <v>2.7957618397811035E-3</v>
      </c>
      <c r="AG118" s="1">
        <f>[2]Urban_area_finals!AG132/[2]Urban_area_finals!$G132</f>
        <v>2.8381218676565741E-3</v>
      </c>
      <c r="AH118" s="1">
        <f>[2]Urban_area_finals!AH132/[2]Urban_area_finals!$G132</f>
        <v>2.9228419234075169E-3</v>
      </c>
      <c r="AI118" s="1">
        <f>[2]Urban_area_finals!AI132/[2]Urban_area_finals!$G132</f>
        <v>3.0711020209716663E-3</v>
      </c>
      <c r="AJ118" s="1">
        <f>[2]Urban_area_finals!AJ132/[2]Urban_area_finals!$G132</f>
        <v>3.1770020906603446E-3</v>
      </c>
      <c r="AK118" s="1">
        <f>[2]Urban_area_finals!AK132/[2]Urban_area_finals!$G132</f>
        <v>3.325262188224494E-3</v>
      </c>
      <c r="AL118" s="1">
        <f>[2]Urban_area_finals!AL132/[2]Urban_area_finals!$G132</f>
        <v>3.5158823136641148E-3</v>
      </c>
      <c r="AM118" s="1">
        <f>[2]Urban_area_finals!AM132/[2]Urban_area_finals!$G132</f>
        <v>3.8547625366678849E-3</v>
      </c>
      <c r="AN118" s="1">
        <f>[2]Urban_area_finals!AN132/[2]Urban_area_finals!$G132</f>
        <v>3.8971225645433559E-3</v>
      </c>
      <c r="AO118" s="1">
        <f>[2]Urban_area_finals!AO132/[2]Urban_area_finals!$G132</f>
        <v>3.9394825924188269E-3</v>
      </c>
      <c r="AP118" s="1">
        <f>[2]Urban_area_finals!AP132/[2]Urban_area_finals!$G132</f>
        <v>3.9818426202942988E-3</v>
      </c>
      <c r="AQ118" s="1">
        <f>[2]Urban_area_finals!AQ132/[2]Urban_area_finals!$G132</f>
        <v>4.5113429687376888E-3</v>
      </c>
      <c r="AR118" s="1">
        <f>[2]Urban_area_finals!AR132/[2]Urban_area_finals!$G132</f>
        <v>5.0196633032433442E-3</v>
      </c>
      <c r="AS118" s="1">
        <f>[2]Urban_area_finals!AS132/[2]Urban_area_finals!$G132</f>
        <v>5.4220835680603213E-3</v>
      </c>
      <c r="AT118" s="1">
        <f>[2]Urban_area_finals!AT132/[2]Urban_area_finals!$G132</f>
        <v>5.760963791064091E-3</v>
      </c>
      <c r="AU118" s="1">
        <f>[2]Urban_area_finals!AU132/[2]Urban_area_finals!$G132</f>
        <v>6.0490119806172965E-3</v>
      </c>
      <c r="AV118" s="1">
        <f>[2]Urban_area_finals!AV132/[2]Urban_area_finals!$G132</f>
        <v>6.481084264947104E-3</v>
      </c>
      <c r="AW118" s="1">
        <f>[2]Urban_area_finals!AW132/[2]Urban_area_finals!$G132</f>
        <v>7.3071048085187927E-3</v>
      </c>
      <c r="AX118" s="1">
        <f>[2]Urban_area_finals!AX132/[2]Urban_area_finals!$G132</f>
        <v>8.2178454078414235E-3</v>
      </c>
      <c r="AY118" s="1">
        <f>[2]Urban_area_finals!AY132/[2]Urban_area_finals!$G132</f>
        <v>9.2556660907904698E-3</v>
      </c>
    </row>
    <row r="119" spans="1:51" x14ac:dyDescent="0.25">
      <c r="A119" t="s">
        <v>493</v>
      </c>
      <c r="B119" t="s">
        <v>494</v>
      </c>
      <c r="C119" t="s">
        <v>495</v>
      </c>
      <c r="D119" t="s">
        <v>75</v>
      </c>
      <c r="E119" t="s">
        <v>76</v>
      </c>
      <c r="F119" t="s">
        <v>77</v>
      </c>
      <c r="G119">
        <v>146425.54979208051</v>
      </c>
      <c r="H119">
        <v>311.94428654963042</v>
      </c>
      <c r="I119">
        <f>Table2[[#This Row],[FUA_area]]+Table2[[#This Row],[FUA_urban]]</f>
        <v>146737.49407863014</v>
      </c>
      <c r="J119">
        <v>603807</v>
      </c>
      <c r="K119" s="1">
        <f>[2]Urban_area_finals!K34/[2]Urban_area_finals!$G34</f>
        <v>8.3212109723466467E-5</v>
      </c>
      <c r="L119" s="1">
        <f>[2]Urban_area_finals!L34/[2]Urban_area_finals!$G34</f>
        <v>1.007304486126173E-4</v>
      </c>
      <c r="M119" s="1">
        <f>[2]Urban_area_finals!M34/[2]Urban_area_finals!$G34</f>
        <v>1.1824878750176812E-4</v>
      </c>
      <c r="N119" s="1">
        <f>[2]Urban_area_finals!N34/[2]Urban_area_finals!$G34</f>
        <v>1.4233650347435055E-4</v>
      </c>
      <c r="O119" s="1">
        <f>[2]Urban_area_finals!O34/[2]Urban_area_finals!$G34</f>
        <v>1.7518338889150836E-4</v>
      </c>
      <c r="P119" s="1">
        <f>[2]Urban_area_finals!P34/[2]Urban_area_finals!$G34</f>
        <v>2.2992819792010469E-4</v>
      </c>
      <c r="Q119" s="1">
        <f>[2]Urban_area_finals!Q34/[2]Urban_area_finals!$G34</f>
        <v>3.0219134583785189E-4</v>
      </c>
      <c r="R119" s="1">
        <f>[2]Urban_area_finals!R34/[2]Urban_area_finals!$G34</f>
        <v>3.6569532431102365E-4</v>
      </c>
      <c r="S119" s="1">
        <f>[2]Urban_area_finals!S34/[2]Urban_area_finals!$G34</f>
        <v>4.9708286597965488E-4</v>
      </c>
      <c r="T119" s="1">
        <f>[2]Urban_area_finals!T34/[2]Urban_area_finals!$G34</f>
        <v>8.0584358890093842E-4</v>
      </c>
      <c r="U119" s="1">
        <f>[2]Urban_area_finals!U34/[2]Urban_area_finals!$G34</f>
        <v>1.3073060396028809E-3</v>
      </c>
      <c r="V119" s="1">
        <f>[2]Urban_area_finals!V34/[2]Urban_area_finals!$G34</f>
        <v>1.894170392389434E-3</v>
      </c>
      <c r="W119" s="1">
        <f>[2]Urban_area_finals!W34/[2]Urban_area_finals!$G34</f>
        <v>2.6102324944834742E-3</v>
      </c>
      <c r="X119" s="1">
        <f>[2]Urban_area_finals!X34/[2]Urban_area_finals!$G34</f>
        <v>2.7722771292081195E-3</v>
      </c>
      <c r="Y119" s="1">
        <f>[2]Urban_area_finals!Y34/[2]Urban_area_finals!$G34</f>
        <v>3.4116964986621247E-3</v>
      </c>
      <c r="Z119" s="1">
        <f>[2]Urban_area_finals!Z34/[2]Urban_area_finals!$G34</f>
        <v>3.8124285007514508E-3</v>
      </c>
      <c r="AA119" s="1">
        <f>[2]Urban_area_finals!AA34/[2]Urban_area_finals!$G34</f>
        <v>3.8956406104749173E-3</v>
      </c>
      <c r="AB119" s="1">
        <f>[2]Urban_area_finals!AB34/[2]Urban_area_finals!$G34</f>
        <v>3.9372466653366505E-3</v>
      </c>
      <c r="AC119" s="1">
        <f>[2]Urban_area_finals!AC34/[2]Urban_area_finals!$G34</f>
        <v>3.9657139660315205E-3</v>
      </c>
      <c r="AD119" s="1">
        <f>[2]Urban_area_finals!AD34/[2]Urban_area_finals!$G34</f>
        <v>4.0379771139492674E-3</v>
      </c>
      <c r="AE119" s="1">
        <f>[2]Urban_area_finals!AE34/[2]Urban_area_finals!$G34</f>
        <v>4.1014810924224383E-3</v>
      </c>
      <c r="AF119" s="1">
        <f>[2]Urban_area_finals!AF34/[2]Urban_area_finals!$G34</f>
        <v>4.114619846589302E-3</v>
      </c>
      <c r="AG119" s="1">
        <f>[2]Urban_area_finals!AG34/[2]Urban_area_finals!$G34</f>
        <v>4.1299483931173091E-3</v>
      </c>
      <c r="AH119" s="1">
        <f>[2]Urban_area_finals!AH34/[2]Urban_area_finals!$G34</f>
        <v>4.1408973549230286E-3</v>
      </c>
      <c r="AI119" s="1">
        <f>[2]Urban_area_finals!AI34/[2]Urban_area_finals!$G34</f>
        <v>4.1562259014510357E-3</v>
      </c>
      <c r="AJ119" s="1">
        <f>[2]Urban_area_finals!AJ34/[2]Urban_area_finals!$G34</f>
        <v>4.1781238250624738E-3</v>
      </c>
      <c r="AK119" s="1">
        <f>[2]Urban_area_finals!AK34/[2]Urban_area_finals!$G34</f>
        <v>4.2022115410350561E-3</v>
      </c>
      <c r="AL119" s="1">
        <f>[2]Urban_area_finals!AL34/[2]Urban_area_finals!$G34</f>
        <v>4.2131605028407756E-3</v>
      </c>
      <c r="AM119" s="1">
        <f>[2]Urban_area_finals!AM34/[2]Urban_area_finals!$G34</f>
        <v>4.3401684597871191E-3</v>
      </c>
      <c r="AN119" s="1">
        <f>[2]Urban_area_finals!AN34/[2]Urban_area_finals!$G34</f>
        <v>4.4277601542328732E-3</v>
      </c>
      <c r="AO119" s="1">
        <f>[2]Urban_area_finals!AO34/[2]Urban_area_finals!$G34</f>
        <v>4.5613374882626486E-3</v>
      </c>
      <c r="AP119" s="1">
        <f>[2]Urban_area_finals!AP34/[2]Urban_area_finals!$G34</f>
        <v>4.8109738174330488E-3</v>
      </c>
      <c r="AQ119" s="1">
        <f>[2]Urban_area_finals!AQ34/[2]Urban_area_finals!$G34</f>
        <v>5.2511220820229626E-3</v>
      </c>
      <c r="AR119" s="1">
        <f>[2]Urban_area_finals!AR34/[2]Urban_area_finals!$G34</f>
        <v>5.6190071986951303E-3</v>
      </c>
      <c r="AS119" s="1">
        <f>[2]Urban_area_finals!AS34/[2]Urban_area_finals!$G34</f>
        <v>5.8664537355043855E-3</v>
      </c>
      <c r="AT119" s="1">
        <f>[2]Urban_area_finals!AT34/[2]Urban_area_finals!$G34</f>
        <v>6.1861634202313885E-3</v>
      </c>
      <c r="AU119" s="1">
        <f>[2]Urban_area_finals!AU34/[2]Urban_area_finals!$G34</f>
        <v>6.3955075699567406E-3</v>
      </c>
      <c r="AV119" s="1">
        <f>[2]Urban_area_finals!AV34/[2]Urban_area_finals!$G34</f>
        <v>6.7095237945447687E-3</v>
      </c>
      <c r="AW119" s="1">
        <f>[2]Urban_area_finals!AW34/[2]Urban_area_finals!$G34</f>
        <v>7.1868985292741303E-3</v>
      </c>
      <c r="AX119" s="1">
        <f>[2]Urban_area_finals!AX34/[2]Urban_area_finals!$G34</f>
        <v>7.8066097674778408E-3</v>
      </c>
      <c r="AY119" s="1">
        <f>[2]Urban_area_finals!AY34/[2]Urban_area_finals!$G34</f>
        <v>8.8620896855491783E-3</v>
      </c>
    </row>
    <row r="120" spans="1:51" x14ac:dyDescent="0.25">
      <c r="A120" t="s">
        <v>439</v>
      </c>
      <c r="B120" t="s">
        <v>440</v>
      </c>
      <c r="C120" t="s">
        <v>441</v>
      </c>
      <c r="D120" t="s">
        <v>65</v>
      </c>
      <c r="E120" t="s">
        <v>66</v>
      </c>
      <c r="F120" t="s">
        <v>66</v>
      </c>
      <c r="G120">
        <v>312400.07147017732</v>
      </c>
      <c r="H120">
        <v>42555.518515590673</v>
      </c>
      <c r="I120">
        <f>Table2[[#This Row],[FUA_area]]+Table2[[#This Row],[FUA_urban]]</f>
        <v>354955.58998576802</v>
      </c>
      <c r="J120">
        <v>38477961</v>
      </c>
      <c r="K120" s="1">
        <f>[2]Urban_area_finals!K100/[2]Urban_area_finals!$G100</f>
        <v>7.4820484665617522E-4</v>
      </c>
      <c r="L120" s="1">
        <f>[2]Urban_area_finals!L100/[2]Urban_area_finals!$G100</f>
        <v>8.3035164028191278E-4</v>
      </c>
      <c r="M120" s="1">
        <f>[2]Urban_area_finals!M100/[2]Urban_area_finals!$G100</f>
        <v>9.2050699218385078E-4</v>
      </c>
      <c r="N120" s="1">
        <f>[2]Urban_area_finals!N100/[2]Urban_area_finals!$G100</f>
        <v>1.0401409402672314E-3</v>
      </c>
      <c r="O120" s="1">
        <f>[2]Urban_area_finals!O100/[2]Urban_area_finals!$G100</f>
        <v>1.219949668028685E-3</v>
      </c>
      <c r="P120" s="1">
        <f>[2]Urban_area_finals!P100/[2]Urban_area_finals!$G100</f>
        <v>1.2902206312120227E-3</v>
      </c>
      <c r="Q120" s="1">
        <f>[2]Urban_area_finals!Q100/[2]Urban_area_finals!$G100</f>
        <v>1.3923431745414181E-3</v>
      </c>
      <c r="R120" s="1">
        <f>[2]Urban_area_finals!R100/[2]Urban_area_finals!$G100</f>
        <v>1.4801104702030405E-3</v>
      </c>
      <c r="S120" s="1">
        <f>[2]Urban_area_finals!S100/[2]Urban_area_finals!$G100</f>
        <v>1.6235558917884598E-3</v>
      </c>
      <c r="T120" s="1">
        <f>[2]Urban_area_finals!T100/[2]Urban_area_finals!$G100</f>
        <v>1.8148155983478218E-3</v>
      </c>
      <c r="U120" s="1">
        <f>[2]Urban_area_finals!U100/[2]Urban_area_finals!$G100</f>
        <v>2.1300059042007762E-3</v>
      </c>
      <c r="V120" s="1">
        <f>[2]Urban_area_finals!V100/[2]Urban_area_finals!$G100</f>
        <v>2.4105128769623518E-3</v>
      </c>
      <c r="W120" s="1">
        <f>[2]Urban_area_finals!W100/[2]Urban_area_finals!$G100</f>
        <v>2.6125678369979945E-3</v>
      </c>
      <c r="X120" s="1">
        <f>[2]Urban_area_finals!X100/[2]Urban_area_finals!$G100</f>
        <v>2.7129076354812935E-3</v>
      </c>
      <c r="Y120" s="1">
        <f>[2]Urban_area_finals!Y100/[2]Urban_area_finals!$G100</f>
        <v>3.0374585211786161E-3</v>
      </c>
      <c r="Z120" s="1">
        <f>[2]Urban_area_finals!Z100/[2]Urban_area_finals!$G100</f>
        <v>3.3843579708096685E-3</v>
      </c>
      <c r="AA120" s="1">
        <f>[2]Urban_area_finals!AA100/[2]Urban_area_finals!$G100</f>
        <v>3.5827295819432191E-3</v>
      </c>
      <c r="AB120" s="1">
        <f>[2]Urban_area_finals!AB100/[2]Urban_area_finals!$G100</f>
        <v>3.6716610581817655E-3</v>
      </c>
      <c r="AC120" s="1">
        <f>[2]Urban_area_finals!AC100/[2]Urban_area_finals!$G100</f>
        <v>3.7829675656785612E-3</v>
      </c>
      <c r="AD120" s="1">
        <f>[2]Urban_area_finals!AD100/[2]Urban_area_finals!$G100</f>
        <v>3.9412366730941584E-3</v>
      </c>
      <c r="AE120" s="1">
        <f>[2]Urban_area_finals!AE100/[2]Urban_area_finals!$G100</f>
        <v>4.041581230080582E-3</v>
      </c>
      <c r="AF120" s="1">
        <f>[2]Urban_area_finals!AF100/[2]Urban_area_finals!$G100</f>
        <v>4.1253165699011362E-3</v>
      </c>
      <c r="AG120" s="1">
        <f>[2]Urban_area_finals!AG100/[2]Urban_area_finals!$G100</f>
        <v>4.2159928055071436E-3</v>
      </c>
      <c r="AH120" s="1">
        <f>[2]Urban_area_finals!AH100/[2]Urban_area_finals!$G100</f>
        <v>4.3119925447377807E-3</v>
      </c>
      <c r="AI120" s="1">
        <f>[2]Urban_area_finals!AI100/[2]Urban_area_finals!$G100</f>
        <v>4.3743953897172859E-3</v>
      </c>
      <c r="AJ120" s="1">
        <f>[2]Urban_area_finals!AJ100/[2]Urban_area_finals!$G100</f>
        <v>4.450856961611723E-3</v>
      </c>
      <c r="AK120" s="1">
        <f>[2]Urban_area_finals!AK100/[2]Urban_area_finals!$G100</f>
        <v>4.5254453522125303E-3</v>
      </c>
      <c r="AL120" s="1">
        <f>[2]Urban_area_finals!AL100/[2]Urban_area_finals!$G100</f>
        <v>4.6476651397471171E-3</v>
      </c>
      <c r="AM120" s="1">
        <f>[2]Urban_area_finals!AM100/[2]Urban_area_finals!$G100</f>
        <v>4.8142970346201613E-3</v>
      </c>
      <c r="AN120" s="1">
        <f>[2]Urban_area_finals!AN100/[2]Urban_area_finals!$G100</f>
        <v>4.9600156639265092E-3</v>
      </c>
      <c r="AO120" s="1">
        <f>[2]Urban_area_finals!AO100/[2]Urban_area_finals!$G100</f>
        <v>5.2224534869190703E-3</v>
      </c>
      <c r="AP120" s="1">
        <f>[2]Urban_area_finals!AP100/[2]Urban_area_finals!$G100</f>
        <v>5.5319722313200582E-3</v>
      </c>
      <c r="AQ120" s="1">
        <f>[2]Urban_area_finals!AQ100/[2]Urban_area_finals!$G100</f>
        <v>6.0039965419531769E-3</v>
      </c>
      <c r="AR120" s="1">
        <f>[2]Urban_area_finals!AR100/[2]Urban_area_finals!$G100</f>
        <v>6.5026721454039624E-3</v>
      </c>
      <c r="AS120" s="1">
        <f>[2]Urban_area_finals!AS100/[2]Urban_area_finals!$G100</f>
        <v>6.9087017614773531E-3</v>
      </c>
      <c r="AT120" s="1">
        <f>[2]Urban_area_finals!AT100/[2]Urban_area_finals!$G100</f>
        <v>6.9824942702036343E-3</v>
      </c>
      <c r="AU120" s="1">
        <f>[2]Urban_area_finals!AU100/[2]Urban_area_finals!$G100</f>
        <v>7.1188733973593958E-3</v>
      </c>
      <c r="AV120" s="1">
        <f>[2]Urban_area_finals!AV100/[2]Urban_area_finals!$G100</f>
        <v>7.3234420880930419E-3</v>
      </c>
      <c r="AW120" s="1">
        <f>[2]Urban_area_finals!AW100/[2]Urban_area_finals!$G100</f>
        <v>7.7100850524616567E-3</v>
      </c>
      <c r="AX120" s="1">
        <f>[2]Urban_area_finals!AX100/[2]Urban_area_finals!$G100</f>
        <v>8.1508960163401804E-3</v>
      </c>
      <c r="AY120" s="1">
        <f>[2]Urban_area_finals!AY100/[2]Urban_area_finals!$G100</f>
        <v>8.6120516855790735E-3</v>
      </c>
    </row>
    <row r="121" spans="1:51" x14ac:dyDescent="0.25">
      <c r="A121" t="s">
        <v>256</v>
      </c>
      <c r="B121" t="s">
        <v>257</v>
      </c>
      <c r="C121" t="s">
        <v>258</v>
      </c>
      <c r="D121" t="s">
        <v>134</v>
      </c>
      <c r="E121" t="s">
        <v>76</v>
      </c>
      <c r="F121" t="s">
        <v>77</v>
      </c>
      <c r="G121">
        <v>209744.0669065238</v>
      </c>
      <c r="H121">
        <v>174.86050742878919</v>
      </c>
      <c r="I121">
        <f>Table2[[#This Row],[FUA_area]]+Table2[[#This Row],[FUA_urban]]</f>
        <v>209918.9274139526</v>
      </c>
      <c r="J121">
        <v>791844.99999999907</v>
      </c>
      <c r="K121" s="1">
        <f>[2]Urban_area_finals!K124/[2]Urban_area_finals!$G124</f>
        <v>1.239959761126584E-4</v>
      </c>
      <c r="L121" s="1">
        <f>[2]Urban_area_finals!L124/[2]Urban_area_finals!$G124</f>
        <v>1.3580511669481632E-4</v>
      </c>
      <c r="M121" s="1">
        <f>[2]Urban_area_finals!M124/[2]Urban_area_finals!$G124</f>
        <v>1.5351882756805326E-4</v>
      </c>
      <c r="N121" s="1">
        <f>[2]Urban_area_finals!N124/[2]Urban_area_finals!$G124</f>
        <v>1.7123253844129017E-4</v>
      </c>
      <c r="O121" s="1">
        <f>[2]Urban_area_finals!O124/[2]Urban_area_finals!$G124</f>
        <v>2.3618281164315886E-4</v>
      </c>
      <c r="P121" s="1">
        <f>[2]Urban_area_finals!P124/[2]Urban_area_finals!$G124</f>
        <v>3.0113308484502752E-4</v>
      </c>
      <c r="Q121" s="1">
        <f>[2]Urban_area_finals!Q124/[2]Urban_area_finals!$G124</f>
        <v>3.7789249862905418E-4</v>
      </c>
      <c r="R121" s="1">
        <f>[2]Urban_area_finals!R124/[2]Urban_area_finals!$G124</f>
        <v>4.5465191241308073E-4</v>
      </c>
      <c r="S121" s="1">
        <f>[2]Urban_area_finals!S124/[2]Urban_area_finals!$G124</f>
        <v>5.8455245881681821E-4</v>
      </c>
      <c r="T121" s="1">
        <f>[2]Urban_area_finals!T124/[2]Urban_area_finals!$G124</f>
        <v>8.5616269220645073E-4</v>
      </c>
      <c r="U121" s="1">
        <f>[2]Urban_area_finals!U124/[2]Urban_area_finals!$G124</f>
        <v>1.1041546444317675E-3</v>
      </c>
      <c r="V121" s="1">
        <f>[2]Urban_area_finals!V124/[2]Urban_area_finals!$G124</f>
        <v>1.3344328857838473E-3</v>
      </c>
      <c r="W121" s="1">
        <f>[2]Urban_area_finals!W124/[2]Urban_area_finals!$G124</f>
        <v>1.8894624931452709E-3</v>
      </c>
      <c r="X121" s="1">
        <f>[2]Urban_area_finals!X124/[2]Urban_area_finals!$G124</f>
        <v>2.0193630395490083E-3</v>
      </c>
      <c r="Y121" s="1">
        <f>[2]Urban_area_finals!Y124/[2]Urban_area_finals!$G124</f>
        <v>2.3677326867226674E-3</v>
      </c>
      <c r="Z121" s="1">
        <f>[2]Urban_area_finals!Z124/[2]Urban_area_finals!$G124</f>
        <v>2.6393429201123004E-3</v>
      </c>
      <c r="AA121" s="1">
        <f>[2]Urban_area_finals!AA124/[2]Urban_area_finals!$G124</f>
        <v>2.9936171375770384E-3</v>
      </c>
      <c r="AB121" s="1">
        <f>[2]Urban_area_finals!AB124/[2]Urban_area_finals!$G124</f>
        <v>3.0408536999056704E-3</v>
      </c>
      <c r="AC121" s="1">
        <f>[2]Urban_area_finals!AC124/[2]Urban_area_finals!$G124</f>
        <v>3.1294222542718542E-3</v>
      </c>
      <c r="AD121" s="1">
        <f>[2]Urban_area_finals!AD124/[2]Urban_area_finals!$G124</f>
        <v>3.1530405354361704E-3</v>
      </c>
      <c r="AE121" s="1">
        <f>[2]Urban_area_finals!AE124/[2]Urban_area_finals!$G124</f>
        <v>3.2297999492201974E-3</v>
      </c>
      <c r="AF121" s="1">
        <f>[2]Urban_area_finals!AF124/[2]Urban_area_finals!$G124</f>
        <v>3.2652273709666709E-3</v>
      </c>
      <c r="AG121" s="1">
        <f>[2]Urban_area_finals!AG124/[2]Urban_area_finals!$G124</f>
        <v>3.2829410818399083E-3</v>
      </c>
      <c r="AH121" s="1">
        <f>[2]Urban_area_finals!AH124/[2]Urban_area_finals!$G124</f>
        <v>3.324273073877461E-3</v>
      </c>
      <c r="AI121" s="1">
        <f>[2]Urban_area_finals!AI124/[2]Urban_area_finals!$G124</f>
        <v>3.324273073877461E-3</v>
      </c>
      <c r="AJ121" s="1">
        <f>[2]Urban_area_finals!AJ124/[2]Urban_area_finals!$G124</f>
        <v>3.3656050659150133E-3</v>
      </c>
      <c r="AK121" s="1">
        <f>[2]Urban_area_finals!AK124/[2]Urban_area_finals!$G124</f>
        <v>3.3833187767882502E-3</v>
      </c>
      <c r="AL121" s="1">
        <f>[2]Urban_area_finals!AL124/[2]Urban_area_finals!$G124</f>
        <v>3.3892233470793295E-3</v>
      </c>
      <c r="AM121" s="1">
        <f>[2]Urban_area_finals!AM124/[2]Urban_area_finals!$G124</f>
        <v>3.5899787369760138E-3</v>
      </c>
      <c r="AN121" s="1">
        <f>[2]Urban_area_finals!AN124/[2]Urban_area_finals!$G124</f>
        <v>3.837970689201331E-3</v>
      </c>
      <c r="AO121" s="1">
        <f>[2]Urban_area_finals!AO124/[2]Urban_area_finals!$G124</f>
        <v>3.9914895167693842E-3</v>
      </c>
      <c r="AP121" s="1">
        <f>[2]Urban_area_finals!AP124/[2]Urban_area_finals!$G124</f>
        <v>4.4225231480181492E-3</v>
      </c>
      <c r="AQ121" s="1">
        <f>[2]Urban_area_finals!AQ124/[2]Urban_area_finals!$G124</f>
        <v>5.0247893177082044E-3</v>
      </c>
      <c r="AR121" s="1">
        <f>[2]Urban_area_finals!AR124/[2]Urban_area_finals!$G124</f>
        <v>5.166499004694099E-3</v>
      </c>
      <c r="AS121" s="1">
        <f>[2]Urban_area_finals!AS124/[2]Urban_area_finals!$G124</f>
        <v>5.6565783388536541E-3</v>
      </c>
      <c r="AT121" s="1">
        <f>[2]Urban_area_finals!AT124/[2]Urban_area_finals!$G124</f>
        <v>5.9754251345719182E-3</v>
      </c>
      <c r="AU121" s="1">
        <f>[2]Urban_area_finals!AU124/[2]Urban_area_finals!$G124</f>
        <v>6.1572858995371507E-3</v>
      </c>
      <c r="AV121" s="1">
        <f>[2]Urban_area_finals!AV124/[2]Urban_area_finals!$G124</f>
        <v>6.4300770469849994E-3</v>
      </c>
      <c r="AW121" s="1">
        <f>[2]Urban_area_finals!AW124/[2]Urban_area_finals!$G124</f>
        <v>6.9378700920177906E-3</v>
      </c>
      <c r="AX121" s="1">
        <f>[2]Urban_area_finals!AX124/[2]Urban_area_finals!$G124</f>
        <v>7.5873728240364773E-3</v>
      </c>
      <c r="AY121" s="1">
        <f>[2]Urban_area_finals!AY124/[2]Urban_area_finals!$G124</f>
        <v>8.5557223517734298E-3</v>
      </c>
    </row>
    <row r="122" spans="1:51" x14ac:dyDescent="0.25">
      <c r="A122" t="s">
        <v>174</v>
      </c>
      <c r="B122" t="s">
        <v>175</v>
      </c>
      <c r="C122" t="s">
        <v>176</v>
      </c>
      <c r="D122" t="s">
        <v>75</v>
      </c>
      <c r="E122" t="s">
        <v>76</v>
      </c>
      <c r="F122" t="s">
        <v>77</v>
      </c>
      <c r="G122">
        <v>1137241.296633956</v>
      </c>
      <c r="H122">
        <v>7273.2353214898849</v>
      </c>
      <c r="I122">
        <f>Table2[[#This Row],[FUA_area]]+Table2[[#This Row],[FUA_urban]]</f>
        <v>1144514.5319554459</v>
      </c>
      <c r="J122">
        <v>50617026</v>
      </c>
      <c r="K122" s="1">
        <f>[2]Urban_area_finals!K56/[2]Urban_area_finals!$G56</f>
        <v>3.3782404367254228E-4</v>
      </c>
      <c r="L122" s="1">
        <f>[2]Urban_area_finals!L56/[2]Urban_area_finals!$G56</f>
        <v>3.3782404367254228E-4</v>
      </c>
      <c r="M122" s="1">
        <f>[2]Urban_area_finals!M56/[2]Urban_area_finals!$G56</f>
        <v>3.3782404367254228E-4</v>
      </c>
      <c r="N122" s="1">
        <f>[2]Urban_area_finals!N56/[2]Urban_area_finals!$G56</f>
        <v>3.3782404367254228E-4</v>
      </c>
      <c r="O122" s="1">
        <f>[2]Urban_area_finals!O56/[2]Urban_area_finals!$G56</f>
        <v>3.3782404367254228E-4</v>
      </c>
      <c r="P122" s="1">
        <f>[2]Urban_area_finals!P56/[2]Urban_area_finals!$G56</f>
        <v>3.3782404367254228E-4</v>
      </c>
      <c r="Q122" s="1">
        <f>[2]Urban_area_finals!Q56/[2]Urban_area_finals!$G56</f>
        <v>3.3782404367254228E-4</v>
      </c>
      <c r="R122" s="1">
        <f>[2]Urban_area_finals!R56/[2]Urban_area_finals!$G56</f>
        <v>3.3782404367254228E-4</v>
      </c>
      <c r="S122" s="1">
        <f>[2]Urban_area_finals!S56/[2]Urban_area_finals!$G56</f>
        <v>3.3782404367254228E-4</v>
      </c>
      <c r="T122" s="1">
        <f>[2]Urban_area_finals!T56/[2]Urban_area_finals!$G56</f>
        <v>3.3782404367254228E-4</v>
      </c>
      <c r="U122" s="1">
        <f>[2]Urban_area_finals!U56/[2]Urban_area_finals!$G56</f>
        <v>3.3782404367254228E-4</v>
      </c>
      <c r="V122" s="1">
        <f>[2]Urban_area_finals!V56/[2]Urban_area_finals!$G56</f>
        <v>3.3782404367254228E-4</v>
      </c>
      <c r="W122" s="1">
        <f>[2]Urban_area_finals!W56/[2]Urban_area_finals!$G56</f>
        <v>3.3782404367254228E-4</v>
      </c>
      <c r="X122" s="1">
        <f>[2]Urban_area_finals!X56/[2]Urban_area_finals!$G56</f>
        <v>3.3782404367254228E-4</v>
      </c>
      <c r="Y122" s="1">
        <f>[2]Urban_area_finals!Y56/[2]Urban_area_finals!$G56</f>
        <v>5.9119207642694901E-4</v>
      </c>
      <c r="Z122" s="1">
        <f>[2]Urban_area_finals!Z56/[2]Urban_area_finals!$G56</f>
        <v>5.9119207642694901E-4</v>
      </c>
      <c r="AA122" s="1">
        <f>[2]Urban_area_finals!AA56/[2]Urban_area_finals!$G56</f>
        <v>1.0134721310176267E-3</v>
      </c>
      <c r="AB122" s="1">
        <f>[2]Urban_area_finals!AB56/[2]Urban_area_finals!$G56</f>
        <v>1.0134721310176267E-3</v>
      </c>
      <c r="AC122" s="1">
        <f>[2]Urban_area_finals!AC56/[2]Urban_area_finals!$G56</f>
        <v>2.4492243166259319E-3</v>
      </c>
      <c r="AD122" s="1">
        <f>[2]Urban_area_finals!AD56/[2]Urban_area_finals!$G56</f>
        <v>3.1248724039710158E-3</v>
      </c>
      <c r="AE122" s="1">
        <f>[2]Urban_area_finals!AE56/[2]Urban_area_finals!$G56</f>
        <v>3.1248724039710158E-3</v>
      </c>
      <c r="AF122" s="1">
        <f>[2]Urban_area_finals!AF56/[2]Urban_area_finals!$G56</f>
        <v>3.2937844258072876E-3</v>
      </c>
      <c r="AG122" s="1">
        <f>[2]Urban_area_finals!AG56/[2]Urban_area_finals!$G56</f>
        <v>3.2937844258072876E-3</v>
      </c>
      <c r="AH122" s="1">
        <f>[2]Urban_area_finals!AH56/[2]Urban_area_finals!$G56</f>
        <v>3.2937844258072876E-3</v>
      </c>
      <c r="AI122" s="1">
        <f>[2]Urban_area_finals!AI56/[2]Urban_area_finals!$G56</f>
        <v>3.4626964476435584E-3</v>
      </c>
      <c r="AJ122" s="1">
        <f>[2]Urban_area_finals!AJ56/[2]Urban_area_finals!$G56</f>
        <v>3.8005204913161006E-3</v>
      </c>
      <c r="AK122" s="1">
        <f>[2]Urban_area_finals!AK56/[2]Urban_area_finals!$G56</f>
        <v>3.8005204913161006E-3</v>
      </c>
      <c r="AL122" s="1">
        <f>[2]Urban_area_finals!AL56/[2]Urban_area_finals!$G56</f>
        <v>3.884976502234236E-3</v>
      </c>
      <c r="AM122" s="1">
        <f>[2]Urban_area_finals!AM56/[2]Urban_area_finals!$G56</f>
        <v>4.1383445349886432E-3</v>
      </c>
      <c r="AN122" s="1">
        <f>[2]Urban_area_finals!AN56/[2]Urban_area_finals!$G56</f>
        <v>4.2228005459067786E-3</v>
      </c>
      <c r="AO122" s="1">
        <f>[2]Urban_area_finals!AO56/[2]Urban_area_finals!$G56</f>
        <v>4.3072565568249141E-3</v>
      </c>
      <c r="AP122" s="1">
        <f>[2]Urban_area_finals!AP56/[2]Urban_area_finals!$G56</f>
        <v>4.5606245895793204E-3</v>
      </c>
      <c r="AQ122" s="1">
        <f>[2]Urban_area_finals!AQ56/[2]Urban_area_finals!$G56</f>
        <v>4.8139926223337275E-3</v>
      </c>
      <c r="AR122" s="1">
        <f>[2]Urban_area_finals!AR56/[2]Urban_area_finals!$G56</f>
        <v>4.8139926223337275E-3</v>
      </c>
      <c r="AS122" s="1">
        <f>[2]Urban_area_finals!AS56/[2]Urban_area_finals!$G56</f>
        <v>5.0673606550881338E-3</v>
      </c>
      <c r="AT122" s="1">
        <f>[2]Urban_area_finals!AT56/[2]Urban_area_finals!$G56</f>
        <v>5.2362726769244056E-3</v>
      </c>
      <c r="AU122" s="1">
        <f>[2]Urban_area_finals!AU56/[2]Urban_area_finals!$G56</f>
        <v>5.438967103127931E-3</v>
      </c>
      <c r="AV122" s="1">
        <f>[2]Urban_area_finals!AV56/[2]Urban_area_finals!$G56</f>
        <v>5.7430087424332199E-3</v>
      </c>
      <c r="AW122" s="1">
        <f>[2]Urban_area_finals!AW56/[2]Urban_area_finals!$G56</f>
        <v>6.4186568297783025E-3</v>
      </c>
      <c r="AX122" s="1">
        <f>[2]Urban_area_finals!AX56/[2]Urban_area_finals!$G56</f>
        <v>7.3476729498777949E-3</v>
      </c>
      <c r="AY122" s="1">
        <f>[2]Urban_area_finals!AY56/[2]Urban_area_finals!$G56</f>
        <v>8.5300571027316918E-3</v>
      </c>
    </row>
    <row r="123" spans="1:51" x14ac:dyDescent="0.25">
      <c r="A123" t="s">
        <v>535</v>
      </c>
      <c r="B123" t="s">
        <v>536</v>
      </c>
      <c r="C123" t="s">
        <v>537</v>
      </c>
      <c r="D123" t="s">
        <v>60</v>
      </c>
      <c r="E123" t="s">
        <v>61</v>
      </c>
      <c r="F123" t="s">
        <v>61</v>
      </c>
      <c r="G123">
        <v>940529.07048115646</v>
      </c>
      <c r="H123">
        <v>3004.2426862086568</v>
      </c>
      <c r="I123">
        <f>Table2[[#This Row],[FUA_area]]+Table2[[#This Row],[FUA_urban]]</f>
        <v>943533.31316736515</v>
      </c>
      <c r="J123">
        <v>60771967</v>
      </c>
      <c r="K123" s="1">
        <f>[2]Urban_area_finals!K14/[2]Urban_area_finals!$G14</f>
        <v>2.0299478251878289E-4</v>
      </c>
      <c r="L123" s="1">
        <f>[2]Urban_area_finals!L14/[2]Urban_area_finals!$G14</f>
        <v>2.0299478251878289E-4</v>
      </c>
      <c r="M123" s="1">
        <f>[2]Urban_area_finals!M14/[2]Urban_area_finals!$G14</f>
        <v>2.0299478251878289E-4</v>
      </c>
      <c r="N123" s="1">
        <f>[2]Urban_area_finals!N14/[2]Urban_area_finals!$G14</f>
        <v>2.0299478251878289E-4</v>
      </c>
      <c r="O123" s="1">
        <f>[2]Urban_area_finals!O14/[2]Urban_area_finals!$G14</f>
        <v>2.0299478251878289E-4</v>
      </c>
      <c r="P123" s="1">
        <f>[2]Urban_area_finals!P14/[2]Urban_area_finals!$G14</f>
        <v>2.0299478251878289E-4</v>
      </c>
      <c r="Q123" s="1">
        <f>[2]Urban_area_finals!Q14/[2]Urban_area_finals!$G14</f>
        <v>2.0299478251878289E-4</v>
      </c>
      <c r="R123" s="1">
        <f>[2]Urban_area_finals!R14/[2]Urban_area_finals!$G14</f>
        <v>2.0299478251878289E-4</v>
      </c>
      <c r="S123" s="1">
        <f>[2]Urban_area_finals!S14/[2]Urban_area_finals!$G14</f>
        <v>2.2329426077066122E-4</v>
      </c>
      <c r="T123" s="1">
        <f>[2]Urban_area_finals!T14/[2]Urban_area_finals!$G14</f>
        <v>2.4359373902253949E-4</v>
      </c>
      <c r="U123" s="1">
        <f>[2]Urban_area_finals!U14/[2]Urban_area_finals!$G14</f>
        <v>2.6389321727441777E-4</v>
      </c>
      <c r="V123" s="1">
        <f>[2]Urban_area_finals!V14/[2]Urban_area_finals!$G14</f>
        <v>3.6539060853380922E-4</v>
      </c>
      <c r="W123" s="1">
        <f>[2]Urban_area_finals!W14/[2]Urban_area_finals!$G14</f>
        <v>5.6838539105259214E-4</v>
      </c>
      <c r="X123" s="1">
        <f>[2]Urban_area_finals!X14/[2]Urban_area_finals!$G14</f>
        <v>5.8868486930447044E-4</v>
      </c>
      <c r="Y123" s="1">
        <f>[2]Urban_area_finals!Y14/[2]Urban_area_finals!$G14</f>
        <v>7.3078121706761845E-4</v>
      </c>
      <c r="Z123" s="1">
        <f>[2]Urban_area_finals!Z14/[2]Urban_area_finals!$G14</f>
        <v>9.1347652133452306E-4</v>
      </c>
      <c r="AA123" s="1">
        <f>[2]Urban_area_finals!AA14/[2]Urban_area_finals!$G14</f>
        <v>1.2179686951126975E-3</v>
      </c>
      <c r="AB123" s="1">
        <f>[2]Urban_area_finals!AB14/[2]Urban_area_finals!$G14</f>
        <v>1.400663999379602E-3</v>
      </c>
      <c r="AC123" s="1">
        <f>[2]Urban_area_finals!AC14/[2]Urban_area_finals!$G14</f>
        <v>1.4615624341352369E-3</v>
      </c>
      <c r="AD123" s="1">
        <f>[2]Urban_area_finals!AD14/[2]Urban_area_finals!$G14</f>
        <v>1.5833593036465069E-3</v>
      </c>
      <c r="AE123" s="1">
        <f>[2]Urban_area_finals!AE14/[2]Urban_area_finals!$G14</f>
        <v>1.6442577384021416E-3</v>
      </c>
      <c r="AF123" s="1">
        <f>[2]Urban_area_finals!AF14/[2]Urban_area_finals!$G14</f>
        <v>1.7051561731577765E-3</v>
      </c>
      <c r="AG123" s="1">
        <f>[2]Urban_area_finals!AG14/[2]Urban_area_finals!$G14</f>
        <v>1.7051561731577765E-3</v>
      </c>
      <c r="AH123" s="1">
        <f>[2]Urban_area_finals!AH14/[2]Urban_area_finals!$G14</f>
        <v>1.7051561731577765E-3</v>
      </c>
      <c r="AI123" s="1">
        <f>[2]Urban_area_finals!AI14/[2]Urban_area_finals!$G14</f>
        <v>1.8675519991728025E-3</v>
      </c>
      <c r="AJ123" s="1">
        <f>[2]Urban_area_finals!AJ14/[2]Urban_area_finals!$G14</f>
        <v>1.9893488686840727E-3</v>
      </c>
      <c r="AK123" s="1">
        <f>[2]Urban_area_finals!AK14/[2]Urban_area_finals!$G14</f>
        <v>2.2126431294547336E-3</v>
      </c>
      <c r="AL123" s="1">
        <f>[2]Urban_area_finals!AL14/[2]Urban_area_finals!$G14</f>
        <v>2.5171353032329082E-3</v>
      </c>
      <c r="AM123" s="1">
        <f>[2]Urban_area_finals!AM14/[2]Urban_area_finals!$G14</f>
        <v>2.6186326944922993E-3</v>
      </c>
      <c r="AN123" s="1">
        <f>[2]Urban_area_finals!AN14/[2]Urban_area_finals!$G14</f>
        <v>2.801327998759204E-3</v>
      </c>
      <c r="AO123" s="1">
        <f>[2]Urban_area_finals!AO14/[2]Urban_area_finals!$G14</f>
        <v>2.902825390018595E-3</v>
      </c>
      <c r="AP123" s="1">
        <f>[2]Urban_area_finals!AP14/[2]Urban_area_finals!$G14</f>
        <v>3.4509113028193088E-3</v>
      </c>
      <c r="AQ123" s="1">
        <f>[2]Urban_area_finals!AQ14/[2]Urban_area_finals!$G14</f>
        <v>3.9177993026125102E-3</v>
      </c>
      <c r="AR123" s="1">
        <f>[2]Urban_area_finals!AR14/[2]Urban_area_finals!$G14</f>
        <v>4.1816925198869285E-3</v>
      </c>
      <c r="AS123" s="1">
        <f>[2]Urban_area_finals!AS14/[2]Urban_area_finals!$G14</f>
        <v>4.6891794761838856E-3</v>
      </c>
      <c r="AT123" s="1">
        <f>[2]Urban_area_finals!AT14/[2]Urban_area_finals!$G14</f>
        <v>5.0545700847176942E-3</v>
      </c>
      <c r="AU123" s="1">
        <f>[2]Urban_area_finals!AU14/[2]Urban_area_finals!$G14</f>
        <v>5.2981638237402338E-3</v>
      </c>
      <c r="AV123" s="1">
        <f>[2]Urban_area_finals!AV14/[2]Urban_area_finals!$G14</f>
        <v>5.6635544322740424E-3</v>
      </c>
      <c r="AW123" s="1">
        <f>[2]Urban_area_finals!AW14/[2]Urban_area_finals!$G14</f>
        <v>6.3740361710897826E-3</v>
      </c>
      <c r="AX123" s="1">
        <f>[2]Urban_area_finals!AX14/[2]Urban_area_finals!$G14</f>
        <v>7.24691373592055E-3</v>
      </c>
      <c r="AY123" s="1">
        <f>[2]Urban_area_finals!AY14/[2]Urban_area_finals!$G14</f>
        <v>8.2821871267663421E-3</v>
      </c>
    </row>
    <row r="124" spans="1:51" x14ac:dyDescent="0.25">
      <c r="A124" t="s">
        <v>115</v>
      </c>
      <c r="B124" t="s">
        <v>116</v>
      </c>
      <c r="C124" t="s">
        <v>117</v>
      </c>
      <c r="D124" t="s">
        <v>70</v>
      </c>
      <c r="E124" t="s">
        <v>71</v>
      </c>
      <c r="F124" t="s">
        <v>70</v>
      </c>
      <c r="G124">
        <v>910.06628974921455</v>
      </c>
      <c r="H124">
        <v>667.24694623349694</v>
      </c>
      <c r="I124">
        <f>Table2[[#This Row],[FUA_area]]+Table2[[#This Row],[FUA_urban]]</f>
        <v>1577.3132359827114</v>
      </c>
      <c r="J124">
        <v>1494035</v>
      </c>
      <c r="K124" s="1">
        <f>[2]Urban_area_finals!K6/[2]Urban_area_finals!$G6</f>
        <v>1.3476586089310394E-4</v>
      </c>
      <c r="L124" s="1">
        <f>[2]Urban_area_finals!L6/[2]Urban_area_finals!$G6</f>
        <v>2.1100202307715914E-4</v>
      </c>
      <c r="M124" s="1">
        <f>[2]Urban_area_finals!M6/[2]Urban_area_finals!$G6</f>
        <v>2.9215664733760497E-4</v>
      </c>
      <c r="N124" s="1">
        <f>[2]Urban_area_finals!N6/[2]Urban_area_finals!$G6</f>
        <v>4.1806927649320569E-4</v>
      </c>
      <c r="O124" s="1">
        <f>[2]Urban_area_finals!O6/[2]Urban_area_finals!$G6</f>
        <v>6.1431591334119287E-4</v>
      </c>
      <c r="P124" s="1">
        <f>[2]Urban_area_finals!P6/[2]Urban_area_finals!$G6</f>
        <v>8.0711962673570665E-4</v>
      </c>
      <c r="Q124" s="1">
        <f>[2]Urban_area_finals!Q6/[2]Urban_area_finals!$G6</f>
        <v>1.0181216498128657E-3</v>
      </c>
      <c r="R124" s="1">
        <f>[2]Urban_area_finals!R6/[2]Urban_area_finals!$G6</f>
        <v>1.2192867487372436E-3</v>
      </c>
      <c r="S124" s="1">
        <f>[2]Urban_area_finals!S6/[2]Urban_area_finals!$G6</f>
        <v>1.4312724642296807E-3</v>
      </c>
      <c r="T124" s="1">
        <f>[2]Urban_area_finals!T6/[2]Urban_area_finals!$G6</f>
        <v>1.6604727969894853E-3</v>
      </c>
      <c r="U124" s="1">
        <f>[2]Urban_area_finals!U6/[2]Urban_area_finals!$G6</f>
        <v>1.725396496397842E-3</v>
      </c>
      <c r="V124" s="1">
        <f>[2]Urban_area_finals!V6/[2]Urban_area_finals!$G6</f>
        <v>1.7686789626700798E-3</v>
      </c>
      <c r="W124" s="1">
        <f>[2]Urban_area_finals!W6/[2]Urban_area_finals!$G6</f>
        <v>1.7927794268443936E-3</v>
      </c>
      <c r="X124" s="1">
        <f>[2]Urban_area_finals!X6/[2]Urban_area_finals!$G6</f>
        <v>1.8252412765485723E-3</v>
      </c>
      <c r="Y124" s="1">
        <f>[2]Urban_area_finals!Y6/[2]Urban_area_finals!$G6</f>
        <v>2.6244913639620537E-3</v>
      </c>
      <c r="Z124" s="1">
        <f>[2]Urban_area_finals!Z6/[2]Urban_area_finals!$G6</f>
        <v>3.0405932556247031E-3</v>
      </c>
      <c r="AA124" s="1">
        <f>[2]Urban_area_finals!AA6/[2]Urban_area_finals!$G6</f>
        <v>3.2422502007567202E-3</v>
      </c>
      <c r="AB124" s="1">
        <f>[2]Urban_area_finals!AB6/[2]Urban_area_finals!$G6</f>
        <v>3.3509482126449536E-3</v>
      </c>
      <c r="AC124" s="1">
        <f>[2]Urban_area_finals!AC6/[2]Urban_area_finals!$G6</f>
        <v>3.4350539141512339E-3</v>
      </c>
      <c r="AD124" s="1">
        <f>[2]Urban_area_finals!AD6/[2]Urban_area_finals!$G6</f>
        <v>3.5762137757436455E-3</v>
      </c>
      <c r="AE124" s="1">
        <f>[2]Urban_area_finals!AE6/[2]Urban_area_finals!$G6</f>
        <v>3.7562294877395439E-3</v>
      </c>
      <c r="AF124" s="1">
        <f>[2]Urban_area_finals!AF6/[2]Urban_area_finals!$G6</f>
        <v>3.8536150368520786E-3</v>
      </c>
      <c r="AG124" s="1">
        <f>[2]Urban_area_finals!AG6/[2]Urban_area_finals!$G6</f>
        <v>3.9209979672986308E-3</v>
      </c>
      <c r="AH124" s="1">
        <f>[2]Urban_area_finals!AH6/[2]Urban_area_finals!$G6</f>
        <v>3.9662478184014248E-3</v>
      </c>
      <c r="AI124" s="1">
        <f>[2]Urban_area_finals!AI6/[2]Urban_area_finals!$G6</f>
        <v>4.0065792074278281E-3</v>
      </c>
      <c r="AJ124" s="1">
        <f>[2]Urban_area_finals!AJ6/[2]Urban_area_finals!$G6</f>
        <v>4.0616659826834033E-3</v>
      </c>
      <c r="AK124" s="1">
        <f>[2]Urban_area_finals!AK6/[2]Urban_area_finals!$G6</f>
        <v>4.134951067621624E-3</v>
      </c>
      <c r="AL124" s="1">
        <f>[2]Urban_area_finals!AL6/[2]Urban_area_finals!$G6</f>
        <v>4.2633229278154199E-3</v>
      </c>
      <c r="AM124" s="1">
        <f>[2]Urban_area_finals!AM6/[2]Urban_area_finals!$G6</f>
        <v>4.4054664818231103E-3</v>
      </c>
      <c r="AN124" s="1">
        <f>[2]Urban_area_finals!AN6/[2]Urban_area_finals!$G6</f>
        <v>4.5682675765516406E-3</v>
      </c>
      <c r="AO124" s="1">
        <f>[2]Urban_area_finals!AO6/[2]Urban_area_finals!$G6</f>
        <v>4.8004189865572802E-3</v>
      </c>
      <c r="AP124" s="1">
        <f>[2]Urban_area_finals!AP6/[2]Urban_area_finals!$G6</f>
        <v>5.1604504105490761E-3</v>
      </c>
      <c r="AQ124" s="1">
        <f>[2]Urban_area_finals!AQ6/[2]Urban_area_finals!$G6</f>
        <v>5.5863892263645068E-3</v>
      </c>
      <c r="AR124" s="1">
        <f>[2]Urban_area_finals!AR6/[2]Urban_area_finals!$G6</f>
        <v>5.9842928083445107E-3</v>
      </c>
      <c r="AS124" s="1">
        <f>[2]Urban_area_finals!AS6/[2]Urban_area_finals!$G6</f>
        <v>6.4092479317446631E-3</v>
      </c>
      <c r="AT124" s="1">
        <f>[2]Urban_area_finals!AT6/[2]Urban_area_finals!$G6</f>
        <v>6.6286113403516865E-3</v>
      </c>
      <c r="AU124" s="1">
        <f>[2]Urban_area_finals!AU6/[2]Urban_area_finals!$G6</f>
        <v>6.7749847717450727E-3</v>
      </c>
      <c r="AV124" s="1">
        <f>[2]Urban_area_finals!AV6/[2]Urban_area_finals!$G6</f>
        <v>6.9945449188351504E-3</v>
      </c>
      <c r="AW124" s="1">
        <f>[2]Urban_area_finals!AW6/[2]Urban_area_finals!$G6</f>
        <v>7.3604784973186153E-3</v>
      </c>
      <c r="AX124" s="1">
        <f>[2]Urban_area_finals!AX6/[2]Urban_area_finals!$G6</f>
        <v>7.7259202295944414E-3</v>
      </c>
      <c r="AY124" s="1">
        <f>[2]Urban_area_finals!AY6/[2]Urban_area_finals!$G6</f>
        <v>8.0382425714452498E-3</v>
      </c>
    </row>
    <row r="125" spans="1:51" x14ac:dyDescent="0.25">
      <c r="A125" t="s">
        <v>355</v>
      </c>
      <c r="B125" t="s">
        <v>356</v>
      </c>
      <c r="C125" t="s">
        <v>357</v>
      </c>
      <c r="D125" t="s">
        <v>129</v>
      </c>
      <c r="E125" t="s">
        <v>71</v>
      </c>
      <c r="F125" t="s">
        <v>82</v>
      </c>
      <c r="G125">
        <v>33907.869969855899</v>
      </c>
      <c r="H125">
        <v>1412.689615051949</v>
      </c>
      <c r="I125">
        <f>Table2[[#This Row],[FUA_area]]+Table2[[#This Row],[FUA_urban]]</f>
        <v>35320.559584907845</v>
      </c>
      <c r="J125">
        <v>3095022</v>
      </c>
      <c r="K125" s="1">
        <f>[2]Urban_area_finals!K3/[2]Urban_area_finals!$G3</f>
        <v>1.7956043375266182E-4</v>
      </c>
      <c r="L125" s="1">
        <f>[2]Urban_area_finals!L3/[2]Urban_area_finals!$G3</f>
        <v>1.827907704890692E-4</v>
      </c>
      <c r="M125" s="1">
        <f>[2]Urban_area_finals!M3/[2]Urban_area_finals!$G3</f>
        <v>1.8663576847720341E-4</v>
      </c>
      <c r="N125" s="1">
        <f>[2]Urban_area_finals!N3/[2]Urban_area_finals!$G3</f>
        <v>1.930222537270133E-4</v>
      </c>
      <c r="O125" s="1">
        <f>[2]Urban_area_finals!O3/[2]Urban_area_finals!$G3</f>
        <v>2.0119539305152803E-4</v>
      </c>
      <c r="P125" s="1">
        <f>[2]Urban_area_finals!P3/[2]Urban_area_finals!$G3</f>
        <v>2.0558011246511678E-4</v>
      </c>
      <c r="Q125" s="1">
        <f>[2]Urban_area_finals!Q3/[2]Urban_area_finals!$G3</f>
        <v>2.1246694800155556E-4</v>
      </c>
      <c r="R125" s="1">
        <f>[2]Urban_area_finals!R3/[2]Urban_area_finals!$G3</f>
        <v>2.2179000344311217E-4</v>
      </c>
      <c r="S125" s="1">
        <f>[2]Urban_area_finals!S3/[2]Urban_area_finals!$G3</f>
        <v>2.5595498414221111E-4</v>
      </c>
      <c r="T125" s="1">
        <f>[2]Urban_area_finals!T3/[2]Urban_area_finals!$G3</f>
        <v>3.0805881593711252E-4</v>
      </c>
      <c r="U125" s="1">
        <f>[2]Urban_area_finals!U3/[2]Urban_area_finals!$G3</f>
        <v>4.2584251298567321E-4</v>
      </c>
      <c r="V125" s="1">
        <f>[2]Urban_area_finals!V3/[2]Urban_area_finals!$G3</f>
        <v>5.7698064017344935E-4</v>
      </c>
      <c r="W125" s="1">
        <f>[2]Urban_area_finals!W3/[2]Urban_area_finals!$G3</f>
        <v>7.7076990017892861E-4</v>
      </c>
      <c r="X125" s="1">
        <f>[2]Urban_area_finals!X3/[2]Urban_area_finals!$G3</f>
        <v>8.3527670908150578E-4</v>
      </c>
      <c r="Y125" s="1">
        <f>[2]Urban_area_finals!Y3/[2]Urban_area_finals!$G3</f>
        <v>9.6473132336344965E-4</v>
      </c>
      <c r="Z125" s="1">
        <f>[2]Urban_area_finals!Z3/[2]Urban_area_finals!$G3</f>
        <v>1.1048159118477966E-3</v>
      </c>
      <c r="AA125" s="1">
        <f>[2]Urban_area_finals!AA3/[2]Urban_area_finals!$G3</f>
        <v>1.20797447556714E-3</v>
      </c>
      <c r="AB125" s="1">
        <f>[2]Urban_area_finals!AB3/[2]Urban_area_finals!$G3</f>
        <v>1.2347268154028171E-3</v>
      </c>
      <c r="AC125" s="1">
        <f>[2]Urban_area_finals!AC3/[2]Urban_area_finals!$G3</f>
        <v>1.2904663972685699E-3</v>
      </c>
      <c r="AD125" s="1">
        <f>[2]Urban_area_finals!AD3/[2]Urban_area_finals!$G3</f>
        <v>1.3467138772162133E-3</v>
      </c>
      <c r="AE125" s="1">
        <f>[2]Urban_area_finals!AE3/[2]Urban_area_finals!$G3</f>
        <v>1.3875093090705874E-3</v>
      </c>
      <c r="AF125" s="1">
        <f>[2]Urban_area_finals!AF3/[2]Urban_area_finals!$G3</f>
        <v>1.440179587220535E-3</v>
      </c>
      <c r="AG125" s="1">
        <f>[2]Urban_area_finals!AG3/[2]Urban_area_finals!$G3</f>
        <v>1.4856153777086955E-3</v>
      </c>
      <c r="AH125" s="1">
        <f>[2]Urban_area_finals!AH3/[2]Urban_area_finals!$G3</f>
        <v>1.5206608145438259E-3</v>
      </c>
      <c r="AI125" s="1">
        <f>[2]Urban_area_finals!AI3/[2]Urban_area_finals!$G3</f>
        <v>1.5590998227580594E-3</v>
      </c>
      <c r="AJ125" s="1">
        <f>[2]Urban_area_finals!AJ3/[2]Urban_area_finals!$G3</f>
        <v>1.6150681593578734E-3</v>
      </c>
      <c r="AK125" s="1">
        <f>[2]Urban_area_finals!AK3/[2]Urban_area_finals!$G3</f>
        <v>1.6773968965154583E-3</v>
      </c>
      <c r="AL125" s="1">
        <f>[2]Urban_area_finals!AL3/[2]Urban_area_finals!$G3</f>
        <v>1.7581785935066874E-3</v>
      </c>
      <c r="AM125" s="1">
        <f>[2]Urban_area_finals!AM3/[2]Urban_area_finals!$G3</f>
        <v>1.8972133166917729E-3</v>
      </c>
      <c r="AN125" s="1">
        <f>[2]Urban_area_finals!AN3/[2]Urban_area_finals!$G3</f>
        <v>2.0064844960642424E-3</v>
      </c>
      <c r="AO125" s="1">
        <f>[2]Urban_area_finals!AO3/[2]Urban_area_finals!$G3</f>
        <v>2.1257931120179413E-3</v>
      </c>
      <c r="AP125" s="1">
        <f>[2]Urban_area_finals!AP3/[2]Urban_area_finals!$G3</f>
        <v>2.3197368324858894E-3</v>
      </c>
      <c r="AQ125" s="1">
        <f>[2]Urban_area_finals!AQ3/[2]Urban_area_finals!$G3</f>
        <v>2.6066601230819038E-3</v>
      </c>
      <c r="AR125" s="1">
        <f>[2]Urban_area_finals!AR3/[2]Urban_area_finals!$G3</f>
        <v>2.9271380467011656E-3</v>
      </c>
      <c r="AS125" s="1">
        <f>[2]Urban_area_finals!AS3/[2]Urban_area_finals!$G3</f>
        <v>3.1910961173282982E-3</v>
      </c>
      <c r="AT125" s="1">
        <f>[2]Urban_area_finals!AT3/[2]Urban_area_finals!$G3</f>
        <v>3.3110753129476319E-3</v>
      </c>
      <c r="AU125" s="1">
        <f>[2]Urban_area_finals!AU3/[2]Urban_area_finals!$G3</f>
        <v>3.4636291477394654E-3</v>
      </c>
      <c r="AV125" s="1">
        <f>[2]Urban_area_finals!AV3/[2]Urban_area_finals!$G3</f>
        <v>3.6924598999272173E-3</v>
      </c>
      <c r="AW125" s="1">
        <f>[2]Urban_area_finals!AW3/[2]Urban_area_finals!$G3</f>
        <v>4.205825903332368E-3</v>
      </c>
      <c r="AX125" s="1">
        <f>[2]Urban_area_finals!AX3/[2]Urban_area_finals!$G3</f>
        <v>5.2010264487395048E-3</v>
      </c>
      <c r="AY125" s="1">
        <f>[2]Urban_area_finals!AY3/[2]Urban_area_finals!$G3</f>
        <v>7.3883710978626558E-3</v>
      </c>
    </row>
    <row r="126" spans="1:51" x14ac:dyDescent="0.25">
      <c r="A126" t="s">
        <v>478</v>
      </c>
      <c r="B126" t="s">
        <v>479</v>
      </c>
      <c r="C126" t="s">
        <v>480</v>
      </c>
      <c r="D126" t="s">
        <v>105</v>
      </c>
      <c r="E126" t="s">
        <v>61</v>
      </c>
      <c r="F126" t="s">
        <v>61</v>
      </c>
      <c r="G126">
        <v>72601.139822537472</v>
      </c>
      <c r="H126">
        <v>587.21048817178848</v>
      </c>
      <c r="I126">
        <f>Table2[[#This Row],[FUA_area]]+Table2[[#This Row],[FUA_urban]]</f>
        <v>73188.350310709255</v>
      </c>
      <c r="K126" s="1">
        <f>[2]Urban_area_finals!K164/[2]Urban_area_finals!$G164</f>
        <v>6.4826677870528419E-5</v>
      </c>
      <c r="L126" s="1">
        <f>[2]Urban_area_finals!L164/[2]Urban_area_finals!$G164</f>
        <v>6.8878345237436444E-5</v>
      </c>
      <c r="M126" s="1">
        <f>[2]Urban_area_finals!M164/[2]Urban_area_finals!$G164</f>
        <v>7.293001260434447E-5</v>
      </c>
      <c r="N126" s="1">
        <f>[2]Urban_area_finals!N164/[2]Urban_area_finals!$G164</f>
        <v>8.103334733816052E-5</v>
      </c>
      <c r="O126" s="1">
        <f>[2]Urban_area_finals!O164/[2]Urban_area_finals!$G164</f>
        <v>8.9136682071976571E-5</v>
      </c>
      <c r="P126" s="1">
        <f>[2]Urban_area_finals!P164/[2]Urban_area_finals!$G164</f>
        <v>9.7240016805792622E-5</v>
      </c>
      <c r="Q126" s="1">
        <f>[2]Urban_area_finals!Q164/[2]Urban_area_finals!$G164</f>
        <v>1.0939501890651671E-4</v>
      </c>
      <c r="R126" s="1">
        <f>[2]Urban_area_finals!R164/[2]Urban_area_finals!$G164</f>
        <v>1.2560168837414879E-4</v>
      </c>
      <c r="S126" s="1">
        <f>[2]Urban_area_finals!S164/[2]Urban_area_finals!$G164</f>
        <v>1.7017002941013709E-4</v>
      </c>
      <c r="T126" s="1">
        <f>[2]Urban_area_finals!T164/[2]Urban_area_finals!$G164</f>
        <v>1.9853170097849327E-4</v>
      </c>
      <c r="U126" s="1">
        <f>[2]Urban_area_finals!U164/[2]Urban_area_finals!$G164</f>
        <v>3.2818505671955011E-4</v>
      </c>
      <c r="V126" s="1">
        <f>[2]Urban_area_finals!V164/[2]Urban_area_finals!$G164</f>
        <v>5.3076842506495137E-4</v>
      </c>
      <c r="W126" s="1">
        <f>[2]Urban_area_finals!W164/[2]Urban_area_finals!$G164</f>
        <v>7.2930012604344467E-4</v>
      </c>
      <c r="X126" s="1">
        <f>[2]Urban_area_finals!X164/[2]Urban_area_finals!$G164</f>
        <v>7.4955846287798474E-4</v>
      </c>
      <c r="Y126" s="1">
        <f>[2]Urban_area_finals!Y164/[2]Urban_area_finals!$G164</f>
        <v>8.5895348178450159E-4</v>
      </c>
      <c r="Z126" s="1">
        <f>[2]Urban_area_finals!Z164/[2]Urban_area_finals!$G164</f>
        <v>1.0291235111946388E-3</v>
      </c>
      <c r="AA126" s="1">
        <f>[2]Urban_area_finals!AA164/[2]Urban_area_finals!$G164</f>
        <v>1.1223118606335232E-3</v>
      </c>
      <c r="AB126" s="1">
        <f>[2]Urban_area_finals!AB164/[2]Urban_area_finals!$G164</f>
        <v>1.1547251995687874E-3</v>
      </c>
      <c r="AC126" s="1">
        <f>[2]Urban_area_finals!AC164/[2]Urban_area_finals!$G164</f>
        <v>1.1668802016695115E-3</v>
      </c>
      <c r="AD126" s="1">
        <f>[2]Urban_area_finals!AD164/[2]Urban_area_finals!$G164</f>
        <v>1.1992935406047755E-3</v>
      </c>
      <c r="AE126" s="1">
        <f>[2]Urban_area_finals!AE164/[2]Urban_area_finals!$G164</f>
        <v>1.2276552121731317E-3</v>
      </c>
      <c r="AF126" s="1">
        <f>[2]Urban_area_finals!AF164/[2]Urban_area_finals!$G164</f>
        <v>1.25196521637458E-3</v>
      </c>
      <c r="AG126" s="1">
        <f>[2]Urban_area_finals!AG164/[2]Urban_area_finals!$G164</f>
        <v>1.2681718858422121E-3</v>
      </c>
      <c r="AH126" s="1">
        <f>[2]Urban_area_finals!AH164/[2]Urban_area_finals!$G164</f>
        <v>1.2722235532091203E-3</v>
      </c>
      <c r="AI126" s="1">
        <f>[2]Urban_area_finals!AI164/[2]Urban_area_finals!$G164</f>
        <v>1.2924818900436604E-3</v>
      </c>
      <c r="AJ126" s="1">
        <f>[2]Urban_area_finals!AJ164/[2]Urban_area_finals!$G164</f>
        <v>1.2965335574105683E-3</v>
      </c>
      <c r="AK126" s="1">
        <f>[2]Urban_area_finals!AK164/[2]Urban_area_finals!$G164</f>
        <v>1.3086885595112925E-3</v>
      </c>
      <c r="AL126" s="1">
        <f>[2]Urban_area_finals!AL164/[2]Urban_area_finals!$G164</f>
        <v>1.3248952289789246E-3</v>
      </c>
      <c r="AM126" s="1">
        <f>[2]Urban_area_finals!AM164/[2]Urban_area_finals!$G164</f>
        <v>1.4383419152523491E-3</v>
      </c>
      <c r="AN126" s="1">
        <f>[2]Urban_area_finals!AN164/[2]Urban_area_finals!$G164</f>
        <v>1.4788585889214292E-3</v>
      </c>
      <c r="AO126" s="1">
        <f>[2]Urban_area_finals!AO164/[2]Urban_area_finals!$G164</f>
        <v>1.5355819320581419E-3</v>
      </c>
      <c r="AP126" s="1">
        <f>[2]Urban_area_finals!AP164/[2]Urban_area_finals!$G164</f>
        <v>1.6247186141301185E-3</v>
      </c>
      <c r="AQ126" s="1">
        <f>[2]Urban_area_finals!AQ164/[2]Urban_area_finals!$G164</f>
        <v>1.9002319950798643E-3</v>
      </c>
      <c r="AR126" s="1">
        <f>[2]Urban_area_finals!AR164/[2]Urban_area_finals!$G164</f>
        <v>2.3094503991375748E-3</v>
      </c>
      <c r="AS126" s="1">
        <f>[2]Urban_area_finals!AS164/[2]Urban_area_finals!$G164</f>
        <v>2.5241887695836998E-3</v>
      </c>
      <c r="AT126" s="1">
        <f>[2]Urban_area_finals!AT164/[2]Urban_area_finals!$G164</f>
        <v>2.7510821421305497E-3</v>
      </c>
      <c r="AU126" s="1">
        <f>[2]Urban_area_finals!AU164/[2]Urban_area_finals!$G164</f>
        <v>2.9325968401680289E-3</v>
      </c>
      <c r="AV126" s="1">
        <f>[2]Urban_area_finals!AV164/[2]Urban_area_finals!$G164</f>
        <v>3.2048688872242485E-3</v>
      </c>
      <c r="AW126" s="1">
        <f>[2]Urban_area_finals!AW164/[2]Urban_area_finals!$G164</f>
        <v>3.8004639901597285E-3</v>
      </c>
      <c r="AX126" s="1">
        <f>[2]Urban_area_finals!AX164/[2]Urban_area_finals!$G164</f>
        <v>4.7688124908507462E-3</v>
      </c>
      <c r="AY126" s="1">
        <f>[2]Urban_area_finals!AY164/[2]Urban_area_finals!$G164</f>
        <v>7.1228312310243095E-3</v>
      </c>
    </row>
    <row r="127" spans="1:51" x14ac:dyDescent="0.25">
      <c r="A127" t="s">
        <v>278</v>
      </c>
      <c r="B127" t="s">
        <v>279</v>
      </c>
      <c r="C127" t="s">
        <v>280</v>
      </c>
      <c r="D127" t="s">
        <v>91</v>
      </c>
      <c r="E127" t="s">
        <v>66</v>
      </c>
      <c r="F127" t="s">
        <v>66</v>
      </c>
      <c r="G127">
        <v>70266.242364700549</v>
      </c>
      <c r="H127">
        <v>4200.6321670751404</v>
      </c>
      <c r="I127">
        <f>Table2[[#This Row],[FUA_area]]+Table2[[#This Row],[FUA_urban]]</f>
        <v>74466.874531775684</v>
      </c>
      <c r="J127">
        <v>4925076</v>
      </c>
      <c r="K127" s="1">
        <f>[2]Urban_area_finals!K58/[2]Urban_area_finals!$G58</f>
        <v>1.6271018304906724E-4</v>
      </c>
      <c r="L127" s="1">
        <f>[2]Urban_area_finals!L58/[2]Urban_area_finals!$G58</f>
        <v>1.6563737959624747E-4</v>
      </c>
      <c r="M127" s="1">
        <f>[2]Urban_area_finals!M58/[2]Urban_area_finals!$G58</f>
        <v>1.6912155655771763E-4</v>
      </c>
      <c r="N127" s="1">
        <f>[2]Urban_area_finals!N58/[2]Urban_area_finals!$G58</f>
        <v>1.7490872337570451E-4</v>
      </c>
      <c r="O127" s="1">
        <f>[2]Urban_area_finals!O58/[2]Urban_area_finals!$G58</f>
        <v>1.8231488166895721E-4</v>
      </c>
      <c r="P127" s="1">
        <f>[2]Urban_area_finals!P58/[2]Urban_area_finals!$G58</f>
        <v>1.8628813169678103E-4</v>
      </c>
      <c r="Q127" s="1">
        <f>[2]Urban_area_finals!Q58/[2]Urban_area_finals!$G58</f>
        <v>1.9252869509565489E-4</v>
      </c>
      <c r="R127" s="1">
        <f>[2]Urban_area_finals!R58/[2]Urban_area_finals!$G58</f>
        <v>2.0097685945886774E-4</v>
      </c>
      <c r="S127" s="1">
        <f>[2]Urban_area_finals!S58/[2]Urban_area_finals!$G58</f>
        <v>2.3193574136419633E-4</v>
      </c>
      <c r="T127" s="1">
        <f>[2]Urban_area_finals!T58/[2]Urban_area_finals!$G58</f>
        <v>2.7915006264715855E-4</v>
      </c>
      <c r="U127" s="1">
        <f>[2]Urban_area_finals!U58/[2]Urban_area_finals!$G58</f>
        <v>3.8588074104018219E-4</v>
      </c>
      <c r="V127" s="1">
        <f>[2]Urban_area_finals!V58/[2]Urban_area_finals!$G58</f>
        <v>5.228358141956107E-4</v>
      </c>
      <c r="W127" s="1">
        <f>[2]Urban_area_finals!W58/[2]Urban_area_finals!$G58</f>
        <v>6.9843956670084437E-4</v>
      </c>
      <c r="X127" s="1">
        <f>[2]Urban_area_finals!X58/[2]Urban_area_finals!$G58</f>
        <v>7.5689294902507782E-4</v>
      </c>
      <c r="Y127" s="1">
        <f>[2]Urban_area_finals!Y58/[2]Urban_area_finals!$G58</f>
        <v>8.7419932630514066E-4</v>
      </c>
      <c r="Z127" s="1">
        <f>[2]Urban_area_finals!Z58/[2]Urban_area_finals!$G58</f>
        <v>1.0011381432721246E-3</v>
      </c>
      <c r="AA127" s="1">
        <f>[2]Urban_area_finals!AA58/[2]Urban_area_finals!$G58</f>
        <v>1.094616135249878E-3</v>
      </c>
      <c r="AB127" s="1">
        <f>[2]Urban_area_finals!AB58/[2]Urban_area_finals!$G58</f>
        <v>1.1188579908785507E-3</v>
      </c>
      <c r="AC127" s="1">
        <f>[2]Urban_area_finals!AC58/[2]Urban_area_finals!$G58</f>
        <v>1.1693668773793923E-3</v>
      </c>
      <c r="AD127" s="1">
        <f>[2]Urban_area_finals!AD58/[2]Urban_area_finals!$G58</f>
        <v>1.2203359999586817E-3</v>
      </c>
      <c r="AE127" s="1">
        <f>[2]Urban_area_finals!AE58/[2]Urban_area_finals!$G58</f>
        <v>1.2573031204198316E-3</v>
      </c>
      <c r="AF127" s="1">
        <f>[2]Urban_area_finals!AF58/[2]Urban_area_finals!$G58</f>
        <v>1.3050307317867551E-3</v>
      </c>
      <c r="AG127" s="1">
        <f>[2]Urban_area_finals!AG58/[2]Urban_area_finals!$G58</f>
        <v>1.3462027518849637E-3</v>
      </c>
      <c r="AH127" s="1">
        <f>[2]Urban_area_finals!AH58/[2]Urban_area_finals!$G58</f>
        <v>1.3779594664534596E-3</v>
      </c>
      <c r="AI127" s="1">
        <f>[2]Urban_area_finals!AI58/[2]Urban_area_finals!$G58</f>
        <v>1.4127912940006004E-3</v>
      </c>
      <c r="AJ127" s="1">
        <f>[2]Urban_area_finals!AJ58/[2]Urban_area_finals!$G58</f>
        <v>1.4635074685095772E-3</v>
      </c>
      <c r="AK127" s="1">
        <f>[2]Urban_area_finals!AK58/[2]Urban_area_finals!$G58</f>
        <v>1.5199871729755258E-3</v>
      </c>
      <c r="AL127" s="1">
        <f>[2]Urban_area_finals!AL58/[2]Urban_area_finals!$G58</f>
        <v>1.5931881807351896E-3</v>
      </c>
      <c r="AM127" s="1">
        <f>[2]Urban_area_finals!AM58/[2]Urban_area_finals!$G58</f>
        <v>1.7191756535143161E-3</v>
      </c>
      <c r="AN127" s="1">
        <f>[2]Urban_area_finals!AN58/[2]Urban_area_finals!$G58</f>
        <v>1.8181926430932823E-3</v>
      </c>
      <c r="AO127" s="1">
        <f>[2]Urban_area_finals!AO58/[2]Urban_area_finals!$G58</f>
        <v>1.9263051394570279E-3</v>
      </c>
      <c r="AP127" s="1">
        <f>[2]Urban_area_finals!AP58/[2]Urban_area_finals!$G58</f>
        <v>2.1020488575972116E-3</v>
      </c>
      <c r="AQ127" s="1">
        <f>[2]Urban_area_finals!AQ58/[2]Urban_area_finals!$G58</f>
        <v>2.3620467878663356E-3</v>
      </c>
      <c r="AR127" s="1">
        <f>[2]Urban_area_finals!AR58/[2]Urban_area_finals!$G58</f>
        <v>2.6524505284092159E-3</v>
      </c>
      <c r="AS127" s="1">
        <f>[2]Urban_area_finals!AS58/[2]Urban_area_finals!$G58</f>
        <v>2.8916383332692765E-3</v>
      </c>
      <c r="AT127" s="1">
        <f>[2]Urban_area_finals!AT58/[2]Urban_area_finals!$G58</f>
        <v>3.0003584809839574E-3</v>
      </c>
      <c r="AU127" s="1">
        <f>[2]Urban_area_finals!AU58/[2]Urban_area_finals!$G58</f>
        <v>3.1385964093797415E-3</v>
      </c>
      <c r="AV127" s="1">
        <f>[2]Urban_area_finals!AV58/[2]Urban_area_finals!$G58</f>
        <v>3.3459533019734194E-3</v>
      </c>
      <c r="AW127" s="1">
        <f>[2]Urban_area_finals!AW58/[2]Urban_area_finals!$G58</f>
        <v>3.8111441830573863E-3</v>
      </c>
      <c r="AX127" s="1">
        <f>[2]Urban_area_finals!AX58/[2]Urban_area_finals!$G58</f>
        <v>4.7129534487711172E-3</v>
      </c>
      <c r="AY127" s="1">
        <f>[2]Urban_area_finals!AY58/[2]Urban_area_finals!$G58</f>
        <v>6.6950340263914072E-3</v>
      </c>
    </row>
    <row r="128" spans="1:51" x14ac:dyDescent="0.25">
      <c r="A128" t="s">
        <v>183</v>
      </c>
      <c r="B128" t="s">
        <v>184</v>
      </c>
      <c r="C128" t="s">
        <v>185</v>
      </c>
      <c r="D128" t="s">
        <v>65</v>
      </c>
      <c r="E128" t="s">
        <v>66</v>
      </c>
      <c r="F128" t="s">
        <v>66</v>
      </c>
      <c r="G128">
        <v>5719.8196067798417</v>
      </c>
      <c r="H128">
        <v>492.87656139794387</v>
      </c>
      <c r="I128">
        <f>Table2[[#This Row],[FUA_area]]+Table2[[#This Row],[FUA_urban]]</f>
        <v>6212.6961681777857</v>
      </c>
      <c r="J128">
        <v>1233777</v>
      </c>
      <c r="K128" s="1">
        <f>[2]Urban_area_finals!K143/[2]Urban_area_finals!$G143</f>
        <v>1.9171451257890692E-4</v>
      </c>
      <c r="L128" s="1">
        <f>[2]Urban_area_finals!L143/[2]Urban_area_finals!$G143</f>
        <v>1.9171451257890692E-4</v>
      </c>
      <c r="M128" s="1">
        <f>[2]Urban_area_finals!M143/[2]Urban_area_finals!$G143</f>
        <v>1.9171451257890692E-4</v>
      </c>
      <c r="N128" s="1">
        <f>[2]Urban_area_finals!N143/[2]Urban_area_finals!$G143</f>
        <v>1.9171451257890692E-4</v>
      </c>
      <c r="O128" s="1">
        <f>[2]Urban_area_finals!O143/[2]Urban_area_finals!$G143</f>
        <v>1.9171451257890692E-4</v>
      </c>
      <c r="P128" s="1">
        <f>[2]Urban_area_finals!P143/[2]Urban_area_finals!$G143</f>
        <v>1.9171451257890692E-4</v>
      </c>
      <c r="Q128" s="1">
        <f>[2]Urban_area_finals!Q143/[2]Urban_area_finals!$G143</f>
        <v>1.9171451257890692E-4</v>
      </c>
      <c r="R128" s="1">
        <f>[2]Urban_area_finals!R143/[2]Urban_area_finals!$G143</f>
        <v>1.9171451257890692E-4</v>
      </c>
      <c r="S128" s="1">
        <f>[2]Urban_area_finals!S143/[2]Urban_area_finals!$G143</f>
        <v>2.5561935010520921E-4</v>
      </c>
      <c r="T128" s="1">
        <f>[2]Urban_area_finals!T143/[2]Urban_area_finals!$G143</f>
        <v>3.8342902515781384E-4</v>
      </c>
      <c r="U128" s="1">
        <f>[2]Urban_area_finals!U143/[2]Urban_area_finals!$G143</f>
        <v>7.0295321278932542E-4</v>
      </c>
      <c r="V128" s="1">
        <f>[2]Urban_area_finals!V143/[2]Urban_area_finals!$G143</f>
        <v>1.0224774004208368E-3</v>
      </c>
      <c r="W128" s="1">
        <f>[2]Urban_area_finals!W143/[2]Urban_area_finals!$G143</f>
        <v>1.4698112631049533E-3</v>
      </c>
      <c r="X128" s="1">
        <f>[2]Urban_area_finals!X143/[2]Urban_area_finals!$G143</f>
        <v>1.5337161006312554E-3</v>
      </c>
      <c r="Y128" s="1">
        <f>[2]Urban_area_finals!Y143/[2]Urban_area_finals!$G143</f>
        <v>2.0449548008416737E-3</v>
      </c>
      <c r="Z128" s="1">
        <f>[2]Urban_area_finals!Z143/[2]Urban_area_finals!$G143</f>
        <v>2.8118128511573017E-3</v>
      </c>
      <c r="AA128" s="1">
        <f>[2]Urban_area_finals!AA143/[2]Urban_area_finals!$G143</f>
        <v>3.0035273637362084E-3</v>
      </c>
      <c r="AB128" s="1">
        <f>[2]Urban_area_finals!AB143/[2]Urban_area_finals!$G143</f>
        <v>3.0035273637362084E-3</v>
      </c>
      <c r="AC128" s="1">
        <f>[2]Urban_area_finals!AC143/[2]Urban_area_finals!$G143</f>
        <v>3.0035273637362084E-3</v>
      </c>
      <c r="AD128" s="1">
        <f>[2]Urban_area_finals!AD143/[2]Urban_area_finals!$G143</f>
        <v>3.0674322012625107E-3</v>
      </c>
      <c r="AE128" s="1">
        <f>[2]Urban_area_finals!AE143/[2]Urban_area_finals!$G143</f>
        <v>3.2591467138414179E-3</v>
      </c>
      <c r="AF128" s="1">
        <f>[2]Urban_area_finals!AF143/[2]Urban_area_finals!$G143</f>
        <v>3.3230515513677202E-3</v>
      </c>
      <c r="AG128" s="1">
        <f>[2]Urban_area_finals!AG143/[2]Urban_area_finals!$G143</f>
        <v>3.5786709014729292E-3</v>
      </c>
      <c r="AH128" s="1">
        <f>[2]Urban_area_finals!AH143/[2]Urban_area_finals!$G143</f>
        <v>4.0260047641570455E-3</v>
      </c>
      <c r="AI128" s="1">
        <f>[2]Urban_area_finals!AI143/[2]Urban_area_finals!$G143</f>
        <v>4.4094337893148591E-3</v>
      </c>
      <c r="AJ128" s="1">
        <f>[2]Urban_area_finals!AJ143/[2]Urban_area_finals!$G143</f>
        <v>4.4094337893148591E-3</v>
      </c>
      <c r="AK128" s="1">
        <f>[2]Urban_area_finals!AK143/[2]Urban_area_finals!$G143</f>
        <v>4.5372434643674636E-3</v>
      </c>
      <c r="AL128" s="1">
        <f>[2]Urban_area_finals!AL143/[2]Urban_area_finals!$G143</f>
        <v>4.5372434643674636E-3</v>
      </c>
      <c r="AM128" s="1">
        <f>[2]Urban_area_finals!AM143/[2]Urban_area_finals!$G143</f>
        <v>4.5372434643674636E-3</v>
      </c>
      <c r="AN128" s="1">
        <f>[2]Urban_area_finals!AN143/[2]Urban_area_finals!$G143</f>
        <v>4.5372434643674636E-3</v>
      </c>
      <c r="AO128" s="1">
        <f>[2]Urban_area_finals!AO143/[2]Urban_area_finals!$G143</f>
        <v>4.5372434643674636E-3</v>
      </c>
      <c r="AP128" s="1">
        <f>[2]Urban_area_finals!AP143/[2]Urban_area_finals!$G143</f>
        <v>4.5372434643674636E-3</v>
      </c>
      <c r="AQ128" s="1">
        <f>[2]Urban_area_finals!AQ143/[2]Urban_area_finals!$G143</f>
        <v>4.6011483018937671E-3</v>
      </c>
      <c r="AR128" s="1">
        <f>[2]Urban_area_finals!AR143/[2]Urban_area_finals!$G143</f>
        <v>4.6011483018937671E-3</v>
      </c>
      <c r="AS128" s="1">
        <f>[2]Urban_area_finals!AS143/[2]Urban_area_finals!$G143</f>
        <v>4.6011483018937671E-3</v>
      </c>
      <c r="AT128" s="1">
        <f>[2]Urban_area_finals!AT143/[2]Urban_area_finals!$G143</f>
        <v>4.8567676519989762E-3</v>
      </c>
      <c r="AU128" s="1">
        <f>[2]Urban_area_finals!AU143/[2]Urban_area_finals!$G143</f>
        <v>4.9845773270515798E-3</v>
      </c>
      <c r="AV128" s="1">
        <f>[2]Urban_area_finals!AV143/[2]Urban_area_finals!$G143</f>
        <v>5.1762918396304879E-3</v>
      </c>
      <c r="AW128" s="1">
        <f>[2]Urban_area_finals!AW143/[2]Urban_area_finals!$G143</f>
        <v>5.5597208647883006E-3</v>
      </c>
      <c r="AX128" s="1">
        <f>[2]Urban_area_finals!AX143/[2]Urban_area_finals!$G143</f>
        <v>6.0070547274724169E-3</v>
      </c>
      <c r="AY128" s="1">
        <f>[2]Urban_area_finals!AY143/[2]Urban_area_finals!$G143</f>
        <v>6.454388590156534E-3</v>
      </c>
    </row>
    <row r="129" spans="1:51" x14ac:dyDescent="0.25">
      <c r="A129" t="s">
        <v>62</v>
      </c>
      <c r="B129" t="s">
        <v>63</v>
      </c>
      <c r="C129" t="s">
        <v>64</v>
      </c>
      <c r="D129" t="s">
        <v>65</v>
      </c>
      <c r="E129" t="s">
        <v>66</v>
      </c>
      <c r="F129" t="s">
        <v>66</v>
      </c>
      <c r="G129">
        <v>28727.645155818951</v>
      </c>
      <c r="H129">
        <v>806.2956463718026</v>
      </c>
      <c r="I129">
        <f>Table2[[#This Row],[FUA_area]]+Table2[[#This Row],[FUA_urban]]</f>
        <v>29533.940802190755</v>
      </c>
      <c r="K129" s="1">
        <f>[2]Urban_area_finals!K156/[2]Urban_area_finals!$G156</f>
        <v>2.65398537100836E-4</v>
      </c>
      <c r="L129" s="1">
        <f>[2]Urban_area_finals!L156/[2]Urban_area_finals!$G156</f>
        <v>3.9809780565125402E-4</v>
      </c>
      <c r="M129" s="1">
        <f>[2]Urban_area_finals!M156/[2]Urban_area_finals!$G156</f>
        <v>6.4453930438774446E-4</v>
      </c>
      <c r="N129" s="1">
        <f>[2]Urban_area_finals!N156/[2]Urban_area_finals!$G156</f>
        <v>9.3837339903509863E-4</v>
      </c>
      <c r="O129" s="1">
        <f>[2]Urban_area_finals!O156/[2]Urban_area_finals!$G156</f>
        <v>1.1469008210428983E-3</v>
      </c>
      <c r="P129" s="1">
        <f>[2]Urban_area_finals!P156/[2]Urban_area_finals!$G156</f>
        <v>1.3459497238685254E-3</v>
      </c>
      <c r="Q129" s="1">
        <f>[2]Urban_area_finals!Q156/[2]Urban_area_finals!$G156</f>
        <v>1.3649067622328707E-3</v>
      </c>
      <c r="R129" s="1">
        <f>[2]Urban_area_finals!R156/[2]Urban_area_finals!$G156</f>
        <v>1.3743852814150433E-3</v>
      </c>
      <c r="S129" s="1">
        <f>[2]Urban_area_finals!S156/[2]Urban_area_finals!$G156</f>
        <v>1.3886030601883027E-3</v>
      </c>
      <c r="T129" s="1">
        <f>[2]Urban_area_finals!T156/[2]Urban_area_finals!$G156</f>
        <v>1.3933423197793891E-3</v>
      </c>
      <c r="U129" s="1">
        <f>[2]Urban_area_finals!U156/[2]Urban_area_finals!$G156</f>
        <v>1.3933423197793891E-3</v>
      </c>
      <c r="V129" s="1">
        <f>[2]Urban_area_finals!V156/[2]Urban_area_finals!$G156</f>
        <v>1.3980815793704754E-3</v>
      </c>
      <c r="W129" s="1">
        <f>[2]Urban_area_finals!W156/[2]Urban_area_finals!$G156</f>
        <v>1.3980815793704754E-3</v>
      </c>
      <c r="X129" s="1">
        <f>[2]Urban_area_finals!X156/[2]Urban_area_finals!$G156</f>
        <v>1.421777877325907E-3</v>
      </c>
      <c r="Y129" s="1">
        <f>[2]Urban_area_finals!Y156/[2]Urban_area_finals!$G156</f>
        <v>1.9667927303008378E-3</v>
      </c>
      <c r="Z129" s="1">
        <f>[2]Urban_area_finals!Z156/[2]Urban_area_finals!$G156</f>
        <v>2.3459334975877467E-3</v>
      </c>
      <c r="AA129" s="1">
        <f>[2]Urban_area_finals!AA156/[2]Urban_area_finals!$G156</f>
        <v>2.5070683236846827E-3</v>
      </c>
      <c r="AB129" s="1">
        <f>[2]Urban_area_finals!AB156/[2]Urban_area_finals!$G156</f>
        <v>2.5828964771420645E-3</v>
      </c>
      <c r="AC129" s="1">
        <f>[2]Urban_area_finals!AC156/[2]Urban_area_finals!$G156</f>
        <v>2.6445068518261869E-3</v>
      </c>
      <c r="AD129" s="1">
        <f>[2]Urban_area_finals!AD156/[2]Urban_area_finals!$G156</f>
        <v>2.7155957456924825E-3</v>
      </c>
      <c r="AE129" s="1">
        <f>[2]Urban_area_finals!AE156/[2]Urban_area_finals!$G156</f>
        <v>2.9572979848378859E-3</v>
      </c>
      <c r="AF129" s="1">
        <f>[2]Urban_area_finals!AF156/[2]Urban_area_finals!$G156</f>
        <v>3.0046905807487503E-3</v>
      </c>
      <c r="AG129" s="1">
        <f>[2]Urban_area_finals!AG156/[2]Urban_area_finals!$G156</f>
        <v>3.014169099930923E-3</v>
      </c>
      <c r="AH129" s="1">
        <f>[2]Urban_area_finals!AH156/[2]Urban_area_finals!$G156</f>
        <v>3.0236476191130958E-3</v>
      </c>
      <c r="AI129" s="1">
        <f>[2]Urban_area_finals!AI156/[2]Urban_area_finals!$G156</f>
        <v>3.0426046574774414E-3</v>
      </c>
      <c r="AJ129" s="1">
        <f>[2]Urban_area_finals!AJ156/[2]Urban_area_finals!$G156</f>
        <v>3.0520831766596142E-3</v>
      </c>
      <c r="AK129" s="1">
        <f>[2]Urban_area_finals!AK156/[2]Urban_area_finals!$G156</f>
        <v>3.0663009554328731E-3</v>
      </c>
      <c r="AL129" s="1">
        <f>[2]Urban_area_finals!AL156/[2]Urban_area_finals!$G156</f>
        <v>3.1373898492991679E-3</v>
      </c>
      <c r="AM129" s="1">
        <f>[2]Urban_area_finals!AM156/[2]Urban_area_finals!$G156</f>
        <v>3.1753039260278594E-3</v>
      </c>
      <c r="AN129" s="1">
        <f>[2]Urban_area_finals!AN156/[2]Urban_area_finals!$G156</f>
        <v>3.2795676370317591E-3</v>
      </c>
      <c r="AO129" s="1">
        <f>[2]Urban_area_finals!AO156/[2]Urban_area_finals!$G156</f>
        <v>3.3885706076267454E-3</v>
      </c>
      <c r="AP129" s="1">
        <f>[2]Urban_area_finals!AP156/[2]Urban_area_finals!$G156</f>
        <v>3.9335854606016756E-3</v>
      </c>
      <c r="AQ129" s="1">
        <f>[2]Urban_area_finals!AQ156/[2]Urban_area_finals!$G156</f>
        <v>4.4928180923498665E-3</v>
      </c>
      <c r="AR129" s="1">
        <f>[2]Urban_area_finals!AR156/[2]Urban_area_finals!$G156</f>
        <v>5.0947040604178342E-3</v>
      </c>
      <c r="AS129" s="1">
        <f>[2]Urban_area_finals!AS156/[2]Urban_area_finals!$G156</f>
        <v>5.6160226154373331E-3</v>
      </c>
      <c r="AT129" s="1">
        <f>[2]Urban_area_finals!AT156/[2]Urban_area_finals!$G156</f>
        <v>5.7582004031699234E-3</v>
      </c>
      <c r="AU129" s="1">
        <f>[2]Urban_area_finals!AU156/[2]Urban_area_finals!$G156</f>
        <v>5.8302371489544367E-3</v>
      </c>
      <c r="AV129" s="1">
        <f>[2]Urban_area_finals!AV156/[2]Urban_area_finals!$G156</f>
        <v>5.9382922676312049E-3</v>
      </c>
      <c r="AW129" s="1">
        <f>[2]Urban_area_finals!AW156/[2]Urban_area_finals!$G156</f>
        <v>6.1136448725014007E-3</v>
      </c>
      <c r="AX129" s="1">
        <f>[2]Urban_area_finals!AX156/[2]Urban_area_finals!$G156</f>
        <v>6.2510834006429044E-3</v>
      </c>
      <c r="AY129" s="1">
        <f>[2]Urban_area_finals!AY156/[2]Urban_area_finals!$G156</f>
        <v>6.3458685924646322E-3</v>
      </c>
    </row>
    <row r="130" spans="1:51" x14ac:dyDescent="0.25">
      <c r="A130" t="s">
        <v>195</v>
      </c>
      <c r="B130" t="s">
        <v>196</v>
      </c>
      <c r="C130" t="s">
        <v>197</v>
      </c>
      <c r="D130" t="s">
        <v>91</v>
      </c>
      <c r="E130" t="s">
        <v>66</v>
      </c>
      <c r="F130" t="s">
        <v>66</v>
      </c>
      <c r="G130">
        <v>43144.84869088672</v>
      </c>
      <c r="H130">
        <v>6975.4191525351616</v>
      </c>
      <c r="I130">
        <f>Table2[[#This Row],[FUA_area]]+Table2[[#This Row],[FUA_urban]]</f>
        <v>50120.267843421883</v>
      </c>
      <c r="J130">
        <v>5810771</v>
      </c>
      <c r="K130" s="1">
        <f>[2]Urban_area_finals!K128/[2]Urban_area_finals!$G128</f>
        <v>2.5466270404330657E-4</v>
      </c>
      <c r="L130" s="1">
        <f>[2]Urban_area_finals!L128/[2]Urban_area_finals!$G128</f>
        <v>2.5466270404330657E-4</v>
      </c>
      <c r="M130" s="1">
        <f>[2]Urban_area_finals!M128/[2]Urban_area_finals!$G128</f>
        <v>2.5466270404330657E-4</v>
      </c>
      <c r="N130" s="1">
        <f>[2]Urban_area_finals!N128/[2]Urban_area_finals!$G128</f>
        <v>3.0653333065234405E-4</v>
      </c>
      <c r="O130" s="1">
        <f>[2]Urban_area_finals!O128/[2]Urban_area_finals!$G128</f>
        <v>5.0993240478097409E-4</v>
      </c>
      <c r="P130" s="1">
        <f>[2]Urban_area_finals!P128/[2]Urban_area_finals!$G128</f>
        <v>5.0993240478097409E-4</v>
      </c>
      <c r="Q130" s="1">
        <f>[2]Urban_area_finals!Q128/[2]Urban_area_finals!$G128</f>
        <v>5.8950415325994448E-4</v>
      </c>
      <c r="R130" s="1">
        <f>[2]Urban_area_finals!R128/[2]Urban_area_finals!$G128</f>
        <v>7.6128421776412941E-4</v>
      </c>
      <c r="S130" s="1">
        <f>[2]Urban_area_finals!S128/[2]Urban_area_finals!$G128</f>
        <v>7.6128421776412941E-4</v>
      </c>
      <c r="T130" s="1">
        <f>[2]Urban_area_finals!T128/[2]Urban_area_finals!$G128</f>
        <v>1.0184852716202185E-3</v>
      </c>
      <c r="U130" s="1">
        <f>[2]Urban_area_finals!U128/[2]Urban_area_finals!$G128</f>
        <v>1.3121061271379724E-3</v>
      </c>
      <c r="V130" s="1">
        <f>[2]Urban_area_finals!V128/[2]Urban_area_finals!$G128</f>
        <v>1.5943044084982042E-3</v>
      </c>
      <c r="W130" s="1">
        <f>[2]Urban_area_finals!W128/[2]Urban_area_finals!$G128</f>
        <v>1.8390896208787257E-3</v>
      </c>
      <c r="X130" s="1">
        <f>[2]Urban_area_finals!X128/[2]Urban_area_finals!$G128</f>
        <v>1.8584583335806109E-3</v>
      </c>
      <c r="Y130" s="1">
        <f>[2]Urban_area_finals!Y128/[2]Urban_area_finals!$G128</f>
        <v>2.0581602460254052E-3</v>
      </c>
      <c r="Z130" s="1">
        <f>[2]Urban_area_finals!Z128/[2]Urban_area_finals!$G128</f>
        <v>2.1328760209494871E-3</v>
      </c>
      <c r="AA130" s="1">
        <f>[2]Urban_area_finals!AA128/[2]Urban_area_finals!$G128</f>
        <v>2.1620118622788188E-3</v>
      </c>
      <c r="AB130" s="1">
        <f>[2]Urban_area_finals!AB128/[2]Urban_area_finals!$G128</f>
        <v>2.1820427531927351E-3</v>
      </c>
      <c r="AC130" s="1">
        <f>[2]Urban_area_finals!AC128/[2]Urban_area_finals!$G128</f>
        <v>2.203398000530711E-3</v>
      </c>
      <c r="AD130" s="1">
        <f>[2]Urban_area_finals!AD128/[2]Urban_area_finals!$G128</f>
        <v>2.2261879673280854E-3</v>
      </c>
      <c r="AE130" s="1">
        <f>[2]Urban_area_finals!AE128/[2]Urban_area_finals!$G128</f>
        <v>2.2411421586164357E-3</v>
      </c>
      <c r="AF130" s="1">
        <f>[2]Urban_area_finals!AF128/[2]Urban_area_finals!$G128</f>
        <v>2.2578069769525304E-3</v>
      </c>
      <c r="AG130" s="1">
        <f>[2]Urban_area_finals!AG128/[2]Urban_area_finals!$G128</f>
        <v>2.2690088250393761E-3</v>
      </c>
      <c r="AH130" s="1">
        <f>[2]Urban_area_finals!AH128/[2]Urban_area_finals!$G128</f>
        <v>2.2834112011510346E-3</v>
      </c>
      <c r="AI130" s="1">
        <f>[2]Urban_area_finals!AI128/[2]Urban_area_finals!$G128</f>
        <v>2.2980343033333693E-3</v>
      </c>
      <c r="AJ130" s="1">
        <f>[2]Urban_area_finals!AJ128/[2]Urban_area_finals!$G128</f>
        <v>2.3237488905672112E-3</v>
      </c>
      <c r="AK130" s="1">
        <f>[2]Urban_area_finals!AK128/[2]Urban_area_finals!$G128</f>
        <v>2.3573544348277475E-3</v>
      </c>
      <c r="AL130" s="1">
        <f>[2]Urban_area_finals!AL128/[2]Urban_area_finals!$G128</f>
        <v>2.4102735102724993E-3</v>
      </c>
      <c r="AM130" s="1">
        <f>[2]Urban_area_finals!AM128/[2]Urban_area_finals!$G128</f>
        <v>2.4754428826398115E-3</v>
      </c>
      <c r="AN130" s="1">
        <f>[2]Urban_area_finals!AN128/[2]Urban_area_finals!$G128</f>
        <v>2.5828261160240535E-3</v>
      </c>
      <c r="AO130" s="1">
        <f>[2]Urban_area_finals!AO128/[2]Urban_area_finals!$G128</f>
        <v>2.7232078969744696E-3</v>
      </c>
      <c r="AP130" s="1">
        <f>[2]Urban_area_finals!AP128/[2]Urban_area_finals!$G128</f>
        <v>2.8734119880700019E-3</v>
      </c>
      <c r="AQ130" s="1">
        <f>[2]Urban_area_finals!AQ128/[2]Urban_area_finals!$G128</f>
        <v>3.2260770674937874E-3</v>
      </c>
      <c r="AR130" s="1">
        <f>[2]Urban_area_finals!AR128/[2]Urban_area_finals!$G128</f>
        <v>3.6700123771424122E-3</v>
      </c>
      <c r="AS130" s="1">
        <f>[2]Urban_area_finals!AS128/[2]Urban_area_finals!$G128</f>
        <v>3.9853195691041572E-3</v>
      </c>
      <c r="AT130" s="1">
        <f>[2]Urban_area_finals!AT128/[2]Urban_area_finals!$G128</f>
        <v>4.1761372572042118E-3</v>
      </c>
      <c r="AU130" s="1">
        <f>[2]Urban_area_finals!AU128/[2]Urban_area_finals!$G128</f>
        <v>4.3326541139210991E-3</v>
      </c>
      <c r="AV130" s="1">
        <f>[2]Urban_area_finals!AV128/[2]Urban_area_finals!$G128</f>
        <v>4.5674293989964301E-3</v>
      </c>
      <c r="AW130" s="1">
        <f>[2]Urban_area_finals!AW128/[2]Urban_area_finals!$G128</f>
        <v>5.0888395594525957E-3</v>
      </c>
      <c r="AX130" s="1">
        <f>[2]Urban_area_finals!AX128/[2]Urban_area_finals!$G128</f>
        <v>5.6430275414042592E-3</v>
      </c>
      <c r="AY130" s="1">
        <f>[2]Urban_area_finals!AY128/[2]Urban_area_finals!$G128</f>
        <v>6.2296070742277367E-3</v>
      </c>
    </row>
    <row r="131" spans="1:51" x14ac:dyDescent="0.25">
      <c r="A131" t="s">
        <v>268</v>
      </c>
      <c r="B131" t="s">
        <v>269</v>
      </c>
      <c r="C131" t="s">
        <v>270</v>
      </c>
      <c r="D131" t="s">
        <v>65</v>
      </c>
      <c r="E131" t="s">
        <v>66</v>
      </c>
      <c r="F131" t="s">
        <v>66</v>
      </c>
      <c r="G131">
        <v>93039.708827202558</v>
      </c>
      <c r="H131">
        <v>9380.0438504967187</v>
      </c>
      <c r="I131">
        <f>Table2[[#This Row],[FUA_area]]+Table2[[#This Row],[FUA_urban]]</f>
        <v>102419.75267769927</v>
      </c>
      <c r="J131">
        <v>9770123.0000000112</v>
      </c>
      <c r="K131" s="1">
        <f>[2]Urban_area_finals!K118/[2]Urban_area_finals!$G118</f>
        <v>9.4928281428187581E-5</v>
      </c>
      <c r="L131" s="1">
        <f>[2]Urban_area_finals!L118/[2]Urban_area_finals!$G118</f>
        <v>1.1527005601994205E-4</v>
      </c>
      <c r="M131" s="1">
        <f>[2]Urban_area_finals!M118/[2]Urban_area_finals!$G118</f>
        <v>1.5821380238031265E-4</v>
      </c>
      <c r="N131" s="1">
        <f>[2]Urban_area_finals!N118/[2]Urban_area_finals!$G118</f>
        <v>2.0341774591754483E-4</v>
      </c>
      <c r="O131" s="1">
        <f>[2]Urban_area_finals!O118/[2]Urban_area_finals!$G118</f>
        <v>2.4184109792419216E-4</v>
      </c>
      <c r="P131" s="1">
        <f>[2]Urban_area_finals!P118/[2]Urban_area_finals!$G118</f>
        <v>2.6444306969280828E-4</v>
      </c>
      <c r="Q131" s="1">
        <f>[2]Urban_area_finals!Q118/[2]Urban_area_finals!$G118</f>
        <v>2.9156543581514762E-4</v>
      </c>
      <c r="R131" s="1">
        <f>[2]Urban_area_finals!R118/[2]Urban_area_finals!$G118</f>
        <v>3.2546839346807174E-4</v>
      </c>
      <c r="S131" s="1">
        <f>[2]Urban_area_finals!S118/[2]Urban_area_finals!$G118</f>
        <v>3.3676937935237975E-4</v>
      </c>
      <c r="T131" s="1">
        <f>[2]Urban_area_finals!T118/[2]Urban_area_finals!$G118</f>
        <v>4.6560061843349152E-4</v>
      </c>
      <c r="U131" s="1">
        <f>[2]Urban_area_finals!U118/[2]Urban_area_finals!$G118</f>
        <v>7.7750782884039354E-4</v>
      </c>
      <c r="V131" s="1">
        <f>[2]Urban_area_finals!V118/[2]Urban_area_finals!$G118</f>
        <v>1.17982292632176E-3</v>
      </c>
      <c r="W131" s="1">
        <f>[2]Urban_area_finals!W118/[2]Urban_area_finals!$G118</f>
        <v>1.6409031504015282E-3</v>
      </c>
      <c r="X131" s="1">
        <f>[2]Urban_area_finals!X118/[2]Urban_area_finals!$G118</f>
        <v>1.7267906431222694E-3</v>
      </c>
      <c r="Y131" s="1">
        <f>[2]Urban_area_finals!Y118/[2]Urban_area_finals!$G118</f>
        <v>2.1268455434267741E-3</v>
      </c>
      <c r="Z131" s="1">
        <f>[2]Urban_area_finals!Z118/[2]Urban_area_finals!$G118</f>
        <v>2.3686866413509663E-3</v>
      </c>
      <c r="AA131" s="1">
        <f>[2]Urban_area_finals!AA118/[2]Urban_area_finals!$G118</f>
        <v>2.5472422183230336E-3</v>
      </c>
      <c r="AB131" s="1">
        <f>[2]Urban_area_finals!AB118/[2]Urban_area_finals!$G118</f>
        <v>2.6105277392751585E-3</v>
      </c>
      <c r="AC131" s="1">
        <f>[2]Urban_area_finals!AC118/[2]Urban_area_finals!$G118</f>
        <v>2.694155034819038E-3</v>
      </c>
      <c r="AD131" s="1">
        <f>[2]Urban_area_finals!AD118/[2]Urban_area_finals!$G118</f>
        <v>2.7710017388323329E-3</v>
      </c>
      <c r="AE131" s="1">
        <f>[2]Urban_area_finals!AE118/[2]Urban_area_finals!$G118</f>
        <v>2.8094250908389799E-3</v>
      </c>
      <c r="AF131" s="1">
        <f>[2]Urban_area_finals!AF118/[2]Urban_area_finals!$G118</f>
        <v>2.8455882456687662E-3</v>
      </c>
      <c r="AG131" s="1">
        <f>[2]Urban_area_finals!AG118/[2]Urban_area_finals!$G118</f>
        <v>2.8591494287299353E-3</v>
      </c>
      <c r="AH131" s="1">
        <f>[2]Urban_area_finals!AH118/[2]Urban_area_finals!$G118</f>
        <v>2.8772310061448286E-3</v>
      </c>
      <c r="AI131" s="1">
        <f>[2]Urban_area_finals!AI118/[2]Urban_area_finals!$G118</f>
        <v>2.8998329779134449E-3</v>
      </c>
      <c r="AJ131" s="1">
        <f>[2]Urban_area_finals!AJ118/[2]Urban_area_finals!$G118</f>
        <v>2.9314757383895073E-3</v>
      </c>
      <c r="AK131" s="1">
        <f>[2]Urban_area_finals!AK118/[2]Urban_area_finals!$G118</f>
        <v>2.9970214565184939E-3</v>
      </c>
      <c r="AL131" s="1">
        <f>[2]Urban_area_finals!AL118/[2]Urban_area_finals!$G118</f>
        <v>3.0512661887631726E-3</v>
      </c>
      <c r="AM131" s="1">
        <f>[2]Urban_area_finals!AM118/[2]Urban_area_finals!$G118</f>
        <v>3.1281128927764675E-3</v>
      </c>
      <c r="AN131" s="1">
        <f>[2]Urban_area_finals!AN118/[2]Urban_area_finals!$G118</f>
        <v>3.1959188080823158E-3</v>
      </c>
      <c r="AO131" s="1">
        <f>[2]Urban_area_finals!AO118/[2]Urban_area_finals!$G118</f>
        <v>3.3541326104626285E-3</v>
      </c>
      <c r="AP131" s="1">
        <f>[2]Urban_area_finals!AP118/[2]Urban_area_finals!$G118</f>
        <v>3.5575503563801728E-3</v>
      </c>
      <c r="AQ131" s="1">
        <f>[2]Urban_area_finals!AQ118/[2]Urban_area_finals!$G118</f>
        <v>3.966646045392124E-3</v>
      </c>
      <c r="AR131" s="1">
        <f>[2]Urban_area_finals!AR118/[2]Urban_area_finals!$G118</f>
        <v>4.3960835089958293E-3</v>
      </c>
      <c r="AS131" s="1">
        <f>[2]Urban_area_finals!AS118/[2]Urban_area_finals!$G118</f>
        <v>4.6356644097431607E-3</v>
      </c>
      <c r="AT131" s="1">
        <f>[2]Urban_area_finals!AT118/[2]Urban_area_finals!$G118</f>
        <v>4.8616841274293212E-3</v>
      </c>
      <c r="AU131" s="1">
        <f>[2]Urban_area_finals!AU118/[2]Urban_area_finals!$G118</f>
        <v>4.9674613553064451E-3</v>
      </c>
      <c r="AV131" s="1">
        <f>[2]Urban_area_finals!AV118/[2]Urban_area_finals!$G118</f>
        <v>5.1261271971221297E-3</v>
      </c>
      <c r="AW131" s="1">
        <f>[2]Urban_area_finals!AW118/[2]Urban_area_finals!$G118</f>
        <v>5.4289936188215851E-3</v>
      </c>
      <c r="AX131" s="1">
        <f>[2]Urban_area_finals!AX118/[2]Urban_area_finals!$G118</f>
        <v>5.7702833925276885E-3</v>
      </c>
      <c r="AY131" s="1">
        <f>[2]Urban_area_finals!AY118/[2]Urban_area_finals!$G118</f>
        <v>6.1115731662337918E-3</v>
      </c>
    </row>
    <row r="132" spans="1:51" x14ac:dyDescent="0.25">
      <c r="A132" t="s">
        <v>244</v>
      </c>
      <c r="B132" t="s">
        <v>245</v>
      </c>
      <c r="C132" t="s">
        <v>246</v>
      </c>
      <c r="D132" t="s">
        <v>105</v>
      </c>
      <c r="E132" t="s">
        <v>61</v>
      </c>
      <c r="F132" t="s">
        <v>61</v>
      </c>
      <c r="G132">
        <v>10670.50509165292</v>
      </c>
      <c r="H132">
        <v>246.51719136908159</v>
      </c>
      <c r="I132">
        <f>Table2[[#This Row],[FUA_area]]+Table2[[#This Row],[FUA_urban]]</f>
        <v>10917.022283022001</v>
      </c>
      <c r="J132">
        <v>2541048</v>
      </c>
      <c r="K132" s="1">
        <f>[2]Urban_area_finals!K8/[2]Urban_area_finals!$G8</f>
        <v>1.0251347688487732E-4</v>
      </c>
      <c r="L132" s="1">
        <f>[2]Urban_area_finals!L8/[2]Urban_area_finals!$G8</f>
        <v>1.3967971750847825E-4</v>
      </c>
      <c r="M132" s="1">
        <f>[2]Urban_area_finals!M8/[2]Urban_area_finals!$G8</f>
        <v>2.0788589535618551E-4</v>
      </c>
      <c r="N132" s="1">
        <f>[2]Urban_area_finals!N8/[2]Urban_area_finals!$G8</f>
        <v>2.7650049343052571E-4</v>
      </c>
      <c r="O132" s="1">
        <f>[2]Urban_area_finals!O8/[2]Urban_area_finals!$G8</f>
        <v>3.7738028940887113E-4</v>
      </c>
      <c r="P132" s="1">
        <f>[2]Urban_area_finals!P8/[2]Urban_area_finals!$G8</f>
        <v>4.5988117518873248E-4</v>
      </c>
      <c r="Q132" s="1">
        <f>[2]Urban_area_finals!Q8/[2]Urban_area_finals!$G8</f>
        <v>5.5055046550125356E-4</v>
      </c>
      <c r="R132" s="1">
        <f>[2]Urban_area_finals!R8/[2]Urban_area_finals!$G8</f>
        <v>6.285587287881522E-4</v>
      </c>
      <c r="S132" s="1">
        <f>[2]Urban_area_finals!S8/[2]Urban_area_finals!$G8</f>
        <v>7.4291639224538595E-4</v>
      </c>
      <c r="T132" s="1">
        <f>[2]Urban_area_finals!T8/[2]Urban_area_finals!$G8</f>
        <v>9.7816644278598077E-4</v>
      </c>
      <c r="U132" s="1">
        <f>[2]Urban_area_finals!U8/[2]Urban_area_finals!$G8</f>
        <v>1.2971426397863361E-3</v>
      </c>
      <c r="V132" s="1">
        <f>[2]Urban_area_finals!V8/[2]Urban_area_finals!$G8</f>
        <v>1.5430116162193886E-3</v>
      </c>
      <c r="W132" s="1">
        <f>[2]Urban_area_finals!W8/[2]Urban_area_finals!$G8</f>
        <v>1.8333983973554354E-3</v>
      </c>
      <c r="X132" s="1">
        <f>[2]Urban_area_finals!X8/[2]Urban_area_finals!$G8</f>
        <v>1.9073224583760046E-3</v>
      </c>
      <c r="Y132" s="1">
        <f>[2]Urban_area_finals!Y8/[2]Urban_area_finals!$G8</f>
        <v>2.1895408349793919E-3</v>
      </c>
      <c r="Z132" s="1">
        <f>[2]Urban_area_finals!Z8/[2]Urban_area_finals!$G8</f>
        <v>2.3782309796838274E-3</v>
      </c>
      <c r="AA132" s="1">
        <f>[2]Urban_area_finals!AA8/[2]Urban_area_finals!$G8</f>
        <v>2.4460287373049014E-3</v>
      </c>
      <c r="AB132" s="1">
        <f>[2]Urban_area_finals!AB8/[2]Urban_area_finals!$G8</f>
        <v>2.4852370790616673E-3</v>
      </c>
      <c r="AC132" s="1">
        <f>[2]Urban_area_finals!AC8/[2]Urban_area_finals!$G8</f>
        <v>2.5322054051244596E-3</v>
      </c>
      <c r="AD132" s="1">
        <f>[2]Urban_area_finals!AD8/[2]Urban_area_finals!$G8</f>
        <v>2.5820326727736828E-3</v>
      </c>
      <c r="AE132" s="1">
        <f>[2]Urban_area_finals!AE8/[2]Urban_area_finals!$G8</f>
        <v>2.6330852011028048E-3</v>
      </c>
      <c r="AF132" s="1">
        <f>[2]Urban_area_finals!AF8/[2]Urban_area_finals!$G8</f>
        <v>2.6951650755510179E-3</v>
      </c>
      <c r="AG132" s="1">
        <f>[2]Urban_area_finals!AG8/[2]Urban_area_finals!$G8</f>
        <v>2.7425418218404432E-3</v>
      </c>
      <c r="AH132" s="1">
        <f>[2]Urban_area_finals!AH8/[2]Urban_area_finals!$G8</f>
        <v>2.7878764669967038E-3</v>
      </c>
      <c r="AI132" s="1">
        <f>[2]Urban_area_finals!AI8/[2]Urban_area_finals!$G8</f>
        <v>2.8528152830313469E-3</v>
      </c>
      <c r="AJ132" s="1">
        <f>[2]Urban_area_finals!AJ8/[2]Urban_area_finals!$G8</f>
        <v>2.9026425506805701E-3</v>
      </c>
      <c r="AK132" s="1">
        <f>[2]Urban_area_finals!AK8/[2]Urban_area_finals!$G8</f>
        <v>2.9459350947036657E-3</v>
      </c>
      <c r="AL132" s="1">
        <f>[2]Urban_area_finals!AL8/[2]Urban_area_finals!$G8</f>
        <v>2.9822844948740011E-3</v>
      </c>
      <c r="AM132" s="1">
        <f>[2]Urban_area_finals!AM8/[2]Urban_area_finals!$G8</f>
        <v>3.0995010999176659E-3</v>
      </c>
      <c r="AN132" s="1">
        <f>[2]Urban_area_finals!AN8/[2]Urban_area_finals!$G8</f>
        <v>3.1713830598050696E-3</v>
      </c>
      <c r="AO132" s="1">
        <f>[2]Urban_area_finals!AO8/[2]Urban_area_finals!$G8</f>
        <v>3.219985066774394E-3</v>
      </c>
      <c r="AP132" s="1">
        <f>[2]Urban_area_finals!AP8/[2]Urban_area_finals!$G8</f>
        <v>3.3188227616195742E-3</v>
      </c>
      <c r="AQ132" s="1">
        <f>[2]Urban_area_finals!AQ8/[2]Urban_area_finals!$G8</f>
        <v>3.5079213265506431E-3</v>
      </c>
      <c r="AR132" s="1">
        <f>[2]Urban_area_finals!AR8/[2]Urban_area_finals!$G8</f>
        <v>3.7174409028133603E-3</v>
      </c>
      <c r="AS132" s="1">
        <f>[2]Urban_area_finals!AS8/[2]Urban_area_finals!$G8</f>
        <v>3.8538532585087747E-3</v>
      </c>
      <c r="AT132" s="1">
        <f>[2]Urban_area_finals!AT8/[2]Urban_area_finals!$G8</f>
        <v>4.130762172165933E-3</v>
      </c>
      <c r="AU132" s="1">
        <f>[2]Urban_area_finals!AU8/[2]Urban_area_finals!$G8</f>
        <v>4.3050759248928882E-3</v>
      </c>
      <c r="AV132" s="1">
        <f>[2]Urban_area_finals!AV8/[2]Urban_area_finals!$G8</f>
        <v>4.5665465539833205E-3</v>
      </c>
      <c r="AW132" s="1">
        <f>[2]Urban_area_finals!AW8/[2]Urban_area_finals!$G8</f>
        <v>5.0321456123449144E-3</v>
      </c>
      <c r="AX132" s="1">
        <f>[2]Urban_area_finals!AX8/[2]Urban_area_finals!$G8</f>
        <v>5.5001951920663067E-3</v>
      </c>
      <c r="AY132" s="1">
        <f>[2]Urban_area_finals!AY8/[2]Urban_area_finals!$G8</f>
        <v>6.0001015494650705E-3</v>
      </c>
    </row>
    <row r="133" spans="1:51" x14ac:dyDescent="0.25">
      <c r="A133" t="s">
        <v>403</v>
      </c>
      <c r="B133" t="s">
        <v>404</v>
      </c>
      <c r="C133" t="s">
        <v>405</v>
      </c>
      <c r="D133" t="s">
        <v>105</v>
      </c>
      <c r="E133" t="s">
        <v>61</v>
      </c>
      <c r="F133" t="s">
        <v>61</v>
      </c>
      <c r="G133">
        <v>908410.13529347663</v>
      </c>
      <c r="H133">
        <v>30777.324649938331</v>
      </c>
      <c r="I133">
        <f>Table2[[#This Row],[FUA_area]]+Table2[[#This Row],[FUA_urban]]</f>
        <v>939187.45994341502</v>
      </c>
      <c r="J133">
        <v>205780600</v>
      </c>
      <c r="K133" s="1">
        <f>[2]Urban_area_finals!K26/[2]Urban_area_finals!$G26</f>
        <v>1.8351246671653813E-4</v>
      </c>
      <c r="L133" s="1">
        <f>[2]Urban_area_finals!L26/[2]Urban_area_finals!$G26</f>
        <v>2.3675271091353923E-4</v>
      </c>
      <c r="M133" s="1">
        <f>[2]Urban_area_finals!M26/[2]Urban_area_finals!$G26</f>
        <v>3.0480039802783122E-4</v>
      </c>
      <c r="N133" s="1">
        <f>[2]Urban_area_finals!N26/[2]Urban_area_finals!$G26</f>
        <v>3.5388124814694164E-4</v>
      </c>
      <c r="O133" s="1">
        <f>[2]Urban_area_finals!O26/[2]Urban_area_finals!$G26</f>
        <v>4.8182420998285988E-4</v>
      </c>
      <c r="P133" s="1">
        <f>[2]Urban_area_finals!P26/[2]Urban_area_finals!$G26</f>
        <v>6.10765426397472E-4</v>
      </c>
      <c r="Q133" s="1">
        <f>[2]Urban_area_finals!Q26/[2]Urban_area_finals!$G26</f>
        <v>7.5201844928264052E-4</v>
      </c>
      <c r="R133" s="1">
        <f>[2]Urban_area_finals!R26/[2]Urban_area_finals!$G26</f>
        <v>8.5783343462418008E-4</v>
      </c>
      <c r="S133" s="1">
        <f>[2]Urban_area_finals!S26/[2]Urban_area_finals!$G26</f>
        <v>1.0440079135505683E-3</v>
      </c>
      <c r="T133" s="1">
        <f>[2]Urban_area_finals!T26/[2]Urban_area_finals!$G26</f>
        <v>1.4661032245749175E-3</v>
      </c>
      <c r="U133" s="1">
        <f>[2]Urban_area_finals!U26/[2]Urban_area_finals!$G26</f>
        <v>1.967393398842306E-3</v>
      </c>
      <c r="V133" s="1">
        <f>[2]Urban_area_finals!V26/[2]Urban_area_finals!$G26</f>
        <v>2.2587173600577717E-3</v>
      </c>
      <c r="W133" s="1">
        <f>[2]Urban_area_finals!W26/[2]Urban_area_finals!$G26</f>
        <v>2.622414778228535E-3</v>
      </c>
      <c r="X133" s="1">
        <f>[2]Urban_area_finals!X26/[2]Urban_area_finals!$G26</f>
        <v>2.7676608194284785E-3</v>
      </c>
      <c r="Y133" s="1">
        <f>[2]Urban_area_finals!Y26/[2]Urban_area_finals!$G26</f>
        <v>3.0371895556757962E-3</v>
      </c>
      <c r="Z133" s="1">
        <f>[2]Urban_area_finals!Z26/[2]Urban_area_finals!$G26</f>
        <v>3.2360085925989724E-3</v>
      </c>
      <c r="AA133" s="1">
        <f>[2]Urban_area_finals!AA26/[2]Urban_area_finals!$G26</f>
        <v>3.2917444732427077E-3</v>
      </c>
      <c r="AB133" s="1">
        <f>[2]Urban_area_finals!AB26/[2]Urban_area_finals!$G26</f>
        <v>3.3145379527895489E-3</v>
      </c>
      <c r="AC133" s="1">
        <f>[2]Urban_area_finals!AC26/[2]Urban_area_finals!$G26</f>
        <v>3.3399934445462408E-3</v>
      </c>
      <c r="AD133" s="1">
        <f>[2]Urban_area_finals!AD26/[2]Urban_area_finals!$G26</f>
        <v>3.3709393364857471E-3</v>
      </c>
      <c r="AE133" s="1">
        <f>[2]Urban_area_finals!AE26/[2]Urban_area_finals!$G26</f>
        <v>3.3837502702456505E-3</v>
      </c>
      <c r="AF133" s="1">
        <f>[2]Urban_area_finals!AF26/[2]Urban_area_finals!$G26</f>
        <v>3.4035489860564103E-3</v>
      </c>
      <c r="AG133" s="1">
        <f>[2]Urban_area_finals!AG26/[2]Urban_area_finals!$G26</f>
        <v>3.4203529381310886E-3</v>
      </c>
      <c r="AH133" s="1">
        <f>[2]Urban_area_finals!AH26/[2]Urban_area_finals!$G26</f>
        <v>3.4321656173122985E-3</v>
      </c>
      <c r="AI133" s="1">
        <f>[2]Urban_area_finals!AI26/[2]Urban_area_finals!$G26</f>
        <v>3.4431464176779302E-3</v>
      </c>
      <c r="AJ133" s="1">
        <f>[2]Urban_area_finals!AJ26/[2]Urban_area_finals!$G26</f>
        <v>3.4627787577255738E-3</v>
      </c>
      <c r="AK133" s="1">
        <f>[2]Urban_area_finals!AK26/[2]Urban_area_finals!$G26</f>
        <v>3.4849067342199529E-3</v>
      </c>
      <c r="AL133" s="1">
        <f>[2]Urban_area_finals!AL26/[2]Urban_area_finals!$G26</f>
        <v>3.5243377900783563E-3</v>
      </c>
      <c r="AM133" s="1">
        <f>[2]Urban_area_finals!AM26/[2]Urban_area_finals!$G26</f>
        <v>3.5902225922721455E-3</v>
      </c>
      <c r="AN133" s="1">
        <f>[2]Urban_area_finals!AN26/[2]Urban_area_finals!$G26</f>
        <v>3.639968945443718E-3</v>
      </c>
      <c r="AO133" s="1">
        <f>[2]Urban_area_finals!AO26/[2]Urban_area_finals!$G26</f>
        <v>3.6885506682734818E-3</v>
      </c>
      <c r="AP133" s="1">
        <f>[2]Urban_area_finals!AP26/[2]Urban_area_finals!$G26</f>
        <v>3.7313092393941984E-3</v>
      </c>
      <c r="AQ133" s="1">
        <f>[2]Urban_area_finals!AQ26/[2]Urban_area_finals!$G26</f>
        <v>3.8800491716195701E-3</v>
      </c>
      <c r="AR133" s="1">
        <f>[2]Urban_area_finals!AR26/[2]Urban_area_finals!$G26</f>
        <v>4.1314429496872845E-3</v>
      </c>
      <c r="AS133" s="1">
        <f>[2]Urban_area_finals!AS26/[2]Urban_area_finals!$G26</f>
        <v>4.4663573608390451E-3</v>
      </c>
      <c r="AT133" s="1">
        <f>[2]Urban_area_finals!AT26/[2]Urban_area_finals!$G26</f>
        <v>4.6412182878735695E-3</v>
      </c>
      <c r="AU133" s="1">
        <f>[2]Urban_area_finals!AU26/[2]Urban_area_finals!$G26</f>
        <v>4.770126229135559E-3</v>
      </c>
      <c r="AV133" s="1">
        <f>[2]Urban_area_finals!AV26/[2]Urban_area_finals!$G26</f>
        <v>4.9634881410285424E-3</v>
      </c>
      <c r="AW133" s="1">
        <f>[2]Urban_area_finals!AW26/[2]Urban_area_finals!$G26</f>
        <v>5.2864234972359774E-3</v>
      </c>
      <c r="AX133" s="1">
        <f>[2]Urban_area_finals!AX26/[2]Urban_area_finals!$G26</f>
        <v>5.5732553128473201E-3</v>
      </c>
      <c r="AY133" s="1">
        <f>[2]Urban_area_finals!AY26/[2]Urban_area_finals!$G26</f>
        <v>5.8965234205809866E-3</v>
      </c>
    </row>
    <row r="134" spans="1:51" x14ac:dyDescent="0.25">
      <c r="A134" t="s">
        <v>265</v>
      </c>
      <c r="B134" t="s">
        <v>266</v>
      </c>
      <c r="C134" t="s">
        <v>267</v>
      </c>
      <c r="D134" t="s">
        <v>121</v>
      </c>
      <c r="E134" t="s">
        <v>76</v>
      </c>
      <c r="F134" t="s">
        <v>77</v>
      </c>
      <c r="G134">
        <v>27107.104390584958</v>
      </c>
      <c r="H134">
        <v>933.98830714515236</v>
      </c>
      <c r="I134">
        <f>Table2[[#This Row],[FUA_area]]+Table2[[#This Row],[FUA_urban]]</f>
        <v>28041.09269773011</v>
      </c>
      <c r="J134">
        <v>11234505</v>
      </c>
      <c r="K134" s="1">
        <f>[2]Urban_area_finals!K115/[2]Urban_area_finals!$G115</f>
        <v>7.3913016980843633E-5</v>
      </c>
      <c r="L134" s="1">
        <f>[2]Urban_area_finals!L115/[2]Urban_area_finals!$G115</f>
        <v>8.1493839235289133E-5</v>
      </c>
      <c r="M134" s="1">
        <f>[2]Urban_area_finals!M115/[2]Urban_area_finals!$G115</f>
        <v>8.1493839235289133E-5</v>
      </c>
      <c r="N134" s="1">
        <f>[2]Urban_area_finals!N115/[2]Urban_area_finals!$G115</f>
        <v>9.0969867053346021E-5</v>
      </c>
      <c r="O134" s="1">
        <f>[2]Urban_area_finals!O115/[2]Urban_area_finals!$G115</f>
        <v>1.0234110043501426E-4</v>
      </c>
      <c r="P134" s="1">
        <f>[2]Urban_area_finals!P115/[2]Urban_area_finals!$G115</f>
        <v>1.0802671712584839E-4</v>
      </c>
      <c r="Q134" s="1">
        <f>[2]Urban_area_finals!Q115/[2]Urban_area_finals!$G115</f>
        <v>1.1560753938029388E-4</v>
      </c>
      <c r="R134" s="1">
        <f>[2]Urban_area_finals!R115/[2]Urban_area_finals!$G115</f>
        <v>1.2318836163473939E-4</v>
      </c>
      <c r="S134" s="1">
        <f>[2]Urban_area_finals!S115/[2]Urban_area_finals!$G115</f>
        <v>1.2887397832557355E-4</v>
      </c>
      <c r="T134" s="1">
        <f>[2]Urban_area_finals!T115/[2]Urban_area_finals!$G115</f>
        <v>1.8383493967030339E-4</v>
      </c>
      <c r="U134" s="1">
        <f>[2]Urban_area_finals!U115/[2]Urban_area_finals!$G115</f>
        <v>2.6532877890559254E-4</v>
      </c>
      <c r="V134" s="1">
        <f>[2]Urban_area_finals!V115/[2]Urban_area_finals!$G115</f>
        <v>5.1170550217507138E-4</v>
      </c>
      <c r="W134" s="1">
        <f>[2]Urban_area_finals!W115/[2]Urban_area_finals!$G115</f>
        <v>8.8695620377012376E-4</v>
      </c>
      <c r="X134" s="1">
        <f>[2]Urban_area_finals!X115/[2]Urban_area_finals!$G115</f>
        <v>9.8740209864152644E-4</v>
      </c>
      <c r="Y134" s="1">
        <f>[2]Urban_area_finals!Y115/[2]Urban_area_finals!$G115</f>
        <v>1.0726863490040383E-3</v>
      </c>
      <c r="Z134" s="1">
        <f>[2]Urban_area_finals!Z115/[2]Urban_area_finals!$G115</f>
        <v>1.1750274494390527E-3</v>
      </c>
      <c r="AA134" s="1">
        <f>[2]Urban_area_finals!AA115/[2]Urban_area_finals!$G115</f>
        <v>1.3399103334732424E-3</v>
      </c>
      <c r="AB134" s="1">
        <f>[2]Urban_area_finals!AB115/[2]Urban_area_finals!$G115</f>
        <v>1.4062425281996403E-3</v>
      </c>
      <c r="AC134" s="1">
        <f>[2]Urban_area_finals!AC115/[2]Urban_area_finals!$G115</f>
        <v>1.4403562283446451E-3</v>
      </c>
      <c r="AD134" s="1">
        <f>[2]Urban_area_finals!AD115/[2]Urban_area_finals!$G115</f>
        <v>1.4877363674349296E-3</v>
      </c>
      <c r="AE134" s="1">
        <f>[2]Urban_area_finals!AE115/[2]Urban_area_finals!$G115</f>
        <v>1.5521733565977164E-3</v>
      </c>
      <c r="AF134" s="1">
        <f>[2]Urban_area_finals!AF115/[2]Urban_area_finals!$G115</f>
        <v>1.6431432236510624E-3</v>
      </c>
      <c r="AG134" s="1">
        <f>[2]Urban_area_finals!AG115/[2]Urban_area_finals!$G115</f>
        <v>1.6526192514691193E-3</v>
      </c>
      <c r="AH134" s="1">
        <f>[2]Urban_area_finals!AH115/[2]Urban_area_finals!$G115</f>
        <v>1.6734665126688446E-3</v>
      </c>
      <c r="AI134" s="1">
        <f>[2]Urban_area_finals!AI115/[2]Urban_area_finals!$G115</f>
        <v>1.6981041849957919E-3</v>
      </c>
      <c r="AJ134" s="1">
        <f>[2]Urban_area_finals!AJ115/[2]Urban_area_finals!$G115</f>
        <v>1.7189514461955174E-3</v>
      </c>
      <c r="AK134" s="1">
        <f>[2]Urban_area_finals!AK115/[2]Urban_area_finals!$G115</f>
        <v>1.7739124075402475E-3</v>
      </c>
      <c r="AL134" s="1">
        <f>[2]Urban_area_finals!AL115/[2]Urban_area_finals!$G115</f>
        <v>1.8421398078302565E-3</v>
      </c>
      <c r="AM134" s="1">
        <f>[2]Urban_area_finals!AM115/[2]Urban_area_finals!$G115</f>
        <v>2.029765158627783E-3</v>
      </c>
      <c r="AN134" s="1">
        <f>[2]Urban_area_finals!AN115/[2]Urban_area_finals!$G115</f>
        <v>2.1358966701900198E-3</v>
      </c>
      <c r="AO134" s="1">
        <f>[2]Urban_area_finals!AO115/[2]Urban_area_finals!$G115</f>
        <v>2.4296535325497829E-3</v>
      </c>
      <c r="AP134" s="1">
        <f>[2]Urban_area_finals!AP115/[2]Urban_area_finals!$G115</f>
        <v>2.7594193006181622E-3</v>
      </c>
      <c r="AQ134" s="1">
        <f>[2]Urban_area_finals!AQ115/[2]Urban_area_finals!$G115</f>
        <v>3.3090289140654608E-3</v>
      </c>
      <c r="AR134" s="1">
        <f>[2]Urban_area_finals!AR115/[2]Urban_area_finals!$G115</f>
        <v>3.9477131890024945E-3</v>
      </c>
      <c r="AS134" s="1">
        <f>[2]Urban_area_finals!AS115/[2]Urban_area_finals!$G115</f>
        <v>4.1865090900175287E-3</v>
      </c>
      <c r="AT134" s="1">
        <f>[2]Urban_area_finals!AT115/[2]Urban_area_finals!$G115</f>
        <v>4.3096974516522672E-3</v>
      </c>
      <c r="AU134" s="1">
        <f>[2]Urban_area_finals!AU115/[2]Urban_area_finals!$G115</f>
        <v>4.4431199233305081E-3</v>
      </c>
      <c r="AV134" s="1">
        <f>[2]Urban_area_finals!AV115/[2]Urban_area_finals!$G115</f>
        <v>4.6432536308478696E-3</v>
      </c>
      <c r="AW134" s="1">
        <f>[2]Urban_area_finals!AW115/[2]Urban_area_finals!$G115</f>
        <v>4.9787050156070824E-3</v>
      </c>
      <c r="AX134" s="1">
        <f>[2]Urban_area_finals!AX115/[2]Urban_area_finals!$G115</f>
        <v>5.314156400366297E-3</v>
      </c>
      <c r="AY134" s="1">
        <f>[2]Urban_area_finals!AY115/[2]Urban_area_finals!$G115</f>
        <v>5.6515029906891211E-3</v>
      </c>
    </row>
    <row r="135" spans="1:51" x14ac:dyDescent="0.25">
      <c r="A135" t="s">
        <v>466</v>
      </c>
      <c r="B135" t="s">
        <v>467</v>
      </c>
      <c r="C135" t="s">
        <v>468</v>
      </c>
      <c r="D135" t="s">
        <v>70</v>
      </c>
      <c r="E135" t="s">
        <v>71</v>
      </c>
      <c r="F135" t="s">
        <v>70</v>
      </c>
      <c r="G135">
        <v>1923014.6741821959</v>
      </c>
      <c r="H135">
        <v>13063.24427496235</v>
      </c>
      <c r="I135">
        <f>Table2[[#This Row],[FUA_area]]+Table2[[#This Row],[FUA_urban]]</f>
        <v>1936077.9184571584</v>
      </c>
      <c r="J135">
        <v>36229969</v>
      </c>
      <c r="K135" s="1">
        <f>[2]Urban_area_finals!K43/[2]Urban_area_finals!$G43</f>
        <v>5.6496197140466443E-5</v>
      </c>
      <c r="L135" s="1">
        <f>[2]Urban_area_finals!L43/[2]Urban_area_finals!$G43</f>
        <v>6.0484163997440545E-5</v>
      </c>
      <c r="M135" s="1">
        <f>[2]Urban_area_finals!M43/[2]Urban_area_finals!$G43</f>
        <v>6.6466114282901688E-5</v>
      </c>
      <c r="N135" s="1">
        <f>[2]Urban_area_finals!N43/[2]Urban_area_finals!$G43</f>
        <v>7.4442047996849906E-5</v>
      </c>
      <c r="O135" s="1">
        <f>[2]Urban_area_finals!O43/[2]Urban_area_finals!$G43</f>
        <v>8.5741287424943185E-5</v>
      </c>
      <c r="P135" s="1">
        <f>[2]Urban_area_finals!P43/[2]Urban_area_finals!$G43</f>
        <v>9.438188228172041E-5</v>
      </c>
      <c r="Q135" s="1">
        <f>[2]Urban_area_finals!Q43/[2]Urban_area_finals!$G43</f>
        <v>1.0435179942415568E-4</v>
      </c>
      <c r="R135" s="1">
        <f>[2]Urban_area_finals!R43/[2]Urban_area_finals!$G43</f>
        <v>1.1565103885224895E-4</v>
      </c>
      <c r="S135" s="1">
        <f>[2]Urban_area_finals!S43/[2]Urban_area_finals!$G43</f>
        <v>1.2827960056600027E-4</v>
      </c>
      <c r="T135" s="1">
        <f>[2]Urban_area_finals!T43/[2]Urban_area_finals!$G43</f>
        <v>1.9607503713456E-4</v>
      </c>
      <c r="U135" s="1">
        <f>[2]Urban_area_finals!U43/[2]Urban_area_finals!$G43</f>
        <v>3.3498921598582455E-4</v>
      </c>
      <c r="V135" s="1">
        <f>[2]Urban_area_finals!V43/[2]Urban_area_finals!$G43</f>
        <v>5.1976501369229127E-4</v>
      </c>
      <c r="W135" s="1">
        <f>[2]Urban_area_finals!W43/[2]Urban_area_finals!$G43</f>
        <v>8.5143092396397079E-4</v>
      </c>
      <c r="X135" s="1">
        <f>[2]Urban_area_finals!X43/[2]Urban_area_finals!$G43</f>
        <v>9.3717221138891408E-4</v>
      </c>
      <c r="Y135" s="1">
        <f>[2]Urban_area_finals!Y43/[2]Urban_area_finals!$G43</f>
        <v>1.0720984233832046E-3</v>
      </c>
      <c r="Z135" s="1">
        <f>[2]Urban_area_finals!Z43/[2]Urban_area_finals!$G43</f>
        <v>1.1604983553794635E-3</v>
      </c>
      <c r="AA135" s="1">
        <f>[2]Urban_area_finals!AA43/[2]Urban_area_finals!$G43</f>
        <v>1.2435809982330908E-3</v>
      </c>
      <c r="AB135" s="1">
        <f>[2]Urban_area_finals!AB43/[2]Urban_area_finals!$G43</f>
        <v>1.2721614273747384E-3</v>
      </c>
      <c r="AC135" s="1">
        <f>[2]Urban_area_finals!AC43/[2]Urban_area_finals!$G43</f>
        <v>1.3040651622305312E-3</v>
      </c>
      <c r="AD135" s="1">
        <f>[2]Urban_area_finals!AD43/[2]Urban_area_finals!$G43</f>
        <v>1.3552440702283655E-3</v>
      </c>
      <c r="AE135" s="1">
        <f>[2]Urban_area_finals!AE43/[2]Urban_area_finals!$G43</f>
        <v>1.3884771273698165E-3</v>
      </c>
      <c r="AF135" s="1">
        <f>[2]Urban_area_finals!AF43/[2]Urban_area_finals!$G43</f>
        <v>1.4403206965104799E-3</v>
      </c>
      <c r="AG135" s="1">
        <f>[2]Urban_area_finals!AG43/[2]Urban_area_finals!$G43</f>
        <v>1.4755477370804178E-3</v>
      </c>
      <c r="AH135" s="1">
        <f>[2]Urban_area_finals!AH43/[2]Urban_area_finals!$G43</f>
        <v>1.5247326616497649E-3</v>
      </c>
      <c r="AI135" s="1">
        <f>[2]Urban_area_finals!AI43/[2]Urban_area_finals!$G43</f>
        <v>1.56860029707648E-3</v>
      </c>
      <c r="AJ135" s="1">
        <f>[2]Urban_area_finals!AJ43/[2]Urban_area_finals!$G43</f>
        <v>1.6157912382173403E-3</v>
      </c>
      <c r="AK135" s="1">
        <f>[2]Urban_area_finals!AK43/[2]Urban_area_finals!$G43</f>
        <v>1.6756107410719518E-3</v>
      </c>
      <c r="AL135" s="1">
        <f>[2]Urban_area_finals!AL43/[2]Urban_area_finals!$G43</f>
        <v>1.8138602587803871E-3</v>
      </c>
      <c r="AM135" s="1">
        <f>[2]Urban_area_finals!AM43/[2]Urban_area_finals!$G43</f>
        <v>1.9142240913475688E-3</v>
      </c>
      <c r="AN135" s="1">
        <f>[2]Urban_area_finals!AN43/[2]Urban_area_finals!$G43</f>
        <v>1.9899954616300771E-3</v>
      </c>
      <c r="AO135" s="1">
        <f>[2]Urban_area_finals!AO43/[2]Urban_area_finals!$G43</f>
        <v>2.1548314250516734E-3</v>
      </c>
      <c r="AP135" s="1">
        <f>[2]Urban_area_finals!AP43/[2]Urban_area_finals!$G43</f>
        <v>2.3741696021852485E-3</v>
      </c>
      <c r="AQ135" s="1">
        <f>[2]Urban_area_finals!AQ43/[2]Urban_area_finals!$G43</f>
        <v>2.6513332987449486E-3</v>
      </c>
      <c r="AR135" s="1">
        <f>[2]Urban_area_finals!AR43/[2]Urban_area_finals!$G43</f>
        <v>2.9776819198739958E-3</v>
      </c>
      <c r="AS135" s="1">
        <f>[2]Urban_area_finals!AS43/[2]Urban_area_finals!$G43</f>
        <v>3.3964184398562768E-3</v>
      </c>
      <c r="AT135" s="1">
        <f>[2]Urban_area_finals!AT43/[2]Urban_area_finals!$G43</f>
        <v>3.4921296444236556E-3</v>
      </c>
      <c r="AU135" s="1">
        <f>[2]Urban_area_finals!AU43/[2]Urban_area_finals!$G43</f>
        <v>3.5806625086484802E-3</v>
      </c>
      <c r="AV135" s="1">
        <f>[2]Urban_area_finals!AV43/[2]Urban_area_finals!$G43</f>
        <v>3.7134618049857182E-3</v>
      </c>
      <c r="AW135" s="1">
        <f>[2]Urban_area_finals!AW43/[2]Urban_area_finals!$G43</f>
        <v>4.0730434832562164E-3</v>
      </c>
      <c r="AX135" s="1">
        <f>[2]Urban_area_finals!AX43/[2]Urban_area_finals!$G43</f>
        <v>4.5981257860911399E-3</v>
      </c>
      <c r="AY135" s="1">
        <f>[2]Urban_area_finals!AY43/[2]Urban_area_finals!$G43</f>
        <v>5.4814604449109029E-3</v>
      </c>
    </row>
    <row r="136" spans="1:51" x14ac:dyDescent="0.25">
      <c r="A136" t="s">
        <v>325</v>
      </c>
      <c r="B136" t="s">
        <v>326</v>
      </c>
      <c r="C136" t="s">
        <v>327</v>
      </c>
      <c r="D136" t="s">
        <v>139</v>
      </c>
      <c r="E136" t="s">
        <v>55</v>
      </c>
      <c r="F136" t="s">
        <v>140</v>
      </c>
      <c r="G136">
        <v>229872.37364238221</v>
      </c>
      <c r="H136">
        <v>366.97781576025022</v>
      </c>
      <c r="I136">
        <f>Table2[[#This Row],[FUA_area]]+Table2[[#This Row],[FUA_urban]]</f>
        <v>230239.35145814245</v>
      </c>
      <c r="J136">
        <v>7265649.0000000009</v>
      </c>
      <c r="K136" s="1">
        <f>[2]Urban_area_finals!K49/[2]Urban_area_finals!$G49</f>
        <v>1.1444870957451615E-4</v>
      </c>
      <c r="L136" s="1">
        <f>[2]Urban_area_finals!L49/[2]Urban_area_finals!$G49</f>
        <v>1.1444870957451615E-4</v>
      </c>
      <c r="M136" s="1">
        <f>[2]Urban_area_finals!M49/[2]Urban_area_finals!$G49</f>
        <v>1.1444870957451615E-4</v>
      </c>
      <c r="N136" s="1">
        <f>[2]Urban_area_finals!N49/[2]Urban_area_finals!$G49</f>
        <v>1.1444870957451615E-4</v>
      </c>
      <c r="O136" s="1">
        <f>[2]Urban_area_finals!O49/[2]Urban_area_finals!$G49</f>
        <v>1.1444870957451615E-4</v>
      </c>
      <c r="P136" s="1">
        <f>[2]Urban_area_finals!P49/[2]Urban_area_finals!$G49</f>
        <v>1.1444870957451615E-4</v>
      </c>
      <c r="Q136" s="1">
        <f>[2]Urban_area_finals!Q49/[2]Urban_area_finals!$G49</f>
        <v>1.1444870957451615E-4</v>
      </c>
      <c r="R136" s="1">
        <f>[2]Urban_area_finals!R49/[2]Urban_area_finals!$G49</f>
        <v>1.1444870957451615E-4</v>
      </c>
      <c r="S136" s="1">
        <f>[2]Urban_area_finals!S49/[2]Urban_area_finals!$G49</f>
        <v>1.1444870957451615E-4</v>
      </c>
      <c r="T136" s="1">
        <f>[2]Urban_area_finals!T49/[2]Urban_area_finals!$G49</f>
        <v>1.4085995024555836E-4</v>
      </c>
      <c r="U136" s="1">
        <f>[2]Urban_area_finals!U49/[2]Urban_area_finals!$G49</f>
        <v>2.0248617847799013E-4</v>
      </c>
      <c r="V136" s="1">
        <f>[2]Urban_area_finals!V49/[2]Urban_area_finals!$G49</f>
        <v>2.641124067104219E-4</v>
      </c>
      <c r="W136" s="1">
        <f>[2]Urban_area_finals!W49/[2]Urban_area_finals!$G49</f>
        <v>4.0497235695598026E-4</v>
      </c>
      <c r="X136" s="1">
        <f>[2]Urban_area_finals!X49/[2]Urban_area_finals!$G49</f>
        <v>4.7540233207875944E-4</v>
      </c>
      <c r="Y136" s="1">
        <f>[2]Urban_area_finals!Y49/[2]Urban_area_finals!$G49</f>
        <v>5.0181357274980162E-4</v>
      </c>
      <c r="Z136" s="1">
        <f>[2]Urban_area_finals!Z49/[2]Urban_area_finals!$G49</f>
        <v>6.2506602921466516E-4</v>
      </c>
      <c r="AA136" s="1">
        <f>[2]Urban_area_finals!AA49/[2]Urban_area_finals!$G49</f>
        <v>6.5147726988570734E-4</v>
      </c>
      <c r="AB136" s="1">
        <f>[2]Urban_area_finals!AB49/[2]Urban_area_finals!$G49</f>
        <v>6.602810167760548E-4</v>
      </c>
      <c r="AC136" s="1">
        <f>[2]Urban_area_finals!AC49/[2]Urban_area_finals!$G49</f>
        <v>6.6908476366640216E-4</v>
      </c>
      <c r="AD136" s="1">
        <f>[2]Urban_area_finals!AD49/[2]Urban_area_finals!$G49</f>
        <v>6.8669225744709698E-4</v>
      </c>
      <c r="AE136" s="1">
        <f>[2]Urban_area_finals!AE49/[2]Urban_area_finals!$G49</f>
        <v>7.2190724500848663E-4</v>
      </c>
      <c r="AF136" s="1">
        <f>[2]Urban_area_finals!AF49/[2]Urban_area_finals!$G49</f>
        <v>7.3951473878918134E-4</v>
      </c>
      <c r="AG136" s="1">
        <f>[2]Urban_area_finals!AG49/[2]Urban_area_finals!$G49</f>
        <v>7.8353347324091834E-4</v>
      </c>
      <c r="AH136" s="1">
        <f>[2]Urban_area_finals!AH49/[2]Urban_area_finals!$G49</f>
        <v>8.803746890347397E-4</v>
      </c>
      <c r="AI136" s="1">
        <f>[2]Urban_area_finals!AI49/[2]Urban_area_finals!$G49</f>
        <v>9.5960841104786635E-4</v>
      </c>
      <c r="AJ136" s="1">
        <f>[2]Urban_area_finals!AJ49/[2]Urban_area_finals!$G49</f>
        <v>1.0564496268416876E-3</v>
      </c>
      <c r="AK136" s="1">
        <f>[2]Urban_area_finals!AK49/[2]Urban_area_finals!$G49</f>
        <v>1.1620945895258563E-3</v>
      </c>
      <c r="AL136" s="1">
        <f>[2]Urban_area_finals!AL49/[2]Urban_area_finals!$G49</f>
        <v>1.2941507928810674E-3</v>
      </c>
      <c r="AM136" s="1">
        <f>[2]Urban_area_finals!AM49/[2]Urban_area_finals!$G49</f>
        <v>1.3645807680038465E-3</v>
      </c>
      <c r="AN136" s="1">
        <f>[2]Urban_area_finals!AN49/[2]Urban_area_finals!$G49</f>
        <v>1.373384514894194E-3</v>
      </c>
      <c r="AO136" s="1">
        <f>[2]Urban_area_finals!AO49/[2]Urban_area_finals!$G49</f>
        <v>1.4438144900169733E-3</v>
      </c>
      <c r="AP136" s="1">
        <f>[2]Urban_area_finals!AP49/[2]Urban_area_finals!$G49</f>
        <v>1.707926896727395E-3</v>
      </c>
      <c r="AQ136" s="1">
        <f>[2]Urban_area_finals!AQ49/[2]Urban_area_finals!$G49</f>
        <v>1.9280205689860799E-3</v>
      </c>
      <c r="AR136" s="1">
        <f>[2]Urban_area_finals!AR49/[2]Urban_area_finals!$G49</f>
        <v>2.2361517101482393E-3</v>
      </c>
      <c r="AS136" s="1">
        <f>[2]Urban_area_finals!AS49/[2]Urban_area_finals!$G49</f>
        <v>2.5618903450910922E-3</v>
      </c>
      <c r="AT136" s="1">
        <f>[2]Urban_area_finals!AT49/[2]Urban_area_finals!$G49</f>
        <v>2.729161536007693E-3</v>
      </c>
      <c r="AU136" s="1">
        <f>[2]Urban_area_finals!AU49/[2]Urban_area_finals!$G49</f>
        <v>2.8629784887409734E-3</v>
      </c>
      <c r="AV136" s="1">
        <f>[2]Urban_area_finals!AV49/[2]Urban_area_finals!$G49</f>
        <v>3.0637039178408937E-3</v>
      </c>
      <c r="AW136" s="1">
        <f>[2]Urban_area_finals!AW49/[2]Urban_area_finals!$G49</f>
        <v>3.5214987561389588E-3</v>
      </c>
      <c r="AX136" s="1">
        <f>[2]Urban_area_finals!AX49/[2]Urban_area_finals!$G49</f>
        <v>4.1905835198053614E-3</v>
      </c>
      <c r="AY136" s="1">
        <f>[2]Urban_area_finals!AY49/[2]Urban_area_finals!$G49</f>
        <v>5.2998556279891329E-3</v>
      </c>
    </row>
    <row r="137" spans="1:51" x14ac:dyDescent="0.25">
      <c r="A137" t="s">
        <v>235</v>
      </c>
      <c r="B137" t="s">
        <v>236</v>
      </c>
      <c r="C137" t="s">
        <v>237</v>
      </c>
      <c r="D137" t="s">
        <v>81</v>
      </c>
      <c r="E137" t="s">
        <v>66</v>
      </c>
      <c r="F137" t="s">
        <v>82</v>
      </c>
      <c r="G137">
        <v>69844.613396934263</v>
      </c>
      <c r="H137">
        <v>501.60744012447429</v>
      </c>
      <c r="I137">
        <f>Table2[[#This Row],[FUA_area]]+Table2[[#This Row],[FUA_urban]]</f>
        <v>70346.220837058732</v>
      </c>
      <c r="J137">
        <v>3769183</v>
      </c>
      <c r="K137" s="1">
        <f>[2]Urban_area_finals!K2/[2]Urban_area_finals!$G2</f>
        <v>2.0478438220957536E-4</v>
      </c>
      <c r="L137" s="1">
        <f>[2]Urban_area_finals!L2/[2]Urban_area_finals!$G2</f>
        <v>2.2149144327101254E-4</v>
      </c>
      <c r="M137" s="1">
        <f>[2]Urban_area_finals!M2/[2]Urban_area_finals!$G2</f>
        <v>2.3863512674230508E-4</v>
      </c>
      <c r="N137" s="1">
        <f>[2]Urban_area_finals!N2/[2]Urban_area_finals!$G2</f>
        <v>2.6433769936810652E-4</v>
      </c>
      <c r="O137" s="1">
        <f>[2]Urban_area_finals!O2/[2]Urban_area_finals!$G2</f>
        <v>2.9312701284309314E-4</v>
      </c>
      <c r="P137" s="1">
        <f>[2]Urban_area_finals!P2/[2]Urban_area_finals!$G2</f>
        <v>3.0458794024154916E-4</v>
      </c>
      <c r="Q137" s="1">
        <f>[2]Urban_area_finals!Q2/[2]Urban_area_finals!$G2</f>
        <v>3.2019610850782981E-4</v>
      </c>
      <c r="R137" s="1">
        <f>[2]Urban_area_finals!R2/[2]Urban_area_finals!$G2</f>
        <v>3.3812242951531985E-4</v>
      </c>
      <c r="S137" s="1">
        <f>[2]Urban_area_finals!S2/[2]Urban_area_finals!$G2</f>
        <v>3.9585566958551792E-4</v>
      </c>
      <c r="T137" s="1">
        <f>[2]Urban_area_finals!T2/[2]Urban_area_finals!$G2</f>
        <v>4.532786681464507E-4</v>
      </c>
      <c r="U137" s="1">
        <f>[2]Urban_area_finals!U2/[2]Urban_area_finals!$G2</f>
        <v>5.5477850118022722E-4</v>
      </c>
      <c r="V137" s="1">
        <f>[2]Urban_area_finals!V2/[2]Urban_area_finals!$G2</f>
        <v>7.2501610622679904E-4</v>
      </c>
      <c r="W137" s="1">
        <f>[2]Urban_area_finals!W2/[2]Urban_area_finals!$G2</f>
        <v>8.9795285403595625E-4</v>
      </c>
      <c r="X137" s="1">
        <f>[2]Urban_area_finals!X2/[2]Urban_area_finals!$G2</f>
        <v>9.4695518902574599E-4</v>
      </c>
      <c r="Y137" s="1">
        <f>[2]Urban_area_finals!Y2/[2]Urban_area_finals!$G2</f>
        <v>1.0955649742255364E-3</v>
      </c>
      <c r="Z137" s="1">
        <f>[2]Urban_area_finals!Z2/[2]Urban_area_finals!$G2</f>
        <v>1.3190650947180547E-3</v>
      </c>
      <c r="AA137" s="1">
        <f>[2]Urban_area_finals!AA2/[2]Urban_area_finals!$G2</f>
        <v>1.3878559087702317E-3</v>
      </c>
      <c r="AB137" s="1">
        <f>[2]Urban_area_finals!AB2/[2]Urban_area_finals!$G2</f>
        <v>1.4301626657292658E-3</v>
      </c>
      <c r="AC137" s="1">
        <f>[2]Urban_area_finals!AC2/[2]Urban_area_finals!$G2</f>
        <v>1.4524072255206282E-3</v>
      </c>
      <c r="AD137" s="1">
        <f>[2]Urban_area_finals!AD2/[2]Urban_area_finals!$G2</f>
        <v>1.4945956771385562E-3</v>
      </c>
      <c r="AE137" s="1">
        <f>[2]Urban_area_finals!AE2/[2]Urban_area_finals!$G2</f>
        <v>1.5228322830706748E-3</v>
      </c>
      <c r="AF137" s="1">
        <f>[2]Urban_area_finals!AF2/[2]Urban_area_finals!$G2</f>
        <v>1.549895999937426E-3</v>
      </c>
      <c r="AG137" s="1">
        <f>[2]Urban_area_finals!AG2/[2]Urban_area_finals!$G2</f>
        <v>1.5793012688360513E-3</v>
      </c>
      <c r="AH137" s="1">
        <f>[2]Urban_area_finals!AH2/[2]Urban_area_finals!$G2</f>
        <v>1.6111880893377843E-3</v>
      </c>
      <c r="AI137" s="1">
        <f>[2]Urban_area_finals!AI2/[2]Urban_area_finals!$G2</f>
        <v>1.6453444720887832E-3</v>
      </c>
      <c r="AJ137" s="1">
        <f>[2]Urban_area_finals!AJ2/[2]Urban_area_finals!$G2</f>
        <v>1.6934900913941524E-3</v>
      </c>
      <c r="AK137" s="1">
        <f>[2]Urban_area_finals!AK2/[2]Urban_area_finals!$G2</f>
        <v>1.7275831394469941E-3</v>
      </c>
      <c r="AL137" s="1">
        <f>[2]Urban_area_finals!AL2/[2]Urban_area_finals!$G2</f>
        <v>1.7628238525919167E-3</v>
      </c>
      <c r="AM137" s="1">
        <f>[2]Urban_area_finals!AM2/[2]Urban_area_finals!$G2</f>
        <v>1.8347373710855455E-3</v>
      </c>
      <c r="AN137" s="1">
        <f>[2]Urban_area_finals!AN2/[2]Urban_area_finals!$G2</f>
        <v>1.9013055494479431E-3</v>
      </c>
      <c r="AO137" s="1">
        <f>[2]Urban_area_finals!AO2/[2]Urban_area_finals!$G2</f>
        <v>1.9629495852818012E-3</v>
      </c>
      <c r="AP137" s="1">
        <f>[2]Urban_area_finals!AP2/[2]Urban_area_finals!$G2</f>
        <v>2.1117390868135902E-3</v>
      </c>
      <c r="AQ137" s="1">
        <f>[2]Urban_area_finals!AQ2/[2]Urban_area_finals!$G2</f>
        <v>2.2903955865620912E-3</v>
      </c>
      <c r="AR137" s="1">
        <f>[2]Urban_area_finals!AR2/[2]Urban_area_finals!$G2</f>
        <v>2.4968110885355997E-3</v>
      </c>
      <c r="AS137" s="1">
        <f>[2]Urban_area_finals!AS2/[2]Urban_area_finals!$G2</f>
        <v>2.6703050758393929E-3</v>
      </c>
      <c r="AT137" s="1">
        <f>[2]Urban_area_finals!AT2/[2]Urban_area_finals!$G2</f>
        <v>2.8449290924898274E-3</v>
      </c>
      <c r="AU137" s="1">
        <f>[2]Urban_area_finals!AU2/[2]Urban_area_finals!$G2</f>
        <v>2.9780003755367061E-3</v>
      </c>
      <c r="AV137" s="1">
        <f>[2]Urban_area_finals!AV2/[2]Urban_area_finals!$G2</f>
        <v>3.1776073001070237E-3</v>
      </c>
      <c r="AW137" s="1">
        <f>[2]Urban_area_finals!AW2/[2]Urban_area_finals!$G2</f>
        <v>3.605677947729946E-3</v>
      </c>
      <c r="AX137" s="1">
        <f>[2]Urban_area_finals!AX2/[2]Urban_area_finals!$G2</f>
        <v>4.2073673832525842E-3</v>
      </c>
      <c r="AY137" s="1">
        <f>[2]Urban_area_finals!AY2/[2]Urban_area_finals!$G2</f>
        <v>5.2445992577278121E-3</v>
      </c>
    </row>
    <row r="138" spans="1:51" x14ac:dyDescent="0.25">
      <c r="A138" t="s">
        <v>340</v>
      </c>
      <c r="B138" t="s">
        <v>341</v>
      </c>
      <c r="C138" t="s">
        <v>342</v>
      </c>
      <c r="D138" t="s">
        <v>60</v>
      </c>
      <c r="E138" t="s">
        <v>61</v>
      </c>
      <c r="F138" t="s">
        <v>61</v>
      </c>
      <c r="G138">
        <v>30545.27500694021</v>
      </c>
      <c r="H138" t="e">
        <v>#N/A</v>
      </c>
      <c r="I138" t="e">
        <f>Table2[[#This Row],[FUA_area]]+Table2[[#This Row],[FUA_urban]]</f>
        <v>#N/A</v>
      </c>
      <c r="J138">
        <v>2239604</v>
      </c>
      <c r="K138" s="1">
        <f>[2]Urban_area_finals!K102/[2]Urban_area_finals!$G102</f>
        <v>2.619585357039617E-5</v>
      </c>
      <c r="L138" s="1">
        <f>[2]Urban_area_finals!L102/[2]Urban_area_finals!$G102</f>
        <v>2.619585357039617E-5</v>
      </c>
      <c r="M138" s="1">
        <f>[2]Urban_area_finals!M102/[2]Urban_area_finals!$G102</f>
        <v>2.619585357039617E-5</v>
      </c>
      <c r="N138" s="1">
        <f>[2]Urban_area_finals!N102/[2]Urban_area_finals!$G102</f>
        <v>2.619585357039617E-5</v>
      </c>
      <c r="O138" s="1">
        <f>[2]Urban_area_finals!O102/[2]Urban_area_finals!$G102</f>
        <v>2.619585357039617E-5</v>
      </c>
      <c r="P138" s="1">
        <f>[2]Urban_area_finals!P102/[2]Urban_area_finals!$G102</f>
        <v>2.619585357039617E-5</v>
      </c>
      <c r="Q138" s="1">
        <f>[2]Urban_area_finals!Q102/[2]Urban_area_finals!$G102</f>
        <v>2.619585357039617E-5</v>
      </c>
      <c r="R138" s="1">
        <f>[2]Urban_area_finals!R102/[2]Urban_area_finals!$G102</f>
        <v>2.619585357039617E-5</v>
      </c>
      <c r="S138" s="1">
        <f>[2]Urban_area_finals!S102/[2]Urban_area_finals!$G102</f>
        <v>2.619585357039617E-5</v>
      </c>
      <c r="T138" s="1">
        <f>[2]Urban_area_finals!T102/[2]Urban_area_finals!$G102</f>
        <v>3.0561829165462196E-5</v>
      </c>
      <c r="U138" s="1">
        <f>[2]Urban_area_finals!U102/[2]Urban_area_finals!$G102</f>
        <v>4.3659755950660275E-5</v>
      </c>
      <c r="V138" s="1">
        <f>[2]Urban_area_finals!V102/[2]Urban_area_finals!$G102</f>
        <v>1.0041743868651864E-4</v>
      </c>
      <c r="W138" s="1">
        <f>[2]Urban_area_finals!W102/[2]Urban_area_finals!$G102</f>
        <v>1.4844317023224494E-4</v>
      </c>
      <c r="X138" s="1">
        <f>[2]Urban_area_finals!X102/[2]Urban_area_finals!$G102</f>
        <v>1.7900499939770716E-4</v>
      </c>
      <c r="Y138" s="1">
        <f>[2]Urban_area_finals!Y102/[2]Urban_area_finals!$G102</f>
        <v>2.2266475534836743E-4</v>
      </c>
      <c r="Z138" s="1">
        <f>[2]Urban_area_finals!Z102/[2]Urban_area_finals!$G102</f>
        <v>2.6632451129902771E-4</v>
      </c>
      <c r="AA138" s="1">
        <f>[2]Urban_area_finals!AA102/[2]Urban_area_finals!$G102</f>
        <v>2.706904868940937E-4</v>
      </c>
      <c r="AB138" s="1">
        <f>[2]Urban_area_finals!AB102/[2]Urban_area_finals!$G102</f>
        <v>2.7942243808422578E-4</v>
      </c>
      <c r="AC138" s="1">
        <f>[2]Urban_area_finals!AC102/[2]Urban_area_finals!$G102</f>
        <v>2.7942243808422578E-4</v>
      </c>
      <c r="AD138" s="1">
        <f>[2]Urban_area_finals!AD102/[2]Urban_area_finals!$G102</f>
        <v>2.7942243808422578E-4</v>
      </c>
      <c r="AE138" s="1">
        <f>[2]Urban_area_finals!AE102/[2]Urban_area_finals!$G102</f>
        <v>3.09984267249688E-4</v>
      </c>
      <c r="AF138" s="1">
        <f>[2]Urban_area_finals!AF102/[2]Urban_area_finals!$G102</f>
        <v>3.3181414522501815E-4</v>
      </c>
      <c r="AG138" s="1">
        <f>[2]Urban_area_finals!AG102/[2]Urban_area_finals!$G102</f>
        <v>6.2870048568950797E-4</v>
      </c>
      <c r="AH138" s="1">
        <f>[2]Urban_area_finals!AH102/[2]Urban_area_finals!$G102</f>
        <v>6.592623148549702E-4</v>
      </c>
      <c r="AI138" s="1">
        <f>[2]Urban_area_finals!AI102/[2]Urban_area_finals!$G102</f>
        <v>6.7236024164016826E-4</v>
      </c>
      <c r="AJ138" s="1">
        <f>[2]Urban_area_finals!AJ102/[2]Urban_area_finals!$G102</f>
        <v>7.6841170473162092E-4</v>
      </c>
      <c r="AK138" s="1">
        <f>[2]Urban_area_finals!AK102/[2]Urban_area_finals!$G102</f>
        <v>8.1643743627734719E-4</v>
      </c>
      <c r="AL138" s="1">
        <f>[2]Urban_area_finals!AL102/[2]Urban_area_finals!$G102</f>
        <v>8.9939097258360189E-4</v>
      </c>
      <c r="AM138" s="1">
        <f>[2]Urban_area_finals!AM102/[2]Urban_area_finals!$G102</f>
        <v>9.8234450888985648E-4</v>
      </c>
      <c r="AN138" s="1">
        <f>[2]Urban_area_finals!AN102/[2]Urban_area_finals!$G102</f>
        <v>1.0216382892454506E-3</v>
      </c>
      <c r="AO138" s="1">
        <f>[2]Urban_area_finals!AO102/[2]Urban_area_finals!$G102</f>
        <v>1.1875453618579595E-3</v>
      </c>
      <c r="AP138" s="1">
        <f>[2]Urban_area_finals!AP102/[2]Urban_area_finals!$G102</f>
        <v>1.5280914582731099E-3</v>
      </c>
      <c r="AQ138" s="1">
        <f>[2]Urban_area_finals!AQ102/[2]Urban_area_finals!$G102</f>
        <v>1.6590707261250907E-3</v>
      </c>
      <c r="AR138" s="1">
        <f>[2]Urban_area_finals!AR102/[2]Urban_area_finals!$G102</f>
        <v>1.86863755468826E-3</v>
      </c>
      <c r="AS138" s="1">
        <f>[2]Urban_area_finals!AS102/[2]Urban_area_finals!$G102</f>
        <v>2.1044002368218254E-3</v>
      </c>
      <c r="AT138" s="1">
        <f>[2]Urban_area_finals!AT102/[2]Urban_area_finals!$G102</f>
        <v>2.2004516999132779E-3</v>
      </c>
      <c r="AU138" s="1">
        <f>[2]Urban_area_finals!AU102/[2]Urban_area_finals!$G102</f>
        <v>2.3174598458610474E-3</v>
      </c>
      <c r="AV138" s="1">
        <f>[2]Urban_area_finals!AV102/[2]Urban_area_finals!$G102</f>
        <v>2.4929720647827018E-3</v>
      </c>
      <c r="AW138" s="1">
        <f>[2]Urban_area_finals!AW102/[2]Urban_area_finals!$G102</f>
        <v>2.9688634046448992E-3</v>
      </c>
      <c r="AX138" s="1">
        <f>[2]Urban_area_finals!AX102/[2]Urban_area_finals!$G102</f>
        <v>3.8071307188975766E-3</v>
      </c>
      <c r="AY138" s="1">
        <f>[2]Urban_area_finals!AY102/[2]Urban_area_finals!$G102</f>
        <v>5.2348047384841679E-3</v>
      </c>
    </row>
    <row r="139" spans="1:51" x14ac:dyDescent="0.25">
      <c r="A139" t="s">
        <v>180</v>
      </c>
      <c r="B139" t="s">
        <v>181</v>
      </c>
      <c r="C139" t="s">
        <v>182</v>
      </c>
      <c r="D139" t="s">
        <v>121</v>
      </c>
      <c r="E139" t="s">
        <v>76</v>
      </c>
      <c r="F139" t="s">
        <v>77</v>
      </c>
      <c r="G139">
        <v>110730.652216514</v>
      </c>
      <c r="H139">
        <v>2365.6029227453951</v>
      </c>
      <c r="I139">
        <f>Table2[[#This Row],[FUA_area]]+Table2[[#This Row],[FUA_urban]]</f>
        <v>113096.2551392594</v>
      </c>
      <c r="K139" s="1">
        <f>[2]Urban_area_finals!K153/[2]Urban_area_finals!$G153</f>
        <v>8.3569317601301093E-5</v>
      </c>
      <c r="L139" s="1">
        <f>[2]Urban_area_finals!L153/[2]Urban_area_finals!$G153</f>
        <v>8.3569317601301093E-5</v>
      </c>
      <c r="M139" s="1">
        <f>[2]Urban_area_finals!M153/[2]Urban_area_finals!$G153</f>
        <v>8.3569317601301093E-5</v>
      </c>
      <c r="N139" s="1">
        <f>[2]Urban_area_finals!N153/[2]Urban_area_finals!$G153</f>
        <v>8.3569317601301093E-5</v>
      </c>
      <c r="O139" s="1">
        <f>[2]Urban_area_finals!O153/[2]Urban_area_finals!$G153</f>
        <v>8.3569317601301093E-5</v>
      </c>
      <c r="P139" s="1">
        <f>[2]Urban_area_finals!P153/[2]Urban_area_finals!$G153</f>
        <v>8.3569317601301093E-5</v>
      </c>
      <c r="Q139" s="1">
        <f>[2]Urban_area_finals!Q153/[2]Urban_area_finals!$G153</f>
        <v>8.3569317601301093E-5</v>
      </c>
      <c r="R139" s="1">
        <f>[2]Urban_area_finals!R153/[2]Urban_area_finals!$G153</f>
        <v>8.3569317601301093E-5</v>
      </c>
      <c r="S139" s="1">
        <f>[2]Urban_area_finals!S153/[2]Urban_area_finals!$G153</f>
        <v>1.0214027706825688E-4</v>
      </c>
      <c r="T139" s="1">
        <f>[2]Urban_area_finals!T153/[2]Urban_area_finals!$G153</f>
        <v>1.3928219600216847E-4</v>
      </c>
      <c r="U139" s="1">
        <f>[2]Urban_area_finals!U153/[2]Urban_area_finals!$G153</f>
        <v>2.3213699333694745E-4</v>
      </c>
      <c r="V139" s="1">
        <f>[2]Urban_area_finals!V153/[2]Urban_area_finals!$G153</f>
        <v>5.107013853412844E-4</v>
      </c>
      <c r="W139" s="1">
        <f>[2]Urban_area_finals!W153/[2]Urban_area_finals!$G153</f>
        <v>8.1712221654605505E-4</v>
      </c>
      <c r="X139" s="1">
        <f>[2]Urban_area_finals!X153/[2]Urban_area_finals!$G153</f>
        <v>9.4711893281474563E-4</v>
      </c>
      <c r="Y139" s="1">
        <f>[2]Urban_area_finals!Y153/[2]Urban_area_finals!$G153</f>
        <v>1.1235430477508257E-3</v>
      </c>
      <c r="Z139" s="1">
        <f>[2]Urban_area_finals!Z153/[2]Urban_area_finals!$G153</f>
        <v>1.3928219600216848E-3</v>
      </c>
      <c r="AA139" s="1">
        <f>[2]Urban_area_finals!AA153/[2]Urban_area_finals!$G153</f>
        <v>1.4578203181560298E-3</v>
      </c>
      <c r="AB139" s="1">
        <f>[2]Urban_area_finals!AB153/[2]Urban_area_finals!$G153</f>
        <v>1.4671057978895077E-3</v>
      </c>
      <c r="AC139" s="1">
        <f>[2]Urban_area_finals!AC153/[2]Urban_area_finals!$G153</f>
        <v>1.5135331965568973E-3</v>
      </c>
      <c r="AD139" s="1">
        <f>[2]Urban_area_finals!AD153/[2]Urban_area_finals!$G153</f>
        <v>1.5506751154908088E-3</v>
      </c>
      <c r="AE139" s="1">
        <f>[2]Urban_area_finals!AE153/[2]Urban_area_finals!$G153</f>
        <v>1.5785315546912426E-3</v>
      </c>
      <c r="AF139" s="1">
        <f>[2]Urban_area_finals!AF153/[2]Urban_area_finals!$G153</f>
        <v>1.5785315546912426E-3</v>
      </c>
      <c r="AG139" s="1">
        <f>[2]Urban_area_finals!AG153/[2]Urban_area_finals!$G153</f>
        <v>1.5785315546912426E-3</v>
      </c>
      <c r="AH139" s="1">
        <f>[2]Urban_area_finals!AH153/[2]Urban_area_finals!$G153</f>
        <v>1.5878170344247207E-3</v>
      </c>
      <c r="AI139" s="1">
        <f>[2]Urban_area_finals!AI153/[2]Urban_area_finals!$G153</f>
        <v>1.5878170344247207E-3</v>
      </c>
      <c r="AJ139" s="1">
        <f>[2]Urban_area_finals!AJ153/[2]Urban_area_finals!$G153</f>
        <v>1.643529912825588E-3</v>
      </c>
      <c r="AK139" s="1">
        <f>[2]Urban_area_finals!AK153/[2]Urban_area_finals!$G153</f>
        <v>1.652815392559066E-3</v>
      </c>
      <c r="AL139" s="1">
        <f>[2]Urban_area_finals!AL153/[2]Urban_area_finals!$G153</f>
        <v>1.6621008722925439E-3</v>
      </c>
      <c r="AM139" s="1">
        <f>[2]Urban_area_finals!AM153/[2]Urban_area_finals!$G153</f>
        <v>1.7270992304268889E-3</v>
      </c>
      <c r="AN139" s="1">
        <f>[2]Urban_area_finals!AN153/[2]Urban_area_finals!$G153</f>
        <v>1.7642411493608006E-3</v>
      </c>
      <c r="AO139" s="1">
        <f>[2]Urban_area_finals!AO153/[2]Urban_area_finals!$G153</f>
        <v>1.7735266290942785E-3</v>
      </c>
      <c r="AP139" s="1">
        <f>[2]Urban_area_finals!AP153/[2]Urban_area_finals!$G153</f>
        <v>1.8942378656294913E-3</v>
      </c>
      <c r="AQ139" s="1">
        <f>[2]Urban_area_finals!AQ153/[2]Urban_area_finals!$G153</f>
        <v>2.0985184197660047E-3</v>
      </c>
      <c r="AR139" s="1">
        <f>[2]Urban_area_finals!AR153/[2]Urban_area_finals!$G153</f>
        <v>2.3770828117703419E-3</v>
      </c>
      <c r="AS139" s="1">
        <f>[2]Urban_area_finals!AS153/[2]Urban_area_finals!$G153</f>
        <v>2.7020746024420681E-3</v>
      </c>
      <c r="AT139" s="1">
        <f>[2]Urban_area_finals!AT153/[2]Urban_area_finals!$G153</f>
        <v>2.9713535147129272E-3</v>
      </c>
      <c r="AU139" s="1">
        <f>[2]Urban_area_finals!AU153/[2]Urban_area_finals!$G153</f>
        <v>3.1942050283163968E-3</v>
      </c>
      <c r="AV139" s="1">
        <f>[2]Urban_area_finals!AV153/[2]Urban_area_finals!$G153</f>
        <v>3.5284822987216012E-3</v>
      </c>
      <c r="AW139" s="1">
        <f>[2]Urban_area_finals!AW153/[2]Urban_area_finals!$G153</f>
        <v>4.1041820421972306E-3</v>
      </c>
      <c r="AX139" s="1">
        <f>[2]Urban_area_finals!AX153/[2]Urban_area_finals!$G153</f>
        <v>4.6520253464724269E-3</v>
      </c>
      <c r="AY139" s="1">
        <f>[2]Urban_area_finals!AY153/[2]Urban_area_finals!$G153</f>
        <v>5.2091541304811004E-3</v>
      </c>
    </row>
    <row r="140" spans="1:51" x14ac:dyDescent="0.25">
      <c r="A140" t="s">
        <v>451</v>
      </c>
      <c r="B140" t="s">
        <v>452</v>
      </c>
      <c r="C140" t="s">
        <v>453</v>
      </c>
      <c r="D140" t="s">
        <v>70</v>
      </c>
      <c r="E140" t="s">
        <v>71</v>
      </c>
      <c r="F140" t="s">
        <v>70</v>
      </c>
      <c r="G140">
        <v>6219.961442007324</v>
      </c>
      <c r="H140">
        <v>1223.314474775804</v>
      </c>
      <c r="I140">
        <f>Table2[[#This Row],[FUA_area]]+Table2[[#This Row],[FUA_urban]]</f>
        <v>7443.2759167831282</v>
      </c>
      <c r="K140" s="1">
        <f>[2]Urban_area_finals!K149/[2]Urban_area_finals!$G149</f>
        <v>5.4579686050179835E-5</v>
      </c>
      <c r="L140" s="1">
        <f>[2]Urban_area_finals!L149/[2]Urban_area_finals!$G149</f>
        <v>6.0817364455914664E-5</v>
      </c>
      <c r="M140" s="1">
        <f>[2]Urban_area_finals!M149/[2]Urban_area_finals!$G149</f>
        <v>7.1733301665950628E-5</v>
      </c>
      <c r="N140" s="1">
        <f>[2]Urban_area_finals!N149/[2]Urban_area_finals!$G149</f>
        <v>8.8886917281721435E-5</v>
      </c>
      <c r="O140" s="1">
        <f>[2]Urban_area_finals!O149/[2]Urban_area_finals!$G149</f>
        <v>1.0915937210035967E-4</v>
      </c>
      <c r="P140" s="1">
        <f>[2]Urban_area_finals!P149/[2]Urban_area_finals!$G149</f>
        <v>1.153970505060945E-4</v>
      </c>
      <c r="Q140" s="1">
        <f>[2]Urban_area_finals!Q149/[2]Urban_area_finals!$G149</f>
        <v>1.2163472891182933E-4</v>
      </c>
      <c r="R140" s="1">
        <f>[2]Urban_area_finals!R149/[2]Urban_area_finals!$G149</f>
        <v>1.2943182691899788E-4</v>
      </c>
      <c r="S140" s="1">
        <f>[2]Urban_area_finals!S149/[2]Urban_area_finals!$G149</f>
        <v>1.3878834452760015E-4</v>
      </c>
      <c r="T140" s="1">
        <f>[2]Urban_area_finals!T149/[2]Urban_area_finals!$G149</f>
        <v>1.8713035217204511E-4</v>
      </c>
      <c r="U140" s="1">
        <f>[2]Urban_area_finals!U149/[2]Urban_area_finals!$G149</f>
        <v>2.6977959104803169E-4</v>
      </c>
      <c r="V140" s="1">
        <f>[2]Urban_area_finals!V149/[2]Urban_area_finals!$G149</f>
        <v>3.5710708872831951E-4</v>
      </c>
      <c r="W140" s="1">
        <f>[2]Urban_area_finals!W149/[2]Urban_area_finals!$G149</f>
        <v>4.4443458640860723E-4</v>
      </c>
      <c r="X140" s="1">
        <f>[2]Urban_area_finals!X149/[2]Urban_area_finals!$G149</f>
        <v>4.6938530003154649E-4</v>
      </c>
      <c r="Y140" s="1">
        <f>[2]Urban_area_finals!Y149/[2]Urban_area_finals!$G149</f>
        <v>5.0525195086452185E-4</v>
      </c>
      <c r="Z140" s="1">
        <f>[2]Urban_area_finals!Z149/[2]Urban_area_finals!$G149</f>
        <v>5.6139105651613536E-4</v>
      </c>
      <c r="AA140" s="1">
        <f>[2]Urban_area_finals!AA149/[2]Urban_area_finals!$G149</f>
        <v>5.8946060934194212E-4</v>
      </c>
      <c r="AB140" s="1">
        <f>[2]Urban_area_finals!AB149/[2]Urban_area_finals!$G149</f>
        <v>6.2376784057348376E-4</v>
      </c>
      <c r="AC140" s="1">
        <f>[2]Urban_area_finals!AC149/[2]Urban_area_finals!$G149</f>
        <v>6.3312435818208598E-4</v>
      </c>
      <c r="AD140" s="1">
        <f>[2]Urban_area_finals!AD149/[2]Urban_area_finals!$G149</f>
        <v>6.6275333060932646E-4</v>
      </c>
      <c r="AE140" s="1">
        <f>[2]Urban_area_finals!AE149/[2]Urban_area_finals!$G149</f>
        <v>6.8770404423226588E-4</v>
      </c>
      <c r="AF140" s="1">
        <f>[2]Urban_area_finals!AF149/[2]Urban_area_finals!$G149</f>
        <v>7.0017940104373543E-4</v>
      </c>
      <c r="AG140" s="1">
        <f>[2]Urban_area_finals!AG149/[2]Urban_area_finals!$G149</f>
        <v>7.1109533825377148E-4</v>
      </c>
      <c r="AH140" s="1">
        <f>[2]Urban_area_finals!AH149/[2]Urban_area_finals!$G149</f>
        <v>7.4384314988387929E-4</v>
      </c>
      <c r="AI140" s="1">
        <f>[2]Urban_area_finals!AI149/[2]Urban_area_finals!$G149</f>
        <v>7.6411560470251766E-4</v>
      </c>
      <c r="AJ140" s="1">
        <f>[2]Urban_area_finals!AJ149/[2]Urban_area_finals!$G149</f>
        <v>1.019860419337646E-3</v>
      </c>
      <c r="AK140" s="1">
        <f>[2]Urban_area_finals!AK149/[2]Urban_area_finals!$G149</f>
        <v>1.1336980502423067E-3</v>
      </c>
      <c r="AL140" s="1">
        <f>[2]Urban_area_finals!AL149/[2]Urban_area_finals!$G149</f>
        <v>1.191396575495354E-3</v>
      </c>
      <c r="AM140" s="1">
        <f>[2]Urban_area_finals!AM149/[2]Urban_area_finals!$G149</f>
        <v>1.2412980027412329E-3</v>
      </c>
      <c r="AN140" s="1">
        <f>[2]Urban_area_finals!AN149/[2]Urban_area_finals!$G149</f>
        <v>1.2709269751684734E-3</v>
      </c>
      <c r="AO140" s="1">
        <f>[2]Urban_area_finals!AO149/[2]Urban_area_finals!$G149</f>
        <v>1.3395414376315563E-3</v>
      </c>
      <c r="AP140" s="1">
        <f>[2]Urban_area_finals!AP149/[2]Urban_area_finals!$G149</f>
        <v>1.4970428173763609E-3</v>
      </c>
      <c r="AQ140" s="1">
        <f>[2]Urban_area_finals!AQ149/[2]Urban_area_finals!$G149</f>
        <v>1.7060050439684782E-3</v>
      </c>
      <c r="AR140" s="1">
        <f>[2]Urban_area_finals!AR149/[2]Urban_area_finals!$G149</f>
        <v>1.8728629413218849E-3</v>
      </c>
      <c r="AS140" s="1">
        <f>[2]Urban_area_finals!AS149/[2]Urban_area_finals!$G149</f>
        <v>1.9601904390021724E-3</v>
      </c>
      <c r="AT140" s="1">
        <f>[2]Urban_area_finals!AT149/[2]Urban_area_finals!$G149</f>
        <v>2.1535584695799529E-3</v>
      </c>
      <c r="AU140" s="1">
        <f>[2]Urban_area_finals!AU149/[2]Urban_area_finals!$G149</f>
        <v>2.333203607665116E-3</v>
      </c>
      <c r="AV140" s="1">
        <f>[2]Urban_area_finals!AV149/[2]Urban_area_finals!$G149</f>
        <v>2.602671314792861E-3</v>
      </c>
      <c r="AW140" s="1">
        <f>[2]Urban_area_finals!AW149/[2]Urban_area_finals!$G149</f>
        <v>3.1936913437362368E-3</v>
      </c>
      <c r="AX140" s="1">
        <f>[2]Urban_area_finals!AX149/[2]Urban_area_finals!$G149</f>
        <v>3.836172219526925E-3</v>
      </c>
      <c r="AY140" s="1">
        <f>[2]Urban_area_finals!AY149/[2]Urban_area_finals!$G149</f>
        <v>4.4614994797018432E-3</v>
      </c>
    </row>
    <row r="141" spans="1:51" x14ac:dyDescent="0.25">
      <c r="A141" t="s">
        <v>318</v>
      </c>
      <c r="B141" t="s">
        <v>319</v>
      </c>
      <c r="C141" t="s">
        <v>320</v>
      </c>
      <c r="D141" t="s">
        <v>321</v>
      </c>
      <c r="E141" t="s">
        <v>55</v>
      </c>
      <c r="F141" t="s">
        <v>161</v>
      </c>
      <c r="G141">
        <v>100537.626895119</v>
      </c>
      <c r="H141">
        <v>21601.814567150232</v>
      </c>
      <c r="I141">
        <f>Table2[[#This Row],[FUA_area]]+Table2[[#This Row],[FUA_urban]]</f>
        <v>122139.44146226923</v>
      </c>
      <c r="J141">
        <v>51858125</v>
      </c>
      <c r="K141" s="1">
        <f>[2]Urban_area_finals!K131/[2]Urban_area_finals!$G131</f>
        <v>5.8135946846207923E-5</v>
      </c>
      <c r="L141" s="1">
        <f>[2]Urban_area_finals!L131/[2]Urban_area_finals!$G131</f>
        <v>6.3191246571965142E-5</v>
      </c>
      <c r="M141" s="1">
        <f>[2]Urban_area_finals!M131/[2]Urban_area_finals!$G131</f>
        <v>6.9510371229161659E-5</v>
      </c>
      <c r="N141" s="1">
        <f>[2]Urban_area_finals!N131/[2]Urban_area_finals!$G131</f>
        <v>7.7093320817797474E-5</v>
      </c>
      <c r="O141" s="1">
        <f>[2]Urban_area_finals!O131/[2]Urban_area_finals!$G131</f>
        <v>8.5940095337872586E-5</v>
      </c>
      <c r="P141" s="1">
        <f>[2]Urban_area_finals!P131/[2]Urban_area_finals!$G131</f>
        <v>9.2259219995069103E-5</v>
      </c>
      <c r="Q141" s="1">
        <f>[2]Urban_area_finals!Q131/[2]Urban_area_finals!$G131</f>
        <v>1.0110599451514423E-4</v>
      </c>
      <c r="R141" s="1">
        <f>[2]Urban_area_finals!R131/[2]Urban_area_finals!$G131</f>
        <v>1.1248041889809795E-4</v>
      </c>
      <c r="S141" s="1">
        <f>[2]Urban_area_finals!S131/[2]Urban_area_finals!$G131</f>
        <v>1.339654427325661E-4</v>
      </c>
      <c r="T141" s="1">
        <f>[2]Urban_area_finals!T131/[2]Urban_area_finals!$G131</f>
        <v>1.9210138957877402E-4</v>
      </c>
      <c r="U141" s="1">
        <f>[2]Urban_area_finals!U131/[2]Urban_area_finals!$G131</f>
        <v>2.9447120902535755E-4</v>
      </c>
      <c r="V141" s="1">
        <f>[2]Urban_area_finals!V131/[2]Urban_area_finals!$G131</f>
        <v>3.5513480573444407E-4</v>
      </c>
      <c r="W141" s="1">
        <f>[2]Urban_area_finals!W131/[2]Urban_area_finals!$G131</f>
        <v>4.7519817422117793E-4</v>
      </c>
      <c r="X141" s="1">
        <f>[2]Urban_area_finals!X131/[2]Urban_area_finals!$G131</f>
        <v>5.2448734654731073E-4</v>
      </c>
      <c r="Y141" s="1">
        <f>[2]Urban_area_finals!Y131/[2]Urban_area_finals!$G131</f>
        <v>5.4850002024465746E-4</v>
      </c>
      <c r="Z141" s="1">
        <f>[2]Urban_area_finals!Z131/[2]Urban_area_finals!$G131</f>
        <v>5.8388711832495785E-4</v>
      </c>
      <c r="AA141" s="1">
        <f>[2]Urban_area_finals!AA131/[2]Urban_area_finals!$G131</f>
        <v>6.0537214215942601E-4</v>
      </c>
      <c r="AB141" s="1">
        <f>[2]Urban_area_finals!AB131/[2]Urban_area_finals!$G131</f>
        <v>6.0789979202230469E-4</v>
      </c>
      <c r="AC141" s="1">
        <f>[2]Urban_area_finals!AC131/[2]Urban_area_finals!$G131</f>
        <v>6.1042744188518326E-4</v>
      </c>
      <c r="AD141" s="1">
        <f>[2]Urban_area_finals!AD131/[2]Urban_area_finals!$G131</f>
        <v>6.1801039147381918E-4</v>
      </c>
      <c r="AE141" s="1">
        <f>[2]Urban_area_finals!AE131/[2]Urban_area_finals!$G131</f>
        <v>6.2938481585677285E-4</v>
      </c>
      <c r="AF141" s="1">
        <f>[2]Urban_area_finals!AF131/[2]Urban_area_finals!$G131</f>
        <v>6.6098043914275539E-4</v>
      </c>
      <c r="AG141" s="1">
        <f>[2]Urban_area_finals!AG131/[2]Urban_area_finals!$G131</f>
        <v>6.8878458763442008E-4</v>
      </c>
      <c r="AH141" s="1">
        <f>[2]Urban_area_finals!AH131/[2]Urban_area_finals!$G131</f>
        <v>7.0142283694881304E-4</v>
      </c>
      <c r="AI141" s="1">
        <f>[2]Urban_area_finals!AI131/[2]Urban_area_finals!$G131</f>
        <v>7.0647813667457028E-4</v>
      </c>
      <c r="AJ141" s="1">
        <f>[2]Urban_area_finals!AJ131/[2]Urban_area_finals!$G131</f>
        <v>7.5071200927494589E-4</v>
      </c>
      <c r="AK141" s="1">
        <f>[2]Urban_area_finals!AK131/[2]Urban_area_finals!$G131</f>
        <v>7.7219703310941405E-4</v>
      </c>
      <c r="AL141" s="1">
        <f>[2]Urban_area_finals!AL131/[2]Urban_area_finals!$G131</f>
        <v>8.1390325584691098E-4</v>
      </c>
      <c r="AM141" s="1">
        <f>[2]Urban_area_finals!AM131/[2]Urban_area_finals!$G131</f>
        <v>9.2638367474500891E-4</v>
      </c>
      <c r="AN141" s="1">
        <f>[2]Urban_area_finals!AN131/[2]Urban_area_finals!$G131</f>
        <v>9.7567284707114176E-4</v>
      </c>
      <c r="AO141" s="1">
        <f>[2]Urban_area_finals!AO131/[2]Urban_area_finals!$G131</f>
        <v>1.0616129424090143E-3</v>
      </c>
      <c r="AP141" s="1">
        <f>[2]Urban_area_finals!AP131/[2]Urban_area_finals!$G131</f>
        <v>1.1981060350044592E-3</v>
      </c>
      <c r="AQ141" s="1">
        <f>[2]Urban_area_finals!AQ131/[2]Urban_area_finals!$G131</f>
        <v>1.3497650267771755E-3</v>
      </c>
      <c r="AR141" s="1">
        <f>[2]Urban_area_finals!AR131/[2]Urban_area_finals!$G131</f>
        <v>1.4913134190983773E-3</v>
      </c>
      <c r="AS141" s="1">
        <f>[2]Urban_area_finals!AS131/[2]Urban_area_finals!$G131</f>
        <v>1.602530013065036E-3</v>
      </c>
      <c r="AT141" s="1">
        <f>[2]Urban_area_finals!AT131/[2]Urban_area_finals!$G131</f>
        <v>1.7415507555233593E-3</v>
      </c>
      <c r="AU141" s="1">
        <f>[2]Urban_area_finals!AU131/[2]Urban_area_finals!$G131</f>
        <v>1.8406346301482008E-3</v>
      </c>
      <c r="AV141" s="1">
        <f>[2]Urban_area_finals!AV131/[2]Urban_area_finals!$G131</f>
        <v>1.9892604420854625E-3</v>
      </c>
      <c r="AW141" s="1">
        <f>[2]Urban_area_finals!AW131/[2]Urban_area_finals!$G131</f>
        <v>2.316591099328242E-3</v>
      </c>
      <c r="AX141" s="1">
        <f>[2]Urban_area_finals!AX131/[2]Urban_area_finals!$G131</f>
        <v>2.8777293688872926E-3</v>
      </c>
      <c r="AY141" s="1">
        <f>[2]Urban_area_finals!AY131/[2]Urban_area_finals!$G131</f>
        <v>4.3917916367515776E-3</v>
      </c>
    </row>
    <row r="142" spans="1:51" x14ac:dyDescent="0.25">
      <c r="A142" t="s">
        <v>165</v>
      </c>
      <c r="B142" t="s">
        <v>166</v>
      </c>
      <c r="C142" t="s">
        <v>167</v>
      </c>
      <c r="D142" t="s">
        <v>105</v>
      </c>
      <c r="E142" t="s">
        <v>61</v>
      </c>
      <c r="F142" t="s">
        <v>61</v>
      </c>
      <c r="G142">
        <v>466040.03552910412</v>
      </c>
      <c r="H142">
        <v>2406.120549860354</v>
      </c>
      <c r="I142">
        <f>Table2[[#This Row],[FUA_area]]+Table2[[#This Row],[FUA_urban]]</f>
        <v>468446.15607896447</v>
      </c>
      <c r="J142">
        <v>26137122</v>
      </c>
      <c r="K142" s="1">
        <f>[2]Urban_area_finals!K139/[2]Urban_area_finals!$G139</f>
        <v>1.7619809818352486E-4</v>
      </c>
      <c r="L142" s="1">
        <f>[2]Urban_area_finals!L139/[2]Urban_area_finals!$G139</f>
        <v>1.9221610710929988E-4</v>
      </c>
      <c r="M142" s="1">
        <f>[2]Urban_area_finals!M139/[2]Urban_area_finals!$G139</f>
        <v>2.0823411603507487E-4</v>
      </c>
      <c r="N142" s="1">
        <f>[2]Urban_area_finals!N139/[2]Urban_area_finals!$G139</f>
        <v>2.2425212496084986E-4</v>
      </c>
      <c r="O142" s="1">
        <f>[2]Urban_area_finals!O139/[2]Urban_area_finals!$G139</f>
        <v>2.2425212496084986E-4</v>
      </c>
      <c r="P142" s="1">
        <f>[2]Urban_area_finals!P139/[2]Urban_area_finals!$G139</f>
        <v>2.2425212496084986E-4</v>
      </c>
      <c r="Q142" s="1">
        <f>[2]Urban_area_finals!Q139/[2]Urban_area_finals!$G139</f>
        <v>2.2425212496084986E-4</v>
      </c>
      <c r="R142" s="1">
        <f>[2]Urban_area_finals!R139/[2]Urban_area_finals!$G139</f>
        <v>2.2425212496084986E-4</v>
      </c>
      <c r="S142" s="1">
        <f>[2]Urban_area_finals!S139/[2]Urban_area_finals!$G139</f>
        <v>2.2425212496084986E-4</v>
      </c>
      <c r="T142" s="1">
        <f>[2]Urban_area_finals!T139/[2]Urban_area_finals!$G139</f>
        <v>2.2425212496084986E-4</v>
      </c>
      <c r="U142" s="1">
        <f>[2]Urban_area_finals!U139/[2]Urban_area_finals!$G139</f>
        <v>2.5628814281239979E-4</v>
      </c>
      <c r="V142" s="1">
        <f>[2]Urban_area_finals!V139/[2]Urban_area_finals!$G139</f>
        <v>3.0434216958972479E-4</v>
      </c>
      <c r="W142" s="1">
        <f>[2]Urban_area_finals!W139/[2]Urban_area_finals!$G139</f>
        <v>4.1646823207014974E-4</v>
      </c>
      <c r="X142" s="1">
        <f>[2]Urban_area_finals!X139/[2]Urban_area_finals!$G139</f>
        <v>4.3248624099592471E-4</v>
      </c>
      <c r="Y142" s="1">
        <f>[2]Urban_area_finals!Y139/[2]Urban_area_finals!$G139</f>
        <v>4.3248624099592471E-4</v>
      </c>
      <c r="Z142" s="1">
        <f>[2]Urban_area_finals!Z139/[2]Urban_area_finals!$G139</f>
        <v>4.3248624099592471E-4</v>
      </c>
      <c r="AA142" s="1">
        <f>[2]Urban_area_finals!AA139/[2]Urban_area_finals!$G139</f>
        <v>4.6452225884747463E-4</v>
      </c>
      <c r="AB142" s="1">
        <f>[2]Urban_area_finals!AB139/[2]Urban_area_finals!$G139</f>
        <v>4.6452225884747463E-4</v>
      </c>
      <c r="AC142" s="1">
        <f>[2]Urban_area_finals!AC139/[2]Urban_area_finals!$G139</f>
        <v>4.9655827669902472E-4</v>
      </c>
      <c r="AD142" s="1">
        <f>[2]Urban_area_finals!AD139/[2]Urban_area_finals!$G139</f>
        <v>4.9655827669902472E-4</v>
      </c>
      <c r="AE142" s="1">
        <f>[2]Urban_area_finals!AE139/[2]Urban_area_finals!$G139</f>
        <v>6.407203570309996E-4</v>
      </c>
      <c r="AF142" s="1">
        <f>[2]Urban_area_finals!AF139/[2]Urban_area_finals!$G139</f>
        <v>7.2081040165987453E-4</v>
      </c>
      <c r="AG142" s="1">
        <f>[2]Urban_area_finals!AG139/[2]Urban_area_finals!$G139</f>
        <v>7.2081040165987453E-4</v>
      </c>
      <c r="AH142" s="1">
        <f>[2]Urban_area_finals!AH139/[2]Urban_area_finals!$G139</f>
        <v>7.3682841058564949E-4</v>
      </c>
      <c r="AI142" s="1">
        <f>[2]Urban_area_finals!AI139/[2]Urban_area_finals!$G139</f>
        <v>7.3682841058564949E-4</v>
      </c>
      <c r="AJ142" s="1">
        <f>[2]Urban_area_finals!AJ139/[2]Urban_area_finals!$G139</f>
        <v>7.5284641951142445E-4</v>
      </c>
      <c r="AK142" s="1">
        <f>[2]Urban_area_finals!AK139/[2]Urban_area_finals!$G139</f>
        <v>7.6886442843719953E-4</v>
      </c>
      <c r="AL142" s="1">
        <f>[2]Urban_area_finals!AL139/[2]Urban_area_finals!$G139</f>
        <v>8.0090044628874945E-4</v>
      </c>
      <c r="AM142" s="1">
        <f>[2]Urban_area_finals!AM139/[2]Urban_area_finals!$G139</f>
        <v>9.4506252662072444E-4</v>
      </c>
      <c r="AN142" s="1">
        <f>[2]Urban_area_finals!AN139/[2]Urban_area_finals!$G139</f>
        <v>1.0251525712495992E-3</v>
      </c>
      <c r="AO142" s="1">
        <f>[2]Urban_area_finals!AO139/[2]Urban_area_finals!$G139</f>
        <v>1.2013506694331243E-3</v>
      </c>
      <c r="AP142" s="1">
        <f>[2]Urban_area_finals!AP139/[2]Urban_area_finals!$G139</f>
        <v>1.4896748300970743E-3</v>
      </c>
      <c r="AQ142" s="1">
        <f>[2]Urban_area_finals!AQ139/[2]Urban_area_finals!$G139</f>
        <v>1.7619809818352488E-3</v>
      </c>
      <c r="AR142" s="1">
        <f>[2]Urban_area_finals!AR139/[2]Urban_area_finals!$G139</f>
        <v>1.8260530175383488E-3</v>
      </c>
      <c r="AS142" s="1">
        <f>[2]Urban_area_finals!AS139/[2]Urban_area_finals!$G139</f>
        <v>1.8580890353898985E-3</v>
      </c>
      <c r="AT142" s="1">
        <f>[2]Urban_area_finals!AT139/[2]Urban_area_finals!$G139</f>
        <v>2.002251115721874E-3</v>
      </c>
      <c r="AU142" s="1">
        <f>[2]Urban_area_finals!AU139/[2]Urban_area_finals!$G139</f>
        <v>2.1303951871280737E-3</v>
      </c>
      <c r="AV142" s="1">
        <f>[2]Urban_area_finals!AV139/[2]Urban_area_finals!$G139</f>
        <v>2.3226112942373736E-3</v>
      </c>
      <c r="AW142" s="1">
        <f>[2]Urban_area_finals!AW139/[2]Urban_area_finals!$G139</f>
        <v>2.7871335530848486E-3</v>
      </c>
      <c r="AX142" s="1">
        <f>[2]Urban_area_finals!AX139/[2]Urban_area_finals!$G139</f>
        <v>3.3958178922642974E-3</v>
      </c>
      <c r="AY142" s="1">
        <f>[2]Urban_area_finals!AY139/[2]Urban_area_finals!$G139</f>
        <v>4.0685742671468473E-3</v>
      </c>
    </row>
    <row r="143" spans="1:51" x14ac:dyDescent="0.25">
      <c r="A143" t="s">
        <v>556</v>
      </c>
      <c r="B143" t="s">
        <v>557</v>
      </c>
      <c r="C143" t="s">
        <v>558</v>
      </c>
      <c r="D143" t="s">
        <v>139</v>
      </c>
      <c r="E143" t="s">
        <v>55</v>
      </c>
      <c r="F143" t="s">
        <v>140</v>
      </c>
      <c r="G143">
        <v>329269.96305834479</v>
      </c>
      <c r="H143">
        <v>17970.326245493579</v>
      </c>
      <c r="I143">
        <f>Table2[[#This Row],[FUA_area]]+Table2[[#This Row],[FUA_urban]]</f>
        <v>347240.28930383839</v>
      </c>
      <c r="J143">
        <v>96203591</v>
      </c>
      <c r="K143" s="1">
        <f>[2]Urban_area_finals!K32/[2]Urban_area_finals!$G32</f>
        <v>9.222121955653701E-5</v>
      </c>
      <c r="L143" s="1">
        <f>[2]Urban_area_finals!L32/[2]Urban_area_finals!$G32</f>
        <v>9.3880302168356325E-5</v>
      </c>
      <c r="M143" s="1">
        <f>[2]Urban_area_finals!M32/[2]Urban_area_finals!$G32</f>
        <v>9.5855071310129537E-5</v>
      </c>
      <c r="N143" s="1">
        <f>[2]Urban_area_finals!N32/[2]Urban_area_finals!$G32</f>
        <v>9.9135133883539162E-5</v>
      </c>
      <c r="O143" s="1">
        <f>[2]Urban_area_finals!O32/[2]Urban_area_finals!$G32</f>
        <v>1.0333281184833225E-4</v>
      </c>
      <c r="P143" s="1">
        <f>[2]Urban_area_finals!P32/[2]Urban_area_finals!$G32</f>
        <v>1.0558477885065847E-4</v>
      </c>
      <c r="Q143" s="1">
        <f>[2]Urban_area_finals!Q32/[2]Urban_area_finals!$G32</f>
        <v>1.0912181849119825E-4</v>
      </c>
      <c r="R143" s="1">
        <f>[2]Urban_area_finals!R32/[2]Urban_area_finals!$G32</f>
        <v>1.1391008684656368E-4</v>
      </c>
      <c r="S143" s="1">
        <f>[2]Urban_area_finals!S32/[2]Urban_area_finals!$G32</f>
        <v>1.3145702700675778E-4</v>
      </c>
      <c r="T143" s="1">
        <f>[2]Urban_area_finals!T32/[2]Urban_area_finals!$G32</f>
        <v>1.5821725926545963E-4</v>
      </c>
      <c r="U143" s="1">
        <f>[2]Urban_area_finals!U32/[2]Urban_area_finals!$G32</f>
        <v>2.1871029750715931E-4</v>
      </c>
      <c r="V143" s="1">
        <f>[2]Urban_area_finals!V32/[2]Urban_area_finals!$G32</f>
        <v>2.9633398174233453E-4</v>
      </c>
      <c r="W143" s="1">
        <f>[2]Urban_area_finals!W32/[2]Urban_area_finals!$G32</f>
        <v>3.958630456968218E-4</v>
      </c>
      <c r="X143" s="1">
        <f>[2]Urban_area_finals!X32/[2]Urban_area_finals!$G32</f>
        <v>4.2899337659639254E-4</v>
      </c>
      <c r="Y143" s="1">
        <f>[2]Urban_area_finals!Y32/[2]Urban_area_finals!$G32</f>
        <v>4.9548053168283423E-4</v>
      </c>
      <c r="Z143" s="1">
        <f>[2]Urban_area_finals!Z32/[2]Urban_area_finals!$G32</f>
        <v>5.6742718118189513E-4</v>
      </c>
      <c r="AA143" s="1">
        <f>[2]Urban_area_finals!AA32/[2]Urban_area_finals!$G32</f>
        <v>6.204088339607193E-4</v>
      </c>
      <c r="AB143" s="1">
        <f>[2]Urban_area_finals!AB32/[2]Urban_area_finals!$G32</f>
        <v>6.3414868384900505E-4</v>
      </c>
      <c r="AC143" s="1">
        <f>[2]Urban_area_finals!AC32/[2]Urban_area_finals!$G32</f>
        <v>6.627762167068943E-4</v>
      </c>
      <c r="AD143" s="1">
        <f>[2]Urban_area_finals!AD32/[2]Urban_area_finals!$G32</f>
        <v>6.9166460313671737E-4</v>
      </c>
      <c r="AE143" s="1">
        <f>[2]Urban_area_finals!AE32/[2]Urban_area_finals!$G32</f>
        <v>7.1261690537457166E-4</v>
      </c>
      <c r="AF143" s="1">
        <f>[2]Urban_area_finals!AF32/[2]Urban_area_finals!$G32</f>
        <v>7.3966806126596904E-4</v>
      </c>
      <c r="AG143" s="1">
        <f>[2]Urban_area_finals!AG32/[2]Urban_area_finals!$G32</f>
        <v>7.6300362535858669E-4</v>
      </c>
      <c r="AH143" s="1">
        <f>[2]Urban_area_finals!AH32/[2]Urban_area_finals!$G32</f>
        <v>7.8100276279261167E-4</v>
      </c>
      <c r="AI143" s="1">
        <f>[2]Urban_area_finals!AI32/[2]Urban_area_finals!$G32</f>
        <v>8.0074481922439399E-4</v>
      </c>
      <c r="AJ143" s="1">
        <f>[2]Urban_area_finals!AJ32/[2]Urban_area_finals!$G32</f>
        <v>8.294898392152421E-4</v>
      </c>
      <c r="AK143" s="1">
        <f>[2]Urban_area_finals!AK32/[2]Urban_area_finals!$G32</f>
        <v>8.6150152482973022E-4</v>
      </c>
      <c r="AL143" s="1">
        <f>[2]Urban_area_finals!AL32/[2]Urban_area_finals!$G32</f>
        <v>9.0299054587230363E-4</v>
      </c>
      <c r="AM143" s="1">
        <f>[2]Urban_area_finals!AM32/[2]Urban_area_finals!$G32</f>
        <v>9.7439799051289686E-4</v>
      </c>
      <c r="AN143" s="1">
        <f>[2]Urban_area_finals!AN32/[2]Urban_area_finals!$G32</f>
        <v>1.0305190479948092E-3</v>
      </c>
      <c r="AO143" s="1">
        <f>[2]Urban_area_finals!AO32/[2]Urban_area_finals!$G32</f>
        <v>1.0917952759304612E-3</v>
      </c>
      <c r="AP143" s="1">
        <f>[2]Urban_area_finals!AP32/[2]Urban_area_finals!$G32</f>
        <v>1.1914036699017256E-3</v>
      </c>
      <c r="AQ143" s="1">
        <f>[2]Urban_area_finals!AQ32/[2]Urban_area_finals!$G32</f>
        <v>1.3387658433212184E-3</v>
      </c>
      <c r="AR143" s="1">
        <f>[2]Urban_area_finals!AR32/[2]Urban_area_finals!$G32</f>
        <v>1.5033614857990363E-3</v>
      </c>
      <c r="AS143" s="1">
        <f>[2]Urban_area_finals!AS32/[2]Urban_area_finals!$G32</f>
        <v>1.6389288525974245E-3</v>
      </c>
      <c r="AT143" s="1">
        <f>[2]Urban_area_finals!AT32/[2]Urban_area_finals!$G32</f>
        <v>1.7005494864430096E-3</v>
      </c>
      <c r="AU143" s="1">
        <f>[2]Urban_area_finals!AU32/[2]Urban_area_finals!$G32</f>
        <v>1.7789002700678059E-3</v>
      </c>
      <c r="AV143" s="1">
        <f>[2]Urban_area_finals!AV32/[2]Urban_area_finals!$G32</f>
        <v>1.8964264455050015E-3</v>
      </c>
      <c r="AW143" s="1">
        <f>[2]Urban_area_finals!AW32/[2]Urban_area_finals!$G32</f>
        <v>2.1600883108917929E-3</v>
      </c>
      <c r="AX143" s="1">
        <f>[2]Urban_area_finals!AX32/[2]Urban_area_finals!$G32</f>
        <v>2.671217662067224E-3</v>
      </c>
      <c r="AY143" s="1">
        <f>[2]Urban_area_finals!AY32/[2]Urban_area_finals!$G32</f>
        <v>3.7946254580768072E-3</v>
      </c>
    </row>
    <row r="144" spans="1:51" x14ac:dyDescent="0.25">
      <c r="A144" t="s">
        <v>367</v>
      </c>
      <c r="B144" t="s">
        <v>368</v>
      </c>
      <c r="C144" t="s">
        <v>369</v>
      </c>
      <c r="D144" t="s">
        <v>105</v>
      </c>
      <c r="E144" t="s">
        <v>61</v>
      </c>
      <c r="F144" t="s">
        <v>61</v>
      </c>
      <c r="G144">
        <v>1251195.7262276961</v>
      </c>
      <c r="H144">
        <v>1093.363965687626</v>
      </c>
      <c r="I144">
        <f>Table2[[#This Row],[FUA_area]]+Table2[[#This Row],[FUA_urban]]</f>
        <v>1252289.0901933836</v>
      </c>
      <c r="J144">
        <v>20886783</v>
      </c>
      <c r="K144" s="1">
        <f>[2]Urban_area_finals!K21/[2]Urban_area_finals!$G21</f>
        <v>2.0890074782061099E-5</v>
      </c>
      <c r="L144" s="1">
        <f>[2]Urban_area_finals!L21/[2]Urban_area_finals!$G21</f>
        <v>2.0890074782061099E-5</v>
      </c>
      <c r="M144" s="1">
        <f>[2]Urban_area_finals!M21/[2]Urban_area_finals!$G21</f>
        <v>5.2225186955152743E-5</v>
      </c>
      <c r="N144" s="1">
        <f>[2]Urban_area_finals!N21/[2]Urban_area_finals!$G21</f>
        <v>5.2225186955152743E-5</v>
      </c>
      <c r="O144" s="1">
        <f>[2]Urban_area_finals!O21/[2]Urban_area_finals!$G21</f>
        <v>7.3115261737213846E-5</v>
      </c>
      <c r="P144" s="1">
        <f>[2]Urban_area_finals!P21/[2]Urban_area_finals!$G21</f>
        <v>1.1489541130133604E-4</v>
      </c>
      <c r="Q144" s="1">
        <f>[2]Urban_area_finals!Q21/[2]Urban_area_finals!$G21</f>
        <v>1.1907342625774827E-4</v>
      </c>
      <c r="R144" s="1">
        <f>[2]Urban_area_finals!R21/[2]Urban_area_finals!$G21</f>
        <v>1.4623052347442769E-4</v>
      </c>
      <c r="S144" s="1">
        <f>[2]Urban_area_finals!S21/[2]Urban_area_finals!$G21</f>
        <v>1.4623052347442769E-4</v>
      </c>
      <c r="T144" s="1">
        <f>[2]Urban_area_finals!T21/[2]Urban_area_finals!$G21</f>
        <v>1.9009968051675598E-4</v>
      </c>
      <c r="U144" s="1">
        <f>[2]Urban_area_finals!U21/[2]Urban_area_finals!$G21</f>
        <v>2.611259347757637E-4</v>
      </c>
      <c r="V144" s="1">
        <f>[2]Urban_area_finals!V21/[2]Urban_area_finals!$G21</f>
        <v>3.8855539094633646E-4</v>
      </c>
      <c r="W144" s="1">
        <f>[2]Urban_area_finals!W21/[2]Urban_area_finals!$G21</f>
        <v>6.0163415372335965E-4</v>
      </c>
      <c r="X144" s="1">
        <f>[2]Urban_area_finals!X21/[2]Urban_area_finals!$G21</f>
        <v>6.4550331076568799E-4</v>
      </c>
      <c r="Y144" s="1">
        <f>[2]Urban_area_finals!Y21/[2]Urban_area_finals!$G21</f>
        <v>7.8128879684908508E-4</v>
      </c>
      <c r="Z144" s="1">
        <f>[2]Urban_area_finals!Z21/[2]Urban_area_finals!$G21</f>
        <v>8.9200619319400906E-4</v>
      </c>
      <c r="AA144" s="1">
        <f>[2]Urban_area_finals!AA21/[2]Urban_area_finals!$G21</f>
        <v>9.7556649232225336E-4</v>
      </c>
      <c r="AB144" s="1">
        <f>[2]Urban_area_finals!AB21/[2]Urban_area_finals!$G21</f>
        <v>1.0006345820607267E-3</v>
      </c>
      <c r="AC144" s="1">
        <f>[2]Urban_area_finals!AC21/[2]Urban_area_finals!$G21</f>
        <v>1.0424147316248488E-3</v>
      </c>
      <c r="AD144" s="1">
        <f>[2]Urban_area_finals!AD21/[2]Urban_area_finals!$G21</f>
        <v>1.0862838886671771E-3</v>
      </c>
      <c r="AE144" s="1">
        <f>[2]Urban_area_finals!AE21/[2]Urban_area_finals!$G21</f>
        <v>1.0967289260582079E-3</v>
      </c>
      <c r="AF144" s="1">
        <f>[2]Urban_area_finals!AF21/[2]Urban_area_finals!$G21</f>
        <v>1.159399150404391E-3</v>
      </c>
      <c r="AG144" s="1">
        <f>[2]Urban_area_finals!AG21/[2]Urban_area_finals!$G21</f>
        <v>1.1886452550992764E-3</v>
      </c>
      <c r="AH144" s="1">
        <f>[2]Urban_area_finals!AH21/[2]Urban_area_finals!$G21</f>
        <v>1.2492264719672537E-3</v>
      </c>
      <c r="AI144" s="1">
        <f>[2]Urban_area_finals!AI21/[2]Urban_area_finals!$G21</f>
        <v>1.2868286065749639E-3</v>
      </c>
      <c r="AJ144" s="1">
        <f>[2]Urban_area_finals!AJ21/[2]Urban_area_finals!$G21</f>
        <v>1.3599438683121778E-3</v>
      </c>
      <c r="AK144" s="1">
        <f>[2]Urban_area_finals!AK21/[2]Urban_area_finals!$G21</f>
        <v>1.4059020328327119E-3</v>
      </c>
      <c r="AL144" s="1">
        <f>[2]Urban_area_finals!AL21/[2]Urban_area_finals!$G21</f>
        <v>1.4685722571788954E-3</v>
      </c>
      <c r="AM144" s="1">
        <f>[2]Urban_area_finals!AM21/[2]Urban_area_finals!$G21</f>
        <v>1.5479545413507275E-3</v>
      </c>
      <c r="AN144" s="1">
        <f>[2]Urban_area_finals!AN21/[2]Urban_area_finals!$G21</f>
        <v>1.612713773175117E-3</v>
      </c>
      <c r="AO144" s="1">
        <f>[2]Urban_area_finals!AO21/[2]Urban_area_finals!$G21</f>
        <v>1.6858290349123306E-3</v>
      </c>
      <c r="AP144" s="1">
        <f>[2]Urban_area_finals!AP21/[2]Urban_area_finals!$G21</f>
        <v>1.8487716182124072E-3</v>
      </c>
      <c r="AQ144" s="1">
        <f>[2]Urban_area_finals!AQ21/[2]Urban_area_finals!$G21</f>
        <v>2.1078085455099654E-3</v>
      </c>
      <c r="AR144" s="1">
        <f>[2]Urban_area_finals!AR21/[2]Urban_area_finals!$G21</f>
        <v>2.2937302110703087E-3</v>
      </c>
      <c r="AS144" s="1">
        <f>[2]Urban_area_finals!AS21/[2]Urban_area_finals!$G21</f>
        <v>2.4336937121101185E-3</v>
      </c>
      <c r="AT144" s="1">
        <f>[2]Urban_area_finals!AT21/[2]Urban_area_finals!$G21</f>
        <v>2.5527671383678667E-3</v>
      </c>
      <c r="AU144" s="1">
        <f>[2]Urban_area_finals!AU21/[2]Urban_area_finals!$G21</f>
        <v>2.6321494225396988E-3</v>
      </c>
      <c r="AV144" s="1">
        <f>[2]Urban_area_finals!AV21/[2]Urban_area_finals!$G21</f>
        <v>2.751222848797447E-3</v>
      </c>
      <c r="AW144" s="1">
        <f>[2]Urban_area_finals!AW21/[2]Urban_area_finals!$G21</f>
        <v>2.9893697013129434E-3</v>
      </c>
      <c r="AX144" s="1">
        <f>[2]Urban_area_finals!AX21/[2]Urban_area_finals!$G21</f>
        <v>3.2463176211322952E-3</v>
      </c>
      <c r="AY144" s="1">
        <f>[2]Urban_area_finals!AY21/[2]Urban_area_finals!$G21</f>
        <v>3.5847368326016849E-3</v>
      </c>
    </row>
    <row r="145" spans="1:51" x14ac:dyDescent="0.25">
      <c r="A145" t="s">
        <v>361</v>
      </c>
      <c r="B145" t="s">
        <v>362</v>
      </c>
      <c r="C145" t="s">
        <v>363</v>
      </c>
      <c r="D145" t="s">
        <v>362</v>
      </c>
      <c r="E145" t="s">
        <v>76</v>
      </c>
      <c r="F145" t="s">
        <v>77</v>
      </c>
      <c r="G145">
        <v>1951230.5482192361</v>
      </c>
      <c r="H145">
        <v>51715.39631286553</v>
      </c>
      <c r="I145">
        <f>Table2[[#This Row],[FUA_area]]+Table2[[#This Row],[FUA_urban]]</f>
        <v>2002945.9445321015</v>
      </c>
      <c r="J145">
        <v>119530753</v>
      </c>
      <c r="K145" s="1">
        <f>[2]Urban_area_finals!K77/[2]Urban_area_finals!$G77</f>
        <v>0</v>
      </c>
      <c r="L145" s="1">
        <f>[2]Urban_area_finals!L77/[2]Urban_area_finals!$G77</f>
        <v>0</v>
      </c>
      <c r="M145" s="1">
        <f>[2]Urban_area_finals!M77/[2]Urban_area_finals!$G77</f>
        <v>0</v>
      </c>
      <c r="N145" s="1">
        <f>[2]Urban_area_finals!N77/[2]Urban_area_finals!$G77</f>
        <v>4.8288310479159048E-5</v>
      </c>
      <c r="O145" s="1">
        <f>[2]Urban_area_finals!O77/[2]Urban_area_finals!$G77</f>
        <v>1.3413419577544178E-4</v>
      </c>
      <c r="P145" s="1">
        <f>[2]Urban_area_finals!P77/[2]Urban_area_finals!$G77</f>
        <v>1.9751260327933805E-4</v>
      </c>
      <c r="Q145" s="1">
        <f>[2]Urban_area_finals!Q77/[2]Urban_area_finals!$G77</f>
        <v>1.9751260327933805E-4</v>
      </c>
      <c r="R145" s="1">
        <f>[2]Urban_area_finals!R77/[2]Urban_area_finals!$G77</f>
        <v>1.9751260327933805E-4</v>
      </c>
      <c r="S145" s="1">
        <f>[2]Urban_area_finals!S77/[2]Urban_area_finals!$G77</f>
        <v>1.9751260327933805E-4</v>
      </c>
      <c r="T145" s="1">
        <f>[2]Urban_area_finals!T77/[2]Urban_area_finals!$G77</f>
        <v>2.6726238508256777E-4</v>
      </c>
      <c r="U145" s="1">
        <f>[2]Urban_area_finals!U77/[2]Urban_area_finals!$G77</f>
        <v>3.6819836740358778E-4</v>
      </c>
      <c r="V145" s="1">
        <f>[2]Urban_area_finals!V77/[2]Urban_area_finals!$G77</f>
        <v>4.5404425269987049E-4</v>
      </c>
      <c r="W145" s="1">
        <f>[2]Urban_area_finals!W77/[2]Urban_area_finals!$G77</f>
        <v>5.4357882837997786E-4</v>
      </c>
      <c r="X145" s="1">
        <f>[2]Urban_area_finals!X77/[2]Urban_area_finals!$G77</f>
        <v>5.4760285425324118E-4</v>
      </c>
      <c r="Y145" s="1">
        <f>[2]Urban_area_finals!Y77/[2]Urban_area_finals!$G77</f>
        <v>6.0695723588387416E-4</v>
      </c>
      <c r="Z145" s="1">
        <f>[2]Urban_area_finals!Z77/[2]Urban_area_finals!$G77</f>
        <v>6.2540068780299731E-4</v>
      </c>
      <c r="AA145" s="1">
        <f>[2]Urban_area_finals!AA77/[2]Urban_area_finals!$G77</f>
        <v>6.3277806857064674E-4</v>
      </c>
      <c r="AB145" s="1">
        <f>[2]Urban_area_finals!AB77/[2]Urban_area_finals!$G77</f>
        <v>6.4954484304257688E-4</v>
      </c>
      <c r="AC145" s="1">
        <f>[2]Urban_area_finals!AC77/[2]Urban_area_finals!$G77</f>
        <v>6.5658688832078761E-4</v>
      </c>
      <c r="AD145" s="1">
        <f>[2]Urban_area_finals!AD77/[2]Urban_area_finals!$G77</f>
        <v>6.6362893359899833E-4</v>
      </c>
      <c r="AE145" s="1">
        <f>[2]Urban_area_finals!AE77/[2]Urban_area_finals!$G77</f>
        <v>6.7067097887720905E-4</v>
      </c>
      <c r="AF145" s="1">
        <f>[2]Urban_area_finals!AF77/[2]Urban_area_finals!$G77</f>
        <v>6.8710241785970071E-4</v>
      </c>
      <c r="AG145" s="1">
        <f>[2]Urban_area_finals!AG77/[2]Urban_area_finals!$G77</f>
        <v>6.9447979862734992E-4</v>
      </c>
      <c r="AH145" s="1">
        <f>[2]Urban_area_finals!AH77/[2]Urban_area_finals!$G77</f>
        <v>7.0822855369433266E-4</v>
      </c>
      <c r="AI145" s="1">
        <f>[2]Urban_area_finals!AI77/[2]Urban_area_finals!$G77</f>
        <v>7.179532828880523E-4</v>
      </c>
      <c r="AJ145" s="1">
        <f>[2]Urban_area_finals!AJ77/[2]Urban_area_finals!$G77</f>
        <v>7.3371405089166664E-4</v>
      </c>
      <c r="AK145" s="1">
        <f>[2]Urban_area_finals!AK77/[2]Urban_area_finals!$G77</f>
        <v>7.4645679949033358E-4</v>
      </c>
      <c r="AL145" s="1">
        <f>[2]Urban_area_finals!AL77/[2]Urban_area_finals!$G77</f>
        <v>7.7630165805036948E-4</v>
      </c>
      <c r="AM145" s="1">
        <f>[2]Urban_area_finals!AM77/[2]Urban_area_finals!$G77</f>
        <v>8.2861399440279163E-4</v>
      </c>
      <c r="AN145" s="1">
        <f>[2]Urban_area_finals!AN77/[2]Urban_area_finals!$G77</f>
        <v>8.6382422079384525E-4</v>
      </c>
      <c r="AO145" s="1">
        <f>[2]Urban_area_finals!AO77/[2]Urban_area_finals!$G77</f>
        <v>9.3424467357595216E-4</v>
      </c>
      <c r="AP145" s="1">
        <f>[2]Urban_area_finals!AP77/[2]Urban_area_finals!$G77</f>
        <v>1.0257912621926912E-3</v>
      </c>
      <c r="AQ145" s="1">
        <f>[2]Urban_area_finals!AQ77/[2]Urban_area_finals!$G77</f>
        <v>1.2035190715951516E-3</v>
      </c>
      <c r="AR145" s="1">
        <f>[2]Urban_area_finals!AR77/[2]Urban_area_finals!$G77</f>
        <v>1.4509966628008415E-3</v>
      </c>
      <c r="AS145" s="1">
        <f>[2]Urban_area_finals!AS77/[2]Urban_area_finals!$G77</f>
        <v>1.6391198723758988E-3</v>
      </c>
      <c r="AT145" s="1">
        <f>[2]Urban_area_finals!AT77/[2]Urban_area_finals!$G77</f>
        <v>1.7477685709540068E-3</v>
      </c>
      <c r="AU145" s="1">
        <f>[2]Urban_area_finals!AU77/[2]Urban_area_finals!$G77</f>
        <v>1.8501129623306686E-3</v>
      </c>
      <c r="AV145" s="1">
        <f>[2]Urban_area_finals!AV77/[2]Urban_area_finals!$G77</f>
        <v>2.003629549395662E-3</v>
      </c>
      <c r="AW145" s="1">
        <f>[2]Urban_area_finals!AW77/[2]Urban_area_finals!$G77</f>
        <v>2.3530491293906877E-3</v>
      </c>
      <c r="AX145" s="1">
        <f>[2]Urban_area_finals!AX77/[2]Urban_area_finals!$G77</f>
        <v>2.7859672462559265E-3</v>
      </c>
      <c r="AY145" s="1">
        <f>[2]Urban_area_finals!AY77/[2]Urban_area_finals!$G77</f>
        <v>3.2997012160758685E-3</v>
      </c>
    </row>
    <row r="146" spans="1:51" x14ac:dyDescent="0.25">
      <c r="A146" t="s">
        <v>106</v>
      </c>
      <c r="B146" t="s">
        <v>107</v>
      </c>
      <c r="C146" t="s">
        <v>108</v>
      </c>
      <c r="D146" t="s">
        <v>105</v>
      </c>
      <c r="E146" t="s">
        <v>61</v>
      </c>
      <c r="F146" t="s">
        <v>61</v>
      </c>
      <c r="G146">
        <v>272946.9645943644</v>
      </c>
      <c r="H146">
        <v>1446.1177336135679</v>
      </c>
      <c r="I146">
        <f>Table2[[#This Row],[FUA_area]]+Table2[[#This Row],[FUA_urban]]</f>
        <v>274393.08232797799</v>
      </c>
      <c r="J146">
        <v>21231890</v>
      </c>
      <c r="K146" s="1">
        <f>[2]Urban_area_finals!K33/[2]Urban_area_finals!$G33</f>
        <v>4.7165274029305737E-5</v>
      </c>
      <c r="L146" s="1">
        <f>[2]Urban_area_finals!L33/[2]Urban_area_finals!$G33</f>
        <v>4.7165274029305737E-5</v>
      </c>
      <c r="M146" s="1">
        <f>[2]Urban_area_finals!M33/[2]Urban_area_finals!$G33</f>
        <v>4.7165274029305737E-5</v>
      </c>
      <c r="N146" s="1">
        <f>[2]Urban_area_finals!N33/[2]Urban_area_finals!$G33</f>
        <v>4.7165274029305737E-5</v>
      </c>
      <c r="O146" s="1">
        <f>[2]Urban_area_finals!O33/[2]Urban_area_finals!$G33</f>
        <v>4.7165274029305737E-5</v>
      </c>
      <c r="P146" s="1">
        <f>[2]Urban_area_finals!P33/[2]Urban_area_finals!$G33</f>
        <v>4.7165274029305737E-5</v>
      </c>
      <c r="Q146" s="1">
        <f>[2]Urban_area_finals!Q33/[2]Urban_area_finals!$G33</f>
        <v>4.7165274029305737E-5</v>
      </c>
      <c r="R146" s="1">
        <f>[2]Urban_area_finals!R33/[2]Urban_area_finals!$G33</f>
        <v>4.7165274029305737E-5</v>
      </c>
      <c r="S146" s="1">
        <f>[2]Urban_area_finals!S33/[2]Urban_area_finals!$G33</f>
        <v>5.306093328296895E-5</v>
      </c>
      <c r="T146" s="1">
        <f>[2]Urban_area_finals!T33/[2]Urban_area_finals!$G33</f>
        <v>6.4852251790295396E-5</v>
      </c>
      <c r="U146" s="1">
        <f>[2]Urban_area_finals!U33/[2]Urban_area_finals!$G33</f>
        <v>1.0022620731227469E-4</v>
      </c>
      <c r="V146" s="1">
        <f>[2]Urban_area_finals!V33/[2]Urban_area_finals!$G33</f>
        <v>1.5918279984890687E-4</v>
      </c>
      <c r="W146" s="1">
        <f>[2]Urban_area_finals!W33/[2]Urban_area_finals!$G33</f>
        <v>2.2993071089286548E-4</v>
      </c>
      <c r="X146" s="1">
        <f>[2]Urban_area_finals!X33/[2]Urban_area_finals!$G33</f>
        <v>2.3582637014652865E-4</v>
      </c>
      <c r="Y146" s="1">
        <f>[2]Urban_area_finals!Y33/[2]Urban_area_finals!$G33</f>
        <v>2.4761768865385508E-4</v>
      </c>
      <c r="Z146" s="1">
        <f>[2]Urban_area_finals!Z33/[2]Urban_area_finals!$G33</f>
        <v>2.535133479075183E-4</v>
      </c>
      <c r="AA146" s="1">
        <f>[2]Urban_area_finals!AA33/[2]Urban_area_finals!$G33</f>
        <v>2.5940900716118158E-4</v>
      </c>
      <c r="AB146" s="1">
        <f>[2]Urban_area_finals!AB33/[2]Urban_area_finals!$G33</f>
        <v>2.6530466641484476E-4</v>
      </c>
      <c r="AC146" s="1">
        <f>[2]Urban_area_finals!AC33/[2]Urban_area_finals!$G33</f>
        <v>2.6530466641484476E-4</v>
      </c>
      <c r="AD146" s="1">
        <f>[2]Urban_area_finals!AD33/[2]Urban_area_finals!$G33</f>
        <v>2.6530466641484476E-4</v>
      </c>
      <c r="AE146" s="1">
        <f>[2]Urban_area_finals!AE33/[2]Urban_area_finals!$G33</f>
        <v>2.6530466641484476E-4</v>
      </c>
      <c r="AF146" s="1">
        <f>[2]Urban_area_finals!AF33/[2]Urban_area_finals!$G33</f>
        <v>2.7709598492217121E-4</v>
      </c>
      <c r="AG146" s="1">
        <f>[2]Urban_area_finals!AG33/[2]Urban_area_finals!$G33</f>
        <v>3.2426125895147691E-4</v>
      </c>
      <c r="AH146" s="1">
        <f>[2]Urban_area_finals!AH33/[2]Urban_area_finals!$G33</f>
        <v>3.2426125895147691E-4</v>
      </c>
      <c r="AI146" s="1">
        <f>[2]Urban_area_finals!AI33/[2]Urban_area_finals!$G33</f>
        <v>3.3605257745880336E-4</v>
      </c>
      <c r="AJ146" s="1">
        <f>[2]Urban_area_finals!AJ33/[2]Urban_area_finals!$G33</f>
        <v>3.3605257745880336E-4</v>
      </c>
      <c r="AK146" s="1">
        <f>[2]Urban_area_finals!AK33/[2]Urban_area_finals!$G33</f>
        <v>3.8911351074177224E-4</v>
      </c>
      <c r="AL146" s="1">
        <f>[2]Urban_area_finals!AL33/[2]Urban_area_finals!$G33</f>
        <v>4.0090482924909875E-4</v>
      </c>
      <c r="AM146" s="1">
        <f>[2]Urban_area_finals!AM33/[2]Urban_area_finals!$G33</f>
        <v>4.3038312551741482E-4</v>
      </c>
      <c r="AN146" s="1">
        <f>[2]Urban_area_finals!AN33/[2]Urban_area_finals!$G33</f>
        <v>4.4807010327840445E-4</v>
      </c>
      <c r="AO146" s="1">
        <f>[2]Urban_area_finals!AO33/[2]Urban_area_finals!$G33</f>
        <v>5.070266958150366E-4</v>
      </c>
      <c r="AP146" s="1">
        <f>[2]Urban_area_finals!AP33/[2]Urban_area_finals!$G33</f>
        <v>6.1904422163463774E-4</v>
      </c>
      <c r="AQ146" s="1">
        <f>[2]Urban_area_finals!AQ33/[2]Urban_area_finals!$G33</f>
        <v>8.3128795476651346E-4</v>
      </c>
      <c r="AR146" s="1">
        <f>[2]Urban_area_finals!AR33/[2]Urban_area_finals!$G33</f>
        <v>9.7278377685443068E-4</v>
      </c>
      <c r="AS146" s="1">
        <f>[2]Urban_area_finals!AS33/[2]Urban_area_finals!$G33</f>
        <v>1.2086101470009595E-3</v>
      </c>
      <c r="AT146" s="1">
        <f>[2]Urban_area_finals!AT33/[2]Urban_area_finals!$G33</f>
        <v>1.2086101470009595E-3</v>
      </c>
      <c r="AU146" s="1">
        <f>[2]Urban_area_finals!AU33/[2]Urban_area_finals!$G33</f>
        <v>1.2557754210302651E-3</v>
      </c>
      <c r="AV146" s="1">
        <f>[2]Urban_area_finals!AV33/[2]Urban_area_finals!$G33</f>
        <v>1.3265233320742236E-3</v>
      </c>
      <c r="AW146" s="1">
        <f>[2]Urban_area_finals!AW33/[2]Urban_area_finals!$G33</f>
        <v>1.5446627244597628E-3</v>
      </c>
      <c r="AX146" s="1">
        <f>[2]Urban_area_finals!AX33/[2]Urban_area_finals!$G33</f>
        <v>2.0340024425138099E-3</v>
      </c>
      <c r="AY146" s="1">
        <f>[2]Urban_area_finals!AY33/[2]Urban_area_finals!$G33</f>
        <v>3.2779865450367489E-3</v>
      </c>
    </row>
    <row r="147" spans="1:51" x14ac:dyDescent="0.25">
      <c r="A147" t="s">
        <v>305</v>
      </c>
      <c r="B147" t="s">
        <v>306</v>
      </c>
      <c r="C147" t="s">
        <v>307</v>
      </c>
      <c r="D147" t="s">
        <v>308</v>
      </c>
      <c r="E147" t="s">
        <v>71</v>
      </c>
      <c r="F147" t="s">
        <v>82</v>
      </c>
      <c r="G147">
        <v>2730534.1394721689</v>
      </c>
      <c r="H147">
        <v>5051.7966055238776</v>
      </c>
      <c r="I147">
        <f>Table2[[#This Row],[FUA_area]]+Table2[[#This Row],[FUA_urban]]</f>
        <v>2735585.9360776925</v>
      </c>
      <c r="J147">
        <v>18861057</v>
      </c>
      <c r="K147" s="1">
        <f>[2]Urban_area_finals!K40/[2]Urban_area_finals!$G40</f>
        <v>2.8162231659888457E-4</v>
      </c>
      <c r="L147" s="1">
        <f>[2]Urban_area_finals!L40/[2]Urban_area_finals!$G40</f>
        <v>2.8162231659888457E-4</v>
      </c>
      <c r="M147" s="1">
        <f>[2]Urban_area_finals!M40/[2]Urban_area_finals!$G40</f>
        <v>2.8162231659888457E-4</v>
      </c>
      <c r="N147" s="1">
        <f>[2]Urban_area_finals!N40/[2]Urban_area_finals!$G40</f>
        <v>2.8162231659888457E-4</v>
      </c>
      <c r="O147" s="1">
        <f>[2]Urban_area_finals!O40/[2]Urban_area_finals!$G40</f>
        <v>2.8162231659888457E-4</v>
      </c>
      <c r="P147" s="1">
        <f>[2]Urban_area_finals!P40/[2]Urban_area_finals!$G40</f>
        <v>2.8162231659888457E-4</v>
      </c>
      <c r="Q147" s="1">
        <f>[2]Urban_area_finals!Q40/[2]Urban_area_finals!$G40</f>
        <v>2.8162231659888457E-4</v>
      </c>
      <c r="R147" s="1">
        <f>[2]Urban_area_finals!R40/[2]Urban_area_finals!$G40</f>
        <v>2.8162231659888457E-4</v>
      </c>
      <c r="S147" s="1">
        <f>[2]Urban_area_finals!S40/[2]Urban_area_finals!$G40</f>
        <v>2.8162231659888457E-4</v>
      </c>
      <c r="T147" s="1">
        <f>[2]Urban_area_finals!T40/[2]Urban_area_finals!$G40</f>
        <v>2.8162231659888457E-4</v>
      </c>
      <c r="U147" s="1">
        <f>[2]Urban_area_finals!U40/[2]Urban_area_finals!$G40</f>
        <v>3.3794677991866144E-4</v>
      </c>
      <c r="V147" s="1">
        <f>[2]Urban_area_finals!V40/[2]Urban_area_finals!$G40</f>
        <v>4.5059570655821523E-4</v>
      </c>
      <c r="W147" s="1">
        <f>[2]Urban_area_finals!W40/[2]Urban_area_finals!$G40</f>
        <v>5.0692016987799221E-4</v>
      </c>
      <c r="X147" s="1">
        <f>[2]Urban_area_finals!X40/[2]Urban_area_finals!$G40</f>
        <v>5.6324463319776914E-4</v>
      </c>
      <c r="Y147" s="1">
        <f>[2]Urban_area_finals!Y40/[2]Urban_area_finals!$G40</f>
        <v>7.3221802315709991E-4</v>
      </c>
      <c r="Z147" s="1">
        <f>[2]Urban_area_finals!Z40/[2]Urban_area_finals!$G40</f>
        <v>7.3221802315709991E-4</v>
      </c>
      <c r="AA147" s="1">
        <f>[2]Urban_area_finals!AA40/[2]Urban_area_finals!$G40</f>
        <v>7.8854248647687683E-4</v>
      </c>
      <c r="AB147" s="1">
        <f>[2]Urban_area_finals!AB40/[2]Urban_area_finals!$G40</f>
        <v>7.8854248647687683E-4</v>
      </c>
      <c r="AC147" s="1">
        <f>[2]Urban_area_finals!AC40/[2]Urban_area_finals!$G40</f>
        <v>7.8854248647687683E-4</v>
      </c>
      <c r="AD147" s="1">
        <f>[2]Urban_area_finals!AD40/[2]Urban_area_finals!$G40</f>
        <v>7.8854248647687683E-4</v>
      </c>
      <c r="AE147" s="1">
        <f>[2]Urban_area_finals!AE40/[2]Urban_area_finals!$G40</f>
        <v>7.8854248647687683E-4</v>
      </c>
      <c r="AF147" s="1">
        <f>[2]Urban_area_finals!AF40/[2]Urban_area_finals!$G40</f>
        <v>8.4486694979665365E-4</v>
      </c>
      <c r="AG147" s="1">
        <f>[2]Urban_area_finals!AG40/[2]Urban_area_finals!$G40</f>
        <v>8.4486694979665365E-4</v>
      </c>
      <c r="AH147" s="1">
        <f>[2]Urban_area_finals!AH40/[2]Urban_area_finals!$G40</f>
        <v>8.4486694979665365E-4</v>
      </c>
      <c r="AI147" s="1">
        <f>[2]Urban_area_finals!AI40/[2]Urban_area_finals!$G40</f>
        <v>9.0119141311643047E-4</v>
      </c>
      <c r="AJ147" s="1">
        <f>[2]Urban_area_finals!AJ40/[2]Urban_area_finals!$G40</f>
        <v>9.0119141311643047E-4</v>
      </c>
      <c r="AK147" s="1">
        <f>[2]Urban_area_finals!AK40/[2]Urban_area_finals!$G40</f>
        <v>9.575158764362075E-4</v>
      </c>
      <c r="AL147" s="1">
        <f>[2]Urban_area_finals!AL40/[2]Urban_area_finals!$G40</f>
        <v>9.575158764362075E-4</v>
      </c>
      <c r="AM147" s="1">
        <f>[2]Urban_area_finals!AM40/[2]Urban_area_finals!$G40</f>
        <v>1.0138403397559844E-3</v>
      </c>
      <c r="AN147" s="1">
        <f>[2]Urban_area_finals!AN40/[2]Urban_area_finals!$G40</f>
        <v>1.4081115829944228E-3</v>
      </c>
      <c r="AO147" s="1">
        <f>[2]Urban_area_finals!AO40/[2]Urban_area_finals!$G40</f>
        <v>1.915031752872415E-3</v>
      </c>
      <c r="AP147" s="1">
        <f>[2]Urban_area_finals!AP40/[2]Urban_area_finals!$G40</f>
        <v>1.915031752872415E-3</v>
      </c>
      <c r="AQ147" s="1">
        <f>[2]Urban_area_finals!AQ40/[2]Urban_area_finals!$G40</f>
        <v>2.1966540694712995E-3</v>
      </c>
      <c r="AR147" s="1">
        <f>[2]Urban_area_finals!AR40/[2]Urban_area_finals!$G40</f>
        <v>2.4782763860701842E-3</v>
      </c>
      <c r="AS147" s="1">
        <f>[2]Urban_area_finals!AS40/[2]Urban_area_finals!$G40</f>
        <v>2.4782763860701842E-3</v>
      </c>
      <c r="AT147" s="1">
        <f>[2]Urban_area_finals!AT40/[2]Urban_area_finals!$G40</f>
        <v>2.3093029961108536E-3</v>
      </c>
      <c r="AU147" s="1">
        <f>[2]Urban_area_finals!AU40/[2]Urban_area_finals!$G40</f>
        <v>2.3543625667666749E-3</v>
      </c>
      <c r="AV147" s="1">
        <f>[2]Urban_area_finals!AV40/[2]Urban_area_finals!$G40</f>
        <v>2.4219519227504076E-3</v>
      </c>
      <c r="AW147" s="1">
        <f>[2]Urban_area_finals!AW40/[2]Urban_area_finals!$G40</f>
        <v>2.5346008493899613E-3</v>
      </c>
      <c r="AX147" s="1">
        <f>[2]Urban_area_finals!AX40/[2]Urban_area_finals!$G40</f>
        <v>2.7598987026690685E-3</v>
      </c>
      <c r="AY147" s="1">
        <f>[2]Urban_area_finals!AY40/[2]Urban_area_finals!$G40</f>
        <v>3.2104944092272839E-3</v>
      </c>
    </row>
    <row r="148" spans="1:51" x14ac:dyDescent="0.25">
      <c r="A148" t="s">
        <v>472</v>
      </c>
      <c r="B148" t="s">
        <v>473</v>
      </c>
      <c r="C148" t="s">
        <v>474</v>
      </c>
      <c r="D148" t="s">
        <v>105</v>
      </c>
      <c r="E148" t="s">
        <v>61</v>
      </c>
      <c r="F148" t="s">
        <v>61</v>
      </c>
      <c r="G148">
        <v>196889.70476695991</v>
      </c>
      <c r="H148">
        <v>1190.988182995543</v>
      </c>
      <c r="I148">
        <f>Table2[[#This Row],[FUA_area]]+Table2[[#This Row],[FUA_urban]]</f>
        <v>198080.69294995547</v>
      </c>
      <c r="J148">
        <v>16215468</v>
      </c>
      <c r="K148" s="1">
        <f>[2]Urban_area_finals!K46/[2]Urban_area_finals!$G46</f>
        <v>7.9959095093656946E-5</v>
      </c>
      <c r="L148" s="1">
        <f>[2]Urban_area_finals!L46/[2]Urban_area_finals!$G46</f>
        <v>7.9959095093656946E-5</v>
      </c>
      <c r="M148" s="1">
        <f>[2]Urban_area_finals!M46/[2]Urban_area_finals!$G46</f>
        <v>7.9959095093656946E-5</v>
      </c>
      <c r="N148" s="1">
        <f>[2]Urban_area_finals!N46/[2]Urban_area_finals!$G46</f>
        <v>7.9959095093656946E-5</v>
      </c>
      <c r="O148" s="1">
        <f>[2]Urban_area_finals!O46/[2]Urban_area_finals!$G46</f>
        <v>7.9959095093656946E-5</v>
      </c>
      <c r="P148" s="1">
        <f>[2]Urban_area_finals!P46/[2]Urban_area_finals!$G46</f>
        <v>7.9959095093656946E-5</v>
      </c>
      <c r="Q148" s="1">
        <f>[2]Urban_area_finals!Q46/[2]Urban_area_finals!$G46</f>
        <v>7.9959095093656946E-5</v>
      </c>
      <c r="R148" s="1">
        <f>[2]Urban_area_finals!R46/[2]Urban_area_finals!$G46</f>
        <v>7.9959095093656946E-5</v>
      </c>
      <c r="S148" s="1">
        <f>[2]Urban_area_finals!S46/[2]Urban_area_finals!$G46</f>
        <v>1.066121267915426E-4</v>
      </c>
      <c r="T148" s="1">
        <f>[2]Urban_area_finals!T46/[2]Urban_area_finals!$G46</f>
        <v>1.3326515848942827E-4</v>
      </c>
      <c r="U148" s="1">
        <f>[2]Urban_area_finals!U46/[2]Urban_area_finals!$G46</f>
        <v>1.8657122188519957E-4</v>
      </c>
      <c r="V148" s="1">
        <f>[2]Urban_area_finals!V46/[2]Urban_area_finals!$G46</f>
        <v>2.3987728528097085E-4</v>
      </c>
      <c r="W148" s="1">
        <f>[2]Urban_area_finals!W46/[2]Urban_area_finals!$G46</f>
        <v>2.9318334867674224E-4</v>
      </c>
      <c r="X148" s="1">
        <f>[2]Urban_area_finals!X46/[2]Urban_area_finals!$G46</f>
        <v>2.9318334867674224E-4</v>
      </c>
      <c r="Y148" s="1">
        <f>[2]Urban_area_finals!Y46/[2]Urban_area_finals!$G46</f>
        <v>2.9318334867674224E-4</v>
      </c>
      <c r="Z148" s="1">
        <f>[2]Urban_area_finals!Z46/[2]Urban_area_finals!$G46</f>
        <v>3.7314244377039914E-4</v>
      </c>
      <c r="AA148" s="1">
        <f>[2]Urban_area_finals!AA46/[2]Urban_area_finals!$G46</f>
        <v>4.531015388640561E-4</v>
      </c>
      <c r="AB148" s="1">
        <f>[2]Urban_area_finals!AB46/[2]Urban_area_finals!$G46</f>
        <v>4.797545705619417E-4</v>
      </c>
      <c r="AC148" s="1">
        <f>[2]Urban_area_finals!AC46/[2]Urban_area_finals!$G46</f>
        <v>6.6632579244714127E-4</v>
      </c>
      <c r="AD148" s="1">
        <f>[2]Urban_area_finals!AD46/[2]Urban_area_finals!$G46</f>
        <v>6.6632579244714127E-4</v>
      </c>
      <c r="AE148" s="1">
        <f>[2]Urban_area_finals!AE46/[2]Urban_area_finals!$G46</f>
        <v>6.6632579244714127E-4</v>
      </c>
      <c r="AF148" s="1">
        <f>[2]Urban_area_finals!AF46/[2]Urban_area_finals!$G46</f>
        <v>6.6632579244714127E-4</v>
      </c>
      <c r="AG148" s="1">
        <f>[2]Urban_area_finals!AG46/[2]Urban_area_finals!$G46</f>
        <v>6.6632579244714127E-4</v>
      </c>
      <c r="AH148" s="1">
        <f>[2]Urban_area_finals!AH46/[2]Urban_area_finals!$G46</f>
        <v>6.6632579244714127E-4</v>
      </c>
      <c r="AI148" s="1">
        <f>[2]Urban_area_finals!AI46/[2]Urban_area_finals!$G46</f>
        <v>6.6632579244714127E-4</v>
      </c>
      <c r="AJ148" s="1">
        <f>[2]Urban_area_finals!AJ46/[2]Urban_area_finals!$G46</f>
        <v>6.6632579244714127E-4</v>
      </c>
      <c r="AK148" s="1">
        <f>[2]Urban_area_finals!AK46/[2]Urban_area_finals!$G46</f>
        <v>6.6632579244714127E-4</v>
      </c>
      <c r="AL148" s="1">
        <f>[2]Urban_area_finals!AL46/[2]Urban_area_finals!$G46</f>
        <v>7.7293791923868389E-4</v>
      </c>
      <c r="AM148" s="1">
        <f>[2]Urban_area_finals!AM46/[2]Urban_area_finals!$G46</f>
        <v>7.7293791923868389E-4</v>
      </c>
      <c r="AN148" s="1">
        <f>[2]Urban_area_finals!AN46/[2]Urban_area_finals!$G46</f>
        <v>7.7293791923868389E-4</v>
      </c>
      <c r="AO148" s="1">
        <f>[2]Urban_area_finals!AO46/[2]Urban_area_finals!$G46</f>
        <v>7.7293791923868389E-4</v>
      </c>
      <c r="AP148" s="1">
        <f>[2]Urban_area_finals!AP46/[2]Urban_area_finals!$G46</f>
        <v>7.7293791923868389E-4</v>
      </c>
      <c r="AQ148" s="1">
        <f>[2]Urban_area_finals!AQ46/[2]Urban_area_finals!$G46</f>
        <v>7.7293791923868389E-4</v>
      </c>
      <c r="AR148" s="1">
        <f>[2]Urban_area_finals!AR46/[2]Urban_area_finals!$G46</f>
        <v>7.7293791923868389E-4</v>
      </c>
      <c r="AS148" s="1">
        <f>[2]Urban_area_finals!AS46/[2]Urban_area_finals!$G46</f>
        <v>7.7293791923868389E-4</v>
      </c>
      <c r="AT148" s="1">
        <f>[2]Urban_area_finals!AT46/[2]Urban_area_finals!$G46</f>
        <v>9.0620307772811221E-4</v>
      </c>
      <c r="AU148" s="1">
        <f>[2]Urban_area_finals!AU46/[2]Urban_area_finals!$G46</f>
        <v>1.0234764171988091E-3</v>
      </c>
      <c r="AV148" s="1">
        <f>[2]Urban_area_finals!AV46/[2]Urban_area_finals!$G46</f>
        <v>1.1993864264048541E-3</v>
      </c>
      <c r="AW148" s="1">
        <f>[2]Urban_area_finals!AW46/[2]Urban_area_finals!$G46</f>
        <v>1.6258349335710248E-3</v>
      </c>
      <c r="AX148" s="1">
        <f>[2]Urban_area_finals!AX46/[2]Urban_area_finals!$G46</f>
        <v>2.1855485992266239E-3</v>
      </c>
      <c r="AY148" s="1">
        <f>[2]Urban_area_finals!AY46/[2]Urban_area_finals!$G46</f>
        <v>2.931833486767422E-3</v>
      </c>
    </row>
    <row r="149" spans="1:51" x14ac:dyDescent="0.25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>
        <v>2779049.4555459772</v>
      </c>
      <c r="H149">
        <v>18828.017741250431</v>
      </c>
      <c r="I149">
        <f>Table2[[#This Row],[FUA_area]]+Table2[[#This Row],[FUA_urban]]</f>
        <v>2797877.4732872276</v>
      </c>
      <c r="J149">
        <v>44908441</v>
      </c>
      <c r="K149" s="1">
        <f>[2]Urban_area_finals!K86/[2]Urban_area_finals!$G86</f>
        <v>3.4791774221091744E-5</v>
      </c>
      <c r="L149" s="1">
        <f>[2]Urban_area_finals!L86/[2]Urban_area_finals!$G86</f>
        <v>3.7509881582114536E-5</v>
      </c>
      <c r="M149" s="1">
        <f>[2]Urban_area_finals!M86/[2]Urban_area_finals!$G86</f>
        <v>4.2402474831955559E-5</v>
      </c>
      <c r="N149" s="1">
        <f>[2]Urban_area_finals!N86/[2]Urban_area_finals!$G86</f>
        <v>5.1644039859433058E-5</v>
      </c>
      <c r="O149" s="1">
        <f>[2]Urban_area_finals!O86/[2]Urban_area_finals!$G86</f>
        <v>5.8167497525887758E-5</v>
      </c>
      <c r="P149" s="1">
        <f>[2]Urban_area_finals!P86/[2]Urban_area_finals!$G86</f>
        <v>5.9798361942501434E-5</v>
      </c>
      <c r="Q149" s="1">
        <f>[2]Urban_area_finals!Q86/[2]Urban_area_finals!$G86</f>
        <v>6.1429226359115111E-5</v>
      </c>
      <c r="R149" s="1">
        <f>[2]Urban_area_finals!R86/[2]Urban_area_finals!$G86</f>
        <v>7.9912356414070109E-5</v>
      </c>
      <c r="S149" s="1">
        <f>[2]Urban_area_finals!S86/[2]Urban_area_finals!$G86</f>
        <v>9.2415650274774947E-5</v>
      </c>
      <c r="T149" s="1">
        <f>[2]Urban_area_finals!T86/[2]Urban_area_finals!$G86</f>
        <v>1.299255318568895E-4</v>
      </c>
      <c r="U149" s="1">
        <f>[2]Urban_area_finals!U86/[2]Urban_area_finals!$G86</f>
        <v>2.343008545201647E-4</v>
      </c>
      <c r="V149" s="1">
        <f>[2]Urban_area_finals!V86/[2]Urban_area_finals!$G86</f>
        <v>3.1638769682305304E-4</v>
      </c>
      <c r="W149" s="1">
        <f>[2]Urban_area_finals!W86/[2]Urban_area_finals!$G86</f>
        <v>4.0010540354255505E-4</v>
      </c>
      <c r="X149" s="1">
        <f>[2]Urban_area_finals!X86/[2]Urban_area_finals!$G86</f>
        <v>4.2783009862498755E-4</v>
      </c>
      <c r="Y149" s="1">
        <f>[2]Urban_area_finals!Y86/[2]Urban_area_finals!$G86</f>
        <v>4.6914533051253398E-4</v>
      </c>
      <c r="Z149" s="1">
        <f>[2]Urban_area_finals!Z86/[2]Urban_area_finals!$G86</f>
        <v>4.9958813295598924E-4</v>
      </c>
      <c r="AA149" s="1">
        <f>[2]Urban_area_finals!AA86/[2]Urban_area_finals!$G86</f>
        <v>5.360107715936946E-4</v>
      </c>
      <c r="AB149" s="1">
        <f>[2]Urban_area_finals!AB86/[2]Urban_area_finals!$G86</f>
        <v>5.7460789612021827E-4</v>
      </c>
      <c r="AC149" s="1">
        <f>[2]Urban_area_finals!AC86/[2]Urban_area_finals!$G86</f>
        <v>5.9037291881415045E-4</v>
      </c>
      <c r="AD149" s="1">
        <f>[2]Urban_area_finals!AD86/[2]Urban_area_finals!$G86</f>
        <v>6.1918485684099209E-4</v>
      </c>
      <c r="AE149" s="1">
        <f>[2]Urban_area_finals!AE86/[2]Urban_area_finals!$G86</f>
        <v>6.5669473842310661E-4</v>
      </c>
      <c r="AF149" s="1">
        <f>[2]Urban_area_finals!AF86/[2]Urban_area_finals!$G86</f>
        <v>7.7411697641929127E-4</v>
      </c>
      <c r="AG149" s="1">
        <f>[2]Urban_area_finals!AG86/[2]Urban_area_finals!$G86</f>
        <v>8.0999599358479212E-4</v>
      </c>
      <c r="AH149" s="1">
        <f>[2]Urban_area_finals!AH86/[2]Urban_area_finals!$G86</f>
        <v>8.5131122547233849E-4</v>
      </c>
      <c r="AI149" s="1">
        <f>[2]Urban_area_finals!AI86/[2]Urban_area_finals!$G86</f>
        <v>9.0893510152602179E-4</v>
      </c>
      <c r="AJ149" s="1">
        <f>[2]Urban_area_finals!AJ86/[2]Urban_area_finals!$G86</f>
        <v>9.7090794935734135E-4</v>
      </c>
      <c r="AK149" s="1">
        <f>[2]Urban_area_finals!AK86/[2]Urban_area_finals!$G86</f>
        <v>1.1100750462417085E-3</v>
      </c>
      <c r="AL149" s="1">
        <f>[2]Urban_area_finals!AL86/[2]Urban_area_finals!$G86</f>
        <v>1.1763968658506645E-3</v>
      </c>
      <c r="AM149" s="1">
        <f>[2]Urban_area_finals!AM86/[2]Urban_area_finals!$G86</f>
        <v>1.4085232344820111E-3</v>
      </c>
      <c r="AN149" s="1">
        <f>[2]Urban_area_finals!AN86/[2]Urban_area_finals!$G86</f>
        <v>1.4862611050072631E-3</v>
      </c>
      <c r="AO149" s="1">
        <f>[2]Urban_area_finals!AO86/[2]Urban_area_finals!$G86</f>
        <v>1.5618244896436965E-3</v>
      </c>
      <c r="AP149" s="1">
        <f>[2]Urban_area_finals!AP86/[2]Urban_area_finals!$G86</f>
        <v>1.6259718233638345E-3</v>
      </c>
      <c r="AQ149" s="1">
        <f>[2]Urban_area_finals!AQ86/[2]Urban_area_finals!$G86</f>
        <v>1.6672870552513811E-3</v>
      </c>
      <c r="AR149" s="1">
        <f>[2]Urban_area_finals!AR86/[2]Urban_area_finals!$G86</f>
        <v>1.7015352080002682E-3</v>
      </c>
      <c r="AS149" s="1">
        <f>[2]Urban_area_finals!AS86/[2]Urban_area_finals!$G86</f>
        <v>1.8325479828015666E-3</v>
      </c>
      <c r="AT149" s="1">
        <f>[2]Urban_area_finals!AT86/[2]Urban_area_finals!$G86</f>
        <v>1.9602990287696377E-3</v>
      </c>
      <c r="AU149" s="1">
        <f>[2]Urban_area_finals!AU86/[2]Urban_area_finals!$G86</f>
        <v>2.025751054023067E-3</v>
      </c>
      <c r="AV149" s="1">
        <f>[2]Urban_area_finals!AV86/[2]Urban_area_finals!$G86</f>
        <v>2.12392909190321E-3</v>
      </c>
      <c r="AW149" s="1">
        <f>[2]Urban_area_finals!AW86/[2]Urban_area_finals!$G86</f>
        <v>2.3022369347863048E-3</v>
      </c>
      <c r="AX149" s="1">
        <f>[2]Urban_area_finals!AX86/[2]Urban_area_finals!$G86</f>
        <v>2.5115312015850598E-3</v>
      </c>
      <c r="AY149" s="1">
        <f>[2]Urban_area_finals!AY86/[2]Urban_area_finals!$G86</f>
        <v>2.7349596266611335E-3</v>
      </c>
    </row>
    <row r="150" spans="1:51" x14ac:dyDescent="0.25">
      <c r="A150" t="s">
        <v>547</v>
      </c>
      <c r="B150" t="s">
        <v>548</v>
      </c>
      <c r="C150" t="s">
        <v>549</v>
      </c>
      <c r="D150" t="s">
        <v>547</v>
      </c>
      <c r="E150" t="s">
        <v>122</v>
      </c>
      <c r="F150" t="s">
        <v>150</v>
      </c>
      <c r="G150">
        <v>9472888.2517689299</v>
      </c>
      <c r="H150">
        <v>565258.15654385579</v>
      </c>
      <c r="I150">
        <f>Table2[[#This Row],[FUA_area]]+Table2[[#This Row],[FUA_urban]]</f>
        <v>10038146.408312786</v>
      </c>
      <c r="J150">
        <v>334914895</v>
      </c>
      <c r="K150" s="1">
        <f>[2]Urban_area_finals!K83/[2]Urban_area_finals!$G83</f>
        <v>6.3434764834633211E-5</v>
      </c>
      <c r="L150" s="1">
        <f>[2]Urban_area_finals!L83/[2]Urban_area_finals!$G83</f>
        <v>6.3434764834633211E-5</v>
      </c>
      <c r="M150" s="1">
        <f>[2]Urban_area_finals!M83/[2]Urban_area_finals!$G83</f>
        <v>6.3434764834633211E-5</v>
      </c>
      <c r="N150" s="1">
        <f>[2]Urban_area_finals!N83/[2]Urban_area_finals!$G83</f>
        <v>6.3434764834633211E-5</v>
      </c>
      <c r="O150" s="1">
        <f>[2]Urban_area_finals!O83/[2]Urban_area_finals!$G83</f>
        <v>6.3434764834633211E-5</v>
      </c>
      <c r="P150" s="1">
        <f>[2]Urban_area_finals!P83/[2]Urban_area_finals!$G83</f>
        <v>6.3434764834633211E-5</v>
      </c>
      <c r="Q150" s="1">
        <f>[2]Urban_area_finals!Q83/[2]Urban_area_finals!$G83</f>
        <v>6.3434764834633211E-5</v>
      </c>
      <c r="R150" s="1">
        <f>[2]Urban_area_finals!R83/[2]Urban_area_finals!$G83</f>
        <v>6.3434764834633211E-5</v>
      </c>
      <c r="S150" s="1">
        <f>[2]Urban_area_finals!S83/[2]Urban_area_finals!$G83</f>
        <v>6.3434764834633211E-5</v>
      </c>
      <c r="T150" s="1">
        <f>[2]Urban_area_finals!T83/[2]Urban_area_finals!$G83</f>
        <v>6.3434764834633211E-5</v>
      </c>
      <c r="U150" s="1">
        <f>[2]Urban_area_finals!U83/[2]Urban_area_finals!$G83</f>
        <v>7.4007225640405406E-5</v>
      </c>
      <c r="V150" s="1">
        <f>[2]Urban_area_finals!V83/[2]Urban_area_finals!$G83</f>
        <v>8.4579686446177615E-5</v>
      </c>
      <c r="W150" s="1">
        <f>[2]Urban_area_finals!W83/[2]Urban_area_finals!$G83</f>
        <v>1.2686952966926642E-4</v>
      </c>
      <c r="X150" s="1">
        <f>[2]Urban_area_finals!X83/[2]Urban_area_finals!$G83</f>
        <v>1.4801445128081081E-4</v>
      </c>
      <c r="Y150" s="1">
        <f>[2]Urban_area_finals!Y83/[2]Urban_area_finals!$G83</f>
        <v>1.4801445128081081E-4</v>
      </c>
      <c r="Z150" s="1">
        <f>[2]Urban_area_finals!Z83/[2]Urban_area_finals!$G83</f>
        <v>1.7973183369812744E-4</v>
      </c>
      <c r="AA150" s="1">
        <f>[2]Urban_area_finals!AA83/[2]Urban_area_finals!$G83</f>
        <v>2.2202167692121622E-4</v>
      </c>
      <c r="AB150" s="1">
        <f>[2]Urban_area_finals!AB83/[2]Urban_area_finals!$G83</f>
        <v>4.4404335384243244E-4</v>
      </c>
      <c r="AC150" s="1">
        <f>[2]Urban_area_finals!AC83/[2]Urban_area_finals!$G83</f>
        <v>4.546158146482047E-4</v>
      </c>
      <c r="AD150" s="1">
        <f>[2]Urban_area_finals!AD83/[2]Urban_area_finals!$G83</f>
        <v>4.6518827545397685E-4</v>
      </c>
      <c r="AE150" s="1">
        <f>[2]Urban_area_finals!AE83/[2]Urban_area_finals!$G83</f>
        <v>4.7576073625974912E-4</v>
      </c>
      <c r="AF150" s="1">
        <f>[2]Urban_area_finals!AF83/[2]Urban_area_finals!$G83</f>
        <v>4.7576073625974912E-4</v>
      </c>
      <c r="AG150" s="1">
        <f>[2]Urban_area_finals!AG83/[2]Urban_area_finals!$G83</f>
        <v>4.7576073625974912E-4</v>
      </c>
      <c r="AH150" s="1">
        <f>[2]Urban_area_finals!AH83/[2]Urban_area_finals!$G83</f>
        <v>4.7576073625974912E-4</v>
      </c>
      <c r="AI150" s="1">
        <f>[2]Urban_area_finals!AI83/[2]Urban_area_finals!$G83</f>
        <v>4.9690565787129343E-4</v>
      </c>
      <c r="AJ150" s="1">
        <f>[2]Urban_area_finals!AJ83/[2]Urban_area_finals!$G83</f>
        <v>5.4976796190015441E-4</v>
      </c>
      <c r="AK150" s="1">
        <f>[2]Urban_area_finals!AK83/[2]Urban_area_finals!$G83</f>
        <v>5.4976796190015441E-4</v>
      </c>
      <c r="AL150" s="1">
        <f>[2]Urban_area_finals!AL83/[2]Urban_area_finals!$G83</f>
        <v>5.7091288351169894E-4</v>
      </c>
      <c r="AM150" s="1">
        <f>[2]Urban_area_finals!AM83/[2]Urban_area_finals!$G83</f>
        <v>5.9205780512324325E-4</v>
      </c>
      <c r="AN150" s="1">
        <f>[2]Urban_area_finals!AN83/[2]Urban_area_finals!$G83</f>
        <v>6.026302659290154E-4</v>
      </c>
      <c r="AO150" s="1">
        <f>[2]Urban_area_finals!AO83/[2]Urban_area_finals!$G83</f>
        <v>6.6606503076364865E-4</v>
      </c>
      <c r="AP150" s="1">
        <f>[2]Urban_area_finals!AP83/[2]Urban_area_finals!$G83</f>
        <v>9.092316292964094E-4</v>
      </c>
      <c r="AQ150" s="1">
        <f>[2]Urban_area_finals!AQ83/[2]Urban_area_finals!$G83</f>
        <v>1.1418257670233979E-3</v>
      </c>
      <c r="AR150" s="1">
        <f>[2]Urban_area_finals!AR83/[2]Urban_area_finals!$G83</f>
        <v>1.3004126791099808E-3</v>
      </c>
      <c r="AS150" s="1">
        <f>[2]Urban_area_finals!AS83/[2]Urban_area_finals!$G83</f>
        <v>1.4484271303907914E-3</v>
      </c>
      <c r="AT150" s="1">
        <f>[2]Urban_area_finals!AT83/[2]Urban_area_finals!$G83</f>
        <v>1.5330068168369691E-3</v>
      </c>
      <c r="AU150" s="1">
        <f>[2]Urban_area_finals!AU83/[2]Urban_area_finals!$G83</f>
        <v>1.5964415816716025E-3</v>
      </c>
      <c r="AV150" s="1">
        <f>[2]Urban_area_finals!AV83/[2]Urban_area_finals!$G83</f>
        <v>1.6915937289235523E-3</v>
      </c>
      <c r="AW150" s="1">
        <f>[2]Urban_area_finals!AW83/[2]Urban_area_finals!$G83</f>
        <v>1.8818980234274519E-3</v>
      </c>
      <c r="AX150" s="1">
        <f>[2]Urban_area_finals!AX83/[2]Urban_area_finals!$G83</f>
        <v>2.1250646219602124E-3</v>
      </c>
      <c r="AY150" s="1">
        <f>[2]Urban_area_finals!AY83/[2]Urban_area_finals!$G83</f>
        <v>2.4316659853276064E-3</v>
      </c>
    </row>
    <row r="151" spans="1:51" x14ac:dyDescent="0.25">
      <c r="A151" t="s">
        <v>553</v>
      </c>
      <c r="B151" t="s">
        <v>554</v>
      </c>
      <c r="C151" t="s">
        <v>555</v>
      </c>
      <c r="D151" t="s">
        <v>75</v>
      </c>
      <c r="E151" t="s">
        <v>76</v>
      </c>
      <c r="F151" t="s">
        <v>77</v>
      </c>
      <c r="G151">
        <v>912360.80287250108</v>
      </c>
      <c r="H151">
        <v>12166.876162890199</v>
      </c>
      <c r="I151">
        <f>Table2[[#This Row],[FUA_area]]+Table2[[#This Row],[FUA_urban]]</f>
        <v>924527.67903539131</v>
      </c>
      <c r="J151">
        <v>28628829</v>
      </c>
      <c r="K151" s="1">
        <f>[2]Urban_area_finals!K71/[2]Urban_area_finals!$G71</f>
        <v>9.9638115650168115E-4</v>
      </c>
      <c r="L151" s="1">
        <f>[2]Urban_area_finals!L71/[2]Urban_area_finals!$G71</f>
        <v>9.9638115650168115E-4</v>
      </c>
      <c r="M151" s="1">
        <f>[2]Urban_area_finals!M71/[2]Urban_area_finals!$G71</f>
        <v>9.9638115650168115E-4</v>
      </c>
      <c r="N151" s="1">
        <f>[2]Urban_area_finals!N71/[2]Urban_area_finals!$G71</f>
        <v>9.9638115650168115E-4</v>
      </c>
      <c r="O151" s="1">
        <f>[2]Urban_area_finals!O71/[2]Urban_area_finals!$G71</f>
        <v>9.9638115650168115E-4</v>
      </c>
      <c r="P151" s="1">
        <f>[2]Urban_area_finals!P71/[2]Urban_area_finals!$G71</f>
        <v>9.9638115650168115E-4</v>
      </c>
      <c r="Q151" s="1">
        <f>[2]Urban_area_finals!Q71/[2]Urban_area_finals!$G71</f>
        <v>9.9638115650168115E-4</v>
      </c>
      <c r="R151" s="1">
        <f>[2]Urban_area_finals!R71/[2]Urban_area_finals!$G71</f>
        <v>9.9638115650168115E-4</v>
      </c>
      <c r="S151" s="1">
        <f>[2]Urban_area_finals!S71/[2]Urban_area_finals!$G71</f>
        <v>9.9638115650168115E-4</v>
      </c>
      <c r="T151" s="1">
        <f>[2]Urban_area_finals!T71/[2]Urban_area_finals!$G71</f>
        <v>9.9638115650168115E-4</v>
      </c>
      <c r="U151" s="1">
        <f>[2]Urban_area_finals!U71/[2]Urban_area_finals!$G71</f>
        <v>9.9638115650168115E-4</v>
      </c>
      <c r="V151" s="1">
        <f>[2]Urban_area_finals!V71/[2]Urban_area_finals!$G71</f>
        <v>9.9638115650168115E-4</v>
      </c>
      <c r="W151" s="1">
        <f>[2]Urban_area_finals!W71/[2]Urban_area_finals!$G71</f>
        <v>9.9638115650168115E-4</v>
      </c>
      <c r="X151" s="1">
        <f>[2]Urban_area_finals!X71/[2]Urban_area_finals!$G71</f>
        <v>1.1362241258352503E-3</v>
      </c>
      <c r="Y151" s="1">
        <f>[2]Urban_area_finals!Y71/[2]Urban_area_finals!$G71</f>
        <v>1.4508708068357811E-3</v>
      </c>
      <c r="Z151" s="1">
        <f>[2]Urban_area_finals!Z71/[2]Urban_area_finals!$G71</f>
        <v>1.6431548896694388E-3</v>
      </c>
      <c r="AA151" s="1">
        <f>[2]Urban_area_finals!AA71/[2]Urban_area_finals!$G71</f>
        <v>1.6518950752527871E-3</v>
      </c>
      <c r="AB151" s="1">
        <f>[2]Urban_area_finals!AB71/[2]Urban_area_finals!$G71</f>
        <v>1.6518950752527871E-3</v>
      </c>
      <c r="AC151" s="1">
        <f>[2]Urban_area_finals!AC71/[2]Urban_area_finals!$G71</f>
        <v>1.6518950752527871E-3</v>
      </c>
      <c r="AD151" s="1">
        <f>[2]Urban_area_finals!AD71/[2]Urban_area_finals!$G71</f>
        <v>1.6518950752527871E-3</v>
      </c>
      <c r="AE151" s="1">
        <f>[2]Urban_area_finals!AE71/[2]Urban_area_finals!$G71</f>
        <v>1.6518950752527871E-3</v>
      </c>
      <c r="AF151" s="1">
        <f>[2]Urban_area_finals!AF71/[2]Urban_area_finals!$G71</f>
        <v>1.6518950752527871E-3</v>
      </c>
      <c r="AG151" s="1">
        <f>[2]Urban_area_finals!AG71/[2]Urban_area_finals!$G71</f>
        <v>1.6518950752527871E-3</v>
      </c>
      <c r="AH151" s="1">
        <f>[2]Urban_area_finals!AH71/[2]Urban_area_finals!$G71</f>
        <v>1.6518950752527871E-3</v>
      </c>
      <c r="AI151" s="1">
        <f>[2]Urban_area_finals!AI71/[2]Urban_area_finals!$G71</f>
        <v>1.7567773022529639E-3</v>
      </c>
      <c r="AJ151" s="1">
        <f>[2]Urban_area_finals!AJ71/[2]Urban_area_finals!$G71</f>
        <v>1.8179586013364008E-3</v>
      </c>
      <c r="AK151" s="1">
        <f>[2]Urban_area_finals!AK71/[2]Urban_area_finals!$G71</f>
        <v>1.8354389725030969E-3</v>
      </c>
      <c r="AL151" s="1">
        <f>[2]Urban_area_finals!AL71/[2]Urban_area_finals!$G71</f>
        <v>1.8354389725030969E-3</v>
      </c>
      <c r="AM151" s="1">
        <f>[2]Urban_area_finals!AM71/[2]Urban_area_finals!$G71</f>
        <v>1.8616595292531412E-3</v>
      </c>
      <c r="AN151" s="1">
        <f>[2]Urban_area_finals!AN71/[2]Urban_area_finals!$G71</f>
        <v>1.8791399004198372E-3</v>
      </c>
      <c r="AO151" s="1">
        <f>[2]Urban_area_finals!AO71/[2]Urban_area_finals!$G71</f>
        <v>1.9403211995032738E-3</v>
      </c>
      <c r="AP151" s="1">
        <f>[2]Urban_area_finals!AP71/[2]Urban_area_finals!$G71</f>
        <v>1.9752819418366661E-3</v>
      </c>
      <c r="AQ151" s="1">
        <f>[2]Urban_area_finals!AQ71/[2]Urban_area_finals!$G71</f>
        <v>2.2637080660871528E-3</v>
      </c>
      <c r="AR151" s="1">
        <f>[2]Urban_area_finals!AR71/[2]Urban_area_finals!$G71</f>
        <v>2.5084332624208988E-3</v>
      </c>
      <c r="AS151" s="1">
        <f>[2]Urban_area_finals!AS71/[2]Urban_area_finals!$G71</f>
        <v>2.5084332624208988E-3</v>
      </c>
      <c r="AT151" s="1">
        <f>[2]Urban_area_finals!AT71/[2]Urban_area_finals!$G71</f>
        <v>2.2986688084205452E-3</v>
      </c>
      <c r="AU151" s="1">
        <f>[2]Urban_area_finals!AU71/[2]Urban_area_finals!$G71</f>
        <v>2.2986688084205452E-3</v>
      </c>
      <c r="AV151" s="1">
        <f>[2]Urban_area_finals!AV71/[2]Urban_area_finals!$G71</f>
        <v>2.2986688084205452E-3</v>
      </c>
      <c r="AW151" s="1">
        <f>[2]Urban_area_finals!AW71/[2]Urban_area_finals!$G71</f>
        <v>2.2986688084205452E-3</v>
      </c>
      <c r="AX151" s="1">
        <f>[2]Urban_area_finals!AX71/[2]Urban_area_finals!$G71</f>
        <v>2.2986688084205452E-3</v>
      </c>
      <c r="AY151" s="1">
        <f>[2]Urban_area_finals!AY71/[2]Urban_area_finals!$G71</f>
        <v>2.2986688084205452E-3</v>
      </c>
    </row>
    <row r="152" spans="1:51" x14ac:dyDescent="0.25">
      <c r="A152" t="s">
        <v>198</v>
      </c>
      <c r="B152" t="s">
        <v>199</v>
      </c>
      <c r="C152" t="s">
        <v>200</v>
      </c>
      <c r="D152" t="s">
        <v>121</v>
      </c>
      <c r="E152" t="s">
        <v>76</v>
      </c>
      <c r="F152" t="s">
        <v>77</v>
      </c>
      <c r="G152">
        <v>48092.0543355236</v>
      </c>
      <c r="H152">
        <v>2983.0677023727249</v>
      </c>
      <c r="I152">
        <f>Table2[[#This Row],[FUA_area]]+Table2[[#This Row],[FUA_urban]]</f>
        <v>51075.122037896326</v>
      </c>
      <c r="J152">
        <v>10939341</v>
      </c>
      <c r="K152" s="1">
        <f>[2]Urban_area_finals!K61/[2]Urban_area_finals!$G61</f>
        <v>1.0044399026984582E-4</v>
      </c>
      <c r="L152" s="1">
        <f>[2]Urban_area_finals!L61/[2]Urban_area_finals!$G61</f>
        <v>1.0044399026984582E-4</v>
      </c>
      <c r="M152" s="1">
        <f>[2]Urban_area_finals!M61/[2]Urban_area_finals!$G61</f>
        <v>1.0044399026984582E-4</v>
      </c>
      <c r="N152" s="1">
        <f>[2]Urban_area_finals!N61/[2]Urban_area_finals!$G61</f>
        <v>1.0044399026984582E-4</v>
      </c>
      <c r="O152" s="1">
        <f>[2]Urban_area_finals!O61/[2]Urban_area_finals!$G61</f>
        <v>1.0044399026984582E-4</v>
      </c>
      <c r="P152" s="1">
        <f>[2]Urban_area_finals!P61/[2]Urban_area_finals!$G61</f>
        <v>1.0044399026984582E-4</v>
      </c>
      <c r="Q152" s="1">
        <f>[2]Urban_area_finals!Q61/[2]Urban_area_finals!$G61</f>
        <v>1.0044399026984582E-4</v>
      </c>
      <c r="R152" s="1">
        <f>[2]Urban_area_finals!R61/[2]Urban_area_finals!$G61</f>
        <v>1.0044399026984582E-4</v>
      </c>
      <c r="S152" s="1">
        <f>[2]Urban_area_finals!S61/[2]Urban_area_finals!$G61</f>
        <v>1.0044399026984582E-4</v>
      </c>
      <c r="T152" s="1">
        <f>[2]Urban_area_finals!T61/[2]Urban_area_finals!$G61</f>
        <v>1.2555498783730729E-4</v>
      </c>
      <c r="U152" s="1">
        <f>[2]Urban_area_finals!U61/[2]Urban_area_finals!$G61</f>
        <v>1.5066598540476871E-4</v>
      </c>
      <c r="V152" s="1">
        <f>[2]Urban_area_finals!V61/[2]Urban_area_finals!$G61</f>
        <v>1.7577698297223022E-4</v>
      </c>
      <c r="W152" s="1">
        <f>[2]Urban_area_finals!W61/[2]Urban_area_finals!$G61</f>
        <v>1.7577698297223022E-4</v>
      </c>
      <c r="X152" s="1">
        <f>[2]Urban_area_finals!X61/[2]Urban_area_finals!$G61</f>
        <v>2.0088798053969164E-4</v>
      </c>
      <c r="Y152" s="1">
        <f>[2]Urban_area_finals!Y61/[2]Urban_area_finals!$G61</f>
        <v>4.2688695864684471E-4</v>
      </c>
      <c r="Z152" s="1">
        <f>[2]Urban_area_finals!Z61/[2]Urban_area_finals!$G61</f>
        <v>4.2688695864684471E-4</v>
      </c>
      <c r="AA152" s="1">
        <f>[2]Urban_area_finals!AA61/[2]Urban_area_finals!$G61</f>
        <v>4.2688695864684471E-4</v>
      </c>
      <c r="AB152" s="1">
        <f>[2]Urban_area_finals!AB61/[2]Urban_area_finals!$G61</f>
        <v>4.2688695864684471E-4</v>
      </c>
      <c r="AC152" s="1">
        <f>[2]Urban_area_finals!AC61/[2]Urban_area_finals!$G61</f>
        <v>4.2688695864684471E-4</v>
      </c>
      <c r="AD152" s="1">
        <f>[2]Urban_area_finals!AD61/[2]Urban_area_finals!$G61</f>
        <v>4.2688695864684471E-4</v>
      </c>
      <c r="AE152" s="1">
        <f>[2]Urban_area_finals!AE61/[2]Urban_area_finals!$G61</f>
        <v>4.2688695864684471E-4</v>
      </c>
      <c r="AF152" s="1">
        <f>[2]Urban_area_finals!AF61/[2]Urban_area_finals!$G61</f>
        <v>4.2688695864684471E-4</v>
      </c>
      <c r="AG152" s="1">
        <f>[2]Urban_area_finals!AG61/[2]Urban_area_finals!$G61</f>
        <v>4.2688695864684471E-4</v>
      </c>
      <c r="AH152" s="1">
        <f>[2]Urban_area_finals!AH61/[2]Urban_area_finals!$G61</f>
        <v>4.2688695864684471E-4</v>
      </c>
      <c r="AI152" s="1">
        <f>[2]Urban_area_finals!AI61/[2]Urban_area_finals!$G61</f>
        <v>4.2688695864684471E-4</v>
      </c>
      <c r="AJ152" s="1">
        <f>[2]Urban_area_finals!AJ61/[2]Urban_area_finals!$G61</f>
        <v>4.5199795621430618E-4</v>
      </c>
      <c r="AK152" s="1">
        <f>[2]Urban_area_finals!AK61/[2]Urban_area_finals!$G61</f>
        <v>4.5199795621430618E-4</v>
      </c>
      <c r="AL152" s="1">
        <f>[2]Urban_area_finals!AL61/[2]Urban_area_finals!$G61</f>
        <v>4.5199795621430618E-4</v>
      </c>
      <c r="AM152" s="1">
        <f>[2]Urban_area_finals!AM61/[2]Urban_area_finals!$G61</f>
        <v>5.0221995134922914E-4</v>
      </c>
      <c r="AN152" s="1">
        <f>[2]Urban_area_finals!AN61/[2]Urban_area_finals!$G61</f>
        <v>5.0221995134922914E-4</v>
      </c>
      <c r="AO152" s="1">
        <f>[2]Urban_area_finals!AO61/[2]Urban_area_finals!$G61</f>
        <v>5.2733094891669057E-4</v>
      </c>
      <c r="AP152" s="1">
        <f>[2]Urban_area_finals!AP61/[2]Urban_area_finals!$G61</f>
        <v>5.5244194648415199E-4</v>
      </c>
      <c r="AQ152" s="1">
        <f>[2]Urban_area_finals!AQ61/[2]Urban_area_finals!$G61</f>
        <v>6.7799693432145933E-4</v>
      </c>
      <c r="AR152" s="1">
        <f>[2]Urban_area_finals!AR61/[2]Urban_area_finals!$G61</f>
        <v>8.0355192215876656E-4</v>
      </c>
      <c r="AS152" s="1">
        <f>[2]Urban_area_finals!AS61/[2]Urban_area_finals!$G61</f>
        <v>8.0355192215876656E-4</v>
      </c>
      <c r="AT152" s="1">
        <f>[2]Urban_area_finals!AT61/[2]Urban_area_finals!$G61</f>
        <v>8.0355192215876656E-4</v>
      </c>
      <c r="AU152" s="1">
        <f>[2]Urban_area_finals!AU61/[2]Urban_area_finals!$G61</f>
        <v>8.3368511923972044E-4</v>
      </c>
      <c r="AV152" s="1">
        <f>[2]Urban_area_finals!AV61/[2]Urban_area_finals!$G61</f>
        <v>8.7888491486115105E-4</v>
      </c>
      <c r="AW152" s="1">
        <f>[2]Urban_area_finals!AW61/[2]Urban_area_finals!$G61</f>
        <v>1.0295509002659197E-3</v>
      </c>
      <c r="AX152" s="1">
        <f>[2]Urban_area_finals!AX61/[2]Urban_area_finals!$G61</f>
        <v>1.3811048662103801E-3</v>
      </c>
      <c r="AY152" s="1">
        <f>[2]Urban_area_finals!AY61/[2]Urban_area_finals!$G61</f>
        <v>2.0842127980993013E-3</v>
      </c>
    </row>
    <row r="153" spans="1:51" x14ac:dyDescent="0.25">
      <c r="A153" t="s">
        <v>544</v>
      </c>
      <c r="B153" t="s">
        <v>545</v>
      </c>
      <c r="C153" t="s">
        <v>546</v>
      </c>
      <c r="D153" t="s">
        <v>75</v>
      </c>
      <c r="E153" t="s">
        <v>76</v>
      </c>
      <c r="F153" t="s">
        <v>77</v>
      </c>
      <c r="G153">
        <v>177598.80127767011</v>
      </c>
      <c r="H153">
        <v>1035.4431288188489</v>
      </c>
      <c r="I153">
        <f>Table2[[#This Row],[FUA_area]]+Table2[[#This Row],[FUA_urban]]</f>
        <v>178634.24440648896</v>
      </c>
      <c r="J153">
        <v>3428267</v>
      </c>
      <c r="K153" s="1">
        <f>[2]Urban_area_finals!K97/[2]Urban_area_finals!$G97</f>
        <v>3.1661422435795858E-5</v>
      </c>
      <c r="L153" s="1">
        <f>[2]Urban_area_finals!L97/[2]Urban_area_finals!$G97</f>
        <v>3.1661422435795858E-5</v>
      </c>
      <c r="M153" s="1">
        <f>[2]Urban_area_finals!M97/[2]Urban_area_finals!$G97</f>
        <v>3.1661422435795858E-5</v>
      </c>
      <c r="N153" s="1">
        <f>[2]Urban_area_finals!N97/[2]Urban_area_finals!$G97</f>
        <v>3.1661422435795858E-5</v>
      </c>
      <c r="O153" s="1">
        <f>[2]Urban_area_finals!O97/[2]Urban_area_finals!$G97</f>
        <v>3.1661422435795858E-5</v>
      </c>
      <c r="P153" s="1">
        <f>[2]Urban_area_finals!P97/[2]Urban_area_finals!$G97</f>
        <v>3.1661422435795858E-5</v>
      </c>
      <c r="Q153" s="1">
        <f>[2]Urban_area_finals!Q97/[2]Urban_area_finals!$G97</f>
        <v>3.1661422435795858E-5</v>
      </c>
      <c r="R153" s="1">
        <f>[2]Urban_area_finals!R97/[2]Urban_area_finals!$G97</f>
        <v>3.1661422435795858E-5</v>
      </c>
      <c r="S153" s="1">
        <f>[2]Urban_area_finals!S97/[2]Urban_area_finals!$G97</f>
        <v>3.1661422435795858E-5</v>
      </c>
      <c r="T153" s="1">
        <f>[2]Urban_area_finals!T97/[2]Urban_area_finals!$G97</f>
        <v>3.1661422435795858E-5</v>
      </c>
      <c r="U153" s="1">
        <f>[2]Urban_area_finals!U97/[2]Urban_area_finals!$G97</f>
        <v>3.5619100240270341E-5</v>
      </c>
      <c r="V153" s="1">
        <f>[2]Urban_area_finals!V97/[2]Urban_area_finals!$G97</f>
        <v>3.9576778044744817E-5</v>
      </c>
      <c r="W153" s="1">
        <f>[2]Urban_area_finals!W97/[2]Urban_area_finals!$G97</f>
        <v>4.7492133653693783E-5</v>
      </c>
      <c r="X153" s="1">
        <f>[2]Urban_area_finals!X97/[2]Urban_area_finals!$G97</f>
        <v>5.1449811458168259E-5</v>
      </c>
      <c r="Y153" s="1">
        <f>[2]Urban_area_finals!Y97/[2]Urban_area_finals!$G97</f>
        <v>9.102658950291307E-5</v>
      </c>
      <c r="Z153" s="1">
        <f>[2]Urban_area_finals!Z97/[2]Urban_area_finals!$G97</f>
        <v>2.0184156802819858E-4</v>
      </c>
      <c r="AA153" s="1">
        <f>[2]Urban_area_finals!AA97/[2]Urban_area_finals!$G97</f>
        <v>2.3350299046399442E-4</v>
      </c>
      <c r="AB153" s="1">
        <f>[2]Urban_area_finals!AB97/[2]Urban_area_finals!$G97</f>
        <v>2.4141834607294341E-4</v>
      </c>
      <c r="AC153" s="1">
        <f>[2]Urban_area_finals!AC97/[2]Urban_area_finals!$G97</f>
        <v>2.4537602387741784E-4</v>
      </c>
      <c r="AD153" s="1">
        <f>[2]Urban_area_finals!AD97/[2]Urban_area_finals!$G97</f>
        <v>2.6912209070426474E-4</v>
      </c>
      <c r="AE153" s="1">
        <f>[2]Urban_area_finals!AE97/[2]Urban_area_finals!$G97</f>
        <v>2.8891047972663713E-4</v>
      </c>
      <c r="AF153" s="1">
        <f>[2]Urban_area_finals!AF97/[2]Urban_area_finals!$G97</f>
        <v>3.0078351314006055E-4</v>
      </c>
      <c r="AG153" s="1">
        <f>[2]Urban_area_finals!AG97/[2]Urban_area_finals!$G97</f>
        <v>3.1661422435795854E-4</v>
      </c>
      <c r="AH153" s="1">
        <f>[2]Urban_area_finals!AH97/[2]Urban_area_finals!$G97</f>
        <v>3.245295799669075E-4</v>
      </c>
      <c r="AI153" s="1">
        <f>[2]Urban_area_finals!AI97/[2]Urban_area_finals!$G97</f>
        <v>3.3640261338033098E-4</v>
      </c>
      <c r="AJ153" s="1">
        <f>[2]Urban_area_finals!AJ97/[2]Urban_area_finals!$G97</f>
        <v>3.5223332459822886E-4</v>
      </c>
      <c r="AK153" s="1">
        <f>[2]Urban_area_finals!AK97/[2]Urban_area_finals!$G97</f>
        <v>3.8389474703402467E-4</v>
      </c>
      <c r="AL153" s="1">
        <f>[2]Urban_area_finals!AL97/[2]Urban_area_finals!$G97</f>
        <v>4.3138688068771846E-4</v>
      </c>
      <c r="AM153" s="1">
        <f>[2]Urban_area_finals!AM97/[2]Urban_area_finals!$G97</f>
        <v>4.6304830312351433E-4</v>
      </c>
      <c r="AN153" s="1">
        <f>[2]Urban_area_finals!AN97/[2]Urban_area_finals!$G97</f>
        <v>4.9866740336378459E-4</v>
      </c>
      <c r="AO153" s="1">
        <f>[2]Urban_area_finals!AO97/[2]Urban_area_finals!$G97</f>
        <v>5.4220185921300388E-4</v>
      </c>
      <c r="AP153" s="1">
        <f>[2]Urban_area_finals!AP97/[2]Urban_area_finals!$G97</f>
        <v>6.2531309310696805E-4</v>
      </c>
      <c r="AQ153" s="1">
        <f>[2]Urban_area_finals!AQ97/[2]Urban_area_finals!$G97</f>
        <v>7.0446664919645771E-4</v>
      </c>
      <c r="AR153" s="1">
        <f>[2]Urban_area_finals!AR97/[2]Urban_area_finals!$G97</f>
        <v>7.2425503821883016E-4</v>
      </c>
      <c r="AS153" s="1">
        <f>[2]Urban_area_finals!AS97/[2]Urban_area_finals!$G97</f>
        <v>7.4800110504567711E-4</v>
      </c>
      <c r="AT153" s="1">
        <f>[2]Urban_area_finals!AT97/[2]Urban_area_finals!$G97</f>
        <v>8.1528162772174313E-4</v>
      </c>
      <c r="AU153" s="1">
        <f>[2]Urban_area_finals!AU97/[2]Urban_area_finals!$G97</f>
        <v>8.7385525922796558E-4</v>
      </c>
      <c r="AV153" s="1">
        <f>[2]Urban_area_finals!AV97/[2]Urban_area_finals!$G97</f>
        <v>9.6171570648729892E-4</v>
      </c>
      <c r="AW153" s="1">
        <f>[2]Urban_area_finals!AW97/[2]Urban_area_finals!$G97</f>
        <v>1.175430307928921E-3</v>
      </c>
      <c r="AX153" s="1">
        <f>[2]Urban_area_finals!AX97/[2]Urban_area_finals!$G97</f>
        <v>1.480171498873456E-3</v>
      </c>
      <c r="AY153" s="1">
        <f>[2]Urban_area_finals!AY97/[2]Urban_area_finals!$G97</f>
        <v>1.8957276683432764E-3</v>
      </c>
    </row>
    <row r="154" spans="1:51" x14ac:dyDescent="0.25">
      <c r="A154" t="s">
        <v>412</v>
      </c>
      <c r="B154" t="s">
        <v>413</v>
      </c>
      <c r="C154" t="s">
        <v>414</v>
      </c>
      <c r="D154" t="s">
        <v>91</v>
      </c>
      <c r="E154" t="s">
        <v>66</v>
      </c>
      <c r="F154" t="s">
        <v>66</v>
      </c>
      <c r="G154">
        <v>325121.23224453279</v>
      </c>
      <c r="H154">
        <v>6483.1746288197637</v>
      </c>
      <c r="I154">
        <f>Table2[[#This Row],[FUA_area]]+Table2[[#This Row],[FUA_urban]]</f>
        <v>331604.40687335253</v>
      </c>
      <c r="J154">
        <v>5367948</v>
      </c>
      <c r="K154" s="1">
        <f>[2]Urban_area_finals!K138/[2]Urban_area_finals!$G138</f>
        <v>3.8457144349742223E-5</v>
      </c>
      <c r="L154" s="1">
        <f>[2]Urban_area_finals!L138/[2]Urban_area_finals!$G138</f>
        <v>3.9148997914439083E-5</v>
      </c>
      <c r="M154" s="1">
        <f>[2]Urban_area_finals!M138/[2]Urban_area_finals!$G138</f>
        <v>3.9972495828561019E-5</v>
      </c>
      <c r="N154" s="1">
        <f>[2]Urban_area_finals!N138/[2]Urban_area_finals!$G138</f>
        <v>4.134031378269758E-5</v>
      </c>
      <c r="O154" s="1">
        <f>[2]Urban_area_finals!O138/[2]Urban_area_finals!$G138</f>
        <v>4.3090786268336459E-5</v>
      </c>
      <c r="P154" s="1">
        <f>[2]Urban_area_finals!P138/[2]Urban_area_finals!$G138</f>
        <v>4.4029878382881982E-5</v>
      </c>
      <c r="Q154" s="1">
        <f>[2]Urban_area_finals!Q138/[2]Urban_area_finals!$G138</f>
        <v>4.5504858270169287E-5</v>
      </c>
      <c r="R154" s="1">
        <f>[2]Urban_area_finals!R138/[2]Urban_area_finals!$G138</f>
        <v>4.7501612685401252E-5</v>
      </c>
      <c r="S154" s="1">
        <f>[2]Urban_area_finals!S138/[2]Urban_area_finals!$G138</f>
        <v>5.4818857175137987E-5</v>
      </c>
      <c r="T154" s="1">
        <f>[2]Urban_area_finals!T138/[2]Urban_area_finals!$G138</f>
        <v>6.5978133963649917E-5</v>
      </c>
      <c r="U154" s="1">
        <f>[2]Urban_area_finals!U138/[2]Urban_area_finals!$G138</f>
        <v>9.1204318512091162E-5</v>
      </c>
      <c r="V154" s="1">
        <f>[2]Urban_area_finals!V138/[2]Urban_area_finals!$G138</f>
        <v>1.2357414883905674E-4</v>
      </c>
      <c r="W154" s="1">
        <f>[2]Urban_area_finals!W138/[2]Urban_area_finals!$G138</f>
        <v>1.6507873528779585E-4</v>
      </c>
      <c r="X154" s="1">
        <f>[2]Urban_area_finals!X138/[2]Urban_area_finals!$G138</f>
        <v>1.7889440508576923E-4</v>
      </c>
      <c r="Y154" s="1">
        <f>[2]Urban_area_finals!Y138/[2]Urban_area_finals!$G138</f>
        <v>2.0662019458257206E-4</v>
      </c>
      <c r="Z154" s="1">
        <f>[2]Urban_area_finals!Z138/[2]Urban_area_finals!$G138</f>
        <v>2.3662264628046404E-4</v>
      </c>
      <c r="AA154" s="1">
        <f>[2]Urban_area_finals!AA138/[2]Urban_area_finals!$G138</f>
        <v>2.5871651012872993E-4</v>
      </c>
      <c r="AB154" s="1">
        <f>[2]Urban_area_finals!AB138/[2]Urban_area_finals!$G138</f>
        <v>2.6444616099475062E-4</v>
      </c>
      <c r="AC154" s="1">
        <f>[2]Urban_area_finals!AC138/[2]Urban_area_finals!$G138</f>
        <v>2.7638412027122599E-4</v>
      </c>
      <c r="AD154" s="1">
        <f>[2]Urban_area_finals!AD138/[2]Urban_area_finals!$G138</f>
        <v>2.8843085802100987E-4</v>
      </c>
      <c r="AE154" s="1">
        <f>[2]Urban_area_finals!AE138/[2]Urban_area_finals!$G138</f>
        <v>2.9716817157525763E-4</v>
      </c>
      <c r="AF154" s="1">
        <f>[2]Urban_area_finals!AF138/[2]Urban_area_finals!$G138</f>
        <v>3.0844876634450246E-4</v>
      </c>
      <c r="AG154" s="1">
        <f>[2]Urban_area_finals!AG138/[2]Urban_area_finals!$G138</f>
        <v>3.1817992324210004E-4</v>
      </c>
      <c r="AH154" s="1">
        <f>[2]Urban_area_finals!AH138/[2]Urban_area_finals!$G138</f>
        <v>3.2568573838746135E-4</v>
      </c>
      <c r="AI154" s="1">
        <f>[2]Urban_area_finals!AI138/[2]Urban_area_finals!$G138</f>
        <v>3.3391836768480393E-4</v>
      </c>
      <c r="AJ154" s="1">
        <f>[2]Urban_area_finals!AJ138/[2]Urban_area_finals!$G138</f>
        <v>3.4590532023693937E-4</v>
      </c>
      <c r="AK154" s="1">
        <f>[2]Urban_area_finals!AK138/[2]Urban_area_finals!$G138</f>
        <v>3.5925450408502561E-4</v>
      </c>
      <c r="AL154" s="1">
        <f>[2]Urban_area_finals!AL138/[2]Urban_area_finals!$G138</f>
        <v>3.7655582886511667E-4</v>
      </c>
      <c r="AM154" s="1">
        <f>[2]Urban_area_finals!AM138/[2]Urban_area_finals!$G138</f>
        <v>4.0633342689943875E-4</v>
      </c>
      <c r="AN154" s="1">
        <f>[2]Urban_area_finals!AN138/[2]Urban_area_finals!$G138</f>
        <v>4.2973645300363098E-4</v>
      </c>
      <c r="AO154" s="1">
        <f>[2]Urban_area_finals!AO138/[2]Urban_area_finals!$G138</f>
        <v>4.5528923526199613E-4</v>
      </c>
      <c r="AP154" s="1">
        <f>[2]Urban_area_finals!AP138/[2]Urban_area_finals!$G138</f>
        <v>4.9682690309830677E-4</v>
      </c>
      <c r="AQ154" s="1">
        <f>[2]Urban_area_finals!AQ138/[2]Urban_area_finals!$G138</f>
        <v>5.5827836082285906E-4</v>
      </c>
      <c r="AR154" s="1">
        <f>[2]Urban_area_finals!AR138/[2]Urban_area_finals!$G138</f>
        <v>6.2691634254275397E-4</v>
      </c>
      <c r="AS154" s="1">
        <f>[2]Urban_area_finals!AS138/[2]Urban_area_finals!$G138</f>
        <v>6.8344925133695898E-4</v>
      </c>
      <c r="AT154" s="1">
        <f>[2]Urban_area_finals!AT138/[2]Urban_area_finals!$G138</f>
        <v>7.0914565420516747E-4</v>
      </c>
      <c r="AU154" s="1">
        <f>[2]Urban_area_finals!AU138/[2]Urban_area_finals!$G138</f>
        <v>7.4181869204031524E-4</v>
      </c>
      <c r="AV154" s="1">
        <f>[2]Urban_area_finals!AV138/[2]Urban_area_finals!$G138</f>
        <v>7.9082824879303743E-4</v>
      </c>
      <c r="AW154" s="1">
        <f>[2]Urban_area_finals!AW138/[2]Urban_area_finals!$G138</f>
        <v>9.0077780774986663E-4</v>
      </c>
      <c r="AX154" s="1">
        <f>[2]Urban_area_finals!AX138/[2]Urban_area_finals!$G138</f>
        <v>1.113923712066313E-3</v>
      </c>
      <c r="AY154" s="1">
        <f>[2]Urban_area_finals!AY138/[2]Urban_area_finals!$G138</f>
        <v>1.5823956752708365E-3</v>
      </c>
    </row>
    <row r="155" spans="1:51" x14ac:dyDescent="0.25">
      <c r="A155" t="s">
        <v>421</v>
      </c>
      <c r="B155" t="s">
        <v>422</v>
      </c>
      <c r="C155" t="s">
        <v>423</v>
      </c>
      <c r="D155" t="s">
        <v>70</v>
      </c>
      <c r="E155" t="s">
        <v>71</v>
      </c>
      <c r="F155" t="s">
        <v>70</v>
      </c>
      <c r="G155">
        <v>309136.63668124401</v>
      </c>
      <c r="H155">
        <v>1373.5311494698201</v>
      </c>
      <c r="I155">
        <f>Table2[[#This Row],[FUA_area]]+Table2[[#This Row],[FUA_urban]]</f>
        <v>310510.16783071385</v>
      </c>
      <c r="J155">
        <v>4589135.0000000009</v>
      </c>
      <c r="K155" s="1">
        <f>[2]Urban_area_finals!K94/[2]Urban_area_finals!$G94</f>
        <v>4.1510131415135271E-5</v>
      </c>
      <c r="L155" s="1">
        <f>[2]Urban_area_finals!L94/[2]Urban_area_finals!$G94</f>
        <v>4.1510131415135271E-5</v>
      </c>
      <c r="M155" s="1">
        <f>[2]Urban_area_finals!M94/[2]Urban_area_finals!$G94</f>
        <v>4.1510131415135271E-5</v>
      </c>
      <c r="N155" s="1">
        <f>[2]Urban_area_finals!N94/[2]Urban_area_finals!$G94</f>
        <v>4.1510131415135271E-5</v>
      </c>
      <c r="O155" s="1">
        <f>[2]Urban_area_finals!O94/[2]Urban_area_finals!$G94</f>
        <v>4.1510131415135271E-5</v>
      </c>
      <c r="P155" s="1">
        <f>[2]Urban_area_finals!P94/[2]Urban_area_finals!$G94</f>
        <v>4.1510131415135271E-5</v>
      </c>
      <c r="Q155" s="1">
        <f>[2]Urban_area_finals!Q94/[2]Urban_area_finals!$G94</f>
        <v>4.1510131415135271E-5</v>
      </c>
      <c r="R155" s="1">
        <f>[2]Urban_area_finals!R94/[2]Urban_area_finals!$G94</f>
        <v>4.1510131415135271E-5</v>
      </c>
      <c r="S155" s="1">
        <f>[2]Urban_area_finals!S94/[2]Urban_area_finals!$G94</f>
        <v>4.9812157698162319E-5</v>
      </c>
      <c r="T155" s="1">
        <f>[2]Urban_area_finals!T94/[2]Urban_area_finals!$G94</f>
        <v>5.8114183981189373E-5</v>
      </c>
      <c r="U155" s="1">
        <f>[2]Urban_area_finals!U94/[2]Urban_area_finals!$G94</f>
        <v>7.4718236547243488E-5</v>
      </c>
      <c r="V155" s="1">
        <f>[2]Urban_area_finals!V94/[2]Urban_area_finals!$G94</f>
        <v>1.0792634167935171E-4</v>
      </c>
      <c r="W155" s="1">
        <f>[2]Urban_area_finals!W94/[2]Urban_area_finals!$G94</f>
        <v>1.5773849937751402E-4</v>
      </c>
      <c r="X155" s="1">
        <f>[2]Urban_area_finals!X94/[2]Urban_area_finals!$G94</f>
        <v>1.6604052566054109E-4</v>
      </c>
      <c r="Y155" s="1">
        <f>[2]Urban_area_finals!Y94/[2]Urban_area_finals!$G94</f>
        <v>2.1585268335870341E-4</v>
      </c>
      <c r="Z155" s="1">
        <f>[2]Urban_area_finals!Z94/[2]Urban_area_finals!$G94</f>
        <v>3.1547699875502804E-4</v>
      </c>
      <c r="AA155" s="1">
        <f>[2]Urban_area_finals!AA94/[2]Urban_area_finals!$G94</f>
        <v>3.4868510388713625E-4</v>
      </c>
      <c r="AB155" s="1">
        <f>[2]Urban_area_finals!AB94/[2]Urban_area_finals!$G94</f>
        <v>3.5698713017016329E-4</v>
      </c>
      <c r="AC155" s="1">
        <f>[2]Urban_area_finals!AC94/[2]Urban_area_finals!$G94</f>
        <v>3.5698713017016329E-4</v>
      </c>
      <c r="AD155" s="1">
        <f>[2]Urban_area_finals!AD94/[2]Urban_area_finals!$G94</f>
        <v>3.8189320901924447E-4</v>
      </c>
      <c r="AE155" s="1">
        <f>[2]Urban_area_finals!AE94/[2]Urban_area_finals!$G94</f>
        <v>3.8189320901924447E-4</v>
      </c>
      <c r="AF155" s="1">
        <f>[2]Urban_area_finals!AF94/[2]Urban_area_finals!$G94</f>
        <v>3.9019523530227151E-4</v>
      </c>
      <c r="AG155" s="1">
        <f>[2]Urban_area_finals!AG94/[2]Urban_area_finals!$G94</f>
        <v>3.9019523530227151E-4</v>
      </c>
      <c r="AH155" s="1">
        <f>[2]Urban_area_finals!AH94/[2]Urban_area_finals!$G94</f>
        <v>3.9849726158529855E-4</v>
      </c>
      <c r="AI155" s="1">
        <f>[2]Urban_area_finals!AI94/[2]Urban_area_finals!$G94</f>
        <v>3.9849726158529855E-4</v>
      </c>
      <c r="AJ155" s="1">
        <f>[2]Urban_area_finals!AJ94/[2]Urban_area_finals!$G94</f>
        <v>4.1510131415135263E-4</v>
      </c>
      <c r="AK155" s="1">
        <f>[2]Urban_area_finals!AK94/[2]Urban_area_finals!$G94</f>
        <v>4.2340334043437973E-4</v>
      </c>
      <c r="AL155" s="1">
        <f>[2]Urban_area_finals!AL94/[2]Urban_area_finals!$G94</f>
        <v>4.483094192834609E-4</v>
      </c>
      <c r="AM155" s="1">
        <f>[2]Urban_area_finals!AM94/[2]Urban_area_finals!$G94</f>
        <v>5.2302765583070443E-4</v>
      </c>
      <c r="AN155" s="1">
        <f>[2]Urban_area_finals!AN94/[2]Urban_area_finals!$G94</f>
        <v>6.0604791866097495E-4</v>
      </c>
      <c r="AO155" s="1">
        <f>[2]Urban_area_finals!AO94/[2]Urban_area_finals!$G94</f>
        <v>6.5586007635913719E-4</v>
      </c>
      <c r="AP155" s="1">
        <f>[2]Urban_area_finals!AP94/[2]Urban_area_finals!$G94</f>
        <v>7.0567223405729955E-4</v>
      </c>
      <c r="AQ155" s="1">
        <f>[2]Urban_area_finals!AQ94/[2]Urban_area_finals!$G94</f>
        <v>7.3057831290638078E-4</v>
      </c>
      <c r="AR155" s="1">
        <f>[2]Urban_area_finals!AR94/[2]Urban_area_finals!$G94</f>
        <v>7.3888033918940782E-4</v>
      </c>
      <c r="AS155" s="1">
        <f>[2]Urban_area_finals!AS94/[2]Urban_area_finals!$G94</f>
        <v>7.969945231705971E-4</v>
      </c>
      <c r="AT155" s="1">
        <f>[2]Urban_area_finals!AT94/[2]Urban_area_finals!$G94</f>
        <v>8.6341073343481364E-4</v>
      </c>
      <c r="AU155" s="1">
        <f>[2]Urban_area_finals!AU94/[2]Urban_area_finals!$G94</f>
        <v>9.1322289113297589E-4</v>
      </c>
      <c r="AV155" s="1">
        <f>[2]Urban_area_finals!AV94/[2]Urban_area_finals!$G94</f>
        <v>9.8794112768021947E-4</v>
      </c>
      <c r="AW155" s="1">
        <f>[2]Urban_area_finals!AW94/[2]Urban_area_finals!$G94</f>
        <v>1.1373776007747062E-3</v>
      </c>
      <c r="AX155" s="1">
        <f>[2]Urban_area_finals!AX94/[2]Urban_area_finals!$G94</f>
        <v>1.3117201527182744E-3</v>
      </c>
      <c r="AY155" s="1">
        <f>[2]Urban_area_finals!AY94/[2]Urban_area_finals!$G94</f>
        <v>1.5109687835109238E-3</v>
      </c>
    </row>
    <row r="156" spans="1:51" x14ac:dyDescent="0.25">
      <c r="A156" t="s">
        <v>526</v>
      </c>
      <c r="B156" t="s">
        <v>527</v>
      </c>
      <c r="C156" t="s">
        <v>528</v>
      </c>
      <c r="D156" t="s">
        <v>204</v>
      </c>
      <c r="E156" t="s">
        <v>61</v>
      </c>
      <c r="F156" t="s">
        <v>61</v>
      </c>
      <c r="G156">
        <v>154868.62410895459</v>
      </c>
      <c r="H156">
        <v>2791.150057493192</v>
      </c>
      <c r="I156">
        <f>Table2[[#This Row],[FUA_area]]+Table2[[#This Row],[FUA_urban]]</f>
        <v>157659.77416644778</v>
      </c>
      <c r="J156">
        <v>12106245</v>
      </c>
      <c r="K156" s="1">
        <f>[2]Urban_area_finals!K136/[2]Urban_area_finals!$G136</f>
        <v>3.3737693099235617E-5</v>
      </c>
      <c r="L156" s="1">
        <f>[2]Urban_area_finals!L136/[2]Urban_area_finals!$G136</f>
        <v>3.4344642565453884E-5</v>
      </c>
      <c r="M156" s="1">
        <f>[2]Urban_area_finals!M136/[2]Urban_area_finals!$G136</f>
        <v>3.5067081019069662E-5</v>
      </c>
      <c r="N156" s="1">
        <f>[2]Urban_area_finals!N136/[2]Urban_area_finals!$G136</f>
        <v>3.626704069190982E-5</v>
      </c>
      <c r="O156" s="1">
        <f>[2]Urban_area_finals!O136/[2]Urban_area_finals!$G136</f>
        <v>3.7802695626713541E-5</v>
      </c>
      <c r="P156" s="1">
        <f>[2]Urban_area_finals!P136/[2]Urban_area_finals!$G136</f>
        <v>3.8626542589044264E-5</v>
      </c>
      <c r="Q156" s="1">
        <f>[2]Urban_area_finals!Q136/[2]Urban_area_finals!$G136</f>
        <v>3.9920513309082343E-5</v>
      </c>
      <c r="R156" s="1">
        <f>[2]Urban_area_finals!R136/[2]Urban_area_finals!$G136</f>
        <v>4.1672226515944277E-5</v>
      </c>
      <c r="S156" s="1">
        <f>[2]Urban_area_finals!S136/[2]Urban_area_finals!$G136</f>
        <v>4.8091500570245347E-5</v>
      </c>
      <c r="T156" s="1">
        <f>[2]Urban_area_finals!T136/[2]Urban_area_finals!$G136</f>
        <v>5.7881313669115303E-5</v>
      </c>
      <c r="U156" s="1">
        <f>[2]Urban_area_finals!U136/[2]Urban_area_finals!$G136</f>
        <v>8.0011747084036673E-5</v>
      </c>
      <c r="V156" s="1">
        <f>[2]Urban_area_finals!V136/[2]Urban_area_finals!$G136</f>
        <v>1.0840915983298445E-4</v>
      </c>
      <c r="W156" s="1">
        <f>[2]Urban_area_finals!W136/[2]Urban_area_finals!$G136</f>
        <v>1.4482031368995667E-4</v>
      </c>
      <c r="X156" s="1">
        <f>[2]Urban_area_finals!X136/[2]Urban_area_finals!$G136</f>
        <v>1.5694052790465375E-4</v>
      </c>
      <c r="Y156" s="1">
        <f>[2]Urban_area_finals!Y136/[2]Urban_area_finals!$G136</f>
        <v>1.8126381536641287E-4</v>
      </c>
      <c r="Z156" s="1">
        <f>[2]Urban_area_finals!Z136/[2]Urban_area_finals!$G136</f>
        <v>2.0758437360658558E-4</v>
      </c>
      <c r="AA156" s="1">
        <f>[2]Urban_area_finals!AA136/[2]Urban_area_finals!$G136</f>
        <v>2.2696688394355208E-4</v>
      </c>
      <c r="AB156" s="1">
        <f>[2]Urban_area_finals!AB136/[2]Urban_area_finals!$G136</f>
        <v>2.3199339347129011E-4</v>
      </c>
      <c r="AC156" s="1">
        <f>[2]Urban_area_finals!AC136/[2]Urban_area_finals!$G136</f>
        <v>2.4246632933564008E-4</v>
      </c>
      <c r="AD156" s="1">
        <f>[2]Urban_area_finals!AD136/[2]Urban_area_finals!$G136</f>
        <v>2.5303469440593701E-4</v>
      </c>
      <c r="AE156" s="1">
        <f>[2]Urban_area_finals!AE136/[2]Urban_area_finals!$G136</f>
        <v>2.6069976700010062E-4</v>
      </c>
      <c r="AF156" s="1">
        <f>[2]Urban_area_finals!AF136/[2]Urban_area_finals!$G136</f>
        <v>2.7059600996708983E-4</v>
      </c>
      <c r="AG156" s="1">
        <f>[2]Urban_area_finals!AG136/[2]Urban_area_finals!$G136</f>
        <v>2.7913296169512048E-4</v>
      </c>
      <c r="AH156" s="1">
        <f>[2]Urban_area_finals!AH136/[2]Urban_area_finals!$G136</f>
        <v>2.857176650607903E-4</v>
      </c>
      <c r="AI156" s="1">
        <f>[2]Urban_area_finals!AI136/[2]Urban_area_finals!$G136</f>
        <v>2.9293998812533111E-4</v>
      </c>
      <c r="AJ156" s="1">
        <f>[2]Urban_area_finals!AJ136/[2]Urban_area_finals!$G136</f>
        <v>3.0345590482266005E-4</v>
      </c>
      <c r="AK156" s="1">
        <f>[2]Urban_area_finals!AK136/[2]Urban_area_finals!$G136</f>
        <v>3.151668801279553E-4</v>
      </c>
      <c r="AL156" s="1">
        <f>[2]Urban_area_finals!AL136/[2]Urban_area_finals!$G136</f>
        <v>3.3034499060679087E-4</v>
      </c>
      <c r="AM156" s="1">
        <f>[2]Urban_area_finals!AM136/[2]Urban_area_finals!$G136</f>
        <v>3.5646828916941788E-4</v>
      </c>
      <c r="AN156" s="1">
        <f>[2]Urban_area_finals!AN136/[2]Urban_area_finals!$G136</f>
        <v>3.7699930169380279E-4</v>
      </c>
      <c r="AO156" s="1">
        <f>[2]Urban_area_finals!AO136/[2]Urban_area_finals!$G136</f>
        <v>3.9941625282839986E-4</v>
      </c>
      <c r="AP156" s="1">
        <f>[2]Urban_area_finals!AP136/[2]Urban_area_finals!$G136</f>
        <v>4.3585642833323643E-4</v>
      </c>
      <c r="AQ156" s="1">
        <f>[2]Urban_area_finals!AQ136/[2]Urban_area_finals!$G136</f>
        <v>4.8976657835261752E-4</v>
      </c>
      <c r="AR156" s="1">
        <f>[2]Urban_area_finals!AR136/[2]Urban_area_finals!$G136</f>
        <v>5.49981323918672E-4</v>
      </c>
      <c r="AS156" s="1">
        <f>[2]Urban_area_finals!AS136/[2]Urban_area_finals!$G136</f>
        <v>5.9957652811689396E-4</v>
      </c>
      <c r="AT156" s="1">
        <f>[2]Urban_area_finals!AT136/[2]Urban_area_finals!$G136</f>
        <v>6.2211947477558796E-4</v>
      </c>
      <c r="AU156" s="1">
        <f>[2]Urban_area_finals!AU136/[2]Urban_area_finals!$G136</f>
        <v>6.5078288548224691E-4</v>
      </c>
      <c r="AV156" s="1">
        <f>[2]Urban_area_finals!AV136/[2]Urban_area_finals!$G136</f>
        <v>6.9377800154223578E-4</v>
      </c>
      <c r="AW156" s="1">
        <f>[2]Urban_area_finals!AW136/[2]Urban_area_finals!$G136</f>
        <v>7.9023457779623123E-4</v>
      </c>
      <c r="AX156" s="1">
        <f>[2]Urban_area_finals!AX136/[2]Urban_area_finals!$G136</f>
        <v>9.7722326941070635E-4</v>
      </c>
      <c r="AY156" s="1">
        <f>[2]Urban_area_finals!AY136/[2]Urban_area_finals!$G136</f>
        <v>1.3882044690664357E-3</v>
      </c>
    </row>
    <row r="157" spans="1:51" x14ac:dyDescent="0.25">
      <c r="A157" t="s">
        <v>275</v>
      </c>
      <c r="B157" t="s">
        <v>276</v>
      </c>
      <c r="C157" t="s">
        <v>277</v>
      </c>
      <c r="D157" t="s">
        <v>276</v>
      </c>
      <c r="E157" t="s">
        <v>55</v>
      </c>
      <c r="F157" t="s">
        <v>56</v>
      </c>
      <c r="G157">
        <v>3019311.708603275</v>
      </c>
      <c r="H157">
        <v>128270.3263849057</v>
      </c>
      <c r="I157">
        <f>Table2[[#This Row],[FUA_area]]+Table2[[#This Row],[FUA_urban]]</f>
        <v>3147582.0349881807</v>
      </c>
      <c r="J157">
        <v>1309657000</v>
      </c>
      <c r="K157" s="1">
        <f>[2]Urban_area_finals!K24/[2]Urban_area_finals!$G24</f>
        <v>1.7642076306023411E-5</v>
      </c>
      <c r="L157" s="1">
        <f>[2]Urban_area_finals!L24/[2]Urban_area_finals!$G24</f>
        <v>1.7642076306023411E-5</v>
      </c>
      <c r="M157" s="1">
        <f>[2]Urban_area_finals!M24/[2]Urban_area_finals!$G24</f>
        <v>1.7642076306023411E-5</v>
      </c>
      <c r="N157" s="1">
        <f>[2]Urban_area_finals!N24/[2]Urban_area_finals!$G24</f>
        <v>1.7642076306023411E-5</v>
      </c>
      <c r="O157" s="1">
        <f>[2]Urban_area_finals!O24/[2]Urban_area_finals!$G24</f>
        <v>1.7642076306023411E-5</v>
      </c>
      <c r="P157" s="1">
        <f>[2]Urban_area_finals!P24/[2]Urban_area_finals!$G24</f>
        <v>1.7642076306023411E-5</v>
      </c>
      <c r="Q157" s="1">
        <f>[2]Urban_area_finals!Q24/[2]Urban_area_finals!$G24</f>
        <v>1.7642076306023411E-5</v>
      </c>
      <c r="R157" s="1">
        <f>[2]Urban_area_finals!R24/[2]Urban_area_finals!$G24</f>
        <v>1.7642076306023411E-5</v>
      </c>
      <c r="S157" s="1">
        <f>[2]Urban_area_finals!S24/[2]Urban_area_finals!$G24</f>
        <v>1.7642076306023411E-5</v>
      </c>
      <c r="T157" s="1">
        <f>[2]Urban_area_finals!T24/[2]Urban_area_finals!$G24</f>
        <v>1.7642076306023411E-5</v>
      </c>
      <c r="U157" s="1">
        <f>[2]Urban_area_finals!U24/[2]Urban_area_finals!$G24</f>
        <v>3.1755737350842144E-5</v>
      </c>
      <c r="V157" s="1">
        <f>[2]Urban_area_finals!V24/[2]Urban_area_finals!$G24</f>
        <v>5.2926228918070238E-5</v>
      </c>
      <c r="W157" s="1">
        <f>[2]Urban_area_finals!W24/[2]Urban_area_finals!$G24</f>
        <v>1.4113661044818729E-4</v>
      </c>
      <c r="X157" s="1">
        <f>[2]Urban_area_finals!X24/[2]Urban_area_finals!$G24</f>
        <v>1.4819344097059668E-4</v>
      </c>
      <c r="Y157" s="1">
        <f>[2]Urban_area_finals!Y24/[2]Urban_area_finals!$G24</f>
        <v>1.8700600884384818E-4</v>
      </c>
      <c r="Z157" s="1">
        <f>[2]Urban_area_finals!Z24/[2]Urban_area_finals!$G24</f>
        <v>2.5757431406794179E-4</v>
      </c>
      <c r="AA157" s="1">
        <f>[2]Urban_area_finals!AA24/[2]Urban_area_finals!$G24</f>
        <v>3.0344371246360263E-4</v>
      </c>
      <c r="AB157" s="1">
        <f>[2]Urban_area_finals!AB24/[2]Urban_area_finals!$G24</f>
        <v>3.2108578876962609E-4</v>
      </c>
      <c r="AC157" s="1">
        <f>[2]Urban_area_finals!AC24/[2]Urban_area_finals!$G24</f>
        <v>3.3519944981444486E-4</v>
      </c>
      <c r="AD157" s="1">
        <f>[2]Urban_area_finals!AD24/[2]Urban_area_finals!$G24</f>
        <v>3.4225628033685419E-4</v>
      </c>
      <c r="AE157" s="1">
        <f>[2]Urban_area_finals!AE24/[2]Urban_area_finals!$G24</f>
        <v>3.6695518716528698E-4</v>
      </c>
      <c r="AF157" s="1">
        <f>[2]Urban_area_finals!AF24/[2]Urban_area_finals!$G24</f>
        <v>4.1282458556094788E-4</v>
      </c>
      <c r="AG157" s="1">
        <f>[2]Urban_area_finals!AG24/[2]Urban_area_finals!$G24</f>
        <v>4.4458032291178995E-4</v>
      </c>
      <c r="AH157" s="1">
        <f>[2]Urban_area_finals!AH24/[2]Urban_area_finals!$G24</f>
        <v>4.7633606026263213E-4</v>
      </c>
      <c r="AI157" s="1">
        <f>[2]Urban_area_finals!AI24/[2]Urban_area_finals!$G24</f>
        <v>4.9750655182986023E-4</v>
      </c>
      <c r="AJ157" s="1">
        <f>[2]Urban_area_finals!AJ24/[2]Urban_area_finals!$G24</f>
        <v>5.1867704339708827E-4</v>
      </c>
      <c r="AK157" s="1">
        <f>[2]Urban_area_finals!AK24/[2]Urban_area_finals!$G24</f>
        <v>5.2573387391949777E-4</v>
      </c>
      <c r="AL157" s="1">
        <f>[2]Urban_area_finals!AL24/[2]Urban_area_finals!$G24</f>
        <v>5.2573387391949777E-4</v>
      </c>
      <c r="AM157" s="1">
        <f>[2]Urban_area_finals!AM24/[2]Urban_area_finals!$G24</f>
        <v>5.3631911970311173E-4</v>
      </c>
      <c r="AN157" s="1">
        <f>[2]Urban_area_finals!AN24/[2]Urban_area_finals!$G24</f>
        <v>5.3984753496431643E-4</v>
      </c>
      <c r="AO157" s="1">
        <f>[2]Urban_area_finals!AO24/[2]Urban_area_finals!$G24</f>
        <v>5.7160327231515855E-4</v>
      </c>
      <c r="AP157" s="1">
        <f>[2]Urban_area_finals!AP24/[2]Urban_area_finals!$G24</f>
        <v>5.892453486211819E-4</v>
      </c>
      <c r="AQ157" s="1">
        <f>[2]Urban_area_finals!AQ24/[2]Urban_area_finals!$G24</f>
        <v>6.8098414541250369E-4</v>
      </c>
      <c r="AR157" s="1">
        <f>[2]Urban_area_finals!AR24/[2]Urban_area_finals!$G24</f>
        <v>8.3270600164430514E-4</v>
      </c>
      <c r="AS157" s="1">
        <f>[2]Urban_area_finals!AS24/[2]Urban_area_finals!$G24</f>
        <v>8.7857540003996582E-4</v>
      </c>
      <c r="AT157" s="1">
        <f>[2]Urban_area_finals!AT24/[2]Urban_area_finals!$G24</f>
        <v>9.2091638317442213E-4</v>
      </c>
      <c r="AU157" s="1">
        <f>[2]Urban_area_finals!AU24/[2]Urban_area_finals!$G24</f>
        <v>9.4914370526405956E-4</v>
      </c>
      <c r="AV157" s="1">
        <f>[2]Urban_area_finals!AV24/[2]Urban_area_finals!$G24</f>
        <v>9.9148468839851587E-4</v>
      </c>
      <c r="AW157" s="1">
        <f>[2]Urban_area_finals!AW24/[2]Urban_area_finals!$G24</f>
        <v>1.0761666546674283E-3</v>
      </c>
      <c r="AX157" s="1">
        <f>[2]Urban_area_finals!AX24/[2]Urban_area_finals!$G24</f>
        <v>1.1749622819811594E-3</v>
      </c>
      <c r="AY157" s="1">
        <f>[2]Urban_area_finals!AY24/[2]Urban_area_finals!$G24</f>
        <v>1.2878715703397092E-3</v>
      </c>
    </row>
    <row r="158" spans="1:51" x14ac:dyDescent="0.25">
      <c r="A158" t="s">
        <v>448</v>
      </c>
      <c r="B158" t="s">
        <v>449</v>
      </c>
      <c r="C158" t="s">
        <v>450</v>
      </c>
      <c r="D158" t="s">
        <v>75</v>
      </c>
      <c r="E158" t="s">
        <v>76</v>
      </c>
      <c r="F158" t="s">
        <v>77</v>
      </c>
      <c r="G158">
        <v>399285.30152349378</v>
      </c>
      <c r="H158">
        <v>2458.5137569630479</v>
      </c>
      <c r="I158">
        <f>Table2[[#This Row],[FUA_area]]+Table2[[#This Row],[FUA_urban]]</f>
        <v>401743.81528045685</v>
      </c>
      <c r="J158">
        <v>6573036</v>
      </c>
      <c r="K158" s="1">
        <f>[2]Urban_area_finals!K52/[2]Urban_area_finals!$G52</f>
        <v>8.1862884363678408E-5</v>
      </c>
      <c r="L158" s="1">
        <f>[2]Urban_area_finals!L52/[2]Urban_area_finals!$G52</f>
        <v>8.1862884363678408E-5</v>
      </c>
      <c r="M158" s="1">
        <f>[2]Urban_area_finals!M52/[2]Urban_area_finals!$G52</f>
        <v>8.1862884363678408E-5</v>
      </c>
      <c r="N158" s="1">
        <f>[2]Urban_area_finals!N52/[2]Urban_area_finals!$G52</f>
        <v>8.1862884363678408E-5</v>
      </c>
      <c r="O158" s="1">
        <f>[2]Urban_area_finals!O52/[2]Urban_area_finals!$G52</f>
        <v>8.8160029314730584E-5</v>
      </c>
      <c r="P158" s="1">
        <f>[2]Urban_area_finals!P52/[2]Urban_area_finals!$G52</f>
        <v>8.8160029314730584E-5</v>
      </c>
      <c r="Q158" s="1">
        <f>[2]Urban_area_finals!Q52/[2]Urban_area_finals!$G52</f>
        <v>9.4457174265782787E-5</v>
      </c>
      <c r="R158" s="1">
        <f>[2]Urban_area_finals!R52/[2]Urban_area_finals!$G52</f>
        <v>1.0075431921683496E-4</v>
      </c>
      <c r="S158" s="1">
        <f>[2]Urban_area_finals!S52/[2]Urban_area_finals!$G52</f>
        <v>1.1964575406999152E-4</v>
      </c>
      <c r="T158" s="1">
        <f>[2]Urban_area_finals!T52/[2]Urban_area_finals!$G52</f>
        <v>1.2594289902104371E-4</v>
      </c>
      <c r="U158" s="1">
        <f>[2]Urban_area_finals!U52/[2]Urban_area_finals!$G52</f>
        <v>1.7002291367840898E-4</v>
      </c>
      <c r="V158" s="1">
        <f>[2]Urban_area_finals!V52/[2]Urban_area_finals!$G52</f>
        <v>2.5188579804208741E-4</v>
      </c>
      <c r="W158" s="1">
        <f>[2]Urban_area_finals!W52/[2]Urban_area_finals!$G52</f>
        <v>3.0226295765050488E-4</v>
      </c>
      <c r="X158" s="1">
        <f>[2]Urban_area_finals!X52/[2]Urban_area_finals!$G52</f>
        <v>3.463429723078702E-4</v>
      </c>
      <c r="Y158" s="1">
        <f>[2]Urban_area_finals!Y52/[2]Urban_area_finals!$G52</f>
        <v>3.7153155211207891E-4</v>
      </c>
      <c r="Z158" s="1">
        <f>[2]Urban_area_finals!Z52/[2]Urban_area_finals!$G52</f>
        <v>4.1561156676944423E-4</v>
      </c>
      <c r="AA158" s="1">
        <f>[2]Urban_area_finals!AA52/[2]Urban_area_finals!$G52</f>
        <v>4.2190871172049642E-4</v>
      </c>
      <c r="AB158" s="1">
        <f>[2]Urban_area_finals!AB52/[2]Urban_area_finals!$G52</f>
        <v>4.345030016226008E-4</v>
      </c>
      <c r="AC158" s="1">
        <f>[2]Urban_area_finals!AC52/[2]Urban_area_finals!$G52</f>
        <v>4.345030016226008E-4</v>
      </c>
      <c r="AD158" s="1">
        <f>[2]Urban_area_finals!AD52/[2]Urban_area_finals!$G52</f>
        <v>4.345030016226008E-4</v>
      </c>
      <c r="AE158" s="1">
        <f>[2]Urban_area_finals!AE52/[2]Urban_area_finals!$G52</f>
        <v>4.4709729152470512E-4</v>
      </c>
      <c r="AF158" s="1">
        <f>[2]Urban_area_finals!AF52/[2]Urban_area_finals!$G52</f>
        <v>4.5339443647575731E-4</v>
      </c>
      <c r="AG158" s="1">
        <f>[2]Urban_area_finals!AG52/[2]Urban_area_finals!$G52</f>
        <v>4.5339443647575731E-4</v>
      </c>
      <c r="AH158" s="1">
        <f>[2]Urban_area_finals!AH52/[2]Urban_area_finals!$G52</f>
        <v>4.6598872637786164E-4</v>
      </c>
      <c r="AI158" s="1">
        <f>[2]Urban_area_finals!AI52/[2]Urban_area_finals!$G52</f>
        <v>4.6598872637786164E-4</v>
      </c>
      <c r="AJ158" s="1">
        <f>[2]Urban_area_finals!AJ52/[2]Urban_area_finals!$G52</f>
        <v>4.9117730618207045E-4</v>
      </c>
      <c r="AK158" s="1">
        <f>[2]Urban_area_finals!AK52/[2]Urban_area_finals!$G52</f>
        <v>5.0377159608417483E-4</v>
      </c>
      <c r="AL158" s="1">
        <f>[2]Urban_area_finals!AL52/[2]Urban_area_finals!$G52</f>
        <v>5.1006874103522702E-4</v>
      </c>
      <c r="AM158" s="1">
        <f>[2]Urban_area_finals!AM52/[2]Urban_area_finals!$G52</f>
        <v>5.793373354968011E-4</v>
      </c>
      <c r="AN158" s="1">
        <f>[2]Urban_area_finals!AN52/[2]Urban_area_finals!$G52</f>
        <v>5.9193162539890537E-4</v>
      </c>
      <c r="AO158" s="1">
        <f>[2]Urban_area_finals!AO52/[2]Urban_area_finals!$G52</f>
        <v>6.2341735015416632E-4</v>
      </c>
      <c r="AP158" s="1">
        <f>[2]Urban_area_finals!AP52/[2]Urban_area_finals!$G52</f>
        <v>7.1157737946889686E-4</v>
      </c>
      <c r="AQ158" s="1">
        <f>[2]Urban_area_finals!AQ52/[2]Urban_area_finals!$G52</f>
        <v>8.8789743809835806E-4</v>
      </c>
      <c r="AR158" s="1">
        <f>[2]Urban_area_finals!AR52/[2]Urban_area_finals!$G52</f>
        <v>9.8865175731519309E-4</v>
      </c>
      <c r="AS158" s="1">
        <f>[2]Urban_area_finals!AS52/[2]Urban_area_finals!$G52</f>
        <v>1.1145946563362369E-3</v>
      </c>
      <c r="AT158" s="1">
        <f>[2]Urban_area_finals!AT52/[2]Urban_area_finals!$G52</f>
        <v>9.823546123641409E-4</v>
      </c>
      <c r="AU158" s="1">
        <f>[2]Urban_area_finals!AU52/[2]Urban_area_finals!$G52</f>
        <v>1.0025054762075078E-3</v>
      </c>
      <c r="AV158" s="1">
        <f>[2]Urban_area_finals!AV52/[2]Urban_area_finals!$G52</f>
        <v>1.0327317719725584E-3</v>
      </c>
      <c r="AW158" s="1">
        <f>[2]Urban_area_finals!AW52/[2]Urban_area_finals!$G52</f>
        <v>1.0831089315809759E-3</v>
      </c>
      <c r="AX158" s="1">
        <f>[2]Urban_area_finals!AX52/[2]Urban_area_finals!$G52</f>
        <v>1.1460803810914978E-3</v>
      </c>
      <c r="AY158" s="1">
        <f>[2]Urban_area_finals!AY52/[2]Urban_area_finals!$G52</f>
        <v>1.2153489755530717E-3</v>
      </c>
    </row>
    <row r="159" spans="1:51" x14ac:dyDescent="0.25">
      <c r="A159" t="s">
        <v>112</v>
      </c>
      <c r="B159" t="s">
        <v>113</v>
      </c>
      <c r="C159" t="s">
        <v>114</v>
      </c>
      <c r="D159" t="s">
        <v>65</v>
      </c>
      <c r="E159" t="s">
        <v>66</v>
      </c>
      <c r="F159" t="s">
        <v>66</v>
      </c>
      <c r="G159">
        <v>111587.6707781546</v>
      </c>
      <c r="H159">
        <v>2710.5347934232909</v>
      </c>
      <c r="I159">
        <f>Table2[[#This Row],[FUA_area]]+Table2[[#This Row],[FUA_urban]]</f>
        <v>114298.20557157788</v>
      </c>
      <c r="J159">
        <v>7020239.0000000102</v>
      </c>
      <c r="K159" s="1">
        <f>[2]Urban_area_finals!K108/[2]Urban_area_finals!$G108</f>
        <v>2.8087085329119344E-5</v>
      </c>
      <c r="L159" s="1">
        <f>[2]Urban_area_finals!L108/[2]Urban_area_finals!$G108</f>
        <v>2.8087085329119344E-5</v>
      </c>
      <c r="M159" s="1">
        <f>[2]Urban_area_finals!M108/[2]Urban_area_finals!$G108</f>
        <v>2.8087085329119344E-5</v>
      </c>
      <c r="N159" s="1">
        <f>[2]Urban_area_finals!N108/[2]Urban_area_finals!$G108</f>
        <v>2.8087085329119344E-5</v>
      </c>
      <c r="O159" s="1">
        <f>[2]Urban_area_finals!O108/[2]Urban_area_finals!$G108</f>
        <v>2.8087085329119344E-5</v>
      </c>
      <c r="P159" s="1">
        <f>[2]Urban_area_finals!P108/[2]Urban_area_finals!$G108</f>
        <v>2.8087085329119344E-5</v>
      </c>
      <c r="Q159" s="1">
        <f>[2]Urban_area_finals!Q108/[2]Urban_area_finals!$G108</f>
        <v>2.8087085329119344E-5</v>
      </c>
      <c r="R159" s="1">
        <f>[2]Urban_area_finals!R108/[2]Urban_area_finals!$G108</f>
        <v>2.8087085329119344E-5</v>
      </c>
      <c r="S159" s="1">
        <f>[2]Urban_area_finals!S108/[2]Urban_area_finals!$G108</f>
        <v>2.8087085329119344E-5</v>
      </c>
      <c r="T159" s="1">
        <f>[2]Urban_area_finals!T108/[2]Urban_area_finals!$G108</f>
        <v>3.2099526090422106E-5</v>
      </c>
      <c r="U159" s="1">
        <f>[2]Urban_area_finals!U108/[2]Urban_area_finals!$G108</f>
        <v>4.8149289135633156E-5</v>
      </c>
      <c r="V159" s="1">
        <f>[2]Urban_area_finals!V108/[2]Urban_area_finals!$G108</f>
        <v>8.0248815226055263E-5</v>
      </c>
      <c r="W159" s="1">
        <f>[2]Urban_area_finals!W108/[2]Urban_area_finals!$G108</f>
        <v>1.0833590055517459E-4</v>
      </c>
      <c r="X159" s="1">
        <f>[2]Urban_area_finals!X108/[2]Urban_area_finals!$G108</f>
        <v>1.1234834131647738E-4</v>
      </c>
      <c r="Y159" s="1">
        <f>[2]Urban_area_finals!Y108/[2]Urban_area_finals!$G108</f>
        <v>1.2037322283908289E-4</v>
      </c>
      <c r="Z159" s="1">
        <f>[2]Urban_area_finals!Z108/[2]Urban_area_finals!$G108</f>
        <v>1.2839810436168843E-4</v>
      </c>
      <c r="AA159" s="1">
        <f>[2]Urban_area_finals!AA108/[2]Urban_area_finals!$G108</f>
        <v>1.3241054512299122E-4</v>
      </c>
      <c r="AB159" s="1">
        <f>[2]Urban_area_finals!AB108/[2]Urban_area_finals!$G108</f>
        <v>1.3241054512299122E-4</v>
      </c>
      <c r="AC159" s="1">
        <f>[2]Urban_area_finals!AC108/[2]Urban_area_finals!$G108</f>
        <v>1.3642298588429396E-4</v>
      </c>
      <c r="AD159" s="1">
        <f>[2]Urban_area_finals!AD108/[2]Urban_area_finals!$G108</f>
        <v>1.5247274892950499E-4</v>
      </c>
      <c r="AE159" s="1">
        <f>[2]Urban_area_finals!AE108/[2]Urban_area_finals!$G108</f>
        <v>1.6049763045211053E-4</v>
      </c>
      <c r="AF159" s="1">
        <f>[2]Urban_area_finals!AF108/[2]Urban_area_finals!$G108</f>
        <v>1.6852251197471606E-4</v>
      </c>
      <c r="AG159" s="1">
        <f>[2]Urban_area_finals!AG108/[2]Urban_area_finals!$G108</f>
        <v>1.7253495273601883E-4</v>
      </c>
      <c r="AH159" s="1">
        <f>[2]Urban_area_finals!AH108/[2]Urban_area_finals!$G108</f>
        <v>1.7253495273601883E-4</v>
      </c>
      <c r="AI159" s="1">
        <f>[2]Urban_area_finals!AI108/[2]Urban_area_finals!$G108</f>
        <v>1.7253495273601883E-4</v>
      </c>
      <c r="AJ159" s="1">
        <f>[2]Urban_area_finals!AJ108/[2]Urban_area_finals!$G108</f>
        <v>1.7253495273601883E-4</v>
      </c>
      <c r="AK159" s="1">
        <f>[2]Urban_area_finals!AK108/[2]Urban_area_finals!$G108</f>
        <v>1.7253495273601883E-4</v>
      </c>
      <c r="AL159" s="1">
        <f>[2]Urban_area_finals!AL108/[2]Urban_area_finals!$G108</f>
        <v>1.9660959730383539E-4</v>
      </c>
      <c r="AM159" s="1">
        <f>[2]Urban_area_finals!AM108/[2]Urban_area_finals!$G108</f>
        <v>2.0463447882644096E-4</v>
      </c>
      <c r="AN159" s="1">
        <f>[2]Urban_area_finals!AN108/[2]Urban_area_finals!$G108</f>
        <v>2.1265936034904647E-4</v>
      </c>
      <c r="AO159" s="1">
        <f>[2]Urban_area_finals!AO108/[2]Urban_area_finals!$G108</f>
        <v>2.2068424187165201E-4</v>
      </c>
      <c r="AP159" s="1">
        <f>[2]Urban_area_finals!AP108/[2]Urban_area_finals!$G108</f>
        <v>2.4475888643946857E-4</v>
      </c>
      <c r="AQ159" s="1">
        <f>[2]Urban_area_finals!AQ108/[2]Urban_area_finals!$G108</f>
        <v>3.0494549785900997E-4</v>
      </c>
      <c r="AR159" s="1">
        <f>[2]Urban_area_finals!AR108/[2]Urban_area_finals!$G108</f>
        <v>3.892067538463681E-4</v>
      </c>
      <c r="AS159" s="1">
        <f>[2]Urban_area_finals!AS108/[2]Urban_area_finals!$G108</f>
        <v>4.493933652659095E-4</v>
      </c>
      <c r="AT159" s="1">
        <f>[2]Urban_area_finals!AT108/[2]Urban_area_finals!$G108</f>
        <v>4.7346800983372612E-4</v>
      </c>
      <c r="AU159" s="1">
        <f>[2]Urban_area_finals!AU108/[2]Urban_area_finals!$G108</f>
        <v>5.0556753592414822E-4</v>
      </c>
      <c r="AV159" s="1">
        <f>[2]Urban_area_finals!AV108/[2]Urban_area_finals!$G108</f>
        <v>5.5371682505978134E-4</v>
      </c>
      <c r="AW159" s="1">
        <f>[2]Urban_area_finals!AW108/[2]Urban_area_finals!$G108</f>
        <v>6.7007760713756151E-4</v>
      </c>
      <c r="AX159" s="1">
        <f>[2]Urban_area_finals!AX108/[2]Urban_area_finals!$G108</f>
        <v>8.1452547454446099E-4</v>
      </c>
      <c r="AY159" s="1">
        <f>[2]Urban_area_finals!AY108/[2]Urban_area_finals!$G108</f>
        <v>1.0311972756548101E-3</v>
      </c>
    </row>
    <row r="160" spans="1:51" x14ac:dyDescent="0.25">
      <c r="A160" t="s">
        <v>475</v>
      </c>
      <c r="B160" t="s">
        <v>476</v>
      </c>
      <c r="C160" t="s">
        <v>477</v>
      </c>
      <c r="D160" t="s">
        <v>139</v>
      </c>
      <c r="E160" t="s">
        <v>55</v>
      </c>
      <c r="F160" t="s">
        <v>140</v>
      </c>
      <c r="G160">
        <v>697.02465893050862</v>
      </c>
      <c r="H160" t="e">
        <v>#N/A</v>
      </c>
      <c r="I160" t="e">
        <f>Table2[[#This Row],[FUA_area]]+Table2[[#This Row],[FUA_urban]]</f>
        <v>#N/A</v>
      </c>
      <c r="J160">
        <v>5893521</v>
      </c>
      <c r="K160" s="1">
        <f>[2]Urban_area_finals!K120/[2]Urban_area_finals!$G120</f>
        <v>4.8691554399216481E-5</v>
      </c>
      <c r="L160" s="1">
        <f>[2]Urban_area_finals!L120/[2]Urban_area_finals!$G120</f>
        <v>4.8691554399216481E-5</v>
      </c>
      <c r="M160" s="1">
        <f>[2]Urban_area_finals!M120/[2]Urban_area_finals!$G120</f>
        <v>4.8691554399216481E-5</v>
      </c>
      <c r="N160" s="1">
        <f>[2]Urban_area_finals!N120/[2]Urban_area_finals!$G120</f>
        <v>4.8691554399216481E-5</v>
      </c>
      <c r="O160" s="1">
        <f>[2]Urban_area_finals!O120/[2]Urban_area_finals!$G120</f>
        <v>4.8691554399216481E-5</v>
      </c>
      <c r="P160" s="1">
        <f>[2]Urban_area_finals!P120/[2]Urban_area_finals!$G120</f>
        <v>4.8691554399216481E-5</v>
      </c>
      <c r="Q160" s="1">
        <f>[2]Urban_area_finals!Q120/[2]Urban_area_finals!$G120</f>
        <v>4.8691554399216481E-5</v>
      </c>
      <c r="R160" s="1">
        <f>[2]Urban_area_finals!R120/[2]Urban_area_finals!$G120</f>
        <v>4.8691554399216481E-5</v>
      </c>
      <c r="S160" s="1">
        <f>[2]Urban_area_finals!S120/[2]Urban_area_finals!$G120</f>
        <v>4.8691554399216481E-5</v>
      </c>
      <c r="T160" s="1">
        <f>[2]Urban_area_finals!T120/[2]Urban_area_finals!$G120</f>
        <v>5.6806813465752567E-5</v>
      </c>
      <c r="U160" s="1">
        <f>[2]Urban_area_finals!U120/[2]Urban_area_finals!$G120</f>
        <v>1.2172888599804121E-4</v>
      </c>
      <c r="V160" s="1">
        <f>[2]Urban_area_finals!V120/[2]Urban_area_finals!$G120</f>
        <v>1.7042044039725768E-4</v>
      </c>
      <c r="W160" s="1">
        <f>[2]Urban_area_finals!W120/[2]Urban_area_finals!$G120</f>
        <v>2.2722725386301027E-4</v>
      </c>
      <c r="X160" s="1">
        <f>[2]Urban_area_finals!X120/[2]Urban_area_finals!$G120</f>
        <v>2.2722725386301027E-4</v>
      </c>
      <c r="Y160" s="1">
        <f>[2]Urban_area_finals!Y120/[2]Urban_area_finals!$G120</f>
        <v>2.5157303106261846E-4</v>
      </c>
      <c r="Z160" s="1">
        <f>[2]Urban_area_finals!Z120/[2]Urban_area_finals!$G120</f>
        <v>2.5157303106261846E-4</v>
      </c>
      <c r="AA160" s="1">
        <f>[2]Urban_area_finals!AA120/[2]Urban_area_finals!$G120</f>
        <v>2.7591880826222673E-4</v>
      </c>
      <c r="AB160" s="1">
        <f>[2]Urban_area_finals!AB120/[2]Urban_area_finals!$G120</f>
        <v>3.1649510359490715E-4</v>
      </c>
      <c r="AC160" s="1">
        <f>[2]Urban_area_finals!AC120/[2]Urban_area_finals!$G120</f>
        <v>3.3272562172797929E-4</v>
      </c>
      <c r="AD160" s="1">
        <f>[2]Urban_area_finals!AD120/[2]Urban_area_finals!$G120</f>
        <v>3.6518665799412358E-4</v>
      </c>
      <c r="AE160" s="1">
        <f>[2]Urban_area_finals!AE120/[2]Urban_area_finals!$G120</f>
        <v>3.7330191706065965E-4</v>
      </c>
      <c r="AF160" s="1">
        <f>[2]Urban_area_finals!AF120/[2]Urban_area_finals!$G120</f>
        <v>3.7330191706065965E-4</v>
      </c>
      <c r="AG160" s="1">
        <f>[2]Urban_area_finals!AG120/[2]Urban_area_finals!$G120</f>
        <v>3.7330191706065965E-4</v>
      </c>
      <c r="AH160" s="1">
        <f>[2]Urban_area_finals!AH120/[2]Urban_area_finals!$G120</f>
        <v>3.9764769426026792E-4</v>
      </c>
      <c r="AI160" s="1">
        <f>[2]Urban_area_finals!AI120/[2]Urban_area_finals!$G120</f>
        <v>3.9764769426026792E-4</v>
      </c>
      <c r="AJ160" s="1">
        <f>[2]Urban_area_finals!AJ120/[2]Urban_area_finals!$G120</f>
        <v>3.9764769426026792E-4</v>
      </c>
      <c r="AK160" s="1">
        <f>[2]Urban_area_finals!AK120/[2]Urban_area_finals!$G120</f>
        <v>4.05762953326804E-4</v>
      </c>
      <c r="AL160" s="1">
        <f>[2]Urban_area_finals!AL120/[2]Urban_area_finals!$G120</f>
        <v>4.05762953326804E-4</v>
      </c>
      <c r="AM160" s="1">
        <f>[2]Urban_area_finals!AM120/[2]Urban_area_finals!$G120</f>
        <v>4.1387821239334007E-4</v>
      </c>
      <c r="AN160" s="1">
        <f>[2]Urban_area_finals!AN120/[2]Urban_area_finals!$G120</f>
        <v>4.2199347145987619E-4</v>
      </c>
      <c r="AO160" s="1">
        <f>[2]Urban_area_finals!AO120/[2]Urban_area_finals!$G120</f>
        <v>4.3010873052641227E-4</v>
      </c>
      <c r="AP160" s="1">
        <f>[2]Urban_area_finals!AP120/[2]Urban_area_finals!$G120</f>
        <v>4.3010873052641227E-4</v>
      </c>
      <c r="AQ160" s="1">
        <f>[2]Urban_area_finals!AQ120/[2]Urban_area_finals!$G120</f>
        <v>4.3010873052641227E-4</v>
      </c>
      <c r="AR160" s="1">
        <f>[2]Urban_area_finals!AR120/[2]Urban_area_finals!$G120</f>
        <v>4.6256976679255656E-4</v>
      </c>
      <c r="AS160" s="1">
        <f>[2]Urban_area_finals!AS120/[2]Urban_area_finals!$G120</f>
        <v>4.6256976679255656E-4</v>
      </c>
      <c r="AT160" s="1">
        <f>[2]Urban_area_finals!AT120/[2]Urban_area_finals!$G120</f>
        <v>5.1937658025830917E-4</v>
      </c>
      <c r="AU160" s="1">
        <f>[2]Urban_area_finals!AU120/[2]Urban_area_finals!$G120</f>
        <v>5.5508372015106795E-4</v>
      </c>
      <c r="AV160" s="1">
        <f>[2]Urban_area_finals!AV120/[2]Urban_area_finals!$G120</f>
        <v>6.0864442999020597E-4</v>
      </c>
      <c r="AW160" s="1">
        <f>[2]Urban_area_finals!AW120/[2]Urban_area_finals!$G120</f>
        <v>7.1414279785517512E-4</v>
      </c>
      <c r="AX160" s="1">
        <f>[2]Urban_area_finals!AX120/[2]Urban_area_finals!$G120</f>
        <v>8.2775642478668014E-4</v>
      </c>
      <c r="AY160" s="1">
        <f>[2]Urban_area_finals!AY120/[2]Urban_area_finals!$G120</f>
        <v>9.5760056985125751E-4</v>
      </c>
    </row>
    <row r="161" spans="1:51" x14ac:dyDescent="0.25">
      <c r="A161" t="s">
        <v>229</v>
      </c>
      <c r="B161" t="s">
        <v>230</v>
      </c>
      <c r="C161" t="s">
        <v>231</v>
      </c>
      <c r="D161" t="s">
        <v>105</v>
      </c>
      <c r="E161" t="s">
        <v>61</v>
      </c>
      <c r="F161" t="s">
        <v>61</v>
      </c>
      <c r="G161">
        <v>264549.83568593091</v>
      </c>
      <c r="H161">
        <v>265.21265900494211</v>
      </c>
      <c r="I161">
        <f>Table2[[#This Row],[FUA_area]]+Table2[[#This Row],[FUA_urban]]</f>
        <v>264815.04834493587</v>
      </c>
      <c r="J161">
        <v>2267994</v>
      </c>
      <c r="K161" s="1">
        <f>[2]Urban_area_finals!K145/[2]Urban_area_finals!$G145</f>
        <v>3.1141676336257797E-5</v>
      </c>
      <c r="L161" s="1">
        <f>[2]Urban_area_finals!L145/[2]Urban_area_finals!$G145</f>
        <v>3.1141676336257797E-5</v>
      </c>
      <c r="M161" s="1">
        <f>[2]Urban_area_finals!M145/[2]Urban_area_finals!$G145</f>
        <v>3.1141676336257797E-5</v>
      </c>
      <c r="N161" s="1">
        <f>[2]Urban_area_finals!N145/[2]Urban_area_finals!$G145</f>
        <v>3.1141676336257797E-5</v>
      </c>
      <c r="O161" s="1">
        <f>[2]Urban_area_finals!O145/[2]Urban_area_finals!$G145</f>
        <v>3.1141676336257797E-5</v>
      </c>
      <c r="P161" s="1">
        <f>[2]Urban_area_finals!P145/[2]Urban_area_finals!$G145</f>
        <v>3.1141676336257797E-5</v>
      </c>
      <c r="Q161" s="1">
        <f>[2]Urban_area_finals!Q145/[2]Urban_area_finals!$G145</f>
        <v>3.1141676336257797E-5</v>
      </c>
      <c r="R161" s="1">
        <f>[2]Urban_area_finals!R145/[2]Urban_area_finals!$G145</f>
        <v>3.1141676336257797E-5</v>
      </c>
      <c r="S161" s="1">
        <f>[2]Urban_area_finals!S145/[2]Urban_area_finals!$G145</f>
        <v>3.1141676336257797E-5</v>
      </c>
      <c r="T161" s="1">
        <f>[2]Urban_area_finals!T145/[2]Urban_area_finals!$G145</f>
        <v>3.1141676336257797E-5</v>
      </c>
      <c r="U161" s="1">
        <f>[2]Urban_area_finals!U145/[2]Urban_area_finals!$G145</f>
        <v>4.359834687076092E-5</v>
      </c>
      <c r="V161" s="1">
        <f>[2]Urban_area_finals!V145/[2]Urban_area_finals!$G145</f>
        <v>6.2283352672515594E-5</v>
      </c>
      <c r="W161" s="1">
        <f>[2]Urban_area_finals!W145/[2]Urban_area_finals!$G145</f>
        <v>6.8511687939767159E-5</v>
      </c>
      <c r="X161" s="1">
        <f>[2]Urban_area_finals!X145/[2]Urban_area_finals!$G145</f>
        <v>6.8511687939767159E-5</v>
      </c>
      <c r="Y161" s="1">
        <f>[2]Urban_area_finals!Y145/[2]Urban_area_finals!$G145</f>
        <v>9.3425029008773405E-5</v>
      </c>
      <c r="Z161" s="1">
        <f>[2]Urban_area_finals!Z145/[2]Urban_area_finals!$G145</f>
        <v>9.3425029008773405E-5</v>
      </c>
      <c r="AA161" s="1">
        <f>[2]Urban_area_finals!AA145/[2]Urban_area_finals!$G145</f>
        <v>9.3425029008773405E-5</v>
      </c>
      <c r="AB161" s="1">
        <f>[2]Urban_area_finals!AB145/[2]Urban_area_finals!$G145</f>
        <v>9.3425029008773405E-5</v>
      </c>
      <c r="AC161" s="1">
        <f>[2]Urban_area_finals!AC145/[2]Urban_area_finals!$G145</f>
        <v>9.3425029008773405E-5</v>
      </c>
      <c r="AD161" s="1">
        <f>[2]Urban_area_finals!AD145/[2]Urban_area_finals!$G145</f>
        <v>1.1211003481052807E-4</v>
      </c>
      <c r="AE161" s="1">
        <f>[2]Urban_area_finals!AE145/[2]Urban_area_finals!$G145</f>
        <v>1.1211003481052807E-4</v>
      </c>
      <c r="AF161" s="1">
        <f>[2]Urban_area_finals!AF145/[2]Urban_area_finals!$G145</f>
        <v>1.1211003481052807E-4</v>
      </c>
      <c r="AG161" s="1">
        <f>[2]Urban_area_finals!AG145/[2]Urban_area_finals!$G145</f>
        <v>1.1211003481052807E-4</v>
      </c>
      <c r="AH161" s="1">
        <f>[2]Urban_area_finals!AH145/[2]Urban_area_finals!$G145</f>
        <v>1.1211003481052807E-4</v>
      </c>
      <c r="AI161" s="1">
        <f>[2]Urban_area_finals!AI145/[2]Urban_area_finals!$G145</f>
        <v>1.1211003481052807E-4</v>
      </c>
      <c r="AJ161" s="1">
        <f>[2]Urban_area_finals!AJ145/[2]Urban_area_finals!$G145</f>
        <v>1.1211003481052807E-4</v>
      </c>
      <c r="AK161" s="1">
        <f>[2]Urban_area_finals!AK145/[2]Urban_area_finals!$G145</f>
        <v>1.1211003481052807E-4</v>
      </c>
      <c r="AL161" s="1">
        <f>[2]Urban_area_finals!AL145/[2]Urban_area_finals!$G145</f>
        <v>1.1211003481052807E-4</v>
      </c>
      <c r="AM161" s="1">
        <f>[2]Urban_area_finals!AM145/[2]Urban_area_finals!$G145</f>
        <v>1.6193671694854058E-4</v>
      </c>
      <c r="AN161" s="1">
        <f>[2]Urban_area_finals!AN145/[2]Urban_area_finals!$G145</f>
        <v>1.6816505221579212E-4</v>
      </c>
      <c r="AO161" s="1">
        <f>[2]Urban_area_finals!AO145/[2]Urban_area_finals!$G145</f>
        <v>1.8062172275029524E-4</v>
      </c>
      <c r="AP161" s="1">
        <f>[2]Urban_area_finals!AP145/[2]Urban_area_finals!$G145</f>
        <v>2.366767401555593E-4</v>
      </c>
      <c r="AQ161" s="1">
        <f>[2]Urban_area_finals!AQ145/[2]Urban_area_finals!$G145</f>
        <v>3.1764509862982959E-4</v>
      </c>
      <c r="AR161" s="1">
        <f>[2]Urban_area_finals!AR145/[2]Urban_area_finals!$G145</f>
        <v>3.9238512183684831E-4</v>
      </c>
      <c r="AS161" s="1">
        <f>[2]Urban_area_finals!AS145/[2]Urban_area_finals!$G145</f>
        <v>4.3598346870760921E-4</v>
      </c>
      <c r="AT161" s="1">
        <f>[2]Urban_area_finals!AT145/[2]Urban_area_finals!$G145</f>
        <v>4.4221180397486083E-4</v>
      </c>
      <c r="AU161" s="1">
        <f>[2]Urban_area_finals!AU145/[2]Urban_area_finals!$G145</f>
        <v>4.5466847450936391E-4</v>
      </c>
      <c r="AV161" s="1">
        <f>[2]Urban_area_finals!AV145/[2]Urban_area_finals!$G145</f>
        <v>4.733534803111186E-4</v>
      </c>
      <c r="AW161" s="1">
        <f>[2]Urban_area_finals!AW145/[2]Urban_area_finals!$G145</f>
        <v>5.2318016244913101E-4</v>
      </c>
      <c r="AX161" s="1">
        <f>[2]Urban_area_finals!AX145/[2]Urban_area_finals!$G145</f>
        <v>5.9169185038889828E-4</v>
      </c>
      <c r="AY161" s="1">
        <f>[2]Urban_area_finals!AY145/[2]Urban_area_finals!$G145</f>
        <v>7.2248689100118098E-4</v>
      </c>
    </row>
    <row r="162" spans="1:51" x14ac:dyDescent="0.25">
      <c r="A162" t="s">
        <v>186</v>
      </c>
      <c r="B162" t="s">
        <v>187</v>
      </c>
      <c r="C162" t="s">
        <v>188</v>
      </c>
      <c r="D162" t="s">
        <v>65</v>
      </c>
      <c r="E162" t="s">
        <v>66</v>
      </c>
      <c r="F162" t="s">
        <v>66</v>
      </c>
      <c r="G162">
        <v>78837.644333495555</v>
      </c>
      <c r="H162">
        <v>10683.08544783431</v>
      </c>
      <c r="I162">
        <f>Table2[[#This Row],[FUA_area]]+Table2[[#This Row],[FUA_urban]]</f>
        <v>89520.729781329865</v>
      </c>
      <c r="J162">
        <v>10537908</v>
      </c>
      <c r="K162" s="1">
        <f>[2]Urban_area_finals!K101/[2]Urban_area_finals!$G101</f>
        <v>9.64859051338638E-6</v>
      </c>
      <c r="L162" s="1">
        <f>[2]Urban_area_finals!L101/[2]Urban_area_finals!$G101</f>
        <v>9.64859051338638E-6</v>
      </c>
      <c r="M162" s="1">
        <f>[2]Urban_area_finals!M101/[2]Urban_area_finals!$G101</f>
        <v>1.0613449564725018E-5</v>
      </c>
      <c r="N162" s="1">
        <f>[2]Urban_area_finals!N101/[2]Urban_area_finals!$G101</f>
        <v>1.1578308616063658E-5</v>
      </c>
      <c r="O162" s="1">
        <f>[2]Urban_area_finals!O101/[2]Urban_area_finals!$G101</f>
        <v>1.3508026718740933E-5</v>
      </c>
      <c r="P162" s="1">
        <f>[2]Urban_area_finals!P101/[2]Urban_area_finals!$G101</f>
        <v>1.3508026718740933E-5</v>
      </c>
      <c r="Q162" s="1">
        <f>[2]Urban_area_finals!Q101/[2]Urban_area_finals!$G101</f>
        <v>1.3508026718740933E-5</v>
      </c>
      <c r="R162" s="1">
        <f>[2]Urban_area_finals!R101/[2]Urban_area_finals!$G101</f>
        <v>1.3508026718740933E-5</v>
      </c>
      <c r="S162" s="1">
        <f>[2]Urban_area_finals!S101/[2]Urban_area_finals!$G101</f>
        <v>1.3508026718740933E-5</v>
      </c>
      <c r="T162" s="1">
        <f>[2]Urban_area_finals!T101/[2]Urban_area_finals!$G101</f>
        <v>2.1226899129450035E-5</v>
      </c>
      <c r="U162" s="1">
        <f>[2]Urban_area_finals!U101/[2]Urban_area_finals!$G101</f>
        <v>3.3770066796852334E-5</v>
      </c>
      <c r="V162" s="1">
        <f>[2]Urban_area_finals!V101/[2]Urban_area_finals!$G101</f>
        <v>5.1137529720947813E-5</v>
      </c>
      <c r="W162" s="1">
        <f>[2]Urban_area_finals!W101/[2]Urban_area_finals!$G101</f>
        <v>7.5259006004413782E-5</v>
      </c>
      <c r="X162" s="1">
        <f>[2]Urban_area_finals!X101/[2]Urban_area_finals!$G101</f>
        <v>7.718872410709104E-5</v>
      </c>
      <c r="Y162" s="1">
        <f>[2]Urban_area_finals!Y101/[2]Urban_area_finals!$G101</f>
        <v>7.718872410709104E-5</v>
      </c>
      <c r="Z162" s="1">
        <f>[2]Urban_area_finals!Z101/[2]Urban_area_finals!$G101</f>
        <v>7.718872410709104E-5</v>
      </c>
      <c r="AA162" s="1">
        <f>[2]Urban_area_finals!AA101/[2]Urban_area_finals!$G101</f>
        <v>7.718872410709104E-5</v>
      </c>
      <c r="AB162" s="1">
        <f>[2]Urban_area_finals!AB101/[2]Urban_area_finals!$G101</f>
        <v>7.718872410709104E-5</v>
      </c>
      <c r="AC162" s="1">
        <f>[2]Urban_area_finals!AC101/[2]Urban_area_finals!$G101</f>
        <v>7.718872410709104E-5</v>
      </c>
      <c r="AD162" s="1">
        <f>[2]Urban_area_finals!AD101/[2]Urban_area_finals!$G101</f>
        <v>7.9118442209768312E-5</v>
      </c>
      <c r="AE162" s="1">
        <f>[2]Urban_area_finals!AE101/[2]Urban_area_finals!$G101</f>
        <v>7.9118442209768312E-5</v>
      </c>
      <c r="AF162" s="1">
        <f>[2]Urban_area_finals!AF101/[2]Urban_area_finals!$G101</f>
        <v>7.9118442209768312E-5</v>
      </c>
      <c r="AG162" s="1">
        <f>[2]Urban_area_finals!AG101/[2]Urban_area_finals!$G101</f>
        <v>7.9118442209768312E-5</v>
      </c>
      <c r="AH162" s="1">
        <f>[2]Urban_area_finals!AH101/[2]Urban_area_finals!$G101</f>
        <v>8.3942737466461518E-5</v>
      </c>
      <c r="AI162" s="1">
        <f>[2]Urban_area_finals!AI101/[2]Urban_area_finals!$G101</f>
        <v>8.3942737466461518E-5</v>
      </c>
      <c r="AJ162" s="1">
        <f>[2]Urban_area_finals!AJ101/[2]Urban_area_finals!$G101</f>
        <v>8.3942737466461518E-5</v>
      </c>
      <c r="AK162" s="1">
        <f>[2]Urban_area_finals!AK101/[2]Urban_area_finals!$G101</f>
        <v>9.0696750825831982E-5</v>
      </c>
      <c r="AL162" s="1">
        <f>[2]Urban_area_finals!AL101/[2]Urban_area_finals!$G101</f>
        <v>9.5521046082525175E-5</v>
      </c>
      <c r="AM162" s="1">
        <f>[2]Urban_area_finals!AM101/[2]Urban_area_finals!$G101</f>
        <v>9.745076418520246E-5</v>
      </c>
      <c r="AN162" s="1">
        <f>[2]Urban_area_finals!AN101/[2]Urban_area_finals!$G101</f>
        <v>9.8415623236541082E-5</v>
      </c>
      <c r="AO162" s="1">
        <f>[2]Urban_area_finals!AO101/[2]Urban_area_finals!$G101</f>
        <v>1.1192364995528201E-4</v>
      </c>
      <c r="AP162" s="1">
        <f>[2]Urban_area_finals!AP101/[2]Urban_area_finals!$G101</f>
        <v>1.321856900333934E-4</v>
      </c>
      <c r="AQ162" s="1">
        <f>[2]Urban_area_finals!AQ101/[2]Urban_area_finals!$G101</f>
        <v>1.823583607030026E-4</v>
      </c>
      <c r="AR162" s="1">
        <f>[2]Urban_area_finals!AR101/[2]Urban_area_finals!$G101</f>
        <v>2.0262040078111401E-4</v>
      </c>
      <c r="AS162" s="1">
        <f>[2]Urban_area_finals!AS101/[2]Urban_area_finals!$G101</f>
        <v>2.2481215896190268E-4</v>
      </c>
      <c r="AT162" s="1">
        <f>[2]Urban_area_finals!AT101/[2]Urban_area_finals!$G101</f>
        <v>2.3349589042395041E-4</v>
      </c>
      <c r="AU162" s="1">
        <f>[2]Urban_area_finals!AU101/[2]Urban_area_finals!$G101</f>
        <v>2.446882554194786E-4</v>
      </c>
      <c r="AV162" s="1">
        <f>[2]Urban_area_finals!AV101/[2]Urban_area_finals!$G101</f>
        <v>2.6147680291277095E-4</v>
      </c>
      <c r="AW162" s="1">
        <f>[2]Urban_area_finals!AW101/[2]Urban_area_finals!$G101</f>
        <v>3.1454405073639598E-4</v>
      </c>
      <c r="AX162" s="1">
        <f>[2]Urban_area_finals!AX101/[2]Urban_area_finals!$G101</f>
        <v>4.2453798258900078E-4</v>
      </c>
      <c r="AY162" s="1">
        <f>[2]Urban_area_finals!AY101/[2]Urban_area_finals!$G101</f>
        <v>6.8987422170712622E-4</v>
      </c>
    </row>
    <row r="163" spans="1:51" x14ac:dyDescent="0.25">
      <c r="A163" t="s">
        <v>469</v>
      </c>
      <c r="B163" t="s">
        <v>470</v>
      </c>
      <c r="C163" t="s">
        <v>471</v>
      </c>
      <c r="D163" t="s">
        <v>98</v>
      </c>
      <c r="E163" t="s">
        <v>61</v>
      </c>
      <c r="F163" t="s">
        <v>61</v>
      </c>
      <c r="G163">
        <v>1872128.4262418479</v>
      </c>
      <c r="H163">
        <v>3445.9044134255969</v>
      </c>
      <c r="I163">
        <f>Table2[[#This Row],[FUA_area]]+Table2[[#This Row],[FUA_urban]]</f>
        <v>1875574.3306552735</v>
      </c>
      <c r="J163">
        <v>43828060</v>
      </c>
      <c r="K163" s="1">
        <f>[2]Urban_area_finals!K25/[2]Urban_area_finals!$G25</f>
        <v>9.5441149752565976E-5</v>
      </c>
      <c r="L163" s="1">
        <f>[2]Urban_area_finals!L25/[2]Urban_area_finals!$G25</f>
        <v>9.5441149752565976E-5</v>
      </c>
      <c r="M163" s="1">
        <f>[2]Urban_area_finals!M25/[2]Urban_area_finals!$G25</f>
        <v>9.5441149752565976E-5</v>
      </c>
      <c r="N163" s="1">
        <f>[2]Urban_area_finals!N25/[2]Urban_area_finals!$G25</f>
        <v>9.5441149752565976E-5</v>
      </c>
      <c r="O163" s="1">
        <f>[2]Urban_area_finals!O25/[2]Urban_area_finals!$G25</f>
        <v>9.5441149752565976E-5</v>
      </c>
      <c r="P163" s="1">
        <f>[2]Urban_area_finals!P25/[2]Urban_area_finals!$G25</f>
        <v>9.5441149752565976E-5</v>
      </c>
      <c r="Q163" s="1">
        <f>[2]Urban_area_finals!Q25/[2]Urban_area_finals!$G25</f>
        <v>9.5441149752565976E-5</v>
      </c>
      <c r="R163" s="1">
        <f>[2]Urban_area_finals!R25/[2]Urban_area_finals!$G25</f>
        <v>9.5441149752565976E-5</v>
      </c>
      <c r="S163" s="1">
        <f>[2]Urban_area_finals!S25/[2]Urban_area_finals!$G25</f>
        <v>1.2271004968187054E-4</v>
      </c>
      <c r="T163" s="1">
        <f>[2]Urban_area_finals!T25/[2]Urban_area_finals!$G25</f>
        <v>1.363444996465228E-4</v>
      </c>
      <c r="U163" s="1">
        <f>[2]Urban_area_finals!U25/[2]Urban_area_finals!$G25</f>
        <v>1.6361339957582735E-4</v>
      </c>
      <c r="V163" s="1">
        <f>[2]Urban_area_finals!V25/[2]Urban_area_finals!$G25</f>
        <v>1.7724784954047964E-4</v>
      </c>
      <c r="W163" s="1">
        <f>[2]Urban_area_finals!W25/[2]Urban_area_finals!$G25</f>
        <v>1.7724784954047964E-4</v>
      </c>
      <c r="X163" s="1">
        <f>[2]Urban_area_finals!X25/[2]Urban_area_finals!$G25</f>
        <v>1.7724784954047964E-4</v>
      </c>
      <c r="Y163" s="1">
        <f>[2]Urban_area_finals!Y25/[2]Urban_area_finals!$G25</f>
        <v>1.9088229950513195E-4</v>
      </c>
      <c r="Z163" s="1">
        <f>[2]Urban_area_finals!Z25/[2]Urban_area_finals!$G25</f>
        <v>2.0451674946978421E-4</v>
      </c>
      <c r="AA163" s="1">
        <f>[2]Urban_area_finals!AA25/[2]Urban_area_finals!$G25</f>
        <v>2.0451674946978421E-4</v>
      </c>
      <c r="AB163" s="1">
        <f>[2]Urban_area_finals!AB25/[2]Urban_area_finals!$G25</f>
        <v>2.0451674946978421E-4</v>
      </c>
      <c r="AC163" s="1">
        <f>[2]Urban_area_finals!AC25/[2]Urban_area_finals!$G25</f>
        <v>2.181511994344365E-4</v>
      </c>
      <c r="AD163" s="1">
        <f>[2]Urban_area_finals!AD25/[2]Urban_area_finals!$G25</f>
        <v>2.181511994344365E-4</v>
      </c>
      <c r="AE163" s="1">
        <f>[2]Urban_area_finals!AE25/[2]Urban_area_finals!$G25</f>
        <v>2.181511994344365E-4</v>
      </c>
      <c r="AF163" s="1">
        <f>[2]Urban_area_finals!AF25/[2]Urban_area_finals!$G25</f>
        <v>2.181511994344365E-4</v>
      </c>
      <c r="AG163" s="1">
        <f>[2]Urban_area_finals!AG25/[2]Urban_area_finals!$G25</f>
        <v>2.181511994344365E-4</v>
      </c>
      <c r="AH163" s="1">
        <f>[2]Urban_area_finals!AH25/[2]Urban_area_finals!$G25</f>
        <v>2.181511994344365E-4</v>
      </c>
      <c r="AI163" s="1">
        <f>[2]Urban_area_finals!AI25/[2]Urban_area_finals!$G25</f>
        <v>2.181511994344365E-4</v>
      </c>
      <c r="AJ163" s="1">
        <f>[2]Urban_area_finals!AJ25/[2]Urban_area_finals!$G25</f>
        <v>2.181511994344365E-4</v>
      </c>
      <c r="AK163" s="1">
        <f>[2]Urban_area_finals!AK25/[2]Urban_area_finals!$G25</f>
        <v>2.181511994344365E-4</v>
      </c>
      <c r="AL163" s="1">
        <f>[2]Urban_area_finals!AL25/[2]Urban_area_finals!$G25</f>
        <v>2.181511994344365E-4</v>
      </c>
      <c r="AM163" s="1">
        <f>[2]Urban_area_finals!AM25/[2]Urban_area_finals!$G25</f>
        <v>2.181511994344365E-4</v>
      </c>
      <c r="AN163" s="1">
        <f>[2]Urban_area_finals!AN25/[2]Urban_area_finals!$G25</f>
        <v>2.4542009936374108E-4</v>
      </c>
      <c r="AO163" s="1">
        <f>[2]Urban_area_finals!AO25/[2]Urban_area_finals!$G25</f>
        <v>2.4542009936374108E-4</v>
      </c>
      <c r="AP163" s="1">
        <f>[2]Urban_area_finals!AP25/[2]Urban_area_finals!$G25</f>
        <v>2.5905454932839336E-4</v>
      </c>
      <c r="AQ163" s="1">
        <f>[2]Urban_area_finals!AQ25/[2]Urban_area_finals!$G25</f>
        <v>2.5905454932839336E-4</v>
      </c>
      <c r="AR163" s="1">
        <f>[2]Urban_area_finals!AR25/[2]Urban_area_finals!$G25</f>
        <v>3.1359234918700246E-4</v>
      </c>
      <c r="AS163" s="1">
        <f>[2]Urban_area_finals!AS25/[2]Urban_area_finals!$G25</f>
        <v>3.1359234918700246E-4</v>
      </c>
      <c r="AT163" s="1">
        <f>[2]Urban_area_finals!AT25/[2]Urban_area_finals!$G25</f>
        <v>3.1359234918700246E-4</v>
      </c>
      <c r="AU163" s="1">
        <f>[2]Urban_area_finals!AU25/[2]Urban_area_finals!$G25</f>
        <v>3.2995368914458516E-4</v>
      </c>
      <c r="AV163" s="1">
        <f>[2]Urban_area_finals!AV25/[2]Urban_area_finals!$G25</f>
        <v>3.5449569908095927E-4</v>
      </c>
      <c r="AW163" s="1">
        <f>[2]Urban_area_finals!AW25/[2]Urban_area_finals!$G25</f>
        <v>3.817645990102639E-4</v>
      </c>
      <c r="AX163" s="1">
        <f>[2]Urban_area_finals!AX25/[2]Urban_area_finals!$G25</f>
        <v>4.0903349893956842E-4</v>
      </c>
      <c r="AY163" s="1">
        <f>[2]Urban_area_finals!AY25/[2]Urban_area_finals!$G25</f>
        <v>4.36302398868873E-4</v>
      </c>
    </row>
    <row r="164" spans="1:51" x14ac:dyDescent="0.25">
      <c r="A164" t="s">
        <v>496</v>
      </c>
      <c r="B164" t="s">
        <v>497</v>
      </c>
      <c r="C164" t="s">
        <v>498</v>
      </c>
      <c r="D164" t="s">
        <v>65</v>
      </c>
      <c r="E164" t="s">
        <v>66</v>
      </c>
      <c r="F164" t="s">
        <v>66</v>
      </c>
      <c r="G164">
        <v>49095.707165109518</v>
      </c>
      <c r="H164">
        <v>3209.6741903734628</v>
      </c>
      <c r="I164">
        <f>Table2[[#This Row],[FUA_area]]+Table2[[#This Row],[FUA_urban]]</f>
        <v>52305.381355482983</v>
      </c>
      <c r="J164">
        <v>5457542</v>
      </c>
      <c r="K164" s="1">
        <f>[2]Urban_area_finals!K103/[2]Urban_area_finals!$G103</f>
        <v>9.7107715243785016E-6</v>
      </c>
      <c r="L164" s="1">
        <f>[2]Urban_area_finals!L103/[2]Urban_area_finals!$G103</f>
        <v>9.7107715243785016E-6</v>
      </c>
      <c r="M164" s="1">
        <f>[2]Urban_area_finals!M103/[2]Urban_area_finals!$G103</f>
        <v>9.7107715243785016E-6</v>
      </c>
      <c r="N164" s="1">
        <f>[2]Urban_area_finals!N103/[2]Urban_area_finals!$G103</f>
        <v>9.7107715243785016E-6</v>
      </c>
      <c r="O164" s="1">
        <f>[2]Urban_area_finals!O103/[2]Urban_area_finals!$G103</f>
        <v>9.7107715243785016E-6</v>
      </c>
      <c r="P164" s="1">
        <f>[2]Urban_area_finals!P103/[2]Urban_area_finals!$G103</f>
        <v>9.7107715243785016E-6</v>
      </c>
      <c r="Q164" s="1">
        <f>[2]Urban_area_finals!Q103/[2]Urban_area_finals!$G103</f>
        <v>9.7107715243785016E-6</v>
      </c>
      <c r="R164" s="1">
        <f>[2]Urban_area_finals!R103/[2]Urban_area_finals!$G103</f>
        <v>9.7107715243785016E-6</v>
      </c>
      <c r="S164" s="1">
        <f>[2]Urban_area_finals!S103/[2]Urban_area_finals!$G103</f>
        <v>9.7107715243785016E-6</v>
      </c>
      <c r="T164" s="1">
        <f>[2]Urban_area_finals!T103/[2]Urban_area_finals!$G103</f>
        <v>9.7107715243785016E-6</v>
      </c>
      <c r="U164" s="1">
        <f>[2]Urban_area_finals!U103/[2]Urban_area_finals!$G103</f>
        <v>1.4566157286567752E-5</v>
      </c>
      <c r="V164" s="1">
        <f>[2]Urban_area_finals!V103/[2]Urban_area_finals!$G103</f>
        <v>2.4276928810946252E-5</v>
      </c>
      <c r="W164" s="1">
        <f>[2]Urban_area_finals!W103/[2]Urban_area_finals!$G103</f>
        <v>3.6415393216419376E-5</v>
      </c>
      <c r="X164" s="1">
        <f>[2]Urban_area_finals!X103/[2]Urban_area_finals!$G103</f>
        <v>3.6415393216419376E-5</v>
      </c>
      <c r="Y164" s="1">
        <f>[2]Urban_area_finals!Y103/[2]Urban_area_finals!$G103</f>
        <v>6.7975400670649503E-5</v>
      </c>
      <c r="Z164" s="1">
        <f>[2]Urban_area_finals!Z103/[2]Urban_area_finals!$G103</f>
        <v>6.7975400670649503E-5</v>
      </c>
      <c r="AA164" s="1">
        <f>[2]Urban_area_finals!AA103/[2]Urban_area_finals!$G103</f>
        <v>7.040309355174412E-5</v>
      </c>
      <c r="AB164" s="1">
        <f>[2]Urban_area_finals!AB103/[2]Urban_area_finals!$G103</f>
        <v>7.2830786432838751E-5</v>
      </c>
      <c r="AC164" s="1">
        <f>[2]Urban_area_finals!AC103/[2]Urban_area_finals!$G103</f>
        <v>7.5258479313933382E-5</v>
      </c>
      <c r="AD164" s="1">
        <f>[2]Urban_area_finals!AD103/[2]Urban_area_finals!$G103</f>
        <v>7.5258479313933382E-5</v>
      </c>
      <c r="AE164" s="1">
        <f>[2]Urban_area_finals!AE103/[2]Urban_area_finals!$G103</f>
        <v>8.2541557957217261E-5</v>
      </c>
      <c r="AF164" s="1">
        <f>[2]Urban_area_finals!AF103/[2]Urban_area_finals!$G103</f>
        <v>8.739694371940651E-5</v>
      </c>
      <c r="AG164" s="1">
        <f>[2]Urban_area_finals!AG103/[2]Urban_area_finals!$G103</f>
        <v>9.4680022362690375E-5</v>
      </c>
      <c r="AH164" s="1">
        <f>[2]Urban_area_finals!AH103/[2]Urban_area_finals!$G103</f>
        <v>9.7107715243785006E-5</v>
      </c>
      <c r="AI164" s="1">
        <f>[2]Urban_area_finals!AI103/[2]Urban_area_finals!$G103</f>
        <v>9.9535408124879624E-5</v>
      </c>
      <c r="AJ164" s="1">
        <f>[2]Urban_area_finals!AJ103/[2]Urban_area_finals!$G103</f>
        <v>1.0196310100597425E-4</v>
      </c>
      <c r="AK164" s="1">
        <f>[2]Urban_area_finals!AK103/[2]Urban_area_finals!$G103</f>
        <v>1.0924617964925813E-4</v>
      </c>
      <c r="AL164" s="1">
        <f>[2]Urban_area_finals!AL103/[2]Urban_area_finals!$G103</f>
        <v>1.0924617964925813E-4</v>
      </c>
      <c r="AM164" s="1">
        <f>[2]Urban_area_finals!AM103/[2]Urban_area_finals!$G103</f>
        <v>1.5051695862786676E-4</v>
      </c>
      <c r="AN164" s="1">
        <f>[2]Urban_area_finals!AN103/[2]Urban_area_finals!$G103</f>
        <v>1.6022773015224526E-4</v>
      </c>
      <c r="AO164" s="1">
        <f>[2]Urban_area_finals!AO103/[2]Urban_area_finals!$G103</f>
        <v>1.6751080879552911E-4</v>
      </c>
      <c r="AP164" s="1">
        <f>[2]Urban_area_finals!AP103/[2]Urban_area_finals!$G103</f>
        <v>1.7479388743881302E-4</v>
      </c>
      <c r="AQ164" s="1">
        <f>[2]Urban_area_finals!AQ103/[2]Urban_area_finals!$G103</f>
        <v>2.0149850913085389E-4</v>
      </c>
      <c r="AR164" s="1">
        <f>[2]Urban_area_finals!AR103/[2]Urban_area_finals!$G103</f>
        <v>2.2577543794180012E-4</v>
      </c>
      <c r="AS164" s="1">
        <f>[2]Urban_area_finals!AS103/[2]Urban_area_finals!$G103</f>
        <v>2.4276928810946252E-4</v>
      </c>
      <c r="AT164" s="1">
        <f>[2]Urban_area_finals!AT103/[2]Urban_area_finals!$G103</f>
        <v>2.5490775251493564E-4</v>
      </c>
      <c r="AU164" s="1">
        <f>[2]Urban_area_finals!AU103/[2]Urban_area_finals!$G103</f>
        <v>2.6461852403931416E-4</v>
      </c>
      <c r="AV164" s="1">
        <f>[2]Urban_area_finals!AV103/[2]Urban_area_finals!$G103</f>
        <v>2.7918468132588186E-4</v>
      </c>
      <c r="AW164" s="1">
        <f>[2]Urban_area_finals!AW103/[2]Urban_area_finals!$G103</f>
        <v>3.0831699589901738E-4</v>
      </c>
      <c r="AX164" s="1">
        <f>[2]Urban_area_finals!AX103/[2]Urban_area_finals!$G103</f>
        <v>3.4716008199653137E-4</v>
      </c>
      <c r="AY164" s="1">
        <f>[2]Urban_area_finals!AY103/[2]Urban_area_finals!$G103</f>
        <v>4.1270778978608625E-4</v>
      </c>
    </row>
    <row r="165" spans="1:51" x14ac:dyDescent="0.25">
      <c r="A165" t="s">
        <v>481</v>
      </c>
      <c r="B165" t="s">
        <v>482</v>
      </c>
      <c r="C165" t="s">
        <v>483</v>
      </c>
      <c r="D165" t="s">
        <v>121</v>
      </c>
      <c r="E165" t="s">
        <v>76</v>
      </c>
      <c r="F165" t="s">
        <v>77</v>
      </c>
      <c r="G165">
        <v>20422.74853784217</v>
      </c>
      <c r="H165">
        <v>3222.6833281622298</v>
      </c>
      <c r="I165">
        <f>Table2[[#This Row],[FUA_area]]+Table2[[#This Row],[FUA_urban]]</f>
        <v>23645.431866004401</v>
      </c>
      <c r="J165">
        <v>6280916</v>
      </c>
      <c r="K165" s="1">
        <f>[2]Urban_area_finals!K106/[2]Urban_area_finals!$G106</f>
        <v>1.714369094437258E-5</v>
      </c>
      <c r="L165" s="1">
        <f>[2]Urban_area_finals!L106/[2]Urban_area_finals!$G106</f>
        <v>1.8634446678665848E-5</v>
      </c>
      <c r="M165" s="1">
        <f>[2]Urban_area_finals!M106/[2]Urban_area_finals!$G106</f>
        <v>2.0125202412959116E-5</v>
      </c>
      <c r="N165" s="1">
        <f>[2]Urban_area_finals!N106/[2]Urban_area_finals!$G106</f>
        <v>2.3106713881545653E-5</v>
      </c>
      <c r="O165" s="1">
        <f>[2]Urban_area_finals!O106/[2]Urban_area_finals!$G106</f>
        <v>2.5342847482985555E-5</v>
      </c>
      <c r="P165" s="1">
        <f>[2]Urban_area_finals!P106/[2]Urban_area_finals!$G106</f>
        <v>2.6833603217278823E-5</v>
      </c>
      <c r="Q165" s="1">
        <f>[2]Urban_area_finals!Q106/[2]Urban_area_finals!$G106</f>
        <v>2.7578981084425454E-5</v>
      </c>
      <c r="R165" s="1">
        <f>[2]Urban_area_finals!R106/[2]Urban_area_finals!$G106</f>
        <v>2.7578981084425454E-5</v>
      </c>
      <c r="S165" s="1">
        <f>[2]Urban_area_finals!S106/[2]Urban_area_finals!$G106</f>
        <v>2.7578981084425454E-5</v>
      </c>
      <c r="T165" s="1">
        <f>[2]Urban_area_finals!T106/[2]Urban_area_finals!$G106</f>
        <v>3.1305870420158624E-5</v>
      </c>
      <c r="U165" s="1">
        <f>[2]Urban_area_finals!U106/[2]Urban_area_finals!$G106</f>
        <v>3.8759649091624958E-5</v>
      </c>
      <c r="V165" s="1">
        <f>[2]Urban_area_finals!V106/[2]Urban_area_finals!$G106</f>
        <v>4.5468049895944668E-5</v>
      </c>
      <c r="W165" s="1">
        <f>[2]Urban_area_finals!W106/[2]Urban_area_finals!$G106</f>
        <v>5.8884851504584088E-5</v>
      </c>
      <c r="X165" s="1">
        <f>[2]Urban_area_finals!X106/[2]Urban_area_finals!$G106</f>
        <v>6.2611740840317248E-5</v>
      </c>
      <c r="Y165" s="1">
        <f>[2]Urban_area_finals!Y106/[2]Urban_area_finals!$G106</f>
        <v>7.3792408847516756E-5</v>
      </c>
      <c r="Z165" s="1">
        <f>[2]Urban_area_finals!Z106/[2]Urban_area_finals!$G106</f>
        <v>8.1991565386129741E-5</v>
      </c>
      <c r="AA165" s="1">
        <f>[2]Urban_area_finals!AA106/[2]Urban_area_finals!$G106</f>
        <v>9.3917611260475872E-5</v>
      </c>
      <c r="AB165" s="1">
        <f>[2]Urban_area_finals!AB106/[2]Urban_area_finals!$G106</f>
        <v>9.6899122729062409E-5</v>
      </c>
      <c r="AC165" s="1">
        <f>[2]Urban_area_finals!AC106/[2]Urban_area_finals!$G106</f>
        <v>9.838987846335567E-5</v>
      </c>
      <c r="AD165" s="1">
        <f>[2]Urban_area_finals!AD106/[2]Urban_area_finals!$G106</f>
        <v>1.0286214566623547E-4</v>
      </c>
      <c r="AE165" s="1">
        <f>[2]Urban_area_finals!AE106/[2]Urban_area_finals!$G106</f>
        <v>1.080797907362619E-4</v>
      </c>
      <c r="AF165" s="1">
        <f>[2]Urban_area_finals!AF106/[2]Urban_area_finals!$G106</f>
        <v>1.1031592433770182E-4</v>
      </c>
      <c r="AG165" s="1">
        <f>[2]Urban_area_finals!AG106/[2]Urban_area_finals!$G106</f>
        <v>1.1031592433770182E-4</v>
      </c>
      <c r="AH165" s="1">
        <f>[2]Urban_area_finals!AH106/[2]Urban_area_finals!$G106</f>
        <v>1.1255205793914173E-4</v>
      </c>
      <c r="AI165" s="1">
        <f>[2]Urban_area_finals!AI106/[2]Urban_area_finals!$G106</f>
        <v>1.1329743580628835E-4</v>
      </c>
      <c r="AJ165" s="1">
        <f>[2]Urban_area_finals!AJ106/[2]Urban_area_finals!$G106</f>
        <v>1.1404281367343498E-4</v>
      </c>
      <c r="AK165" s="1">
        <f>[2]Urban_area_finals!AK106/[2]Urban_area_finals!$G106</f>
        <v>1.1553356940772826E-4</v>
      </c>
      <c r="AL165" s="1">
        <f>[2]Urban_area_finals!AL106/[2]Urban_area_finals!$G106</f>
        <v>1.1553356940772826E-4</v>
      </c>
      <c r="AM165" s="1">
        <f>[2]Urban_area_finals!AM106/[2]Urban_area_finals!$G106</f>
        <v>1.1776970300916818E-4</v>
      </c>
      <c r="AN165" s="1">
        <f>[2]Urban_area_finals!AN106/[2]Urban_area_finals!$G106</f>
        <v>1.2000583661060806E-4</v>
      </c>
      <c r="AO165" s="1">
        <f>[2]Urban_area_finals!AO106/[2]Urban_area_finals!$G106</f>
        <v>1.207512144777547E-4</v>
      </c>
      <c r="AP165" s="1">
        <f>[2]Urban_area_finals!AP106/[2]Urban_area_finals!$G106</f>
        <v>1.2447810381348786E-4</v>
      </c>
      <c r="AQ165" s="1">
        <f>[2]Urban_area_finals!AQ106/[2]Urban_area_finals!$G106</f>
        <v>1.4758481769503351E-4</v>
      </c>
      <c r="AR165" s="1">
        <f>[2]Urban_area_finals!AR106/[2]Urban_area_finals!$G106</f>
        <v>1.7739993238089885E-4</v>
      </c>
      <c r="AS165" s="1">
        <f>[2]Urban_area_finals!AS106/[2]Urban_area_finals!$G106</f>
        <v>1.8410833318521858E-4</v>
      </c>
      <c r="AT165" s="1">
        <f>[2]Urban_area_finals!AT106/[2]Urban_area_finals!$G106</f>
        <v>1.9454362332527145E-4</v>
      </c>
      <c r="AU165" s="1">
        <f>[2]Urban_area_finals!AU106/[2]Urban_area_finals!$G106</f>
        <v>2.0169925084987915E-4</v>
      </c>
      <c r="AV165" s="1">
        <f>[2]Urban_area_finals!AV106/[2]Urban_area_finals!$G106</f>
        <v>2.1243269213679067E-4</v>
      </c>
      <c r="AW165" s="1">
        <f>[2]Urban_area_finals!AW106/[2]Urban_area_finals!$G106</f>
        <v>2.2883100521401664E-4</v>
      </c>
      <c r="AX165" s="1">
        <f>[2]Urban_area_finals!AX106/[2]Urban_area_finals!$G106</f>
        <v>2.4522931829124261E-4</v>
      </c>
      <c r="AY165" s="1">
        <f>[2]Urban_area_finals!AY106/[2]Urban_area_finals!$G106</f>
        <v>2.631183871027618E-4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9DF3-68C8-4472-85AE-825E9DEA3324}">
  <dimension ref="A1:AY170"/>
  <sheetViews>
    <sheetView showGridLines="0" workbookViewId="0">
      <selection activeCell="O16" sqref="O16"/>
    </sheetView>
  </sheetViews>
  <sheetFormatPr defaultRowHeight="15" x14ac:dyDescent="0.25"/>
  <cols>
    <col min="1" max="1" width="12.140625" customWidth="1"/>
    <col min="2" max="2" width="14" customWidth="1"/>
    <col min="3" max="3" width="13.5703125" customWidth="1"/>
    <col min="4" max="4" width="15.42578125" customWidth="1"/>
    <col min="5" max="5" width="14" customWidth="1"/>
    <col min="7" max="7" width="11.28515625" customWidth="1"/>
    <col min="8" max="8" width="12.5703125" customWidth="1"/>
    <col min="9" max="9" width="16.28515625" customWidth="1"/>
    <col min="10" max="10" width="13.42578125" customWidth="1"/>
    <col min="12" max="44" width="9.1406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643838.73146685481</v>
      </c>
      <c r="H2">
        <v>1917.35198409337</v>
      </c>
      <c r="I2">
        <v>645756.08345094812</v>
      </c>
      <c r="K2">
        <v>131.84811686603655</v>
      </c>
      <c r="L2">
        <v>142.60476986637156</v>
      </c>
      <c r="M2">
        <v>153.64253728519782</v>
      </c>
      <c r="N2">
        <v>170.19084904002852</v>
      </c>
      <c r="O2">
        <v>188.72652410756555</v>
      </c>
      <c r="P2">
        <v>196.10551306522117</v>
      </c>
      <c r="Q2">
        <v>206.15465632230453</v>
      </c>
      <c r="R2">
        <v>217.69631609963457</v>
      </c>
      <c r="S2">
        <v>254.86721214990226</v>
      </c>
      <c r="T2">
        <v>291.83836270039626</v>
      </c>
      <c r="U2">
        <v>357.1878864449605</v>
      </c>
      <c r="V2">
        <v>466.79345012610077</v>
      </c>
      <c r="W2">
        <v>578.13682645955191</v>
      </c>
      <c r="X2">
        <v>609.68642765829202</v>
      </c>
      <c r="Y2">
        <v>705.36716324488691</v>
      </c>
      <c r="Z2">
        <v>849.26519730547909</v>
      </c>
      <c r="AA2">
        <v>893.55538776140497</v>
      </c>
      <c r="AB2">
        <v>920.794116494386</v>
      </c>
      <c r="AC2">
        <v>935.11602565249541</v>
      </c>
      <c r="AD2">
        <v>962.27858482473289</v>
      </c>
      <c r="AE2">
        <v>980.45840536899766</v>
      </c>
      <c r="AF2">
        <v>997.88307450526486</v>
      </c>
      <c r="AG2">
        <v>1016.8153255313974</v>
      </c>
      <c r="AH2">
        <v>1037.3452955937446</v>
      </c>
      <c r="AI2">
        <v>1059.3364977356441</v>
      </c>
      <c r="AJ2">
        <v>1090.3345121948992</v>
      </c>
      <c r="AK2">
        <v>1112.2849370050792</v>
      </c>
      <c r="AL2">
        <v>1134.9742730522935</v>
      </c>
      <c r="AM2">
        <v>1181.2749815745497</v>
      </c>
      <c r="AN2">
        <v>1224.1341530874552</v>
      </c>
      <c r="AO2">
        <v>1263.8229709212237</v>
      </c>
      <c r="AP2">
        <v>1359.6194148430363</v>
      </c>
      <c r="AQ2">
        <v>1474.6453890094197</v>
      </c>
      <c r="AR2">
        <v>1607.5436839551373</v>
      </c>
      <c r="AS2">
        <v>1719.2458326579383</v>
      </c>
      <c r="AT2">
        <v>1829.665884727164</v>
      </c>
      <c r="AU2">
        <v>1836.4785792995187</v>
      </c>
      <c r="AV2">
        <v>1844.7839999819228</v>
      </c>
      <c r="AW2">
        <v>1850.00819822729</v>
      </c>
      <c r="AX2">
        <v>1838.6420335044033</v>
      </c>
      <c r="AY2">
        <v>1763.1447994617527</v>
      </c>
    </row>
    <row r="3" spans="1:5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61</v>
      </c>
      <c r="G3">
        <v>1246918.1156743991</v>
      </c>
      <c r="H3">
        <v>4318.8619302942188</v>
      </c>
      <c r="I3">
        <v>1251236.9776046933</v>
      </c>
      <c r="K3">
        <v>223.89715770454683</v>
      </c>
      <c r="L3">
        <v>227.92512310090171</v>
      </c>
      <c r="M3">
        <v>232.71952074703788</v>
      </c>
      <c r="N3">
        <v>240.68294490051318</v>
      </c>
      <c r="O3">
        <v>250.87418038618142</v>
      </c>
      <c r="P3">
        <v>256.34156645513445</v>
      </c>
      <c r="Q3">
        <v>264.92888644519019</v>
      </c>
      <c r="R3">
        <v>276.55397316870392</v>
      </c>
      <c r="S3">
        <v>319.15490652407658</v>
      </c>
      <c r="T3">
        <v>384.12411828519089</v>
      </c>
      <c r="U3">
        <v>530.99074386614643</v>
      </c>
      <c r="V3">
        <v>719.44761262568591</v>
      </c>
      <c r="W3">
        <v>961.08695154965437</v>
      </c>
      <c r="X3">
        <v>1041.5216601546244</v>
      </c>
      <c r="Y3">
        <v>1202.940963860422</v>
      </c>
      <c r="Z3">
        <v>1377.6149749683475</v>
      </c>
      <c r="AA3">
        <v>1506.2452568569486</v>
      </c>
      <c r="AB3">
        <v>1539.6032340347322</v>
      </c>
      <c r="AC3">
        <v>1609.1059284232556</v>
      </c>
      <c r="AD3">
        <v>1679.2419301310049</v>
      </c>
      <c r="AE3">
        <v>1730.1104931469843</v>
      </c>
      <c r="AF3">
        <v>1795.7860171297634</v>
      </c>
      <c r="AG3">
        <v>1852.4407273894374</v>
      </c>
      <c r="AH3">
        <v>1896.1395174508841</v>
      </c>
      <c r="AI3">
        <v>1944.0698131417689</v>
      </c>
      <c r="AJ3">
        <v>2013.8577459522396</v>
      </c>
      <c r="AK3">
        <v>2091.5765774411402</v>
      </c>
      <c r="AL3">
        <v>2192.3047388344239</v>
      </c>
      <c r="AM3">
        <v>2365.6696538816823</v>
      </c>
      <c r="AN3">
        <v>2501.9218669623215</v>
      </c>
      <c r="AO3">
        <v>2650.6899415510284</v>
      </c>
      <c r="AP3">
        <v>2892.5218800238044</v>
      </c>
      <c r="AQ3">
        <v>3250.2917288768849</v>
      </c>
      <c r="AR3">
        <v>3649.9014575114584</v>
      </c>
      <c r="AS3">
        <v>3979.0355575548929</v>
      </c>
      <c r="AT3">
        <v>4342.7227614742542</v>
      </c>
      <c r="AU3">
        <v>4366.6678030107905</v>
      </c>
      <c r="AV3">
        <v>4396.7450804948057</v>
      </c>
      <c r="AW3">
        <v>4417.1823204170587</v>
      </c>
      <c r="AX3">
        <v>4344.2633329130022</v>
      </c>
      <c r="AY3">
        <v>4054.3707567908687</v>
      </c>
    </row>
    <row r="4" spans="1:51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66</v>
      </c>
      <c r="G4">
        <v>28727.645155818951</v>
      </c>
      <c r="H4">
        <v>806.2956463718026</v>
      </c>
      <c r="I4">
        <v>29533.940802190755</v>
      </c>
      <c r="K4">
        <v>84.742946921479003</v>
      </c>
      <c r="L4">
        <v>94.047031762825327</v>
      </c>
      <c r="M4">
        <v>104.25817946529943</v>
      </c>
      <c r="N4">
        <v>117.80812285011648</v>
      </c>
      <c r="O4">
        <v>138.17356359913862</v>
      </c>
      <c r="P4">
        <v>146.13257179025143</v>
      </c>
      <c r="Q4">
        <v>157.69914384271269</v>
      </c>
      <c r="R4">
        <v>167.63981625473261</v>
      </c>
      <c r="S4">
        <v>183.88668741825026</v>
      </c>
      <c r="T4">
        <v>205.54908540138678</v>
      </c>
      <c r="U4">
        <v>241.24807275549546</v>
      </c>
      <c r="V4">
        <v>273.01876711824195</v>
      </c>
      <c r="W4">
        <v>295.90385377605463</v>
      </c>
      <c r="X4">
        <v>307.26850913077942</v>
      </c>
      <c r="Y4">
        <v>344.02769159649517</v>
      </c>
      <c r="Z4">
        <v>383.31811022790987</v>
      </c>
      <c r="AA4">
        <v>405.78601455671429</v>
      </c>
      <c r="AB4">
        <v>415.85854403071153</v>
      </c>
      <c r="AC4">
        <v>428.46530740436646</v>
      </c>
      <c r="AD4">
        <v>446.39113430721346</v>
      </c>
      <c r="AE4">
        <v>457.75632861805366</v>
      </c>
      <c r="AF4">
        <v>467.24033488930155</v>
      </c>
      <c r="AG4">
        <v>477.5104787614523</v>
      </c>
      <c r="AH4">
        <v>488.38357166168606</v>
      </c>
      <c r="AI4">
        <v>495.45142347189699</v>
      </c>
      <c r="AJ4">
        <v>504.11159048035893</v>
      </c>
      <c r="AK4">
        <v>512.55959780601506</v>
      </c>
      <c r="AL4">
        <v>526.40241774240803</v>
      </c>
      <c r="AM4">
        <v>545.27542810281909</v>
      </c>
      <c r="AN4">
        <v>561.7797666191575</v>
      </c>
      <c r="AO4">
        <v>591.50391850542167</v>
      </c>
      <c r="AP4">
        <v>626.56053521299691</v>
      </c>
      <c r="AQ4">
        <v>680.02280731721896</v>
      </c>
      <c r="AR4">
        <v>736.50364994090478</v>
      </c>
      <c r="AS4">
        <v>782.49125127392256</v>
      </c>
      <c r="AT4">
        <v>798.78865178188403</v>
      </c>
      <c r="AU4">
        <v>796.86466528597953</v>
      </c>
      <c r="AV4">
        <v>794.06547289512514</v>
      </c>
      <c r="AW4">
        <v>786.90086784465825</v>
      </c>
      <c r="AX4">
        <v>776.78774984104678</v>
      </c>
      <c r="AY4">
        <v>763.98581343023966</v>
      </c>
    </row>
    <row r="5" spans="1:5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70</v>
      </c>
      <c r="G5">
        <v>71093.261174532832</v>
      </c>
      <c r="H5">
        <v>3889.0821528402262</v>
      </c>
      <c r="I5">
        <v>74982.343327373062</v>
      </c>
      <c r="K5">
        <v>59.161203223131608</v>
      </c>
      <c r="L5">
        <v>65.118562954327899</v>
      </c>
      <c r="M5">
        <v>71.164999252965345</v>
      </c>
      <c r="N5">
        <v>78.469826312110158</v>
      </c>
      <c r="O5">
        <v>89.124312269357731</v>
      </c>
      <c r="P5">
        <v>97.960276765257959</v>
      </c>
      <c r="Q5">
        <v>109.00475602352283</v>
      </c>
      <c r="R5">
        <v>129.67434449934902</v>
      </c>
      <c r="S5">
        <v>149.82779822473475</v>
      </c>
      <c r="T5">
        <v>241.44333689748225</v>
      </c>
      <c r="U5">
        <v>394.65557244579935</v>
      </c>
      <c r="V5">
        <v>610.01621401386876</v>
      </c>
      <c r="W5">
        <v>941.33470666089045</v>
      </c>
      <c r="X5">
        <v>1179.3985036211441</v>
      </c>
      <c r="Y5">
        <v>1292.8781144250283</v>
      </c>
      <c r="Z5">
        <v>1428.274516360359</v>
      </c>
      <c r="AA5">
        <v>1606.3904941174458</v>
      </c>
      <c r="AB5">
        <v>1667.4416041715349</v>
      </c>
      <c r="AC5">
        <v>1731.5042269693051</v>
      </c>
      <c r="AD5">
        <v>1798.7088594678658</v>
      </c>
      <c r="AE5">
        <v>1853.8346057335204</v>
      </c>
      <c r="AF5">
        <v>1895.0468055284869</v>
      </c>
      <c r="AG5">
        <v>1932.0404789401098</v>
      </c>
      <c r="AH5">
        <v>1974.1097067581954</v>
      </c>
      <c r="AI5">
        <v>2021.462434741682</v>
      </c>
      <c r="AJ5">
        <v>2081.72249085882</v>
      </c>
      <c r="AK5">
        <v>2134.3282488124601</v>
      </c>
      <c r="AL5">
        <v>2196.6105684358422</v>
      </c>
      <c r="AM5">
        <v>2314.7906880552496</v>
      </c>
      <c r="AN5">
        <v>2390.4311395154236</v>
      </c>
      <c r="AO5">
        <v>2521.4308254304287</v>
      </c>
      <c r="AP5">
        <v>2715.414978889291</v>
      </c>
      <c r="AQ5">
        <v>2951.6333684235506</v>
      </c>
      <c r="AR5">
        <v>3188.0741961755707</v>
      </c>
      <c r="AS5">
        <v>3410.4026480488033</v>
      </c>
      <c r="AT5">
        <v>3607.7675440897378</v>
      </c>
      <c r="AU5">
        <v>3596.1778732097646</v>
      </c>
      <c r="AV5">
        <v>3583.376188908117</v>
      </c>
      <c r="AW5">
        <v>3496.4192664468237</v>
      </c>
      <c r="AX5">
        <v>3382.0555396888803</v>
      </c>
      <c r="AY5">
        <v>3296.5251286776884</v>
      </c>
    </row>
    <row r="6" spans="1:51" x14ac:dyDescent="0.25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>
        <v>2779049.4555459772</v>
      </c>
      <c r="H6">
        <v>18828.017741250431</v>
      </c>
      <c r="I6">
        <v>2797877.4732872276</v>
      </c>
      <c r="J6">
        <v>44908441</v>
      </c>
      <c r="K6">
        <v>374.52099234116542</v>
      </c>
      <c r="L6">
        <v>586.38505735167882</v>
      </c>
      <c r="M6">
        <v>811.91777171770912</v>
      </c>
      <c r="N6">
        <v>1161.8351952189439</v>
      </c>
      <c r="O6">
        <v>1707.2143045040718</v>
      </c>
      <c r="P6">
        <v>2243.0253592403378</v>
      </c>
      <c r="Q6">
        <v>2829.4104165920166</v>
      </c>
      <c r="R6">
        <v>3388.4581752326617</v>
      </c>
      <c r="S6">
        <v>3977.5769624554432</v>
      </c>
      <c r="T6">
        <v>4614.5360224225351</v>
      </c>
      <c r="U6">
        <v>4794.9621939153594</v>
      </c>
      <c r="V6">
        <v>4915.246308243909</v>
      </c>
      <c r="W6">
        <v>4982.2226900859414</v>
      </c>
      <c r="X6">
        <v>5072.435775832354</v>
      </c>
      <c r="Y6">
        <v>7293.5912961038648</v>
      </c>
      <c r="Z6">
        <v>8449.9590315806017</v>
      </c>
      <c r="AA6">
        <v>9010.3736551567981</v>
      </c>
      <c r="AB6">
        <v>9312.4508059137243</v>
      </c>
      <c r="AC6">
        <v>9546.1847098930648</v>
      </c>
      <c r="AD6">
        <v>9938.4749463964017</v>
      </c>
      <c r="AE6">
        <v>10438.747512808324</v>
      </c>
      <c r="AF6">
        <v>10709.38677004756</v>
      </c>
      <c r="AG6">
        <v>10896.647266218142</v>
      </c>
      <c r="AH6">
        <v>11022.398840288899</v>
      </c>
      <c r="AI6">
        <v>11134.481765004139</v>
      </c>
      <c r="AJ6">
        <v>11287.57063778593</v>
      </c>
      <c r="AK6">
        <v>11491.233513183131</v>
      </c>
      <c r="AL6">
        <v>11847.985261362124</v>
      </c>
      <c r="AM6">
        <v>12243.009227736566</v>
      </c>
      <c r="AN6">
        <v>12695.441521404178</v>
      </c>
      <c r="AO6">
        <v>13340.60177098458</v>
      </c>
      <c r="AP6">
        <v>14341.146903808425</v>
      </c>
      <c r="AQ6">
        <v>15524.851937996194</v>
      </c>
      <c r="AR6">
        <v>16630.645670857521</v>
      </c>
      <c r="AS6">
        <v>17811.616975174187</v>
      </c>
      <c r="AT6">
        <f>Sheet1!$AT6*_xlfn.XLOOKUP($A6,'[1]SSP4-change-rate'!$B$2:$B$147,'[1]SSP4-change-rate'!C$2:C$147)</f>
        <v>18351.102305760567</v>
      </c>
      <c r="AU6">
        <f>Sheet1!$AT6*_xlfn.XLOOKUP($A6,'[1]SSP4-change-rate'!$B$2:$B$147,'[1]SSP4-change-rate'!D$2:D$147)</f>
        <v>18249.595093259421</v>
      </c>
      <c r="AV6">
        <f>Sheet1!$AT6*_xlfn.XLOOKUP($A6,'[1]SSP4-change-rate'!$B$2:$B$147,'[1]SSP4-change-rate'!E$2:E$147)</f>
        <v>18105.192423651006</v>
      </c>
      <c r="AW6">
        <f>Sheet1!$AT6*_xlfn.XLOOKUP($A6,'[1]SSP4-change-rate'!$B$2:$B$147,'[1]SSP4-change-rate'!F$2:F$147)</f>
        <v>17756.356808698383</v>
      </c>
      <c r="AX6">
        <f>Sheet1!$AT6*_xlfn.XLOOKUP($A6,'[1]SSP4-change-rate'!$B$2:$B$147,'[1]SSP4-change-rate'!G$2:G$147)</f>
        <v>17289.666418715417</v>
      </c>
      <c r="AY6">
        <f>Sheet1!$AT6*_xlfn.XLOOKUP($A6,'[1]SSP4-change-rate'!$B$2:$B$147,'[1]SSP4-change-rate'!H$2:H$147)</f>
        <v>16733.314697044803</v>
      </c>
    </row>
    <row r="7" spans="1:51" x14ac:dyDescent="0.25">
      <c r="A7" t="s">
        <v>78</v>
      </c>
      <c r="B7" t="s">
        <v>79</v>
      </c>
      <c r="C7" t="s">
        <v>80</v>
      </c>
      <c r="D7" t="s">
        <v>81</v>
      </c>
      <c r="E7" t="s">
        <v>66</v>
      </c>
      <c r="F7" t="s">
        <v>82</v>
      </c>
      <c r="G7">
        <v>29690.16452743176</v>
      </c>
      <c r="H7">
        <v>779.13351844425733</v>
      </c>
      <c r="I7">
        <v>30469.298045876018</v>
      </c>
      <c r="J7">
        <v>2812494</v>
      </c>
      <c r="K7">
        <v>7.3089448259311203</v>
      </c>
      <c r="L7">
        <v>7.3089448259311203</v>
      </c>
      <c r="M7">
        <v>7.3089448259311203</v>
      </c>
      <c r="N7">
        <v>7.3089448259311203</v>
      </c>
      <c r="O7">
        <v>7.3089448259311203</v>
      </c>
      <c r="P7">
        <v>7.3089448259311203</v>
      </c>
      <c r="Q7">
        <v>7.3089448259311203</v>
      </c>
      <c r="R7">
        <v>9.1361810324138997</v>
      </c>
      <c r="S7">
        <v>9.1361810324138997</v>
      </c>
      <c r="T7">
        <v>12.79065344537946</v>
      </c>
      <c r="U7">
        <v>20.09959827131058</v>
      </c>
      <c r="V7">
        <v>27.408543097241697</v>
      </c>
      <c r="W7">
        <v>32.890251716690038</v>
      </c>
      <c r="X7">
        <v>32.890251716690038</v>
      </c>
      <c r="Y7">
        <v>32.890251716690038</v>
      </c>
      <c r="Z7">
        <v>56.644322400966182</v>
      </c>
      <c r="AA7">
        <v>89.53457411765622</v>
      </c>
      <c r="AB7">
        <v>124.25206204082903</v>
      </c>
      <c r="AC7">
        <v>186.37809306124353</v>
      </c>
      <c r="AD7">
        <v>199.16874650662299</v>
      </c>
      <c r="AE7">
        <v>208.3049275390369</v>
      </c>
      <c r="AF7">
        <v>219.26834477793358</v>
      </c>
      <c r="AG7">
        <v>222.92281719089917</v>
      </c>
      <c r="AH7">
        <v>226.57728960386473</v>
      </c>
      <c r="AI7">
        <v>239.36794304924416</v>
      </c>
      <c r="AJ7">
        <v>253.98583270110643</v>
      </c>
      <c r="AK7">
        <v>303.32121027614147</v>
      </c>
      <c r="AL7">
        <v>339.86593440579708</v>
      </c>
      <c r="AM7">
        <v>385.54683956786658</v>
      </c>
      <c r="AN7">
        <v>403.81920163269439</v>
      </c>
      <c r="AO7">
        <v>416.60985507807379</v>
      </c>
      <c r="AP7">
        <v>427.57327231697053</v>
      </c>
      <c r="AQ7">
        <v>462.2907602401433</v>
      </c>
      <c r="AR7">
        <v>575.57940504207568</v>
      </c>
      <c r="AS7">
        <v>676.07739639862859</v>
      </c>
      <c r="AT7">
        <f>Sheet1!$AT7*_xlfn.XLOOKUP($A7,'[1]SSP4-change-rate'!$B$2:$B$147,'[1]SSP4-change-rate'!C$2:C$147)</f>
        <v>730.894482593112</v>
      </c>
      <c r="AU7">
        <f>Sheet1!$AT7*_xlfn.XLOOKUP($A7,'[1]SSP4-change-rate'!$B$2:$B$147,'[1]SSP4-change-rate'!D$2:D$147)</f>
        <v>723.20085646055293</v>
      </c>
      <c r="AV7">
        <f>Sheet1!$AT7*_xlfn.XLOOKUP($A7,'[1]SSP4-change-rate'!$B$2:$B$147,'[1]SSP4-change-rate'!E$2:E$147)</f>
        <v>717.01673925273644</v>
      </c>
      <c r="AW7">
        <f>Sheet1!$AT7*_xlfn.XLOOKUP($A7,'[1]SSP4-change-rate'!$B$2:$B$147,'[1]SSP4-change-rate'!F$2:F$147)</f>
        <v>699.28823469719362</v>
      </c>
      <c r="AX7">
        <f>Sheet1!$AT7*_xlfn.XLOOKUP($A7,'[1]SSP4-change-rate'!$B$2:$B$147,'[1]SSP4-change-rate'!G$2:G$147)</f>
        <v>681.46200550951994</v>
      </c>
      <c r="AY7">
        <f>Sheet1!$AT7*_xlfn.XLOOKUP($A7,'[1]SSP4-change-rate'!$B$2:$B$147,'[1]SSP4-change-rate'!H$2:H$147)</f>
        <v>662.3731248500078</v>
      </c>
    </row>
    <row r="8" spans="1:51" x14ac:dyDescent="0.25">
      <c r="A8" t="s">
        <v>83</v>
      </c>
      <c r="B8" t="s">
        <v>84</v>
      </c>
      <c r="C8" t="s">
        <v>85</v>
      </c>
      <c r="D8" t="s">
        <v>86</v>
      </c>
      <c r="E8" t="s">
        <v>86</v>
      </c>
      <c r="F8" t="s">
        <v>87</v>
      </c>
      <c r="G8">
        <v>7688058.2283057887</v>
      </c>
      <c r="H8">
        <v>33097.67438785392</v>
      </c>
      <c r="I8">
        <v>7721155.9026936423</v>
      </c>
      <c r="J8">
        <v>25544183</v>
      </c>
      <c r="K8">
        <v>788.12957947701636</v>
      </c>
      <c r="L8">
        <v>1073.8658015184844</v>
      </c>
      <c r="M8">
        <v>1598.238868341838</v>
      </c>
      <c r="N8">
        <v>2125.7518936491638</v>
      </c>
      <c r="O8">
        <v>2901.3216391902915</v>
      </c>
      <c r="P8">
        <v>3535.5932529526708</v>
      </c>
      <c r="Q8">
        <v>4232.6640363944944</v>
      </c>
      <c r="R8">
        <v>4832.3961068331801</v>
      </c>
      <c r="S8">
        <v>5711.5844823453899</v>
      </c>
      <c r="T8">
        <v>7520.2005691133636</v>
      </c>
      <c r="U8">
        <v>9972.5081450956332</v>
      </c>
      <c r="V8">
        <v>11862.763152446885</v>
      </c>
      <c r="W8">
        <v>14095.273634551102</v>
      </c>
      <c r="X8">
        <v>14663.606120150067</v>
      </c>
      <c r="Y8">
        <v>16833.31743257484</v>
      </c>
      <c r="Z8">
        <v>18283.978252169985</v>
      </c>
      <c r="AA8">
        <v>18805.211360509365</v>
      </c>
      <c r="AB8">
        <v>19106.647374970697</v>
      </c>
      <c r="AC8">
        <v>19467.742600627495</v>
      </c>
      <c r="AD8">
        <v>19850.8175356721</v>
      </c>
      <c r="AE8">
        <v>20243.312346168623</v>
      </c>
      <c r="AF8">
        <v>20720.586035732395</v>
      </c>
      <c r="AG8">
        <v>21084.821219873167</v>
      </c>
      <c r="AH8">
        <v>21433.356611594081</v>
      </c>
      <c r="AI8">
        <v>21932.610010545653</v>
      </c>
      <c r="AJ8">
        <v>22315.684945590259</v>
      </c>
      <c r="AK8">
        <v>22648.520544891311</v>
      </c>
      <c r="AL8">
        <v>22927.976849964838</v>
      </c>
      <c r="AM8">
        <v>23829.144934864853</v>
      </c>
      <c r="AN8">
        <v>24381.777628043954</v>
      </c>
      <c r="AO8">
        <v>24755.432687636643</v>
      </c>
      <c r="AP8">
        <v>25515.302640757909</v>
      </c>
      <c r="AQ8">
        <v>26969.103418837029</v>
      </c>
      <c r="AR8">
        <v>28579.902121114756</v>
      </c>
      <c r="AS8">
        <v>29628.648254761461</v>
      </c>
      <c r="AT8">
        <f>Sheet1!$AT8*_xlfn.XLOOKUP($A8,'[1]SSP4-change-rate'!$B$2:$B$147,'[1]SSP4-change-rate'!C$2:C$147)</f>
        <v>31650.091398994697</v>
      </c>
      <c r="AU8">
        <f>Sheet1!$AT8*_xlfn.XLOOKUP($A8,'[1]SSP4-change-rate'!$B$2:$B$147,'[1]SSP4-change-rate'!D$2:D$147)</f>
        <v>31508.541399115602</v>
      </c>
      <c r="AV8">
        <f>Sheet1!$AT8*_xlfn.XLOOKUP($A8,'[1]SSP4-change-rate'!$B$2:$B$147,'[1]SSP4-change-rate'!E$2:E$147)</f>
        <v>31328.589350012084</v>
      </c>
      <c r="AW8">
        <f>Sheet1!$AT8*_xlfn.XLOOKUP($A8,'[1]SSP4-change-rate'!$B$2:$B$147,'[1]SSP4-change-rate'!F$2:F$147)</f>
        <v>30963.347055167193</v>
      </c>
      <c r="AX8">
        <f>Sheet1!$AT8*_xlfn.XLOOKUP($A8,'[1]SSP4-change-rate'!$B$2:$B$147,'[1]SSP4-change-rate'!G$2:G$147)</f>
        <v>30495.5499150205</v>
      </c>
      <c r="AY8">
        <f>Sheet1!$AT8*_xlfn.XLOOKUP($A8,'[1]SSP4-change-rate'!$B$2:$B$147,'[1]SSP4-change-rate'!H$2:H$147)</f>
        <v>29969.634186023879</v>
      </c>
    </row>
    <row r="9" spans="1:51" x14ac:dyDescent="0.25">
      <c r="A9" t="s">
        <v>88</v>
      </c>
      <c r="B9" t="s">
        <v>89</v>
      </c>
      <c r="C9" t="s">
        <v>90</v>
      </c>
      <c r="D9" t="s">
        <v>91</v>
      </c>
      <c r="E9" t="s">
        <v>66</v>
      </c>
      <c r="F9" t="s">
        <v>66</v>
      </c>
      <c r="G9">
        <v>83946.895594080444</v>
      </c>
      <c r="H9">
        <v>6142.9454988280741</v>
      </c>
      <c r="I9">
        <v>90089.841092908522</v>
      </c>
      <c r="J9">
        <v>8901099.9999999888</v>
      </c>
      <c r="K9">
        <v>631.31837644770758</v>
      </c>
      <c r="L9">
        <v>901.26140637707215</v>
      </c>
      <c r="M9">
        <v>1055.8255606108214</v>
      </c>
      <c r="N9">
        <v>1197.3279553318591</v>
      </c>
      <c r="O9">
        <v>1334.4764302153267</v>
      </c>
      <c r="P9">
        <v>1334.4764302153267</v>
      </c>
      <c r="Q9">
        <v>1399.7852277788827</v>
      </c>
      <c r="R9">
        <v>1452.0322658297275</v>
      </c>
      <c r="S9">
        <v>1543.464582418706</v>
      </c>
      <c r="T9">
        <v>1602.242500225906</v>
      </c>
      <c r="U9">
        <v>1728.5061755154477</v>
      </c>
      <c r="V9">
        <v>1795.9919329977888</v>
      </c>
      <c r="W9">
        <v>1872.1855301552707</v>
      </c>
      <c r="X9">
        <v>1898.3090491806931</v>
      </c>
      <c r="Y9">
        <v>2192.1986382166951</v>
      </c>
      <c r="Z9">
        <v>2499.1499867654079</v>
      </c>
      <c r="AA9">
        <v>2660.2450207555125</v>
      </c>
      <c r="AB9">
        <v>2747.3234175069206</v>
      </c>
      <c r="AC9">
        <v>2808.2782952329062</v>
      </c>
      <c r="AD9">
        <v>2934.5419705224476</v>
      </c>
      <c r="AE9">
        <v>3012.9125275987149</v>
      </c>
      <c r="AF9">
        <v>3045.566926380493</v>
      </c>
      <c r="AG9">
        <v>3078.2213251622711</v>
      </c>
      <c r="AH9">
        <v>3121.7605235379751</v>
      </c>
      <c r="AI9">
        <v>3154.4149223197523</v>
      </c>
      <c r="AJ9">
        <v>3226.2545996396643</v>
      </c>
      <c r="AK9">
        <v>3261.0859583402271</v>
      </c>
      <c r="AL9">
        <v>3348.1643550916351</v>
      </c>
      <c r="AM9">
        <v>3476.6049902999621</v>
      </c>
      <c r="AN9">
        <v>3591.9838659955776</v>
      </c>
      <c r="AO9">
        <v>3853.2190562498013</v>
      </c>
      <c r="AP9">
        <v>4277.7262404129151</v>
      </c>
      <c r="AQ9">
        <v>4832.851019703141</v>
      </c>
      <c r="AR9">
        <v>5488.1159552574854</v>
      </c>
      <c r="AS9">
        <v>5897.3844199891028</v>
      </c>
      <c r="AT9">
        <f>Sheet1!$AT9*_xlfn.XLOOKUP($A9,'[1]SSP4-change-rate'!$B$2:$B$147,'[1]SSP4-change-rate'!C$2:C$147)</f>
        <v>6041.641668423732</v>
      </c>
      <c r="AU9">
        <f>Sheet1!$AT9*_xlfn.XLOOKUP($A9,'[1]SSP4-change-rate'!$B$2:$B$147,'[1]SSP4-change-rate'!D$2:D$147)</f>
        <v>6038.0045519840123</v>
      </c>
      <c r="AV9">
        <f>Sheet1!$AT9*_xlfn.XLOOKUP($A9,'[1]SSP4-change-rate'!$B$2:$B$147,'[1]SSP4-change-rate'!E$2:E$147)</f>
        <v>6030.9894899450965</v>
      </c>
      <c r="AW9">
        <f>Sheet1!$AT9*_xlfn.XLOOKUP($A9,'[1]SSP4-change-rate'!$B$2:$B$147,'[1]SSP4-change-rate'!F$2:F$147)</f>
        <v>6017.9072612721102</v>
      </c>
      <c r="AX9">
        <f>Sheet1!$AT9*_xlfn.XLOOKUP($A9,'[1]SSP4-change-rate'!$B$2:$B$147,'[1]SSP4-change-rate'!G$2:G$147)</f>
        <v>5996.4007942410926</v>
      </c>
      <c r="AY9">
        <f>Sheet1!$AT9*_xlfn.XLOOKUP($A9,'[1]SSP4-change-rate'!$B$2:$B$147,'[1]SSP4-change-rate'!H$2:H$147)</f>
        <v>5974.2222991911613</v>
      </c>
    </row>
    <row r="10" spans="1:51" x14ac:dyDescent="0.25">
      <c r="A10" t="s">
        <v>92</v>
      </c>
      <c r="B10" t="s">
        <v>93</v>
      </c>
      <c r="C10" t="s">
        <v>94</v>
      </c>
      <c r="D10" t="s">
        <v>81</v>
      </c>
      <c r="E10" t="s">
        <v>71</v>
      </c>
      <c r="F10" t="s">
        <v>82</v>
      </c>
      <c r="G10">
        <v>86235.487654049881</v>
      </c>
      <c r="H10">
        <v>2080.6983055052642</v>
      </c>
      <c r="I10">
        <v>88316.18595955515</v>
      </c>
      <c r="J10">
        <v>10273527</v>
      </c>
      <c r="K10">
        <v>50.086696280993316</v>
      </c>
      <c r="L10">
        <v>58.165195681153527</v>
      </c>
      <c r="M10">
        <v>69.475094841377825</v>
      </c>
      <c r="N10">
        <v>88.863493401762327</v>
      </c>
      <c r="O10">
        <v>114.71469148227501</v>
      </c>
      <c r="P10">
        <v>124.40889076246727</v>
      </c>
      <c r="Q10">
        <v>135.71878992269157</v>
      </c>
      <c r="R10">
        <v>150.26008884297994</v>
      </c>
      <c r="S10">
        <v>166.41708764330036</v>
      </c>
      <c r="T10">
        <v>240.73928212477432</v>
      </c>
      <c r="U10">
        <v>340.91267468676097</v>
      </c>
      <c r="V10">
        <v>434.6232677286194</v>
      </c>
      <c r="W10">
        <v>533.18096041057402</v>
      </c>
      <c r="X10">
        <v>534.79666029060604</v>
      </c>
      <c r="Y10">
        <v>559.03215849108676</v>
      </c>
      <c r="Z10">
        <v>602.6560552519519</v>
      </c>
      <c r="AA10">
        <v>618.81305405227226</v>
      </c>
      <c r="AB10">
        <v>625.27585357240048</v>
      </c>
      <c r="AC10">
        <v>641.43285237272084</v>
      </c>
      <c r="AD10">
        <v>657.58985117304132</v>
      </c>
      <c r="AE10">
        <v>668.89975033326562</v>
      </c>
      <c r="AF10">
        <v>672.13115009332967</v>
      </c>
      <c r="AG10">
        <v>691.5195486537142</v>
      </c>
      <c r="AH10">
        <v>735.14344541457933</v>
      </c>
      <c r="AI10">
        <v>877.32503485739915</v>
      </c>
      <c r="AJ10">
        <v>885.40353425755927</v>
      </c>
      <c r="AK10">
        <v>945.18442981874489</v>
      </c>
      <c r="AL10">
        <v>969.41992801922549</v>
      </c>
      <c r="AM10">
        <v>1064.7462209411158</v>
      </c>
      <c r="AN10">
        <v>1111.6015174620452</v>
      </c>
      <c r="AO10">
        <v>1156.8411141029424</v>
      </c>
      <c r="AP10">
        <v>1197.2336111037434</v>
      </c>
      <c r="AQ10">
        <v>1297.4070036657301</v>
      </c>
      <c r="AR10">
        <v>1436.3571933484857</v>
      </c>
      <c r="AS10">
        <v>1736.8773710344458</v>
      </c>
      <c r="AT10">
        <f>Sheet1!$AT10*_xlfn.XLOOKUP($A10,'[1]SSP4-change-rate'!$B$2:$B$147,'[1]SSP4-change-rate'!C$2:C$147)</f>
        <v>1927.5621902922921</v>
      </c>
      <c r="AU10">
        <f>Sheet1!$AT10*_xlfn.XLOOKUP($A10,'[1]SSP4-change-rate'!$B$2:$B$147,'[1]SSP4-change-rate'!D$2:D$147)</f>
        <v>1910.6261128244362</v>
      </c>
      <c r="AV10">
        <f>Sheet1!$AT10*_xlfn.XLOOKUP($A10,'[1]SSP4-change-rate'!$B$2:$B$147,'[1]SSP4-change-rate'!E$2:E$147)</f>
        <v>1889.8785556005757</v>
      </c>
      <c r="AW10">
        <f>Sheet1!$AT10*_xlfn.XLOOKUP($A10,'[1]SSP4-change-rate'!$B$2:$B$147,'[1]SSP4-change-rate'!F$2:F$147)</f>
        <v>1833.1788689990153</v>
      </c>
      <c r="AX10">
        <f>Sheet1!$AT10*_xlfn.XLOOKUP($A10,'[1]SSP4-change-rate'!$B$2:$B$147,'[1]SSP4-change-rate'!G$2:G$147)</f>
        <v>1764.933070686629</v>
      </c>
      <c r="AY10">
        <f>Sheet1!$AT10*_xlfn.XLOOKUP($A10,'[1]SSP4-change-rate'!$B$2:$B$147,'[1]SSP4-change-rate'!H$2:H$147)</f>
        <v>1692.2045276847996</v>
      </c>
    </row>
    <row r="11" spans="1:51" x14ac:dyDescent="0.25">
      <c r="A11" t="s">
        <v>95</v>
      </c>
      <c r="B11" t="s">
        <v>96</v>
      </c>
      <c r="C11" t="s">
        <v>97</v>
      </c>
      <c r="D11" t="s">
        <v>98</v>
      </c>
      <c r="E11" t="s">
        <v>61</v>
      </c>
      <c r="F11" t="s">
        <v>61</v>
      </c>
      <c r="G11">
        <v>26935.291071161249</v>
      </c>
      <c r="H11">
        <v>377.46844071055921</v>
      </c>
      <c r="I11">
        <v>27312.759511871809</v>
      </c>
      <c r="J11">
        <v>12053895</v>
      </c>
      <c r="K11">
        <v>22.468359566104716</v>
      </c>
      <c r="L11">
        <v>22.468359566104716</v>
      </c>
      <c r="M11">
        <v>22.468359566104716</v>
      </c>
      <c r="N11">
        <v>22.468359566104716</v>
      </c>
      <c r="O11">
        <v>22.468359566104716</v>
      </c>
      <c r="P11">
        <v>22.468359566104716</v>
      </c>
      <c r="Q11">
        <v>22.468359566104716</v>
      </c>
      <c r="R11">
        <v>22.468359566104716</v>
      </c>
      <c r="S11">
        <v>22.468359566104716</v>
      </c>
      <c r="T11">
        <v>22.468359566104716</v>
      </c>
      <c r="U11">
        <v>22.468359566104716</v>
      </c>
      <c r="V11">
        <v>29.957812754806284</v>
      </c>
      <c r="W11">
        <v>37.447265943507858</v>
      </c>
      <c r="X11">
        <v>37.447265943507858</v>
      </c>
      <c r="Y11">
        <v>67.405078698314142</v>
      </c>
      <c r="Z11">
        <v>67.405078698314142</v>
      </c>
      <c r="AA11">
        <v>67.405078698314142</v>
      </c>
      <c r="AB11">
        <v>67.405078698314142</v>
      </c>
      <c r="AC11">
        <v>67.405078698314142</v>
      </c>
      <c r="AD11">
        <v>67.405078698314142</v>
      </c>
      <c r="AE11">
        <v>67.405078698314142</v>
      </c>
      <c r="AF11">
        <v>67.405078698314142</v>
      </c>
      <c r="AG11">
        <v>67.405078698314142</v>
      </c>
      <c r="AH11">
        <v>67.405078698314142</v>
      </c>
      <c r="AI11">
        <v>67.405078698314142</v>
      </c>
      <c r="AJ11">
        <v>82.383985075717291</v>
      </c>
      <c r="AK11">
        <v>97.36289145312044</v>
      </c>
      <c r="AL11">
        <v>97.36289145312044</v>
      </c>
      <c r="AM11">
        <v>97.36289145312044</v>
      </c>
      <c r="AN11">
        <v>112.34179783052357</v>
      </c>
      <c r="AO11">
        <v>112.34179783052357</v>
      </c>
      <c r="AP11">
        <v>134.81015739662828</v>
      </c>
      <c r="AQ11">
        <v>254.64140841585345</v>
      </c>
      <c r="AR11">
        <v>366.98320624637699</v>
      </c>
      <c r="AS11">
        <v>374.47265943507858</v>
      </c>
      <c r="AT11">
        <f>Sheet1!$AT11*_xlfn.XLOOKUP($A11,'[1]SSP4-change-rate'!$B$2:$B$147,'[1]SSP4-change-rate'!C$2:C$147)</f>
        <v>374.47265943507858</v>
      </c>
      <c r="AU11">
        <f>Sheet1!$AT11*_xlfn.XLOOKUP($A11,'[1]SSP4-change-rate'!$B$2:$B$147,'[1]SSP4-change-rate'!D$2:D$147)</f>
        <v>374.47265943507858</v>
      </c>
      <c r="AV11">
        <f>Sheet1!$AT11*_xlfn.XLOOKUP($A11,'[1]SSP4-change-rate'!$B$2:$B$147,'[1]SSP4-change-rate'!E$2:E$147)</f>
        <v>374.47265943507858</v>
      </c>
      <c r="AW11">
        <f>Sheet1!$AT11*_xlfn.XLOOKUP($A11,'[1]SSP4-change-rate'!$B$2:$B$147,'[1]SSP4-change-rate'!F$2:F$147)</f>
        <v>357.82943012685291</v>
      </c>
      <c r="AX11">
        <f>Sheet1!$AT11*_xlfn.XLOOKUP($A11,'[1]SSP4-change-rate'!$B$2:$B$147,'[1]SSP4-change-rate'!G$2:G$147)</f>
        <v>345.10225477350383</v>
      </c>
      <c r="AY11">
        <f>Sheet1!$AT11*_xlfn.XLOOKUP($A11,'[1]SSP4-change-rate'!$B$2:$B$147,'[1]SSP4-change-rate'!H$2:H$147)</f>
        <v>293.81700971060013</v>
      </c>
    </row>
    <row r="12" spans="1:51" x14ac:dyDescent="0.25">
      <c r="A12" t="s">
        <v>99</v>
      </c>
      <c r="B12" t="s">
        <v>100</v>
      </c>
      <c r="C12" t="s">
        <v>101</v>
      </c>
      <c r="D12" t="s">
        <v>91</v>
      </c>
      <c r="E12" t="s">
        <v>66</v>
      </c>
      <c r="F12" t="s">
        <v>66</v>
      </c>
      <c r="G12">
        <v>30707.465638205609</v>
      </c>
      <c r="H12">
        <v>14803.846089271759</v>
      </c>
      <c r="I12">
        <v>45511.311727477369</v>
      </c>
      <c r="J12">
        <v>11541270</v>
      </c>
      <c r="K12">
        <v>2697.6110518544119</v>
      </c>
      <c r="L12">
        <v>3181.5444152362443</v>
      </c>
      <c r="M12">
        <v>3713.4478496238562</v>
      </c>
      <c r="N12">
        <v>4335.6478882576403</v>
      </c>
      <c r="O12">
        <v>5083.4166421712589</v>
      </c>
      <c r="P12">
        <v>5138.4411353837704</v>
      </c>
      <c r="Q12">
        <v>5598.3894632627134</v>
      </c>
      <c r="R12">
        <v>5800.1459383752544</v>
      </c>
      <c r="S12">
        <v>6034.3527556387662</v>
      </c>
      <c r="T12">
        <v>6473.1378168975116</v>
      </c>
      <c r="U12">
        <v>6940.1405669831865</v>
      </c>
      <c r="V12">
        <v>7237.8371841072876</v>
      </c>
      <c r="W12">
        <v>7431.1283525717508</v>
      </c>
      <c r="X12">
        <v>7538.3555701140822</v>
      </c>
      <c r="Y12">
        <v>8695.2808120181708</v>
      </c>
      <c r="Z12">
        <v>9392.2577260433172</v>
      </c>
      <c r="AA12">
        <v>9606.7121611279763</v>
      </c>
      <c r="AB12">
        <v>9715.3502631116517</v>
      </c>
      <c r="AC12">
        <v>9788.7162540616682</v>
      </c>
      <c r="AD12">
        <v>9949.5570803751634</v>
      </c>
      <c r="AE12">
        <v>10267.006079678114</v>
      </c>
      <c r="AF12">
        <v>10319.208804007934</v>
      </c>
      <c r="AG12">
        <v>10346.015608393516</v>
      </c>
      <c r="AH12">
        <v>10358.713568365634</v>
      </c>
      <c r="AI12">
        <v>10381.287719427177</v>
      </c>
      <c r="AJ12">
        <v>10434.901328198343</v>
      </c>
      <c r="AK12">
        <v>10480.049630321428</v>
      </c>
      <c r="AL12">
        <v>10539.30677685798</v>
      </c>
      <c r="AM12">
        <v>10746.706789735908</v>
      </c>
      <c r="AN12">
        <v>10908.958500490749</v>
      </c>
      <c r="AO12">
        <v>11178.437428787922</v>
      </c>
      <c r="AP12">
        <v>11699.053787644762</v>
      </c>
      <c r="AQ12">
        <v>12393.208932787215</v>
      </c>
      <c r="AR12">
        <v>13574.119210194194</v>
      </c>
      <c r="AS12">
        <v>14247.11108871645</v>
      </c>
      <c r="AT12">
        <f>Sheet1!$AT12*_xlfn.XLOOKUP($A12,'[1]SSP4-change-rate'!$B$2:$B$147,'[1]SSP4-change-rate'!C$2:C$147)</f>
        <v>14508.563420070202</v>
      </c>
      <c r="AU12">
        <f>Sheet1!$AT12*_xlfn.XLOOKUP($A12,'[1]SSP4-change-rate'!$B$2:$B$147,'[1]SSP4-change-rate'!D$2:D$147)</f>
        <v>14431.559819657077</v>
      </c>
      <c r="AV12">
        <f>Sheet1!$AT12*_xlfn.XLOOKUP($A12,'[1]SSP4-change-rate'!$B$2:$B$147,'[1]SSP4-change-rate'!E$2:E$147)</f>
        <v>14322.461106221779</v>
      </c>
      <c r="AW12">
        <f>Sheet1!$AT12*_xlfn.XLOOKUP($A12,'[1]SSP4-change-rate'!$B$2:$B$147,'[1]SSP4-change-rate'!F$2:F$147)</f>
        <v>14088.835093426063</v>
      </c>
      <c r="AX12">
        <f>Sheet1!$AT12*_xlfn.XLOOKUP($A12,'[1]SSP4-change-rate'!$B$2:$B$147,'[1]SSP4-change-rate'!G$2:G$147)</f>
        <v>13784.455777997231</v>
      </c>
      <c r="AY12">
        <f>Sheet1!$AT12*_xlfn.XLOOKUP($A12,'[1]SSP4-change-rate'!$B$2:$B$147,'[1]SSP4-change-rate'!H$2:H$147)</f>
        <v>13402.579458649547</v>
      </c>
    </row>
    <row r="13" spans="1:51" x14ac:dyDescent="0.25">
      <c r="A13" t="s">
        <v>102</v>
      </c>
      <c r="B13" t="s">
        <v>103</v>
      </c>
      <c r="C13" t="s">
        <v>104</v>
      </c>
      <c r="D13" t="s">
        <v>105</v>
      </c>
      <c r="E13" t="s">
        <v>61</v>
      </c>
      <c r="F13" t="s">
        <v>61</v>
      </c>
      <c r="G13">
        <v>115286.1605111614</v>
      </c>
      <c r="H13">
        <v>1192.22213164504</v>
      </c>
      <c r="I13">
        <v>116478.38264280645</v>
      </c>
      <c r="J13">
        <v>12466822</v>
      </c>
      <c r="K13">
        <v>63.755194205617109</v>
      </c>
      <c r="L13">
        <v>63.755194205617109</v>
      </c>
      <c r="M13">
        <v>63.755194205617109</v>
      </c>
      <c r="N13">
        <v>63.755194205617109</v>
      </c>
      <c r="O13">
        <v>63.755194205617109</v>
      </c>
      <c r="P13">
        <v>63.755194205617109</v>
      </c>
      <c r="Q13">
        <v>63.755194205617109</v>
      </c>
      <c r="R13">
        <v>63.755194205617109</v>
      </c>
      <c r="S13">
        <v>63.755194205617109</v>
      </c>
      <c r="T13">
        <v>71.72459348131926</v>
      </c>
      <c r="U13">
        <v>111.57158985982994</v>
      </c>
      <c r="V13">
        <v>191.26558261685133</v>
      </c>
      <c r="W13">
        <v>278.92897464957491</v>
      </c>
      <c r="X13">
        <v>278.92897464957491</v>
      </c>
      <c r="Y13">
        <v>286.89837392527704</v>
      </c>
      <c r="Z13">
        <v>398.46996378510698</v>
      </c>
      <c r="AA13">
        <v>430.34756088791551</v>
      </c>
      <c r="AB13">
        <v>438.31696016361769</v>
      </c>
      <c r="AC13">
        <v>438.31696016361769</v>
      </c>
      <c r="AD13">
        <v>462.22515799072409</v>
      </c>
      <c r="AE13">
        <v>462.22515799072409</v>
      </c>
      <c r="AF13">
        <v>533.94975147204332</v>
      </c>
      <c r="AG13">
        <v>541.91915074774556</v>
      </c>
      <c r="AH13">
        <v>557.85794929914982</v>
      </c>
      <c r="AI13">
        <v>557.85794929914982</v>
      </c>
      <c r="AJ13">
        <v>573.79674785055408</v>
      </c>
      <c r="AK13">
        <v>597.70494567766048</v>
      </c>
      <c r="AL13">
        <v>613.64374422906474</v>
      </c>
      <c r="AM13">
        <v>661.46013988327752</v>
      </c>
      <c r="AN13">
        <v>725.21533408889468</v>
      </c>
      <c r="AO13">
        <v>820.84812539732025</v>
      </c>
      <c r="AP13">
        <v>868.66452105153314</v>
      </c>
      <c r="AQ13">
        <v>924.45031598144817</v>
      </c>
      <c r="AR13">
        <v>1028.0525065655759</v>
      </c>
      <c r="AS13">
        <v>1036.0219058412781</v>
      </c>
      <c r="AT13">
        <f>Sheet1!$AT13*_xlfn.XLOOKUP($A13,'[1]SSP4-change-rate'!$B$2:$B$147,'[1]SSP4-change-rate'!C$2:C$147)</f>
        <v>1140.4957494711857</v>
      </c>
      <c r="AU13">
        <f>Sheet1!$AT13*_xlfn.XLOOKUP($A13,'[1]SSP4-change-rate'!$B$2:$B$147,'[1]SSP4-change-rate'!D$2:D$147)</f>
        <v>1139.9149504135703</v>
      </c>
      <c r="AV13">
        <f>Sheet1!$AT13*_xlfn.XLOOKUP($A13,'[1]SSP4-change-rate'!$B$2:$B$147,'[1]SSP4-change-rate'!E$2:E$147)</f>
        <v>1154.4396910520468</v>
      </c>
      <c r="AW13">
        <f>Sheet1!$AT13*_xlfn.XLOOKUP($A13,'[1]SSP4-change-rate'!$B$2:$B$147,'[1]SSP4-change-rate'!F$2:F$147)</f>
        <v>1164.5516360203346</v>
      </c>
      <c r="AX13">
        <f>Sheet1!$AT13*_xlfn.XLOOKUP($A13,'[1]SSP4-change-rate'!$B$2:$B$147,'[1]SSP4-change-rate'!G$2:G$147)</f>
        <v>1171.865777759084</v>
      </c>
      <c r="AY13">
        <f>Sheet1!$AT13*_xlfn.XLOOKUP($A13,'[1]SSP4-change-rate'!$B$2:$B$147,'[1]SSP4-change-rate'!H$2:H$147)</f>
        <v>1171.8913086039154</v>
      </c>
    </row>
    <row r="14" spans="1:51" x14ac:dyDescent="0.25">
      <c r="A14" t="s">
        <v>106</v>
      </c>
      <c r="B14" t="s">
        <v>107</v>
      </c>
      <c r="C14" t="s">
        <v>108</v>
      </c>
      <c r="D14" t="s">
        <v>105</v>
      </c>
      <c r="E14" t="s">
        <v>61</v>
      </c>
      <c r="F14" t="s">
        <v>61</v>
      </c>
      <c r="G14">
        <v>272946.9645943644</v>
      </c>
      <c r="H14">
        <v>1446.1177336135679</v>
      </c>
      <c r="I14">
        <v>274393.08232797799</v>
      </c>
      <c r="J14">
        <v>21231890</v>
      </c>
      <c r="K14">
        <v>55.406809716994935</v>
      </c>
      <c r="L14">
        <v>55.406809716994935</v>
      </c>
      <c r="M14">
        <v>55.406809716994935</v>
      </c>
      <c r="N14">
        <v>55.406809716994935</v>
      </c>
      <c r="O14">
        <v>55.406809716994935</v>
      </c>
      <c r="P14">
        <v>55.406809716994935</v>
      </c>
      <c r="Q14">
        <v>55.406809716994935</v>
      </c>
      <c r="R14">
        <v>55.406809716994935</v>
      </c>
      <c r="S14">
        <v>60.947490688694437</v>
      </c>
      <c r="T14">
        <v>66.488171660393931</v>
      </c>
      <c r="U14">
        <v>72.028852632093418</v>
      </c>
      <c r="V14">
        <v>99.732257490590882</v>
      </c>
      <c r="W14">
        <v>155.13906720758584</v>
      </c>
      <c r="X14">
        <v>160.67974817928533</v>
      </c>
      <c r="Y14">
        <v>199.46451498118176</v>
      </c>
      <c r="Z14">
        <v>249.33064372647723</v>
      </c>
      <c r="AA14">
        <v>332.44085830196963</v>
      </c>
      <c r="AB14">
        <v>382.30698704726507</v>
      </c>
      <c r="AC14">
        <v>398.92902996236353</v>
      </c>
      <c r="AD14">
        <v>432.17311579256057</v>
      </c>
      <c r="AE14">
        <v>448.79515870765903</v>
      </c>
      <c r="AF14">
        <v>465.41720162275749</v>
      </c>
      <c r="AG14">
        <v>465.41720162275749</v>
      </c>
      <c r="AH14">
        <v>465.41720162275749</v>
      </c>
      <c r="AI14">
        <v>509.74264939635339</v>
      </c>
      <c r="AJ14">
        <v>542.98673522655042</v>
      </c>
      <c r="AK14">
        <v>603.93422591524484</v>
      </c>
      <c r="AL14">
        <v>687.04444049073732</v>
      </c>
      <c r="AM14">
        <v>714.74784534923469</v>
      </c>
      <c r="AN14">
        <v>764.61397409453014</v>
      </c>
      <c r="AO14">
        <v>792.31737895302751</v>
      </c>
      <c r="AP14">
        <v>941.91576518891384</v>
      </c>
      <c r="AQ14">
        <v>1069.3514275380023</v>
      </c>
      <c r="AR14">
        <v>1141.3802801700958</v>
      </c>
      <c r="AS14">
        <v>1279.8973044625832</v>
      </c>
      <c r="AT14">
        <f>Sheet1!$AT14*_xlfn.XLOOKUP($A14,'[1]SSP4-change-rate'!$B$2:$B$147,'[1]SSP4-change-rate'!C$2:C$147)</f>
        <v>1379.6295619531738</v>
      </c>
      <c r="AU14">
        <f>Sheet1!$AT14*_xlfn.XLOOKUP($A14,'[1]SSP4-change-rate'!$B$2:$B$147,'[1]SSP4-change-rate'!D$2:D$147)</f>
        <v>1385.550718871428</v>
      </c>
      <c r="AV14">
        <f>Sheet1!$AT14*_xlfn.XLOOKUP($A14,'[1]SSP4-change-rate'!$B$2:$B$147,'[1]SSP4-change-rate'!E$2:E$147)</f>
        <v>1385.0826432257161</v>
      </c>
      <c r="AW14">
        <f>Sheet1!$AT14*_xlfn.XLOOKUP($A14,'[1]SSP4-change-rate'!$B$2:$B$147,'[1]SSP4-change-rate'!F$2:F$147)</f>
        <v>1389.0790795007983</v>
      </c>
      <c r="AX14">
        <f>Sheet1!$AT14*_xlfn.XLOOKUP($A14,'[1]SSP4-change-rate'!$B$2:$B$147,'[1]SSP4-change-rate'!G$2:G$147)</f>
        <v>1391.9111307539438</v>
      </c>
      <c r="AY14">
        <f>Sheet1!$AT14*_xlfn.XLOOKUP($A14,'[1]SSP4-change-rate'!$B$2:$B$147,'[1]SSP4-change-rate'!H$2:H$147)</f>
        <v>1376.1100987849259</v>
      </c>
    </row>
    <row r="15" spans="1:51" x14ac:dyDescent="0.25">
      <c r="A15" t="s">
        <v>109</v>
      </c>
      <c r="B15" t="s">
        <v>110</v>
      </c>
      <c r="C15" t="s">
        <v>111</v>
      </c>
      <c r="D15" t="s">
        <v>54</v>
      </c>
      <c r="E15" t="s">
        <v>55</v>
      </c>
      <c r="F15" t="s">
        <v>56</v>
      </c>
      <c r="G15">
        <v>139384.36693706401</v>
      </c>
      <c r="H15">
        <v>24194.400963431141</v>
      </c>
      <c r="I15">
        <v>163578.76790049515</v>
      </c>
      <c r="J15">
        <v>166426991</v>
      </c>
      <c r="K15">
        <v>887.65911342785932</v>
      </c>
      <c r="L15">
        <v>978.70107377943464</v>
      </c>
      <c r="M15">
        <v>1115.2640143067977</v>
      </c>
      <c r="N15">
        <v>1274.5874449220546</v>
      </c>
      <c r="O15">
        <v>1456.6713656252052</v>
      </c>
      <c r="P15">
        <v>1547.7133259767804</v>
      </c>
      <c r="Q15">
        <v>1707.0367565920374</v>
      </c>
      <c r="R15">
        <v>1843.5996971194004</v>
      </c>
      <c r="S15">
        <v>1911.8811673830817</v>
      </c>
      <c r="T15">
        <v>2276.0490087893827</v>
      </c>
      <c r="U15">
        <v>3300.2710627446054</v>
      </c>
      <c r="V15">
        <v>6099.811343555547</v>
      </c>
      <c r="W15">
        <v>8057.2134911144158</v>
      </c>
      <c r="X15">
        <v>8603.465253223867</v>
      </c>
      <c r="Y15">
        <v>9217.9984855970015</v>
      </c>
      <c r="Z15">
        <v>10128.418089112754</v>
      </c>
      <c r="AA15">
        <v>10538.106910694842</v>
      </c>
      <c r="AB15">
        <v>10697.430341310101</v>
      </c>
      <c r="AC15">
        <v>10742.951321485887</v>
      </c>
      <c r="AD15">
        <v>10788.472301661675</v>
      </c>
      <c r="AE15">
        <v>10833.993281837464</v>
      </c>
      <c r="AF15">
        <v>11107.119162892188</v>
      </c>
      <c r="AG15">
        <v>11585.089454737959</v>
      </c>
      <c r="AH15">
        <v>12176.862197023198</v>
      </c>
      <c r="AI15">
        <v>12541.030038429501</v>
      </c>
      <c r="AJ15">
        <v>12768.63493930844</v>
      </c>
      <c r="AK15">
        <v>12814.155919484225</v>
      </c>
      <c r="AL15">
        <v>12973.479350099482</v>
      </c>
      <c r="AM15">
        <v>13292.126211329998</v>
      </c>
      <c r="AN15">
        <v>13610.773072560511</v>
      </c>
      <c r="AO15">
        <v>14248.066795021537</v>
      </c>
      <c r="AP15">
        <v>14771.558067043095</v>
      </c>
      <c r="AQ15">
        <v>16706.19972451407</v>
      </c>
      <c r="AR15">
        <v>19642.302945852374</v>
      </c>
      <c r="AS15">
        <v>22646.687637454361</v>
      </c>
      <c r="AT15">
        <f>Sheet1!$AT15*_xlfn.XLOOKUP($A15,'[1]SSP4-change-rate'!$B$2:$B$147,'[1]SSP4-change-rate'!C$2:C$147)</f>
        <v>23379.367995099008</v>
      </c>
      <c r="AU15">
        <f>Sheet1!$AT15*_xlfn.XLOOKUP($A15,'[1]SSP4-change-rate'!$B$2:$B$147,'[1]SSP4-change-rate'!D$2:D$147)</f>
        <v>23299.047022393494</v>
      </c>
      <c r="AV15">
        <f>Sheet1!$AT15*_xlfn.XLOOKUP($A15,'[1]SSP4-change-rate'!$B$2:$B$147,'[1]SSP4-change-rate'!E$2:E$147)</f>
        <v>23149.668894812443</v>
      </c>
      <c r="AW15">
        <f>Sheet1!$AT15*_xlfn.XLOOKUP($A15,'[1]SSP4-change-rate'!$B$2:$B$147,'[1]SSP4-change-rate'!F$2:F$147)</f>
        <v>22697.068106576418</v>
      </c>
      <c r="AX15">
        <f>Sheet1!$AT15*_xlfn.XLOOKUP($A15,'[1]SSP4-change-rate'!$B$2:$B$147,'[1]SSP4-change-rate'!G$2:G$147)</f>
        <v>21695.393158570274</v>
      </c>
      <c r="AY15">
        <f>Sheet1!$AT15*_xlfn.XLOOKUP($A15,'[1]SSP4-change-rate'!$B$2:$B$147,'[1]SSP4-change-rate'!H$2:H$147)</f>
        <v>19057.567693653018</v>
      </c>
    </row>
    <row r="16" spans="1:51" x14ac:dyDescent="0.25">
      <c r="A16" t="s">
        <v>112</v>
      </c>
      <c r="B16" t="s">
        <v>113</v>
      </c>
      <c r="C16" t="s">
        <v>114</v>
      </c>
      <c r="D16" t="s">
        <v>65</v>
      </c>
      <c r="E16" t="s">
        <v>66</v>
      </c>
      <c r="F16" t="s">
        <v>66</v>
      </c>
      <c r="G16">
        <v>111587.6707781546</v>
      </c>
      <c r="H16">
        <v>2710.5347934232909</v>
      </c>
      <c r="I16">
        <v>114298.20557157788</v>
      </c>
      <c r="J16">
        <v>7020239.0000000102</v>
      </c>
      <c r="K16">
        <v>52.300002445779988</v>
      </c>
      <c r="L16">
        <v>64.503336349795319</v>
      </c>
      <c r="M16">
        <v>81.936670498388651</v>
      </c>
      <c r="N16">
        <v>92.396670987544653</v>
      </c>
      <c r="O16">
        <v>129.00667269959064</v>
      </c>
      <c r="P16">
        <v>148.18334026304331</v>
      </c>
      <c r="Q16">
        <v>184.79334197508931</v>
      </c>
      <c r="R16">
        <v>240.58001125058797</v>
      </c>
      <c r="S16">
        <v>277.19001296263394</v>
      </c>
      <c r="T16">
        <v>364.35668370560057</v>
      </c>
      <c r="U16">
        <v>571.81336007386119</v>
      </c>
      <c r="V16">
        <v>725.22670058148253</v>
      </c>
      <c r="W16">
        <v>791.47337034613724</v>
      </c>
      <c r="X16">
        <v>796.70337059071517</v>
      </c>
      <c r="Y16">
        <v>911.76337597143117</v>
      </c>
      <c r="Z16">
        <v>1037.283381841303</v>
      </c>
      <c r="AA16">
        <v>1065.1767164790524</v>
      </c>
      <c r="AB16">
        <v>1084.353384042505</v>
      </c>
      <c r="AC16">
        <v>1103.5300516059579</v>
      </c>
      <c r="AD16">
        <v>1155.8300540517378</v>
      </c>
      <c r="AE16">
        <v>1194.1833891786432</v>
      </c>
      <c r="AF16">
        <v>1262.1733923581571</v>
      </c>
      <c r="AG16">
        <v>1317.9600616336559</v>
      </c>
      <c r="AH16">
        <v>1354.5700633457018</v>
      </c>
      <c r="AI16">
        <v>1389.4367316428884</v>
      </c>
      <c r="AJ16">
        <v>1413.8433994509192</v>
      </c>
      <c r="AK16">
        <v>1473.1167355561363</v>
      </c>
      <c r="AL16">
        <v>1591.663407766571</v>
      </c>
      <c r="AM16">
        <v>1704.9800797324278</v>
      </c>
      <c r="AN16">
        <v>1779.9434165713792</v>
      </c>
      <c r="AO16">
        <v>1868.853420729205</v>
      </c>
      <c r="AP16">
        <v>1936.8434239087189</v>
      </c>
      <c r="AQ16">
        <v>2111.1767653946522</v>
      </c>
      <c r="AR16">
        <v>2391.853445187005</v>
      </c>
      <c r="AS16">
        <v>2604.5401217998437</v>
      </c>
      <c r="AT16">
        <f>Sheet1!$AT16*_xlfn.XLOOKUP($A16,'[1]SSP4-change-rate'!$B$2:$B$147,'[1]SSP4-change-rate'!C$2:C$147)</f>
        <v>2655.0167575602218</v>
      </c>
      <c r="AU16">
        <f>Sheet1!$AT16*_xlfn.XLOOKUP($A16,'[1]SSP4-change-rate'!$B$2:$B$147,'[1]SSP4-change-rate'!D$2:D$147)</f>
        <v>2649.9348895477046</v>
      </c>
      <c r="AV16">
        <f>Sheet1!$AT16*_xlfn.XLOOKUP($A16,'[1]SSP4-change-rate'!$B$2:$B$147,'[1]SSP4-change-rate'!E$2:E$147)</f>
        <v>2640.1918673964374</v>
      </c>
      <c r="AW16">
        <f>Sheet1!$AT16*_xlfn.XLOOKUP($A16,'[1]SSP4-change-rate'!$B$2:$B$147,'[1]SSP4-change-rate'!F$2:F$147)</f>
        <v>2610.4010872213817</v>
      </c>
      <c r="AX16">
        <f>Sheet1!$AT16*_xlfn.XLOOKUP($A16,'[1]SSP4-change-rate'!$B$2:$B$147,'[1]SSP4-change-rate'!G$2:G$147)</f>
        <v>2570.5267306171031</v>
      </c>
      <c r="AY16">
        <f>Sheet1!$AT16*_xlfn.XLOOKUP($A16,'[1]SSP4-change-rate'!$B$2:$B$147,'[1]SSP4-change-rate'!H$2:H$147)</f>
        <v>2520.4211590347268</v>
      </c>
    </row>
    <row r="17" spans="1:51" x14ac:dyDescent="0.25">
      <c r="A17" t="s">
        <v>115</v>
      </c>
      <c r="B17" t="s">
        <v>116</v>
      </c>
      <c r="C17" t="s">
        <v>117</v>
      </c>
      <c r="D17" t="s">
        <v>70</v>
      </c>
      <c r="E17" t="s">
        <v>71</v>
      </c>
      <c r="F17" t="s">
        <v>70</v>
      </c>
      <c r="G17">
        <v>910.06628974921455</v>
      </c>
      <c r="H17">
        <v>667.24694623349694</v>
      </c>
      <c r="I17">
        <v>1577.3132359827114</v>
      </c>
      <c r="J17">
        <v>1494035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280.68690727165557</v>
      </c>
      <c r="Y17">
        <v>292.9977365379562</v>
      </c>
      <c r="Z17">
        <v>297.92206824447652</v>
      </c>
      <c r="AA17">
        <v>300.38423409773662</v>
      </c>
      <c r="AB17">
        <v>301.61531702436668</v>
      </c>
      <c r="AC17">
        <v>301.61531702436668</v>
      </c>
      <c r="AD17">
        <v>302.84639995099678</v>
      </c>
      <c r="AE17">
        <v>304.07748287762684</v>
      </c>
      <c r="AF17">
        <v>304.07748287762684</v>
      </c>
      <c r="AG17">
        <v>307.77073165751705</v>
      </c>
      <c r="AH17">
        <v>315.15722921729741</v>
      </c>
      <c r="AI17">
        <v>320.08156092381773</v>
      </c>
      <c r="AJ17">
        <v>321.31264385044778</v>
      </c>
      <c r="AK17">
        <v>323.77480970370789</v>
      </c>
      <c r="AL17">
        <v>325.005892630338</v>
      </c>
      <c r="AM17">
        <v>350.85863408956942</v>
      </c>
      <c r="AN17">
        <v>361.93838042924</v>
      </c>
      <c r="AO17">
        <v>386.56003896184143</v>
      </c>
      <c r="AP17">
        <v>438.26552188030428</v>
      </c>
      <c r="AQ17">
        <v>513.36158040473845</v>
      </c>
      <c r="AR17">
        <v>557.68056576342087</v>
      </c>
      <c r="AS17">
        <v>578.60897551613209</v>
      </c>
      <c r="AT17">
        <f>Sheet1!$AT17*_xlfn.XLOOKUP($A17,'[1]SSP4-change-rate'!$B$2:$B$147,'[1]SSP4-change-rate'!C$2:C$147)</f>
        <v>664.36467000786627</v>
      </c>
      <c r="AU17">
        <f>Sheet1!$AT17*_xlfn.XLOOKUP($A17,'[1]SSP4-change-rate'!$B$2:$B$147,'[1]SSP4-change-rate'!D$2:D$147)</f>
        <v>659.54794300772585</v>
      </c>
      <c r="AV17">
        <f>Sheet1!$AT17*_xlfn.XLOOKUP($A17,'[1]SSP4-change-rate'!$B$2:$B$147,'[1]SSP4-change-rate'!E$2:E$147)</f>
        <v>654.01229606027061</v>
      </c>
      <c r="AW17">
        <f>Sheet1!$AT17*_xlfn.XLOOKUP($A17,'[1]SSP4-change-rate'!$B$2:$B$147,'[1]SSP4-change-rate'!F$2:F$147)</f>
        <v>641.13336804082292</v>
      </c>
      <c r="AX17">
        <f>Sheet1!$AT17*_xlfn.XLOOKUP($A17,'[1]SSP4-change-rate'!$B$2:$B$147,'[1]SSP4-change-rate'!G$2:G$147)</f>
        <v>624.86983071058432</v>
      </c>
      <c r="AY17">
        <f>Sheet1!$AT17*_xlfn.XLOOKUP($A17,'[1]SSP4-change-rate'!$B$2:$B$147,'[1]SSP4-change-rate'!H$2:H$147)</f>
        <v>607.09100393058065</v>
      </c>
    </row>
    <row r="18" spans="1:51" x14ac:dyDescent="0.25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77</v>
      </c>
      <c r="G18">
        <v>13388.080335178791</v>
      </c>
      <c r="H18">
        <v>204.12367908064721</v>
      </c>
      <c r="I18">
        <v>13592.204014259438</v>
      </c>
      <c r="J18">
        <v>405769</v>
      </c>
      <c r="K18">
        <v>12.16631199818427</v>
      </c>
      <c r="L18">
        <v>12.16631199818427</v>
      </c>
      <c r="M18">
        <v>12.16631199818427</v>
      </c>
      <c r="N18">
        <v>13.518124442426968</v>
      </c>
      <c r="O18">
        <v>14.869936886669663</v>
      </c>
      <c r="P18">
        <v>16.221749330912363</v>
      </c>
      <c r="Q18">
        <v>18.925374219397753</v>
      </c>
      <c r="R18">
        <v>22.980811552125846</v>
      </c>
      <c r="S18">
        <v>28.388061329096629</v>
      </c>
      <c r="T18">
        <v>40.554373327280899</v>
      </c>
      <c r="U18">
        <v>68.942434656377529</v>
      </c>
      <c r="V18">
        <v>89.219621320017993</v>
      </c>
      <c r="W18">
        <v>117.60768264911461</v>
      </c>
      <c r="X18">
        <v>128.4221822030562</v>
      </c>
      <c r="Y18">
        <v>137.88486931275506</v>
      </c>
      <c r="Z18">
        <v>152.75480619942473</v>
      </c>
      <c r="AA18">
        <v>155.45843108791013</v>
      </c>
      <c r="AB18">
        <v>158.16205597639552</v>
      </c>
      <c r="AC18">
        <v>160.86568086488091</v>
      </c>
      <c r="AD18">
        <v>168.97655553033709</v>
      </c>
      <c r="AE18">
        <v>168.97655553033709</v>
      </c>
      <c r="AF18">
        <v>173.03199286306517</v>
      </c>
      <c r="AG18">
        <v>174.38380530730788</v>
      </c>
      <c r="AH18">
        <v>175.73561775155056</v>
      </c>
      <c r="AI18">
        <v>183.84649241700677</v>
      </c>
      <c r="AJ18">
        <v>185.19830486124945</v>
      </c>
      <c r="AK18">
        <v>185.19830486124945</v>
      </c>
      <c r="AL18">
        <v>187.90192974973485</v>
      </c>
      <c r="AM18">
        <v>189.25374219397753</v>
      </c>
      <c r="AN18">
        <v>190.60555463822024</v>
      </c>
      <c r="AO18">
        <v>190.60555463822024</v>
      </c>
      <c r="AP18">
        <v>196.01280441519103</v>
      </c>
      <c r="AQ18">
        <v>204.12367908064721</v>
      </c>
      <c r="AR18">
        <v>212.23455374610339</v>
      </c>
      <c r="AS18">
        <v>216.28999107883149</v>
      </c>
      <c r="AT18">
        <f>Sheet1!$AT18*_xlfn.XLOOKUP($A18,'[1]SSP4-change-rate'!$B$2:$B$147,'[1]SSP4-change-rate'!C$2:C$147)</f>
        <v>202.52896283782965</v>
      </c>
      <c r="AU18">
        <f>Sheet1!$AT18*_xlfn.XLOOKUP($A18,'[1]SSP4-change-rate'!$B$2:$B$147,'[1]SSP4-change-rate'!D$2:D$147)</f>
        <v>201.05415007191567</v>
      </c>
      <c r="AV18">
        <f>Sheet1!$AT18*_xlfn.XLOOKUP($A18,'[1]SSP4-change-rate'!$B$2:$B$147,'[1]SSP4-change-rate'!E$2:E$147)</f>
        <v>199.78062207893132</v>
      </c>
      <c r="AW18">
        <f>Sheet1!$AT18*_xlfn.XLOOKUP($A18,'[1]SSP4-change-rate'!$B$2:$B$147,'[1]SSP4-change-rate'!F$2:F$147)</f>
        <v>194.72324649140688</v>
      </c>
      <c r="AX18">
        <f>Sheet1!$AT18*_xlfn.XLOOKUP($A18,'[1]SSP4-change-rate'!$B$2:$B$147,'[1]SSP4-change-rate'!G$2:G$147)</f>
        <v>190.17734075836697</v>
      </c>
      <c r="AY18">
        <f>Sheet1!$AT18*_xlfn.XLOOKUP($A18,'[1]SSP4-change-rate'!$B$2:$B$147,'[1]SSP4-change-rate'!H$2:H$147)</f>
        <v>183.46830679272458</v>
      </c>
    </row>
    <row r="19" spans="1:51" x14ac:dyDescent="0.25">
      <c r="A19" t="s">
        <v>123</v>
      </c>
      <c r="B19" t="s">
        <v>124</v>
      </c>
      <c r="C19" t="s">
        <v>125</v>
      </c>
      <c r="D19" t="s">
        <v>65</v>
      </c>
      <c r="E19" t="s">
        <v>66</v>
      </c>
      <c r="F19" t="s">
        <v>66</v>
      </c>
      <c r="G19">
        <v>51068.854440502822</v>
      </c>
      <c r="H19">
        <v>790.81653765600004</v>
      </c>
      <c r="I19">
        <v>51859.670978158822</v>
      </c>
      <c r="J19">
        <v>3340977</v>
      </c>
      <c r="K19">
        <v>3.9527650999133619</v>
      </c>
      <c r="L19">
        <v>3.9527650999133619</v>
      </c>
      <c r="M19">
        <v>3.9527650999133619</v>
      </c>
      <c r="N19">
        <v>5.2703534665511498</v>
      </c>
      <c r="O19">
        <v>6.5879418331889363</v>
      </c>
      <c r="P19">
        <v>7.9055301998267238</v>
      </c>
      <c r="Q19">
        <v>9.2231185664645121</v>
      </c>
      <c r="R19">
        <v>9.2231185664645121</v>
      </c>
      <c r="S19">
        <v>9.2231185664645121</v>
      </c>
      <c r="T19">
        <v>9.2231185664645121</v>
      </c>
      <c r="U19">
        <v>10.5407069331023</v>
      </c>
      <c r="V19">
        <v>13.175883666377873</v>
      </c>
      <c r="W19">
        <v>15.811060399653448</v>
      </c>
      <c r="X19">
        <v>17.128648766291235</v>
      </c>
      <c r="Y19">
        <v>23.716590599480174</v>
      </c>
      <c r="Z19">
        <v>36.892474265858048</v>
      </c>
      <c r="AA19">
        <v>83.008067098180604</v>
      </c>
      <c r="AB19">
        <v>126.48848319722758</v>
      </c>
      <c r="AC19">
        <v>172.60407602955016</v>
      </c>
      <c r="AD19">
        <v>204.22619682885704</v>
      </c>
      <c r="AE19">
        <v>264.83526169419525</v>
      </c>
      <c r="AF19">
        <v>281.96391046048649</v>
      </c>
      <c r="AG19">
        <v>300.4101475934155</v>
      </c>
      <c r="AH19">
        <v>318.85638472634452</v>
      </c>
      <c r="AI19">
        <v>332.03226839272241</v>
      </c>
      <c r="AJ19">
        <v>351.79609389228921</v>
      </c>
      <c r="AK19">
        <v>367.60715429194272</v>
      </c>
      <c r="AL19">
        <v>386.05339142487168</v>
      </c>
      <c r="AM19">
        <v>407.13480529107625</v>
      </c>
      <c r="AN19">
        <v>450.61522139012322</v>
      </c>
      <c r="AO19">
        <v>505.95393278891032</v>
      </c>
      <c r="AP19">
        <v>566.56299765424853</v>
      </c>
      <c r="AQ19">
        <v>610.04341375329557</v>
      </c>
      <c r="AR19">
        <v>640.3479461859647</v>
      </c>
      <c r="AS19">
        <v>736.53189695052311</v>
      </c>
      <c r="AT19">
        <f>Sheet1!$AT19*_xlfn.XLOOKUP($A19,'[1]SSP4-change-rate'!$B$2:$B$147,'[1]SSP4-change-rate'!C$2:C$147)</f>
        <v>768.15401774983002</v>
      </c>
      <c r="AU19">
        <f>Sheet1!$AT19*_xlfn.XLOOKUP($A19,'[1]SSP4-change-rate'!$B$2:$B$147,'[1]SSP4-change-rate'!D$2:D$147)</f>
        <v>764.24483699792245</v>
      </c>
      <c r="AV19">
        <f>Sheet1!$AT19*_xlfn.XLOOKUP($A19,'[1]SSP4-change-rate'!$B$2:$B$147,'[1]SSP4-change-rate'!E$2:E$147)</f>
        <v>760.71426939389949</v>
      </c>
      <c r="AW19">
        <f>Sheet1!$AT19*_xlfn.XLOOKUP($A19,'[1]SSP4-change-rate'!$B$2:$B$147,'[1]SSP4-change-rate'!F$2:F$147)</f>
        <v>747.57846370295954</v>
      </c>
      <c r="AX19">
        <f>Sheet1!$AT19*_xlfn.XLOOKUP($A19,'[1]SSP4-change-rate'!$B$2:$B$147,'[1]SSP4-change-rate'!G$2:G$147)</f>
        <v>731.26979560317852</v>
      </c>
      <c r="AY19">
        <f>Sheet1!$AT19*_xlfn.XLOOKUP($A19,'[1]SSP4-change-rate'!$B$2:$B$147,'[1]SSP4-change-rate'!H$2:H$147)</f>
        <v>711.87342635033758</v>
      </c>
    </row>
    <row r="20" spans="1:51" x14ac:dyDescent="0.25">
      <c r="A20" t="s">
        <v>126</v>
      </c>
      <c r="B20" t="s">
        <v>127</v>
      </c>
      <c r="C20" t="s">
        <v>128</v>
      </c>
      <c r="D20" t="s">
        <v>129</v>
      </c>
      <c r="E20" t="s">
        <v>71</v>
      </c>
      <c r="F20" t="s">
        <v>82</v>
      </c>
      <c r="G20">
        <v>207069.80853644921</v>
      </c>
      <c r="H20">
        <v>3844.6981175575238</v>
      </c>
      <c r="I20">
        <v>210914.50665400675</v>
      </c>
      <c r="K20">
        <v>102.80584317449723</v>
      </c>
      <c r="L20">
        <v>117.16622291225249</v>
      </c>
      <c r="M20">
        <v>138.72748799366855</v>
      </c>
      <c r="N20">
        <v>183.98633868012126</v>
      </c>
      <c r="O20">
        <v>263.70182545224037</v>
      </c>
      <c r="P20">
        <v>289.65913007485915</v>
      </c>
      <c r="Q20">
        <v>306.67481901231815</v>
      </c>
      <c r="R20">
        <v>339.31734803142598</v>
      </c>
      <c r="S20">
        <v>362.53674557548072</v>
      </c>
      <c r="T20">
        <v>485.51940133850979</v>
      </c>
      <c r="U20">
        <v>670.85242880797261</v>
      </c>
      <c r="V20">
        <v>857.85245562089608</v>
      </c>
      <c r="W20">
        <v>1033.6264495503115</v>
      </c>
      <c r="X20">
        <v>1044.7891328835442</v>
      </c>
      <c r="Y20">
        <v>1127.0334340704792</v>
      </c>
      <c r="Z20">
        <v>1197.1110308538423</v>
      </c>
      <c r="AA20">
        <v>1237.1839434411752</v>
      </c>
      <c r="AB20">
        <v>1274.5114419214667</v>
      </c>
      <c r="AC20">
        <v>1313.0808041558662</v>
      </c>
      <c r="AD20">
        <v>1339.0463125277599</v>
      </c>
      <c r="AE20">
        <v>1356.2236826825042</v>
      </c>
      <c r="AF20">
        <v>1374.4645481567368</v>
      </c>
      <c r="AG20">
        <v>1388.5410347265172</v>
      </c>
      <c r="AH20">
        <v>1413.4092293298856</v>
      </c>
      <c r="AI20">
        <v>1459.9012851152984</v>
      </c>
      <c r="AJ20">
        <v>1526.7753737601781</v>
      </c>
      <c r="AK20">
        <v>1596.5758991138141</v>
      </c>
      <c r="AL20">
        <v>1661.0305256375075</v>
      </c>
      <c r="AM20">
        <v>1772.1806727316209</v>
      </c>
      <c r="AN20">
        <v>1849.1221682583989</v>
      </c>
      <c r="AO20">
        <v>1932.5026798991018</v>
      </c>
      <c r="AP20">
        <v>2038.6038062877174</v>
      </c>
      <c r="AQ20">
        <v>2302.2597005578664</v>
      </c>
      <c r="AR20">
        <v>2642.9609735999525</v>
      </c>
      <c r="AS20">
        <v>2930.091934086965</v>
      </c>
      <c r="AT20">
        <f>Sheet1!$AT20*_xlfn.XLOOKUP($A20,'[1]SSP4-change-rate'!$B$2:$B$147,'[1]SSP4-change-rate'!C$2:C$147)</f>
        <v>3205.9998719623268</v>
      </c>
      <c r="AU20">
        <f>Sheet1!$AT20*_xlfn.XLOOKUP($A20,'[1]SSP4-change-rate'!$B$2:$B$147,'[1]SSP4-change-rate'!D$2:D$147)</f>
        <v>3205.9998719623268</v>
      </c>
      <c r="AV20">
        <f>Sheet1!$AT20*_xlfn.XLOOKUP($A20,'[1]SSP4-change-rate'!$B$2:$B$147,'[1]SSP4-change-rate'!E$2:E$147)</f>
        <v>3205.9998719623268</v>
      </c>
      <c r="AW20">
        <f>Sheet1!$AT20*_xlfn.XLOOKUP($A20,'[1]SSP4-change-rate'!$B$2:$B$147,'[1]SSP4-change-rate'!F$2:F$147)</f>
        <v>3205.9998719623268</v>
      </c>
      <c r="AX20">
        <f>Sheet1!$AT20*_xlfn.XLOOKUP($A20,'[1]SSP4-change-rate'!$B$2:$B$147,'[1]SSP4-change-rate'!G$2:G$147)</f>
        <v>3205.9998719623268</v>
      </c>
      <c r="AY20">
        <f>Sheet1!$AT20*_xlfn.XLOOKUP($A20,'[1]SSP4-change-rate'!$B$2:$B$147,'[1]SSP4-change-rate'!H$2:H$147)</f>
        <v>3205.9998719623268</v>
      </c>
    </row>
    <row r="21" spans="1:51" x14ac:dyDescent="0.25">
      <c r="A21" t="s">
        <v>130</v>
      </c>
      <c r="B21" t="s">
        <v>131</v>
      </c>
      <c r="C21" t="s">
        <v>132</v>
      </c>
      <c r="D21" t="s">
        <v>75</v>
      </c>
      <c r="E21" t="s">
        <v>76</v>
      </c>
      <c r="F21" t="s">
        <v>77</v>
      </c>
      <c r="G21">
        <v>1084380.2191149129</v>
      </c>
      <c r="H21">
        <v>2854.2507675567899</v>
      </c>
      <c r="I21">
        <v>1087234.4698824696</v>
      </c>
      <c r="J21">
        <v>11862352</v>
      </c>
      <c r="K21">
        <v>22.652783869498332</v>
      </c>
      <c r="L21">
        <v>22.652783869498332</v>
      </c>
      <c r="M21">
        <v>56.631959673745826</v>
      </c>
      <c r="N21">
        <v>56.631959673745826</v>
      </c>
      <c r="O21">
        <v>79.284743543244161</v>
      </c>
      <c r="P21">
        <v>124.59031128224082</v>
      </c>
      <c r="Q21">
        <v>129.12086805614049</v>
      </c>
      <c r="R21">
        <v>158.56948708648832</v>
      </c>
      <c r="S21">
        <v>158.56948708648832</v>
      </c>
      <c r="T21">
        <v>206.1403332124348</v>
      </c>
      <c r="U21">
        <v>283.15979836872913</v>
      </c>
      <c r="V21">
        <v>421.34177997266897</v>
      </c>
      <c r="W21">
        <v>652.40017544155194</v>
      </c>
      <c r="X21">
        <v>699.9710215674985</v>
      </c>
      <c r="Y21">
        <v>847.21411671923761</v>
      </c>
      <c r="Z21">
        <v>967.27387122757887</v>
      </c>
      <c r="AA21">
        <v>1057.8850067055721</v>
      </c>
      <c r="AB21">
        <v>1085.0683473489701</v>
      </c>
      <c r="AC21">
        <v>1130.3739150879667</v>
      </c>
      <c r="AD21">
        <v>1177.9447612139131</v>
      </c>
      <c r="AE21">
        <v>1189.2711531486625</v>
      </c>
      <c r="AF21">
        <v>1257.2295047571574</v>
      </c>
      <c r="AG21">
        <v>1288.9434021744551</v>
      </c>
      <c r="AH21">
        <v>1354.6364753960002</v>
      </c>
      <c r="AI21">
        <v>1395.4114863610973</v>
      </c>
      <c r="AJ21">
        <v>1474.6962299043416</v>
      </c>
      <c r="AK21">
        <v>1524.5323544172377</v>
      </c>
      <c r="AL21">
        <v>1592.4907060257328</v>
      </c>
      <c r="AM21">
        <v>1678.5712847298264</v>
      </c>
      <c r="AN21">
        <v>1748.7949147252714</v>
      </c>
      <c r="AO21">
        <v>1828.0796582685152</v>
      </c>
      <c r="AP21">
        <v>2004.7713724506023</v>
      </c>
      <c r="AQ21">
        <v>2285.665892432382</v>
      </c>
      <c r="AR21">
        <v>2487.2756688709169</v>
      </c>
      <c r="AS21">
        <v>2639.049320796556</v>
      </c>
      <c r="AT21">
        <f>Sheet1!$AT21*_xlfn.XLOOKUP($A21,'[1]SSP4-change-rate'!$B$2:$B$147,'[1]SSP4-change-rate'!C$2:C$147)</f>
        <v>2784.2486217017922</v>
      </c>
      <c r="AU21">
        <f>Sheet1!$AT21*_xlfn.XLOOKUP($A21,'[1]SSP4-change-rate'!$B$2:$B$147,'[1]SSP4-change-rate'!D$2:D$147)</f>
        <v>2801.7394168891565</v>
      </c>
      <c r="AV21">
        <f>Sheet1!$AT21*_xlfn.XLOOKUP($A21,'[1]SSP4-change-rate'!$B$2:$B$147,'[1]SSP4-change-rate'!E$2:E$147)</f>
        <v>2824.5134758824415</v>
      </c>
      <c r="AW21">
        <f>Sheet1!$AT21*_xlfn.XLOOKUP($A21,'[1]SSP4-change-rate'!$B$2:$B$147,'[1]SSP4-change-rate'!F$2:F$147)</f>
        <v>2855.2336060827411</v>
      </c>
      <c r="AX21">
        <f>Sheet1!$AT21*_xlfn.XLOOKUP($A21,'[1]SSP4-change-rate'!$B$2:$B$147,'[1]SSP4-change-rate'!G$2:G$147)</f>
        <v>2868.9775518844772</v>
      </c>
      <c r="AY21">
        <f>Sheet1!$AT21*_xlfn.XLOOKUP($A21,'[1]SSP4-change-rate'!$B$2:$B$147,'[1]SSP4-change-rate'!H$2:H$147)</f>
        <v>2854.6192253295535</v>
      </c>
    </row>
    <row r="22" spans="1:51" x14ac:dyDescent="0.25">
      <c r="A22" t="s">
        <v>133</v>
      </c>
      <c r="B22" t="s">
        <v>134</v>
      </c>
      <c r="C22" t="s">
        <v>135</v>
      </c>
      <c r="D22" t="s">
        <v>134</v>
      </c>
      <c r="E22" t="s">
        <v>76</v>
      </c>
      <c r="F22" t="s">
        <v>77</v>
      </c>
      <c r="G22">
        <v>8509083.3303571269</v>
      </c>
      <c r="H22">
        <v>73053.988026662948</v>
      </c>
      <c r="I22">
        <v>8582137.3183837906</v>
      </c>
      <c r="J22">
        <v>213317639</v>
      </c>
      <c r="K22">
        <v>1729.6824109999998</v>
      </c>
      <c r="L22">
        <v>2124.0141523678753</v>
      </c>
      <c r="M22">
        <v>2908.1965925880827</v>
      </c>
      <c r="N22">
        <v>3873.8612546878239</v>
      </c>
      <c r="O22">
        <v>5363.8078911062175</v>
      </c>
      <c r="P22">
        <v>7572.9618512694296</v>
      </c>
      <c r="Q22">
        <v>10277.27100940026</v>
      </c>
      <c r="R22">
        <v>10694.007963345854</v>
      </c>
      <c r="S22">
        <v>13747.838437689119</v>
      </c>
      <c r="T22">
        <v>18726.276672458549</v>
      </c>
      <c r="U22">
        <v>21275.989863803108</v>
      </c>
      <c r="V22">
        <v>21376.813320402849</v>
      </c>
      <c r="W22">
        <v>22573.251672053106</v>
      </c>
      <c r="X22">
        <v>24636.771750461136</v>
      </c>
      <c r="Y22">
        <v>29503.183922341967</v>
      </c>
      <c r="Z22">
        <v>33027.523860817353</v>
      </c>
      <c r="AA22">
        <v>35707.18728511269</v>
      </c>
      <c r="AB22">
        <v>37008.930135878232</v>
      </c>
      <c r="AC22">
        <v>38256.900476457253</v>
      </c>
      <c r="AD22">
        <v>39560.883848480567</v>
      </c>
      <c r="AE22">
        <v>40999.298495970208</v>
      </c>
      <c r="AF22">
        <v>41917.912211656731</v>
      </c>
      <c r="AG22">
        <v>42507.169302450777</v>
      </c>
      <c r="AH22">
        <v>43251.022360031086</v>
      </c>
      <c r="AI22">
        <v>44113.623044273314</v>
      </c>
      <c r="AJ22">
        <v>45186.832726746114</v>
      </c>
      <c r="AK22">
        <v>46251.080324187824</v>
      </c>
      <c r="AL22">
        <v>47617.798291428757</v>
      </c>
      <c r="AM22">
        <v>50167.511482773312</v>
      </c>
      <c r="AN22">
        <v>51594.723523974091</v>
      </c>
      <c r="AO22">
        <v>53635.838389804405</v>
      </c>
      <c r="AP22">
        <v>56293.096601522018</v>
      </c>
      <c r="AQ22">
        <v>61421.649760562177</v>
      </c>
      <c r="AR22">
        <v>65976.629477612689</v>
      </c>
      <c r="AS22">
        <v>69476.32368225258</v>
      </c>
      <c r="AT22">
        <f>Sheet1!$AT22*_xlfn.XLOOKUP($A22,'[1]SSP4-change-rate'!$B$2:$B$147,'[1]SSP4-change-rate'!C$2:C$147)</f>
        <v>71254.210467188954</v>
      </c>
      <c r="AU22">
        <f>Sheet1!$AT22*_xlfn.XLOOKUP($A22,'[1]SSP4-change-rate'!$B$2:$B$147,'[1]SSP4-change-rate'!D$2:D$147)</f>
        <v>70889.051670025903</v>
      </c>
      <c r="AV22">
        <f>Sheet1!$AT22*_xlfn.XLOOKUP($A22,'[1]SSP4-change-rate'!$B$2:$B$147,'[1]SSP4-change-rate'!E$2:E$147)</f>
        <v>70379.663614421966</v>
      </c>
      <c r="AW22">
        <f>Sheet1!$AT22*_xlfn.XLOOKUP($A22,'[1]SSP4-change-rate'!$B$2:$B$147,'[1]SSP4-change-rate'!F$2:F$147)</f>
        <v>69090.252295298298</v>
      </c>
      <c r="AX22">
        <f>Sheet1!$AT22*_xlfn.XLOOKUP($A22,'[1]SSP4-change-rate'!$B$2:$B$147,'[1]SSP4-change-rate'!G$2:G$147)</f>
        <v>67246.410781206549</v>
      </c>
      <c r="AY22">
        <f>Sheet1!$AT22*_xlfn.XLOOKUP($A22,'[1]SSP4-change-rate'!$B$2:$B$147,'[1]SSP4-change-rate'!H$2:H$147)</f>
        <v>64938.9583321194</v>
      </c>
    </row>
    <row r="23" spans="1:51" x14ac:dyDescent="0.25">
      <c r="A23" t="s">
        <v>136</v>
      </c>
      <c r="B23" t="s">
        <v>137</v>
      </c>
      <c r="C23" t="s">
        <v>138</v>
      </c>
      <c r="D23" t="s">
        <v>139</v>
      </c>
      <c r="E23" t="s">
        <v>55</v>
      </c>
      <c r="F23" t="s">
        <v>140</v>
      </c>
      <c r="G23">
        <v>5777.4913640251616</v>
      </c>
      <c r="H23">
        <v>115.2331988151243</v>
      </c>
      <c r="I23">
        <v>5892.7245628402861</v>
      </c>
      <c r="J23">
        <v>439894</v>
      </c>
      <c r="K23">
        <v>2.9460642502040546</v>
      </c>
      <c r="L23">
        <v>2.9460642502040546</v>
      </c>
      <c r="M23">
        <v>2.9460642502040546</v>
      </c>
      <c r="N23">
        <v>2.9460642502040546</v>
      </c>
      <c r="O23">
        <v>2.9460642502040546</v>
      </c>
      <c r="P23">
        <v>2.9460642502040546</v>
      </c>
      <c r="Q23">
        <v>3.3669305716617761</v>
      </c>
      <c r="R23">
        <v>3.7877968931194985</v>
      </c>
      <c r="S23">
        <v>4.2086632145772205</v>
      </c>
      <c r="T23">
        <v>8.417326429154441</v>
      </c>
      <c r="U23">
        <v>14.30945492956255</v>
      </c>
      <c r="V23">
        <v>15.992920215393436</v>
      </c>
      <c r="W23">
        <v>18.51811814413977</v>
      </c>
      <c r="X23">
        <v>19.359850787055215</v>
      </c>
      <c r="Y23">
        <v>35.352771002448648</v>
      </c>
      <c r="Z23">
        <v>60.604750289911976</v>
      </c>
      <c r="AA23">
        <v>73.230739933643633</v>
      </c>
      <c r="AB23">
        <v>79.964601076967185</v>
      </c>
      <c r="AC23">
        <v>82.910665327171245</v>
      </c>
      <c r="AD23">
        <v>83.331531648628967</v>
      </c>
      <c r="AE23">
        <v>85.014996934459845</v>
      </c>
      <c r="AF23">
        <v>85.014996934459845</v>
      </c>
      <c r="AG23">
        <v>86.277595898833013</v>
      </c>
      <c r="AH23">
        <v>86.277595898833013</v>
      </c>
      <c r="AI23">
        <v>86.277595898833013</v>
      </c>
      <c r="AJ23">
        <v>86.698462220290736</v>
      </c>
      <c r="AK23">
        <v>86.698462220290736</v>
      </c>
      <c r="AL23">
        <v>86.698462220290736</v>
      </c>
      <c r="AM23">
        <v>86.698462220290736</v>
      </c>
      <c r="AN23">
        <v>87.119328541748459</v>
      </c>
      <c r="AO23">
        <v>90.065392791952519</v>
      </c>
      <c r="AP23">
        <v>90.065392791952519</v>
      </c>
      <c r="AQ23">
        <v>92.590590720698842</v>
      </c>
      <c r="AR23">
        <v>95.957521292360624</v>
      </c>
      <c r="AS23">
        <v>100.58705082839556</v>
      </c>
      <c r="AT23">
        <f>Sheet1!$AT23*_xlfn.XLOOKUP($A23,'[1]SSP4-change-rate'!$B$2:$B$147,'[1]SSP4-change-rate'!C$2:C$147)</f>
        <v>107.50895862598746</v>
      </c>
      <c r="AU23">
        <f>Sheet1!$AT23*_xlfn.XLOOKUP($A23,'[1]SSP4-change-rate'!$B$2:$B$147,'[1]SSP4-change-rate'!D$2:D$147)</f>
        <v>105.87576857876188</v>
      </c>
      <c r="AV23">
        <f>Sheet1!$AT23*_xlfn.XLOOKUP($A23,'[1]SSP4-change-rate'!$B$2:$B$147,'[1]SSP4-change-rate'!E$2:E$147)</f>
        <v>103.72086213649898</v>
      </c>
      <c r="AW23">
        <f>Sheet1!$AT23*_xlfn.XLOOKUP($A23,'[1]SSP4-change-rate'!$B$2:$B$147,'[1]SSP4-change-rate'!F$2:F$147)</f>
        <v>98.861498910418902</v>
      </c>
      <c r="AX23">
        <f>Sheet1!$AT23*_xlfn.XLOOKUP($A23,'[1]SSP4-change-rate'!$B$2:$B$147,'[1]SSP4-change-rate'!G$2:G$147)</f>
        <v>94.346352061749471</v>
      </c>
      <c r="AY23">
        <f>Sheet1!$AT23*_xlfn.XLOOKUP($A23,'[1]SSP4-change-rate'!$B$2:$B$147,'[1]SSP4-change-rate'!H$2:H$147)</f>
        <v>89.269749256286048</v>
      </c>
    </row>
    <row r="24" spans="1:51" x14ac:dyDescent="0.25">
      <c r="A24" t="s">
        <v>141</v>
      </c>
      <c r="B24" t="s">
        <v>142</v>
      </c>
      <c r="C24" t="s">
        <v>143</v>
      </c>
      <c r="D24" t="s">
        <v>60</v>
      </c>
      <c r="E24" t="s">
        <v>61</v>
      </c>
      <c r="F24" t="s">
        <v>61</v>
      </c>
      <c r="G24">
        <v>577870.82410037157</v>
      </c>
      <c r="H24">
        <v>548.48245515062229</v>
      </c>
      <c r="I24">
        <v>578419.30655552214</v>
      </c>
      <c r="J24">
        <v>2523551</v>
      </c>
      <c r="K24">
        <v>10.194841173803388</v>
      </c>
      <c r="L24">
        <v>10.194841173803388</v>
      </c>
      <c r="M24">
        <v>10.194841173803388</v>
      </c>
      <c r="N24">
        <v>10.194841173803388</v>
      </c>
      <c r="O24">
        <v>10.194841173803388</v>
      </c>
      <c r="P24">
        <v>10.194841173803388</v>
      </c>
      <c r="Q24">
        <v>10.194841173803388</v>
      </c>
      <c r="R24">
        <v>10.194841173803388</v>
      </c>
      <c r="S24">
        <v>10.194841173803388</v>
      </c>
      <c r="T24">
        <v>10.194841173803388</v>
      </c>
      <c r="U24">
        <v>18.350714112846099</v>
      </c>
      <c r="V24">
        <v>30.584523521410166</v>
      </c>
      <c r="W24">
        <v>81.558729390427104</v>
      </c>
      <c r="X24">
        <v>85.636665859948465</v>
      </c>
      <c r="Y24">
        <v>108.06531644231592</v>
      </c>
      <c r="Z24">
        <v>148.84468113752945</v>
      </c>
      <c r="AA24">
        <v>175.35126818941825</v>
      </c>
      <c r="AB24">
        <v>185.54610936322166</v>
      </c>
      <c r="AC24">
        <v>193.70198230226438</v>
      </c>
      <c r="AD24">
        <v>197.77991877178573</v>
      </c>
      <c r="AE24">
        <v>212.05269641511049</v>
      </c>
      <c r="AF24">
        <v>238.55928346699929</v>
      </c>
      <c r="AG24">
        <v>256.90999757984537</v>
      </c>
      <c r="AH24">
        <v>275.26071169269147</v>
      </c>
      <c r="AI24">
        <v>287.49452110125554</v>
      </c>
      <c r="AJ24">
        <v>299.72833050981961</v>
      </c>
      <c r="AK24">
        <v>303.80626697934099</v>
      </c>
      <c r="AL24">
        <v>303.80626697934099</v>
      </c>
      <c r="AM24">
        <v>309.92317168362302</v>
      </c>
      <c r="AN24">
        <v>311.96213991838368</v>
      </c>
      <c r="AO24">
        <v>330.31285403122979</v>
      </c>
      <c r="AP24">
        <v>340.50769520503314</v>
      </c>
      <c r="AQ24">
        <v>393.52086930881075</v>
      </c>
      <c r="AR24">
        <v>481.19650340351996</v>
      </c>
      <c r="AS24">
        <v>507.7030904554087</v>
      </c>
      <c r="AT24">
        <f>Sheet1!$AT24*_xlfn.XLOOKUP($A24,'[1]SSP4-change-rate'!$B$2:$B$147,'[1]SSP4-change-rate'!C$2:C$147)</f>
        <v>529.53620081079168</v>
      </c>
      <c r="AU24">
        <f>Sheet1!$AT24*_xlfn.XLOOKUP($A24,'[1]SSP4-change-rate'!$B$2:$B$147,'[1]SSP4-change-rate'!D$2:D$147)</f>
        <v>522.0341243340124</v>
      </c>
      <c r="AV24">
        <f>Sheet1!$AT24*_xlfn.XLOOKUP($A24,'[1]SSP4-change-rate'!$B$2:$B$147,'[1]SSP4-change-rate'!E$2:E$147)</f>
        <v>517.72263571762642</v>
      </c>
      <c r="AW24">
        <f>Sheet1!$AT24*_xlfn.XLOOKUP($A24,'[1]SSP4-change-rate'!$B$2:$B$147,'[1]SSP4-change-rate'!F$2:F$147)</f>
        <v>497.2742693202394</v>
      </c>
      <c r="AX24">
        <f>Sheet1!$AT24*_xlfn.XLOOKUP($A24,'[1]SSP4-change-rate'!$B$2:$B$147,'[1]SSP4-change-rate'!G$2:G$147)</f>
        <v>475.22255219171194</v>
      </c>
      <c r="AY24">
        <f>Sheet1!$AT24*_xlfn.XLOOKUP($A24,'[1]SSP4-change-rate'!$B$2:$B$147,'[1]SSP4-change-rate'!H$2:H$147)</f>
        <v>449.34943994866524</v>
      </c>
    </row>
    <row r="25" spans="1:51" x14ac:dyDescent="0.25">
      <c r="A25" t="s">
        <v>144</v>
      </c>
      <c r="B25" t="s">
        <v>145</v>
      </c>
      <c r="C25" t="s">
        <v>146</v>
      </c>
      <c r="D25" t="s">
        <v>105</v>
      </c>
      <c r="E25" t="s">
        <v>61</v>
      </c>
      <c r="F25" t="s">
        <v>61</v>
      </c>
      <c r="G25">
        <v>620199.66860529792</v>
      </c>
      <c r="H25">
        <v>204.63716866256721</v>
      </c>
      <c r="I25">
        <v>620404.30577396054</v>
      </c>
      <c r="J25">
        <v>5352088</v>
      </c>
      <c r="K25">
        <v>59.192569447850026</v>
      </c>
      <c r="L25">
        <v>59.192569447850026</v>
      </c>
      <c r="M25">
        <v>59.192569447850026</v>
      </c>
      <c r="N25">
        <v>59.192569447850026</v>
      </c>
      <c r="O25">
        <v>59.192569447850026</v>
      </c>
      <c r="P25">
        <v>59.192569447850026</v>
      </c>
      <c r="Q25">
        <v>59.192569447850026</v>
      </c>
      <c r="R25">
        <v>59.192569447850026</v>
      </c>
      <c r="S25">
        <v>76.104732147235751</v>
      </c>
      <c r="T25">
        <v>84.560813496928603</v>
      </c>
      <c r="U25">
        <v>101.47297619631432</v>
      </c>
      <c r="V25">
        <v>109.92905754600717</v>
      </c>
      <c r="W25">
        <v>109.92905754600717</v>
      </c>
      <c r="X25">
        <v>109.92905754600717</v>
      </c>
      <c r="Y25">
        <v>118.38513889570005</v>
      </c>
      <c r="Z25">
        <v>126.8412202453929</v>
      </c>
      <c r="AA25">
        <v>126.8412202453929</v>
      </c>
      <c r="AB25">
        <v>126.8412202453929</v>
      </c>
      <c r="AC25">
        <v>135.29730159508577</v>
      </c>
      <c r="AD25">
        <v>135.29730159508577</v>
      </c>
      <c r="AE25">
        <v>135.29730159508577</v>
      </c>
      <c r="AF25">
        <v>135.29730159508577</v>
      </c>
      <c r="AG25">
        <v>135.29730159508577</v>
      </c>
      <c r="AH25">
        <v>135.29730159508577</v>
      </c>
      <c r="AI25">
        <v>135.29730159508577</v>
      </c>
      <c r="AJ25">
        <v>135.29730159508577</v>
      </c>
      <c r="AK25">
        <v>135.29730159508577</v>
      </c>
      <c r="AL25">
        <v>135.29730159508577</v>
      </c>
      <c r="AM25">
        <v>135.29730159508577</v>
      </c>
      <c r="AN25">
        <v>152.2094642944715</v>
      </c>
      <c r="AO25">
        <v>152.2094642944715</v>
      </c>
      <c r="AP25">
        <v>160.66554564416435</v>
      </c>
      <c r="AQ25">
        <v>160.66554564416435</v>
      </c>
      <c r="AR25">
        <v>194.48987104293579</v>
      </c>
      <c r="AS25">
        <v>194.48987104293579</v>
      </c>
      <c r="AT25">
        <f>Sheet1!$AT25*_xlfn.XLOOKUP($A25,'[1]SSP4-change-rate'!$B$2:$B$147,'[1]SSP4-change-rate'!C$2:C$147)</f>
        <v>194.48987104293579</v>
      </c>
      <c r="AU25">
        <f>Sheet1!$AT25*_xlfn.XLOOKUP($A25,'[1]SSP4-change-rate'!$B$2:$B$147,'[1]SSP4-change-rate'!D$2:D$147)</f>
        <v>203.75129347355178</v>
      </c>
      <c r="AV25">
        <f>Sheet1!$AT25*_xlfn.XLOOKUP($A25,'[1]SSP4-change-rate'!$B$2:$B$147,'[1]SSP4-change-rate'!E$2:E$147)</f>
        <v>202.94595239262864</v>
      </c>
      <c r="AW25">
        <f>Sheet1!$AT25*_xlfn.XLOOKUP($A25,'[1]SSP4-change-rate'!$B$2:$B$147,'[1]SSP4-change-rate'!F$2:F$147)</f>
        <v>201.97025069843335</v>
      </c>
      <c r="AX25">
        <f>Sheet1!$AT25*_xlfn.XLOOKUP($A25,'[1]SSP4-change-rate'!$B$2:$B$147,'[1]SSP4-change-rate'!G$2:G$147)</f>
        <v>208.38200468885978</v>
      </c>
      <c r="AY25">
        <f>Sheet1!$AT25*_xlfn.XLOOKUP($A25,'[1]SSP4-change-rate'!$B$2:$B$147,'[1]SSP4-change-rate'!H$2:H$147)</f>
        <v>207.03760465860904</v>
      </c>
    </row>
    <row r="26" spans="1:51" x14ac:dyDescent="0.25">
      <c r="A26" t="s">
        <v>147</v>
      </c>
      <c r="B26" t="s">
        <v>148</v>
      </c>
      <c r="C26" t="s">
        <v>149</v>
      </c>
      <c r="D26" t="s">
        <v>148</v>
      </c>
      <c r="E26" t="s">
        <v>122</v>
      </c>
      <c r="F26" t="s">
        <v>150</v>
      </c>
      <c r="G26">
        <v>9955196.1675422974</v>
      </c>
      <c r="H26">
        <v>47487.542354983307</v>
      </c>
      <c r="I26">
        <v>10002683.709897282</v>
      </c>
      <c r="J26">
        <v>37758236</v>
      </c>
      <c r="K26">
        <v>1826.9026053527139</v>
      </c>
      <c r="L26">
        <v>2356.9196803417153</v>
      </c>
      <c r="M26">
        <v>3034.3477543120321</v>
      </c>
      <c r="N26">
        <v>3522.9572453175183</v>
      </c>
      <c r="O26">
        <v>4796.6545286504615</v>
      </c>
      <c r="P26">
        <v>6080.2896321394501</v>
      </c>
      <c r="Q26">
        <v>7486.4911842196443</v>
      </c>
      <c r="R26">
        <v>8539.9001207602832</v>
      </c>
      <c r="S26">
        <v>10393.303579862448</v>
      </c>
      <c r="T26">
        <v>14595.345202509623</v>
      </c>
      <c r="U26">
        <v>19585.787224202937</v>
      </c>
      <c r="V26">
        <v>22485.974406408382</v>
      </c>
      <c r="W26">
        <v>26106.653549926996</v>
      </c>
      <c r="X26">
        <v>27552.606382631366</v>
      </c>
      <c r="Y26">
        <v>30235.81782476318</v>
      </c>
      <c r="Z26">
        <v>32215.100339175235</v>
      </c>
      <c r="AA26">
        <v>32769.961964554343</v>
      </c>
      <c r="AB26">
        <v>32996.875524784009</v>
      </c>
      <c r="AC26">
        <v>33250.289938763133</v>
      </c>
      <c r="AD26">
        <v>33558.362363600485</v>
      </c>
      <c r="AE26">
        <v>33685.897722269714</v>
      </c>
      <c r="AF26">
        <v>33882.997822031248</v>
      </c>
      <c r="AG26">
        <v>34050.284461324649</v>
      </c>
      <c r="AH26">
        <v>34167.881999837839</v>
      </c>
      <c r="AI26">
        <v>34277.198021554323</v>
      </c>
      <c r="AJ26">
        <v>34472.641817956508</v>
      </c>
      <c r="AK26">
        <v>34692.930164748817</v>
      </c>
      <c r="AL26">
        <v>35085.474060912544</v>
      </c>
      <c r="AM26">
        <v>35741.370191211434</v>
      </c>
      <c r="AN26">
        <v>36236.60489565428</v>
      </c>
      <c r="AO26">
        <v>36720.245476581746</v>
      </c>
      <c r="AP26">
        <v>37145.915439932287</v>
      </c>
      <c r="AQ26">
        <v>38626.650643182809</v>
      </c>
      <c r="AR26">
        <v>41129.325019146498</v>
      </c>
      <c r="AS26">
        <v>44463.46368149919</v>
      </c>
      <c r="AT26">
        <f>Sheet1!$AT26*_xlfn.XLOOKUP($A26,'[1]SSP4-change-rate'!$B$2:$B$147,'[1]SSP4-change-rate'!C$2:C$147)</f>
        <v>46021.872106691095</v>
      </c>
      <c r="AU26">
        <f>Sheet1!$AT26*_xlfn.XLOOKUP($A26,'[1]SSP4-change-rate'!$B$2:$B$147,'[1]SSP4-change-rate'!D$2:D$147)</f>
        <v>45791.381195383859</v>
      </c>
      <c r="AV26">
        <f>Sheet1!$AT26*_xlfn.XLOOKUP($A26,'[1]SSP4-change-rate'!$B$2:$B$147,'[1]SSP4-change-rate'!E$2:E$147)</f>
        <v>45478.860249421341</v>
      </c>
      <c r="AW26">
        <f>Sheet1!$AT26*_xlfn.XLOOKUP($A26,'[1]SSP4-change-rate'!$B$2:$B$147,'[1]SSP4-change-rate'!F$2:F$147)</f>
        <v>44832.028442938477</v>
      </c>
      <c r="AX26">
        <f>Sheet1!$AT26*_xlfn.XLOOKUP($A26,'[1]SSP4-change-rate'!$B$2:$B$147,'[1]SSP4-change-rate'!G$2:G$147)</f>
        <v>43946.093798177099</v>
      </c>
      <c r="AY26">
        <f>Sheet1!$AT26*_xlfn.XLOOKUP($A26,'[1]SSP4-change-rate'!$B$2:$B$147,'[1]SSP4-change-rate'!H$2:H$147)</f>
        <v>42917.538639305203</v>
      </c>
    </row>
    <row r="27" spans="1:51" x14ac:dyDescent="0.25">
      <c r="A27" t="s">
        <v>151</v>
      </c>
      <c r="B27" t="s">
        <v>152</v>
      </c>
      <c r="C27" t="s">
        <v>153</v>
      </c>
      <c r="D27" t="s">
        <v>91</v>
      </c>
      <c r="E27" t="s">
        <v>66</v>
      </c>
      <c r="F27" t="s">
        <v>66</v>
      </c>
      <c r="G27">
        <v>41235.436471763584</v>
      </c>
      <c r="H27">
        <v>8253.903560634355</v>
      </c>
      <c r="I27">
        <v>49489.340032397937</v>
      </c>
      <c r="J27">
        <v>8606425.9999999981</v>
      </c>
      <c r="K27">
        <v>489.28748877449436</v>
      </c>
      <c r="L27">
        <v>533.19790443374382</v>
      </c>
      <c r="M27">
        <v>572.92637574449338</v>
      </c>
      <c r="N27">
        <v>687.9298453282421</v>
      </c>
      <c r="O27">
        <v>834.29789752574038</v>
      </c>
      <c r="P27">
        <v>874.02636883648995</v>
      </c>
      <c r="Q27">
        <v>934.66456188973928</v>
      </c>
      <c r="R27">
        <v>1003.6666436399884</v>
      </c>
      <c r="S27">
        <v>1141.6708071404867</v>
      </c>
      <c r="T27">
        <v>1423.9520506642336</v>
      </c>
      <c r="U27">
        <v>1875.6020403022285</v>
      </c>
      <c r="V27">
        <v>1942.5131498782275</v>
      </c>
      <c r="W27">
        <v>2676.4443830399691</v>
      </c>
      <c r="X27">
        <v>2707.808965653719</v>
      </c>
      <c r="Y27">
        <v>2952.4527100409659</v>
      </c>
      <c r="Z27">
        <v>3201.2783987767134</v>
      </c>
      <c r="AA27">
        <v>3389.4658944592111</v>
      </c>
      <c r="AB27">
        <v>3475.1957536034597</v>
      </c>
      <c r="AC27">
        <v>3533.7429744824594</v>
      </c>
      <c r="AD27">
        <v>4058.5769902192033</v>
      </c>
      <c r="AE27">
        <v>4121.3061554467022</v>
      </c>
      <c r="AF27">
        <v>4192.3992093712013</v>
      </c>
      <c r="AG27">
        <v>4303.2207346064506</v>
      </c>
      <c r="AH27">
        <v>4409.8603154931989</v>
      </c>
      <c r="AI27">
        <v>4441.2248981069488</v>
      </c>
      <c r="AJ27">
        <v>4520.6818407284482</v>
      </c>
      <c r="AK27">
        <v>4696.3235033654455</v>
      </c>
      <c r="AL27">
        <v>4792.5082233809453</v>
      </c>
      <c r="AM27">
        <v>4984.8776634119431</v>
      </c>
      <c r="AN27">
        <v>5099.8811329956916</v>
      </c>
      <c r="AO27">
        <v>5712.5359800509341</v>
      </c>
      <c r="AP27">
        <v>6047.0915279309302</v>
      </c>
      <c r="AQ27">
        <v>6377.4651314624261</v>
      </c>
      <c r="AR27">
        <v>7071.667893313419</v>
      </c>
      <c r="AS27">
        <v>7872.5102360511592</v>
      </c>
      <c r="AT27">
        <f>Sheet1!$AT27*_xlfn.XLOOKUP($A27,'[1]SSP4-change-rate'!$B$2:$B$147,'[1]SSP4-change-rate'!C$2:C$147)</f>
        <v>8113.0033380685618</v>
      </c>
      <c r="AU27">
        <f>Sheet1!$AT27*_xlfn.XLOOKUP($A27,'[1]SSP4-change-rate'!$B$2:$B$147,'[1]SSP4-change-rate'!D$2:D$147)</f>
        <v>8099.5945464671377</v>
      </c>
      <c r="AV27">
        <f>Sheet1!$AT27*_xlfn.XLOOKUP($A27,'[1]SSP4-change-rate'!$B$2:$B$147,'[1]SSP4-change-rate'!E$2:E$147)</f>
        <v>8077.1772114965534</v>
      </c>
      <c r="AW27">
        <f>Sheet1!$AT27*_xlfn.XLOOKUP($A27,'[1]SSP4-change-rate'!$B$2:$B$147,'[1]SSP4-change-rate'!F$2:F$147)</f>
        <v>8032.2936745194247</v>
      </c>
      <c r="AX27">
        <f>Sheet1!$AT27*_xlfn.XLOOKUP($A27,'[1]SSP4-change-rate'!$B$2:$B$147,'[1]SSP4-change-rate'!G$2:G$147)</f>
        <v>7971.0005644574694</v>
      </c>
      <c r="AY27">
        <f>Sheet1!$AT27*_xlfn.XLOOKUP($A27,'[1]SSP4-change-rate'!$B$2:$B$147,'[1]SSP4-change-rate'!H$2:H$147)</f>
        <v>7895.8002238414037</v>
      </c>
    </row>
    <row r="28" spans="1:51" x14ac:dyDescent="0.25">
      <c r="A28" t="s">
        <v>154</v>
      </c>
      <c r="B28" t="s">
        <v>155</v>
      </c>
      <c r="C28" t="s">
        <v>156</v>
      </c>
      <c r="D28" t="s">
        <v>75</v>
      </c>
      <c r="E28" t="s">
        <v>76</v>
      </c>
      <c r="F28" t="s">
        <v>77</v>
      </c>
      <c r="G28">
        <v>752545.10315481038</v>
      </c>
      <c r="H28">
        <v>8755.9799572325901</v>
      </c>
      <c r="I28">
        <v>761301.08311204298</v>
      </c>
      <c r="J28">
        <v>19206692</v>
      </c>
      <c r="K28">
        <v>172.73357272672004</v>
      </c>
      <c r="L28">
        <v>211.88651587810992</v>
      </c>
      <c r="M28">
        <v>255.64568763554567</v>
      </c>
      <c r="N28">
        <v>317.82977381716483</v>
      </c>
      <c r="O28">
        <v>423.77303175621984</v>
      </c>
      <c r="P28">
        <v>481.35088933179316</v>
      </c>
      <c r="Q28">
        <v>555.05054702852703</v>
      </c>
      <c r="R28">
        <v>677.11560508874254</v>
      </c>
      <c r="S28">
        <v>852.15229211848543</v>
      </c>
      <c r="T28">
        <v>1197.6194375719256</v>
      </c>
      <c r="U28">
        <v>1706.6076985399939</v>
      </c>
      <c r="V28">
        <v>2204.0803879929476</v>
      </c>
      <c r="W28">
        <v>2719.9779918700847</v>
      </c>
      <c r="X28">
        <v>2878.8928787786672</v>
      </c>
      <c r="Y28">
        <v>3615.8894557460062</v>
      </c>
      <c r="Z28">
        <v>4078.8154306536157</v>
      </c>
      <c r="AA28">
        <v>4246.9427747742902</v>
      </c>
      <c r="AB28">
        <v>4302.2175180468403</v>
      </c>
      <c r="AC28">
        <v>4396.6452044707803</v>
      </c>
      <c r="AD28">
        <v>4525.6196054400652</v>
      </c>
      <c r="AE28">
        <v>4739.8092356211973</v>
      </c>
      <c r="AF28">
        <v>4901.0272368328033</v>
      </c>
      <c r="AG28">
        <v>5006.9704947718583</v>
      </c>
      <c r="AH28">
        <v>5103.7012954988213</v>
      </c>
      <c r="AI28">
        <v>5156.6729244683484</v>
      </c>
      <c r="AJ28">
        <v>5237.2819250741513</v>
      </c>
      <c r="AK28">
        <v>5327.1033828920463</v>
      </c>
      <c r="AL28">
        <v>5423.8341836190093</v>
      </c>
      <c r="AM28">
        <v>5654.1456139213024</v>
      </c>
      <c r="AN28">
        <v>5843.0009867691833</v>
      </c>
      <c r="AO28">
        <v>6047.9781597382234</v>
      </c>
      <c r="AP28">
        <v>6483.2667630095584</v>
      </c>
      <c r="AQ28">
        <v>7229.4757971889894</v>
      </c>
      <c r="AR28">
        <v>7786.8294585205394</v>
      </c>
      <c r="AS28">
        <v>8288.9083765795385</v>
      </c>
      <c r="AT28">
        <f>Sheet1!$AT28*_xlfn.XLOOKUP($A28,'[1]SSP4-change-rate'!$B$2:$B$147,'[1]SSP4-change-rate'!C$2:C$147)</f>
        <v>8540.043692668427</v>
      </c>
      <c r="AU28">
        <f>Sheet1!$AT28*_xlfn.XLOOKUP($A28,'[1]SSP4-change-rate'!$B$2:$B$147,'[1]SSP4-change-rate'!D$2:D$147)</f>
        <v>8500.7891119628039</v>
      </c>
      <c r="AV28">
        <f>Sheet1!$AT28*_xlfn.XLOOKUP($A28,'[1]SSP4-change-rate'!$B$2:$B$147,'[1]SSP4-change-rate'!E$2:E$147)</f>
        <v>8438.3234131778936</v>
      </c>
      <c r="AW28">
        <f>Sheet1!$AT28*_xlfn.XLOOKUP($A28,'[1]SSP4-change-rate'!$B$2:$B$147,'[1]SSP4-change-rate'!F$2:F$147)</f>
        <v>8292.5733063573844</v>
      </c>
      <c r="AX28">
        <f>Sheet1!$AT28*_xlfn.XLOOKUP($A28,'[1]SSP4-change-rate'!$B$2:$B$147,'[1]SSP4-change-rate'!G$2:G$147)</f>
        <v>8111.4224133409125</v>
      </c>
      <c r="AY28">
        <f>Sheet1!$AT28*_xlfn.XLOOKUP($A28,'[1]SSP4-change-rate'!$B$2:$B$147,'[1]SSP4-change-rate'!H$2:H$147)</f>
        <v>7901.5795767882646</v>
      </c>
    </row>
    <row r="29" spans="1:51" x14ac:dyDescent="0.25">
      <c r="A29" t="s">
        <v>157</v>
      </c>
      <c r="B29" t="s">
        <v>158</v>
      </c>
      <c r="C29" t="s">
        <v>159</v>
      </c>
      <c r="D29" t="s">
        <v>160</v>
      </c>
      <c r="E29" t="s">
        <v>55</v>
      </c>
      <c r="F29" t="s">
        <v>161</v>
      </c>
      <c r="G29">
        <v>9349155.5066191163</v>
      </c>
      <c r="H29">
        <v>382823.8913164268</v>
      </c>
      <c r="I29">
        <v>9731979.3979355432</v>
      </c>
      <c r="J29">
        <v>1423998017</v>
      </c>
      <c r="K29">
        <v>6225.7581245899073</v>
      </c>
      <c r="L29">
        <v>6391.152967709465</v>
      </c>
      <c r="M29">
        <v>7000.892165478579</v>
      </c>
      <c r="N29">
        <v>8659.7777561702587</v>
      </c>
      <c r="O29">
        <v>15490.337919033174</v>
      </c>
      <c r="P29">
        <v>17450.390238987333</v>
      </c>
      <c r="Q29">
        <v>17820.677201195296</v>
      </c>
      <c r="R29">
        <v>17971.260565826535</v>
      </c>
      <c r="S29">
        <v>18144.061148190252</v>
      </c>
      <c r="T29">
        <v>19595.586040045473</v>
      </c>
      <c r="U29">
        <v>22140.691760288213</v>
      </c>
      <c r="V29">
        <v>24569.77423237246</v>
      </c>
      <c r="W29">
        <v>34663.796822161567</v>
      </c>
      <c r="X29">
        <v>37364.423066531657</v>
      </c>
      <c r="Y29">
        <v>44575.144510594742</v>
      </c>
      <c r="Z29">
        <v>53049.77878566103</v>
      </c>
      <c r="AA29">
        <v>61507.133002490926</v>
      </c>
      <c r="AB29">
        <v>66049.319738908627</v>
      </c>
      <c r="AC29">
        <v>70221.219513118354</v>
      </c>
      <c r="AD29">
        <v>76686.429873269415</v>
      </c>
      <c r="AE29">
        <v>81248.365247671536</v>
      </c>
      <c r="AF29">
        <v>87123.585048037901</v>
      </c>
      <c r="AG29">
        <v>94205.940345202223</v>
      </c>
      <c r="AH29">
        <v>104628.2840414824</v>
      </c>
      <c r="AI29">
        <v>116716.91906769841</v>
      </c>
      <c r="AJ29">
        <v>127203.44583742796</v>
      </c>
      <c r="AK29">
        <v>137939.29916171086</v>
      </c>
      <c r="AL29">
        <v>150176.04897281007</v>
      </c>
      <c r="AM29">
        <v>167826.39417138969</v>
      </c>
      <c r="AN29">
        <v>178683.20790332722</v>
      </c>
      <c r="AO29">
        <v>197005.00679337728</v>
      </c>
      <c r="AP29">
        <v>224823.43197418764</v>
      </c>
      <c r="AQ29">
        <v>252730.72602592787</v>
      </c>
      <c r="AR29">
        <v>282225.31685566629</v>
      </c>
      <c r="AS29">
        <v>323174.11771637097</v>
      </c>
      <c r="AT29">
        <f>Sheet1!$AT29*_xlfn.XLOOKUP($A29,'[1]SSP4-change-rate'!$B$2:$B$147,'[1]SSP4-change-rate'!C$2:C$147)</f>
        <v>353050.44331976504</v>
      </c>
      <c r="AU29">
        <f>Sheet1!$AT29*_xlfn.XLOOKUP($A29,'[1]SSP4-change-rate'!$B$2:$B$147,'[1]SSP4-change-rate'!D$2:D$147)</f>
        <v>349710.61777800746</v>
      </c>
      <c r="AV29">
        <f>Sheet1!$AT29*_xlfn.XLOOKUP($A29,'[1]SSP4-change-rate'!$B$2:$B$147,'[1]SSP4-change-rate'!E$2:E$147)</f>
        <v>345680.41638248926</v>
      </c>
      <c r="AW29">
        <f>Sheet1!$AT29*_xlfn.XLOOKUP($A29,'[1]SSP4-change-rate'!$B$2:$B$147,'[1]SSP4-change-rate'!F$2:F$147)</f>
        <v>336048.71107082622</v>
      </c>
      <c r="AX29">
        <f>Sheet1!$AT29*_xlfn.XLOOKUP($A29,'[1]SSP4-change-rate'!$B$2:$B$147,'[1]SSP4-change-rate'!G$2:G$147)</f>
        <v>325484.82533214503</v>
      </c>
      <c r="AY29">
        <f>Sheet1!$AT29*_xlfn.XLOOKUP($A29,'[1]SSP4-change-rate'!$B$2:$B$147,'[1]SSP4-change-rate'!H$2:H$147)</f>
        <v>314488.17592661252</v>
      </c>
    </row>
    <row r="30" spans="1:51" x14ac:dyDescent="0.25">
      <c r="A30" t="s">
        <v>162</v>
      </c>
      <c r="B30" t="s">
        <v>163</v>
      </c>
      <c r="C30" t="s">
        <v>164</v>
      </c>
      <c r="D30" t="s">
        <v>105</v>
      </c>
      <c r="E30" t="s">
        <v>61</v>
      </c>
      <c r="F30" t="s">
        <v>61</v>
      </c>
      <c r="G30">
        <v>321543.24568924127</v>
      </c>
      <c r="H30">
        <v>2466.786762870493</v>
      </c>
      <c r="I30">
        <v>324010.03245211177</v>
      </c>
      <c r="J30">
        <v>26477572</v>
      </c>
      <c r="K30">
        <v>55.86799288731082</v>
      </c>
      <c r="L30">
        <v>60.165530801719342</v>
      </c>
      <c r="M30">
        <v>64.463068716127864</v>
      </c>
      <c r="N30">
        <v>73.058144544944909</v>
      </c>
      <c r="O30">
        <v>81.653220373761954</v>
      </c>
      <c r="P30">
        <v>85.950758288170491</v>
      </c>
      <c r="Q30">
        <v>90.248296202579013</v>
      </c>
      <c r="R30">
        <v>98.843372031396058</v>
      </c>
      <c r="S30">
        <v>116.03352368903016</v>
      </c>
      <c r="T30">
        <v>189.09166823397507</v>
      </c>
      <c r="U30">
        <v>352.39810898149898</v>
      </c>
      <c r="V30">
        <v>541.48977721547408</v>
      </c>
      <c r="W30">
        <v>666.11837673332127</v>
      </c>
      <c r="X30">
        <v>734.87898336385763</v>
      </c>
      <c r="Y30">
        <v>945.45834116987544</v>
      </c>
      <c r="Z30">
        <v>1027.1115615436374</v>
      </c>
      <c r="AA30">
        <v>1074.3844786021311</v>
      </c>
      <c r="AB30">
        <v>1113.0623198318078</v>
      </c>
      <c r="AC30">
        <v>1143.1450852326675</v>
      </c>
      <c r="AD30">
        <v>1216.2032297776125</v>
      </c>
      <c r="AE30">
        <v>1246.2859951784719</v>
      </c>
      <c r="AF30">
        <v>1272.0712226649232</v>
      </c>
      <c r="AG30">
        <v>1272.0712226649232</v>
      </c>
      <c r="AH30">
        <v>1293.5589122369659</v>
      </c>
      <c r="AI30">
        <v>1336.5342913810512</v>
      </c>
      <c r="AJ30">
        <v>1353.7244430386852</v>
      </c>
      <c r="AK30">
        <v>1405.2948980115875</v>
      </c>
      <c r="AL30">
        <v>1422.4850496692218</v>
      </c>
      <c r="AM30">
        <v>1491.2456562997581</v>
      </c>
      <c r="AN30">
        <v>1525.6259596150262</v>
      </c>
      <c r="AO30">
        <v>1594.3865662455626</v>
      </c>
      <c r="AP30">
        <v>1637.3619453896479</v>
      </c>
      <c r="AQ30">
        <v>1792.0733103083548</v>
      </c>
      <c r="AR30">
        <v>2024.140357686415</v>
      </c>
      <c r="AS30">
        <v>2393.7286183255483</v>
      </c>
      <c r="AT30">
        <f>Sheet1!$AT30*_xlfn.XLOOKUP($A30,'[1]SSP4-change-rate'!$B$2:$B$147,'[1]SSP4-change-rate'!C$2:C$147)</f>
        <v>2421.7572146604011</v>
      </c>
      <c r="AU30">
        <f>Sheet1!$AT30*_xlfn.XLOOKUP($A30,'[1]SSP4-change-rate'!$B$2:$B$147,'[1]SSP4-change-rate'!D$2:D$147)</f>
        <v>2445.7532846227377</v>
      </c>
      <c r="AV30">
        <f>Sheet1!$AT30*_xlfn.XLOOKUP($A30,'[1]SSP4-change-rate'!$B$2:$B$147,'[1]SSP4-change-rate'!E$2:E$147)</f>
        <v>2481.5355116662449</v>
      </c>
      <c r="AW30">
        <f>Sheet1!$AT30*_xlfn.XLOOKUP($A30,'[1]SSP4-change-rate'!$B$2:$B$147,'[1]SSP4-change-rate'!F$2:F$147)</f>
        <v>2536.4748956696071</v>
      </c>
      <c r="AX30">
        <f>Sheet1!$AT30*_xlfn.XLOOKUP($A30,'[1]SSP4-change-rate'!$B$2:$B$147,'[1]SSP4-change-rate'!G$2:G$147)</f>
        <v>2545.1602832569433</v>
      </c>
      <c r="AY30">
        <f>Sheet1!$AT30*_xlfn.XLOOKUP($A30,'[1]SSP4-change-rate'!$B$2:$B$147,'[1]SSP4-change-rate'!H$2:H$147)</f>
        <v>2396.3365259488219</v>
      </c>
    </row>
    <row r="31" spans="1:51" x14ac:dyDescent="0.25">
      <c r="A31" t="s">
        <v>165</v>
      </c>
      <c r="B31" t="s">
        <v>166</v>
      </c>
      <c r="C31" t="s">
        <v>167</v>
      </c>
      <c r="D31" t="s">
        <v>105</v>
      </c>
      <c r="E31" t="s">
        <v>61</v>
      </c>
      <c r="F31" t="s">
        <v>61</v>
      </c>
      <c r="G31">
        <v>466040.03552910412</v>
      </c>
      <c r="H31">
        <v>2406.120549860354</v>
      </c>
      <c r="I31">
        <v>468446.15607896447</v>
      </c>
      <c r="J31">
        <v>26137122</v>
      </c>
      <c r="K31">
        <v>109.61824828520976</v>
      </c>
      <c r="L31">
        <v>109.61824828520976</v>
      </c>
      <c r="M31">
        <v>109.61824828520976</v>
      </c>
      <c r="N31">
        <v>118.75310230897723</v>
      </c>
      <c r="O31">
        <v>118.75310230897723</v>
      </c>
      <c r="P31">
        <v>118.75310230897723</v>
      </c>
      <c r="Q31">
        <v>118.75310230897723</v>
      </c>
      <c r="R31">
        <v>118.75310230897723</v>
      </c>
      <c r="S31">
        <v>127.88795633274472</v>
      </c>
      <c r="T31">
        <v>155.29251840404714</v>
      </c>
      <c r="U31">
        <v>228.37135059418699</v>
      </c>
      <c r="V31">
        <v>383.66386899823414</v>
      </c>
      <c r="W31">
        <v>557.22609544981628</v>
      </c>
      <c r="X31">
        <v>648.57463568749108</v>
      </c>
      <c r="Y31">
        <v>730.78832190139838</v>
      </c>
      <c r="Z31">
        <v>858.67627823414318</v>
      </c>
      <c r="AA31">
        <v>950.02481847181787</v>
      </c>
      <c r="AB31">
        <v>950.02481847181787</v>
      </c>
      <c r="AC31">
        <v>968.29452651935298</v>
      </c>
      <c r="AD31">
        <v>986.56423456688788</v>
      </c>
      <c r="AE31">
        <v>1004.8339426144229</v>
      </c>
      <c r="AF31">
        <v>1013.9687966381903</v>
      </c>
      <c r="AG31">
        <v>1023.1036506619578</v>
      </c>
      <c r="AH31">
        <v>1032.2385046857253</v>
      </c>
      <c r="AI31">
        <v>1032.2385046857253</v>
      </c>
      <c r="AJ31">
        <v>1050.5082127332601</v>
      </c>
      <c r="AK31">
        <v>1068.7779207807953</v>
      </c>
      <c r="AL31">
        <v>1087.0476288283301</v>
      </c>
      <c r="AM31">
        <v>1388.497811612657</v>
      </c>
      <c r="AN31">
        <v>1415.9023736839592</v>
      </c>
      <c r="AO31">
        <v>1507.2509139216343</v>
      </c>
      <c r="AP31">
        <v>1963.9936151100082</v>
      </c>
      <c r="AQ31">
        <v>2082.7467174189851</v>
      </c>
      <c r="AR31">
        <v>2320.2529220369397</v>
      </c>
      <c r="AS31">
        <v>2384.1969002033125</v>
      </c>
      <c r="AT31">
        <f>Sheet1!$AT31*_xlfn.XLOOKUP($A31,'[1]SSP4-change-rate'!$B$2:$B$147,'[1]SSP4-change-rate'!C$2:C$147)</f>
        <v>2318.6035733937597</v>
      </c>
      <c r="AU31">
        <f>Sheet1!$AT31*_xlfn.XLOOKUP($A31,'[1]SSP4-change-rate'!$B$2:$B$147,'[1]SSP4-change-rate'!D$2:D$147)</f>
        <v>2319.0349415004375</v>
      </c>
      <c r="AV31">
        <f>Sheet1!$AT31*_xlfn.XLOOKUP($A31,'[1]SSP4-change-rate'!$B$2:$B$147,'[1]SSP4-change-rate'!E$2:E$147)</f>
        <v>2319.6413836922525</v>
      </c>
      <c r="AW31">
        <f>Sheet1!$AT31*_xlfn.XLOOKUP($A31,'[1]SSP4-change-rate'!$B$2:$B$147,'[1]SSP4-change-rate'!F$2:F$147)</f>
        <v>2260.8763708824513</v>
      </c>
      <c r="AX31">
        <f>Sheet1!$AT31*_xlfn.XLOOKUP($A31,'[1]SSP4-change-rate'!$B$2:$B$147,'[1]SSP4-change-rate'!G$2:G$147)</f>
        <v>2088.6607718477467</v>
      </c>
      <c r="AY31">
        <f>Sheet1!$AT31*_xlfn.XLOOKUP($A31,'[1]SSP4-change-rate'!$B$2:$B$147,'[1]SSP4-change-rate'!H$2:H$147)</f>
        <v>1639.0148530917556</v>
      </c>
    </row>
    <row r="32" spans="1:51" x14ac:dyDescent="0.25">
      <c r="A32" t="s">
        <v>168</v>
      </c>
      <c r="B32" t="s">
        <v>169</v>
      </c>
      <c r="C32" t="s">
        <v>170</v>
      </c>
      <c r="D32" t="s">
        <v>105</v>
      </c>
      <c r="E32" t="s">
        <v>61</v>
      </c>
      <c r="F32" t="s">
        <v>61</v>
      </c>
      <c r="G32">
        <v>2328869.300489808</v>
      </c>
      <c r="H32">
        <v>4142.8262275939414</v>
      </c>
      <c r="I32">
        <v>2333012.1267174021</v>
      </c>
      <c r="K32">
        <v>214.77116707894936</v>
      </c>
      <c r="L32">
        <v>218.63495364059179</v>
      </c>
      <c r="M32">
        <v>223.23393287042202</v>
      </c>
      <c r="N32">
        <v>230.87276990132131</v>
      </c>
      <c r="O32">
        <v>240.64861324687047</v>
      </c>
      <c r="P32">
        <v>245.89315006430405</v>
      </c>
      <c r="Q32">
        <v>254.13045309777266</v>
      </c>
      <c r="R32">
        <v>265.28170427309004</v>
      </c>
      <c r="S32">
        <v>306.14623452969778</v>
      </c>
      <c r="T32">
        <v>368.46731791096556</v>
      </c>
      <c r="U32">
        <v>509.3476975654159</v>
      </c>
      <c r="V32">
        <v>690.12311277163019</v>
      </c>
      <c r="W32">
        <v>921.91329432172222</v>
      </c>
      <c r="X32">
        <v>999.06950486880146</v>
      </c>
      <c r="Y32">
        <v>1153.9093992265202</v>
      </c>
      <c r="Z32">
        <v>1321.4637425179835</v>
      </c>
      <c r="AA32">
        <v>1444.8510871637977</v>
      </c>
      <c r="AB32">
        <v>1476.8494017619648</v>
      </c>
      <c r="AC32">
        <v>1543.5191841834662</v>
      </c>
      <c r="AD32">
        <v>1610.7964604805677</v>
      </c>
      <c r="AE32">
        <v>1659.5916339368903</v>
      </c>
      <c r="AF32">
        <v>1722.5902404351298</v>
      </c>
      <c r="AG32">
        <v>1776.9357192600394</v>
      </c>
      <c r="AH32">
        <v>1818.8533578654369</v>
      </c>
      <c r="AI32">
        <v>1864.830027017952</v>
      </c>
      <c r="AJ32">
        <v>1931.7734216166041</v>
      </c>
      <c r="AK32">
        <v>2006.3244535011167</v>
      </c>
      <c r="AL32">
        <v>2102.9469609145417</v>
      </c>
      <c r="AM32">
        <v>2269.2455665644447</v>
      </c>
      <c r="AN32">
        <v>2399.9441744450942</v>
      </c>
      <c r="AO32">
        <v>2542.6485005342502</v>
      </c>
      <c r="AP32">
        <v>2774.623431325022</v>
      </c>
      <c r="AQ32">
        <v>3117.810673055134</v>
      </c>
      <c r="AR32">
        <v>3501.1324118161201</v>
      </c>
      <c r="AS32">
        <v>3816.8510905011276</v>
      </c>
      <c r="AT32">
        <v>4062.5123884926179</v>
      </c>
      <c r="AU32">
        <v>4073.578909687229</v>
      </c>
      <c r="AV32">
        <v>4083.8584221744622</v>
      </c>
      <c r="AW32">
        <v>4008.6858118807945</v>
      </c>
      <c r="AX32">
        <v>3629.4587953076798</v>
      </c>
      <c r="AY32">
        <v>2739.6141347768435</v>
      </c>
    </row>
    <row r="33" spans="1:51" x14ac:dyDescent="0.25">
      <c r="A33" t="s">
        <v>171</v>
      </c>
      <c r="B33" t="s">
        <v>172</v>
      </c>
      <c r="C33" t="s">
        <v>173</v>
      </c>
      <c r="D33" t="s">
        <v>105</v>
      </c>
      <c r="E33" t="s">
        <v>61</v>
      </c>
      <c r="F33" t="s">
        <v>61</v>
      </c>
      <c r="G33">
        <v>341732.66713136568</v>
      </c>
      <c r="H33">
        <v>429.1394839466862</v>
      </c>
      <c r="I33">
        <v>342161.80661531235</v>
      </c>
      <c r="J33">
        <v>5272024</v>
      </c>
      <c r="K33">
        <v>16.117914890016383</v>
      </c>
      <c r="L33">
        <v>16.117914890016383</v>
      </c>
      <c r="M33">
        <v>16.117914890016383</v>
      </c>
      <c r="N33">
        <v>16.117914890016383</v>
      </c>
      <c r="O33">
        <v>16.117914890016383</v>
      </c>
      <c r="P33">
        <v>16.117914890016383</v>
      </c>
      <c r="Q33">
        <v>16.117914890016383</v>
      </c>
      <c r="R33">
        <v>16.117914890016383</v>
      </c>
      <c r="S33">
        <v>18.132654251268431</v>
      </c>
      <c r="T33">
        <v>22.162132973772529</v>
      </c>
      <c r="U33">
        <v>34.250569141284814</v>
      </c>
      <c r="V33">
        <v>54.397962753805295</v>
      </c>
      <c r="W33">
        <v>78.574835088829872</v>
      </c>
      <c r="X33">
        <v>80.589574450081912</v>
      </c>
      <c r="Y33">
        <v>84.619053172586007</v>
      </c>
      <c r="Z33">
        <v>86.633792533838061</v>
      </c>
      <c r="AA33">
        <v>88.648531895090116</v>
      </c>
      <c r="AB33">
        <v>90.663271256342156</v>
      </c>
      <c r="AC33">
        <v>90.663271256342156</v>
      </c>
      <c r="AD33">
        <v>90.663271256342156</v>
      </c>
      <c r="AE33">
        <v>90.663271256342156</v>
      </c>
      <c r="AF33">
        <v>94.692749978846251</v>
      </c>
      <c r="AG33">
        <v>110.81066486886263</v>
      </c>
      <c r="AH33">
        <v>110.81066486886263</v>
      </c>
      <c r="AI33">
        <v>114.84014359136673</v>
      </c>
      <c r="AJ33">
        <v>114.84014359136673</v>
      </c>
      <c r="AK33">
        <v>132.97279784263515</v>
      </c>
      <c r="AL33">
        <v>137.00227656513925</v>
      </c>
      <c r="AM33">
        <v>147.0759733713995</v>
      </c>
      <c r="AN33">
        <v>153.12019145515563</v>
      </c>
      <c r="AO33">
        <v>173.26758506767612</v>
      </c>
      <c r="AP33">
        <v>211.54763293146502</v>
      </c>
      <c r="AQ33">
        <v>284.07824993653873</v>
      </c>
      <c r="AR33">
        <v>332.43199460658786</v>
      </c>
      <c r="AS33">
        <v>413.02156905666982</v>
      </c>
      <c r="AT33">
        <f>Sheet1!$AT33*_xlfn.XLOOKUP($A33,'[1]SSP4-change-rate'!$B$2:$B$147,'[1]SSP4-change-rate'!C$2:C$147)</f>
        <v>410.67485559612055</v>
      </c>
      <c r="AU33">
        <f>Sheet1!$AT33*_xlfn.XLOOKUP($A33,'[1]SSP4-change-rate'!$B$2:$B$147,'[1]SSP4-change-rate'!D$2:D$147)</f>
        <v>404.09137296895801</v>
      </c>
      <c r="AV33">
        <f>Sheet1!$AT33*_xlfn.XLOOKUP($A33,'[1]SSP4-change-rate'!$B$2:$B$147,'[1]SSP4-change-rate'!E$2:E$147)</f>
        <v>396.2491195518304</v>
      </c>
      <c r="AW33">
        <f>Sheet1!$AT33*_xlfn.XLOOKUP($A33,'[1]SSP4-change-rate'!$B$2:$B$147,'[1]SSP4-change-rate'!F$2:F$147)</f>
        <v>369.63695045828013</v>
      </c>
      <c r="AX33">
        <f>Sheet1!$AT33*_xlfn.XLOOKUP($A33,'[1]SSP4-change-rate'!$B$2:$B$147,'[1]SSP4-change-rate'!G$2:G$147)</f>
        <v>311.97653687155184</v>
      </c>
      <c r="AY33">
        <f>Sheet1!$AT33*_xlfn.XLOOKUP($A33,'[1]SSP4-change-rate'!$B$2:$B$147,'[1]SSP4-change-rate'!H$2:H$147)</f>
        <v>220.27817016355723</v>
      </c>
    </row>
    <row r="34" spans="1:51" x14ac:dyDescent="0.25">
      <c r="A34" t="s">
        <v>174</v>
      </c>
      <c r="B34" t="s">
        <v>175</v>
      </c>
      <c r="C34" t="s">
        <v>176</v>
      </c>
      <c r="D34" t="s">
        <v>75</v>
      </c>
      <c r="E34" t="s">
        <v>76</v>
      </c>
      <c r="F34" t="s">
        <v>77</v>
      </c>
      <c r="G34">
        <v>1137241.296633956</v>
      </c>
      <c r="H34">
        <v>7273.2353214898849</v>
      </c>
      <c r="I34">
        <v>1144514.5319554459</v>
      </c>
      <c r="J34">
        <v>50617026</v>
      </c>
      <c r="K34">
        <v>94.632247557562025</v>
      </c>
      <c r="L34">
        <v>114.55482599073298</v>
      </c>
      <c r="M34">
        <v>134.47740442390392</v>
      </c>
      <c r="N34">
        <v>161.870949769514</v>
      </c>
      <c r="O34">
        <v>199.22578433170952</v>
      </c>
      <c r="P34">
        <v>261.48384193536873</v>
      </c>
      <c r="Q34">
        <v>343.66447797219894</v>
      </c>
      <c r="R34">
        <v>415.88382479244359</v>
      </c>
      <c r="S34">
        <v>565.30316304122573</v>
      </c>
      <c r="T34">
        <v>916.43860792586383</v>
      </c>
      <c r="U34">
        <v>1486.7224155753822</v>
      </c>
      <c r="V34">
        <v>2154.1287930866092</v>
      </c>
      <c r="W34">
        <v>2968.4641865424719</v>
      </c>
      <c r="X34">
        <v>3152.7480370493031</v>
      </c>
      <c r="Y34">
        <v>3879.9221498600427</v>
      </c>
      <c r="Z34">
        <v>4335.6511315188291</v>
      </c>
      <c r="AA34">
        <v>4430.2833790763907</v>
      </c>
      <c r="AB34">
        <v>4477.5995028551715</v>
      </c>
      <c r="AC34">
        <v>4509.9736928090742</v>
      </c>
      <c r="AD34">
        <v>4592.1543288459043</v>
      </c>
      <c r="AE34">
        <v>4664.3736756661483</v>
      </c>
      <c r="AF34">
        <v>4679.3156094910273</v>
      </c>
      <c r="AG34">
        <v>4696.7478656200519</v>
      </c>
      <c r="AH34">
        <v>4709.1994771407835</v>
      </c>
      <c r="AI34">
        <v>4726.6317332698081</v>
      </c>
      <c r="AJ34">
        <v>4751.5349563112713</v>
      </c>
      <c r="AK34">
        <v>4778.928501656882</v>
      </c>
      <c r="AL34">
        <v>4791.3801131776136</v>
      </c>
      <c r="AM34">
        <v>4935.8188068181034</v>
      </c>
      <c r="AN34">
        <v>5035.4316989839581</v>
      </c>
      <c r="AO34">
        <v>5187.3413595368866</v>
      </c>
      <c r="AP34">
        <v>5471.2381022095733</v>
      </c>
      <c r="AQ34">
        <v>5971.792885342993</v>
      </c>
      <c r="AR34">
        <v>6390.1670324395827</v>
      </c>
      <c r="AS34">
        <v>6671.5734528081221</v>
      </c>
      <c r="AT34">
        <f>Sheet1!$AT34*_xlfn.XLOOKUP($A34,'[1]SSP4-change-rate'!$B$2:$B$147,'[1]SSP4-change-rate'!C$2:C$147)</f>
        <v>7009.1364876011121</v>
      </c>
      <c r="AU34">
        <f>Sheet1!$AT34*_xlfn.XLOOKUP($A34,'[1]SSP4-change-rate'!$B$2:$B$147,'[1]SSP4-change-rate'!D$2:D$147)</f>
        <v>6965.5605833209966</v>
      </c>
      <c r="AV34">
        <f>Sheet1!$AT34*_xlfn.XLOOKUP($A34,'[1]SSP4-change-rate'!$B$2:$B$147,'[1]SSP4-change-rate'!E$2:E$147)</f>
        <v>6908.5909048498315</v>
      </c>
      <c r="AW34">
        <f>Sheet1!$AT34*_xlfn.XLOOKUP($A34,'[1]SSP4-change-rate'!$B$2:$B$147,'[1]SSP4-change-rate'!F$2:F$147)</f>
        <v>6764.0187414805569</v>
      </c>
      <c r="AX34">
        <f>Sheet1!$AT34*_xlfn.XLOOKUP($A34,'[1]SSP4-change-rate'!$B$2:$B$147,'[1]SSP4-change-rate'!G$2:G$147)</f>
        <v>6545.356952062506</v>
      </c>
      <c r="AY34">
        <f>Sheet1!$AT34*_xlfn.XLOOKUP($A34,'[1]SSP4-change-rate'!$B$2:$B$147,'[1]SSP4-change-rate'!H$2:H$147)</f>
        <v>6200.0926764125416</v>
      </c>
    </row>
    <row r="35" spans="1:51" x14ac:dyDescent="0.25">
      <c r="A35" t="s">
        <v>177</v>
      </c>
      <c r="B35" t="s">
        <v>178</v>
      </c>
      <c r="C35" t="s">
        <v>179</v>
      </c>
      <c r="D35" t="s">
        <v>121</v>
      </c>
      <c r="E35" t="s">
        <v>76</v>
      </c>
      <c r="F35" t="s">
        <v>77</v>
      </c>
      <c r="G35">
        <v>51177.910477348843</v>
      </c>
      <c r="H35">
        <v>1998.3281669042231</v>
      </c>
      <c r="I35">
        <v>53176.23864425307</v>
      </c>
      <c r="J35">
        <v>5105361</v>
      </c>
      <c r="K35">
        <v>48.7714326449127</v>
      </c>
      <c r="L35">
        <v>52.02286148790688</v>
      </c>
      <c r="M35">
        <v>58.52571917389524</v>
      </c>
      <c r="N35">
        <v>68.280005702877787</v>
      </c>
      <c r="O35">
        <v>84.53714991784868</v>
      </c>
      <c r="P35">
        <v>97.5428652898254</v>
      </c>
      <c r="Q35">
        <v>104.04572297581376</v>
      </c>
      <c r="R35">
        <v>130.0571537197672</v>
      </c>
      <c r="S35">
        <v>185.33144405066827</v>
      </c>
      <c r="T35">
        <v>260.1143074395344</v>
      </c>
      <c r="U35">
        <v>409.68003421726667</v>
      </c>
      <c r="V35">
        <v>601.51433595392325</v>
      </c>
      <c r="W35">
        <v>952.66865099729478</v>
      </c>
      <c r="X35">
        <v>1024.2000855431666</v>
      </c>
      <c r="Y35">
        <v>1128.2458085189803</v>
      </c>
      <c r="Z35">
        <v>1199.7772430648524</v>
      </c>
      <c r="AA35">
        <v>1212.7829584368292</v>
      </c>
      <c r="AB35">
        <v>1219.2858161228173</v>
      </c>
      <c r="AC35">
        <v>1225.7886738088059</v>
      </c>
      <c r="AD35">
        <v>1248.5486757097651</v>
      </c>
      <c r="AE35">
        <v>1268.0572487677302</v>
      </c>
      <c r="AF35">
        <v>1303.8229660406662</v>
      </c>
      <c r="AG35">
        <v>1307.0743948836605</v>
      </c>
      <c r="AH35">
        <v>1316.8286814126427</v>
      </c>
      <c r="AI35">
        <v>1316.8286814126427</v>
      </c>
      <c r="AJ35">
        <v>1316.8286814126427</v>
      </c>
      <c r="AK35">
        <v>1323.3315390986313</v>
      </c>
      <c r="AL35">
        <v>1326.5829679416254</v>
      </c>
      <c r="AM35">
        <v>1385.1086871155208</v>
      </c>
      <c r="AN35">
        <v>1391.6115448015089</v>
      </c>
      <c r="AO35">
        <v>1459.8915505043869</v>
      </c>
      <c r="AP35">
        <v>1518.4172696782821</v>
      </c>
      <c r="AQ35">
        <v>1680.988711827991</v>
      </c>
      <c r="AR35">
        <v>1723.2572867869153</v>
      </c>
      <c r="AS35">
        <v>1798.0401501757815</v>
      </c>
      <c r="AT35">
        <f>Sheet1!$AT35*_xlfn.XLOOKUP($A35,'[1]SSP4-change-rate'!$B$2:$B$147,'[1]SSP4-change-rate'!C$2:C$147)</f>
        <v>1924.3965413160947</v>
      </c>
      <c r="AU35">
        <f>Sheet1!$AT35*_xlfn.XLOOKUP($A35,'[1]SSP4-change-rate'!$B$2:$B$147,'[1]SSP4-change-rate'!D$2:D$147)</f>
        <v>1910.3758213229794</v>
      </c>
      <c r="AV35">
        <f>Sheet1!$AT35*_xlfn.XLOOKUP($A35,'[1]SSP4-change-rate'!$B$2:$B$147,'[1]SSP4-change-rate'!E$2:E$147)</f>
        <v>1894.7392190530652</v>
      </c>
      <c r="AW35">
        <f>Sheet1!$AT35*_xlfn.XLOOKUP($A35,'[1]SSP4-change-rate'!$B$2:$B$147,'[1]SSP4-change-rate'!F$2:F$147)</f>
        <v>1857.3696515995398</v>
      </c>
      <c r="AX35">
        <f>Sheet1!$AT35*_xlfn.XLOOKUP($A35,'[1]SSP4-change-rate'!$B$2:$B$147,'[1]SSP4-change-rate'!G$2:G$147)</f>
        <v>1810.1092599258211</v>
      </c>
      <c r="AY35">
        <f>Sheet1!$AT35*_xlfn.XLOOKUP($A35,'[1]SSP4-change-rate'!$B$2:$B$147,'[1]SSP4-change-rate'!H$2:H$147)</f>
        <v>1746.9156498127975</v>
      </c>
    </row>
    <row r="36" spans="1:51" x14ac:dyDescent="0.25">
      <c r="A36" t="s">
        <v>180</v>
      </c>
      <c r="B36" t="s">
        <v>181</v>
      </c>
      <c r="C36" t="s">
        <v>182</v>
      </c>
      <c r="D36" t="s">
        <v>121</v>
      </c>
      <c r="E36" t="s">
        <v>76</v>
      </c>
      <c r="F36" t="s">
        <v>77</v>
      </c>
      <c r="G36">
        <v>110730.652216514</v>
      </c>
      <c r="H36">
        <v>2365.6029227453951</v>
      </c>
      <c r="I36">
        <v>113096.2551392594</v>
      </c>
      <c r="K36">
        <v>90.481965729145273</v>
      </c>
      <c r="L36">
        <v>98.914939362310605</v>
      </c>
      <c r="M36">
        <v>112.64610400669265</v>
      </c>
      <c r="N36">
        <v>129.5954610816822</v>
      </c>
      <c r="O36">
        <v>152.26854697496628</v>
      </c>
      <c r="P36">
        <v>174.27714868294373</v>
      </c>
      <c r="Q36">
        <v>195.11340933221183</v>
      </c>
      <c r="R36">
        <v>219.96060258010826</v>
      </c>
      <c r="S36">
        <v>259.3049347045885</v>
      </c>
      <c r="T36">
        <v>339.47061685082713</v>
      </c>
      <c r="U36">
        <v>464.69831029773115</v>
      </c>
      <c r="V36">
        <v>597.51862357934726</v>
      </c>
      <c r="W36">
        <v>761.48584363271948</v>
      </c>
      <c r="X36">
        <v>817.13695658533356</v>
      </c>
      <c r="Y36">
        <v>979.59466914331665</v>
      </c>
      <c r="Z36">
        <v>1091.9899461507771</v>
      </c>
      <c r="AA36">
        <v>1167.9730004070514</v>
      </c>
      <c r="AB36">
        <v>1197.9813970444402</v>
      </c>
      <c r="AC36">
        <v>1223.9420634334929</v>
      </c>
      <c r="AD36">
        <v>1268.5658628367394</v>
      </c>
      <c r="AE36">
        <v>1312.9922403809012</v>
      </c>
      <c r="AF36">
        <v>1345.0306924219799</v>
      </c>
      <c r="AG36">
        <v>1356.6278002215183</v>
      </c>
      <c r="AH36">
        <v>1375.4885031885149</v>
      </c>
      <c r="AI36">
        <v>1391.4000578240727</v>
      </c>
      <c r="AJ36">
        <v>1414.2460014077942</v>
      </c>
      <c r="AK36">
        <v>1430.3888281101713</v>
      </c>
      <c r="AL36">
        <v>1454.517420674413</v>
      </c>
      <c r="AM36">
        <v>1508.0468578841351</v>
      </c>
      <c r="AN36">
        <v>1551.71842919752</v>
      </c>
      <c r="AO36">
        <v>1621.3447598527805</v>
      </c>
      <c r="AP36">
        <v>1760.3146449189207</v>
      </c>
      <c r="AQ36">
        <v>1953.9684307170473</v>
      </c>
      <c r="AR36">
        <v>2110.6350306098407</v>
      </c>
      <c r="AS36">
        <v>2219.3844807015598</v>
      </c>
      <c r="AT36">
        <v>2322.8440273603542</v>
      </c>
      <c r="AU36">
        <v>2317.8920473343437</v>
      </c>
      <c r="AV36">
        <v>2308.5207018174137</v>
      </c>
      <c r="AW36">
        <v>2275.8368080808568</v>
      </c>
      <c r="AX36">
        <v>2215.8485270552751</v>
      </c>
      <c r="AY36">
        <v>2151.8900909602362</v>
      </c>
    </row>
    <row r="37" spans="1:51" x14ac:dyDescent="0.25">
      <c r="A37" t="s">
        <v>183</v>
      </c>
      <c r="B37" t="s">
        <v>184</v>
      </c>
      <c r="C37" t="s">
        <v>185</v>
      </c>
      <c r="D37" t="s">
        <v>65</v>
      </c>
      <c r="E37" t="s">
        <v>66</v>
      </c>
      <c r="F37" t="s">
        <v>66</v>
      </c>
      <c r="G37">
        <v>5719.8196067798417</v>
      </c>
      <c r="H37">
        <v>492.87656139794387</v>
      </c>
      <c r="I37">
        <v>6212.6961681777857</v>
      </c>
      <c r="J37">
        <v>1233777</v>
      </c>
      <c r="K37">
        <v>13.798335985384767</v>
      </c>
      <c r="L37">
        <v>16.558003182461722</v>
      </c>
      <c r="M37">
        <v>20.237559445230993</v>
      </c>
      <c r="N37">
        <v>24.837004773692584</v>
      </c>
      <c r="O37">
        <v>34.03589543061576</v>
      </c>
      <c r="P37">
        <v>38.635340759077351</v>
      </c>
      <c r="Q37">
        <v>43.234786087538943</v>
      </c>
      <c r="R37">
        <v>47.834231416000527</v>
      </c>
      <c r="S37">
        <v>61.632567401385295</v>
      </c>
      <c r="T37">
        <v>69.911568992616154</v>
      </c>
      <c r="U37">
        <v>80.95023778092397</v>
      </c>
      <c r="V37">
        <v>104.86735348892424</v>
      </c>
      <c r="W37">
        <v>120.50546760569364</v>
      </c>
      <c r="X37">
        <v>159.140808364771</v>
      </c>
      <c r="Y37">
        <v>183.97781313846357</v>
      </c>
      <c r="Z37">
        <v>214.33415230631007</v>
      </c>
      <c r="AA37">
        <v>222.61315389754094</v>
      </c>
      <c r="AB37">
        <v>223.53304296323324</v>
      </c>
      <c r="AC37">
        <v>225.37282109461788</v>
      </c>
      <c r="AD37">
        <v>229.97226642307945</v>
      </c>
      <c r="AE37">
        <v>229.97226642307945</v>
      </c>
      <c r="AF37">
        <v>237.33137894861801</v>
      </c>
      <c r="AG37">
        <v>243.77060240846424</v>
      </c>
      <c r="AH37">
        <v>260.32860559092592</v>
      </c>
      <c r="AI37">
        <v>267.68771811646451</v>
      </c>
      <c r="AJ37">
        <v>275.04683064200304</v>
      </c>
      <c r="AK37">
        <v>284.24572129892624</v>
      </c>
      <c r="AL37">
        <v>295.28439008723399</v>
      </c>
      <c r="AM37">
        <v>325.64072925508049</v>
      </c>
      <c r="AN37">
        <v>349.55784496308075</v>
      </c>
      <c r="AO37">
        <v>358.75673562000395</v>
      </c>
      <c r="AP37">
        <v>421.30919208708161</v>
      </c>
      <c r="AQ37">
        <v>463.62408910892822</v>
      </c>
      <c r="AR37">
        <v>496.74009547385162</v>
      </c>
      <c r="AS37">
        <v>514.21798772200577</v>
      </c>
      <c r="AT37">
        <f>Sheet1!$AT37*_xlfn.XLOOKUP($A37,'[1]SSP4-change-rate'!$B$2:$B$147,'[1]SSP4-change-rate'!C$2:C$147)</f>
        <v>473.74286883154372</v>
      </c>
      <c r="AU37">
        <f>Sheet1!$AT37*_xlfn.XLOOKUP($A37,'[1]SSP4-change-rate'!$B$2:$B$147,'[1]SSP4-change-rate'!D$2:D$147)</f>
        <v>472.54956185715696</v>
      </c>
      <c r="AV37">
        <f>Sheet1!$AT37*_xlfn.XLOOKUP($A37,'[1]SSP4-change-rate'!$B$2:$B$147,'[1]SSP4-change-rate'!E$2:E$147)</f>
        <v>470.41446460087712</v>
      </c>
      <c r="AW37">
        <f>Sheet1!$AT37*_xlfn.XLOOKUP($A37,'[1]SSP4-change-rate'!$B$2:$B$147,'[1]SSP4-change-rate'!F$2:F$147)</f>
        <v>464.24902376477928</v>
      </c>
      <c r="AX37">
        <f>Sheet1!$AT37*_xlfn.XLOOKUP($A37,'[1]SSP4-change-rate'!$B$2:$B$147,'[1]SSP4-change-rate'!G$2:G$147)</f>
        <v>452.28136302877243</v>
      </c>
      <c r="AY37">
        <f>Sheet1!$AT37*_xlfn.XLOOKUP($A37,'[1]SSP4-change-rate'!$B$2:$B$147,'[1]SSP4-change-rate'!H$2:H$147)</f>
        <v>439.85663277206447</v>
      </c>
    </row>
    <row r="38" spans="1:51" x14ac:dyDescent="0.25">
      <c r="A38" t="s">
        <v>186</v>
      </c>
      <c r="B38" t="s">
        <v>187</v>
      </c>
      <c r="C38" t="s">
        <v>188</v>
      </c>
      <c r="D38" t="s">
        <v>65</v>
      </c>
      <c r="E38" t="s">
        <v>66</v>
      </c>
      <c r="F38" t="s">
        <v>66</v>
      </c>
      <c r="G38">
        <v>78837.644333495555</v>
      </c>
      <c r="H38">
        <v>10683.08544783431</v>
      </c>
      <c r="I38">
        <v>89520.729781329865</v>
      </c>
      <c r="J38">
        <v>10537908</v>
      </c>
      <c r="K38">
        <v>885.88239278724325</v>
      </c>
      <c r="L38">
        <v>1060.8715074118838</v>
      </c>
      <c r="M38">
        <v>1240.2353499021403</v>
      </c>
      <c r="N38">
        <v>1585.8388512858055</v>
      </c>
      <c r="O38">
        <v>2325.1678605749125</v>
      </c>
      <c r="P38">
        <v>2441.0981490137365</v>
      </c>
      <c r="Q38">
        <v>2707.9565488163139</v>
      </c>
      <c r="R38">
        <v>2707.9565488163139</v>
      </c>
      <c r="S38">
        <v>2707.9565488163139</v>
      </c>
      <c r="T38">
        <v>2952.9413092908103</v>
      </c>
      <c r="U38">
        <v>3307.2942664057077</v>
      </c>
      <c r="V38">
        <v>3967.8781741137259</v>
      </c>
      <c r="W38">
        <v>4145.0546526711751</v>
      </c>
      <c r="X38">
        <v>4155.9914723352149</v>
      </c>
      <c r="Y38">
        <v>4556.2790720390803</v>
      </c>
      <c r="Z38">
        <v>5319.6690845890753</v>
      </c>
      <c r="AA38">
        <v>5676.2094056367805</v>
      </c>
      <c r="AB38">
        <v>5868.6974317238846</v>
      </c>
      <c r="AC38">
        <v>6061.1854578109896</v>
      </c>
      <c r="AD38">
        <v>6233.9872085028228</v>
      </c>
      <c r="AE38">
        <v>6332.4185854791831</v>
      </c>
      <c r="AF38">
        <v>6441.7867821195823</v>
      </c>
      <c r="AG38">
        <v>6538.0307951631348</v>
      </c>
      <c r="AH38">
        <v>6592.7148934833358</v>
      </c>
      <c r="AI38">
        <v>6632.0874442738796</v>
      </c>
      <c r="AJ38">
        <v>6697.7083622581195</v>
      </c>
      <c r="AK38">
        <v>6758.9545523767438</v>
      </c>
      <c r="AL38">
        <v>6863.9480211515283</v>
      </c>
      <c r="AM38">
        <v>7078.309686566713</v>
      </c>
      <c r="AN38">
        <v>7231.4251618632743</v>
      </c>
      <c r="AO38">
        <v>7649.2116730296029</v>
      </c>
      <c r="AP38">
        <v>8108.5580989192849</v>
      </c>
      <c r="AQ38">
        <v>8979.1289441768731</v>
      </c>
      <c r="AR38">
        <v>9685.6474944738584</v>
      </c>
      <c r="AS38">
        <v>10269.673664533597</v>
      </c>
      <c r="AT38">
        <f>Sheet1!$AT38*_xlfn.XLOOKUP($A38,'[1]SSP4-change-rate'!$B$2:$B$147,'[1]SSP4-change-rate'!C$2:C$147)</f>
        <v>10493.247780439164</v>
      </c>
      <c r="AU38">
        <f>Sheet1!$AT38*_xlfn.XLOOKUP($A38,'[1]SSP4-change-rate'!$B$2:$B$147,'[1]SSP4-change-rate'!D$2:D$147)</f>
        <v>10462.655195990894</v>
      </c>
      <c r="AV38">
        <f>Sheet1!$AT38*_xlfn.XLOOKUP($A38,'[1]SSP4-change-rate'!$B$2:$B$147,'[1]SSP4-change-rate'!E$2:E$147)</f>
        <v>10422.337828939635</v>
      </c>
      <c r="AW38">
        <f>Sheet1!$AT38*_xlfn.XLOOKUP($A38,'[1]SSP4-change-rate'!$B$2:$B$147,'[1]SSP4-change-rate'!F$2:F$147)</f>
        <v>10327.024205801394</v>
      </c>
      <c r="AX38">
        <f>Sheet1!$AT38*_xlfn.XLOOKUP($A38,'[1]SSP4-change-rate'!$B$2:$B$147,'[1]SSP4-change-rate'!G$2:G$147)</f>
        <v>10193.682858886606</v>
      </c>
      <c r="AY38">
        <f>Sheet1!$AT38*_xlfn.XLOOKUP($A38,'[1]SSP4-change-rate'!$B$2:$B$147,'[1]SSP4-change-rate'!H$2:H$147)</f>
        <v>10032.495081108842</v>
      </c>
    </row>
    <row r="39" spans="1:51" x14ac:dyDescent="0.25">
      <c r="A39" t="s">
        <v>189</v>
      </c>
      <c r="B39" t="s">
        <v>190</v>
      </c>
      <c r="C39" t="s">
        <v>191</v>
      </c>
      <c r="D39" t="s">
        <v>91</v>
      </c>
      <c r="E39" t="s">
        <v>66</v>
      </c>
      <c r="F39" t="s">
        <v>66</v>
      </c>
      <c r="G39">
        <v>357823.90854952572</v>
      </c>
      <c r="H39">
        <v>65554.872029088729</v>
      </c>
      <c r="I39">
        <v>423378.78057861445</v>
      </c>
      <c r="J39">
        <v>83267652</v>
      </c>
      <c r="K39">
        <v>5237.4736609125403</v>
      </c>
      <c r="L39">
        <v>6861.8270761030326</v>
      </c>
      <c r="M39">
        <v>9013.4169219997457</v>
      </c>
      <c r="N39">
        <v>12574.20119849728</v>
      </c>
      <c r="O39">
        <v>18086.923290146158</v>
      </c>
      <c r="P39">
        <v>18086.923290146158</v>
      </c>
      <c r="Q39">
        <v>19565.899013046328</v>
      </c>
      <c r="R39">
        <v>21283.294151302624</v>
      </c>
      <c r="S39">
        <v>21327.876643604992</v>
      </c>
      <c r="T39">
        <v>23754.714920238042</v>
      </c>
      <c r="U39">
        <v>26261.026335323131</v>
      </c>
      <c r="V39">
        <v>27197.258673672783</v>
      </c>
      <c r="W39">
        <v>28443.630088908445</v>
      </c>
      <c r="X39">
        <v>28860.379473474026</v>
      </c>
      <c r="Y39">
        <v>31577.973134687712</v>
      </c>
      <c r="Z39">
        <v>35266.689780400724</v>
      </c>
      <c r="AA39">
        <v>37519.074826285396</v>
      </c>
      <c r="AB39">
        <v>38610.376703078051</v>
      </c>
      <c r="AC39">
        <v>39558.239256810928</v>
      </c>
      <c r="AD39">
        <v>40548.745933615632</v>
      </c>
      <c r="AE39">
        <v>41238.805379687008</v>
      </c>
      <c r="AF39">
        <v>41645.862918099898</v>
      </c>
      <c r="AG39">
        <v>41957.940364216454</v>
      </c>
      <c r="AH39">
        <v>42271.956179563538</v>
      </c>
      <c r="AI39">
        <v>42446.409410311921</v>
      </c>
      <c r="AJ39">
        <v>42710.027625665032</v>
      </c>
      <c r="AK39">
        <v>43049.242241009109</v>
      </c>
      <c r="AL39">
        <v>43717.979625544569</v>
      </c>
      <c r="AM39">
        <v>44640.64337928046</v>
      </c>
      <c r="AN39">
        <v>45739.698732995268</v>
      </c>
      <c r="AO39">
        <v>48079.310394254127</v>
      </c>
      <c r="AP39">
        <v>50756.198301626522</v>
      </c>
      <c r="AQ39">
        <v>55712.608424111117</v>
      </c>
      <c r="AR39">
        <v>60260.02263895228</v>
      </c>
      <c r="AS39">
        <v>64146.452946180121</v>
      </c>
      <c r="AT39">
        <f>Sheet1!$AT39*_xlfn.XLOOKUP($A39,'[1]SSP4-change-rate'!$B$2:$B$147,'[1]SSP4-change-rate'!C$2:C$147)</f>
        <v>65058.149024529914</v>
      </c>
      <c r="AU39">
        <f>Sheet1!$AT39*_xlfn.XLOOKUP($A39,'[1]SSP4-change-rate'!$B$2:$B$147,'[1]SSP4-change-rate'!D$2:D$147)</f>
        <v>64948.979287563197</v>
      </c>
      <c r="AV39">
        <f>Sheet1!$AT39*_xlfn.XLOOKUP($A39,'[1]SSP4-change-rate'!$B$2:$B$147,'[1]SSP4-change-rate'!E$2:E$147)</f>
        <v>64790.951198738672</v>
      </c>
      <c r="AW39">
        <f>Sheet1!$AT39*_xlfn.XLOOKUP($A39,'[1]SSP4-change-rate'!$B$2:$B$147,'[1]SSP4-change-rate'!F$2:F$147)</f>
        <v>64448.437077519469</v>
      </c>
      <c r="AX39">
        <f>Sheet1!$AT39*_xlfn.XLOOKUP($A39,'[1]SSP4-change-rate'!$B$2:$B$147,'[1]SSP4-change-rate'!G$2:G$147)</f>
        <v>64001.486857244425</v>
      </c>
      <c r="AY39">
        <f>Sheet1!$AT39*_xlfn.XLOOKUP($A39,'[1]SSP4-change-rate'!$B$2:$B$147,'[1]SSP4-change-rate'!H$2:H$147)</f>
        <v>63418.834653009711</v>
      </c>
    </row>
    <row r="40" spans="1:51" x14ac:dyDescent="0.25">
      <c r="A40" t="s">
        <v>192</v>
      </c>
      <c r="B40" t="s">
        <v>193</v>
      </c>
      <c r="C40" t="s">
        <v>194</v>
      </c>
      <c r="D40" t="s">
        <v>98</v>
      </c>
      <c r="E40" t="s">
        <v>61</v>
      </c>
      <c r="F40" t="s">
        <v>61</v>
      </c>
      <c r="G40">
        <v>22372.294804524041</v>
      </c>
      <c r="H40">
        <v>52.672493420439963</v>
      </c>
      <c r="I40">
        <v>22424.96729794448</v>
      </c>
      <c r="J40">
        <v>1082341</v>
      </c>
      <c r="K40">
        <v>6.3005374904832498</v>
      </c>
      <c r="L40">
        <v>6.3005374904832498</v>
      </c>
      <c r="M40">
        <v>6.3005374904832498</v>
      </c>
      <c r="N40">
        <v>6.3005374904832498</v>
      </c>
      <c r="O40">
        <v>6.3005374904832498</v>
      </c>
      <c r="P40">
        <v>6.3005374904832498</v>
      </c>
      <c r="Q40">
        <v>6.3005374904832498</v>
      </c>
      <c r="R40">
        <v>6.3005374904832498</v>
      </c>
      <c r="S40">
        <v>6.3005374904832498</v>
      </c>
      <c r="T40">
        <v>6.3005374904832498</v>
      </c>
      <c r="U40">
        <v>7.5606449885798988</v>
      </c>
      <c r="V40">
        <v>10.080859984773198</v>
      </c>
      <c r="W40">
        <v>11.34096748286985</v>
      </c>
      <c r="X40">
        <v>12.6010749809665</v>
      </c>
      <c r="Y40">
        <v>16.381397475256449</v>
      </c>
      <c r="Z40">
        <v>16.381397475256449</v>
      </c>
      <c r="AA40">
        <v>17.641504973353101</v>
      </c>
      <c r="AB40">
        <v>17.641504973353101</v>
      </c>
      <c r="AC40">
        <v>17.641504973353101</v>
      </c>
      <c r="AD40">
        <v>17.641504973353101</v>
      </c>
      <c r="AE40">
        <v>17.641504973353101</v>
      </c>
      <c r="AF40">
        <v>18.901612471449749</v>
      </c>
      <c r="AG40">
        <v>18.901612471449749</v>
      </c>
      <c r="AH40">
        <v>18.901612471449749</v>
      </c>
      <c r="AI40">
        <v>20.161719969546397</v>
      </c>
      <c r="AJ40">
        <v>20.161719969546397</v>
      </c>
      <c r="AK40">
        <v>21.421827467643048</v>
      </c>
      <c r="AL40">
        <v>21.421827467643048</v>
      </c>
      <c r="AM40">
        <v>22.6819349657397</v>
      </c>
      <c r="AN40">
        <v>31.502687452416247</v>
      </c>
      <c r="AO40">
        <v>42.843654935286096</v>
      </c>
      <c r="AP40">
        <v>42.843654935286096</v>
      </c>
      <c r="AQ40">
        <v>49.144192425769347</v>
      </c>
      <c r="AR40">
        <v>55.444729916252598</v>
      </c>
      <c r="AS40">
        <v>55.444729916252598</v>
      </c>
      <c r="AT40">
        <f>Sheet1!$AT40*_xlfn.XLOOKUP($A40,'[1]SSP4-change-rate'!$B$2:$B$147,'[1]SSP4-change-rate'!C$2:C$147)</f>
        <v>51.66440742196265</v>
      </c>
      <c r="AU40">
        <f>Sheet1!$AT40*_xlfn.XLOOKUP($A40,'[1]SSP4-change-rate'!$B$2:$B$147,'[1]SSP4-change-rate'!D$2:D$147)</f>
        <v>51.66440742196265</v>
      </c>
      <c r="AV40">
        <f>Sheet1!$AT40*_xlfn.XLOOKUP($A40,'[1]SSP4-change-rate'!$B$2:$B$147,'[1]SSP4-change-rate'!E$2:E$147)</f>
        <v>51.66440742196265</v>
      </c>
      <c r="AW40">
        <f>Sheet1!$AT40*_xlfn.XLOOKUP($A40,'[1]SSP4-change-rate'!$B$2:$B$147,'[1]SSP4-change-rate'!F$2:F$147)</f>
        <v>50.372797236413582</v>
      </c>
      <c r="AX40">
        <f>Sheet1!$AT40*_xlfn.XLOOKUP($A40,'[1]SSP4-change-rate'!$B$2:$B$147,'[1]SSP4-change-rate'!G$2:G$147)</f>
        <v>49.316025266418897</v>
      </c>
      <c r="AY40">
        <f>Sheet1!$AT40*_xlfn.XLOOKUP($A40,'[1]SSP4-change-rate'!$B$2:$B$147,'[1]SSP4-change-rate'!H$2:H$147)</f>
        <v>43.866006301666403</v>
      </c>
    </row>
    <row r="41" spans="1:51" x14ac:dyDescent="0.25">
      <c r="A41" t="s">
        <v>195</v>
      </c>
      <c r="B41" t="s">
        <v>196</v>
      </c>
      <c r="C41" t="s">
        <v>197</v>
      </c>
      <c r="D41" t="s">
        <v>91</v>
      </c>
      <c r="E41" t="s">
        <v>66</v>
      </c>
      <c r="F41" t="s">
        <v>66</v>
      </c>
      <c r="G41">
        <v>43144.84869088672</v>
      </c>
      <c r="H41">
        <v>6975.4191525351616</v>
      </c>
      <c r="I41">
        <v>50120.267843421883</v>
      </c>
      <c r="J41">
        <v>5810771</v>
      </c>
      <c r="K41">
        <v>798.58660915278972</v>
      </c>
      <c r="L41">
        <v>901.93311151373894</v>
      </c>
      <c r="M41">
        <v>1031.1162394649255</v>
      </c>
      <c r="N41">
        <v>1216.6701868857208</v>
      </c>
      <c r="O41">
        <v>1465.6413062098259</v>
      </c>
      <c r="P41">
        <v>1686.4270157991264</v>
      </c>
      <c r="Q41">
        <v>1864.9346107862207</v>
      </c>
      <c r="R41">
        <v>2036.395853339614</v>
      </c>
      <c r="S41">
        <v>2160.8814130016663</v>
      </c>
      <c r="T41">
        <v>2539.035660276958</v>
      </c>
      <c r="U41">
        <v>3060.4657403708384</v>
      </c>
      <c r="V41">
        <v>3506.7347278385737</v>
      </c>
      <c r="W41">
        <v>3666.4520496691316</v>
      </c>
      <c r="X41">
        <v>3833.2157239333901</v>
      </c>
      <c r="Y41">
        <v>4091.5819798357634</v>
      </c>
      <c r="Z41">
        <v>4321.7628260033325</v>
      </c>
      <c r="AA41">
        <v>4434.5044649425499</v>
      </c>
      <c r="AB41">
        <v>4481.4801478338904</v>
      </c>
      <c r="AC41">
        <v>4547.2461038817673</v>
      </c>
      <c r="AD41">
        <v>4638.8486855198817</v>
      </c>
      <c r="AE41">
        <v>4678.7780159775202</v>
      </c>
      <c r="AF41">
        <v>4702.2658574231909</v>
      </c>
      <c r="AG41">
        <v>4714.0097781460263</v>
      </c>
      <c r="AH41">
        <v>4732.8000513025618</v>
      </c>
      <c r="AI41">
        <v>4739.8464037362637</v>
      </c>
      <c r="AJ41">
        <v>4782.1245183384699</v>
      </c>
      <c r="AK41">
        <v>4815.0074963624083</v>
      </c>
      <c r="AL41">
        <v>4840.8441219526458</v>
      </c>
      <c r="AM41">
        <v>4918.353998723358</v>
      </c>
      <c r="AN41">
        <v>4977.073602337533</v>
      </c>
      <c r="AO41">
        <v>5092.164025421318</v>
      </c>
      <c r="AP41">
        <v>5366.97177033566</v>
      </c>
      <c r="AQ41">
        <v>5806.1944053696943</v>
      </c>
      <c r="AR41">
        <v>6391.0416573668845</v>
      </c>
      <c r="AS41">
        <v>6856.1009179911562</v>
      </c>
      <c r="AT41">
        <f>Sheet1!$AT41*_xlfn.XLOOKUP($A41,'[1]SSP4-change-rate'!$B$2:$B$147,'[1]SSP4-change-rate'!C$2:C$147)</f>
        <v>6841.8326812125943</v>
      </c>
      <c r="AU41">
        <f>Sheet1!$AT41*_xlfn.XLOOKUP($A41,'[1]SSP4-change-rate'!$B$2:$B$147,'[1]SSP4-change-rate'!D$2:D$147)</f>
        <v>6832.3821291505183</v>
      </c>
      <c r="AV41">
        <f>Sheet1!$AT41*_xlfn.XLOOKUP($A41,'[1]SSP4-change-rate'!$B$2:$B$147,'[1]SSP4-change-rate'!E$2:E$147)</f>
        <v>6814.2788934089031</v>
      </c>
      <c r="AW41">
        <f>Sheet1!$AT41*_xlfn.XLOOKUP($A41,'[1]SSP4-change-rate'!$B$2:$B$147,'[1]SSP4-change-rate'!F$2:F$147)</f>
        <v>6802.7884896783607</v>
      </c>
      <c r="AX41">
        <f>Sheet1!$AT41*_xlfn.XLOOKUP($A41,'[1]SSP4-change-rate'!$B$2:$B$147,'[1]SSP4-change-rate'!G$2:G$147)</f>
        <v>6801.2264555701695</v>
      </c>
      <c r="AY41">
        <f>Sheet1!$AT41*_xlfn.XLOOKUP($A41,'[1]SSP4-change-rate'!$B$2:$B$147,'[1]SSP4-change-rate'!H$2:H$147)</f>
        <v>6838.9781225173883</v>
      </c>
    </row>
    <row r="42" spans="1:51" x14ac:dyDescent="0.25">
      <c r="A42" t="s">
        <v>198</v>
      </c>
      <c r="B42" t="s">
        <v>199</v>
      </c>
      <c r="C42" t="s">
        <v>200</v>
      </c>
      <c r="D42" t="s">
        <v>121</v>
      </c>
      <c r="E42" t="s">
        <v>76</v>
      </c>
      <c r="F42" t="s">
        <v>77</v>
      </c>
      <c r="G42">
        <v>48092.0543355236</v>
      </c>
      <c r="H42">
        <v>2983.0677023727249</v>
      </c>
      <c r="I42">
        <v>51075.122037896326</v>
      </c>
      <c r="J42">
        <v>10939341</v>
      </c>
      <c r="K42">
        <v>68.954267657975507</v>
      </c>
      <c r="L42">
        <v>84.866790963662154</v>
      </c>
      <c r="M42">
        <v>106.0834887045777</v>
      </c>
      <c r="N42">
        <v>137.90853531595101</v>
      </c>
      <c r="O42">
        <v>180.34193079778208</v>
      </c>
      <c r="P42">
        <v>233.38367515007096</v>
      </c>
      <c r="Q42">
        <v>302.33794280804648</v>
      </c>
      <c r="R42">
        <v>365.98803603079307</v>
      </c>
      <c r="S42">
        <v>498.59239691151521</v>
      </c>
      <c r="T42">
        <v>705.45519988544163</v>
      </c>
      <c r="U42">
        <v>1013.0973171287171</v>
      </c>
      <c r="V42">
        <v>1262.3935155844747</v>
      </c>
      <c r="W42">
        <v>1288.9143877606191</v>
      </c>
      <c r="X42">
        <v>1331.3477832424503</v>
      </c>
      <c r="Y42">
        <v>1400.3020509004257</v>
      </c>
      <c r="Z42">
        <v>1527.6022373459189</v>
      </c>
      <c r="AA42">
        <v>1601.8606794391233</v>
      </c>
      <c r="AB42">
        <v>1633.6857260504964</v>
      </c>
      <c r="AC42">
        <v>1723.8566914493877</v>
      </c>
      <c r="AD42">
        <v>1814.0276568482786</v>
      </c>
      <c r="AE42">
        <v>2063.3238553040364</v>
      </c>
      <c r="AF42">
        <v>2073.932204174494</v>
      </c>
      <c r="AG42">
        <v>2073.932204174494</v>
      </c>
      <c r="AH42">
        <v>2095.1489019154096</v>
      </c>
      <c r="AI42">
        <v>2105.7572507858672</v>
      </c>
      <c r="AJ42">
        <v>2105.7572507858672</v>
      </c>
      <c r="AK42">
        <v>2121.6697740915542</v>
      </c>
      <c r="AL42">
        <v>2142.8864718324699</v>
      </c>
      <c r="AM42">
        <v>2158.7989951381564</v>
      </c>
      <c r="AN42">
        <v>2174.711518443843</v>
      </c>
      <c r="AO42">
        <v>2248.9699605370474</v>
      </c>
      <c r="AP42">
        <v>2328.5325770654804</v>
      </c>
      <c r="AQ42">
        <v>2492.9619845575762</v>
      </c>
      <c r="AR42">
        <v>2689.2164386610448</v>
      </c>
      <c r="AS42">
        <v>2747.5623574485626</v>
      </c>
      <c r="AT42">
        <f>Sheet1!$AT42*_xlfn.XLOOKUP($A42,'[1]SSP4-change-rate'!$B$2:$B$147,'[1]SSP4-change-rate'!C$2:C$147)</f>
        <v>2865.8862486959761</v>
      </c>
      <c r="AU42">
        <f>Sheet1!$AT42*_xlfn.XLOOKUP($A42,'[1]SSP4-change-rate'!$B$2:$B$147,'[1]SSP4-change-rate'!D$2:D$147)</f>
        <v>2841.5615530920099</v>
      </c>
      <c r="AV42">
        <f>Sheet1!$AT42*_xlfn.XLOOKUP($A42,'[1]SSP4-change-rate'!$B$2:$B$147,'[1]SSP4-change-rate'!E$2:E$147)</f>
        <v>2814.2246978814387</v>
      </c>
      <c r="AW42">
        <f>Sheet1!$AT42*_xlfn.XLOOKUP($A42,'[1]SSP4-change-rate'!$B$2:$B$147,'[1]SSP4-change-rate'!F$2:F$147)</f>
        <v>2733.030921071294</v>
      </c>
      <c r="AX42">
        <f>Sheet1!$AT42*_xlfn.XLOOKUP($A42,'[1]SSP4-change-rate'!$B$2:$B$147,'[1]SSP4-change-rate'!G$2:G$147)</f>
        <v>2624.5239598536355</v>
      </c>
      <c r="AY42">
        <f>Sheet1!$AT42*_xlfn.XLOOKUP($A42,'[1]SSP4-change-rate'!$B$2:$B$147,'[1]SSP4-change-rate'!H$2:H$147)</f>
        <v>2505.0711930753009</v>
      </c>
    </row>
    <row r="43" spans="1:51" x14ac:dyDescent="0.25">
      <c r="A43" t="s">
        <v>201</v>
      </c>
      <c r="B43" t="s">
        <v>202</v>
      </c>
      <c r="C43" t="s">
        <v>203</v>
      </c>
      <c r="D43" t="s">
        <v>204</v>
      </c>
      <c r="E43" t="s">
        <v>61</v>
      </c>
      <c r="F43" t="s">
        <v>61</v>
      </c>
      <c r="G43">
        <v>2308025.9586943681</v>
      </c>
      <c r="H43">
        <v>8264.2620192843897</v>
      </c>
      <c r="I43">
        <v>2316290.2207136527</v>
      </c>
      <c r="J43">
        <v>43090991.999999903</v>
      </c>
      <c r="K43">
        <v>130.39468956771108</v>
      </c>
      <c r="L43">
        <v>139.5990205960201</v>
      </c>
      <c r="M43">
        <v>153.40551713848362</v>
      </c>
      <c r="N43">
        <v>171.81417919510167</v>
      </c>
      <c r="O43">
        <v>197.89311710864388</v>
      </c>
      <c r="P43">
        <v>217.83583433664674</v>
      </c>
      <c r="Q43">
        <v>240.8466619074193</v>
      </c>
      <c r="R43">
        <v>266.92559982096151</v>
      </c>
      <c r="S43">
        <v>296.07264807727341</v>
      </c>
      <c r="T43">
        <v>452.5462755585267</v>
      </c>
      <c r="U43">
        <v>773.16380637795748</v>
      </c>
      <c r="V43">
        <v>1199.631144022942</v>
      </c>
      <c r="W43">
        <v>1965.1246745439753</v>
      </c>
      <c r="X43">
        <v>2163.0177916526195</v>
      </c>
      <c r="Y43">
        <v>2474.4309914437413</v>
      </c>
      <c r="Z43">
        <v>2678.4603292379238</v>
      </c>
      <c r="AA43">
        <v>2870.2172256610288</v>
      </c>
      <c r="AB43">
        <v>2936.1815980305764</v>
      </c>
      <c r="AC43">
        <v>3009.8162462570485</v>
      </c>
      <c r="AD43">
        <v>3127.938494453681</v>
      </c>
      <c r="AE43">
        <v>3204.6412530229231</v>
      </c>
      <c r="AF43">
        <v>3324.2975563909404</v>
      </c>
      <c r="AG43">
        <v>3405.6024804743365</v>
      </c>
      <c r="AH43">
        <v>3519.1225631568145</v>
      </c>
      <c r="AI43">
        <v>3620.3702044682136</v>
      </c>
      <c r="AJ43">
        <v>3729.2881216365367</v>
      </c>
      <c r="AK43">
        <v>3867.3530870611721</v>
      </c>
      <c r="AL43">
        <v>4186.4365627092175</v>
      </c>
      <c r="AM43">
        <v>4418.0788935883284</v>
      </c>
      <c r="AN43">
        <v>4592.9611831262</v>
      </c>
      <c r="AO43">
        <v>4973.4068656296395</v>
      </c>
      <c r="AP43">
        <v>5479.6450721866349</v>
      </c>
      <c r="AQ43">
        <v>6119.3460786541118</v>
      </c>
      <c r="AR43">
        <v>6872.5671678040662</v>
      </c>
      <c r="AS43">
        <v>7839.0219257765139</v>
      </c>
      <c r="AT43">
        <f>Sheet1!$AT43*_xlfn.XLOOKUP($A43,'[1]SSP4-change-rate'!$B$2:$B$147,'[1]SSP4-change-rate'!C$2:C$147)</f>
        <v>8049.092636759081</v>
      </c>
      <c r="AU43">
        <f>Sheet1!$AT43*_xlfn.XLOOKUP($A43,'[1]SSP4-change-rate'!$B$2:$B$147,'[1]SSP4-change-rate'!D$2:D$147)</f>
        <v>8015.8366692890713</v>
      </c>
      <c r="AV43">
        <f>Sheet1!$AT43*_xlfn.XLOOKUP($A43,'[1]SSP4-change-rate'!$B$2:$B$147,'[1]SSP4-change-rate'!E$2:E$147)</f>
        <v>7967.6519555627074</v>
      </c>
      <c r="AW43">
        <f>Sheet1!$AT43*_xlfn.XLOOKUP($A43,'[1]SSP4-change-rate'!$B$2:$B$147,'[1]SSP4-change-rate'!F$2:F$147)</f>
        <v>7787.1061424938489</v>
      </c>
      <c r="AX43">
        <f>Sheet1!$AT43*_xlfn.XLOOKUP($A43,'[1]SSP4-change-rate'!$B$2:$B$147,'[1]SSP4-change-rate'!G$2:G$147)</f>
        <v>7490.6955606293959</v>
      </c>
      <c r="AY43">
        <f>Sheet1!$AT43*_xlfn.XLOOKUP($A43,'[1]SSP4-change-rate'!$B$2:$B$147,'[1]SSP4-change-rate'!H$2:H$147)</f>
        <v>7068.9198936913735</v>
      </c>
    </row>
    <row r="44" spans="1:51" x14ac:dyDescent="0.25">
      <c r="A44" t="s">
        <v>205</v>
      </c>
      <c r="B44" t="s">
        <v>206</v>
      </c>
      <c r="C44" t="s">
        <v>207</v>
      </c>
      <c r="D44" t="s">
        <v>75</v>
      </c>
      <c r="E44" t="s">
        <v>76</v>
      </c>
      <c r="F44" t="s">
        <v>77</v>
      </c>
      <c r="G44">
        <v>256339.74082357291</v>
      </c>
      <c r="H44">
        <v>5408.660626016178</v>
      </c>
      <c r="I44">
        <v>261748.40144958909</v>
      </c>
      <c r="J44">
        <v>17487158</v>
      </c>
      <c r="K44">
        <v>59.74020171320209</v>
      </c>
      <c r="L44">
        <v>65.17112914167501</v>
      </c>
      <c r="M44">
        <v>70.602056570147923</v>
      </c>
      <c r="N44">
        <v>78.748447712857299</v>
      </c>
      <c r="O44">
        <v>95.041229998276052</v>
      </c>
      <c r="P44">
        <v>105.90308485522189</v>
      </c>
      <c r="Q44">
        <v>114.04947599793125</v>
      </c>
      <c r="R44">
        <v>171.07421399689687</v>
      </c>
      <c r="S44">
        <v>200.94431485349793</v>
      </c>
      <c r="T44">
        <v>279.69276256635521</v>
      </c>
      <c r="U44">
        <v>431.75873056359688</v>
      </c>
      <c r="V44">
        <v>700.58963827300624</v>
      </c>
      <c r="W44">
        <v>1113.340122836948</v>
      </c>
      <c r="X44">
        <v>1281.6988731196084</v>
      </c>
      <c r="Y44">
        <v>1441.9112322595595</v>
      </c>
      <c r="Z44">
        <v>1596.6926639710377</v>
      </c>
      <c r="AA44">
        <v>1767.7668779679345</v>
      </c>
      <c r="AB44">
        <v>1993.1503662495604</v>
      </c>
      <c r="AC44">
        <v>2071.898813962418</v>
      </c>
      <c r="AD44">
        <v>2156.0781891037482</v>
      </c>
      <c r="AE44">
        <v>2199.5256085315314</v>
      </c>
      <c r="AF44">
        <v>2294.5668385298072</v>
      </c>
      <c r="AG44">
        <v>2329.8678668148814</v>
      </c>
      <c r="AH44">
        <v>2411.3317782419754</v>
      </c>
      <c r="AI44">
        <v>2465.6410525267042</v>
      </c>
      <c r="AJ44">
        <v>2552.5358913822711</v>
      </c>
      <c r="AK44">
        <v>2604.1297019527638</v>
      </c>
      <c r="AL44">
        <v>2767.0575248069513</v>
      </c>
      <c r="AM44">
        <v>2968.0018396604491</v>
      </c>
      <c r="AN44">
        <v>3158.0842996570013</v>
      </c>
      <c r="AO44">
        <v>3326.4430499396617</v>
      </c>
      <c r="AP44">
        <v>3660.4450867907462</v>
      </c>
      <c r="AQ44">
        <v>4236.1233942088747</v>
      </c>
      <c r="AR44">
        <v>4635.2965602016347</v>
      </c>
      <c r="AS44">
        <v>5181.1047667631628</v>
      </c>
      <c r="AT44">
        <f>Sheet1!$AT44*_xlfn.XLOOKUP($A44,'[1]SSP4-change-rate'!$B$2:$B$147,'[1]SSP4-change-rate'!C$2:C$147)</f>
        <v>5231.0010060057139</v>
      </c>
      <c r="AU44">
        <f>Sheet1!$AT44*_xlfn.XLOOKUP($A44,'[1]SSP4-change-rate'!$B$2:$B$147,'[1]SSP4-change-rate'!D$2:D$147)</f>
        <v>5198.0697401820071</v>
      </c>
      <c r="AV44">
        <f>Sheet1!$AT44*_xlfn.XLOOKUP($A44,'[1]SSP4-change-rate'!$B$2:$B$147,'[1]SSP4-change-rate'!E$2:E$147)</f>
        <v>5156.9377378262188</v>
      </c>
      <c r="AW44">
        <f>Sheet1!$AT44*_xlfn.XLOOKUP($A44,'[1]SSP4-change-rate'!$B$2:$B$147,'[1]SSP4-change-rate'!F$2:F$147)</f>
        <v>5032.4457695961128</v>
      </c>
      <c r="AX44">
        <f>Sheet1!$AT44*_xlfn.XLOOKUP($A44,'[1]SSP4-change-rate'!$B$2:$B$147,'[1]SSP4-change-rate'!G$2:G$147)</f>
        <v>4862.5155927398218</v>
      </c>
      <c r="AY44">
        <f>Sheet1!$AT44*_xlfn.XLOOKUP($A44,'[1]SSP4-change-rate'!$B$2:$B$147,'[1]SSP4-change-rate'!H$2:H$147)</f>
        <v>4636.0485004413204</v>
      </c>
    </row>
    <row r="45" spans="1:51" x14ac:dyDescent="0.25">
      <c r="A45" t="s">
        <v>208</v>
      </c>
      <c r="B45" t="s">
        <v>209</v>
      </c>
      <c r="C45" t="s">
        <v>210</v>
      </c>
      <c r="D45" t="s">
        <v>204</v>
      </c>
      <c r="E45" t="s">
        <v>61</v>
      </c>
      <c r="F45" t="s">
        <v>61</v>
      </c>
      <c r="G45">
        <v>983764.18107982387</v>
      </c>
      <c r="H45">
        <v>18999.88123282346</v>
      </c>
      <c r="I45">
        <v>1002764.0623126474</v>
      </c>
      <c r="J45">
        <v>106538717</v>
      </c>
      <c r="K45">
        <v>165.84756161633675</v>
      </c>
      <c r="L45">
        <v>199.49779150950653</v>
      </c>
      <c r="M45">
        <v>295.64130548999162</v>
      </c>
      <c r="N45">
        <v>390.5830255457206</v>
      </c>
      <c r="O45">
        <v>490.33192130047382</v>
      </c>
      <c r="P45">
        <v>563.64135071059366</v>
      </c>
      <c r="Q45">
        <v>647.76692544351818</v>
      </c>
      <c r="R45">
        <v>765.54273006961228</v>
      </c>
      <c r="S45">
        <v>954.22437625631437</v>
      </c>
      <c r="T45">
        <v>1368.8432802971563</v>
      </c>
      <c r="U45">
        <v>1982.9599758475044</v>
      </c>
      <c r="V45">
        <v>2598.278465322609</v>
      </c>
      <c r="W45">
        <v>3324.1619958752717</v>
      </c>
      <c r="X45">
        <v>3461.1665032974624</v>
      </c>
      <c r="Y45">
        <v>3917.8481947047662</v>
      </c>
      <c r="Z45">
        <v>4381.7406496606072</v>
      </c>
      <c r="AA45">
        <v>4893.7048616066904</v>
      </c>
      <c r="AB45">
        <v>5178.5300217738768</v>
      </c>
      <c r="AC45">
        <v>5408.0726614022851</v>
      </c>
      <c r="AD45">
        <v>5774.6198084528842</v>
      </c>
      <c r="AE45">
        <v>6136.3597798044593</v>
      </c>
      <c r="AF45">
        <v>6609.8665861583486</v>
      </c>
      <c r="AG45">
        <v>7226.3868695582096</v>
      </c>
      <c r="AH45">
        <v>7684.2703548902691</v>
      </c>
      <c r="AI45">
        <v>8192.6291850620837</v>
      </c>
      <c r="AJ45">
        <v>8477.454345229271</v>
      </c>
      <c r="AK45">
        <v>8995.4275267991343</v>
      </c>
      <c r="AL45">
        <v>9525.4186476165596</v>
      </c>
      <c r="AM45">
        <v>11222.351669372121</v>
      </c>
      <c r="AN45">
        <v>12258.298032511846</v>
      </c>
      <c r="AO45">
        <v>13290.639013877306</v>
      </c>
      <c r="AP45">
        <v>14375.858927932029</v>
      </c>
      <c r="AQ45">
        <v>15298.836662144686</v>
      </c>
      <c r="AR45">
        <v>16218.209014583075</v>
      </c>
      <c r="AS45">
        <v>17269.778698744631</v>
      </c>
      <c r="AT45">
        <f>Sheet1!$AT45*_xlfn.XLOOKUP($A45,'[1]SSP4-change-rate'!$B$2:$B$147,'[1]SSP4-change-rate'!C$2:C$147)</f>
        <v>18155.230334430053</v>
      </c>
      <c r="AU45">
        <f>Sheet1!$AT45*_xlfn.XLOOKUP($A45,'[1]SSP4-change-rate'!$B$2:$B$147,'[1]SSP4-change-rate'!D$2:D$147)</f>
        <v>18030.285745794103</v>
      </c>
      <c r="AV45">
        <f>Sheet1!$AT45*_xlfn.XLOOKUP($A45,'[1]SSP4-change-rate'!$B$2:$B$147,'[1]SSP4-change-rate'!E$2:E$147)</f>
        <v>17862.940777779047</v>
      </c>
      <c r="AW45">
        <f>Sheet1!$AT45*_xlfn.XLOOKUP($A45,'[1]SSP4-change-rate'!$B$2:$B$147,'[1]SSP4-change-rate'!F$2:F$147)</f>
        <v>17311.633780569435</v>
      </c>
      <c r="AX45">
        <f>Sheet1!$AT45*_xlfn.XLOOKUP($A45,'[1]SSP4-change-rate'!$B$2:$B$147,'[1]SSP4-change-rate'!G$2:G$147)</f>
        <v>16522.706304450272</v>
      </c>
      <c r="AY45">
        <f>Sheet1!$AT45*_xlfn.XLOOKUP($A45,'[1]SSP4-change-rate'!$B$2:$B$147,'[1]SSP4-change-rate'!H$2:H$147)</f>
        <v>15587.306410566127</v>
      </c>
    </row>
    <row r="46" spans="1:51" x14ac:dyDescent="0.25">
      <c r="A46" t="s">
        <v>211</v>
      </c>
      <c r="B46" t="s">
        <v>212</v>
      </c>
      <c r="C46" t="s">
        <v>213</v>
      </c>
      <c r="D46" t="s">
        <v>98</v>
      </c>
      <c r="E46" t="s">
        <v>61</v>
      </c>
      <c r="F46" t="s">
        <v>61</v>
      </c>
      <c r="G46">
        <v>120457.44702567111</v>
      </c>
      <c r="H46">
        <v>123.28535630674919</v>
      </c>
      <c r="I46">
        <v>120580.73238197785</v>
      </c>
      <c r="J46">
        <v>3523652</v>
      </c>
      <c r="K46">
        <v>9.6316684614647805</v>
      </c>
      <c r="L46">
        <v>9.6316684614647805</v>
      </c>
      <c r="M46">
        <v>9.6316684614647805</v>
      </c>
      <c r="N46">
        <v>9.6316684614647805</v>
      </c>
      <c r="O46">
        <v>9.6316684614647805</v>
      </c>
      <c r="P46">
        <v>9.6316684614647805</v>
      </c>
      <c r="Q46">
        <v>9.6316684614647805</v>
      </c>
      <c r="R46">
        <v>9.6316684614647805</v>
      </c>
      <c r="S46">
        <v>12.842224615286375</v>
      </c>
      <c r="T46">
        <v>16.052780769107969</v>
      </c>
      <c r="U46">
        <v>22.473893076751157</v>
      </c>
      <c r="V46">
        <v>28.895005384394342</v>
      </c>
      <c r="W46">
        <v>35.316117692037537</v>
      </c>
      <c r="X46">
        <v>35.316117692037537</v>
      </c>
      <c r="Y46">
        <v>35.316117692037537</v>
      </c>
      <c r="Z46">
        <v>44.947786153502314</v>
      </c>
      <c r="AA46">
        <v>54.579454614967098</v>
      </c>
      <c r="AB46">
        <v>57.790010768788683</v>
      </c>
      <c r="AC46">
        <v>80.263903845539843</v>
      </c>
      <c r="AD46">
        <v>80.263903845539843</v>
      </c>
      <c r="AE46">
        <v>80.263903845539843</v>
      </c>
      <c r="AF46">
        <v>80.263903845539843</v>
      </c>
      <c r="AG46">
        <v>80.263903845539843</v>
      </c>
      <c r="AH46">
        <v>80.263903845539843</v>
      </c>
      <c r="AI46">
        <v>80.263903845539843</v>
      </c>
      <c r="AJ46">
        <v>80.263903845539843</v>
      </c>
      <c r="AK46">
        <v>80.263903845539843</v>
      </c>
      <c r="AL46">
        <v>93.106128460826213</v>
      </c>
      <c r="AM46">
        <v>93.106128460826213</v>
      </c>
      <c r="AN46">
        <v>93.106128460826213</v>
      </c>
      <c r="AO46">
        <v>93.106128460826213</v>
      </c>
      <c r="AP46">
        <v>93.106128460826213</v>
      </c>
      <c r="AQ46">
        <v>93.106128460826213</v>
      </c>
      <c r="AR46">
        <v>93.106128460826213</v>
      </c>
      <c r="AS46">
        <v>93.106128460826213</v>
      </c>
      <c r="AT46">
        <f>Sheet1!$AT46*_xlfn.XLOOKUP($A46,'[1]SSP4-change-rate'!$B$2:$B$147,'[1]SSP4-change-rate'!C$2:C$147)</f>
        <v>109.1589092299342</v>
      </c>
      <c r="AU46">
        <f>Sheet1!$AT46*_xlfn.XLOOKUP($A46,'[1]SSP4-change-rate'!$B$2:$B$147,'[1]SSP4-change-rate'!D$2:D$147)</f>
        <v>109.1589092299342</v>
      </c>
      <c r="AV46">
        <f>Sheet1!$AT46*_xlfn.XLOOKUP($A46,'[1]SSP4-change-rate'!$B$2:$B$147,'[1]SSP4-change-rate'!E$2:E$147)</f>
        <v>106.49649680969189</v>
      </c>
      <c r="AW46">
        <f>Sheet1!$AT46*_xlfn.XLOOKUP($A46,'[1]SSP4-change-rate'!$B$2:$B$147,'[1]SSP4-change-rate'!F$2:F$147)</f>
        <v>105.3948089116606</v>
      </c>
      <c r="AX46">
        <f>Sheet1!$AT46*_xlfn.XLOOKUP($A46,'[1]SSP4-change-rate'!$B$2:$B$147,'[1]SSP4-change-rate'!G$2:G$147)</f>
        <v>100.97199103768914</v>
      </c>
      <c r="AY46">
        <f>Sheet1!$AT46*_xlfn.XLOOKUP($A46,'[1]SSP4-change-rate'!$B$2:$B$147,'[1]SSP4-change-rate'!H$2:H$147)</f>
        <v>98.040872178737189</v>
      </c>
    </row>
    <row r="47" spans="1:51" x14ac:dyDescent="0.25">
      <c r="A47" t="s">
        <v>214</v>
      </c>
      <c r="B47" t="s">
        <v>215</v>
      </c>
      <c r="C47" t="s">
        <v>216</v>
      </c>
      <c r="D47" t="s">
        <v>91</v>
      </c>
      <c r="E47" t="s">
        <v>66</v>
      </c>
      <c r="F47" t="s">
        <v>66</v>
      </c>
      <c r="G47">
        <v>506044.32052419242</v>
      </c>
      <c r="H47">
        <v>27843.796788987151</v>
      </c>
      <c r="I47">
        <v>533888.11731317954</v>
      </c>
      <c r="J47">
        <v>47329955.000000007</v>
      </c>
      <c r="K47">
        <v>2857.3743318198485</v>
      </c>
      <c r="L47">
        <v>3159.9358114000133</v>
      </c>
      <c r="M47">
        <v>3466.5676247861893</v>
      </c>
      <c r="N47">
        <v>3706.7173193408485</v>
      </c>
      <c r="O47">
        <v>4153.097260066741</v>
      </c>
      <c r="P47">
        <v>4477.3671866122995</v>
      </c>
      <c r="Q47">
        <v>5005.1538034584155</v>
      </c>
      <c r="R47">
        <v>5538.3675320458797</v>
      </c>
      <c r="S47">
        <v>6034.9482563792444</v>
      </c>
      <c r="T47">
        <v>6918.2106922836701</v>
      </c>
      <c r="U47">
        <v>8995.4377112847087</v>
      </c>
      <c r="V47">
        <v>10995.328387971536</v>
      </c>
      <c r="W47">
        <v>11772.762144919672</v>
      </c>
      <c r="X47">
        <v>12211.001418033542</v>
      </c>
      <c r="Y47">
        <v>13139.037525804091</v>
      </c>
      <c r="Z47">
        <v>14604.357695968116</v>
      </c>
      <c r="AA47">
        <v>15681.639376625742</v>
      </c>
      <c r="AB47">
        <v>15985.557634141245</v>
      </c>
      <c r="AC47">
        <v>16484.851914345283</v>
      </c>
      <c r="AD47">
        <v>17232.436556716002</v>
      </c>
      <c r="AE47">
        <v>17929.820415479251</v>
      </c>
      <c r="AF47">
        <v>18505.094260062164</v>
      </c>
      <c r="AG47">
        <v>18893.132749568565</v>
      </c>
      <c r="AH47">
        <v>19414.135476737993</v>
      </c>
      <c r="AI47">
        <v>19775.038407537653</v>
      </c>
      <c r="AJ47">
        <v>20308.252136125117</v>
      </c>
      <c r="AK47">
        <v>20814.330306005842</v>
      </c>
      <c r="AL47">
        <v>21764.074860741785</v>
      </c>
      <c r="AM47">
        <v>22803.36675920997</v>
      </c>
      <c r="AN47">
        <v>23261.957701353898</v>
      </c>
      <c r="AO47">
        <v>24061.099905267427</v>
      </c>
      <c r="AP47">
        <v>24569.891631018825</v>
      </c>
      <c r="AQ47">
        <v>25321.546607195556</v>
      </c>
      <c r="AR47">
        <v>26318.778389668296</v>
      </c>
      <c r="AS47">
        <v>27024.302916043565</v>
      </c>
      <c r="AT47">
        <f>Sheet1!$AT47*_xlfn.XLOOKUP($A47,'[1]SSP4-change-rate'!$B$2:$B$147,'[1]SSP4-change-rate'!C$2:C$147)</f>
        <v>27260.135589894882</v>
      </c>
      <c r="AU47">
        <f>Sheet1!$AT47*_xlfn.XLOOKUP($A47,'[1]SSP4-change-rate'!$B$2:$B$147,'[1]SSP4-change-rate'!D$2:D$147)</f>
        <v>27187.368558004862</v>
      </c>
      <c r="AV47">
        <f>Sheet1!$AT47*_xlfn.XLOOKUP($A47,'[1]SSP4-change-rate'!$B$2:$B$147,'[1]SSP4-change-rate'!E$2:E$147)</f>
        <v>27084.463088657067</v>
      </c>
      <c r="AW47">
        <f>Sheet1!$AT47*_xlfn.XLOOKUP($A47,'[1]SSP4-change-rate'!$B$2:$B$147,'[1]SSP4-change-rate'!F$2:F$147)</f>
        <v>26832.02810006437</v>
      </c>
      <c r="AX47">
        <f>Sheet1!$AT47*_xlfn.XLOOKUP($A47,'[1]SSP4-change-rate'!$B$2:$B$147,'[1]SSP4-change-rate'!G$2:G$147)</f>
        <v>26470.547401100663</v>
      </c>
      <c r="AY47">
        <f>Sheet1!$AT47*_xlfn.XLOOKUP($A47,'[1]SSP4-change-rate'!$B$2:$B$147,'[1]SSP4-change-rate'!H$2:H$147)</f>
        <v>26036.125100461515</v>
      </c>
    </row>
    <row r="48" spans="1:51" x14ac:dyDescent="0.25">
      <c r="A48" t="s">
        <v>217</v>
      </c>
      <c r="B48" t="s">
        <v>218</v>
      </c>
      <c r="C48" t="s">
        <v>219</v>
      </c>
      <c r="D48" t="s">
        <v>65</v>
      </c>
      <c r="E48" t="s">
        <v>66</v>
      </c>
      <c r="F48" t="s">
        <v>66</v>
      </c>
      <c r="G48">
        <v>45489.856653638657</v>
      </c>
      <c r="H48">
        <v>945.99208617292879</v>
      </c>
      <c r="I48">
        <v>46435.848739811583</v>
      </c>
      <c r="J48">
        <v>1329091</v>
      </c>
      <c r="K48">
        <v>74.595449344180096</v>
      </c>
      <c r="L48">
        <v>83.72958599856949</v>
      </c>
      <c r="M48">
        <v>94.3860787620238</v>
      </c>
      <c r="N48">
        <v>107.32610568907545</v>
      </c>
      <c r="O48">
        <v>123.3108448342569</v>
      </c>
      <c r="P48">
        <v>131.68380343411383</v>
      </c>
      <c r="Q48">
        <v>142.34029619756816</v>
      </c>
      <c r="R48">
        <v>152.99678896102245</v>
      </c>
      <c r="S48">
        <v>163.65328172447676</v>
      </c>
      <c r="T48">
        <v>184.2050891968529</v>
      </c>
      <c r="U48">
        <v>216.1745674872158</v>
      </c>
      <c r="V48">
        <v>239.77108717772174</v>
      </c>
      <c r="W48">
        <v>252.7111141047734</v>
      </c>
      <c r="X48">
        <v>254.99464826837075</v>
      </c>
      <c r="Y48">
        <v>318.93360484909653</v>
      </c>
      <c r="Z48">
        <v>348.61954897586207</v>
      </c>
      <c r="AA48">
        <v>376.0219589390303</v>
      </c>
      <c r="AB48">
        <v>378.30549310262762</v>
      </c>
      <c r="AC48">
        <v>388.96198586608199</v>
      </c>
      <c r="AD48">
        <v>468.88568159198917</v>
      </c>
      <c r="AE48">
        <v>470.40803770105407</v>
      </c>
      <c r="AF48">
        <v>470.40803770105407</v>
      </c>
      <c r="AG48">
        <v>475.73628408278125</v>
      </c>
      <c r="AH48">
        <v>479.54217435544348</v>
      </c>
      <c r="AI48">
        <v>484.10924268263818</v>
      </c>
      <c r="AJ48">
        <v>490.19866711889784</v>
      </c>
      <c r="AK48">
        <v>496.28809155515745</v>
      </c>
      <c r="AL48">
        <v>503.8998721004819</v>
      </c>
      <c r="AM48">
        <v>514.5563648639361</v>
      </c>
      <c r="AN48">
        <v>536.63052844537719</v>
      </c>
      <c r="AO48">
        <v>589.91299226264869</v>
      </c>
      <c r="AP48">
        <v>662.98608549776395</v>
      </c>
      <c r="AQ48">
        <v>733.77564456928178</v>
      </c>
      <c r="AR48">
        <v>856.32531134900626</v>
      </c>
      <c r="AS48">
        <v>891.33950185749893</v>
      </c>
      <c r="AT48">
        <f>Sheet1!$AT48*_xlfn.XLOOKUP($A48,'[1]SSP4-change-rate'!$B$2:$B$147,'[1]SSP4-change-rate'!C$2:C$147)</f>
        <v>922.54780209332944</v>
      </c>
      <c r="AU48">
        <f>Sheet1!$AT48*_xlfn.XLOOKUP($A48,'[1]SSP4-change-rate'!$B$2:$B$147,'[1]SSP4-change-rate'!D$2:D$147)</f>
        <v>922.54780209332944</v>
      </c>
      <c r="AV48">
        <f>Sheet1!$AT48*_xlfn.XLOOKUP($A48,'[1]SSP4-change-rate'!$B$2:$B$147,'[1]SSP4-change-rate'!E$2:E$147)</f>
        <v>920.89152237682435</v>
      </c>
      <c r="AW48">
        <f>Sheet1!$AT48*_xlfn.XLOOKUP($A48,'[1]SSP4-change-rate'!$B$2:$B$147,'[1]SSP4-change-rate'!F$2:F$147)</f>
        <v>916.39748341270717</v>
      </c>
      <c r="AX48">
        <f>Sheet1!$AT48*_xlfn.XLOOKUP($A48,'[1]SSP4-change-rate'!$B$2:$B$147,'[1]SSP4-change-rate'!G$2:G$147)</f>
        <v>905.30391794205229</v>
      </c>
      <c r="AY48">
        <f>Sheet1!$AT48*_xlfn.XLOOKUP($A48,'[1]SSP4-change-rate'!$B$2:$B$147,'[1]SSP4-change-rate'!H$2:H$147)</f>
        <v>889.98729143121193</v>
      </c>
    </row>
    <row r="49" spans="1:51" x14ac:dyDescent="0.25">
      <c r="A49" t="s">
        <v>220</v>
      </c>
      <c r="B49" t="s">
        <v>221</v>
      </c>
      <c r="C49" t="s">
        <v>222</v>
      </c>
      <c r="D49" t="s">
        <v>98</v>
      </c>
      <c r="E49" t="s">
        <v>61</v>
      </c>
      <c r="F49" t="s">
        <v>61</v>
      </c>
      <c r="G49">
        <v>1129022.523669105</v>
      </c>
      <c r="H49">
        <v>3232.3671985686942</v>
      </c>
      <c r="I49">
        <v>1132254.8908676738</v>
      </c>
      <c r="J49">
        <v>115638354</v>
      </c>
      <c r="K49">
        <v>129.21517091449269</v>
      </c>
      <c r="L49">
        <v>129.21517091449269</v>
      </c>
      <c r="M49">
        <v>129.21517091449269</v>
      </c>
      <c r="N49">
        <v>129.21517091449269</v>
      </c>
      <c r="O49">
        <v>129.21517091449269</v>
      </c>
      <c r="P49">
        <v>129.21517091449269</v>
      </c>
      <c r="Q49">
        <v>129.21517091449269</v>
      </c>
      <c r="R49">
        <v>129.21517091449269</v>
      </c>
      <c r="S49">
        <v>129.21517091449269</v>
      </c>
      <c r="T49">
        <v>159.03405651014486</v>
      </c>
      <c r="U49">
        <v>228.61145623333323</v>
      </c>
      <c r="V49">
        <v>298.18885595652159</v>
      </c>
      <c r="W49">
        <v>457.22291246666646</v>
      </c>
      <c r="X49">
        <v>536.73994072173889</v>
      </c>
      <c r="Y49">
        <v>566.55882631739109</v>
      </c>
      <c r="Z49">
        <v>705.71362576376782</v>
      </c>
      <c r="AA49">
        <v>735.53251135941991</v>
      </c>
      <c r="AB49">
        <v>745.4721398913041</v>
      </c>
      <c r="AC49">
        <v>755.41176842318805</v>
      </c>
      <c r="AD49">
        <v>775.29102548695619</v>
      </c>
      <c r="AE49">
        <v>815.04953961449246</v>
      </c>
      <c r="AF49">
        <v>834.92879667826048</v>
      </c>
      <c r="AG49">
        <v>884.62693933768082</v>
      </c>
      <c r="AH49">
        <v>993.96285318840535</v>
      </c>
      <c r="AI49">
        <v>1083.419509975362</v>
      </c>
      <c r="AJ49">
        <v>1192.7554238260864</v>
      </c>
      <c r="AK49">
        <v>1312.030966208695</v>
      </c>
      <c r="AL49">
        <v>1461.1253941869561</v>
      </c>
      <c r="AM49">
        <v>1540.6424224420284</v>
      </c>
      <c r="AN49">
        <v>1550.5820509739124</v>
      </c>
      <c r="AO49">
        <v>1630.0990792289849</v>
      </c>
      <c r="AP49">
        <v>1928.2879351855065</v>
      </c>
      <c r="AQ49">
        <v>2176.7786484826079</v>
      </c>
      <c r="AR49">
        <v>2524.6656470985499</v>
      </c>
      <c r="AS49">
        <v>2892.4319027782594</v>
      </c>
      <c r="AT49">
        <f>Sheet1!$AT49*_xlfn.XLOOKUP($A49,'[1]SSP4-change-rate'!$B$2:$B$147,'[1]SSP4-change-rate'!C$2:C$147)</f>
        <v>3059.6617933410107</v>
      </c>
      <c r="AU49">
        <f>Sheet1!$AT49*_xlfn.XLOOKUP($A49,'[1]SSP4-change-rate'!$B$2:$B$147,'[1]SSP4-change-rate'!D$2:D$147)</f>
        <v>3060.8111914296774</v>
      </c>
      <c r="AV49">
        <f>Sheet1!$AT49*_xlfn.XLOOKUP($A49,'[1]SSP4-change-rate'!$B$2:$B$147,'[1]SSP4-change-rate'!E$2:E$147)</f>
        <v>3043.4776688732095</v>
      </c>
      <c r="AW49">
        <f>Sheet1!$AT49*_xlfn.XLOOKUP($A49,'[1]SSP4-change-rate'!$B$2:$B$147,'[1]SSP4-change-rate'!F$2:F$147)</f>
        <v>2968.6530228778511</v>
      </c>
      <c r="AX49">
        <f>Sheet1!$AT49*_xlfn.XLOOKUP($A49,'[1]SSP4-change-rate'!$B$2:$B$147,'[1]SSP4-change-rate'!G$2:G$147)</f>
        <v>2823.9612711142963</v>
      </c>
      <c r="AY49">
        <f>Sheet1!$AT49*_xlfn.XLOOKUP($A49,'[1]SSP4-change-rate'!$B$2:$B$147,'[1]SSP4-change-rate'!H$2:H$147)</f>
        <v>2544.0871581115075</v>
      </c>
    </row>
    <row r="50" spans="1:51" x14ac:dyDescent="0.25">
      <c r="A50" t="s">
        <v>223</v>
      </c>
      <c r="B50" t="s">
        <v>224</v>
      </c>
      <c r="C50" t="s">
        <v>225</v>
      </c>
      <c r="D50" t="s">
        <v>91</v>
      </c>
      <c r="E50" t="s">
        <v>66</v>
      </c>
      <c r="F50" t="s">
        <v>66</v>
      </c>
      <c r="G50">
        <v>336940.10125086189</v>
      </c>
      <c r="H50">
        <v>6129.018668963884</v>
      </c>
      <c r="I50">
        <v>343069.11991982575</v>
      </c>
      <c r="J50">
        <v>5525213</v>
      </c>
      <c r="K50">
        <v>3477.6915773081328</v>
      </c>
      <c r="L50">
        <v>3477.6915773081328</v>
      </c>
      <c r="M50">
        <v>3477.6915773081328</v>
      </c>
      <c r="N50">
        <v>3477.6915773081328</v>
      </c>
      <c r="O50">
        <v>3477.6915773081328</v>
      </c>
      <c r="P50">
        <v>3477.6915773081328</v>
      </c>
      <c r="Q50">
        <v>3477.6915773081328</v>
      </c>
      <c r="R50">
        <v>3477.6915773081328</v>
      </c>
      <c r="S50">
        <v>3477.6915773081328</v>
      </c>
      <c r="T50">
        <v>3477.6915773081328</v>
      </c>
      <c r="U50">
        <v>3477.6915773081328</v>
      </c>
      <c r="V50">
        <v>3477.6915773081328</v>
      </c>
      <c r="W50">
        <v>3477.6915773081328</v>
      </c>
      <c r="X50">
        <v>3597.2734791196003</v>
      </c>
      <c r="Y50">
        <v>3878.3801886017818</v>
      </c>
      <c r="Z50">
        <v>4217.4930444850488</v>
      </c>
      <c r="AA50">
        <v>4397.7582994545746</v>
      </c>
      <c r="AB50">
        <v>4462.0112616219303</v>
      </c>
      <c r="AC50">
        <v>4513.7705922567457</v>
      </c>
      <c r="AD50">
        <v>4566.4223251438834</v>
      </c>
      <c r="AE50">
        <v>4582.4855656857226</v>
      </c>
      <c r="AF50">
        <v>4590.5171859566426</v>
      </c>
      <c r="AG50">
        <v>4603.0108174891839</v>
      </c>
      <c r="AH50">
        <v>4612.8272422647515</v>
      </c>
      <c r="AI50">
        <v>4642.276516591457</v>
      </c>
      <c r="AJ50">
        <v>4672.6181931704859</v>
      </c>
      <c r="AK50">
        <v>4735.9787530855174</v>
      </c>
      <c r="AL50">
        <v>4784.1684747110339</v>
      </c>
      <c r="AM50">
        <v>4832.3581963365505</v>
      </c>
      <c r="AN50">
        <v>4889.4719404853122</v>
      </c>
      <c r="AO50">
        <v>5070.6295977071622</v>
      </c>
      <c r="AP50">
        <v>5178.6102702384132</v>
      </c>
      <c r="AQ50">
        <v>5721.1908396516392</v>
      </c>
      <c r="AR50">
        <v>6160.2527477952381</v>
      </c>
      <c r="AS50">
        <v>6328.0243712322217</v>
      </c>
      <c r="AT50">
        <f>Sheet1!$AT50*_xlfn.XLOOKUP($A50,'[1]SSP4-change-rate'!$B$2:$B$147,'[1]SSP4-change-rate'!C$2:C$147)</f>
        <v>6103.1122850161682</v>
      </c>
      <c r="AU50">
        <f>Sheet1!$AT50*_xlfn.XLOOKUP($A50,'[1]SSP4-change-rate'!$B$2:$B$147,'[1]SSP4-change-rate'!D$2:D$147)</f>
        <v>6069.5960502897187</v>
      </c>
      <c r="AV50">
        <f>Sheet1!$AT50*_xlfn.XLOOKUP($A50,'[1]SSP4-change-rate'!$B$2:$B$147,'[1]SSP4-change-rate'!E$2:E$147)</f>
        <v>6021.4194215681646</v>
      </c>
      <c r="AW50">
        <f>Sheet1!$AT50*_xlfn.XLOOKUP($A50,'[1]SSP4-change-rate'!$B$2:$B$147,'[1]SSP4-change-rate'!F$2:F$147)</f>
        <v>5915.5404796477596</v>
      </c>
      <c r="AX50">
        <f>Sheet1!$AT50*_xlfn.XLOOKUP($A50,'[1]SSP4-change-rate'!$B$2:$B$147,'[1]SSP4-change-rate'!G$2:G$147)</f>
        <v>5776.864692065802</v>
      </c>
      <c r="AY50">
        <f>Sheet1!$AT50*_xlfn.XLOOKUP($A50,'[1]SSP4-change-rate'!$B$2:$B$147,'[1]SSP4-change-rate'!H$2:H$147)</f>
        <v>5601.7713642084645</v>
      </c>
    </row>
    <row r="51" spans="1:51" x14ac:dyDescent="0.25">
      <c r="A51" t="s">
        <v>226</v>
      </c>
      <c r="B51" t="s">
        <v>227</v>
      </c>
      <c r="C51" t="s">
        <v>228</v>
      </c>
      <c r="D51" t="s">
        <v>91</v>
      </c>
      <c r="E51" t="s">
        <v>66</v>
      </c>
      <c r="F51" t="s">
        <v>66</v>
      </c>
      <c r="G51">
        <v>1266060.0913518129</v>
      </c>
      <c r="H51">
        <v>76796.60859131701</v>
      </c>
      <c r="I51">
        <v>1342856.6999431299</v>
      </c>
      <c r="J51">
        <v>64916336</v>
      </c>
      <c r="K51">
        <v>12723.687686294888</v>
      </c>
      <c r="L51">
        <v>13730.106791044771</v>
      </c>
      <c r="M51">
        <v>14668.216906784479</v>
      </c>
      <c r="N51">
        <v>15588.111292121475</v>
      </c>
      <c r="O51">
        <v>16669.670284782547</v>
      </c>
      <c r="P51">
        <v>16669.670284782547</v>
      </c>
      <c r="Q51">
        <v>17978.925907477529</v>
      </c>
      <c r="R51">
        <v>18243.053998316867</v>
      </c>
      <c r="S51">
        <v>18889.712427613169</v>
      </c>
      <c r="T51">
        <v>22585.22873306353</v>
      </c>
      <c r="U51">
        <v>29345.541678770318</v>
      </c>
      <c r="V51">
        <v>32583.387757852513</v>
      </c>
      <c r="W51">
        <v>35267.931025952312</v>
      </c>
      <c r="X51">
        <v>36451.953502128643</v>
      </c>
      <c r="Y51">
        <v>39671.583850808136</v>
      </c>
      <c r="Z51">
        <v>43496.887235377821</v>
      </c>
      <c r="AA51">
        <v>45616.742860993523</v>
      </c>
      <c r="AB51">
        <v>46689.19398845324</v>
      </c>
      <c r="AC51">
        <v>47449.700732766491</v>
      </c>
      <c r="AD51">
        <v>48633.723208942829</v>
      </c>
      <c r="AE51">
        <v>49779.037258013392</v>
      </c>
      <c r="AF51">
        <v>50439.35748511173</v>
      </c>
      <c r="AG51">
        <v>51086.015914408039</v>
      </c>
      <c r="AH51">
        <v>51652.980523192477</v>
      </c>
      <c r="AI51">
        <v>52087.881086557238</v>
      </c>
      <c r="AJ51">
        <v>52684.446257246091</v>
      </c>
      <c r="AK51">
        <v>53306.058057238661</v>
      </c>
      <c r="AL51">
        <v>54301.092330486848</v>
      </c>
      <c r="AM51">
        <v>56172.758629365591</v>
      </c>
      <c r="AN51">
        <v>58215.197400769757</v>
      </c>
      <c r="AO51">
        <v>60143.787857156974</v>
      </c>
      <c r="AP51">
        <v>61988.130560431644</v>
      </c>
      <c r="AQ51">
        <v>65685.923832182336</v>
      </c>
      <c r="AR51">
        <v>70362.812613078859</v>
      </c>
      <c r="AS51">
        <v>74169.90026724583</v>
      </c>
      <c r="AT51">
        <f>Sheet1!$AT51*_xlfn.XLOOKUP($A51,'[1]SSP4-change-rate'!$B$2:$B$147,'[1]SSP4-change-rate'!C$2:C$147)</f>
        <v>75164.19365131222</v>
      </c>
      <c r="AU51">
        <f>Sheet1!$AT51*_xlfn.XLOOKUP($A51,'[1]SSP4-change-rate'!$B$2:$B$147,'[1]SSP4-change-rate'!D$2:D$147)</f>
        <v>74896.582855302171</v>
      </c>
      <c r="AV51">
        <f>Sheet1!$AT51*_xlfn.XLOOKUP($A51,'[1]SSP4-change-rate'!$B$2:$B$147,'[1]SSP4-change-rate'!E$2:E$147)</f>
        <v>74513.139309171369</v>
      </c>
      <c r="AW51">
        <f>Sheet1!$AT51*_xlfn.XLOOKUP($A51,'[1]SSP4-change-rate'!$B$2:$B$147,'[1]SSP4-change-rate'!F$2:F$147)</f>
        <v>73668.148966799199</v>
      </c>
      <c r="AX51">
        <f>Sheet1!$AT51*_xlfn.XLOOKUP($A51,'[1]SSP4-change-rate'!$B$2:$B$147,'[1]SSP4-change-rate'!G$2:G$147)</f>
        <v>72561.206328495347</v>
      </c>
      <c r="AY51">
        <f>Sheet1!$AT51*_xlfn.XLOOKUP($A51,'[1]SSP4-change-rate'!$B$2:$B$147,'[1]SSP4-change-rate'!H$2:H$147)</f>
        <v>71201.955088574483</v>
      </c>
    </row>
    <row r="52" spans="1:51" x14ac:dyDescent="0.25">
      <c r="A52" t="s">
        <v>229</v>
      </c>
      <c r="B52" t="s">
        <v>230</v>
      </c>
      <c r="C52" t="s">
        <v>231</v>
      </c>
      <c r="D52" t="s">
        <v>105</v>
      </c>
      <c r="E52" t="s">
        <v>61</v>
      </c>
      <c r="F52" t="s">
        <v>61</v>
      </c>
      <c r="G52">
        <v>264549.83568593091</v>
      </c>
      <c r="H52">
        <v>265.21265900494211</v>
      </c>
      <c r="I52">
        <v>264815.04834493587</v>
      </c>
      <c r="J52">
        <v>2267994</v>
      </c>
      <c r="K52">
        <v>21.656812607187486</v>
      </c>
      <c r="L52">
        <v>21.656812607187486</v>
      </c>
      <c r="M52">
        <v>21.656812607187486</v>
      </c>
      <c r="N52">
        <v>21.656812607187486</v>
      </c>
      <c r="O52">
        <v>23.32272126927883</v>
      </c>
      <c r="P52">
        <v>23.32272126927883</v>
      </c>
      <c r="Q52">
        <v>24.988629931370177</v>
      </c>
      <c r="R52">
        <v>26.65453859346152</v>
      </c>
      <c r="S52">
        <v>31.652264579735554</v>
      </c>
      <c r="T52">
        <v>33.318173241826905</v>
      </c>
      <c r="U52">
        <v>44.979533876466313</v>
      </c>
      <c r="V52">
        <v>66.63634648365381</v>
      </c>
      <c r="W52">
        <v>79.963615780384558</v>
      </c>
      <c r="X52">
        <v>91.62497641502398</v>
      </c>
      <c r="Y52">
        <v>98.288611063389354</v>
      </c>
      <c r="Z52">
        <v>109.94997169802878</v>
      </c>
      <c r="AA52">
        <v>111.61588036012012</v>
      </c>
      <c r="AB52">
        <v>114.94769768430281</v>
      </c>
      <c r="AC52">
        <v>114.94769768430281</v>
      </c>
      <c r="AD52">
        <v>114.94769768430281</v>
      </c>
      <c r="AE52">
        <v>118.27951500848549</v>
      </c>
      <c r="AF52">
        <v>119.94542367057684</v>
      </c>
      <c r="AG52">
        <v>119.94542367057684</v>
      </c>
      <c r="AH52">
        <v>123.27724099475952</v>
      </c>
      <c r="AI52">
        <v>123.27724099475952</v>
      </c>
      <c r="AJ52">
        <v>129.94087564312491</v>
      </c>
      <c r="AK52">
        <v>133.27269296730762</v>
      </c>
      <c r="AL52">
        <v>134.93860162939896</v>
      </c>
      <c r="AM52">
        <v>153.26359691240376</v>
      </c>
      <c r="AN52">
        <v>156.59541423658644</v>
      </c>
      <c r="AO52">
        <v>164.92495754704316</v>
      </c>
      <c r="AP52">
        <v>188.24767881632198</v>
      </c>
      <c r="AQ52">
        <v>234.89312135487964</v>
      </c>
      <c r="AR52">
        <v>261.54765994834116</v>
      </c>
      <c r="AS52">
        <v>294.86583319016808</v>
      </c>
      <c r="AT52">
        <f>Sheet1!$AT52*_xlfn.XLOOKUP($A52,'[1]SSP4-change-rate'!$B$2:$B$147,'[1]SSP4-change-rate'!C$2:C$147)</f>
        <v>259.88175128624982</v>
      </c>
      <c r="AU52">
        <f>Sheet1!$AT52*_xlfn.XLOOKUP($A52,'[1]SSP4-change-rate'!$B$2:$B$147,'[1]SSP4-change-rate'!D$2:D$147)</f>
        <v>259.88175128624982</v>
      </c>
      <c r="AV52">
        <f>Sheet1!$AT52*_xlfn.XLOOKUP($A52,'[1]SSP4-change-rate'!$B$2:$B$147,'[1]SSP4-change-rate'!E$2:E$147)</f>
        <v>259.88175128624982</v>
      </c>
      <c r="AW52">
        <f>Sheet1!$AT52*_xlfn.XLOOKUP($A52,'[1]SSP4-change-rate'!$B$2:$B$147,'[1]SSP4-change-rate'!F$2:F$147)</f>
        <v>261.51622770943379</v>
      </c>
      <c r="AX52">
        <f>Sheet1!$AT52*_xlfn.XLOOKUP($A52,'[1]SSP4-change-rate'!$B$2:$B$147,'[1]SSP4-change-rate'!G$2:G$147)</f>
        <v>261.41951312818031</v>
      </c>
      <c r="AY52">
        <f>Sheet1!$AT52*_xlfn.XLOOKUP($A52,'[1]SSP4-change-rate'!$B$2:$B$147,'[1]SSP4-change-rate'!H$2:H$147)</f>
        <v>257.02590786552179</v>
      </c>
    </row>
    <row r="53" spans="1:51" x14ac:dyDescent="0.25">
      <c r="A53" t="s">
        <v>232</v>
      </c>
      <c r="B53" t="s">
        <v>233</v>
      </c>
      <c r="C53" t="s">
        <v>234</v>
      </c>
      <c r="D53" t="s">
        <v>91</v>
      </c>
      <c r="E53" t="s">
        <v>66</v>
      </c>
      <c r="F53" t="s">
        <v>66</v>
      </c>
      <c r="G53">
        <v>245293.95591010471</v>
      </c>
      <c r="H53">
        <v>87108.082115703233</v>
      </c>
      <c r="I53">
        <v>332402.03802580794</v>
      </c>
      <c r="J53">
        <v>66951172.000000007</v>
      </c>
      <c r="K53">
        <v>18650.624436109785</v>
      </c>
      <c r="L53">
        <v>22279.335562591641</v>
      </c>
      <c r="M53">
        <v>26055.941756819477</v>
      </c>
      <c r="N53">
        <v>30572.02328977724</v>
      </c>
      <c r="O53">
        <v>35365.408074758729</v>
      </c>
      <c r="P53">
        <v>37351.427555919101</v>
      </c>
      <c r="Q53">
        <v>39292.55032008516</v>
      </c>
      <c r="R53">
        <v>41027.676382747879</v>
      </c>
      <c r="S53">
        <v>43856.169553389846</v>
      </c>
      <c r="T53">
        <v>45477.733331890478</v>
      </c>
      <c r="U53">
        <v>47764.824915248028</v>
      </c>
      <c r="V53">
        <v>55693.056939773887</v>
      </c>
      <c r="W53">
        <v>57430.823985789211</v>
      </c>
      <c r="X53">
        <v>58611.343544404481</v>
      </c>
      <c r="Y53">
        <v>62261.182537707202</v>
      </c>
      <c r="Z53">
        <v>64904.806873666683</v>
      </c>
      <c r="AA53">
        <v>65955.918248004222</v>
      </c>
      <c r="AB53">
        <v>66653.137853092441</v>
      </c>
      <c r="AC53">
        <v>67289.614841070696</v>
      </c>
      <c r="AD53">
        <v>67873.272161996822</v>
      </c>
      <c r="AE53">
        <v>68219.240981188312</v>
      </c>
      <c r="AF53">
        <v>68552.004883616784</v>
      </c>
      <c r="AG53">
        <v>68818.744202230082</v>
      </c>
      <c r="AH53">
        <v>69011.535986970383</v>
      </c>
      <c r="AI53">
        <v>69225.455638531537</v>
      </c>
      <c r="AJ53">
        <v>69537.091674139141</v>
      </c>
      <c r="AK53">
        <v>69888.34246003587</v>
      </c>
      <c r="AL53">
        <v>70641.02271552883</v>
      </c>
      <c r="AM53">
        <v>71435.958704663499</v>
      </c>
      <c r="AN53">
        <v>71964.15537518487</v>
      </c>
      <c r="AO53">
        <v>72759.091364319538</v>
      </c>
      <c r="AP53">
        <v>73503.848669754676</v>
      </c>
      <c r="AQ53">
        <v>76150.113989066769</v>
      </c>
      <c r="AR53">
        <v>80288.53490260175</v>
      </c>
      <c r="AS53">
        <v>83283.41002445796</v>
      </c>
      <c r="AT53">
        <f>Sheet1!$AT53*_xlfn.XLOOKUP($A53,'[1]SSP4-change-rate'!$B$2:$B$147,'[1]SSP4-change-rate'!C$2:C$147)</f>
        <v>84860.379718220327</v>
      </c>
      <c r="AU53">
        <f>Sheet1!$AT53*_xlfn.XLOOKUP($A53,'[1]SSP4-change-rate'!$B$2:$B$147,'[1]SSP4-change-rate'!D$2:D$147)</f>
        <v>84390.490524490015</v>
      </c>
      <c r="AV53">
        <f>Sheet1!$AT53*_xlfn.XLOOKUP($A53,'[1]SSP4-change-rate'!$B$2:$B$147,'[1]SSP4-change-rate'!E$2:E$147)</f>
        <v>83719.498656495911</v>
      </c>
      <c r="AW53">
        <f>Sheet1!$AT53*_xlfn.XLOOKUP($A53,'[1]SSP4-change-rate'!$B$2:$B$147,'[1]SSP4-change-rate'!F$2:F$147)</f>
        <v>82378.159588102659</v>
      </c>
      <c r="AX53">
        <f>Sheet1!$AT53*_xlfn.XLOOKUP($A53,'[1]SSP4-change-rate'!$B$2:$B$147,'[1]SSP4-change-rate'!G$2:G$147)</f>
        <v>80752.31774223398</v>
      </c>
      <c r="AY53">
        <f>Sheet1!$AT53*_xlfn.XLOOKUP($A53,'[1]SSP4-change-rate'!$B$2:$B$147,'[1]SSP4-change-rate'!H$2:H$147)</f>
        <v>78921.809114442643</v>
      </c>
    </row>
    <row r="54" spans="1:51" x14ac:dyDescent="0.25">
      <c r="A54" t="s">
        <v>235</v>
      </c>
      <c r="B54" t="s">
        <v>236</v>
      </c>
      <c r="C54" t="s">
        <v>237</v>
      </c>
      <c r="D54" t="s">
        <v>81</v>
      </c>
      <c r="E54" t="s">
        <v>66</v>
      </c>
      <c r="F54" t="s">
        <v>82</v>
      </c>
      <c r="G54">
        <v>69844.613396934263</v>
      </c>
      <c r="H54">
        <v>501.60744012447429</v>
      </c>
      <c r="I54">
        <v>70346.220837058732</v>
      </c>
      <c r="J54">
        <v>3769183</v>
      </c>
      <c r="K54">
        <v>7.016380774884559</v>
      </c>
      <c r="L54">
        <v>7.6542335726013375</v>
      </c>
      <c r="M54">
        <v>8.9299391680348936</v>
      </c>
      <c r="N54">
        <v>10.843497561185229</v>
      </c>
      <c r="O54">
        <v>14.032761549769118</v>
      </c>
      <c r="P54">
        <v>15.308467145202675</v>
      </c>
      <c r="Q54">
        <v>16.584172740636234</v>
      </c>
      <c r="R54">
        <v>20.411289526936901</v>
      </c>
      <c r="S54">
        <v>20.411289526936901</v>
      </c>
      <c r="T54">
        <v>26.151964706387904</v>
      </c>
      <c r="U54">
        <v>33.806198278989243</v>
      </c>
      <c r="V54">
        <v>40.18472625615702</v>
      </c>
      <c r="W54">
        <v>47.20110703104158</v>
      </c>
      <c r="X54">
        <v>47.20110703104158</v>
      </c>
      <c r="Y54">
        <v>47.838959828758362</v>
      </c>
      <c r="Z54">
        <v>51.666076615059026</v>
      </c>
      <c r="AA54">
        <v>53.579635008209365</v>
      </c>
      <c r="AB54">
        <v>53.579635008209365</v>
      </c>
      <c r="AC54">
        <v>54.21748780592614</v>
      </c>
      <c r="AD54">
        <v>54.21748780592614</v>
      </c>
      <c r="AE54">
        <v>54.855340603642915</v>
      </c>
      <c r="AF54">
        <v>55.493193401359697</v>
      </c>
      <c r="AG54">
        <v>55.493193401359697</v>
      </c>
      <c r="AH54">
        <v>56.768898996793254</v>
      </c>
      <c r="AI54">
        <v>59.320310187660361</v>
      </c>
      <c r="AJ54">
        <v>68.25024935569526</v>
      </c>
      <c r="AK54">
        <v>76.542335726013377</v>
      </c>
      <c r="AL54">
        <v>88.661538882632158</v>
      </c>
      <c r="AM54">
        <v>127.57055954335563</v>
      </c>
      <c r="AN54">
        <v>153.72252424974351</v>
      </c>
      <c r="AO54">
        <v>175.409519372114</v>
      </c>
      <c r="AP54">
        <v>186.25301693329922</v>
      </c>
      <c r="AQ54">
        <v>233.45412396434079</v>
      </c>
      <c r="AR54">
        <v>275.55240861364814</v>
      </c>
      <c r="AS54">
        <v>326.58063243099042</v>
      </c>
      <c r="AT54">
        <f>Sheet1!$AT54*_xlfn.XLOOKUP($A54,'[1]SSP4-change-rate'!$B$2:$B$147,'[1]SSP4-change-rate'!C$2:C$147)</f>
        <v>396.74444017983603</v>
      </c>
      <c r="AU54">
        <f>Sheet1!$AT54*_xlfn.XLOOKUP($A54,'[1]SSP4-change-rate'!$B$2:$B$147,'[1]SSP4-change-rate'!D$2:D$147)</f>
        <v>392.57549685045075</v>
      </c>
      <c r="AV54">
        <f>Sheet1!$AT54*_xlfn.XLOOKUP($A54,'[1]SSP4-change-rate'!$B$2:$B$147,'[1]SSP4-change-rate'!E$2:E$147)</f>
        <v>388.54300472392214</v>
      </c>
      <c r="AW54">
        <f>Sheet1!$AT54*_xlfn.XLOOKUP($A54,'[1]SSP4-change-rate'!$B$2:$B$147,'[1]SSP4-change-rate'!F$2:F$147)</f>
        <v>379.35861896249003</v>
      </c>
      <c r="AX54">
        <f>Sheet1!$AT54*_xlfn.XLOOKUP($A54,'[1]SSP4-change-rate'!$B$2:$B$147,'[1]SSP4-change-rate'!G$2:G$147)</f>
        <v>371.35964134733757</v>
      </c>
      <c r="AY54">
        <f>Sheet1!$AT54*_xlfn.XLOOKUP($A54,'[1]SSP4-change-rate'!$B$2:$B$147,'[1]SSP4-change-rate'!H$2:H$147)</f>
        <v>361.72983464306219</v>
      </c>
    </row>
    <row r="55" spans="1:51" x14ac:dyDescent="0.25">
      <c r="A55" t="s">
        <v>238</v>
      </c>
      <c r="B55" t="s">
        <v>239</v>
      </c>
      <c r="C55" t="s">
        <v>240</v>
      </c>
      <c r="D55" t="s">
        <v>105</v>
      </c>
      <c r="E55" t="s">
        <v>61</v>
      </c>
      <c r="F55" t="s">
        <v>61</v>
      </c>
      <c r="G55">
        <v>239474.1640098466</v>
      </c>
      <c r="H55">
        <v>4836.2302678279048</v>
      </c>
      <c r="I55">
        <v>244310.3942776745</v>
      </c>
      <c r="J55">
        <v>31849247</v>
      </c>
      <c r="K55">
        <v>196.55840733828543</v>
      </c>
      <c r="L55">
        <v>214.42735345994774</v>
      </c>
      <c r="M55">
        <v>236.76353611202566</v>
      </c>
      <c r="N55">
        <v>263.56695529451912</v>
      </c>
      <c r="O55">
        <v>294.83761100742817</v>
      </c>
      <c r="P55">
        <v>312.70655712909053</v>
      </c>
      <c r="Q55">
        <v>339.50997631158396</v>
      </c>
      <c r="R55">
        <v>361.84615896366182</v>
      </c>
      <c r="S55">
        <v>410.98576079823323</v>
      </c>
      <c r="T55">
        <v>585.20798548444077</v>
      </c>
      <c r="U55">
        <v>795.16810241397286</v>
      </c>
      <c r="V55">
        <v>848.77494077895983</v>
      </c>
      <c r="W55">
        <v>1121.2763691343102</v>
      </c>
      <c r="X55">
        <v>1157.0142613776347</v>
      </c>
      <c r="Y55">
        <v>1299.9658303509334</v>
      </c>
      <c r="Z55">
        <v>1568.000022175868</v>
      </c>
      <c r="AA55">
        <v>1666.2792258450108</v>
      </c>
      <c r="AB55">
        <v>1702.0171180883353</v>
      </c>
      <c r="AC55">
        <v>1719.8860642099976</v>
      </c>
      <c r="AD55">
        <v>1737.7550103316601</v>
      </c>
      <c r="AE55">
        <v>1876.239342774543</v>
      </c>
      <c r="AF55">
        <v>1938.7806542003609</v>
      </c>
      <c r="AG55">
        <v>1952.1823637916077</v>
      </c>
      <c r="AH55">
        <v>1970.0513099132702</v>
      </c>
      <c r="AI55">
        <v>1974.5185464436856</v>
      </c>
      <c r="AJ55">
        <v>1983.453019504517</v>
      </c>
      <c r="AK55">
        <v>2005.7892021565947</v>
      </c>
      <c r="AL55">
        <v>2300.6268131640227</v>
      </c>
      <c r="AM55">
        <v>2385.5043072419189</v>
      </c>
      <c r="AN55">
        <v>2528.4558762152174</v>
      </c>
      <c r="AO55">
        <v>2729.481520083918</v>
      </c>
      <c r="AP55">
        <v>2979.6467657871904</v>
      </c>
      <c r="AQ55">
        <v>3412.9687092375016</v>
      </c>
      <c r="AR55">
        <v>4132.1937906344101</v>
      </c>
      <c r="AS55">
        <v>4400.2279824593443</v>
      </c>
      <c r="AT55">
        <f>Sheet1!$AT55*_xlfn.XLOOKUP($A55,'[1]SSP4-change-rate'!$B$2:$B$147,'[1]SSP4-change-rate'!C$2:C$147)</f>
        <v>4655.4756251332856</v>
      </c>
      <c r="AU55">
        <f>Sheet1!$AT55*_xlfn.XLOOKUP($A55,'[1]SSP4-change-rate'!$B$2:$B$147,'[1]SSP4-change-rate'!D$2:D$147)</f>
        <v>4669.7698666132937</v>
      </c>
      <c r="AV55">
        <f>Sheet1!$AT55*_xlfn.XLOOKUP($A55,'[1]SSP4-change-rate'!$B$2:$B$147,'[1]SSP4-change-rate'!E$2:E$147)</f>
        <v>4691.1067875531453</v>
      </c>
      <c r="AW55">
        <f>Sheet1!$AT55*_xlfn.XLOOKUP($A55,'[1]SSP4-change-rate'!$B$2:$B$147,'[1]SSP4-change-rate'!F$2:F$147)</f>
        <v>4689.8702504729954</v>
      </c>
      <c r="AX55">
        <f>Sheet1!$AT55*_xlfn.XLOOKUP($A55,'[1]SSP4-change-rate'!$B$2:$B$147,'[1]SSP4-change-rate'!G$2:G$147)</f>
        <v>4518.6540432288311</v>
      </c>
      <c r="AY55">
        <f>Sheet1!$AT55*_xlfn.XLOOKUP($A55,'[1]SSP4-change-rate'!$B$2:$B$147,'[1]SSP4-change-rate'!H$2:H$147)</f>
        <v>3903.4009300955504</v>
      </c>
    </row>
    <row r="56" spans="1:51" x14ac:dyDescent="0.25">
      <c r="A56" t="s">
        <v>241</v>
      </c>
      <c r="B56" t="s">
        <v>242</v>
      </c>
      <c r="C56" t="s">
        <v>243</v>
      </c>
      <c r="D56" t="s">
        <v>105</v>
      </c>
      <c r="E56" t="s">
        <v>61</v>
      </c>
      <c r="F56" t="s">
        <v>61</v>
      </c>
      <c r="G56">
        <v>244816.17396590189</v>
      </c>
      <c r="H56">
        <v>1331.5471165141851</v>
      </c>
      <c r="I56">
        <v>246147.72108241607</v>
      </c>
      <c r="J56">
        <v>13041590</v>
      </c>
      <c r="K56">
        <v>82.704789845601553</v>
      </c>
      <c r="L56">
        <v>82.704789845601553</v>
      </c>
      <c r="M56">
        <v>82.704789845601553</v>
      </c>
      <c r="N56">
        <v>82.704789845601553</v>
      </c>
      <c r="O56">
        <v>82.704789845601553</v>
      </c>
      <c r="P56">
        <v>82.704789845601553</v>
      </c>
      <c r="Q56">
        <v>82.704789845601553</v>
      </c>
      <c r="R56">
        <v>82.704789845601553</v>
      </c>
      <c r="S56">
        <v>82.704789845601553</v>
      </c>
      <c r="T56">
        <v>82.704789845601553</v>
      </c>
      <c r="U56">
        <v>82.704789845601553</v>
      </c>
      <c r="V56">
        <v>82.704789845601553</v>
      </c>
      <c r="W56">
        <v>82.704789845601553</v>
      </c>
      <c r="X56">
        <v>82.704789845601553</v>
      </c>
      <c r="Y56">
        <v>144.73338222980271</v>
      </c>
      <c r="Z56">
        <v>144.73338222980271</v>
      </c>
      <c r="AA56">
        <v>248.11436953680465</v>
      </c>
      <c r="AB56">
        <v>248.11436953680465</v>
      </c>
      <c r="AC56">
        <v>599.60972638061128</v>
      </c>
      <c r="AD56">
        <v>765.0193060718143</v>
      </c>
      <c r="AE56">
        <v>765.0193060718143</v>
      </c>
      <c r="AF56">
        <v>806.37170099461514</v>
      </c>
      <c r="AG56">
        <v>806.37170099461514</v>
      </c>
      <c r="AH56">
        <v>806.37170099461514</v>
      </c>
      <c r="AI56">
        <v>847.72409591741587</v>
      </c>
      <c r="AJ56">
        <v>930.42888576301743</v>
      </c>
      <c r="AK56">
        <v>930.42888576301743</v>
      </c>
      <c r="AL56">
        <v>951.10508322441774</v>
      </c>
      <c r="AM56">
        <v>1013.133675608619</v>
      </c>
      <c r="AN56">
        <v>1033.8098730700194</v>
      </c>
      <c r="AO56">
        <v>1054.4860705314197</v>
      </c>
      <c r="AP56">
        <v>1116.5146629156209</v>
      </c>
      <c r="AQ56">
        <v>1178.543255299822</v>
      </c>
      <c r="AR56">
        <v>1178.543255299822</v>
      </c>
      <c r="AS56">
        <v>1240.5718476840232</v>
      </c>
      <c r="AT56">
        <f>Sheet1!$AT56*_xlfn.XLOOKUP($A56,'[1]SSP4-change-rate'!$B$2:$B$147,'[1]SSP4-change-rate'!C$2:C$147)</f>
        <v>1281.924242606824</v>
      </c>
      <c r="AU56">
        <f>Sheet1!$AT56*_xlfn.XLOOKUP($A56,'[1]SSP4-change-rate'!$B$2:$B$147,'[1]SSP4-change-rate'!D$2:D$147)</f>
        <v>1281.924242606824</v>
      </c>
      <c r="AV56">
        <f>Sheet1!$AT56*_xlfn.XLOOKUP($A56,'[1]SSP4-change-rate'!$B$2:$B$147,'[1]SSP4-change-rate'!E$2:E$147)</f>
        <v>1260.1967130711153</v>
      </c>
      <c r="AW56">
        <f>Sheet1!$AT56*_xlfn.XLOOKUP($A56,'[1]SSP4-change-rate'!$B$2:$B$147,'[1]SSP4-change-rate'!F$2:F$147)</f>
        <v>1243.6578473051277</v>
      </c>
      <c r="AX56">
        <f>Sheet1!$AT56*_xlfn.XLOOKUP($A56,'[1]SSP4-change-rate'!$B$2:$B$147,'[1]SSP4-change-rate'!G$2:G$147)</f>
        <v>1183.3146854832223</v>
      </c>
      <c r="AY56">
        <f>Sheet1!$AT56*_xlfn.XLOOKUP($A56,'[1]SSP4-change-rate'!$B$2:$B$147,'[1]SSP4-change-rate'!H$2:H$147)</f>
        <v>1077.3618634674372</v>
      </c>
    </row>
    <row r="57" spans="1:51" x14ac:dyDescent="0.25">
      <c r="A57" t="s">
        <v>244</v>
      </c>
      <c r="B57" t="s">
        <v>245</v>
      </c>
      <c r="C57" t="s">
        <v>246</v>
      </c>
      <c r="D57" t="s">
        <v>105</v>
      </c>
      <c r="E57" t="s">
        <v>61</v>
      </c>
      <c r="F57" t="s">
        <v>61</v>
      </c>
      <c r="G57">
        <v>10670.50509165292</v>
      </c>
      <c r="H57">
        <v>246.51719136908159</v>
      </c>
      <c r="I57">
        <v>10917.022283022001</v>
      </c>
      <c r="J57">
        <v>2541048</v>
      </c>
      <c r="K57">
        <v>28.664789694079253</v>
      </c>
      <c r="L57">
        <v>28.664789694079253</v>
      </c>
      <c r="M57">
        <v>28.664789694079253</v>
      </c>
      <c r="N57">
        <v>28.664789694079253</v>
      </c>
      <c r="O57">
        <v>28.664789694079253</v>
      </c>
      <c r="P57">
        <v>28.664789694079253</v>
      </c>
      <c r="Q57">
        <v>28.664789694079253</v>
      </c>
      <c r="R57">
        <v>28.664789694079253</v>
      </c>
      <c r="S57">
        <v>28.664789694079253</v>
      </c>
      <c r="T57">
        <v>28.664789694079253</v>
      </c>
      <c r="U57">
        <v>42.997184541118884</v>
      </c>
      <c r="V57">
        <v>57.329579388158507</v>
      </c>
      <c r="W57">
        <v>71.661974235198144</v>
      </c>
      <c r="X57">
        <v>78.828171658717949</v>
      </c>
      <c r="Y57">
        <v>78.828171658717949</v>
      </c>
      <c r="Z57">
        <v>85.994369082237768</v>
      </c>
      <c r="AA57">
        <v>150.49014589391606</v>
      </c>
      <c r="AB57">
        <v>150.49014589391606</v>
      </c>
      <c r="AC57">
        <v>150.49014589391606</v>
      </c>
      <c r="AD57">
        <v>150.49014589391606</v>
      </c>
      <c r="AE57">
        <v>150.49014589391606</v>
      </c>
      <c r="AF57">
        <v>150.49014589391606</v>
      </c>
      <c r="AG57">
        <v>150.49014589391606</v>
      </c>
      <c r="AH57">
        <v>150.49014589391606</v>
      </c>
      <c r="AI57">
        <v>150.49014589391606</v>
      </c>
      <c r="AJ57">
        <v>150.49014589391606</v>
      </c>
      <c r="AK57">
        <v>157.6563433174359</v>
      </c>
      <c r="AL57">
        <v>157.6563433174359</v>
      </c>
      <c r="AM57">
        <v>157.6563433174359</v>
      </c>
      <c r="AN57">
        <v>164.82254074095573</v>
      </c>
      <c r="AO57">
        <v>186.32113301151514</v>
      </c>
      <c r="AP57">
        <v>193.48733043503498</v>
      </c>
      <c r="AQ57">
        <v>193.48733043503498</v>
      </c>
      <c r="AR57">
        <v>193.48733043503498</v>
      </c>
      <c r="AS57">
        <v>200.65352785855478</v>
      </c>
      <c r="AT57">
        <f>Sheet1!$AT57*_xlfn.XLOOKUP($A57,'[1]SSP4-change-rate'!$B$2:$B$147,'[1]SSP4-change-rate'!C$2:C$147)</f>
        <v>229.31831755263403</v>
      </c>
      <c r="AU57">
        <f>Sheet1!$AT57*_xlfn.XLOOKUP($A57,'[1]SSP4-change-rate'!$B$2:$B$147,'[1]SSP4-change-rate'!D$2:D$147)</f>
        <v>236.9622614710552</v>
      </c>
      <c r="AV57">
        <f>Sheet1!$AT57*_xlfn.XLOOKUP($A57,'[1]SSP4-change-rate'!$B$2:$B$147,'[1]SSP4-change-rate'!E$2:E$147)</f>
        <v>242.80763034984778</v>
      </c>
      <c r="AW57">
        <f>Sheet1!$AT57*_xlfn.XLOOKUP($A57,'[1]SSP4-change-rate'!$B$2:$B$147,'[1]SSP4-change-rate'!F$2:F$147)</f>
        <v>240.23823743609282</v>
      </c>
      <c r="AX57">
        <f>Sheet1!$AT57*_xlfn.XLOOKUP($A57,'[1]SSP4-change-rate'!$B$2:$B$147,'[1]SSP4-change-rate'!G$2:G$147)</f>
        <v>238.49105025473941</v>
      </c>
      <c r="AY57">
        <f>Sheet1!$AT57*_xlfn.XLOOKUP($A57,'[1]SSP4-change-rate'!$B$2:$B$147,'[1]SSP4-change-rate'!H$2:H$147)</f>
        <v>241.17960983983923</v>
      </c>
    </row>
    <row r="58" spans="1:51" x14ac:dyDescent="0.25">
      <c r="A58" t="s">
        <v>247</v>
      </c>
      <c r="B58" t="s">
        <v>248</v>
      </c>
      <c r="C58" t="s">
        <v>249</v>
      </c>
      <c r="D58" t="s">
        <v>105</v>
      </c>
      <c r="E58" t="s">
        <v>61</v>
      </c>
      <c r="F58" t="s">
        <v>61</v>
      </c>
      <c r="G58">
        <v>33882.279001983909</v>
      </c>
      <c r="H58">
        <v>106.3427992172293</v>
      </c>
      <c r="I58">
        <v>33988.621801201138</v>
      </c>
      <c r="K58">
        <v>5.5129918185323694</v>
      </c>
      <c r="L58">
        <v>5.6121719086375741</v>
      </c>
      <c r="M58">
        <v>5.7302237645383904</v>
      </c>
      <c r="N58">
        <v>5.9263061652964453</v>
      </c>
      <c r="O58">
        <v>6.1772436869212894</v>
      </c>
      <c r="P58">
        <v>6.3118664529086566</v>
      </c>
      <c r="Q58">
        <v>6.5233109631188695</v>
      </c>
      <c r="R58">
        <v>6.8095540251278655</v>
      </c>
      <c r="S58">
        <v>7.8585114994336802</v>
      </c>
      <c r="T58">
        <v>9.4582403060323124</v>
      </c>
      <c r="U58">
        <v>13.074518929415756</v>
      </c>
      <c r="V58">
        <v>17.7148689288051</v>
      </c>
      <c r="W58">
        <v>23.664724264982759</v>
      </c>
      <c r="X58">
        <v>25.64525807350207</v>
      </c>
      <c r="Y58">
        <v>29.619865477217147</v>
      </c>
      <c r="Z58">
        <v>33.920841889874261</v>
      </c>
      <c r="AA58">
        <v>37.088089294609716</v>
      </c>
      <c r="AB58">
        <v>37.909458610546217</v>
      </c>
      <c r="AC58">
        <v>39.620814795047274</v>
      </c>
      <c r="AD58">
        <v>41.347764826765079</v>
      </c>
      <c r="AE58">
        <v>42.600295116129708</v>
      </c>
      <c r="AF58">
        <v>44.217415360562065</v>
      </c>
      <c r="AG58">
        <v>45.612417232604862</v>
      </c>
      <c r="AH58">
        <v>46.688407095801004</v>
      </c>
      <c r="AI58">
        <v>47.868588794902216</v>
      </c>
      <c r="AJ58">
        <v>49.586968369528677</v>
      </c>
      <c r="AK58">
        <v>51.500629474193538</v>
      </c>
      <c r="AL58">
        <v>53.980846442332854</v>
      </c>
      <c r="AM58">
        <v>58.249589145790075</v>
      </c>
      <c r="AN58">
        <v>61.60451041264114</v>
      </c>
      <c r="AO58">
        <v>65.267608178038543</v>
      </c>
      <c r="AP58">
        <v>71.222205868910265</v>
      </c>
      <c r="AQ58">
        <v>80.031528282227086</v>
      </c>
      <c r="AR58">
        <v>89.8710688425207</v>
      </c>
      <c r="AS58">
        <v>97.975296780661353</v>
      </c>
      <c r="AT58">
        <v>104.28121178953812</v>
      </c>
      <c r="AU58">
        <v>104.56527990554869</v>
      </c>
      <c r="AV58">
        <v>104.8291461824395</v>
      </c>
      <c r="AW58">
        <v>102.89952969265077</v>
      </c>
      <c r="AX58">
        <v>93.165097142095732</v>
      </c>
      <c r="AY58">
        <v>70.323547226469074</v>
      </c>
    </row>
    <row r="59" spans="1:51" x14ac:dyDescent="0.25">
      <c r="A59" t="s">
        <v>250</v>
      </c>
      <c r="B59" t="s">
        <v>251</v>
      </c>
      <c r="C59" t="s">
        <v>252</v>
      </c>
      <c r="D59" t="s">
        <v>91</v>
      </c>
      <c r="E59" t="s">
        <v>66</v>
      </c>
      <c r="F59" t="s">
        <v>66</v>
      </c>
      <c r="G59">
        <v>132578.71444676301</v>
      </c>
      <c r="H59">
        <v>5280.2336387388677</v>
      </c>
      <c r="I59">
        <v>137858.94808550188</v>
      </c>
      <c r="J59">
        <v>10543345</v>
      </c>
      <c r="K59">
        <v>113.02515066653778</v>
      </c>
      <c r="L59">
        <v>123.57416472874796</v>
      </c>
      <c r="M59">
        <v>155.22120691537853</v>
      </c>
      <c r="N59">
        <v>236.59931539528577</v>
      </c>
      <c r="O59">
        <v>539.50671918160697</v>
      </c>
      <c r="P59">
        <v>583.20977743933486</v>
      </c>
      <c r="Q59">
        <v>657.05287587480632</v>
      </c>
      <c r="R59">
        <v>773.09203055911848</v>
      </c>
      <c r="S59">
        <v>819.80909283462074</v>
      </c>
      <c r="T59">
        <v>1011.1983479632913</v>
      </c>
      <c r="U59">
        <v>1368.3578240695506</v>
      </c>
      <c r="V59">
        <v>1677.2932358914206</v>
      </c>
      <c r="W59">
        <v>1838.542450842348</v>
      </c>
      <c r="X59">
        <v>1938.004583428901</v>
      </c>
      <c r="Y59">
        <v>2060.0717461487616</v>
      </c>
      <c r="Z59">
        <v>2298.1780635529349</v>
      </c>
      <c r="AA59">
        <v>2462.4412825216364</v>
      </c>
      <c r="AB59">
        <v>2530.256372921559</v>
      </c>
      <c r="AC59">
        <v>2679.4495718013886</v>
      </c>
      <c r="AD59">
        <v>2807.5447425567982</v>
      </c>
      <c r="AE59">
        <v>2934.1329113033203</v>
      </c>
      <c r="AF59">
        <v>3062.2280820587303</v>
      </c>
      <c r="AG59">
        <v>3247.5893291518519</v>
      </c>
      <c r="AH59">
        <v>3357.6004758006156</v>
      </c>
      <c r="AI59">
        <v>3419.3875581649895</v>
      </c>
      <c r="AJ59">
        <v>3567.0737550359327</v>
      </c>
      <c r="AK59">
        <v>3665.0288856135985</v>
      </c>
      <c r="AL59">
        <v>3800.6590664134437</v>
      </c>
      <c r="AM59">
        <v>3996.5693275687759</v>
      </c>
      <c r="AN59">
        <v>4109.5944782353135</v>
      </c>
      <c r="AO59">
        <v>4278.3787032306773</v>
      </c>
      <c r="AP59">
        <v>4439.6279181816035</v>
      </c>
      <c r="AQ59">
        <v>4634.0311773280491</v>
      </c>
      <c r="AR59">
        <v>4926.3895670521597</v>
      </c>
      <c r="AS59">
        <v>5185.5939125807527</v>
      </c>
      <c r="AT59">
        <f>Sheet1!$AT59*_xlfn.XLOOKUP($A59,'[1]SSP4-change-rate'!$B$2:$B$147,'[1]SSP4-change-rate'!C$2:C$147)</f>
        <v>5188.6535635654773</v>
      </c>
      <c r="AU59">
        <f>Sheet1!$AT59*_xlfn.XLOOKUP($A59,'[1]SSP4-change-rate'!$B$2:$B$147,'[1]SSP4-change-rate'!D$2:D$147)</f>
        <v>5175.5698524893523</v>
      </c>
      <c r="AV59">
        <f>Sheet1!$AT59*_xlfn.XLOOKUP($A59,'[1]SSP4-change-rate'!$B$2:$B$147,'[1]SSP4-change-rate'!E$2:E$147)</f>
        <v>5158.9577455601493</v>
      </c>
      <c r="AW59">
        <f>Sheet1!$AT59*_xlfn.XLOOKUP($A59,'[1]SSP4-change-rate'!$B$2:$B$147,'[1]SSP4-change-rate'!F$2:F$147)</f>
        <v>5112.1756541791101</v>
      </c>
      <c r="AX59">
        <f>Sheet1!$AT59*_xlfn.XLOOKUP($A59,'[1]SSP4-change-rate'!$B$2:$B$147,'[1]SSP4-change-rate'!G$2:G$147)</f>
        <v>5045.7393314030542</v>
      </c>
      <c r="AY59">
        <f>Sheet1!$AT59*_xlfn.XLOOKUP($A59,'[1]SSP4-change-rate'!$B$2:$B$147,'[1]SSP4-change-rate'!H$2:H$147)</f>
        <v>4958.824204115409</v>
      </c>
    </row>
    <row r="60" spans="1:51" x14ac:dyDescent="0.25">
      <c r="A60" t="s">
        <v>253</v>
      </c>
      <c r="B60" t="s">
        <v>254</v>
      </c>
      <c r="C60" t="s">
        <v>255</v>
      </c>
      <c r="D60" t="s">
        <v>121</v>
      </c>
      <c r="E60" t="s">
        <v>76</v>
      </c>
      <c r="F60" t="s">
        <v>77</v>
      </c>
      <c r="G60">
        <v>109144.77954317079</v>
      </c>
      <c r="H60">
        <v>3602.91020734006</v>
      </c>
      <c r="I60">
        <v>112747.68975051085</v>
      </c>
      <c r="J60">
        <v>17231175</v>
      </c>
      <c r="K60">
        <v>89.29145495266566</v>
      </c>
      <c r="L60">
        <v>89.29145495266566</v>
      </c>
      <c r="M60">
        <v>89.29145495266566</v>
      </c>
      <c r="N60">
        <v>94.872170887207275</v>
      </c>
      <c r="O60">
        <v>106.03360275629048</v>
      </c>
      <c r="P60">
        <v>111.61431869083209</v>
      </c>
      <c r="Q60">
        <v>122.77575055991529</v>
      </c>
      <c r="R60">
        <v>150.6793302326233</v>
      </c>
      <c r="S60">
        <v>212.06720551258095</v>
      </c>
      <c r="T60">
        <v>312.52009233432983</v>
      </c>
      <c r="U60">
        <v>468.78013850149478</v>
      </c>
      <c r="V60">
        <v>652.9437643413678</v>
      </c>
      <c r="W60">
        <v>931.97956106844799</v>
      </c>
      <c r="X60">
        <v>998.94815228294726</v>
      </c>
      <c r="Y60">
        <v>1149.6274825155706</v>
      </c>
      <c r="Z60">
        <v>1283.5646649445689</v>
      </c>
      <c r="AA60">
        <v>1484.4704385880668</v>
      </c>
      <c r="AB60">
        <v>1568.1811776061909</v>
      </c>
      <c r="AC60">
        <v>1629.5690528861485</v>
      </c>
      <c r="AD60">
        <v>1696.5376441006476</v>
      </c>
      <c r="AE60">
        <v>1730.0219397078974</v>
      </c>
      <c r="AF60">
        <v>1757.9255193806055</v>
      </c>
      <c r="AG60">
        <v>1774.6676671842301</v>
      </c>
      <c r="AH60">
        <v>1785.8290990533135</v>
      </c>
      <c r="AI60">
        <v>1808.1519627914797</v>
      </c>
      <c r="AJ60">
        <v>1852.7976902678129</v>
      </c>
      <c r="AK60">
        <v>1863.959122136896</v>
      </c>
      <c r="AL60">
        <v>1863.959122136896</v>
      </c>
      <c r="AM60">
        <v>1908.6048496132287</v>
      </c>
      <c r="AN60">
        <v>1986.7348726968114</v>
      </c>
      <c r="AO60">
        <v>2131.8334869948926</v>
      </c>
      <c r="AP60">
        <v>2237.8670897511834</v>
      </c>
      <c r="AQ60">
        <v>2500.1607386746387</v>
      </c>
      <c r="AR60">
        <v>2879.6494222234683</v>
      </c>
      <c r="AS60">
        <v>3181.0080826887147</v>
      </c>
      <c r="AT60">
        <f>Sheet1!$AT60*_xlfn.XLOOKUP($A60,'[1]SSP4-change-rate'!$B$2:$B$147,'[1]SSP4-change-rate'!C$2:C$147)</f>
        <v>3478.0068088301005</v>
      </c>
      <c r="AU60">
        <f>Sheet1!$AT60*_xlfn.XLOOKUP($A60,'[1]SSP4-change-rate'!$B$2:$B$147,'[1]SSP4-change-rate'!D$2:D$147)</f>
        <v>3533.2132661131177</v>
      </c>
      <c r="AV60">
        <f>Sheet1!$AT60*_xlfn.XLOOKUP($A60,'[1]SSP4-change-rate'!$B$2:$B$147,'[1]SSP4-change-rate'!E$2:E$147)</f>
        <v>3596.6567475668335</v>
      </c>
      <c r="AW60">
        <f>Sheet1!$AT60*_xlfn.XLOOKUP($A60,'[1]SSP4-change-rate'!$B$2:$B$147,'[1]SSP4-change-rate'!F$2:F$147)</f>
        <v>3708.5717623673809</v>
      </c>
      <c r="AX60">
        <f>Sheet1!$AT60*_xlfn.XLOOKUP($A60,'[1]SSP4-change-rate'!$B$2:$B$147,'[1]SSP4-change-rate'!G$2:G$147)</f>
        <v>3807.3684367182332</v>
      </c>
      <c r="AY60">
        <f>Sheet1!$AT60*_xlfn.XLOOKUP($A60,'[1]SSP4-change-rate'!$B$2:$B$147,'[1]SSP4-change-rate'!H$2:H$147)</f>
        <v>3876.6663004956549</v>
      </c>
    </row>
    <row r="61" spans="1:51" x14ac:dyDescent="0.25">
      <c r="A61" t="s">
        <v>256</v>
      </c>
      <c r="B61" t="s">
        <v>257</v>
      </c>
      <c r="C61" t="s">
        <v>258</v>
      </c>
      <c r="D61" t="s">
        <v>134</v>
      </c>
      <c r="E61" t="s">
        <v>76</v>
      </c>
      <c r="F61" t="s">
        <v>77</v>
      </c>
      <c r="G61">
        <v>209744.0669065238</v>
      </c>
      <c r="H61">
        <v>174.86050742878919</v>
      </c>
      <c r="I61">
        <v>209918.9274139526</v>
      </c>
      <c r="J61">
        <v>791844.99999999907</v>
      </c>
      <c r="K61">
        <v>21.067531015516767</v>
      </c>
      <c r="L61">
        <v>21.067531015516767</v>
      </c>
      <c r="M61">
        <v>21.067531015516767</v>
      </c>
      <c r="N61">
        <v>21.067531015516767</v>
      </c>
      <c r="O61">
        <v>21.067531015516767</v>
      </c>
      <c r="P61">
        <v>21.067531015516767</v>
      </c>
      <c r="Q61">
        <v>21.067531015516767</v>
      </c>
      <c r="R61">
        <v>21.067531015516767</v>
      </c>
      <c r="S61">
        <v>21.067531015516767</v>
      </c>
      <c r="T61">
        <v>26.334413769395962</v>
      </c>
      <c r="U61">
        <v>31.601296523275149</v>
      </c>
      <c r="V61">
        <v>36.868179277154347</v>
      </c>
      <c r="W61">
        <v>36.868179277154347</v>
      </c>
      <c r="X61">
        <v>42.135062031033534</v>
      </c>
      <c r="Y61">
        <v>89.537006815946256</v>
      </c>
      <c r="Z61">
        <v>89.537006815946256</v>
      </c>
      <c r="AA61">
        <v>89.537006815946256</v>
      </c>
      <c r="AB61">
        <v>89.537006815946256</v>
      </c>
      <c r="AC61">
        <v>89.537006815946256</v>
      </c>
      <c r="AD61">
        <v>89.537006815946256</v>
      </c>
      <c r="AE61">
        <v>89.537006815946256</v>
      </c>
      <c r="AF61">
        <v>89.537006815946256</v>
      </c>
      <c r="AG61">
        <v>89.537006815946256</v>
      </c>
      <c r="AH61">
        <v>89.537006815946256</v>
      </c>
      <c r="AI61">
        <v>89.537006815946256</v>
      </c>
      <c r="AJ61">
        <v>94.803889569825458</v>
      </c>
      <c r="AK61">
        <v>94.803889569825458</v>
      </c>
      <c r="AL61">
        <v>94.803889569825458</v>
      </c>
      <c r="AM61">
        <v>105.33765507758385</v>
      </c>
      <c r="AN61">
        <v>105.33765507758385</v>
      </c>
      <c r="AO61">
        <v>110.60453783146303</v>
      </c>
      <c r="AP61">
        <v>115.87142058534222</v>
      </c>
      <c r="AQ61">
        <v>142.20583435473819</v>
      </c>
      <c r="AR61">
        <v>168.54024812413414</v>
      </c>
      <c r="AS61">
        <v>168.54024812413414</v>
      </c>
      <c r="AT61">
        <f>Sheet1!$AT61*_xlfn.XLOOKUP($A61,'[1]SSP4-change-rate'!$B$2:$B$147,'[1]SSP4-change-rate'!C$2:C$147)</f>
        <v>168.54024812413414</v>
      </c>
      <c r="AU61">
        <f>Sheet1!$AT61*_xlfn.XLOOKUP($A61,'[1]SSP4-change-rate'!$B$2:$B$147,'[1]SSP4-change-rate'!D$2:D$147)</f>
        <v>168.54024812413414</v>
      </c>
      <c r="AV61">
        <f>Sheet1!$AT61*_xlfn.XLOOKUP($A61,'[1]SSP4-change-rate'!$B$2:$B$147,'[1]SSP4-change-rate'!E$2:E$147)</f>
        <v>168.54024812413414</v>
      </c>
      <c r="AW61">
        <f>Sheet1!$AT61*_xlfn.XLOOKUP($A61,'[1]SSP4-change-rate'!$B$2:$B$147,'[1]SSP4-change-rate'!F$2:F$147)</f>
        <v>164.10497843665692</v>
      </c>
      <c r="AX61">
        <f>Sheet1!$AT61*_xlfn.XLOOKUP($A61,'[1]SSP4-change-rate'!$B$2:$B$147,'[1]SSP4-change-rate'!G$2:G$147)</f>
        <v>152.64022471619697</v>
      </c>
      <c r="AY61">
        <f>Sheet1!$AT61*_xlfn.XLOOKUP($A61,'[1]SSP4-change-rate'!$B$2:$B$147,'[1]SSP4-change-rate'!H$2:H$147)</f>
        <v>145.93119044894542</v>
      </c>
    </row>
    <row r="62" spans="1:51" x14ac:dyDescent="0.25">
      <c r="A62" t="s">
        <v>259</v>
      </c>
      <c r="B62" t="s">
        <v>260</v>
      </c>
      <c r="C62" t="s">
        <v>261</v>
      </c>
      <c r="D62" t="s">
        <v>121</v>
      </c>
      <c r="E62" t="s">
        <v>76</v>
      </c>
      <c r="F62" t="s">
        <v>77</v>
      </c>
      <c r="G62">
        <v>112289.7423911981</v>
      </c>
      <c r="H62">
        <v>2694.1797015874022</v>
      </c>
      <c r="I62">
        <v>114983.92209278551</v>
      </c>
      <c r="J62">
        <v>10041783</v>
      </c>
      <c r="K62">
        <v>78.514812286060845</v>
      </c>
      <c r="L62">
        <v>84.123013163636628</v>
      </c>
      <c r="M62">
        <v>89.731214041212397</v>
      </c>
      <c r="N62">
        <v>95.339414918788179</v>
      </c>
      <c r="O62">
        <v>106.55581667393973</v>
      </c>
      <c r="P62">
        <v>117.77221842909127</v>
      </c>
      <c r="Q62">
        <v>145.81322281697015</v>
      </c>
      <c r="R62">
        <v>173.854227204849</v>
      </c>
      <c r="S62">
        <v>201.8952315927279</v>
      </c>
      <c r="T62">
        <v>257.97724036848564</v>
      </c>
      <c r="U62">
        <v>358.92485616484959</v>
      </c>
      <c r="V62">
        <v>471.08887371636507</v>
      </c>
      <c r="W62">
        <v>616.90209653333523</v>
      </c>
      <c r="X62">
        <v>644.94310092121407</v>
      </c>
      <c r="Y62">
        <v>762.71531935030544</v>
      </c>
      <c r="Z62">
        <v>908.52854216727553</v>
      </c>
      <c r="AA62">
        <v>1177.7221842909128</v>
      </c>
      <c r="AB62">
        <v>1205.7631886787915</v>
      </c>
      <c r="AC62">
        <v>1228.1959921890948</v>
      </c>
      <c r="AD62">
        <v>1306.7108044751556</v>
      </c>
      <c r="AE62">
        <v>1351.5764114957619</v>
      </c>
      <c r="AF62">
        <v>1418.8748220266712</v>
      </c>
      <c r="AG62">
        <v>1424.4830229042468</v>
      </c>
      <c r="AH62">
        <v>1542.2552413333381</v>
      </c>
      <c r="AI62">
        <v>1553.4716430884896</v>
      </c>
      <c r="AJ62">
        <v>1609.5536518642473</v>
      </c>
      <c r="AK62">
        <v>1615.1618527418232</v>
      </c>
      <c r="AL62">
        <v>1643.2028571297019</v>
      </c>
      <c r="AM62">
        <v>1783.4078790690965</v>
      </c>
      <c r="AN62">
        <v>1968.4785080290972</v>
      </c>
      <c r="AO62">
        <v>2046.9933203151579</v>
      </c>
      <c r="AP62">
        <v>2063.8179229478851</v>
      </c>
      <c r="AQ62">
        <v>2243.2803510303102</v>
      </c>
      <c r="AR62">
        <v>2349.8361677042499</v>
      </c>
      <c r="AS62">
        <v>2439.5673817454622</v>
      </c>
      <c r="AT62">
        <f>Sheet1!$AT62*_xlfn.XLOOKUP($A62,'[1]SSP4-change-rate'!$B$2:$B$147,'[1]SSP4-change-rate'!C$2:C$147)</f>
        <v>2611.0739899783025</v>
      </c>
      <c r="AU62">
        <f>Sheet1!$AT62*_xlfn.XLOOKUP($A62,'[1]SSP4-change-rate'!$B$2:$B$147,'[1]SSP4-change-rate'!D$2:D$147)</f>
        <v>2629.2792803972497</v>
      </c>
      <c r="AV62">
        <f>Sheet1!$AT62*_xlfn.XLOOKUP($A62,'[1]SSP4-change-rate'!$B$2:$B$147,'[1]SSP4-change-rate'!E$2:E$147)</f>
        <v>2650.826884087583</v>
      </c>
      <c r="AW62">
        <f>Sheet1!$AT62*_xlfn.XLOOKUP($A62,'[1]SSP4-change-rate'!$B$2:$B$147,'[1]SSP4-change-rate'!F$2:F$147)</f>
        <v>2682.372228038515</v>
      </c>
      <c r="AX62">
        <f>Sheet1!$AT62*_xlfn.XLOOKUP($A62,'[1]SSP4-change-rate'!$B$2:$B$147,'[1]SSP4-change-rate'!G$2:G$147)</f>
        <v>2702.1692952256803</v>
      </c>
      <c r="AY62">
        <f>Sheet1!$AT62*_xlfn.XLOOKUP($A62,'[1]SSP4-change-rate'!$B$2:$B$147,'[1]SSP4-change-rate'!H$2:H$147)</f>
        <v>2703.8291889265079</v>
      </c>
    </row>
    <row r="63" spans="1:51" x14ac:dyDescent="0.25">
      <c r="A63" t="s">
        <v>262</v>
      </c>
      <c r="B63" t="s">
        <v>263</v>
      </c>
      <c r="C63" t="s">
        <v>264</v>
      </c>
      <c r="D63" t="s">
        <v>65</v>
      </c>
      <c r="E63" t="s">
        <v>66</v>
      </c>
      <c r="F63" t="s">
        <v>66</v>
      </c>
      <c r="G63">
        <v>57078.573019018062</v>
      </c>
      <c r="H63">
        <v>2860.115137039993</v>
      </c>
      <c r="I63">
        <v>59938.688156058051</v>
      </c>
      <c r="J63">
        <v>4114644</v>
      </c>
      <c r="K63">
        <v>43.599316113414524</v>
      </c>
      <c r="L63">
        <v>50.058474056142607</v>
      </c>
      <c r="M63">
        <v>59.747210970234718</v>
      </c>
      <c r="N63">
        <v>75.89510582705492</v>
      </c>
      <c r="O63">
        <v>100.11694811228521</v>
      </c>
      <c r="P63">
        <v>116.2648429691054</v>
      </c>
      <c r="Q63">
        <v>137.25710628297165</v>
      </c>
      <c r="R63">
        <v>161.47894856820196</v>
      </c>
      <c r="S63">
        <v>192.15994879616031</v>
      </c>
      <c r="T63">
        <v>243.83321233798495</v>
      </c>
      <c r="U63">
        <v>352.02410787868024</v>
      </c>
      <c r="V63">
        <v>466.67416136210363</v>
      </c>
      <c r="W63">
        <v>542.56926718915861</v>
      </c>
      <c r="X63">
        <v>574.86505690279898</v>
      </c>
      <c r="Y63">
        <v>668.52284707235606</v>
      </c>
      <c r="Z63">
        <v>792.86163746987165</v>
      </c>
      <c r="AA63">
        <v>850.9940589544243</v>
      </c>
      <c r="AB63">
        <v>886.51942763942861</v>
      </c>
      <c r="AC63">
        <v>962.4145334664837</v>
      </c>
      <c r="AD63">
        <v>1060.9166920930868</v>
      </c>
      <c r="AE63">
        <v>1122.2786925490036</v>
      </c>
      <c r="AF63">
        <v>1191.7146404333303</v>
      </c>
      <c r="AG63">
        <v>1253.0766408892473</v>
      </c>
      <c r="AH63">
        <v>1626.0930120817934</v>
      </c>
      <c r="AI63">
        <v>1650.3148543670238</v>
      </c>
      <c r="AJ63">
        <v>1700.3733284231664</v>
      </c>
      <c r="AK63">
        <v>1768.1944868218113</v>
      </c>
      <c r="AL63">
        <v>1792.4163291070415</v>
      </c>
      <c r="AM63">
        <v>1955.5100671609255</v>
      </c>
      <c r="AN63">
        <v>2055.6270152732109</v>
      </c>
      <c r="AO63">
        <v>2147.670015957086</v>
      </c>
      <c r="AP63">
        <v>2228.4094902411866</v>
      </c>
      <c r="AQ63">
        <v>2378.5849124096148</v>
      </c>
      <c r="AR63">
        <v>2569.1300717200929</v>
      </c>
      <c r="AS63">
        <v>2843.6442842860365</v>
      </c>
      <c r="AT63">
        <f>Sheet1!$AT63*_xlfn.XLOOKUP($A63,'[1]SSP4-change-rate'!$B$2:$B$147,'[1]SSP4-change-rate'!C$2:C$147)</f>
        <v>2810.8942875580788</v>
      </c>
      <c r="AU63">
        <f>Sheet1!$AT63*_xlfn.XLOOKUP($A63,'[1]SSP4-change-rate'!$B$2:$B$147,'[1]SSP4-change-rate'!D$2:D$147)</f>
        <v>2803.1910492573761</v>
      </c>
      <c r="AV63">
        <f>Sheet1!$AT63*_xlfn.XLOOKUP($A63,'[1]SSP4-change-rate'!$B$2:$B$147,'[1]SSP4-change-rate'!E$2:E$147)</f>
        <v>2790.8901418881169</v>
      </c>
      <c r="AW63">
        <f>Sheet1!$AT63*_xlfn.XLOOKUP($A63,'[1]SSP4-change-rate'!$B$2:$B$147,'[1]SSP4-change-rate'!F$2:F$147)</f>
        <v>2755.8113693967352</v>
      </c>
      <c r="AX63">
        <f>Sheet1!$AT63*_xlfn.XLOOKUP($A63,'[1]SSP4-change-rate'!$B$2:$B$147,'[1]SSP4-change-rate'!G$2:G$147)</f>
        <v>2707.5220382655798</v>
      </c>
      <c r="AY63">
        <f>Sheet1!$AT63*_xlfn.XLOOKUP($A63,'[1]SSP4-change-rate'!$B$2:$B$147,'[1]SSP4-change-rate'!H$2:H$147)</f>
        <v>2647.3989690308322</v>
      </c>
    </row>
    <row r="64" spans="1:51" x14ac:dyDescent="0.25">
      <c r="A64" t="s">
        <v>265</v>
      </c>
      <c r="B64" t="s">
        <v>266</v>
      </c>
      <c r="C64" t="s">
        <v>267</v>
      </c>
      <c r="D64" t="s">
        <v>121</v>
      </c>
      <c r="E64" t="s">
        <v>76</v>
      </c>
      <c r="F64" t="s">
        <v>77</v>
      </c>
      <c r="G64">
        <v>27107.104390584958</v>
      </c>
      <c r="H64">
        <v>933.98830714515236</v>
      </c>
      <c r="I64">
        <v>28041.09269773011</v>
      </c>
      <c r="J64">
        <v>11234505</v>
      </c>
      <c r="K64">
        <v>105.41628748816619</v>
      </c>
      <c r="L64">
        <v>105.41628748816619</v>
      </c>
      <c r="M64">
        <v>105.41628748816619</v>
      </c>
      <c r="N64">
        <v>105.41628748816619</v>
      </c>
      <c r="O64">
        <v>115.95791623698281</v>
      </c>
      <c r="P64">
        <v>115.95791623698281</v>
      </c>
      <c r="Q64">
        <v>115.95791623698281</v>
      </c>
      <c r="R64">
        <v>115.95791623698281</v>
      </c>
      <c r="S64">
        <v>115.95791623698281</v>
      </c>
      <c r="T64">
        <v>126.49954498579943</v>
      </c>
      <c r="U64">
        <v>147.58280248343266</v>
      </c>
      <c r="V64">
        <v>147.58280248343266</v>
      </c>
      <c r="W64">
        <v>189.74931747869914</v>
      </c>
      <c r="X64">
        <v>221.37420372514902</v>
      </c>
      <c r="Y64">
        <v>221.37420372514902</v>
      </c>
      <c r="Z64">
        <v>252.99908997159886</v>
      </c>
      <c r="AA64">
        <v>326.79049121331519</v>
      </c>
      <c r="AB64">
        <v>347.87374871094841</v>
      </c>
      <c r="AC64">
        <v>347.87374871094841</v>
      </c>
      <c r="AD64">
        <v>347.87374871094841</v>
      </c>
      <c r="AE64">
        <v>347.87374871094841</v>
      </c>
      <c r="AF64">
        <v>347.87374871094841</v>
      </c>
      <c r="AG64">
        <v>347.87374871094841</v>
      </c>
      <c r="AH64">
        <v>347.87374871094841</v>
      </c>
      <c r="AI64">
        <v>347.87374871094841</v>
      </c>
      <c r="AJ64">
        <v>347.87374871094841</v>
      </c>
      <c r="AK64">
        <v>347.87374871094841</v>
      </c>
      <c r="AL64">
        <v>347.87374871094841</v>
      </c>
      <c r="AM64">
        <v>347.87374871094841</v>
      </c>
      <c r="AN64">
        <v>347.87374871094841</v>
      </c>
      <c r="AO64">
        <v>347.87374871094841</v>
      </c>
      <c r="AP64">
        <v>632.49772492899706</v>
      </c>
      <c r="AQ64">
        <v>811.70541365887959</v>
      </c>
      <c r="AR64">
        <v>853.87192865414613</v>
      </c>
      <c r="AS64">
        <v>864.41355740296274</v>
      </c>
      <c r="AT64">
        <f>Sheet1!$AT64*_xlfn.XLOOKUP($A64,'[1]SSP4-change-rate'!$B$2:$B$147,'[1]SSP4-change-rate'!C$2:C$147)</f>
        <v>862.08819812013553</v>
      </c>
      <c r="AU64">
        <f>Sheet1!$AT64*_xlfn.XLOOKUP($A64,'[1]SSP4-change-rate'!$B$2:$B$147,'[1]SSP4-change-rate'!D$2:D$147)</f>
        <v>838.99812370718575</v>
      </c>
      <c r="AV64">
        <f>Sheet1!$AT64*_xlfn.XLOOKUP($A64,'[1]SSP4-change-rate'!$B$2:$B$147,'[1]SSP4-change-rate'!E$2:E$147)</f>
        <v>800.26388977296892</v>
      </c>
      <c r="AW64">
        <f>Sheet1!$AT64*_xlfn.XLOOKUP($A64,'[1]SSP4-change-rate'!$B$2:$B$147,'[1]SSP4-change-rate'!F$2:F$147)</f>
        <v>617.21644914582873</v>
      </c>
      <c r="AX64">
        <f>Sheet1!$AT64*_xlfn.XLOOKUP($A64,'[1]SSP4-change-rate'!$B$2:$B$147,'[1]SSP4-change-rate'!G$2:G$147)</f>
        <v>322.48348289594151</v>
      </c>
      <c r="AY64">
        <f>Sheet1!$AT64*_xlfn.XLOOKUP($A64,'[1]SSP4-change-rate'!$B$2:$B$147,'[1]SSP4-change-rate'!H$2:H$147)</f>
        <v>138.02768979399724</v>
      </c>
    </row>
    <row r="65" spans="1:51" x14ac:dyDescent="0.25">
      <c r="A65" t="s">
        <v>268</v>
      </c>
      <c r="B65" t="s">
        <v>269</v>
      </c>
      <c r="C65" t="s">
        <v>270</v>
      </c>
      <c r="D65" t="s">
        <v>65</v>
      </c>
      <c r="E65" t="s">
        <v>66</v>
      </c>
      <c r="F65" t="s">
        <v>66</v>
      </c>
      <c r="G65">
        <v>93039.708827202558</v>
      </c>
      <c r="H65">
        <v>9380.0438504967187</v>
      </c>
      <c r="I65">
        <v>102419.75267769927</v>
      </c>
      <c r="J65">
        <v>9770123.0000000112</v>
      </c>
      <c r="K65">
        <v>544.96342029207881</v>
      </c>
      <c r="L65">
        <v>664.52172168268783</v>
      </c>
      <c r="M65">
        <v>817.44513043811821</v>
      </c>
      <c r="N65">
        <v>1048.2204563781311</v>
      </c>
      <c r="O65">
        <v>1359.6281251164619</v>
      </c>
      <c r="P65">
        <v>1429.1387654598391</v>
      </c>
      <c r="Q65">
        <v>1568.1600461465941</v>
      </c>
      <c r="R65">
        <v>1723.8638805157595</v>
      </c>
      <c r="S65">
        <v>1879.5677148849247</v>
      </c>
      <c r="T65">
        <v>2099.2213383699973</v>
      </c>
      <c r="U65">
        <v>2405.0681558808578</v>
      </c>
      <c r="V65">
        <v>2669.2085891856923</v>
      </c>
      <c r="W65">
        <v>2769.3039112801557</v>
      </c>
      <c r="X65">
        <v>2769.3039112801557</v>
      </c>
      <c r="Y65">
        <v>3545.0426575122469</v>
      </c>
      <c r="Z65">
        <v>4415.3158746113322</v>
      </c>
      <c r="AA65">
        <v>4751.7473738732788</v>
      </c>
      <c r="AB65">
        <v>4918.572910697384</v>
      </c>
      <c r="AC65">
        <v>5057.5941913841398</v>
      </c>
      <c r="AD65">
        <v>5282.8086660966819</v>
      </c>
      <c r="AE65">
        <v>5374.5627113499395</v>
      </c>
      <c r="AF65">
        <v>5596.9967604487474</v>
      </c>
      <c r="AG65">
        <v>5955.671664620575</v>
      </c>
      <c r="AH65">
        <v>6086.3516684661245</v>
      </c>
      <c r="AI65">
        <v>6200.349118629264</v>
      </c>
      <c r="AJ65">
        <v>6275.4206102001108</v>
      </c>
      <c r="AK65">
        <v>6339.3703993160179</v>
      </c>
      <c r="AL65">
        <v>6489.5133824577133</v>
      </c>
      <c r="AM65">
        <v>6678.5823241916996</v>
      </c>
      <c r="AN65">
        <v>6775.8972206724284</v>
      </c>
      <c r="AO65">
        <v>7315.2997897370369</v>
      </c>
      <c r="AP65">
        <v>7749.0461854797113</v>
      </c>
      <c r="AQ65">
        <v>8193.9142836773281</v>
      </c>
      <c r="AR65">
        <v>8825.0708979951942</v>
      </c>
      <c r="AS65">
        <v>9244.9151656691938</v>
      </c>
      <c r="AT65">
        <f>Sheet1!$AT65*_xlfn.XLOOKUP($A65,'[1]SSP4-change-rate'!$B$2:$B$147,'[1]SSP4-change-rate'!C$2:C$147)</f>
        <v>9305.7793605064435</v>
      </c>
      <c r="AU65">
        <f>Sheet1!$AT65*_xlfn.XLOOKUP($A65,'[1]SSP4-change-rate'!$B$2:$B$147,'[1]SSP4-change-rate'!D$2:D$147)</f>
        <v>9282.4249981680405</v>
      </c>
      <c r="AV65">
        <f>Sheet1!$AT65*_xlfn.XLOOKUP($A65,'[1]SSP4-change-rate'!$B$2:$B$147,'[1]SSP4-change-rate'!E$2:E$147)</f>
        <v>9245.7977087246963</v>
      </c>
      <c r="AW65">
        <f>Sheet1!$AT65*_xlfn.XLOOKUP($A65,'[1]SSP4-change-rate'!$B$2:$B$147,'[1]SSP4-change-rate'!F$2:F$147)</f>
        <v>9160.9425163315063</v>
      </c>
      <c r="AX65">
        <f>Sheet1!$AT65*_xlfn.XLOOKUP($A65,'[1]SSP4-change-rate'!$B$2:$B$147,'[1]SSP4-change-rate'!G$2:G$147)</f>
        <v>9048.0979981813889</v>
      </c>
      <c r="AY65">
        <f>Sheet1!$AT65*_xlfn.XLOOKUP($A65,'[1]SSP4-change-rate'!$B$2:$B$147,'[1]SSP4-change-rate'!H$2:H$147)</f>
        <v>8899.3384583237057</v>
      </c>
    </row>
    <row r="66" spans="1:51" x14ac:dyDescent="0.25">
      <c r="A66" t="s">
        <v>271</v>
      </c>
      <c r="B66" t="s">
        <v>272</v>
      </c>
      <c r="C66" t="s">
        <v>273</v>
      </c>
      <c r="D66" t="s">
        <v>274</v>
      </c>
      <c r="E66" t="s">
        <v>55</v>
      </c>
      <c r="F66" t="s">
        <v>140</v>
      </c>
      <c r="G66">
        <v>1890242.9295203481</v>
      </c>
      <c r="H66">
        <v>66854.11170415036</v>
      </c>
      <c r="I66">
        <v>1957097.0412244985</v>
      </c>
      <c r="J66">
        <v>270825846</v>
      </c>
      <c r="K66">
        <v>1537.8539790989951</v>
      </c>
      <c r="L66">
        <v>1963.2178456582917</v>
      </c>
      <c r="M66">
        <v>2464.929072882077</v>
      </c>
      <c r="N66">
        <v>3042.9876607703518</v>
      </c>
      <c r="O66">
        <v>4002.7830519810723</v>
      </c>
      <c r="P66">
        <v>4733.5363611983248</v>
      </c>
      <c r="Q66">
        <v>5464.2896704155783</v>
      </c>
      <c r="R66">
        <v>6162.3226822051929</v>
      </c>
      <c r="S66">
        <v>6576.7797829552765</v>
      </c>
      <c r="T66">
        <v>7569.2954715936357</v>
      </c>
      <c r="U66">
        <v>8703.5991157517583</v>
      </c>
      <c r="V66">
        <v>10274.173392278393</v>
      </c>
      <c r="W66">
        <v>13131.746034292128</v>
      </c>
      <c r="X66">
        <v>14331.490273305528</v>
      </c>
      <c r="Y66">
        <v>19294.068716497321</v>
      </c>
      <c r="Z66">
        <v>22795.140541254608</v>
      </c>
      <c r="AA66">
        <v>27463.236307597657</v>
      </c>
      <c r="AB66">
        <v>27975.854300630657</v>
      </c>
      <c r="AC66">
        <v>28215.803148433337</v>
      </c>
      <c r="AD66">
        <v>28630.260249183419</v>
      </c>
      <c r="AE66">
        <v>28968.369989269017</v>
      </c>
      <c r="AF66">
        <v>29415.547387446739</v>
      </c>
      <c r="AG66">
        <v>29862.724785624458</v>
      </c>
      <c r="AH66">
        <v>30386.249544466667</v>
      </c>
      <c r="AI66">
        <v>31040.655493019432</v>
      </c>
      <c r="AJ66">
        <v>31716.874973190625</v>
      </c>
      <c r="AK66">
        <v>33603.745458184421</v>
      </c>
      <c r="AL66">
        <v>34945.277652717588</v>
      </c>
      <c r="AM66">
        <v>36843.054903520606</v>
      </c>
      <c r="AN66">
        <v>38053.705908343218</v>
      </c>
      <c r="AO66">
        <v>41227.574758824121</v>
      </c>
      <c r="AP66">
        <v>46670.05089762128</v>
      </c>
      <c r="AQ66">
        <v>52036.179675753934</v>
      </c>
      <c r="AR66">
        <v>57064.198713801008</v>
      </c>
      <c r="AS66">
        <v>60881.56674702547</v>
      </c>
      <c r="AT66">
        <f>Sheet1!$AT66*_xlfn.XLOOKUP($A66,'[1]SSP4-change-rate'!$B$2:$B$147,'[1]SSP4-change-rate'!C$2:C$147)</f>
        <v>63280.825151982455</v>
      </c>
      <c r="AU66">
        <f>Sheet1!$AT66*_xlfn.XLOOKUP($A66,'[1]SSP4-change-rate'!$B$2:$B$147,'[1]SSP4-change-rate'!D$2:D$147)</f>
        <v>62747.663510064987</v>
      </c>
      <c r="AV66">
        <f>Sheet1!$AT66*_xlfn.XLOOKUP($A66,'[1]SSP4-change-rate'!$B$2:$B$147,'[1]SSP4-change-rate'!E$2:E$147)</f>
        <v>62055.975751725418</v>
      </c>
      <c r="AW66">
        <f>Sheet1!$AT66*_xlfn.XLOOKUP($A66,'[1]SSP4-change-rate'!$B$2:$B$147,'[1]SSP4-change-rate'!F$2:F$147)</f>
        <v>59867.628405080919</v>
      </c>
      <c r="AX66">
        <f>Sheet1!$AT66*_xlfn.XLOOKUP($A66,'[1]SSP4-change-rate'!$B$2:$B$147,'[1]SSP4-change-rate'!G$2:G$147)</f>
        <v>56862.333658956719</v>
      </c>
      <c r="AY66">
        <f>Sheet1!$AT66*_xlfn.XLOOKUP($A66,'[1]SSP4-change-rate'!$B$2:$B$147,'[1]SSP4-change-rate'!H$2:H$147)</f>
        <v>53002.368688301089</v>
      </c>
    </row>
    <row r="67" spans="1:51" x14ac:dyDescent="0.25">
      <c r="A67" t="s">
        <v>275</v>
      </c>
      <c r="B67" t="s">
        <v>276</v>
      </c>
      <c r="C67" t="s">
        <v>277</v>
      </c>
      <c r="D67" t="s">
        <v>276</v>
      </c>
      <c r="E67" t="s">
        <v>55</v>
      </c>
      <c r="F67" t="s">
        <v>56</v>
      </c>
      <c r="G67">
        <v>3019311.708603275</v>
      </c>
      <c r="H67">
        <v>128270.3263849057</v>
      </c>
      <c r="I67">
        <v>3147582.0349881807</v>
      </c>
      <c r="J67">
        <v>1309657000</v>
      </c>
      <c r="K67">
        <v>8568.9139500583224</v>
      </c>
      <c r="L67">
        <v>9135.868893152634</v>
      </c>
      <c r="M67">
        <v>10273.367101765903</v>
      </c>
      <c r="N67">
        <v>11590.281431611551</v>
      </c>
      <c r="O67">
        <v>12440.713846253017</v>
      </c>
      <c r="P67">
        <v>12440.713846253017</v>
      </c>
      <c r="Q67">
        <v>12440.713846253017</v>
      </c>
      <c r="R67">
        <v>12440.713846253017</v>
      </c>
      <c r="S67">
        <v>12498.127005047378</v>
      </c>
      <c r="T67">
        <v>13858.101203988794</v>
      </c>
      <c r="U67">
        <v>17012.23661525398</v>
      </c>
      <c r="V67">
        <v>22746.375849840748</v>
      </c>
      <c r="W67">
        <v>28706.579397180307</v>
      </c>
      <c r="X67">
        <v>30123.966754916088</v>
      </c>
      <c r="Y67">
        <v>33938.353492316419</v>
      </c>
      <c r="Z67">
        <v>38700.057349823699</v>
      </c>
      <c r="AA67">
        <v>41872.134373212131</v>
      </c>
      <c r="AB67">
        <v>43314.639987920433</v>
      </c>
      <c r="AC67">
        <v>44491.609743204834</v>
      </c>
      <c r="AD67">
        <v>47387.385939895394</v>
      </c>
      <c r="AE67">
        <v>49091.839091602975</v>
      </c>
      <c r="AF67">
        <v>50903.941916049982</v>
      </c>
      <c r="AG67">
        <v>52163.443087101266</v>
      </c>
      <c r="AH67">
        <v>53620.301991508175</v>
      </c>
      <c r="AI67">
        <v>54915.68638680593</v>
      </c>
      <c r="AJ67">
        <v>56530.43147789732</v>
      </c>
      <c r="AK67">
        <v>58170.294825961246</v>
      </c>
      <c r="AL67">
        <v>60316.111635900474</v>
      </c>
      <c r="AM67">
        <v>65386.411221927447</v>
      </c>
      <c r="AN67">
        <v>68791.729202917966</v>
      </c>
      <c r="AO67">
        <v>74120.388003519562</v>
      </c>
      <c r="AP67">
        <v>81002.790413993527</v>
      </c>
      <c r="AQ67">
        <v>90766.615731459489</v>
      </c>
      <c r="AR67">
        <v>100652.44401136346</v>
      </c>
      <c r="AS67">
        <v>108205.86271524653</v>
      </c>
      <c r="AT67">
        <f>Sheet1!$AT67*_xlfn.XLOOKUP($A67,'[1]SSP4-change-rate'!$B$2:$B$147,'[1]SSP4-change-rate'!C$2:C$147)</f>
        <v>116932.21525360206</v>
      </c>
      <c r="AU67">
        <f>Sheet1!$AT67*_xlfn.XLOOKUP($A67,'[1]SSP4-change-rate'!$B$2:$B$147,'[1]SSP4-change-rate'!D$2:D$147)</f>
        <v>115142.14347505169</v>
      </c>
      <c r="AV67">
        <f>Sheet1!$AT67*_xlfn.XLOOKUP($A67,'[1]SSP4-change-rate'!$B$2:$B$147,'[1]SSP4-change-rate'!E$2:E$147)</f>
        <v>113023.38909647687</v>
      </c>
      <c r="AW67">
        <f>Sheet1!$AT67*_xlfn.XLOOKUP($A67,'[1]SSP4-change-rate'!$B$2:$B$147,'[1]SSP4-change-rate'!F$2:F$147)</f>
        <v>106037.20474050142</v>
      </c>
      <c r="AX67">
        <f>Sheet1!$AT67*_xlfn.XLOOKUP($A67,'[1]SSP4-change-rate'!$B$2:$B$147,'[1]SSP4-change-rate'!G$2:G$147)</f>
        <v>97344.523305733077</v>
      </c>
      <c r="AY67">
        <f>Sheet1!$AT67*_xlfn.XLOOKUP($A67,'[1]SSP4-change-rate'!$B$2:$B$147,'[1]SSP4-change-rate'!H$2:H$147)</f>
        <v>87826.782975276277</v>
      </c>
    </row>
    <row r="68" spans="1:51" x14ac:dyDescent="0.25">
      <c r="A68" t="s">
        <v>278</v>
      </c>
      <c r="B68" t="s">
        <v>279</v>
      </c>
      <c r="C68" t="s">
        <v>280</v>
      </c>
      <c r="D68" t="s">
        <v>91</v>
      </c>
      <c r="E68" t="s">
        <v>66</v>
      </c>
      <c r="F68" t="s">
        <v>66</v>
      </c>
      <c r="G68">
        <v>70266.242364700549</v>
      </c>
      <c r="H68">
        <v>4200.6321670751404</v>
      </c>
      <c r="I68">
        <v>74466.874531775684</v>
      </c>
      <c r="J68">
        <v>4925076</v>
      </c>
      <c r="K68">
        <v>205.91334152329119</v>
      </c>
      <c r="L68">
        <v>211.55480293488822</v>
      </c>
      <c r="M68">
        <v>211.55480293488822</v>
      </c>
      <c r="N68">
        <v>211.55480293488822</v>
      </c>
      <c r="O68">
        <v>234.12064858127627</v>
      </c>
      <c r="P68">
        <v>251.04503281606733</v>
      </c>
      <c r="Q68">
        <v>251.04503281606733</v>
      </c>
      <c r="R68">
        <v>273.61087846245545</v>
      </c>
      <c r="S68">
        <v>1444.2141213688367</v>
      </c>
      <c r="T68">
        <v>1703.7213463022997</v>
      </c>
      <c r="U68">
        <v>2067.5956073503075</v>
      </c>
      <c r="V68">
        <v>2067.5956073503075</v>
      </c>
      <c r="W68">
        <v>2067.5956073503075</v>
      </c>
      <c r="X68">
        <v>2078.8785301735015</v>
      </c>
      <c r="Y68">
        <v>2211.4528733460311</v>
      </c>
      <c r="Z68">
        <v>2349.6686779301581</v>
      </c>
      <c r="AA68">
        <v>2527.3747123954645</v>
      </c>
      <c r="AB68">
        <v>2626.1002870984125</v>
      </c>
      <c r="AC68">
        <v>2722.0051310955614</v>
      </c>
      <c r="AD68">
        <v>2834.8343593275022</v>
      </c>
      <c r="AE68">
        <v>2868.6831277970841</v>
      </c>
      <c r="AF68">
        <v>2927.9184726188528</v>
      </c>
      <c r="AG68">
        <v>3001.2574709696141</v>
      </c>
      <c r="AH68">
        <v>3071.7757386145768</v>
      </c>
      <c r="AI68">
        <v>3102.8037763783605</v>
      </c>
      <c r="AJ68">
        <v>3193.0671589639128</v>
      </c>
      <c r="AK68">
        <v>3235.37811955089</v>
      </c>
      <c r="AL68">
        <v>3272.0476187262707</v>
      </c>
      <c r="AM68">
        <v>3342.5658863712338</v>
      </c>
      <c r="AN68">
        <v>3396.1597697814054</v>
      </c>
      <c r="AO68">
        <v>3489.243883072756</v>
      </c>
      <c r="AP68">
        <v>3523.0926515423384</v>
      </c>
      <c r="AQ68">
        <v>3630.2804183626818</v>
      </c>
      <c r="AR68">
        <v>3791.0620685931967</v>
      </c>
      <c r="AS68">
        <v>3870.0425283555551</v>
      </c>
      <c r="AT68">
        <f>Sheet1!$AT68*_xlfn.XLOOKUP($A68,'[1]SSP4-change-rate'!$B$2:$B$147,'[1]SSP4-change-rate'!C$2:C$147)</f>
        <v>4057.0569741499962</v>
      </c>
      <c r="AU68">
        <f>Sheet1!$AT68*_xlfn.XLOOKUP($A68,'[1]SSP4-change-rate'!$B$2:$B$147,'[1]SSP4-change-rate'!D$2:D$147)</f>
        <v>4036.9983255175202</v>
      </c>
      <c r="AV68">
        <f>Sheet1!$AT68*_xlfn.XLOOKUP($A68,'[1]SSP4-change-rate'!$B$2:$B$147,'[1]SSP4-change-rate'!E$2:E$147)</f>
        <v>4004.6790864138366</v>
      </c>
      <c r="AW68">
        <f>Sheet1!$AT68*_xlfn.XLOOKUP($A68,'[1]SSP4-change-rate'!$B$2:$B$147,'[1]SSP4-change-rate'!F$2:F$147)</f>
        <v>3942.902593378099</v>
      </c>
      <c r="AX68">
        <f>Sheet1!$AT68*_xlfn.XLOOKUP($A68,'[1]SSP4-change-rate'!$B$2:$B$147,'[1]SSP4-change-rate'!G$2:G$147)</f>
        <v>3865.5339598064297</v>
      </c>
      <c r="AY68">
        <f>Sheet1!$AT68*_xlfn.XLOOKUP($A68,'[1]SSP4-change-rate'!$B$2:$B$147,'[1]SSP4-change-rate'!H$2:H$147)</f>
        <v>3782.1969149464016</v>
      </c>
    </row>
    <row r="69" spans="1:51" x14ac:dyDescent="0.25">
      <c r="A69" t="s">
        <v>281</v>
      </c>
      <c r="B69" t="s">
        <v>282</v>
      </c>
      <c r="C69" t="s">
        <v>283</v>
      </c>
      <c r="D69" t="s">
        <v>70</v>
      </c>
      <c r="E69" t="s">
        <v>71</v>
      </c>
      <c r="F69" t="s">
        <v>70</v>
      </c>
      <c r="G69">
        <v>1621745.289867236</v>
      </c>
      <c r="H69">
        <v>18738.304805966789</v>
      </c>
      <c r="I69">
        <v>1640483.5946732028</v>
      </c>
      <c r="J69">
        <v>86990161</v>
      </c>
      <c r="K69">
        <v>299.18301791039408</v>
      </c>
      <c r="L69">
        <v>339.53335914173016</v>
      </c>
      <c r="M69">
        <v>388.74109235067652</v>
      </c>
      <c r="N69">
        <v>441.88544421633867</v>
      </c>
      <c r="O69">
        <v>515.69704402975822</v>
      </c>
      <c r="P69">
        <v>567.85724123124146</v>
      </c>
      <c r="Q69">
        <v>625.92236641779823</v>
      </c>
      <c r="R69">
        <v>689.89241958942853</v>
      </c>
      <c r="S69">
        <v>761.73571007449027</v>
      </c>
      <c r="T69">
        <v>1125.8729358206936</v>
      </c>
      <c r="U69">
        <v>1875.7987899250368</v>
      </c>
      <c r="V69">
        <v>3177.8354106337588</v>
      </c>
      <c r="W69">
        <v>5341.991517163221</v>
      </c>
      <c r="X69">
        <v>5793.7185080213494</v>
      </c>
      <c r="Y69">
        <v>6369.4489865660225</v>
      </c>
      <c r="Z69">
        <v>7062.293870147987</v>
      </c>
      <c r="AA69">
        <v>7573.0701408568511</v>
      </c>
      <c r="AB69">
        <v>7721.6774951478683</v>
      </c>
      <c r="AC69">
        <v>7935.2390572746963</v>
      </c>
      <c r="AD69">
        <v>8388.934357461183</v>
      </c>
      <c r="AE69">
        <v>8713.7053966402291</v>
      </c>
      <c r="AF69">
        <v>8941.045124065562</v>
      </c>
      <c r="AG69">
        <v>9184.1313261177565</v>
      </c>
      <c r="AH69">
        <v>9770.6875059683971</v>
      </c>
      <c r="AI69">
        <v>10269.653920707115</v>
      </c>
      <c r="AJ69">
        <v>10638.71191977421</v>
      </c>
      <c r="AK69">
        <v>11097.327993281591</v>
      </c>
      <c r="AL69">
        <v>11819.697516788925</v>
      </c>
      <c r="AM69">
        <v>12482.033605781344</v>
      </c>
      <c r="AN69">
        <v>12968.206009885735</v>
      </c>
      <c r="AO69">
        <v>13539.015715109512</v>
      </c>
      <c r="AP69">
        <v>14190.526102795962</v>
      </c>
      <c r="AQ69">
        <v>15206.173716228617</v>
      </c>
      <c r="AR69">
        <v>16257.250897571712</v>
      </c>
      <c r="AS69">
        <v>17562.239982272971</v>
      </c>
      <c r="AT69">
        <f>Sheet1!$AT69*_xlfn.XLOOKUP($A69,'[1]SSP4-change-rate'!$B$2:$B$147,'[1]SSP4-change-rate'!C$2:C$147)</f>
        <v>18225.628641525149</v>
      </c>
      <c r="AU69">
        <f>Sheet1!$AT69*_xlfn.XLOOKUP($A69,'[1]SSP4-change-rate'!$B$2:$B$147,'[1]SSP4-change-rate'!D$2:D$147)</f>
        <v>18145.098141555398</v>
      </c>
      <c r="AV69">
        <f>Sheet1!$AT69*_xlfn.XLOOKUP($A69,'[1]SSP4-change-rate'!$B$2:$B$147,'[1]SSP4-change-rate'!E$2:E$147)</f>
        <v>18030.388952500387</v>
      </c>
      <c r="AW69">
        <f>Sheet1!$AT69*_xlfn.XLOOKUP($A69,'[1]SSP4-change-rate'!$B$2:$B$147,'[1]SSP4-change-rate'!F$2:F$147)</f>
        <v>17713.903717508645</v>
      </c>
      <c r="AX69">
        <f>Sheet1!$AT69*_xlfn.XLOOKUP($A69,'[1]SSP4-change-rate'!$B$2:$B$147,'[1]SSP4-change-rate'!G$2:G$147)</f>
        <v>17255.724389231746</v>
      </c>
      <c r="AY69">
        <f>Sheet1!$AT69*_xlfn.XLOOKUP($A69,'[1]SSP4-change-rate'!$B$2:$B$147,'[1]SSP4-change-rate'!H$2:H$147)</f>
        <v>16697.995492262446</v>
      </c>
    </row>
    <row r="70" spans="1:51" x14ac:dyDescent="0.25">
      <c r="A70" t="s">
        <v>284</v>
      </c>
      <c r="B70" t="s">
        <v>285</v>
      </c>
      <c r="C70" t="s">
        <v>286</v>
      </c>
      <c r="D70" t="s">
        <v>70</v>
      </c>
      <c r="E70" t="s">
        <v>71</v>
      </c>
      <c r="F70" t="s">
        <v>70</v>
      </c>
      <c r="G70">
        <v>436454.49114158959</v>
      </c>
      <c r="H70">
        <v>8875.9895357473924</v>
      </c>
      <c r="I70">
        <v>445330.48067733698</v>
      </c>
      <c r="J70">
        <v>42042956</v>
      </c>
      <c r="K70">
        <v>66.877558286222069</v>
      </c>
      <c r="L70">
        <v>74.679940086281306</v>
      </c>
      <c r="M70">
        <v>84.711573829214615</v>
      </c>
      <c r="N70">
        <v>99.201711457896053</v>
      </c>
      <c r="O70">
        <v>120.37960491519971</v>
      </c>
      <c r="P70">
        <v>133.75511657244414</v>
      </c>
      <c r="Q70">
        <v>142.67212434394042</v>
      </c>
      <c r="R70">
        <v>209.54968263016247</v>
      </c>
      <c r="S70">
        <v>276.42724091638456</v>
      </c>
      <c r="T70">
        <v>425.78712108894712</v>
      </c>
      <c r="U70">
        <v>774.66505014873883</v>
      </c>
      <c r="V70">
        <v>1279.5906152097155</v>
      </c>
      <c r="W70">
        <v>1809.037951642307</v>
      </c>
      <c r="X70">
        <v>1906.0104111573289</v>
      </c>
      <c r="Y70">
        <v>2067.631177015699</v>
      </c>
      <c r="Z70">
        <v>2142.31111710198</v>
      </c>
      <c r="AA70">
        <v>2195.813163730958</v>
      </c>
      <c r="AB70">
        <v>2218.1056831596984</v>
      </c>
      <c r="AC70">
        <v>2347.4022958463943</v>
      </c>
      <c r="AD70">
        <v>2536.88871099069</v>
      </c>
      <c r="AE70">
        <v>2844.5254791073121</v>
      </c>
      <c r="AF70">
        <v>2901.3714036506008</v>
      </c>
      <c r="AG70">
        <v>2964.9050840225118</v>
      </c>
      <c r="AH70">
        <v>3003.9169930228081</v>
      </c>
      <c r="AI70">
        <v>3144.359865423874</v>
      </c>
      <c r="AJ70">
        <v>3266.968722281948</v>
      </c>
      <c r="AK70">
        <v>3371.7435635970292</v>
      </c>
      <c r="AL70">
        <v>3466.4867711691772</v>
      </c>
      <c r="AM70">
        <v>3602.4711396844955</v>
      </c>
      <c r="AN70">
        <v>3738.4555081998137</v>
      </c>
      <c r="AO70">
        <v>3995.9341076017686</v>
      </c>
      <c r="AP70">
        <v>4843.0498458939146</v>
      </c>
      <c r="AQ70">
        <v>5739.2091269292905</v>
      </c>
      <c r="AR70">
        <v>6566.2615977355699</v>
      </c>
      <c r="AS70">
        <v>7560.5079642574046</v>
      </c>
      <c r="AT70">
        <f>Sheet1!$AT70*_xlfn.XLOOKUP($A70,'[1]SSP4-change-rate'!$B$2:$B$147,'[1]SSP4-change-rate'!C$2:C$147)</f>
        <v>8063.7893675811601</v>
      </c>
      <c r="AU70">
        <f>Sheet1!$AT70*_xlfn.XLOOKUP($A70,'[1]SSP4-change-rate'!$B$2:$B$147,'[1]SSP4-change-rate'!D$2:D$147)</f>
        <v>7863.0382597558473</v>
      </c>
      <c r="AV70">
        <f>Sheet1!$AT70*_xlfn.XLOOKUP($A70,'[1]SSP4-change-rate'!$B$2:$B$147,'[1]SSP4-change-rate'!E$2:E$147)</f>
        <v>7627.1928972299111</v>
      </c>
      <c r="AW70">
        <f>Sheet1!$AT70*_xlfn.XLOOKUP($A70,'[1]SSP4-change-rate'!$B$2:$B$147,'[1]SSP4-change-rate'!F$2:F$147)</f>
        <v>6563.6058723300257</v>
      </c>
      <c r="AX70">
        <f>Sheet1!$AT70*_xlfn.XLOOKUP($A70,'[1]SSP4-change-rate'!$B$2:$B$147,'[1]SSP4-change-rate'!G$2:G$147)</f>
        <v>5155.6646704317627</v>
      </c>
      <c r="AY70">
        <f>Sheet1!$AT70*_xlfn.XLOOKUP($A70,'[1]SSP4-change-rate'!$B$2:$B$147,'[1]SSP4-change-rate'!H$2:H$147)</f>
        <v>4073.3609204586128</v>
      </c>
    </row>
    <row r="71" spans="1:51" x14ac:dyDescent="0.25">
      <c r="A71" t="s">
        <v>287</v>
      </c>
      <c r="B71" t="s">
        <v>288</v>
      </c>
      <c r="C71" t="s">
        <v>289</v>
      </c>
      <c r="D71" t="s">
        <v>91</v>
      </c>
      <c r="E71" t="s">
        <v>66</v>
      </c>
      <c r="F71" t="s">
        <v>66</v>
      </c>
      <c r="G71">
        <v>102224.09202136721</v>
      </c>
      <c r="H71">
        <v>234.97933179862829</v>
      </c>
      <c r="I71">
        <v>102459.07135316584</v>
      </c>
      <c r="J71">
        <v>364330</v>
      </c>
      <c r="K71">
        <v>101.85415903058413</v>
      </c>
      <c r="L71">
        <v>101.85415903058413</v>
      </c>
      <c r="M71">
        <v>101.85415903058413</v>
      </c>
      <c r="N71">
        <v>101.85415903058413</v>
      </c>
      <c r="O71">
        <v>101.85415903058413</v>
      </c>
      <c r="P71">
        <v>101.85415903058413</v>
      </c>
      <c r="Q71">
        <v>101.85415903058413</v>
      </c>
      <c r="R71">
        <v>101.85415903058413</v>
      </c>
      <c r="S71">
        <v>101.85415903058413</v>
      </c>
      <c r="T71">
        <v>101.85415903058413</v>
      </c>
      <c r="U71">
        <v>101.85415903058413</v>
      </c>
      <c r="V71">
        <v>101.85415903058413</v>
      </c>
      <c r="W71">
        <v>101.85415903058413</v>
      </c>
      <c r="X71">
        <v>116.14947959628014</v>
      </c>
      <c r="Y71">
        <v>148.31395086909617</v>
      </c>
      <c r="Z71">
        <v>167.9700166469282</v>
      </c>
      <c r="AA71">
        <v>168.86347418228422</v>
      </c>
      <c r="AB71">
        <v>168.86347418228422</v>
      </c>
      <c r="AC71">
        <v>168.86347418228422</v>
      </c>
      <c r="AD71">
        <v>168.86347418228422</v>
      </c>
      <c r="AE71">
        <v>168.86347418228422</v>
      </c>
      <c r="AF71">
        <v>168.86347418228422</v>
      </c>
      <c r="AG71">
        <v>168.86347418228422</v>
      </c>
      <c r="AH71">
        <v>168.86347418228422</v>
      </c>
      <c r="AI71">
        <v>179.58496460655621</v>
      </c>
      <c r="AJ71">
        <v>185.83916735404824</v>
      </c>
      <c r="AK71">
        <v>187.62608242476026</v>
      </c>
      <c r="AL71">
        <v>187.62608242476026</v>
      </c>
      <c r="AM71">
        <v>190.30645503082826</v>
      </c>
      <c r="AN71">
        <v>192.09337010154024</v>
      </c>
      <c r="AO71">
        <v>198.34757284903225</v>
      </c>
      <c r="AP71">
        <v>201.92140299045624</v>
      </c>
      <c r="AQ71">
        <v>231.4055016572043</v>
      </c>
      <c r="AR71">
        <v>256.4223126471723</v>
      </c>
      <c r="AS71">
        <v>256.4223126471723</v>
      </c>
      <c r="AT71">
        <f>Sheet1!$AT71*_xlfn.XLOOKUP($A71,'[1]SSP4-change-rate'!$B$2:$B$147,'[1]SSP4-change-rate'!C$2:C$147)</f>
        <v>234.97933179862829</v>
      </c>
      <c r="AU71">
        <f>Sheet1!$AT71*_xlfn.XLOOKUP($A71,'[1]SSP4-change-rate'!$B$2:$B$147,'[1]SSP4-change-rate'!D$2:D$147)</f>
        <v>234.97933179862829</v>
      </c>
      <c r="AV71">
        <f>Sheet1!$AT71*_xlfn.XLOOKUP($A71,'[1]SSP4-change-rate'!$B$2:$B$147,'[1]SSP4-change-rate'!E$2:E$147)</f>
        <v>232.88130205042626</v>
      </c>
      <c r="AW71">
        <f>Sheet1!$AT71*_xlfn.XLOOKUP($A71,'[1]SSP4-change-rate'!$B$2:$B$147,'[1]SSP4-change-rate'!F$2:F$147)</f>
        <v>231.18934257606978</v>
      </c>
      <c r="AX71">
        <f>Sheet1!$AT71*_xlfn.XLOOKUP($A71,'[1]SSP4-change-rate'!$B$2:$B$147,'[1]SSP4-change-rate'!G$2:G$147)</f>
        <v>226.52683784903735</v>
      </c>
      <c r="AY71">
        <f>Sheet1!$AT71*_xlfn.XLOOKUP($A71,'[1]SSP4-change-rate'!$B$2:$B$147,'[1]SSP4-change-rate'!H$2:H$147)</f>
        <v>224.50254630442194</v>
      </c>
    </row>
    <row r="72" spans="1:51" x14ac:dyDescent="0.25">
      <c r="A72" t="s">
        <v>290</v>
      </c>
      <c r="B72" t="s">
        <v>291</v>
      </c>
      <c r="C72" t="s">
        <v>292</v>
      </c>
      <c r="D72" t="s">
        <v>70</v>
      </c>
      <c r="E72" t="s">
        <v>71</v>
      </c>
      <c r="F72" t="s">
        <v>70</v>
      </c>
      <c r="G72">
        <v>22158.652598420798</v>
      </c>
      <c r="H72">
        <v>3166.685622724965</v>
      </c>
      <c r="I72">
        <v>25325.338221145765</v>
      </c>
      <c r="J72">
        <v>8685595</v>
      </c>
      <c r="K72">
        <v>71.152337931163743</v>
      </c>
      <c r="L72">
        <v>79.284033694725323</v>
      </c>
      <c r="M72">
        <v>87.41572945828689</v>
      </c>
      <c r="N72">
        <v>95.547425221848471</v>
      </c>
      <c r="O72">
        <v>104.69558295585523</v>
      </c>
      <c r="P72">
        <v>132.14005615787553</v>
      </c>
      <c r="Q72">
        <v>166.69976315301221</v>
      </c>
      <c r="R72">
        <v>210.40762788215565</v>
      </c>
      <c r="S72">
        <v>266.31303625664145</v>
      </c>
      <c r="T72">
        <v>472.65481625701636</v>
      </c>
      <c r="U72">
        <v>623.09118788290539</v>
      </c>
      <c r="V72">
        <v>817.23542423793799</v>
      </c>
      <c r="W72">
        <v>1003.2479648294088</v>
      </c>
      <c r="X72">
        <v>1087.6143083763602</v>
      </c>
      <c r="Y72">
        <v>1104.8941618739286</v>
      </c>
      <c r="Z72">
        <v>1279.7256207905023</v>
      </c>
      <c r="AA72">
        <v>1526.7258796086851</v>
      </c>
      <c r="AB72">
        <v>1578.5654401013901</v>
      </c>
      <c r="AC72">
        <v>1693.4256427616974</v>
      </c>
      <c r="AD72">
        <v>1716.8042680819367</v>
      </c>
      <c r="AE72">
        <v>1801.1706116288881</v>
      </c>
      <c r="AF72">
        <v>1824.5492369491278</v>
      </c>
      <c r="AG72">
        <v>1880.4546453236135</v>
      </c>
      <c r="AH72">
        <v>1918.0637382300858</v>
      </c>
      <c r="AI72">
        <v>1971.9362226636808</v>
      </c>
      <c r="AJ72">
        <v>2035.9733268017285</v>
      </c>
      <c r="AK72">
        <v>2070.5330337968653</v>
      </c>
      <c r="AL72">
        <v>2108.1421267033375</v>
      </c>
      <c r="AM72">
        <v>2176.2450787231655</v>
      </c>
      <c r="AN72">
        <v>2249.4303405952196</v>
      </c>
      <c r="AO72">
        <v>2335.8296080830614</v>
      </c>
      <c r="AP72">
        <v>2474.0684360636078</v>
      </c>
      <c r="AQ72">
        <v>2633.6529654235042</v>
      </c>
      <c r="AR72">
        <v>2750.5460920247015</v>
      </c>
      <c r="AS72">
        <v>2868.4556805963443</v>
      </c>
      <c r="AT72">
        <f>Sheet1!$AT72*_xlfn.XLOOKUP($A72,'[1]SSP4-change-rate'!$B$2:$B$147,'[1]SSP4-change-rate'!C$2:C$147)</f>
        <v>2992.4262560344373</v>
      </c>
      <c r="AU72">
        <f>Sheet1!$AT72*_xlfn.XLOOKUP($A72,'[1]SSP4-change-rate'!$B$2:$B$147,'[1]SSP4-change-rate'!D$2:D$147)</f>
        <v>2967.5433791951691</v>
      </c>
      <c r="AV72">
        <f>Sheet1!$AT72*_xlfn.XLOOKUP($A72,'[1]SSP4-change-rate'!$B$2:$B$147,'[1]SSP4-change-rate'!E$2:E$147)</f>
        <v>2936.4525073687619</v>
      </c>
      <c r="AW72">
        <f>Sheet1!$AT72*_xlfn.XLOOKUP($A72,'[1]SSP4-change-rate'!$B$2:$B$147,'[1]SSP4-change-rate'!F$2:F$147)</f>
        <v>2867.9589640809859</v>
      </c>
      <c r="AX72">
        <f>Sheet1!$AT72*_xlfn.XLOOKUP($A72,'[1]SSP4-change-rate'!$B$2:$B$147,'[1]SSP4-change-rate'!G$2:G$147)</f>
        <v>2781.5357555532296</v>
      </c>
      <c r="AY72">
        <f>Sheet1!$AT72*_xlfn.XLOOKUP($A72,'[1]SSP4-change-rate'!$B$2:$B$147,'[1]SSP4-change-rate'!H$2:H$147)</f>
        <v>2688.7868253663846</v>
      </c>
    </row>
    <row r="73" spans="1:51" x14ac:dyDescent="0.25">
      <c r="A73" t="s">
        <v>293</v>
      </c>
      <c r="B73" t="s">
        <v>294</v>
      </c>
      <c r="C73" t="s">
        <v>295</v>
      </c>
      <c r="D73" t="s">
        <v>91</v>
      </c>
      <c r="E73" t="s">
        <v>66</v>
      </c>
      <c r="F73" t="s">
        <v>66</v>
      </c>
      <c r="G73">
        <v>300733.69396872638</v>
      </c>
      <c r="H73">
        <v>32213.77113683768</v>
      </c>
      <c r="I73">
        <v>332947.46510556404</v>
      </c>
      <c r="J73">
        <v>59639898</v>
      </c>
      <c r="K73">
        <v>2986.2408702607559</v>
      </c>
      <c r="L73">
        <v>3302.0932699998748</v>
      </c>
      <c r="M73">
        <v>3707.1097443064955</v>
      </c>
      <c r="N73">
        <v>4170.3095554071642</v>
      </c>
      <c r="O73">
        <v>4788.4130553751038</v>
      </c>
      <c r="P73">
        <v>5392.9152558327469</v>
      </c>
      <c r="Q73">
        <v>5860.6488334368478</v>
      </c>
      <c r="R73">
        <v>6398.6557918441504</v>
      </c>
      <c r="S73">
        <v>6907.9488957297144</v>
      </c>
      <c r="T73">
        <v>7878.9305552148035</v>
      </c>
      <c r="U73">
        <v>9312.3563980499894</v>
      </c>
      <c r="V73">
        <v>10424.640446892052</v>
      </c>
      <c r="W73">
        <v>10803.209949928652</v>
      </c>
      <c r="X73">
        <v>10881.039608237574</v>
      </c>
      <c r="Y73">
        <v>12177.696828219217</v>
      </c>
      <c r="Z73">
        <v>13719.177439386207</v>
      </c>
      <c r="AA73">
        <v>14770.255640431933</v>
      </c>
      <c r="AB73">
        <v>15120.111288946795</v>
      </c>
      <c r="AC73">
        <v>15503.970186237397</v>
      </c>
      <c r="AD73">
        <v>16164.388840237374</v>
      </c>
      <c r="AE73">
        <v>16725.820258912408</v>
      </c>
      <c r="AF73">
        <v>17503.361214251054</v>
      </c>
      <c r="AG73">
        <v>18204.583766781914</v>
      </c>
      <c r="AH73">
        <v>18772.815835212103</v>
      </c>
      <c r="AI73">
        <v>19133.250272234971</v>
      </c>
      <c r="AJ73">
        <v>19583.604411575918</v>
      </c>
      <c r="AK73">
        <v>19991.643396884825</v>
      </c>
      <c r="AL73">
        <v>20707.222876676558</v>
      </c>
      <c r="AM73">
        <v>22348.446350919061</v>
      </c>
      <c r="AN73">
        <v>23119.942284253124</v>
      </c>
      <c r="AO73">
        <v>24180.843646056292</v>
      </c>
      <c r="AP73">
        <v>26180.234674069947</v>
      </c>
      <c r="AQ73">
        <v>28027.744524218615</v>
      </c>
      <c r="AR73">
        <v>29811.781643319231</v>
      </c>
      <c r="AS73">
        <v>31184.001638358084</v>
      </c>
      <c r="AT73">
        <f>Sheet1!$AT73*_xlfn.XLOOKUP($A73,'[1]SSP4-change-rate'!$B$2:$B$147,'[1]SSP4-change-rate'!C$2:C$147)</f>
        <v>31759.413910833631</v>
      </c>
      <c r="AU73">
        <f>Sheet1!$AT73*_xlfn.XLOOKUP($A73,'[1]SSP4-change-rate'!$B$2:$B$147,'[1]SSP4-change-rate'!D$2:D$147)</f>
        <v>31687.405740543851</v>
      </c>
      <c r="AV73">
        <f>Sheet1!$AT73*_xlfn.XLOOKUP($A73,'[1]SSP4-change-rate'!$B$2:$B$147,'[1]SSP4-change-rate'!E$2:E$147)</f>
        <v>31582.861892380679</v>
      </c>
      <c r="AW73">
        <f>Sheet1!$AT73*_xlfn.XLOOKUP($A73,'[1]SSP4-change-rate'!$B$2:$B$147,'[1]SSP4-change-rate'!F$2:F$147)</f>
        <v>31327.091280939258</v>
      </c>
      <c r="AX73">
        <f>Sheet1!$AT73*_xlfn.XLOOKUP($A73,'[1]SSP4-change-rate'!$B$2:$B$147,'[1]SSP4-change-rate'!G$2:G$147)</f>
        <v>30986.99675906483</v>
      </c>
      <c r="AY73">
        <f>Sheet1!$AT73*_xlfn.XLOOKUP($A73,'[1]SSP4-change-rate'!$B$2:$B$147,'[1]SSP4-change-rate'!H$2:H$147)</f>
        <v>30521.130622731045</v>
      </c>
    </row>
    <row r="74" spans="1:51" x14ac:dyDescent="0.25">
      <c r="A74" t="s">
        <v>296</v>
      </c>
      <c r="B74" t="s">
        <v>297</v>
      </c>
      <c r="C74" t="s">
        <v>298</v>
      </c>
      <c r="D74" t="s">
        <v>121</v>
      </c>
      <c r="E74" t="s">
        <v>76</v>
      </c>
      <c r="F74" t="s">
        <v>77</v>
      </c>
      <c r="G74">
        <v>11000.034256386811</v>
      </c>
      <c r="H74">
        <v>994.57311196982187</v>
      </c>
      <c r="I74">
        <v>11994.607368356632</v>
      </c>
      <c r="J74">
        <v>2814476</v>
      </c>
      <c r="K74">
        <v>68.121446025330258</v>
      </c>
      <c r="L74">
        <v>72.662875760352279</v>
      </c>
      <c r="M74">
        <v>77.2043054953743</v>
      </c>
      <c r="N74">
        <v>86.287164965418327</v>
      </c>
      <c r="O74">
        <v>99.911454170484376</v>
      </c>
      <c r="P74">
        <v>113.53574337555044</v>
      </c>
      <c r="Q74">
        <v>127.16003258061649</v>
      </c>
      <c r="R74">
        <v>145.32575152070456</v>
      </c>
      <c r="S74">
        <v>168.03290019581465</v>
      </c>
      <c r="T74">
        <v>236.15434622114489</v>
      </c>
      <c r="U74">
        <v>367.8558085367834</v>
      </c>
      <c r="V74">
        <v>472.30869244228978</v>
      </c>
      <c r="W74">
        <v>549.51299793766418</v>
      </c>
      <c r="X74">
        <v>594.92729528788436</v>
      </c>
      <c r="Y74">
        <v>604.01015475792838</v>
      </c>
      <c r="Z74">
        <v>690.29731972334662</v>
      </c>
      <c r="AA74">
        <v>731.17018733854491</v>
      </c>
      <c r="AB74">
        <v>744.79447654361081</v>
      </c>
      <c r="AC74">
        <v>762.96019548369895</v>
      </c>
      <c r="AD74">
        <v>876.49593885924946</v>
      </c>
      <c r="AE74">
        <v>890.12022806431537</v>
      </c>
      <c r="AF74">
        <v>908.28594700440351</v>
      </c>
      <c r="AG74">
        <v>908.28594700440351</v>
      </c>
      <c r="AH74">
        <v>908.28594700440351</v>
      </c>
      <c r="AI74">
        <v>908.28594700440351</v>
      </c>
      <c r="AJ74">
        <v>908.28594700440351</v>
      </c>
      <c r="AK74">
        <v>917.36880647444752</v>
      </c>
      <c r="AL74">
        <v>926.45166594449154</v>
      </c>
      <c r="AM74">
        <v>930.99309567951366</v>
      </c>
      <c r="AN74">
        <v>930.99309567951366</v>
      </c>
      <c r="AO74">
        <v>949.15881461960169</v>
      </c>
      <c r="AP74">
        <v>949.15881461960169</v>
      </c>
      <c r="AQ74">
        <v>962.78310382466771</v>
      </c>
      <c r="AR74">
        <v>985.49025249977785</v>
      </c>
      <c r="AS74">
        <v>985.49025249977785</v>
      </c>
      <c r="AT74">
        <f>Sheet1!$AT74*_xlfn.XLOOKUP($A74,'[1]SSP4-change-rate'!$B$2:$B$147,'[1]SSP4-change-rate'!C$2:C$147)</f>
        <v>970.76341965961967</v>
      </c>
      <c r="AU74">
        <f>Sheet1!$AT74*_xlfn.XLOOKUP($A74,'[1]SSP4-change-rate'!$B$2:$B$147,'[1]SSP4-change-rate'!D$2:D$147)</f>
        <v>959.85811518177229</v>
      </c>
      <c r="AV74">
        <f>Sheet1!$AT74*_xlfn.XLOOKUP($A74,'[1]SSP4-change-rate'!$B$2:$B$147,'[1]SSP4-change-rate'!E$2:E$147)</f>
        <v>949.58301410034551</v>
      </c>
      <c r="AW74">
        <f>Sheet1!$AT74*_xlfn.XLOOKUP($A74,'[1]SSP4-change-rate'!$B$2:$B$147,'[1]SSP4-change-rate'!F$2:F$147)</f>
        <v>920.46738613740536</v>
      </c>
      <c r="AX74">
        <f>Sheet1!$AT74*_xlfn.XLOOKUP($A74,'[1]SSP4-change-rate'!$B$2:$B$147,'[1]SSP4-change-rate'!G$2:G$147)</f>
        <v>893.82567322124896</v>
      </c>
      <c r="AY74">
        <f>Sheet1!$AT74*_xlfn.XLOOKUP($A74,'[1]SSP4-change-rate'!$B$2:$B$147,'[1]SSP4-change-rate'!H$2:H$147)</f>
        <v>860.16841766905122</v>
      </c>
    </row>
    <row r="75" spans="1:51" x14ac:dyDescent="0.25">
      <c r="A75" t="s">
        <v>299</v>
      </c>
      <c r="B75" t="s">
        <v>300</v>
      </c>
      <c r="C75" t="s">
        <v>301</v>
      </c>
      <c r="D75" t="s">
        <v>70</v>
      </c>
      <c r="E75" t="s">
        <v>71</v>
      </c>
      <c r="F75" t="s">
        <v>70</v>
      </c>
      <c r="G75">
        <v>89194.609916811387</v>
      </c>
      <c r="H75">
        <v>2313.1649519036928</v>
      </c>
      <c r="I75">
        <v>91507.774868715074</v>
      </c>
      <c r="J75">
        <v>10817082</v>
      </c>
      <c r="K75">
        <v>22.463364427324038</v>
      </c>
      <c r="L75">
        <v>26.675245257447294</v>
      </c>
      <c r="M75">
        <v>32.291086364278307</v>
      </c>
      <c r="N75">
        <v>40.714848024524819</v>
      </c>
      <c r="O75">
        <v>53.350490514894588</v>
      </c>
      <c r="P75">
        <v>63.178212451848857</v>
      </c>
      <c r="Q75">
        <v>75.813854942218626</v>
      </c>
      <c r="R75">
        <v>91.257417986003901</v>
      </c>
      <c r="S75">
        <v>106.70098102978918</v>
      </c>
      <c r="T75">
        <v>211.9980017828706</v>
      </c>
      <c r="U75">
        <v>328.52670474961405</v>
      </c>
      <c r="V75">
        <v>353.79798973035361</v>
      </c>
      <c r="W75">
        <v>474.53857352722031</v>
      </c>
      <c r="X75">
        <v>512.44550099832963</v>
      </c>
      <c r="Y75">
        <v>575.62371345017857</v>
      </c>
      <c r="Z75">
        <v>682.32469447996766</v>
      </c>
      <c r="AA75">
        <v>842.37616602465141</v>
      </c>
      <c r="AB75">
        <v>859.22368934514441</v>
      </c>
      <c r="AC75">
        <v>873.26329211222208</v>
      </c>
      <c r="AD75">
        <v>895.72665653954607</v>
      </c>
      <c r="AE75">
        <v>915.38210041345451</v>
      </c>
      <c r="AF75">
        <v>930.82566345723978</v>
      </c>
      <c r="AG75">
        <v>965.92467037493361</v>
      </c>
      <c r="AH75">
        <v>991.19595535567328</v>
      </c>
      <c r="AI75">
        <v>1010.8513992295817</v>
      </c>
      <c r="AJ75">
        <v>1033.3147636569058</v>
      </c>
      <c r="AK75">
        <v>1048.758326700691</v>
      </c>
      <c r="AL75">
        <v>1096.4929761087546</v>
      </c>
      <c r="AM75">
        <v>1305.6830573382099</v>
      </c>
      <c r="AN75">
        <v>1381.4969122804282</v>
      </c>
      <c r="AO75">
        <v>1534.5285824415735</v>
      </c>
      <c r="AP75">
        <v>1712.8315375834579</v>
      </c>
      <c r="AQ75">
        <v>1784.4335116955533</v>
      </c>
      <c r="AR75">
        <v>1840.5919227638633</v>
      </c>
      <c r="AS75">
        <v>1976.7760696045152</v>
      </c>
      <c r="AT75">
        <f>Sheet1!$AT75*_xlfn.XLOOKUP($A75,'[1]SSP4-change-rate'!$B$2:$B$147,'[1]SSP4-change-rate'!C$2:C$147)</f>
        <v>2179.9514435147298</v>
      </c>
      <c r="AU75">
        <f>Sheet1!$AT75*_xlfn.XLOOKUP($A75,'[1]SSP4-change-rate'!$B$2:$B$147,'[1]SSP4-change-rate'!D$2:D$147)</f>
        <v>2189.7462177947682</v>
      </c>
      <c r="AV75">
        <f>Sheet1!$AT75*_xlfn.XLOOKUP($A75,'[1]SSP4-change-rate'!$B$2:$B$147,'[1]SSP4-change-rate'!E$2:E$147)</f>
        <v>2203.6242394558312</v>
      </c>
      <c r="AW75">
        <f>Sheet1!$AT75*_xlfn.XLOOKUP($A75,'[1]SSP4-change-rate'!$B$2:$B$147,'[1]SSP4-change-rate'!F$2:F$147)</f>
        <v>2212.7969169498238</v>
      </c>
      <c r="AX75">
        <f>Sheet1!$AT75*_xlfn.XLOOKUP($A75,'[1]SSP4-change-rate'!$B$2:$B$147,'[1]SSP4-change-rate'!G$2:G$147)</f>
        <v>2228.581833965643</v>
      </c>
      <c r="AY75">
        <f>Sheet1!$AT75*_xlfn.XLOOKUP($A75,'[1]SSP4-change-rate'!$B$2:$B$147,'[1]SSP4-change-rate'!H$2:H$147)</f>
        <v>2251.5834049967611</v>
      </c>
    </row>
    <row r="76" spans="1:51" x14ac:dyDescent="0.25">
      <c r="A76" t="s">
        <v>302</v>
      </c>
      <c r="B76" t="s">
        <v>303</v>
      </c>
      <c r="C76" t="s">
        <v>304</v>
      </c>
      <c r="D76" t="s">
        <v>303</v>
      </c>
      <c r="E76" t="s">
        <v>55</v>
      </c>
      <c r="F76" t="s">
        <v>87</v>
      </c>
      <c r="G76">
        <v>372467.76577284659</v>
      </c>
      <c r="H76">
        <v>78320.445943524217</v>
      </c>
      <c r="I76">
        <v>450788.21171637077</v>
      </c>
      <c r="J76">
        <v>125542768</v>
      </c>
      <c r="K76">
        <v>4537.4869769197412</v>
      </c>
      <c r="L76">
        <v>5245.7776269755059</v>
      </c>
      <c r="M76">
        <v>6469.1887497990992</v>
      </c>
      <c r="N76">
        <v>7863.6359670963866</v>
      </c>
      <c r="O76">
        <v>10449.299277669277</v>
      </c>
      <c r="P76">
        <v>11944.355962304029</v>
      </c>
      <c r="Q76">
        <v>14002.825664028596</v>
      </c>
      <c r="R76">
        <v>16081.417259220654</v>
      </c>
      <c r="S76">
        <v>19194.27417864187</v>
      </c>
      <c r="T76">
        <v>24158.345297072472</v>
      </c>
      <c r="U76">
        <v>32794.661973320595</v>
      </c>
      <c r="V76">
        <v>41728.782672887632</v>
      </c>
      <c r="W76">
        <v>47097.303850014847</v>
      </c>
      <c r="X76">
        <v>48369.007517160426</v>
      </c>
      <c r="Y76">
        <v>51775.644081207036</v>
      </c>
      <c r="Z76">
        <v>55777.888691891458</v>
      </c>
      <c r="AA76">
        <v>58200.564665377657</v>
      </c>
      <c r="AB76">
        <v>59434.036734934998</v>
      </c>
      <c r="AC76">
        <v>60138.303006297261</v>
      </c>
      <c r="AD76">
        <v>61232.934010928897</v>
      </c>
      <c r="AE76">
        <v>61905.005252743169</v>
      </c>
      <c r="AF76">
        <v>62657.564068427419</v>
      </c>
      <c r="AG76">
        <v>63317.562174161205</v>
      </c>
      <c r="AH76">
        <v>63967.499333161242</v>
      </c>
      <c r="AI76">
        <v>64369.937202511108</v>
      </c>
      <c r="AJ76">
        <v>64808.59448010246</v>
      </c>
      <c r="AK76">
        <v>65307.617438096291</v>
      </c>
      <c r="AL76">
        <v>66100.420040715529</v>
      </c>
      <c r="AM76">
        <v>67533.098855601056</v>
      </c>
      <c r="AN76">
        <v>68352.059919728024</v>
      </c>
      <c r="AO76">
        <v>69319.922995514455</v>
      </c>
      <c r="AP76">
        <v>70424.614946879839</v>
      </c>
      <c r="AQ76">
        <v>72468.999323177166</v>
      </c>
      <c r="AR76">
        <v>75449.051745712917</v>
      </c>
      <c r="AS76">
        <v>78730.93257026108</v>
      </c>
      <c r="AT76">
        <f>Sheet1!$AT76*_xlfn.XLOOKUP($A76,'[1]SSP4-change-rate'!$B$2:$B$147,'[1]SSP4-change-rate'!C$2:C$147)</f>
        <v>78157.967430786666</v>
      </c>
      <c r="AU76">
        <f>Sheet1!$AT76*_xlfn.XLOOKUP($A76,'[1]SSP4-change-rate'!$B$2:$B$147,'[1]SSP4-change-rate'!D$2:D$147)</f>
        <v>78157.967430786666</v>
      </c>
      <c r="AV76">
        <f>Sheet1!$AT76*_xlfn.XLOOKUP($A76,'[1]SSP4-change-rate'!$B$2:$B$147,'[1]SSP4-change-rate'!E$2:E$147)</f>
        <v>78157.967430786666</v>
      </c>
      <c r="AW76">
        <f>Sheet1!$AT76*_xlfn.XLOOKUP($A76,'[1]SSP4-change-rate'!$B$2:$B$147,'[1]SSP4-change-rate'!F$2:F$147)</f>
        <v>78157.967430786666</v>
      </c>
      <c r="AX76">
        <f>Sheet1!$AT76*_xlfn.XLOOKUP($A76,'[1]SSP4-change-rate'!$B$2:$B$147,'[1]SSP4-change-rate'!G$2:G$147)</f>
        <v>78157.967430786666</v>
      </c>
      <c r="AY76">
        <f>Sheet1!$AT76*_xlfn.XLOOKUP($A76,'[1]SSP4-change-rate'!$B$2:$B$147,'[1]SSP4-change-rate'!H$2:H$147)</f>
        <v>78157.967430786666</v>
      </c>
    </row>
    <row r="77" spans="1:51" x14ac:dyDescent="0.25">
      <c r="A77" t="s">
        <v>305</v>
      </c>
      <c r="B77" t="s">
        <v>306</v>
      </c>
      <c r="C77" t="s">
        <v>307</v>
      </c>
      <c r="D77" t="s">
        <v>308</v>
      </c>
      <c r="E77" t="s">
        <v>71</v>
      </c>
      <c r="F77" t="s">
        <v>82</v>
      </c>
      <c r="G77">
        <v>2730534.1394721689</v>
      </c>
      <c r="H77">
        <v>5051.7966055238776</v>
      </c>
      <c r="I77">
        <v>2735585.9360776925</v>
      </c>
      <c r="J77">
        <v>18861057</v>
      </c>
      <c r="K77">
        <v>0</v>
      </c>
      <c r="L77">
        <v>0</v>
      </c>
      <c r="M77">
        <v>0</v>
      </c>
      <c r="N77">
        <v>131.85288030077547</v>
      </c>
      <c r="O77">
        <v>366.25800083548739</v>
      </c>
      <c r="P77">
        <v>539.31490623025525</v>
      </c>
      <c r="Q77">
        <v>539.31490623025525</v>
      </c>
      <c r="R77">
        <v>539.31490623025525</v>
      </c>
      <c r="S77">
        <v>539.31490623025525</v>
      </c>
      <c r="T77">
        <v>729.76906666470859</v>
      </c>
      <c r="U77">
        <v>1005.378212293413</v>
      </c>
      <c r="V77">
        <v>1239.7833328281249</v>
      </c>
      <c r="W77">
        <v>1484.2605483858126</v>
      </c>
      <c r="X77">
        <v>1495.2482884108774</v>
      </c>
      <c r="Y77">
        <v>1657.3174537805805</v>
      </c>
      <c r="Z77">
        <v>1707.6779288954599</v>
      </c>
      <c r="AA77">
        <v>1727.8221189414119</v>
      </c>
      <c r="AB77">
        <v>1773.6043690458478</v>
      </c>
      <c r="AC77">
        <v>1792.8329140897108</v>
      </c>
      <c r="AD77">
        <v>1812.0614591335739</v>
      </c>
      <c r="AE77">
        <v>1831.2900041774371</v>
      </c>
      <c r="AF77">
        <v>1876.1566092797843</v>
      </c>
      <c r="AG77">
        <v>1896.3007993257361</v>
      </c>
      <c r="AH77">
        <v>1933.8422444113735</v>
      </c>
      <c r="AI77">
        <v>1960.3959494719466</v>
      </c>
      <c r="AJ77">
        <v>2003.4312645701161</v>
      </c>
      <c r="AK77">
        <v>2038.2257746494874</v>
      </c>
      <c r="AL77">
        <v>2119.7181798353836</v>
      </c>
      <c r="AM77">
        <v>2262.5588001612232</v>
      </c>
      <c r="AN77">
        <v>2358.7015253805389</v>
      </c>
      <c r="AO77">
        <v>2550.9869758191699</v>
      </c>
      <c r="AP77">
        <v>2800.95806138939</v>
      </c>
      <c r="AQ77">
        <v>3286.2499124964106</v>
      </c>
      <c r="AR77">
        <v>3961.9959240378848</v>
      </c>
      <c r="AS77">
        <v>4475.6727702096559</v>
      </c>
      <c r="AT77">
        <f>Sheet1!$AT77*_xlfn.XLOOKUP($A77,'[1]SSP4-change-rate'!$B$2:$B$147,'[1]SSP4-change-rate'!C$2:C$147)</f>
        <v>4769.1452728215072</v>
      </c>
      <c r="AU77">
        <f>Sheet1!$AT77*_xlfn.XLOOKUP($A77,'[1]SSP4-change-rate'!$B$2:$B$147,'[1]SSP4-change-rate'!D$2:D$147)</f>
        <v>4751.4431633004115</v>
      </c>
      <c r="AV77">
        <f>Sheet1!$AT77*_xlfn.XLOOKUP($A77,'[1]SSP4-change-rate'!$B$2:$B$147,'[1]SSP4-change-rate'!E$2:E$147)</f>
        <v>4730.2408418717514</v>
      </c>
      <c r="AW77">
        <f>Sheet1!$AT77*_xlfn.XLOOKUP($A77,'[1]SSP4-change-rate'!$B$2:$B$147,'[1]SSP4-change-rate'!F$2:F$147)</f>
        <v>4655.1103651622661</v>
      </c>
      <c r="AX77">
        <f>Sheet1!$AT77*_xlfn.XLOOKUP($A77,'[1]SSP4-change-rate'!$B$2:$B$147,'[1]SSP4-change-rate'!G$2:G$147)</f>
        <v>4556.5785307392471</v>
      </c>
      <c r="AY77">
        <f>Sheet1!$AT77*_xlfn.XLOOKUP($A77,'[1]SSP4-change-rate'!$B$2:$B$147,'[1]SSP4-change-rate'!H$2:H$147)</f>
        <v>4425.176666309083</v>
      </c>
    </row>
    <row r="78" spans="1:51" x14ac:dyDescent="0.25">
      <c r="A78" t="s">
        <v>309</v>
      </c>
      <c r="B78" t="s">
        <v>310</v>
      </c>
      <c r="C78" t="s">
        <v>311</v>
      </c>
      <c r="D78" t="s">
        <v>98</v>
      </c>
      <c r="E78" t="s">
        <v>61</v>
      </c>
      <c r="F78" t="s">
        <v>61</v>
      </c>
      <c r="G78">
        <v>585983.76478242478</v>
      </c>
      <c r="H78">
        <v>2445.5401739217082</v>
      </c>
      <c r="I78">
        <v>588429.30495634652</v>
      </c>
      <c r="J78">
        <v>51460216</v>
      </c>
      <c r="K78">
        <v>94.544078888725835</v>
      </c>
      <c r="L78">
        <v>94.544078888725835</v>
      </c>
      <c r="M78">
        <v>94.544078888725835</v>
      </c>
      <c r="N78">
        <v>94.544078888725835</v>
      </c>
      <c r="O78">
        <v>94.544078888725835</v>
      </c>
      <c r="P78">
        <v>94.544078888725835</v>
      </c>
      <c r="Q78">
        <v>94.544078888725835</v>
      </c>
      <c r="R78">
        <v>94.544078888725835</v>
      </c>
      <c r="S78">
        <v>107.14995607388927</v>
      </c>
      <c r="T78">
        <v>138.6646490367979</v>
      </c>
      <c r="U78">
        <v>226.90578933294199</v>
      </c>
      <c r="V78">
        <v>441.20570148072056</v>
      </c>
      <c r="W78">
        <v>674.41442940624427</v>
      </c>
      <c r="X78">
        <v>857.19964859111417</v>
      </c>
      <c r="Y78">
        <v>945.44078888725835</v>
      </c>
      <c r="Z78">
        <v>1090.4083765166379</v>
      </c>
      <c r="AA78">
        <v>1128.2260080721283</v>
      </c>
      <c r="AB78">
        <v>1147.1348238498733</v>
      </c>
      <c r="AC78">
        <v>1147.1348238498733</v>
      </c>
      <c r="AD78">
        <v>1178.6495168127819</v>
      </c>
      <c r="AE78">
        <v>1184.9524554053637</v>
      </c>
      <c r="AF78">
        <v>1197.5583325905272</v>
      </c>
      <c r="AG78">
        <v>1210.1642097756908</v>
      </c>
      <c r="AH78">
        <v>1216.4671483682723</v>
      </c>
      <c r="AI78">
        <v>1216.4671483682723</v>
      </c>
      <c r="AJ78">
        <v>1241.6789027385992</v>
      </c>
      <c r="AK78">
        <v>1260.5877185163442</v>
      </c>
      <c r="AL78">
        <v>1298.4053500718348</v>
      </c>
      <c r="AM78">
        <v>1487.4935078492863</v>
      </c>
      <c r="AN78">
        <v>1550.5228937751035</v>
      </c>
      <c r="AO78">
        <v>1582.0375867380124</v>
      </c>
      <c r="AP78">
        <v>1821.5492532561177</v>
      </c>
      <c r="AQ78">
        <v>1972.819779478079</v>
      </c>
      <c r="AR78">
        <v>2199.7255688110213</v>
      </c>
      <c r="AS78">
        <v>2338.3902178478188</v>
      </c>
      <c r="AT78">
        <f>Sheet1!$AT78*_xlfn.XLOOKUP($A78,'[1]SSP4-change-rate'!$B$2:$B$147,'[1]SSP4-change-rate'!C$2:C$147)</f>
        <v>2333.8881188531172</v>
      </c>
      <c r="AU78">
        <f>Sheet1!$AT78*_xlfn.XLOOKUP($A78,'[1]SSP4-change-rate'!$B$2:$B$147,'[1]SSP4-change-rate'!D$2:D$147)</f>
        <v>2346.4521160476329</v>
      </c>
      <c r="AV78">
        <f>Sheet1!$AT78*_xlfn.XLOOKUP($A78,'[1]SSP4-change-rate'!$B$2:$B$147,'[1]SSP4-change-rate'!E$2:E$147)</f>
        <v>2375.0009037153682</v>
      </c>
      <c r="AW78">
        <f>Sheet1!$AT78*_xlfn.XLOOKUP($A78,'[1]SSP4-change-rate'!$B$2:$B$147,'[1]SSP4-change-rate'!F$2:F$147)</f>
        <v>2334.8761901369103</v>
      </c>
      <c r="AX78">
        <f>Sheet1!$AT78*_xlfn.XLOOKUP($A78,'[1]SSP4-change-rate'!$B$2:$B$147,'[1]SSP4-change-rate'!G$2:G$147)</f>
        <v>2075.9358548527161</v>
      </c>
      <c r="AY78">
        <f>Sheet1!$AT78*_xlfn.XLOOKUP($A78,'[1]SSP4-change-rate'!$B$2:$B$147,'[1]SSP4-change-rate'!H$2:H$147)</f>
        <v>1386.5056425782004</v>
      </c>
    </row>
    <row r="79" spans="1:51" x14ac:dyDescent="0.25">
      <c r="A79" t="s">
        <v>312</v>
      </c>
      <c r="B79" t="s">
        <v>313</v>
      </c>
      <c r="C79" t="s">
        <v>314</v>
      </c>
      <c r="D79" t="s">
        <v>308</v>
      </c>
      <c r="E79" t="s">
        <v>71</v>
      </c>
      <c r="F79" t="s">
        <v>82</v>
      </c>
      <c r="G79">
        <v>197448.54876372989</v>
      </c>
      <c r="H79">
        <v>834.35466797810409</v>
      </c>
      <c r="I79">
        <v>198282.90343170799</v>
      </c>
      <c r="J79">
        <v>6372332.9999999991</v>
      </c>
      <c r="K79">
        <v>21.031323552583789</v>
      </c>
      <c r="L79">
        <v>23.555082378893843</v>
      </c>
      <c r="M79">
        <v>27.761347089410602</v>
      </c>
      <c r="N79">
        <v>32.808864742030714</v>
      </c>
      <c r="O79">
        <v>41.221394163064232</v>
      </c>
      <c r="P79">
        <v>43.745152989374283</v>
      </c>
      <c r="Q79">
        <v>47.110164757787686</v>
      </c>
      <c r="R79">
        <v>51.316429468304449</v>
      </c>
      <c r="S79">
        <v>56.363947120924557</v>
      </c>
      <c r="T79">
        <v>80.760282441921746</v>
      </c>
      <c r="U79">
        <v>122.82292954708933</v>
      </c>
      <c r="V79">
        <v>161.52056488384349</v>
      </c>
      <c r="W79">
        <v>194.32942962587421</v>
      </c>
      <c r="X79">
        <v>197.69444139428765</v>
      </c>
      <c r="Y79">
        <v>233.86831790473175</v>
      </c>
      <c r="Z79">
        <v>252.37588263100545</v>
      </c>
      <c r="AA79">
        <v>257.4234002836256</v>
      </c>
      <c r="AB79">
        <v>260.78841205203901</v>
      </c>
      <c r="AC79">
        <v>262.47091793624571</v>
      </c>
      <c r="AD79">
        <v>264.99467676255574</v>
      </c>
      <c r="AE79">
        <v>269.20094147307248</v>
      </c>
      <c r="AF79">
        <v>270.88344735727924</v>
      </c>
      <c r="AG79">
        <v>274.24845912569259</v>
      </c>
      <c r="AH79">
        <v>275.93096500989935</v>
      </c>
      <c r="AI79">
        <v>280.13722972041609</v>
      </c>
      <c r="AJ79">
        <v>282.66098854672612</v>
      </c>
      <c r="AK79">
        <v>286.86725325724291</v>
      </c>
      <c r="AL79">
        <v>300.32730033089655</v>
      </c>
      <c r="AM79">
        <v>306.21607092561999</v>
      </c>
      <c r="AN79">
        <v>313.78734740455019</v>
      </c>
      <c r="AO79">
        <v>318.83486505717025</v>
      </c>
      <c r="AP79">
        <v>333.97741801503059</v>
      </c>
      <c r="AQ79">
        <v>387.81760630964504</v>
      </c>
      <c r="AR79">
        <v>450.91157696739646</v>
      </c>
      <c r="AS79">
        <v>482.03793582522047</v>
      </c>
      <c r="AT79">
        <f>Sheet1!$AT79*_xlfn.XLOOKUP($A79,'[1]SSP4-change-rate'!$B$2:$B$147,'[1]SSP4-change-rate'!C$2:C$147)</f>
        <v>544.29065354086845</v>
      </c>
      <c r="AU79">
        <f>Sheet1!$AT79*_xlfn.XLOOKUP($A79,'[1]SSP4-change-rate'!$B$2:$B$147,'[1]SSP4-change-rate'!D$2:D$147)</f>
        <v>527.62869475900516</v>
      </c>
      <c r="AV79">
        <f>Sheet1!$AT79*_xlfn.XLOOKUP($A79,'[1]SSP4-change-rate'!$B$2:$B$147,'[1]SSP4-change-rate'!E$2:E$147)</f>
        <v>518.84718577681326</v>
      </c>
      <c r="AW79">
        <f>Sheet1!$AT79*_xlfn.XLOOKUP($A79,'[1]SSP4-change-rate'!$B$2:$B$147,'[1]SSP4-change-rate'!F$2:F$147)</f>
        <v>487.97155750629946</v>
      </c>
      <c r="AX79">
        <f>Sheet1!$AT79*_xlfn.XLOOKUP($A79,'[1]SSP4-change-rate'!$B$2:$B$147,'[1]SSP4-change-rate'!G$2:G$147)</f>
        <v>479.35264747261039</v>
      </c>
      <c r="AY79">
        <f>Sheet1!$AT79*_xlfn.XLOOKUP($A79,'[1]SSP4-change-rate'!$B$2:$B$147,'[1]SSP4-change-rate'!H$2:H$147)</f>
        <v>465.33406000190195</v>
      </c>
    </row>
    <row r="80" spans="1:51" x14ac:dyDescent="0.25">
      <c r="A80" t="s">
        <v>315</v>
      </c>
      <c r="B80" t="s">
        <v>316</v>
      </c>
      <c r="C80" t="s">
        <v>317</v>
      </c>
      <c r="D80" t="s">
        <v>139</v>
      </c>
      <c r="E80" t="s">
        <v>55</v>
      </c>
      <c r="F80" t="s">
        <v>140</v>
      </c>
      <c r="G80">
        <v>181696.91258783301</v>
      </c>
      <c r="H80">
        <v>1148.9585168857359</v>
      </c>
      <c r="I80">
        <v>182845.87110471874</v>
      </c>
      <c r="J80">
        <v>16296273</v>
      </c>
      <c r="K80">
        <v>19.085689649264712</v>
      </c>
      <c r="L80">
        <v>19.085689649264712</v>
      </c>
      <c r="M80">
        <v>19.085689649264712</v>
      </c>
      <c r="N80">
        <v>19.085689649264712</v>
      </c>
      <c r="O80">
        <v>19.085689649264712</v>
      </c>
      <c r="P80">
        <v>19.085689649264712</v>
      </c>
      <c r="Q80">
        <v>19.085689649264712</v>
      </c>
      <c r="R80">
        <v>19.085689649264712</v>
      </c>
      <c r="S80">
        <v>19.085689649264712</v>
      </c>
      <c r="T80">
        <v>19.085689649264712</v>
      </c>
      <c r="U80">
        <v>66.799913772426507</v>
      </c>
      <c r="V80">
        <v>66.799913772426507</v>
      </c>
      <c r="W80">
        <v>114.51413789558829</v>
      </c>
      <c r="X80">
        <v>124.05698272022065</v>
      </c>
      <c r="Y80">
        <v>124.05698272022065</v>
      </c>
      <c r="Z80">
        <v>314.91387921286776</v>
      </c>
      <c r="AA80">
        <v>314.91387921286776</v>
      </c>
      <c r="AB80">
        <v>314.91387921286776</v>
      </c>
      <c r="AC80">
        <v>314.91387921286776</v>
      </c>
      <c r="AD80">
        <v>314.91387921286776</v>
      </c>
      <c r="AE80">
        <v>314.91387921286776</v>
      </c>
      <c r="AF80">
        <v>314.91387921286776</v>
      </c>
      <c r="AG80">
        <v>314.91387921286776</v>
      </c>
      <c r="AH80">
        <v>314.91387921286776</v>
      </c>
      <c r="AI80">
        <v>314.91387921286776</v>
      </c>
      <c r="AJ80">
        <v>314.91387921286776</v>
      </c>
      <c r="AK80">
        <v>314.91387921286776</v>
      </c>
      <c r="AL80">
        <v>381.71379298529433</v>
      </c>
      <c r="AM80">
        <v>467.59939640698553</v>
      </c>
      <c r="AN80">
        <v>496.22793088088258</v>
      </c>
      <c r="AO80">
        <v>505.77077570551495</v>
      </c>
      <c r="AP80">
        <v>648.91344807500025</v>
      </c>
      <c r="AQ80">
        <v>811.14181009375045</v>
      </c>
      <c r="AR80">
        <v>858.85603421691224</v>
      </c>
      <c r="AS80">
        <v>935.19879281397107</v>
      </c>
      <c r="AT80">
        <f>Sheet1!$AT80*_xlfn.XLOOKUP($A80,'[1]SSP4-change-rate'!$B$2:$B$147,'[1]SSP4-change-rate'!C$2:C$147)</f>
        <v>1011.5415514110299</v>
      </c>
      <c r="AU80">
        <f>Sheet1!$AT80*_xlfn.XLOOKUP($A80,'[1]SSP4-change-rate'!$B$2:$B$147,'[1]SSP4-change-rate'!D$2:D$147)</f>
        <v>1001.8151903397701</v>
      </c>
      <c r="AV80">
        <f>Sheet1!$AT80*_xlfn.XLOOKUP($A80,'[1]SSP4-change-rate'!$B$2:$B$147,'[1]SSP4-change-rate'!E$2:E$147)</f>
        <v>987.45722875838635</v>
      </c>
      <c r="AW80">
        <f>Sheet1!$AT80*_xlfn.XLOOKUP($A80,'[1]SSP4-change-rate'!$B$2:$B$147,'[1]SSP4-change-rate'!F$2:F$147)</f>
        <v>883.55057959983844</v>
      </c>
      <c r="AX80">
        <f>Sheet1!$AT80*_xlfn.XLOOKUP($A80,'[1]SSP4-change-rate'!$B$2:$B$147,'[1]SSP4-change-rate'!G$2:G$147)</f>
        <v>740.15235469099753</v>
      </c>
      <c r="AY80">
        <f>Sheet1!$AT80*_xlfn.XLOOKUP($A80,'[1]SSP4-change-rate'!$B$2:$B$147,'[1]SSP4-change-rate'!H$2:H$147)</f>
        <v>625.09556972079451</v>
      </c>
    </row>
    <row r="81" spans="1:51" x14ac:dyDescent="0.25">
      <c r="A81" t="s">
        <v>318</v>
      </c>
      <c r="B81" t="s">
        <v>319</v>
      </c>
      <c r="C81" t="s">
        <v>320</v>
      </c>
      <c r="D81" t="s">
        <v>321</v>
      </c>
      <c r="E81" t="s">
        <v>55</v>
      </c>
      <c r="F81" t="s">
        <v>161</v>
      </c>
      <c r="G81">
        <v>100537.626895119</v>
      </c>
      <c r="H81">
        <v>21601.814567150232</v>
      </c>
      <c r="I81">
        <v>122139.44146226923</v>
      </c>
      <c r="J81">
        <v>51858125</v>
      </c>
      <c r="K81">
        <v>1069.1624975731881</v>
      </c>
      <c r="L81">
        <v>1177.1138977430951</v>
      </c>
      <c r="M81">
        <v>1295.4168020388836</v>
      </c>
      <c r="N81">
        <v>1435.9015008901324</v>
      </c>
      <c r="O81">
        <v>1601.525566904236</v>
      </c>
      <c r="P81">
        <v>1932.7736989324437</v>
      </c>
      <c r="Q81">
        <v>2348.3126502714008</v>
      </c>
      <c r="R81">
        <v>2722.4455851068319</v>
      </c>
      <c r="S81">
        <v>3350.9297641782082</v>
      </c>
      <c r="T81">
        <v>4321.0135794036732</v>
      </c>
      <c r="U81">
        <v>5416.7942304434137</v>
      </c>
      <c r="V81">
        <v>5512.915340183743</v>
      </c>
      <c r="W81">
        <v>6428.2840621724054</v>
      </c>
      <c r="X81">
        <v>6947.3380547701772</v>
      </c>
      <c r="Y81">
        <v>8059.385355150589</v>
      </c>
      <c r="Z81">
        <v>9264.5961926639338</v>
      </c>
      <c r="AA81">
        <v>10826.194529368342</v>
      </c>
      <c r="AB81">
        <v>11167.794165522431</v>
      </c>
      <c r="AC81">
        <v>11487.212007121059</v>
      </c>
      <c r="AD81">
        <v>11985.562991467068</v>
      </c>
      <c r="AE81">
        <v>12402.580729109723</v>
      </c>
      <c r="AF81">
        <v>12872.834773685481</v>
      </c>
      <c r="AG81">
        <v>13341.610031957543</v>
      </c>
      <c r="AH81">
        <v>13604.833994015671</v>
      </c>
      <c r="AI81">
        <v>13848.833734125736</v>
      </c>
      <c r="AJ81">
        <v>14033.682022087905</v>
      </c>
      <c r="AK81">
        <v>14327.960496523679</v>
      </c>
      <c r="AL81">
        <v>14855.887206943635</v>
      </c>
      <c r="AM81">
        <v>15663.304528762392</v>
      </c>
      <c r="AN81">
        <v>16208.976674826716</v>
      </c>
      <c r="AO81">
        <v>16963.157689712367</v>
      </c>
      <c r="AP81">
        <v>18135.835228544373</v>
      </c>
      <c r="AQ81">
        <v>19128.100838325296</v>
      </c>
      <c r="AR81">
        <v>20185.433045468904</v>
      </c>
      <c r="AS81">
        <v>21594.716392892486</v>
      </c>
      <c r="AT81">
        <f>Sheet1!$AT81*_xlfn.XLOOKUP($A81,'[1]SSP4-change-rate'!$B$2:$B$147,'[1]SSP4-change-rate'!C$2:C$147)</f>
        <v>21364.847894374005</v>
      </c>
      <c r="AU81">
        <f>Sheet1!$AT81*_xlfn.XLOOKUP($A81,'[1]SSP4-change-rate'!$B$2:$B$147,'[1]SSP4-change-rate'!D$2:D$147)</f>
        <v>21319.345267927529</v>
      </c>
      <c r="AV81">
        <f>Sheet1!$AT81*_xlfn.XLOOKUP($A81,'[1]SSP4-change-rate'!$B$2:$B$147,'[1]SSP4-change-rate'!E$2:E$147)</f>
        <v>21251.213095265353</v>
      </c>
      <c r="AW81">
        <f>Sheet1!$AT81*_xlfn.XLOOKUP($A81,'[1]SSP4-change-rate'!$B$2:$B$147,'[1]SSP4-change-rate'!F$2:F$147)</f>
        <v>21109.478155516223</v>
      </c>
      <c r="AX81">
        <f>Sheet1!$AT81*_xlfn.XLOOKUP($A81,'[1]SSP4-change-rate'!$B$2:$B$147,'[1]SSP4-change-rate'!G$2:G$147)</f>
        <v>21006.985824602416</v>
      </c>
      <c r="AY81">
        <f>Sheet1!$AT81*_xlfn.XLOOKUP($A81,'[1]SSP4-change-rate'!$B$2:$B$147,'[1]SSP4-change-rate'!H$2:H$147)</f>
        <v>21006.985824602416</v>
      </c>
    </row>
    <row r="82" spans="1:51" x14ac:dyDescent="0.25">
      <c r="A82" t="s">
        <v>322</v>
      </c>
      <c r="B82" t="s">
        <v>323</v>
      </c>
      <c r="C82" t="s">
        <v>324</v>
      </c>
      <c r="D82" t="s">
        <v>70</v>
      </c>
      <c r="E82" t="s">
        <v>71</v>
      </c>
      <c r="F82" t="s">
        <v>70</v>
      </c>
      <c r="G82">
        <v>17428.292156195839</v>
      </c>
      <c r="H82">
        <v>1142.9642614857239</v>
      </c>
      <c r="I82">
        <v>18571.256417681565</v>
      </c>
      <c r="J82">
        <v>4468361</v>
      </c>
      <c r="K82">
        <v>7.4087253248927301</v>
      </c>
      <c r="L82">
        <v>8.0822458089738873</v>
      </c>
      <c r="M82">
        <v>8.7557662930550446</v>
      </c>
      <c r="N82">
        <v>9.4292867771362019</v>
      </c>
      <c r="O82">
        <v>12.123368713460831</v>
      </c>
      <c r="P82">
        <v>12.796889197541988</v>
      </c>
      <c r="Q82">
        <v>13.470409681623146</v>
      </c>
      <c r="R82">
        <v>14.143930165704303</v>
      </c>
      <c r="S82">
        <v>14.81745064978546</v>
      </c>
      <c r="T82">
        <v>35.023065172220178</v>
      </c>
      <c r="U82">
        <v>109.11031842114748</v>
      </c>
      <c r="V82">
        <v>248.52905862594704</v>
      </c>
      <c r="W82">
        <v>459.34097014334924</v>
      </c>
      <c r="X82">
        <v>488.30235095883904</v>
      </c>
      <c r="Y82">
        <v>540.1634282330881</v>
      </c>
      <c r="Z82">
        <v>604.14787422079803</v>
      </c>
      <c r="AA82">
        <v>659.37655391545297</v>
      </c>
      <c r="AB82">
        <v>664.7647177881023</v>
      </c>
      <c r="AC82">
        <v>686.99089376278039</v>
      </c>
      <c r="AD82">
        <v>691.70553715134861</v>
      </c>
      <c r="AE82">
        <v>695.07313957175438</v>
      </c>
      <c r="AF82">
        <v>697.76722150807893</v>
      </c>
      <c r="AG82">
        <v>700.4613034444036</v>
      </c>
      <c r="AH82">
        <v>704.50242634889048</v>
      </c>
      <c r="AI82">
        <v>719.99339748275713</v>
      </c>
      <c r="AJ82">
        <v>728.74916377581212</v>
      </c>
      <c r="AK82">
        <v>740.19901200519189</v>
      </c>
      <c r="AL82">
        <v>747.60773733008455</v>
      </c>
      <c r="AM82">
        <v>756.36350362313954</v>
      </c>
      <c r="AN82">
        <v>768.48687233660053</v>
      </c>
      <c r="AO82">
        <v>806.20401944514526</v>
      </c>
      <c r="AP82">
        <v>813.61274477003803</v>
      </c>
      <c r="AQ82">
        <v>829.77723638798579</v>
      </c>
      <c r="AR82">
        <v>869.51494494877409</v>
      </c>
      <c r="AS82">
        <v>899.14984624834506</v>
      </c>
      <c r="AT82">
        <v>951.18493836028597</v>
      </c>
      <c r="AU82">
        <v>948.12933118857597</v>
      </c>
      <c r="AV82">
        <v>944.75417767755823</v>
      </c>
      <c r="AW82">
        <v>921.82805676745556</v>
      </c>
      <c r="AX82">
        <v>891.67615450171434</v>
      </c>
      <c r="AY82">
        <v>869.12613215925853</v>
      </c>
    </row>
    <row r="83" spans="1:51" x14ac:dyDescent="0.25">
      <c r="A83" t="s">
        <v>325</v>
      </c>
      <c r="B83" t="s">
        <v>326</v>
      </c>
      <c r="C83" t="s">
        <v>327</v>
      </c>
      <c r="D83" t="s">
        <v>139</v>
      </c>
      <c r="E83" t="s">
        <v>55</v>
      </c>
      <c r="F83" t="s">
        <v>140</v>
      </c>
      <c r="G83">
        <v>229872.37364238221</v>
      </c>
      <c r="H83">
        <v>366.97781576025022</v>
      </c>
      <c r="I83">
        <v>230239.35145814245</v>
      </c>
      <c r="J83">
        <v>7265649.0000000009</v>
      </c>
      <c r="K83">
        <v>14.581899963983453</v>
      </c>
      <c r="L83">
        <v>14.581899963983453</v>
      </c>
      <c r="M83">
        <v>14.581899963983453</v>
      </c>
      <c r="N83">
        <v>14.581899963983453</v>
      </c>
      <c r="O83">
        <v>14.581899963983453</v>
      </c>
      <c r="P83">
        <v>14.581899963983453</v>
      </c>
      <c r="Q83">
        <v>14.581899963983453</v>
      </c>
      <c r="R83">
        <v>14.581899963983453</v>
      </c>
      <c r="S83">
        <v>14.581899963983453</v>
      </c>
      <c r="T83">
        <v>14.581899963983453</v>
      </c>
      <c r="U83">
        <v>17.012216624647362</v>
      </c>
      <c r="V83">
        <v>19.442533285311271</v>
      </c>
      <c r="W83">
        <v>29.163799927966906</v>
      </c>
      <c r="X83">
        <v>34.024433249294724</v>
      </c>
      <c r="Y83">
        <v>34.024433249294724</v>
      </c>
      <c r="Z83">
        <v>41.315383231286454</v>
      </c>
      <c r="AA83">
        <v>51.036649873942082</v>
      </c>
      <c r="AB83">
        <v>102.07329974788416</v>
      </c>
      <c r="AC83">
        <v>104.50361640854808</v>
      </c>
      <c r="AD83">
        <v>106.93393306921199</v>
      </c>
      <c r="AE83">
        <v>109.36424972987591</v>
      </c>
      <c r="AF83">
        <v>109.36424972987591</v>
      </c>
      <c r="AG83">
        <v>109.36424972987591</v>
      </c>
      <c r="AH83">
        <v>109.36424972987591</v>
      </c>
      <c r="AI83">
        <v>114.2248830512037</v>
      </c>
      <c r="AJ83">
        <v>126.37646635452325</v>
      </c>
      <c r="AK83">
        <v>126.37646635452325</v>
      </c>
      <c r="AL83">
        <v>131.23709967585108</v>
      </c>
      <c r="AM83">
        <v>136.09773299717889</v>
      </c>
      <c r="AN83">
        <v>138.52804965784279</v>
      </c>
      <c r="AO83">
        <v>153.10994962182625</v>
      </c>
      <c r="AP83">
        <v>209.00723281709617</v>
      </c>
      <c r="AQ83">
        <v>262.47419935170217</v>
      </c>
      <c r="AR83">
        <v>298.92894926166082</v>
      </c>
      <c r="AS83">
        <v>332.95338251095546</v>
      </c>
      <c r="AT83">
        <f>Sheet1!$AT83*_xlfn.XLOOKUP($A83,'[1]SSP4-change-rate'!$B$2:$B$147,'[1]SSP4-change-rate'!C$2:C$147)</f>
        <v>352.39591579626676</v>
      </c>
      <c r="AU83">
        <f>Sheet1!$AT83*_xlfn.XLOOKUP($A83,'[1]SSP4-change-rate'!$B$2:$B$147,'[1]SSP4-change-rate'!D$2:D$147)</f>
        <v>349.50742468318259</v>
      </c>
      <c r="AV83">
        <f>Sheet1!$AT83*_xlfn.XLOOKUP($A83,'[1]SSP4-change-rate'!$B$2:$B$147,'[1]SSP4-change-rate'!E$2:E$147)</f>
        <v>349.70587063751663</v>
      </c>
      <c r="AW83">
        <f>Sheet1!$AT83*_xlfn.XLOOKUP($A83,'[1]SSP4-change-rate'!$B$2:$B$147,'[1]SSP4-change-rate'!F$2:F$147)</f>
        <v>342.99869137503299</v>
      </c>
      <c r="AX83">
        <f>Sheet1!$AT83*_xlfn.XLOOKUP($A83,'[1]SSP4-change-rate'!$B$2:$B$147,'[1]SSP4-change-rate'!G$2:G$147)</f>
        <v>336.10015090395387</v>
      </c>
      <c r="AY83">
        <f>Sheet1!$AT83*_xlfn.XLOOKUP($A83,'[1]SSP4-change-rate'!$B$2:$B$147,'[1]SSP4-change-rate'!H$2:H$147)</f>
        <v>324.48336801042387</v>
      </c>
    </row>
    <row r="84" spans="1:51" x14ac:dyDescent="0.25">
      <c r="A84" t="s">
        <v>328</v>
      </c>
      <c r="B84" t="s">
        <v>329</v>
      </c>
      <c r="C84" t="s">
        <v>330</v>
      </c>
      <c r="D84" t="s">
        <v>70</v>
      </c>
      <c r="E84" t="s">
        <v>71</v>
      </c>
      <c r="F84" t="s">
        <v>70</v>
      </c>
      <c r="G84">
        <v>10238.05693740358</v>
      </c>
      <c r="H84">
        <v>1462.2251300476589</v>
      </c>
      <c r="I84">
        <v>11700.282067451239</v>
      </c>
      <c r="J84">
        <v>5694528</v>
      </c>
      <c r="K84">
        <v>26.41514686958838</v>
      </c>
      <c r="L84">
        <v>26.41514686958838</v>
      </c>
      <c r="M84">
        <v>26.41514686958838</v>
      </c>
      <c r="N84">
        <v>26.41514686958838</v>
      </c>
      <c r="O84">
        <v>29.35016318843153</v>
      </c>
      <c r="P84">
        <v>32.285179507274684</v>
      </c>
      <c r="Q84">
        <v>38.155212144960991</v>
      </c>
      <c r="R84">
        <v>46.960261101490453</v>
      </c>
      <c r="S84">
        <v>58.70032637686306</v>
      </c>
      <c r="T84">
        <v>95.388030362402475</v>
      </c>
      <c r="U84">
        <v>170.23094649290289</v>
      </c>
      <c r="V84">
        <v>218.6587157538149</v>
      </c>
      <c r="W84">
        <v>250.94389526108961</v>
      </c>
      <c r="X84">
        <v>272.95651765241325</v>
      </c>
      <c r="Y84">
        <v>361.00700721770784</v>
      </c>
      <c r="Z84">
        <v>451.99251310184559</v>
      </c>
      <c r="AA84">
        <v>689.72883492814105</v>
      </c>
      <c r="AB84">
        <v>805.66197952244556</v>
      </c>
      <c r="AC84">
        <v>899.5825017254266</v>
      </c>
      <c r="AD84">
        <v>975.89292601534851</v>
      </c>
      <c r="AE84">
        <v>1003.7755810443584</v>
      </c>
      <c r="AF84">
        <v>1030.1907279139468</v>
      </c>
      <c r="AG84">
        <v>1036.0607605516332</v>
      </c>
      <c r="AH84">
        <v>1050.7358421458489</v>
      </c>
      <c r="AI84">
        <v>1056.6058747835352</v>
      </c>
      <c r="AJ84">
        <v>1061.0083992617999</v>
      </c>
      <c r="AK84">
        <v>1065.4109237400646</v>
      </c>
      <c r="AL84">
        <v>1068.3459400589079</v>
      </c>
      <c r="AM84">
        <v>1068.3459400589079</v>
      </c>
      <c r="AN84">
        <v>1069.8134482183293</v>
      </c>
      <c r="AO84">
        <v>1072.7484645371726</v>
      </c>
      <c r="AP84">
        <v>1099.163611406761</v>
      </c>
      <c r="AQ84">
        <v>1129.9812827546141</v>
      </c>
      <c r="AR84">
        <v>1241.5119028706538</v>
      </c>
      <c r="AS84">
        <v>1326.6273761171053</v>
      </c>
      <c r="AT84">
        <f>Sheet1!$AT84*_xlfn.XLOOKUP($A84,'[1]SSP4-change-rate'!$B$2:$B$147,'[1]SSP4-change-rate'!C$2:C$147)</f>
        <v>1402.8043905743525</v>
      </c>
      <c r="AU84">
        <f>Sheet1!$AT84*_xlfn.XLOOKUP($A84,'[1]SSP4-change-rate'!$B$2:$B$147,'[1]SSP4-change-rate'!D$2:D$147)</f>
        <v>1389.61426583702</v>
      </c>
      <c r="AV84">
        <f>Sheet1!$AT84*_xlfn.XLOOKUP($A84,'[1]SSP4-change-rate'!$B$2:$B$147,'[1]SSP4-change-rate'!E$2:E$147)</f>
        <v>1376.1713581479248</v>
      </c>
      <c r="AW84">
        <f>Sheet1!$AT84*_xlfn.XLOOKUP($A84,'[1]SSP4-change-rate'!$B$2:$B$147,'[1]SSP4-change-rate'!F$2:F$147)</f>
        <v>1342.1975336099754</v>
      </c>
      <c r="AX84">
        <f>Sheet1!$AT84*_xlfn.XLOOKUP($A84,'[1]SSP4-change-rate'!$B$2:$B$147,'[1]SSP4-change-rate'!G$2:G$147)</f>
        <v>1301.6328159773648</v>
      </c>
      <c r="AY84">
        <f>Sheet1!$AT84*_xlfn.XLOOKUP($A84,'[1]SSP4-change-rate'!$B$2:$B$147,'[1]SSP4-change-rate'!H$2:H$147)</f>
        <v>1253.2519681460265</v>
      </c>
    </row>
    <row r="85" spans="1:51" x14ac:dyDescent="0.25">
      <c r="A85" t="s">
        <v>331</v>
      </c>
      <c r="B85" t="s">
        <v>332</v>
      </c>
      <c r="C85" t="s">
        <v>333</v>
      </c>
      <c r="D85" t="s">
        <v>105</v>
      </c>
      <c r="E85" t="s">
        <v>61</v>
      </c>
      <c r="F85" t="s">
        <v>61</v>
      </c>
      <c r="G85">
        <v>95918.088015760382</v>
      </c>
      <c r="H85">
        <v>560.31655570022122</v>
      </c>
      <c r="I85">
        <v>96478.404571460604</v>
      </c>
      <c r="J85">
        <v>5034186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31.478458185405685</v>
      </c>
      <c r="Y85">
        <v>31.478458185405685</v>
      </c>
      <c r="Z85">
        <v>31.478458185405685</v>
      </c>
      <c r="AA85">
        <v>31.478458185405685</v>
      </c>
      <c r="AB85">
        <v>31.478458185405685</v>
      </c>
      <c r="AC85">
        <v>31.478458185405685</v>
      </c>
      <c r="AD85">
        <v>62.956916370811371</v>
      </c>
      <c r="AE85">
        <v>62.956916370811371</v>
      </c>
      <c r="AF85">
        <v>62.956916370811371</v>
      </c>
      <c r="AG85">
        <v>62.956916370811371</v>
      </c>
      <c r="AH85">
        <v>62.956916370811371</v>
      </c>
      <c r="AI85">
        <v>62.956916370811371</v>
      </c>
      <c r="AJ85">
        <v>62.956916370811371</v>
      </c>
      <c r="AK85">
        <v>94.435374556217056</v>
      </c>
      <c r="AL85">
        <v>94.435374556217056</v>
      </c>
      <c r="AM85">
        <v>125.91383274162274</v>
      </c>
      <c r="AN85">
        <v>125.91383274162274</v>
      </c>
      <c r="AO85">
        <v>157.3922909270284</v>
      </c>
      <c r="AP85">
        <v>251.82766548324548</v>
      </c>
      <c r="AQ85">
        <v>346.26304003946251</v>
      </c>
      <c r="AR85">
        <v>377.74149822486822</v>
      </c>
      <c r="AS85">
        <v>661.04762189351936</v>
      </c>
      <c r="AT85">
        <f>Sheet1!$AT85*_xlfn.XLOOKUP($A85,'[1]SSP4-change-rate'!$B$2:$B$147,'[1]SSP4-change-rate'!C$2:C$147)</f>
        <v>535.13378915189662</v>
      </c>
      <c r="AU85">
        <f>Sheet1!$AT85*_xlfn.XLOOKUP($A85,'[1]SSP4-change-rate'!$B$2:$B$147,'[1]SSP4-change-rate'!D$2:D$147)</f>
        <v>535.13378915189662</v>
      </c>
      <c r="AV85">
        <f>Sheet1!$AT85*_xlfn.XLOOKUP($A85,'[1]SSP4-change-rate'!$B$2:$B$147,'[1]SSP4-change-rate'!E$2:E$147)</f>
        <v>535.13378915189662</v>
      </c>
      <c r="AW85">
        <f>Sheet1!$AT85*_xlfn.XLOOKUP($A85,'[1]SSP4-change-rate'!$B$2:$B$147,'[1]SSP4-change-rate'!F$2:F$147)</f>
        <v>439.57418394620078</v>
      </c>
      <c r="AX85">
        <f>Sheet1!$AT85*_xlfn.XLOOKUP($A85,'[1]SSP4-change-rate'!$B$2:$B$147,'[1]SSP4-change-rate'!G$2:G$147)</f>
        <v>161.0596841136776</v>
      </c>
      <c r="AY85">
        <f>Sheet1!$AT85*_xlfn.XLOOKUP($A85,'[1]SSP4-change-rate'!$B$2:$B$147,'[1]SSP4-change-rate'!H$2:H$147)</f>
        <v>27.147801857232931</v>
      </c>
    </row>
    <row r="86" spans="1:51" x14ac:dyDescent="0.25">
      <c r="A86" t="s">
        <v>334</v>
      </c>
      <c r="B86" t="s">
        <v>335</v>
      </c>
      <c r="C86" t="s">
        <v>336</v>
      </c>
      <c r="D86" t="s">
        <v>204</v>
      </c>
      <c r="E86" t="s">
        <v>61</v>
      </c>
      <c r="F86" t="s">
        <v>61</v>
      </c>
      <c r="G86">
        <v>1616058.3265904009</v>
      </c>
      <c r="H86">
        <v>3273.7318584532582</v>
      </c>
      <c r="I86">
        <v>1619332.0584488541</v>
      </c>
      <c r="J86">
        <v>6612020</v>
      </c>
      <c r="K86">
        <v>56.225536426848571</v>
      </c>
      <c r="L86">
        <v>60.618156460196118</v>
      </c>
      <c r="M86">
        <v>68.524872520221692</v>
      </c>
      <c r="N86">
        <v>83.459780633603344</v>
      </c>
      <c r="O86">
        <v>94.002068713637456</v>
      </c>
      <c r="P86">
        <v>96.637640733645981</v>
      </c>
      <c r="Q86">
        <v>99.273212753654505</v>
      </c>
      <c r="R86">
        <v>129.14302898041782</v>
      </c>
      <c r="S86">
        <v>149.34908113381653</v>
      </c>
      <c r="T86">
        <v>209.96723759401266</v>
      </c>
      <c r="U86">
        <v>378.64384687455834</v>
      </c>
      <c r="V86">
        <v>511.30097188165416</v>
      </c>
      <c r="W86">
        <v>646.59366890875856</v>
      </c>
      <c r="X86">
        <v>691.39839324890352</v>
      </c>
      <c r="Y86">
        <v>758.16621775578619</v>
      </c>
      <c r="Z86">
        <v>807.36356212927876</v>
      </c>
      <c r="AA86">
        <v>866.22467057613574</v>
      </c>
      <c r="AB86">
        <v>928.59987504967091</v>
      </c>
      <c r="AC86">
        <v>954.07707124308661</v>
      </c>
      <c r="AD86">
        <v>1000.6388435965706</v>
      </c>
      <c r="AE86">
        <v>1061.2570000567666</v>
      </c>
      <c r="AF86">
        <v>1251.0181854973807</v>
      </c>
      <c r="AG86">
        <v>1309.0007699375683</v>
      </c>
      <c r="AH86">
        <v>1375.7685944444509</v>
      </c>
      <c r="AI86">
        <v>1468.8921391514189</v>
      </c>
      <c r="AJ86">
        <v>1569.0438759117428</v>
      </c>
      <c r="AK86">
        <v>1793.9460216191371</v>
      </c>
      <c r="AL86">
        <v>1901.1259504328173</v>
      </c>
      <c r="AM86">
        <v>2276.2557012806978</v>
      </c>
      <c r="AN86">
        <v>2401.8846342344377</v>
      </c>
      <c r="AO86">
        <v>2523.9994711614991</v>
      </c>
      <c r="AP86">
        <v>2627.6653039485013</v>
      </c>
      <c r="AQ86">
        <v>2694.4331284553841</v>
      </c>
      <c r="AR86">
        <v>2749.7801408755631</v>
      </c>
      <c r="AS86">
        <v>2961.5044264829144</v>
      </c>
      <c r="AT86">
        <f>Sheet1!$AT86*_xlfn.XLOOKUP($A86,'[1]SSP4-change-rate'!$B$2:$B$147,'[1]SSP4-change-rate'!C$2:C$147)</f>
        <v>3151.246412830692</v>
      </c>
      <c r="AU86">
        <f>Sheet1!$AT86*_xlfn.XLOOKUP($A86,'[1]SSP4-change-rate'!$B$2:$B$147,'[1]SSP4-change-rate'!D$2:D$147)</f>
        <v>3128.9602627230552</v>
      </c>
      <c r="AV86">
        <f>Sheet1!$AT86*_xlfn.XLOOKUP($A86,'[1]SSP4-change-rate'!$B$2:$B$147,'[1]SSP4-change-rate'!E$2:E$147)</f>
        <v>3100.7617523748759</v>
      </c>
      <c r="AW86">
        <f>Sheet1!$AT86*_xlfn.XLOOKUP($A86,'[1]SSP4-change-rate'!$B$2:$B$147,'[1]SSP4-change-rate'!F$2:F$147)</f>
        <v>3028.0788445853436</v>
      </c>
      <c r="AX86">
        <f>Sheet1!$AT86*_xlfn.XLOOKUP($A86,'[1]SSP4-change-rate'!$B$2:$B$147,'[1]SSP4-change-rate'!G$2:G$147)</f>
        <v>2923.0353495476293</v>
      </c>
      <c r="AY86">
        <f>Sheet1!$AT86*_xlfn.XLOOKUP($A86,'[1]SSP4-change-rate'!$B$2:$B$147,'[1]SSP4-change-rate'!H$2:H$147)</f>
        <v>2798.7808108228242</v>
      </c>
    </row>
    <row r="87" spans="1:51" x14ac:dyDescent="0.25">
      <c r="A87" t="s">
        <v>337</v>
      </c>
      <c r="B87" t="s">
        <v>338</v>
      </c>
      <c r="C87" t="s">
        <v>339</v>
      </c>
      <c r="D87" t="s">
        <v>54</v>
      </c>
      <c r="E87" t="s">
        <v>55</v>
      </c>
      <c r="F87" t="s">
        <v>56</v>
      </c>
      <c r="G87">
        <v>65837.40275741677</v>
      </c>
      <c r="H87">
        <v>4931.8018623715043</v>
      </c>
      <c r="I87">
        <v>70769.204619788274</v>
      </c>
      <c r="J87">
        <v>21683158</v>
      </c>
      <c r="K87">
        <v>346.93411369496511</v>
      </c>
      <c r="L87">
        <v>360.27773345246379</v>
      </c>
      <c r="M87">
        <v>386.96497296746105</v>
      </c>
      <c r="N87">
        <v>467.02669151245306</v>
      </c>
      <c r="O87">
        <v>533.74479029994632</v>
      </c>
      <c r="P87">
        <v>560.43202981494369</v>
      </c>
      <c r="Q87">
        <v>573.77564957244226</v>
      </c>
      <c r="R87">
        <v>587.11926932994095</v>
      </c>
      <c r="S87">
        <v>733.89908666242627</v>
      </c>
      <c r="T87">
        <v>840.64804472241542</v>
      </c>
      <c r="U87">
        <v>1120.8640596298874</v>
      </c>
      <c r="V87">
        <v>1174.2385386598819</v>
      </c>
      <c r="W87">
        <v>1174.2385386598819</v>
      </c>
      <c r="X87">
        <v>1174.2385386598819</v>
      </c>
      <c r="Y87">
        <v>1694.6397092023296</v>
      </c>
      <c r="Z87">
        <v>2415.1951761072569</v>
      </c>
      <c r="AA87">
        <v>2602.0058527122387</v>
      </c>
      <c r="AB87">
        <v>2668.7239514997318</v>
      </c>
      <c r="AC87">
        <v>2668.7239514997318</v>
      </c>
      <c r="AD87">
        <v>2722.0984305297266</v>
      </c>
      <c r="AE87">
        <v>2748.7856700447232</v>
      </c>
      <c r="AF87">
        <v>2762.129289802222</v>
      </c>
      <c r="AG87">
        <v>2802.160149074718</v>
      </c>
      <c r="AH87">
        <v>2802.160149074718</v>
      </c>
      <c r="AI87">
        <v>2815.5037688322168</v>
      </c>
      <c r="AJ87">
        <v>2882.2218676197103</v>
      </c>
      <c r="AK87">
        <v>2922.2527268922058</v>
      </c>
      <c r="AL87">
        <v>3015.6580651946965</v>
      </c>
      <c r="AM87">
        <v>3175.7815022846808</v>
      </c>
      <c r="AN87">
        <v>3349.2485591321633</v>
      </c>
      <c r="AO87">
        <v>3389.2794184046593</v>
      </c>
      <c r="AP87">
        <v>4096.4912655520884</v>
      </c>
      <c r="AQ87">
        <v>4403.3945199745567</v>
      </c>
      <c r="AR87">
        <v>4630.236055852034</v>
      </c>
      <c r="AS87">
        <v>4656.9232953670316</v>
      </c>
      <c r="AT87">
        <f>Sheet1!$AT87*_xlfn.XLOOKUP($A87,'[1]SSP4-change-rate'!$B$2:$B$147,'[1]SSP4-change-rate'!C$2:C$147)</f>
        <v>4815.2004454465432</v>
      </c>
      <c r="AU87">
        <f>Sheet1!$AT87*_xlfn.XLOOKUP($A87,'[1]SSP4-change-rate'!$B$2:$B$147,'[1]SSP4-change-rate'!D$2:D$147)</f>
        <v>4771.303008456538</v>
      </c>
      <c r="AV87">
        <f>Sheet1!$AT87*_xlfn.XLOOKUP($A87,'[1]SSP4-change-rate'!$B$2:$B$147,'[1]SSP4-change-rate'!E$2:E$147)</f>
        <v>4730.6477785699662</v>
      </c>
      <c r="AW87">
        <f>Sheet1!$AT87*_xlfn.XLOOKUP($A87,'[1]SSP4-change-rate'!$B$2:$B$147,'[1]SSP4-change-rate'!F$2:F$147)</f>
        <v>4629.1240875389094</v>
      </c>
      <c r="AX87">
        <f>Sheet1!$AT87*_xlfn.XLOOKUP($A87,'[1]SSP4-change-rate'!$B$2:$B$147,'[1]SSP4-change-rate'!G$2:G$147)</f>
        <v>4503.3326721166559</v>
      </c>
      <c r="AY87">
        <f>Sheet1!$AT87*_xlfn.XLOOKUP($A87,'[1]SSP4-change-rate'!$B$2:$B$147,'[1]SSP4-change-rate'!H$2:H$147)</f>
        <v>4306.6130851069156</v>
      </c>
    </row>
    <row r="88" spans="1:51" x14ac:dyDescent="0.25">
      <c r="A88" t="s">
        <v>340</v>
      </c>
      <c r="B88" t="s">
        <v>341</v>
      </c>
      <c r="C88" t="s">
        <v>342</v>
      </c>
      <c r="D88" t="s">
        <v>60</v>
      </c>
      <c r="E88" t="s">
        <v>61</v>
      </c>
      <c r="F88" t="s">
        <v>61</v>
      </c>
      <c r="G88">
        <v>30545.27500694021</v>
      </c>
      <c r="H88" t="e">
        <v>#N/A</v>
      </c>
      <c r="I88" t="e">
        <v>#N/A</v>
      </c>
      <c r="J88">
        <v>2239604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f>Sheet1!$AT88*_xlfn.XLOOKUP($A88,'[1]SSP4-change-rate'!$B$2:$B$147,'[1]SSP4-change-rate'!C$2:C$147)</f>
        <v>#N/A</v>
      </c>
      <c r="AU88" t="e">
        <f>Sheet1!$AT88*_xlfn.XLOOKUP($A88,'[1]SSP4-change-rate'!$B$2:$B$147,'[1]SSP4-change-rate'!D$2:D$147)</f>
        <v>#N/A</v>
      </c>
      <c r="AV88" t="e">
        <f>Sheet1!$AT88*_xlfn.XLOOKUP($A88,'[1]SSP4-change-rate'!$B$2:$B$147,'[1]SSP4-change-rate'!E$2:E$147)</f>
        <v>#N/A</v>
      </c>
      <c r="AW88" t="e">
        <f>Sheet1!$AT88*_xlfn.XLOOKUP($A88,'[1]SSP4-change-rate'!$B$2:$B$147,'[1]SSP4-change-rate'!F$2:F$147)</f>
        <v>#N/A</v>
      </c>
      <c r="AX88" t="e">
        <f>Sheet1!$AT88*_xlfn.XLOOKUP($A88,'[1]SSP4-change-rate'!$B$2:$B$147,'[1]SSP4-change-rate'!G$2:G$147)</f>
        <v>#N/A</v>
      </c>
      <c r="AY88" t="e">
        <f>Sheet1!$AT88*_xlfn.XLOOKUP($A88,'[1]SSP4-change-rate'!$B$2:$B$147,'[1]SSP4-change-rate'!H$2:H$147)</f>
        <v>#N/A</v>
      </c>
    </row>
    <row r="89" spans="1:51" x14ac:dyDescent="0.25">
      <c r="A89" t="s">
        <v>343</v>
      </c>
      <c r="B89" t="s">
        <v>344</v>
      </c>
      <c r="C89" t="s">
        <v>345</v>
      </c>
      <c r="D89" t="s">
        <v>65</v>
      </c>
      <c r="E89" t="s">
        <v>66</v>
      </c>
      <c r="F89" t="s">
        <v>66</v>
      </c>
      <c r="G89">
        <v>65016.841930892901</v>
      </c>
      <c r="H89">
        <v>2788.3943202966479</v>
      </c>
      <c r="I89">
        <v>67805.236251189548</v>
      </c>
      <c r="J89">
        <v>2835902</v>
      </c>
      <c r="K89">
        <v>82.89198640023065</v>
      </c>
      <c r="L89">
        <v>94.404762289151591</v>
      </c>
      <c r="M89">
        <v>108.2200933558567</v>
      </c>
      <c r="N89">
        <v>126.64053477813017</v>
      </c>
      <c r="O89">
        <v>151.96864173375621</v>
      </c>
      <c r="P89">
        <v>163.48141762267713</v>
      </c>
      <c r="Q89">
        <v>177.29674868938224</v>
      </c>
      <c r="R89">
        <v>218.74274188949758</v>
      </c>
      <c r="S89">
        <v>223.34785224506595</v>
      </c>
      <c r="T89">
        <v>294.72706275637563</v>
      </c>
      <c r="U89">
        <v>428.27526306785836</v>
      </c>
      <c r="V89">
        <v>584.84901515718298</v>
      </c>
      <c r="W89">
        <v>711.48954993531311</v>
      </c>
      <c r="X89">
        <v>713.79210511309725</v>
      </c>
      <c r="Y89">
        <v>1045.36005071402</v>
      </c>
      <c r="Z89">
        <v>1220.354244225618</v>
      </c>
      <c r="AA89">
        <v>1386.1382170260792</v>
      </c>
      <c r="AB89">
        <v>1411.4663239817053</v>
      </c>
      <c r="AC89">
        <v>1501.2659759152887</v>
      </c>
      <c r="AD89">
        <v>1572.6451864265982</v>
      </c>
      <c r="AE89">
        <v>1616.3937348044979</v>
      </c>
      <c r="AF89">
        <v>1627.9065106934188</v>
      </c>
      <c r="AG89">
        <v>1646.3269521156922</v>
      </c>
      <c r="AH89">
        <v>1664.7473935379658</v>
      </c>
      <c r="AI89">
        <v>1685.4703901380235</v>
      </c>
      <c r="AJ89">
        <v>1701.5882763825125</v>
      </c>
      <c r="AK89">
        <v>1706.193386738081</v>
      </c>
      <c r="AL89">
        <v>1766.0598213604696</v>
      </c>
      <c r="AM89">
        <v>1830.5313663384272</v>
      </c>
      <c r="AN89">
        <v>1892.7003561386</v>
      </c>
      <c r="AO89">
        <v>2044.6689978723562</v>
      </c>
      <c r="AP89">
        <v>2185.1248637171916</v>
      </c>
      <c r="AQ89">
        <v>2440.708488451236</v>
      </c>
      <c r="AR89">
        <v>2581.1643542960715</v>
      </c>
      <c r="AS89">
        <v>2675.5691165852227</v>
      </c>
      <c r="AT89">
        <f>Sheet1!$AT89*_xlfn.XLOOKUP($A89,'[1]SSP4-change-rate'!$B$2:$B$147,'[1]SSP4-change-rate'!C$2:C$147)</f>
        <v>2723.918885867377</v>
      </c>
      <c r="AU89">
        <f>Sheet1!$AT89*_xlfn.XLOOKUP($A89,'[1]SSP4-change-rate'!$B$2:$B$147,'[1]SSP4-change-rate'!D$2:D$147)</f>
        <v>2715.0425748719149</v>
      </c>
      <c r="AV89">
        <f>Sheet1!$AT89*_xlfn.XLOOKUP($A89,'[1]SSP4-change-rate'!$B$2:$B$147,'[1]SSP4-change-rate'!E$2:E$147)</f>
        <v>2702.5005926471595</v>
      </c>
      <c r="AW89">
        <f>Sheet1!$AT89*_xlfn.XLOOKUP($A89,'[1]SSP4-change-rate'!$B$2:$B$147,'[1]SSP4-change-rate'!F$2:F$147)</f>
        <v>2675.5071644279728</v>
      </c>
      <c r="AX89">
        <f>Sheet1!$AT89*_xlfn.XLOOKUP($A89,'[1]SSP4-change-rate'!$B$2:$B$147,'[1]SSP4-change-rate'!G$2:G$147)</f>
        <v>2644.1008624888386</v>
      </c>
      <c r="AY89">
        <f>Sheet1!$AT89*_xlfn.XLOOKUP($A89,'[1]SSP4-change-rate'!$B$2:$B$147,'[1]SSP4-change-rate'!H$2:H$147)</f>
        <v>2594.4567943463076</v>
      </c>
    </row>
    <row r="90" spans="1:51" x14ac:dyDescent="0.25">
      <c r="A90" t="s">
        <v>346</v>
      </c>
      <c r="B90" t="s">
        <v>347</v>
      </c>
      <c r="C90" t="s">
        <v>348</v>
      </c>
      <c r="D90" t="s">
        <v>91</v>
      </c>
      <c r="E90" t="s">
        <v>66</v>
      </c>
      <c r="F90" t="s">
        <v>66</v>
      </c>
      <c r="G90">
        <v>2581.554296904997</v>
      </c>
      <c r="H90">
        <v>1056.1199939122071</v>
      </c>
      <c r="I90">
        <v>3637.6742908172041</v>
      </c>
      <c r="J90">
        <v>626072</v>
      </c>
      <c r="K90">
        <v>105.07994901645385</v>
      </c>
      <c r="L90">
        <v>113.06070463795668</v>
      </c>
      <c r="M90">
        <v>125.03183807021091</v>
      </c>
      <c r="N90">
        <v>138.33309743938227</v>
      </c>
      <c r="O90">
        <v>152.9644827454708</v>
      </c>
      <c r="P90">
        <v>162.27536430389077</v>
      </c>
      <c r="Q90">
        <v>171.58624586231073</v>
      </c>
      <c r="R90">
        <v>182.22725335764781</v>
      </c>
      <c r="S90">
        <v>183.55737929456495</v>
      </c>
      <c r="T90">
        <v>200.84901647448774</v>
      </c>
      <c r="U90">
        <v>234.10216489741617</v>
      </c>
      <c r="V90">
        <v>271.34569113109603</v>
      </c>
      <c r="W90">
        <v>292.62770612177025</v>
      </c>
      <c r="X90">
        <v>300.60846174327304</v>
      </c>
      <c r="Y90">
        <v>303.26871361710732</v>
      </c>
      <c r="Z90">
        <v>345.83274359845569</v>
      </c>
      <c r="AA90">
        <v>368.44488452604702</v>
      </c>
      <c r="AB90">
        <v>373.76538827371559</v>
      </c>
      <c r="AC90">
        <v>396.37752920130691</v>
      </c>
      <c r="AD90">
        <v>405.68841075972688</v>
      </c>
      <c r="AE90">
        <v>416.32941825506401</v>
      </c>
      <c r="AF90">
        <v>417.65954419198113</v>
      </c>
      <c r="AG90">
        <v>424.31017387656681</v>
      </c>
      <c r="AH90">
        <v>424.31017387656681</v>
      </c>
      <c r="AI90">
        <v>440.27168511957245</v>
      </c>
      <c r="AJ90">
        <v>440.27168511957245</v>
      </c>
      <c r="AK90">
        <v>441.60181105648957</v>
      </c>
      <c r="AL90">
        <v>445.59218886724102</v>
      </c>
      <c r="AM90">
        <v>445.59218886724102</v>
      </c>
      <c r="AN90">
        <v>457.56332229949527</v>
      </c>
      <c r="AO90">
        <v>469.53445573174946</v>
      </c>
      <c r="AP90">
        <v>534.71062664068916</v>
      </c>
      <c r="AQ90">
        <v>598.55667161271174</v>
      </c>
      <c r="AR90">
        <v>641.12070159406028</v>
      </c>
      <c r="AS90">
        <v>976.31243769717878</v>
      </c>
      <c r="AT90">
        <f>Sheet1!$AT90*_xlfn.XLOOKUP($A90,'[1]SSP4-change-rate'!$B$2:$B$147,'[1]SSP4-change-rate'!C$2:C$147)</f>
        <v>1021.9656054753763</v>
      </c>
      <c r="AU90">
        <f>Sheet1!$AT90*_xlfn.XLOOKUP($A90,'[1]SSP4-change-rate'!$B$2:$B$147,'[1]SSP4-change-rate'!D$2:D$147)</f>
        <v>1022.0452971164769</v>
      </c>
      <c r="AV90">
        <f>Sheet1!$AT90*_xlfn.XLOOKUP($A90,'[1]SSP4-change-rate'!$B$2:$B$147,'[1]SSP4-change-rate'!E$2:E$147)</f>
        <v>1018.0884407815068</v>
      </c>
      <c r="AW90">
        <f>Sheet1!$AT90*_xlfn.XLOOKUP($A90,'[1]SSP4-change-rate'!$B$2:$B$147,'[1]SSP4-change-rate'!F$2:F$147)</f>
        <v>1011.3255552682365</v>
      </c>
      <c r="AX90">
        <f>Sheet1!$AT90*_xlfn.XLOOKUP($A90,'[1]SSP4-change-rate'!$B$2:$B$147,'[1]SSP4-change-rate'!G$2:G$147)</f>
        <v>997.85106862423595</v>
      </c>
      <c r="AY90">
        <f>Sheet1!$AT90*_xlfn.XLOOKUP($A90,'[1]SSP4-change-rate'!$B$2:$B$147,'[1]SSP4-change-rate'!H$2:H$147)</f>
        <v>982.87490341476428</v>
      </c>
    </row>
    <row r="91" spans="1:51" x14ac:dyDescent="0.25">
      <c r="A91" t="s">
        <v>349</v>
      </c>
      <c r="B91" t="s">
        <v>350</v>
      </c>
      <c r="C91" t="s">
        <v>351</v>
      </c>
      <c r="D91" t="s">
        <v>65</v>
      </c>
      <c r="E91" t="s">
        <v>66</v>
      </c>
      <c r="F91" t="s">
        <v>66</v>
      </c>
      <c r="G91">
        <v>64710.102911044647</v>
      </c>
      <c r="H91">
        <v>1882.0538502481429</v>
      </c>
      <c r="I91">
        <v>66592.15676129279</v>
      </c>
      <c r="J91">
        <v>1907241</v>
      </c>
      <c r="K91">
        <v>211.86347282343073</v>
      </c>
      <c r="L91">
        <v>239.60749902649903</v>
      </c>
      <c r="M91">
        <v>274.91807783040412</v>
      </c>
      <c r="N91">
        <v>322.83957763570396</v>
      </c>
      <c r="O91">
        <v>388.41636684295628</v>
      </c>
      <c r="P91">
        <v>413.63820884574568</v>
      </c>
      <c r="Q91">
        <v>443.90441924909294</v>
      </c>
      <c r="R91">
        <v>466.60407705160333</v>
      </c>
      <c r="S91">
        <v>474.17062965244014</v>
      </c>
      <c r="T91">
        <v>567.49144506276082</v>
      </c>
      <c r="U91">
        <v>733.95560228117074</v>
      </c>
      <c r="V91">
        <v>882.76447009762796</v>
      </c>
      <c r="W91">
        <v>993.74057490990117</v>
      </c>
      <c r="X91">
        <v>1013.9180485121327</v>
      </c>
      <c r="Y91">
        <v>1145.0716269266375</v>
      </c>
      <c r="Z91">
        <v>1251.0033633383528</v>
      </c>
      <c r="AA91">
        <v>1283.7917579419791</v>
      </c>
      <c r="AB91">
        <v>1311.5357841450473</v>
      </c>
      <c r="AC91">
        <v>1319.102336745884</v>
      </c>
      <c r="AD91">
        <v>1331.7132577472787</v>
      </c>
      <c r="AE91">
        <v>1341.8019945483945</v>
      </c>
      <c r="AF91">
        <v>1344.3241787486734</v>
      </c>
      <c r="AG91">
        <v>1359.4572839503471</v>
      </c>
      <c r="AH91">
        <v>1369.5460207514627</v>
      </c>
      <c r="AI91">
        <v>1407.3787837556467</v>
      </c>
      <c r="AJ91">
        <v>1425.0340731575996</v>
      </c>
      <c r="AK91">
        <v>1452.7780993606677</v>
      </c>
      <c r="AL91">
        <v>1528.4436253690358</v>
      </c>
      <c r="AM91">
        <v>1581.4094935748935</v>
      </c>
      <c r="AN91">
        <v>1604.109151377404</v>
      </c>
      <c r="AO91">
        <v>1674.7303089852142</v>
      </c>
      <c r="AP91">
        <v>1715.085256189677</v>
      </c>
      <c r="AQ91">
        <v>1795.7951505986032</v>
      </c>
      <c r="AR91">
        <v>1868.9384924066924</v>
      </c>
      <c r="AS91">
        <v>1884.0715976083659</v>
      </c>
      <c r="AT91">
        <f>Sheet1!$AT91*_xlfn.XLOOKUP($A91,'[1]SSP4-change-rate'!$B$2:$B$147,'[1]SSP4-change-rate'!C$2:C$147)</f>
        <v>1853.398583301748</v>
      </c>
      <c r="AU91">
        <f>Sheet1!$AT91*_xlfn.XLOOKUP($A91,'[1]SSP4-change-rate'!$B$2:$B$147,'[1]SSP4-change-rate'!D$2:D$147)</f>
        <v>1848.1049593303997</v>
      </c>
      <c r="AV91">
        <f>Sheet1!$AT91*_xlfn.XLOOKUP($A91,'[1]SSP4-change-rate'!$B$2:$B$147,'[1]SSP4-change-rate'!E$2:E$147)</f>
        <v>1837.7863022842669</v>
      </c>
      <c r="AW91">
        <f>Sheet1!$AT91*_xlfn.XLOOKUP($A91,'[1]SSP4-change-rate'!$B$2:$B$147,'[1]SSP4-change-rate'!F$2:F$147)</f>
        <v>1813.3887561478314</v>
      </c>
      <c r="AX91">
        <f>Sheet1!$AT91*_xlfn.XLOOKUP($A91,'[1]SSP4-change-rate'!$B$2:$B$147,'[1]SSP4-change-rate'!G$2:G$147)</f>
        <v>1781.5988566713188</v>
      </c>
      <c r="AY91">
        <f>Sheet1!$AT91*_xlfn.XLOOKUP($A91,'[1]SSP4-change-rate'!$B$2:$B$147,'[1]SSP4-change-rate'!H$2:H$147)</f>
        <v>1747.5969024022502</v>
      </c>
    </row>
    <row r="92" spans="1:51" x14ac:dyDescent="0.25">
      <c r="A92" t="s">
        <v>352</v>
      </c>
      <c r="B92" t="s">
        <v>353</v>
      </c>
      <c r="C92" t="s">
        <v>354</v>
      </c>
      <c r="D92" t="s">
        <v>204</v>
      </c>
      <c r="E92" t="s">
        <v>61</v>
      </c>
      <c r="F92" t="s">
        <v>61</v>
      </c>
      <c r="G92">
        <v>413477.27282282402</v>
      </c>
      <c r="H92">
        <v>5668.0104888349961</v>
      </c>
      <c r="I92">
        <v>419145.283311659</v>
      </c>
      <c r="J92">
        <v>36488841</v>
      </c>
      <c r="K92">
        <v>99.243287418933079</v>
      </c>
      <c r="L92">
        <v>106.20772864131436</v>
      </c>
      <c r="M92">
        <v>114.91328016929093</v>
      </c>
      <c r="N92">
        <v>128.84216261405348</v>
      </c>
      <c r="O92">
        <v>147.99437597560197</v>
      </c>
      <c r="P92">
        <v>161.9232584203645</v>
      </c>
      <c r="Q92">
        <v>179.33436147631767</v>
      </c>
      <c r="R92">
        <v>205.45101606024747</v>
      </c>
      <c r="S92">
        <v>247.23766339453505</v>
      </c>
      <c r="T92">
        <v>405.67870120370895</v>
      </c>
      <c r="U92">
        <v>712.11411498848486</v>
      </c>
      <c r="V92">
        <v>1051.6306245795715</v>
      </c>
      <c r="W92">
        <v>1551.3292822854278</v>
      </c>
      <c r="X92">
        <v>1627.9381357316217</v>
      </c>
      <c r="Y92">
        <v>1784.6380632352002</v>
      </c>
      <c r="Z92">
        <v>1944.8202113499694</v>
      </c>
      <c r="AA92">
        <v>2071.9212636584275</v>
      </c>
      <c r="AB92">
        <v>2099.7790285479527</v>
      </c>
      <c r="AC92">
        <v>2150.2712274102169</v>
      </c>
      <c r="AD92">
        <v>2313.9355961361766</v>
      </c>
      <c r="AE92">
        <v>2387.06222897118</v>
      </c>
      <c r="AF92">
        <v>2449.7421999726112</v>
      </c>
      <c r="AG92">
        <v>2507.1988400572573</v>
      </c>
      <c r="AH92">
        <v>2585.5488038090461</v>
      </c>
      <c r="AI92">
        <v>2648.2287748104777</v>
      </c>
      <c r="AJ92">
        <v>2726.5787385622666</v>
      </c>
      <c r="AK92">
        <v>2801.4464817028652</v>
      </c>
      <c r="AL92">
        <v>2921.5830927889424</v>
      </c>
      <c r="AM92">
        <v>3215.8307344345508</v>
      </c>
      <c r="AN92">
        <v>3353.3784485765814</v>
      </c>
      <c r="AO92">
        <v>3569.2761264704004</v>
      </c>
      <c r="AP92">
        <v>3880.9348711719626</v>
      </c>
      <c r="AQ92">
        <v>4467.6890441575842</v>
      </c>
      <c r="AR92">
        <v>4990.0221358361796</v>
      </c>
      <c r="AS92">
        <v>5350.4319690944094</v>
      </c>
      <c r="AT92">
        <f>Sheet1!$AT92*_xlfn.XLOOKUP($A92,'[1]SSP4-change-rate'!$B$2:$B$147,'[1]SSP4-change-rate'!C$2:C$147)</f>
        <v>5494.1223263496395</v>
      </c>
      <c r="AU92">
        <f>Sheet1!$AT92*_xlfn.XLOOKUP($A92,'[1]SSP4-change-rate'!$B$2:$B$147,'[1]SSP4-change-rate'!D$2:D$147)</f>
        <v>5464.9964506759907</v>
      </c>
      <c r="AV92">
        <f>Sheet1!$AT92*_xlfn.XLOOKUP($A92,'[1]SSP4-change-rate'!$B$2:$B$147,'[1]SSP4-change-rate'!E$2:E$147)</f>
        <v>5423.5586019294133</v>
      </c>
      <c r="AW92">
        <f>Sheet1!$AT92*_xlfn.XLOOKUP($A92,'[1]SSP4-change-rate'!$B$2:$B$147,'[1]SSP4-change-rate'!F$2:F$147)</f>
        <v>5283.5554918136022</v>
      </c>
      <c r="AX92">
        <f>Sheet1!$AT92*_xlfn.XLOOKUP($A92,'[1]SSP4-change-rate'!$B$2:$B$147,'[1]SSP4-change-rate'!G$2:G$147)</f>
        <v>5062.8658313657525</v>
      </c>
      <c r="AY92">
        <f>Sheet1!$AT92*_xlfn.XLOOKUP($A92,'[1]SSP4-change-rate'!$B$2:$B$147,'[1]SSP4-change-rate'!H$2:H$147)</f>
        <v>4745.5798802067229</v>
      </c>
    </row>
    <row r="93" spans="1:51" x14ac:dyDescent="0.25">
      <c r="A93" t="s">
        <v>355</v>
      </c>
      <c r="B93" t="s">
        <v>356</v>
      </c>
      <c r="C93" t="s">
        <v>357</v>
      </c>
      <c r="D93" t="s">
        <v>129</v>
      </c>
      <c r="E93" t="s">
        <v>71</v>
      </c>
      <c r="F93" t="s">
        <v>82</v>
      </c>
      <c r="G93">
        <v>33907.869969855899</v>
      </c>
      <c r="H93">
        <v>1412.689615051949</v>
      </c>
      <c r="I93">
        <v>35320.559584907845</v>
      </c>
      <c r="J93">
        <v>3095022</v>
      </c>
      <c r="K93">
        <v>48.902299053307566</v>
      </c>
      <c r="L93">
        <v>62.594942788233681</v>
      </c>
      <c r="M93">
        <v>82.155862409556704</v>
      </c>
      <c r="N93">
        <v>107.58505791727663</v>
      </c>
      <c r="O93">
        <v>138.88252931139348</v>
      </c>
      <c r="P93">
        <v>154.5312650084519</v>
      </c>
      <c r="Q93">
        <v>164.31172481911341</v>
      </c>
      <c r="R93">
        <v>166.26781678124573</v>
      </c>
      <c r="S93">
        <v>168.22390874337802</v>
      </c>
      <c r="T93">
        <v>168.22390874337802</v>
      </c>
      <c r="U93">
        <v>195.60919621323026</v>
      </c>
      <c r="V93">
        <v>240.59931134227321</v>
      </c>
      <c r="W93">
        <v>311.01862197903608</v>
      </c>
      <c r="X93">
        <v>311.01862197903608</v>
      </c>
      <c r="Y93">
        <v>311.01862197903608</v>
      </c>
      <c r="Z93">
        <v>320.79908178969765</v>
      </c>
      <c r="AA93">
        <v>328.62344963822682</v>
      </c>
      <c r="AB93">
        <v>328.62344963822682</v>
      </c>
      <c r="AC93">
        <v>328.62344963822682</v>
      </c>
      <c r="AD93">
        <v>346.22827729741755</v>
      </c>
      <c r="AE93">
        <v>346.22827729741755</v>
      </c>
      <c r="AF93">
        <v>352.09655318381448</v>
      </c>
      <c r="AG93">
        <v>354.05264514594677</v>
      </c>
      <c r="AH93">
        <v>357.96482907021135</v>
      </c>
      <c r="AI93">
        <v>357.96482907021135</v>
      </c>
      <c r="AJ93">
        <v>359.9209210323437</v>
      </c>
      <c r="AK93">
        <v>359.9209210323437</v>
      </c>
      <c r="AL93">
        <v>367.74528888087286</v>
      </c>
      <c r="AM93">
        <v>397.08666831285746</v>
      </c>
      <c r="AN93">
        <v>426.42804774484193</v>
      </c>
      <c r="AO93">
        <v>457.72551913895876</v>
      </c>
      <c r="AP93">
        <v>492.93517445734022</v>
      </c>
      <c r="AQ93">
        <v>598.56414041248456</v>
      </c>
      <c r="AR93">
        <v>719.8418420646874</v>
      </c>
      <c r="AS93">
        <v>760.91977326946562</v>
      </c>
      <c r="AT93">
        <f>Sheet1!$AT93*_xlfn.XLOOKUP($A93,'[1]SSP4-change-rate'!$B$2:$B$147,'[1]SSP4-change-rate'!C$2:C$147)</f>
        <v>924.7065175252128</v>
      </c>
      <c r="AU93">
        <f>Sheet1!$AT93*_xlfn.XLOOKUP($A93,'[1]SSP4-change-rate'!$B$2:$B$147,'[1]SSP4-change-rate'!D$2:D$147)</f>
        <v>904.71896616135393</v>
      </c>
      <c r="AV93">
        <f>Sheet1!$AT93*_xlfn.XLOOKUP($A93,'[1]SSP4-change-rate'!$B$2:$B$147,'[1]SSP4-change-rate'!E$2:E$147)</f>
        <v>895.03345641354952</v>
      </c>
      <c r="AW93">
        <f>Sheet1!$AT93*_xlfn.XLOOKUP($A93,'[1]SSP4-change-rate'!$B$2:$B$147,'[1]SSP4-change-rate'!F$2:F$147)</f>
        <v>871.09279337586133</v>
      </c>
      <c r="AX93">
        <f>Sheet1!$AT93*_xlfn.XLOOKUP($A93,'[1]SSP4-change-rate'!$B$2:$B$147,'[1]SSP4-change-rate'!G$2:G$147)</f>
        <v>858.26323943063528</v>
      </c>
      <c r="AY93">
        <f>Sheet1!$AT93*_xlfn.XLOOKUP($A93,'[1]SSP4-change-rate'!$B$2:$B$147,'[1]SSP4-change-rate'!H$2:H$147)</f>
        <v>858.26323943063528</v>
      </c>
    </row>
    <row r="94" spans="1:51" x14ac:dyDescent="0.25">
      <c r="A94" t="s">
        <v>358</v>
      </c>
      <c r="B94" t="s">
        <v>359</v>
      </c>
      <c r="C94" t="s">
        <v>360</v>
      </c>
      <c r="D94" t="s">
        <v>98</v>
      </c>
      <c r="E94" t="s">
        <v>61</v>
      </c>
      <c r="F94" t="s">
        <v>61</v>
      </c>
      <c r="G94">
        <v>591446.36567610258</v>
      </c>
      <c r="H94">
        <v>540.12236001282167</v>
      </c>
      <c r="I94">
        <v>591986.48803611542</v>
      </c>
      <c r="J94">
        <v>27879129</v>
      </c>
      <c r="K94">
        <v>24.551016364219169</v>
      </c>
      <c r="L94">
        <v>24.551016364219169</v>
      </c>
      <c r="M94">
        <v>24.551016364219169</v>
      </c>
      <c r="N94">
        <v>24.551016364219169</v>
      </c>
      <c r="O94">
        <v>24.551016364219169</v>
      </c>
      <c r="P94">
        <v>24.551016364219169</v>
      </c>
      <c r="Q94">
        <v>24.551016364219169</v>
      </c>
      <c r="R94">
        <v>24.551016364219169</v>
      </c>
      <c r="S94">
        <v>29.461219637063</v>
      </c>
      <c r="T94">
        <v>34.371422909906833</v>
      </c>
      <c r="U94">
        <v>44.191829455594501</v>
      </c>
      <c r="V94">
        <v>63.832642546969836</v>
      </c>
      <c r="W94">
        <v>93.293862184032832</v>
      </c>
      <c r="X94">
        <v>98.204065456876677</v>
      </c>
      <c r="Y94">
        <v>127.66528509393967</v>
      </c>
      <c r="Z94">
        <v>186.58772436806566</v>
      </c>
      <c r="AA94">
        <v>206.22853745944101</v>
      </c>
      <c r="AB94">
        <v>211.13874073228484</v>
      </c>
      <c r="AC94">
        <v>211.13874073228484</v>
      </c>
      <c r="AD94">
        <v>225.86935055081634</v>
      </c>
      <c r="AE94">
        <v>225.86935055081634</v>
      </c>
      <c r="AF94">
        <v>230.77955382366017</v>
      </c>
      <c r="AG94">
        <v>230.77955382366017</v>
      </c>
      <c r="AH94">
        <v>235.689757096504</v>
      </c>
      <c r="AI94">
        <v>235.689757096504</v>
      </c>
      <c r="AJ94">
        <v>245.51016364219166</v>
      </c>
      <c r="AK94">
        <v>250.42036691503549</v>
      </c>
      <c r="AL94">
        <v>265.15097673356701</v>
      </c>
      <c r="AM94">
        <v>309.34280618916154</v>
      </c>
      <c r="AN94">
        <v>358.44483891759984</v>
      </c>
      <c r="AO94">
        <v>387.90605855466282</v>
      </c>
      <c r="AP94">
        <v>417.3672781917258</v>
      </c>
      <c r="AQ94">
        <v>432.09788801025735</v>
      </c>
      <c r="AR94">
        <v>437.00809128310118</v>
      </c>
      <c r="AS94">
        <v>471.37951419300799</v>
      </c>
      <c r="AT94">
        <f>Sheet1!$AT94*_xlfn.XLOOKUP($A94,'[1]SSP4-change-rate'!$B$2:$B$147,'[1]SSP4-change-rate'!C$2:C$147)</f>
        <v>510.66114037575869</v>
      </c>
      <c r="AU94">
        <f>Sheet1!$AT94*_xlfn.XLOOKUP($A94,'[1]SSP4-change-rate'!$B$2:$B$147,'[1]SSP4-change-rate'!D$2:D$147)</f>
        <v>521.08279630179459</v>
      </c>
      <c r="AV94">
        <f>Sheet1!$AT94*_xlfn.XLOOKUP($A94,'[1]SSP4-change-rate'!$B$2:$B$147,'[1]SSP4-change-rate'!E$2:E$147)</f>
        <v>529.57451594523116</v>
      </c>
      <c r="AW94">
        <f>Sheet1!$AT94*_xlfn.XLOOKUP($A94,'[1]SSP4-change-rate'!$B$2:$B$147,'[1]SSP4-change-rate'!F$2:F$147)</f>
        <v>538.58792149005797</v>
      </c>
      <c r="AX94">
        <f>Sheet1!$AT94*_xlfn.XLOOKUP($A94,'[1]SSP4-change-rate'!$B$2:$B$147,'[1]SSP4-change-rate'!G$2:G$147)</f>
        <v>548.10962400331425</v>
      </c>
      <c r="AY94">
        <f>Sheet1!$AT94*_xlfn.XLOOKUP($A94,'[1]SSP4-change-rate'!$B$2:$B$147,'[1]SSP4-change-rate'!H$2:H$147)</f>
        <v>560.26822258368952</v>
      </c>
    </row>
    <row r="95" spans="1:51" x14ac:dyDescent="0.25">
      <c r="A95" t="s">
        <v>361</v>
      </c>
      <c r="B95" t="s">
        <v>362</v>
      </c>
      <c r="C95" t="s">
        <v>363</v>
      </c>
      <c r="D95" t="s">
        <v>362</v>
      </c>
      <c r="E95" t="s">
        <v>76</v>
      </c>
      <c r="F95" t="s">
        <v>77</v>
      </c>
      <c r="G95">
        <v>1951230.5482192361</v>
      </c>
      <c r="H95">
        <v>51715.39631286553</v>
      </c>
      <c r="I95">
        <v>2002945.9445321015</v>
      </c>
      <c r="J95">
        <v>119530753</v>
      </c>
      <c r="K95">
        <v>942.20845980324918</v>
      </c>
      <c r="L95">
        <v>1024.0169787682021</v>
      </c>
      <c r="M95">
        <v>1297.6523697889061</v>
      </c>
      <c r="N95">
        <v>1641.8123461242246</v>
      </c>
      <c r="O95">
        <v>2076.2437916622498</v>
      </c>
      <c r="P95">
        <v>2076.2437916622498</v>
      </c>
      <c r="Q95">
        <v>2474.0024528366753</v>
      </c>
      <c r="R95">
        <v>3026.9152017032529</v>
      </c>
      <c r="S95">
        <v>4414.8390406948656</v>
      </c>
      <c r="T95">
        <v>6665.983803937359</v>
      </c>
      <c r="U95">
        <v>10463.027477276202</v>
      </c>
      <c r="V95">
        <v>15805.970060711392</v>
      </c>
      <c r="W95">
        <v>21391.517217628862</v>
      </c>
      <c r="X95">
        <v>22920.490227249702</v>
      </c>
      <c r="Y95">
        <v>25075.721554464319</v>
      </c>
      <c r="Z95">
        <v>26759.848651777309</v>
      </c>
      <c r="AA95">
        <v>27958.766602125754</v>
      </c>
      <c r="AB95">
        <v>28503.21640075458</v>
      </c>
      <c r="AC95">
        <v>29030.740298907898</v>
      </c>
      <c r="AD95">
        <v>30035.010393788009</v>
      </c>
      <c r="AE95">
        <v>30712.046412808308</v>
      </c>
      <c r="AF95">
        <v>31264.959161674884</v>
      </c>
      <c r="AG95">
        <v>31837.618794429553</v>
      </c>
      <c r="AH95">
        <v>32387.710559883548</v>
      </c>
      <c r="AI95">
        <v>32855.993806372586</v>
      </c>
      <c r="AJ95">
        <v>33569.702609756481</v>
      </c>
      <c r="AK95">
        <v>34153.646176161492</v>
      </c>
      <c r="AL95">
        <v>34997.120216524279</v>
      </c>
      <c r="AM95">
        <v>37002.839422871912</v>
      </c>
      <c r="AN95">
        <v>37916.838048549318</v>
      </c>
      <c r="AO95">
        <v>39510.693676659605</v>
      </c>
      <c r="AP95">
        <v>41993.159079734032</v>
      </c>
      <c r="AQ95">
        <v>44585.642835899263</v>
      </c>
      <c r="AR95">
        <v>46754.979080176803</v>
      </c>
      <c r="AS95">
        <v>48295.236023447978</v>
      </c>
      <c r="AT95">
        <f>Sheet1!$AT95*_xlfn.XLOOKUP($A95,'[1]SSP4-change-rate'!$B$2:$B$147,'[1]SSP4-change-rate'!C$2:C$147)</f>
        <v>50097.434655760429</v>
      </c>
      <c r="AU95">
        <f>Sheet1!$AT95*_xlfn.XLOOKUP($A95,'[1]SSP4-change-rate'!$B$2:$B$147,'[1]SSP4-change-rate'!D$2:D$147)</f>
        <v>49814.596566944507</v>
      </c>
      <c r="AV95">
        <f>Sheet1!$AT95*_xlfn.XLOOKUP($A95,'[1]SSP4-change-rate'!$B$2:$B$147,'[1]SSP4-change-rate'!E$2:E$147)</f>
        <v>49425.218239139351</v>
      </c>
      <c r="AW95">
        <f>Sheet1!$AT95*_xlfn.XLOOKUP($A95,'[1]SSP4-change-rate'!$B$2:$B$147,'[1]SSP4-change-rate'!F$2:F$147)</f>
        <v>48438.346132837098</v>
      </c>
      <c r="AX95">
        <f>Sheet1!$AT95*_xlfn.XLOOKUP($A95,'[1]SSP4-change-rate'!$B$2:$B$147,'[1]SSP4-change-rate'!G$2:G$147)</f>
        <v>47089.545492391066</v>
      </c>
      <c r="AY95">
        <f>Sheet1!$AT95*_xlfn.XLOOKUP($A95,'[1]SSP4-change-rate'!$B$2:$B$147,'[1]SSP4-change-rate'!H$2:H$147)</f>
        <v>45593.686799618117</v>
      </c>
    </row>
    <row r="96" spans="1:51" x14ac:dyDescent="0.25">
      <c r="A96" t="s">
        <v>364</v>
      </c>
      <c r="B96" t="s">
        <v>365</v>
      </c>
      <c r="C96" t="s">
        <v>366</v>
      </c>
      <c r="D96" t="s">
        <v>65</v>
      </c>
      <c r="E96" t="s">
        <v>66</v>
      </c>
      <c r="F96" t="s">
        <v>66</v>
      </c>
      <c r="G96">
        <v>24909.983747775859</v>
      </c>
      <c r="H96" t="e">
        <v>#N/A</v>
      </c>
      <c r="I96" t="e">
        <v>#N/A</v>
      </c>
      <c r="J96">
        <v>2114026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f>Sheet1!$AT96*_xlfn.XLOOKUP($A96,'[1]SSP4-change-rate'!$B$2:$B$147,'[1]SSP4-change-rate'!C$2:C$147)</f>
        <v>#N/A</v>
      </c>
      <c r="AU96" t="e">
        <f>Sheet1!$AT96*_xlfn.XLOOKUP($A96,'[1]SSP4-change-rate'!$B$2:$B$147,'[1]SSP4-change-rate'!D$2:D$147)</f>
        <v>#N/A</v>
      </c>
      <c r="AV96" t="e">
        <f>Sheet1!$AT96*_xlfn.XLOOKUP($A96,'[1]SSP4-change-rate'!$B$2:$B$147,'[1]SSP4-change-rate'!E$2:E$147)</f>
        <v>#N/A</v>
      </c>
      <c r="AW96" t="e">
        <f>Sheet1!$AT96*_xlfn.XLOOKUP($A96,'[1]SSP4-change-rate'!$B$2:$B$147,'[1]SSP4-change-rate'!F$2:F$147)</f>
        <v>#N/A</v>
      </c>
      <c r="AX96" t="e">
        <f>Sheet1!$AT96*_xlfn.XLOOKUP($A96,'[1]SSP4-change-rate'!$B$2:$B$147,'[1]SSP4-change-rate'!G$2:G$147)</f>
        <v>#N/A</v>
      </c>
      <c r="AY96" t="e">
        <f>Sheet1!$AT96*_xlfn.XLOOKUP($A96,'[1]SSP4-change-rate'!$B$2:$B$147,'[1]SSP4-change-rate'!H$2:H$147)</f>
        <v>#N/A</v>
      </c>
    </row>
    <row r="97" spans="1:51" x14ac:dyDescent="0.25">
      <c r="A97" t="s">
        <v>367</v>
      </c>
      <c r="B97" t="s">
        <v>368</v>
      </c>
      <c r="C97" t="s">
        <v>369</v>
      </c>
      <c r="D97" t="s">
        <v>105</v>
      </c>
      <c r="E97" t="s">
        <v>61</v>
      </c>
      <c r="F97" t="s">
        <v>61</v>
      </c>
      <c r="G97">
        <v>1251195.7262276961</v>
      </c>
      <c r="H97">
        <v>1093.363965687626</v>
      </c>
      <c r="I97">
        <v>1252289.0901933836</v>
      </c>
      <c r="J97">
        <v>20886783</v>
      </c>
      <c r="K97">
        <v>39.614636437957465</v>
      </c>
      <c r="L97">
        <v>39.614636437957465</v>
      </c>
      <c r="M97">
        <v>39.614636437957465</v>
      </c>
      <c r="N97">
        <v>39.614636437957465</v>
      </c>
      <c r="O97">
        <v>39.614636437957465</v>
      </c>
      <c r="P97">
        <v>39.614636437957465</v>
      </c>
      <c r="Q97">
        <v>39.614636437957465</v>
      </c>
      <c r="R97">
        <v>39.614636437957465</v>
      </c>
      <c r="S97">
        <v>39.614636437957465</v>
      </c>
      <c r="T97">
        <v>39.614636437957465</v>
      </c>
      <c r="U97">
        <v>44.566465992702149</v>
      </c>
      <c r="V97">
        <v>49.518295547446826</v>
      </c>
      <c r="W97">
        <v>59.421954656936194</v>
      </c>
      <c r="X97">
        <v>64.373784211680871</v>
      </c>
      <c r="Y97">
        <v>113.8920797591277</v>
      </c>
      <c r="Z97">
        <v>252.54330729197883</v>
      </c>
      <c r="AA97">
        <v>292.15794372993628</v>
      </c>
      <c r="AB97">
        <v>302.06160283942569</v>
      </c>
      <c r="AC97">
        <v>307.01343239417031</v>
      </c>
      <c r="AD97">
        <v>336.72440972263843</v>
      </c>
      <c r="AE97">
        <v>361.48355749636181</v>
      </c>
      <c r="AF97">
        <v>376.33904616059584</v>
      </c>
      <c r="AG97">
        <v>396.14636437957461</v>
      </c>
      <c r="AH97">
        <v>406.05002348906396</v>
      </c>
      <c r="AI97">
        <v>420.90551215329805</v>
      </c>
      <c r="AJ97">
        <v>440.71283037227676</v>
      </c>
      <c r="AK97">
        <v>480.32746681023417</v>
      </c>
      <c r="AL97">
        <v>539.74942146717035</v>
      </c>
      <c r="AM97">
        <v>579.36405790512788</v>
      </c>
      <c r="AN97">
        <v>623.93052389782997</v>
      </c>
      <c r="AO97">
        <v>678.40064900002142</v>
      </c>
      <c r="AP97">
        <v>782.38906964965986</v>
      </c>
      <c r="AQ97">
        <v>881.42566074455351</v>
      </c>
      <c r="AR97">
        <v>906.1848085182769</v>
      </c>
      <c r="AS97">
        <v>935.89578584674507</v>
      </c>
      <c r="AT97">
        <f>Sheet1!$AT97*_xlfn.XLOOKUP($A97,'[1]SSP4-change-rate'!$B$2:$B$147,'[1]SSP4-change-rate'!C$2:C$147)</f>
        <v>1020.0768882774046</v>
      </c>
      <c r="AU97">
        <f>Sheet1!$AT97*_xlfn.XLOOKUP($A97,'[1]SSP4-change-rate'!$B$2:$B$147,'[1]SSP4-change-rate'!D$2:D$147)</f>
        <v>1014.6219316556003</v>
      </c>
      <c r="AV97">
        <f>Sheet1!$AT97*_xlfn.XLOOKUP($A97,'[1]SSP4-change-rate'!$B$2:$B$147,'[1]SSP4-change-rate'!E$2:E$147)</f>
        <v>1005.4346362925614</v>
      </c>
      <c r="AW97">
        <f>Sheet1!$AT97*_xlfn.XLOOKUP($A97,'[1]SSP4-change-rate'!$B$2:$B$147,'[1]SSP4-change-rate'!F$2:F$147)</f>
        <v>958.25404656362252</v>
      </c>
      <c r="AX97">
        <f>Sheet1!$AT97*_xlfn.XLOOKUP($A97,'[1]SSP4-change-rate'!$B$2:$B$147,'[1]SSP4-change-rate'!G$2:G$147)</f>
        <v>906.06829488169456</v>
      </c>
      <c r="AY97">
        <f>Sheet1!$AT97*_xlfn.XLOOKUP($A97,'[1]SSP4-change-rate'!$B$2:$B$147,'[1]SSP4-change-rate'!H$2:H$147)</f>
        <v>841.27689437709546</v>
      </c>
    </row>
    <row r="98" spans="1:51" x14ac:dyDescent="0.25">
      <c r="A98" t="s">
        <v>370</v>
      </c>
      <c r="B98" t="s">
        <v>371</v>
      </c>
      <c r="C98" t="s">
        <v>372</v>
      </c>
      <c r="D98" t="s">
        <v>91</v>
      </c>
      <c r="E98" t="s">
        <v>66</v>
      </c>
      <c r="F98" t="s">
        <v>66</v>
      </c>
      <c r="G98">
        <v>323.36780683640768</v>
      </c>
      <c r="H98">
        <v>261.44778638200802</v>
      </c>
      <c r="I98">
        <v>584.81559321841564</v>
      </c>
      <c r="J98">
        <v>509586</v>
      </c>
      <c r="K98">
        <v>60.6004802872204</v>
      </c>
      <c r="L98">
        <v>67.526249462902726</v>
      </c>
      <c r="M98">
        <v>74.452018638585074</v>
      </c>
      <c r="N98">
        <v>83.109230108187987</v>
      </c>
      <c r="O98">
        <v>96.960768459552639</v>
      </c>
      <c r="P98">
        <v>107.34942222307613</v>
      </c>
      <c r="Q98">
        <v>117.73807598659964</v>
      </c>
      <c r="R98">
        <v>128.12672975012313</v>
      </c>
      <c r="S98">
        <v>138.51538351364664</v>
      </c>
      <c r="T98">
        <v>138.51538351364664</v>
      </c>
      <c r="U98">
        <v>138.51538351364664</v>
      </c>
      <c r="V98">
        <v>148.90403727717015</v>
      </c>
      <c r="W98">
        <v>164.48701792245538</v>
      </c>
      <c r="X98">
        <v>167.94990251029654</v>
      </c>
      <c r="Y98">
        <v>169.68134480421713</v>
      </c>
      <c r="Z98">
        <v>180.06999856774061</v>
      </c>
      <c r="AA98">
        <v>181.80144086166121</v>
      </c>
      <c r="AB98">
        <v>183.5328831555818</v>
      </c>
      <c r="AC98">
        <v>185.26432544950237</v>
      </c>
      <c r="AD98">
        <v>197.38442150694644</v>
      </c>
      <c r="AE98">
        <v>199.11586380086703</v>
      </c>
      <c r="AF98">
        <v>199.11586380086703</v>
      </c>
      <c r="AG98">
        <v>202.57874838870819</v>
      </c>
      <c r="AH98">
        <v>202.57874838870819</v>
      </c>
      <c r="AI98">
        <v>202.57874838870819</v>
      </c>
      <c r="AJ98">
        <v>206.04163297654938</v>
      </c>
      <c r="AK98">
        <v>206.04163297654938</v>
      </c>
      <c r="AL98">
        <v>209.50451756439054</v>
      </c>
      <c r="AM98">
        <v>209.50451756439054</v>
      </c>
      <c r="AN98">
        <v>214.69884444615226</v>
      </c>
      <c r="AO98">
        <v>218.16172903399345</v>
      </c>
      <c r="AP98">
        <v>225.08749820967577</v>
      </c>
      <c r="AQ98">
        <v>235.47615197319928</v>
      </c>
      <c r="AR98">
        <v>240.67047885496103</v>
      </c>
      <c r="AS98">
        <v>261.44778638200802</v>
      </c>
      <c r="AT98">
        <f>Sheet1!$AT98*_xlfn.XLOOKUP($A98,'[1]SSP4-change-rate'!$B$2:$B$147,'[1]SSP4-change-rate'!C$2:C$147)</f>
        <v>261.44778638200802</v>
      </c>
      <c r="AU98">
        <f>Sheet1!$AT98*_xlfn.XLOOKUP($A98,'[1]SSP4-change-rate'!$B$2:$B$147,'[1]SSP4-change-rate'!D$2:D$147)</f>
        <v>261.44778638200802</v>
      </c>
      <c r="AV98">
        <f>Sheet1!$AT98*_xlfn.XLOOKUP($A98,'[1]SSP4-change-rate'!$B$2:$B$147,'[1]SSP4-change-rate'!E$2:E$147)</f>
        <v>259.33933649183052</v>
      </c>
      <c r="AW98">
        <f>Sheet1!$AT98*_xlfn.XLOOKUP($A98,'[1]SSP4-change-rate'!$B$2:$B$147,'[1]SSP4-change-rate'!F$2:F$147)</f>
        <v>255.59447773166457</v>
      </c>
      <c r="AX98">
        <f>Sheet1!$AT98*_xlfn.XLOOKUP($A98,'[1]SSP4-change-rate'!$B$2:$B$147,'[1]SSP4-change-rate'!G$2:G$147)</f>
        <v>252.73286016927443</v>
      </c>
      <c r="AY98">
        <f>Sheet1!$AT98*_xlfn.XLOOKUP($A98,'[1]SSP4-change-rate'!$B$2:$B$147,'[1]SSP4-change-rate'!H$2:H$147)</f>
        <v>247.68737657242866</v>
      </c>
    </row>
    <row r="99" spans="1:51" x14ac:dyDescent="0.25">
      <c r="A99" t="s">
        <v>373</v>
      </c>
      <c r="B99" t="s">
        <v>374</v>
      </c>
      <c r="C99" t="s">
        <v>375</v>
      </c>
      <c r="D99" t="s">
        <v>139</v>
      </c>
      <c r="E99" t="s">
        <v>55</v>
      </c>
      <c r="F99" t="s">
        <v>140</v>
      </c>
      <c r="G99">
        <v>669297.40984901658</v>
      </c>
      <c r="H99">
        <v>5423.7365643854846</v>
      </c>
      <c r="I99">
        <v>674721.14641340205</v>
      </c>
      <c r="K99">
        <v>190.65046071810352</v>
      </c>
      <c r="L99">
        <v>218.41854487003121</v>
      </c>
      <c r="M99">
        <v>247.82943769899188</v>
      </c>
      <c r="N99">
        <v>291.14388782679509</v>
      </c>
      <c r="O99">
        <v>337.71655908906456</v>
      </c>
      <c r="P99">
        <v>380.90015095646447</v>
      </c>
      <c r="Q99">
        <v>456.0906448280241</v>
      </c>
      <c r="R99">
        <v>519.17154760428934</v>
      </c>
      <c r="S99">
        <v>544.52045196566439</v>
      </c>
      <c r="T99">
        <v>691.87970307463831</v>
      </c>
      <c r="U99">
        <v>910.34335666153925</v>
      </c>
      <c r="V99">
        <v>1069.0030370152194</v>
      </c>
      <c r="W99">
        <v>1333.512975236747</v>
      </c>
      <c r="X99">
        <v>1412.0360829064296</v>
      </c>
      <c r="Y99">
        <v>1646.4769833166883</v>
      </c>
      <c r="Z99">
        <v>2004.8402117583423</v>
      </c>
      <c r="AA99">
        <v>2253.673950540805</v>
      </c>
      <c r="AB99">
        <v>2468.8406784548856</v>
      </c>
      <c r="AC99">
        <v>2554.8304353852536</v>
      </c>
      <c r="AD99">
        <v>2628.5123301629769</v>
      </c>
      <c r="AE99">
        <v>2698.9580778493469</v>
      </c>
      <c r="AF99">
        <v>2753.0682319458624</v>
      </c>
      <c r="AG99">
        <v>2834.0442264325679</v>
      </c>
      <c r="AH99">
        <v>2911.2682836920526</v>
      </c>
      <c r="AI99">
        <v>2960.9888818442901</v>
      </c>
      <c r="AJ99">
        <v>3019.6715668525571</v>
      </c>
      <c r="AK99">
        <v>3069.1717139052344</v>
      </c>
      <c r="AL99">
        <v>3151.6105269674608</v>
      </c>
      <c r="AM99">
        <v>3313.2100645759415</v>
      </c>
      <c r="AN99">
        <v>3403.6093297521456</v>
      </c>
      <c r="AO99">
        <v>3540.9853271942166</v>
      </c>
      <c r="AP99">
        <v>3874.0876164371011</v>
      </c>
      <c r="AQ99">
        <v>4228.639165476302</v>
      </c>
      <c r="AR99">
        <v>4506.9439048746653</v>
      </c>
      <c r="AS99">
        <v>4840.1853203440423</v>
      </c>
      <c r="AT99">
        <v>5117.9361520821903</v>
      </c>
      <c r="AU99">
        <v>5107.4293187927269</v>
      </c>
      <c r="AV99">
        <v>5094.3297378114848</v>
      </c>
      <c r="AW99">
        <v>5016.0994982137363</v>
      </c>
      <c r="AX99">
        <v>4907.7567670146136</v>
      </c>
      <c r="AY99">
        <v>4778.2035883124445</v>
      </c>
    </row>
    <row r="100" spans="1:51" x14ac:dyDescent="0.25">
      <c r="A100" t="s">
        <v>376</v>
      </c>
      <c r="B100" t="s">
        <v>377</v>
      </c>
      <c r="C100" t="s">
        <v>378</v>
      </c>
      <c r="D100" t="s">
        <v>65</v>
      </c>
      <c r="E100" t="s">
        <v>66</v>
      </c>
      <c r="F100" t="s">
        <v>66</v>
      </c>
      <c r="G100">
        <v>13336.64066818275</v>
      </c>
      <c r="H100">
        <v>94.941856462867619</v>
      </c>
      <c r="I100">
        <v>13431.582524645617</v>
      </c>
      <c r="K100">
        <v>9.9785391860461843</v>
      </c>
      <c r="L100">
        <v>11.074101454676011</v>
      </c>
      <c r="M100">
        <v>12.276470987305725</v>
      </c>
      <c r="N100">
        <v>13.871985964609802</v>
      </c>
      <c r="O100">
        <v>16.270030355767407</v>
      </c>
      <c r="P100">
        <v>17.207208941150679</v>
      </c>
      <c r="Q100">
        <v>18.569180605655749</v>
      </c>
      <c r="R100">
        <v>19.739701490312964</v>
      </c>
      <c r="S100">
        <v>21.652781533493684</v>
      </c>
      <c r="T100">
        <v>24.203543514177973</v>
      </c>
      <c r="U100">
        <v>28.407123365433442</v>
      </c>
      <c r="V100">
        <v>32.148144066074302</v>
      </c>
      <c r="W100">
        <v>34.842878463293694</v>
      </c>
      <c r="X100">
        <v>36.181074300383322</v>
      </c>
      <c r="Y100">
        <v>40.509492841468969</v>
      </c>
      <c r="Z100">
        <v>45.135966149188675</v>
      </c>
      <c r="AA100">
        <v>47.781577045645321</v>
      </c>
      <c r="AB100">
        <v>48.967624188329843</v>
      </c>
      <c r="AC100">
        <v>50.452079082844996</v>
      </c>
      <c r="AD100">
        <v>52.562857297320832</v>
      </c>
      <c r="AE100">
        <v>53.901116596856752</v>
      </c>
      <c r="AF100">
        <v>55.017864735271658</v>
      </c>
      <c r="AG100">
        <v>56.227181106692456</v>
      </c>
      <c r="AH100">
        <v>57.507495133050718</v>
      </c>
      <c r="AI100">
        <v>58.339739453214683</v>
      </c>
      <c r="AJ100">
        <v>59.359479962495215</v>
      </c>
      <c r="AK100">
        <v>60.354238525956241</v>
      </c>
      <c r="AL100">
        <v>61.984239914846668</v>
      </c>
      <c r="AM100">
        <v>64.206549620626859</v>
      </c>
      <c r="AN100">
        <v>66.149946618345751</v>
      </c>
      <c r="AO100">
        <v>69.649985561337687</v>
      </c>
      <c r="AP100">
        <v>73.777925835480758</v>
      </c>
      <c r="AQ100">
        <v>80.073144453041337</v>
      </c>
      <c r="AR100">
        <v>86.723801786253659</v>
      </c>
      <c r="AS100">
        <v>92.138872876464674</v>
      </c>
      <c r="AT100">
        <v>94.057902784051748</v>
      </c>
      <c r="AU100">
        <v>93.831352075818813</v>
      </c>
      <c r="AV100">
        <v>93.501745282851104</v>
      </c>
      <c r="AW100">
        <v>92.658108203356193</v>
      </c>
      <c r="AX100">
        <v>91.467281733919734</v>
      </c>
      <c r="AY100">
        <v>89.959845082573679</v>
      </c>
    </row>
    <row r="101" spans="1:51" x14ac:dyDescent="0.25">
      <c r="A101" t="s">
        <v>379</v>
      </c>
      <c r="B101" t="s">
        <v>380</v>
      </c>
      <c r="C101" t="s">
        <v>381</v>
      </c>
      <c r="D101" t="s">
        <v>160</v>
      </c>
      <c r="E101" t="s">
        <v>55</v>
      </c>
      <c r="F101" t="s">
        <v>161</v>
      </c>
      <c r="G101">
        <v>1566250.2234417249</v>
      </c>
      <c r="H101">
        <v>383.24303472432422</v>
      </c>
      <c r="I101">
        <v>1566633.4664764493</v>
      </c>
      <c r="J101">
        <v>3266460</v>
      </c>
      <c r="K101">
        <v>15.112107047489124</v>
      </c>
      <c r="L101">
        <v>15.112107047489124</v>
      </c>
      <c r="M101">
        <v>16.623317752238037</v>
      </c>
      <c r="N101">
        <v>18.134528456986953</v>
      </c>
      <c r="O101">
        <v>21.156949866484776</v>
      </c>
      <c r="P101">
        <v>21.156949866484776</v>
      </c>
      <c r="Q101">
        <v>21.156949866484776</v>
      </c>
      <c r="R101">
        <v>21.156949866484776</v>
      </c>
      <c r="S101">
        <v>21.156949866484776</v>
      </c>
      <c r="T101">
        <v>33.246635504476075</v>
      </c>
      <c r="U101">
        <v>52.892374666211943</v>
      </c>
      <c r="V101">
        <v>80.094167351692363</v>
      </c>
      <c r="W101">
        <v>117.87443497041519</v>
      </c>
      <c r="X101">
        <v>120.89685637991299</v>
      </c>
      <c r="Y101">
        <v>120.89685637991299</v>
      </c>
      <c r="Z101">
        <v>120.89685637991299</v>
      </c>
      <c r="AA101">
        <v>120.89685637991299</v>
      </c>
      <c r="AB101">
        <v>120.89685637991299</v>
      </c>
      <c r="AC101">
        <v>120.89685637991299</v>
      </c>
      <c r="AD101">
        <v>123.91927778941083</v>
      </c>
      <c r="AE101">
        <v>123.91927778941083</v>
      </c>
      <c r="AF101">
        <v>123.91927778941083</v>
      </c>
      <c r="AG101">
        <v>123.91927778941083</v>
      </c>
      <c r="AH101">
        <v>131.47533131315541</v>
      </c>
      <c r="AI101">
        <v>131.47533131315541</v>
      </c>
      <c r="AJ101">
        <v>131.47533131315541</v>
      </c>
      <c r="AK101">
        <v>142.05380624639778</v>
      </c>
      <c r="AL101">
        <v>149.60985977014235</v>
      </c>
      <c r="AM101">
        <v>152.63228117964019</v>
      </c>
      <c r="AN101">
        <v>154.14349188438908</v>
      </c>
      <c r="AO101">
        <v>175.30044175087386</v>
      </c>
      <c r="AP101">
        <v>207.03586655060101</v>
      </c>
      <c r="AQ101">
        <v>285.61882319754449</v>
      </c>
      <c r="AR101">
        <v>317.35424799727167</v>
      </c>
      <c r="AS101">
        <v>352.11209420649664</v>
      </c>
      <c r="AT101">
        <f>Sheet1!$AT101*_xlfn.XLOOKUP($A101,'[1]SSP4-change-rate'!$B$2:$B$147,'[1]SSP4-change-rate'!C$2:C$147)</f>
        <v>365.71299054923685</v>
      </c>
      <c r="AU101">
        <f>Sheet1!$AT101*_xlfn.XLOOKUP($A101,'[1]SSP4-change-rate'!$B$2:$B$147,'[1]SSP4-change-rate'!D$2:D$147)</f>
        <v>365.71299054923685</v>
      </c>
      <c r="AV101">
        <f>Sheet1!$AT101*_xlfn.XLOOKUP($A101,'[1]SSP4-change-rate'!$B$2:$B$147,'[1]SSP4-change-rate'!E$2:E$147)</f>
        <v>363.45550295325387</v>
      </c>
      <c r="AW101">
        <f>Sheet1!$AT101*_xlfn.XLOOKUP($A101,'[1]SSP4-change-rate'!$B$2:$B$147,'[1]SSP4-change-rate'!F$2:F$147)</f>
        <v>354.74160083275973</v>
      </c>
      <c r="AX101">
        <f>Sheet1!$AT101*_xlfn.XLOOKUP($A101,'[1]SSP4-change-rate'!$B$2:$B$147,'[1]SSP4-change-rate'!G$2:G$147)</f>
        <v>338.38212648683839</v>
      </c>
      <c r="AY101">
        <f>Sheet1!$AT101*_xlfn.XLOOKUP($A101,'[1]SSP4-change-rate'!$B$2:$B$147,'[1]SSP4-change-rate'!H$2:H$147)</f>
        <v>315.00488681761999</v>
      </c>
    </row>
    <row r="102" spans="1:51" x14ac:dyDescent="0.25">
      <c r="A102" t="s">
        <v>382</v>
      </c>
      <c r="B102" t="s">
        <v>383</v>
      </c>
      <c r="C102" t="s">
        <v>384</v>
      </c>
      <c r="D102" t="s">
        <v>60</v>
      </c>
      <c r="E102" t="s">
        <v>61</v>
      </c>
      <c r="F102" t="s">
        <v>61</v>
      </c>
      <c r="G102">
        <v>787460.6457683167</v>
      </c>
      <c r="H102">
        <v>1824.9084267638841</v>
      </c>
      <c r="I102">
        <v>789285.55419508053</v>
      </c>
      <c r="J102">
        <v>30720751</v>
      </c>
      <c r="K102">
        <v>20.628203768996432</v>
      </c>
      <c r="L102">
        <v>20.628203768996432</v>
      </c>
      <c r="M102">
        <v>20.628203768996432</v>
      </c>
      <c r="N102">
        <v>20.628203768996432</v>
      </c>
      <c r="O102">
        <v>20.628203768996432</v>
      </c>
      <c r="P102">
        <v>20.628203768996432</v>
      </c>
      <c r="Q102">
        <v>20.628203768996432</v>
      </c>
      <c r="R102">
        <v>20.628203768996432</v>
      </c>
      <c r="S102">
        <v>20.628203768996432</v>
      </c>
      <c r="T102">
        <v>24.066237730495835</v>
      </c>
      <c r="U102">
        <v>34.38033961499405</v>
      </c>
      <c r="V102">
        <v>79.074781114486314</v>
      </c>
      <c r="W102">
        <v>116.89315469097977</v>
      </c>
      <c r="X102">
        <v>140.95939242147563</v>
      </c>
      <c r="Y102">
        <v>175.33973203646966</v>
      </c>
      <c r="Z102">
        <v>209.72007165146371</v>
      </c>
      <c r="AA102">
        <v>213.15810561296311</v>
      </c>
      <c r="AB102">
        <v>220.03417353596194</v>
      </c>
      <c r="AC102">
        <v>220.03417353596194</v>
      </c>
      <c r="AD102">
        <v>220.03417353596194</v>
      </c>
      <c r="AE102">
        <v>244.10041126645777</v>
      </c>
      <c r="AF102">
        <v>261.2905810739548</v>
      </c>
      <c r="AG102">
        <v>495.07689045591428</v>
      </c>
      <c r="AH102">
        <v>519.14312818641019</v>
      </c>
      <c r="AI102">
        <v>529.45723007090839</v>
      </c>
      <c r="AJ102">
        <v>605.09397722389531</v>
      </c>
      <c r="AK102">
        <v>642.91235080038871</v>
      </c>
      <c r="AL102">
        <v>708.23499606887754</v>
      </c>
      <c r="AM102">
        <v>773.55764133736625</v>
      </c>
      <c r="AN102">
        <v>804.49994699086085</v>
      </c>
      <c r="AO102">
        <v>935.14523752783816</v>
      </c>
      <c r="AP102">
        <v>1203.3118865247918</v>
      </c>
      <c r="AQ102">
        <v>1306.452905369774</v>
      </c>
      <c r="AR102">
        <v>1471.4785355217455</v>
      </c>
      <c r="AS102">
        <v>1657.1323694427133</v>
      </c>
      <c r="AT102">
        <f>Sheet1!$AT102*_xlfn.XLOOKUP($A102,'[1]SSP4-change-rate'!$B$2:$B$147,'[1]SSP4-change-rate'!C$2:C$147)</f>
        <v>1720.0903181815852</v>
      </c>
      <c r="AU102">
        <f>Sheet1!$AT102*_xlfn.XLOOKUP($A102,'[1]SSP4-change-rate'!$B$2:$B$147,'[1]SSP4-change-rate'!D$2:D$147)</f>
        <v>1705.0130895564098</v>
      </c>
      <c r="AV102">
        <f>Sheet1!$AT102*_xlfn.XLOOKUP($A102,'[1]SSP4-change-rate'!$B$2:$B$147,'[1]SSP4-change-rate'!E$2:E$147)</f>
        <v>1674.8895636405202</v>
      </c>
      <c r="AW102">
        <f>Sheet1!$AT102*_xlfn.XLOOKUP($A102,'[1]SSP4-change-rate'!$B$2:$B$147,'[1]SSP4-change-rate'!F$2:F$147)</f>
        <v>1589.3473484990966</v>
      </c>
      <c r="AX102">
        <f>Sheet1!$AT102*_xlfn.XLOOKUP($A102,'[1]SSP4-change-rate'!$B$2:$B$147,'[1]SSP4-change-rate'!G$2:G$147)</f>
        <v>1455.4373117628415</v>
      </c>
      <c r="AY102">
        <f>Sheet1!$AT102*_xlfn.XLOOKUP($A102,'[1]SSP4-change-rate'!$B$2:$B$147,'[1]SSP4-change-rate'!H$2:H$147)</f>
        <v>1276.8597016505385</v>
      </c>
    </row>
    <row r="103" spans="1:51" x14ac:dyDescent="0.25">
      <c r="A103" t="s">
        <v>385</v>
      </c>
      <c r="B103" t="s">
        <v>386</v>
      </c>
      <c r="C103" t="s">
        <v>387</v>
      </c>
      <c r="D103" t="s">
        <v>105</v>
      </c>
      <c r="E103" t="s">
        <v>61</v>
      </c>
      <c r="F103" t="s">
        <v>61</v>
      </c>
      <c r="G103">
        <v>1041174.278885236</v>
      </c>
      <c r="H103">
        <v>275.51400094630839</v>
      </c>
      <c r="I103">
        <v>1041449.7928861823</v>
      </c>
      <c r="J103">
        <v>4440927.9999999991</v>
      </c>
      <c r="K103">
        <v>10.11060553931407</v>
      </c>
      <c r="L103">
        <v>10.11060553931407</v>
      </c>
      <c r="M103">
        <v>10.11060553931407</v>
      </c>
      <c r="N103">
        <v>10.11060553931407</v>
      </c>
      <c r="O103">
        <v>10.11060553931407</v>
      </c>
      <c r="P103">
        <v>10.11060553931407</v>
      </c>
      <c r="Q103">
        <v>10.11060553931407</v>
      </c>
      <c r="R103">
        <v>10.11060553931407</v>
      </c>
      <c r="S103">
        <v>10.11060553931407</v>
      </c>
      <c r="T103">
        <v>10.11060553931407</v>
      </c>
      <c r="U103">
        <v>15.165908308971105</v>
      </c>
      <c r="V103">
        <v>25.276513848285173</v>
      </c>
      <c r="W103">
        <v>37.914770772427758</v>
      </c>
      <c r="X103">
        <v>37.914770772427758</v>
      </c>
      <c r="Y103">
        <v>70.774238775198484</v>
      </c>
      <c r="Z103">
        <v>70.774238775198484</v>
      </c>
      <c r="AA103">
        <v>73.301890160027</v>
      </c>
      <c r="AB103">
        <v>75.829541544855516</v>
      </c>
      <c r="AC103">
        <v>78.357192929684047</v>
      </c>
      <c r="AD103">
        <v>78.357192929684047</v>
      </c>
      <c r="AE103">
        <v>85.940147084169595</v>
      </c>
      <c r="AF103">
        <v>90.995449853826628</v>
      </c>
      <c r="AG103">
        <v>98.578404008312177</v>
      </c>
      <c r="AH103">
        <v>101.10605539314069</v>
      </c>
      <c r="AI103">
        <v>103.63370677796921</v>
      </c>
      <c r="AJ103">
        <v>106.16135816279773</v>
      </c>
      <c r="AK103">
        <v>113.74431231728329</v>
      </c>
      <c r="AL103">
        <v>113.74431231728329</v>
      </c>
      <c r="AM103">
        <v>156.71438585936809</v>
      </c>
      <c r="AN103">
        <v>166.82499139868216</v>
      </c>
      <c r="AO103">
        <v>174.40794555316768</v>
      </c>
      <c r="AP103">
        <v>181.99089970765326</v>
      </c>
      <c r="AQ103">
        <v>209.79506494076693</v>
      </c>
      <c r="AR103">
        <v>235.0715787890521</v>
      </c>
      <c r="AS103">
        <v>252.76513848285174</v>
      </c>
      <c r="AT103">
        <f>Sheet1!$AT103*_xlfn.XLOOKUP($A103,'[1]SSP4-change-rate'!$B$2:$B$147,'[1]SSP4-change-rate'!C$2:C$147)</f>
        <v>265.40339540699432</v>
      </c>
      <c r="AU103">
        <f>Sheet1!$AT103*_xlfn.XLOOKUP($A103,'[1]SSP4-change-rate'!$B$2:$B$147,'[1]SSP4-change-rate'!D$2:D$147)</f>
        <v>268.1971153586469</v>
      </c>
      <c r="AV103">
        <f>Sheet1!$AT103*_xlfn.XLOOKUP($A103,'[1]SSP4-change-rate'!$B$2:$B$147,'[1]SSP4-change-rate'!E$2:E$147)</f>
        <v>265.40339540699432</v>
      </c>
      <c r="AW103">
        <f>Sheet1!$AT103*_xlfn.XLOOKUP($A103,'[1]SSP4-change-rate'!$B$2:$B$147,'[1]SSP4-change-rate'!F$2:F$147)</f>
        <v>263.13499031804565</v>
      </c>
      <c r="AX103">
        <f>Sheet1!$AT103*_xlfn.XLOOKUP($A103,'[1]SSP4-change-rate'!$B$2:$B$147,'[1]SSP4-change-rate'!G$2:G$147)</f>
        <v>255.71714010016973</v>
      </c>
      <c r="AY103">
        <f>Sheet1!$AT103*_xlfn.XLOOKUP($A103,'[1]SSP4-change-rate'!$B$2:$B$147,'[1]SSP4-change-rate'!H$2:H$147)</f>
        <v>243.1540089656894</v>
      </c>
    </row>
    <row r="104" spans="1:51" x14ac:dyDescent="0.25">
      <c r="A104" t="s">
        <v>388</v>
      </c>
      <c r="B104" t="s">
        <v>389</v>
      </c>
      <c r="C104" t="s">
        <v>390</v>
      </c>
      <c r="D104" t="s">
        <v>60</v>
      </c>
      <c r="E104" t="s">
        <v>61</v>
      </c>
      <c r="F104" t="s">
        <v>61</v>
      </c>
      <c r="G104">
        <v>117926.9297598032</v>
      </c>
      <c r="H104">
        <v>741.64245283069124</v>
      </c>
      <c r="I104">
        <v>118668.5722126339</v>
      </c>
      <c r="J104">
        <v>19120889</v>
      </c>
      <c r="K104">
        <v>28.970408313698876</v>
      </c>
      <c r="L104">
        <v>28.970408313698876</v>
      </c>
      <c r="M104">
        <v>28.970408313698876</v>
      </c>
      <c r="N104">
        <v>28.970408313698876</v>
      </c>
      <c r="O104">
        <v>28.970408313698876</v>
      </c>
      <c r="P104">
        <v>28.970408313698876</v>
      </c>
      <c r="Q104">
        <v>28.970408313698876</v>
      </c>
      <c r="R104">
        <v>28.970408313698876</v>
      </c>
      <c r="S104">
        <v>38.627211084931837</v>
      </c>
      <c r="T104">
        <v>43.455612470548317</v>
      </c>
      <c r="U104">
        <v>62.769218013014239</v>
      </c>
      <c r="V104">
        <v>115.8816332547955</v>
      </c>
      <c r="W104">
        <v>212.44966096712511</v>
      </c>
      <c r="X104">
        <v>231.76326650959101</v>
      </c>
      <c r="Y104">
        <v>275.21887898013932</v>
      </c>
      <c r="Z104">
        <v>294.53248452260527</v>
      </c>
      <c r="AA104">
        <v>323.50289283630411</v>
      </c>
      <c r="AB104">
        <v>323.50289283630411</v>
      </c>
      <c r="AC104">
        <v>323.50289283630411</v>
      </c>
      <c r="AD104">
        <v>323.50289283630411</v>
      </c>
      <c r="AE104">
        <v>328.33129422192064</v>
      </c>
      <c r="AF104">
        <v>376.61530807808538</v>
      </c>
      <c r="AG104">
        <v>420.07092054863369</v>
      </c>
      <c r="AH104">
        <v>439.3845260910997</v>
      </c>
      <c r="AI104">
        <v>458.69813163356559</v>
      </c>
      <c r="AJ104">
        <v>463.52653301918201</v>
      </c>
      <c r="AK104">
        <v>463.52653301918201</v>
      </c>
      <c r="AL104">
        <v>463.52653301918201</v>
      </c>
      <c r="AM104">
        <v>473.18333579041501</v>
      </c>
      <c r="AN104">
        <v>478.01173717603149</v>
      </c>
      <c r="AO104">
        <v>487.66853994726443</v>
      </c>
      <c r="AP104">
        <v>487.66853994726443</v>
      </c>
      <c r="AQ104">
        <v>526.29575103219634</v>
      </c>
      <c r="AR104">
        <v>560.09456073151159</v>
      </c>
      <c r="AS104">
        <v>589.06496904521055</v>
      </c>
      <c r="AT104">
        <f>Sheet1!$AT104*_xlfn.XLOOKUP($A104,'[1]SSP4-change-rate'!$B$2:$B$147,'[1]SSP4-change-rate'!C$2:C$147)</f>
        <v>681.65666620467948</v>
      </c>
      <c r="AU104">
        <f>Sheet1!$AT104*_xlfn.XLOOKUP($A104,'[1]SSP4-change-rate'!$B$2:$B$147,'[1]SSP4-change-rate'!D$2:D$147)</f>
        <v>691.22377730930657</v>
      </c>
      <c r="AV104">
        <f>Sheet1!$AT104*_xlfn.XLOOKUP($A104,'[1]SSP4-change-rate'!$B$2:$B$147,'[1]SSP4-change-rate'!E$2:E$147)</f>
        <v>697.92347301183668</v>
      </c>
      <c r="AW104">
        <f>Sheet1!$AT104*_xlfn.XLOOKUP($A104,'[1]SSP4-change-rate'!$B$2:$B$147,'[1]SSP4-change-rate'!F$2:F$147)</f>
        <v>720.58376008692653</v>
      </c>
      <c r="AX104">
        <f>Sheet1!$AT104*_xlfn.XLOOKUP($A104,'[1]SSP4-change-rate'!$B$2:$B$147,'[1]SSP4-change-rate'!G$2:G$147)</f>
        <v>747.131582826971</v>
      </c>
      <c r="AY104">
        <f>Sheet1!$AT104*_xlfn.XLOOKUP($A104,'[1]SSP4-change-rate'!$B$2:$B$147,'[1]SSP4-change-rate'!H$2:H$147)</f>
        <v>764.33909516098788</v>
      </c>
    </row>
    <row r="105" spans="1:51" x14ac:dyDescent="0.25">
      <c r="A105" t="s">
        <v>391</v>
      </c>
      <c r="B105" t="s">
        <v>392</v>
      </c>
      <c r="C105" t="s">
        <v>393</v>
      </c>
      <c r="D105" t="s">
        <v>139</v>
      </c>
      <c r="E105" t="s">
        <v>55</v>
      </c>
      <c r="F105" t="s">
        <v>140</v>
      </c>
      <c r="G105">
        <v>329578.76250869757</v>
      </c>
      <c r="H105">
        <v>11361.139810834649</v>
      </c>
      <c r="I105">
        <v>340939.90231953224</v>
      </c>
      <c r="J105">
        <v>33003633</v>
      </c>
      <c r="K105">
        <v>108.42234282373008</v>
      </c>
      <c r="L105">
        <v>136.95453830365904</v>
      </c>
      <c r="M105">
        <v>176.89961197555959</v>
      </c>
      <c r="N105">
        <v>213.04039291680297</v>
      </c>
      <c r="O105">
        <v>279.61551570330386</v>
      </c>
      <c r="P105">
        <v>338.58205302849041</v>
      </c>
      <c r="Q105">
        <v>407.05932218031995</v>
      </c>
      <c r="R105">
        <v>473.63444496682081</v>
      </c>
      <c r="S105">
        <v>475.53659133214944</v>
      </c>
      <c r="T105">
        <v>616.29542236646569</v>
      </c>
      <c r="U105">
        <v>855.96586439786893</v>
      </c>
      <c r="V105">
        <v>1137.4835264665014</v>
      </c>
      <c r="W105">
        <v>1504.5977749749209</v>
      </c>
      <c r="X105">
        <v>1675.7909478544946</v>
      </c>
      <c r="Y105">
        <v>2299.6949556822747</v>
      </c>
      <c r="Z105">
        <v>2788.5465715717246</v>
      </c>
      <c r="AA105">
        <v>3397.2334084768754</v>
      </c>
      <c r="AB105">
        <v>3684.4575096414942</v>
      </c>
      <c r="AC105">
        <v>3840.4335115984391</v>
      </c>
      <c r="AD105">
        <v>4036.3545872272848</v>
      </c>
      <c r="AE105">
        <v>4401.5666893703756</v>
      </c>
      <c r="AF105">
        <v>4859.9839634145674</v>
      </c>
      <c r="AG105">
        <v>5209.9788946350291</v>
      </c>
      <c r="AH105">
        <v>5502.9094348956332</v>
      </c>
      <c r="AI105">
        <v>5774.916365137623</v>
      </c>
      <c r="AJ105">
        <v>5991.7610507850823</v>
      </c>
      <c r="AK105">
        <v>6147.737052742028</v>
      </c>
      <c r="AL105">
        <v>6391.2117875040876</v>
      </c>
      <c r="AM105">
        <v>7106.4188208676414</v>
      </c>
      <c r="AN105">
        <v>7648.5305349862911</v>
      </c>
      <c r="AO105">
        <v>8127.8714190490991</v>
      </c>
      <c r="AP105">
        <v>8827.8612814900225</v>
      </c>
      <c r="AQ105">
        <v>9474.5910457017453</v>
      </c>
      <c r="AR105">
        <v>9967.2469543218522</v>
      </c>
      <c r="AS105">
        <v>10477.022180229917</v>
      </c>
      <c r="AT105">
        <f>Sheet1!$AT105*_xlfn.XLOOKUP($A105,'[1]SSP4-change-rate'!$B$2:$B$147,'[1]SSP4-change-rate'!C$2:C$147)</f>
        <v>10910.281825688649</v>
      </c>
      <c r="AU105">
        <f>Sheet1!$AT105*_xlfn.XLOOKUP($A105,'[1]SSP4-change-rate'!$B$2:$B$147,'[1]SSP4-change-rate'!D$2:D$147)</f>
        <v>10842.847407064824</v>
      </c>
      <c r="AV105">
        <f>Sheet1!$AT105*_xlfn.XLOOKUP($A105,'[1]SSP4-change-rate'!$B$2:$B$147,'[1]SSP4-change-rate'!E$2:E$147)</f>
        <v>10748.743840009971</v>
      </c>
      <c r="AW105">
        <f>Sheet1!$AT105*_xlfn.XLOOKUP($A105,'[1]SSP4-change-rate'!$B$2:$B$147,'[1]SSP4-change-rate'!F$2:F$147)</f>
        <v>10512.330772136329</v>
      </c>
      <c r="AX105">
        <f>Sheet1!$AT105*_xlfn.XLOOKUP($A105,'[1]SSP4-change-rate'!$B$2:$B$147,'[1]SSP4-change-rate'!G$2:G$147)</f>
        <v>10213.668250031797</v>
      </c>
      <c r="AY105">
        <f>Sheet1!$AT105*_xlfn.XLOOKUP($A105,'[1]SSP4-change-rate'!$B$2:$B$147,'[1]SSP4-change-rate'!H$2:H$147)</f>
        <v>9879.7007253126903</v>
      </c>
    </row>
    <row r="106" spans="1:51" x14ac:dyDescent="0.25">
      <c r="A106" t="s">
        <v>394</v>
      </c>
      <c r="B106" t="s">
        <v>395</v>
      </c>
      <c r="C106" t="s">
        <v>396</v>
      </c>
      <c r="D106" t="s">
        <v>60</v>
      </c>
      <c r="E106" t="s">
        <v>61</v>
      </c>
      <c r="F106" t="s">
        <v>61</v>
      </c>
      <c r="G106">
        <v>824048.01432687859</v>
      </c>
      <c r="H106">
        <v>166.2098671540619</v>
      </c>
      <c r="I106">
        <v>824214.22419403261</v>
      </c>
      <c r="J106">
        <v>2467078</v>
      </c>
      <c r="K106">
        <v>14.127224480943916</v>
      </c>
      <c r="L106">
        <v>15.355678783634689</v>
      </c>
      <c r="M106">
        <v>16.584133086325465</v>
      </c>
      <c r="N106">
        <v>19.041041691707015</v>
      </c>
      <c r="O106">
        <v>20.883723145743179</v>
      </c>
      <c r="P106">
        <v>22.112177448433954</v>
      </c>
      <c r="Q106">
        <v>22.72640459977934</v>
      </c>
      <c r="R106">
        <v>22.72640459977934</v>
      </c>
      <c r="S106">
        <v>22.72640459977934</v>
      </c>
      <c r="T106">
        <v>25.797540356506278</v>
      </c>
      <c r="U106">
        <v>31.939811869960153</v>
      </c>
      <c r="V106">
        <v>37.467856232068641</v>
      </c>
      <c r="W106">
        <v>48.523944956285625</v>
      </c>
      <c r="X106">
        <v>51.595080713012557</v>
      </c>
      <c r="Y106">
        <v>60.808487983193373</v>
      </c>
      <c r="Z106">
        <v>67.56498664799264</v>
      </c>
      <c r="AA106">
        <v>77.392621069518839</v>
      </c>
      <c r="AB106">
        <v>79.849529674900381</v>
      </c>
      <c r="AC106">
        <v>81.07798397759116</v>
      </c>
      <c r="AD106">
        <v>84.763346885663481</v>
      </c>
      <c r="AE106">
        <v>89.062936945081191</v>
      </c>
      <c r="AF106">
        <v>90.905618399117358</v>
      </c>
      <c r="AG106">
        <v>90.905618399117358</v>
      </c>
      <c r="AH106">
        <v>92.748299853153526</v>
      </c>
      <c r="AI106">
        <v>93.362527004498915</v>
      </c>
      <c r="AJ106">
        <v>93.97675415584429</v>
      </c>
      <c r="AK106">
        <v>95.205208458535083</v>
      </c>
      <c r="AL106">
        <v>95.205208458535083</v>
      </c>
      <c r="AM106">
        <v>97.04788991257125</v>
      </c>
      <c r="AN106">
        <v>98.890571366607404</v>
      </c>
      <c r="AO106">
        <v>99.504798517952793</v>
      </c>
      <c r="AP106">
        <v>102.57593427467972</v>
      </c>
      <c r="AQ106">
        <v>121.61697596638675</v>
      </c>
      <c r="AR106">
        <v>146.18606202020223</v>
      </c>
      <c r="AS106">
        <v>151.71410638231075</v>
      </c>
      <c r="AT106">
        <f>Sheet1!$AT106*_xlfn.XLOOKUP($A106,'[1]SSP4-change-rate'!$B$2:$B$147,'[1]SSP4-change-rate'!C$2:C$147)</f>
        <v>161.04531064042081</v>
      </c>
      <c r="AU106">
        <f>Sheet1!$AT106*_xlfn.XLOOKUP($A106,'[1]SSP4-change-rate'!$B$2:$B$147,'[1]SSP4-change-rate'!D$2:D$147)</f>
        <v>161.01334452080181</v>
      </c>
      <c r="AV106">
        <f>Sheet1!$AT106*_xlfn.XLOOKUP($A106,'[1]SSP4-change-rate'!$B$2:$B$147,'[1]SSP4-change-rate'!E$2:E$147)</f>
        <v>161.63273741885106</v>
      </c>
      <c r="AW106">
        <f>Sheet1!$AT106*_xlfn.XLOOKUP($A106,'[1]SSP4-change-rate'!$B$2:$B$147,'[1]SSP4-change-rate'!F$2:F$147)</f>
        <v>162.73310969361629</v>
      </c>
      <c r="AX106">
        <f>Sheet1!$AT106*_xlfn.XLOOKUP($A106,'[1]SSP4-change-rate'!$B$2:$B$147,'[1]SSP4-change-rate'!G$2:G$147)</f>
        <v>162.5398599247732</v>
      </c>
      <c r="AY106">
        <f>Sheet1!$AT106*_xlfn.XLOOKUP($A106,'[1]SSP4-change-rate'!$B$2:$B$147,'[1]SSP4-change-rate'!H$2:H$147)</f>
        <v>161.85476040981104</v>
      </c>
    </row>
    <row r="107" spans="1:51" x14ac:dyDescent="0.25">
      <c r="A107" t="s">
        <v>397</v>
      </c>
      <c r="B107" t="s">
        <v>398</v>
      </c>
      <c r="C107" t="s">
        <v>399</v>
      </c>
      <c r="D107" t="s">
        <v>86</v>
      </c>
      <c r="E107" t="s">
        <v>86</v>
      </c>
      <c r="F107" t="s">
        <v>140</v>
      </c>
      <c r="G107">
        <v>18827.031779864621</v>
      </c>
      <c r="H107" t="e">
        <v>#N/A</v>
      </c>
      <c r="I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f>Sheet1!$AT107*_xlfn.XLOOKUP($A107,'[1]SSP4-change-rate'!$B$2:$B$147,'[1]SSP4-change-rate'!C$2:C$147)</f>
        <v>#N/A</v>
      </c>
      <c r="AU107" t="e">
        <f>Sheet1!$AT107*_xlfn.XLOOKUP($A107,'[1]SSP4-change-rate'!$B$2:$B$147,'[1]SSP4-change-rate'!D$2:D$147)</f>
        <v>#N/A</v>
      </c>
      <c r="AV107" t="e">
        <f>Sheet1!$AT107*_xlfn.XLOOKUP($A107,'[1]SSP4-change-rate'!$B$2:$B$147,'[1]SSP4-change-rate'!E$2:E$147)</f>
        <v>#N/A</v>
      </c>
      <c r="AW107" t="e">
        <f>Sheet1!$AT107*_xlfn.XLOOKUP($A107,'[1]SSP4-change-rate'!$B$2:$B$147,'[1]SSP4-change-rate'!F$2:F$147)</f>
        <v>#N/A</v>
      </c>
      <c r="AX107" t="e">
        <f>Sheet1!$AT107*_xlfn.XLOOKUP($A107,'[1]SSP4-change-rate'!$B$2:$B$147,'[1]SSP4-change-rate'!G$2:G$147)</f>
        <v>#N/A</v>
      </c>
      <c r="AY107" t="e">
        <f>Sheet1!$AT107*_xlfn.XLOOKUP($A107,'[1]SSP4-change-rate'!$B$2:$B$147,'[1]SSP4-change-rate'!H$2:H$147)</f>
        <v>#N/A</v>
      </c>
    </row>
    <row r="108" spans="1:51" x14ac:dyDescent="0.25">
      <c r="A108" t="s">
        <v>400</v>
      </c>
      <c r="B108" t="s">
        <v>401</v>
      </c>
      <c r="C108" t="s">
        <v>402</v>
      </c>
      <c r="D108" t="s">
        <v>105</v>
      </c>
      <c r="E108" t="s">
        <v>61</v>
      </c>
      <c r="F108" t="s">
        <v>61</v>
      </c>
      <c r="G108">
        <v>1183670.987808041</v>
      </c>
      <c r="H108">
        <v>598.42562465101378</v>
      </c>
      <c r="I108">
        <v>1184269.4134326919</v>
      </c>
      <c r="J108">
        <v>23881690</v>
      </c>
      <c r="K108">
        <v>33.24586803616743</v>
      </c>
      <c r="L108">
        <v>33.24586803616743</v>
      </c>
      <c r="M108">
        <v>33.24586803616743</v>
      </c>
      <c r="N108">
        <v>33.24586803616743</v>
      </c>
      <c r="O108">
        <v>33.24586803616743</v>
      </c>
      <c r="P108">
        <v>33.24586803616743</v>
      </c>
      <c r="Q108">
        <v>33.24586803616743</v>
      </c>
      <c r="R108">
        <v>33.24586803616743</v>
      </c>
      <c r="S108">
        <v>33.24586803616743</v>
      </c>
      <c r="T108">
        <v>37.995277755619924</v>
      </c>
      <c r="U108">
        <v>56.992916633429878</v>
      </c>
      <c r="V108">
        <v>94.988194389049795</v>
      </c>
      <c r="W108">
        <v>128.23406242521722</v>
      </c>
      <c r="X108">
        <v>132.98347214466972</v>
      </c>
      <c r="Y108">
        <v>142.48229158357469</v>
      </c>
      <c r="Z108">
        <v>151.98111102247969</v>
      </c>
      <c r="AA108">
        <v>156.7305207419322</v>
      </c>
      <c r="AB108">
        <v>156.7305207419322</v>
      </c>
      <c r="AC108">
        <v>161.47993046138467</v>
      </c>
      <c r="AD108">
        <v>180.47756933919462</v>
      </c>
      <c r="AE108">
        <v>189.97638877809959</v>
      </c>
      <c r="AF108">
        <v>199.47520821700459</v>
      </c>
      <c r="AG108">
        <v>204.22461793645709</v>
      </c>
      <c r="AH108">
        <v>204.22461793645709</v>
      </c>
      <c r="AI108">
        <v>204.22461793645709</v>
      </c>
      <c r="AJ108">
        <v>204.22461793645709</v>
      </c>
      <c r="AK108">
        <v>204.22461793645709</v>
      </c>
      <c r="AL108">
        <v>232.72107625317201</v>
      </c>
      <c r="AM108">
        <v>242.21989569207702</v>
      </c>
      <c r="AN108">
        <v>251.71871513098199</v>
      </c>
      <c r="AO108">
        <v>261.21753456988699</v>
      </c>
      <c r="AP108">
        <v>289.71399288660189</v>
      </c>
      <c r="AQ108">
        <v>360.95513867838923</v>
      </c>
      <c r="AR108">
        <v>460.69274278689159</v>
      </c>
      <c r="AS108">
        <v>531.93388857867888</v>
      </c>
      <c r="AT108">
        <f>Sheet1!$AT108*_xlfn.XLOOKUP($A108,'[1]SSP4-change-rate'!$B$2:$B$147,'[1]SSP4-change-rate'!C$2:C$147)</f>
        <v>566.14902390453051</v>
      </c>
      <c r="AU108">
        <f>Sheet1!$AT108*_xlfn.XLOOKUP($A108,'[1]SSP4-change-rate'!$B$2:$B$147,'[1]SSP4-change-rate'!D$2:D$147)</f>
        <v>576.29158312828247</v>
      </c>
      <c r="AV108">
        <f>Sheet1!$AT108*_xlfn.XLOOKUP($A108,'[1]SSP4-change-rate'!$B$2:$B$147,'[1]SSP4-change-rate'!E$2:E$147)</f>
        <v>579.26834174902058</v>
      </c>
      <c r="AW108">
        <f>Sheet1!$AT108*_xlfn.XLOOKUP($A108,'[1]SSP4-change-rate'!$B$2:$B$147,'[1]SSP4-change-rate'!F$2:F$147)</f>
        <v>609.99221430791181</v>
      </c>
      <c r="AX108">
        <f>Sheet1!$AT108*_xlfn.XLOOKUP($A108,'[1]SSP4-change-rate'!$B$2:$B$147,'[1]SSP4-change-rate'!G$2:G$147)</f>
        <v>633.13482433047204</v>
      </c>
      <c r="AY108">
        <f>Sheet1!$AT108*_xlfn.XLOOKUP($A108,'[1]SSP4-change-rate'!$B$2:$B$147,'[1]SSP4-change-rate'!H$2:H$147)</f>
        <v>628.71807823979066</v>
      </c>
    </row>
    <row r="109" spans="1:51" x14ac:dyDescent="0.25">
      <c r="A109" t="s">
        <v>403</v>
      </c>
      <c r="B109" t="s">
        <v>404</v>
      </c>
      <c r="C109" t="s">
        <v>405</v>
      </c>
      <c r="D109" t="s">
        <v>105</v>
      </c>
      <c r="E109" t="s">
        <v>61</v>
      </c>
      <c r="F109" t="s">
        <v>61</v>
      </c>
      <c r="G109">
        <v>908410.13529347663</v>
      </c>
      <c r="H109">
        <v>30777.324649938331</v>
      </c>
      <c r="I109">
        <v>939187.45994341502</v>
      </c>
      <c r="J109">
        <v>205780600</v>
      </c>
      <c r="K109">
        <v>1099.4129447814414</v>
      </c>
      <c r="L109">
        <v>1192.9800039117765</v>
      </c>
      <c r="M109">
        <v>1286.5470630421121</v>
      </c>
      <c r="N109">
        <v>1380.1141221724474</v>
      </c>
      <c r="O109">
        <v>1473.681181302783</v>
      </c>
      <c r="P109">
        <v>1473.681181302783</v>
      </c>
      <c r="Q109">
        <v>1473.681181302783</v>
      </c>
      <c r="R109">
        <v>1481.4784362303108</v>
      </c>
      <c r="S109">
        <v>1707.5988291286214</v>
      </c>
      <c r="T109">
        <v>2612.080400721864</v>
      </c>
      <c r="U109">
        <v>4046.7753073870076</v>
      </c>
      <c r="V109">
        <v>6027.2780589791073</v>
      </c>
      <c r="W109">
        <v>8764.1145385414184</v>
      </c>
      <c r="X109">
        <v>9606.218070714438</v>
      </c>
      <c r="Y109">
        <v>10565.280426800375</v>
      </c>
      <c r="Z109">
        <v>11103.291016799803</v>
      </c>
      <c r="AA109">
        <v>11337.208664625641</v>
      </c>
      <c r="AB109">
        <v>11438.572978683505</v>
      </c>
      <c r="AC109">
        <v>11594.518077234065</v>
      </c>
      <c r="AD109">
        <v>11742.665920857095</v>
      </c>
      <c r="AE109">
        <v>11875.219254625072</v>
      </c>
      <c r="AF109">
        <v>11953.19180390035</v>
      </c>
      <c r="AG109">
        <v>12054.556117958215</v>
      </c>
      <c r="AH109">
        <v>12350.851805204276</v>
      </c>
      <c r="AI109">
        <v>12576.972198102587</v>
      </c>
      <c r="AJ109">
        <v>13114.982788102016</v>
      </c>
      <c r="AK109">
        <v>13738.763182304252</v>
      </c>
      <c r="AL109">
        <v>14222.192987810984</v>
      </c>
      <c r="AM109">
        <v>15001.91848056378</v>
      </c>
      <c r="AN109">
        <v>15578.915345200847</v>
      </c>
      <c r="AO109">
        <v>16421.018877373866</v>
      </c>
      <c r="AP109">
        <v>18775.78986548731</v>
      </c>
      <c r="AQ109">
        <v>21270.911442296252</v>
      </c>
      <c r="AR109">
        <v>23524.318116351831</v>
      </c>
      <c r="AS109">
        <v>26487.274988812456</v>
      </c>
      <c r="AT109">
        <f>Sheet1!$AT109*_xlfn.XLOOKUP($A109,'[1]SSP4-change-rate'!$B$2:$B$147,'[1]SSP4-change-rate'!C$2:C$147)</f>
        <v>28814.881110978007</v>
      </c>
      <c r="AU109">
        <f>Sheet1!$AT109*_xlfn.XLOOKUP($A109,'[1]SSP4-change-rate'!$B$2:$B$147,'[1]SSP4-change-rate'!D$2:D$147)</f>
        <v>28857.270470369378</v>
      </c>
      <c r="AV109">
        <f>Sheet1!$AT109*_xlfn.XLOOKUP($A109,'[1]SSP4-change-rate'!$B$2:$B$147,'[1]SSP4-change-rate'!E$2:E$147)</f>
        <v>28909.506048448347</v>
      </c>
      <c r="AW109">
        <f>Sheet1!$AT109*_xlfn.XLOOKUP($A109,'[1]SSP4-change-rate'!$B$2:$B$147,'[1]SSP4-change-rate'!F$2:F$147)</f>
        <v>28135.676795015126</v>
      </c>
      <c r="AX109">
        <f>Sheet1!$AT109*_xlfn.XLOOKUP($A109,'[1]SSP4-change-rate'!$B$2:$B$147,'[1]SSP4-change-rate'!G$2:G$147)</f>
        <v>24404.986800129431</v>
      </c>
      <c r="AY109">
        <f>Sheet1!$AT109*_xlfn.XLOOKUP($A109,'[1]SSP4-change-rate'!$B$2:$B$147,'[1]SSP4-change-rate'!H$2:H$147)</f>
        <v>15592.163072278074</v>
      </c>
    </row>
    <row r="110" spans="1:51" x14ac:dyDescent="0.25">
      <c r="A110" t="s">
        <v>406</v>
      </c>
      <c r="B110" t="s">
        <v>407</v>
      </c>
      <c r="C110" t="s">
        <v>408</v>
      </c>
      <c r="D110" t="s">
        <v>121</v>
      </c>
      <c r="E110" t="s">
        <v>76</v>
      </c>
      <c r="F110" t="s">
        <v>77</v>
      </c>
      <c r="G110">
        <v>128178.8526096712</v>
      </c>
      <c r="H110">
        <v>1630.9961502949641</v>
      </c>
      <c r="I110">
        <v>129809.84875996616</v>
      </c>
      <c r="J110">
        <v>6709703.9999999981</v>
      </c>
      <c r="K110">
        <v>72.812328138168041</v>
      </c>
      <c r="L110">
        <v>72.812328138168041</v>
      </c>
      <c r="M110">
        <v>72.812328138168041</v>
      </c>
      <c r="N110">
        <v>72.812328138168041</v>
      </c>
      <c r="O110">
        <v>72.812328138168041</v>
      </c>
      <c r="P110">
        <v>72.812328138168041</v>
      </c>
      <c r="Q110">
        <v>80.902586820186713</v>
      </c>
      <c r="R110">
        <v>88.992845502205384</v>
      </c>
      <c r="S110">
        <v>105.17336286624274</v>
      </c>
      <c r="T110">
        <v>137.53439759431743</v>
      </c>
      <c r="U110">
        <v>210.34672573248548</v>
      </c>
      <c r="V110">
        <v>299.33957123469088</v>
      </c>
      <c r="W110">
        <v>396.42267541891488</v>
      </c>
      <c r="X110">
        <v>412.60319278295219</v>
      </c>
      <c r="Y110">
        <v>550.1375903772697</v>
      </c>
      <c r="Z110">
        <v>614.85965983341896</v>
      </c>
      <c r="AA110">
        <v>647.2206945614937</v>
      </c>
      <c r="AB110">
        <v>703.85250533562441</v>
      </c>
      <c r="AC110">
        <v>711.94276401764307</v>
      </c>
      <c r="AD110">
        <v>728.12328138168039</v>
      </c>
      <c r="AE110">
        <v>744.3037987457177</v>
      </c>
      <c r="AF110">
        <v>768.57457479177378</v>
      </c>
      <c r="AG110">
        <v>784.7550921558111</v>
      </c>
      <c r="AH110">
        <v>792.84535083782976</v>
      </c>
      <c r="AI110">
        <v>825.20638556590438</v>
      </c>
      <c r="AJ110">
        <v>825.20638556590438</v>
      </c>
      <c r="AK110">
        <v>825.20638556590438</v>
      </c>
      <c r="AL110">
        <v>833.29664424792304</v>
      </c>
      <c r="AM110">
        <v>833.29664424792304</v>
      </c>
      <c r="AN110">
        <v>849.47716161196047</v>
      </c>
      <c r="AO110">
        <v>1003.1920765703153</v>
      </c>
      <c r="AP110">
        <v>1237.8095783488566</v>
      </c>
      <c r="AQ110">
        <v>1359.1634585791369</v>
      </c>
      <c r="AR110">
        <v>1456.2465627633608</v>
      </c>
      <c r="AS110">
        <v>1537.1491495835476</v>
      </c>
      <c r="AT110">
        <f>Sheet1!$AT110*_xlfn.XLOOKUP($A110,'[1]SSP4-change-rate'!$B$2:$B$147,'[1]SSP4-change-rate'!C$2:C$147)</f>
        <v>1585.6907016756595</v>
      </c>
      <c r="AU110">
        <f>Sheet1!$AT110*_xlfn.XLOOKUP($A110,'[1]SSP4-change-rate'!$B$2:$B$147,'[1]SSP4-change-rate'!D$2:D$147)</f>
        <v>1576.3079164586438</v>
      </c>
      <c r="AV110">
        <f>Sheet1!$AT110*_xlfn.XLOOKUP($A110,'[1]SSP4-change-rate'!$B$2:$B$147,'[1]SSP4-change-rate'!E$2:E$147)</f>
        <v>1567.7732926171775</v>
      </c>
      <c r="AW110">
        <f>Sheet1!$AT110*_xlfn.XLOOKUP($A110,'[1]SSP4-change-rate'!$B$2:$B$147,'[1]SSP4-change-rate'!F$2:F$147)</f>
        <v>1537.6394682915486</v>
      </c>
      <c r="AX110">
        <f>Sheet1!$AT110*_xlfn.XLOOKUP($A110,'[1]SSP4-change-rate'!$B$2:$B$147,'[1]SSP4-change-rate'!G$2:G$147)</f>
        <v>1471.4672189278365</v>
      </c>
      <c r="AY110">
        <f>Sheet1!$AT110*_xlfn.XLOOKUP($A110,'[1]SSP4-change-rate'!$B$2:$B$147,'[1]SSP4-change-rate'!H$2:H$147)</f>
        <v>1349.8442998441531</v>
      </c>
    </row>
    <row r="111" spans="1:51" x14ac:dyDescent="0.25">
      <c r="A111" t="s">
        <v>409</v>
      </c>
      <c r="B111" t="s">
        <v>410</v>
      </c>
      <c r="C111" t="s">
        <v>411</v>
      </c>
      <c r="D111" t="s">
        <v>91</v>
      </c>
      <c r="E111" t="s">
        <v>66</v>
      </c>
      <c r="F111" t="s">
        <v>66</v>
      </c>
      <c r="G111">
        <v>37686.935422500908</v>
      </c>
      <c r="H111">
        <v>19552.703166120009</v>
      </c>
      <c r="I111">
        <v>57239.638588620917</v>
      </c>
      <c r="J111">
        <v>17402279</v>
      </c>
      <c r="K111">
        <v>1653.815752039759</v>
      </c>
      <c r="L111">
        <v>1896.54446044428</v>
      </c>
      <c r="M111">
        <v>2191.8040087273916</v>
      </c>
      <c r="N111">
        <v>2554.0856630624976</v>
      </c>
      <c r="O111">
        <v>2999.6920978946778</v>
      </c>
      <c r="P111">
        <v>3483.3381064320442</v>
      </c>
      <c r="Q111">
        <v>4070.2343864549161</v>
      </c>
      <c r="R111">
        <v>4619.0910927726018</v>
      </c>
      <c r="S111">
        <v>5267.575254032442</v>
      </c>
      <c r="T111">
        <v>6209.5075553037168</v>
      </c>
      <c r="U111">
        <v>7281.8612521356317</v>
      </c>
      <c r="V111">
        <v>8270.8901684704706</v>
      </c>
      <c r="W111">
        <v>9274.4103509787146</v>
      </c>
      <c r="X111">
        <v>9663.8631293889539</v>
      </c>
      <c r="Y111">
        <v>11272.393674636825</v>
      </c>
      <c r="Z111">
        <v>12455.243276040947</v>
      </c>
      <c r="AA111">
        <v>12947.946325936689</v>
      </c>
      <c r="AB111">
        <v>13158.069685451052</v>
      </c>
      <c r="AC111">
        <v>13357.32459533536</v>
      </c>
      <c r="AD111">
        <v>13527.596972872858</v>
      </c>
      <c r="AE111">
        <v>13699.680758682034</v>
      </c>
      <c r="AF111">
        <v>13808.365254982567</v>
      </c>
      <c r="AG111">
        <v>13907.99270992472</v>
      </c>
      <c r="AH111">
        <v>13980.449040791742</v>
      </c>
      <c r="AI111">
        <v>14098.190578450651</v>
      </c>
      <c r="AJ111">
        <v>14215.93211610956</v>
      </c>
      <c r="AK111">
        <v>14295.634080063284</v>
      </c>
      <c r="AL111">
        <v>14507.568847849321</v>
      </c>
      <c r="AM111">
        <v>14973.100773669932</v>
      </c>
      <c r="AN111">
        <v>15232.132156519532</v>
      </c>
      <c r="AO111">
        <v>15694.041265796794</v>
      </c>
      <c r="AP111">
        <v>16217.538256311022</v>
      </c>
      <c r="AQ111">
        <v>17112.373942518734</v>
      </c>
      <c r="AR111">
        <v>18302.469177009556</v>
      </c>
      <c r="AS111">
        <v>18833.211800610487</v>
      </c>
      <c r="AT111">
        <f>Sheet1!$AT111*_xlfn.XLOOKUP($A111,'[1]SSP4-change-rate'!$B$2:$B$147,'[1]SSP4-change-rate'!C$2:C$147)</f>
        <v>19187.713759237758</v>
      </c>
      <c r="AU111">
        <f>Sheet1!$AT111*_xlfn.XLOOKUP($A111,'[1]SSP4-change-rate'!$B$2:$B$147,'[1]SSP4-change-rate'!D$2:D$147)</f>
        <v>19111.104336980359</v>
      </c>
      <c r="AV111">
        <f>Sheet1!$AT111*_xlfn.XLOOKUP($A111,'[1]SSP4-change-rate'!$B$2:$B$147,'[1]SSP4-change-rate'!E$2:E$147)</f>
        <v>18999.719381345636</v>
      </c>
      <c r="AW111">
        <f>Sheet1!$AT111*_xlfn.XLOOKUP($A111,'[1]SSP4-change-rate'!$B$2:$B$147,'[1]SSP4-change-rate'!F$2:F$147)</f>
        <v>18757.650325560757</v>
      </c>
      <c r="AX111">
        <f>Sheet1!$AT111*_xlfn.XLOOKUP($A111,'[1]SSP4-change-rate'!$B$2:$B$147,'[1]SSP4-change-rate'!G$2:G$147)</f>
        <v>18448.709500832749</v>
      </c>
      <c r="AY111">
        <f>Sheet1!$AT111*_xlfn.XLOOKUP($A111,'[1]SSP4-change-rate'!$B$2:$B$147,'[1]SSP4-change-rate'!H$2:H$147)</f>
        <v>18060.441066263851</v>
      </c>
    </row>
    <row r="112" spans="1:51" x14ac:dyDescent="0.25">
      <c r="A112" t="s">
        <v>412</v>
      </c>
      <c r="B112" t="s">
        <v>413</v>
      </c>
      <c r="C112" t="s">
        <v>414</v>
      </c>
      <c r="D112" t="s">
        <v>91</v>
      </c>
      <c r="E112" t="s">
        <v>66</v>
      </c>
      <c r="F112" t="s">
        <v>66</v>
      </c>
      <c r="G112">
        <v>325121.23224453279</v>
      </c>
      <c r="H112">
        <v>6483.1746288197637</v>
      </c>
      <c r="I112">
        <v>331604.40687335253</v>
      </c>
      <c r="J112">
        <v>5367948</v>
      </c>
      <c r="K112">
        <v>990.05826348485073</v>
      </c>
      <c r="L112">
        <v>990.05826348485073</v>
      </c>
      <c r="M112">
        <v>990.05826348485073</v>
      </c>
      <c r="N112">
        <v>997.93671120488932</v>
      </c>
      <c r="O112">
        <v>1114.800352385462</v>
      </c>
      <c r="P112">
        <v>1240.8555159060795</v>
      </c>
      <c r="Q112">
        <v>1338.0230377865557</v>
      </c>
      <c r="R112">
        <v>1443.0690073870703</v>
      </c>
      <c r="S112">
        <v>1582.2549171077524</v>
      </c>
      <c r="T112">
        <v>1735.8846476485048</v>
      </c>
      <c r="U112">
        <v>2601.2008222327445</v>
      </c>
      <c r="V112">
        <v>3039.7677453148935</v>
      </c>
      <c r="W112">
        <v>3289.2519231161154</v>
      </c>
      <c r="X112">
        <v>3593.8852349576082</v>
      </c>
      <c r="Y112">
        <v>3806.6033233986509</v>
      </c>
      <c r="Z112">
        <v>4036.3913818997762</v>
      </c>
      <c r="AA112">
        <v>4125.6804560602141</v>
      </c>
      <c r="AB112">
        <v>4180.829590100484</v>
      </c>
      <c r="AC112">
        <v>4211.0303063606316</v>
      </c>
      <c r="AD112">
        <v>4243.8571718607927</v>
      </c>
      <c r="AE112">
        <v>4254.3617688208442</v>
      </c>
      <c r="AF112">
        <v>4255.6748434408501</v>
      </c>
      <c r="AG112">
        <v>4255.6748434408501</v>
      </c>
      <c r="AH112">
        <v>4260.9271419208762</v>
      </c>
      <c r="AI112">
        <v>4264.8663657808956</v>
      </c>
      <c r="AJ112">
        <v>4288.5017089410112</v>
      </c>
      <c r="AK112">
        <v>4334.4593206412364</v>
      </c>
      <c r="AL112">
        <v>4390.9215293015131</v>
      </c>
      <c r="AM112">
        <v>4452.636036441816</v>
      </c>
      <c r="AN112">
        <v>4555.0558568023171</v>
      </c>
      <c r="AO112">
        <v>4748.0778259432627</v>
      </c>
      <c r="AP112">
        <v>5008.0666007045374</v>
      </c>
      <c r="AQ112">
        <v>5690.8654031078822</v>
      </c>
      <c r="AR112">
        <v>6264.6790120506939</v>
      </c>
      <c r="AS112">
        <v>6445.8833096115814</v>
      </c>
      <c r="AT112">
        <f>Sheet1!$AT112*_xlfn.XLOOKUP($A112,'[1]SSP4-change-rate'!$B$2:$B$147,'[1]SSP4-change-rate'!C$2:C$147)</f>
        <v>6291.4785355089234</v>
      </c>
      <c r="AU112">
        <f>Sheet1!$AT112*_xlfn.XLOOKUP($A112,'[1]SSP4-change-rate'!$B$2:$B$147,'[1]SSP4-change-rate'!D$2:D$147)</f>
        <v>6274.3704327898749</v>
      </c>
      <c r="AV112">
        <f>Sheet1!$AT112*_xlfn.XLOOKUP($A112,'[1]SSP4-change-rate'!$B$2:$B$147,'[1]SSP4-change-rate'!E$2:E$147)</f>
        <v>6248.0174506672802</v>
      </c>
      <c r="AW112">
        <f>Sheet1!$AT112*_xlfn.XLOOKUP($A112,'[1]SSP4-change-rate'!$B$2:$B$147,'[1]SSP4-change-rate'!F$2:F$147)</f>
        <v>6196.5926543792029</v>
      </c>
      <c r="AX112">
        <f>Sheet1!$AT112*_xlfn.XLOOKUP($A112,'[1]SSP4-change-rate'!$B$2:$B$147,'[1]SSP4-change-rate'!G$2:G$147)</f>
        <v>6149.8493205320692</v>
      </c>
      <c r="AY112">
        <f>Sheet1!$AT112*_xlfn.XLOOKUP($A112,'[1]SSP4-change-rate'!$B$2:$B$147,'[1]SSP4-change-rate'!H$2:H$147)</f>
        <v>6104.3548625759267</v>
      </c>
    </row>
    <row r="113" spans="1:51" x14ac:dyDescent="0.25">
      <c r="A113" t="s">
        <v>415</v>
      </c>
      <c r="B113" t="s">
        <v>416</v>
      </c>
      <c r="C113" t="s">
        <v>417</v>
      </c>
      <c r="D113" t="s">
        <v>54</v>
      </c>
      <c r="E113" t="s">
        <v>55</v>
      </c>
      <c r="F113" t="s">
        <v>56</v>
      </c>
      <c r="G113">
        <v>147662.6383505803</v>
      </c>
      <c r="H113">
        <v>1217.246177896058</v>
      </c>
      <c r="I113">
        <v>148879.88452847637</v>
      </c>
      <c r="J113">
        <v>28999223</v>
      </c>
      <c r="K113">
        <v>121.94633840488743</v>
      </c>
      <c r="L113">
        <v>133.03236916896807</v>
      </c>
      <c r="M113">
        <v>133.03236916896807</v>
      </c>
      <c r="N113">
        <v>133.03236916896807</v>
      </c>
      <c r="O113">
        <v>144.11839993304875</v>
      </c>
      <c r="P113">
        <v>144.11839993304875</v>
      </c>
      <c r="Q113">
        <v>144.11839993304875</v>
      </c>
      <c r="R113">
        <v>144.11839993304875</v>
      </c>
      <c r="S113">
        <v>144.11839993304875</v>
      </c>
      <c r="T113">
        <v>155.20443069712945</v>
      </c>
      <c r="U113">
        <v>177.3764922252908</v>
      </c>
      <c r="V113">
        <v>277.15076910201685</v>
      </c>
      <c r="W113">
        <v>410.18313827098495</v>
      </c>
      <c r="X113">
        <v>454.52726132730766</v>
      </c>
      <c r="Y113">
        <v>532.1294766758723</v>
      </c>
      <c r="Z113">
        <v>665.16184584484051</v>
      </c>
      <c r="AA113">
        <v>676.24787660892116</v>
      </c>
      <c r="AB113">
        <v>709.50596890116321</v>
      </c>
      <c r="AC113">
        <v>720.59199966524386</v>
      </c>
      <c r="AD113">
        <v>731.67803042932451</v>
      </c>
      <c r="AE113">
        <v>742.76406119340515</v>
      </c>
      <c r="AF113">
        <v>742.76406119340515</v>
      </c>
      <c r="AG113">
        <v>742.76406119340515</v>
      </c>
      <c r="AH113">
        <v>742.76406119340515</v>
      </c>
      <c r="AI113">
        <v>764.93612272156656</v>
      </c>
      <c r="AJ113">
        <v>798.19421501380862</v>
      </c>
      <c r="AK113">
        <v>820.36627654196991</v>
      </c>
      <c r="AL113">
        <v>820.36627654196991</v>
      </c>
      <c r="AM113">
        <v>820.36627654196991</v>
      </c>
      <c r="AN113">
        <v>842.53833807013132</v>
      </c>
      <c r="AO113">
        <v>853.62436883421196</v>
      </c>
      <c r="AP113">
        <v>864.71039959829261</v>
      </c>
      <c r="AQ113">
        <v>920.14055341869596</v>
      </c>
      <c r="AR113">
        <v>997.74276876726071</v>
      </c>
      <c r="AS113">
        <v>1075.3449841158256</v>
      </c>
      <c r="AT113">
        <f>Sheet1!$AT113*_xlfn.XLOOKUP($A113,'[1]SSP4-change-rate'!$B$2:$B$147,'[1]SSP4-change-rate'!C$2:C$147)</f>
        <v>1176.5497165750137</v>
      </c>
      <c r="AU113">
        <f>Sheet1!$AT113*_xlfn.XLOOKUP($A113,'[1]SSP4-change-rate'!$B$2:$B$147,'[1]SSP4-change-rate'!D$2:D$147)</f>
        <v>1199.6669005415874</v>
      </c>
      <c r="AV113">
        <f>Sheet1!$AT113*_xlfn.XLOOKUP($A113,'[1]SSP4-change-rate'!$B$2:$B$147,'[1]SSP4-change-rate'!E$2:E$147)</f>
        <v>1229.9219036376296</v>
      </c>
      <c r="AW113">
        <f>Sheet1!$AT113*_xlfn.XLOOKUP($A113,'[1]SSP4-change-rate'!$B$2:$B$147,'[1]SSP4-change-rate'!F$2:F$147)</f>
        <v>1261.0359994141768</v>
      </c>
      <c r="AX113">
        <f>Sheet1!$AT113*_xlfn.XLOOKUP($A113,'[1]SSP4-change-rate'!$B$2:$B$147,'[1]SSP4-change-rate'!G$2:G$147)</f>
        <v>1301.9927241814748</v>
      </c>
      <c r="AY113">
        <f>Sheet1!$AT113*_xlfn.XLOOKUP($A113,'[1]SSP4-change-rate'!$B$2:$B$147,'[1]SSP4-change-rate'!H$2:H$147)</f>
        <v>1325.9186463529604</v>
      </c>
    </row>
    <row r="114" spans="1:51" x14ac:dyDescent="0.25">
      <c r="A114" t="s">
        <v>418</v>
      </c>
      <c r="B114" t="s">
        <v>419</v>
      </c>
      <c r="C114" t="s">
        <v>420</v>
      </c>
      <c r="D114" t="s">
        <v>86</v>
      </c>
      <c r="E114" t="s">
        <v>86</v>
      </c>
      <c r="F114" t="s">
        <v>87</v>
      </c>
      <c r="G114">
        <v>268709.44145945518</v>
      </c>
      <c r="H114">
        <v>5604.7799053777744</v>
      </c>
      <c r="I114">
        <v>274314.22136483295</v>
      </c>
      <c r="J114">
        <v>5026485</v>
      </c>
      <c r="K114">
        <v>175.87324056366811</v>
      </c>
      <c r="L114">
        <v>218.7691528962701</v>
      </c>
      <c r="M114">
        <v>308.85056879473427</v>
      </c>
      <c r="N114">
        <v>411.80075839297899</v>
      </c>
      <c r="O114">
        <v>527.61972169100432</v>
      </c>
      <c r="P114">
        <v>652.01786745555012</v>
      </c>
      <c r="Q114">
        <v>780.70560445335593</v>
      </c>
      <c r="R114">
        <v>909.39334145116197</v>
      </c>
      <c r="S114">
        <v>1046.6602609154882</v>
      </c>
      <c r="T114">
        <v>1355.5108297102227</v>
      </c>
      <c r="U114">
        <v>1724.4156757705998</v>
      </c>
      <c r="V114">
        <v>1986.0807409994718</v>
      </c>
      <c r="W114">
        <v>2149.0852078633593</v>
      </c>
      <c r="X114">
        <v>2372.1439519928895</v>
      </c>
      <c r="Y114">
        <v>3079.926505480822</v>
      </c>
      <c r="Z114">
        <v>3487.4376726405412</v>
      </c>
      <c r="AA114">
        <v>3624.7045921048671</v>
      </c>
      <c r="AB114">
        <v>3740.5235554028927</v>
      </c>
      <c r="AC114">
        <v>3796.2882414352753</v>
      </c>
      <c r="AD114">
        <v>3899.2384310335201</v>
      </c>
      <c r="AE114">
        <v>3955.0031170659026</v>
      </c>
      <c r="AF114">
        <v>4070.8220803639283</v>
      </c>
      <c r="AG114">
        <v>4169.482678728913</v>
      </c>
      <c r="AH114">
        <v>4186.6410436619526</v>
      </c>
      <c r="AI114">
        <v>4199.5098173617334</v>
      </c>
      <c r="AJ114">
        <v>4263.8536858606367</v>
      </c>
      <c r="AK114">
        <v>4349.645510525841</v>
      </c>
      <c r="AL114">
        <v>4379.6726491586624</v>
      </c>
      <c r="AM114">
        <v>4478.3332475236466</v>
      </c>
      <c r="AN114">
        <v>4546.9667072558095</v>
      </c>
      <c r="AO114">
        <v>4619.889758221233</v>
      </c>
      <c r="AP114">
        <v>4718.5503565862182</v>
      </c>
      <c r="AQ114">
        <v>5018.8217429144315</v>
      </c>
      <c r="AR114">
        <v>5194.6949834780999</v>
      </c>
      <c r="AS114">
        <v>5524.9935084391354</v>
      </c>
      <c r="AT114">
        <f>Sheet1!$AT114*_xlfn.XLOOKUP($A114,'[1]SSP4-change-rate'!$B$2:$B$147,'[1]SSP4-change-rate'!C$2:C$147)</f>
        <v>5432.4821803809918</v>
      </c>
      <c r="AU114">
        <f>Sheet1!$AT114*_xlfn.XLOOKUP($A114,'[1]SSP4-change-rate'!$B$2:$B$147,'[1]SSP4-change-rate'!D$2:D$147)</f>
        <v>5407.9496560837506</v>
      </c>
      <c r="AV114">
        <f>Sheet1!$AT114*_xlfn.XLOOKUP($A114,'[1]SSP4-change-rate'!$B$2:$B$147,'[1]SSP4-change-rate'!E$2:E$147)</f>
        <v>5374.098052691359</v>
      </c>
      <c r="AW114">
        <f>Sheet1!$AT114*_xlfn.XLOOKUP($A114,'[1]SSP4-change-rate'!$B$2:$B$147,'[1]SSP4-change-rate'!F$2:F$147)</f>
        <v>5307.2759407277299</v>
      </c>
      <c r="AX114">
        <f>Sheet1!$AT114*_xlfn.XLOOKUP($A114,'[1]SSP4-change-rate'!$B$2:$B$147,'[1]SSP4-change-rate'!G$2:G$147)</f>
        <v>5218.1875493838006</v>
      </c>
      <c r="AY114">
        <f>Sheet1!$AT114*_xlfn.XLOOKUP($A114,'[1]SSP4-change-rate'!$B$2:$B$147,'[1]SSP4-change-rate'!H$2:H$147)</f>
        <v>5120.4597319744171</v>
      </c>
    </row>
    <row r="115" spans="1:51" x14ac:dyDescent="0.25">
      <c r="A115" t="s">
        <v>421</v>
      </c>
      <c r="B115" t="s">
        <v>422</v>
      </c>
      <c r="C115" t="s">
        <v>423</v>
      </c>
      <c r="D115" t="s">
        <v>70</v>
      </c>
      <c r="E115" t="s">
        <v>71</v>
      </c>
      <c r="F115" t="s">
        <v>70</v>
      </c>
      <c r="G115">
        <v>309136.63668124401</v>
      </c>
      <c r="H115">
        <v>1373.5311494698201</v>
      </c>
      <c r="I115">
        <v>310510.16783071385</v>
      </c>
      <c r="J115">
        <v>4589135.0000000009</v>
      </c>
      <c r="K115">
        <v>22.849221476421679</v>
      </c>
      <c r="L115">
        <v>25.192731371439287</v>
      </c>
      <c r="M115">
        <v>25.192731371439287</v>
      </c>
      <c r="N115">
        <v>28.122118740211299</v>
      </c>
      <c r="O115">
        <v>31.637383582737705</v>
      </c>
      <c r="P115">
        <v>33.395016004000915</v>
      </c>
      <c r="Q115">
        <v>35.738525899018519</v>
      </c>
      <c r="R115">
        <v>38.08203579403613</v>
      </c>
      <c r="S115">
        <v>39.839668215299341</v>
      </c>
      <c r="T115">
        <v>56.830114954176992</v>
      </c>
      <c r="U115">
        <v>82.022846325616285</v>
      </c>
      <c r="V115">
        <v>158.18691791368855</v>
      </c>
      <c r="W115">
        <v>274.19065771706016</v>
      </c>
      <c r="X115">
        <v>305.24216382604345</v>
      </c>
      <c r="Y115">
        <v>331.60665014499153</v>
      </c>
      <c r="Z115">
        <v>363.24403372772923</v>
      </c>
      <c r="AA115">
        <v>414.21537394436223</v>
      </c>
      <c r="AB115">
        <v>434.72108552576623</v>
      </c>
      <c r="AC115">
        <v>445.26688005334552</v>
      </c>
      <c r="AD115">
        <v>459.91381689720555</v>
      </c>
      <c r="AE115">
        <v>479.83365100485526</v>
      </c>
      <c r="AF115">
        <v>507.95576974506656</v>
      </c>
      <c r="AG115">
        <v>510.88515711383855</v>
      </c>
      <c r="AH115">
        <v>517.32980932513703</v>
      </c>
      <c r="AI115">
        <v>524.94621648394411</v>
      </c>
      <c r="AJ115">
        <v>531.3908686952426</v>
      </c>
      <c r="AK115">
        <v>548.38131543412032</v>
      </c>
      <c r="AL115">
        <v>569.47290448927868</v>
      </c>
      <c r="AM115">
        <v>627.47477439096451</v>
      </c>
      <c r="AN115">
        <v>660.28391292121103</v>
      </c>
      <c r="AO115">
        <v>751.09492135314326</v>
      </c>
      <c r="AP115">
        <v>853.03760178640925</v>
      </c>
      <c r="AQ115">
        <v>1022.9420691751858</v>
      </c>
      <c r="AR115">
        <v>1220.3827778304194</v>
      </c>
      <c r="AS115">
        <v>1294.2033395234741</v>
      </c>
      <c r="AT115">
        <f>Sheet1!$AT115*_xlfn.XLOOKUP($A115,'[1]SSP4-change-rate'!$B$2:$B$147,'[1]SSP4-change-rate'!C$2:C$147)</f>
        <v>1321.4596544996539</v>
      </c>
      <c r="AU115">
        <f>Sheet1!$AT115*_xlfn.XLOOKUP($A115,'[1]SSP4-change-rate'!$B$2:$B$147,'[1]SSP4-change-rate'!D$2:D$147)</f>
        <v>1310.7296098504733</v>
      </c>
      <c r="AV115">
        <f>Sheet1!$AT115*_xlfn.XLOOKUP($A115,'[1]SSP4-change-rate'!$B$2:$B$147,'[1]SSP4-change-rate'!E$2:E$147)</f>
        <v>1296.0102784648057</v>
      </c>
      <c r="AW115">
        <f>Sheet1!$AT115*_xlfn.XLOOKUP($A115,'[1]SSP4-change-rate'!$B$2:$B$147,'[1]SSP4-change-rate'!F$2:F$147)</f>
        <v>1262.5163324388609</v>
      </c>
      <c r="AX115">
        <f>Sheet1!$AT115*_xlfn.XLOOKUP($A115,'[1]SSP4-change-rate'!$B$2:$B$147,'[1]SSP4-change-rate'!G$2:G$147)</f>
        <v>1224.3533955449525</v>
      </c>
      <c r="AY115">
        <f>Sheet1!$AT115*_xlfn.XLOOKUP($A115,'[1]SSP4-change-rate'!$B$2:$B$147,'[1]SSP4-change-rate'!H$2:H$147)</f>
        <v>1181.8660587494041</v>
      </c>
    </row>
    <row r="116" spans="1:51" x14ac:dyDescent="0.25">
      <c r="A116" t="s">
        <v>424</v>
      </c>
      <c r="B116" t="s">
        <v>425</v>
      </c>
      <c r="C116" t="s">
        <v>426</v>
      </c>
      <c r="D116" t="s">
        <v>54</v>
      </c>
      <c r="E116" t="s">
        <v>55</v>
      </c>
      <c r="F116" t="s">
        <v>56</v>
      </c>
      <c r="G116">
        <v>792381.40819760051</v>
      </c>
      <c r="H116">
        <v>26356.47268642754</v>
      </c>
      <c r="I116">
        <v>818737.88088402804</v>
      </c>
      <c r="J116">
        <v>225112859</v>
      </c>
      <c r="K116">
        <v>1839.8933812514863</v>
      </c>
      <c r="L116">
        <v>2052.1887713958886</v>
      </c>
      <c r="M116">
        <v>2285.7137005547311</v>
      </c>
      <c r="N116">
        <v>2551.0829382352335</v>
      </c>
      <c r="O116">
        <v>2855.3729974422104</v>
      </c>
      <c r="P116">
        <v>3120.7422351227133</v>
      </c>
      <c r="Q116">
        <v>3566.5625544259578</v>
      </c>
      <c r="R116">
        <v>4139.7601078158441</v>
      </c>
      <c r="S116">
        <v>5823.9702029614355</v>
      </c>
      <c r="T116">
        <v>6878.3706406786332</v>
      </c>
      <c r="U116">
        <v>7628.4810191888537</v>
      </c>
      <c r="V116">
        <v>8488.2773492736833</v>
      </c>
      <c r="W116">
        <v>9903.5799502363643</v>
      </c>
      <c r="X116">
        <v>10225.561291955377</v>
      </c>
      <c r="Y116">
        <v>10887.215257905429</v>
      </c>
      <c r="Z116">
        <v>12076.069442714082</v>
      </c>
      <c r="AA116">
        <v>12783.720743195423</v>
      </c>
      <c r="AB116">
        <v>13109.24034141684</v>
      </c>
      <c r="AC116">
        <v>13562.137173724899</v>
      </c>
      <c r="AD116">
        <v>14259.17370469902</v>
      </c>
      <c r="AE116">
        <v>14726.223563016703</v>
      </c>
      <c r="AF116">
        <v>15182.658651827167</v>
      </c>
      <c r="AG116">
        <v>15490.486967536552</v>
      </c>
      <c r="AH116">
        <v>15957.536825854235</v>
      </c>
      <c r="AI116">
        <v>16254.750372056398</v>
      </c>
      <c r="AJ116">
        <v>16728.876743378896</v>
      </c>
      <c r="AK116">
        <v>17157.005780170108</v>
      </c>
      <c r="AL116">
        <v>17602.826099473354</v>
      </c>
      <c r="AM116">
        <v>18540.464072611128</v>
      </c>
      <c r="AN116">
        <v>19032.281726445664</v>
      </c>
      <c r="AO116">
        <v>19517.02286727538</v>
      </c>
      <c r="AP116">
        <v>20097.296933670081</v>
      </c>
      <c r="AQ116">
        <v>21049.087932817481</v>
      </c>
      <c r="AR116">
        <v>22061.029292505802</v>
      </c>
      <c r="AS116">
        <v>23090.66193470615</v>
      </c>
      <c r="AT116">
        <f>Sheet1!$AT116*_xlfn.XLOOKUP($A116,'[1]SSP4-change-rate'!$B$2:$B$147,'[1]SSP4-change-rate'!C$2:C$147)</f>
        <v>25404.180461755099</v>
      </c>
      <c r="AU116">
        <f>Sheet1!$AT116*_xlfn.XLOOKUP($A116,'[1]SSP4-change-rate'!$B$2:$B$147,'[1]SSP4-change-rate'!D$2:D$147)</f>
        <v>25709.235525567216</v>
      </c>
      <c r="AV116">
        <f>Sheet1!$AT116*_xlfn.XLOOKUP($A116,'[1]SSP4-change-rate'!$B$2:$B$147,'[1]SSP4-change-rate'!E$2:E$147)</f>
        <v>26117.655941766319</v>
      </c>
      <c r="AW116">
        <f>Sheet1!$AT116*_xlfn.XLOOKUP($A116,'[1]SSP4-change-rate'!$B$2:$B$147,'[1]SSP4-change-rate'!F$2:F$147)</f>
        <v>26797.064835674992</v>
      </c>
      <c r="AX116">
        <f>Sheet1!$AT116*_xlfn.XLOOKUP($A116,'[1]SSP4-change-rate'!$B$2:$B$147,'[1]SSP4-change-rate'!G$2:G$147)</f>
        <v>27543.301929471818</v>
      </c>
      <c r="AY116">
        <f>Sheet1!$AT116*_xlfn.XLOOKUP($A116,'[1]SSP4-change-rate'!$B$2:$B$147,'[1]SSP4-change-rate'!H$2:H$147)</f>
        <v>28093.735976199456</v>
      </c>
    </row>
    <row r="117" spans="1:51" x14ac:dyDescent="0.25">
      <c r="A117" t="s">
        <v>427</v>
      </c>
      <c r="B117" t="s">
        <v>428</v>
      </c>
      <c r="C117" t="s">
        <v>429</v>
      </c>
      <c r="D117" t="s">
        <v>121</v>
      </c>
      <c r="E117" t="s">
        <v>76</v>
      </c>
      <c r="F117" t="s">
        <v>77</v>
      </c>
      <c r="G117">
        <v>75452.349475164476</v>
      </c>
      <c r="H117">
        <v>2297.2641176835218</v>
      </c>
      <c r="I117">
        <v>77749.613592847993</v>
      </c>
      <c r="J117">
        <v>4265542.0000000009</v>
      </c>
      <c r="K117">
        <v>50.15860518959655</v>
      </c>
      <c r="L117">
        <v>50.15860518959655</v>
      </c>
      <c r="M117">
        <v>50.15860518959655</v>
      </c>
      <c r="N117">
        <v>50.15860518959655</v>
      </c>
      <c r="O117">
        <v>56.428430838296116</v>
      </c>
      <c r="P117">
        <v>56.428430838296116</v>
      </c>
      <c r="Q117">
        <v>56.428430838296116</v>
      </c>
      <c r="R117">
        <v>68.968082135695255</v>
      </c>
      <c r="S117">
        <v>87.777559081793967</v>
      </c>
      <c r="T117">
        <v>119.1266873252918</v>
      </c>
      <c r="U117">
        <v>175.55511816358793</v>
      </c>
      <c r="V117">
        <v>238.25337465058359</v>
      </c>
      <c r="W117">
        <v>326.03093373237755</v>
      </c>
      <c r="X117">
        <v>357.38006197587544</v>
      </c>
      <c r="Y117">
        <v>677.14117005955347</v>
      </c>
      <c r="Z117">
        <v>871.50576516924002</v>
      </c>
      <c r="AA117">
        <v>890.31524211533883</v>
      </c>
      <c r="AB117">
        <v>896.5850677640384</v>
      </c>
      <c r="AC117">
        <v>896.5850677640384</v>
      </c>
      <c r="AD117">
        <v>902.85489341273785</v>
      </c>
      <c r="AE117">
        <v>940.47384730493536</v>
      </c>
      <c r="AF117">
        <v>1015.71175508933</v>
      </c>
      <c r="AG117">
        <v>1028.2514063867293</v>
      </c>
      <c r="AH117">
        <v>1047.0608833328279</v>
      </c>
      <c r="AI117">
        <v>1059.600534630227</v>
      </c>
      <c r="AJ117">
        <v>1090.9496628737249</v>
      </c>
      <c r="AK117">
        <v>1128.5686167659223</v>
      </c>
      <c r="AL117">
        <v>1141.1082680633215</v>
      </c>
      <c r="AM117">
        <v>1147.3780937120209</v>
      </c>
      <c r="AN117">
        <v>1191.266873252918</v>
      </c>
      <c r="AO117">
        <v>1253.9651297399137</v>
      </c>
      <c r="AP117">
        <v>1341.7426888217078</v>
      </c>
      <c r="AQ117">
        <v>1529.8374582826948</v>
      </c>
      <c r="AR117">
        <v>1918.5666485020679</v>
      </c>
      <c r="AS117">
        <v>2125.4708949091537</v>
      </c>
      <c r="AT117">
        <f>Sheet1!$AT117*_xlfn.XLOOKUP($A117,'[1]SSP4-change-rate'!$B$2:$B$147,'[1]SSP4-change-rate'!C$2:C$147)</f>
        <v>2224.9038991071202</v>
      </c>
      <c r="AU117">
        <f>Sheet1!$AT117*_xlfn.XLOOKUP($A117,'[1]SSP4-change-rate'!$B$2:$B$147,'[1]SSP4-change-rate'!D$2:D$147)</f>
        <v>2218.2797955608917</v>
      </c>
      <c r="AV117">
        <f>Sheet1!$AT117*_xlfn.XLOOKUP($A117,'[1]SSP4-change-rate'!$B$2:$B$147,'[1]SSP4-change-rate'!E$2:E$147)</f>
        <v>2193.0131857894594</v>
      </c>
      <c r="AW117">
        <f>Sheet1!$AT117*_xlfn.XLOOKUP($A117,'[1]SSP4-change-rate'!$B$2:$B$147,'[1]SSP4-change-rate'!F$2:F$147)</f>
        <v>2160.2490966977848</v>
      </c>
      <c r="AX117">
        <f>Sheet1!$AT117*_xlfn.XLOOKUP($A117,'[1]SSP4-change-rate'!$B$2:$B$147,'[1]SSP4-change-rate'!G$2:G$147)</f>
        <v>2099.7878313259621</v>
      </c>
      <c r="AY117">
        <f>Sheet1!$AT117*_xlfn.XLOOKUP($A117,'[1]SSP4-change-rate'!$B$2:$B$147,'[1]SSP4-change-rate'!H$2:H$147)</f>
        <v>2033.7657685075594</v>
      </c>
    </row>
    <row r="118" spans="1:51" x14ac:dyDescent="0.25">
      <c r="A118" t="s">
        <v>430</v>
      </c>
      <c r="B118" t="s">
        <v>431</v>
      </c>
      <c r="C118" t="s">
        <v>432</v>
      </c>
      <c r="D118" t="s">
        <v>75</v>
      </c>
      <c r="E118" t="s">
        <v>76</v>
      </c>
      <c r="F118" t="s">
        <v>77</v>
      </c>
      <c r="G118">
        <v>1292462.59599691</v>
      </c>
      <c r="H118">
        <v>6420.257998793697</v>
      </c>
      <c r="I118">
        <v>1298882.8539957036</v>
      </c>
      <c r="J118">
        <v>33090275.000000011</v>
      </c>
      <c r="K118">
        <v>122.69125304820058</v>
      </c>
      <c r="L118">
        <v>148.98223584424355</v>
      </c>
      <c r="M118">
        <v>204.48542174700097</v>
      </c>
      <c r="N118">
        <v>262.90982796042982</v>
      </c>
      <c r="O118">
        <v>312.57057324184433</v>
      </c>
      <c r="P118">
        <v>341.7827763485588</v>
      </c>
      <c r="Q118">
        <v>376.83742007661613</v>
      </c>
      <c r="R118">
        <v>420.65572473668777</v>
      </c>
      <c r="S118">
        <v>435.26182629004495</v>
      </c>
      <c r="T118">
        <v>601.77138399831722</v>
      </c>
      <c r="U118">
        <v>1004.8997868709762</v>
      </c>
      <c r="V118">
        <v>1524.8770021704931</v>
      </c>
      <c r="W118">
        <v>2120.8059455474672</v>
      </c>
      <c r="X118">
        <v>2231.8123173529821</v>
      </c>
      <c r="Y118">
        <v>2748.8683123418273</v>
      </c>
      <c r="Z118">
        <v>3061.4388855836719</v>
      </c>
      <c r="AA118">
        <v>3292.2152901267159</v>
      </c>
      <c r="AB118">
        <v>3374.009458825516</v>
      </c>
      <c r="AC118">
        <v>3482.0946103203596</v>
      </c>
      <c r="AD118">
        <v>3581.4161008831888</v>
      </c>
      <c r="AE118">
        <v>3631.076846164603</v>
      </c>
      <c r="AF118">
        <v>3677.8163711353463</v>
      </c>
      <c r="AG118">
        <v>3695.3436929993745</v>
      </c>
      <c r="AH118">
        <v>3718.7134554847466</v>
      </c>
      <c r="AI118">
        <v>3747.9256585914609</v>
      </c>
      <c r="AJ118">
        <v>3788.8227429408612</v>
      </c>
      <c r="AK118">
        <v>3873.5381319503331</v>
      </c>
      <c r="AL118">
        <v>3943.6474194064476</v>
      </c>
      <c r="AM118">
        <v>4042.9689099692769</v>
      </c>
      <c r="AN118">
        <v>4130.60551928942</v>
      </c>
      <c r="AO118">
        <v>4335.0909410364211</v>
      </c>
      <c r="AP118">
        <v>4598.0007689968506</v>
      </c>
      <c r="AQ118">
        <v>5126.7416452283815</v>
      </c>
      <c r="AR118">
        <v>5681.7735042559552</v>
      </c>
      <c r="AS118">
        <v>5991.422857187129</v>
      </c>
      <c r="AT118">
        <f>Sheet1!$AT118*_xlfn.XLOOKUP($A118,'[1]SSP4-change-rate'!$B$2:$B$147,'[1]SSP4-change-rate'!C$2:C$147)</f>
        <v>6259.691952127494</v>
      </c>
      <c r="AU118">
        <f>Sheet1!$AT118*_xlfn.XLOOKUP($A118,'[1]SSP4-change-rate'!$B$2:$B$147,'[1]SSP4-change-rate'!D$2:D$147)</f>
        <v>6223.9852210670288</v>
      </c>
      <c r="AV118">
        <f>Sheet1!$AT118*_xlfn.XLOOKUP($A118,'[1]SSP4-change-rate'!$B$2:$B$147,'[1]SSP4-change-rate'!E$2:E$147)</f>
        <v>6172.5842065747074</v>
      </c>
      <c r="AW118">
        <f>Sheet1!$AT118*_xlfn.XLOOKUP($A118,'[1]SSP4-change-rate'!$B$2:$B$147,'[1]SSP4-change-rate'!F$2:F$147)</f>
        <v>6037.6541641971753</v>
      </c>
      <c r="AX118">
        <f>Sheet1!$AT118*_xlfn.XLOOKUP($A118,'[1]SSP4-change-rate'!$B$2:$B$147,'[1]SSP4-change-rate'!G$2:G$147)</f>
        <v>5865.1960001914886</v>
      </c>
      <c r="AY118">
        <f>Sheet1!$AT118*_xlfn.XLOOKUP($A118,'[1]SSP4-change-rate'!$B$2:$B$147,'[1]SSP4-change-rate'!H$2:H$147)</f>
        <v>5678.2136804109223</v>
      </c>
    </row>
    <row r="119" spans="1:51" x14ac:dyDescent="0.25">
      <c r="A119" t="s">
        <v>433</v>
      </c>
      <c r="B119" t="s">
        <v>434</v>
      </c>
      <c r="C119" t="s">
        <v>435</v>
      </c>
      <c r="D119" t="s">
        <v>139</v>
      </c>
      <c r="E119" t="s">
        <v>55</v>
      </c>
      <c r="F119" t="s">
        <v>140</v>
      </c>
      <c r="G119">
        <v>295856.8089222096</v>
      </c>
      <c r="H119">
        <v>15318.41920694391</v>
      </c>
      <c r="I119">
        <v>311175.22812915349</v>
      </c>
      <c r="J119">
        <v>111287624</v>
      </c>
      <c r="K119">
        <v>456.88901048760238</v>
      </c>
      <c r="L119">
        <v>554.09943825092205</v>
      </c>
      <c r="M119">
        <v>680.47299434323747</v>
      </c>
      <c r="N119">
        <v>865.17280709354486</v>
      </c>
      <c r="O119">
        <v>1166.5251331598358</v>
      </c>
      <c r="P119">
        <v>1428.9932881207988</v>
      </c>
      <c r="Q119">
        <v>1720.6245714107579</v>
      </c>
      <c r="R119">
        <v>2099.7452396877047</v>
      </c>
      <c r="S119">
        <v>2391.3765229776632</v>
      </c>
      <c r="T119">
        <v>2964.9180467812494</v>
      </c>
      <c r="U119">
        <v>3392.6439289398559</v>
      </c>
      <c r="V119">
        <v>3752.3225116641383</v>
      </c>
      <c r="W119">
        <v>4870.2424309423141</v>
      </c>
      <c r="X119">
        <v>5084.1053720216178</v>
      </c>
      <c r="Y119">
        <v>5988.1623502204902</v>
      </c>
      <c r="Z119">
        <v>6960.2666278536872</v>
      </c>
      <c r="AA119">
        <v>8214.2811460005105</v>
      </c>
      <c r="AB119">
        <v>8962.8014397780717</v>
      </c>
      <c r="AC119">
        <v>9312.7589797260225</v>
      </c>
      <c r="AD119">
        <v>9429.4114930420055</v>
      </c>
      <c r="AE119">
        <v>9662.7165196739734</v>
      </c>
      <c r="AF119">
        <v>9798.8111185426224</v>
      </c>
      <c r="AG119">
        <v>9993.2319740692601</v>
      </c>
      <c r="AH119">
        <v>10236.258043477559</v>
      </c>
      <c r="AI119">
        <v>10372.352642346208</v>
      </c>
      <c r="AJ119">
        <v>10489.005155662189</v>
      </c>
      <c r="AK119">
        <v>10595.936626201841</v>
      </c>
      <c r="AL119">
        <v>10634.820797307169</v>
      </c>
      <c r="AM119">
        <v>10965.336251702456</v>
      </c>
      <c r="AN119">
        <v>11072.267722242108</v>
      </c>
      <c r="AO119">
        <v>11218.083363887088</v>
      </c>
      <c r="AP119">
        <v>12102.698256533296</v>
      </c>
      <c r="AQ119">
        <v>12588.750395349894</v>
      </c>
      <c r="AR119">
        <v>13308.10756079846</v>
      </c>
      <c r="AS119">
        <v>13842.764913496718</v>
      </c>
      <c r="AT119">
        <f>Sheet1!$AT119*_xlfn.XLOOKUP($A119,'[1]SSP4-change-rate'!$B$2:$B$147,'[1]SSP4-change-rate'!C$2:C$147)</f>
        <v>14736.190212593609</v>
      </c>
      <c r="AU119">
        <f>Sheet1!$AT119*_xlfn.XLOOKUP($A119,'[1]SSP4-change-rate'!$B$2:$B$147,'[1]SSP4-change-rate'!D$2:D$147)</f>
        <v>14891.702817689</v>
      </c>
      <c r="AV119">
        <f>Sheet1!$AT119*_xlfn.XLOOKUP($A119,'[1]SSP4-change-rate'!$B$2:$B$147,'[1]SSP4-change-rate'!E$2:E$147)</f>
        <v>15081.394998627402</v>
      </c>
      <c r="AW119">
        <f>Sheet1!$AT119*_xlfn.XLOOKUP($A119,'[1]SSP4-change-rate'!$B$2:$B$147,'[1]SSP4-change-rate'!F$2:F$147)</f>
        <v>15367.068230640763</v>
      </c>
      <c r="AX119">
        <f>Sheet1!$AT119*_xlfn.XLOOKUP($A119,'[1]SSP4-change-rate'!$B$2:$B$147,'[1]SSP4-change-rate'!G$2:G$147)</f>
        <v>15646.949086644459</v>
      </c>
      <c r="AY119">
        <f>Sheet1!$AT119*_xlfn.XLOOKUP($A119,'[1]SSP4-change-rate'!$B$2:$B$147,'[1]SSP4-change-rate'!H$2:H$147)</f>
        <v>15834.250489238995</v>
      </c>
    </row>
    <row r="120" spans="1:51" x14ac:dyDescent="0.25">
      <c r="A120" t="s">
        <v>436</v>
      </c>
      <c r="B120" t="s">
        <v>437</v>
      </c>
      <c r="C120" t="s">
        <v>438</v>
      </c>
      <c r="D120" t="s">
        <v>86</v>
      </c>
      <c r="E120" t="s">
        <v>86</v>
      </c>
      <c r="F120" t="s">
        <v>140</v>
      </c>
      <c r="G120">
        <v>463612.81774329889</v>
      </c>
      <c r="H120">
        <v>257.34392758266938</v>
      </c>
      <c r="I120">
        <v>463870.16167088156</v>
      </c>
      <c r="J120">
        <v>9648816</v>
      </c>
      <c r="K120">
        <v>22.574028735321875</v>
      </c>
      <c r="L120">
        <v>22.574028735321875</v>
      </c>
      <c r="M120">
        <v>22.574028735321875</v>
      </c>
      <c r="N120">
        <v>22.574028735321875</v>
      </c>
      <c r="O120">
        <v>22.574028735321875</v>
      </c>
      <c r="P120">
        <v>22.574028735321875</v>
      </c>
      <c r="Q120">
        <v>22.574028735321875</v>
      </c>
      <c r="R120">
        <v>22.574028735321875</v>
      </c>
      <c r="S120">
        <v>22.574028735321875</v>
      </c>
      <c r="T120">
        <v>26.336366857875522</v>
      </c>
      <c r="U120">
        <v>56.435071838304687</v>
      </c>
      <c r="V120">
        <v>79.009100573626554</v>
      </c>
      <c r="W120">
        <v>105.34546743150209</v>
      </c>
      <c r="X120">
        <v>105.34546743150209</v>
      </c>
      <c r="Y120">
        <v>116.632481799163</v>
      </c>
      <c r="Z120">
        <v>116.632481799163</v>
      </c>
      <c r="AA120">
        <v>127.91949616682395</v>
      </c>
      <c r="AB120">
        <v>146.73118677959218</v>
      </c>
      <c r="AC120">
        <v>154.25586302469947</v>
      </c>
      <c r="AD120">
        <v>169.30521551491404</v>
      </c>
      <c r="AE120">
        <v>173.06755363746768</v>
      </c>
      <c r="AF120">
        <v>173.06755363746768</v>
      </c>
      <c r="AG120">
        <v>173.06755363746768</v>
      </c>
      <c r="AH120">
        <v>184.35456800512864</v>
      </c>
      <c r="AI120">
        <v>184.35456800512864</v>
      </c>
      <c r="AJ120">
        <v>184.35456800512864</v>
      </c>
      <c r="AK120">
        <v>188.11690612768228</v>
      </c>
      <c r="AL120">
        <v>188.11690612768228</v>
      </c>
      <c r="AM120">
        <v>191.87924425023593</v>
      </c>
      <c r="AN120">
        <v>195.64158237278957</v>
      </c>
      <c r="AO120">
        <v>199.40392049534321</v>
      </c>
      <c r="AP120">
        <v>199.40392049534321</v>
      </c>
      <c r="AQ120">
        <v>199.40392049534321</v>
      </c>
      <c r="AR120">
        <v>214.45327298555779</v>
      </c>
      <c r="AS120">
        <v>214.45327298555779</v>
      </c>
      <c r="AT120">
        <f>Sheet1!$AT120*_xlfn.XLOOKUP($A120,'[1]SSP4-change-rate'!$B$2:$B$147,'[1]SSP4-change-rate'!C$2:C$147)</f>
        <v>244.87082017976269</v>
      </c>
      <c r="AU120">
        <f>Sheet1!$AT120*_xlfn.XLOOKUP($A120,'[1]SSP4-change-rate'!$B$2:$B$147,'[1]SSP4-change-rate'!D$2:D$147)</f>
        <v>244.4940958410246</v>
      </c>
      <c r="AV120">
        <f>Sheet1!$AT120*_xlfn.XLOOKUP($A120,'[1]SSP4-change-rate'!$B$2:$B$147,'[1]SSP4-change-rate'!E$2:E$147)</f>
        <v>250.82254150357639</v>
      </c>
      <c r="AW120">
        <f>Sheet1!$AT120*_xlfn.XLOOKUP($A120,'[1]SSP4-change-rate'!$B$2:$B$147,'[1]SSP4-change-rate'!F$2:F$147)</f>
        <v>251.86042788221184</v>
      </c>
      <c r="AX120">
        <f>Sheet1!$AT120*_xlfn.XLOOKUP($A120,'[1]SSP4-change-rate'!$B$2:$B$147,'[1]SSP4-change-rate'!G$2:G$147)</f>
        <v>252.59305356124869</v>
      </c>
      <c r="AY120">
        <f>Sheet1!$AT120*_xlfn.XLOOKUP($A120,'[1]SSP4-change-rate'!$B$2:$B$147,'[1]SSP4-change-rate'!H$2:H$147)</f>
        <v>250.7396249609306</v>
      </c>
    </row>
    <row r="121" spans="1:51" x14ac:dyDescent="0.25">
      <c r="A121" t="s">
        <v>439</v>
      </c>
      <c r="B121" t="s">
        <v>440</v>
      </c>
      <c r="C121" t="s">
        <v>441</v>
      </c>
      <c r="D121" t="s">
        <v>65</v>
      </c>
      <c r="E121" t="s">
        <v>66</v>
      </c>
      <c r="F121" t="s">
        <v>66</v>
      </c>
      <c r="G121">
        <v>312400.07147017732</v>
      </c>
      <c r="H121">
        <v>42555.518515590673</v>
      </c>
      <c r="I121">
        <v>354955.58998576802</v>
      </c>
      <c r="J121">
        <v>38477961</v>
      </c>
      <c r="K121">
        <v>1347.8112938213417</v>
      </c>
      <c r="L121">
        <v>1781.5000916405402</v>
      </c>
      <c r="M121">
        <v>2277.5154232780665</v>
      </c>
      <c r="N121">
        <v>2703.4134043699742</v>
      </c>
      <c r="O121">
        <v>3181.2501636438219</v>
      </c>
      <c r="P121">
        <v>3181.2501636438219</v>
      </c>
      <c r="Q121">
        <v>3910.9899971000782</v>
      </c>
      <c r="R121">
        <v>3910.9899971000782</v>
      </c>
      <c r="S121">
        <v>3910.9899971000782</v>
      </c>
      <c r="T121">
        <v>5354.8880305580078</v>
      </c>
      <c r="U121">
        <v>6513.1227840152687</v>
      </c>
      <c r="V121">
        <v>8034.9289847461096</v>
      </c>
      <c r="W121">
        <v>9219.1331272943407</v>
      </c>
      <c r="X121">
        <v>9335.9953782037046</v>
      </c>
      <c r="Y121">
        <v>10320.235224751466</v>
      </c>
      <c r="Z121">
        <v>12727.597593484385</v>
      </c>
      <c r="AA121">
        <v>14789.5670873074</v>
      </c>
      <c r="AB121">
        <v>15667.332438582183</v>
      </c>
      <c r="AC121">
        <v>16687.929429857304</v>
      </c>
      <c r="AD121">
        <v>18427.87849895229</v>
      </c>
      <c r="AE121">
        <v>19321.225483681657</v>
      </c>
      <c r="AF121">
        <v>20393.76125313872</v>
      </c>
      <c r="AG121">
        <v>20910.552096049021</v>
      </c>
      <c r="AH121">
        <v>21479.281717141268</v>
      </c>
      <c r="AI121">
        <v>21806.496019687489</v>
      </c>
      <c r="AJ121">
        <v>22180.455222597451</v>
      </c>
      <c r="AK121">
        <v>22655.695042962205</v>
      </c>
      <c r="AL121">
        <v>23424.388960054916</v>
      </c>
      <c r="AM121">
        <v>24164.51654914756</v>
      </c>
      <c r="AN121">
        <v>25096.817617513381</v>
      </c>
      <c r="AO121">
        <v>27226.307522972922</v>
      </c>
      <c r="AP121">
        <v>31259.353648800556</v>
      </c>
      <c r="AQ121">
        <v>34954.797716445588</v>
      </c>
      <c r="AR121">
        <v>38281.476458998834</v>
      </c>
      <c r="AS121">
        <v>40881.01230700493</v>
      </c>
      <c r="AT121">
        <f>Sheet1!$AT121*_xlfn.XLOOKUP($A121,'[1]SSP4-change-rate'!$B$2:$B$147,'[1]SSP4-change-rate'!C$2:C$147)</f>
        <v>41835.986875977629</v>
      </c>
      <c r="AU121">
        <f>Sheet1!$AT121*_xlfn.XLOOKUP($A121,'[1]SSP4-change-rate'!$B$2:$B$147,'[1]SSP4-change-rate'!D$2:D$147)</f>
        <v>41757.724564333475</v>
      </c>
      <c r="AV121">
        <f>Sheet1!$AT121*_xlfn.XLOOKUP($A121,'[1]SSP4-change-rate'!$B$2:$B$147,'[1]SSP4-change-rate'!E$2:E$147)</f>
        <v>41643.42404103437</v>
      </c>
      <c r="AW121">
        <f>Sheet1!$AT121*_xlfn.XLOOKUP($A121,'[1]SSP4-change-rate'!$B$2:$B$147,'[1]SSP4-change-rate'!F$2:F$147)</f>
        <v>41372.923236080744</v>
      </c>
      <c r="AX121">
        <f>Sheet1!$AT121*_xlfn.XLOOKUP($A121,'[1]SSP4-change-rate'!$B$2:$B$147,'[1]SSP4-change-rate'!G$2:G$147)</f>
        <v>40949.777489036453</v>
      </c>
      <c r="AY121">
        <f>Sheet1!$AT121*_xlfn.XLOOKUP($A121,'[1]SSP4-change-rate'!$B$2:$B$147,'[1]SSP4-change-rate'!H$2:H$147)</f>
        <v>40390.384928655476</v>
      </c>
    </row>
    <row r="122" spans="1:51" x14ac:dyDescent="0.25">
      <c r="A122" t="s">
        <v>442</v>
      </c>
      <c r="B122" t="s">
        <v>443</v>
      </c>
      <c r="C122" t="s">
        <v>444</v>
      </c>
      <c r="D122" t="s">
        <v>321</v>
      </c>
      <c r="E122" t="s">
        <v>55</v>
      </c>
      <c r="F122" t="s">
        <v>161</v>
      </c>
      <c r="G122">
        <v>122706.3595086104</v>
      </c>
      <c r="H122">
        <v>2942.2697267554031</v>
      </c>
      <c r="I122">
        <v>125648.62923536581</v>
      </c>
      <c r="K122">
        <v>170.73008419684524</v>
      </c>
      <c r="L122">
        <v>176.25418541731227</v>
      </c>
      <c r="M122">
        <v>191.19054934703783</v>
      </c>
      <c r="N122">
        <v>218.6928640520037</v>
      </c>
      <c r="O122">
        <v>304.37330918584422</v>
      </c>
      <c r="P122">
        <v>329.62168893825981</v>
      </c>
      <c r="Q122">
        <v>345.40102267032148</v>
      </c>
      <c r="R122">
        <v>359.042201560867</v>
      </c>
      <c r="S122">
        <v>381.38703100316974</v>
      </c>
      <c r="T122">
        <v>446.12617345052865</v>
      </c>
      <c r="U122">
        <v>533.07556469097278</v>
      </c>
      <c r="V122">
        <v>596.89798924626132</v>
      </c>
      <c r="W122">
        <v>741.19687081933967</v>
      </c>
      <c r="X122">
        <v>772.00393922350906</v>
      </c>
      <c r="Y122">
        <v>861.57806746932522</v>
      </c>
      <c r="Z122">
        <v>940.63246625242755</v>
      </c>
      <c r="AA122">
        <v>1026.8916910843154</v>
      </c>
      <c r="AB122">
        <v>1049.3936435390967</v>
      </c>
      <c r="AC122">
        <v>1071.755177098496</v>
      </c>
      <c r="AD122">
        <v>1112.9677495608694</v>
      </c>
      <c r="AE122">
        <v>1185.3151221202618</v>
      </c>
      <c r="AF122">
        <v>1232.61429739907</v>
      </c>
      <c r="AG122">
        <v>1275.1425419049601</v>
      </c>
      <c r="AH122">
        <v>1332.1017154194967</v>
      </c>
      <c r="AI122">
        <v>1370.881657606589</v>
      </c>
      <c r="AJ122">
        <v>1410.5887990064202</v>
      </c>
      <c r="AK122">
        <v>1473.580400640046</v>
      </c>
      <c r="AL122">
        <v>1547.6305646806302</v>
      </c>
      <c r="AM122">
        <v>1631.9797659593428</v>
      </c>
      <c r="AN122">
        <v>1680.8514592864788</v>
      </c>
      <c r="AO122">
        <v>1808.6666834712348</v>
      </c>
      <c r="AP122">
        <v>1979.8961222698351</v>
      </c>
      <c r="AQ122">
        <v>2251.6993698266961</v>
      </c>
      <c r="AR122">
        <v>2453.4426451700197</v>
      </c>
      <c r="AS122">
        <v>2690.0822971890107</v>
      </c>
      <c r="AT122">
        <v>2661.4472752097681</v>
      </c>
      <c r="AU122">
        <v>2655.7789530307577</v>
      </c>
      <c r="AV122">
        <v>2647.2916384389409</v>
      </c>
      <c r="AW122">
        <v>2629.635530093949</v>
      </c>
      <c r="AX122">
        <v>2616.8679252792999</v>
      </c>
      <c r="AY122">
        <v>2616.8679252792999</v>
      </c>
    </row>
    <row r="123" spans="1:51" x14ac:dyDescent="0.25">
      <c r="A123" t="s">
        <v>445</v>
      </c>
      <c r="B123" t="s">
        <v>446</v>
      </c>
      <c r="C123" t="s">
        <v>447</v>
      </c>
      <c r="D123" t="s">
        <v>91</v>
      </c>
      <c r="E123" t="s">
        <v>66</v>
      </c>
      <c r="F123" t="s">
        <v>66</v>
      </c>
      <c r="G123">
        <v>91878.032767611265</v>
      </c>
      <c r="H123">
        <v>4232.9114488686901</v>
      </c>
      <c r="I123">
        <v>96110.944216479955</v>
      </c>
      <c r="J123">
        <v>10298401</v>
      </c>
      <c r="K123">
        <v>186.4300009432996</v>
      </c>
      <c r="L123">
        <v>201.0519618015976</v>
      </c>
      <c r="M123">
        <v>243.4556482906618</v>
      </c>
      <c r="N123">
        <v>285.12823673681117</v>
      </c>
      <c r="O123">
        <v>357.50694298538627</v>
      </c>
      <c r="P123">
        <v>371.39780580076933</v>
      </c>
      <c r="Q123">
        <v>407.95270794651441</v>
      </c>
      <c r="R123">
        <v>471.55823768011072</v>
      </c>
      <c r="S123">
        <v>527.85278698455807</v>
      </c>
      <c r="T123">
        <v>611.19796387685665</v>
      </c>
      <c r="U123">
        <v>689.42545446875101</v>
      </c>
      <c r="V123">
        <v>853.92251412460359</v>
      </c>
      <c r="W123">
        <v>978.94027946305152</v>
      </c>
      <c r="X123">
        <v>1054.2433778832863</v>
      </c>
      <c r="Y123">
        <v>1208.5050649383304</v>
      </c>
      <c r="Z123">
        <v>1328.4051439763739</v>
      </c>
      <c r="AA123">
        <v>1619.3821650565042</v>
      </c>
      <c r="AB123">
        <v>1703.4584399917176</v>
      </c>
      <c r="AC123">
        <v>1810.1987542572933</v>
      </c>
      <c r="AD123">
        <v>1930.0988332953368</v>
      </c>
      <c r="AE123">
        <v>2016.368402359295</v>
      </c>
      <c r="AF123">
        <v>2120.9154224961258</v>
      </c>
      <c r="AG123">
        <v>2324.8917764693829</v>
      </c>
      <c r="AH123">
        <v>2495.2376204685547</v>
      </c>
      <c r="AI123">
        <v>2599.7846406053859</v>
      </c>
      <c r="AJ123">
        <v>2674.3566409827054</v>
      </c>
      <c r="AK123">
        <v>2794.9878180636638</v>
      </c>
      <c r="AL123">
        <v>2953.6360933761971</v>
      </c>
      <c r="AM123">
        <v>3102.0489960879222</v>
      </c>
      <c r="AN123">
        <v>3184.6630749373062</v>
      </c>
      <c r="AO123">
        <v>3260.6972714004555</v>
      </c>
      <c r="AP123">
        <v>3438.3540958287763</v>
      </c>
      <c r="AQ123">
        <v>3665.7255871753105</v>
      </c>
      <c r="AR123">
        <v>3920.8788041526104</v>
      </c>
      <c r="AS123">
        <v>4149.7124915849745</v>
      </c>
      <c r="AT123">
        <f>Sheet1!$AT123*_xlfn.XLOOKUP($A123,'[1]SSP4-change-rate'!$B$2:$B$147,'[1]SSP4-change-rate'!C$2:C$147)</f>
        <v>4158.7523015637507</v>
      </c>
      <c r="AU123">
        <f>Sheet1!$AT123*_xlfn.XLOOKUP($A123,'[1]SSP4-change-rate'!$B$2:$B$147,'[1]SSP4-change-rate'!D$2:D$147)</f>
        <v>4149.0945760842678</v>
      </c>
      <c r="AV123">
        <f>Sheet1!$AT123*_xlfn.XLOOKUP($A123,'[1]SSP4-change-rate'!$B$2:$B$147,'[1]SSP4-change-rate'!E$2:E$147)</f>
        <v>4135.805828277943</v>
      </c>
      <c r="AW123">
        <f>Sheet1!$AT123*_xlfn.XLOOKUP($A123,'[1]SSP4-change-rate'!$B$2:$B$147,'[1]SSP4-change-rate'!F$2:F$147)</f>
        <v>4099.438739357327</v>
      </c>
      <c r="AX123">
        <f>Sheet1!$AT123*_xlfn.XLOOKUP($A123,'[1]SSP4-change-rate'!$B$2:$B$147,'[1]SSP4-change-rate'!G$2:G$147)</f>
        <v>4044.5667573939386</v>
      </c>
      <c r="AY123">
        <f>Sheet1!$AT123*_xlfn.XLOOKUP($A123,'[1]SSP4-change-rate'!$B$2:$B$147,'[1]SSP4-change-rate'!H$2:H$147)</f>
        <v>3972.6522633192039</v>
      </c>
    </row>
    <row r="124" spans="1:51" x14ac:dyDescent="0.25">
      <c r="A124" t="s">
        <v>448</v>
      </c>
      <c r="B124" t="s">
        <v>449</v>
      </c>
      <c r="C124" t="s">
        <v>450</v>
      </c>
      <c r="D124" t="s">
        <v>75</v>
      </c>
      <c r="E124" t="s">
        <v>76</v>
      </c>
      <c r="F124" t="s">
        <v>77</v>
      </c>
      <c r="G124">
        <v>399285.30152349378</v>
      </c>
      <c r="H124">
        <v>2458.5137569630479</v>
      </c>
      <c r="I124">
        <v>401743.81528045685</v>
      </c>
      <c r="J124">
        <v>6573036</v>
      </c>
      <c r="K124">
        <v>49.509770709842741</v>
      </c>
      <c r="L124">
        <v>54.224986967922995</v>
      </c>
      <c r="M124">
        <v>61.297811355043393</v>
      </c>
      <c r="N124">
        <v>68.370635742163785</v>
      </c>
      <c r="O124">
        <v>94.30432516160522</v>
      </c>
      <c r="P124">
        <v>120.23801458104666</v>
      </c>
      <c r="Q124">
        <v>150.88692025856835</v>
      </c>
      <c r="R124">
        <v>181.53582593609002</v>
      </c>
      <c r="S124">
        <v>233.40320477497292</v>
      </c>
      <c r="T124">
        <v>341.8531787108189</v>
      </c>
      <c r="U124">
        <v>440.87272013050438</v>
      </c>
      <c r="V124">
        <v>532.81943716306944</v>
      </c>
      <c r="W124">
        <v>754.43460129284176</v>
      </c>
      <c r="X124">
        <v>806.30198013172469</v>
      </c>
      <c r="Y124">
        <v>945.40085974509225</v>
      </c>
      <c r="Z124">
        <v>1053.8508336809384</v>
      </c>
      <c r="AA124">
        <v>1195.3073214233461</v>
      </c>
      <c r="AB124">
        <v>1214.1681864556672</v>
      </c>
      <c r="AC124">
        <v>1249.532308391269</v>
      </c>
      <c r="AD124">
        <v>1258.9627409074296</v>
      </c>
      <c r="AE124">
        <v>1289.6116465849514</v>
      </c>
      <c r="AF124">
        <v>1303.7572953591921</v>
      </c>
      <c r="AG124">
        <v>1310.8301197463127</v>
      </c>
      <c r="AH124">
        <v>1327.3333766495934</v>
      </c>
      <c r="AI124">
        <v>1327.3333766495934</v>
      </c>
      <c r="AJ124">
        <v>1343.8366335528742</v>
      </c>
      <c r="AK124">
        <v>1350.9094579399946</v>
      </c>
      <c r="AL124">
        <v>1353.2670660690349</v>
      </c>
      <c r="AM124">
        <v>1433.4257424563991</v>
      </c>
      <c r="AN124">
        <v>1532.4452838760847</v>
      </c>
      <c r="AO124">
        <v>1593.7430952311281</v>
      </c>
      <c r="AP124">
        <v>1765.8484886510578</v>
      </c>
      <c r="AQ124">
        <v>2006.324517813151</v>
      </c>
      <c r="AR124">
        <v>2062.9071129101139</v>
      </c>
      <c r="AS124">
        <v>2258.5885876204447</v>
      </c>
      <c r="AT124">
        <f>Sheet1!$AT124*_xlfn.XLOOKUP($A124,'[1]SSP4-change-rate'!$B$2:$B$147,'[1]SSP4-change-rate'!C$2:C$147)</f>
        <v>2395.0291437821907</v>
      </c>
      <c r="AU124">
        <f>Sheet1!$AT124*_xlfn.XLOOKUP($A124,'[1]SSP4-change-rate'!$B$2:$B$147,'[1]SSP4-change-rate'!D$2:D$147)</f>
        <v>2409.3480696017677</v>
      </c>
      <c r="AV124">
        <f>Sheet1!$AT124*_xlfn.XLOOKUP($A124,'[1]SSP4-change-rate'!$B$2:$B$147,'[1]SSP4-change-rate'!E$2:E$147)</f>
        <v>2430.3399281315897</v>
      </c>
      <c r="AW124">
        <f>Sheet1!$AT124*_xlfn.XLOOKUP($A124,'[1]SSP4-change-rate'!$B$2:$B$147,'[1]SSP4-change-rate'!F$2:F$147)</f>
        <v>2449.2194750649551</v>
      </c>
      <c r="AX124">
        <f>Sheet1!$AT124*_xlfn.XLOOKUP($A124,'[1]SSP4-change-rate'!$B$2:$B$147,'[1]SSP4-change-rate'!G$2:G$147)</f>
        <v>2433.9376700769731</v>
      </c>
      <c r="AY124">
        <f>Sheet1!$AT124*_xlfn.XLOOKUP($A124,'[1]SSP4-change-rate'!$B$2:$B$147,'[1]SSP4-change-rate'!H$2:H$147)</f>
        <v>2326.0524510052855</v>
      </c>
    </row>
    <row r="125" spans="1:51" x14ac:dyDescent="0.25">
      <c r="A125" t="s">
        <v>451</v>
      </c>
      <c r="B125" t="s">
        <v>452</v>
      </c>
      <c r="C125" t="s">
        <v>453</v>
      </c>
      <c r="D125" t="s">
        <v>70</v>
      </c>
      <c r="E125" t="s">
        <v>71</v>
      </c>
      <c r="F125" t="s">
        <v>70</v>
      </c>
      <c r="G125">
        <v>6219.961442007324</v>
      </c>
      <c r="H125">
        <v>1223.314474775804</v>
      </c>
      <c r="I125">
        <v>7443.2759167831282</v>
      </c>
      <c r="K125">
        <v>18.609212509217755</v>
      </c>
      <c r="L125">
        <v>20.483105655264215</v>
      </c>
      <c r="M125">
        <v>22.385017919969439</v>
      </c>
      <c r="N125">
        <v>24.682758190295104</v>
      </c>
      <c r="O125">
        <v>28.034136839696433</v>
      </c>
      <c r="P125">
        <v>30.813497840992284</v>
      </c>
      <c r="Q125">
        <v>34.287549252616351</v>
      </c>
      <c r="R125">
        <v>40.789187885184504</v>
      </c>
      <c r="S125">
        <v>47.128475843137174</v>
      </c>
      <c r="T125">
        <v>75.946230307620667</v>
      </c>
      <c r="U125">
        <v>124.139284116509</v>
      </c>
      <c r="V125">
        <v>191.88117790366405</v>
      </c>
      <c r="W125">
        <v>296.09772357884452</v>
      </c>
      <c r="X125">
        <v>370.98091639823019</v>
      </c>
      <c r="Y125">
        <v>406.6760354604321</v>
      </c>
      <c r="Z125">
        <v>449.26510193183333</v>
      </c>
      <c r="AA125">
        <v>505.29165144042656</v>
      </c>
      <c r="AB125">
        <v>524.49533593337435</v>
      </c>
      <c r="AC125">
        <v>544.64629461224456</v>
      </c>
      <c r="AD125">
        <v>565.78557541849784</v>
      </c>
      <c r="AE125">
        <v>583.12543111950026</v>
      </c>
      <c r="AF125">
        <v>596.08876759973282</v>
      </c>
      <c r="AG125">
        <v>607.72516261044689</v>
      </c>
      <c r="AH125">
        <v>620.95807806709786</v>
      </c>
      <c r="AI125">
        <v>635.85292350511872</v>
      </c>
      <c r="AJ125">
        <v>654.80778123294044</v>
      </c>
      <c r="AK125">
        <v>671.35497222355571</v>
      </c>
      <c r="AL125">
        <v>690.94593485268229</v>
      </c>
      <c r="AM125">
        <v>728.11960341496126</v>
      </c>
      <c r="AN125">
        <v>751.912379065697</v>
      </c>
      <c r="AO125">
        <v>793.11845434849238</v>
      </c>
      <c r="AP125">
        <v>854.13635355384906</v>
      </c>
      <c r="AQ125">
        <v>928.43907171948422</v>
      </c>
      <c r="AR125">
        <v>1002.8117580372015</v>
      </c>
      <c r="AS125">
        <v>1072.7453831555072</v>
      </c>
      <c r="AT125">
        <v>1134.8266981421737</v>
      </c>
      <c r="AU125">
        <v>1131.1811561895552</v>
      </c>
      <c r="AV125">
        <v>1127.1543742671731</v>
      </c>
      <c r="AW125">
        <v>1099.8019919444778</v>
      </c>
      <c r="AX125">
        <v>1063.8287733715233</v>
      </c>
      <c r="AY125">
        <v>1036.9251015765981</v>
      </c>
    </row>
    <row r="126" spans="1:51" x14ac:dyDescent="0.25">
      <c r="A126" t="s">
        <v>454</v>
      </c>
      <c r="B126" t="s">
        <v>455</v>
      </c>
      <c r="C126" t="s">
        <v>456</v>
      </c>
      <c r="D126" t="s">
        <v>70</v>
      </c>
      <c r="E126" t="s">
        <v>71</v>
      </c>
      <c r="F126" t="s">
        <v>70</v>
      </c>
      <c r="G126">
        <v>11583.4073540554</v>
      </c>
      <c r="H126">
        <v>1179.951368411771</v>
      </c>
      <c r="I126">
        <v>12763.358722467172</v>
      </c>
      <c r="K126">
        <v>17.949567521745507</v>
      </c>
      <c r="L126">
        <v>19.757036351328505</v>
      </c>
      <c r="M126">
        <v>21.591531099499733</v>
      </c>
      <c r="N126">
        <v>23.807822847966527</v>
      </c>
      <c r="O126">
        <v>27.040404416292873</v>
      </c>
      <c r="P126">
        <v>29.721244776160585</v>
      </c>
      <c r="Q126">
        <v>33.072150697411885</v>
      </c>
      <c r="R126">
        <v>39.343324266925642</v>
      </c>
      <c r="S126">
        <v>45.457902043104887</v>
      </c>
      <c r="T126">
        <v>73.254147012047582</v>
      </c>
      <c r="U126">
        <v>119.73889068367102</v>
      </c>
      <c r="V126">
        <v>185.07952215752616</v>
      </c>
      <c r="W126">
        <v>285.60188023974678</v>
      </c>
      <c r="X126">
        <v>357.83067149513516</v>
      </c>
      <c r="Y126">
        <v>392.26049755501663</v>
      </c>
      <c r="Z126">
        <v>433.33989970262849</v>
      </c>
      <c r="AA126">
        <v>487.38046337058483</v>
      </c>
      <c r="AB126">
        <v>505.90343049247264</v>
      </c>
      <c r="AC126">
        <v>525.34009355680814</v>
      </c>
      <c r="AD126">
        <v>545.73004546933714</v>
      </c>
      <c r="AE126">
        <v>562.45525136229469</v>
      </c>
      <c r="AF126">
        <v>574.95907350650316</v>
      </c>
      <c r="AG126">
        <v>586.18299057720435</v>
      </c>
      <c r="AH126">
        <v>598.94683587055317</v>
      </c>
      <c r="AI126">
        <v>613.31370033530618</v>
      </c>
      <c r="AJ126">
        <v>631.59666091099359</v>
      </c>
      <c r="AK126">
        <v>647.55729985980156</v>
      </c>
      <c r="AL126">
        <v>666.45381718170972</v>
      </c>
      <c r="AM126">
        <v>702.30978226132299</v>
      </c>
      <c r="AN126">
        <v>725.25916998318826</v>
      </c>
      <c r="AO126">
        <v>765.00460414534314</v>
      </c>
      <c r="AP126">
        <v>823.85958800234948</v>
      </c>
      <c r="AQ126">
        <v>895.5284808210364</v>
      </c>
      <c r="AR126">
        <v>967.26486161480807</v>
      </c>
      <c r="AS126">
        <v>1034.7195336209279</v>
      </c>
      <c r="AT126">
        <v>1094.6002381182275</v>
      </c>
      <c r="AU126">
        <v>1091.0839205201846</v>
      </c>
      <c r="AV126">
        <v>1087.199876852279</v>
      </c>
      <c r="AW126">
        <v>1060.8170606455949</v>
      </c>
      <c r="AX126">
        <v>1026.1189929315572</v>
      </c>
      <c r="AY126">
        <v>1000.1689817085304</v>
      </c>
    </row>
    <row r="127" spans="1:51" x14ac:dyDescent="0.25">
      <c r="A127" t="s">
        <v>457</v>
      </c>
      <c r="B127" t="s">
        <v>458</v>
      </c>
      <c r="C127" t="s">
        <v>459</v>
      </c>
      <c r="D127" t="s">
        <v>65</v>
      </c>
      <c r="E127" t="s">
        <v>66</v>
      </c>
      <c r="F127" t="s">
        <v>66</v>
      </c>
      <c r="G127">
        <v>238338.5989880198</v>
      </c>
      <c r="H127">
        <v>11969.839839256731</v>
      </c>
      <c r="I127">
        <v>250308.43882727652</v>
      </c>
      <c r="J127">
        <v>19489725</v>
      </c>
      <c r="K127">
        <v>188.38274849318117</v>
      </c>
      <c r="L127">
        <v>219.77987324204466</v>
      </c>
      <c r="M127">
        <v>263.73584789045361</v>
      </c>
      <c r="N127">
        <v>329.66980986306703</v>
      </c>
      <c r="O127">
        <v>433.28032153431661</v>
      </c>
      <c r="P127">
        <v>461.53773380829386</v>
      </c>
      <c r="Q127">
        <v>549.44968310511172</v>
      </c>
      <c r="R127">
        <v>605.96450765306611</v>
      </c>
      <c r="S127">
        <v>687.5970320001112</v>
      </c>
      <c r="T127">
        <v>919.93575514170129</v>
      </c>
      <c r="U127">
        <v>1221.3481527307911</v>
      </c>
      <c r="V127">
        <v>1572.9959499180627</v>
      </c>
      <c r="W127">
        <v>1971.7394342286293</v>
      </c>
      <c r="X127">
        <v>1974.8791467035157</v>
      </c>
      <c r="Y127">
        <v>2408.1594682378322</v>
      </c>
      <c r="Z127">
        <v>3007.8445509411258</v>
      </c>
      <c r="AA127">
        <v>3513.3382593978286</v>
      </c>
      <c r="AB127">
        <v>3698.5812954161229</v>
      </c>
      <c r="AC127">
        <v>3965.4568557814628</v>
      </c>
      <c r="AD127">
        <v>4241.7515535714629</v>
      </c>
      <c r="AE127">
        <v>4486.6491266125977</v>
      </c>
      <c r="AF127">
        <v>5036.0988097177096</v>
      </c>
      <c r="AG127">
        <v>5525.8939557999811</v>
      </c>
      <c r="AH127">
        <v>5667.1810171698662</v>
      </c>
      <c r="AI127">
        <v>5802.1886535899794</v>
      </c>
      <c r="AJ127">
        <v>5924.6374401105477</v>
      </c>
      <c r="AK127">
        <v>6147.5570258274784</v>
      </c>
      <c r="AL127">
        <v>6448.9694234165681</v>
      </c>
      <c r="AM127">
        <v>6860.2717576266805</v>
      </c>
      <c r="AN127">
        <v>7287.2726542112241</v>
      </c>
      <c r="AO127">
        <v>8084.7596228323582</v>
      </c>
      <c r="AP127">
        <v>8709.5624053347419</v>
      </c>
      <c r="AQ127">
        <v>9780.2043592709888</v>
      </c>
      <c r="AR127">
        <v>10806.890338558826</v>
      </c>
      <c r="AS127">
        <v>11337.50174681462</v>
      </c>
      <c r="AT127">
        <f>Sheet1!$AT127*_xlfn.XLOOKUP($A127,'[1]SSP4-change-rate'!$B$2:$B$147,'[1]SSP4-change-rate'!C$2:C$147)</f>
        <v>11657.767885816942</v>
      </c>
      <c r="AU127">
        <f>Sheet1!$AT127*_xlfn.XLOOKUP($A127,'[1]SSP4-change-rate'!$B$2:$B$147,'[1]SSP4-change-rate'!D$2:D$147)</f>
        <v>11622.674770311116</v>
      </c>
      <c r="AV127">
        <f>Sheet1!$AT127*_xlfn.XLOOKUP($A127,'[1]SSP4-change-rate'!$B$2:$B$147,'[1]SSP4-change-rate'!E$2:E$147)</f>
        <v>11571.223095633224</v>
      </c>
      <c r="AW127">
        <f>Sheet1!$AT127*_xlfn.XLOOKUP($A127,'[1]SSP4-change-rate'!$B$2:$B$147,'[1]SSP4-change-rate'!F$2:F$147)</f>
        <v>11415.449156907503</v>
      </c>
      <c r="AX127">
        <f>Sheet1!$AT127*_xlfn.XLOOKUP($A127,'[1]SSP4-change-rate'!$B$2:$B$147,'[1]SSP4-change-rate'!G$2:G$147)</f>
        <v>11216.00079802232</v>
      </c>
      <c r="AY127">
        <f>Sheet1!$AT127*_xlfn.XLOOKUP($A127,'[1]SSP4-change-rate'!$B$2:$B$147,'[1]SSP4-change-rate'!H$2:H$147)</f>
        <v>10968.396975873708</v>
      </c>
    </row>
    <row r="128" spans="1:51" x14ac:dyDescent="0.25">
      <c r="A128" t="s">
        <v>460</v>
      </c>
      <c r="B128" t="s">
        <v>461</v>
      </c>
      <c r="C128" t="s">
        <v>462</v>
      </c>
      <c r="D128" t="s">
        <v>81</v>
      </c>
      <c r="E128" t="s">
        <v>71</v>
      </c>
      <c r="F128" t="s">
        <v>82</v>
      </c>
      <c r="G128">
        <v>16925822.852334712</v>
      </c>
      <c r="H128">
        <v>73333.736012667738</v>
      </c>
      <c r="I128">
        <v>16999156.588347379</v>
      </c>
      <c r="J128">
        <v>145761661</v>
      </c>
      <c r="K128">
        <v>4310.3758157335496</v>
      </c>
      <c r="L128">
        <v>4310.3758157335496</v>
      </c>
      <c r="M128">
        <v>4310.3758157335496</v>
      </c>
      <c r="N128">
        <v>5188.3288529577176</v>
      </c>
      <c r="O128">
        <v>8631.0255499878058</v>
      </c>
      <c r="P128">
        <v>8631.0255499878058</v>
      </c>
      <c r="Q128">
        <v>9977.842868793392</v>
      </c>
      <c r="R128">
        <v>12885.361810153856</v>
      </c>
      <c r="S128">
        <v>12885.361810153856</v>
      </c>
      <c r="T128">
        <v>17238.701285155821</v>
      </c>
      <c r="U128">
        <v>22208.475871400289</v>
      </c>
      <c r="V128">
        <v>26984.913990936879</v>
      </c>
      <c r="W128">
        <v>31128.105132560719</v>
      </c>
      <c r="X128">
        <v>31455.936532630592</v>
      </c>
      <c r="Y128">
        <v>34836.055725943639</v>
      </c>
      <c r="Z128">
        <v>36100.681696583561</v>
      </c>
      <c r="AA128">
        <v>36593.82978557756</v>
      </c>
      <c r="AB128">
        <v>36932.869096760944</v>
      </c>
      <c r="AC128">
        <v>37294.324230171318</v>
      </c>
      <c r="AD128">
        <v>37680.063170994268</v>
      </c>
      <c r="AE128">
        <v>37933.175163640815</v>
      </c>
      <c r="AF128">
        <v>38215.240926663893</v>
      </c>
      <c r="AG128">
        <v>38404.841423000609</v>
      </c>
      <c r="AH128">
        <v>38648.613489719231</v>
      </c>
      <c r="AI128">
        <v>38896.121526809024</v>
      </c>
      <c r="AJ128">
        <v>39331.362075049939</v>
      </c>
      <c r="AK128">
        <v>39900.163564060065</v>
      </c>
      <c r="AL128">
        <v>40795.862460547272</v>
      </c>
      <c r="AM128">
        <v>41898.907712634238</v>
      </c>
      <c r="AN128">
        <v>43716.457298206828</v>
      </c>
      <c r="AO128">
        <v>46092.534454268825</v>
      </c>
      <c r="AP128">
        <v>48634.862291847756</v>
      </c>
      <c r="AQ128">
        <v>54604.008952379299</v>
      </c>
      <c r="AR128">
        <v>62117.979361388279</v>
      </c>
      <c r="AS128">
        <v>67454.813036599866</v>
      </c>
      <c r="AT128">
        <f>Sheet1!$AT128*_xlfn.XLOOKUP($A128,'[1]SSP4-change-rate'!$B$2:$B$147,'[1]SSP4-change-rate'!C$2:C$147)</f>
        <v>70661.814813215155</v>
      </c>
      <c r="AU128">
        <f>Sheet1!$AT128*_xlfn.XLOOKUP($A128,'[1]SSP4-change-rate'!$B$2:$B$147,'[1]SSP4-change-rate'!D$2:D$147)</f>
        <v>70568.617759573302</v>
      </c>
      <c r="AV128">
        <f>Sheet1!$AT128*_xlfn.XLOOKUP($A128,'[1]SSP4-change-rate'!$B$2:$B$147,'[1]SSP4-change-rate'!E$2:E$147)</f>
        <v>70443.315192362614</v>
      </c>
      <c r="AW128">
        <f>Sheet1!$AT128*_xlfn.XLOOKUP($A128,'[1]SSP4-change-rate'!$B$2:$B$147,'[1]SSP4-change-rate'!F$2:F$147)</f>
        <v>69889.826614929611</v>
      </c>
      <c r="AX128">
        <f>Sheet1!$AT128*_xlfn.XLOOKUP($A128,'[1]SSP4-change-rate'!$B$2:$B$147,'[1]SSP4-change-rate'!G$2:G$147)</f>
        <v>68967.180102014958</v>
      </c>
      <c r="AY128">
        <f>Sheet1!$AT128*_xlfn.XLOOKUP($A128,'[1]SSP4-change-rate'!$B$2:$B$147,'[1]SSP4-change-rate'!H$2:H$147)</f>
        <v>67363.265415278132</v>
      </c>
    </row>
    <row r="129" spans="1:51" x14ac:dyDescent="0.25">
      <c r="A129" t="s">
        <v>463</v>
      </c>
      <c r="B129" t="s">
        <v>464</v>
      </c>
      <c r="C129" t="s">
        <v>465</v>
      </c>
      <c r="D129" t="s">
        <v>98</v>
      </c>
      <c r="E129" t="s">
        <v>61</v>
      </c>
      <c r="F129" t="s">
        <v>61</v>
      </c>
      <c r="G129">
        <v>25279.224119407099</v>
      </c>
      <c r="H129">
        <v>617.84628894745856</v>
      </c>
      <c r="I129">
        <v>25897.070408354557</v>
      </c>
      <c r="J129">
        <v>12987329</v>
      </c>
      <c r="K129">
        <v>70.476762997808962</v>
      </c>
      <c r="L129">
        <v>70.476762997808962</v>
      </c>
      <c r="M129">
        <v>70.476762997808962</v>
      </c>
      <c r="N129">
        <v>70.476762997808962</v>
      </c>
      <c r="O129">
        <v>70.476762997808962</v>
      </c>
      <c r="P129">
        <v>70.476762997808962</v>
      </c>
      <c r="Q129">
        <v>70.476762997808962</v>
      </c>
      <c r="R129">
        <v>70.476762997808962</v>
      </c>
      <c r="S129">
        <v>70.476762997808962</v>
      </c>
      <c r="T129">
        <v>70.476762997808962</v>
      </c>
      <c r="U129">
        <v>82.222890164110453</v>
      </c>
      <c r="V129">
        <v>117.46127166301493</v>
      </c>
      <c r="W129">
        <v>140.95352599561792</v>
      </c>
      <c r="X129">
        <v>152.69965316191943</v>
      </c>
      <c r="Y129">
        <v>152.69965316191943</v>
      </c>
      <c r="Z129">
        <v>152.69965316191943</v>
      </c>
      <c r="AA129">
        <v>152.69965316191943</v>
      </c>
      <c r="AB129">
        <v>164.44578032822091</v>
      </c>
      <c r="AC129">
        <v>164.44578032822091</v>
      </c>
      <c r="AD129">
        <v>176.19190749452241</v>
      </c>
      <c r="AE129">
        <v>199.68416182712539</v>
      </c>
      <c r="AF129">
        <v>223.17641615972838</v>
      </c>
      <c r="AG129">
        <v>223.17641615972838</v>
      </c>
      <c r="AH129">
        <v>223.17641615972838</v>
      </c>
      <c r="AI129">
        <v>223.17641615972838</v>
      </c>
      <c r="AJ129">
        <v>234.92254332602985</v>
      </c>
      <c r="AK129">
        <v>234.92254332602985</v>
      </c>
      <c r="AL129">
        <v>270.16092482493434</v>
      </c>
      <c r="AM129">
        <v>270.16092482493434</v>
      </c>
      <c r="AN129">
        <v>281.90705199123585</v>
      </c>
      <c r="AO129">
        <v>281.90705199123585</v>
      </c>
      <c r="AP129">
        <v>317.14543349014031</v>
      </c>
      <c r="AQ129">
        <v>364.12994215534627</v>
      </c>
      <c r="AR129">
        <v>516.82959531726567</v>
      </c>
      <c r="AS129">
        <v>563.81410398247169</v>
      </c>
      <c r="AT129">
        <f>Sheet1!$AT129*_xlfn.XLOOKUP($A129,'[1]SSP4-change-rate'!$B$2:$B$147,'[1]SSP4-change-rate'!C$2:C$147)</f>
        <v>599.05248548137615</v>
      </c>
      <c r="AU129">
        <f>Sheet1!$AT129*_xlfn.XLOOKUP($A129,'[1]SSP4-change-rate'!$B$2:$B$147,'[1]SSP4-change-rate'!D$2:D$147)</f>
        <v>599.05248548137615</v>
      </c>
      <c r="AV129">
        <f>Sheet1!$AT129*_xlfn.XLOOKUP($A129,'[1]SSP4-change-rate'!$B$2:$B$147,'[1]SSP4-change-rate'!E$2:E$147)</f>
        <v>610.14605002732765</v>
      </c>
      <c r="AW129">
        <f>Sheet1!$AT129*_xlfn.XLOOKUP($A129,'[1]SSP4-change-rate'!$B$2:$B$147,'[1]SSP4-change-rate'!F$2:F$147)</f>
        <v>599.05248548137615</v>
      </c>
      <c r="AX129">
        <f>Sheet1!$AT129*_xlfn.XLOOKUP($A129,'[1]SSP4-change-rate'!$B$2:$B$147,'[1]SSP4-change-rate'!G$2:G$147)</f>
        <v>590.73231207191259</v>
      </c>
      <c r="AY129">
        <f>Sheet1!$AT129*_xlfn.XLOOKUP($A129,'[1]SSP4-change-rate'!$B$2:$B$147,'[1]SSP4-change-rate'!H$2:H$147)</f>
        <v>533.22254202188424</v>
      </c>
    </row>
    <row r="130" spans="1:51" x14ac:dyDescent="0.25">
      <c r="A130" t="s">
        <v>466</v>
      </c>
      <c r="B130" t="s">
        <v>467</v>
      </c>
      <c r="C130" t="s">
        <v>468</v>
      </c>
      <c r="D130" t="s">
        <v>70</v>
      </c>
      <c r="E130" t="s">
        <v>71</v>
      </c>
      <c r="F130" t="s">
        <v>70</v>
      </c>
      <c r="G130">
        <v>1923014.6741821959</v>
      </c>
      <c r="H130">
        <v>13063.24427496235</v>
      </c>
      <c r="I130">
        <v>1936077.9184571584</v>
      </c>
      <c r="J130">
        <v>36229969</v>
      </c>
      <c r="K130">
        <v>152.15866758295678</v>
      </c>
      <c r="L130">
        <v>152.15866758295678</v>
      </c>
      <c r="M130">
        <v>152.15866758295678</v>
      </c>
      <c r="N130">
        <v>162.0208034448151</v>
      </c>
      <c r="O130">
        <v>180.33619861683769</v>
      </c>
      <c r="P130">
        <v>193.01608758208408</v>
      </c>
      <c r="Q130">
        <v>212.74035930580072</v>
      </c>
      <c r="R130">
        <v>235.98682240875246</v>
      </c>
      <c r="S130">
        <v>262.05103861509224</v>
      </c>
      <c r="T130">
        <v>418.4363358531312</v>
      </c>
      <c r="U130">
        <v>855.89250515413198</v>
      </c>
      <c r="V130">
        <v>1944.9540796136284</v>
      </c>
      <c r="W130">
        <v>4027.9780612932727</v>
      </c>
      <c r="X130">
        <v>4421.7590574917585</v>
      </c>
      <c r="Y130">
        <v>4652.1103736937348</v>
      </c>
      <c r="Z130">
        <v>4826.1066278279495</v>
      </c>
      <c r="AA130">
        <v>4905.7081529986626</v>
      </c>
      <c r="AB130">
        <v>4940.2256285151661</v>
      </c>
      <c r="AC130">
        <v>4983.9008016176822</v>
      </c>
      <c r="AD130">
        <v>5059.2756971333138</v>
      </c>
      <c r="AE130">
        <v>5108.5863764426049</v>
      </c>
      <c r="AF130">
        <v>5205.7988585094945</v>
      </c>
      <c r="AG130">
        <v>5275.5382478183492</v>
      </c>
      <c r="AH130">
        <v>5384.0217422987907</v>
      </c>
      <c r="AI130">
        <v>5590.4221571219678</v>
      </c>
      <c r="AJ130">
        <v>5752.4429605667829</v>
      </c>
      <c r="AK130">
        <v>5932.0747209077736</v>
      </c>
      <c r="AL130">
        <v>6094.7999626284363</v>
      </c>
      <c r="AM130">
        <v>6440.6791560693246</v>
      </c>
      <c r="AN130">
        <v>6709.7745774428868</v>
      </c>
      <c r="AO130">
        <v>7168.3638950192981</v>
      </c>
      <c r="AP130">
        <v>8327.1648587876498</v>
      </c>
      <c r="AQ130">
        <v>9487.3746991076951</v>
      </c>
      <c r="AR130">
        <v>10577.140711843038</v>
      </c>
      <c r="AS130">
        <v>11788.774546299917</v>
      </c>
      <c r="AT130">
        <f>Sheet1!$AT130*_xlfn.XLOOKUP($A130,'[1]SSP4-change-rate'!$B$2:$B$147,'[1]SSP4-change-rate'!C$2:C$147)</f>
        <v>12629.436333833992</v>
      </c>
      <c r="AU130">
        <f>Sheet1!$AT130*_xlfn.XLOOKUP($A130,'[1]SSP4-change-rate'!$B$2:$B$147,'[1]SSP4-change-rate'!D$2:D$147)</f>
        <v>12741.603755553469</v>
      </c>
      <c r="AV130">
        <f>Sheet1!$AT130*_xlfn.XLOOKUP($A130,'[1]SSP4-change-rate'!$B$2:$B$147,'[1]SSP4-change-rate'!E$2:E$147)</f>
        <v>12890.399448908041</v>
      </c>
      <c r="AW130">
        <f>Sheet1!$AT130*_xlfn.XLOOKUP($A130,'[1]SSP4-change-rate'!$B$2:$B$147,'[1]SSP4-change-rate'!F$2:F$147)</f>
        <v>13195.18327824058</v>
      </c>
      <c r="AX130">
        <f>Sheet1!$AT130*_xlfn.XLOOKUP($A130,'[1]SSP4-change-rate'!$B$2:$B$147,'[1]SSP4-change-rate'!G$2:G$147)</f>
        <v>13601.517326750145</v>
      </c>
      <c r="AY130">
        <f>Sheet1!$AT130*_xlfn.XLOOKUP($A130,'[1]SSP4-change-rate'!$B$2:$B$147,'[1]SSP4-change-rate'!H$2:H$147)</f>
        <v>14086.946139249978</v>
      </c>
    </row>
    <row r="131" spans="1:51" x14ac:dyDescent="0.25">
      <c r="A131" t="s">
        <v>469</v>
      </c>
      <c r="B131" t="s">
        <v>470</v>
      </c>
      <c r="C131" t="s">
        <v>471</v>
      </c>
      <c r="D131" t="s">
        <v>98</v>
      </c>
      <c r="E131" t="s">
        <v>61</v>
      </c>
      <c r="F131" t="s">
        <v>61</v>
      </c>
      <c r="G131">
        <v>1872128.4262418479</v>
      </c>
      <c r="H131">
        <v>3445.9044134255969</v>
      </c>
      <c r="I131">
        <v>1875574.3306552735</v>
      </c>
      <c r="J131">
        <v>43828060</v>
      </c>
      <c r="K131">
        <v>108.83795867727096</v>
      </c>
      <c r="L131">
        <v>118.30212899703366</v>
      </c>
      <c r="M131">
        <v>130.13234189673705</v>
      </c>
      <c r="N131">
        <v>144.32859737638108</v>
      </c>
      <c r="O131">
        <v>160.89089543596577</v>
      </c>
      <c r="P131">
        <v>172.72110833566916</v>
      </c>
      <c r="Q131">
        <v>189.28340639525388</v>
      </c>
      <c r="R131">
        <v>210.57778961471993</v>
      </c>
      <c r="S131">
        <v>250.80051347371139</v>
      </c>
      <c r="T131">
        <v>359.63847215098235</v>
      </c>
      <c r="U131">
        <v>551.28792112617691</v>
      </c>
      <c r="V131">
        <v>664.85796496332921</v>
      </c>
      <c r="W131">
        <v>889.63201005769326</v>
      </c>
      <c r="X131">
        <v>981.90767067537945</v>
      </c>
      <c r="Y131">
        <v>1026.8624796942522</v>
      </c>
      <c r="Z131">
        <v>1093.111671932591</v>
      </c>
      <c r="AA131">
        <v>1133.3343957915824</v>
      </c>
      <c r="AB131">
        <v>1138.066480951464</v>
      </c>
      <c r="AC131">
        <v>1142.7985661113453</v>
      </c>
      <c r="AD131">
        <v>1156.9948215909894</v>
      </c>
      <c r="AE131">
        <v>1178.2892048104554</v>
      </c>
      <c r="AF131">
        <v>1237.4402693089721</v>
      </c>
      <c r="AG131">
        <v>1289.493206067667</v>
      </c>
      <c r="AH131">
        <v>1313.1536318670737</v>
      </c>
      <c r="AI131">
        <v>1322.6178021868363</v>
      </c>
      <c r="AJ131">
        <v>1405.42929248476</v>
      </c>
      <c r="AK131">
        <v>1445.6520163437515</v>
      </c>
      <c r="AL131">
        <v>1523.7314214817936</v>
      </c>
      <c r="AM131">
        <v>1734.3092110965135</v>
      </c>
      <c r="AN131">
        <v>1826.5848717141998</v>
      </c>
      <c r="AO131">
        <v>1987.4757671501657</v>
      </c>
      <c r="AP131">
        <v>2243.0083657837586</v>
      </c>
      <c r="AQ131">
        <v>2526.9334753766393</v>
      </c>
      <c r="AR131">
        <v>2791.9302443299944</v>
      </c>
      <c r="AS131">
        <v>3000.1419913647737</v>
      </c>
      <c r="AT131">
        <f>Sheet1!$AT131*_xlfn.XLOOKUP($A131,'[1]SSP4-change-rate'!$B$2:$B$147,'[1]SSP4-change-rate'!C$2:C$147)</f>
        <v>3271.6012045150142</v>
      </c>
      <c r="AU131">
        <f>Sheet1!$AT131*_xlfn.XLOOKUP($A131,'[1]SSP4-change-rate'!$B$2:$B$147,'[1]SSP4-change-rate'!D$2:D$147)</f>
        <v>3289.2366377199364</v>
      </c>
      <c r="AV131">
        <f>Sheet1!$AT131*_xlfn.XLOOKUP($A131,'[1]SSP4-change-rate'!$B$2:$B$147,'[1]SSP4-change-rate'!E$2:E$147)</f>
        <v>3305.8228971729154</v>
      </c>
      <c r="AW131">
        <f>Sheet1!$AT131*_xlfn.XLOOKUP($A131,'[1]SSP4-change-rate'!$B$2:$B$147,'[1]SSP4-change-rate'!F$2:F$147)</f>
        <v>3242.3601437459324</v>
      </c>
      <c r="AX131">
        <f>Sheet1!$AT131*_xlfn.XLOOKUP($A131,'[1]SSP4-change-rate'!$B$2:$B$147,'[1]SSP4-change-rate'!G$2:G$147)</f>
        <v>2927.3291587032327</v>
      </c>
      <c r="AY131">
        <f>Sheet1!$AT131*_xlfn.XLOOKUP($A131,'[1]SSP4-change-rate'!$B$2:$B$147,'[1]SSP4-change-rate'!H$2:H$147)</f>
        <v>2140.3517919018245</v>
      </c>
    </row>
    <row r="132" spans="1:51" x14ac:dyDescent="0.25">
      <c r="A132" t="s">
        <v>472</v>
      </c>
      <c r="B132" t="s">
        <v>473</v>
      </c>
      <c r="C132" t="s">
        <v>474</v>
      </c>
      <c r="D132" t="s">
        <v>105</v>
      </c>
      <c r="E132" t="s">
        <v>61</v>
      </c>
      <c r="F132" t="s">
        <v>61</v>
      </c>
      <c r="G132">
        <v>196889.70476695991</v>
      </c>
      <c r="H132">
        <v>1190.988182995543</v>
      </c>
      <c r="I132">
        <v>198080.69294995547</v>
      </c>
      <c r="J132">
        <v>16215468</v>
      </c>
      <c r="K132">
        <v>41.701266911608649</v>
      </c>
      <c r="L132">
        <v>41.701266911608649</v>
      </c>
      <c r="M132">
        <v>41.701266911608649</v>
      </c>
      <c r="N132">
        <v>45.871393602769508</v>
      </c>
      <c r="O132">
        <v>54.211646985091235</v>
      </c>
      <c r="P132">
        <v>54.211646985091235</v>
      </c>
      <c r="Q132">
        <v>58.381773676252102</v>
      </c>
      <c r="R132">
        <v>62.551900367412962</v>
      </c>
      <c r="S132">
        <v>70.892153749734689</v>
      </c>
      <c r="T132">
        <v>91.742787205539017</v>
      </c>
      <c r="U132">
        <v>129.27392742598678</v>
      </c>
      <c r="V132">
        <v>187.65570110223891</v>
      </c>
      <c r="W132">
        <v>241.86734808733013</v>
      </c>
      <c r="X132">
        <v>254.37772816081272</v>
      </c>
      <c r="Y132">
        <v>271.05823492545619</v>
      </c>
      <c r="Z132">
        <v>337.78026198403001</v>
      </c>
      <c r="AA132">
        <v>391.99190896912125</v>
      </c>
      <c r="AB132">
        <v>412.84254242492557</v>
      </c>
      <c r="AC132">
        <v>421.18279580724732</v>
      </c>
      <c r="AD132">
        <v>467.05418941001682</v>
      </c>
      <c r="AE132">
        <v>521.26583639510807</v>
      </c>
      <c r="AF132">
        <v>550.45672323323413</v>
      </c>
      <c r="AG132">
        <v>558.79697661555576</v>
      </c>
      <c r="AH132">
        <v>575.47748338019926</v>
      </c>
      <c r="AI132">
        <v>604.66837021832532</v>
      </c>
      <c r="AJ132">
        <v>625.51900367412964</v>
      </c>
      <c r="AK132">
        <v>654.7098905122557</v>
      </c>
      <c r="AL132">
        <v>692.24103073270351</v>
      </c>
      <c r="AM132">
        <v>758.96305779127738</v>
      </c>
      <c r="AN132">
        <v>767.30331117359901</v>
      </c>
      <c r="AO132">
        <v>775.64356455592076</v>
      </c>
      <c r="AP132">
        <v>783.98381793824251</v>
      </c>
      <c r="AQ132">
        <v>888.23698521726408</v>
      </c>
      <c r="AR132">
        <v>988.32002580512483</v>
      </c>
      <c r="AS132">
        <v>1067.5524329371813</v>
      </c>
      <c r="AT132">
        <f>Sheet1!$AT132*_xlfn.XLOOKUP($A132,'[1]SSP4-change-rate'!$B$2:$B$147,'[1]SSP4-change-rate'!C$2:C$147)</f>
        <v>1143.7267471623863</v>
      </c>
      <c r="AU132">
        <f>Sheet1!$AT132*_xlfn.XLOOKUP($A132,'[1]SSP4-change-rate'!$B$2:$B$147,'[1]SSP4-change-rate'!D$2:D$147)</f>
        <v>1161.0683448775444</v>
      </c>
      <c r="AV132">
        <f>Sheet1!$AT132*_xlfn.XLOOKUP($A132,'[1]SSP4-change-rate'!$B$2:$B$147,'[1]SSP4-change-rate'!E$2:E$147)</f>
        <v>1179.4810507926873</v>
      </c>
      <c r="AW132">
        <f>Sheet1!$AT132*_xlfn.XLOOKUP($A132,'[1]SSP4-change-rate'!$B$2:$B$147,'[1]SSP4-change-rate'!F$2:F$147)</f>
        <v>1205.8375174087364</v>
      </c>
      <c r="AX132">
        <f>Sheet1!$AT132*_xlfn.XLOOKUP($A132,'[1]SSP4-change-rate'!$B$2:$B$147,'[1]SSP4-change-rate'!G$2:G$147)</f>
        <v>1228.2751058517567</v>
      </c>
      <c r="AY132">
        <f>Sheet1!$AT132*_xlfn.XLOOKUP($A132,'[1]SSP4-change-rate'!$B$2:$B$147,'[1]SSP4-change-rate'!H$2:H$147)</f>
        <v>1241.1264018794132</v>
      </c>
    </row>
    <row r="133" spans="1:51" x14ac:dyDescent="0.25">
      <c r="A133" t="s">
        <v>475</v>
      </c>
      <c r="B133" t="s">
        <v>476</v>
      </c>
      <c r="C133" t="s">
        <v>477</v>
      </c>
      <c r="D133" t="s">
        <v>139</v>
      </c>
      <c r="E133" t="s">
        <v>55</v>
      </c>
      <c r="F133" t="s">
        <v>140</v>
      </c>
      <c r="G133">
        <v>697.02465893050862</v>
      </c>
      <c r="H133" t="e">
        <v>#N/A</v>
      </c>
      <c r="I133" t="e">
        <v>#N/A</v>
      </c>
      <c r="J133">
        <v>5893521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f>Sheet1!$AT133*_xlfn.XLOOKUP($A133,'[1]SSP4-change-rate'!$B$2:$B$147,'[1]SSP4-change-rate'!C$2:C$147)</f>
        <v>#N/A</v>
      </c>
      <c r="AU133" t="e">
        <f>Sheet1!$AT133*_xlfn.XLOOKUP($A133,'[1]SSP4-change-rate'!$B$2:$B$147,'[1]SSP4-change-rate'!D$2:D$147)</f>
        <v>#N/A</v>
      </c>
      <c r="AV133" t="e">
        <f>Sheet1!$AT133*_xlfn.XLOOKUP($A133,'[1]SSP4-change-rate'!$B$2:$B$147,'[1]SSP4-change-rate'!E$2:E$147)</f>
        <v>#N/A</v>
      </c>
      <c r="AW133" t="e">
        <f>Sheet1!$AT133*_xlfn.XLOOKUP($A133,'[1]SSP4-change-rate'!$B$2:$B$147,'[1]SSP4-change-rate'!F$2:F$147)</f>
        <v>#N/A</v>
      </c>
      <c r="AX133" t="e">
        <f>Sheet1!$AT133*_xlfn.XLOOKUP($A133,'[1]SSP4-change-rate'!$B$2:$B$147,'[1]SSP4-change-rate'!G$2:G$147)</f>
        <v>#N/A</v>
      </c>
      <c r="AY133" t="e">
        <f>Sheet1!$AT133*_xlfn.XLOOKUP($A133,'[1]SSP4-change-rate'!$B$2:$B$147,'[1]SSP4-change-rate'!H$2:H$147)</f>
        <v>#N/A</v>
      </c>
    </row>
    <row r="134" spans="1:51" x14ac:dyDescent="0.25">
      <c r="A134" t="s">
        <v>478</v>
      </c>
      <c r="B134" t="s">
        <v>479</v>
      </c>
      <c r="C134" t="s">
        <v>480</v>
      </c>
      <c r="D134" t="s">
        <v>105</v>
      </c>
      <c r="E134" t="s">
        <v>61</v>
      </c>
      <c r="F134" t="s">
        <v>61</v>
      </c>
      <c r="G134">
        <v>72601.139822537472</v>
      </c>
      <c r="H134">
        <v>587.21048817178848</v>
      </c>
      <c r="I134">
        <v>73188.350310709255</v>
      </c>
      <c r="K134">
        <v>30.441991755686026</v>
      </c>
      <c r="L134">
        <v>30.989650737359351</v>
      </c>
      <c r="M134">
        <v>31.641517045594288</v>
      </c>
      <c r="N134">
        <v>32.724257420293576</v>
      </c>
      <c r="O134">
        <v>34.10990031909428</v>
      </c>
      <c r="P134">
        <v>34.853268941289343</v>
      </c>
      <c r="Q134">
        <v>36.020836797088911</v>
      </c>
      <c r="R134">
        <v>37.601432092824339</v>
      </c>
      <c r="S134">
        <v>43.393632741034928</v>
      </c>
      <c r="T134">
        <v>52.227117851261937</v>
      </c>
      <c r="U134">
        <v>72.195717055279786</v>
      </c>
      <c r="V134">
        <v>97.81909925404274</v>
      </c>
      <c r="W134">
        <v>130.67339199624794</v>
      </c>
      <c r="X134">
        <v>141.6096305859966</v>
      </c>
      <c r="Y134">
        <v>163.55687262783107</v>
      </c>
      <c r="Z134">
        <v>187.30627999233596</v>
      </c>
      <c r="AA134">
        <v>204.79538981815867</v>
      </c>
      <c r="AB134">
        <v>209.33087957891959</v>
      </c>
      <c r="AC134">
        <v>218.78075590278698</v>
      </c>
      <c r="AD134">
        <v>228.31673933220381</v>
      </c>
      <c r="AE134">
        <v>235.23304140513804</v>
      </c>
      <c r="AF134">
        <v>244.1625596720576</v>
      </c>
      <c r="AG134">
        <v>251.86557046651197</v>
      </c>
      <c r="AH134">
        <v>257.80704029320555</v>
      </c>
      <c r="AI134">
        <v>264.32384328091882</v>
      </c>
      <c r="AJ134">
        <v>273.81250181077019</v>
      </c>
      <c r="AK134">
        <v>284.37947841602357</v>
      </c>
      <c r="AL134">
        <v>298.07489951978812</v>
      </c>
      <c r="AM134">
        <v>321.6463167217791</v>
      </c>
      <c r="AN134">
        <v>340.17173611441018</v>
      </c>
      <c r="AO134">
        <v>360.39886425917598</v>
      </c>
      <c r="AP134">
        <v>393.27934363964431</v>
      </c>
      <c r="AQ134">
        <v>441.92322505769471</v>
      </c>
      <c r="AR134">
        <v>496.25583110461184</v>
      </c>
      <c r="AS134">
        <v>541.0062766339787</v>
      </c>
      <c r="AT134">
        <v>575.82668250996403</v>
      </c>
      <c r="AU134">
        <v>577.39526804941238</v>
      </c>
      <c r="AV134">
        <v>578.85230177812412</v>
      </c>
      <c r="AW134">
        <v>568.19722170412138</v>
      </c>
      <c r="AX134">
        <v>514.44500780564931</v>
      </c>
      <c r="AY134">
        <v>388.31707271945021</v>
      </c>
    </row>
    <row r="135" spans="1:51" x14ac:dyDescent="0.25">
      <c r="A135" t="s">
        <v>481</v>
      </c>
      <c r="B135" t="s">
        <v>482</v>
      </c>
      <c r="C135" t="s">
        <v>483</v>
      </c>
      <c r="D135" t="s">
        <v>121</v>
      </c>
      <c r="E135" t="s">
        <v>76</v>
      </c>
      <c r="F135" t="s">
        <v>77</v>
      </c>
      <c r="G135">
        <v>20422.74853784217</v>
      </c>
      <c r="H135">
        <v>3222.6833281622298</v>
      </c>
      <c r="I135">
        <v>23645.431866004401</v>
      </c>
      <c r="J135">
        <v>6280916</v>
      </c>
      <c r="K135">
        <v>186.41696764495904</v>
      </c>
      <c r="L135">
        <v>198.06802812276899</v>
      </c>
      <c r="M135">
        <v>209.71908860057894</v>
      </c>
      <c r="N135">
        <v>233.02120955619878</v>
      </c>
      <c r="O135">
        <v>279.62545146743861</v>
      </c>
      <c r="P135">
        <v>349.53181433429819</v>
      </c>
      <c r="Q135">
        <v>361.18287481210814</v>
      </c>
      <c r="R135">
        <v>431.08923767896783</v>
      </c>
      <c r="S135">
        <v>524.29772150144731</v>
      </c>
      <c r="T135">
        <v>675.7615077129766</v>
      </c>
      <c r="U135">
        <v>932.08483822479513</v>
      </c>
      <c r="V135">
        <v>1316.5698339925232</v>
      </c>
      <c r="W135">
        <v>1724.3569507158713</v>
      </c>
      <c r="X135">
        <v>1864.1696764495903</v>
      </c>
      <c r="Y135">
        <v>2132.1440674392188</v>
      </c>
      <c r="Z135">
        <v>2376.8163374732276</v>
      </c>
      <c r="AA135">
        <v>2551.5822446403768</v>
      </c>
      <c r="AB135">
        <v>2586.5354260738068</v>
      </c>
      <c r="AC135">
        <v>2621.4886075072368</v>
      </c>
      <c r="AD135">
        <v>2679.7439098962864</v>
      </c>
      <c r="AE135">
        <v>2761.301333240956</v>
      </c>
      <c r="AF135">
        <v>2784.6034541965755</v>
      </c>
      <c r="AG135">
        <v>2807.9055751521955</v>
      </c>
      <c r="AH135">
        <v>2807.9055751521955</v>
      </c>
      <c r="AI135">
        <v>2807.9055751521955</v>
      </c>
      <c r="AJ135">
        <v>2854.5098170634355</v>
      </c>
      <c r="AK135">
        <v>2877.8119380190556</v>
      </c>
      <c r="AL135">
        <v>2912.7651194524851</v>
      </c>
      <c r="AM135">
        <v>2912.7651194524851</v>
      </c>
      <c r="AN135">
        <v>2936.0672404081051</v>
      </c>
      <c r="AO135">
        <v>2947.7183008859151</v>
      </c>
      <c r="AP135">
        <v>2959.3693613637251</v>
      </c>
      <c r="AQ135">
        <v>3075.8799661418243</v>
      </c>
      <c r="AR135">
        <v>3122.4842080530643</v>
      </c>
      <c r="AS135">
        <v>3134.1352685308743</v>
      </c>
      <c r="AT135">
        <f>Sheet1!$AT135*_xlfn.XLOOKUP($A135,'[1]SSP4-change-rate'!$B$2:$B$147,'[1]SSP4-change-rate'!C$2:C$147)</f>
        <v>3190.856274889924</v>
      </c>
      <c r="AU135">
        <f>Sheet1!$AT135*_xlfn.XLOOKUP($A135,'[1]SSP4-change-rate'!$B$2:$B$147,'[1]SSP4-change-rate'!D$2:D$147)</f>
        <v>3164.8084685642916</v>
      </c>
      <c r="AV135">
        <f>Sheet1!$AT135*_xlfn.XLOOKUP($A135,'[1]SSP4-change-rate'!$B$2:$B$147,'[1]SSP4-change-rate'!E$2:E$147)</f>
        <v>3126.52449515424</v>
      </c>
      <c r="AW135">
        <f>Sheet1!$AT135*_xlfn.XLOOKUP($A135,'[1]SSP4-change-rate'!$B$2:$B$147,'[1]SSP4-change-rate'!F$2:F$147)</f>
        <v>3101.5122991930057</v>
      </c>
      <c r="AX135">
        <f>Sheet1!$AT135*_xlfn.XLOOKUP($A135,'[1]SSP4-change-rate'!$B$2:$B$147,'[1]SSP4-change-rate'!G$2:G$147)</f>
        <v>3076.8971222152836</v>
      </c>
      <c r="AY135">
        <f>Sheet1!$AT135*_xlfn.XLOOKUP($A135,'[1]SSP4-change-rate'!$B$2:$B$147,'[1]SSP4-change-rate'!H$2:H$147)</f>
        <v>3052.6695858198877</v>
      </c>
    </row>
    <row r="136" spans="1:51" x14ac:dyDescent="0.25">
      <c r="A136" t="s">
        <v>484</v>
      </c>
      <c r="B136" t="s">
        <v>485</v>
      </c>
      <c r="C136" t="s">
        <v>486</v>
      </c>
      <c r="D136" t="s">
        <v>98</v>
      </c>
      <c r="E136" t="s">
        <v>61</v>
      </c>
      <c r="F136" t="s">
        <v>61</v>
      </c>
      <c r="G136">
        <v>633532.0589049554</v>
      </c>
      <c r="H136">
        <v>412.29182133967572</v>
      </c>
      <c r="I136">
        <v>633944.35072629503</v>
      </c>
      <c r="K136">
        <v>21.373910171862246</v>
      </c>
      <c r="L136">
        <v>21.75843211684677</v>
      </c>
      <c r="M136">
        <v>22.216120037798085</v>
      </c>
      <c r="N136">
        <v>22.976332959935426</v>
      </c>
      <c r="O136">
        <v>23.949219592549184</v>
      </c>
      <c r="P136">
        <v>24.471153054817158</v>
      </c>
      <c r="Q136">
        <v>25.29092498924561</v>
      </c>
      <c r="R136">
        <v>26.400691463799856</v>
      </c>
      <c r="S136">
        <v>30.467507372096371</v>
      </c>
      <c r="T136">
        <v>36.669667820918157</v>
      </c>
      <c r="U136">
        <v>50.690006866732318</v>
      </c>
      <c r="V136">
        <v>68.680678233147034</v>
      </c>
      <c r="W136">
        <v>91.748311503259742</v>
      </c>
      <c r="X136">
        <v>99.426855769065895</v>
      </c>
      <c r="Y136">
        <v>114.83643815405124</v>
      </c>
      <c r="Z136">
        <v>131.51135560747565</v>
      </c>
      <c r="AA136">
        <v>143.79079728800062</v>
      </c>
      <c r="AB136">
        <v>146.97525221821385</v>
      </c>
      <c r="AC136">
        <v>153.61019283913504</v>
      </c>
      <c r="AD136">
        <v>160.30559092137949</v>
      </c>
      <c r="AE136">
        <v>165.1616601436159</v>
      </c>
      <c r="AF136">
        <v>171.43124732591625</v>
      </c>
      <c r="AG136">
        <v>176.83967993094774</v>
      </c>
      <c r="AH136">
        <v>181.0113006114789</v>
      </c>
      <c r="AI136">
        <v>185.5868738126342</v>
      </c>
      <c r="AJ136">
        <v>192.24904416916601</v>
      </c>
      <c r="AK136">
        <v>199.6683224661148</v>
      </c>
      <c r="AL136">
        <v>209.28414204805836</v>
      </c>
      <c r="AM136">
        <v>225.83408917182831</v>
      </c>
      <c r="AN136">
        <v>238.84114380780534</v>
      </c>
      <c r="AO136">
        <v>253.04300101447836</v>
      </c>
      <c r="AP136">
        <v>276.1290204289154</v>
      </c>
      <c r="AQ136">
        <v>310.28282876656891</v>
      </c>
      <c r="AR136">
        <v>348.43080050146943</v>
      </c>
      <c r="AS136">
        <v>379.85095232898072</v>
      </c>
      <c r="AT136">
        <v>402.7060923678203</v>
      </c>
      <c r="AU136">
        <v>404.89733449835961</v>
      </c>
      <c r="AV136">
        <v>407.73055345274372</v>
      </c>
      <c r="AW136">
        <v>402.8615662837791</v>
      </c>
      <c r="AX136">
        <v>379.58403686715116</v>
      </c>
      <c r="AY136">
        <v>314.56779281450014</v>
      </c>
    </row>
    <row r="137" spans="1:51" x14ac:dyDescent="0.25">
      <c r="A137" t="s">
        <v>487</v>
      </c>
      <c r="B137" t="s">
        <v>488</v>
      </c>
      <c r="C137" t="s">
        <v>489</v>
      </c>
      <c r="D137" t="s">
        <v>65</v>
      </c>
      <c r="E137" t="s">
        <v>66</v>
      </c>
      <c r="F137" t="s">
        <v>66</v>
      </c>
      <c r="G137">
        <v>78231.644478324612</v>
      </c>
      <c r="H137">
        <v>3232.529132147421</v>
      </c>
      <c r="I137">
        <v>81464.173610472033</v>
      </c>
      <c r="J137">
        <v>7384063</v>
      </c>
      <c r="K137">
        <v>152.83269827580912</v>
      </c>
      <c r="L137">
        <v>191.62869091505297</v>
      </c>
      <c r="M137">
        <v>229.24904741371367</v>
      </c>
      <c r="N137">
        <v>264.51813163120812</v>
      </c>
      <c r="O137">
        <v>300.96285198928564</v>
      </c>
      <c r="P137">
        <v>300.96285198928564</v>
      </c>
      <c r="Q137">
        <v>300.96285198928564</v>
      </c>
      <c r="R137">
        <v>300.96285198928564</v>
      </c>
      <c r="S137">
        <v>300.96285198928564</v>
      </c>
      <c r="T137">
        <v>356.21775059669352</v>
      </c>
      <c r="U137">
        <v>485.5377260608397</v>
      </c>
      <c r="V137">
        <v>603.10134011915443</v>
      </c>
      <c r="W137">
        <v>680.69332539764218</v>
      </c>
      <c r="X137">
        <v>700.67913978755564</v>
      </c>
      <c r="Y137">
        <v>779.44676120662643</v>
      </c>
      <c r="Z137">
        <v>893.48346684319176</v>
      </c>
      <c r="AA137">
        <v>978.12926896517843</v>
      </c>
      <c r="AB137">
        <v>1028.6816230102538</v>
      </c>
      <c r="AC137">
        <v>1073.3557963524133</v>
      </c>
      <c r="AD137">
        <v>1103.922336007575</v>
      </c>
      <c r="AE137">
        <v>1126.259422678655</v>
      </c>
      <c r="AF137">
        <v>1163.8797791773156</v>
      </c>
      <c r="AG137">
        <v>1200.3244995353932</v>
      </c>
      <c r="AH137">
        <v>1253.2281258616347</v>
      </c>
      <c r="AI137">
        <v>1284.9703016573797</v>
      </c>
      <c r="AJ137">
        <v>1327.2932027183729</v>
      </c>
      <c r="AK137">
        <v>1380.1968290446146</v>
      </c>
      <c r="AL137">
        <v>1454.261905901353</v>
      </c>
      <c r="AM137">
        <v>1583.5818813654992</v>
      </c>
      <c r="AN137">
        <v>1708.1993122673125</v>
      </c>
      <c r="AO137">
        <v>1962.1367186332725</v>
      </c>
      <c r="AP137">
        <v>2127.9014144554963</v>
      </c>
      <c r="AQ137">
        <v>2403.0002713519525</v>
      </c>
      <c r="AR137">
        <v>2709.8413040441537</v>
      </c>
      <c r="AS137">
        <v>2857.9714577576306</v>
      </c>
      <c r="AT137">
        <f>Sheet1!$AT137*_xlfn.XLOOKUP($A137,'[1]SSP4-change-rate'!$B$2:$B$147,'[1]SSP4-change-rate'!C$2:C$147)</f>
        <v>3041.0914821052133</v>
      </c>
      <c r="AU137">
        <f>Sheet1!$AT137*_xlfn.XLOOKUP($A137,'[1]SSP4-change-rate'!$B$2:$B$147,'[1]SSP4-change-rate'!D$2:D$147)</f>
        <v>3028.9464525172234</v>
      </c>
      <c r="AV137">
        <f>Sheet1!$AT137*_xlfn.XLOOKUP($A137,'[1]SSP4-change-rate'!$B$2:$B$147,'[1]SSP4-change-rate'!E$2:E$147)</f>
        <v>3011.1724724192554</v>
      </c>
      <c r="AW137">
        <f>Sheet1!$AT137*_xlfn.XLOOKUP($A137,'[1]SSP4-change-rate'!$B$2:$B$147,'[1]SSP4-change-rate'!F$2:F$147)</f>
        <v>2953.0256936415044</v>
      </c>
      <c r="AX137">
        <f>Sheet1!$AT137*_xlfn.XLOOKUP($A137,'[1]SSP4-change-rate'!$B$2:$B$147,'[1]SSP4-change-rate'!G$2:G$147)</f>
        <v>2875.2594442198588</v>
      </c>
      <c r="AY137">
        <f>Sheet1!$AT137*_xlfn.XLOOKUP($A137,'[1]SSP4-change-rate'!$B$2:$B$147,'[1]SSP4-change-rate'!H$2:H$147)</f>
        <v>2791.6052370427642</v>
      </c>
    </row>
    <row r="138" spans="1:51" x14ac:dyDescent="0.25">
      <c r="A138" t="s">
        <v>490</v>
      </c>
      <c r="B138" t="s">
        <v>491</v>
      </c>
      <c r="C138" t="s">
        <v>492</v>
      </c>
      <c r="D138" t="s">
        <v>98</v>
      </c>
      <c r="E138" t="s">
        <v>61</v>
      </c>
      <c r="F138" t="s">
        <v>61</v>
      </c>
      <c r="G138">
        <v>628102.11105371732</v>
      </c>
      <c r="H138">
        <v>465.93788648962942</v>
      </c>
      <c r="I138">
        <v>628568.04894020699</v>
      </c>
      <c r="K138">
        <v>24.155013551170629</v>
      </c>
      <c r="L138">
        <v>24.589568235696767</v>
      </c>
      <c r="M138">
        <v>25.106809014005087</v>
      </c>
      <c r="N138">
        <v>25.965938358535436</v>
      </c>
      <c r="O138">
        <v>27.065413822106663</v>
      </c>
      <c r="P138">
        <v>27.655259561726606</v>
      </c>
      <c r="Q138">
        <v>28.581697542693536</v>
      </c>
      <c r="R138">
        <v>29.835863206156564</v>
      </c>
      <c r="S138">
        <v>34.43183991725639</v>
      </c>
      <c r="T138">
        <v>41.441005225953482</v>
      </c>
      <c r="U138">
        <v>57.28562499466009</v>
      </c>
      <c r="V138">
        <v>77.617183757477818</v>
      </c>
      <c r="W138">
        <v>103.68630212434236</v>
      </c>
      <c r="X138">
        <v>112.36395349007051</v>
      </c>
      <c r="Y138">
        <v>129.77858040364336</v>
      </c>
      <c r="Z138">
        <v>148.6231836518765</v>
      </c>
      <c r="AA138">
        <v>162.50038617630571</v>
      </c>
      <c r="AB138">
        <v>166.09919198085407</v>
      </c>
      <c r="AC138">
        <v>173.59744940408154</v>
      </c>
      <c r="AD138">
        <v>181.16403081603133</v>
      </c>
      <c r="AE138">
        <v>186.65195590439259</v>
      </c>
      <c r="AF138">
        <v>193.73732129289678</v>
      </c>
      <c r="AG138">
        <v>199.84948148327277</v>
      </c>
      <c r="AH138">
        <v>204.56389982125319</v>
      </c>
      <c r="AI138">
        <v>209.73483166243673</v>
      </c>
      <c r="AJ138">
        <v>217.26386186553376</v>
      </c>
      <c r="AK138">
        <v>225.64851242136089</v>
      </c>
      <c r="AL138">
        <v>236.51551103976209</v>
      </c>
      <c r="AM138">
        <v>255.21888322722882</v>
      </c>
      <c r="AN138">
        <v>269.91837332831722</v>
      </c>
      <c r="AO138">
        <v>285.96812980809233</v>
      </c>
      <c r="AP138">
        <v>312.05802666432714</v>
      </c>
      <c r="AQ138">
        <v>350.6558169884467</v>
      </c>
      <c r="AR138">
        <v>393.76747820517915</v>
      </c>
      <c r="AS138">
        <v>429.27591756282658</v>
      </c>
      <c r="AT138">
        <v>455.10489377321795</v>
      </c>
      <c r="AU138">
        <v>457.58125317266712</v>
      </c>
      <c r="AV138">
        <v>460.78312132343137</v>
      </c>
      <c r="AW138">
        <v>455.28059744730666</v>
      </c>
      <c r="AX138">
        <v>428.97427193291287</v>
      </c>
      <c r="AY138">
        <v>355.49832656258701</v>
      </c>
    </row>
    <row r="139" spans="1:51" x14ac:dyDescent="0.25">
      <c r="A139" t="s">
        <v>493</v>
      </c>
      <c r="B139" t="s">
        <v>494</v>
      </c>
      <c r="C139" t="s">
        <v>495</v>
      </c>
      <c r="D139" t="s">
        <v>75</v>
      </c>
      <c r="E139" t="s">
        <v>76</v>
      </c>
      <c r="F139" t="s">
        <v>77</v>
      </c>
      <c r="G139">
        <v>146425.54979208051</v>
      </c>
      <c r="H139">
        <v>311.94428654963042</v>
      </c>
      <c r="I139">
        <v>146737.49407863014</v>
      </c>
      <c r="J139">
        <v>603807</v>
      </c>
      <c r="K139">
        <v>25.799903398841611</v>
      </c>
      <c r="L139">
        <v>28.145349162372668</v>
      </c>
      <c r="M139">
        <v>30.490794925903725</v>
      </c>
      <c r="N139">
        <v>32.836240689434781</v>
      </c>
      <c r="O139">
        <v>32.836240689434781</v>
      </c>
      <c r="P139">
        <v>32.836240689434781</v>
      </c>
      <c r="Q139">
        <v>32.836240689434781</v>
      </c>
      <c r="R139">
        <v>32.836240689434781</v>
      </c>
      <c r="S139">
        <v>32.836240689434781</v>
      </c>
      <c r="T139">
        <v>32.836240689434781</v>
      </c>
      <c r="U139">
        <v>37.527132216496888</v>
      </c>
      <c r="V139">
        <v>44.563469507090055</v>
      </c>
      <c r="W139">
        <v>60.981589851807449</v>
      </c>
      <c r="X139">
        <v>63.327035615338502</v>
      </c>
      <c r="Y139">
        <v>63.327035615338502</v>
      </c>
      <c r="Z139">
        <v>63.327035615338502</v>
      </c>
      <c r="AA139">
        <v>68.017927142400609</v>
      </c>
      <c r="AB139">
        <v>68.017927142400609</v>
      </c>
      <c r="AC139">
        <v>72.70881866946273</v>
      </c>
      <c r="AD139">
        <v>72.70881866946273</v>
      </c>
      <c r="AE139">
        <v>93.81783054124223</v>
      </c>
      <c r="AF139">
        <v>105.5450593588975</v>
      </c>
      <c r="AG139">
        <v>105.5450593588975</v>
      </c>
      <c r="AH139">
        <v>107.89050512242856</v>
      </c>
      <c r="AI139">
        <v>107.89050512242856</v>
      </c>
      <c r="AJ139">
        <v>110.23595088595961</v>
      </c>
      <c r="AK139">
        <v>112.58139664949067</v>
      </c>
      <c r="AL139">
        <v>117.27228817655278</v>
      </c>
      <c r="AM139">
        <v>138.38130004833229</v>
      </c>
      <c r="AN139">
        <v>150.10852886598755</v>
      </c>
      <c r="AO139">
        <v>175.9084322648292</v>
      </c>
      <c r="AP139">
        <v>218.1264560083882</v>
      </c>
      <c r="AQ139">
        <v>257.9990339884161</v>
      </c>
      <c r="AR139">
        <v>267.38081704254034</v>
      </c>
      <c r="AS139">
        <v>272.07170856960244</v>
      </c>
      <c r="AT139">
        <f>Sheet1!$AT139*_xlfn.XLOOKUP($A139,'[1]SSP4-change-rate'!$B$2:$B$147,'[1]SSP4-change-rate'!C$2:C$147)</f>
        <v>293.18072044138199</v>
      </c>
      <c r="AU139">
        <f>Sheet1!$AT139*_xlfn.XLOOKUP($A139,'[1]SSP4-change-rate'!$B$2:$B$147,'[1]SSP4-change-rate'!D$2:D$147)</f>
        <v>290.653300437577</v>
      </c>
      <c r="AV139">
        <f>Sheet1!$AT139*_xlfn.XLOOKUP($A139,'[1]SSP4-change-rate'!$B$2:$B$147,'[1]SSP4-change-rate'!E$2:E$147)</f>
        <v>286.36256415204753</v>
      </c>
      <c r="AW139">
        <f>Sheet1!$AT139*_xlfn.XLOOKUP($A139,'[1]SSP4-change-rate'!$B$2:$B$147,'[1]SSP4-change-rate'!F$2:F$147)</f>
        <v>280.27339312635257</v>
      </c>
      <c r="AX139">
        <f>Sheet1!$AT139*_xlfn.XLOOKUP($A139,'[1]SSP4-change-rate'!$B$2:$B$147,'[1]SSP4-change-rate'!G$2:G$147)</f>
        <v>268.00863838328354</v>
      </c>
      <c r="AY139">
        <f>Sheet1!$AT139*_xlfn.XLOOKUP($A139,'[1]SSP4-change-rate'!$B$2:$B$147,'[1]SSP4-change-rate'!H$2:H$147)</f>
        <v>254.41302187062072</v>
      </c>
    </row>
    <row r="140" spans="1:51" x14ac:dyDescent="0.25">
      <c r="A140" t="s">
        <v>496</v>
      </c>
      <c r="B140" t="s">
        <v>497</v>
      </c>
      <c r="C140" t="s">
        <v>498</v>
      </c>
      <c r="D140" t="s">
        <v>65</v>
      </c>
      <c r="E140" t="s">
        <v>66</v>
      </c>
      <c r="F140" t="s">
        <v>66</v>
      </c>
      <c r="G140">
        <v>49095.707165109518</v>
      </c>
      <c r="H140">
        <v>3209.6741903734628</v>
      </c>
      <c r="I140">
        <v>52305.381355482983</v>
      </c>
      <c r="J140">
        <v>5457542</v>
      </c>
      <c r="K140">
        <v>175.11862301336117</v>
      </c>
      <c r="L140">
        <v>176.90554773798732</v>
      </c>
      <c r="M140">
        <v>203.70941860737935</v>
      </c>
      <c r="N140">
        <v>269.82563341854632</v>
      </c>
      <c r="O140">
        <v>402.05806304088026</v>
      </c>
      <c r="P140">
        <v>421.71423501176776</v>
      </c>
      <c r="Q140">
        <v>475.32197675055176</v>
      </c>
      <c r="R140">
        <v>493.19122399681316</v>
      </c>
      <c r="S140">
        <v>518.20817014157899</v>
      </c>
      <c r="T140">
        <v>670.09677173480043</v>
      </c>
      <c r="U140">
        <v>913.11853428395466</v>
      </c>
      <c r="V140">
        <v>1283.0119522815646</v>
      </c>
      <c r="W140">
        <v>1517.0990912075881</v>
      </c>
      <c r="X140">
        <v>1527.820639555345</v>
      </c>
      <c r="Y140">
        <v>1674.3484669746879</v>
      </c>
      <c r="Z140">
        <v>1828.0239932925354</v>
      </c>
      <c r="AA140">
        <v>1894.1402081037024</v>
      </c>
      <c r="AB140">
        <v>1931.6656273208514</v>
      </c>
      <c r="AC140">
        <v>1970.9779712626262</v>
      </c>
      <c r="AD140">
        <v>2008.5033904797751</v>
      </c>
      <c r="AE140">
        <v>2063.8980569431851</v>
      </c>
      <c r="AF140">
        <v>2090.7019278125777</v>
      </c>
      <c r="AG140">
        <v>2124.6534975804739</v>
      </c>
      <c r="AH140">
        <v>2142.5227448267351</v>
      </c>
      <c r="AI140">
        <v>2149.6704437252397</v>
      </c>
      <c r="AJ140">
        <v>2158.6050673483705</v>
      </c>
      <c r="AK140">
        <v>2171.1135404207535</v>
      </c>
      <c r="AL140">
        <v>2208.6389596379022</v>
      </c>
      <c r="AM140">
        <v>2247.9513035796772</v>
      </c>
      <c r="AN140">
        <v>2278.3290238983213</v>
      </c>
      <c r="AO140">
        <v>2373.0360343035063</v>
      </c>
      <c r="AP140">
        <v>2451.6607221870568</v>
      </c>
      <c r="AQ140">
        <v>2662.5178396929405</v>
      </c>
      <c r="AR140">
        <v>2898.39190334359</v>
      </c>
      <c r="AS140">
        <v>3094.953623052465</v>
      </c>
      <c r="AT140">
        <f>Sheet1!$AT140*_xlfn.XLOOKUP($A140,'[1]SSP4-change-rate'!$B$2:$B$147,'[1]SSP4-change-rate'!C$2:C$147)</f>
        <v>3162.0114299320444</v>
      </c>
      <c r="AU140">
        <f>Sheet1!$AT140*_xlfn.XLOOKUP($A140,'[1]SSP4-change-rate'!$B$2:$B$147,'[1]SSP4-change-rate'!D$2:D$147)</f>
        <v>3152.9269115847133</v>
      </c>
      <c r="AV140">
        <f>Sheet1!$AT140*_xlfn.XLOOKUP($A140,'[1]SSP4-change-rate'!$B$2:$B$147,'[1]SSP4-change-rate'!E$2:E$147)</f>
        <v>3141.3175765443448</v>
      </c>
      <c r="AW140">
        <f>Sheet1!$AT140*_xlfn.XLOOKUP($A140,'[1]SSP4-change-rate'!$B$2:$B$147,'[1]SSP4-change-rate'!F$2:F$147)</f>
        <v>3115.9463033416796</v>
      </c>
      <c r="AX140">
        <f>Sheet1!$AT140*_xlfn.XLOOKUP($A140,'[1]SSP4-change-rate'!$B$2:$B$147,'[1]SSP4-change-rate'!G$2:G$147)</f>
        <v>3083.5812713098976</v>
      </c>
      <c r="AY140">
        <f>Sheet1!$AT140*_xlfn.XLOOKUP($A140,'[1]SSP4-change-rate'!$B$2:$B$147,'[1]SSP4-change-rate'!H$2:H$147)</f>
        <v>3042.0374443889259</v>
      </c>
    </row>
    <row r="141" spans="1:51" x14ac:dyDescent="0.25">
      <c r="A141" t="s">
        <v>499</v>
      </c>
      <c r="B141" t="s">
        <v>500</v>
      </c>
      <c r="C141" t="s">
        <v>501</v>
      </c>
      <c r="D141" t="s">
        <v>65</v>
      </c>
      <c r="E141" t="s">
        <v>66</v>
      </c>
      <c r="F141" t="s">
        <v>66</v>
      </c>
      <c r="G141">
        <v>19956.762000219151</v>
      </c>
      <c r="H141">
        <v>837.22181462520678</v>
      </c>
      <c r="I141">
        <v>20793.983814844356</v>
      </c>
      <c r="J141">
        <v>2116256</v>
      </c>
      <c r="K141">
        <v>71.90156429278656</v>
      </c>
      <c r="L141">
        <v>94.910064866478251</v>
      </c>
      <c r="M141">
        <v>122.23265929773716</v>
      </c>
      <c r="N141">
        <v>158.18344144413044</v>
      </c>
      <c r="O141">
        <v>207.07650516322528</v>
      </c>
      <c r="P141">
        <v>237.27516216619566</v>
      </c>
      <c r="Q141">
        <v>264.59775659745458</v>
      </c>
      <c r="R141">
        <v>273.22594431258892</v>
      </c>
      <c r="S141">
        <v>276.10200688430041</v>
      </c>
      <c r="T141">
        <v>277.54003817015609</v>
      </c>
      <c r="U141">
        <v>278.97806945601189</v>
      </c>
      <c r="V141">
        <v>296.23444488628064</v>
      </c>
      <c r="W141">
        <v>322.11900803168379</v>
      </c>
      <c r="X141">
        <v>327.87113317510671</v>
      </c>
      <c r="Y141">
        <v>371.01207175077866</v>
      </c>
      <c r="Z141">
        <v>412.71497904059487</v>
      </c>
      <c r="AA141">
        <v>421.34316675572921</v>
      </c>
      <c r="AB141">
        <v>431.4093857567193</v>
      </c>
      <c r="AC141">
        <v>444.35166732942093</v>
      </c>
      <c r="AD141">
        <v>465.92213661725691</v>
      </c>
      <c r="AE141">
        <v>484.61654333338146</v>
      </c>
      <c r="AF141">
        <v>494.68276233437155</v>
      </c>
      <c r="AG141">
        <v>501.8729187636502</v>
      </c>
      <c r="AH141">
        <v>511.93913776464029</v>
      </c>
      <c r="AI141">
        <v>514.81520033635184</v>
      </c>
      <c r="AJ141">
        <v>524.88141933734187</v>
      </c>
      <c r="AK141">
        <v>527.75748190905335</v>
      </c>
      <c r="AL141">
        <v>547.88991991103353</v>
      </c>
      <c r="AM141">
        <v>555.08007634031219</v>
      </c>
      <c r="AN141">
        <v>562.27023276959085</v>
      </c>
      <c r="AO141">
        <v>602.53510877355131</v>
      </c>
      <c r="AP141">
        <v>677.31273563804939</v>
      </c>
      <c r="AQ141">
        <v>744.90020607326869</v>
      </c>
      <c r="AR141">
        <v>783.72705079137359</v>
      </c>
      <c r="AS141">
        <v>800.98342622164228</v>
      </c>
      <c r="AT141">
        <f>Sheet1!$AT141*_xlfn.XLOOKUP($A141,'[1]SSP4-change-rate'!$B$2:$B$147,'[1]SSP4-change-rate'!C$2:C$147)</f>
        <v>821.11586422362245</v>
      </c>
      <c r="AU141">
        <f>Sheet1!$AT141*_xlfn.XLOOKUP($A141,'[1]SSP4-change-rate'!$B$2:$B$147,'[1]SSP4-change-rate'!D$2:D$147)</f>
        <v>818.84758835560137</v>
      </c>
      <c r="AV141">
        <f>Sheet1!$AT141*_xlfn.XLOOKUP($A141,'[1]SSP4-change-rate'!$B$2:$B$147,'[1]SSP4-change-rate'!E$2:E$147)</f>
        <v>818.92036726045762</v>
      </c>
      <c r="AW141">
        <f>Sheet1!$AT141*_xlfn.XLOOKUP($A141,'[1]SSP4-change-rate'!$B$2:$B$147,'[1]SSP4-change-rate'!F$2:F$147)</f>
        <v>819.05275903713095</v>
      </c>
      <c r="AX141">
        <f>Sheet1!$AT141*_xlfn.XLOOKUP($A141,'[1]SSP4-change-rate'!$B$2:$B$147,'[1]SSP4-change-rate'!G$2:G$147)</f>
        <v>817.27887420388595</v>
      </c>
      <c r="AY141">
        <f>Sheet1!$AT141*_xlfn.XLOOKUP($A141,'[1]SSP4-change-rate'!$B$2:$B$147,'[1]SSP4-change-rate'!H$2:H$147)</f>
        <v>817.56892744511867</v>
      </c>
    </row>
    <row r="142" spans="1:51" x14ac:dyDescent="0.25">
      <c r="A142" t="s">
        <v>502</v>
      </c>
      <c r="B142" t="s">
        <v>503</v>
      </c>
      <c r="C142" t="s">
        <v>504</v>
      </c>
      <c r="D142" t="s">
        <v>91</v>
      </c>
      <c r="E142" t="s">
        <v>66</v>
      </c>
      <c r="F142" t="s">
        <v>66</v>
      </c>
      <c r="G142">
        <v>450047.27850558591</v>
      </c>
      <c r="H142">
        <v>11095.874757339399</v>
      </c>
      <c r="I142">
        <v>461143.15326292533</v>
      </c>
      <c r="J142">
        <v>10321414</v>
      </c>
      <c r="K142">
        <v>1696.2715900264416</v>
      </c>
      <c r="L142">
        <v>1964.4754197948387</v>
      </c>
      <c r="M142">
        <v>2159.7466291876194</v>
      </c>
      <c r="N142">
        <v>2443.2427825831619</v>
      </c>
      <c r="O142">
        <v>2757.3235832329951</v>
      </c>
      <c r="P142">
        <v>2973.7687791864382</v>
      </c>
      <c r="Q142">
        <v>3220.7986223941725</v>
      </c>
      <c r="R142">
        <v>3413.7171666135464</v>
      </c>
      <c r="S142">
        <v>3881.8975361215375</v>
      </c>
      <c r="T142">
        <v>4407.7182023780006</v>
      </c>
      <c r="U142">
        <v>5327.6102851801343</v>
      </c>
      <c r="V142">
        <v>5708.7420432720673</v>
      </c>
      <c r="W142">
        <v>5932.245234745732</v>
      </c>
      <c r="X142">
        <v>6347.4906378520654</v>
      </c>
      <c r="Y142">
        <v>6932.127933443704</v>
      </c>
      <c r="Z142">
        <v>7350.902334310148</v>
      </c>
      <c r="AA142">
        <v>7500.2965728214931</v>
      </c>
      <c r="AB142">
        <v>7561.4658673300737</v>
      </c>
      <c r="AC142">
        <v>7615.577166318435</v>
      </c>
      <c r="AD142">
        <v>7656.7488068530574</v>
      </c>
      <c r="AE142">
        <v>7677.9227934137198</v>
      </c>
      <c r="AF142">
        <v>7692.0387844541629</v>
      </c>
      <c r="AG142">
        <v>7703.8021103211977</v>
      </c>
      <c r="AH142">
        <v>7715.5654361882325</v>
      </c>
      <c r="AI142">
        <v>7730.857759815377</v>
      </c>
      <c r="AJ142">
        <v>7768.5004025898897</v>
      </c>
      <c r="AK142">
        <v>7847.3146858990231</v>
      </c>
      <c r="AL142">
        <v>7949.6556209422279</v>
      </c>
      <c r="AM142">
        <v>8055.5255537455423</v>
      </c>
      <c r="AN142">
        <v>8126.1055089477513</v>
      </c>
      <c r="AO142">
        <v>8294.3210688463514</v>
      </c>
      <c r="AP142">
        <v>8620.1651953632208</v>
      </c>
      <c r="AQ142">
        <v>9494.1803072839175</v>
      </c>
      <c r="AR142">
        <v>10548.174304970251</v>
      </c>
      <c r="AS142">
        <v>10926.953397888778</v>
      </c>
      <c r="AT142">
        <f>Sheet1!$AT142*_xlfn.XLOOKUP($A142,'[1]SSP4-change-rate'!$B$2:$B$147,'[1]SSP4-change-rate'!C$2:C$147)</f>
        <v>10768.796093369354</v>
      </c>
      <c r="AU142">
        <f>Sheet1!$AT142*_xlfn.XLOOKUP($A142,'[1]SSP4-change-rate'!$B$2:$B$147,'[1]SSP4-change-rate'!D$2:D$147)</f>
        <v>10743.781327901184</v>
      </c>
      <c r="AV142">
        <f>Sheet1!$AT142*_xlfn.XLOOKUP($A142,'[1]SSP4-change-rate'!$B$2:$B$147,'[1]SSP4-change-rate'!E$2:E$147)</f>
        <v>10706.823288537451</v>
      </c>
      <c r="AW142">
        <f>Sheet1!$AT142*_xlfn.XLOOKUP($A142,'[1]SSP4-change-rate'!$B$2:$B$147,'[1]SSP4-change-rate'!F$2:F$147)</f>
        <v>10647.153591749066</v>
      </c>
      <c r="AX142">
        <f>Sheet1!$AT142*_xlfn.XLOOKUP($A142,'[1]SSP4-change-rate'!$B$2:$B$147,'[1]SSP4-change-rate'!G$2:G$147)</f>
        <v>10574.405463483497</v>
      </c>
      <c r="AY142">
        <f>Sheet1!$AT142*_xlfn.XLOOKUP($A142,'[1]SSP4-change-rate'!$B$2:$B$147,'[1]SSP4-change-rate'!H$2:H$147)</f>
        <v>10464.806794772197</v>
      </c>
    </row>
    <row r="143" spans="1:51" x14ac:dyDescent="0.25">
      <c r="A143" t="s">
        <v>505</v>
      </c>
      <c r="B143" t="s">
        <v>506</v>
      </c>
      <c r="C143" t="s">
        <v>507</v>
      </c>
      <c r="D143" t="s">
        <v>60</v>
      </c>
      <c r="E143" t="s">
        <v>61</v>
      </c>
      <c r="F143" t="s">
        <v>61</v>
      </c>
      <c r="G143">
        <v>17383.257981505139</v>
      </c>
      <c r="H143">
        <v>86.648193604898935</v>
      </c>
      <c r="I143">
        <v>17469.906175110038</v>
      </c>
      <c r="J143">
        <v>1244401</v>
      </c>
      <c r="K143">
        <v>3.3326228309576513</v>
      </c>
      <c r="L143">
        <v>3.3326228309576513</v>
      </c>
      <c r="M143">
        <v>3.3326228309576513</v>
      </c>
      <c r="N143">
        <v>3.3326228309576513</v>
      </c>
      <c r="O143">
        <v>3.3326228309576513</v>
      </c>
      <c r="P143">
        <v>3.3326228309576513</v>
      </c>
      <c r="Q143">
        <v>3.3326228309576513</v>
      </c>
      <c r="R143">
        <v>3.3326228309576513</v>
      </c>
      <c r="S143">
        <v>4.4434971079435348</v>
      </c>
      <c r="T143">
        <v>6.6652456619153027</v>
      </c>
      <c r="U143">
        <v>12.219617046844721</v>
      </c>
      <c r="V143">
        <v>17.773988431774139</v>
      </c>
      <c r="W143">
        <v>25.550108370675328</v>
      </c>
      <c r="X143">
        <v>26.660982647661211</v>
      </c>
      <c r="Y143">
        <v>35.547976863548278</v>
      </c>
      <c r="Z143">
        <v>48.878468187378886</v>
      </c>
      <c r="AA143">
        <v>52.211091018336532</v>
      </c>
      <c r="AB143">
        <v>52.211091018336532</v>
      </c>
      <c r="AC143">
        <v>52.211091018336532</v>
      </c>
      <c r="AD143">
        <v>53.321965295322421</v>
      </c>
      <c r="AE143">
        <v>56.654588126280075</v>
      </c>
      <c r="AF143">
        <v>57.765462403265957</v>
      </c>
      <c r="AG143">
        <v>62.208959511209493</v>
      </c>
      <c r="AH143">
        <v>69.985079450110675</v>
      </c>
      <c r="AI143">
        <v>76.650325112025982</v>
      </c>
      <c r="AJ143">
        <v>76.650325112025982</v>
      </c>
      <c r="AK143">
        <v>78.872073665997746</v>
      </c>
      <c r="AL143">
        <v>78.872073665997746</v>
      </c>
      <c r="AM143">
        <v>78.872073665997746</v>
      </c>
      <c r="AN143">
        <v>78.872073665997746</v>
      </c>
      <c r="AO143">
        <v>78.872073665997746</v>
      </c>
      <c r="AP143">
        <v>78.872073665997746</v>
      </c>
      <c r="AQ143">
        <v>79.982947942983643</v>
      </c>
      <c r="AR143">
        <v>79.982947942983643</v>
      </c>
      <c r="AS143">
        <v>79.982947942983643</v>
      </c>
      <c r="AT143">
        <f>Sheet1!$AT143*_xlfn.XLOOKUP($A143,'[1]SSP4-change-rate'!$B$2:$B$147,'[1]SSP4-change-rate'!C$2:C$147)</f>
        <v>84.426445050927171</v>
      </c>
      <c r="AU143">
        <f>Sheet1!$AT143*_xlfn.XLOOKUP($A143,'[1]SSP4-change-rate'!$B$2:$B$147,'[1]SSP4-change-rate'!D$2:D$147)</f>
        <v>83.042404968125084</v>
      </c>
      <c r="AV143">
        <f>Sheet1!$AT143*_xlfn.XLOOKUP($A143,'[1]SSP4-change-rate'!$B$2:$B$147,'[1]SSP4-change-rate'!E$2:E$147)</f>
        <v>83.107281847006433</v>
      </c>
      <c r="AW143">
        <f>Sheet1!$AT143*_xlfn.XLOOKUP($A143,'[1]SSP4-change-rate'!$B$2:$B$147,'[1]SSP4-change-rate'!F$2:F$147)</f>
        <v>82.014260906614965</v>
      </c>
      <c r="AX143">
        <f>Sheet1!$AT143*_xlfn.XLOOKUP($A143,'[1]SSP4-change-rate'!$B$2:$B$147,'[1]SSP4-change-rate'!G$2:G$147)</f>
        <v>82.204696496955407</v>
      </c>
      <c r="AY143">
        <f>Sheet1!$AT143*_xlfn.XLOOKUP($A143,'[1]SSP4-change-rate'!$B$2:$B$147,'[1]SSP4-change-rate'!H$2:H$147)</f>
        <v>80.357700711123442</v>
      </c>
    </row>
    <row r="144" spans="1:51" x14ac:dyDescent="0.25">
      <c r="A144" t="s">
        <v>508</v>
      </c>
      <c r="B144" t="s">
        <v>509</v>
      </c>
      <c r="C144" t="s">
        <v>510</v>
      </c>
      <c r="D144" t="s">
        <v>70</v>
      </c>
      <c r="E144" t="s">
        <v>71</v>
      </c>
      <c r="F144" t="s">
        <v>70</v>
      </c>
      <c r="G144">
        <v>186917.5625894338</v>
      </c>
      <c r="H144">
        <v>4416.7825607092054</v>
      </c>
      <c r="I144">
        <v>191334.345150143</v>
      </c>
      <c r="J144">
        <v>20486035</v>
      </c>
      <c r="K144">
        <v>88.668156802192328</v>
      </c>
      <c r="L144">
        <v>105.2934362026034</v>
      </c>
      <c r="M144">
        <v>124.68959550308297</v>
      </c>
      <c r="N144">
        <v>138.54399500342552</v>
      </c>
      <c r="O144">
        <v>155.16927440383657</v>
      </c>
      <c r="P144">
        <v>160.71103420397361</v>
      </c>
      <c r="Q144">
        <v>166.2527940041106</v>
      </c>
      <c r="R144">
        <v>241.06655130596042</v>
      </c>
      <c r="S144">
        <v>282.62974980698806</v>
      </c>
      <c r="T144">
        <v>407.31934531007107</v>
      </c>
      <c r="U144">
        <v>626.2188574154834</v>
      </c>
      <c r="V144">
        <v>925.47388662288245</v>
      </c>
      <c r="W144">
        <v>1379.8981902341181</v>
      </c>
      <c r="X144">
        <v>1523.9839450376808</v>
      </c>
      <c r="Y144">
        <v>1751.1960968432986</v>
      </c>
      <c r="Z144">
        <v>2042.138486350492</v>
      </c>
      <c r="AA144">
        <v>2294.2885572567266</v>
      </c>
      <c r="AB144">
        <v>2427.2907924600149</v>
      </c>
      <c r="AC144">
        <v>2507.646309562002</v>
      </c>
      <c r="AD144">
        <v>2651.7320643655644</v>
      </c>
      <c r="AE144">
        <v>2709.9205422670029</v>
      </c>
      <c r="AF144">
        <v>2815.2139784696064</v>
      </c>
      <c r="AG144">
        <v>2898.3403754716619</v>
      </c>
      <c r="AH144">
        <v>2962.0706131732377</v>
      </c>
      <c r="AI144">
        <v>3034.1134905750187</v>
      </c>
      <c r="AJ144">
        <v>3100.6146081766633</v>
      </c>
      <c r="AK144">
        <v>3189.2827649788551</v>
      </c>
      <c r="AL144">
        <v>3289.0344413813218</v>
      </c>
      <c r="AM144">
        <v>3352.7646790828971</v>
      </c>
      <c r="AN144">
        <v>3435.8910760849531</v>
      </c>
      <c r="AO144">
        <v>3535.6427524874193</v>
      </c>
      <c r="AP144">
        <v>3591.0603504887895</v>
      </c>
      <c r="AQ144">
        <v>3757.3131444928999</v>
      </c>
      <c r="AR144">
        <v>3912.4824188967368</v>
      </c>
      <c r="AS144">
        <v>4045.4846541000252</v>
      </c>
      <c r="AT144">
        <f>Sheet1!$AT144*_xlfn.XLOOKUP($A144,'[1]SSP4-change-rate'!$B$2:$B$147,'[1]SSP4-change-rate'!C$2:C$147)</f>
        <v>4295.5486168378939</v>
      </c>
      <c r="AU144">
        <f>Sheet1!$AT144*_xlfn.XLOOKUP($A144,'[1]SSP4-change-rate'!$B$2:$B$147,'[1]SSP4-change-rate'!D$2:D$147)</f>
        <v>4351.0490517285261</v>
      </c>
      <c r="AV144">
        <f>Sheet1!$AT144*_xlfn.XLOOKUP($A144,'[1]SSP4-change-rate'!$B$2:$B$147,'[1]SSP4-change-rate'!E$2:E$147)</f>
        <v>4429.4639030318385</v>
      </c>
      <c r="AW144">
        <f>Sheet1!$AT144*_xlfn.XLOOKUP($A144,'[1]SSP4-change-rate'!$B$2:$B$147,'[1]SSP4-change-rate'!F$2:F$147)</f>
        <v>4570.5623441690013</v>
      </c>
      <c r="AX144">
        <f>Sheet1!$AT144*_xlfn.XLOOKUP($A144,'[1]SSP4-change-rate'!$B$2:$B$147,'[1]SSP4-change-rate'!G$2:G$147)</f>
        <v>4757.6619388705994</v>
      </c>
      <c r="AY144">
        <f>Sheet1!$AT144*_xlfn.XLOOKUP($A144,'[1]SSP4-change-rate'!$B$2:$B$147,'[1]SSP4-change-rate'!H$2:H$147)</f>
        <v>4986.5765604108019</v>
      </c>
    </row>
    <row r="145" spans="1:51" x14ac:dyDescent="0.25">
      <c r="A145" t="s">
        <v>511</v>
      </c>
      <c r="B145" t="s">
        <v>512</v>
      </c>
      <c r="C145" t="s">
        <v>513</v>
      </c>
      <c r="D145" t="s">
        <v>105</v>
      </c>
      <c r="E145" t="s">
        <v>61</v>
      </c>
      <c r="F145" t="s">
        <v>61</v>
      </c>
      <c r="G145">
        <v>1269963.0034426691</v>
      </c>
      <c r="H145">
        <v>577.4121414586084</v>
      </c>
      <c r="I145">
        <v>1270540.4155841277</v>
      </c>
      <c r="J145">
        <v>16379190</v>
      </c>
      <c r="K145">
        <v>39.548776812233449</v>
      </c>
      <c r="L145">
        <v>39.548776812233449</v>
      </c>
      <c r="M145">
        <v>39.548776812233449</v>
      </c>
      <c r="N145">
        <v>39.548776812233449</v>
      </c>
      <c r="O145">
        <v>39.548776812233449</v>
      </c>
      <c r="P145">
        <v>39.548776812233449</v>
      </c>
      <c r="Q145">
        <v>39.548776812233449</v>
      </c>
      <c r="R145">
        <v>39.548776812233449</v>
      </c>
      <c r="S145">
        <v>39.548776812233449</v>
      </c>
      <c r="T145">
        <v>39.548776812233449</v>
      </c>
      <c r="U145">
        <v>55.368287537126832</v>
      </c>
      <c r="V145">
        <v>79.097553624466897</v>
      </c>
      <c r="W145">
        <v>87.007308986913586</v>
      </c>
      <c r="X145">
        <v>87.007308986913586</v>
      </c>
      <c r="Y145">
        <v>118.64633043670035</v>
      </c>
      <c r="Z145">
        <v>118.64633043670035</v>
      </c>
      <c r="AA145">
        <v>118.64633043670035</v>
      </c>
      <c r="AB145">
        <v>118.64633043670035</v>
      </c>
      <c r="AC145">
        <v>118.64633043670035</v>
      </c>
      <c r="AD145">
        <v>142.37559652404042</v>
      </c>
      <c r="AE145">
        <v>142.37559652404042</v>
      </c>
      <c r="AF145">
        <v>142.37559652404042</v>
      </c>
      <c r="AG145">
        <v>142.37559652404042</v>
      </c>
      <c r="AH145">
        <v>142.37559652404042</v>
      </c>
      <c r="AI145">
        <v>142.37559652404042</v>
      </c>
      <c r="AJ145">
        <v>142.37559652404042</v>
      </c>
      <c r="AK145">
        <v>142.37559652404042</v>
      </c>
      <c r="AL145">
        <v>142.37559652404042</v>
      </c>
      <c r="AM145">
        <v>205.65363942361395</v>
      </c>
      <c r="AN145">
        <v>213.56339478606063</v>
      </c>
      <c r="AO145">
        <v>229.382905510954</v>
      </c>
      <c r="AP145">
        <v>300.57070377297424</v>
      </c>
      <c r="AQ145">
        <v>403.39752348478123</v>
      </c>
      <c r="AR145">
        <v>498.31458783414149</v>
      </c>
      <c r="AS145">
        <v>553.68287537126832</v>
      </c>
      <c r="AT145">
        <f>Sheet1!$AT145*_xlfn.XLOOKUP($A145,'[1]SSP4-change-rate'!$B$2:$B$147,'[1]SSP4-change-rate'!C$2:C$147)</f>
        <v>552.53468507671971</v>
      </c>
      <c r="AU145">
        <f>Sheet1!$AT145*_xlfn.XLOOKUP($A145,'[1]SSP4-change-rate'!$B$2:$B$147,'[1]SSP4-change-rate'!D$2:D$147)</f>
        <v>561.59263073371505</v>
      </c>
      <c r="AV145">
        <f>Sheet1!$AT145*_xlfn.XLOOKUP($A145,'[1]SSP4-change-rate'!$B$2:$B$147,'[1]SSP4-change-rate'!E$2:E$147)</f>
        <v>561.59263073371505</v>
      </c>
      <c r="AW145">
        <f>Sheet1!$AT145*_xlfn.XLOOKUP($A145,'[1]SSP4-change-rate'!$B$2:$B$147,'[1]SSP4-change-rate'!F$2:F$147)</f>
        <v>561.59263073371505</v>
      </c>
      <c r="AX145">
        <f>Sheet1!$AT145*_xlfn.XLOOKUP($A145,'[1]SSP4-change-rate'!$B$2:$B$147,'[1]SSP4-change-rate'!G$2:G$147)</f>
        <v>542.22736760496628</v>
      </c>
      <c r="AY145">
        <f>Sheet1!$AT145*_xlfn.XLOOKUP($A145,'[1]SSP4-change-rate'!$B$2:$B$147,'[1]SSP4-change-rate'!H$2:H$147)</f>
        <v>484.30924118320377</v>
      </c>
    </row>
    <row r="146" spans="1:51" x14ac:dyDescent="0.25">
      <c r="A146" t="s">
        <v>514</v>
      </c>
      <c r="B146" t="s">
        <v>515</v>
      </c>
      <c r="C146" t="s">
        <v>516</v>
      </c>
      <c r="D146" t="s">
        <v>105</v>
      </c>
      <c r="E146" t="s">
        <v>61</v>
      </c>
      <c r="F146" t="s">
        <v>61</v>
      </c>
      <c r="G146">
        <v>56904.461136953942</v>
      </c>
      <c r="H146">
        <v>800.76649848837553</v>
      </c>
      <c r="I146">
        <v>57705.227635442316</v>
      </c>
      <c r="J146">
        <v>8342234.0000000102</v>
      </c>
      <c r="K146">
        <v>63.351779943700592</v>
      </c>
      <c r="L146">
        <v>63.351779943700592</v>
      </c>
      <c r="M146">
        <v>63.351779943700592</v>
      </c>
      <c r="N146">
        <v>63.351779943700592</v>
      </c>
      <c r="O146">
        <v>63.351779943700592</v>
      </c>
      <c r="P146">
        <v>63.351779943700592</v>
      </c>
      <c r="Q146">
        <v>69.686957938070648</v>
      </c>
      <c r="R146">
        <v>76.022135932440705</v>
      </c>
      <c r="S146">
        <v>82.357313926810775</v>
      </c>
      <c r="T146">
        <v>120.36838189303113</v>
      </c>
      <c r="U146">
        <v>196.39051782547185</v>
      </c>
      <c r="V146">
        <v>209.06087381421196</v>
      </c>
      <c r="W146">
        <v>259.74229776917247</v>
      </c>
      <c r="X146">
        <v>278.74783175228259</v>
      </c>
      <c r="Y146">
        <v>329.4292557072431</v>
      </c>
      <c r="Z146">
        <v>329.4292557072431</v>
      </c>
      <c r="AA146">
        <v>329.4292557072431</v>
      </c>
      <c r="AB146">
        <v>329.4292557072431</v>
      </c>
      <c r="AC146">
        <v>329.4292557072431</v>
      </c>
      <c r="AD146">
        <v>329.4292557072431</v>
      </c>
      <c r="AE146">
        <v>329.4292557072431</v>
      </c>
      <c r="AF146">
        <v>329.4292557072431</v>
      </c>
      <c r="AG146">
        <v>329.4292557072431</v>
      </c>
      <c r="AH146">
        <v>329.4292557072431</v>
      </c>
      <c r="AI146">
        <v>329.4292557072431</v>
      </c>
      <c r="AJ146">
        <v>329.4292557072431</v>
      </c>
      <c r="AK146">
        <v>361.10514567909337</v>
      </c>
      <c r="AL146">
        <v>487.80870556649461</v>
      </c>
      <c r="AM146">
        <v>500.47906155523469</v>
      </c>
      <c r="AN146">
        <v>525.81977353271486</v>
      </c>
      <c r="AO146">
        <v>582.83637548204547</v>
      </c>
      <c r="AP146">
        <v>595.50673147078555</v>
      </c>
      <c r="AQ146">
        <v>627.18262144263588</v>
      </c>
      <c r="AR146">
        <v>677.86404539759633</v>
      </c>
      <c r="AS146">
        <v>734.88064734692693</v>
      </c>
      <c r="AT146">
        <f>Sheet1!$AT146*_xlfn.XLOOKUP($A146,'[1]SSP4-change-rate'!$B$2:$B$147,'[1]SSP4-change-rate'!C$2:C$147)</f>
        <v>772.89171531314719</v>
      </c>
      <c r="AU146">
        <f>Sheet1!$AT146*_xlfn.XLOOKUP($A146,'[1]SSP4-change-rate'!$B$2:$B$147,'[1]SSP4-change-rate'!D$2:D$147)</f>
        <v>772.89171531314719</v>
      </c>
      <c r="AV146">
        <f>Sheet1!$AT146*_xlfn.XLOOKUP($A146,'[1]SSP4-change-rate'!$B$2:$B$147,'[1]SSP4-change-rate'!E$2:E$147)</f>
        <v>785.3577107214237</v>
      </c>
      <c r="AW146">
        <f>Sheet1!$AT146*_xlfn.XLOOKUP($A146,'[1]SSP4-change-rate'!$B$2:$B$147,'[1]SSP4-change-rate'!F$2:F$147)</f>
        <v>795.62382458706315</v>
      </c>
      <c r="AX146">
        <f>Sheet1!$AT146*_xlfn.XLOOKUP($A146,'[1]SSP4-change-rate'!$B$2:$B$147,'[1]SSP4-change-rate'!G$2:G$147)</f>
        <v>799.00292191156427</v>
      </c>
      <c r="AY146">
        <f>Sheet1!$AT146*_xlfn.XLOOKUP($A146,'[1]SSP4-change-rate'!$B$2:$B$147,'[1]SSP4-change-rate'!H$2:H$147)</f>
        <v>797.04458141668306</v>
      </c>
    </row>
    <row r="147" spans="1:51" x14ac:dyDescent="0.25">
      <c r="A147" t="s">
        <v>517</v>
      </c>
      <c r="B147" t="s">
        <v>518</v>
      </c>
      <c r="C147" t="s">
        <v>519</v>
      </c>
      <c r="D147" t="s">
        <v>139</v>
      </c>
      <c r="E147" t="s">
        <v>55</v>
      </c>
      <c r="F147" t="s">
        <v>140</v>
      </c>
      <c r="G147">
        <v>513939.55580678303</v>
      </c>
      <c r="H147">
        <v>11433.73588845047</v>
      </c>
      <c r="I147">
        <v>525373.29169523355</v>
      </c>
      <c r="J147">
        <v>71389373</v>
      </c>
      <c r="K147">
        <v>346.17962017814415</v>
      </c>
      <c r="L147">
        <v>419.74278946599975</v>
      </c>
      <c r="M147">
        <v>506.28769451053574</v>
      </c>
      <c r="N147">
        <v>604.37192022767658</v>
      </c>
      <c r="O147">
        <v>781.7889755689755</v>
      </c>
      <c r="P147">
        <v>931.80014431283792</v>
      </c>
      <c r="Q147">
        <v>1155.3744823445559</v>
      </c>
      <c r="R147">
        <v>1298.1735756680405</v>
      </c>
      <c r="S147">
        <v>1331.3491226017793</v>
      </c>
      <c r="T147">
        <v>1381.8336505444254</v>
      </c>
      <c r="U147">
        <v>1465.4937254208101</v>
      </c>
      <c r="V147">
        <v>2100.1563624140745</v>
      </c>
      <c r="W147">
        <v>2782.4186971818331</v>
      </c>
      <c r="X147">
        <v>2926.6602055893932</v>
      </c>
      <c r="Y147">
        <v>3298.8032972808983</v>
      </c>
      <c r="Z147">
        <v>3842.5937839774001</v>
      </c>
      <c r="AA147">
        <v>4413.7901572713381</v>
      </c>
      <c r="AB147">
        <v>4555.1468355107463</v>
      </c>
      <c r="AC147">
        <v>4732.5638908520459</v>
      </c>
      <c r="AD147">
        <v>4871.0357389233031</v>
      </c>
      <c r="AE147">
        <v>5023.9317378353162</v>
      </c>
      <c r="AF147">
        <v>5178.2701518314061</v>
      </c>
      <c r="AG147">
        <v>5272.0271322963199</v>
      </c>
      <c r="AH147">
        <v>5394.6324144427454</v>
      </c>
      <c r="AI147">
        <v>5527.3346021777015</v>
      </c>
      <c r="AJ147">
        <v>5772.5451664705533</v>
      </c>
      <c r="AK147">
        <v>5952.8470519800039</v>
      </c>
      <c r="AL147">
        <v>6150.4579184983604</v>
      </c>
      <c r="AM147">
        <v>6697.1332353630123</v>
      </c>
      <c r="AN147">
        <v>6994.2707426825864</v>
      </c>
      <c r="AO147">
        <v>7393.8197209715272</v>
      </c>
      <c r="AP147">
        <v>8103.4879423367238</v>
      </c>
      <c r="AQ147">
        <v>9092.9846900125849</v>
      </c>
      <c r="AR147">
        <v>9893.5250616745434</v>
      </c>
      <c r="AS147">
        <v>10787.822413801416</v>
      </c>
      <c r="AT147">
        <f>Sheet1!$AT147*_xlfn.XLOOKUP($A147,'[1]SSP4-change-rate'!$B$2:$B$147,'[1]SSP4-change-rate'!C$2:C$147)</f>
        <v>11155.003483387796</v>
      </c>
      <c r="AU147">
        <f>Sheet1!$AT147*_xlfn.XLOOKUP($A147,'[1]SSP4-change-rate'!$B$2:$B$147,'[1]SSP4-change-rate'!D$2:D$147)</f>
        <v>11101.289220976316</v>
      </c>
      <c r="AV147">
        <f>Sheet1!$AT147*_xlfn.XLOOKUP($A147,'[1]SSP4-change-rate'!$B$2:$B$147,'[1]SSP4-change-rate'!E$2:E$147)</f>
        <v>11028.550106001625</v>
      </c>
      <c r="AW147">
        <f>Sheet1!$AT147*_xlfn.XLOOKUP($A147,'[1]SSP4-change-rate'!$B$2:$B$147,'[1]SSP4-change-rate'!F$2:F$147)</f>
        <v>10821.223195898125</v>
      </c>
      <c r="AX147">
        <f>Sheet1!$AT147*_xlfn.XLOOKUP($A147,'[1]SSP4-change-rate'!$B$2:$B$147,'[1]SSP4-change-rate'!G$2:G$147)</f>
        <v>10511.876992423608</v>
      </c>
      <c r="AY147">
        <f>Sheet1!$AT147*_xlfn.XLOOKUP($A147,'[1]SSP4-change-rate'!$B$2:$B$147,'[1]SSP4-change-rate'!H$2:H$147)</f>
        <v>10082.866311736107</v>
      </c>
    </row>
    <row r="148" spans="1:51" x14ac:dyDescent="0.25">
      <c r="A148" t="s">
        <v>520</v>
      </c>
      <c r="B148" t="s">
        <v>521</v>
      </c>
      <c r="C148" t="s">
        <v>522</v>
      </c>
      <c r="D148" t="s">
        <v>308</v>
      </c>
      <c r="E148" t="s">
        <v>71</v>
      </c>
      <c r="F148" t="s">
        <v>82</v>
      </c>
      <c r="G148">
        <v>142113.4504968246</v>
      </c>
      <c r="H148">
        <v>1007.565854852019</v>
      </c>
      <c r="I148">
        <v>143121.01635167663</v>
      </c>
      <c r="J148">
        <v>9442814.0000000093</v>
      </c>
      <c r="K148">
        <v>34.87191468108049</v>
      </c>
      <c r="L148">
        <v>37.196708993152527</v>
      </c>
      <c r="M148">
        <v>41.846297617296592</v>
      </c>
      <c r="N148">
        <v>48.820680553512695</v>
      </c>
      <c r="O148">
        <v>60.444652113872856</v>
      </c>
      <c r="P148">
        <v>62.769446425944892</v>
      </c>
      <c r="Q148">
        <v>65.094240738016921</v>
      </c>
      <c r="R148">
        <v>69.74382936216098</v>
      </c>
      <c r="S148">
        <v>74.393417986305053</v>
      </c>
      <c r="T148">
        <v>109.26533266738555</v>
      </c>
      <c r="U148">
        <v>169.70998478125841</v>
      </c>
      <c r="V148">
        <v>211.556282398555</v>
      </c>
      <c r="W148">
        <v>265.02655157621177</v>
      </c>
      <c r="X148">
        <v>265.02655157621177</v>
      </c>
      <c r="Y148">
        <v>278.97531744864392</v>
      </c>
      <c r="Z148">
        <v>290.59928900900411</v>
      </c>
      <c r="AA148">
        <v>297.57367194522021</v>
      </c>
      <c r="AB148">
        <v>313.84723212972443</v>
      </c>
      <c r="AC148">
        <v>313.84723212972443</v>
      </c>
      <c r="AD148">
        <v>313.84723212972443</v>
      </c>
      <c r="AE148">
        <v>313.84723212972443</v>
      </c>
      <c r="AF148">
        <v>313.84723212972443</v>
      </c>
      <c r="AG148">
        <v>313.84723212972443</v>
      </c>
      <c r="AH148">
        <v>318.49682075386852</v>
      </c>
      <c r="AI148">
        <v>330.12079231422865</v>
      </c>
      <c r="AJ148">
        <v>337.09517525044481</v>
      </c>
      <c r="AK148">
        <v>346.39435249873293</v>
      </c>
      <c r="AL148">
        <v>353.36873543494903</v>
      </c>
      <c r="AM148">
        <v>362.66791268323715</v>
      </c>
      <c r="AN148">
        <v>376.61667855566935</v>
      </c>
      <c r="AO148">
        <v>378.94147286774137</v>
      </c>
      <c r="AP148">
        <v>390.56544442810156</v>
      </c>
      <c r="AQ148">
        <v>420.78777048503798</v>
      </c>
      <c r="AR148">
        <v>467.28365672647863</v>
      </c>
      <c r="AS148">
        <v>537.02748608863965</v>
      </c>
      <c r="AT148">
        <f>Sheet1!$AT148*_xlfn.XLOOKUP($A148,'[1]SSP4-change-rate'!$B$2:$B$147,'[1]SSP4-change-rate'!C$2:C$147)</f>
        <v>608.39406791615784</v>
      </c>
      <c r="AU148">
        <f>Sheet1!$AT148*_xlfn.XLOOKUP($A148,'[1]SSP4-change-rate'!$B$2:$B$147,'[1]SSP4-change-rate'!D$2:D$147)</f>
        <v>541.00445163934717</v>
      </c>
      <c r="AV148">
        <f>Sheet1!$AT148*_xlfn.XLOOKUP($A148,'[1]SSP4-change-rate'!$B$2:$B$147,'[1]SSP4-change-rate'!E$2:E$147)</f>
        <v>505.17740796652157</v>
      </c>
      <c r="AW148">
        <f>Sheet1!$AT148*_xlfn.XLOOKUP($A148,'[1]SSP4-change-rate'!$B$2:$B$147,'[1]SSP4-change-rate'!F$2:F$147)</f>
        <v>476.29287057041643</v>
      </c>
      <c r="AX148">
        <f>Sheet1!$AT148*_xlfn.XLOOKUP($A148,'[1]SSP4-change-rate'!$B$2:$B$147,'[1]SSP4-change-rate'!G$2:G$147)</f>
        <v>586.48756408095051</v>
      </c>
      <c r="AY148">
        <f>Sheet1!$AT148*_xlfn.XLOOKUP($A148,'[1]SSP4-change-rate'!$B$2:$B$147,'[1]SSP4-change-rate'!H$2:H$147)</f>
        <v>672.61409526840453</v>
      </c>
    </row>
    <row r="149" spans="1:51" x14ac:dyDescent="0.25">
      <c r="A149" t="s">
        <v>523</v>
      </c>
      <c r="B149" t="s">
        <v>524</v>
      </c>
      <c r="C149" t="s">
        <v>525</v>
      </c>
      <c r="D149" t="s">
        <v>308</v>
      </c>
      <c r="E149" t="s">
        <v>71</v>
      </c>
      <c r="F149" t="s">
        <v>82</v>
      </c>
      <c r="G149">
        <v>489598.02638364962</v>
      </c>
      <c r="H149">
        <v>1142.331881464052</v>
      </c>
      <c r="I149">
        <v>490740.35826511367</v>
      </c>
      <c r="J149">
        <v>6204361.9999999898</v>
      </c>
      <c r="K149">
        <v>26.722106570807259</v>
      </c>
      <c r="L149">
        <v>29.776061607470943</v>
      </c>
      <c r="M149">
        <v>35.120482921632394</v>
      </c>
      <c r="N149">
        <v>43.518859272457533</v>
      </c>
      <c r="O149">
        <v>53.444213141614519</v>
      </c>
      <c r="P149">
        <v>56.498168178278199</v>
      </c>
      <c r="Q149">
        <v>59.552123214941886</v>
      </c>
      <c r="R149">
        <v>63.369567010771497</v>
      </c>
      <c r="S149">
        <v>67.950499565767032</v>
      </c>
      <c r="T149">
        <v>91.618651099910593</v>
      </c>
      <c r="U149">
        <v>132.08355533570443</v>
      </c>
      <c r="V149">
        <v>174.83892584899607</v>
      </c>
      <c r="W149">
        <v>217.59429636228768</v>
      </c>
      <c r="X149">
        <v>229.8101165089424</v>
      </c>
      <c r="Y149">
        <v>247.3703579697586</v>
      </c>
      <c r="Z149">
        <v>274.85595329973177</v>
      </c>
      <c r="AA149">
        <v>288.59875096471836</v>
      </c>
      <c r="AB149">
        <v>305.39550366636865</v>
      </c>
      <c r="AC149">
        <v>309.97643622136417</v>
      </c>
      <c r="AD149">
        <v>324.48272264551667</v>
      </c>
      <c r="AE149">
        <v>336.69854279217145</v>
      </c>
      <c r="AF149">
        <v>342.80645286549878</v>
      </c>
      <c r="AG149">
        <v>348.15087417966026</v>
      </c>
      <c r="AH149">
        <v>364.18413812214459</v>
      </c>
      <c r="AI149">
        <v>374.10949199130164</v>
      </c>
      <c r="AJ149">
        <v>499.32164849451277</v>
      </c>
      <c r="AK149">
        <v>555.05632791362495</v>
      </c>
      <c r="AL149">
        <v>583.30541200276411</v>
      </c>
      <c r="AM149">
        <v>607.73705229607367</v>
      </c>
      <c r="AN149">
        <v>622.24333872022623</v>
      </c>
      <c r="AO149">
        <v>655.83684412352659</v>
      </c>
      <c r="AP149">
        <v>732.94920879928475</v>
      </c>
      <c r="AQ149">
        <v>835.25670252751831</v>
      </c>
      <c r="AR149">
        <v>916.94999975827182</v>
      </c>
      <c r="AS149">
        <v>959.70537027156342</v>
      </c>
      <c r="AT149">
        <f>Sheet1!$AT149*_xlfn.XLOOKUP($A149,'[1]SSP4-change-rate'!$B$2:$B$147,'[1]SSP4-change-rate'!C$2:C$147)</f>
        <v>1051.0342830368645</v>
      </c>
      <c r="AU149">
        <f>Sheet1!$AT149*_xlfn.XLOOKUP($A149,'[1]SSP4-change-rate'!$B$2:$B$147,'[1]SSP4-change-rate'!D$2:D$147)</f>
        <v>1043.2473067915453</v>
      </c>
      <c r="AV149">
        <f>Sheet1!$AT149*_xlfn.XLOOKUP($A149,'[1]SSP4-change-rate'!$B$2:$B$147,'[1]SSP4-change-rate'!E$2:E$147)</f>
        <v>1032.1711951021534</v>
      </c>
      <c r="AW149">
        <f>Sheet1!$AT149*_xlfn.XLOOKUP($A149,'[1]SSP4-change-rate'!$B$2:$B$147,'[1]SSP4-change-rate'!F$2:F$147)</f>
        <v>999.44044657524876</v>
      </c>
      <c r="AX149">
        <f>Sheet1!$AT149*_xlfn.XLOOKUP($A149,'[1]SSP4-change-rate'!$B$2:$B$147,'[1]SSP4-change-rate'!G$2:G$147)</f>
        <v>961.91890549217362</v>
      </c>
      <c r="AY149">
        <f>Sheet1!$AT149*_xlfn.XLOOKUP($A149,'[1]SSP4-change-rate'!$B$2:$B$147,'[1]SSP4-change-rate'!H$2:H$147)</f>
        <v>923.00647034897884</v>
      </c>
    </row>
    <row r="150" spans="1:51" x14ac:dyDescent="0.25">
      <c r="A150" t="s">
        <v>526</v>
      </c>
      <c r="B150" t="s">
        <v>527</v>
      </c>
      <c r="C150" t="s">
        <v>528</v>
      </c>
      <c r="D150" t="s">
        <v>204</v>
      </c>
      <c r="E150" t="s">
        <v>61</v>
      </c>
      <c r="F150" t="s">
        <v>61</v>
      </c>
      <c r="G150">
        <v>154868.62410895459</v>
      </c>
      <c r="H150">
        <v>2791.150057493192</v>
      </c>
      <c r="I150">
        <v>157659.77416644778</v>
      </c>
      <c r="J150">
        <v>12106245</v>
      </c>
      <c r="K150">
        <v>160.79737421402069</v>
      </c>
      <c r="L150">
        <v>181.26249456853242</v>
      </c>
      <c r="M150">
        <v>207.57479216719037</v>
      </c>
      <c r="N150">
        <v>241.19606132103101</v>
      </c>
      <c r="O150">
        <v>283.58809634109105</v>
      </c>
      <c r="P150">
        <v>317.20936549493172</v>
      </c>
      <c r="Q150">
        <v>366.9103720701745</v>
      </c>
      <c r="R150">
        <v>457.54161935444068</v>
      </c>
      <c r="S150">
        <v>719.20280102998333</v>
      </c>
      <c r="T150">
        <v>824.45199142461513</v>
      </c>
      <c r="U150">
        <v>824.45199142461513</v>
      </c>
      <c r="V150">
        <v>824.45199142461513</v>
      </c>
      <c r="W150">
        <v>850.76428902327314</v>
      </c>
      <c r="X150">
        <v>944.31912492961237</v>
      </c>
      <c r="Y150">
        <v>1018.8706347924766</v>
      </c>
      <c r="Z150">
        <v>1143.1231512305835</v>
      </c>
      <c r="AA150">
        <v>1299.5351425114945</v>
      </c>
      <c r="AB150">
        <v>1366.7776808191759</v>
      </c>
      <c r="AC150">
        <v>1401.860744284053</v>
      </c>
      <c r="AD150">
        <v>1464.7178996586247</v>
      </c>
      <c r="AE150">
        <v>1552.4255583208178</v>
      </c>
      <c r="AF150">
        <v>1635.7478340499013</v>
      </c>
      <c r="AG150">
        <v>1697.1431951134366</v>
      </c>
      <c r="AH150">
        <v>1723.4554927120946</v>
      </c>
      <c r="AI150">
        <v>1795.0834139528854</v>
      </c>
      <c r="AJ150">
        <v>1840.3990375950186</v>
      </c>
      <c r="AK150">
        <v>1888.6382498592247</v>
      </c>
      <c r="AL150">
        <v>1945.6482279896502</v>
      </c>
      <c r="AM150">
        <v>2001.1964118090393</v>
      </c>
      <c r="AN150">
        <v>2058.2063899394648</v>
      </c>
      <c r="AO150">
        <v>2137.1432827354383</v>
      </c>
      <c r="AP150">
        <v>2277.4755365949477</v>
      </c>
      <c r="AQ150">
        <v>2397.3426700999448</v>
      </c>
      <c r="AR150">
        <v>2581.5287532905504</v>
      </c>
      <c r="AS150">
        <v>2759.8676592370098</v>
      </c>
      <c r="AT150">
        <f>Sheet1!$AT150*_xlfn.XLOOKUP($A150,'[1]SSP4-change-rate'!$B$2:$B$147,'[1]SSP4-change-rate'!C$2:C$147)</f>
        <v>2715.0009594398243</v>
      </c>
      <c r="AU150">
        <f>Sheet1!$AT150*_xlfn.XLOOKUP($A150,'[1]SSP4-change-rate'!$B$2:$B$147,'[1]SSP4-change-rate'!D$2:D$147)</f>
        <v>2699.0795717744986</v>
      </c>
      <c r="AV150">
        <f>Sheet1!$AT150*_xlfn.XLOOKUP($A150,'[1]SSP4-change-rate'!$B$2:$B$147,'[1]SSP4-change-rate'!E$2:E$147)</f>
        <v>2678.8050868672044</v>
      </c>
      <c r="AW150">
        <f>Sheet1!$AT150*_xlfn.XLOOKUP($A150,'[1]SSP4-change-rate'!$B$2:$B$147,'[1]SSP4-change-rate'!F$2:F$147)</f>
        <v>2634.42019168655</v>
      </c>
      <c r="AX150">
        <f>Sheet1!$AT150*_xlfn.XLOOKUP($A150,'[1]SSP4-change-rate'!$B$2:$B$147,'[1]SSP4-change-rate'!G$2:G$147)</f>
        <v>2572.3098859906677</v>
      </c>
      <c r="AY150">
        <f>Sheet1!$AT150*_xlfn.XLOOKUP($A150,'[1]SSP4-change-rate'!$B$2:$B$147,'[1]SSP4-change-rate'!H$2:H$147)</f>
        <v>2497.4397186296264</v>
      </c>
    </row>
    <row r="151" spans="1:51" x14ac:dyDescent="0.25">
      <c r="A151" t="s">
        <v>529</v>
      </c>
      <c r="B151" t="s">
        <v>530</v>
      </c>
      <c r="C151" t="s">
        <v>531</v>
      </c>
      <c r="D151" t="s">
        <v>530</v>
      </c>
      <c r="E151" t="s">
        <v>66</v>
      </c>
      <c r="F151" t="s">
        <v>66</v>
      </c>
      <c r="G151">
        <v>780704.35801202187</v>
      </c>
      <c r="H151">
        <v>21060.103635891948</v>
      </c>
      <c r="I151">
        <v>801764.46164791379</v>
      </c>
      <c r="J151">
        <v>83811677</v>
      </c>
      <c r="K151">
        <v>710.39285587530662</v>
      </c>
      <c r="L151">
        <v>801.72908020213174</v>
      </c>
      <c r="M151">
        <v>901.52236233699637</v>
      </c>
      <c r="N151">
        <v>1011.4641138415079</v>
      </c>
      <c r="O151">
        <v>1136.6285694004905</v>
      </c>
      <c r="P151">
        <v>1280.3985521371596</v>
      </c>
      <c r="Q151">
        <v>1471.5280585988494</v>
      </c>
      <c r="R151">
        <v>1821.6502518516791</v>
      </c>
      <c r="S151">
        <v>2100.733159516978</v>
      </c>
      <c r="T151">
        <v>2733.3210835583227</v>
      </c>
      <c r="U151">
        <v>2921.0677668967965</v>
      </c>
      <c r="V151">
        <v>2921.0677668967965</v>
      </c>
      <c r="W151">
        <v>3492.7648747202575</v>
      </c>
      <c r="X151">
        <v>3847.9613026579109</v>
      </c>
      <c r="Y151">
        <v>4776.5462499806335</v>
      </c>
      <c r="Z151">
        <v>5546.1385105122154</v>
      </c>
      <c r="AA151">
        <v>6170.2693767455203</v>
      </c>
      <c r="AB151">
        <v>6474.723457834938</v>
      </c>
      <c r="AC151">
        <v>6791.0174198556106</v>
      </c>
      <c r="AD151">
        <v>7114.0770281227133</v>
      </c>
      <c r="AE151">
        <v>7362.7145276790716</v>
      </c>
      <c r="AF151">
        <v>7582.5980306880947</v>
      </c>
      <c r="AG151">
        <v>7775.4189487113908</v>
      </c>
      <c r="AH151">
        <v>8003.7595095284551</v>
      </c>
      <c r="AI151">
        <v>8157.6779616347703</v>
      </c>
      <c r="AJ151">
        <v>8438.4522808616766</v>
      </c>
      <c r="AK151">
        <v>8731.0664810198396</v>
      </c>
      <c r="AL151">
        <v>9434.6936906487153</v>
      </c>
      <c r="AM151">
        <v>10471.528977914342</v>
      </c>
      <c r="AN151">
        <v>11278.332292801295</v>
      </c>
      <c r="AO151">
        <v>12354.070045983904</v>
      </c>
      <c r="AP151">
        <v>13631.085774997848</v>
      </c>
      <c r="AQ151">
        <v>15856.983390073809</v>
      </c>
      <c r="AR151">
        <v>18184.365698846243</v>
      </c>
      <c r="AS151">
        <v>20131.180406256903</v>
      </c>
      <c r="AT151">
        <f>Sheet1!$AT151*_xlfn.XLOOKUP($A151,'[1]SSP4-change-rate'!$B$2:$B$147,'[1]SSP4-change-rate'!C$2:C$147)</f>
        <v>20445.39673865748</v>
      </c>
      <c r="AU151">
        <f>Sheet1!$AT151*_xlfn.XLOOKUP($A151,'[1]SSP4-change-rate'!$B$2:$B$147,'[1]SSP4-change-rate'!D$2:D$147)</f>
        <v>20363.977444423352</v>
      </c>
      <c r="AV151">
        <f>Sheet1!$AT151*_xlfn.XLOOKUP($A151,'[1]SSP4-change-rate'!$B$2:$B$147,'[1]SSP4-change-rate'!E$2:E$147)</f>
        <v>20248.544510264652</v>
      </c>
      <c r="AW151">
        <f>Sheet1!$AT151*_xlfn.XLOOKUP($A151,'[1]SSP4-change-rate'!$B$2:$B$147,'[1]SSP4-change-rate'!F$2:F$147)</f>
        <v>19873.393693288086</v>
      </c>
      <c r="AX151">
        <f>Sheet1!$AT151*_xlfn.XLOOKUP($A151,'[1]SSP4-change-rate'!$B$2:$B$147,'[1]SSP4-change-rate'!G$2:G$147)</f>
        <v>19307.336143374225</v>
      </c>
      <c r="AY151">
        <f>Sheet1!$AT151*_xlfn.XLOOKUP($A151,'[1]SSP4-change-rate'!$B$2:$B$147,'[1]SSP4-change-rate'!H$2:H$147)</f>
        <v>18526.930404496819</v>
      </c>
    </row>
    <row r="152" spans="1:51" x14ac:dyDescent="0.25">
      <c r="A152" t="s">
        <v>532</v>
      </c>
      <c r="B152" t="s">
        <v>533</v>
      </c>
      <c r="C152" t="s">
        <v>534</v>
      </c>
      <c r="D152" t="s">
        <v>160</v>
      </c>
      <c r="E152" t="s">
        <v>55</v>
      </c>
      <c r="F152" t="s">
        <v>161</v>
      </c>
      <c r="G152">
        <v>36406.335434832858</v>
      </c>
      <c r="H152">
        <v>7531.1584047772276</v>
      </c>
      <c r="I152">
        <v>43937.493839610084</v>
      </c>
      <c r="J152">
        <v>23800895</v>
      </c>
      <c r="K152">
        <v>955.83681587526883</v>
      </c>
      <c r="L152">
        <v>971.50627187322402</v>
      </c>
      <c r="M152">
        <v>1041.4965086640907</v>
      </c>
      <c r="N152">
        <v>1211.7712638418709</v>
      </c>
      <c r="O152">
        <v>1837.5048733602164</v>
      </c>
      <c r="P152">
        <v>1941.9679133465845</v>
      </c>
      <c r="Q152">
        <v>1951.3695869453577</v>
      </c>
      <c r="R152">
        <v>1957.6373693445398</v>
      </c>
      <c r="S152">
        <v>1963.9051517437217</v>
      </c>
      <c r="T152">
        <v>2022.4044541360879</v>
      </c>
      <c r="U152">
        <v>2094.4839517266823</v>
      </c>
      <c r="V152">
        <v>2132.0906461217746</v>
      </c>
      <c r="W152">
        <v>2349.3737692934205</v>
      </c>
      <c r="X152">
        <v>2371.3110076905577</v>
      </c>
      <c r="Y152">
        <v>2758.8688860399839</v>
      </c>
      <c r="Z152">
        <v>2981.3751612109477</v>
      </c>
      <c r="AA152">
        <v>3153.7391771884559</v>
      </c>
      <c r="AB152">
        <v>3175.6764155855931</v>
      </c>
      <c r="AC152">
        <v>3211.1938491809578</v>
      </c>
      <c r="AD152">
        <v>3272.8270427729153</v>
      </c>
      <c r="AE152">
        <v>3778.4281563069376</v>
      </c>
      <c r="AF152">
        <v>3983.1757146802188</v>
      </c>
      <c r="AG152">
        <v>4115.8437754629067</v>
      </c>
      <c r="AH152">
        <v>4253.7349882449125</v>
      </c>
      <c r="AI152">
        <v>4327.9037466352347</v>
      </c>
      <c r="AJ152">
        <v>4463.705698617513</v>
      </c>
      <c r="AK152">
        <v>4586.9720858014271</v>
      </c>
      <c r="AL152">
        <v>4771.871666577299</v>
      </c>
      <c r="AM152">
        <v>4947.3695737543976</v>
      </c>
      <c r="AN152">
        <v>5014.225919345673</v>
      </c>
      <c r="AO152">
        <v>5283.740562510503</v>
      </c>
      <c r="AP152">
        <v>5457.149208887874</v>
      </c>
      <c r="AQ152">
        <v>5800.8326104430253</v>
      </c>
      <c r="AR152">
        <v>6293.8981591786824</v>
      </c>
      <c r="AS152">
        <v>6736.8214487208843</v>
      </c>
      <c r="AT152">
        <v>7359.2226001267973</v>
      </c>
      <c r="AU152">
        <v>7289.6770539809049</v>
      </c>
      <c r="AV152">
        <v>7205.7087293391769</v>
      </c>
      <c r="AW152">
        <v>7004.9652441135659</v>
      </c>
      <c r="AX152">
        <v>6784.6516611141906</v>
      </c>
      <c r="AY152">
        <v>6555.1804620947541</v>
      </c>
    </row>
    <row r="153" spans="1:51" x14ac:dyDescent="0.25">
      <c r="A153" t="s">
        <v>535</v>
      </c>
      <c r="B153" t="s">
        <v>536</v>
      </c>
      <c r="C153" t="s">
        <v>537</v>
      </c>
      <c r="D153" t="s">
        <v>60</v>
      </c>
      <c r="E153" t="s">
        <v>61</v>
      </c>
      <c r="F153" t="s">
        <v>61</v>
      </c>
      <c r="G153">
        <v>940529.07048115646</v>
      </c>
      <c r="H153">
        <v>3004.2426862086568</v>
      </c>
      <c r="I153">
        <v>943533.31316736515</v>
      </c>
      <c r="J153">
        <v>60771967</v>
      </c>
      <c r="K153">
        <v>78.599372604296263</v>
      </c>
      <c r="L153">
        <v>78.599372604296263</v>
      </c>
      <c r="M153">
        <v>78.599372604296263</v>
      </c>
      <c r="N153">
        <v>78.599372604296263</v>
      </c>
      <c r="O153">
        <v>78.599372604296263</v>
      </c>
      <c r="P153">
        <v>78.599372604296263</v>
      </c>
      <c r="Q153">
        <v>78.599372604296263</v>
      </c>
      <c r="R153">
        <v>78.599372604296263</v>
      </c>
      <c r="S153">
        <v>96.065899849695427</v>
      </c>
      <c r="T153">
        <v>130.99895434049375</v>
      </c>
      <c r="U153">
        <v>218.3315905674896</v>
      </c>
      <c r="V153">
        <v>480.32949924847713</v>
      </c>
      <c r="W153">
        <v>768.52719879756341</v>
      </c>
      <c r="X153">
        <v>890.79288951535761</v>
      </c>
      <c r="Y153">
        <v>1056.7248983466498</v>
      </c>
      <c r="Z153">
        <v>1309.9895434049376</v>
      </c>
      <c r="AA153">
        <v>1371.1223887638346</v>
      </c>
      <c r="AB153">
        <v>1379.8556523865341</v>
      </c>
      <c r="AC153">
        <v>1423.5219705000322</v>
      </c>
      <c r="AD153">
        <v>1458.4550249908305</v>
      </c>
      <c r="AE153">
        <v>1484.6548158589292</v>
      </c>
      <c r="AF153">
        <v>1484.6548158589292</v>
      </c>
      <c r="AG153">
        <v>1484.6548158589292</v>
      </c>
      <c r="AH153">
        <v>1493.3880794816289</v>
      </c>
      <c r="AI153">
        <v>1493.3880794816289</v>
      </c>
      <c r="AJ153">
        <v>1545.7876612178263</v>
      </c>
      <c r="AK153">
        <v>1554.520924840526</v>
      </c>
      <c r="AL153">
        <v>1563.2541884632255</v>
      </c>
      <c r="AM153">
        <v>1624.3870338221225</v>
      </c>
      <c r="AN153">
        <v>1659.3200883129209</v>
      </c>
      <c r="AO153">
        <v>1668.0533519356204</v>
      </c>
      <c r="AP153">
        <v>1781.5857790307152</v>
      </c>
      <c r="AQ153">
        <v>1973.7175787301057</v>
      </c>
      <c r="AR153">
        <v>2235.7154874110934</v>
      </c>
      <c r="AS153">
        <v>2541.3797142055787</v>
      </c>
      <c r="AT153">
        <f>Sheet1!$AT153*_xlfn.XLOOKUP($A153,'[1]SSP4-change-rate'!$B$2:$B$147,'[1]SSP4-change-rate'!C$2:C$147)</f>
        <v>2833.1911780123337</v>
      </c>
      <c r="AU153">
        <f>Sheet1!$AT153*_xlfn.XLOOKUP($A153,'[1]SSP4-change-rate'!$B$2:$B$147,'[1]SSP4-change-rate'!D$2:D$147)</f>
        <v>2874.2386606353057</v>
      </c>
      <c r="AV153">
        <f>Sheet1!$AT153*_xlfn.XLOOKUP($A153,'[1]SSP4-change-rate'!$B$2:$B$147,'[1]SSP4-change-rate'!E$2:E$147)</f>
        <v>2928.8504443132611</v>
      </c>
      <c r="AW153">
        <f>Sheet1!$AT153*_xlfn.XLOOKUP($A153,'[1]SSP4-change-rate'!$B$2:$B$147,'[1]SSP4-change-rate'!F$2:F$147)</f>
        <v>3033.616323476454</v>
      </c>
      <c r="AX153">
        <f>Sheet1!$AT153*_xlfn.XLOOKUP($A153,'[1]SSP4-change-rate'!$B$2:$B$147,'[1]SSP4-change-rate'!G$2:G$147)</f>
        <v>3149.701634416243</v>
      </c>
      <c r="AY153">
        <f>Sheet1!$AT153*_xlfn.XLOOKUP($A153,'[1]SSP4-change-rate'!$B$2:$B$147,'[1]SSP4-change-rate'!H$2:H$147)</f>
        <v>3255.355657620772</v>
      </c>
    </row>
    <row r="154" spans="1:51" x14ac:dyDescent="0.25">
      <c r="A154" t="s">
        <v>538</v>
      </c>
      <c r="B154" t="s">
        <v>539</v>
      </c>
      <c r="C154" t="s">
        <v>540</v>
      </c>
      <c r="D154" t="s">
        <v>98</v>
      </c>
      <c r="E154" t="s">
        <v>61</v>
      </c>
      <c r="F154" t="s">
        <v>61</v>
      </c>
      <c r="G154">
        <v>241440.00241884461</v>
      </c>
      <c r="H154">
        <v>1700.547382905748</v>
      </c>
      <c r="I154">
        <v>243140.54980175037</v>
      </c>
      <c r="J154">
        <v>43685862</v>
      </c>
      <c r="K154">
        <v>94.21315140752067</v>
      </c>
      <c r="L154">
        <v>94.21315140752067</v>
      </c>
      <c r="M154">
        <v>94.21315140752067</v>
      </c>
      <c r="N154">
        <v>94.21315140752067</v>
      </c>
      <c r="O154">
        <v>94.21315140752067</v>
      </c>
      <c r="P154">
        <v>94.21315140752067</v>
      </c>
      <c r="Q154">
        <v>94.21315140752067</v>
      </c>
      <c r="R154">
        <v>94.21315140752067</v>
      </c>
      <c r="S154">
        <v>94.21315140752067</v>
      </c>
      <c r="T154">
        <v>117.76643925940081</v>
      </c>
      <c r="U154">
        <v>188.42630281504134</v>
      </c>
      <c r="V154">
        <v>247.30952244474176</v>
      </c>
      <c r="W154">
        <v>447.51246918572315</v>
      </c>
      <c r="X154">
        <v>459.2891131116632</v>
      </c>
      <c r="Y154">
        <v>518.17233274136368</v>
      </c>
      <c r="Z154">
        <v>553.50226451918388</v>
      </c>
      <c r="AA154">
        <v>588.83219629700409</v>
      </c>
      <c r="AB154">
        <v>588.83219629700409</v>
      </c>
      <c r="AC154">
        <v>588.83219629700409</v>
      </c>
      <c r="AD154">
        <v>612.3854841488843</v>
      </c>
      <c r="AE154">
        <v>612.3854841488843</v>
      </c>
      <c r="AF154">
        <v>612.3854841488843</v>
      </c>
      <c r="AG154">
        <v>624.16212807482441</v>
      </c>
      <c r="AH154">
        <v>635.93877200076452</v>
      </c>
      <c r="AI154">
        <v>635.93877200076452</v>
      </c>
      <c r="AJ154">
        <v>647.71541592670451</v>
      </c>
      <c r="AK154">
        <v>647.71541592670451</v>
      </c>
      <c r="AL154">
        <v>647.71541592670451</v>
      </c>
      <c r="AM154">
        <v>659.49205985264462</v>
      </c>
      <c r="AN154">
        <v>694.82199163046494</v>
      </c>
      <c r="AO154">
        <v>741.92856733422525</v>
      </c>
      <c r="AP154">
        <v>777.25849911204546</v>
      </c>
      <c r="AQ154">
        <v>977.46144585302682</v>
      </c>
      <c r="AR154">
        <v>1236.5476122237087</v>
      </c>
      <c r="AS154">
        <v>1436.7505589646901</v>
      </c>
      <c r="AT154">
        <f>Sheet1!$AT154*_xlfn.XLOOKUP($A154,'[1]SSP4-change-rate'!$B$2:$B$147,'[1]SSP4-change-rate'!C$2:C$147)</f>
        <v>1591.2208717932706</v>
      </c>
      <c r="AU154">
        <f>Sheet1!$AT154*_xlfn.XLOOKUP($A154,'[1]SSP4-change-rate'!$B$2:$B$147,'[1]SSP4-change-rate'!D$2:D$147)</f>
        <v>1614.2093002609167</v>
      </c>
      <c r="AV154">
        <f>Sheet1!$AT154*_xlfn.XLOOKUP($A154,'[1]SSP4-change-rate'!$B$2:$B$147,'[1]SSP4-change-rate'!E$2:E$147)</f>
        <v>1653.2164901748267</v>
      </c>
      <c r="AW154">
        <f>Sheet1!$AT154*_xlfn.XLOOKUP($A154,'[1]SSP4-change-rate'!$B$2:$B$147,'[1]SSP4-change-rate'!F$2:F$147)</f>
        <v>1708.8495915518799</v>
      </c>
      <c r="AX154">
        <f>Sheet1!$AT154*_xlfn.XLOOKUP($A154,'[1]SSP4-change-rate'!$B$2:$B$147,'[1]SSP4-change-rate'!G$2:G$147)</f>
        <v>1756.585024319859</v>
      </c>
      <c r="AY154">
        <f>Sheet1!$AT154*_xlfn.XLOOKUP($A154,'[1]SSP4-change-rate'!$B$2:$B$147,'[1]SSP4-change-rate'!H$2:H$147)</f>
        <v>1696.4255575316686</v>
      </c>
    </row>
    <row r="155" spans="1:51" x14ac:dyDescent="0.25">
      <c r="A155" t="s">
        <v>541</v>
      </c>
      <c r="B155" t="s">
        <v>542</v>
      </c>
      <c r="C155" t="s">
        <v>543</v>
      </c>
      <c r="D155" t="s">
        <v>129</v>
      </c>
      <c r="E155" t="s">
        <v>71</v>
      </c>
      <c r="F155" t="s">
        <v>82</v>
      </c>
      <c r="G155">
        <v>601362.64603230427</v>
      </c>
      <c r="H155">
        <v>28931.714954628889</v>
      </c>
      <c r="I155">
        <v>630294.36098693311</v>
      </c>
      <c r="J155">
        <v>44090698</v>
      </c>
      <c r="K155">
        <v>800.84966820416037</v>
      </c>
      <c r="L155">
        <v>1143.1736440247623</v>
      </c>
      <c r="M155">
        <v>1642.5269665520623</v>
      </c>
      <c r="N155">
        <v>2459.0795694268922</v>
      </c>
      <c r="O155">
        <v>3809.5319511044963</v>
      </c>
      <c r="P155">
        <v>4013.6701018232038</v>
      </c>
      <c r="Q155">
        <v>4013.6701018232038</v>
      </c>
      <c r="R155">
        <v>4453.3522726019582</v>
      </c>
      <c r="S155">
        <v>5508.5894824709694</v>
      </c>
      <c r="T155">
        <v>7490.2998379094997</v>
      </c>
      <c r="U155">
        <v>9867.7241470489098</v>
      </c>
      <c r="V155">
        <v>11887.121545697048</v>
      </c>
      <c r="W155">
        <v>13501.383229841904</v>
      </c>
      <c r="X155">
        <v>13545.35144691978</v>
      </c>
      <c r="Y155">
        <v>14352.482288992207</v>
      </c>
      <c r="Z155">
        <v>14789.023872836829</v>
      </c>
      <c r="AA155">
        <v>14924.06911100459</v>
      </c>
      <c r="AB155">
        <v>15005.724371292072</v>
      </c>
      <c r="AC155">
        <v>15071.676696908884</v>
      </c>
      <c r="AD155">
        <v>15250.690152154522</v>
      </c>
      <c r="AE155">
        <v>15404.578911927085</v>
      </c>
      <c r="AF155">
        <v>15593.014127975122</v>
      </c>
      <c r="AG155">
        <v>15762.605822418356</v>
      </c>
      <c r="AH155">
        <v>15869.38577817891</v>
      </c>
      <c r="AI155">
        <v>15960.462799268797</v>
      </c>
      <c r="AJ155">
        <v>16261.959144945657</v>
      </c>
      <c r="AK155">
        <v>16488.081404203302</v>
      </c>
      <c r="AL155">
        <v>16890.076531772451</v>
      </c>
      <c r="AM155">
        <v>17317.196354814667</v>
      </c>
      <c r="AN155">
        <v>17778.862634132362</v>
      </c>
      <c r="AO155">
        <v>18322.184173737536</v>
      </c>
      <c r="AP155">
        <v>19226.673210768116</v>
      </c>
      <c r="AQ155">
        <v>21911.875039452654</v>
      </c>
      <c r="AR155">
        <v>24907.994974616457</v>
      </c>
      <c r="AS155">
        <v>26016.622162365744</v>
      </c>
      <c r="AT155">
        <f>Sheet1!$AT155*_xlfn.XLOOKUP($A155,'[1]SSP4-change-rate'!$B$2:$B$147,'[1]SSP4-change-rate'!C$2:C$147)</f>
        <v>27210.186892155212</v>
      </c>
      <c r="AU155">
        <f>Sheet1!$AT155*_xlfn.XLOOKUP($A155,'[1]SSP4-change-rate'!$B$2:$B$147,'[1]SSP4-change-rate'!D$2:D$147)</f>
        <v>27125.376449586256</v>
      </c>
      <c r="AV155">
        <f>Sheet1!$AT155*_xlfn.XLOOKUP($A155,'[1]SSP4-change-rate'!$B$2:$B$147,'[1]SSP4-change-rate'!E$2:E$147)</f>
        <v>27020.607643754021</v>
      </c>
      <c r="AW155">
        <f>Sheet1!$AT155*_xlfn.XLOOKUP($A155,'[1]SSP4-change-rate'!$B$2:$B$147,'[1]SSP4-change-rate'!F$2:F$147)</f>
        <v>26582.410286174356</v>
      </c>
      <c r="AX155">
        <f>Sheet1!$AT155*_xlfn.XLOOKUP($A155,'[1]SSP4-change-rate'!$B$2:$B$147,'[1]SSP4-change-rate'!G$2:G$147)</f>
        <v>26005.280055925574</v>
      </c>
      <c r="AY155">
        <f>Sheet1!$AT155*_xlfn.XLOOKUP($A155,'[1]SSP4-change-rate'!$B$2:$B$147,'[1]SSP4-change-rate'!H$2:H$147)</f>
        <v>25266.805669112844</v>
      </c>
    </row>
    <row r="156" spans="1:51" x14ac:dyDescent="0.25">
      <c r="A156" t="s">
        <v>544</v>
      </c>
      <c r="B156" t="s">
        <v>545</v>
      </c>
      <c r="C156" t="s">
        <v>546</v>
      </c>
      <c r="D156" t="s">
        <v>75</v>
      </c>
      <c r="E156" t="s">
        <v>76</v>
      </c>
      <c r="F156" t="s">
        <v>77</v>
      </c>
      <c r="G156">
        <v>177598.80127767011</v>
      </c>
      <c r="H156">
        <v>1035.4431288188489</v>
      </c>
      <c r="I156">
        <v>178634.24440648896</v>
      </c>
      <c r="J156">
        <v>3428267</v>
      </c>
      <c r="K156">
        <v>47.134462049955729</v>
      </c>
      <c r="L156">
        <v>70.701693074933601</v>
      </c>
      <c r="M156">
        <v>114.46940783560676</v>
      </c>
      <c r="N156">
        <v>166.65399081948632</v>
      </c>
      <c r="O156">
        <v>203.6882110015944</v>
      </c>
      <c r="P156">
        <v>239.03905753906119</v>
      </c>
      <c r="Q156">
        <v>242.40580482834375</v>
      </c>
      <c r="R156">
        <v>244.089178472985</v>
      </c>
      <c r="S156">
        <v>246.61423893994694</v>
      </c>
      <c r="T156">
        <v>247.45592576226758</v>
      </c>
      <c r="U156">
        <v>247.45592576226758</v>
      </c>
      <c r="V156">
        <v>248.29761258458822</v>
      </c>
      <c r="W156">
        <v>248.29761258458822</v>
      </c>
      <c r="X156">
        <v>252.50604669619139</v>
      </c>
      <c r="Y156">
        <v>349.30003126306474</v>
      </c>
      <c r="Z156">
        <v>416.63497704871583</v>
      </c>
      <c r="AA156">
        <v>445.25232900761745</v>
      </c>
      <c r="AB156">
        <v>458.71931816474768</v>
      </c>
      <c r="AC156">
        <v>469.66124685491599</v>
      </c>
      <c r="AD156">
        <v>482.28654918972558</v>
      </c>
      <c r="AE156">
        <v>525.21257712807801</v>
      </c>
      <c r="AF156">
        <v>533.62944535128452</v>
      </c>
      <c r="AG156">
        <v>535.3128189959258</v>
      </c>
      <c r="AH156">
        <v>536.99619264056707</v>
      </c>
      <c r="AI156">
        <v>540.36293992984963</v>
      </c>
      <c r="AJ156">
        <v>542.04631357449091</v>
      </c>
      <c r="AK156">
        <v>544.57137404145283</v>
      </c>
      <c r="AL156">
        <v>557.1966763762623</v>
      </c>
      <c r="AM156">
        <v>563.93017095482753</v>
      </c>
      <c r="AN156">
        <v>582.44728104588148</v>
      </c>
      <c r="AO156">
        <v>601.80607795925619</v>
      </c>
      <c r="AP156">
        <v>698.60006252612948</v>
      </c>
      <c r="AQ156">
        <v>797.9191075599648</v>
      </c>
      <c r="AR156">
        <v>904.81333399468588</v>
      </c>
      <c r="AS156">
        <v>997.39888444995597</v>
      </c>
      <c r="AT156">
        <f>Sheet1!$AT156*_xlfn.XLOOKUP($A156,'[1]SSP4-change-rate'!$B$2:$B$147,'[1]SSP4-change-rate'!C$2:C$147)</f>
        <v>1019.0144790871595</v>
      </c>
      <c r="AU156">
        <f>Sheet1!$AT156*_xlfn.XLOOKUP($A156,'[1]SSP4-change-rate'!$B$2:$B$147,'[1]SSP4-change-rate'!D$2:D$147)</f>
        <v>1015.4897494057859</v>
      </c>
      <c r="AV156">
        <f>Sheet1!$AT156*_xlfn.XLOOKUP($A156,'[1]SSP4-change-rate'!$B$2:$B$147,'[1]SSP4-change-rate'!E$2:E$147)</f>
        <v>1008.6725029357085</v>
      </c>
      <c r="AW156">
        <f>Sheet1!$AT156*_xlfn.XLOOKUP($A156,'[1]SSP4-change-rate'!$B$2:$B$147,'[1]SSP4-change-rate'!F$2:F$147)</f>
        <v>993.39878866070933</v>
      </c>
      <c r="AX156">
        <f>Sheet1!$AT156*_xlfn.XLOOKUP($A156,'[1]SSP4-change-rate'!$B$2:$B$147,'[1]SSP4-change-rate'!G$2:G$147)</f>
        <v>974.52480727865395</v>
      </c>
      <c r="AY156">
        <f>Sheet1!$AT156*_xlfn.XLOOKUP($A156,'[1]SSP4-change-rate'!$B$2:$B$147,'[1]SSP4-change-rate'!H$2:H$147)</f>
        <v>953.11788159575474</v>
      </c>
    </row>
    <row r="157" spans="1:51" x14ac:dyDescent="0.25">
      <c r="A157" t="s">
        <v>547</v>
      </c>
      <c r="B157" t="s">
        <v>548</v>
      </c>
      <c r="C157" t="s">
        <v>549</v>
      </c>
      <c r="D157" t="s">
        <v>547</v>
      </c>
      <c r="E157" t="s">
        <v>122</v>
      </c>
      <c r="F157" t="s">
        <v>150</v>
      </c>
      <c r="G157">
        <v>9472888.2517689299</v>
      </c>
      <c r="H157">
        <v>565258.15654385579</v>
      </c>
      <c r="I157">
        <v>10038146.408312786</v>
      </c>
      <c r="J157">
        <v>334914895</v>
      </c>
      <c r="K157">
        <v>32582.56021655197</v>
      </c>
      <c r="L157">
        <v>44394.975253465142</v>
      </c>
      <c r="M157">
        <v>57911.166052395289</v>
      </c>
      <c r="N157">
        <v>72322.269372788898</v>
      </c>
      <c r="O157">
        <v>91866.212299460938</v>
      </c>
      <c r="P157">
        <v>107408.86366382038</v>
      </c>
      <c r="Q157">
        <v>126214.93400668961</v>
      </c>
      <c r="R157">
        <v>137409.94545307389</v>
      </c>
      <c r="S157">
        <v>167228.1725203938</v>
      </c>
      <c r="T157">
        <v>210799.22590914613</v>
      </c>
      <c r="U157">
        <v>253727.06092309667</v>
      </c>
      <c r="V157">
        <v>283366.73573252844</v>
      </c>
      <c r="W157">
        <v>327501.41191124101</v>
      </c>
      <c r="X157">
        <v>342501.95280586771</v>
      </c>
      <c r="Y157">
        <v>366283.82281735475</v>
      </c>
      <c r="Z157">
        <v>383954.04265221261</v>
      </c>
      <c r="AA157">
        <v>394899.51118395809</v>
      </c>
      <c r="AB157">
        <v>400434.63117849047</v>
      </c>
      <c r="AC157">
        <v>405511.53875217744</v>
      </c>
      <c r="AD157">
        <v>413522.72680489364</v>
      </c>
      <c r="AE157">
        <v>420387.30818948476</v>
      </c>
      <c r="AF157">
        <v>425961.15036042675</v>
      </c>
      <c r="AG157">
        <v>429747.31872046442</v>
      </c>
      <c r="AH157">
        <v>433585.11664904811</v>
      </c>
      <c r="AI157">
        <v>437192.73275119776</v>
      </c>
      <c r="AJ157">
        <v>440968.14495112171</v>
      </c>
      <c r="AK157">
        <v>445094.20797075372</v>
      </c>
      <c r="AL157">
        <v>451418.83011763496</v>
      </c>
      <c r="AM157">
        <v>462020.10152574058</v>
      </c>
      <c r="AN157">
        <v>467417.54267081711</v>
      </c>
      <c r="AO157">
        <v>474875.86409368692</v>
      </c>
      <c r="AP157">
        <v>483106.47781272343</v>
      </c>
      <c r="AQ157">
        <v>498431.85474278522</v>
      </c>
      <c r="AR157">
        <v>516614.06779905735</v>
      </c>
      <c r="AS157">
        <v>531866.30284034566</v>
      </c>
      <c r="AT157">
        <f>Sheet1!$AT157*_xlfn.XLOOKUP($A157,'[1]SSP4-change-rate'!$B$2:$B$147,'[1]SSP4-change-rate'!C$2:C$147)</f>
        <v>549303.59724160191</v>
      </c>
      <c r="AU157">
        <f>Sheet1!$AT157*_xlfn.XLOOKUP($A157,'[1]SSP4-change-rate'!$B$2:$B$147,'[1]SSP4-change-rate'!D$2:D$147)</f>
        <v>546540.20313393895</v>
      </c>
      <c r="AV157">
        <f>Sheet1!$AT157*_xlfn.XLOOKUP($A157,'[1]SSP4-change-rate'!$B$2:$B$147,'[1]SSP4-change-rate'!E$2:E$147)</f>
        <v>542673.21950375452</v>
      </c>
      <c r="AW157">
        <f>Sheet1!$AT157*_xlfn.XLOOKUP($A157,'[1]SSP4-change-rate'!$B$2:$B$147,'[1]SSP4-change-rate'!F$2:F$147)</f>
        <v>534678.22681696666</v>
      </c>
      <c r="AX157">
        <f>Sheet1!$AT157*_xlfn.XLOOKUP($A157,'[1]SSP4-change-rate'!$B$2:$B$147,'[1]SSP4-change-rate'!G$2:G$147)</f>
        <v>524492.4662290765</v>
      </c>
      <c r="AY157">
        <f>Sheet1!$AT157*_xlfn.XLOOKUP($A157,'[1]SSP4-change-rate'!$B$2:$B$147,'[1]SSP4-change-rate'!H$2:H$147)</f>
        <v>512225.16273616446</v>
      </c>
    </row>
    <row r="158" spans="1:51" x14ac:dyDescent="0.25">
      <c r="A158" t="s">
        <v>550</v>
      </c>
      <c r="B158" t="s">
        <v>551</v>
      </c>
      <c r="C158" t="s">
        <v>552</v>
      </c>
      <c r="D158" t="s">
        <v>308</v>
      </c>
      <c r="E158" t="s">
        <v>71</v>
      </c>
      <c r="F158" t="s">
        <v>82</v>
      </c>
      <c r="G158">
        <v>447555.71504959039</v>
      </c>
      <c r="H158">
        <v>8045.3327077958611</v>
      </c>
      <c r="I158">
        <v>455601.04775738623</v>
      </c>
      <c r="J158">
        <v>33243472</v>
      </c>
      <c r="K158">
        <v>341.2130969697364</v>
      </c>
      <c r="L158">
        <v>392.71696066328161</v>
      </c>
      <c r="M158">
        <v>459.24278460077733</v>
      </c>
      <c r="N158">
        <v>553.66653470561016</v>
      </c>
      <c r="O158">
        <v>688.86417690116605</v>
      </c>
      <c r="P158">
        <v>742.51403491527549</v>
      </c>
      <c r="Q158">
        <v>794.01789860882059</v>
      </c>
      <c r="R158">
        <v>851.95974526405894</v>
      </c>
      <c r="S158">
        <v>901.3176146370397</v>
      </c>
      <c r="T158">
        <v>1302.6185525825788</v>
      </c>
      <c r="U158">
        <v>2008.6506840482598</v>
      </c>
      <c r="V158">
        <v>3049.4579295219842</v>
      </c>
      <c r="W158">
        <v>3806.99392468121</v>
      </c>
      <c r="X158">
        <v>3873.5197486187062</v>
      </c>
      <c r="Y158">
        <v>4225.4628171912645</v>
      </c>
      <c r="Z158">
        <v>4502.2960845440693</v>
      </c>
      <c r="AA158">
        <v>4622.4717664956752</v>
      </c>
      <c r="AB158">
        <v>4684.7056017920413</v>
      </c>
      <c r="AC158">
        <v>4721.1875052416372</v>
      </c>
      <c r="AD158">
        <v>4774.8373632557459</v>
      </c>
      <c r="AE158">
        <v>4794.1513121408252</v>
      </c>
      <c r="AF158">
        <v>4830.6332155904192</v>
      </c>
      <c r="AG158">
        <v>4860.6771360783205</v>
      </c>
      <c r="AH158">
        <v>4901.4510281690445</v>
      </c>
      <c r="AI158">
        <v>4950.8088975420251</v>
      </c>
      <c r="AJ158">
        <v>4991.5827896327482</v>
      </c>
      <c r="AK158">
        <v>5036.6486703646005</v>
      </c>
      <c r="AL158">
        <v>5086.0065397375811</v>
      </c>
      <c r="AM158">
        <v>5242.6641251387809</v>
      </c>
      <c r="AN158">
        <v>5289.8760001911969</v>
      </c>
      <c r="AO158">
        <v>5354.2558298081285</v>
      </c>
      <c r="AP158">
        <v>5442.2415969512676</v>
      </c>
      <c r="AQ158">
        <v>5751.2647791125382</v>
      </c>
      <c r="AR158">
        <v>6231.9675069189598</v>
      </c>
      <c r="AS158">
        <v>6719.1082176870741</v>
      </c>
      <c r="AT158">
        <f>Sheet1!$AT158*_xlfn.XLOOKUP($A158,'[1]SSP4-change-rate'!$B$2:$B$147,'[1]SSP4-change-rate'!C$2:C$147)</f>
        <v>7096.6947562995892</v>
      </c>
      <c r="AU158">
        <f>Sheet1!$AT158*_xlfn.XLOOKUP($A158,'[1]SSP4-change-rate'!$B$2:$B$147,'[1]SSP4-change-rate'!D$2:D$147)</f>
        <v>7005.0600636577892</v>
      </c>
      <c r="AV158">
        <f>Sheet1!$AT158*_xlfn.XLOOKUP($A158,'[1]SSP4-change-rate'!$B$2:$B$147,'[1]SSP4-change-rate'!E$2:E$147)</f>
        <v>6905.871905828466</v>
      </c>
      <c r="AW158">
        <f>Sheet1!$AT158*_xlfn.XLOOKUP($A158,'[1]SSP4-change-rate'!$B$2:$B$147,'[1]SSP4-change-rate'!F$2:F$147)</f>
        <v>6378.1620926298356</v>
      </c>
      <c r="AX158">
        <f>Sheet1!$AT158*_xlfn.XLOOKUP($A158,'[1]SSP4-change-rate'!$B$2:$B$147,'[1]SSP4-change-rate'!G$2:G$147)</f>
        <v>6147.5121330850925</v>
      </c>
      <c r="AY158">
        <f>Sheet1!$AT158*_xlfn.XLOOKUP($A158,'[1]SSP4-change-rate'!$B$2:$B$147,'[1]SSP4-change-rate'!H$2:H$147)</f>
        <v>6059.9145367183064</v>
      </c>
    </row>
    <row r="159" spans="1:51" x14ac:dyDescent="0.25">
      <c r="A159" t="s">
        <v>553</v>
      </c>
      <c r="B159" t="s">
        <v>554</v>
      </c>
      <c r="C159" t="s">
        <v>555</v>
      </c>
      <c r="D159" t="s">
        <v>75</v>
      </c>
      <c r="E159" t="s">
        <v>76</v>
      </c>
      <c r="F159" t="s">
        <v>77</v>
      </c>
      <c r="G159">
        <v>912360.80287250108</v>
      </c>
      <c r="H159">
        <v>12166.876162890199</v>
      </c>
      <c r="I159">
        <v>924527.67903539131</v>
      </c>
      <c r="J159">
        <v>28628829</v>
      </c>
      <c r="K159">
        <v>140.28149542901048</v>
      </c>
      <c r="L159">
        <v>164.94637374619913</v>
      </c>
      <c r="M159">
        <v>200.40213632715782</v>
      </c>
      <c r="N159">
        <v>223.52545974952218</v>
      </c>
      <c r="O159">
        <v>248.19033806671084</v>
      </c>
      <c r="P159">
        <v>260.52277722530516</v>
      </c>
      <c r="Q159">
        <v>349.93296112511405</v>
      </c>
      <c r="R159">
        <v>436.26003523527436</v>
      </c>
      <c r="S159">
        <v>616.62195792971636</v>
      </c>
      <c r="T159">
        <v>1086.7962008511251</v>
      </c>
      <c r="U159">
        <v>1794.3698975754746</v>
      </c>
      <c r="V159">
        <v>2814.8792379491551</v>
      </c>
      <c r="W159">
        <v>4034.2491597551693</v>
      </c>
      <c r="X159">
        <v>4382.6405659854599</v>
      </c>
      <c r="Y159">
        <v>5153.4180133976042</v>
      </c>
      <c r="Z159">
        <v>5677.5466776378635</v>
      </c>
      <c r="AA159">
        <v>5856.3670454374815</v>
      </c>
      <c r="AB159">
        <v>5911.8630216511565</v>
      </c>
      <c r="AC159">
        <v>5961.1927782855337</v>
      </c>
      <c r="AD159">
        <v>6107.6404932938403</v>
      </c>
      <c r="AE159">
        <v>6257.1713180917968</v>
      </c>
      <c r="AF159">
        <v>6331.1659530433626</v>
      </c>
      <c r="AG159">
        <v>6412.8683624690502</v>
      </c>
      <c r="AH159">
        <v>6497.6538816843859</v>
      </c>
      <c r="AI159">
        <v>6599.3965047427891</v>
      </c>
      <c r="AJ159">
        <v>6705.7637924856654</v>
      </c>
      <c r="AK159">
        <v>6787.466201911353</v>
      </c>
      <c r="AL159">
        <v>6933.9139169196606</v>
      </c>
      <c r="AM159">
        <v>7138.9407179312921</v>
      </c>
      <c r="AN159">
        <v>7347.0506287325697</v>
      </c>
      <c r="AO159">
        <v>7596.7825216941064</v>
      </c>
      <c r="AP159">
        <v>7874.2624027624779</v>
      </c>
      <c r="AQ159">
        <v>8757.5733574967962</v>
      </c>
      <c r="AR159">
        <v>10198.92718415751</v>
      </c>
      <c r="AS159">
        <v>11247.184512638027</v>
      </c>
      <c r="AT159">
        <f>Sheet1!$AT159*_xlfn.XLOOKUP($A159,'[1]SSP4-change-rate'!$B$2:$B$147,'[1]SSP4-change-rate'!C$2:C$147)</f>
        <v>11736.055479313678</v>
      </c>
      <c r="AU159">
        <f>Sheet1!$AT159*_xlfn.XLOOKUP($A159,'[1]SSP4-change-rate'!$B$2:$B$147,'[1]SSP4-change-rate'!D$2:D$147)</f>
        <v>11666.487670363356</v>
      </c>
      <c r="AV159">
        <f>Sheet1!$AT159*_xlfn.XLOOKUP($A159,'[1]SSP4-change-rate'!$B$2:$B$147,'[1]SSP4-change-rate'!E$2:E$147)</f>
        <v>11569.844974246151</v>
      </c>
      <c r="AW159">
        <f>Sheet1!$AT159*_xlfn.XLOOKUP($A159,'[1]SSP4-change-rate'!$B$2:$B$147,'[1]SSP4-change-rate'!F$2:F$147)</f>
        <v>11287.930100060279</v>
      </c>
      <c r="AX159">
        <f>Sheet1!$AT159*_xlfn.XLOOKUP($A159,'[1]SSP4-change-rate'!$B$2:$B$147,'[1]SSP4-change-rate'!G$2:G$147)</f>
        <v>10880.104761546079</v>
      </c>
      <c r="AY159">
        <f>Sheet1!$AT159*_xlfn.XLOOKUP($A159,'[1]SSP4-change-rate'!$B$2:$B$147,'[1]SSP4-change-rate'!H$2:H$147)</f>
        <v>10299.751017391478</v>
      </c>
    </row>
    <row r="160" spans="1:51" x14ac:dyDescent="0.25">
      <c r="A160" t="s">
        <v>556</v>
      </c>
      <c r="B160" t="s">
        <v>557</v>
      </c>
      <c r="C160" t="s">
        <v>558</v>
      </c>
      <c r="D160" t="s">
        <v>139</v>
      </c>
      <c r="E160" t="s">
        <v>55</v>
      </c>
      <c r="F160" t="s">
        <v>140</v>
      </c>
      <c r="G160">
        <v>329269.96305834479</v>
      </c>
      <c r="H160">
        <v>17970.326245493579</v>
      </c>
      <c r="I160">
        <v>347240.28930383839</v>
      </c>
      <c r="J160">
        <v>96203591</v>
      </c>
      <c r="K160">
        <v>187.11064260022712</v>
      </c>
      <c r="L160">
        <v>231.13667615322174</v>
      </c>
      <c r="M160">
        <v>280.66596390034067</v>
      </c>
      <c r="N160">
        <v>335.69850584158394</v>
      </c>
      <c r="O160">
        <v>396.23430197695154</v>
      </c>
      <c r="P160">
        <v>418.24731875344889</v>
      </c>
      <c r="Q160">
        <v>429.25382714169757</v>
      </c>
      <c r="R160">
        <v>429.25382714169757</v>
      </c>
      <c r="S160">
        <v>429.25382714169757</v>
      </c>
      <c r="T160">
        <v>495.29287747118946</v>
      </c>
      <c r="U160">
        <v>671.39701168316788</v>
      </c>
      <c r="V160">
        <v>753.94582459503283</v>
      </c>
      <c r="W160">
        <v>869.5141626716437</v>
      </c>
      <c r="X160">
        <v>908.03694203051407</v>
      </c>
      <c r="Y160">
        <v>1073.1345678542439</v>
      </c>
      <c r="Z160">
        <v>1293.2647356192169</v>
      </c>
      <c r="AA160">
        <v>1496.885140801817</v>
      </c>
      <c r="AB160">
        <v>1805.0673756727795</v>
      </c>
      <c r="AC160">
        <v>2239.8244570086013</v>
      </c>
      <c r="AD160">
        <v>2537.0001834913151</v>
      </c>
      <c r="AE160">
        <v>2867.1954351387744</v>
      </c>
      <c r="AF160">
        <v>3323.9655332510938</v>
      </c>
      <c r="AG160">
        <v>4672.2628108115541</v>
      </c>
      <c r="AH160">
        <v>5228.0914844181107</v>
      </c>
      <c r="AI160">
        <v>5618.8225322009384</v>
      </c>
      <c r="AJ160">
        <v>5855.4624625482838</v>
      </c>
      <c r="AK160">
        <v>6070.0893761191337</v>
      </c>
      <c r="AL160">
        <v>6416.7943903489659</v>
      </c>
      <c r="AM160">
        <v>7038.6621142850154</v>
      </c>
      <c r="AN160">
        <v>7363.3541117383502</v>
      </c>
      <c r="AO160">
        <v>7919.1827853449067</v>
      </c>
      <c r="AP160">
        <v>9256.4735545171188</v>
      </c>
      <c r="AQ160">
        <v>10819.397745648426</v>
      </c>
      <c r="AR160">
        <v>11655.892383155326</v>
      </c>
      <c r="AS160">
        <v>15205.491338365517</v>
      </c>
      <c r="AT160">
        <f>Sheet1!$AT160*_xlfn.XLOOKUP($A160,'[1]SSP4-change-rate'!$B$2:$B$147,'[1]SSP4-change-rate'!C$2:C$147)</f>
        <v>16374.646317931951</v>
      </c>
      <c r="AU160">
        <f>Sheet1!$AT160*_xlfn.XLOOKUP($A160,'[1]SSP4-change-rate'!$B$2:$B$147,'[1]SSP4-change-rate'!D$2:D$147)</f>
        <v>16242.342071032495</v>
      </c>
      <c r="AV160">
        <f>Sheet1!$AT160*_xlfn.XLOOKUP($A160,'[1]SSP4-change-rate'!$B$2:$B$147,'[1]SSP4-change-rate'!E$2:E$147)</f>
        <v>16095.934157829062</v>
      </c>
      <c r="AW160">
        <f>Sheet1!$AT160*_xlfn.XLOOKUP($A160,'[1]SSP4-change-rate'!$B$2:$B$147,'[1]SSP4-change-rate'!F$2:F$147)</f>
        <v>15534.158407279194</v>
      </c>
      <c r="AX160">
        <f>Sheet1!$AT160*_xlfn.XLOOKUP($A160,'[1]SSP4-change-rate'!$B$2:$B$147,'[1]SSP4-change-rate'!G$2:G$147)</f>
        <v>14860.251635446686</v>
      </c>
      <c r="AY160">
        <f>Sheet1!$AT160*_xlfn.XLOOKUP($A160,'[1]SSP4-change-rate'!$B$2:$B$147,'[1]SSP4-change-rate'!H$2:H$147)</f>
        <v>14184.35416588061</v>
      </c>
    </row>
    <row r="161" spans="1:51" x14ac:dyDescent="0.25">
      <c r="A161" t="s">
        <v>559</v>
      </c>
      <c r="B161" t="s">
        <v>560</v>
      </c>
      <c r="C161" t="s">
        <v>561</v>
      </c>
      <c r="D161" t="s">
        <v>65</v>
      </c>
      <c r="E161" t="s">
        <v>66</v>
      </c>
      <c r="F161" t="s">
        <v>66</v>
      </c>
      <c r="G161">
        <v>10836.643750199861</v>
      </c>
      <c r="H161">
        <v>1144.3211452465471</v>
      </c>
      <c r="I161">
        <v>11980.964895446408</v>
      </c>
      <c r="K161">
        <v>120.26996116017415</v>
      </c>
      <c r="L161">
        <v>133.474622588063</v>
      </c>
      <c r="M161">
        <v>147.9666172872241</v>
      </c>
      <c r="N161">
        <v>167.19713998930223</v>
      </c>
      <c r="O161">
        <v>196.1004394009245</v>
      </c>
      <c r="P161">
        <v>207.39612406605175</v>
      </c>
      <c r="Q161">
        <v>223.81178132180952</v>
      </c>
      <c r="R161">
        <v>237.91990864487082</v>
      </c>
      <c r="S161">
        <v>260.97799943349025</v>
      </c>
      <c r="T161">
        <v>291.72198295912938</v>
      </c>
      <c r="U161">
        <v>342.38715308254365</v>
      </c>
      <c r="V161">
        <v>387.47716134694588</v>
      </c>
      <c r="W161">
        <v>419.95642461864509</v>
      </c>
      <c r="X161">
        <v>436.08551509478804</v>
      </c>
      <c r="Y161">
        <v>488.2553487864086</v>
      </c>
      <c r="Z161">
        <v>544.01759560968389</v>
      </c>
      <c r="AA161">
        <v>575.9047800792024</v>
      </c>
      <c r="AB161">
        <v>590.20004325602861</v>
      </c>
      <c r="AC161">
        <v>608.09197404656243</v>
      </c>
      <c r="AD161">
        <v>633.53289371822621</v>
      </c>
      <c r="AE161">
        <v>649.66274909851074</v>
      </c>
      <c r="AF161">
        <v>663.12276090271109</v>
      </c>
      <c r="AG161">
        <v>677.69848489490914</v>
      </c>
      <c r="AH161">
        <v>693.12993386273627</v>
      </c>
      <c r="AI161">
        <v>703.16086025343134</v>
      </c>
      <c r="AJ161">
        <v>715.4516524383364</v>
      </c>
      <c r="AK161">
        <v>727.44134066429535</v>
      </c>
      <c r="AL161">
        <v>747.08752334472433</v>
      </c>
      <c r="AM161">
        <v>773.87271674996907</v>
      </c>
      <c r="AN161">
        <v>797.29621362427076</v>
      </c>
      <c r="AO161">
        <v>839.48170188906465</v>
      </c>
      <c r="AP161">
        <v>889.23519858695386</v>
      </c>
      <c r="AQ161">
        <v>965.11060324413734</v>
      </c>
      <c r="AR161">
        <v>1045.2700618824922</v>
      </c>
      <c r="AS161">
        <v>1110.5371693775437</v>
      </c>
      <c r="AT161">
        <v>1133.6669730639851</v>
      </c>
      <c r="AU161">
        <v>1130.9363885192965</v>
      </c>
      <c r="AV161">
        <v>1126.9636831513815</v>
      </c>
      <c r="AW161">
        <v>1116.7954413985185</v>
      </c>
      <c r="AX161">
        <v>1102.4425736533171</v>
      </c>
      <c r="AY161">
        <v>1084.2736469067711</v>
      </c>
    </row>
    <row r="162" spans="1:51" x14ac:dyDescent="0.25">
      <c r="A162" t="s">
        <v>562</v>
      </c>
      <c r="B162" t="s">
        <v>563</v>
      </c>
      <c r="C162" t="s">
        <v>564</v>
      </c>
      <c r="D162" t="s">
        <v>70</v>
      </c>
      <c r="E162" t="s">
        <v>71</v>
      </c>
      <c r="F162" t="s">
        <v>70</v>
      </c>
      <c r="G162">
        <v>452194.79684866202</v>
      </c>
      <c r="H162">
        <v>1368.9775930866581</v>
      </c>
      <c r="I162">
        <v>453563.77444174868</v>
      </c>
      <c r="J162">
        <v>31927134</v>
      </c>
      <c r="K162">
        <v>53.043269273910262</v>
      </c>
      <c r="L162">
        <v>57.655727471641598</v>
      </c>
      <c r="M162">
        <v>62.268185669372919</v>
      </c>
      <c r="N162">
        <v>66.880643867104254</v>
      </c>
      <c r="O162">
        <v>71.493102064835583</v>
      </c>
      <c r="P162">
        <v>73.79933116370124</v>
      </c>
      <c r="Q162">
        <v>76.105560262566911</v>
      </c>
      <c r="R162">
        <v>76.105560262566911</v>
      </c>
      <c r="S162">
        <v>76.105560262566911</v>
      </c>
      <c r="T162">
        <v>99.167851251223553</v>
      </c>
      <c r="U162">
        <v>152.21112052513382</v>
      </c>
      <c r="V162">
        <v>219.09176439223808</v>
      </c>
      <c r="W162">
        <v>352.85305212644658</v>
      </c>
      <c r="X162">
        <v>419.73369599355084</v>
      </c>
      <c r="Y162">
        <v>456.63336157540147</v>
      </c>
      <c r="Z162">
        <v>468.16450706972978</v>
      </c>
      <c r="AA162">
        <v>479.69565256405809</v>
      </c>
      <c r="AB162">
        <v>486.61433986065504</v>
      </c>
      <c r="AC162">
        <v>486.61433986065504</v>
      </c>
      <c r="AD162">
        <v>514.28908904704303</v>
      </c>
      <c r="AE162">
        <v>532.73892183796841</v>
      </c>
      <c r="AF162">
        <v>548.88252553002792</v>
      </c>
      <c r="AG162">
        <v>567.33235832095329</v>
      </c>
      <c r="AH162">
        <v>578.86350381528155</v>
      </c>
      <c r="AI162">
        <v>583.47596201301292</v>
      </c>
      <c r="AJ162">
        <v>668.80643867104254</v>
      </c>
      <c r="AK162">
        <v>712.62479154949017</v>
      </c>
      <c r="AL162">
        <v>758.74937352680342</v>
      </c>
      <c r="AM162">
        <v>816.40510099844505</v>
      </c>
      <c r="AN162">
        <v>850.99853748143005</v>
      </c>
      <c r="AO162">
        <v>880.97951576668356</v>
      </c>
      <c r="AP162">
        <v>908.65426495307145</v>
      </c>
      <c r="AQ162">
        <v>954.77884693038493</v>
      </c>
      <c r="AR162">
        <v>980.14736701790719</v>
      </c>
      <c r="AS162">
        <v>1060.8653854782053</v>
      </c>
      <c r="AT162">
        <f>Sheet1!$AT162*_xlfn.XLOOKUP($A162,'[1]SSP4-change-rate'!$B$2:$B$147,'[1]SSP4-change-rate'!C$2:C$147)</f>
        <v>1184.3258716484272</v>
      </c>
      <c r="AU162">
        <f>Sheet1!$AT162*_xlfn.XLOOKUP($A162,'[1]SSP4-change-rate'!$B$2:$B$147,'[1]SSP4-change-rate'!D$2:D$147)</f>
        <v>1171.6356170993979</v>
      </c>
      <c r="AV162">
        <f>Sheet1!$AT162*_xlfn.XLOOKUP($A162,'[1]SSP4-change-rate'!$B$2:$B$147,'[1]SSP4-change-rate'!E$2:E$147)</f>
        <v>1157.9697685883386</v>
      </c>
      <c r="AW162">
        <f>Sheet1!$AT162*_xlfn.XLOOKUP($A162,'[1]SSP4-change-rate'!$B$2:$B$147,'[1]SSP4-change-rate'!F$2:F$147)</f>
        <v>955.35495129286653</v>
      </c>
      <c r="AX162">
        <f>Sheet1!$AT162*_xlfn.XLOOKUP($A162,'[1]SSP4-change-rate'!$B$2:$B$147,'[1]SSP4-change-rate'!G$2:G$147)</f>
        <v>714.8844771751194</v>
      </c>
      <c r="AY162">
        <f>Sheet1!$AT162*_xlfn.XLOOKUP($A162,'[1]SSP4-change-rate'!$B$2:$B$147,'[1]SSP4-change-rate'!H$2:H$147)</f>
        <v>563.43597125712824</v>
      </c>
    </row>
    <row r="163" spans="1:51" x14ac:dyDescent="0.25">
      <c r="A163" t="s">
        <v>565</v>
      </c>
      <c r="B163" t="s">
        <v>566</v>
      </c>
      <c r="C163" t="s">
        <v>567</v>
      </c>
      <c r="D163" t="s">
        <v>566</v>
      </c>
      <c r="E163" t="s">
        <v>61</v>
      </c>
      <c r="F163" t="s">
        <v>61</v>
      </c>
      <c r="G163">
        <v>1219709.0736007169</v>
      </c>
      <c r="H163">
        <v>14802.82812319728</v>
      </c>
      <c r="I163">
        <v>1234511.9017239141</v>
      </c>
      <c r="J163">
        <v>58466146</v>
      </c>
      <c r="K163">
        <v>89.397765837235895</v>
      </c>
      <c r="L163">
        <v>170.14413498054574</v>
      </c>
      <c r="M163">
        <v>226.37821349106511</v>
      </c>
      <c r="N163">
        <v>348.93966665501756</v>
      </c>
      <c r="O163">
        <v>669.04134433028162</v>
      </c>
      <c r="P163">
        <v>836.30168041285208</v>
      </c>
      <c r="Q163">
        <v>1058.354195556954</v>
      </c>
      <c r="R163">
        <v>1310.6865991297973</v>
      </c>
      <c r="S163">
        <v>1779.3039200507922</v>
      </c>
      <c r="T163">
        <v>2458.4385605239877</v>
      </c>
      <c r="U163">
        <v>3358.1838166922971</v>
      </c>
      <c r="V163">
        <v>4523.2385714743396</v>
      </c>
      <c r="W163">
        <v>6325.6128827089342</v>
      </c>
      <c r="X163">
        <v>6781.2531085890396</v>
      </c>
      <c r="Y163">
        <v>7626.206185695818</v>
      </c>
      <c r="Z163">
        <v>8221.7106581277276</v>
      </c>
      <c r="AA163">
        <v>8541.8123358029916</v>
      </c>
      <c r="AB163">
        <v>8655.7223922730191</v>
      </c>
      <c r="AC163">
        <v>8772.5162476410205</v>
      </c>
      <c r="AD163">
        <v>8928.2413881316897</v>
      </c>
      <c r="AE163">
        <v>9163.2709983166806</v>
      </c>
      <c r="AF163">
        <v>9314.6704404603861</v>
      </c>
      <c r="AG163">
        <v>9484.8145754409306</v>
      </c>
      <c r="AH163">
        <v>9666.4939060133802</v>
      </c>
      <c r="AI163">
        <v>9827.9866442999992</v>
      </c>
      <c r="AJ163">
        <v>10028.410667709286</v>
      </c>
      <c r="AK163">
        <v>10234.602288914524</v>
      </c>
      <c r="AL163">
        <v>10433.584412874823</v>
      </c>
      <c r="AM163">
        <v>10851.73525308125</v>
      </c>
      <c r="AN163">
        <v>11040.624080898635</v>
      </c>
      <c r="AO163">
        <v>11222.303411471081</v>
      </c>
      <c r="AP163">
        <v>11647.663748922447</v>
      </c>
      <c r="AQ163">
        <v>12385.916266804135</v>
      </c>
      <c r="AR163">
        <v>13255.381634543704</v>
      </c>
      <c r="AS163">
        <v>13848.002308077639</v>
      </c>
      <c r="AT163">
        <f>Sheet1!$AT163*_xlfn.XLOOKUP($A163,'[1]SSP4-change-rate'!$B$2:$B$147,'[1]SSP4-change-rate'!C$2:C$147)</f>
        <v>14408.939168286945</v>
      </c>
      <c r="AU163">
        <f>Sheet1!$AT163*_xlfn.XLOOKUP($A163,'[1]SSP4-change-rate'!$B$2:$B$147,'[1]SSP4-change-rate'!D$2:D$147)</f>
        <v>14302.477238550111</v>
      </c>
      <c r="AV163">
        <f>Sheet1!$AT163*_xlfn.XLOOKUP($A163,'[1]SSP4-change-rate'!$B$2:$B$147,'[1]SSP4-change-rate'!E$2:E$147)</f>
        <v>14154.790142864105</v>
      </c>
      <c r="AW163">
        <f>Sheet1!$AT163*_xlfn.XLOOKUP($A163,'[1]SSP4-change-rate'!$B$2:$B$147,'[1]SSP4-change-rate'!F$2:F$147)</f>
        <v>13788.209478078219</v>
      </c>
      <c r="AX163">
        <f>Sheet1!$AT163*_xlfn.XLOOKUP($A163,'[1]SSP4-change-rate'!$B$2:$B$147,'[1]SSP4-change-rate'!G$2:G$147)</f>
        <v>13325.739558745918</v>
      </c>
      <c r="AY163">
        <f>Sheet1!$AT163*_xlfn.XLOOKUP($A163,'[1]SSP4-change-rate'!$B$2:$B$147,'[1]SSP4-change-rate'!H$2:H$147)</f>
        <v>12810.048449830718</v>
      </c>
    </row>
    <row r="164" spans="1:51" x14ac:dyDescent="0.25">
      <c r="A164" t="s">
        <v>568</v>
      </c>
      <c r="B164" t="s">
        <v>569</v>
      </c>
      <c r="C164" t="s">
        <v>570</v>
      </c>
      <c r="D164" t="s">
        <v>60</v>
      </c>
      <c r="E164" t="s">
        <v>61</v>
      </c>
      <c r="F164" t="s">
        <v>61</v>
      </c>
      <c r="G164">
        <v>751172.35043800029</v>
      </c>
      <c r="H164">
        <v>2202.885661316071</v>
      </c>
      <c r="I164">
        <v>753375.23609931639</v>
      </c>
      <c r="J164">
        <v>18654917</v>
      </c>
      <c r="K164">
        <v>48.696007987091932</v>
      </c>
      <c r="L164">
        <v>51.739508486285175</v>
      </c>
      <c r="M164">
        <v>54.783008985478425</v>
      </c>
      <c r="N164">
        <v>60.870009983864911</v>
      </c>
      <c r="O164">
        <v>66.957010982251404</v>
      </c>
      <c r="P164">
        <v>73.04401198063789</v>
      </c>
      <c r="Q164">
        <v>82.174513478217634</v>
      </c>
      <c r="R164">
        <v>94.348515474990606</v>
      </c>
      <c r="S164">
        <v>127.82702096611632</v>
      </c>
      <c r="T164">
        <v>149.13152446046902</v>
      </c>
      <c r="U164">
        <v>246.52354043465289</v>
      </c>
      <c r="V164">
        <v>398.69856539431515</v>
      </c>
      <c r="W164">
        <v>547.83008985478421</v>
      </c>
      <c r="X164">
        <v>563.04759235075039</v>
      </c>
      <c r="Y164">
        <v>645.2221058289681</v>
      </c>
      <c r="Z164">
        <v>773.04912679508448</v>
      </c>
      <c r="AA164">
        <v>843.04963827652898</v>
      </c>
      <c r="AB164">
        <v>867.39764227007504</v>
      </c>
      <c r="AC164">
        <v>876.5281437676548</v>
      </c>
      <c r="AD164">
        <v>900.87614776120063</v>
      </c>
      <c r="AE164">
        <v>922.18065125555336</v>
      </c>
      <c r="AF164">
        <v>940.44165425071287</v>
      </c>
      <c r="AG164">
        <v>952.61565624748584</v>
      </c>
      <c r="AH164">
        <v>955.65915674667917</v>
      </c>
      <c r="AI164">
        <v>970.87665924264536</v>
      </c>
      <c r="AJ164">
        <v>973.92015974183857</v>
      </c>
      <c r="AK164">
        <v>983.05066123941833</v>
      </c>
      <c r="AL164">
        <v>995.22466323619142</v>
      </c>
      <c r="AM164">
        <v>1080.4426772136021</v>
      </c>
      <c r="AN164">
        <v>1110.8776822055345</v>
      </c>
      <c r="AO164">
        <v>1153.4866891942402</v>
      </c>
      <c r="AP164">
        <v>1220.4437001764916</v>
      </c>
      <c r="AQ164">
        <v>1427.4017341216322</v>
      </c>
      <c r="AR164">
        <v>1734.7952845401501</v>
      </c>
      <c r="AS164">
        <v>1896.1008109973918</v>
      </c>
      <c r="AT164">
        <f>Sheet1!$AT164*_xlfn.XLOOKUP($A164,'[1]SSP4-change-rate'!$B$2:$B$147,'[1]SSP4-change-rate'!C$2:C$147)</f>
        <v>2091.6074765131589</v>
      </c>
      <c r="AU164">
        <f>Sheet1!$AT164*_xlfn.XLOOKUP($A164,'[1]SSP4-change-rate'!$B$2:$B$147,'[1]SSP4-change-rate'!D$2:D$147)</f>
        <v>2109.658795463255</v>
      </c>
      <c r="AV164">
        <f>Sheet1!$AT164*_xlfn.XLOOKUP($A164,'[1]SSP4-change-rate'!$B$2:$B$147,'[1]SSP4-change-rate'!E$2:E$147)</f>
        <v>2138.2086368349496</v>
      </c>
      <c r="AW164">
        <f>Sheet1!$AT164*_xlfn.XLOOKUP($A164,'[1]SSP4-change-rate'!$B$2:$B$147,'[1]SSP4-change-rate'!F$2:F$147)</f>
        <v>2154.8923332542086</v>
      </c>
      <c r="AX164">
        <f>Sheet1!$AT164*_xlfn.XLOOKUP($A164,'[1]SSP4-change-rate'!$B$2:$B$147,'[1]SSP4-change-rate'!G$2:G$147)</f>
        <v>2032.1899662826479</v>
      </c>
      <c r="AY164">
        <f>Sheet1!$AT164*_xlfn.XLOOKUP($A164,'[1]SSP4-change-rate'!$B$2:$B$147,'[1]SSP4-change-rate'!H$2:H$147)</f>
        <v>1575.5030109504339</v>
      </c>
    </row>
    <row r="165" spans="1:51" x14ac:dyDescent="0.25">
      <c r="A165" t="s">
        <v>571</v>
      </c>
      <c r="B165" t="s">
        <v>572</v>
      </c>
      <c r="C165" t="s">
        <v>573</v>
      </c>
      <c r="D165" t="s">
        <v>60</v>
      </c>
      <c r="E165" t="s">
        <v>61</v>
      </c>
      <c r="F165" t="s">
        <v>61</v>
      </c>
      <c r="G165">
        <v>390042.59770946641</v>
      </c>
      <c r="H165">
        <v>2270.7094274558308</v>
      </c>
      <c r="I165">
        <v>392313.30713692226</v>
      </c>
      <c r="K165">
        <v>117.71744385115008</v>
      </c>
      <c r="L165">
        <v>119.83520986140682</v>
      </c>
      <c r="M165">
        <v>122.35593965313504</v>
      </c>
      <c r="N165">
        <v>126.542834856542</v>
      </c>
      <c r="O165">
        <v>131.90103682461299</v>
      </c>
      <c r="P165">
        <v>134.77560083955163</v>
      </c>
      <c r="Q165">
        <v>139.29051906863961</v>
      </c>
      <c r="R165">
        <v>145.40259082368087</v>
      </c>
      <c r="S165">
        <v>167.80069998987787</v>
      </c>
      <c r="T165">
        <v>201.95928251031665</v>
      </c>
      <c r="U165">
        <v>279.1767154053253</v>
      </c>
      <c r="V165">
        <v>378.2608712472649</v>
      </c>
      <c r="W165">
        <v>505.3065452684927</v>
      </c>
      <c r="X165">
        <v>547.59635542492106</v>
      </c>
      <c r="Y165">
        <v>632.46508719128724</v>
      </c>
      <c r="Z165">
        <v>724.30268935498282</v>
      </c>
      <c r="AA165">
        <v>791.93207840582704</v>
      </c>
      <c r="AB165">
        <v>809.47055832970113</v>
      </c>
      <c r="AC165">
        <v>846.01269047673418</v>
      </c>
      <c r="AD165">
        <v>882.88779388412536</v>
      </c>
      <c r="AE165">
        <v>909.63273907241637</v>
      </c>
      <c r="AF165">
        <v>944.16267632619622</v>
      </c>
      <c r="AG165">
        <v>973.94977921875306</v>
      </c>
      <c r="AH165">
        <v>996.92510377472479</v>
      </c>
      <c r="AI165">
        <v>1022.1252088122626</v>
      </c>
      <c r="AJ165">
        <v>1058.8173095353332</v>
      </c>
      <c r="AK165">
        <v>1099.6792046829457</v>
      </c>
      <c r="AL165">
        <v>1152.6386160690004</v>
      </c>
      <c r="AM165">
        <v>1243.7879404376706</v>
      </c>
      <c r="AN165">
        <v>1315.4246794090529</v>
      </c>
      <c r="AO165">
        <v>1393.6418289556734</v>
      </c>
      <c r="AP165">
        <v>1520.7887652117815</v>
      </c>
      <c r="AQ165">
        <v>1708.8918770412429</v>
      </c>
      <c r="AR165">
        <v>1918.9929621786825</v>
      </c>
      <c r="AS165">
        <v>2092.0403797456765</v>
      </c>
      <c r="AT165">
        <v>2283.254633850921</v>
      </c>
      <c r="AU165">
        <v>2295.8441151622928</v>
      </c>
      <c r="AV165">
        <v>2311.6577157444499</v>
      </c>
      <c r="AW165">
        <v>2322.4029153159204</v>
      </c>
      <c r="AX165">
        <v>2284.0646134580707</v>
      </c>
      <c r="AY165">
        <v>2131.6490428345519</v>
      </c>
    </row>
    <row r="167" spans="1:51" x14ac:dyDescent="0.25">
      <c r="AS167">
        <f>AS13+AS14+AS25+AS30+AS31+AS33+AS52+AS55+AS56+AS57+AS85+AS97+AS103+AS108+AS109+AS132+AS146+AS145</f>
        <v>45062.708739394053</v>
      </c>
      <c r="AT167">
        <f t="shared" ref="AT167:AY167" si="0">AT13+AT14+AT25+AT30+AT31+AT33+AT52+AT55+AT56+AT57+AT85+AT97+AT103+AT108+AT109+AT132+AT146+AT145</f>
        <v>47963.04811796765</v>
      </c>
      <c r="AU167">
        <f t="shared" si="0"/>
        <v>48093.702264416323</v>
      </c>
      <c r="AV167">
        <f t="shared" si="0"/>
        <v>48215.064787137722</v>
      </c>
      <c r="AW167">
        <f t="shared" si="0"/>
        <v>47327.557949033973</v>
      </c>
      <c r="AX167">
        <f t="shared" si="0"/>
        <v>42850.307936196834</v>
      </c>
      <c r="AY167">
        <f t="shared" si="0"/>
        <v>32344.576952717114</v>
      </c>
    </row>
    <row r="168" spans="1:51" x14ac:dyDescent="0.25">
      <c r="AT168">
        <f>1+(AT167-$AS$167)/$AS$167</f>
        <v>1.0643622955589909</v>
      </c>
      <c r="AU168">
        <f t="shared" ref="AU168:AY168" si="1">1+(AU167-$AS$167)/$AS$167</f>
        <v>1.0672616806626309</v>
      </c>
      <c r="AV168">
        <f t="shared" si="1"/>
        <v>1.0699548725748895</v>
      </c>
      <c r="AW168">
        <f t="shared" si="1"/>
        <v>1.0502599438204649</v>
      </c>
      <c r="AX168">
        <f t="shared" si="1"/>
        <v>0.95090395439848185</v>
      </c>
      <c r="AY168">
        <f t="shared" si="1"/>
        <v>0.71776814704530434</v>
      </c>
    </row>
    <row r="170" spans="1:51" x14ac:dyDescent="0.25">
      <c r="AS170">
        <f>AS134</f>
        <v>541.0062766339787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Input_final</vt:lpstr>
      <vt:lpstr>SSP3</vt:lpstr>
      <vt:lpstr>Sheet1</vt:lpstr>
      <vt:lpstr>Urban_area_finals</vt:lpstr>
      <vt:lpstr>Urban_area_urban_share</vt:lpstr>
      <vt:lpstr>SSP3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2024-10-30T13:28:36Z</dcterms:created>
  <dcterms:modified xsi:type="dcterms:W3CDTF">2025-03-18T13:36:29Z</dcterms:modified>
</cp:coreProperties>
</file>