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"/>
    </mc:Choice>
  </mc:AlternateContent>
  <xr:revisionPtr revIDLastSave="0" documentId="8_{97B21B7C-DCCB-40F5-9752-B8A15D9D8BF6}" xr6:coauthVersionLast="47" xr6:coauthVersionMax="47" xr10:uidLastSave="{00000000-0000-0000-0000-000000000000}"/>
  <bookViews>
    <workbookView xWindow="-20" yWindow="14290" windowWidth="25820" windowHeight="13900" xr2:uid="{CFF2906B-5948-484E-834E-8EFF4F5AC35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1" l="1"/>
  <c r="I3" i="1"/>
  <c r="I161" i="1"/>
  <c r="I138" i="1"/>
  <c r="I171" i="1"/>
  <c r="I62" i="1"/>
  <c r="I42" i="1"/>
  <c r="I82" i="1"/>
  <c r="I83" i="1"/>
  <c r="I37" i="1"/>
  <c r="I40" i="1"/>
  <c r="I49" i="1"/>
  <c r="I119" i="1"/>
  <c r="I95" i="1"/>
  <c r="I15" i="1"/>
  <c r="I86" i="1"/>
  <c r="I76" i="1"/>
  <c r="I28" i="1"/>
  <c r="I70" i="1"/>
  <c r="I159" i="1"/>
  <c r="I112" i="1"/>
  <c r="I164" i="1"/>
  <c r="I150" i="1"/>
  <c r="I45" i="1"/>
  <c r="I160" i="1"/>
  <c r="I125" i="1"/>
  <c r="I11" i="1"/>
  <c r="I35" i="1"/>
  <c r="I4" i="1"/>
  <c r="I2" i="1"/>
  <c r="I60" i="1"/>
  <c r="I29" i="1"/>
  <c r="I101" i="1"/>
  <c r="I54" i="1"/>
  <c r="I32" i="1"/>
  <c r="I165" i="1"/>
  <c r="I94" i="1"/>
  <c r="I166" i="1"/>
  <c r="I77" i="1"/>
  <c r="I153" i="1"/>
  <c r="I109" i="1"/>
  <c r="H143" i="1"/>
  <c r="I143" i="1" s="1"/>
  <c r="H71" i="1"/>
  <c r="I71" i="1" s="1"/>
  <c r="H78" i="1"/>
  <c r="I78" i="1" s="1"/>
  <c r="H157" i="1"/>
  <c r="I157" i="1" s="1"/>
  <c r="H137" i="1"/>
  <c r="I137" i="1" s="1"/>
  <c r="H16" i="1"/>
  <c r="I16" i="1" s="1"/>
  <c r="H39" i="1"/>
  <c r="I39" i="1" s="1"/>
  <c r="H100" i="1"/>
  <c r="I100" i="1" s="1"/>
  <c r="H131" i="1"/>
  <c r="I131" i="1" s="1"/>
  <c r="H155" i="1"/>
  <c r="I155" i="1" s="1"/>
  <c r="H48" i="1"/>
  <c r="I48" i="1" s="1"/>
  <c r="H68" i="1"/>
  <c r="I68" i="1" s="1"/>
  <c r="H21" i="1"/>
  <c r="I21" i="1" s="1"/>
  <c r="H118" i="1"/>
  <c r="I118" i="1" s="1"/>
  <c r="H102" i="1"/>
  <c r="H47" i="1"/>
  <c r="I47" i="1" s="1"/>
  <c r="H141" i="1"/>
  <c r="I141" i="1" s="1"/>
  <c r="H3" i="1"/>
  <c r="H14" i="1"/>
  <c r="I14" i="1" s="1"/>
  <c r="H161" i="1"/>
  <c r="H114" i="1"/>
  <c r="I114" i="1" s="1"/>
  <c r="H158" i="1"/>
  <c r="I158" i="1" s="1"/>
  <c r="H8" i="1"/>
  <c r="I8" i="1" s="1"/>
  <c r="H147" i="1"/>
  <c r="I147" i="1" s="1"/>
  <c r="H5" i="1"/>
  <c r="I5" i="1" s="1"/>
  <c r="H81" i="1"/>
  <c r="I81" i="1" s="1"/>
  <c r="H139" i="1"/>
  <c r="I139" i="1" s="1"/>
  <c r="H124" i="1"/>
  <c r="I124" i="1" s="1"/>
  <c r="H168" i="1"/>
  <c r="I168" i="1" s="1"/>
  <c r="H7" i="1"/>
  <c r="I7" i="1" s="1"/>
  <c r="H138" i="1"/>
  <c r="H171" i="1"/>
  <c r="H62" i="1"/>
  <c r="H42" i="1"/>
  <c r="H82" i="1"/>
  <c r="H83" i="1"/>
  <c r="H37" i="1"/>
  <c r="H40" i="1"/>
  <c r="H49" i="1"/>
  <c r="H79" i="1"/>
  <c r="I79" i="1" s="1"/>
  <c r="H65" i="1"/>
  <c r="I65" i="1" s="1"/>
  <c r="H10" i="1"/>
  <c r="I10" i="1" s="1"/>
  <c r="H99" i="1"/>
  <c r="I99" i="1" s="1"/>
  <c r="H122" i="1"/>
  <c r="I122" i="1" s="1"/>
  <c r="H55" i="1"/>
  <c r="I55" i="1" s="1"/>
  <c r="H104" i="1"/>
  <c r="I104" i="1" s="1"/>
  <c r="H84" i="1"/>
  <c r="I84" i="1" s="1"/>
  <c r="H18" i="1"/>
  <c r="I18" i="1" s="1"/>
  <c r="H148" i="1"/>
  <c r="I148" i="1" s="1"/>
  <c r="H36" i="1"/>
  <c r="I36" i="1" s="1"/>
  <c r="H154" i="1"/>
  <c r="I154" i="1" s="1"/>
  <c r="H72" i="1"/>
  <c r="I72" i="1" s="1"/>
  <c r="H43" i="1"/>
  <c r="I43" i="1" s="1"/>
  <c r="H146" i="1"/>
  <c r="I146" i="1" s="1"/>
  <c r="H23" i="1"/>
  <c r="I23" i="1" s="1"/>
  <c r="H120" i="1"/>
  <c r="I120" i="1" s="1"/>
  <c r="H119" i="1"/>
  <c r="H95" i="1"/>
  <c r="H113" i="1"/>
  <c r="I113" i="1" s="1"/>
  <c r="H15" i="1"/>
  <c r="H108" i="1"/>
  <c r="I108" i="1" s="1"/>
  <c r="H26" i="1"/>
  <c r="I26" i="1" s="1"/>
  <c r="H85" i="1"/>
  <c r="I85" i="1" s="1"/>
  <c r="H170" i="1"/>
  <c r="I170" i="1" s="1"/>
  <c r="H22" i="1"/>
  <c r="I22" i="1" s="1"/>
  <c r="H61" i="1"/>
  <c r="I61" i="1" s="1"/>
  <c r="H136" i="1"/>
  <c r="I136" i="1" s="1"/>
  <c r="H31" i="1"/>
  <c r="I31" i="1" s="1"/>
  <c r="H25" i="1"/>
  <c r="I25" i="1" s="1"/>
  <c r="H63" i="1"/>
  <c r="I63" i="1" s="1"/>
  <c r="H86" i="1"/>
  <c r="H76" i="1"/>
  <c r="H28" i="1"/>
  <c r="H70" i="1"/>
  <c r="H159" i="1"/>
  <c r="H112" i="1"/>
  <c r="H38" i="1"/>
  <c r="I38" i="1" s="1"/>
  <c r="H134" i="1"/>
  <c r="I134" i="1" s="1"/>
  <c r="H149" i="1"/>
  <c r="I149" i="1" s="1"/>
  <c r="H97" i="1"/>
  <c r="I97" i="1" s="1"/>
  <c r="H34" i="1"/>
  <c r="I34" i="1" s="1"/>
  <c r="H163" i="1"/>
  <c r="I163" i="1" s="1"/>
  <c r="H111" i="1"/>
  <c r="I111" i="1" s="1"/>
  <c r="H80" i="1"/>
  <c r="I80" i="1" s="1"/>
  <c r="H59" i="1"/>
  <c r="I59" i="1" s="1"/>
  <c r="H144" i="1"/>
  <c r="I144" i="1" s="1"/>
  <c r="H172" i="1"/>
  <c r="I172" i="1" s="1"/>
  <c r="H87" i="1"/>
  <c r="I87" i="1" s="1"/>
  <c r="H156" i="1"/>
  <c r="I156" i="1" s="1"/>
  <c r="H52" i="1"/>
  <c r="I52" i="1" s="1"/>
  <c r="H132" i="1"/>
  <c r="I132" i="1" s="1"/>
  <c r="H88" i="1"/>
  <c r="I88" i="1" s="1"/>
  <c r="H167" i="1"/>
  <c r="I167" i="1" s="1"/>
  <c r="H89" i="1"/>
  <c r="I89" i="1" s="1"/>
  <c r="H164" i="1"/>
  <c r="H150" i="1"/>
  <c r="H105" i="1"/>
  <c r="I105" i="1" s="1"/>
  <c r="H45" i="1"/>
  <c r="H160" i="1"/>
  <c r="H125" i="1"/>
  <c r="H30" i="1"/>
  <c r="I30" i="1" s="1"/>
  <c r="H103" i="1"/>
  <c r="I103" i="1" s="1"/>
  <c r="H127" i="1"/>
  <c r="I127" i="1" s="1"/>
  <c r="H27" i="1"/>
  <c r="I27" i="1" s="1"/>
  <c r="H90" i="1"/>
  <c r="I90" i="1" s="1"/>
  <c r="H91" i="1"/>
  <c r="I91" i="1" s="1"/>
  <c r="H75" i="1"/>
  <c r="I75" i="1" s="1"/>
  <c r="H24" i="1"/>
  <c r="I24" i="1" s="1"/>
  <c r="H116" i="1"/>
  <c r="I116" i="1" s="1"/>
  <c r="H50" i="1"/>
  <c r="I50" i="1" s="1"/>
  <c r="H11" i="1"/>
  <c r="H35" i="1"/>
  <c r="H4" i="1"/>
  <c r="H2" i="1"/>
  <c r="H60" i="1"/>
  <c r="H98" i="1"/>
  <c r="I98" i="1" s="1"/>
  <c r="H17" i="1"/>
  <c r="I17" i="1" s="1"/>
  <c r="H69" i="1"/>
  <c r="I69" i="1" s="1"/>
  <c r="H6" i="1"/>
  <c r="I6" i="1" s="1"/>
  <c r="H53" i="1"/>
  <c r="I53" i="1" s="1"/>
  <c r="H13" i="1"/>
  <c r="I13" i="1" s="1"/>
  <c r="H66" i="1"/>
  <c r="I66" i="1" s="1"/>
  <c r="H140" i="1"/>
  <c r="I140" i="1" s="1"/>
  <c r="H169" i="1"/>
  <c r="I169" i="1" s="1"/>
  <c r="H51" i="1"/>
  <c r="I51" i="1" s="1"/>
  <c r="H92" i="1"/>
  <c r="I92" i="1" s="1"/>
  <c r="H56" i="1"/>
  <c r="I56" i="1" s="1"/>
  <c r="H58" i="1"/>
  <c r="I58" i="1" s="1"/>
  <c r="H126" i="1"/>
  <c r="I126" i="1" s="1"/>
  <c r="H96" i="1"/>
  <c r="I96" i="1" s="1"/>
  <c r="H93" i="1"/>
  <c r="I93" i="1" s="1"/>
  <c r="H19" i="1"/>
  <c r="I19" i="1" s="1"/>
  <c r="H29" i="1"/>
  <c r="H101" i="1"/>
  <c r="H20" i="1"/>
  <c r="I20" i="1" s="1"/>
  <c r="H54" i="1"/>
  <c r="H32" i="1"/>
  <c r="H165" i="1"/>
  <c r="H94" i="1"/>
  <c r="H151" i="1"/>
  <c r="I151" i="1" s="1"/>
  <c r="H64" i="1"/>
  <c r="I64" i="1" s="1"/>
  <c r="H129" i="1"/>
  <c r="I129" i="1" s="1"/>
  <c r="H12" i="1"/>
  <c r="I12" i="1" s="1"/>
  <c r="H57" i="1"/>
  <c r="I57" i="1" s="1"/>
  <c r="H152" i="1"/>
  <c r="I152" i="1" s="1"/>
  <c r="H107" i="1"/>
  <c r="I107" i="1" s="1"/>
  <c r="H110" i="1"/>
  <c r="I110" i="1" s="1"/>
  <c r="H74" i="1"/>
  <c r="I74" i="1" s="1"/>
  <c r="H44" i="1"/>
  <c r="I44" i="1" s="1"/>
  <c r="H135" i="1"/>
  <c r="I135" i="1" s="1"/>
  <c r="H166" i="1"/>
  <c r="H77" i="1"/>
  <c r="H153" i="1"/>
  <c r="H73" i="1"/>
  <c r="I73" i="1" s="1"/>
  <c r="H41" i="1"/>
  <c r="I41" i="1" s="1"/>
  <c r="H115" i="1"/>
  <c r="I115" i="1" s="1"/>
  <c r="H121" i="1"/>
  <c r="I121" i="1" s="1"/>
  <c r="H46" i="1"/>
  <c r="I46" i="1" s="1"/>
  <c r="H123" i="1"/>
  <c r="I123" i="1" s="1"/>
  <c r="H162" i="1"/>
  <c r="I162" i="1" s="1"/>
  <c r="H9" i="1"/>
  <c r="I9" i="1" s="1"/>
  <c r="H67" i="1"/>
  <c r="I67" i="1" s="1"/>
  <c r="H145" i="1"/>
  <c r="I145" i="1" s="1"/>
  <c r="H117" i="1"/>
  <c r="I117" i="1" s="1"/>
  <c r="H142" i="1"/>
  <c r="I142" i="1" s="1"/>
  <c r="H133" i="1"/>
  <c r="I133" i="1" s="1"/>
  <c r="H33" i="1"/>
  <c r="I33" i="1" s="1"/>
  <c r="H128" i="1"/>
  <c r="I128" i="1" s="1"/>
  <c r="H106" i="1"/>
  <c r="I106" i="1" s="1"/>
  <c r="H130" i="1"/>
  <c r="I130" i="1" s="1"/>
  <c r="H109" i="1"/>
</calcChain>
</file>

<file path=xl/sharedStrings.xml><?xml version="1.0" encoding="utf-8"?>
<sst xmlns="http://schemas.openxmlformats.org/spreadsheetml/2006/main" count="1035" uniqueCount="553">
  <si>
    <t>Cntry_ISO</t>
  </si>
  <si>
    <t>Cntry_name</t>
  </si>
  <si>
    <t>eFUA_name</t>
  </si>
  <si>
    <t>IMAGE-region</t>
  </si>
  <si>
    <t>GRIP-region</t>
  </si>
  <si>
    <t>R10</t>
  </si>
  <si>
    <t>AFG</t>
  </si>
  <si>
    <t>Afghanistan</t>
  </si>
  <si>
    <t>AFG_urban</t>
  </si>
  <si>
    <t>Rest of South Asia</t>
  </si>
  <si>
    <t>South and East Asia</t>
  </si>
  <si>
    <t>Southern Asia</t>
  </si>
  <si>
    <t>ALB</t>
  </si>
  <si>
    <t>Albania</t>
  </si>
  <si>
    <t>ALB_urban</t>
  </si>
  <si>
    <t>Central Europe</t>
  </si>
  <si>
    <t>Europe</t>
  </si>
  <si>
    <t>DZA</t>
  </si>
  <si>
    <t>Algeria</t>
  </si>
  <si>
    <t>DZA_urban</t>
  </si>
  <si>
    <t>Northern Africa</t>
  </si>
  <si>
    <t>Africa</t>
  </si>
  <si>
    <t>AGO</t>
  </si>
  <si>
    <t>Angola</t>
  </si>
  <si>
    <t>AGO_urban</t>
  </si>
  <si>
    <t>Rest of Southern Africa</t>
  </si>
  <si>
    <t>ARG</t>
  </si>
  <si>
    <t>Argentina</t>
  </si>
  <si>
    <t>ARG_urban</t>
  </si>
  <si>
    <t>Rest of South America</t>
  </si>
  <si>
    <t>Central and South America</t>
  </si>
  <si>
    <t>Latin America and Caribbean</t>
  </si>
  <si>
    <t>ARM</t>
  </si>
  <si>
    <t>Armenia</t>
  </si>
  <si>
    <t>ARM_urban</t>
  </si>
  <si>
    <t>Russia region</t>
  </si>
  <si>
    <t>Eurasia</t>
  </si>
  <si>
    <t>AUS</t>
  </si>
  <si>
    <t>Australia</t>
  </si>
  <si>
    <t>AUS_urban</t>
  </si>
  <si>
    <t>Oceania</t>
  </si>
  <si>
    <t>Asia-Pacific Developed</t>
  </si>
  <si>
    <t>AUT</t>
  </si>
  <si>
    <t>Austria</t>
  </si>
  <si>
    <t>AUT_urban</t>
  </si>
  <si>
    <t>Western Europe</t>
  </si>
  <si>
    <t>AZE</t>
  </si>
  <si>
    <t>Azerbaijan</t>
  </si>
  <si>
    <t>AZE_urban</t>
  </si>
  <si>
    <t>Middle East and Central Asia</t>
  </si>
  <si>
    <t>BHS</t>
  </si>
  <si>
    <t>Bahamas</t>
  </si>
  <si>
    <t>BHS_urban</t>
  </si>
  <si>
    <t>Central America</t>
  </si>
  <si>
    <t>North-America</t>
  </si>
  <si>
    <t>BHR</t>
  </si>
  <si>
    <t>Bahrain</t>
  </si>
  <si>
    <t>BHR_urban</t>
  </si>
  <si>
    <t>Middle East</t>
  </si>
  <si>
    <t>BGD</t>
  </si>
  <si>
    <t>Bangladesh</t>
  </si>
  <si>
    <t>BGD_urban</t>
  </si>
  <si>
    <t>BLR</t>
  </si>
  <si>
    <t>Belarus</t>
  </si>
  <si>
    <t>BLR_urban</t>
  </si>
  <si>
    <t>Ukraine region</t>
  </si>
  <si>
    <t>BEL</t>
  </si>
  <si>
    <t>Belgium</t>
  </si>
  <si>
    <t>BEL_urban</t>
  </si>
  <si>
    <t>BLZ</t>
  </si>
  <si>
    <t>Belize</t>
  </si>
  <si>
    <t>BLZ_urban</t>
  </si>
  <si>
    <t>BEN</t>
  </si>
  <si>
    <t>Benin</t>
  </si>
  <si>
    <t>BEN_urban</t>
  </si>
  <si>
    <t>Western Africa</t>
  </si>
  <si>
    <t>BOL</t>
  </si>
  <si>
    <t>Bolivia</t>
  </si>
  <si>
    <t>BOL_urban</t>
  </si>
  <si>
    <t>BWA</t>
  </si>
  <si>
    <t>Botswana</t>
  </si>
  <si>
    <t>BWA_urban</t>
  </si>
  <si>
    <t>BRA</t>
  </si>
  <si>
    <t>Brazil</t>
  </si>
  <si>
    <t>BRA_urban</t>
  </si>
  <si>
    <t>BRN</t>
  </si>
  <si>
    <t>Brunei</t>
  </si>
  <si>
    <t>BRN_urban</t>
  </si>
  <si>
    <t>Southeastern Asia</t>
  </si>
  <si>
    <t>South-East Asia and developing Pacific</t>
  </si>
  <si>
    <t>BGR</t>
  </si>
  <si>
    <t>Bulgaria</t>
  </si>
  <si>
    <t>BGR_urban</t>
  </si>
  <si>
    <t>BFA</t>
  </si>
  <si>
    <t>Burkina Faso</t>
  </si>
  <si>
    <t>BFA_urban</t>
  </si>
  <si>
    <t>BDI</t>
  </si>
  <si>
    <t>Burundi</t>
  </si>
  <si>
    <t>BDI_urban</t>
  </si>
  <si>
    <t>Eastern Africa</t>
  </si>
  <si>
    <t>KHM</t>
  </si>
  <si>
    <t>Cambodia</t>
  </si>
  <si>
    <t>KHM_urban</t>
  </si>
  <si>
    <t>CMR</t>
  </si>
  <si>
    <t>Cameroon</t>
  </si>
  <si>
    <t>CMR_urban</t>
  </si>
  <si>
    <t>CAN</t>
  </si>
  <si>
    <t>Canada</t>
  </si>
  <si>
    <t>CAN_urban</t>
  </si>
  <si>
    <t>North America</t>
  </si>
  <si>
    <t>CPV</t>
  </si>
  <si>
    <t>Cape Verde</t>
  </si>
  <si>
    <t>CPV_urban</t>
  </si>
  <si>
    <t>CAF</t>
  </si>
  <si>
    <t>Central African Republic</t>
  </si>
  <si>
    <t>CAF_urban</t>
  </si>
  <si>
    <t>TCD</t>
  </si>
  <si>
    <t>Chad</t>
  </si>
  <si>
    <t>TCD_urban</t>
  </si>
  <si>
    <t>CHL</t>
  </si>
  <si>
    <t>Chile</t>
  </si>
  <si>
    <t>CHL_urban</t>
  </si>
  <si>
    <t>CHN</t>
  </si>
  <si>
    <t>China</t>
  </si>
  <si>
    <t>CHN_urban</t>
  </si>
  <si>
    <t>China region</t>
  </si>
  <si>
    <t>Eastern Asia</t>
  </si>
  <si>
    <t>COL</t>
  </si>
  <si>
    <t>Colombia</t>
  </si>
  <si>
    <t>COL_urban</t>
  </si>
  <si>
    <t>COG</t>
  </si>
  <si>
    <t>Congo Brazzaville</t>
  </si>
  <si>
    <t>COG_urban</t>
  </si>
  <si>
    <t>CRI</t>
  </si>
  <si>
    <t>Costa Rica</t>
  </si>
  <si>
    <t>CRI_urban</t>
  </si>
  <si>
    <t>HRV</t>
  </si>
  <si>
    <t>Croatia</t>
  </si>
  <si>
    <t>HRV_urban</t>
  </si>
  <si>
    <t>CUB</t>
  </si>
  <si>
    <t>Cuba</t>
  </si>
  <si>
    <t>CUB_urban</t>
  </si>
  <si>
    <t>CYP</t>
  </si>
  <si>
    <t>Cyprus</t>
  </si>
  <si>
    <t>CYP_urban</t>
  </si>
  <si>
    <t>DNK</t>
  </si>
  <si>
    <t>Denmark</t>
  </si>
  <si>
    <t>DNK_urban</t>
  </si>
  <si>
    <t>DJI</t>
  </si>
  <si>
    <t>Djibouti</t>
  </si>
  <si>
    <t>DJI_urban</t>
  </si>
  <si>
    <t>DOM</t>
  </si>
  <si>
    <t>DominicanRepublic</t>
  </si>
  <si>
    <t>DOM_urban</t>
  </si>
  <si>
    <t>ECU</t>
  </si>
  <si>
    <t>Ecuador</t>
  </si>
  <si>
    <t>ECU_urban</t>
  </si>
  <si>
    <t>EGY</t>
  </si>
  <si>
    <t>Egypt</t>
  </si>
  <si>
    <t>EGY_urban</t>
  </si>
  <si>
    <t>SLV</t>
  </si>
  <si>
    <t>El Salvador</t>
  </si>
  <si>
    <t>SLV_urban</t>
  </si>
  <si>
    <t>GNQ</t>
  </si>
  <si>
    <t>Equatorial Guinea</t>
  </si>
  <si>
    <t>GNQ_urban</t>
  </si>
  <si>
    <t>ERI</t>
  </si>
  <si>
    <t>Eritrea</t>
  </si>
  <si>
    <t>ERI_urban</t>
  </si>
  <si>
    <t>EST</t>
  </si>
  <si>
    <t>Estonia</t>
  </si>
  <si>
    <t>EST_urban</t>
  </si>
  <si>
    <t>ETH</t>
  </si>
  <si>
    <t>Ethiopia</t>
  </si>
  <si>
    <t>ETH_urban</t>
  </si>
  <si>
    <t>FJI</t>
  </si>
  <si>
    <t>Fiji</t>
  </si>
  <si>
    <t>FJI_urban</t>
  </si>
  <si>
    <t>FIN</t>
  </si>
  <si>
    <t>Finland</t>
  </si>
  <si>
    <t>FIN_urban</t>
  </si>
  <si>
    <t>FRA</t>
  </si>
  <si>
    <t>France</t>
  </si>
  <si>
    <t>FRA_urban</t>
  </si>
  <si>
    <t>GAB</t>
  </si>
  <si>
    <t>Gabon</t>
  </si>
  <si>
    <t>GAB_urban</t>
  </si>
  <si>
    <t>GMB</t>
  </si>
  <si>
    <t>Gambia</t>
  </si>
  <si>
    <t>GMB_urban</t>
  </si>
  <si>
    <t>GEO</t>
  </si>
  <si>
    <t>Georgia</t>
  </si>
  <si>
    <t>GEO_urban</t>
  </si>
  <si>
    <t>DEU</t>
  </si>
  <si>
    <t>Germany</t>
  </si>
  <si>
    <t>DEU_urban</t>
  </si>
  <si>
    <t>GHA</t>
  </si>
  <si>
    <t>Ghana</t>
  </si>
  <si>
    <t>GHA_urban</t>
  </si>
  <si>
    <t>GRC</t>
  </si>
  <si>
    <t>Greece</t>
  </si>
  <si>
    <t>GRC_urban</t>
  </si>
  <si>
    <t>GTM</t>
  </si>
  <si>
    <t>Guatemala</t>
  </si>
  <si>
    <t>GTM_urban</t>
  </si>
  <si>
    <t>GIN</t>
  </si>
  <si>
    <t>Guinea</t>
  </si>
  <si>
    <t>GIN_urban</t>
  </si>
  <si>
    <t>GNB</t>
  </si>
  <si>
    <t>Guinea-Bissau</t>
  </si>
  <si>
    <t>GNB_urban</t>
  </si>
  <si>
    <t>GUY</t>
  </si>
  <si>
    <t>Guyana</t>
  </si>
  <si>
    <t>GUY_urban</t>
  </si>
  <si>
    <t>HTI</t>
  </si>
  <si>
    <t>Haiti</t>
  </si>
  <si>
    <t>HTI_urban</t>
  </si>
  <si>
    <t>HND</t>
  </si>
  <si>
    <t>Honduras</t>
  </si>
  <si>
    <t>HND_urban</t>
  </si>
  <si>
    <t>HUN</t>
  </si>
  <si>
    <t>Hungary</t>
  </si>
  <si>
    <t>HUN_urban</t>
  </si>
  <si>
    <t>ISL</t>
  </si>
  <si>
    <t>Iceland</t>
  </si>
  <si>
    <t>ISL_urban</t>
  </si>
  <si>
    <t>IND</t>
  </si>
  <si>
    <t>India</t>
  </si>
  <si>
    <t>IND_urban</t>
  </si>
  <si>
    <t>IDN</t>
  </si>
  <si>
    <t>Indonesia</t>
  </si>
  <si>
    <t>IDN_urban</t>
  </si>
  <si>
    <t>Indonesia region</t>
  </si>
  <si>
    <t>IRN</t>
  </si>
  <si>
    <t>Iran</t>
  </si>
  <si>
    <t>IRN_urban</t>
  </si>
  <si>
    <t>IRQ</t>
  </si>
  <si>
    <t>Iraq</t>
  </si>
  <si>
    <t>IRQ_urban</t>
  </si>
  <si>
    <t>IRL</t>
  </si>
  <si>
    <t>Ireland</t>
  </si>
  <si>
    <t>IRL_urban</t>
  </si>
  <si>
    <t>ISR</t>
  </si>
  <si>
    <t>Israel</t>
  </si>
  <si>
    <t>ISR_urban</t>
  </si>
  <si>
    <t>ITA</t>
  </si>
  <si>
    <t>Italy</t>
  </si>
  <si>
    <t>ITA_urban</t>
  </si>
  <si>
    <t>JAM</t>
  </si>
  <si>
    <t>Jamaica</t>
  </si>
  <si>
    <t>JAM_urban</t>
  </si>
  <si>
    <t>JPN</t>
  </si>
  <si>
    <t>Japan</t>
  </si>
  <si>
    <t>JPN_urban</t>
  </si>
  <si>
    <t>JOR</t>
  </si>
  <si>
    <t>Jordan</t>
  </si>
  <si>
    <t>JOR_urban</t>
  </si>
  <si>
    <t>KAZ</t>
  </si>
  <si>
    <t>Kazakhstan</t>
  </si>
  <si>
    <t>KAZ_urban</t>
  </si>
  <si>
    <t>Central Asia</t>
  </si>
  <si>
    <t>KEN</t>
  </si>
  <si>
    <t>Kenya</t>
  </si>
  <si>
    <t>KEN_urban</t>
  </si>
  <si>
    <t>XKO</t>
  </si>
  <si>
    <t>Kosovo</t>
  </si>
  <si>
    <t>XKO_urban</t>
  </si>
  <si>
    <t>KWT</t>
  </si>
  <si>
    <t>Kuwait</t>
  </si>
  <si>
    <t>KWT_urban</t>
  </si>
  <si>
    <t>KGZ</t>
  </si>
  <si>
    <t>Kyrgyzstan</t>
  </si>
  <si>
    <t>KGZ_urban</t>
  </si>
  <si>
    <t>LAO</t>
  </si>
  <si>
    <t>Laos</t>
  </si>
  <si>
    <t>LAO_urban</t>
  </si>
  <si>
    <t>LVA</t>
  </si>
  <si>
    <t>Latvia</t>
  </si>
  <si>
    <t>LVA_urban</t>
  </si>
  <si>
    <t>LBN</t>
  </si>
  <si>
    <t>Lebanon</t>
  </si>
  <si>
    <t>LBN_urban</t>
  </si>
  <si>
    <t>LSO</t>
  </si>
  <si>
    <t>Lesotho</t>
  </si>
  <si>
    <t>LSO_urban</t>
  </si>
  <si>
    <t>LBR</t>
  </si>
  <si>
    <t>Liberia</t>
  </si>
  <si>
    <t>LBR_urban</t>
  </si>
  <si>
    <t>LBY</t>
  </si>
  <si>
    <t>Libya</t>
  </si>
  <si>
    <t>LBY_urban</t>
  </si>
  <si>
    <t>LTU</t>
  </si>
  <si>
    <t>Lithuania</t>
  </si>
  <si>
    <t>LTU_urban</t>
  </si>
  <si>
    <t>LUX</t>
  </si>
  <si>
    <t>Luxembourg</t>
  </si>
  <si>
    <t>LUX_urban</t>
  </si>
  <si>
    <t>MKD</t>
  </si>
  <si>
    <t>Macedonia</t>
  </si>
  <si>
    <t>MKD_urban</t>
  </si>
  <si>
    <t>MDG</t>
  </si>
  <si>
    <t>Madagascar</t>
  </si>
  <si>
    <t>MDG_urban</t>
  </si>
  <si>
    <t>MWI</t>
  </si>
  <si>
    <t>Malawi</t>
  </si>
  <si>
    <t>MWI_urban</t>
  </si>
  <si>
    <t>MYS</t>
  </si>
  <si>
    <t>Malaysia</t>
  </si>
  <si>
    <t>MYS_urban</t>
  </si>
  <si>
    <t>MLI</t>
  </si>
  <si>
    <t>Mali</t>
  </si>
  <si>
    <t>MLI_urban</t>
  </si>
  <si>
    <t>MLT</t>
  </si>
  <si>
    <t>Malta</t>
  </si>
  <si>
    <t>MLT_urban</t>
  </si>
  <si>
    <t>MRT</t>
  </si>
  <si>
    <t>Mauritania</t>
  </si>
  <si>
    <t>MRT_urban</t>
  </si>
  <si>
    <t>MUS</t>
  </si>
  <si>
    <t>Mauritius</t>
  </si>
  <si>
    <t>MUS_urban</t>
  </si>
  <si>
    <t>MEX</t>
  </si>
  <si>
    <t>Mexico</t>
  </si>
  <si>
    <t>MEX_urban</t>
  </si>
  <si>
    <t>MDA</t>
  </si>
  <si>
    <t>Moldova</t>
  </si>
  <si>
    <t>MDA_urban</t>
  </si>
  <si>
    <t>MNG</t>
  </si>
  <si>
    <t>Mongolia</t>
  </si>
  <si>
    <t>MNG_urban</t>
  </si>
  <si>
    <t>MNE</t>
  </si>
  <si>
    <t>Montenegro</t>
  </si>
  <si>
    <t>MNE_urban</t>
  </si>
  <si>
    <t>MAR</t>
  </si>
  <si>
    <t>Morocco</t>
  </si>
  <si>
    <t>MAR_urban</t>
  </si>
  <si>
    <t>MOZ</t>
  </si>
  <si>
    <t>Mozambique</t>
  </si>
  <si>
    <t>MOZ_urban</t>
  </si>
  <si>
    <t>MMR</t>
  </si>
  <si>
    <t>Myanmar</t>
  </si>
  <si>
    <t>MMR_urban</t>
  </si>
  <si>
    <t>NAM</t>
  </si>
  <si>
    <t>Namibia</t>
  </si>
  <si>
    <t>NAM_urban</t>
  </si>
  <si>
    <t>NPL</t>
  </si>
  <si>
    <t>Nepal</t>
  </si>
  <si>
    <t>NPL_urban</t>
  </si>
  <si>
    <t>NLD</t>
  </si>
  <si>
    <t>Netherlands</t>
  </si>
  <si>
    <t>NLD_urban</t>
  </si>
  <si>
    <t>NCL</t>
  </si>
  <si>
    <t>New Caledonia</t>
  </si>
  <si>
    <t>NCL_urban</t>
  </si>
  <si>
    <t>NZL</t>
  </si>
  <si>
    <t>New Zealand</t>
  </si>
  <si>
    <t>NZL_urban</t>
  </si>
  <si>
    <t>NIC</t>
  </si>
  <si>
    <t>Nicaragua</t>
  </si>
  <si>
    <t>NIC_urban</t>
  </si>
  <si>
    <t>NER</t>
  </si>
  <si>
    <t>Niger</t>
  </si>
  <si>
    <t>NER_urban</t>
  </si>
  <si>
    <t>NGA</t>
  </si>
  <si>
    <t>Nigeria</t>
  </si>
  <si>
    <t>NGA_urban</t>
  </si>
  <si>
    <t>PRK</t>
  </si>
  <si>
    <t>North Korea</t>
  </si>
  <si>
    <t>PRK_urban</t>
  </si>
  <si>
    <t>Korea region</t>
  </si>
  <si>
    <t>NOR</t>
  </si>
  <si>
    <t>Norway</t>
  </si>
  <si>
    <t>NOR_urban</t>
  </si>
  <si>
    <t>OMN</t>
  </si>
  <si>
    <t>Oman</t>
  </si>
  <si>
    <t>OMN_urban</t>
  </si>
  <si>
    <t>PAK</t>
  </si>
  <si>
    <t>Pakistan</t>
  </si>
  <si>
    <t>PAK_urban</t>
  </si>
  <si>
    <t>PSE</t>
  </si>
  <si>
    <t>Palestine</t>
  </si>
  <si>
    <t>PSE_urban</t>
  </si>
  <si>
    <t>PAN</t>
  </si>
  <si>
    <t>Panama</t>
  </si>
  <si>
    <t>PAN_urban</t>
  </si>
  <si>
    <t>PNG</t>
  </si>
  <si>
    <t>Papua New Guinea</t>
  </si>
  <si>
    <t>PNG_urban</t>
  </si>
  <si>
    <t>PRY</t>
  </si>
  <si>
    <t>Paraguay</t>
  </si>
  <si>
    <t>PRY_urban</t>
  </si>
  <si>
    <t>PER</t>
  </si>
  <si>
    <t>Peru</t>
  </si>
  <si>
    <t>PER_urban</t>
  </si>
  <si>
    <t>PHL</t>
  </si>
  <si>
    <t>Philippines</t>
  </si>
  <si>
    <t>PHL_urban</t>
  </si>
  <si>
    <t>POL</t>
  </si>
  <si>
    <t>Poland</t>
  </si>
  <si>
    <t>POL_urban</t>
  </si>
  <si>
    <t>PRT</t>
  </si>
  <si>
    <t>Portugal</t>
  </si>
  <si>
    <t>PRT_urban</t>
  </si>
  <si>
    <t>QAT</t>
  </si>
  <si>
    <t>Qatar</t>
  </si>
  <si>
    <t>QAT_urban</t>
  </si>
  <si>
    <t>ROU</t>
  </si>
  <si>
    <t>Romania</t>
  </si>
  <si>
    <t>ROU_urban</t>
  </si>
  <si>
    <t>RUS</t>
  </si>
  <si>
    <t>Russia</t>
  </si>
  <si>
    <t>RUS_urban</t>
  </si>
  <si>
    <t>RWA</t>
  </si>
  <si>
    <t>Rwanda</t>
  </si>
  <si>
    <t>RWA_urban</t>
  </si>
  <si>
    <t>STP</t>
  </si>
  <si>
    <t>Sao Tome and Principe</t>
  </si>
  <si>
    <t>STP_urban</t>
  </si>
  <si>
    <t>SAU</t>
  </si>
  <si>
    <t>Saudi Arabia</t>
  </si>
  <si>
    <t>SAU_urban</t>
  </si>
  <si>
    <t>SEN</t>
  </si>
  <si>
    <t>Senegal</t>
  </si>
  <si>
    <t>SEN_urban</t>
  </si>
  <si>
    <t>SRB</t>
  </si>
  <si>
    <t>Serbia</t>
  </si>
  <si>
    <t>SRB_urban</t>
  </si>
  <si>
    <t>SLE</t>
  </si>
  <si>
    <t>Sierra Leone</t>
  </si>
  <si>
    <t>SLE_urban</t>
  </si>
  <si>
    <t>SGP</t>
  </si>
  <si>
    <t>Singapore</t>
  </si>
  <si>
    <t>SGP_urban</t>
  </si>
  <si>
    <t>SVK</t>
  </si>
  <si>
    <t>Slovakia</t>
  </si>
  <si>
    <t>SVK_urban</t>
  </si>
  <si>
    <t>SVN</t>
  </si>
  <si>
    <t>Slovenia</t>
  </si>
  <si>
    <t>SVN_urban</t>
  </si>
  <si>
    <t>SOM</t>
  </si>
  <si>
    <t>Somalia</t>
  </si>
  <si>
    <t>SOM_urban</t>
  </si>
  <si>
    <t>ZAF</t>
  </si>
  <si>
    <t>South Africa</t>
  </si>
  <si>
    <t>ZAF_urban</t>
  </si>
  <si>
    <t>KOR</t>
  </si>
  <si>
    <t>South Korea</t>
  </si>
  <si>
    <t>KOR_urban</t>
  </si>
  <si>
    <t>SSD</t>
  </si>
  <si>
    <t>South Sudan</t>
  </si>
  <si>
    <t>SSD_urban</t>
  </si>
  <si>
    <t>ESP</t>
  </si>
  <si>
    <t>Spain</t>
  </si>
  <si>
    <t>ESP_urban</t>
  </si>
  <si>
    <t>LKA</t>
  </si>
  <si>
    <t>Sri Lanka</t>
  </si>
  <si>
    <t>LKA_urban</t>
  </si>
  <si>
    <t>SDN</t>
  </si>
  <si>
    <t>Sudan</t>
  </si>
  <si>
    <t>SDN_urban</t>
  </si>
  <si>
    <t>SUR</t>
  </si>
  <si>
    <t>Suriname</t>
  </si>
  <si>
    <t>SUR_urban</t>
  </si>
  <si>
    <t>SWZ</t>
  </si>
  <si>
    <t>Swaziland</t>
  </si>
  <si>
    <t>SWZ_urban</t>
  </si>
  <si>
    <t>SWE</t>
  </si>
  <si>
    <t>Sweden</t>
  </si>
  <si>
    <t>SWE_urban</t>
  </si>
  <si>
    <t>CHE</t>
  </si>
  <si>
    <t>Switzerland</t>
  </si>
  <si>
    <t>CHE_urban</t>
  </si>
  <si>
    <t>SYR</t>
  </si>
  <si>
    <t>Syria</t>
  </si>
  <si>
    <t>SYR_urban</t>
  </si>
  <si>
    <t>TWN</t>
  </si>
  <si>
    <t>Taiwan</t>
  </si>
  <si>
    <t>TWN_urban</t>
  </si>
  <si>
    <t>TJK</t>
  </si>
  <si>
    <t>Tajikistan</t>
  </si>
  <si>
    <t>TJK_urban</t>
  </si>
  <si>
    <t>TZA</t>
  </si>
  <si>
    <t>Tanzania</t>
  </si>
  <si>
    <t>TZA_urban</t>
  </si>
  <si>
    <t>THA</t>
  </si>
  <si>
    <t>Thailand</t>
  </si>
  <si>
    <t>THA_urban</t>
  </si>
  <si>
    <t>TLS</t>
  </si>
  <si>
    <t>Timor-Leste</t>
  </si>
  <si>
    <t>TLS_urban</t>
  </si>
  <si>
    <t>TGO</t>
  </si>
  <si>
    <t>Togo</t>
  </si>
  <si>
    <t>TGO_urban</t>
  </si>
  <si>
    <t>TUN</t>
  </si>
  <si>
    <t>Tunisia</t>
  </si>
  <si>
    <t>TUN_urban</t>
  </si>
  <si>
    <t>TUR</t>
  </si>
  <si>
    <t>Turkey</t>
  </si>
  <si>
    <t>TUR_urban</t>
  </si>
  <si>
    <t>TKM</t>
  </si>
  <si>
    <t>Turkmenistan</t>
  </si>
  <si>
    <t>TKM_urban</t>
  </si>
  <si>
    <t>UGA</t>
  </si>
  <si>
    <t>Uganda</t>
  </si>
  <si>
    <t>UGA_urban</t>
  </si>
  <si>
    <t>UKR</t>
  </si>
  <si>
    <t>Ukraine</t>
  </si>
  <si>
    <t>UKR_urban</t>
  </si>
  <si>
    <t>ARE</t>
  </si>
  <si>
    <t>United Arab Emirates</t>
  </si>
  <si>
    <t>ARE_urban</t>
  </si>
  <si>
    <t>USA</t>
  </si>
  <si>
    <t>United States</t>
  </si>
  <si>
    <t>USA_urban</t>
  </si>
  <si>
    <t>URY</t>
  </si>
  <si>
    <t>Uruguay</t>
  </si>
  <si>
    <t>URY_urban</t>
  </si>
  <si>
    <t>UZB</t>
  </si>
  <si>
    <t>Uzbekistan</t>
  </si>
  <si>
    <t>UZB_urban</t>
  </si>
  <si>
    <t>VEN</t>
  </si>
  <si>
    <t>Venezuela</t>
  </si>
  <si>
    <t>VEN_urban</t>
  </si>
  <si>
    <t>VNM</t>
  </si>
  <si>
    <t>Vietnam</t>
  </si>
  <si>
    <t>VNM_urban</t>
  </si>
  <si>
    <t>YEM</t>
  </si>
  <si>
    <t>Yemen</t>
  </si>
  <si>
    <t>YEM_urban</t>
  </si>
  <si>
    <t>ZMB</t>
  </si>
  <si>
    <t>Zambia</t>
  </si>
  <si>
    <t>ZMB_urban</t>
  </si>
  <si>
    <t>ZWE</t>
  </si>
  <si>
    <t>Zimbabwe</t>
  </si>
  <si>
    <t>ZWE_urban</t>
  </si>
  <si>
    <t>BIH</t>
  </si>
  <si>
    <t>bosnia-herzegovina</t>
  </si>
  <si>
    <t>BIH_urban</t>
  </si>
  <si>
    <t>COD</t>
  </si>
  <si>
    <t>congo democratic republic</t>
  </si>
  <si>
    <t>COD_urban</t>
  </si>
  <si>
    <t>CZE</t>
  </si>
  <si>
    <t>czech-republic</t>
  </si>
  <si>
    <t>CZE_urban</t>
  </si>
  <si>
    <t>CIV</t>
  </si>
  <si>
    <t>ivory coast</t>
  </si>
  <si>
    <t>CIV_urban</t>
  </si>
  <si>
    <t>GBR</t>
  </si>
  <si>
    <t>united-kingdom</t>
  </si>
  <si>
    <t>GBR_urban</t>
  </si>
  <si>
    <t>Urban_HDI</t>
  </si>
  <si>
    <t>Rural_HDI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</si>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</sst>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4"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cademic\Chapter2\0.%20Layers\strict\Rural.xlsx" TargetMode="External"/><Relationship Id="rId1" Type="http://schemas.openxmlformats.org/officeDocument/2006/relationships/externalLinkPath" Target="/Academic/Chapter2/0.%20Layers/strict/Rur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E32E29-2FFC-4AED-8B2D-88D1B67457FC}" name="Table1" displayName="Table1" ref="A1:I172" totalsRowShown="0" headerRowDxfId="2">
  <autoFilter ref="A1:I172" xr:uid="{67E32E29-2FFC-4AED-8B2D-88D1B67457FC}"/>
  <sortState xmlns:xlrd2="http://schemas.microsoft.com/office/spreadsheetml/2017/richdata2" ref="A2:I172">
    <sortCondition descending="1" ref="I1:I172"/>
  </sortState>
  <tableColumns count="9">
    <tableColumn id="1" xr3:uid="{AA808124-DA5E-41B9-9854-6517C3CA5927}" name="Cntry_ISO"/>
    <tableColumn id="2" xr3:uid="{23DD6EDB-CEE2-426A-A8A5-75B4BA0CB9D6}" name="Cntry_name"/>
    <tableColumn id="3" xr3:uid="{0599F0BA-88E4-4398-82C5-5EC00B9F51F4}" name="eFUA_name"/>
    <tableColumn id="4" xr3:uid="{37DA28C8-CB52-4374-ACF5-322440EF407C}" name="IMAGE-region"/>
    <tableColumn id="5" xr3:uid="{379D8439-E385-4F82-AD72-82163BD9585D}" name="GRIP-region"/>
    <tableColumn id="6" xr3:uid="{DFF77546-EC56-40E7-8B2E-DB9779D680FB}" name="R10"/>
    <tableColumn id="7" xr3:uid="{C9C49E93-B9AA-481D-BF98-DC054CDE8CDB}" name="Urban_HDI" dataDxfId="0"/>
    <tableColumn id="8" xr3:uid="{CC3D446E-73F6-43C0-9998-B61E192EC1C7}" name="Rural_HDI" dataDxfId="1">
      <calculatedColumnFormula>_xlfn.XLOOKUP(B2,[1]!Table1[Cntry_name],[1]!Table1[_HDI_mean])</calculatedColumnFormula>
    </tableColumn>
    <tableColumn id="9" xr3:uid="{0E5E9810-B594-4FE3-B378-973A31B94896}" name="Difference" dataDxfId="3">
      <calculatedColumnFormula>G2-H2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1B6B-B4B9-47A7-83DF-1CEFB2348A2F}">
  <dimension ref="A1:I172"/>
  <sheetViews>
    <sheetView showGridLines="0" tabSelected="1" workbookViewId="0">
      <selection activeCell="H3" sqref="H3"/>
    </sheetView>
  </sheetViews>
  <sheetFormatPr defaultRowHeight="15" x14ac:dyDescent="0.25"/>
  <cols>
    <col min="1" max="1" width="11.7109375" customWidth="1"/>
    <col min="2" max="2" width="13.5703125" customWidth="1"/>
    <col min="3" max="3" width="13.42578125" customWidth="1"/>
    <col min="4" max="4" width="14.7109375" customWidth="1"/>
    <col min="5" max="5" width="13.42578125" customWidth="1"/>
    <col min="7" max="7" width="12.42578125" customWidth="1"/>
    <col min="8" max="8" width="12" bestFit="1" customWidth="1"/>
    <col min="9" max="9" width="12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550</v>
      </c>
      <c r="H1" s="2" t="s">
        <v>551</v>
      </c>
      <c r="I1" s="2" t="s">
        <v>552</v>
      </c>
    </row>
    <row r="2" spans="1:9" x14ac:dyDescent="0.25">
      <c r="A2" t="s">
        <v>379</v>
      </c>
      <c r="B2" t="s">
        <v>380</v>
      </c>
      <c r="C2" t="s">
        <v>381</v>
      </c>
      <c r="D2" t="s">
        <v>58</v>
      </c>
      <c r="E2" t="s">
        <v>49</v>
      </c>
      <c r="F2" t="s">
        <v>58</v>
      </c>
      <c r="G2" s="3">
        <v>0.89535730062758578</v>
      </c>
      <c r="H2" s="3">
        <f>_xlfn.XLOOKUP(B2,[1]!Table1[Cntry_name],[1]!Table1[_HDI_mean])</f>
        <v>0.82049998641014099</v>
      </c>
      <c r="I2" s="3">
        <f>G2-H2</f>
        <v>7.4857314217444793E-2</v>
      </c>
    </row>
    <row r="3" spans="1:9" x14ac:dyDescent="0.25">
      <c r="A3" t="s">
        <v>82</v>
      </c>
      <c r="B3" t="s">
        <v>83</v>
      </c>
      <c r="C3" t="s">
        <v>84</v>
      </c>
      <c r="D3" t="s">
        <v>83</v>
      </c>
      <c r="E3" t="s">
        <v>30</v>
      </c>
      <c r="F3" t="s">
        <v>31</v>
      </c>
      <c r="G3" s="3">
        <v>0.75627166478916763</v>
      </c>
      <c r="H3" s="3">
        <f>_xlfn.XLOOKUP(B3,[1]!Table1[Cntry_name],[1]!Table1[_HDI_mean])</f>
        <v>0.72121524210248367</v>
      </c>
      <c r="I3" s="3">
        <f>G3-H3</f>
        <v>3.5056422686683963E-2</v>
      </c>
    </row>
    <row r="4" spans="1:9" x14ac:dyDescent="0.25">
      <c r="A4" t="s">
        <v>376</v>
      </c>
      <c r="B4" t="s">
        <v>377</v>
      </c>
      <c r="C4" t="s">
        <v>378</v>
      </c>
      <c r="D4" t="s">
        <v>9</v>
      </c>
      <c r="E4" t="s">
        <v>10</v>
      </c>
      <c r="F4" t="s">
        <v>11</v>
      </c>
      <c r="G4" s="3">
        <v>0.57384832468481661</v>
      </c>
      <c r="H4" s="3">
        <f>_xlfn.XLOOKUP(B4,[1]!Table1[Cntry_name],[1]!Table1[_HDI_mean])</f>
        <v>0.54068042415759399</v>
      </c>
      <c r="I4" s="3">
        <f>G4-H4</f>
        <v>3.3167900527222627E-2</v>
      </c>
    </row>
    <row r="5" spans="1:9" x14ac:dyDescent="0.25">
      <c r="A5" t="s">
        <v>106</v>
      </c>
      <c r="B5" t="s">
        <v>107</v>
      </c>
      <c r="C5" t="s">
        <v>108</v>
      </c>
      <c r="D5" t="s">
        <v>107</v>
      </c>
      <c r="E5" t="s">
        <v>54</v>
      </c>
      <c r="F5" t="s">
        <v>109</v>
      </c>
      <c r="G5" s="3">
        <v>0.92050007534878597</v>
      </c>
      <c r="H5" s="3">
        <f>_xlfn.XLOOKUP(B5,[1]!Table1[Cntry_name],[1]!Table1[_HDI_mean])</f>
        <v>0.89138212400131445</v>
      </c>
      <c r="I5" s="3">
        <f>G5-H5</f>
        <v>2.9117951347471527E-2</v>
      </c>
    </row>
    <row r="6" spans="1:9" x14ac:dyDescent="0.25">
      <c r="A6" t="s">
        <v>394</v>
      </c>
      <c r="B6" t="s">
        <v>395</v>
      </c>
      <c r="C6" t="s">
        <v>396</v>
      </c>
      <c r="D6" t="s">
        <v>88</v>
      </c>
      <c r="E6" t="s">
        <v>10</v>
      </c>
      <c r="F6" t="s">
        <v>89</v>
      </c>
      <c r="G6" s="3">
        <v>0.65049980592723944</v>
      </c>
      <c r="H6" s="3">
        <f>_xlfn.XLOOKUP(B6,[1]!Table1[Cntry_name],[1]!Table1[_HDI_mean])</f>
        <v>0.62594329265390969</v>
      </c>
      <c r="I6" s="3">
        <f>G6-H6</f>
        <v>2.455651327332975E-2</v>
      </c>
    </row>
    <row r="7" spans="1:9" x14ac:dyDescent="0.25">
      <c r="A7" t="s">
        <v>122</v>
      </c>
      <c r="B7" t="s">
        <v>123</v>
      </c>
      <c r="C7" t="s">
        <v>124</v>
      </c>
      <c r="D7" t="s">
        <v>125</v>
      </c>
      <c r="E7" t="s">
        <v>10</v>
      </c>
      <c r="F7" t="s">
        <v>126</v>
      </c>
      <c r="G7" s="3">
        <v>0.73370349643618982</v>
      </c>
      <c r="H7" s="3">
        <f>_xlfn.XLOOKUP(B7,[1]!Table1[Cntry_name],[1]!Table1[_HDI_mean])</f>
        <v>0.70919276002037923</v>
      </c>
      <c r="I7" s="3">
        <f>G7-H7</f>
        <v>2.4510736415810586E-2</v>
      </c>
    </row>
    <row r="8" spans="1:9" x14ac:dyDescent="0.25">
      <c r="A8" t="s">
        <v>100</v>
      </c>
      <c r="B8" t="s">
        <v>101</v>
      </c>
      <c r="C8" t="s">
        <v>102</v>
      </c>
      <c r="D8" t="s">
        <v>88</v>
      </c>
      <c r="E8" t="s">
        <v>10</v>
      </c>
      <c r="F8" t="s">
        <v>89</v>
      </c>
      <c r="G8" s="3">
        <v>0.57999904423315507</v>
      </c>
      <c r="H8" s="3">
        <f>_xlfn.XLOOKUP(B8,[1]!Table1[Cntry_name],[1]!Table1[_HDI_mean])</f>
        <v>0.56422608231861504</v>
      </c>
      <c r="I8" s="3">
        <f>G8-H8</f>
        <v>1.5772961914540029E-2</v>
      </c>
    </row>
    <row r="9" spans="1:9" x14ac:dyDescent="0.25">
      <c r="A9" t="s">
        <v>520</v>
      </c>
      <c r="B9" t="s">
        <v>521</v>
      </c>
      <c r="C9" t="s">
        <v>522</v>
      </c>
      <c r="D9" t="s">
        <v>29</v>
      </c>
      <c r="E9" t="s">
        <v>30</v>
      </c>
      <c r="F9" t="s">
        <v>31</v>
      </c>
      <c r="G9" s="3">
        <v>0.75690005546285422</v>
      </c>
      <c r="H9" s="3">
        <f>_xlfn.XLOOKUP(B9,[1]!Table1[Cntry_name],[1]!Table1[_HDI_mean])</f>
        <v>0.74136934861113313</v>
      </c>
      <c r="I9" s="3">
        <f>G9-H9</f>
        <v>1.5530706851721088E-2</v>
      </c>
    </row>
    <row r="10" spans="1:9" x14ac:dyDescent="0.25">
      <c r="A10" t="s">
        <v>160</v>
      </c>
      <c r="B10" t="s">
        <v>161</v>
      </c>
      <c r="C10" t="s">
        <v>162</v>
      </c>
      <c r="D10" t="s">
        <v>53</v>
      </c>
      <c r="E10" t="s">
        <v>30</v>
      </c>
      <c r="F10" t="s">
        <v>31</v>
      </c>
      <c r="G10" s="3">
        <v>0.66152101050012679</v>
      </c>
      <c r="H10" s="3">
        <f>_xlfn.XLOOKUP(B10,[1]!Table1[Cntry_name],[1]!Table1[_HDI_mean])</f>
        <v>0.64841436310465561</v>
      </c>
      <c r="I10" s="3">
        <f>G10-H10</f>
        <v>1.3106647395471183E-2</v>
      </c>
    </row>
    <row r="11" spans="1:9" x14ac:dyDescent="0.25">
      <c r="A11" t="s">
        <v>370</v>
      </c>
      <c r="B11" t="s">
        <v>371</v>
      </c>
      <c r="C11" t="s">
        <v>372</v>
      </c>
      <c r="D11" t="s">
        <v>45</v>
      </c>
      <c r="E11" t="s">
        <v>16</v>
      </c>
      <c r="F11" t="s">
        <v>16</v>
      </c>
      <c r="G11" s="3">
        <v>0.95278833568096166</v>
      </c>
      <c r="H11" s="3">
        <f>_xlfn.XLOOKUP(B11,[1]!Table1[Cntry_name],[1]!Table1[_HDI_mean])</f>
        <v>0.94021499977362522</v>
      </c>
      <c r="I11" s="3">
        <f>G11-H11</f>
        <v>1.2573335907336447E-2</v>
      </c>
    </row>
    <row r="12" spans="1:9" x14ac:dyDescent="0.25">
      <c r="A12" t="s">
        <v>466</v>
      </c>
      <c r="B12" t="s">
        <v>467</v>
      </c>
      <c r="C12" t="s">
        <v>468</v>
      </c>
      <c r="D12" t="s">
        <v>45</v>
      </c>
      <c r="E12" t="s">
        <v>16</v>
      </c>
      <c r="F12" t="s">
        <v>16</v>
      </c>
      <c r="G12" s="3">
        <v>0.91526099724137133</v>
      </c>
      <c r="H12" s="3">
        <f>_xlfn.XLOOKUP(B12,[1]!Table1[Cntry_name],[1]!Table1[_HDI_mean])</f>
        <v>0.90397689914699186</v>
      </c>
      <c r="I12" s="3">
        <f>G12-H12</f>
        <v>1.1284098094379469E-2</v>
      </c>
    </row>
    <row r="13" spans="1:9" x14ac:dyDescent="0.25">
      <c r="A13" t="s">
        <v>400</v>
      </c>
      <c r="B13" t="s">
        <v>401</v>
      </c>
      <c r="C13" t="s">
        <v>402</v>
      </c>
      <c r="D13" t="s">
        <v>45</v>
      </c>
      <c r="E13" t="s">
        <v>16</v>
      </c>
      <c r="F13" t="s">
        <v>16</v>
      </c>
      <c r="G13" s="3">
        <v>0.84227948215437232</v>
      </c>
      <c r="H13" s="3">
        <f>_xlfn.XLOOKUP(B13,[1]!Table1[Cntry_name],[1]!Table1[_HDI_mean])</f>
        <v>0.83351400791308583</v>
      </c>
      <c r="I13" s="3">
        <f>G13-H13</f>
        <v>8.7654742412864861E-3</v>
      </c>
    </row>
    <row r="14" spans="1:9" x14ac:dyDescent="0.25">
      <c r="A14" t="s">
        <v>85</v>
      </c>
      <c r="B14" t="s">
        <v>86</v>
      </c>
      <c r="C14" t="s">
        <v>87</v>
      </c>
      <c r="D14" t="s">
        <v>88</v>
      </c>
      <c r="E14" t="s">
        <v>10</v>
      </c>
      <c r="F14" t="s">
        <v>89</v>
      </c>
      <c r="G14" s="3">
        <v>0.86500000953674316</v>
      </c>
      <c r="H14" s="3">
        <f>_xlfn.XLOOKUP(B14,[1]!Table1[Cntry_name],[1]!Table1[_HDI_mean])</f>
        <v>0.85655556122461951</v>
      </c>
      <c r="I14" s="3">
        <f>G14-H14</f>
        <v>8.4444483121236535E-3</v>
      </c>
    </row>
    <row r="15" spans="1:9" x14ac:dyDescent="0.25">
      <c r="A15" t="s">
        <v>214</v>
      </c>
      <c r="B15" t="s">
        <v>215</v>
      </c>
      <c r="C15" t="s">
        <v>216</v>
      </c>
      <c r="D15" t="s">
        <v>53</v>
      </c>
      <c r="E15" t="s">
        <v>30</v>
      </c>
      <c r="F15" t="s">
        <v>31</v>
      </c>
      <c r="G15" s="3">
        <v>0.50390440265880554</v>
      </c>
      <c r="H15" s="3">
        <f>_xlfn.XLOOKUP(B15,[1]!Table1[Cntry_name],[1]!Table1[_HDI_mean])</f>
        <v>0.49577575831702259</v>
      </c>
      <c r="I15" s="3">
        <f>G15-H15</f>
        <v>8.1286443417829535E-3</v>
      </c>
    </row>
    <row r="16" spans="1:9" x14ac:dyDescent="0.25">
      <c r="A16" t="s">
        <v>37</v>
      </c>
      <c r="B16" t="s">
        <v>38</v>
      </c>
      <c r="C16" t="s">
        <v>39</v>
      </c>
      <c r="D16" t="s">
        <v>40</v>
      </c>
      <c r="E16" t="s">
        <v>40</v>
      </c>
      <c r="F16" t="s">
        <v>41</v>
      </c>
      <c r="G16" s="3">
        <v>0.95286367634932212</v>
      </c>
      <c r="H16" s="3">
        <f>_xlfn.XLOOKUP(B16,[1]!Table1[Cntry_name],[1]!Table1[_HDI_mean])</f>
        <v>0.94479520432455744</v>
      </c>
      <c r="I16" s="3">
        <f>G16-H16</f>
        <v>8.0684720247646835E-3</v>
      </c>
    </row>
    <row r="17" spans="1:9" x14ac:dyDescent="0.25">
      <c r="A17" t="s">
        <v>388</v>
      </c>
      <c r="B17" t="s">
        <v>389</v>
      </c>
      <c r="C17" t="s">
        <v>390</v>
      </c>
      <c r="D17" t="s">
        <v>29</v>
      </c>
      <c r="E17" t="s">
        <v>30</v>
      </c>
      <c r="F17" t="s">
        <v>31</v>
      </c>
      <c r="G17" s="3">
        <v>0.70170945165023502</v>
      </c>
      <c r="H17" s="3">
        <f>_xlfn.XLOOKUP(B17,[1]!Table1[Cntry_name],[1]!Table1[_HDI_mean])</f>
        <v>0.69369784194337958</v>
      </c>
      <c r="I17" s="3">
        <f>G17-H17</f>
        <v>8.0116097068554382E-3</v>
      </c>
    </row>
    <row r="18" spans="1:9" x14ac:dyDescent="0.25">
      <c r="A18" t="s">
        <v>178</v>
      </c>
      <c r="B18" t="s">
        <v>179</v>
      </c>
      <c r="C18" t="s">
        <v>180</v>
      </c>
      <c r="D18" t="s">
        <v>45</v>
      </c>
      <c r="E18" t="s">
        <v>16</v>
      </c>
      <c r="F18" t="s">
        <v>16</v>
      </c>
      <c r="G18" s="3">
        <v>0.89096472660700476</v>
      </c>
      <c r="H18" s="3">
        <f>_xlfn.XLOOKUP(B18,[1]!Table1[Cntry_name],[1]!Table1[_HDI_mean])</f>
        <v>0.88340768180565676</v>
      </c>
      <c r="I18" s="3">
        <f>G18-H18</f>
        <v>7.5570448013480007E-3</v>
      </c>
    </row>
    <row r="19" spans="1:9" x14ac:dyDescent="0.25">
      <c r="A19" t="s">
        <v>433</v>
      </c>
      <c r="B19" t="s">
        <v>434</v>
      </c>
      <c r="C19" t="s">
        <v>435</v>
      </c>
      <c r="D19" t="s">
        <v>15</v>
      </c>
      <c r="E19" t="s">
        <v>16</v>
      </c>
      <c r="F19" t="s">
        <v>16</v>
      </c>
      <c r="G19" s="3">
        <v>0.84744023818236125</v>
      </c>
      <c r="H19" s="3">
        <f>_xlfn.XLOOKUP(B19,[1]!Table1[Cntry_name],[1]!Table1[_HDI_mean])</f>
        <v>0.83991885345021045</v>
      </c>
      <c r="I19" s="3">
        <f>G19-H19</f>
        <v>7.5213847321508043E-3</v>
      </c>
    </row>
    <row r="20" spans="1:9" x14ac:dyDescent="0.25">
      <c r="A20" t="s">
        <v>442</v>
      </c>
      <c r="B20" t="s">
        <v>443</v>
      </c>
      <c r="C20" t="s">
        <v>444</v>
      </c>
      <c r="D20" t="s">
        <v>443</v>
      </c>
      <c r="E20" t="s">
        <v>21</v>
      </c>
      <c r="F20" t="s">
        <v>21</v>
      </c>
      <c r="G20" s="3">
        <v>0.67385880921376984</v>
      </c>
      <c r="H20" s="3">
        <f>_xlfn.XLOOKUP(B20,[1]!Table1[Cntry_name],[1]!Table1[_HDI_mean])</f>
        <v>0.66735111982705619</v>
      </c>
      <c r="I20" s="3">
        <f>G20-H20</f>
        <v>6.5076893867136443E-3</v>
      </c>
    </row>
    <row r="21" spans="1:9" x14ac:dyDescent="0.25">
      <c r="A21" t="s">
        <v>66</v>
      </c>
      <c r="B21" t="s">
        <v>67</v>
      </c>
      <c r="C21" t="s">
        <v>68</v>
      </c>
      <c r="D21" t="s">
        <v>45</v>
      </c>
      <c r="E21" t="s">
        <v>16</v>
      </c>
      <c r="F21" t="s">
        <v>16</v>
      </c>
      <c r="G21" s="3">
        <v>0.89573053814467052</v>
      </c>
      <c r="H21" s="3">
        <f>_xlfn.XLOOKUP(B21,[1]!Table1[Cntry_name],[1]!Table1[_HDI_mean])</f>
        <v>0.88962952345344992</v>
      </c>
      <c r="I21" s="3">
        <f>G21-H21</f>
        <v>6.1010146912205965E-3</v>
      </c>
    </row>
    <row r="22" spans="1:9" x14ac:dyDescent="0.25">
      <c r="A22" t="s">
        <v>229</v>
      </c>
      <c r="B22" t="s">
        <v>230</v>
      </c>
      <c r="C22" t="s">
        <v>231</v>
      </c>
      <c r="D22" t="s">
        <v>232</v>
      </c>
      <c r="E22" t="s">
        <v>10</v>
      </c>
      <c r="F22" t="s">
        <v>89</v>
      </c>
      <c r="G22" s="3">
        <v>0.6862536822985148</v>
      </c>
      <c r="H22" s="3">
        <f>_xlfn.XLOOKUP(B22,[1]!Table1[Cntry_name],[1]!Table1[_HDI_mean])</f>
        <v>0.68028110957932164</v>
      </c>
      <c r="I22" s="3">
        <f>G22-H22</f>
        <v>5.9725727191931588E-3</v>
      </c>
    </row>
    <row r="23" spans="1:9" x14ac:dyDescent="0.25">
      <c r="A23" t="s">
        <v>199</v>
      </c>
      <c r="B23" t="s">
        <v>200</v>
      </c>
      <c r="C23" t="s">
        <v>201</v>
      </c>
      <c r="D23" t="s">
        <v>45</v>
      </c>
      <c r="E23" t="s">
        <v>16</v>
      </c>
      <c r="F23" t="s">
        <v>16</v>
      </c>
      <c r="G23" s="3">
        <v>0.85806708606806659</v>
      </c>
      <c r="H23" s="3">
        <f>_xlfn.XLOOKUP(B23,[1]!Table1[Cntry_name],[1]!Table1[_HDI_mean])</f>
        <v>0.85217109530471091</v>
      </c>
      <c r="I23" s="3">
        <f>G23-H23</f>
        <v>5.8959907633556741E-3</v>
      </c>
    </row>
    <row r="24" spans="1:9" x14ac:dyDescent="0.25">
      <c r="A24" t="s">
        <v>360</v>
      </c>
      <c r="B24" t="s">
        <v>361</v>
      </c>
      <c r="C24" t="s">
        <v>362</v>
      </c>
      <c r="D24" t="s">
        <v>75</v>
      </c>
      <c r="E24" t="s">
        <v>21</v>
      </c>
      <c r="F24" t="s">
        <v>21</v>
      </c>
      <c r="G24" s="3">
        <v>0.35960902840024139</v>
      </c>
      <c r="H24" s="3">
        <f>_xlfn.XLOOKUP(B24,[1]!Table1[Cntry_name],[1]!Table1[_HDI_mean])</f>
        <v>0.35374969242771032</v>
      </c>
      <c r="I24" s="3">
        <f>G24-H24</f>
        <v>5.8593359725310767E-3</v>
      </c>
    </row>
    <row r="25" spans="1:9" x14ac:dyDescent="0.25">
      <c r="A25" t="s">
        <v>242</v>
      </c>
      <c r="B25" t="s">
        <v>243</v>
      </c>
      <c r="C25" t="s">
        <v>244</v>
      </c>
      <c r="D25" t="s">
        <v>58</v>
      </c>
      <c r="E25" t="s">
        <v>49</v>
      </c>
      <c r="F25" t="s">
        <v>58</v>
      </c>
      <c r="G25" s="3">
        <v>0.89899998903274536</v>
      </c>
      <c r="H25" s="3">
        <f>_xlfn.XLOOKUP(B25,[1]!Table1[Cntry_name],[1]!Table1[_HDI_mean])</f>
        <v>0.89402301531088979</v>
      </c>
      <c r="I25" s="3">
        <f>G25-H25</f>
        <v>4.976973721855571E-3</v>
      </c>
    </row>
    <row r="26" spans="1:9" x14ac:dyDescent="0.25">
      <c r="A26" t="s">
        <v>220</v>
      </c>
      <c r="B26" t="s">
        <v>221</v>
      </c>
      <c r="C26" t="s">
        <v>222</v>
      </c>
      <c r="D26" t="s">
        <v>15</v>
      </c>
      <c r="E26" t="s">
        <v>16</v>
      </c>
      <c r="F26" t="s">
        <v>16</v>
      </c>
      <c r="G26" s="3">
        <v>0.83098540200262183</v>
      </c>
      <c r="H26" s="3">
        <f>_xlfn.XLOOKUP(B26,[1]!Table1[Cntry_name],[1]!Table1[_HDI_mean])</f>
        <v>0.82651080881768568</v>
      </c>
      <c r="I26" s="3">
        <f>G26-H26</f>
        <v>4.4745931849361487E-3</v>
      </c>
    </row>
    <row r="27" spans="1:9" x14ac:dyDescent="0.25">
      <c r="A27" t="s">
        <v>348</v>
      </c>
      <c r="B27" t="s">
        <v>349</v>
      </c>
      <c r="C27" t="s">
        <v>350</v>
      </c>
      <c r="D27" t="s">
        <v>45</v>
      </c>
      <c r="E27" t="s">
        <v>16</v>
      </c>
      <c r="F27" t="s">
        <v>16</v>
      </c>
      <c r="G27" s="3">
        <v>0.92284650669948765</v>
      </c>
      <c r="H27" s="3">
        <f>_xlfn.XLOOKUP(B27,[1]!Table1[Cntry_name],[1]!Table1[_HDI_mean])</f>
        <v>0.91840995723826879</v>
      </c>
      <c r="I27" s="3">
        <f>G27-H27</f>
        <v>4.4365494612188527E-3</v>
      </c>
    </row>
    <row r="28" spans="1:9" x14ac:dyDescent="0.25">
      <c r="A28" t="s">
        <v>254</v>
      </c>
      <c r="B28" t="s">
        <v>255</v>
      </c>
      <c r="C28" t="s">
        <v>256</v>
      </c>
      <c r="D28" t="s">
        <v>58</v>
      </c>
      <c r="E28" t="s">
        <v>49</v>
      </c>
      <c r="F28" t="s">
        <v>58</v>
      </c>
      <c r="G28" s="3">
        <v>0.74712326916652261</v>
      </c>
      <c r="H28" s="3">
        <f>_xlfn.XLOOKUP(B28,[1]!Table1[Cntry_name],[1]!Table1[_HDI_mean])</f>
        <v>0.74314788882616811</v>
      </c>
      <c r="I28" s="3">
        <f>G28-H28</f>
        <v>3.9753803403544952E-3</v>
      </c>
    </row>
    <row r="29" spans="1:9" x14ac:dyDescent="0.25">
      <c r="A29" t="s">
        <v>436</v>
      </c>
      <c r="B29" t="s">
        <v>437</v>
      </c>
      <c r="C29" t="s">
        <v>438</v>
      </c>
      <c r="D29" t="s">
        <v>15</v>
      </c>
      <c r="E29" t="s">
        <v>16</v>
      </c>
      <c r="F29" t="s">
        <v>16</v>
      </c>
      <c r="G29" s="3">
        <v>0.89161458611488342</v>
      </c>
      <c r="H29" s="3">
        <f>_xlfn.XLOOKUP(B29,[1]!Table1[Cntry_name],[1]!Table1[_HDI_mean])</f>
        <v>0.88781238497198522</v>
      </c>
      <c r="I29" s="3">
        <f>G29-H29</f>
        <v>3.8022011428981983E-3</v>
      </c>
    </row>
    <row r="30" spans="1:9" x14ac:dyDescent="0.25">
      <c r="A30" t="s">
        <v>339</v>
      </c>
      <c r="B30" t="s">
        <v>340</v>
      </c>
      <c r="C30" t="s">
        <v>341</v>
      </c>
      <c r="D30" t="s">
        <v>88</v>
      </c>
      <c r="E30" t="s">
        <v>10</v>
      </c>
      <c r="F30" t="s">
        <v>89</v>
      </c>
      <c r="G30" s="3">
        <v>0.56003268060436229</v>
      </c>
      <c r="H30" s="3">
        <f>_xlfn.XLOOKUP(B30,[1]!Table1[Cntry_name],[1]!Table1[_HDI_mean])</f>
        <v>0.55721103585235265</v>
      </c>
      <c r="I30" s="3">
        <f>G30-H30</f>
        <v>2.8216447520096333E-3</v>
      </c>
    </row>
    <row r="31" spans="1:9" x14ac:dyDescent="0.25">
      <c r="A31" t="s">
        <v>239</v>
      </c>
      <c r="B31" t="s">
        <v>240</v>
      </c>
      <c r="C31" t="s">
        <v>241</v>
      </c>
      <c r="D31" t="s">
        <v>45</v>
      </c>
      <c r="E31" t="s">
        <v>16</v>
      </c>
      <c r="F31" t="s">
        <v>16</v>
      </c>
      <c r="G31" s="3">
        <v>0.92159901062647498</v>
      </c>
      <c r="H31" s="3">
        <f>_xlfn.XLOOKUP(B31,[1]!Table1[Cntry_name],[1]!Table1[_HDI_mean])</f>
        <v>0.91884535021932356</v>
      </c>
      <c r="I31" s="3">
        <f>G31-H31</f>
        <v>2.7536604071514148E-3</v>
      </c>
    </row>
    <row r="32" spans="1:9" x14ac:dyDescent="0.25">
      <c r="A32" t="s">
        <v>448</v>
      </c>
      <c r="B32" t="s">
        <v>449</v>
      </c>
      <c r="C32" t="s">
        <v>450</v>
      </c>
      <c r="D32" t="s">
        <v>99</v>
      </c>
      <c r="E32" t="s">
        <v>21</v>
      </c>
      <c r="F32" t="s">
        <v>21</v>
      </c>
      <c r="G32" s="3">
        <v>0.42241618115764318</v>
      </c>
      <c r="H32" s="3">
        <f>_xlfn.XLOOKUP(B32,[1]!Table1[Cntry_name],[1]!Table1[_HDI_mean])</f>
        <v>0.41990280344638281</v>
      </c>
      <c r="I32" s="3">
        <f>G32-H32</f>
        <v>2.5133777112603672E-3</v>
      </c>
    </row>
    <row r="33" spans="1:9" x14ac:dyDescent="0.25">
      <c r="A33" t="s">
        <v>538</v>
      </c>
      <c r="B33" t="s">
        <v>539</v>
      </c>
      <c r="C33" t="s">
        <v>540</v>
      </c>
      <c r="D33" t="s">
        <v>75</v>
      </c>
      <c r="E33" t="s">
        <v>21</v>
      </c>
      <c r="F33" t="s">
        <v>21</v>
      </c>
      <c r="G33" s="3">
        <v>0.43766682399339252</v>
      </c>
      <c r="H33" s="3">
        <f>_xlfn.XLOOKUP(B33,[1]!Table1[Cntry_name],[1]!Table1[_HDI_mean])</f>
        <v>0.43533577307248089</v>
      </c>
      <c r="I33" s="3">
        <f>G33-H33</f>
        <v>2.3310509209116259E-3</v>
      </c>
    </row>
    <row r="34" spans="1:9" x14ac:dyDescent="0.25">
      <c r="A34" t="s">
        <v>279</v>
      </c>
      <c r="B34" t="s">
        <v>280</v>
      </c>
      <c r="C34" t="s">
        <v>281</v>
      </c>
      <c r="D34" t="s">
        <v>58</v>
      </c>
      <c r="E34" t="s">
        <v>49</v>
      </c>
      <c r="F34" t="s">
        <v>58</v>
      </c>
      <c r="G34" s="3">
        <v>0.7630000114440918</v>
      </c>
      <c r="H34" s="3">
        <f>_xlfn.XLOOKUP(B34,[1]!Table1[Cntry_name],[1]!Table1[_HDI_mean])</f>
        <v>0.76080690786756322</v>
      </c>
      <c r="I34" s="3">
        <f>G34-H34</f>
        <v>2.1931035765285767E-3</v>
      </c>
    </row>
    <row r="35" spans="1:9" x14ac:dyDescent="0.25">
      <c r="A35" t="s">
        <v>373</v>
      </c>
      <c r="B35" t="s">
        <v>374</v>
      </c>
      <c r="C35" t="s">
        <v>375</v>
      </c>
      <c r="D35" t="s">
        <v>58</v>
      </c>
      <c r="E35" t="s">
        <v>49</v>
      </c>
      <c r="F35" t="s">
        <v>58</v>
      </c>
      <c r="G35" s="3">
        <v>0.79774679135928839</v>
      </c>
      <c r="H35" s="3">
        <f>_xlfn.XLOOKUP(B35,[1]!Table1[Cntry_name],[1]!Table1[_HDI_mean])</f>
        <v>0.79558085756807706</v>
      </c>
      <c r="I35" s="3">
        <f>G35-H35</f>
        <v>2.1659337912113275E-3</v>
      </c>
    </row>
    <row r="36" spans="1:9" x14ac:dyDescent="0.25">
      <c r="A36" t="s">
        <v>184</v>
      </c>
      <c r="B36" t="s">
        <v>185</v>
      </c>
      <c r="C36" t="s">
        <v>186</v>
      </c>
      <c r="D36" t="s">
        <v>75</v>
      </c>
      <c r="E36" t="s">
        <v>21</v>
      </c>
      <c r="F36" t="s">
        <v>21</v>
      </c>
      <c r="G36" s="3">
        <v>0.69700002670288086</v>
      </c>
      <c r="H36" s="3">
        <f>_xlfn.XLOOKUP(B36,[1]!Table1[Cntry_name],[1]!Table1[_HDI_mean])</f>
        <v>0.69507689974258724</v>
      </c>
      <c r="I36" s="3">
        <f>G36-H36</f>
        <v>1.9231269602936196E-3</v>
      </c>
    </row>
    <row r="37" spans="1:9" x14ac:dyDescent="0.25">
      <c r="A37" t="s">
        <v>145</v>
      </c>
      <c r="B37" t="s">
        <v>146</v>
      </c>
      <c r="C37" t="s">
        <v>147</v>
      </c>
      <c r="D37" t="s">
        <v>45</v>
      </c>
      <c r="E37" t="s">
        <v>16</v>
      </c>
      <c r="F37" t="s">
        <v>16</v>
      </c>
      <c r="G37" s="3">
        <v>0.92087071368263829</v>
      </c>
      <c r="H37" s="3">
        <f>_xlfn.XLOOKUP(B37,[1]!Table1[Cntry_name],[1]!Table1[_HDI_mean])</f>
        <v>0.91901802349943973</v>
      </c>
      <c r="I37" s="3">
        <f>G37-H37</f>
        <v>1.8526901831985576E-3</v>
      </c>
    </row>
    <row r="38" spans="1:9" x14ac:dyDescent="0.25">
      <c r="A38" t="s">
        <v>267</v>
      </c>
      <c r="B38" t="s">
        <v>268</v>
      </c>
      <c r="C38" t="s">
        <v>269</v>
      </c>
      <c r="D38" t="s">
        <v>58</v>
      </c>
      <c r="E38" t="s">
        <v>49</v>
      </c>
      <c r="F38" t="s">
        <v>58</v>
      </c>
      <c r="G38" s="3">
        <v>0.80000001192092896</v>
      </c>
      <c r="H38" s="3">
        <f>_xlfn.XLOOKUP(B38,[1]!Table1[Cntry_name],[1]!Table1[_HDI_mean])</f>
        <v>0.79825752231696134</v>
      </c>
      <c r="I38" s="3">
        <f>G38-H38</f>
        <v>1.7424896039676119E-3</v>
      </c>
    </row>
    <row r="39" spans="1:9" x14ac:dyDescent="0.25">
      <c r="A39" t="s">
        <v>42</v>
      </c>
      <c r="B39" t="s">
        <v>43</v>
      </c>
      <c r="C39" t="s">
        <v>44</v>
      </c>
      <c r="D39" t="s">
        <v>45</v>
      </c>
      <c r="E39" t="s">
        <v>16</v>
      </c>
      <c r="F39" t="s">
        <v>16</v>
      </c>
      <c r="G39" s="3">
        <v>0.89382786522657076</v>
      </c>
      <c r="H39" s="3">
        <f>_xlfn.XLOOKUP(B39,[1]!Table1[Cntry_name],[1]!Table1[_HDI_mean])</f>
        <v>0.8922691540450044</v>
      </c>
      <c r="I39" s="3">
        <f>G39-H39</f>
        <v>1.5587111815663635E-3</v>
      </c>
    </row>
    <row r="40" spans="1:9" x14ac:dyDescent="0.25">
      <c r="A40" t="s">
        <v>148</v>
      </c>
      <c r="B40" t="s">
        <v>149</v>
      </c>
      <c r="C40" t="s">
        <v>150</v>
      </c>
      <c r="D40" t="s">
        <v>99</v>
      </c>
      <c r="E40" t="s">
        <v>21</v>
      </c>
      <c r="F40" t="s">
        <v>21</v>
      </c>
      <c r="G40" s="3">
        <v>0.47299998998641968</v>
      </c>
      <c r="H40" s="3">
        <f>_xlfn.XLOOKUP(B40,[1]!Table1[Cntry_name],[1]!Table1[_HDI_mean])</f>
        <v>0.47145408684352658</v>
      </c>
      <c r="I40" s="3">
        <f>G40-H40</f>
        <v>1.5459031428931014E-3</v>
      </c>
    </row>
    <row r="41" spans="1:9" x14ac:dyDescent="0.25">
      <c r="A41" t="s">
        <v>502</v>
      </c>
      <c r="B41" t="s">
        <v>503</v>
      </c>
      <c r="C41" t="s">
        <v>504</v>
      </c>
      <c r="D41" t="s">
        <v>99</v>
      </c>
      <c r="E41" t="s">
        <v>21</v>
      </c>
      <c r="F41" t="s">
        <v>21</v>
      </c>
      <c r="G41" s="3">
        <v>0.49580118037965698</v>
      </c>
      <c r="H41" s="3">
        <f>_xlfn.XLOOKUP(B41,[1]!Table1[Cntry_name],[1]!Table1[_HDI_mean])</f>
        <v>0.49445090499679822</v>
      </c>
      <c r="I41" s="3">
        <f>G41-H41</f>
        <v>1.3502753828587566E-3</v>
      </c>
    </row>
    <row r="42" spans="1:9" x14ac:dyDescent="0.25">
      <c r="A42" t="s">
        <v>136</v>
      </c>
      <c r="B42" t="s">
        <v>137</v>
      </c>
      <c r="C42" t="s">
        <v>138</v>
      </c>
      <c r="D42" t="s">
        <v>15</v>
      </c>
      <c r="E42" t="s">
        <v>16</v>
      </c>
      <c r="F42" t="s">
        <v>16</v>
      </c>
      <c r="G42" s="3">
        <v>0.82700002193450928</v>
      </c>
      <c r="H42" s="3">
        <f>_xlfn.XLOOKUP(B42,[1]!Table1[Cntry_name],[1]!Table1[_HDI_mean])</f>
        <v>0.82580889718417816</v>
      </c>
      <c r="I42" s="3">
        <f>G42-H42</f>
        <v>1.1911247503311184E-3</v>
      </c>
    </row>
    <row r="43" spans="1:9" x14ac:dyDescent="0.25">
      <c r="A43" t="s">
        <v>193</v>
      </c>
      <c r="B43" t="s">
        <v>194</v>
      </c>
      <c r="C43" t="s">
        <v>195</v>
      </c>
      <c r="D43" t="s">
        <v>45</v>
      </c>
      <c r="E43" t="s">
        <v>16</v>
      </c>
      <c r="F43" t="s">
        <v>16</v>
      </c>
      <c r="G43" s="3">
        <v>0.92509808623932321</v>
      </c>
      <c r="H43" s="3">
        <f>_xlfn.XLOOKUP(B43,[1]!Table1[Cntry_name],[1]!Table1[_HDI_mean])</f>
        <v>0.92394227677817276</v>
      </c>
      <c r="I43" s="3">
        <f>G43-H43</f>
        <v>1.1558094611504588E-3</v>
      </c>
    </row>
    <row r="44" spans="1:9" x14ac:dyDescent="0.25">
      <c r="A44" t="s">
        <v>484</v>
      </c>
      <c r="B44" t="s">
        <v>485</v>
      </c>
      <c r="C44" t="s">
        <v>486</v>
      </c>
      <c r="D44" t="s">
        <v>88</v>
      </c>
      <c r="E44" t="s">
        <v>10</v>
      </c>
      <c r="F44" t="s">
        <v>89</v>
      </c>
      <c r="G44" s="3">
        <v>0.74000000953674316</v>
      </c>
      <c r="H44" s="3">
        <f>_xlfn.XLOOKUP(B44,[1]!Table1[Cntry_name],[1]!Table1[_HDI_mean])</f>
        <v>0.73890068352375471</v>
      </c>
      <c r="I44" s="3">
        <f>G44-H44</f>
        <v>1.0993260129884552E-3</v>
      </c>
    </row>
    <row r="45" spans="1:9" x14ac:dyDescent="0.25">
      <c r="A45" t="s">
        <v>330</v>
      </c>
      <c r="B45" t="s">
        <v>331</v>
      </c>
      <c r="C45" t="s">
        <v>332</v>
      </c>
      <c r="D45" t="s">
        <v>15</v>
      </c>
      <c r="E45" t="s">
        <v>16</v>
      </c>
      <c r="F45" t="s">
        <v>16</v>
      </c>
      <c r="G45" s="3">
        <v>0.80699998140335072</v>
      </c>
      <c r="H45" s="3">
        <f>_xlfn.XLOOKUP(B45,[1]!Table1[Cntry_name],[1]!Table1[_HDI_mean])</f>
        <v>0.80597639702401069</v>
      </c>
      <c r="I45" s="3">
        <f>G45-H45</f>
        <v>1.0235843793400257E-3</v>
      </c>
    </row>
    <row r="46" spans="1:9" x14ac:dyDescent="0.25">
      <c r="A46" t="s">
        <v>511</v>
      </c>
      <c r="B46" t="s">
        <v>512</v>
      </c>
      <c r="C46" t="s">
        <v>513</v>
      </c>
      <c r="D46" t="s">
        <v>511</v>
      </c>
      <c r="E46" t="s">
        <v>54</v>
      </c>
      <c r="F46" t="s">
        <v>109</v>
      </c>
      <c r="G46" s="3">
        <v>0.91929303654955519</v>
      </c>
      <c r="H46" s="3">
        <f>_xlfn.XLOOKUP(B46,[1]!Table1[Cntry_name],[1]!Table1[_HDI_mean])</f>
        <v>0.91834447748001824</v>
      </c>
      <c r="I46" s="3">
        <f>G46-H46</f>
        <v>9.4855906953694724E-4</v>
      </c>
    </row>
    <row r="47" spans="1:9" x14ac:dyDescent="0.25">
      <c r="A47" t="s">
        <v>76</v>
      </c>
      <c r="B47" t="s">
        <v>77</v>
      </c>
      <c r="C47" t="s">
        <v>78</v>
      </c>
      <c r="D47" t="s">
        <v>29</v>
      </c>
      <c r="E47" t="s">
        <v>30</v>
      </c>
      <c r="F47" t="s">
        <v>31</v>
      </c>
      <c r="G47" s="3">
        <v>0.67505856242844153</v>
      </c>
      <c r="H47" s="3">
        <f>_xlfn.XLOOKUP(B47,[1]!Table1[Cntry_name],[1]!Table1[_HDI_mean])</f>
        <v>0.67424924182290946</v>
      </c>
      <c r="I47" s="3">
        <f>G47-H47</f>
        <v>8.0932060553207119E-4</v>
      </c>
    </row>
    <row r="48" spans="1:9" x14ac:dyDescent="0.25">
      <c r="A48" t="s">
        <v>59</v>
      </c>
      <c r="B48" t="s">
        <v>60</v>
      </c>
      <c r="C48" t="s">
        <v>61</v>
      </c>
      <c r="D48" t="s">
        <v>9</v>
      </c>
      <c r="E48" t="s">
        <v>10</v>
      </c>
      <c r="F48" t="s">
        <v>11</v>
      </c>
      <c r="G48" s="3">
        <v>0.58081456501785278</v>
      </c>
      <c r="H48" s="3">
        <f>_xlfn.XLOOKUP(B48,[1]!Table1[Cntry_name],[1]!Table1[_HDI_mean])</f>
        <v>0.58004404512826024</v>
      </c>
      <c r="I48" s="3">
        <f>G48-H48</f>
        <v>7.7051988959253581E-4</v>
      </c>
    </row>
    <row r="49" spans="1:9" x14ac:dyDescent="0.25">
      <c r="A49" t="s">
        <v>151</v>
      </c>
      <c r="B49" t="s">
        <v>152</v>
      </c>
      <c r="C49" t="s">
        <v>153</v>
      </c>
      <c r="D49" t="s">
        <v>53</v>
      </c>
      <c r="E49" t="s">
        <v>30</v>
      </c>
      <c r="F49" t="s">
        <v>31</v>
      </c>
      <c r="G49" s="3">
        <v>0.72200000286102295</v>
      </c>
      <c r="H49" s="3">
        <f>_xlfn.XLOOKUP(B49,[1]!Table1[Cntry_name],[1]!Table1[_HDI_mean])</f>
        <v>0.72123025495465065</v>
      </c>
      <c r="I49" s="3">
        <f>G49-H49</f>
        <v>7.6974790637229784E-4</v>
      </c>
    </row>
    <row r="50" spans="1:9" x14ac:dyDescent="0.25">
      <c r="A50" t="s">
        <v>366</v>
      </c>
      <c r="B50" t="s">
        <v>367</v>
      </c>
      <c r="C50" t="s">
        <v>368</v>
      </c>
      <c r="D50" t="s">
        <v>369</v>
      </c>
      <c r="E50" t="s">
        <v>10</v>
      </c>
      <c r="F50" t="s">
        <v>126</v>
      </c>
      <c r="G50" s="3">
        <v>0.70065241606698492</v>
      </c>
      <c r="H50" s="3">
        <f>_xlfn.XLOOKUP(B50,[1]!Table1[Cntry_name],[1]!Table1[_HDI_mean])</f>
        <v>0.6999237481285544</v>
      </c>
      <c r="I50" s="3">
        <f>G50-H50</f>
        <v>7.2866793843051614E-4</v>
      </c>
    </row>
    <row r="51" spans="1:9" x14ac:dyDescent="0.25">
      <c r="A51" t="s">
        <v>412</v>
      </c>
      <c r="B51" t="s">
        <v>413</v>
      </c>
      <c r="C51" t="s">
        <v>414</v>
      </c>
      <c r="D51" t="s">
        <v>99</v>
      </c>
      <c r="E51" t="s">
        <v>21</v>
      </c>
      <c r="F51" t="s">
        <v>21</v>
      </c>
      <c r="G51" s="3">
        <v>0.49723386004080189</v>
      </c>
      <c r="H51" s="3">
        <f>_xlfn.XLOOKUP(B51,[1]!Table1[Cntry_name],[1]!Table1[_HDI_mean])</f>
        <v>0.49652684214931209</v>
      </c>
      <c r="I51" s="3">
        <f>G51-H51</f>
        <v>7.0701789148980287E-4</v>
      </c>
    </row>
    <row r="52" spans="1:9" x14ac:dyDescent="0.25">
      <c r="A52" t="s">
        <v>306</v>
      </c>
      <c r="B52" t="s">
        <v>307</v>
      </c>
      <c r="C52" t="s">
        <v>308</v>
      </c>
      <c r="D52" t="s">
        <v>88</v>
      </c>
      <c r="E52" t="s">
        <v>10</v>
      </c>
      <c r="F52" t="s">
        <v>89</v>
      </c>
      <c r="G52" s="3">
        <v>0.78899997472763062</v>
      </c>
      <c r="H52" s="3">
        <f>_xlfn.XLOOKUP(B52,[1]!Table1[Cntry_name],[1]!Table1[_HDI_mean])</f>
        <v>0.7883801936640622</v>
      </c>
      <c r="I52" s="3">
        <f>G52-H52</f>
        <v>6.1978106356841423E-4</v>
      </c>
    </row>
    <row r="53" spans="1:9" x14ac:dyDescent="0.25">
      <c r="A53" t="s">
        <v>397</v>
      </c>
      <c r="B53" t="s">
        <v>398</v>
      </c>
      <c r="C53" t="s">
        <v>399</v>
      </c>
      <c r="D53" t="s">
        <v>15</v>
      </c>
      <c r="E53" t="s">
        <v>16</v>
      </c>
      <c r="F53" t="s">
        <v>16</v>
      </c>
      <c r="G53" s="3">
        <v>0.85225273069764351</v>
      </c>
      <c r="H53" s="3">
        <f>_xlfn.XLOOKUP(B53,[1]!Table1[Cntry_name],[1]!Table1[_HDI_mean])</f>
        <v>0.85167815504217814</v>
      </c>
      <c r="I53" s="3">
        <f>G53-H53</f>
        <v>5.7457565546537026E-4</v>
      </c>
    </row>
    <row r="54" spans="1:9" x14ac:dyDescent="0.25">
      <c r="A54" t="s">
        <v>445</v>
      </c>
      <c r="B54" t="s">
        <v>446</v>
      </c>
      <c r="C54" t="s">
        <v>447</v>
      </c>
      <c r="D54" t="s">
        <v>369</v>
      </c>
      <c r="E54" t="s">
        <v>10</v>
      </c>
      <c r="F54" t="s">
        <v>126</v>
      </c>
      <c r="G54" s="3">
        <v>0.90100002288818359</v>
      </c>
      <c r="H54" s="3">
        <f>_xlfn.XLOOKUP(B54,[1]!Table1[Cntry_name],[1]!Table1[_HDI_mean])</f>
        <v>0.90043488604471733</v>
      </c>
      <c r="I54" s="3">
        <f>G54-H54</f>
        <v>5.6513684346626292E-4</v>
      </c>
    </row>
    <row r="55" spans="1:9" x14ac:dyDescent="0.25">
      <c r="A55" t="s">
        <v>169</v>
      </c>
      <c r="B55" t="s">
        <v>170</v>
      </c>
      <c r="C55" t="s">
        <v>171</v>
      </c>
      <c r="D55" t="s">
        <v>15</v>
      </c>
      <c r="E55" t="s">
        <v>16</v>
      </c>
      <c r="F55" t="s">
        <v>16</v>
      </c>
      <c r="G55" s="3">
        <v>0.86500000953674316</v>
      </c>
      <c r="H55" s="3">
        <f>_xlfn.XLOOKUP(B55,[1]!Table1[Cntry_name],[1]!Table1[_HDI_mean])</f>
        <v>0.86445223128267112</v>
      </c>
      <c r="I55" s="3">
        <f>G55-H55</f>
        <v>5.4777825407203995E-4</v>
      </c>
    </row>
    <row r="56" spans="1:9" x14ac:dyDescent="0.25">
      <c r="A56" t="s">
        <v>418</v>
      </c>
      <c r="B56" t="s">
        <v>419</v>
      </c>
      <c r="C56" t="s">
        <v>420</v>
      </c>
      <c r="D56" t="s">
        <v>58</v>
      </c>
      <c r="E56" t="s">
        <v>49</v>
      </c>
      <c r="F56" t="s">
        <v>58</v>
      </c>
      <c r="G56" s="3">
        <v>0.84700000286102295</v>
      </c>
      <c r="H56" s="3">
        <f>_xlfn.XLOOKUP(B56,[1]!Table1[Cntry_name],[1]!Table1[_HDI_mean])</f>
        <v>0.8464921643108253</v>
      </c>
      <c r="I56" s="3">
        <f>G56-H56</f>
        <v>5.078385501976479E-4</v>
      </c>
    </row>
    <row r="57" spans="1:9" x14ac:dyDescent="0.25">
      <c r="A57" t="s">
        <v>469</v>
      </c>
      <c r="B57" t="s">
        <v>470</v>
      </c>
      <c r="C57" t="s">
        <v>471</v>
      </c>
      <c r="D57" t="s">
        <v>45</v>
      </c>
      <c r="E57" t="s">
        <v>16</v>
      </c>
      <c r="F57" t="s">
        <v>16</v>
      </c>
      <c r="G57" s="3">
        <v>0.93865225681891806</v>
      </c>
      <c r="H57" s="3">
        <f>_xlfn.XLOOKUP(B57,[1]!Table1[Cntry_name],[1]!Table1[_HDI_mean])</f>
        <v>0.9381597473032095</v>
      </c>
      <c r="I57" s="3">
        <f>G57-H57</f>
        <v>4.9250951570856127E-4</v>
      </c>
    </row>
    <row r="58" spans="1:9" x14ac:dyDescent="0.25">
      <c r="A58" t="s">
        <v>421</v>
      </c>
      <c r="B58" t="s">
        <v>422</v>
      </c>
      <c r="C58" t="s">
        <v>423</v>
      </c>
      <c r="D58" t="s">
        <v>75</v>
      </c>
      <c r="E58" t="s">
        <v>21</v>
      </c>
      <c r="F58" t="s">
        <v>21</v>
      </c>
      <c r="G58" s="3">
        <v>0.49409065522138962</v>
      </c>
      <c r="H58" s="3">
        <f>_xlfn.XLOOKUP(B58,[1]!Table1[Cntry_name],[1]!Table1[_HDI_mean])</f>
        <v>0.4936089029925726</v>
      </c>
      <c r="I58" s="3">
        <f>G58-H58</f>
        <v>4.8175222881702284E-4</v>
      </c>
    </row>
    <row r="59" spans="1:9" x14ac:dyDescent="0.25">
      <c r="A59" t="s">
        <v>291</v>
      </c>
      <c r="B59" t="s">
        <v>292</v>
      </c>
      <c r="C59" t="s">
        <v>293</v>
      </c>
      <c r="D59" t="s">
        <v>15</v>
      </c>
      <c r="E59" t="s">
        <v>16</v>
      </c>
      <c r="F59" t="s">
        <v>16</v>
      </c>
      <c r="G59" s="3">
        <v>0.84799998998641968</v>
      </c>
      <c r="H59" s="3">
        <f>_xlfn.XLOOKUP(B59,[1]!Table1[Cntry_name],[1]!Table1[_HDI_mean])</f>
        <v>0.84754915799207298</v>
      </c>
      <c r="I59" s="3">
        <f>G59-H59</f>
        <v>4.5083199434670096E-4</v>
      </c>
    </row>
    <row r="60" spans="1:9" x14ac:dyDescent="0.25">
      <c r="A60" t="s">
        <v>382</v>
      </c>
      <c r="B60" t="s">
        <v>383</v>
      </c>
      <c r="C60" t="s">
        <v>384</v>
      </c>
      <c r="D60" t="s">
        <v>53</v>
      </c>
      <c r="E60" t="s">
        <v>30</v>
      </c>
      <c r="F60" t="s">
        <v>31</v>
      </c>
      <c r="G60" s="3">
        <v>0.78799998760223389</v>
      </c>
      <c r="H60" s="3">
        <f>_xlfn.XLOOKUP(B60,[1]!Table1[Cntry_name],[1]!Table1[_HDI_mean])</f>
        <v>0.78756227731437123</v>
      </c>
      <c r="I60" s="3">
        <f>G60-H60</f>
        <v>4.377102878626582E-4</v>
      </c>
    </row>
    <row r="61" spans="1:9" x14ac:dyDescent="0.25">
      <c r="A61" t="s">
        <v>233</v>
      </c>
      <c r="B61" t="s">
        <v>234</v>
      </c>
      <c r="C61" t="s">
        <v>235</v>
      </c>
      <c r="D61" t="s">
        <v>58</v>
      </c>
      <c r="E61" t="s">
        <v>49</v>
      </c>
      <c r="F61" t="s">
        <v>58</v>
      </c>
      <c r="G61" s="3">
        <v>0.77384973698730575</v>
      </c>
      <c r="H61" s="3">
        <f>_xlfn.XLOOKUP(B61,[1]!Table1[Cntry_name],[1]!Table1[_HDI_mean])</f>
        <v>0.77342104845385318</v>
      </c>
      <c r="I61" s="3">
        <f>G61-H61</f>
        <v>4.286885334525703E-4</v>
      </c>
    </row>
    <row r="62" spans="1:9" x14ac:dyDescent="0.25">
      <c r="A62" t="s">
        <v>133</v>
      </c>
      <c r="B62" t="s">
        <v>134</v>
      </c>
      <c r="C62" t="s">
        <v>135</v>
      </c>
      <c r="D62" t="s">
        <v>53</v>
      </c>
      <c r="E62" t="s">
        <v>30</v>
      </c>
      <c r="F62" t="s">
        <v>31</v>
      </c>
      <c r="G62" s="3">
        <v>0.77600002288818359</v>
      </c>
      <c r="H62" s="3">
        <f>_xlfn.XLOOKUP(B62,[1]!Table1[Cntry_name],[1]!Table1[_HDI_mean])</f>
        <v>0.77557191817589055</v>
      </c>
      <c r="I62" s="3">
        <f>G62-H62</f>
        <v>4.2810471229304259E-4</v>
      </c>
    </row>
    <row r="63" spans="1:9" x14ac:dyDescent="0.25">
      <c r="A63" t="s">
        <v>245</v>
      </c>
      <c r="B63" t="s">
        <v>246</v>
      </c>
      <c r="C63" t="s">
        <v>247</v>
      </c>
      <c r="D63" t="s">
        <v>45</v>
      </c>
      <c r="E63" t="s">
        <v>16</v>
      </c>
      <c r="F63" t="s">
        <v>16</v>
      </c>
      <c r="G63" s="3">
        <v>0.88680453387421987</v>
      </c>
      <c r="H63" s="3">
        <f>_xlfn.XLOOKUP(B63,[1]!Table1[Cntry_name],[1]!Table1[_HDI_mean])</f>
        <v>0.88639274497414799</v>
      </c>
      <c r="I63" s="3">
        <f>G63-H63</f>
        <v>4.1178890007187441E-4</v>
      </c>
    </row>
    <row r="64" spans="1:9" x14ac:dyDescent="0.25">
      <c r="A64" t="s">
        <v>460</v>
      </c>
      <c r="B64" t="s">
        <v>461</v>
      </c>
      <c r="C64" t="s">
        <v>462</v>
      </c>
      <c r="D64" t="s">
        <v>29</v>
      </c>
      <c r="E64" t="s">
        <v>30</v>
      </c>
      <c r="F64" t="s">
        <v>31</v>
      </c>
      <c r="G64" s="3">
        <v>0.72500002384185791</v>
      </c>
      <c r="H64" s="3">
        <f>_xlfn.XLOOKUP(B64,[1]!Table1[Cntry_name],[1]!Table1[_HDI_mean])</f>
        <v>0.7246812671906987</v>
      </c>
      <c r="I64" s="3">
        <f>G64-H64</f>
        <v>3.1875665115921326E-4</v>
      </c>
    </row>
    <row r="65" spans="1:9" x14ac:dyDescent="0.25">
      <c r="A65" t="s">
        <v>157</v>
      </c>
      <c r="B65" t="s">
        <v>158</v>
      </c>
      <c r="C65" t="s">
        <v>159</v>
      </c>
      <c r="D65" t="s">
        <v>20</v>
      </c>
      <c r="E65" t="s">
        <v>21</v>
      </c>
      <c r="F65" t="s">
        <v>21</v>
      </c>
      <c r="G65" s="3">
        <v>0.69100088604130139</v>
      </c>
      <c r="H65" s="3">
        <f>_xlfn.XLOOKUP(B65,[1]!Table1[Cntry_name],[1]!Table1[_HDI_mean])</f>
        <v>0.69069373528311084</v>
      </c>
      <c r="I65" s="3">
        <f>G65-H65</f>
        <v>3.0715075819054416E-4</v>
      </c>
    </row>
    <row r="66" spans="1:9" x14ac:dyDescent="0.25">
      <c r="A66" t="s">
        <v>403</v>
      </c>
      <c r="B66" t="s">
        <v>404</v>
      </c>
      <c r="C66" t="s">
        <v>405</v>
      </c>
      <c r="D66" t="s">
        <v>58</v>
      </c>
      <c r="E66" t="s">
        <v>49</v>
      </c>
      <c r="F66" t="s">
        <v>58</v>
      </c>
      <c r="G66" s="3">
        <v>0.85600000619888306</v>
      </c>
      <c r="H66" s="3">
        <f>_xlfn.XLOOKUP(B66,[1]!Table1[Cntry_name],[1]!Table1[_HDI_mean])</f>
        <v>0.85569799266405555</v>
      </c>
      <c r="I66" s="3">
        <f>G66-H66</f>
        <v>3.0201353482750548E-4</v>
      </c>
    </row>
    <row r="67" spans="1:9" x14ac:dyDescent="0.25">
      <c r="A67" t="s">
        <v>523</v>
      </c>
      <c r="B67" t="s">
        <v>524</v>
      </c>
      <c r="C67" t="s">
        <v>525</v>
      </c>
      <c r="D67" t="s">
        <v>88</v>
      </c>
      <c r="E67" t="s">
        <v>10</v>
      </c>
      <c r="F67" t="s">
        <v>89</v>
      </c>
      <c r="G67" s="3">
        <v>0.68284317071733758</v>
      </c>
      <c r="H67" s="3">
        <f>_xlfn.XLOOKUP(B67,[1]!Table1[Cntry_name],[1]!Table1[_HDI_mean])</f>
        <v>0.68255956934130535</v>
      </c>
      <c r="I67" s="3">
        <f>G67-H67</f>
        <v>2.8360137603222757E-4</v>
      </c>
    </row>
    <row r="68" spans="1:9" x14ac:dyDescent="0.25">
      <c r="A68" t="s">
        <v>62</v>
      </c>
      <c r="B68" t="s">
        <v>63</v>
      </c>
      <c r="C68" t="s">
        <v>64</v>
      </c>
      <c r="D68" t="s">
        <v>65</v>
      </c>
      <c r="E68" t="s">
        <v>49</v>
      </c>
      <c r="F68" t="s">
        <v>36</v>
      </c>
      <c r="G68" s="3">
        <v>0.79600000381469727</v>
      </c>
      <c r="H68" s="3">
        <f>_xlfn.XLOOKUP(B68,[1]!Table1[Cntry_name],[1]!Table1[_HDI_mean])</f>
        <v>0.79576675091256377</v>
      </c>
      <c r="I68" s="3">
        <f>G68-H68</f>
        <v>2.3325290213349614E-4</v>
      </c>
    </row>
    <row r="69" spans="1:9" x14ac:dyDescent="0.25">
      <c r="A69" t="s">
        <v>391</v>
      </c>
      <c r="B69" t="s">
        <v>392</v>
      </c>
      <c r="C69" t="s">
        <v>393</v>
      </c>
      <c r="D69" t="s">
        <v>29</v>
      </c>
      <c r="E69" t="s">
        <v>30</v>
      </c>
      <c r="F69" t="s">
        <v>31</v>
      </c>
      <c r="G69" s="3">
        <v>0.74000000953674316</v>
      </c>
      <c r="H69" s="3">
        <f>_xlfn.XLOOKUP(B69,[1]!Table1[Cntry_name],[1]!Table1[_HDI_mean])</f>
        <v>0.73977281710721898</v>
      </c>
      <c r="I69" s="3">
        <f>G69-H69</f>
        <v>2.2719242952418117E-4</v>
      </c>
    </row>
    <row r="70" spans="1:9" x14ac:dyDescent="0.25">
      <c r="A70" t="s">
        <v>257</v>
      </c>
      <c r="B70" t="s">
        <v>258</v>
      </c>
      <c r="C70" t="s">
        <v>259</v>
      </c>
      <c r="D70" t="s">
        <v>260</v>
      </c>
      <c r="E70" t="s">
        <v>49</v>
      </c>
      <c r="F70" t="s">
        <v>36</v>
      </c>
      <c r="G70" s="3">
        <v>0.79400002956390381</v>
      </c>
      <c r="H70" s="3">
        <f>_xlfn.XLOOKUP(B70,[1]!Table1[Cntry_name],[1]!Table1[_HDI_mean])</f>
        <v>0.79382555214445361</v>
      </c>
      <c r="I70" s="3">
        <f>G70-H70</f>
        <v>1.7447741945020301E-4</v>
      </c>
    </row>
    <row r="71" spans="1:9" x14ac:dyDescent="0.25">
      <c r="A71" t="s">
        <v>17</v>
      </c>
      <c r="B71" t="s">
        <v>18</v>
      </c>
      <c r="C71" t="s">
        <v>19</v>
      </c>
      <c r="D71" t="s">
        <v>20</v>
      </c>
      <c r="E71" t="s">
        <v>21</v>
      </c>
      <c r="F71" t="s">
        <v>21</v>
      </c>
      <c r="G71" s="3">
        <v>0.74500000476837158</v>
      </c>
      <c r="H71" s="3">
        <f>_xlfn.XLOOKUP(B71,[1]!Table1[Cntry_name],[1]!Table1[_HDI_mean])</f>
        <v>0.7448674337550808</v>
      </c>
      <c r="I71" s="3">
        <f>G71-H71</f>
        <v>1.3257101329078314E-4</v>
      </c>
    </row>
    <row r="72" spans="1:9" x14ac:dyDescent="0.25">
      <c r="A72" t="s">
        <v>190</v>
      </c>
      <c r="B72" t="s">
        <v>191</v>
      </c>
      <c r="C72" t="s">
        <v>192</v>
      </c>
      <c r="D72" t="s">
        <v>35</v>
      </c>
      <c r="E72" t="s">
        <v>16</v>
      </c>
      <c r="F72" t="s">
        <v>36</v>
      </c>
      <c r="G72" s="3">
        <v>0.76899999380111694</v>
      </c>
      <c r="H72" s="3">
        <f>_xlfn.XLOOKUP(B72,[1]!Table1[Cntry_name],[1]!Table1[_HDI_mean])</f>
        <v>0.76887585316277074</v>
      </c>
      <c r="I72" s="3">
        <f>G72-H72</f>
        <v>1.2414063834620404E-4</v>
      </c>
    </row>
    <row r="73" spans="1:9" x14ac:dyDescent="0.25">
      <c r="A73" t="s">
        <v>499</v>
      </c>
      <c r="B73" t="s">
        <v>500</v>
      </c>
      <c r="C73" t="s">
        <v>501</v>
      </c>
      <c r="D73" t="s">
        <v>260</v>
      </c>
      <c r="E73" t="s">
        <v>49</v>
      </c>
      <c r="F73" t="s">
        <v>36</v>
      </c>
      <c r="G73" s="3">
        <v>0.69199997186660767</v>
      </c>
      <c r="H73" s="3">
        <f>_xlfn.XLOOKUP(B73,[1]!Table1[Cntry_name],[1]!Table1[_HDI_mean])</f>
        <v>0.69188276536127802</v>
      </c>
      <c r="I73" s="3">
        <f>G73-H73</f>
        <v>1.1720650532964783E-4</v>
      </c>
    </row>
    <row r="74" spans="1:9" x14ac:dyDescent="0.25">
      <c r="A74" t="s">
        <v>481</v>
      </c>
      <c r="B74" t="s">
        <v>482</v>
      </c>
      <c r="C74" t="s">
        <v>483</v>
      </c>
      <c r="D74" t="s">
        <v>25</v>
      </c>
      <c r="E74" t="s">
        <v>21</v>
      </c>
      <c r="F74" t="s">
        <v>21</v>
      </c>
      <c r="G74" s="3">
        <v>0.53100001811981201</v>
      </c>
      <c r="H74" s="3">
        <f>_xlfn.XLOOKUP(B74,[1]!Table1[Cntry_name],[1]!Table1[_HDI_mean])</f>
        <v>0.53092824774571057</v>
      </c>
      <c r="I74" s="3">
        <f>G74-H74</f>
        <v>7.1770374101443046E-5</v>
      </c>
    </row>
    <row r="75" spans="1:9" x14ac:dyDescent="0.25">
      <c r="A75" t="s">
        <v>357</v>
      </c>
      <c r="B75" t="s">
        <v>358</v>
      </c>
      <c r="C75" t="s">
        <v>359</v>
      </c>
      <c r="D75" t="s">
        <v>53</v>
      </c>
      <c r="E75" t="s">
        <v>30</v>
      </c>
      <c r="F75" t="s">
        <v>31</v>
      </c>
      <c r="G75" s="3">
        <v>0.64499998092651367</v>
      </c>
      <c r="H75" s="3">
        <f>_xlfn.XLOOKUP(B75,[1]!Table1[Cntry_name],[1]!Table1[_HDI_mean])</f>
        <v>0.6449347919404429</v>
      </c>
      <c r="I75" s="3">
        <f>G75-H75</f>
        <v>6.5188986070774391E-5</v>
      </c>
    </row>
    <row r="76" spans="1:9" x14ac:dyDescent="0.25">
      <c r="A76" t="s">
        <v>251</v>
      </c>
      <c r="B76" t="s">
        <v>252</v>
      </c>
      <c r="C76" t="s">
        <v>253</v>
      </c>
      <c r="D76" t="s">
        <v>252</v>
      </c>
      <c r="E76" t="s">
        <v>10</v>
      </c>
      <c r="F76" t="s">
        <v>41</v>
      </c>
      <c r="G76" s="3">
        <v>0.89637216792163232</v>
      </c>
      <c r="H76" s="3">
        <f>_xlfn.XLOOKUP(B76,[1]!Table1[Cntry_name],[1]!Table1[_HDI_mean])</f>
        <v>0.89631509815657695</v>
      </c>
      <c r="I76" s="3">
        <f>G76-H76</f>
        <v>5.706976505537309E-5</v>
      </c>
    </row>
    <row r="77" spans="1:9" x14ac:dyDescent="0.25">
      <c r="A77" t="s">
        <v>493</v>
      </c>
      <c r="B77" t="s">
        <v>494</v>
      </c>
      <c r="C77" t="s">
        <v>495</v>
      </c>
      <c r="D77" t="s">
        <v>20</v>
      </c>
      <c r="E77" t="s">
        <v>21</v>
      </c>
      <c r="F77" t="s">
        <v>21</v>
      </c>
      <c r="G77" s="3">
        <v>0.72500002384185791</v>
      </c>
      <c r="H77" s="3">
        <f>_xlfn.XLOOKUP(B77,[1]!Table1[Cntry_name],[1]!Table1[_HDI_mean])</f>
        <v>0.72496150934821912</v>
      </c>
      <c r="I77" s="3">
        <f>G77-H77</f>
        <v>3.8514493638786007E-5</v>
      </c>
    </row>
    <row r="78" spans="1:9" x14ac:dyDescent="0.25">
      <c r="A78" t="s">
        <v>22</v>
      </c>
      <c r="B78" t="s">
        <v>23</v>
      </c>
      <c r="C78" t="s">
        <v>24</v>
      </c>
      <c r="D78" t="s">
        <v>25</v>
      </c>
      <c r="E78" t="s">
        <v>21</v>
      </c>
      <c r="F78" t="s">
        <v>21</v>
      </c>
      <c r="G78" s="3">
        <v>0.53299999237060547</v>
      </c>
      <c r="H78" s="3">
        <f>_xlfn.XLOOKUP(B78,[1]!Table1[Cntry_name],[1]!Table1[_HDI_mean])</f>
        <v>0.53296573757806909</v>
      </c>
      <c r="I78" s="3">
        <f>G78-H78</f>
        <v>3.4254792536381196E-5</v>
      </c>
    </row>
    <row r="79" spans="1:9" x14ac:dyDescent="0.25">
      <c r="A79" t="s">
        <v>154</v>
      </c>
      <c r="B79" t="s">
        <v>155</v>
      </c>
      <c r="C79" t="s">
        <v>156</v>
      </c>
      <c r="D79" t="s">
        <v>29</v>
      </c>
      <c r="E79" t="s">
        <v>30</v>
      </c>
      <c r="F79" t="s">
        <v>31</v>
      </c>
      <c r="G79" s="3">
        <v>0.73900002241134644</v>
      </c>
      <c r="H79" s="3">
        <f>_xlfn.XLOOKUP(B79,[1]!Table1[Cntry_name],[1]!Table1[_HDI_mean])</f>
        <v>0.73898736404864329</v>
      </c>
      <c r="I79" s="3">
        <f>G79-H79</f>
        <v>1.2658362703144022E-5</v>
      </c>
    </row>
    <row r="80" spans="1:9" x14ac:dyDescent="0.25">
      <c r="A80" t="s">
        <v>288</v>
      </c>
      <c r="B80" t="s">
        <v>289</v>
      </c>
      <c r="C80" t="s">
        <v>290</v>
      </c>
      <c r="D80" t="s">
        <v>20</v>
      </c>
      <c r="E80" t="s">
        <v>21</v>
      </c>
      <c r="F80" t="s">
        <v>21</v>
      </c>
      <c r="G80" s="3">
        <v>0.7160000205039978</v>
      </c>
      <c r="H80" s="3">
        <f>_xlfn.XLOOKUP(B80,[1]!Table1[Cntry_name],[1]!Table1[_HDI_mean])</f>
        <v>0.71599917138453406</v>
      </c>
      <c r="I80" s="3">
        <f>G80-H80</f>
        <v>8.4911946374166547E-7</v>
      </c>
    </row>
    <row r="81" spans="1:9" x14ac:dyDescent="0.25">
      <c r="A81" t="s">
        <v>110</v>
      </c>
      <c r="B81" t="s">
        <v>111</v>
      </c>
      <c r="C81" t="s">
        <v>112</v>
      </c>
      <c r="D81" t="s">
        <v>75</v>
      </c>
      <c r="E81" t="s">
        <v>21</v>
      </c>
      <c r="F81" t="s">
        <v>21</v>
      </c>
      <c r="G81" s="3">
        <v>0.64800000190734863</v>
      </c>
      <c r="H81" s="3">
        <f>_xlfn.XLOOKUP(B81,[1]!Table1[Cntry_name],[1]!Table1[_HDI_mean])</f>
        <v>0.64800000190734863</v>
      </c>
      <c r="I81" s="3">
        <f>G81-H81</f>
        <v>0</v>
      </c>
    </row>
    <row r="82" spans="1:9" x14ac:dyDescent="0.25">
      <c r="A82" t="s">
        <v>139</v>
      </c>
      <c r="B82" t="s">
        <v>140</v>
      </c>
      <c r="C82" t="s">
        <v>141</v>
      </c>
      <c r="D82" t="s">
        <v>53</v>
      </c>
      <c r="E82" t="s">
        <v>30</v>
      </c>
      <c r="F82" t="s">
        <v>31</v>
      </c>
      <c r="G82" s="3">
        <v>0.77499997615814209</v>
      </c>
      <c r="H82" s="3">
        <f>_xlfn.XLOOKUP(B82,[1]!Table1[Cntry_name],[1]!Table1[_HDI_mean])</f>
        <v>0.77499997615814209</v>
      </c>
      <c r="I82" s="3">
        <f>G82-H82</f>
        <v>0</v>
      </c>
    </row>
    <row r="83" spans="1:9" x14ac:dyDescent="0.25">
      <c r="A83" t="s">
        <v>142</v>
      </c>
      <c r="B83" t="s">
        <v>143</v>
      </c>
      <c r="C83" t="s">
        <v>144</v>
      </c>
      <c r="D83" t="s">
        <v>15</v>
      </c>
      <c r="E83" t="s">
        <v>16</v>
      </c>
      <c r="F83" t="s">
        <v>16</v>
      </c>
      <c r="G83" s="3">
        <v>0.85600000619888306</v>
      </c>
      <c r="H83" s="3">
        <f>_xlfn.XLOOKUP(B83,[1]!Table1[Cntry_name],[1]!Table1[_HDI_mean])</f>
        <v>0.85600000619888306</v>
      </c>
      <c r="I83" s="3">
        <f>G83-H83</f>
        <v>0</v>
      </c>
    </row>
    <row r="84" spans="1:9" x14ac:dyDescent="0.25">
      <c r="A84" t="s">
        <v>175</v>
      </c>
      <c r="B84" t="s">
        <v>176</v>
      </c>
      <c r="C84" t="s">
        <v>177</v>
      </c>
      <c r="D84" t="s">
        <v>40</v>
      </c>
      <c r="E84" t="s">
        <v>40</v>
      </c>
      <c r="F84" t="s">
        <v>89</v>
      </c>
      <c r="G84" s="3">
        <v>0.73600000143051147</v>
      </c>
      <c r="H84" s="3">
        <f>_xlfn.XLOOKUP(B84,[1]!Table1[Cntry_name],[1]!Table1[_HDI_mean])</f>
        <v>0.73600000143051147</v>
      </c>
      <c r="I84" s="3">
        <f>G84-H84</f>
        <v>0</v>
      </c>
    </row>
    <row r="85" spans="1:9" x14ac:dyDescent="0.25">
      <c r="A85" t="s">
        <v>223</v>
      </c>
      <c r="B85" t="s">
        <v>224</v>
      </c>
      <c r="C85" t="s">
        <v>225</v>
      </c>
      <c r="D85" t="s">
        <v>45</v>
      </c>
      <c r="E85" t="s">
        <v>16</v>
      </c>
      <c r="F85" t="s">
        <v>16</v>
      </c>
      <c r="G85" s="3">
        <v>0.92100000381469727</v>
      </c>
      <c r="H85" s="3">
        <f>_xlfn.XLOOKUP(B85,[1]!Table1[Cntry_name],[1]!Table1[_HDI_mean])</f>
        <v>0.92100000381469727</v>
      </c>
      <c r="I85" s="3">
        <f>G85-H85</f>
        <v>0</v>
      </c>
    </row>
    <row r="86" spans="1:9" x14ac:dyDescent="0.25">
      <c r="A86" t="s">
        <v>248</v>
      </c>
      <c r="B86" t="s">
        <v>249</v>
      </c>
      <c r="C86" t="s">
        <v>250</v>
      </c>
      <c r="D86" t="s">
        <v>53</v>
      </c>
      <c r="E86" t="s">
        <v>30</v>
      </c>
      <c r="F86" t="s">
        <v>31</v>
      </c>
      <c r="G86" s="3">
        <v>0.73000001907348633</v>
      </c>
      <c r="H86" s="3">
        <f>_xlfn.XLOOKUP(B86,[1]!Table1[Cntry_name],[1]!Table1[_HDI_mean])</f>
        <v>0.73000001907348633</v>
      </c>
      <c r="I86" s="3">
        <f>G86-H86</f>
        <v>0</v>
      </c>
    </row>
    <row r="87" spans="1:9" x14ac:dyDescent="0.25">
      <c r="A87" t="s">
        <v>300</v>
      </c>
      <c r="B87" t="s">
        <v>301</v>
      </c>
      <c r="C87" t="s">
        <v>302</v>
      </c>
      <c r="D87" t="s">
        <v>99</v>
      </c>
      <c r="E87" t="s">
        <v>21</v>
      </c>
      <c r="F87" t="s">
        <v>21</v>
      </c>
      <c r="G87" s="3">
        <v>0.51200002431869507</v>
      </c>
      <c r="H87" s="3">
        <f>_xlfn.XLOOKUP(B87,[1]!Table1[Cntry_name],[1]!Table1[_HDI_mean])</f>
        <v>0.51200002431869507</v>
      </c>
      <c r="I87" s="3">
        <f>G87-H87</f>
        <v>0</v>
      </c>
    </row>
    <row r="88" spans="1:9" x14ac:dyDescent="0.25">
      <c r="A88" t="s">
        <v>312</v>
      </c>
      <c r="B88" t="s">
        <v>313</v>
      </c>
      <c r="C88" t="s">
        <v>314</v>
      </c>
      <c r="D88" t="s">
        <v>45</v>
      </c>
      <c r="E88" t="s">
        <v>16</v>
      </c>
      <c r="F88" t="s">
        <v>16</v>
      </c>
      <c r="G88" s="3">
        <v>0.85600000619888306</v>
      </c>
      <c r="H88" s="3">
        <f>_xlfn.XLOOKUP(B88,[1]!Table1[Cntry_name],[1]!Table1[_HDI_mean])</f>
        <v>0.85600000619888306</v>
      </c>
      <c r="I88" s="3">
        <f>G88-H88</f>
        <v>0</v>
      </c>
    </row>
    <row r="89" spans="1:9" x14ac:dyDescent="0.25">
      <c r="A89" t="s">
        <v>318</v>
      </c>
      <c r="B89" t="s">
        <v>319</v>
      </c>
      <c r="C89" t="s">
        <v>320</v>
      </c>
      <c r="D89" t="s">
        <v>99</v>
      </c>
      <c r="E89" t="s">
        <v>21</v>
      </c>
      <c r="F89" t="s">
        <v>21</v>
      </c>
      <c r="G89" s="3">
        <v>0.78100001811981201</v>
      </c>
      <c r="H89" s="3">
        <f>_xlfn.XLOOKUP(B89,[1]!Table1[Cntry_name],[1]!Table1[_HDI_mean])</f>
        <v>0.78100001811981201</v>
      </c>
      <c r="I89" s="3">
        <f>G89-H89</f>
        <v>0</v>
      </c>
    </row>
    <row r="90" spans="1:9" x14ac:dyDescent="0.25">
      <c r="A90" t="s">
        <v>351</v>
      </c>
      <c r="B90" t="s">
        <v>352</v>
      </c>
      <c r="C90" t="s">
        <v>353</v>
      </c>
      <c r="D90" t="s">
        <v>40</v>
      </c>
      <c r="E90" t="s">
        <v>40</v>
      </c>
      <c r="F90" t="s">
        <v>89</v>
      </c>
      <c r="G90" s="3">
        <v>0</v>
      </c>
      <c r="H90" s="3">
        <f>_xlfn.XLOOKUP(B90,[1]!Table1[Cntry_name],[1]!Table1[_HDI_mean])</f>
        <v>0</v>
      </c>
      <c r="I90" s="3">
        <f>G90-H90</f>
        <v>0</v>
      </c>
    </row>
    <row r="91" spans="1:9" x14ac:dyDescent="0.25">
      <c r="A91" t="s">
        <v>354</v>
      </c>
      <c r="B91" t="s">
        <v>355</v>
      </c>
      <c r="C91" t="s">
        <v>356</v>
      </c>
      <c r="D91" t="s">
        <v>40</v>
      </c>
      <c r="E91" t="s">
        <v>40</v>
      </c>
      <c r="F91" t="s">
        <v>41</v>
      </c>
      <c r="G91" s="3">
        <v>0.91500002145767212</v>
      </c>
      <c r="H91" s="3">
        <f>_xlfn.XLOOKUP(B91,[1]!Table1[Cntry_name],[1]!Table1[_HDI_mean])</f>
        <v>0.91500002145767212</v>
      </c>
      <c r="I91" s="3">
        <f>G91-H91</f>
        <v>0</v>
      </c>
    </row>
    <row r="92" spans="1:9" x14ac:dyDescent="0.25">
      <c r="A92" t="s">
        <v>415</v>
      </c>
      <c r="B92" t="s">
        <v>416</v>
      </c>
      <c r="C92" t="s">
        <v>417</v>
      </c>
      <c r="D92" t="s">
        <v>75</v>
      </c>
      <c r="E92" t="s">
        <v>21</v>
      </c>
      <c r="F92" t="s">
        <v>21</v>
      </c>
      <c r="G92" s="3">
        <v>0.57400000095367432</v>
      </c>
      <c r="H92" s="3">
        <f>_xlfn.XLOOKUP(B92,[1]!Table1[Cntry_name],[1]!Table1[_HDI_mean])</f>
        <v>0.57400000095367432</v>
      </c>
      <c r="I92" s="3">
        <f>G92-H92</f>
        <v>0</v>
      </c>
    </row>
    <row r="93" spans="1:9" x14ac:dyDescent="0.25">
      <c r="A93" t="s">
        <v>430</v>
      </c>
      <c r="B93" t="s">
        <v>431</v>
      </c>
      <c r="C93" t="s">
        <v>432</v>
      </c>
      <c r="D93" t="s">
        <v>88</v>
      </c>
      <c r="E93" t="s">
        <v>10</v>
      </c>
      <c r="F93" t="s">
        <v>89</v>
      </c>
      <c r="G93" s="3">
        <v>0.89477778143352937</v>
      </c>
      <c r="H93" s="3">
        <f>_xlfn.XLOOKUP(B93,[1]!Table1[Cntry_name],[1]!Table1[_HDI_mean])</f>
        <v>0.89477778143352937</v>
      </c>
      <c r="I93" s="3">
        <f>G93-H93</f>
        <v>0</v>
      </c>
    </row>
    <row r="94" spans="1:9" x14ac:dyDescent="0.25">
      <c r="A94" t="s">
        <v>454</v>
      </c>
      <c r="B94" t="s">
        <v>455</v>
      </c>
      <c r="C94" t="s">
        <v>456</v>
      </c>
      <c r="D94" t="s">
        <v>9</v>
      </c>
      <c r="E94" t="s">
        <v>10</v>
      </c>
      <c r="F94" t="s">
        <v>11</v>
      </c>
      <c r="G94" s="3">
        <v>0.76599997282028198</v>
      </c>
      <c r="H94" s="3">
        <f>_xlfn.XLOOKUP(B94,[1]!Table1[Cntry_name],[1]!Table1[_HDI_mean])</f>
        <v>0.76599997282028198</v>
      </c>
      <c r="I94" s="3">
        <f>G94-H94</f>
        <v>0</v>
      </c>
    </row>
    <row r="95" spans="1:9" x14ac:dyDescent="0.25">
      <c r="A95" t="s">
        <v>208</v>
      </c>
      <c r="B95" t="s">
        <v>209</v>
      </c>
      <c r="C95" t="s">
        <v>210</v>
      </c>
      <c r="D95" t="s">
        <v>75</v>
      </c>
      <c r="E95" t="s">
        <v>21</v>
      </c>
      <c r="F95" t="s">
        <v>21</v>
      </c>
      <c r="G95" s="3">
        <v>0.42399999499320978</v>
      </c>
      <c r="H95" s="3">
        <f>_xlfn.XLOOKUP(B95,[1]!Table1[Cntry_name],[1]!Table1[_HDI_mean])</f>
        <v>0.4239999951425949</v>
      </c>
      <c r="I95" s="3">
        <f>G95-H95</f>
        <v>-1.4938511538886701E-10</v>
      </c>
    </row>
    <row r="96" spans="1:9" x14ac:dyDescent="0.25">
      <c r="A96" t="s">
        <v>427</v>
      </c>
      <c r="B96" t="s">
        <v>428</v>
      </c>
      <c r="C96" t="s">
        <v>429</v>
      </c>
      <c r="D96" t="s">
        <v>75</v>
      </c>
      <c r="E96" t="s">
        <v>21</v>
      </c>
      <c r="F96" t="s">
        <v>21</v>
      </c>
      <c r="G96" s="3">
        <v>0.41999998688697809</v>
      </c>
      <c r="H96" s="3">
        <f>_xlfn.XLOOKUP(B96,[1]!Table1[Cntry_name],[1]!Table1[_HDI_mean])</f>
        <v>0.42001270372743549</v>
      </c>
      <c r="I96" s="3">
        <f>G96-H96</f>
        <v>-1.2716840457394074E-5</v>
      </c>
    </row>
    <row r="97" spans="1:9" x14ac:dyDescent="0.25">
      <c r="A97" t="s">
        <v>276</v>
      </c>
      <c r="B97" t="s">
        <v>277</v>
      </c>
      <c r="C97" t="s">
        <v>278</v>
      </c>
      <c r="D97" t="s">
        <v>15</v>
      </c>
      <c r="E97" t="s">
        <v>16</v>
      </c>
      <c r="F97" t="s">
        <v>16</v>
      </c>
      <c r="G97" s="3">
        <v>0.82999998331069946</v>
      </c>
      <c r="H97" s="3">
        <f>_xlfn.XLOOKUP(B97,[1]!Table1[Cntry_name],[1]!Table1[_HDI_mean])</f>
        <v>0.8300131607806176</v>
      </c>
      <c r="I97" s="3">
        <f>G97-H97</f>
        <v>-1.3177469918135287E-5</v>
      </c>
    </row>
    <row r="98" spans="1:9" x14ac:dyDescent="0.25">
      <c r="A98" t="s">
        <v>385</v>
      </c>
      <c r="B98" t="s">
        <v>386</v>
      </c>
      <c r="C98" t="s">
        <v>387</v>
      </c>
      <c r="D98" t="s">
        <v>40</v>
      </c>
      <c r="E98" t="s">
        <v>40</v>
      </c>
      <c r="F98" t="s">
        <v>89</v>
      </c>
      <c r="G98" s="3">
        <v>0.51599997282028198</v>
      </c>
      <c r="H98" s="3">
        <f>_xlfn.XLOOKUP(B98,[1]!Table1[Cntry_name],[1]!Table1[_HDI_mean])</f>
        <v>0.51602254325772556</v>
      </c>
      <c r="I98" s="3">
        <f>G98-H98</f>
        <v>-2.2570437443580893E-5</v>
      </c>
    </row>
    <row r="99" spans="1:9" x14ac:dyDescent="0.25">
      <c r="A99" t="s">
        <v>163</v>
      </c>
      <c r="B99" t="s">
        <v>164</v>
      </c>
      <c r="C99" t="s">
        <v>165</v>
      </c>
      <c r="D99" t="s">
        <v>75</v>
      </c>
      <c r="E99" t="s">
        <v>21</v>
      </c>
      <c r="F99" t="s">
        <v>21</v>
      </c>
      <c r="G99" s="3">
        <v>0.59200000762939453</v>
      </c>
      <c r="H99" s="3">
        <f>_xlfn.XLOOKUP(B99,[1]!Table1[Cntry_name],[1]!Table1[_HDI_mean])</f>
        <v>0.59204127750699487</v>
      </c>
      <c r="I99" s="3">
        <f>G99-H99</f>
        <v>-4.126987760033618E-5</v>
      </c>
    </row>
    <row r="100" spans="1:9" x14ac:dyDescent="0.25">
      <c r="A100" t="s">
        <v>46</v>
      </c>
      <c r="B100" t="s">
        <v>47</v>
      </c>
      <c r="C100" t="s">
        <v>48</v>
      </c>
      <c r="D100" t="s">
        <v>35</v>
      </c>
      <c r="E100" t="s">
        <v>49</v>
      </c>
      <c r="F100" t="s">
        <v>36</v>
      </c>
      <c r="G100" s="3">
        <v>0.75900000333786011</v>
      </c>
      <c r="H100" s="3">
        <f>_xlfn.XLOOKUP(B100,[1]!Table1[Cntry_name],[1]!Table1[_HDI_mean])</f>
        <v>0.75904544352582004</v>
      </c>
      <c r="I100" s="3">
        <f>G100-H100</f>
        <v>-4.5440187959933098E-5</v>
      </c>
    </row>
    <row r="101" spans="1:9" x14ac:dyDescent="0.25">
      <c r="A101" t="s">
        <v>439</v>
      </c>
      <c r="B101" t="s">
        <v>440</v>
      </c>
      <c r="C101" t="s">
        <v>441</v>
      </c>
      <c r="D101" t="s">
        <v>99</v>
      </c>
      <c r="E101" t="s">
        <v>21</v>
      </c>
      <c r="F101" t="s">
        <v>21</v>
      </c>
      <c r="G101" s="3">
        <v>0.36977851390838617</v>
      </c>
      <c r="H101" s="3">
        <f>_xlfn.XLOOKUP(B101,[1]!Table1[Cntry_name],[1]!Table1[_HDI_mean])</f>
        <v>0.36983092713534937</v>
      </c>
      <c r="I101" s="3">
        <f>G101-H101</f>
        <v>-5.2413226963199389E-5</v>
      </c>
    </row>
    <row r="102" spans="1:9" x14ac:dyDescent="0.25">
      <c r="A102" t="s">
        <v>72</v>
      </c>
      <c r="B102" t="s">
        <v>73</v>
      </c>
      <c r="C102" t="s">
        <v>74</v>
      </c>
      <c r="D102" t="s">
        <v>75</v>
      </c>
      <c r="E102" t="s">
        <v>21</v>
      </c>
      <c r="F102" t="s">
        <v>21</v>
      </c>
      <c r="G102" s="3">
        <v>0.48500001430511469</v>
      </c>
      <c r="H102" s="3">
        <f>_xlfn.XLOOKUP(B102,[1]!Table1[Cntry_name],[1]!Table1[_HDI_mean])</f>
        <v>0.48505922476624891</v>
      </c>
      <c r="I102" s="3">
        <f>G102-H102</f>
        <v>-5.9210461134218129E-5</v>
      </c>
    </row>
    <row r="103" spans="1:9" x14ac:dyDescent="0.25">
      <c r="A103" t="s">
        <v>342</v>
      </c>
      <c r="B103" t="s">
        <v>343</v>
      </c>
      <c r="C103" t="s">
        <v>344</v>
      </c>
      <c r="D103" t="s">
        <v>25</v>
      </c>
      <c r="E103" t="s">
        <v>21</v>
      </c>
      <c r="F103" t="s">
        <v>21</v>
      </c>
      <c r="G103" s="3">
        <v>0.63999998569488525</v>
      </c>
      <c r="H103" s="3">
        <f>_xlfn.XLOOKUP(B103,[1]!Table1[Cntry_name],[1]!Table1[_HDI_mean])</f>
        <v>0.64006331735197308</v>
      </c>
      <c r="I103" s="3">
        <f>G103-H103</f>
        <v>-6.3331657087828397E-5</v>
      </c>
    </row>
    <row r="104" spans="1:9" x14ac:dyDescent="0.25">
      <c r="A104" t="s">
        <v>172</v>
      </c>
      <c r="B104" t="s">
        <v>173</v>
      </c>
      <c r="C104" t="s">
        <v>174</v>
      </c>
      <c r="D104" t="s">
        <v>99</v>
      </c>
      <c r="E104" t="s">
        <v>21</v>
      </c>
      <c r="F104" t="s">
        <v>21</v>
      </c>
      <c r="G104" s="3">
        <v>0.44773131905931612</v>
      </c>
      <c r="H104" s="3">
        <f>_xlfn.XLOOKUP(B104,[1]!Table1[Cntry_name],[1]!Table1[_HDI_mean])</f>
        <v>0.44779864029778121</v>
      </c>
      <c r="I104" s="3">
        <f>G104-H104</f>
        <v>-6.7321238465090083E-5</v>
      </c>
    </row>
    <row r="105" spans="1:9" x14ac:dyDescent="0.25">
      <c r="A105" t="s">
        <v>327</v>
      </c>
      <c r="B105" t="s">
        <v>328</v>
      </c>
      <c r="C105" t="s">
        <v>329</v>
      </c>
      <c r="D105" t="s">
        <v>125</v>
      </c>
      <c r="E105" t="s">
        <v>10</v>
      </c>
      <c r="F105" t="s">
        <v>126</v>
      </c>
      <c r="G105" s="3">
        <v>0.73500001430511475</v>
      </c>
      <c r="H105" s="3">
        <f>_xlfn.XLOOKUP(B105,[1]!Table1[Cntry_name],[1]!Table1[_HDI_mean])</f>
        <v>0.73508660736561571</v>
      </c>
      <c r="I105" s="3">
        <f>G105-H105</f>
        <v>-8.6593060500961272E-5</v>
      </c>
    </row>
    <row r="106" spans="1:9" x14ac:dyDescent="0.25">
      <c r="A106" t="s">
        <v>544</v>
      </c>
      <c r="B106" t="s">
        <v>545</v>
      </c>
      <c r="C106" t="s">
        <v>546</v>
      </c>
      <c r="D106" t="s">
        <v>75</v>
      </c>
      <c r="E106" t="s">
        <v>21</v>
      </c>
      <c r="F106" t="s">
        <v>21</v>
      </c>
      <c r="G106" s="3">
        <v>0.47400000691413879</v>
      </c>
      <c r="H106" s="3">
        <f>_xlfn.XLOOKUP(B106,[1]!Table1[Cntry_name],[1]!Table1[_HDI_mean])</f>
        <v>0.47409616072354999</v>
      </c>
      <c r="I106" s="3">
        <f>G106-H106</f>
        <v>-9.6153809411192448E-5</v>
      </c>
    </row>
    <row r="107" spans="1:9" x14ac:dyDescent="0.25">
      <c r="A107" t="s">
        <v>475</v>
      </c>
      <c r="B107" t="s">
        <v>476</v>
      </c>
      <c r="C107" t="s">
        <v>477</v>
      </c>
      <c r="D107" t="s">
        <v>125</v>
      </c>
      <c r="E107" t="s">
        <v>10</v>
      </c>
      <c r="F107" t="s">
        <v>126</v>
      </c>
      <c r="G107" s="3">
        <v>0.85608839988708496</v>
      </c>
      <c r="H107" s="3">
        <f>_xlfn.XLOOKUP(B107,[1]!Table1[Cntry_name],[1]!Table1[_HDI_mean])</f>
        <v>0.85619017462409763</v>
      </c>
      <c r="I107" s="3">
        <f>G107-H107</f>
        <v>-1.0177473701267203E-4</v>
      </c>
    </row>
    <row r="108" spans="1:9" x14ac:dyDescent="0.25">
      <c r="A108" t="s">
        <v>217</v>
      </c>
      <c r="B108" t="s">
        <v>218</v>
      </c>
      <c r="C108" t="s">
        <v>219</v>
      </c>
      <c r="D108" t="s">
        <v>53</v>
      </c>
      <c r="E108" t="s">
        <v>30</v>
      </c>
      <c r="F108" t="s">
        <v>31</v>
      </c>
      <c r="G108" s="3">
        <v>0.625</v>
      </c>
      <c r="H108" s="3">
        <f>_xlfn.XLOOKUP(B108,[1]!Table1[Cntry_name],[1]!Table1[_HDI_mean])</f>
        <v>0.62510380820427447</v>
      </c>
      <c r="I108" s="3">
        <f>G108-H108</f>
        <v>-1.0380820427446924E-4</v>
      </c>
    </row>
    <row r="109" spans="1:9" x14ac:dyDescent="0.25">
      <c r="A109" t="s">
        <v>6</v>
      </c>
      <c r="B109" t="s">
        <v>7</v>
      </c>
      <c r="C109" t="s">
        <v>8</v>
      </c>
      <c r="D109" t="s">
        <v>9</v>
      </c>
      <c r="E109" t="s">
        <v>10</v>
      </c>
      <c r="F109" t="s">
        <v>11</v>
      </c>
      <c r="G109" s="3">
        <v>0.47956573413725112</v>
      </c>
      <c r="H109" s="3">
        <f>_xlfn.XLOOKUP(B109,[1]!Table1[Cntry_name],[1]!Table1[_HDI_mean])</f>
        <v>0.47968861357372772</v>
      </c>
      <c r="I109" s="3">
        <f>G109-H109</f>
        <v>-1.2287943647659727E-4</v>
      </c>
    </row>
    <row r="110" spans="1:9" x14ac:dyDescent="0.25">
      <c r="A110" t="s">
        <v>478</v>
      </c>
      <c r="B110" t="s">
        <v>479</v>
      </c>
      <c r="C110" t="s">
        <v>480</v>
      </c>
      <c r="D110" t="s">
        <v>260</v>
      </c>
      <c r="E110" t="s">
        <v>49</v>
      </c>
      <c r="F110" t="s">
        <v>36</v>
      </c>
      <c r="G110" s="3">
        <v>0.62699997425079346</v>
      </c>
      <c r="H110" s="3">
        <f>_xlfn.XLOOKUP(B110,[1]!Table1[Cntry_name],[1]!Table1[_HDI_mean])</f>
        <v>0.62716089898833272</v>
      </c>
      <c r="I110" s="3">
        <f>G110-H110</f>
        <v>-1.6092473753925862E-4</v>
      </c>
    </row>
    <row r="111" spans="1:9" x14ac:dyDescent="0.25">
      <c r="A111" t="s">
        <v>285</v>
      </c>
      <c r="B111" t="s">
        <v>286</v>
      </c>
      <c r="C111" t="s">
        <v>287</v>
      </c>
      <c r="D111" t="s">
        <v>75</v>
      </c>
      <c r="E111" t="s">
        <v>21</v>
      </c>
      <c r="F111" t="s">
        <v>21</v>
      </c>
      <c r="G111" s="3">
        <v>0.42699998617172241</v>
      </c>
      <c r="H111" s="3">
        <f>_xlfn.XLOOKUP(B111,[1]!Table1[Cntry_name],[1]!Table1[_HDI_mean])</f>
        <v>0.4271627977172251</v>
      </c>
      <c r="I111" s="3">
        <f>G111-H111</f>
        <v>-1.6281154550268351E-4</v>
      </c>
    </row>
    <row r="112" spans="1:9" x14ac:dyDescent="0.25">
      <c r="A112" t="s">
        <v>264</v>
      </c>
      <c r="B112" t="s">
        <v>265</v>
      </c>
      <c r="C112" t="s">
        <v>266</v>
      </c>
      <c r="D112" t="s">
        <v>15</v>
      </c>
      <c r="E112" t="s">
        <v>16</v>
      </c>
      <c r="F112" t="s">
        <v>16</v>
      </c>
      <c r="G112" s="3">
        <v>0.77600002288818359</v>
      </c>
      <c r="H112" s="3">
        <f>_xlfn.XLOOKUP(B112,[1]!Table1[Cntry_name],[1]!Table1[_HDI_mean])</f>
        <v>0.77618130919528983</v>
      </c>
      <c r="I112" s="3">
        <f>G112-H112</f>
        <v>-1.8128630710623206E-4</v>
      </c>
    </row>
    <row r="113" spans="1:9" x14ac:dyDescent="0.25">
      <c r="A113" t="s">
        <v>211</v>
      </c>
      <c r="B113" t="s">
        <v>212</v>
      </c>
      <c r="C113" t="s">
        <v>213</v>
      </c>
      <c r="D113" t="s">
        <v>83</v>
      </c>
      <c r="E113" t="s">
        <v>30</v>
      </c>
      <c r="F113" t="s">
        <v>31</v>
      </c>
      <c r="G113" s="3">
        <v>0.6380000114440918</v>
      </c>
      <c r="H113" s="3">
        <f>_xlfn.XLOOKUP(B113,[1]!Table1[Cntry_name],[1]!Table1[_HDI_mean])</f>
        <v>0.63820205510800954</v>
      </c>
      <c r="I113" s="3">
        <f>G113-H113</f>
        <v>-2.020436639177392E-4</v>
      </c>
    </row>
    <row r="114" spans="1:9" x14ac:dyDescent="0.25">
      <c r="A114" t="s">
        <v>93</v>
      </c>
      <c r="B114" t="s">
        <v>94</v>
      </c>
      <c r="C114" t="s">
        <v>95</v>
      </c>
      <c r="D114" t="s">
        <v>75</v>
      </c>
      <c r="E114" t="s">
        <v>21</v>
      </c>
      <c r="F114" t="s">
        <v>21</v>
      </c>
      <c r="G114" s="3">
        <v>0.40200001001358032</v>
      </c>
      <c r="H114" s="3">
        <f>_xlfn.XLOOKUP(B114,[1]!Table1[Cntry_name],[1]!Table1[_HDI_mean])</f>
        <v>0.40221351021007568</v>
      </c>
      <c r="I114" s="3">
        <f>G114-H114</f>
        <v>-2.1350019649535312E-4</v>
      </c>
    </row>
    <row r="115" spans="1:9" x14ac:dyDescent="0.25">
      <c r="A115" t="s">
        <v>505</v>
      </c>
      <c r="B115" t="s">
        <v>506</v>
      </c>
      <c r="C115" t="s">
        <v>507</v>
      </c>
      <c r="D115" t="s">
        <v>65</v>
      </c>
      <c r="E115" t="s">
        <v>49</v>
      </c>
      <c r="F115" t="s">
        <v>36</v>
      </c>
      <c r="G115" s="3">
        <v>0.74319055207349627</v>
      </c>
      <c r="H115" s="3">
        <f>_xlfn.XLOOKUP(B115,[1]!Table1[Cntry_name],[1]!Table1[_HDI_mean])</f>
        <v>0.74340682215824372</v>
      </c>
      <c r="I115" s="3">
        <f>G115-H115</f>
        <v>-2.1627008474744969E-4</v>
      </c>
    </row>
    <row r="116" spans="1:9" x14ac:dyDescent="0.25">
      <c r="A116" t="s">
        <v>363</v>
      </c>
      <c r="B116" t="s">
        <v>364</v>
      </c>
      <c r="C116" t="s">
        <v>365</v>
      </c>
      <c r="D116" t="s">
        <v>75</v>
      </c>
      <c r="E116" t="s">
        <v>21</v>
      </c>
      <c r="F116" t="s">
        <v>21</v>
      </c>
      <c r="G116" s="3">
        <v>0.52646438808013329</v>
      </c>
      <c r="H116" s="3">
        <f>_xlfn.XLOOKUP(B116,[1]!Table1[Cntry_name],[1]!Table1[_HDI_mean])</f>
        <v>0.52669363764738641</v>
      </c>
      <c r="I116" s="3">
        <f>G116-H116</f>
        <v>-2.2924956725312029E-4</v>
      </c>
    </row>
    <row r="117" spans="1:9" x14ac:dyDescent="0.25">
      <c r="A117" t="s">
        <v>529</v>
      </c>
      <c r="B117" t="s">
        <v>530</v>
      </c>
      <c r="C117" t="s">
        <v>531</v>
      </c>
      <c r="D117" t="s">
        <v>25</v>
      </c>
      <c r="E117" t="s">
        <v>21</v>
      </c>
      <c r="F117" t="s">
        <v>21</v>
      </c>
      <c r="G117" s="3">
        <v>0.57807794802603818</v>
      </c>
      <c r="H117" s="3">
        <f>_xlfn.XLOOKUP(B117,[1]!Table1[Cntry_name],[1]!Table1[_HDI_mean])</f>
        <v>0.57830786709958881</v>
      </c>
      <c r="I117" s="3">
        <f>G117-H117</f>
        <v>-2.299190735506329E-4</v>
      </c>
    </row>
    <row r="118" spans="1:9" x14ac:dyDescent="0.25">
      <c r="A118" t="s">
        <v>69</v>
      </c>
      <c r="B118" t="s">
        <v>70</v>
      </c>
      <c r="C118" t="s">
        <v>71</v>
      </c>
      <c r="D118" t="s">
        <v>53</v>
      </c>
      <c r="E118" t="s">
        <v>30</v>
      </c>
      <c r="F118" t="s">
        <v>31</v>
      </c>
      <c r="G118" s="3">
        <v>0.7059999704360963</v>
      </c>
      <c r="H118" s="3">
        <f>_xlfn.XLOOKUP(B118,[1]!Table1[Cntry_name],[1]!Table1[_HDI_mean])</f>
        <v>0.70626182760004663</v>
      </c>
      <c r="I118" s="3">
        <f>G118-H118</f>
        <v>-2.6185716395032976E-4</v>
      </c>
    </row>
    <row r="119" spans="1:9" x14ac:dyDescent="0.25">
      <c r="A119" t="s">
        <v>205</v>
      </c>
      <c r="B119" t="s">
        <v>206</v>
      </c>
      <c r="C119" t="s">
        <v>207</v>
      </c>
      <c r="D119" t="s">
        <v>75</v>
      </c>
      <c r="E119" t="s">
        <v>21</v>
      </c>
      <c r="F119" t="s">
        <v>21</v>
      </c>
      <c r="G119" s="3">
        <v>0.414000004529953</v>
      </c>
      <c r="H119" s="3">
        <f>_xlfn.XLOOKUP(B119,[1]!Table1[Cntry_name],[1]!Table1[_HDI_mean])</f>
        <v>0.41430148266155969</v>
      </c>
      <c r="I119" s="3">
        <f>G119-H119</f>
        <v>-3.0147813160669168E-4</v>
      </c>
    </row>
    <row r="120" spans="1:9" x14ac:dyDescent="0.25">
      <c r="A120" t="s">
        <v>202</v>
      </c>
      <c r="B120" t="s">
        <v>203</v>
      </c>
      <c r="C120" t="s">
        <v>204</v>
      </c>
      <c r="D120" t="s">
        <v>53</v>
      </c>
      <c r="E120" t="s">
        <v>30</v>
      </c>
      <c r="F120" t="s">
        <v>31</v>
      </c>
      <c r="G120" s="3">
        <v>0.63999998569488525</v>
      </c>
      <c r="H120" s="3">
        <f>_xlfn.XLOOKUP(B120,[1]!Table1[Cntry_name],[1]!Table1[_HDI_mean])</f>
        <v>0.64030609671741257</v>
      </c>
      <c r="I120" s="3">
        <f>G120-H120</f>
        <v>-3.0611102252731115E-4</v>
      </c>
    </row>
    <row r="121" spans="1:9" x14ac:dyDescent="0.25">
      <c r="A121" t="s">
        <v>508</v>
      </c>
      <c r="B121" t="s">
        <v>509</v>
      </c>
      <c r="C121" t="s">
        <v>510</v>
      </c>
      <c r="D121" t="s">
        <v>58</v>
      </c>
      <c r="E121" t="s">
        <v>49</v>
      </c>
      <c r="F121" t="s">
        <v>58</v>
      </c>
      <c r="G121" s="3">
        <v>0.83908330773313844</v>
      </c>
      <c r="H121" s="3">
        <f>_xlfn.XLOOKUP(B121,[1]!Table1[Cntry_name],[1]!Table1[_HDI_mean])</f>
        <v>0.8394210268008081</v>
      </c>
      <c r="I121" s="3">
        <f>G121-H121</f>
        <v>-3.3771906766966175E-4</v>
      </c>
    </row>
    <row r="122" spans="1:9" x14ac:dyDescent="0.25">
      <c r="A122" t="s">
        <v>166</v>
      </c>
      <c r="B122" t="s">
        <v>167</v>
      </c>
      <c r="C122" t="s">
        <v>168</v>
      </c>
      <c r="D122" t="s">
        <v>99</v>
      </c>
      <c r="E122" t="s">
        <v>21</v>
      </c>
      <c r="F122" t="s">
        <v>21</v>
      </c>
      <c r="G122" s="3">
        <v>0.41999998688697809</v>
      </c>
      <c r="H122" s="3">
        <f>_xlfn.XLOOKUP(B122,[1]!Table1[Cntry_name],[1]!Table1[_HDI_mean])</f>
        <v>0.42036909160350011</v>
      </c>
      <c r="I122" s="3">
        <f>G122-H122</f>
        <v>-3.6910471652201737E-4</v>
      </c>
    </row>
    <row r="123" spans="1:9" x14ac:dyDescent="0.25">
      <c r="A123" t="s">
        <v>514</v>
      </c>
      <c r="B123" t="s">
        <v>515</v>
      </c>
      <c r="C123" t="s">
        <v>516</v>
      </c>
      <c r="D123" t="s">
        <v>29</v>
      </c>
      <c r="E123" t="s">
        <v>30</v>
      </c>
      <c r="F123" t="s">
        <v>31</v>
      </c>
      <c r="G123" s="3">
        <v>0.79458891826488576</v>
      </c>
      <c r="H123" s="3">
        <f>_xlfn.XLOOKUP(B123,[1]!Table1[Cntry_name],[1]!Table1[_HDI_mean])</f>
        <v>0.79499534916481507</v>
      </c>
      <c r="I123" s="3">
        <f>G123-H123</f>
        <v>-4.0643089992931092E-4</v>
      </c>
    </row>
    <row r="124" spans="1:9" x14ac:dyDescent="0.25">
      <c r="A124" t="s">
        <v>116</v>
      </c>
      <c r="B124" t="s">
        <v>117</v>
      </c>
      <c r="C124" t="s">
        <v>118</v>
      </c>
      <c r="D124" t="s">
        <v>75</v>
      </c>
      <c r="E124" t="s">
        <v>21</v>
      </c>
      <c r="F124" t="s">
        <v>21</v>
      </c>
      <c r="G124" s="3">
        <v>0.39701666459441193</v>
      </c>
      <c r="H124" s="3">
        <f>_xlfn.XLOOKUP(B124,[1]!Table1[Cntry_name],[1]!Table1[_HDI_mean])</f>
        <v>0.39745744270198718</v>
      </c>
      <c r="I124" s="3">
        <f>G124-H124</f>
        <v>-4.4077810757525704E-4</v>
      </c>
    </row>
    <row r="125" spans="1:9" x14ac:dyDescent="0.25">
      <c r="A125" t="s">
        <v>336</v>
      </c>
      <c r="B125" t="s">
        <v>337</v>
      </c>
      <c r="C125" t="s">
        <v>338</v>
      </c>
      <c r="D125" t="s">
        <v>25</v>
      </c>
      <c r="E125" t="s">
        <v>21</v>
      </c>
      <c r="F125" t="s">
        <v>21</v>
      </c>
      <c r="G125" s="3">
        <v>0.41800001263618469</v>
      </c>
      <c r="H125" s="3">
        <f>_xlfn.XLOOKUP(B125,[1]!Table1[Cntry_name],[1]!Table1[_HDI_mean])</f>
        <v>0.41845284475973582</v>
      </c>
      <c r="I125" s="3">
        <f>G125-H125</f>
        <v>-4.528321235511279E-4</v>
      </c>
    </row>
    <row r="126" spans="1:9" x14ac:dyDescent="0.25">
      <c r="A126" t="s">
        <v>424</v>
      </c>
      <c r="B126" t="s">
        <v>425</v>
      </c>
      <c r="C126" t="s">
        <v>426</v>
      </c>
      <c r="D126" t="s">
        <v>15</v>
      </c>
      <c r="E126" t="s">
        <v>16</v>
      </c>
      <c r="F126" t="s">
        <v>16</v>
      </c>
      <c r="G126" s="3">
        <v>0.77600002288818359</v>
      </c>
      <c r="H126" s="3">
        <f>_xlfn.XLOOKUP(B126,[1]!Table1[Cntry_name],[1]!Table1[_HDI_mean])</f>
        <v>0.77646376654694349</v>
      </c>
      <c r="I126" s="3">
        <f>G126-H126</f>
        <v>-4.6374365875989643E-4</v>
      </c>
    </row>
    <row r="127" spans="1:9" x14ac:dyDescent="0.25">
      <c r="A127" t="s">
        <v>345</v>
      </c>
      <c r="B127" t="s">
        <v>346</v>
      </c>
      <c r="C127" t="s">
        <v>347</v>
      </c>
      <c r="D127" t="s">
        <v>9</v>
      </c>
      <c r="E127" t="s">
        <v>10</v>
      </c>
      <c r="F127" t="s">
        <v>11</v>
      </c>
      <c r="G127" s="3">
        <v>0.55800002813339233</v>
      </c>
      <c r="H127" s="3">
        <f>_xlfn.XLOOKUP(B127,[1]!Table1[Cntry_name],[1]!Table1[_HDI_mean])</f>
        <v>0.55847175577107599</v>
      </c>
      <c r="I127" s="3">
        <f>G127-H127</f>
        <v>-4.7172763768366099E-4</v>
      </c>
    </row>
    <row r="128" spans="1:9" x14ac:dyDescent="0.25">
      <c r="A128" t="s">
        <v>541</v>
      </c>
      <c r="B128" t="s">
        <v>542</v>
      </c>
      <c r="C128" t="s">
        <v>543</v>
      </c>
      <c r="D128" t="s">
        <v>15</v>
      </c>
      <c r="E128" t="s">
        <v>16</v>
      </c>
      <c r="F128" t="s">
        <v>16</v>
      </c>
      <c r="G128" s="3">
        <v>0.87268910633447838</v>
      </c>
      <c r="H128" s="3">
        <f>_xlfn.XLOOKUP(B128,[1]!Table1[Cntry_name],[1]!Table1[_HDI_mean])</f>
        <v>0.87319491444543895</v>
      </c>
      <c r="I128" s="3">
        <f>G128-H128</f>
        <v>-5.0580811096057054E-4</v>
      </c>
    </row>
    <row r="129" spans="1:9" x14ac:dyDescent="0.25">
      <c r="A129" t="s">
        <v>463</v>
      </c>
      <c r="B129" t="s">
        <v>464</v>
      </c>
      <c r="C129" t="s">
        <v>465</v>
      </c>
      <c r="D129" t="s">
        <v>25</v>
      </c>
      <c r="E129" t="s">
        <v>21</v>
      </c>
      <c r="F129" t="s">
        <v>21</v>
      </c>
      <c r="G129" s="3">
        <v>0.54100000858306885</v>
      </c>
      <c r="H129" s="3">
        <f>_xlfn.XLOOKUP(B129,[1]!Table1[Cntry_name],[1]!Table1[_HDI_mean])</f>
        <v>0.54152455551799761</v>
      </c>
      <c r="I129" s="3">
        <f>G129-H129</f>
        <v>-5.2454693492876014E-4</v>
      </c>
    </row>
    <row r="130" spans="1:9" x14ac:dyDescent="0.25">
      <c r="A130" t="s">
        <v>547</v>
      </c>
      <c r="B130" t="s">
        <v>548</v>
      </c>
      <c r="C130" t="s">
        <v>549</v>
      </c>
      <c r="D130" t="s">
        <v>45</v>
      </c>
      <c r="E130" t="s">
        <v>16</v>
      </c>
      <c r="F130" t="s">
        <v>16</v>
      </c>
      <c r="G130" s="3">
        <v>0.90871935113174196</v>
      </c>
      <c r="H130" s="3">
        <f>_xlfn.XLOOKUP(B130,[1]!Table1[Cntry_name],[1]!Table1[_HDI_mean])</f>
        <v>0.90928417624514779</v>
      </c>
      <c r="I130" s="3">
        <f>G130-H130</f>
        <v>-5.648251134058313E-4</v>
      </c>
    </row>
    <row r="131" spans="1:9" x14ac:dyDescent="0.25">
      <c r="A131" t="s">
        <v>50</v>
      </c>
      <c r="B131" t="s">
        <v>51</v>
      </c>
      <c r="C131" t="s">
        <v>52</v>
      </c>
      <c r="D131" t="s">
        <v>53</v>
      </c>
      <c r="E131" t="s">
        <v>54</v>
      </c>
      <c r="F131" t="s">
        <v>31</v>
      </c>
      <c r="G131" s="3">
        <v>0.79199999570846558</v>
      </c>
      <c r="H131" s="3">
        <f>_xlfn.XLOOKUP(B131,[1]!Table1[Cntry_name],[1]!Table1[_HDI_mean])</f>
        <v>0.79258257743210825</v>
      </c>
      <c r="I131" s="3">
        <f>G131-H131</f>
        <v>-5.8258172364267224E-4</v>
      </c>
    </row>
    <row r="132" spans="1:9" x14ac:dyDescent="0.25">
      <c r="A132" t="s">
        <v>309</v>
      </c>
      <c r="B132" t="s">
        <v>310</v>
      </c>
      <c r="C132" t="s">
        <v>311</v>
      </c>
      <c r="D132" t="s">
        <v>75</v>
      </c>
      <c r="E132" t="s">
        <v>21</v>
      </c>
      <c r="F132" t="s">
        <v>21</v>
      </c>
      <c r="G132" s="3">
        <v>0.44200000166893011</v>
      </c>
      <c r="H132" s="3">
        <f>_xlfn.XLOOKUP(B132,[1]!Table1[Cntry_name],[1]!Table1[_HDI_mean])</f>
        <v>0.4425885857604121</v>
      </c>
      <c r="I132" s="3">
        <f>G132-H132</f>
        <v>-5.8858409148199176E-4</v>
      </c>
    </row>
    <row r="133" spans="1:9" x14ac:dyDescent="0.25">
      <c r="A133" t="s">
        <v>535</v>
      </c>
      <c r="B133" t="s">
        <v>536</v>
      </c>
      <c r="C133" t="s">
        <v>537</v>
      </c>
      <c r="D133" t="s">
        <v>15</v>
      </c>
      <c r="E133" t="s">
        <v>16</v>
      </c>
      <c r="F133" t="s">
        <v>16</v>
      </c>
      <c r="G133" s="3">
        <v>0.75</v>
      </c>
      <c r="H133" s="3">
        <f>_xlfn.XLOOKUP(B133,[1]!Table1[Cntry_name],[1]!Table1[_HDI_mean])</f>
        <v>0.75063537898620258</v>
      </c>
      <c r="I133" s="3">
        <f>G133-H133</f>
        <v>-6.3537898620258382E-4</v>
      </c>
    </row>
    <row r="134" spans="1:9" x14ac:dyDescent="0.25">
      <c r="A134" t="s">
        <v>270</v>
      </c>
      <c r="B134" t="s">
        <v>271</v>
      </c>
      <c r="C134" t="s">
        <v>272</v>
      </c>
      <c r="D134" t="s">
        <v>260</v>
      </c>
      <c r="E134" t="s">
        <v>49</v>
      </c>
      <c r="F134" t="s">
        <v>36</v>
      </c>
      <c r="G134" s="3">
        <v>0.66399997472763062</v>
      </c>
      <c r="H134" s="3">
        <f>_xlfn.XLOOKUP(B134,[1]!Table1[Cntry_name],[1]!Table1[_HDI_mean])</f>
        <v>0.664652175658072</v>
      </c>
      <c r="I134" s="3">
        <f>G134-H134</f>
        <v>-6.5220093044138228E-4</v>
      </c>
    </row>
    <row r="135" spans="1:9" x14ac:dyDescent="0.25">
      <c r="A135" t="s">
        <v>487</v>
      </c>
      <c r="B135" t="s">
        <v>488</v>
      </c>
      <c r="C135" t="s">
        <v>489</v>
      </c>
      <c r="D135" t="s">
        <v>232</v>
      </c>
      <c r="E135" t="s">
        <v>10</v>
      </c>
      <c r="F135" t="s">
        <v>89</v>
      </c>
      <c r="G135" s="3">
        <v>0.60600000619888317</v>
      </c>
      <c r="H135" s="3">
        <f>_xlfn.XLOOKUP(B135,[1]!Table1[Cntry_name],[1]!Table1[_HDI_mean])</f>
        <v>0.60673117704231649</v>
      </c>
      <c r="I135" s="3">
        <f>G135-H135</f>
        <v>-7.3117084343332639E-4</v>
      </c>
    </row>
    <row r="136" spans="1:9" x14ac:dyDescent="0.25">
      <c r="A136" t="s">
        <v>236</v>
      </c>
      <c r="B136" t="s">
        <v>237</v>
      </c>
      <c r="C136" t="s">
        <v>238</v>
      </c>
      <c r="D136" t="s">
        <v>58</v>
      </c>
      <c r="E136" t="s">
        <v>49</v>
      </c>
      <c r="F136" t="s">
        <v>58</v>
      </c>
      <c r="G136" s="3">
        <v>0.64899998903274536</v>
      </c>
      <c r="H136" s="3">
        <f>_xlfn.XLOOKUP(B136,[1]!Table1[Cntry_name],[1]!Table1[_HDI_mean])</f>
        <v>0.64981093351857089</v>
      </c>
      <c r="I136" s="3">
        <f>G136-H136</f>
        <v>-8.1094448582552658E-4</v>
      </c>
    </row>
    <row r="137" spans="1:9" x14ac:dyDescent="0.25">
      <c r="A137" t="s">
        <v>32</v>
      </c>
      <c r="B137" t="s">
        <v>33</v>
      </c>
      <c r="C137" t="s">
        <v>34</v>
      </c>
      <c r="D137" t="s">
        <v>35</v>
      </c>
      <c r="E137" t="s">
        <v>16</v>
      </c>
      <c r="F137" t="s">
        <v>36</v>
      </c>
      <c r="G137" s="3">
        <v>0.74299997091293335</v>
      </c>
      <c r="H137" s="3">
        <f>_xlfn.XLOOKUP(B137,[1]!Table1[Cntry_name],[1]!Table1[_HDI_mean])</f>
        <v>0.74383403328308373</v>
      </c>
      <c r="I137" s="3">
        <f>G137-H137</f>
        <v>-8.340623701503791E-4</v>
      </c>
    </row>
    <row r="138" spans="1:9" x14ac:dyDescent="0.25">
      <c r="A138" t="s">
        <v>127</v>
      </c>
      <c r="B138" t="s">
        <v>128</v>
      </c>
      <c r="C138" t="s">
        <v>129</v>
      </c>
      <c r="D138" t="s">
        <v>29</v>
      </c>
      <c r="E138" t="s">
        <v>30</v>
      </c>
      <c r="F138" t="s">
        <v>31</v>
      </c>
      <c r="G138" s="3">
        <v>0.72606947270171118</v>
      </c>
      <c r="H138" s="3">
        <f>_xlfn.XLOOKUP(B138,[1]!Table1[Cntry_name],[1]!Table1[_HDI_mean])</f>
        <v>0.72694023689134402</v>
      </c>
      <c r="I138" s="3">
        <f>G138-H138</f>
        <v>-8.7076418963283331E-4</v>
      </c>
    </row>
    <row r="139" spans="1:9" x14ac:dyDescent="0.25">
      <c r="A139" t="s">
        <v>113</v>
      </c>
      <c r="B139" t="s">
        <v>114</v>
      </c>
      <c r="C139" t="s">
        <v>115</v>
      </c>
      <c r="D139" t="s">
        <v>75</v>
      </c>
      <c r="E139" t="s">
        <v>21</v>
      </c>
      <c r="F139" t="s">
        <v>21</v>
      </c>
      <c r="G139" s="3">
        <v>0.35199999809265142</v>
      </c>
      <c r="H139" s="3">
        <f>_xlfn.XLOOKUP(B139,[1]!Table1[Cntry_name],[1]!Table1[_HDI_mean])</f>
        <v>0.35287728953377823</v>
      </c>
      <c r="I139" s="3">
        <f>G139-H139</f>
        <v>-8.7729144112680402E-4</v>
      </c>
    </row>
    <row r="140" spans="1:9" x14ac:dyDescent="0.25">
      <c r="A140" t="s">
        <v>406</v>
      </c>
      <c r="B140" t="s">
        <v>407</v>
      </c>
      <c r="C140" t="s">
        <v>408</v>
      </c>
      <c r="D140" t="s">
        <v>15</v>
      </c>
      <c r="E140" t="s">
        <v>16</v>
      </c>
      <c r="F140" t="s">
        <v>16</v>
      </c>
      <c r="G140" s="3">
        <v>0.79410218949335232</v>
      </c>
      <c r="H140" s="3">
        <f>_xlfn.XLOOKUP(B140,[1]!Table1[Cntry_name],[1]!Table1[_HDI_mean])</f>
        <v>0.79507472556708236</v>
      </c>
      <c r="I140" s="3">
        <f>G140-H140</f>
        <v>-9.7253607373004591E-4</v>
      </c>
    </row>
    <row r="141" spans="1:9" x14ac:dyDescent="0.25">
      <c r="A141" t="s">
        <v>79</v>
      </c>
      <c r="B141" t="s">
        <v>80</v>
      </c>
      <c r="C141" t="s">
        <v>81</v>
      </c>
      <c r="D141" t="s">
        <v>25</v>
      </c>
      <c r="E141" t="s">
        <v>21</v>
      </c>
      <c r="F141" t="s">
        <v>21</v>
      </c>
      <c r="G141" s="3">
        <v>0.69635973672794849</v>
      </c>
      <c r="H141" s="3">
        <f>_xlfn.XLOOKUP(B141,[1]!Table1[Cntry_name],[1]!Table1[_HDI_mean])</f>
        <v>0.69739280361261224</v>
      </c>
      <c r="I141" s="3">
        <f>G141-H141</f>
        <v>-1.0330668846637581E-3</v>
      </c>
    </row>
    <row r="142" spans="1:9" x14ac:dyDescent="0.25">
      <c r="A142" t="s">
        <v>532</v>
      </c>
      <c r="B142" t="s">
        <v>533</v>
      </c>
      <c r="C142" t="s">
        <v>534</v>
      </c>
      <c r="D142" t="s">
        <v>25</v>
      </c>
      <c r="E142" t="s">
        <v>21</v>
      </c>
      <c r="F142" t="s">
        <v>21</v>
      </c>
      <c r="G142" s="3">
        <v>0.51463568960462536</v>
      </c>
      <c r="H142" s="3">
        <f>_xlfn.XLOOKUP(B142,[1]!Table1[Cntry_name],[1]!Table1[_HDI_mean])</f>
        <v>0.51573393182613136</v>
      </c>
      <c r="I142" s="3">
        <f>G142-H142</f>
        <v>-1.0982422215060073E-3</v>
      </c>
    </row>
    <row r="143" spans="1:9" x14ac:dyDescent="0.25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16</v>
      </c>
      <c r="G143" s="3">
        <v>0.76399999856948853</v>
      </c>
      <c r="H143" s="3">
        <f>_xlfn.XLOOKUP(B143,[1]!Table1[Cntry_name],[1]!Table1[_HDI_mean])</f>
        <v>0.76518901803276751</v>
      </c>
      <c r="I143" s="3">
        <f>G143-H143</f>
        <v>-1.1890194632789841E-3</v>
      </c>
    </row>
    <row r="144" spans="1:9" x14ac:dyDescent="0.25">
      <c r="A144" t="s">
        <v>294</v>
      </c>
      <c r="B144" t="s">
        <v>295</v>
      </c>
      <c r="C144" t="s">
        <v>296</v>
      </c>
      <c r="D144" t="s">
        <v>45</v>
      </c>
      <c r="E144" t="s">
        <v>16</v>
      </c>
      <c r="F144" t="s">
        <v>16</v>
      </c>
      <c r="G144" s="3">
        <v>0.89800000190734863</v>
      </c>
      <c r="H144" s="3">
        <f>_xlfn.XLOOKUP(B144,[1]!Table1[Cntry_name],[1]!Table1[_HDI_mean])</f>
        <v>0.89921809637800176</v>
      </c>
      <c r="I144" s="3">
        <f>G144-H144</f>
        <v>-1.2180944706531305E-3</v>
      </c>
    </row>
    <row r="145" spans="1:9" x14ac:dyDescent="0.25">
      <c r="A145" t="s">
        <v>526</v>
      </c>
      <c r="B145" t="s">
        <v>527</v>
      </c>
      <c r="C145" t="s">
        <v>528</v>
      </c>
      <c r="D145" t="s">
        <v>58</v>
      </c>
      <c r="E145" t="s">
        <v>49</v>
      </c>
      <c r="F145" t="s">
        <v>58</v>
      </c>
      <c r="G145" s="3">
        <v>0.48199999332427979</v>
      </c>
      <c r="H145" s="3">
        <f>_xlfn.XLOOKUP(B145,[1]!Table1[Cntry_name],[1]!Table1[_HDI_mean])</f>
        <v>0.48329968008266128</v>
      </c>
      <c r="I145" s="3">
        <f>G145-H145</f>
        <v>-1.2996867583814908E-3</v>
      </c>
    </row>
    <row r="146" spans="1:9" x14ac:dyDescent="0.25">
      <c r="A146" t="s">
        <v>196</v>
      </c>
      <c r="B146" t="s">
        <v>197</v>
      </c>
      <c r="C146" t="s">
        <v>198</v>
      </c>
      <c r="D146" t="s">
        <v>75</v>
      </c>
      <c r="E146" t="s">
        <v>21</v>
      </c>
      <c r="F146" t="s">
        <v>21</v>
      </c>
      <c r="G146" s="3">
        <v>0.57687312763610477</v>
      </c>
      <c r="H146" s="3">
        <f>_xlfn.XLOOKUP(B146,[1]!Table1[Cntry_name],[1]!Table1[_HDI_mean])</f>
        <v>0.5781971693249558</v>
      </c>
      <c r="I146" s="3">
        <f>G146-H146</f>
        <v>-1.3240416888510298E-3</v>
      </c>
    </row>
    <row r="147" spans="1:9" x14ac:dyDescent="0.25">
      <c r="A147" t="s">
        <v>103</v>
      </c>
      <c r="B147" t="s">
        <v>104</v>
      </c>
      <c r="C147" t="s">
        <v>105</v>
      </c>
      <c r="D147" t="s">
        <v>75</v>
      </c>
      <c r="E147" t="s">
        <v>21</v>
      </c>
      <c r="F147" t="s">
        <v>21</v>
      </c>
      <c r="G147" s="3">
        <v>0.51580664071273341</v>
      </c>
      <c r="H147" s="3">
        <f>_xlfn.XLOOKUP(B147,[1]!Table1[Cntry_name],[1]!Table1[_HDI_mean])</f>
        <v>0.51714570320365549</v>
      </c>
      <c r="I147" s="3">
        <f>G147-H147</f>
        <v>-1.3390624909220827E-3</v>
      </c>
    </row>
    <row r="148" spans="1:9" x14ac:dyDescent="0.25">
      <c r="A148" t="s">
        <v>181</v>
      </c>
      <c r="B148" t="s">
        <v>182</v>
      </c>
      <c r="C148" t="s">
        <v>183</v>
      </c>
      <c r="D148" t="s">
        <v>45</v>
      </c>
      <c r="E148" t="s">
        <v>16</v>
      </c>
      <c r="F148" t="s">
        <v>16</v>
      </c>
      <c r="G148" s="3">
        <v>0.916154466979062</v>
      </c>
      <c r="H148" s="3">
        <f>_xlfn.XLOOKUP(B148,[1]!Table1[Cntry_name],[1]!Table1[_HDI_mean])</f>
        <v>0.91760058609538597</v>
      </c>
      <c r="I148" s="3">
        <f>G148-H148</f>
        <v>-1.4461191163239739E-3</v>
      </c>
    </row>
    <row r="149" spans="1:9" x14ac:dyDescent="0.25">
      <c r="A149" t="s">
        <v>273</v>
      </c>
      <c r="B149" t="s">
        <v>274</v>
      </c>
      <c r="C149" t="s">
        <v>275</v>
      </c>
      <c r="D149" t="s">
        <v>88</v>
      </c>
      <c r="E149" t="s">
        <v>10</v>
      </c>
      <c r="F149" t="s">
        <v>89</v>
      </c>
      <c r="G149" s="3">
        <v>0.58600002527236938</v>
      </c>
      <c r="H149" s="3">
        <f>_xlfn.XLOOKUP(B149,[1]!Table1[Cntry_name],[1]!Table1[_HDI_mean])</f>
        <v>0.58762811934204751</v>
      </c>
      <c r="I149" s="3">
        <f>G149-H149</f>
        <v>-1.628094069678121E-3</v>
      </c>
    </row>
    <row r="150" spans="1:9" x14ac:dyDescent="0.25">
      <c r="A150" t="s">
        <v>324</v>
      </c>
      <c r="B150" t="s">
        <v>325</v>
      </c>
      <c r="C150" t="s">
        <v>326</v>
      </c>
      <c r="D150" t="s">
        <v>65</v>
      </c>
      <c r="E150" t="s">
        <v>49</v>
      </c>
      <c r="F150" t="s">
        <v>36</v>
      </c>
      <c r="G150" s="3">
        <v>0.69900000095367432</v>
      </c>
      <c r="H150" s="3">
        <f>_xlfn.XLOOKUP(B150,[1]!Table1[Cntry_name],[1]!Table1[_HDI_mean])</f>
        <v>0.70076571251501385</v>
      </c>
      <c r="I150" s="3">
        <f>G150-H150</f>
        <v>-1.7657115613395336E-3</v>
      </c>
    </row>
    <row r="151" spans="1:9" x14ac:dyDescent="0.25">
      <c r="A151" t="s">
        <v>457</v>
      </c>
      <c r="B151" t="s">
        <v>458</v>
      </c>
      <c r="C151" t="s">
        <v>459</v>
      </c>
      <c r="D151" t="s">
        <v>99</v>
      </c>
      <c r="E151" t="s">
        <v>21</v>
      </c>
      <c r="F151" t="s">
        <v>21</v>
      </c>
      <c r="G151" s="3">
        <v>0.49000000953674322</v>
      </c>
      <c r="H151" s="3">
        <f>_xlfn.XLOOKUP(B151,[1]!Table1[Cntry_name],[1]!Table1[_HDI_mean])</f>
        <v>0.49178957305851873</v>
      </c>
      <c r="I151" s="3">
        <f>G151-H151</f>
        <v>-1.7895635217755057E-3</v>
      </c>
    </row>
    <row r="152" spans="1:9" x14ac:dyDescent="0.25">
      <c r="A152" t="s">
        <v>472</v>
      </c>
      <c r="B152" t="s">
        <v>473</v>
      </c>
      <c r="C152" t="s">
        <v>474</v>
      </c>
      <c r="D152" t="s">
        <v>58</v>
      </c>
      <c r="E152" t="s">
        <v>49</v>
      </c>
      <c r="F152" t="s">
        <v>58</v>
      </c>
      <c r="G152" s="3">
        <v>0.53600001335144043</v>
      </c>
      <c r="H152" s="3">
        <f>_xlfn.XLOOKUP(B152,[1]!Table1[Cntry_name],[1]!Table1[_HDI_mean])</f>
        <v>0.53788396183853326</v>
      </c>
      <c r="I152" s="3">
        <f>G152-H152</f>
        <v>-1.8839484870928347E-3</v>
      </c>
    </row>
    <row r="153" spans="1:9" x14ac:dyDescent="0.25">
      <c r="A153" t="s">
        <v>496</v>
      </c>
      <c r="B153" t="s">
        <v>497</v>
      </c>
      <c r="C153" t="s">
        <v>498</v>
      </c>
      <c r="D153" t="s">
        <v>497</v>
      </c>
      <c r="E153" t="s">
        <v>16</v>
      </c>
      <c r="F153" t="s">
        <v>16</v>
      </c>
      <c r="G153" s="3">
        <v>0.76471651688677256</v>
      </c>
      <c r="H153" s="3">
        <f>_xlfn.XLOOKUP(B153,[1]!Table1[Cntry_name],[1]!Table1[_HDI_mean])</f>
        <v>0.76683272084964271</v>
      </c>
      <c r="I153" s="3">
        <f>G153-H153</f>
        <v>-2.1162039628701557E-3</v>
      </c>
    </row>
    <row r="154" spans="1:9" x14ac:dyDescent="0.25">
      <c r="A154" t="s">
        <v>187</v>
      </c>
      <c r="B154" t="s">
        <v>188</v>
      </c>
      <c r="C154" t="s">
        <v>189</v>
      </c>
      <c r="D154" t="s">
        <v>75</v>
      </c>
      <c r="E154" t="s">
        <v>21</v>
      </c>
      <c r="F154" t="s">
        <v>21</v>
      </c>
      <c r="G154" s="3">
        <v>0.45199999213218689</v>
      </c>
      <c r="H154" s="3">
        <f>_xlfn.XLOOKUP(B154,[1]!Table1[Cntry_name],[1]!Table1[_HDI_mean])</f>
        <v>0.45433332522710163</v>
      </c>
      <c r="I154" s="3">
        <f>G154-H154</f>
        <v>-2.3333330949147357E-3</v>
      </c>
    </row>
    <row r="155" spans="1:9" x14ac:dyDescent="0.25">
      <c r="A155" t="s">
        <v>55</v>
      </c>
      <c r="B155" t="s">
        <v>56</v>
      </c>
      <c r="C155" t="s">
        <v>57</v>
      </c>
      <c r="D155" t="s">
        <v>58</v>
      </c>
      <c r="E155" t="s">
        <v>49</v>
      </c>
      <c r="F155" t="s">
        <v>58</v>
      </c>
      <c r="G155" s="3">
        <v>0.82400000095367432</v>
      </c>
      <c r="H155" s="3">
        <f>_xlfn.XLOOKUP(B155,[1]!Table1[Cntry_name],[1]!Table1[_HDI_mean])</f>
        <v>0.82646153981869042</v>
      </c>
      <c r="I155" s="3">
        <f>G155-H155</f>
        <v>-2.4615388650160996E-3</v>
      </c>
    </row>
    <row r="156" spans="1:9" x14ac:dyDescent="0.25">
      <c r="A156" t="s">
        <v>303</v>
      </c>
      <c r="B156" t="s">
        <v>304</v>
      </c>
      <c r="C156" t="s">
        <v>305</v>
      </c>
      <c r="D156" t="s">
        <v>25</v>
      </c>
      <c r="E156" t="s">
        <v>21</v>
      </c>
      <c r="F156" t="s">
        <v>21</v>
      </c>
      <c r="G156" s="3">
        <v>0.47600001096725458</v>
      </c>
      <c r="H156" s="3">
        <f>_xlfn.XLOOKUP(B156,[1]!Table1[Cntry_name],[1]!Table1[_HDI_mean])</f>
        <v>0.47863450388353368</v>
      </c>
      <c r="I156" s="3">
        <f>G156-H156</f>
        <v>-2.6344929162790964E-3</v>
      </c>
    </row>
    <row r="157" spans="1:9" x14ac:dyDescent="0.25">
      <c r="A157" t="s">
        <v>26</v>
      </c>
      <c r="B157" t="s">
        <v>27</v>
      </c>
      <c r="C157" t="s">
        <v>28</v>
      </c>
      <c r="D157" t="s">
        <v>29</v>
      </c>
      <c r="E157" t="s">
        <v>30</v>
      </c>
      <c r="F157" t="s">
        <v>31</v>
      </c>
      <c r="G157" s="3">
        <v>0.82432544011982067</v>
      </c>
      <c r="H157" s="3">
        <f>_xlfn.XLOOKUP(B157,[1]!Table1[Cntry_name],[1]!Table1[_HDI_mean])</f>
        <v>0.82720662382400945</v>
      </c>
      <c r="I157" s="3">
        <f>G157-H157</f>
        <v>-2.8811837041887722E-3</v>
      </c>
    </row>
    <row r="158" spans="1:9" x14ac:dyDescent="0.25">
      <c r="A158" t="s">
        <v>96</v>
      </c>
      <c r="B158" t="s">
        <v>97</v>
      </c>
      <c r="C158" t="s">
        <v>98</v>
      </c>
      <c r="D158" t="s">
        <v>99</v>
      </c>
      <c r="E158" t="s">
        <v>21</v>
      </c>
      <c r="F158" t="s">
        <v>21</v>
      </c>
      <c r="G158" s="3">
        <v>0.40456414842637678</v>
      </c>
      <c r="H158" s="3">
        <f>_xlfn.XLOOKUP(B158,[1]!Table1[Cntry_name],[1]!Table1[_HDI_mean])</f>
        <v>0.40761588698341727</v>
      </c>
      <c r="I158" s="3">
        <f>G158-H158</f>
        <v>-3.0517385570404953E-3</v>
      </c>
    </row>
    <row r="159" spans="1:9" x14ac:dyDescent="0.25">
      <c r="A159" t="s">
        <v>261</v>
      </c>
      <c r="B159" t="s">
        <v>262</v>
      </c>
      <c r="C159" t="s">
        <v>263</v>
      </c>
      <c r="D159" t="s">
        <v>99</v>
      </c>
      <c r="E159" t="s">
        <v>21</v>
      </c>
      <c r="F159" t="s">
        <v>21</v>
      </c>
      <c r="G159" s="3">
        <v>0.5513657744567555</v>
      </c>
      <c r="H159" s="3">
        <f>_xlfn.XLOOKUP(B159,[1]!Table1[Cntry_name],[1]!Table1[_HDI_mean])</f>
        <v>0.55451163425020977</v>
      </c>
      <c r="I159" s="3">
        <f>G159-H159</f>
        <v>-3.1458597934542754E-3</v>
      </c>
    </row>
    <row r="160" spans="1:9" x14ac:dyDescent="0.25">
      <c r="A160" t="s">
        <v>333</v>
      </c>
      <c r="B160" t="s">
        <v>334</v>
      </c>
      <c r="C160" t="s">
        <v>335</v>
      </c>
      <c r="D160" t="s">
        <v>20</v>
      </c>
      <c r="E160" t="s">
        <v>21</v>
      </c>
      <c r="F160" t="s">
        <v>21</v>
      </c>
      <c r="G160" s="3">
        <v>0.64678774488897528</v>
      </c>
      <c r="H160" s="3">
        <f>_xlfn.XLOOKUP(B160,[1]!Table1[Cntry_name],[1]!Table1[_HDI_mean])</f>
        <v>0.64996501008145313</v>
      </c>
      <c r="I160" s="3">
        <f>G160-H160</f>
        <v>-3.1772651924778517E-3</v>
      </c>
    </row>
    <row r="161" spans="1:9" x14ac:dyDescent="0.25">
      <c r="A161" t="s">
        <v>90</v>
      </c>
      <c r="B161" t="s">
        <v>91</v>
      </c>
      <c r="C161" t="s">
        <v>92</v>
      </c>
      <c r="D161" t="s">
        <v>15</v>
      </c>
      <c r="E161" t="s">
        <v>16</v>
      </c>
      <c r="F161" t="s">
        <v>16</v>
      </c>
      <c r="G161" s="3">
        <v>0.78500839642116005</v>
      </c>
      <c r="H161" s="3">
        <f>_xlfn.XLOOKUP(B161,[1]!Table1[Cntry_name],[1]!Table1[_HDI_mean])</f>
        <v>0.78821635405357959</v>
      </c>
      <c r="I161" s="3">
        <f>G161-H161</f>
        <v>-3.2079576324195447E-3</v>
      </c>
    </row>
    <row r="162" spans="1:9" x14ac:dyDescent="0.25">
      <c r="A162" t="s">
        <v>517</v>
      </c>
      <c r="B162" t="s">
        <v>518</v>
      </c>
      <c r="C162" t="s">
        <v>519</v>
      </c>
      <c r="D162" t="s">
        <v>260</v>
      </c>
      <c r="E162" t="s">
        <v>49</v>
      </c>
      <c r="F162" t="s">
        <v>36</v>
      </c>
      <c r="G162" s="3">
        <v>0.6976803298843588</v>
      </c>
      <c r="H162" s="3">
        <f>_xlfn.XLOOKUP(B162,[1]!Table1[Cntry_name],[1]!Table1[_HDI_mean])</f>
        <v>0.70140255629375414</v>
      </c>
      <c r="I162" s="3">
        <f>G162-H162</f>
        <v>-3.7222264093953461E-3</v>
      </c>
    </row>
    <row r="163" spans="1:9" x14ac:dyDescent="0.25">
      <c r="A163" t="s">
        <v>282</v>
      </c>
      <c r="B163" t="s">
        <v>283</v>
      </c>
      <c r="C163" t="s">
        <v>284</v>
      </c>
      <c r="D163" t="s">
        <v>25</v>
      </c>
      <c r="E163" t="s">
        <v>21</v>
      </c>
      <c r="F163" t="s">
        <v>21</v>
      </c>
      <c r="G163" s="3">
        <v>0.49700000882148743</v>
      </c>
      <c r="H163" s="3">
        <f>_xlfn.XLOOKUP(B163,[1]!Table1[Cntry_name],[1]!Table1[_HDI_mean])</f>
        <v>0.50141255019641506</v>
      </c>
      <c r="I163" s="3">
        <f>G163-H163</f>
        <v>-4.4125413749276365E-3</v>
      </c>
    </row>
    <row r="164" spans="1:9" x14ac:dyDescent="0.25">
      <c r="A164" t="s">
        <v>321</v>
      </c>
      <c r="B164" t="s">
        <v>322</v>
      </c>
      <c r="C164" t="s">
        <v>323</v>
      </c>
      <c r="D164" t="s">
        <v>322</v>
      </c>
      <c r="E164" t="s">
        <v>30</v>
      </c>
      <c r="F164" t="s">
        <v>31</v>
      </c>
      <c r="G164" s="3">
        <v>0.75627834769894531</v>
      </c>
      <c r="H164" s="3">
        <f>_xlfn.XLOOKUP(B164,[1]!Table1[Cntry_name],[1]!Table1[_HDI_mean])</f>
        <v>0.76173141118126653</v>
      </c>
      <c r="I164" s="3">
        <f>G164-H164</f>
        <v>-5.4530634823212187E-3</v>
      </c>
    </row>
    <row r="165" spans="1:9" x14ac:dyDescent="0.25">
      <c r="A165" t="s">
        <v>451</v>
      </c>
      <c r="B165" t="s">
        <v>452</v>
      </c>
      <c r="C165" t="s">
        <v>453</v>
      </c>
      <c r="D165" t="s">
        <v>45</v>
      </c>
      <c r="E165" t="s">
        <v>16</v>
      </c>
      <c r="F165" t="s">
        <v>16</v>
      </c>
      <c r="G165" s="3">
        <v>0.87146200286605358</v>
      </c>
      <c r="H165" s="3">
        <f>_xlfn.XLOOKUP(B165,[1]!Table1[Cntry_name],[1]!Table1[_HDI_mean])</f>
        <v>0.87705708704980379</v>
      </c>
      <c r="I165" s="3">
        <f>G165-H165</f>
        <v>-5.5950841837502097E-3</v>
      </c>
    </row>
    <row r="166" spans="1:9" x14ac:dyDescent="0.25">
      <c r="A166" t="s">
        <v>490</v>
      </c>
      <c r="B166" t="s">
        <v>491</v>
      </c>
      <c r="C166" t="s">
        <v>492</v>
      </c>
      <c r="D166" t="s">
        <v>75</v>
      </c>
      <c r="E166" t="s">
        <v>21</v>
      </c>
      <c r="F166" t="s">
        <v>21</v>
      </c>
      <c r="G166" s="3">
        <v>0.48133332331975298</v>
      </c>
      <c r="H166" s="3">
        <f>_xlfn.XLOOKUP(B166,[1]!Table1[Cntry_name],[1]!Table1[_HDI_mean])</f>
        <v>0.48693528385723339</v>
      </c>
      <c r="I166" s="3">
        <f>G166-H166</f>
        <v>-5.6019605374804105E-3</v>
      </c>
    </row>
    <row r="167" spans="1:9" x14ac:dyDescent="0.25">
      <c r="A167" t="s">
        <v>315</v>
      </c>
      <c r="B167" t="s">
        <v>316</v>
      </c>
      <c r="C167" t="s">
        <v>317</v>
      </c>
      <c r="D167" t="s">
        <v>75</v>
      </c>
      <c r="E167" t="s">
        <v>21</v>
      </c>
      <c r="F167" t="s">
        <v>21</v>
      </c>
      <c r="G167" s="3">
        <v>0.50623669571529173</v>
      </c>
      <c r="H167" s="3">
        <f>_xlfn.XLOOKUP(B167,[1]!Table1[Cntry_name],[1]!Table1[_HDI_mean])</f>
        <v>0.51326530653048152</v>
      </c>
      <c r="I167" s="3">
        <f>G167-H167</f>
        <v>-7.0286108151897952E-3</v>
      </c>
    </row>
    <row r="168" spans="1:9" x14ac:dyDescent="0.25">
      <c r="A168" t="s">
        <v>119</v>
      </c>
      <c r="B168" t="s">
        <v>120</v>
      </c>
      <c r="C168" t="s">
        <v>121</v>
      </c>
      <c r="D168" t="s">
        <v>29</v>
      </c>
      <c r="E168" t="s">
        <v>30</v>
      </c>
      <c r="F168" t="s">
        <v>31</v>
      </c>
      <c r="G168" s="3">
        <v>0.82732094487836283</v>
      </c>
      <c r="H168" s="3">
        <f>_xlfn.XLOOKUP(B168,[1]!Table1[Cntry_name],[1]!Table1[_HDI_mean])</f>
        <v>0.83437537554181573</v>
      </c>
      <c r="I168" s="3">
        <f>G168-H168</f>
        <v>-7.0544306634529041E-3</v>
      </c>
    </row>
    <row r="169" spans="1:9" x14ac:dyDescent="0.25">
      <c r="A169" t="s">
        <v>409</v>
      </c>
      <c r="B169" t="s">
        <v>410</v>
      </c>
      <c r="C169" t="s">
        <v>411</v>
      </c>
      <c r="D169" t="s">
        <v>35</v>
      </c>
      <c r="E169" t="s">
        <v>49</v>
      </c>
      <c r="F169" t="s">
        <v>36</v>
      </c>
      <c r="G169" s="3">
        <v>0.79338021593044816</v>
      </c>
      <c r="H169" s="3">
        <f>_xlfn.XLOOKUP(B169,[1]!Table1[Cntry_name],[1]!Table1[_HDI_mean])</f>
        <v>0.80335447867513898</v>
      </c>
      <c r="I169" s="3">
        <f>G169-H169</f>
        <v>-9.9742627446908205E-3</v>
      </c>
    </row>
    <row r="170" spans="1:9" x14ac:dyDescent="0.25">
      <c r="A170" t="s">
        <v>226</v>
      </c>
      <c r="B170" t="s">
        <v>227</v>
      </c>
      <c r="C170" t="s">
        <v>228</v>
      </c>
      <c r="D170" t="s">
        <v>227</v>
      </c>
      <c r="E170" t="s">
        <v>10</v>
      </c>
      <c r="F170" t="s">
        <v>11</v>
      </c>
      <c r="G170" s="3">
        <v>0.62215004690226683</v>
      </c>
      <c r="H170" s="3">
        <f>_xlfn.XLOOKUP(B170,[1]!Table1[Cntry_name],[1]!Table1[_HDI_mean])</f>
        <v>0.63266980892246094</v>
      </c>
      <c r="I170" s="3">
        <f>G170-H170</f>
        <v>-1.0519762020194112E-2</v>
      </c>
    </row>
    <row r="171" spans="1:9" x14ac:dyDescent="0.25">
      <c r="A171" t="s">
        <v>130</v>
      </c>
      <c r="B171" t="s">
        <v>131</v>
      </c>
      <c r="C171" t="s">
        <v>132</v>
      </c>
      <c r="D171" t="s">
        <v>75</v>
      </c>
      <c r="E171" t="s">
        <v>21</v>
      </c>
      <c r="F171" t="s">
        <v>21</v>
      </c>
      <c r="G171" s="3">
        <v>0.57600724067868536</v>
      </c>
      <c r="H171" s="3">
        <f>_xlfn.XLOOKUP(B171,[1]!Table1[Cntry_name],[1]!Table1[_HDI_mean])</f>
        <v>0.59104247577721081</v>
      </c>
      <c r="I171" s="3">
        <f>G171-H171</f>
        <v>-1.5035235098525446E-2</v>
      </c>
    </row>
    <row r="172" spans="1:9" x14ac:dyDescent="0.25">
      <c r="A172" t="s">
        <v>297</v>
      </c>
      <c r="B172" t="s">
        <v>298</v>
      </c>
      <c r="C172" t="s">
        <v>299</v>
      </c>
      <c r="D172" t="s">
        <v>15</v>
      </c>
      <c r="E172" t="s">
        <v>16</v>
      </c>
      <c r="F172" t="s">
        <v>16</v>
      </c>
      <c r="G172" s="3">
        <v>0</v>
      </c>
      <c r="H172" s="3">
        <f>_xlfn.XLOOKUP(B172,[1]!Table1[Cntry_name],[1]!Table1[_HDI_mean])</f>
        <v>0.86599999666213989</v>
      </c>
      <c r="I172" s="3">
        <f>G172-H172</f>
        <v>-0.86599999666213989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Engelenburg, M. van (Martijn)</dc:creator>
  <cp:lastModifiedBy>Engelenburg, M. van (Martijn)</cp:lastModifiedBy>
  <dcterms:created xsi:type="dcterms:W3CDTF">2024-10-30T09:41:16Z</dcterms:created>
  <dcterms:modified xsi:type="dcterms:W3CDTF">2024-10-30T21:02:27Z</dcterms:modified>
</cp:coreProperties>
</file>