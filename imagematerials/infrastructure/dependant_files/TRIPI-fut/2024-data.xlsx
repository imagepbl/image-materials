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256E1C1F-E906-4505-B367-A149F3EB4F1E}" xr6:coauthVersionLast="47" xr6:coauthVersionMax="47" xr10:uidLastSave="{00000000-0000-0000-0000-000000000000}"/>
  <bookViews>
    <workbookView xWindow="-20" yWindow="14290" windowWidth="25820" windowHeight="13900" xr2:uid="{E7782B8E-F493-42B0-9CFA-BB4F41381E9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" l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B17" i="1"/>
  <c r="B18" i="1"/>
  <c r="B19" i="1"/>
  <c r="B16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B15" i="1"/>
  <c r="B14" i="1" l="1"/>
  <c r="B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C12" i="1"/>
  <c r="B12" i="1"/>
</calcChain>
</file>

<file path=xl/sharedStrings.xml><?xml version="1.0" encoding="utf-8"?>
<sst xmlns="http://schemas.openxmlformats.org/spreadsheetml/2006/main" count="44" uniqueCount="44">
  <si>
    <t>Brazil</t>
  </si>
  <si>
    <t>Canada</t>
  </si>
  <si>
    <t>Central America</t>
  </si>
  <si>
    <t>Central Asia</t>
  </si>
  <si>
    <t>Central Europe</t>
  </si>
  <si>
    <t>Eastern Africa</t>
  </si>
  <si>
    <t>India</t>
  </si>
  <si>
    <t>Japan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</si>
  <si>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</si>
  <si>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</si>
  <si>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</si>
  <si>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</si>
  <si>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</si>
  <si>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</si>
  <si>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</si>
  <si>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South Africa</t>
  </si>
  <si>
    <t>Turkey</t>
  </si>
  <si>
    <t>Ukraine region</t>
  </si>
  <si>
    <t>USA</t>
  </si>
  <si>
    <t>Western Africa</t>
  </si>
  <si>
    <t>Western Europe</t>
  </si>
  <si>
    <t>China</t>
  </si>
  <si>
    <t>Indonesia Region</t>
  </si>
  <si>
    <t>South Eastern Asia</t>
  </si>
  <si>
    <t>Korea</t>
  </si>
  <si>
    <t>Russia Region</t>
  </si>
  <si>
    <t>urban_roads</t>
  </si>
  <si>
    <t>rural_roads</t>
  </si>
  <si>
    <t>rural_parking_area</t>
  </si>
  <si>
    <t>rural_bridges</t>
  </si>
  <si>
    <t>rural_tunnels</t>
  </si>
  <si>
    <t>total_rail</t>
  </si>
  <si>
    <t>urban_rail</t>
  </si>
  <si>
    <t>urban_parking</t>
  </si>
  <si>
    <t>urban_bridges</t>
  </si>
  <si>
    <t>urban_tunnels</t>
  </si>
  <si>
    <t>rail_bridge</t>
  </si>
  <si>
    <t>rail_tunnel</t>
  </si>
  <si>
    <t>rail_highspeed</t>
  </si>
  <si>
    <t>rail_electrified</t>
  </si>
  <si>
    <t>rail_bridge_share</t>
  </si>
  <si>
    <t>rail_tunnel_share</t>
  </si>
  <si>
    <t>rail_highspeed_share</t>
  </si>
  <si>
    <t>rail_electrified_share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</si>
</sst>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0.%20Layers\strict\Country_including_rail.xlsx" TargetMode="External"/><Relationship Id="rId1" Type="http://schemas.openxmlformats.org/officeDocument/2006/relationships/externalLinkPath" Target="/Academic/Chapter2/0.%20Layers/strict/Country_including_ra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_input"/>
      <sheetName val="Sheet1"/>
      <sheetName val="Sheet3"/>
      <sheetName val="Sheet2"/>
      <sheetName val="Cleaned"/>
      <sheetName val="High speed rail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Brazil</v>
          </cell>
          <cell r="M2">
            <v>270.17209330658505</v>
          </cell>
          <cell r="N2">
            <v>231.86958669220971</v>
          </cell>
          <cell r="R2">
            <v>2037.2757390894376</v>
          </cell>
        </row>
        <row r="3">
          <cell r="A3" t="str">
            <v>Canada</v>
          </cell>
          <cell r="M3">
            <v>361.53856570277526</v>
          </cell>
          <cell r="N3">
            <v>135.400713740442</v>
          </cell>
          <cell r="R3">
            <v>334.01559149406847</v>
          </cell>
        </row>
        <row r="4">
          <cell r="A4" t="str">
            <v>Central America</v>
          </cell>
          <cell r="M4">
            <v>45.095654242703262</v>
          </cell>
          <cell r="N4">
            <v>3.9424863643968924</v>
          </cell>
          <cell r="R4">
            <v>165.43105121767235</v>
          </cell>
        </row>
        <row r="5">
          <cell r="A5" t="str">
            <v>Central Asia</v>
          </cell>
          <cell r="M5">
            <v>178.89929687887604</v>
          </cell>
          <cell r="N5">
            <v>27.3504431348811</v>
          </cell>
          <cell r="Q5">
            <v>850.78345049516588</v>
          </cell>
          <cell r="R5">
            <v>16003.76808295157</v>
          </cell>
        </row>
        <row r="6">
          <cell r="A6" t="str">
            <v>Central Europe</v>
          </cell>
          <cell r="M6">
            <v>1063.3667136362455</v>
          </cell>
          <cell r="N6">
            <v>761.65800529627245</v>
          </cell>
          <cell r="Q6">
            <v>834.22522478204451</v>
          </cell>
          <cell r="R6">
            <v>68427.513625936772</v>
          </cell>
        </row>
        <row r="7">
          <cell r="A7" t="str">
            <v>China</v>
          </cell>
          <cell r="M7">
            <v>48355.410583730132</v>
          </cell>
          <cell r="N7">
            <v>27399.189800361131</v>
          </cell>
          <cell r="Q7">
            <v>141691.44024145542</v>
          </cell>
          <cell r="R7">
            <v>212191.394093176</v>
          </cell>
        </row>
        <row r="8">
          <cell r="A8" t="str">
            <v>Eastern Africa</v>
          </cell>
          <cell r="M8">
            <v>102.624674469787</v>
          </cell>
          <cell r="N8">
            <v>43.031258718024255</v>
          </cell>
          <cell r="R8">
            <v>1976.1523727975296</v>
          </cell>
        </row>
        <row r="9">
          <cell r="A9" t="str">
            <v>India</v>
          </cell>
          <cell r="M9">
            <v>1156.6409998434242</v>
          </cell>
          <cell r="N9">
            <v>278.85372161526902</v>
          </cell>
          <cell r="R9">
            <v>81086.594687368299</v>
          </cell>
        </row>
        <row r="10">
          <cell r="A10" t="str">
            <v>Indonesia region</v>
          </cell>
          <cell r="M10">
            <v>248.71121912798114</v>
          </cell>
          <cell r="N10">
            <v>15.946535436227981</v>
          </cell>
          <cell r="R10">
            <v>1903.7672705318835</v>
          </cell>
        </row>
        <row r="11">
          <cell r="A11" t="str">
            <v>Japan</v>
          </cell>
          <cell r="M11">
            <v>6291.4909531935664</v>
          </cell>
          <cell r="N11">
            <v>5074.155086298766</v>
          </cell>
          <cell r="Q11">
            <v>6246.5560960152498</v>
          </cell>
          <cell r="R11">
            <v>34424.769586062648</v>
          </cell>
        </row>
        <row r="12">
          <cell r="A12" t="str">
            <v>Korea</v>
          </cell>
          <cell r="M12">
            <v>1479.0091408191031</v>
          </cell>
          <cell r="N12">
            <v>2359.4578373621002</v>
          </cell>
          <cell r="Q12">
            <v>1429.4194526482149</v>
          </cell>
          <cell r="R12">
            <v>13149.018790556151</v>
          </cell>
        </row>
        <row r="13">
          <cell r="A13" t="str">
            <v>Mexico</v>
          </cell>
          <cell r="M13">
            <v>193.14765126192449</v>
          </cell>
          <cell r="N13">
            <v>104.83580572930251</v>
          </cell>
          <cell r="R13">
            <v>1043.4154331261038</v>
          </cell>
        </row>
        <row r="14">
          <cell r="A14" t="str">
            <v>Middle East</v>
          </cell>
          <cell r="M14">
            <v>125.84765712375733</v>
          </cell>
          <cell r="N14">
            <v>269.949239453026</v>
          </cell>
          <cell r="R14">
            <v>668.87591195190805</v>
          </cell>
        </row>
        <row r="15">
          <cell r="A15" t="str">
            <v>Northern Africa</v>
          </cell>
          <cell r="M15">
            <v>155.87964062864219</v>
          </cell>
          <cell r="N15">
            <v>98.221297482022962</v>
          </cell>
          <cell r="Q15">
            <v>1827.106541899888</v>
          </cell>
          <cell r="R15">
            <v>3355.4195053780122</v>
          </cell>
        </row>
        <row r="16">
          <cell r="A16" t="str">
            <v>Oceania</v>
          </cell>
          <cell r="M16">
            <v>485.10188697675505</v>
          </cell>
          <cell r="N16">
            <v>532.05052014279772</v>
          </cell>
          <cell r="R16">
            <v>8898.1061617334763</v>
          </cell>
        </row>
        <row r="17">
          <cell r="A17" t="str">
            <v>Rest of South America</v>
          </cell>
          <cell r="M17">
            <v>237.8717306328976</v>
          </cell>
          <cell r="N17">
            <v>110.88806089362414</v>
          </cell>
          <cell r="R17">
            <v>3154.6565815194167</v>
          </cell>
        </row>
        <row r="18">
          <cell r="A18" t="str">
            <v>Rest of South Asia</v>
          </cell>
          <cell r="M18">
            <v>89.72165737979725</v>
          </cell>
          <cell r="N18">
            <v>27.433825021221182</v>
          </cell>
          <cell r="R18">
            <v>108.53843007131726</v>
          </cell>
        </row>
        <row r="19">
          <cell r="A19" t="str">
            <v>Rest of Southern Africa</v>
          </cell>
          <cell r="M19">
            <v>84.599282847313802</v>
          </cell>
          <cell r="N19">
            <v>11.812530269307354</v>
          </cell>
          <cell r="R19">
            <v>255.92931451432656</v>
          </cell>
        </row>
        <row r="20">
          <cell r="A20" t="str">
            <v>Russia region</v>
          </cell>
          <cell r="M20">
            <v>1259.3954321122033</v>
          </cell>
          <cell r="N20">
            <v>251.09610517993525</v>
          </cell>
          <cell r="Q20">
            <v>6652.6341991034087</v>
          </cell>
          <cell r="R20">
            <v>108839.7691410523</v>
          </cell>
        </row>
        <row r="21">
          <cell r="A21" t="str">
            <v>South Africa</v>
          </cell>
          <cell r="M21">
            <v>191.75050308282661</v>
          </cell>
          <cell r="N21">
            <v>611.03338396863626</v>
          </cell>
          <cell r="Q21">
            <v>792.57114809486347</v>
          </cell>
          <cell r="R21">
            <v>16564.555858609885</v>
          </cell>
        </row>
        <row r="22">
          <cell r="A22" t="str">
            <v>South Eastern Asia</v>
          </cell>
          <cell r="M22">
            <v>451.30511274873646</v>
          </cell>
          <cell r="N22">
            <v>225.75213855623966</v>
          </cell>
          <cell r="R22">
            <v>868.57258962181731</v>
          </cell>
        </row>
        <row r="23">
          <cell r="A23" t="str">
            <v>Turkey</v>
          </cell>
          <cell r="M23">
            <v>154.53627571179968</v>
          </cell>
          <cell r="N23">
            <v>479.88729960018622</v>
          </cell>
          <cell r="Q23">
            <v>2781.1783357588661</v>
          </cell>
          <cell r="R23">
            <v>8324.5365079455132</v>
          </cell>
        </row>
        <row r="24">
          <cell r="A24" t="str">
            <v>Ukraine region</v>
          </cell>
          <cell r="M24">
            <v>300.36232303630612</v>
          </cell>
          <cell r="N24">
            <v>62.478952710481394</v>
          </cell>
          <cell r="R24">
            <v>21798.745047585879</v>
          </cell>
        </row>
        <row r="25">
          <cell r="A25" t="str">
            <v>USA</v>
          </cell>
          <cell r="M25">
            <v>3643.3115574602762</v>
          </cell>
          <cell r="N25">
            <v>948.18622916927552</v>
          </cell>
          <cell r="Q25">
            <v>2710.6404475619011</v>
          </cell>
          <cell r="R25">
            <v>10032.242813506229</v>
          </cell>
        </row>
        <row r="26">
          <cell r="A26" t="str">
            <v>Western Africa</v>
          </cell>
          <cell r="M26">
            <v>85.213355433542887</v>
          </cell>
          <cell r="N26">
            <v>14.695214793713621</v>
          </cell>
          <cell r="R26">
            <v>189.4425306568148</v>
          </cell>
        </row>
        <row r="27">
          <cell r="A27" t="str">
            <v>Western Europe</v>
          </cell>
          <cell r="M27">
            <v>6263.5797846430414</v>
          </cell>
          <cell r="N27">
            <v>10018.458667827455</v>
          </cell>
          <cell r="Q27">
            <v>36183.830977635356</v>
          </cell>
          <cell r="R27">
            <v>216360.2108358297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D969-B82C-4BA2-B01F-1D91EC977BC5}">
  <dimension ref="A1:AA19"/>
  <sheetViews>
    <sheetView showGridLines="0" tabSelected="1" topLeftCell="C1" workbookViewId="0">
      <selection activeCell="E19" sqref="E19"/>
    </sheetView>
  </sheetViews>
  <sheetFormatPr defaultRowHeight="15" x14ac:dyDescent="0.25"/>
  <cols>
    <col min="2" max="2" width="12" bestFit="1" customWidth="1"/>
  </cols>
  <sheetData>
    <row r="1" spans="1:2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21</v>
      </c>
      <c r="H1" t="s">
        <v>5</v>
      </c>
      <c r="I1" t="s">
        <v>6</v>
      </c>
      <c r="J1" t="s">
        <v>22</v>
      </c>
      <c r="K1" t="s">
        <v>7</v>
      </c>
      <c r="L1" t="s">
        <v>24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25</v>
      </c>
      <c r="U1" t="s">
        <v>15</v>
      </c>
      <c r="V1" t="s">
        <v>23</v>
      </c>
      <c r="W1" t="s">
        <v>16</v>
      </c>
      <c r="X1" t="s">
        <v>18</v>
      </c>
      <c r="Y1" t="s">
        <v>17</v>
      </c>
      <c r="Z1" t="s">
        <v>19</v>
      </c>
      <c r="AA1" t="s">
        <v>20</v>
      </c>
    </row>
    <row r="2" spans="1:27" x14ac:dyDescent="0.25">
      <c r="A2" t="s">
        <v>26</v>
      </c>
      <c r="B2">
        <v>4108.5381308000351</v>
      </c>
      <c r="C2">
        <v>1825.232797559835</v>
      </c>
      <c r="D2">
        <v>795.7188103405781</v>
      </c>
      <c r="E2">
        <v>668.68305320249783</v>
      </c>
      <c r="F2">
        <v>2748.7215966614121</v>
      </c>
      <c r="G2">
        <v>12639.11065142125</v>
      </c>
      <c r="H2">
        <v>612.39457861736651</v>
      </c>
      <c r="I2">
        <v>5031.8655990545512</v>
      </c>
      <c r="J2">
        <v>1890.2208899661559</v>
      </c>
      <c r="K2">
        <v>4038.3394438808818</v>
      </c>
      <c r="L2">
        <v>957.60207708587279</v>
      </c>
      <c r="M2">
        <v>2842.1209874099168</v>
      </c>
      <c r="N2">
        <v>4941.376882750169</v>
      </c>
      <c r="O2">
        <v>2622.140025710331</v>
      </c>
      <c r="P2">
        <v>1460.401267750703</v>
      </c>
      <c r="Q2">
        <v>3362.6312533335749</v>
      </c>
      <c r="R2">
        <v>1446.6385080803591</v>
      </c>
      <c r="S2">
        <v>840.39334679201136</v>
      </c>
      <c r="T2">
        <v>2632.610833579804</v>
      </c>
      <c r="U2">
        <v>990.0136632843205</v>
      </c>
      <c r="V2">
        <v>2924.3679606418059</v>
      </c>
      <c r="W2">
        <v>1003.235285599481</v>
      </c>
      <c r="X2">
        <v>31511.02115348195</v>
      </c>
      <c r="Y2">
        <v>955.51277198503601</v>
      </c>
      <c r="Z2">
        <v>2702.5149796603482</v>
      </c>
      <c r="AA2">
        <v>13350.250745501129</v>
      </c>
    </row>
    <row r="3" spans="1:27" x14ac:dyDescent="0.25">
      <c r="A3" t="s">
        <v>27</v>
      </c>
      <c r="B3">
        <v>22991.460501411799</v>
      </c>
      <c r="C3">
        <v>10270.21531891463</v>
      </c>
      <c r="D3">
        <v>3022.8679499816558</v>
      </c>
      <c r="E3">
        <v>4056.9723211258329</v>
      </c>
      <c r="F3">
        <v>11491.13376161717</v>
      </c>
      <c r="G3">
        <v>35775.805551971898</v>
      </c>
      <c r="H3">
        <v>9449.9575293060971</v>
      </c>
      <c r="I3">
        <v>16577.826651444619</v>
      </c>
      <c r="J3">
        <v>4492.2109025149393</v>
      </c>
      <c r="K3">
        <v>4262.3982171411108</v>
      </c>
      <c r="L3">
        <v>1552.2206641511921</v>
      </c>
      <c r="M3">
        <v>7197.2803047339175</v>
      </c>
      <c r="N3">
        <v>12803.854122107299</v>
      </c>
      <c r="O3">
        <v>7231.0626542452228</v>
      </c>
      <c r="P3">
        <v>7735.6135877826346</v>
      </c>
      <c r="Q3">
        <v>16315.49275599262</v>
      </c>
      <c r="R3">
        <v>5664.7154034007544</v>
      </c>
      <c r="S3">
        <v>10290.49399571777</v>
      </c>
      <c r="T3">
        <v>17532.581448739231</v>
      </c>
      <c r="U3">
        <v>4938.7011868533491</v>
      </c>
      <c r="V3">
        <v>11731.331497049319</v>
      </c>
      <c r="W3">
        <v>4657.2236898100273</v>
      </c>
      <c r="X3">
        <v>53674.379392425879</v>
      </c>
      <c r="Y3">
        <v>5036.7589301854732</v>
      </c>
      <c r="Z3">
        <v>14326.204585418849</v>
      </c>
      <c r="AA3">
        <v>36940.60600044718</v>
      </c>
    </row>
    <row r="4" spans="1:27" x14ac:dyDescent="0.25">
      <c r="A4" t="s">
        <v>31</v>
      </c>
      <c r="B4">
        <v>42698.50616654435</v>
      </c>
      <c r="C4">
        <v>73193.210843411667</v>
      </c>
      <c r="D4">
        <v>9971.4844727467116</v>
      </c>
      <c r="E4">
        <v>67739.774353460307</v>
      </c>
      <c r="F4">
        <v>158197.96599727249</v>
      </c>
      <c r="G4">
        <v>344513.99691831938</v>
      </c>
      <c r="H4">
        <v>13064.81073791842</v>
      </c>
      <c r="I4">
        <v>123314.8383535952</v>
      </c>
      <c r="J4">
        <v>8809.3947467080798</v>
      </c>
      <c r="K4">
        <v>50100.839752324209</v>
      </c>
      <c r="L4">
        <v>20100.530071743629</v>
      </c>
      <c r="M4">
        <v>24255.423895390231</v>
      </c>
      <c r="N4">
        <v>32759.905714215449</v>
      </c>
      <c r="O4">
        <v>23174.18395736055</v>
      </c>
      <c r="P4">
        <v>68803.021392993222</v>
      </c>
      <c r="Q4">
        <v>61849.747658028187</v>
      </c>
      <c r="R4">
        <v>15577.005215615111</v>
      </c>
      <c r="S4">
        <v>25013.31184350876</v>
      </c>
      <c r="T4">
        <v>271528.86728318199</v>
      </c>
      <c r="U4">
        <v>34306.129531222672</v>
      </c>
      <c r="V4">
        <v>23071.516371962942</v>
      </c>
      <c r="W4">
        <v>15544.79771211996</v>
      </c>
      <c r="X4">
        <v>451251.09184268437</v>
      </c>
      <c r="Y4">
        <v>73562.867357344774</v>
      </c>
      <c r="Z4">
        <v>21596.0566003067</v>
      </c>
      <c r="AA4">
        <v>393982.17319179099</v>
      </c>
    </row>
    <row r="5" spans="1:27" x14ac:dyDescent="0.25">
      <c r="A5" t="s">
        <v>32</v>
      </c>
      <c r="B5">
        <v>1308.7360159030241</v>
      </c>
      <c r="C5">
        <v>1124.1614169579559</v>
      </c>
      <c r="D5">
        <v>109.997119879804</v>
      </c>
      <c r="E5">
        <v>488.84778516231552</v>
      </c>
      <c r="F5">
        <v>5745.3411094850544</v>
      </c>
      <c r="G5">
        <v>26158.124529473491</v>
      </c>
      <c r="H5">
        <v>159.33204287314891</v>
      </c>
      <c r="I5">
        <v>2167.502113051778</v>
      </c>
      <c r="J5">
        <v>217.18674395723349</v>
      </c>
      <c r="K5">
        <v>2605.6793021098242</v>
      </c>
      <c r="L5">
        <v>2011.7192170830599</v>
      </c>
      <c r="M5">
        <v>491.18751022646069</v>
      </c>
      <c r="N5">
        <v>1468.407773989097</v>
      </c>
      <c r="O5">
        <v>910.75507629849494</v>
      </c>
      <c r="P5">
        <v>936.87236562723376</v>
      </c>
      <c r="Q5">
        <v>1000.643579117991</v>
      </c>
      <c r="R5">
        <v>113.10849225168801</v>
      </c>
      <c r="S5">
        <v>0</v>
      </c>
      <c r="T5">
        <v>7437.8522858308434</v>
      </c>
      <c r="U5">
        <v>1.5488613036832799</v>
      </c>
      <c r="V5">
        <v>1563.151693665382</v>
      </c>
      <c r="W5">
        <v>1622.9326494980601</v>
      </c>
      <c r="X5">
        <v>8235.3882499250194</v>
      </c>
      <c r="Y5">
        <v>2293.809584526145</v>
      </c>
      <c r="Z5">
        <v>92.999317210258909</v>
      </c>
      <c r="AA5">
        <v>22286.035039865441</v>
      </c>
    </row>
    <row r="6" spans="1:27" x14ac:dyDescent="0.25">
      <c r="A6" t="s">
        <v>33</v>
      </c>
      <c r="B6">
        <v>87106958.990351677</v>
      </c>
      <c r="C6">
        <v>287263733.79365462</v>
      </c>
      <c r="D6">
        <v>22332173.799730219</v>
      </c>
      <c r="E6">
        <v>29552532.953463919</v>
      </c>
      <c r="F6">
        <v>211675650.6825653</v>
      </c>
      <c r="G6">
        <v>197790193.48376381</v>
      </c>
      <c r="H6">
        <v>7790445.5152162854</v>
      </c>
      <c r="I6">
        <v>14612210.688221941</v>
      </c>
      <c r="J6">
        <v>12055691.902622459</v>
      </c>
      <c r="K6">
        <v>301259455.86006451</v>
      </c>
      <c r="L6">
        <v>49060874.873185061</v>
      </c>
      <c r="M6">
        <v>71033756.989022315</v>
      </c>
      <c r="N6">
        <v>140869870.68756509</v>
      </c>
      <c r="O6">
        <v>24194091.29475259</v>
      </c>
      <c r="P6">
        <v>149466238.02526569</v>
      </c>
      <c r="Q6">
        <v>67674607.401599079</v>
      </c>
      <c r="R6">
        <v>6019893.6563983941</v>
      </c>
      <c r="S6">
        <v>8190265.8944928199</v>
      </c>
      <c r="T6">
        <v>188642286.43302751</v>
      </c>
      <c r="U6">
        <v>31980207.704729389</v>
      </c>
      <c r="V6">
        <v>53809231.704392351</v>
      </c>
      <c r="W6">
        <v>29210254.47806143</v>
      </c>
      <c r="X6">
        <v>2861782175.619957</v>
      </c>
      <c r="Y6">
        <v>48417639.47140345</v>
      </c>
      <c r="Z6">
        <v>14208156.77597885</v>
      </c>
      <c r="AA6">
        <v>1378400041.1926899</v>
      </c>
    </row>
    <row r="7" spans="1:27" x14ac:dyDescent="0.25">
      <c r="A7" t="s">
        <v>34</v>
      </c>
      <c r="B7">
        <v>2125.8980000000001</v>
      </c>
      <c r="C7">
        <v>1576.9290000000001</v>
      </c>
      <c r="D7">
        <v>439.14100000000002</v>
      </c>
      <c r="E7">
        <v>382.35399999999998</v>
      </c>
      <c r="F7">
        <v>3131.262999999999</v>
      </c>
      <c r="G7">
        <v>67320.39</v>
      </c>
      <c r="H7">
        <v>223.68700000000001</v>
      </c>
      <c r="I7">
        <v>5956.0930000000008</v>
      </c>
      <c r="J7">
        <v>2517.069</v>
      </c>
      <c r="K7">
        <v>14784.521000000001</v>
      </c>
      <c r="L7">
        <v>3955.9349999999999</v>
      </c>
      <c r="M7">
        <v>2325.1419999999998</v>
      </c>
      <c r="N7">
        <v>2950.338999999999</v>
      </c>
      <c r="O7">
        <v>1728.644</v>
      </c>
      <c r="P7">
        <v>1502.327</v>
      </c>
      <c r="Q7">
        <v>1836.6289999999999</v>
      </c>
      <c r="R7">
        <v>1315.8</v>
      </c>
      <c r="S7">
        <v>120.973</v>
      </c>
      <c r="T7">
        <v>2679.204999999999</v>
      </c>
      <c r="U7">
        <v>480.779</v>
      </c>
      <c r="V7">
        <v>6153.7799999999988</v>
      </c>
      <c r="W7">
        <v>1027.2650000000001</v>
      </c>
      <c r="X7">
        <v>20803.241999999998</v>
      </c>
      <c r="Y7">
        <v>636.63900000000001</v>
      </c>
      <c r="Z7">
        <v>617.1099999999999</v>
      </c>
      <c r="AA7">
        <v>19046.654999999999</v>
      </c>
    </row>
    <row r="8" spans="1:27" x14ac:dyDescent="0.25">
      <c r="A8" t="s">
        <v>35</v>
      </c>
      <c r="B8">
        <v>214.786</v>
      </c>
      <c r="C8">
        <v>183.822</v>
      </c>
      <c r="D8">
        <v>42.161999999999999</v>
      </c>
      <c r="E8">
        <v>55.87</v>
      </c>
      <c r="F8">
        <v>749.40599999999995</v>
      </c>
      <c r="G8">
        <v>8640.1850000000013</v>
      </c>
      <c r="H8">
        <v>8.2099999999999991</v>
      </c>
      <c r="I8">
        <v>248.36</v>
      </c>
      <c r="J8">
        <v>79.108999999999995</v>
      </c>
      <c r="K8">
        <v>3792.5259999999998</v>
      </c>
      <c r="L8">
        <v>1833.937999999999</v>
      </c>
      <c r="M8">
        <v>233.512</v>
      </c>
      <c r="N8">
        <v>578.92000000000007</v>
      </c>
      <c r="O8">
        <v>120.45099999999999</v>
      </c>
      <c r="P8">
        <v>361.26499999999999</v>
      </c>
      <c r="Q8">
        <v>296.45</v>
      </c>
      <c r="R8">
        <v>54.432999999999993</v>
      </c>
      <c r="S8">
        <v>6.5150000000000006</v>
      </c>
      <c r="T8">
        <v>475.01</v>
      </c>
      <c r="U8">
        <v>15.731999999999999</v>
      </c>
      <c r="V8">
        <v>284.20800000000003</v>
      </c>
      <c r="W8">
        <v>447.99200000000002</v>
      </c>
      <c r="X8">
        <v>997.29700000000003</v>
      </c>
      <c r="Y8">
        <v>165.42699999999999</v>
      </c>
      <c r="Z8">
        <v>14.571</v>
      </c>
      <c r="AA8">
        <v>6939.4330000000009</v>
      </c>
    </row>
    <row r="9" spans="1:27" x14ac:dyDescent="0.25">
      <c r="A9" t="s">
        <v>28</v>
      </c>
      <c r="B9">
        <v>16052455.320660779</v>
      </c>
      <c r="C9">
        <v>110818857.37153719</v>
      </c>
      <c r="D9">
        <v>6227285.65806094</v>
      </c>
      <c r="E9">
        <v>17401547.074533921</v>
      </c>
      <c r="F9">
        <v>159710184.36401749</v>
      </c>
      <c r="G9">
        <v>67628425.019624546</v>
      </c>
      <c r="H9">
        <v>3591918.7264582631</v>
      </c>
      <c r="I9">
        <v>5791454.7112237364</v>
      </c>
      <c r="J9">
        <v>2122235.2181860502</v>
      </c>
      <c r="K9">
        <v>88094365.669999182</v>
      </c>
      <c r="L9">
        <v>17449215.681246161</v>
      </c>
      <c r="M9">
        <v>9063856.3125993013</v>
      </c>
      <c r="N9">
        <v>64577313.888671301</v>
      </c>
      <c r="O9">
        <v>10391974.21489965</v>
      </c>
      <c r="P9">
        <v>75572550.130756602</v>
      </c>
      <c r="Q9">
        <v>16674682.323883651</v>
      </c>
      <c r="R9">
        <v>4007332.6454966231</v>
      </c>
      <c r="S9">
        <v>4319564.8135696659</v>
      </c>
      <c r="T9">
        <v>70571228.848207831</v>
      </c>
      <c r="U9">
        <v>8662032.3829533793</v>
      </c>
      <c r="V9">
        <v>16299956.449507309</v>
      </c>
      <c r="W9">
        <v>11059572.72526535</v>
      </c>
      <c r="X9">
        <v>1120531478.4809699</v>
      </c>
      <c r="Y9">
        <v>17497860.010635901</v>
      </c>
      <c r="Z9">
        <v>5397320.9653125582</v>
      </c>
      <c r="AA9">
        <v>1029904140.5661221</v>
      </c>
    </row>
    <row r="10" spans="1:27" x14ac:dyDescent="0.25">
      <c r="A10" t="s">
        <v>29</v>
      </c>
      <c r="B10">
        <v>3161.462</v>
      </c>
      <c r="C10">
        <v>1972.328</v>
      </c>
      <c r="D10">
        <v>690.23599999999988</v>
      </c>
      <c r="E10">
        <v>895.19500000000005</v>
      </c>
      <c r="F10">
        <v>6014.6010000000006</v>
      </c>
      <c r="G10">
        <v>54357.709999999977</v>
      </c>
      <c r="H10">
        <v>835.85199999999998</v>
      </c>
      <c r="I10">
        <v>9427.0329999999958</v>
      </c>
      <c r="J10">
        <v>2647.1469999999999</v>
      </c>
      <c r="K10">
        <v>7764.9209999999948</v>
      </c>
      <c r="L10">
        <v>3598.7730000000001</v>
      </c>
      <c r="M10">
        <v>1610.4010000000001</v>
      </c>
      <c r="N10">
        <v>2048.944</v>
      </c>
      <c r="O10">
        <v>1487.8489999999999</v>
      </c>
      <c r="P10">
        <v>1898.6659999999999</v>
      </c>
      <c r="Q10">
        <v>3006.2159999999999</v>
      </c>
      <c r="R10">
        <v>2398.39</v>
      </c>
      <c r="S10">
        <v>756.24099999999987</v>
      </c>
      <c r="T10">
        <v>4729.9650000000001</v>
      </c>
      <c r="U10">
        <v>750.07600000000025</v>
      </c>
      <c r="V10">
        <v>7243.7500000000018</v>
      </c>
      <c r="W10">
        <v>1408.6659999999999</v>
      </c>
      <c r="X10">
        <v>17248.567999999988</v>
      </c>
      <c r="Y10">
        <v>1420.2950000000001</v>
      </c>
      <c r="Z10">
        <v>967.93700000000013</v>
      </c>
      <c r="AA10">
        <v>25272.933000000001</v>
      </c>
    </row>
    <row r="11" spans="1:27" x14ac:dyDescent="0.25">
      <c r="A11" t="s">
        <v>30</v>
      </c>
      <c r="B11">
        <v>26.773999999999969</v>
      </c>
      <c r="C11">
        <v>51.82000000000005</v>
      </c>
      <c r="D11">
        <v>20.288</v>
      </c>
      <c r="E11">
        <v>61.561999999999998</v>
      </c>
      <c r="F11">
        <v>884.96800000000019</v>
      </c>
      <c r="G11">
        <v>28334.322000000011</v>
      </c>
      <c r="H11">
        <v>56.31600000000001</v>
      </c>
      <c r="I11">
        <v>344.54500000000002</v>
      </c>
      <c r="J11">
        <v>30.346</v>
      </c>
      <c r="K11">
        <v>5264.7850000000017</v>
      </c>
      <c r="L11">
        <v>1656.308</v>
      </c>
      <c r="M11">
        <v>94.377000000000038</v>
      </c>
      <c r="N11">
        <v>461.91500000000002</v>
      </c>
      <c r="O11">
        <v>138.202</v>
      </c>
      <c r="P11">
        <v>63.289999999999978</v>
      </c>
      <c r="Q11">
        <v>265.06200000000001</v>
      </c>
      <c r="R11">
        <v>86.412000000000006</v>
      </c>
      <c r="S11">
        <v>45.410999999999987</v>
      </c>
      <c r="T11">
        <v>258.88799999999998</v>
      </c>
      <c r="U11">
        <v>33.307000000000002</v>
      </c>
      <c r="V11">
        <v>160.77500000000001</v>
      </c>
      <c r="W11">
        <v>785.01900000000001</v>
      </c>
      <c r="X11">
        <v>508.96600000000012</v>
      </c>
      <c r="Y11">
        <v>46.341999999999977</v>
      </c>
      <c r="Z11">
        <v>40.826999999999991</v>
      </c>
      <c r="AA11">
        <v>8655.1650000000009</v>
      </c>
    </row>
    <row r="12" spans="1:27" x14ac:dyDescent="0.25">
      <c r="A12" t="s">
        <v>36</v>
      </c>
      <c r="B12">
        <f>_xlfn.XLOOKUP(B1,[1]Sheet5!$A$2:$A$27,[1]Sheet5!$M$2:$M$27)</f>
        <v>270.17209330658505</v>
      </c>
      <c r="C12">
        <f>_xlfn.XLOOKUP(C1,[1]Sheet5!$A$2:$A$27,[1]Sheet5!$M$2:$M$27)</f>
        <v>361.53856570277526</v>
      </c>
      <c r="D12">
        <f>_xlfn.XLOOKUP(D1,[1]Sheet5!$A$2:$A$27,[1]Sheet5!$M$2:$M$27)</f>
        <v>45.095654242703262</v>
      </c>
      <c r="E12">
        <f>_xlfn.XLOOKUP(E1,[1]Sheet5!$A$2:$A$27,[1]Sheet5!$M$2:$M$27)</f>
        <v>178.89929687887604</v>
      </c>
      <c r="F12">
        <f>_xlfn.XLOOKUP(F1,[1]Sheet5!$A$2:$A$27,[1]Sheet5!$M$2:$M$27)</f>
        <v>1063.3667136362455</v>
      </c>
      <c r="G12">
        <f>_xlfn.XLOOKUP(G1,[1]Sheet5!$A$2:$A$27,[1]Sheet5!$M$2:$M$27)</f>
        <v>48355.410583730132</v>
      </c>
      <c r="H12">
        <f>_xlfn.XLOOKUP(H1,[1]Sheet5!$A$2:$A$27,[1]Sheet5!$M$2:$M$27)</f>
        <v>102.624674469787</v>
      </c>
      <c r="I12">
        <f>_xlfn.XLOOKUP(I1,[1]Sheet5!$A$2:$A$27,[1]Sheet5!$M$2:$M$27)</f>
        <v>1156.6409998434242</v>
      </c>
      <c r="J12">
        <f>_xlfn.XLOOKUP(J1,[1]Sheet5!$A$2:$A$27,[1]Sheet5!$M$2:$M$27)</f>
        <v>248.71121912798114</v>
      </c>
      <c r="K12">
        <f>_xlfn.XLOOKUP(K1,[1]Sheet5!$A$2:$A$27,[1]Sheet5!$M$2:$M$27)</f>
        <v>6291.4909531935664</v>
      </c>
      <c r="L12">
        <f>_xlfn.XLOOKUP(L1,[1]Sheet5!$A$2:$A$27,[1]Sheet5!$M$2:$M$27)</f>
        <v>1479.0091408191031</v>
      </c>
      <c r="M12">
        <f>_xlfn.XLOOKUP(M1,[1]Sheet5!$A$2:$A$27,[1]Sheet5!$M$2:$M$27)</f>
        <v>193.14765126192449</v>
      </c>
      <c r="N12">
        <f>_xlfn.XLOOKUP(N1,[1]Sheet5!$A$2:$A$27,[1]Sheet5!$M$2:$M$27)</f>
        <v>125.84765712375733</v>
      </c>
      <c r="O12">
        <f>_xlfn.XLOOKUP(O1,[1]Sheet5!$A$2:$A$27,[1]Sheet5!$M$2:$M$27)</f>
        <v>155.87964062864219</v>
      </c>
      <c r="P12">
        <f>_xlfn.XLOOKUP(P1,[1]Sheet5!$A$2:$A$27,[1]Sheet5!$M$2:$M$27)</f>
        <v>485.10188697675505</v>
      </c>
      <c r="Q12">
        <f>_xlfn.XLOOKUP(Q1,[1]Sheet5!$A$2:$A$27,[1]Sheet5!$M$2:$M$27)</f>
        <v>237.8717306328976</v>
      </c>
      <c r="R12">
        <f>_xlfn.XLOOKUP(R1,[1]Sheet5!$A$2:$A$27,[1]Sheet5!$M$2:$M$27)</f>
        <v>89.72165737979725</v>
      </c>
      <c r="S12">
        <f>_xlfn.XLOOKUP(S1,[1]Sheet5!$A$2:$A$27,[1]Sheet5!$M$2:$M$27)</f>
        <v>84.599282847313802</v>
      </c>
      <c r="T12">
        <f>_xlfn.XLOOKUP(T1,[1]Sheet5!$A$2:$A$27,[1]Sheet5!$M$2:$M$27)</f>
        <v>1259.3954321122033</v>
      </c>
      <c r="U12">
        <f>_xlfn.XLOOKUP(U1,[1]Sheet5!$A$2:$A$27,[1]Sheet5!$M$2:$M$27)</f>
        <v>191.75050308282661</v>
      </c>
      <c r="V12">
        <f>_xlfn.XLOOKUP(V1,[1]Sheet5!$A$2:$A$27,[1]Sheet5!$M$2:$M$27)</f>
        <v>451.30511274873646</v>
      </c>
      <c r="W12">
        <f>_xlfn.XLOOKUP(W1,[1]Sheet5!$A$2:$A$27,[1]Sheet5!$M$2:$M$27)</f>
        <v>154.53627571179968</v>
      </c>
      <c r="X12">
        <f>_xlfn.XLOOKUP(X1,[1]Sheet5!$A$2:$A$27,[1]Sheet5!$M$2:$M$27)</f>
        <v>3643.3115574602762</v>
      </c>
      <c r="Y12">
        <f>_xlfn.XLOOKUP(Y1,[1]Sheet5!$A$2:$A$27,[1]Sheet5!$M$2:$M$27)</f>
        <v>300.36232303630612</v>
      </c>
      <c r="Z12">
        <f>_xlfn.XLOOKUP(Z1,[1]Sheet5!$A$2:$A$27,[1]Sheet5!$M$2:$M$27)</f>
        <v>85.213355433542887</v>
      </c>
      <c r="AA12">
        <f>_xlfn.XLOOKUP(AA1,[1]Sheet5!$A$2:$A$27,[1]Sheet5!$M$2:$M$27)</f>
        <v>6263.5797846430414</v>
      </c>
    </row>
    <row r="13" spans="1:27" x14ac:dyDescent="0.25">
      <c r="A13" t="s">
        <v>37</v>
      </c>
      <c r="B13">
        <f>_xlfn.XLOOKUP(B1,[1]Sheet5!$A$2:$A$27,[1]Sheet5!$N$2:$N$27)</f>
        <v>231.86958669220971</v>
      </c>
      <c r="C13">
        <f>_xlfn.XLOOKUP(C1,[1]Sheet5!$A$2:$A$27,[1]Sheet5!$N$2:$N$27)</f>
        <v>135.400713740442</v>
      </c>
      <c r="D13">
        <f>_xlfn.XLOOKUP(D1,[1]Sheet5!$A$2:$A$27,[1]Sheet5!$N$2:$N$27)</f>
        <v>3.9424863643968924</v>
      </c>
      <c r="E13">
        <f>_xlfn.XLOOKUP(E1,[1]Sheet5!$A$2:$A$27,[1]Sheet5!$N$2:$N$27)</f>
        <v>27.3504431348811</v>
      </c>
      <c r="F13">
        <f>_xlfn.XLOOKUP(F1,[1]Sheet5!$A$2:$A$27,[1]Sheet5!$N$2:$N$27)</f>
        <v>761.65800529627245</v>
      </c>
      <c r="G13">
        <f>_xlfn.XLOOKUP(G1,[1]Sheet5!$A$2:$A$27,[1]Sheet5!$N$2:$N$27)</f>
        <v>27399.189800361131</v>
      </c>
      <c r="H13">
        <f>_xlfn.XLOOKUP(H1,[1]Sheet5!$A$2:$A$27,[1]Sheet5!$N$2:$N$27)</f>
        <v>43.031258718024255</v>
      </c>
      <c r="I13">
        <f>_xlfn.XLOOKUP(I1,[1]Sheet5!$A$2:$A$27,[1]Sheet5!$N$2:$N$27)</f>
        <v>278.85372161526902</v>
      </c>
      <c r="J13">
        <f>_xlfn.XLOOKUP(J1,[1]Sheet5!$A$2:$A$27,[1]Sheet5!$N$2:$N$27)</f>
        <v>15.946535436227981</v>
      </c>
      <c r="K13">
        <f>_xlfn.XLOOKUP(K1,[1]Sheet5!$A$2:$A$27,[1]Sheet5!$N$2:$N$27)</f>
        <v>5074.155086298766</v>
      </c>
      <c r="L13">
        <f>_xlfn.XLOOKUP(L1,[1]Sheet5!$A$2:$A$27,[1]Sheet5!$N$2:$N$27)</f>
        <v>2359.4578373621002</v>
      </c>
      <c r="M13">
        <f>_xlfn.XLOOKUP(M1,[1]Sheet5!$A$2:$A$27,[1]Sheet5!$N$2:$N$27)</f>
        <v>104.83580572930251</v>
      </c>
      <c r="N13">
        <f>_xlfn.XLOOKUP(N1,[1]Sheet5!$A$2:$A$27,[1]Sheet5!$N$2:$N$27)</f>
        <v>269.949239453026</v>
      </c>
      <c r="O13">
        <f>_xlfn.XLOOKUP(O1,[1]Sheet5!$A$2:$A$27,[1]Sheet5!$N$2:$N$27)</f>
        <v>98.221297482022962</v>
      </c>
      <c r="P13">
        <f>_xlfn.XLOOKUP(P1,[1]Sheet5!$A$2:$A$27,[1]Sheet5!$N$2:$N$27)</f>
        <v>532.05052014279772</v>
      </c>
      <c r="Q13">
        <f>_xlfn.XLOOKUP(Q1,[1]Sheet5!$A$2:$A$27,[1]Sheet5!$N$2:$N$27)</f>
        <v>110.88806089362414</v>
      </c>
      <c r="R13">
        <f>_xlfn.XLOOKUP(R1,[1]Sheet5!$A$2:$A$27,[1]Sheet5!$N$2:$N$27)</f>
        <v>27.433825021221182</v>
      </c>
      <c r="S13">
        <f>_xlfn.XLOOKUP(S1,[1]Sheet5!$A$2:$A$27,[1]Sheet5!$N$2:$N$27)</f>
        <v>11.812530269307354</v>
      </c>
      <c r="T13">
        <f>_xlfn.XLOOKUP(T1,[1]Sheet5!$A$2:$A$27,[1]Sheet5!$N$2:$N$27)</f>
        <v>251.09610517993525</v>
      </c>
      <c r="U13">
        <f>_xlfn.XLOOKUP(U1,[1]Sheet5!$A$2:$A$27,[1]Sheet5!$N$2:$N$27)</f>
        <v>611.03338396863626</v>
      </c>
      <c r="V13">
        <f>_xlfn.XLOOKUP(V1,[1]Sheet5!$A$2:$A$27,[1]Sheet5!$N$2:$N$27)</f>
        <v>225.75213855623966</v>
      </c>
      <c r="W13">
        <f>_xlfn.XLOOKUP(W1,[1]Sheet5!$A$2:$A$27,[1]Sheet5!$N$2:$N$27)</f>
        <v>479.88729960018622</v>
      </c>
      <c r="X13">
        <f>_xlfn.XLOOKUP(X1,[1]Sheet5!$A$2:$A$27,[1]Sheet5!$N$2:$N$27)</f>
        <v>948.18622916927552</v>
      </c>
      <c r="Y13">
        <f>_xlfn.XLOOKUP(Y1,[1]Sheet5!$A$2:$A$27,[1]Sheet5!$N$2:$N$27)</f>
        <v>62.478952710481394</v>
      </c>
      <c r="Z13">
        <f>_xlfn.XLOOKUP(Z1,[1]Sheet5!$A$2:$A$27,[1]Sheet5!$N$2:$N$27)</f>
        <v>14.695214793713621</v>
      </c>
      <c r="AA13">
        <f>_xlfn.XLOOKUP(AA1,[1]Sheet5!$A$2:$A$27,[1]Sheet5!$N$2:$N$27)</f>
        <v>10018.458667827455</v>
      </c>
    </row>
    <row r="14" spans="1:27" x14ac:dyDescent="0.25">
      <c r="A14" t="s">
        <v>38</v>
      </c>
      <c r="B14">
        <f>_xlfn.XLOOKUP(B1,[1]Sheet5!$A$2:$A$27,[1]Sheet5!$Q$2:$Q$27)</f>
        <v>0</v>
      </c>
      <c r="C14">
        <f>_xlfn.XLOOKUP(C1,[1]Sheet5!$A$2:$A$27,[1]Sheet5!$Q$2:$Q$27)</f>
        <v>0</v>
      </c>
      <c r="D14">
        <f>_xlfn.XLOOKUP(D1,[1]Sheet5!$A$2:$A$27,[1]Sheet5!$Q$2:$Q$27)</f>
        <v>0</v>
      </c>
      <c r="E14">
        <f>_xlfn.XLOOKUP(E1,[1]Sheet5!$A$2:$A$27,[1]Sheet5!$Q$2:$Q$27)</f>
        <v>850.78345049516588</v>
      </c>
      <c r="F14">
        <f>_xlfn.XLOOKUP(F1,[1]Sheet5!$A$2:$A$27,[1]Sheet5!$Q$2:$Q$27)</f>
        <v>834.22522478204451</v>
      </c>
      <c r="G14">
        <f>_xlfn.XLOOKUP(G1,[1]Sheet5!$A$2:$A$27,[1]Sheet5!$Q$2:$Q$27)</f>
        <v>141691.44024145542</v>
      </c>
      <c r="H14">
        <f>_xlfn.XLOOKUP(H1,[1]Sheet5!$A$2:$A$27,[1]Sheet5!$Q$2:$Q$27)</f>
        <v>0</v>
      </c>
      <c r="I14">
        <f>_xlfn.XLOOKUP(I1,[1]Sheet5!$A$2:$A$27,[1]Sheet5!$Q$2:$Q$27)</f>
        <v>0</v>
      </c>
      <c r="J14">
        <f>_xlfn.XLOOKUP(J1,[1]Sheet5!$A$2:$A$27,[1]Sheet5!$Q$2:$Q$27)</f>
        <v>0</v>
      </c>
      <c r="K14">
        <f>_xlfn.XLOOKUP(K1,[1]Sheet5!$A$2:$A$27,[1]Sheet5!$Q$2:$Q$27)</f>
        <v>6246.5560960152498</v>
      </c>
      <c r="L14">
        <f>_xlfn.XLOOKUP(L1,[1]Sheet5!$A$2:$A$27,[1]Sheet5!$Q$2:$Q$27)</f>
        <v>1429.4194526482149</v>
      </c>
      <c r="M14">
        <f>_xlfn.XLOOKUP(M1,[1]Sheet5!$A$2:$A$27,[1]Sheet5!$Q$2:$Q$27)</f>
        <v>0</v>
      </c>
      <c r="N14">
        <f>_xlfn.XLOOKUP(N1,[1]Sheet5!$A$2:$A$27,[1]Sheet5!$Q$2:$Q$27)</f>
        <v>0</v>
      </c>
      <c r="O14">
        <f>_xlfn.XLOOKUP(O1,[1]Sheet5!$A$2:$A$27,[1]Sheet5!$Q$2:$Q$27)</f>
        <v>1827.106541899888</v>
      </c>
      <c r="P14">
        <f>_xlfn.XLOOKUP(P1,[1]Sheet5!$A$2:$A$27,[1]Sheet5!$Q$2:$Q$27)</f>
        <v>0</v>
      </c>
      <c r="Q14">
        <f>_xlfn.XLOOKUP(Q1,[1]Sheet5!$A$2:$A$27,[1]Sheet5!$Q$2:$Q$27)</f>
        <v>0</v>
      </c>
      <c r="R14">
        <f>_xlfn.XLOOKUP(R1,[1]Sheet5!$A$2:$A$27,[1]Sheet5!$Q$2:$Q$27)</f>
        <v>0</v>
      </c>
      <c r="S14">
        <f>_xlfn.XLOOKUP(S1,[1]Sheet5!$A$2:$A$27,[1]Sheet5!$Q$2:$Q$27)</f>
        <v>0</v>
      </c>
      <c r="T14">
        <f>_xlfn.XLOOKUP(T1,[1]Sheet5!$A$2:$A$27,[1]Sheet5!$Q$2:$Q$27)</f>
        <v>6652.6341991034087</v>
      </c>
      <c r="U14">
        <f>_xlfn.XLOOKUP(U1,[1]Sheet5!$A$2:$A$27,[1]Sheet5!$Q$2:$Q$27)</f>
        <v>792.57114809486347</v>
      </c>
      <c r="V14">
        <f>_xlfn.XLOOKUP(V1,[1]Sheet5!$A$2:$A$27,[1]Sheet5!$Q$2:$Q$27)</f>
        <v>0</v>
      </c>
      <c r="W14">
        <f>_xlfn.XLOOKUP(W1,[1]Sheet5!$A$2:$A$27,[1]Sheet5!$Q$2:$Q$27)</f>
        <v>2781.1783357588661</v>
      </c>
      <c r="X14">
        <f>_xlfn.XLOOKUP(X1,[1]Sheet5!$A$2:$A$27,[1]Sheet5!$Q$2:$Q$27)</f>
        <v>2710.6404475619011</v>
      </c>
      <c r="Y14">
        <f>_xlfn.XLOOKUP(Y1,[1]Sheet5!$A$2:$A$27,[1]Sheet5!$Q$2:$Q$27)</f>
        <v>0</v>
      </c>
      <c r="Z14">
        <f>_xlfn.XLOOKUP(Z1,[1]Sheet5!$A$2:$A$27,[1]Sheet5!$Q$2:$Q$27)</f>
        <v>0</v>
      </c>
      <c r="AA14">
        <f>_xlfn.XLOOKUP(AA1,[1]Sheet5!$A$2:$A$27,[1]Sheet5!$Q$2:$Q$27)</f>
        <v>36183.830977635356</v>
      </c>
    </row>
    <row r="15" spans="1:27" x14ac:dyDescent="0.25">
      <c r="A15" t="s">
        <v>39</v>
      </c>
      <c r="B15">
        <f>_xlfn.XLOOKUP(B1,[1]Sheet5!$A$2:$A$27,[1]Sheet5!$R$2:$R$27)</f>
        <v>2037.2757390894376</v>
      </c>
      <c r="C15">
        <f>_xlfn.XLOOKUP(C1,[1]Sheet5!$A$2:$A$27,[1]Sheet5!$R$2:$R$27)</f>
        <v>334.01559149406847</v>
      </c>
      <c r="D15">
        <f>_xlfn.XLOOKUP(D1,[1]Sheet5!$A$2:$A$27,[1]Sheet5!$R$2:$R$27)</f>
        <v>165.43105121767235</v>
      </c>
      <c r="E15">
        <f>_xlfn.XLOOKUP(E1,[1]Sheet5!$A$2:$A$27,[1]Sheet5!$R$2:$R$27)</f>
        <v>16003.76808295157</v>
      </c>
      <c r="F15">
        <f>_xlfn.XLOOKUP(F1,[1]Sheet5!$A$2:$A$27,[1]Sheet5!$R$2:$R$27)</f>
        <v>68427.513625936772</v>
      </c>
      <c r="G15">
        <f>_xlfn.XLOOKUP(G1,[1]Sheet5!$A$2:$A$27,[1]Sheet5!$R$2:$R$27)</f>
        <v>212191.394093176</v>
      </c>
      <c r="H15">
        <f>_xlfn.XLOOKUP(H1,[1]Sheet5!$A$2:$A$27,[1]Sheet5!$R$2:$R$27)</f>
        <v>1976.1523727975296</v>
      </c>
      <c r="I15">
        <f>_xlfn.XLOOKUP(I1,[1]Sheet5!$A$2:$A$27,[1]Sheet5!$R$2:$R$27)</f>
        <v>81086.594687368299</v>
      </c>
      <c r="J15">
        <f>_xlfn.XLOOKUP(J1,[1]Sheet5!$A$2:$A$27,[1]Sheet5!$R$2:$R$27)</f>
        <v>1903.7672705318835</v>
      </c>
      <c r="K15">
        <f>_xlfn.XLOOKUP(K1,[1]Sheet5!$A$2:$A$27,[1]Sheet5!$R$2:$R$27)</f>
        <v>34424.769586062648</v>
      </c>
      <c r="L15">
        <f>_xlfn.XLOOKUP(L1,[1]Sheet5!$A$2:$A$27,[1]Sheet5!$R$2:$R$27)</f>
        <v>13149.018790556151</v>
      </c>
      <c r="M15">
        <f>_xlfn.XLOOKUP(M1,[1]Sheet5!$A$2:$A$27,[1]Sheet5!$R$2:$R$27)</f>
        <v>1043.4154331261038</v>
      </c>
      <c r="N15">
        <f>_xlfn.XLOOKUP(N1,[1]Sheet5!$A$2:$A$27,[1]Sheet5!$R$2:$R$27)</f>
        <v>668.87591195190805</v>
      </c>
      <c r="O15">
        <f>_xlfn.XLOOKUP(O1,[1]Sheet5!$A$2:$A$27,[1]Sheet5!$R$2:$R$27)</f>
        <v>3355.4195053780122</v>
      </c>
      <c r="P15">
        <f>_xlfn.XLOOKUP(P1,[1]Sheet5!$A$2:$A$27,[1]Sheet5!$R$2:$R$27)</f>
        <v>8898.1061617334763</v>
      </c>
      <c r="Q15">
        <f>_xlfn.XLOOKUP(Q1,[1]Sheet5!$A$2:$A$27,[1]Sheet5!$R$2:$R$27)</f>
        <v>3154.6565815194167</v>
      </c>
      <c r="R15">
        <f>_xlfn.XLOOKUP(R1,[1]Sheet5!$A$2:$A$27,[1]Sheet5!$R$2:$R$27)</f>
        <v>108.53843007131726</v>
      </c>
      <c r="S15">
        <f>_xlfn.XLOOKUP(S1,[1]Sheet5!$A$2:$A$27,[1]Sheet5!$R$2:$R$27)</f>
        <v>255.92931451432656</v>
      </c>
      <c r="T15">
        <f>_xlfn.XLOOKUP(T1,[1]Sheet5!$A$2:$A$27,[1]Sheet5!$R$2:$R$27)</f>
        <v>108839.7691410523</v>
      </c>
      <c r="U15">
        <f>_xlfn.XLOOKUP(U1,[1]Sheet5!$A$2:$A$27,[1]Sheet5!$R$2:$R$27)</f>
        <v>16564.555858609885</v>
      </c>
      <c r="V15">
        <f>_xlfn.XLOOKUP(V1,[1]Sheet5!$A$2:$A$27,[1]Sheet5!$R$2:$R$27)</f>
        <v>868.57258962181731</v>
      </c>
      <c r="W15">
        <f>_xlfn.XLOOKUP(W1,[1]Sheet5!$A$2:$A$27,[1]Sheet5!$R$2:$R$27)</f>
        <v>8324.5365079455132</v>
      </c>
      <c r="X15">
        <f>_xlfn.XLOOKUP(X1,[1]Sheet5!$A$2:$A$27,[1]Sheet5!$R$2:$R$27)</f>
        <v>10032.242813506229</v>
      </c>
      <c r="Y15">
        <f>_xlfn.XLOOKUP(Y1,[1]Sheet5!$A$2:$A$27,[1]Sheet5!$R$2:$R$27)</f>
        <v>21798.745047585879</v>
      </c>
      <c r="Z15">
        <f>_xlfn.XLOOKUP(Z1,[1]Sheet5!$A$2:$A$27,[1]Sheet5!$R$2:$R$27)</f>
        <v>189.4425306568148</v>
      </c>
      <c r="AA15">
        <f>_xlfn.XLOOKUP(AA1,[1]Sheet5!$A$2:$A$27,[1]Sheet5!$R$2:$R$27)</f>
        <v>216360.2108358297</v>
      </c>
    </row>
    <row r="16" spans="1:27" x14ac:dyDescent="0.25">
      <c r="A16" t="s">
        <v>40</v>
      </c>
      <c r="B16">
        <f>B12/B$4</f>
        <v>6.327436661432281E-3</v>
      </c>
      <c r="C16">
        <f t="shared" ref="C16:I16" si="0">C12/C$4</f>
        <v>4.9395095738625928E-3</v>
      </c>
      <c r="D16">
        <f t="shared" si="0"/>
        <v>4.5224614615762783E-3</v>
      </c>
      <c r="E16">
        <f t="shared" si="0"/>
        <v>2.6409786360579667E-3</v>
      </c>
      <c r="F16">
        <f t="shared" si="0"/>
        <v>6.7217470650322974E-3</v>
      </c>
      <c r="G16">
        <f t="shared" si="0"/>
        <v>0.14035833381595433</v>
      </c>
      <c r="H16">
        <f t="shared" si="0"/>
        <v>7.8550448627576451E-3</v>
      </c>
      <c r="I16">
        <f t="shared" si="0"/>
        <v>9.3795768237302547E-3</v>
      </c>
      <c r="J16">
        <f t="shared" ref="J16:AA16" si="1">J12/J$4</f>
        <v>2.8232497950091324E-2</v>
      </c>
      <c r="K16">
        <f t="shared" si="1"/>
        <v>0.12557655688598912</v>
      </c>
      <c r="L16">
        <f t="shared" si="1"/>
        <v>7.3580603871647346E-2</v>
      </c>
      <c r="M16">
        <f t="shared" si="1"/>
        <v>7.9630705319741861E-3</v>
      </c>
      <c r="N16">
        <f t="shared" si="1"/>
        <v>3.8415146313790665E-3</v>
      </c>
      <c r="O16">
        <f t="shared" si="1"/>
        <v>6.726434937922892E-3</v>
      </c>
      <c r="P16">
        <f t="shared" si="1"/>
        <v>7.0505898891550277E-3</v>
      </c>
      <c r="Q16">
        <f t="shared" si="1"/>
        <v>3.845961214718416E-3</v>
      </c>
      <c r="R16">
        <f t="shared" si="1"/>
        <v>5.7598784964041812E-3</v>
      </c>
      <c r="S16">
        <f t="shared" si="1"/>
        <v>3.3821703969707747E-3</v>
      </c>
      <c r="T16">
        <f t="shared" si="1"/>
        <v>4.6381640549428534E-3</v>
      </c>
      <c r="U16">
        <f t="shared" si="1"/>
        <v>5.5893948312738329E-3</v>
      </c>
      <c r="V16">
        <f t="shared" si="1"/>
        <v>1.9561137875496265E-2</v>
      </c>
      <c r="W16">
        <f t="shared" si="1"/>
        <v>9.9413500628130341E-3</v>
      </c>
      <c r="X16">
        <f t="shared" si="1"/>
        <v>8.0738010906141171E-3</v>
      </c>
      <c r="Y16">
        <f t="shared" si="1"/>
        <v>4.0830698126167716E-3</v>
      </c>
      <c r="Z16">
        <f t="shared" si="1"/>
        <v>3.9457831126601473E-3</v>
      </c>
      <c r="AA16">
        <f t="shared" si="1"/>
        <v>1.5898129943036594E-2</v>
      </c>
    </row>
    <row r="17" spans="1:27" x14ac:dyDescent="0.25">
      <c r="A17" t="s">
        <v>41</v>
      </c>
      <c r="B17">
        <f t="shared" ref="B17:H19" si="2">B13/B$4</f>
        <v>5.4303910724138394E-3</v>
      </c>
      <c r="C17">
        <f t="shared" si="2"/>
        <v>1.8499081018609231E-3</v>
      </c>
      <c r="D17">
        <f t="shared" si="2"/>
        <v>3.9537607215577486E-4</v>
      </c>
      <c r="E17">
        <f t="shared" si="2"/>
        <v>4.0375751758736075E-4</v>
      </c>
      <c r="F17">
        <f t="shared" si="2"/>
        <v>4.8145878519664674E-3</v>
      </c>
      <c r="G17">
        <f t="shared" si="2"/>
        <v>7.9529975691690666E-2</v>
      </c>
      <c r="H17">
        <f t="shared" si="2"/>
        <v>3.2936763938824806E-3</v>
      </c>
      <c r="I17">
        <f t="shared" ref="I17:AA17" si="3">I13/I$4</f>
        <v>2.2613152264424076E-3</v>
      </c>
      <c r="J17">
        <f t="shared" si="3"/>
        <v>1.8101737854563651E-3</v>
      </c>
      <c r="K17">
        <f t="shared" si="3"/>
        <v>0.10127884305698434</v>
      </c>
      <c r="L17">
        <f t="shared" si="3"/>
        <v>0.11738286646872631</v>
      </c>
      <c r="M17">
        <f t="shared" si="3"/>
        <v>4.3221592902866835E-3</v>
      </c>
      <c r="N17">
        <f t="shared" si="3"/>
        <v>8.2402324905314784E-3</v>
      </c>
      <c r="O17">
        <f t="shared" si="3"/>
        <v>4.2383929316667937E-3</v>
      </c>
      <c r="P17">
        <f t="shared" si="3"/>
        <v>7.7329528467042115E-3</v>
      </c>
      <c r="Q17">
        <f t="shared" si="3"/>
        <v>1.7928619774931404E-3</v>
      </c>
      <c r="R17">
        <f t="shared" si="3"/>
        <v>1.7611745416712223E-3</v>
      </c>
      <c r="S17">
        <f t="shared" si="3"/>
        <v>4.7224975018143552E-4</v>
      </c>
      <c r="T17">
        <f t="shared" si="3"/>
        <v>9.2474920877588654E-4</v>
      </c>
      <c r="U17">
        <f t="shared" si="3"/>
        <v>1.7811201447616613E-2</v>
      </c>
      <c r="V17">
        <f t="shared" si="3"/>
        <v>9.7848851768832616E-3</v>
      </c>
      <c r="W17">
        <f t="shared" si="3"/>
        <v>3.087124763457217E-2</v>
      </c>
      <c r="X17">
        <f t="shared" si="3"/>
        <v>2.1012386370021976E-3</v>
      </c>
      <c r="Y17">
        <f t="shared" si="3"/>
        <v>8.4932731628008348E-4</v>
      </c>
      <c r="Z17">
        <f t="shared" si="3"/>
        <v>6.8045824595148194E-4</v>
      </c>
      <c r="AA17">
        <f t="shared" si="3"/>
        <v>2.542871061059521E-2</v>
      </c>
    </row>
    <row r="18" spans="1:27" x14ac:dyDescent="0.25">
      <c r="A18" t="s">
        <v>42</v>
      </c>
      <c r="B18">
        <f t="shared" si="2"/>
        <v>0</v>
      </c>
      <c r="C18">
        <f t="shared" si="2"/>
        <v>0</v>
      </c>
      <c r="D18">
        <f t="shared" si="2"/>
        <v>0</v>
      </c>
      <c r="E18">
        <f t="shared" si="2"/>
        <v>1.2559584950133597E-2</v>
      </c>
      <c r="F18">
        <f t="shared" si="2"/>
        <v>5.2732993090216307E-3</v>
      </c>
      <c r="G18">
        <f t="shared" si="2"/>
        <v>0.41127919767813953</v>
      </c>
      <c r="H18">
        <f t="shared" si="2"/>
        <v>0</v>
      </c>
      <c r="I18">
        <f t="shared" ref="I18:AA18" si="4">I14/I$4</f>
        <v>0</v>
      </c>
      <c r="J18">
        <f t="shared" si="4"/>
        <v>0</v>
      </c>
      <c r="K18">
        <f t="shared" si="4"/>
        <v>0.1246796685823109</v>
      </c>
      <c r="L18">
        <f t="shared" si="4"/>
        <v>7.1113520267688107E-2</v>
      </c>
      <c r="M18">
        <f t="shared" si="4"/>
        <v>0</v>
      </c>
      <c r="N18">
        <f t="shared" si="4"/>
        <v>0</v>
      </c>
      <c r="O18">
        <f t="shared" si="4"/>
        <v>7.8842324944933609E-2</v>
      </c>
      <c r="P18">
        <f t="shared" si="4"/>
        <v>0</v>
      </c>
      <c r="Q18">
        <f t="shared" si="4"/>
        <v>0</v>
      </c>
      <c r="R18">
        <f t="shared" si="4"/>
        <v>0</v>
      </c>
      <c r="S18">
        <f t="shared" si="4"/>
        <v>0</v>
      </c>
      <c r="T18">
        <f t="shared" si="4"/>
        <v>2.4500651682700336E-2</v>
      </c>
      <c r="U18">
        <f t="shared" si="4"/>
        <v>2.3102901986466563E-2</v>
      </c>
      <c r="V18">
        <f t="shared" si="4"/>
        <v>0</v>
      </c>
      <c r="W18">
        <f t="shared" si="4"/>
        <v>0.17891376827570027</v>
      </c>
      <c r="X18">
        <f t="shared" si="4"/>
        <v>6.0069449062006642E-3</v>
      </c>
      <c r="Y18">
        <f t="shared" si="4"/>
        <v>0</v>
      </c>
      <c r="Z18">
        <f t="shared" si="4"/>
        <v>0</v>
      </c>
      <c r="AA18">
        <f t="shared" si="4"/>
        <v>9.1841289885014735E-2</v>
      </c>
    </row>
    <row r="19" spans="1:27" x14ac:dyDescent="0.25">
      <c r="A19" t="s">
        <v>43</v>
      </c>
      <c r="B19">
        <f t="shared" si="2"/>
        <v>4.7713044834474992E-2</v>
      </c>
      <c r="C19">
        <f t="shared" si="2"/>
        <v>4.5634777822311399E-3</v>
      </c>
      <c r="D19">
        <f t="shared" si="2"/>
        <v>1.6590413560770782E-2</v>
      </c>
      <c r="E19">
        <f t="shared" si="2"/>
        <v>0.23625363733048899</v>
      </c>
      <c r="F19">
        <f t="shared" si="2"/>
        <v>0.43254357408815569</v>
      </c>
      <c r="G19">
        <f t="shared" si="2"/>
        <v>0.615915161622546</v>
      </c>
      <c r="H19">
        <f t="shared" si="2"/>
        <v>0.15125763491254252</v>
      </c>
      <c r="I19">
        <f t="shared" ref="I19:AA19" si="5">I15/I$4</f>
        <v>0.65755748270016889</v>
      </c>
      <c r="J19">
        <f t="shared" si="5"/>
        <v>0.21610647783076004</v>
      </c>
      <c r="K19">
        <f t="shared" si="5"/>
        <v>0.68710963241820033</v>
      </c>
      <c r="L19">
        <f t="shared" si="5"/>
        <v>0.65416278792768834</v>
      </c>
      <c r="M19">
        <f t="shared" si="5"/>
        <v>4.3017818926858915E-2</v>
      </c>
      <c r="N19">
        <f t="shared" si="5"/>
        <v>2.0417516392962753E-2</v>
      </c>
      <c r="O19">
        <f t="shared" si="5"/>
        <v>0.14479126909287646</v>
      </c>
      <c r="P19">
        <f t="shared" si="5"/>
        <v>0.12932725891365643</v>
      </c>
      <c r="Q19">
        <f t="shared" si="5"/>
        <v>5.1005164951710806E-2</v>
      </c>
      <c r="R19">
        <f t="shared" si="5"/>
        <v>6.9678624722108538E-3</v>
      </c>
      <c r="S19">
        <f t="shared" si="5"/>
        <v>1.0231724455981752E-2</v>
      </c>
      <c r="T19">
        <f t="shared" si="5"/>
        <v>0.40084050815687855</v>
      </c>
      <c r="U19">
        <f t="shared" si="5"/>
        <v>0.48284537151106371</v>
      </c>
      <c r="V19">
        <f t="shared" si="5"/>
        <v>3.7646965878555233E-2</v>
      </c>
      <c r="W19">
        <f t="shared" si="5"/>
        <v>0.53551912749916597</v>
      </c>
      <c r="X19">
        <f t="shared" si="5"/>
        <v>2.2232063245630172E-2</v>
      </c>
      <c r="Y19">
        <f t="shared" si="5"/>
        <v>0.29632810452717373</v>
      </c>
      <c r="Z19">
        <f t="shared" si="5"/>
        <v>8.7720890050882894E-3</v>
      </c>
      <c r="AA19">
        <f t="shared" si="5"/>
        <v>0.54916243819617006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2024-11-09T19:45:13Z</dcterms:created>
  <dcterms:modified xsi:type="dcterms:W3CDTF">2025-06-24T09:58:44Z</dcterms:modified>
</cp:coreProperties>
</file>