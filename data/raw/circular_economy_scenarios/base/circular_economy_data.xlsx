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ing\image-materials\data\raw\circular_economy_scenarios\base\"/>
    </mc:Choice>
  </mc:AlternateContent>
  <xr:revisionPtr revIDLastSave="0" documentId="13_ncr:1_{3F7AC6A7-ED6A-42A9-B4DE-A17765C50EFD}" xr6:coauthVersionLast="47" xr6:coauthVersionMax="47" xr10:uidLastSave="{00000000-0000-0000-0000-000000000000}"/>
  <bookViews>
    <workbookView xWindow="-120" yWindow="-120" windowWidth="29040" windowHeight="15720" firstSheet="14" activeTab="18" xr2:uid="{00000000-000D-0000-FFFF-FFFF00000000}"/>
  </bookViews>
  <sheets>
    <sheet name="Index" sheetId="1" r:id="rId1"/>
    <sheet name="Bldg-FloorSpaceCalibrationResid" sheetId="2" r:id="rId2"/>
    <sheet name="Bldg-FloorSpaceCalibrationComme" sheetId="3" r:id="rId3"/>
    <sheet name="Bldg-FloorSpaceReductionResiden" sheetId="4" r:id="rId4"/>
    <sheet name="Bldg-FloorSpaceReductionCommerc" sheetId="5" r:id="rId5"/>
    <sheet name="Bldg-LifetimeExtension" sheetId="6" r:id="rId6"/>
    <sheet name="Bldg-LightweightingResidential" sheetId="7" r:id="rId7"/>
    <sheet name="Bldg-LightweightingCommercial" sheetId="8" r:id="rId8"/>
    <sheet name="Bldg-ResourceEfficientMaterials" sheetId="9" r:id="rId9"/>
    <sheet name="Veh-LifetimeExtension" sheetId="10" r:id="rId10"/>
    <sheet name="Veh-Lightweighting" sheetId="11" r:id="rId11"/>
    <sheet name="Veh-IntensityOfUse" sheetId="12" r:id="rId12"/>
    <sheet name="Veh-MileageIncrease" sheetId="13" r:id="rId13"/>
    <sheet name="Elec-LightweightingGeneration" sheetId="14" r:id="rId14"/>
    <sheet name="Elec-LifetimeExtensionGeneratio" sheetId="15" r:id="rId15"/>
    <sheet name="Elec-LightweightingGrid" sheetId="16" r:id="rId16"/>
    <sheet name="Elec-LifetimeExtensionGrid" sheetId="17" r:id="rId17"/>
    <sheet name="EoL-LifetimeExtension" sheetId="18" r:id="rId18"/>
    <sheet name="EoL-Recycling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8" l="1"/>
  <c r="I27" i="19"/>
  <c r="H27" i="19"/>
  <c r="G27" i="19"/>
  <c r="I26" i="19"/>
  <c r="H26" i="19"/>
  <c r="G26" i="19"/>
  <c r="I25" i="19"/>
  <c r="H25" i="19"/>
  <c r="G25" i="19"/>
  <c r="I24" i="19"/>
  <c r="H24" i="19"/>
  <c r="G24" i="19"/>
  <c r="I23" i="19"/>
  <c r="H23" i="19"/>
  <c r="G23" i="19"/>
  <c r="I22" i="19"/>
  <c r="H22" i="19"/>
  <c r="G22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1" i="19"/>
  <c r="H11" i="19"/>
  <c r="G11" i="19"/>
  <c r="I10" i="19"/>
  <c r="H10" i="19"/>
  <c r="G10" i="19"/>
  <c r="I9" i="19"/>
  <c r="H9" i="19"/>
  <c r="G9" i="19"/>
  <c r="I8" i="19"/>
  <c r="H8" i="19"/>
  <c r="G8" i="19"/>
  <c r="I7" i="19"/>
  <c r="H7" i="19"/>
  <c r="G7" i="19"/>
  <c r="I6" i="19"/>
  <c r="H6" i="19"/>
  <c r="G6" i="19"/>
  <c r="I27" i="18"/>
  <c r="H27" i="18"/>
  <c r="G27" i="18"/>
  <c r="I26" i="18"/>
  <c r="H26" i="18"/>
  <c r="G26" i="18"/>
  <c r="I25" i="18"/>
  <c r="H25" i="18"/>
  <c r="G25" i="18"/>
  <c r="I24" i="18"/>
  <c r="H24" i="18"/>
  <c r="G24" i="18"/>
  <c r="I23" i="18"/>
  <c r="H23" i="18"/>
  <c r="G23" i="18"/>
  <c r="I22" i="18"/>
  <c r="H22" i="18"/>
  <c r="G22" i="18"/>
  <c r="I18" i="18"/>
  <c r="H18" i="18"/>
  <c r="G18" i="18"/>
  <c r="I17" i="18"/>
  <c r="H17" i="18"/>
  <c r="G17" i="18"/>
  <c r="I16" i="18"/>
  <c r="H16" i="18"/>
  <c r="G16" i="18"/>
  <c r="I15" i="18"/>
  <c r="H15" i="18"/>
  <c r="G15" i="18"/>
  <c r="I11" i="18"/>
  <c r="H11" i="18"/>
  <c r="G11" i="18"/>
  <c r="I10" i="18"/>
  <c r="H10" i="18"/>
  <c r="G10" i="18"/>
  <c r="I9" i="18"/>
  <c r="H9" i="18"/>
  <c r="G9" i="18"/>
  <c r="I8" i="18"/>
  <c r="H8" i="18"/>
  <c r="G8" i="18"/>
  <c r="I7" i="18"/>
  <c r="H7" i="18"/>
  <c r="G7" i="18"/>
  <c r="I6" i="18"/>
  <c r="H6" i="18"/>
  <c r="G6" i="18"/>
  <c r="I12" i="17"/>
  <c r="H12" i="17"/>
  <c r="G12" i="17"/>
  <c r="I11" i="17"/>
  <c r="H11" i="17"/>
  <c r="G11" i="17"/>
  <c r="I12" i="16"/>
  <c r="H12" i="16"/>
  <c r="G12" i="16"/>
  <c r="I11" i="16"/>
  <c r="H11" i="16"/>
  <c r="G11" i="16"/>
  <c r="I17" i="15"/>
  <c r="H17" i="15"/>
  <c r="G17" i="15"/>
  <c r="I16" i="15"/>
  <c r="H16" i="15"/>
  <c r="G16" i="15"/>
  <c r="I15" i="15"/>
  <c r="H15" i="15"/>
  <c r="G15" i="15"/>
  <c r="I14" i="15"/>
  <c r="H14" i="15"/>
  <c r="G14" i="15"/>
  <c r="I13" i="15"/>
  <c r="H13" i="15"/>
  <c r="G13" i="15"/>
  <c r="I12" i="15"/>
  <c r="H12" i="15"/>
  <c r="G12" i="15"/>
  <c r="I11" i="15"/>
  <c r="H11" i="15"/>
  <c r="G11" i="15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I11" i="14"/>
  <c r="H11" i="14"/>
  <c r="G11" i="14"/>
  <c r="I16" i="13"/>
  <c r="H16" i="13"/>
  <c r="G16" i="13"/>
  <c r="I15" i="13"/>
  <c r="H15" i="13"/>
  <c r="G15" i="13"/>
  <c r="I11" i="13"/>
  <c r="H11" i="13"/>
  <c r="G11" i="13"/>
  <c r="I22" i="12"/>
  <c r="H22" i="12"/>
  <c r="G22" i="12"/>
  <c r="I18" i="12"/>
  <c r="H18" i="12"/>
  <c r="G18" i="12"/>
  <c r="I17" i="12"/>
  <c r="H17" i="12"/>
  <c r="G17" i="12"/>
  <c r="I16" i="12"/>
  <c r="H16" i="12"/>
  <c r="G16" i="12"/>
  <c r="I15" i="12"/>
  <c r="H15" i="12"/>
  <c r="G15" i="12"/>
  <c r="I14" i="12"/>
  <c r="H14" i="12"/>
  <c r="G14" i="12"/>
  <c r="I13" i="12"/>
  <c r="H13" i="12"/>
  <c r="G13" i="12"/>
  <c r="I12" i="12"/>
  <c r="H12" i="12"/>
  <c r="G12" i="12"/>
  <c r="I11" i="12"/>
  <c r="H11" i="12"/>
  <c r="G11" i="12"/>
  <c r="I26" i="11"/>
  <c r="H26" i="11"/>
  <c r="G26" i="11"/>
  <c r="I25" i="11"/>
  <c r="H25" i="11"/>
  <c r="G25" i="11"/>
  <c r="I24" i="11"/>
  <c r="H24" i="11"/>
  <c r="G24" i="11"/>
  <c r="I23" i="11"/>
  <c r="H23" i="11"/>
  <c r="G23" i="11"/>
  <c r="I22" i="11"/>
  <c r="H22" i="11"/>
  <c r="G22" i="11"/>
  <c r="I21" i="11"/>
  <c r="H21" i="11"/>
  <c r="G21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I13" i="11"/>
  <c r="H13" i="11"/>
  <c r="G13" i="11"/>
  <c r="I12" i="11"/>
  <c r="H12" i="11"/>
  <c r="G12" i="11"/>
  <c r="I11" i="11"/>
  <c r="H11" i="11"/>
  <c r="G11" i="11"/>
  <c r="I27" i="10"/>
  <c r="H27" i="10"/>
  <c r="G27" i="10"/>
  <c r="I26" i="10"/>
  <c r="H26" i="10"/>
  <c r="G26" i="10"/>
  <c r="I25" i="10"/>
  <c r="H25" i="10"/>
  <c r="G25" i="10"/>
  <c r="I24" i="10"/>
  <c r="H24" i="10"/>
  <c r="G24" i="10"/>
  <c r="I23" i="10"/>
  <c r="H23" i="10"/>
  <c r="G23" i="10"/>
  <c r="I22" i="10"/>
  <c r="H22" i="10"/>
  <c r="G22" i="10"/>
  <c r="I21" i="10"/>
  <c r="H21" i="10"/>
  <c r="G21" i="10"/>
  <c r="I20" i="10"/>
  <c r="H20" i="10"/>
  <c r="G20" i="10"/>
  <c r="I19" i="10"/>
  <c r="H19" i="10"/>
  <c r="G19" i="10"/>
  <c r="I18" i="10"/>
  <c r="H18" i="10"/>
  <c r="G18" i="10"/>
  <c r="I17" i="10"/>
  <c r="H17" i="10"/>
  <c r="G17" i="10"/>
  <c r="I16" i="10"/>
  <c r="H16" i="10"/>
  <c r="G16" i="10"/>
  <c r="I15" i="10"/>
  <c r="H15" i="10"/>
  <c r="G15" i="10"/>
  <c r="I14" i="10"/>
  <c r="H14" i="10"/>
  <c r="G14" i="10"/>
  <c r="I13" i="10"/>
  <c r="H13" i="10"/>
  <c r="G13" i="10"/>
  <c r="I12" i="10"/>
  <c r="H12" i="10"/>
  <c r="G12" i="10"/>
  <c r="I11" i="10"/>
  <c r="H11" i="10"/>
  <c r="G11" i="10"/>
  <c r="I100" i="8"/>
  <c r="H100" i="8"/>
  <c r="G100" i="8"/>
  <c r="I99" i="8"/>
  <c r="H99" i="8"/>
  <c r="G99" i="8"/>
  <c r="I98" i="8"/>
  <c r="H98" i="8"/>
  <c r="G98" i="8"/>
  <c r="I97" i="8"/>
  <c r="H97" i="8"/>
  <c r="G97" i="8"/>
  <c r="I96" i="8"/>
  <c r="H96" i="8"/>
  <c r="G96" i="8"/>
  <c r="I95" i="8"/>
  <c r="H95" i="8"/>
  <c r="G95" i="8"/>
  <c r="I94" i="8"/>
  <c r="H94" i="8"/>
  <c r="G94" i="8"/>
  <c r="I93" i="8"/>
  <c r="H93" i="8"/>
  <c r="G93" i="8"/>
  <c r="I92" i="8"/>
  <c r="H92" i="8"/>
  <c r="G92" i="8"/>
  <c r="I91" i="8"/>
  <c r="H91" i="8"/>
  <c r="G91" i="8"/>
  <c r="I90" i="8"/>
  <c r="H90" i="8"/>
  <c r="G90" i="8"/>
  <c r="I89" i="8"/>
  <c r="H89" i="8"/>
  <c r="G89" i="8"/>
  <c r="I88" i="8"/>
  <c r="H88" i="8"/>
  <c r="G88" i="8"/>
  <c r="I87" i="8"/>
  <c r="H87" i="8"/>
  <c r="G87" i="8"/>
  <c r="I86" i="8"/>
  <c r="H86" i="8"/>
  <c r="G86" i="8"/>
  <c r="I85" i="8"/>
  <c r="H85" i="8"/>
  <c r="G85" i="8"/>
  <c r="I84" i="8"/>
  <c r="H84" i="8"/>
  <c r="G84" i="8"/>
  <c r="I83" i="8"/>
  <c r="H83" i="8"/>
  <c r="G83" i="8"/>
  <c r="I82" i="8"/>
  <c r="H82" i="8"/>
  <c r="G82" i="8"/>
  <c r="I81" i="8"/>
  <c r="H81" i="8"/>
  <c r="G81" i="8"/>
  <c r="I80" i="8"/>
  <c r="H80" i="8"/>
  <c r="G80" i="8"/>
  <c r="I79" i="8"/>
  <c r="H79" i="8"/>
  <c r="G79" i="8"/>
  <c r="I78" i="8"/>
  <c r="H78" i="8"/>
  <c r="G78" i="8"/>
  <c r="I77" i="8"/>
  <c r="H77" i="8"/>
  <c r="G77" i="8"/>
  <c r="I76" i="8"/>
  <c r="H76" i="8"/>
  <c r="G76" i="8"/>
  <c r="I75" i="8"/>
  <c r="H75" i="8"/>
  <c r="G75" i="8"/>
  <c r="I68" i="8"/>
  <c r="H68" i="8"/>
  <c r="G68" i="8"/>
  <c r="I67" i="8"/>
  <c r="H67" i="8"/>
  <c r="G67" i="8"/>
  <c r="I66" i="8"/>
  <c r="H66" i="8"/>
  <c r="G66" i="8"/>
  <c r="I65" i="8"/>
  <c r="H65" i="8"/>
  <c r="G65" i="8"/>
  <c r="I64" i="8"/>
  <c r="H64" i="8"/>
  <c r="G64" i="8"/>
  <c r="I63" i="8"/>
  <c r="H63" i="8"/>
  <c r="G63" i="8"/>
  <c r="I62" i="8"/>
  <c r="H62" i="8"/>
  <c r="G62" i="8"/>
  <c r="I61" i="8"/>
  <c r="H61" i="8"/>
  <c r="G61" i="8"/>
  <c r="I60" i="8"/>
  <c r="H60" i="8"/>
  <c r="G60" i="8"/>
  <c r="I59" i="8"/>
  <c r="H59" i="8"/>
  <c r="G59" i="8"/>
  <c r="I58" i="8"/>
  <c r="H58" i="8"/>
  <c r="G58" i="8"/>
  <c r="I57" i="8"/>
  <c r="H57" i="8"/>
  <c r="G57" i="8"/>
  <c r="I56" i="8"/>
  <c r="H56" i="8"/>
  <c r="G56" i="8"/>
  <c r="I55" i="8"/>
  <c r="H55" i="8"/>
  <c r="G55" i="8"/>
  <c r="I54" i="8"/>
  <c r="H54" i="8"/>
  <c r="G54" i="8"/>
  <c r="I53" i="8"/>
  <c r="H53" i="8"/>
  <c r="G53" i="8"/>
  <c r="I52" i="8"/>
  <c r="H52" i="8"/>
  <c r="G52" i="8"/>
  <c r="I51" i="8"/>
  <c r="H51" i="8"/>
  <c r="G51" i="8"/>
  <c r="I50" i="8"/>
  <c r="H50" i="8"/>
  <c r="G50" i="8"/>
  <c r="I49" i="8"/>
  <c r="H49" i="8"/>
  <c r="G49" i="8"/>
  <c r="I48" i="8"/>
  <c r="H48" i="8"/>
  <c r="G48" i="8"/>
  <c r="I47" i="8"/>
  <c r="H47" i="8"/>
  <c r="G47" i="8"/>
  <c r="I46" i="8"/>
  <c r="H46" i="8"/>
  <c r="G46" i="8"/>
  <c r="I45" i="8"/>
  <c r="H45" i="8"/>
  <c r="G45" i="8"/>
  <c r="I44" i="8"/>
  <c r="H44" i="8"/>
  <c r="G44" i="8"/>
  <c r="I43" i="8"/>
  <c r="H43" i="8"/>
  <c r="G43" i="8"/>
  <c r="I36" i="8"/>
  <c r="H36" i="8"/>
  <c r="G36" i="8"/>
  <c r="I35" i="8"/>
  <c r="H35" i="8"/>
  <c r="G35" i="8"/>
  <c r="I34" i="8"/>
  <c r="H34" i="8"/>
  <c r="G34" i="8"/>
  <c r="I33" i="8"/>
  <c r="H33" i="8"/>
  <c r="G33" i="8"/>
  <c r="I32" i="8"/>
  <c r="H32" i="8"/>
  <c r="G32" i="8"/>
  <c r="I31" i="8"/>
  <c r="H31" i="8"/>
  <c r="G31" i="8"/>
  <c r="I30" i="8"/>
  <c r="H30" i="8"/>
  <c r="G30" i="8"/>
  <c r="I29" i="8"/>
  <c r="H29" i="8"/>
  <c r="G29" i="8"/>
  <c r="I28" i="8"/>
  <c r="H28" i="8"/>
  <c r="G28" i="8"/>
  <c r="I27" i="8"/>
  <c r="H27" i="8"/>
  <c r="G27" i="8"/>
  <c r="I26" i="8"/>
  <c r="H26" i="8"/>
  <c r="G26" i="8"/>
  <c r="I25" i="8"/>
  <c r="H25" i="8"/>
  <c r="G25" i="8"/>
  <c r="I24" i="8"/>
  <c r="H24" i="8"/>
  <c r="G24" i="8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I100" i="7"/>
  <c r="H100" i="7"/>
  <c r="G100" i="7"/>
  <c r="I99" i="7"/>
  <c r="H99" i="7"/>
  <c r="G99" i="7"/>
  <c r="I98" i="7"/>
  <c r="H98" i="7"/>
  <c r="G98" i="7"/>
  <c r="I97" i="7"/>
  <c r="H97" i="7"/>
  <c r="G97" i="7"/>
  <c r="I96" i="7"/>
  <c r="H96" i="7"/>
  <c r="G96" i="7"/>
  <c r="I95" i="7"/>
  <c r="H95" i="7"/>
  <c r="G95" i="7"/>
  <c r="I94" i="7"/>
  <c r="H94" i="7"/>
  <c r="G94" i="7"/>
  <c r="I93" i="7"/>
  <c r="H93" i="7"/>
  <c r="G93" i="7"/>
  <c r="I92" i="7"/>
  <c r="H92" i="7"/>
  <c r="G92" i="7"/>
  <c r="I91" i="7"/>
  <c r="H91" i="7"/>
  <c r="G91" i="7"/>
  <c r="I90" i="7"/>
  <c r="H90" i="7"/>
  <c r="G90" i="7"/>
  <c r="I89" i="7"/>
  <c r="H89" i="7"/>
  <c r="G89" i="7"/>
  <c r="I88" i="7"/>
  <c r="H88" i="7"/>
  <c r="G88" i="7"/>
  <c r="I87" i="7"/>
  <c r="H87" i="7"/>
  <c r="G87" i="7"/>
  <c r="I86" i="7"/>
  <c r="H86" i="7"/>
  <c r="G86" i="7"/>
  <c r="I85" i="7"/>
  <c r="H85" i="7"/>
  <c r="G85" i="7"/>
  <c r="I84" i="7"/>
  <c r="H84" i="7"/>
  <c r="G84" i="7"/>
  <c r="I83" i="7"/>
  <c r="H83" i="7"/>
  <c r="G83" i="7"/>
  <c r="I82" i="7"/>
  <c r="H82" i="7"/>
  <c r="G82" i="7"/>
  <c r="I81" i="7"/>
  <c r="H81" i="7"/>
  <c r="G81" i="7"/>
  <c r="I80" i="7"/>
  <c r="H80" i="7"/>
  <c r="G80" i="7"/>
  <c r="I79" i="7"/>
  <c r="H79" i="7"/>
  <c r="G79" i="7"/>
  <c r="I78" i="7"/>
  <c r="H78" i="7"/>
  <c r="G78" i="7"/>
  <c r="I77" i="7"/>
  <c r="H77" i="7"/>
  <c r="G77" i="7"/>
  <c r="I76" i="7"/>
  <c r="H76" i="7"/>
  <c r="G76" i="7"/>
  <c r="I75" i="7"/>
  <c r="H75" i="7"/>
  <c r="G75" i="7"/>
  <c r="I68" i="7"/>
  <c r="H68" i="7"/>
  <c r="G68" i="7"/>
  <c r="I67" i="7"/>
  <c r="H67" i="7"/>
  <c r="G67" i="7"/>
  <c r="I66" i="7"/>
  <c r="H66" i="7"/>
  <c r="G66" i="7"/>
  <c r="I65" i="7"/>
  <c r="H65" i="7"/>
  <c r="G65" i="7"/>
  <c r="I64" i="7"/>
  <c r="H64" i="7"/>
  <c r="G64" i="7"/>
  <c r="I63" i="7"/>
  <c r="H63" i="7"/>
  <c r="G63" i="7"/>
  <c r="I62" i="7"/>
  <c r="H62" i="7"/>
  <c r="G62" i="7"/>
  <c r="I61" i="7"/>
  <c r="H61" i="7"/>
  <c r="G61" i="7"/>
  <c r="I60" i="7"/>
  <c r="H60" i="7"/>
  <c r="G60" i="7"/>
  <c r="I59" i="7"/>
  <c r="H59" i="7"/>
  <c r="G59" i="7"/>
  <c r="I58" i="7"/>
  <c r="H58" i="7"/>
  <c r="G58" i="7"/>
  <c r="I57" i="7"/>
  <c r="H57" i="7"/>
  <c r="G57" i="7"/>
  <c r="I56" i="7"/>
  <c r="H56" i="7"/>
  <c r="G56" i="7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I44" i="7"/>
  <c r="H44" i="7"/>
  <c r="G44" i="7"/>
  <c r="I43" i="7"/>
  <c r="H43" i="7"/>
  <c r="G43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79" i="6"/>
  <c r="H79" i="6"/>
  <c r="G79" i="6"/>
  <c r="I78" i="6"/>
  <c r="H78" i="6"/>
  <c r="G78" i="6"/>
  <c r="I77" i="6"/>
  <c r="H77" i="6"/>
  <c r="G77" i="6"/>
  <c r="I76" i="6"/>
  <c r="H76" i="6"/>
  <c r="G76" i="6"/>
  <c r="I75" i="6"/>
  <c r="H75" i="6"/>
  <c r="G75" i="6"/>
  <c r="I74" i="6"/>
  <c r="H74" i="6"/>
  <c r="G74" i="6"/>
  <c r="I73" i="6"/>
  <c r="H73" i="6"/>
  <c r="G73" i="6"/>
  <c r="I72" i="6"/>
  <c r="H72" i="6"/>
  <c r="G72" i="6"/>
  <c r="I71" i="6"/>
  <c r="H71" i="6"/>
  <c r="G71" i="6"/>
  <c r="I70" i="6"/>
  <c r="H70" i="6"/>
  <c r="G70" i="6"/>
  <c r="I69" i="6"/>
  <c r="H69" i="6"/>
  <c r="G69" i="6"/>
  <c r="I68" i="6"/>
  <c r="H68" i="6"/>
  <c r="G68" i="6"/>
  <c r="I67" i="6"/>
  <c r="H67" i="6"/>
  <c r="G67" i="6"/>
  <c r="I60" i="6"/>
  <c r="H60" i="6"/>
  <c r="G60" i="6"/>
  <c r="I59" i="6"/>
  <c r="H59" i="6"/>
  <c r="G59" i="6"/>
  <c r="I58" i="6"/>
  <c r="H58" i="6"/>
  <c r="G58" i="6"/>
  <c r="I57" i="6"/>
  <c r="H57" i="6"/>
  <c r="G57" i="6"/>
  <c r="I56" i="6"/>
  <c r="H56" i="6"/>
  <c r="G56" i="6"/>
  <c r="I55" i="6"/>
  <c r="H55" i="6"/>
  <c r="G55" i="6"/>
  <c r="I54" i="6"/>
  <c r="H54" i="6"/>
  <c r="G54" i="6"/>
  <c r="I53" i="6"/>
  <c r="H53" i="6"/>
  <c r="G53" i="6"/>
  <c r="I52" i="6"/>
  <c r="H52" i="6"/>
  <c r="G52" i="6"/>
  <c r="I51" i="6"/>
  <c r="H51" i="6"/>
  <c r="G51" i="6"/>
  <c r="I50" i="6"/>
  <c r="H50" i="6"/>
  <c r="G50" i="6"/>
  <c r="I49" i="6"/>
  <c r="H49" i="6"/>
  <c r="G49" i="6"/>
  <c r="I48" i="6"/>
  <c r="H48" i="6"/>
  <c r="G48" i="6"/>
  <c r="I41" i="6"/>
  <c r="H41" i="6"/>
  <c r="G41" i="6"/>
  <c r="I40" i="6"/>
  <c r="H40" i="6"/>
  <c r="G40" i="6"/>
  <c r="I39" i="6"/>
  <c r="H39" i="6"/>
  <c r="G39" i="6"/>
  <c r="I38" i="6"/>
  <c r="H38" i="6"/>
  <c r="G38" i="6"/>
  <c r="I37" i="6"/>
  <c r="H37" i="6"/>
  <c r="G37" i="6"/>
  <c r="I36" i="6"/>
  <c r="H36" i="6"/>
  <c r="G36" i="6"/>
  <c r="I35" i="6"/>
  <c r="H35" i="6"/>
  <c r="G35" i="6"/>
  <c r="I34" i="6"/>
  <c r="H34" i="6"/>
  <c r="G34" i="6"/>
  <c r="I33" i="6"/>
  <c r="H33" i="6"/>
  <c r="G33" i="6"/>
  <c r="I32" i="6"/>
  <c r="H32" i="6"/>
  <c r="G32" i="6"/>
  <c r="I31" i="6"/>
  <c r="H31" i="6"/>
  <c r="G31" i="6"/>
  <c r="I30" i="6"/>
  <c r="H30" i="6"/>
  <c r="G30" i="6"/>
  <c r="I29" i="6"/>
  <c r="H29" i="6"/>
  <c r="G29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41" i="5"/>
  <c r="H41" i="5"/>
  <c r="G41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I31" i="5"/>
  <c r="H31" i="5"/>
  <c r="G31" i="5"/>
  <c r="I30" i="5"/>
  <c r="H30" i="5"/>
  <c r="G30" i="5"/>
  <c r="I29" i="5"/>
  <c r="H29" i="5"/>
  <c r="G29" i="5"/>
  <c r="I28" i="5"/>
  <c r="H28" i="5"/>
  <c r="G28" i="5"/>
  <c r="I27" i="5"/>
  <c r="H27" i="5"/>
  <c r="G27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I21" i="5"/>
  <c r="H21" i="5"/>
  <c r="G21" i="5"/>
  <c r="I20" i="5"/>
  <c r="H20" i="5"/>
  <c r="G20" i="5"/>
  <c r="I19" i="5"/>
  <c r="H19" i="5"/>
  <c r="G19" i="5"/>
  <c r="I18" i="5"/>
  <c r="H18" i="5"/>
  <c r="G18" i="5"/>
  <c r="I17" i="5"/>
  <c r="H17" i="5"/>
  <c r="G17" i="5"/>
  <c r="I16" i="5"/>
  <c r="H16" i="5"/>
  <c r="G16" i="5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9" i="3"/>
  <c r="H19" i="3"/>
  <c r="G19" i="3"/>
  <c r="I18" i="3"/>
  <c r="H18" i="3"/>
  <c r="G18" i="3"/>
  <c r="I11" i="3"/>
  <c r="H11" i="3"/>
  <c r="G11" i="3"/>
  <c r="I10" i="3"/>
  <c r="H10" i="3"/>
  <c r="G10" i="3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</calcChain>
</file>

<file path=xl/sharedStrings.xml><?xml version="1.0" encoding="utf-8"?>
<sst xmlns="http://schemas.openxmlformats.org/spreadsheetml/2006/main" count="973" uniqueCount="167">
  <si>
    <t>Sector</t>
  </si>
  <si>
    <t>Flag</t>
  </si>
  <si>
    <t>Sheet name</t>
  </si>
  <si>
    <t>buildings</t>
  </si>
  <si>
    <t>FlagFloorSpaceCalibrationResidential</t>
  </si>
  <si>
    <t>Bldg-FloorSpaceCalibrationResid</t>
  </si>
  <si>
    <t>FlagFloorSpaceCalibrationCommercial</t>
  </si>
  <si>
    <t>Bldg-FloorSpaceCalibrationComme</t>
  </si>
  <si>
    <t>FlagFloorSpaceReductionResidential</t>
  </si>
  <si>
    <t>Bldg-FloorSpaceReductionResiden</t>
  </si>
  <si>
    <t>FlagFloorSpaceReductionCommercial</t>
  </si>
  <si>
    <t>Bldg-FloorSpaceReductionCommerc</t>
  </si>
  <si>
    <t>FlagLifetimeExtension</t>
  </si>
  <si>
    <t>Bldg-LifetimeExtension</t>
  </si>
  <si>
    <t>FlagLightweightingResidential</t>
  </si>
  <si>
    <t>Bldg-LightweightingResidential</t>
  </si>
  <si>
    <t>FlagLightweightingCommercial</t>
  </si>
  <si>
    <t>Bldg-LightweightingCommercial</t>
  </si>
  <si>
    <t>FlagResourceEfficientMaterials</t>
  </si>
  <si>
    <t>Bldg-ResourceEfficientMaterials</t>
  </si>
  <si>
    <t>vehicles</t>
  </si>
  <si>
    <t>Veh-LifetimeExtension</t>
  </si>
  <si>
    <t>FlagLightweighting</t>
  </si>
  <si>
    <t>Veh-Lightweighting</t>
  </si>
  <si>
    <t>FlagIntensityOfUse</t>
  </si>
  <si>
    <t>Veh-IntensityOfUse</t>
  </si>
  <si>
    <t>FlagMileageIncrease</t>
  </si>
  <si>
    <t>Veh-MileageIncrease</t>
  </si>
  <si>
    <t>electricity</t>
  </si>
  <si>
    <t>FlagLightweightingGeneration</t>
  </si>
  <si>
    <t>Elec-LightweightingGeneration</t>
  </si>
  <si>
    <t>FlagLifetimeExtensionGeneration</t>
  </si>
  <si>
    <t>Elec-LifetimeExtensionGeneratio</t>
  </si>
  <si>
    <t>FlagLightweightingGrid</t>
  </si>
  <si>
    <t>Elec-LightweightingGrid</t>
  </si>
  <si>
    <t>FlagLifetimeExtensionGrid</t>
  </si>
  <si>
    <t>Elec-LifetimeExtensionGrid</t>
  </si>
  <si>
    <t>end_of_life</t>
  </si>
  <si>
    <t>EoL-LifetimeExtension</t>
  </si>
  <si>
    <t>FlagRecycling</t>
  </si>
  <si>
    <t>EoL-Recycling</t>
  </si>
  <si>
    <t>Setting</t>
  </si>
  <si>
    <t>Value</t>
  </si>
  <si>
    <t>base_year</t>
  </si>
  <si>
    <t>target_year</t>
  </si>
  <si>
    <t>residential.2020.useful_floor_pc</t>
  </si>
  <si>
    <t>unit: m2/person (absolute)</t>
  </si>
  <si>
    <t>SSP1 %</t>
  </si>
  <si>
    <t>SSP3 %</t>
  </si>
  <si>
    <t>SSP5 %</t>
  </si>
  <si>
    <t>Region / Material</t>
  </si>
  <si>
    <t>Maps to IMAGE regions</t>
  </si>
  <si>
    <t>SSP1 value</t>
  </si>
  <si>
    <t>SSP3 value</t>
  </si>
  <si>
    <t>SSP5 value</t>
  </si>
  <si>
    <t>Central Europe</t>
  </si>
  <si>
    <t>China</t>
  </si>
  <si>
    <t>Japan</t>
  </si>
  <si>
    <t>Western Europe</t>
  </si>
  <si>
    <t>Northern Africa</t>
  </si>
  <si>
    <t>Middle East</t>
  </si>
  <si>
    <t>IMAGE regions NOT adapted (using default/no override)</t>
  </si>
  <si>
    <t>CAN, USA, MEX, RCAM, BRA, RSAM, WAF, EAF, SAF, TUR, UKR, STAN, RUS, INDIA, KOR, SEAS, INDO, OCE, RSAS, RSAF</t>
  </si>
  <si>
    <t>commercial.2020.useful_floor_pc</t>
  </si>
  <si>
    <t>CAN, USA, MEX, RCAM, BRA, RSAM, NAF, WAF, EAF, SAF, TUR, UKR, STAN, RUS, ME, INDIA, KOR, CHN, SEAS, INDO, JAP, OCE, RSAS, RSAF</t>
  </si>
  <si>
    <t>commercial.2060.useful_floor_pc</t>
  </si>
  <si>
    <t>implementation_rate</t>
  </si>
  <si>
    <t>linear</t>
  </si>
  <si>
    <t>convergence_year_start</t>
  </si>
  <si>
    <t>convergence_year_end</t>
  </si>
  <si>
    <t>convergence_cap</t>
  </si>
  <si>
    <t>low_threshold</t>
  </si>
  <si>
    <t>commercial_ce_mode</t>
  </si>
  <si>
    <t>relative</t>
  </si>
  <si>
    <t>residential.m2_change_pc</t>
  </si>
  <si>
    <t>unit: % change vs. baseline</t>
  </si>
  <si>
    <t>commercial.m2_change_pc</t>
  </si>
  <si>
    <t>Asian-Stan</t>
  </si>
  <si>
    <t>Brazil</t>
  </si>
  <si>
    <t>Canada</t>
  </si>
  <si>
    <t>China +</t>
  </si>
  <si>
    <t>Eastern Africa</t>
  </si>
  <si>
    <t>India +</t>
  </si>
  <si>
    <t>Indonesia +</t>
  </si>
  <si>
    <t>Korea</t>
  </si>
  <si>
    <t>Mexico</t>
  </si>
  <si>
    <t>Oceania</t>
  </si>
  <si>
    <t>Rest of Central America</t>
  </si>
  <si>
    <t>Rest of South America</t>
  </si>
  <si>
    <t>Rest of South Asia</t>
  </si>
  <si>
    <t>Rest of Southern Africa</t>
  </si>
  <si>
    <t>Russia +</t>
  </si>
  <si>
    <t>South Africa</t>
  </si>
  <si>
    <t>Southeastern Asia</t>
  </si>
  <si>
    <t>Turkey</t>
  </si>
  <si>
    <t>Ukraine +</t>
  </si>
  <si>
    <t>USA</t>
  </si>
  <si>
    <t>Western Africa</t>
  </si>
  <si>
    <t>(none - all IMAGE regions covered)</t>
  </si>
  <si>
    <t>residential.lifetime_2020</t>
  </si>
  <si>
    <t>unit: years (UNUSED by code)</t>
  </si>
  <si>
    <t>India</t>
  </si>
  <si>
    <t>Latin America</t>
  </si>
  <si>
    <t>RCAM, BRA, RSAM</t>
  </si>
  <si>
    <t>Middle East and North Africa</t>
  </si>
  <si>
    <t>NAF, ME</t>
  </si>
  <si>
    <t>Other Asia</t>
  </si>
  <si>
    <t>KOR, SEAS, INDO, RSAS</t>
  </si>
  <si>
    <t>Other OECD</t>
  </si>
  <si>
    <t>MEX, TUR, OCE</t>
  </si>
  <si>
    <t>Reforming Economies</t>
  </si>
  <si>
    <t>UKR, STAN, RUS</t>
  </si>
  <si>
    <t>Sub-Saharan Africa</t>
  </si>
  <si>
    <t>WAF, EAF, SAF, RSAF</t>
  </si>
  <si>
    <t>residential.lifetime_increase_percent</t>
  </si>
  <si>
    <t>unit: % change (UNUSED by code)</t>
  </si>
  <si>
    <t>non_residential.lifetime_2020</t>
  </si>
  <si>
    <t>non_residential.lifetime_increase_percent</t>
  </si>
  <si>
    <t>material_intensity_change.steel</t>
  </si>
  <si>
    <t>material_intensity_change.concrete</t>
  </si>
  <si>
    <t>material_intensity_change.aluminium</t>
  </si>
  <si>
    <t>material_intensity_change.cement</t>
  </si>
  <si>
    <t>lifetime_increase_percent</t>
  </si>
  <si>
    <t>Passenger Planes</t>
  </si>
  <si>
    <t>Freight Planes</t>
  </si>
  <si>
    <t>Trains</t>
  </si>
  <si>
    <t>High Speed Trains</t>
  </si>
  <si>
    <t>Freight Trains</t>
  </si>
  <si>
    <t>Small Ships</t>
  </si>
  <si>
    <t>Medium Ships</t>
  </si>
  <si>
    <t>Large Ships</t>
  </si>
  <si>
    <t>Very Large Ships</t>
  </si>
  <si>
    <t>Light Commercial Vehicles</t>
  </si>
  <si>
    <t>Medium Freight Trucks</t>
  </si>
  <si>
    <t>Heavy Freight Trucks</t>
  </si>
  <si>
    <t>Midi Buses</t>
  </si>
  <si>
    <t>Regular Buses</t>
  </si>
  <si>
    <t>Inland Ships</t>
  </si>
  <si>
    <t>Bikes</t>
  </si>
  <si>
    <t>Cars</t>
  </si>
  <si>
    <t>non-road.weight_change_pc</t>
  </si>
  <si>
    <t>road.weight_change_pc</t>
  </si>
  <si>
    <t>mileage</t>
  </si>
  <si>
    <t>region_mileage</t>
  </si>
  <si>
    <t>weight_change_pc</t>
  </si>
  <si>
    <t>SPV</t>
  </si>
  <si>
    <t>SPVR</t>
  </si>
  <si>
    <t>CSP</t>
  </si>
  <si>
    <t>WON</t>
  </si>
  <si>
    <t>WOFF</t>
  </si>
  <si>
    <t>WAVE</t>
  </si>
  <si>
    <t>HYD</t>
  </si>
  <si>
    <t>Transformers</t>
  </si>
  <si>
    <t>Substations</t>
  </si>
  <si>
    <t>buildings.eol_reuse_rate_2060</t>
  </si>
  <si>
    <t>unit: fraction (0-1)</t>
  </si>
  <si>
    <t>steel</t>
  </si>
  <si>
    <t>concrete</t>
  </si>
  <si>
    <t>wood</t>
  </si>
  <si>
    <t>copper</t>
  </si>
  <si>
    <t>glass</t>
  </si>
  <si>
    <t>aluminium</t>
  </si>
  <si>
    <t>vehicles.eol_reuse_rate_2060</t>
  </si>
  <si>
    <t>electricity.eol_reuse_rate_2060</t>
  </si>
  <si>
    <t>buildings.eol_recycling_rate_2060</t>
  </si>
  <si>
    <t>vehicles.eol_recycling_rate_2060</t>
  </si>
  <si>
    <t>electricity.eol_recycling_rate_2060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</si>
</sst>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rgb="FFFFFFFF"/>
      <name val="Calibri"/>
      <family val="2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4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5" x14ac:dyDescent="0.25"/>
  <cols>
    <col min="1" max="1" width="14" customWidth="1"/>
    <col min="2" max="2" width="36" customWidth="1"/>
    <col min="3" max="3" width="3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20</v>
      </c>
      <c r="B10" t="s">
        <v>12</v>
      </c>
      <c r="C10" t="s">
        <v>21</v>
      </c>
    </row>
    <row r="11" spans="1:3" x14ac:dyDescent="0.25">
      <c r="A11" t="s">
        <v>20</v>
      </c>
      <c r="B11" t="s">
        <v>22</v>
      </c>
      <c r="C11" t="s">
        <v>23</v>
      </c>
    </row>
    <row r="12" spans="1:3" x14ac:dyDescent="0.25">
      <c r="A12" t="s">
        <v>20</v>
      </c>
      <c r="B12" t="s">
        <v>24</v>
      </c>
      <c r="C12" t="s">
        <v>25</v>
      </c>
    </row>
    <row r="13" spans="1:3" x14ac:dyDescent="0.25">
      <c r="A13" t="s">
        <v>20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28</v>
      </c>
      <c r="B15" t="s">
        <v>31</v>
      </c>
      <c r="C15" t="s">
        <v>32</v>
      </c>
    </row>
    <row r="16" spans="1:3" x14ac:dyDescent="0.25">
      <c r="A16" t="s">
        <v>28</v>
      </c>
      <c r="B16" t="s">
        <v>33</v>
      </c>
      <c r="C16" t="s">
        <v>34</v>
      </c>
    </row>
    <row r="17" spans="1:3" x14ac:dyDescent="0.25">
      <c r="A17" t="s">
        <v>28</v>
      </c>
      <c r="B17" t="s">
        <v>35</v>
      </c>
      <c r="C17" t="s">
        <v>36</v>
      </c>
    </row>
    <row r="18" spans="1:3" x14ac:dyDescent="0.25">
      <c r="A18" t="s">
        <v>37</v>
      </c>
      <c r="B18" t="s">
        <v>12</v>
      </c>
      <c r="C18" t="s">
        <v>38</v>
      </c>
    </row>
    <row r="19" spans="1:3" x14ac:dyDescent="0.25">
      <c r="A19" t="s">
        <v>37</v>
      </c>
      <c r="B19" t="s">
        <v>39</v>
      </c>
      <c r="C19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3" topLeftCell="A4" activePane="bottomLeft" state="frozen"/>
      <selection pane="bottomLeft" activeCell="D7" sqref="D7:F7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4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D7" t="b">
        <v>1</v>
      </c>
      <c r="E7" t="b">
        <v>1</v>
      </c>
      <c r="F7" t="b">
        <v>1</v>
      </c>
    </row>
    <row r="8" spans="1:9" x14ac:dyDescent="0.25">
      <c r="A8" s="3" t="s">
        <v>45</v>
      </c>
      <c r="B8" s="3" t="s">
        <v>46</v>
      </c>
      <c r="D8" s="3" t="s">
        <v>47</v>
      </c>
      <c r="E8" s="3" t="s">
        <v>48</v>
      </c>
      <c r="F8" s="3" t="s">
        <v>49</v>
      </c>
    </row>
    <row r="9" spans="1:9" x14ac:dyDescent="0.25">
      <c r="A9" s="1" t="s">
        <v>50</v>
      </c>
      <c r="B9" s="1" t="s">
        <v>42</v>
      </c>
      <c r="C9" s="1" t="s">
        <v>51</v>
      </c>
      <c r="D9" s="4">
        <v>1</v>
      </c>
      <c r="E9" s="4">
        <v>1</v>
      </c>
      <c r="F9" s="4">
        <v>1</v>
      </c>
      <c r="G9" s="1" t="s">
        <v>52</v>
      </c>
      <c r="H9" s="1" t="s">
        <v>53</v>
      </c>
      <c r="I9" s="1" t="s">
        <v>54</v>
      </c>
    </row>
    <row r="10" spans="1:9" x14ac:dyDescent="0.25">
      <c r="A10" t="s">
        <v>55</v>
      </c>
      <c r="B10">
        <v>27.7</v>
      </c>
      <c r="G10">
        <f t="shared" ref="G10:G15" si="0">$B10*$D$9</f>
        <v>27.7</v>
      </c>
      <c r="H10">
        <f t="shared" ref="H10:H15" si="1">$B10*$E$9</f>
        <v>27.7</v>
      </c>
      <c r="I10">
        <f t="shared" ref="I10:I15" si="2">$B10*$F$9</f>
        <v>27.7</v>
      </c>
    </row>
    <row r="11" spans="1:9" x14ac:dyDescent="0.25">
      <c r="A11" t="s">
        <v>56</v>
      </c>
      <c r="B11">
        <v>39</v>
      </c>
      <c r="G11">
        <f t="shared" si="0"/>
        <v>39</v>
      </c>
      <c r="H11">
        <f t="shared" si="1"/>
        <v>39</v>
      </c>
      <c r="I11">
        <f t="shared" si="2"/>
        <v>39</v>
      </c>
    </row>
    <row r="12" spans="1:9" x14ac:dyDescent="0.25">
      <c r="A12" t="s">
        <v>57</v>
      </c>
      <c r="B12">
        <v>39.700000000000003</v>
      </c>
      <c r="G12">
        <f t="shared" si="0"/>
        <v>39.700000000000003</v>
      </c>
      <c r="H12">
        <f t="shared" si="1"/>
        <v>39.700000000000003</v>
      </c>
      <c r="I12">
        <f t="shared" si="2"/>
        <v>39.700000000000003</v>
      </c>
    </row>
    <row r="13" spans="1:9" x14ac:dyDescent="0.25">
      <c r="A13" t="s">
        <v>58</v>
      </c>
      <c r="B13">
        <v>39.700000000000003</v>
      </c>
      <c r="G13">
        <f t="shared" si="0"/>
        <v>39.700000000000003</v>
      </c>
      <c r="H13">
        <f t="shared" si="1"/>
        <v>39.700000000000003</v>
      </c>
      <c r="I13">
        <f t="shared" si="2"/>
        <v>39.700000000000003</v>
      </c>
    </row>
    <row r="14" spans="1:9" x14ac:dyDescent="0.25">
      <c r="A14" t="s">
        <v>59</v>
      </c>
      <c r="B14">
        <v>31.6</v>
      </c>
      <c r="G14">
        <f t="shared" si="0"/>
        <v>31.6</v>
      </c>
      <c r="H14">
        <f t="shared" si="1"/>
        <v>31.6</v>
      </c>
      <c r="I14">
        <f t="shared" si="2"/>
        <v>31.6</v>
      </c>
    </row>
    <row r="15" spans="1:9" x14ac:dyDescent="0.25">
      <c r="A15" t="s">
        <v>60</v>
      </c>
      <c r="B15">
        <v>31.3</v>
      </c>
      <c r="G15">
        <f t="shared" si="0"/>
        <v>31.3</v>
      </c>
      <c r="H15">
        <f t="shared" si="1"/>
        <v>31.3</v>
      </c>
      <c r="I15">
        <f t="shared" si="2"/>
        <v>31.3</v>
      </c>
    </row>
    <row r="17" spans="1:3" x14ac:dyDescent="0.25">
      <c r="A17" s="3" t="s">
        <v>61</v>
      </c>
    </row>
    <row r="18" spans="1:3" x14ac:dyDescent="0.25">
      <c r="A18" s="5" t="s">
        <v>62</v>
      </c>
      <c r="B18" s="6"/>
      <c r="C18" s="6"/>
    </row>
  </sheetData>
  <mergeCells count="1">
    <mergeCell ref="A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pane ySplit="3" topLeftCell="A4" activePane="bottomLeft" state="frozen"/>
      <selection pane="bottomLeft" activeCell="D15" sqref="D15:F15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6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D7" t="b">
        <v>1</v>
      </c>
      <c r="E7" t="b">
        <v>1</v>
      </c>
      <c r="F7" t="b">
        <v>1</v>
      </c>
    </row>
    <row r="8" spans="1:9" x14ac:dyDescent="0.25">
      <c r="A8" s="3" t="s">
        <v>63</v>
      </c>
      <c r="B8" s="3" t="s">
        <v>46</v>
      </c>
      <c r="D8" s="3" t="s">
        <v>47</v>
      </c>
      <c r="E8" s="3" t="s">
        <v>48</v>
      </c>
      <c r="F8" s="3" t="s">
        <v>49</v>
      </c>
    </row>
    <row r="9" spans="1:9" x14ac:dyDescent="0.25">
      <c r="A9" s="1" t="s">
        <v>50</v>
      </c>
      <c r="B9" s="1" t="s">
        <v>42</v>
      </c>
      <c r="C9" s="1" t="s">
        <v>51</v>
      </c>
      <c r="D9" s="4">
        <v>1</v>
      </c>
      <c r="E9" s="4">
        <v>1</v>
      </c>
      <c r="F9" s="4">
        <v>1</v>
      </c>
      <c r="G9" s="1" t="s">
        <v>52</v>
      </c>
      <c r="H9" s="1" t="s">
        <v>53</v>
      </c>
      <c r="I9" s="1" t="s">
        <v>54</v>
      </c>
    </row>
    <row r="10" spans="1:9" x14ac:dyDescent="0.25">
      <c r="A10" t="s">
        <v>55</v>
      </c>
      <c r="B10">
        <v>8.6999999999999993</v>
      </c>
      <c r="G10">
        <f>$B10*$D$9</f>
        <v>8.6999999999999993</v>
      </c>
      <c r="H10">
        <f>$B10*$E$9</f>
        <v>8.6999999999999993</v>
      </c>
      <c r="I10">
        <f>$B10*$F$9</f>
        <v>8.6999999999999993</v>
      </c>
    </row>
    <row r="11" spans="1:9" x14ac:dyDescent="0.25">
      <c r="A11" t="s">
        <v>58</v>
      </c>
      <c r="B11">
        <v>14.1</v>
      </c>
      <c r="G11">
        <f>$B11*$D$9</f>
        <v>14.1</v>
      </c>
      <c r="H11">
        <f>$B11*$E$9</f>
        <v>14.1</v>
      </c>
      <c r="I11">
        <f>$B11*$F$9</f>
        <v>14.1</v>
      </c>
    </row>
    <row r="13" spans="1:9" x14ac:dyDescent="0.25">
      <c r="A13" s="3" t="s">
        <v>61</v>
      </c>
    </row>
    <row r="14" spans="1:9" x14ac:dyDescent="0.25">
      <c r="A14" s="5" t="s">
        <v>64</v>
      </c>
      <c r="B14" s="6"/>
      <c r="C14" s="6"/>
    </row>
    <row r="15" spans="1:9" x14ac:dyDescent="0.25">
      <c r="D15" t="b">
        <v>1</v>
      </c>
      <c r="E15" t="b">
        <v>1</v>
      </c>
      <c r="F15" t="b">
        <v>1</v>
      </c>
    </row>
    <row r="16" spans="1:9" x14ac:dyDescent="0.25">
      <c r="A16" s="3" t="s">
        <v>65</v>
      </c>
      <c r="B16" s="3" t="s">
        <v>46</v>
      </c>
      <c r="D16" s="3" t="s">
        <v>47</v>
      </c>
      <c r="E16" s="3" t="s">
        <v>48</v>
      </c>
      <c r="F16" s="3" t="s">
        <v>49</v>
      </c>
    </row>
    <row r="17" spans="1:9" x14ac:dyDescent="0.25">
      <c r="A17" s="1" t="s">
        <v>50</v>
      </c>
      <c r="B17" s="1" t="s">
        <v>42</v>
      </c>
      <c r="C17" s="1" t="s">
        <v>51</v>
      </c>
      <c r="D17" s="4">
        <v>1</v>
      </c>
      <c r="E17" s="4">
        <v>1</v>
      </c>
      <c r="F17" s="4">
        <v>1</v>
      </c>
      <c r="G17" s="1" t="s">
        <v>52</v>
      </c>
      <c r="H17" s="1" t="s">
        <v>53</v>
      </c>
      <c r="I17" s="1" t="s">
        <v>54</v>
      </c>
    </row>
    <row r="18" spans="1:9" x14ac:dyDescent="0.25">
      <c r="A18" t="s">
        <v>55</v>
      </c>
      <c r="B18">
        <v>41.2</v>
      </c>
      <c r="G18">
        <f>$B18*$D$17</f>
        <v>41.2</v>
      </c>
      <c r="H18">
        <f>$B18*$E$17</f>
        <v>41.2</v>
      </c>
      <c r="I18">
        <f>$B18*$F$17</f>
        <v>41.2</v>
      </c>
    </row>
    <row r="19" spans="1:9" x14ac:dyDescent="0.25">
      <c r="A19" t="s">
        <v>58</v>
      </c>
      <c r="B19">
        <v>14.1</v>
      </c>
      <c r="G19">
        <f>$B19*$D$17</f>
        <v>14.1</v>
      </c>
      <c r="H19">
        <f>$B19*$E$17</f>
        <v>14.1</v>
      </c>
      <c r="I19">
        <f>$B19*$F$17</f>
        <v>14.1</v>
      </c>
    </row>
    <row r="21" spans="1:9" x14ac:dyDescent="0.25">
      <c r="A21" s="3" t="s">
        <v>61</v>
      </c>
    </row>
    <row r="22" spans="1:9" x14ac:dyDescent="0.25">
      <c r="A22" s="5" t="s">
        <v>64</v>
      </c>
      <c r="B22" s="6"/>
      <c r="C22" s="6"/>
    </row>
  </sheetData>
  <mergeCells count="2">
    <mergeCell ref="A14:C14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>
      <pane ySplit="3" topLeftCell="A4" activePane="bottomLeft" state="frozen"/>
      <selection pane="bottomLeft" activeCell="C31" sqref="C31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8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A8" t="s">
        <v>68</v>
      </c>
      <c r="B8">
        <v>2025</v>
      </c>
    </row>
    <row r="9" spans="1:9" x14ac:dyDescent="0.25">
      <c r="A9" t="s">
        <v>69</v>
      </c>
      <c r="B9">
        <v>2100</v>
      </c>
    </row>
    <row r="10" spans="1:9" x14ac:dyDescent="0.25">
      <c r="A10" t="s">
        <v>70</v>
      </c>
      <c r="B10">
        <v>14</v>
      </c>
    </row>
    <row r="11" spans="1:9" x14ac:dyDescent="0.25">
      <c r="A11" t="s">
        <v>71</v>
      </c>
      <c r="B11">
        <v>5</v>
      </c>
    </row>
    <row r="12" spans="1:9" x14ac:dyDescent="0.25">
      <c r="A12" t="s">
        <v>72</v>
      </c>
      <c r="B12" t="s">
        <v>73</v>
      </c>
    </row>
    <row r="13" spans="1:9" x14ac:dyDescent="0.25">
      <c r="D13" t="b">
        <v>1</v>
      </c>
      <c r="E13" t="b">
        <v>1</v>
      </c>
      <c r="F13" t="b">
        <v>0</v>
      </c>
    </row>
    <row r="14" spans="1:9" x14ac:dyDescent="0.25">
      <c r="A14" s="3" t="s">
        <v>74</v>
      </c>
      <c r="B14" s="3" t="s">
        <v>75</v>
      </c>
      <c r="D14" s="3" t="s">
        <v>47</v>
      </c>
      <c r="E14" s="3" t="s">
        <v>48</v>
      </c>
      <c r="F14" s="3" t="s">
        <v>49</v>
      </c>
    </row>
    <row r="15" spans="1:9" x14ac:dyDescent="0.25">
      <c r="A15" s="1" t="s">
        <v>50</v>
      </c>
      <c r="B15" s="1" t="s">
        <v>42</v>
      </c>
      <c r="C15" s="1" t="s">
        <v>51</v>
      </c>
      <c r="D15" s="4">
        <v>1</v>
      </c>
      <c r="E15" s="4">
        <v>1</v>
      </c>
      <c r="F15" s="4">
        <v>0</v>
      </c>
      <c r="G15" s="1" t="s">
        <v>52</v>
      </c>
      <c r="H15" s="1" t="s">
        <v>53</v>
      </c>
      <c r="I15" s="1" t="s">
        <v>54</v>
      </c>
    </row>
    <row r="16" spans="1:9" x14ac:dyDescent="0.25">
      <c r="A16" t="s">
        <v>55</v>
      </c>
      <c r="B16">
        <v>-10</v>
      </c>
      <c r="G16">
        <f t="shared" ref="G16:G21" si="0">$B16*$D$15</f>
        <v>-10</v>
      </c>
      <c r="H16">
        <f t="shared" ref="H16:H21" si="1">$B16*$E$15</f>
        <v>-10</v>
      </c>
      <c r="I16">
        <f t="shared" ref="I16:I21" si="2">$B16*$F$15</f>
        <v>0</v>
      </c>
    </row>
    <row r="17" spans="1:9" x14ac:dyDescent="0.25">
      <c r="A17" t="s">
        <v>56</v>
      </c>
      <c r="B17">
        <v>-15</v>
      </c>
      <c r="G17">
        <f t="shared" si="0"/>
        <v>-15</v>
      </c>
      <c r="H17">
        <f t="shared" si="1"/>
        <v>-15</v>
      </c>
      <c r="I17">
        <f t="shared" si="2"/>
        <v>0</v>
      </c>
    </row>
    <row r="18" spans="1:9" x14ac:dyDescent="0.25">
      <c r="A18" t="s">
        <v>57</v>
      </c>
      <c r="B18">
        <v>-15</v>
      </c>
      <c r="G18">
        <f t="shared" si="0"/>
        <v>-15</v>
      </c>
      <c r="H18">
        <f t="shared" si="1"/>
        <v>-15</v>
      </c>
      <c r="I18">
        <f t="shared" si="2"/>
        <v>0</v>
      </c>
    </row>
    <row r="19" spans="1:9" x14ac:dyDescent="0.25">
      <c r="A19" t="s">
        <v>58</v>
      </c>
      <c r="B19">
        <v>-23.3</v>
      </c>
      <c r="G19">
        <f t="shared" si="0"/>
        <v>-23.3</v>
      </c>
      <c r="H19">
        <f t="shared" si="1"/>
        <v>-23.3</v>
      </c>
      <c r="I19">
        <f t="shared" si="2"/>
        <v>0</v>
      </c>
    </row>
    <row r="20" spans="1:9" x14ac:dyDescent="0.25">
      <c r="A20" t="s">
        <v>59</v>
      </c>
      <c r="B20">
        <v>-15</v>
      </c>
      <c r="G20">
        <f t="shared" si="0"/>
        <v>-15</v>
      </c>
      <c r="H20">
        <f t="shared" si="1"/>
        <v>-15</v>
      </c>
      <c r="I20">
        <f t="shared" si="2"/>
        <v>0</v>
      </c>
    </row>
    <row r="21" spans="1:9" x14ac:dyDescent="0.25">
      <c r="A21" t="s">
        <v>60</v>
      </c>
      <c r="B21">
        <v>-23.3</v>
      </c>
      <c r="G21">
        <f t="shared" si="0"/>
        <v>-23.3</v>
      </c>
      <c r="H21">
        <f t="shared" si="1"/>
        <v>-23.3</v>
      </c>
      <c r="I21">
        <f t="shared" si="2"/>
        <v>0</v>
      </c>
    </row>
    <row r="23" spans="1:9" x14ac:dyDescent="0.25">
      <c r="A23" s="3" t="s">
        <v>61</v>
      </c>
    </row>
    <row r="24" spans="1:9" x14ac:dyDescent="0.25">
      <c r="A24" s="5" t="s">
        <v>62</v>
      </c>
      <c r="B24" s="6"/>
      <c r="C24" s="6"/>
    </row>
  </sheetData>
  <mergeCells count="1"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>
      <pane ySplit="3" topLeftCell="A4" activePane="bottomLeft" state="frozen"/>
      <selection pane="bottomLeft" activeCell="F13" sqref="D13:F13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10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A8" t="s">
        <v>68</v>
      </c>
      <c r="B8">
        <v>2025</v>
      </c>
    </row>
    <row r="9" spans="1:9" x14ac:dyDescent="0.25">
      <c r="A9" t="s">
        <v>69</v>
      </c>
      <c r="B9">
        <v>2100</v>
      </c>
    </row>
    <row r="10" spans="1:9" x14ac:dyDescent="0.25">
      <c r="A10" t="s">
        <v>70</v>
      </c>
      <c r="B10">
        <v>14</v>
      </c>
    </row>
    <row r="11" spans="1:9" x14ac:dyDescent="0.25">
      <c r="A11" t="s">
        <v>71</v>
      </c>
      <c r="B11">
        <v>5</v>
      </c>
    </row>
    <row r="12" spans="1:9" x14ac:dyDescent="0.25">
      <c r="A12" t="s">
        <v>72</v>
      </c>
      <c r="B12" t="s">
        <v>73</v>
      </c>
    </row>
    <row r="13" spans="1:9" x14ac:dyDescent="0.25">
      <c r="D13" t="b">
        <v>1</v>
      </c>
      <c r="E13" t="b">
        <v>1</v>
      </c>
      <c r="F13" t="b">
        <v>0</v>
      </c>
    </row>
    <row r="14" spans="1:9" x14ac:dyDescent="0.25">
      <c r="A14" s="3" t="s">
        <v>76</v>
      </c>
      <c r="B14" s="3" t="s">
        <v>75</v>
      </c>
      <c r="D14" s="3" t="s">
        <v>47</v>
      </c>
      <c r="E14" s="3" t="s">
        <v>48</v>
      </c>
      <c r="F14" s="3" t="s">
        <v>49</v>
      </c>
    </row>
    <row r="15" spans="1:9" x14ac:dyDescent="0.25">
      <c r="A15" s="1" t="s">
        <v>50</v>
      </c>
      <c r="B15" s="1" t="s">
        <v>42</v>
      </c>
      <c r="C15" s="1" t="s">
        <v>51</v>
      </c>
      <c r="D15" s="4">
        <v>1</v>
      </c>
      <c r="E15" s="4">
        <v>1</v>
      </c>
      <c r="F15" s="4">
        <v>0</v>
      </c>
      <c r="G15" s="1" t="s">
        <v>52</v>
      </c>
      <c r="H15" s="1" t="s">
        <v>53</v>
      </c>
      <c r="I15" s="1" t="s">
        <v>54</v>
      </c>
    </row>
    <row r="16" spans="1:9" x14ac:dyDescent="0.25">
      <c r="A16" t="s">
        <v>77</v>
      </c>
      <c r="B16">
        <v>-15</v>
      </c>
      <c r="G16">
        <f t="shared" ref="G16:G41" si="0">$B16*$D$15</f>
        <v>-15</v>
      </c>
      <c r="H16">
        <f t="shared" ref="H16:H41" si="1">$B16*$E$15</f>
        <v>-15</v>
      </c>
      <c r="I16">
        <f t="shared" ref="I16:I41" si="2">$B16*$F$15</f>
        <v>0</v>
      </c>
    </row>
    <row r="17" spans="1:9" x14ac:dyDescent="0.25">
      <c r="A17" t="s">
        <v>78</v>
      </c>
      <c r="B17">
        <v>-16.7</v>
      </c>
      <c r="G17">
        <f t="shared" si="0"/>
        <v>-16.7</v>
      </c>
      <c r="H17">
        <f t="shared" si="1"/>
        <v>-16.7</v>
      </c>
      <c r="I17">
        <f t="shared" si="2"/>
        <v>0</v>
      </c>
    </row>
    <row r="18" spans="1:9" x14ac:dyDescent="0.25">
      <c r="A18" t="s">
        <v>79</v>
      </c>
      <c r="B18">
        <v>-35</v>
      </c>
      <c r="G18">
        <f t="shared" si="0"/>
        <v>-35</v>
      </c>
      <c r="H18">
        <f t="shared" si="1"/>
        <v>-35</v>
      </c>
      <c r="I18">
        <f t="shared" si="2"/>
        <v>0</v>
      </c>
    </row>
    <row r="19" spans="1:9" x14ac:dyDescent="0.25">
      <c r="A19" t="s">
        <v>55</v>
      </c>
      <c r="B19">
        <v>-10</v>
      </c>
      <c r="G19">
        <f t="shared" si="0"/>
        <v>-10</v>
      </c>
      <c r="H19">
        <f t="shared" si="1"/>
        <v>-10</v>
      </c>
      <c r="I19">
        <f t="shared" si="2"/>
        <v>0</v>
      </c>
    </row>
    <row r="20" spans="1:9" x14ac:dyDescent="0.25">
      <c r="A20" t="s">
        <v>80</v>
      </c>
      <c r="B20">
        <v>-19.2</v>
      </c>
      <c r="G20">
        <f t="shared" si="0"/>
        <v>-19.2</v>
      </c>
      <c r="H20">
        <f t="shared" si="1"/>
        <v>-19.2</v>
      </c>
      <c r="I20">
        <f t="shared" si="2"/>
        <v>0</v>
      </c>
    </row>
    <row r="21" spans="1:9" x14ac:dyDescent="0.25">
      <c r="A21" t="s">
        <v>81</v>
      </c>
      <c r="B21">
        <v>-15</v>
      </c>
      <c r="G21">
        <f t="shared" si="0"/>
        <v>-15</v>
      </c>
      <c r="H21">
        <f t="shared" si="1"/>
        <v>-15</v>
      </c>
      <c r="I21">
        <f t="shared" si="2"/>
        <v>0</v>
      </c>
    </row>
    <row r="22" spans="1:9" x14ac:dyDescent="0.25">
      <c r="A22" t="s">
        <v>82</v>
      </c>
      <c r="B22">
        <v>-12.5</v>
      </c>
      <c r="G22">
        <f t="shared" si="0"/>
        <v>-12.5</v>
      </c>
      <c r="H22">
        <f t="shared" si="1"/>
        <v>-12.5</v>
      </c>
      <c r="I22">
        <f t="shared" si="2"/>
        <v>0</v>
      </c>
    </row>
    <row r="23" spans="1:9" x14ac:dyDescent="0.25">
      <c r="A23" t="s">
        <v>83</v>
      </c>
      <c r="B23">
        <v>-12.5</v>
      </c>
      <c r="G23">
        <f t="shared" si="0"/>
        <v>-12.5</v>
      </c>
      <c r="H23">
        <f t="shared" si="1"/>
        <v>-12.5</v>
      </c>
      <c r="I23">
        <f t="shared" si="2"/>
        <v>0</v>
      </c>
    </row>
    <row r="24" spans="1:9" x14ac:dyDescent="0.25">
      <c r="A24" t="s">
        <v>57</v>
      </c>
      <c r="B24">
        <v>-20</v>
      </c>
      <c r="G24">
        <f t="shared" si="0"/>
        <v>-20</v>
      </c>
      <c r="H24">
        <f t="shared" si="1"/>
        <v>-20</v>
      </c>
      <c r="I24">
        <f t="shared" si="2"/>
        <v>0</v>
      </c>
    </row>
    <row r="25" spans="1:9" x14ac:dyDescent="0.25">
      <c r="A25" t="s">
        <v>84</v>
      </c>
      <c r="B25">
        <v>-15</v>
      </c>
      <c r="G25">
        <f t="shared" si="0"/>
        <v>-15</v>
      </c>
      <c r="H25">
        <f t="shared" si="1"/>
        <v>-15</v>
      </c>
      <c r="I25">
        <f t="shared" si="2"/>
        <v>0</v>
      </c>
    </row>
    <row r="26" spans="1:9" x14ac:dyDescent="0.25">
      <c r="A26" t="s">
        <v>85</v>
      </c>
      <c r="B26">
        <v>-20</v>
      </c>
      <c r="G26">
        <f t="shared" si="0"/>
        <v>-20</v>
      </c>
      <c r="H26">
        <f t="shared" si="1"/>
        <v>-20</v>
      </c>
      <c r="I26">
        <f t="shared" si="2"/>
        <v>0</v>
      </c>
    </row>
    <row r="27" spans="1:9" x14ac:dyDescent="0.25">
      <c r="A27" t="s">
        <v>60</v>
      </c>
      <c r="B27">
        <v>-23.3</v>
      </c>
      <c r="G27">
        <f t="shared" si="0"/>
        <v>-23.3</v>
      </c>
      <c r="H27">
        <f t="shared" si="1"/>
        <v>-23.3</v>
      </c>
      <c r="I27">
        <f t="shared" si="2"/>
        <v>0</v>
      </c>
    </row>
    <row r="28" spans="1:9" x14ac:dyDescent="0.25">
      <c r="A28" t="s">
        <v>59</v>
      </c>
      <c r="B28">
        <v>-15</v>
      </c>
      <c r="G28">
        <f t="shared" si="0"/>
        <v>-15</v>
      </c>
      <c r="H28">
        <f t="shared" si="1"/>
        <v>-15</v>
      </c>
      <c r="I28">
        <f t="shared" si="2"/>
        <v>0</v>
      </c>
    </row>
    <row r="29" spans="1:9" x14ac:dyDescent="0.25">
      <c r="A29" t="s">
        <v>86</v>
      </c>
      <c r="B29">
        <v>-40</v>
      </c>
      <c r="G29">
        <f t="shared" si="0"/>
        <v>-40</v>
      </c>
      <c r="H29">
        <f t="shared" si="1"/>
        <v>-40</v>
      </c>
      <c r="I29">
        <f t="shared" si="2"/>
        <v>0</v>
      </c>
    </row>
    <row r="30" spans="1:9" x14ac:dyDescent="0.25">
      <c r="A30" t="s">
        <v>87</v>
      </c>
      <c r="B30">
        <v>-12.5</v>
      </c>
      <c r="G30">
        <f t="shared" si="0"/>
        <v>-12.5</v>
      </c>
      <c r="H30">
        <f t="shared" si="1"/>
        <v>-12.5</v>
      </c>
      <c r="I30">
        <f t="shared" si="2"/>
        <v>0</v>
      </c>
    </row>
    <row r="31" spans="1:9" x14ac:dyDescent="0.25">
      <c r="A31" t="s">
        <v>88</v>
      </c>
      <c r="B31">
        <v>-12.5</v>
      </c>
      <c r="G31">
        <f t="shared" si="0"/>
        <v>-12.5</v>
      </c>
      <c r="H31">
        <f t="shared" si="1"/>
        <v>-12.5</v>
      </c>
      <c r="I31">
        <f t="shared" si="2"/>
        <v>0</v>
      </c>
    </row>
    <row r="32" spans="1:9" x14ac:dyDescent="0.25">
      <c r="A32" t="s">
        <v>89</v>
      </c>
      <c r="B32">
        <v>-15</v>
      </c>
      <c r="G32">
        <f t="shared" si="0"/>
        <v>-15</v>
      </c>
      <c r="H32">
        <f t="shared" si="1"/>
        <v>-15</v>
      </c>
      <c r="I32">
        <f t="shared" si="2"/>
        <v>0</v>
      </c>
    </row>
    <row r="33" spans="1:9" x14ac:dyDescent="0.25">
      <c r="A33" t="s">
        <v>90</v>
      </c>
      <c r="B33">
        <v>-15</v>
      </c>
      <c r="G33">
        <f t="shared" si="0"/>
        <v>-15</v>
      </c>
      <c r="H33">
        <f t="shared" si="1"/>
        <v>-15</v>
      </c>
      <c r="I33">
        <f t="shared" si="2"/>
        <v>0</v>
      </c>
    </row>
    <row r="34" spans="1:9" x14ac:dyDescent="0.25">
      <c r="A34" t="s">
        <v>91</v>
      </c>
      <c r="B34">
        <v>-13.3</v>
      </c>
      <c r="G34">
        <f t="shared" si="0"/>
        <v>-13.3</v>
      </c>
      <c r="H34">
        <f t="shared" si="1"/>
        <v>-13.3</v>
      </c>
      <c r="I34">
        <f t="shared" si="2"/>
        <v>0</v>
      </c>
    </row>
    <row r="35" spans="1:9" x14ac:dyDescent="0.25">
      <c r="A35" t="s">
        <v>92</v>
      </c>
      <c r="B35">
        <v>-20</v>
      </c>
      <c r="G35">
        <f t="shared" si="0"/>
        <v>-20</v>
      </c>
      <c r="H35">
        <f t="shared" si="1"/>
        <v>-20</v>
      </c>
      <c r="I35">
        <f t="shared" si="2"/>
        <v>0</v>
      </c>
    </row>
    <row r="36" spans="1:9" x14ac:dyDescent="0.25">
      <c r="A36" t="s">
        <v>93</v>
      </c>
      <c r="B36">
        <v>-12.5</v>
      </c>
      <c r="G36">
        <f t="shared" si="0"/>
        <v>-12.5</v>
      </c>
      <c r="H36">
        <f t="shared" si="1"/>
        <v>-12.5</v>
      </c>
      <c r="I36">
        <f t="shared" si="2"/>
        <v>0</v>
      </c>
    </row>
    <row r="37" spans="1:9" x14ac:dyDescent="0.25">
      <c r="A37" t="s">
        <v>94</v>
      </c>
      <c r="B37">
        <v>-20</v>
      </c>
      <c r="G37">
        <f t="shared" si="0"/>
        <v>-20</v>
      </c>
      <c r="H37">
        <f t="shared" si="1"/>
        <v>-20</v>
      </c>
      <c r="I37">
        <f t="shared" si="2"/>
        <v>0</v>
      </c>
    </row>
    <row r="38" spans="1:9" x14ac:dyDescent="0.25">
      <c r="A38" t="s">
        <v>95</v>
      </c>
      <c r="B38">
        <v>-5</v>
      </c>
      <c r="G38">
        <f t="shared" si="0"/>
        <v>-5</v>
      </c>
      <c r="H38">
        <f t="shared" si="1"/>
        <v>-5</v>
      </c>
      <c r="I38">
        <f t="shared" si="2"/>
        <v>0</v>
      </c>
    </row>
    <row r="39" spans="1:9" x14ac:dyDescent="0.25">
      <c r="A39" t="s">
        <v>96</v>
      </c>
      <c r="B39">
        <v>-35</v>
      </c>
      <c r="G39">
        <f t="shared" si="0"/>
        <v>-35</v>
      </c>
      <c r="H39">
        <f t="shared" si="1"/>
        <v>-35</v>
      </c>
      <c r="I39">
        <f t="shared" si="2"/>
        <v>0</v>
      </c>
    </row>
    <row r="40" spans="1:9" x14ac:dyDescent="0.25">
      <c r="A40" t="s">
        <v>97</v>
      </c>
      <c r="B40">
        <v>-15</v>
      </c>
      <c r="G40">
        <f t="shared" si="0"/>
        <v>-15</v>
      </c>
      <c r="H40">
        <f t="shared" si="1"/>
        <v>-15</v>
      </c>
      <c r="I40">
        <f t="shared" si="2"/>
        <v>0</v>
      </c>
    </row>
    <row r="41" spans="1:9" x14ac:dyDescent="0.25">
      <c r="A41" t="s">
        <v>58</v>
      </c>
      <c r="B41">
        <v>-23.3</v>
      </c>
      <c r="G41">
        <f t="shared" si="0"/>
        <v>-23.3</v>
      </c>
      <c r="H41">
        <f t="shared" si="1"/>
        <v>-23.3</v>
      </c>
      <c r="I41">
        <f t="shared" si="2"/>
        <v>0</v>
      </c>
    </row>
    <row r="43" spans="1:9" x14ac:dyDescent="0.25">
      <c r="A43" s="3" t="s">
        <v>61</v>
      </c>
    </row>
    <row r="44" spans="1:9" x14ac:dyDescent="0.25">
      <c r="A44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2"/>
  <sheetViews>
    <sheetView workbookViewId="0">
      <pane ySplit="3" topLeftCell="A34" activePane="bottomLeft" state="frozen"/>
      <selection pane="bottomLeft" activeCell="G12" sqref="G12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12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8" spans="1:9" x14ac:dyDescent="0.25">
      <c r="A8" s="3" t="s">
        <v>99</v>
      </c>
      <c r="B8" s="3" t="s">
        <v>100</v>
      </c>
      <c r="D8" s="3" t="s">
        <v>47</v>
      </c>
      <c r="E8" s="3" t="s">
        <v>48</v>
      </c>
      <c r="F8" s="3" t="s">
        <v>49</v>
      </c>
    </row>
    <row r="9" spans="1:9" x14ac:dyDescent="0.25">
      <c r="A9" s="1" t="s">
        <v>50</v>
      </c>
      <c r="B9" s="1" t="s">
        <v>42</v>
      </c>
      <c r="C9" s="1" t="s">
        <v>51</v>
      </c>
      <c r="D9" s="4">
        <v>0.5</v>
      </c>
      <c r="E9" s="4">
        <v>1</v>
      </c>
      <c r="F9" s="4">
        <v>1</v>
      </c>
      <c r="G9" s="1" t="s">
        <v>52</v>
      </c>
      <c r="H9" s="1" t="s">
        <v>53</v>
      </c>
      <c r="I9" s="1" t="s">
        <v>54</v>
      </c>
    </row>
    <row r="10" spans="1:9" x14ac:dyDescent="0.25">
      <c r="A10" t="s">
        <v>79</v>
      </c>
      <c r="B10">
        <v>51</v>
      </c>
      <c r="G10">
        <f t="shared" ref="G10:G22" si="0">$B10*$D$9</f>
        <v>25.5</v>
      </c>
      <c r="H10">
        <f t="shared" ref="H10:H22" si="1">$B10*$E$9</f>
        <v>51</v>
      </c>
      <c r="I10">
        <f t="shared" ref="I10:I22" si="2">$B10*$F$9</f>
        <v>51</v>
      </c>
    </row>
    <row r="11" spans="1:9" x14ac:dyDescent="0.25">
      <c r="A11" t="s">
        <v>55</v>
      </c>
      <c r="B11">
        <v>70</v>
      </c>
      <c r="G11">
        <f t="shared" si="0"/>
        <v>35</v>
      </c>
      <c r="H11">
        <f t="shared" si="1"/>
        <v>70</v>
      </c>
      <c r="I11">
        <f t="shared" si="2"/>
        <v>70</v>
      </c>
    </row>
    <row r="12" spans="1:9" x14ac:dyDescent="0.25">
      <c r="A12" t="s">
        <v>56</v>
      </c>
      <c r="B12">
        <v>40</v>
      </c>
      <c r="G12">
        <f t="shared" si="0"/>
        <v>20</v>
      </c>
      <c r="H12">
        <f t="shared" si="1"/>
        <v>40</v>
      </c>
      <c r="I12">
        <f t="shared" si="2"/>
        <v>40</v>
      </c>
    </row>
    <row r="13" spans="1:9" x14ac:dyDescent="0.25">
      <c r="A13" t="s">
        <v>101</v>
      </c>
      <c r="B13">
        <v>50</v>
      </c>
      <c r="G13">
        <f t="shared" si="0"/>
        <v>25</v>
      </c>
      <c r="H13">
        <f t="shared" si="1"/>
        <v>50</v>
      </c>
      <c r="I13">
        <f t="shared" si="2"/>
        <v>50</v>
      </c>
    </row>
    <row r="14" spans="1:9" x14ac:dyDescent="0.25">
      <c r="A14" t="s">
        <v>57</v>
      </c>
      <c r="B14">
        <v>36</v>
      </c>
      <c r="G14">
        <f t="shared" si="0"/>
        <v>18</v>
      </c>
      <c r="H14">
        <f t="shared" si="1"/>
        <v>36</v>
      </c>
      <c r="I14">
        <f t="shared" si="2"/>
        <v>36</v>
      </c>
    </row>
    <row r="15" spans="1:9" x14ac:dyDescent="0.25">
      <c r="A15" t="s">
        <v>96</v>
      </c>
      <c r="B15">
        <v>77</v>
      </c>
      <c r="G15">
        <f t="shared" si="0"/>
        <v>38.5</v>
      </c>
      <c r="H15">
        <f t="shared" si="1"/>
        <v>77</v>
      </c>
      <c r="I15">
        <f t="shared" si="2"/>
        <v>77</v>
      </c>
    </row>
    <row r="16" spans="1:9" x14ac:dyDescent="0.25">
      <c r="A16" t="s">
        <v>58</v>
      </c>
      <c r="B16">
        <v>63</v>
      </c>
      <c r="G16">
        <f t="shared" si="0"/>
        <v>31.5</v>
      </c>
      <c r="H16">
        <f t="shared" si="1"/>
        <v>63</v>
      </c>
      <c r="I16">
        <f t="shared" si="2"/>
        <v>63</v>
      </c>
    </row>
    <row r="17" spans="1:9" x14ac:dyDescent="0.25">
      <c r="A17" t="s">
        <v>102</v>
      </c>
      <c r="B17">
        <v>50</v>
      </c>
      <c r="C17" t="s">
        <v>103</v>
      </c>
      <c r="G17">
        <f t="shared" si="0"/>
        <v>25</v>
      </c>
      <c r="H17">
        <f t="shared" si="1"/>
        <v>50</v>
      </c>
      <c r="I17">
        <f t="shared" si="2"/>
        <v>50</v>
      </c>
    </row>
    <row r="18" spans="1:9" x14ac:dyDescent="0.25">
      <c r="A18" t="s">
        <v>104</v>
      </c>
      <c r="B18">
        <v>50</v>
      </c>
      <c r="C18" t="s">
        <v>105</v>
      </c>
      <c r="G18">
        <f t="shared" si="0"/>
        <v>25</v>
      </c>
      <c r="H18">
        <f t="shared" si="1"/>
        <v>50</v>
      </c>
      <c r="I18">
        <f t="shared" si="2"/>
        <v>50</v>
      </c>
    </row>
    <row r="19" spans="1:9" x14ac:dyDescent="0.25">
      <c r="A19" t="s">
        <v>106</v>
      </c>
      <c r="B19">
        <v>50</v>
      </c>
      <c r="C19" t="s">
        <v>107</v>
      </c>
      <c r="G19">
        <f t="shared" si="0"/>
        <v>25</v>
      </c>
      <c r="H19">
        <f t="shared" si="1"/>
        <v>50</v>
      </c>
      <c r="I19">
        <f t="shared" si="2"/>
        <v>50</v>
      </c>
    </row>
    <row r="20" spans="1:9" x14ac:dyDescent="0.25">
      <c r="A20" t="s">
        <v>108</v>
      </c>
      <c r="B20">
        <v>50</v>
      </c>
      <c r="C20" t="s">
        <v>109</v>
      </c>
      <c r="G20">
        <f t="shared" si="0"/>
        <v>25</v>
      </c>
      <c r="H20">
        <f t="shared" si="1"/>
        <v>50</v>
      </c>
      <c r="I20">
        <f t="shared" si="2"/>
        <v>50</v>
      </c>
    </row>
    <row r="21" spans="1:9" x14ac:dyDescent="0.25">
      <c r="A21" t="s">
        <v>110</v>
      </c>
      <c r="B21">
        <v>60</v>
      </c>
      <c r="C21" t="s">
        <v>111</v>
      </c>
      <c r="G21">
        <f t="shared" si="0"/>
        <v>30</v>
      </c>
      <c r="H21">
        <f t="shared" si="1"/>
        <v>60</v>
      </c>
      <c r="I21">
        <f t="shared" si="2"/>
        <v>60</v>
      </c>
    </row>
    <row r="22" spans="1:9" x14ac:dyDescent="0.25">
      <c r="A22" t="s">
        <v>112</v>
      </c>
      <c r="B22">
        <v>50</v>
      </c>
      <c r="C22" t="s">
        <v>113</v>
      </c>
      <c r="G22">
        <f t="shared" si="0"/>
        <v>25</v>
      </c>
      <c r="H22">
        <f t="shared" si="1"/>
        <v>50</v>
      </c>
      <c r="I22">
        <f t="shared" si="2"/>
        <v>50</v>
      </c>
    </row>
    <row r="24" spans="1:9" x14ac:dyDescent="0.25">
      <c r="A24" s="3" t="s">
        <v>61</v>
      </c>
    </row>
    <row r="25" spans="1:9" x14ac:dyDescent="0.25">
      <c r="A25" t="s">
        <v>98</v>
      </c>
    </row>
    <row r="27" spans="1:9" x14ac:dyDescent="0.25">
      <c r="A27" s="3" t="s">
        <v>114</v>
      </c>
      <c r="B27" s="3" t="s">
        <v>115</v>
      </c>
      <c r="D27" s="3" t="s">
        <v>47</v>
      </c>
      <c r="E27" s="3" t="s">
        <v>48</v>
      </c>
      <c r="F27" s="3" t="s">
        <v>49</v>
      </c>
    </row>
    <row r="28" spans="1:9" x14ac:dyDescent="0.25">
      <c r="A28" s="1" t="s">
        <v>50</v>
      </c>
      <c r="B28" s="1" t="s">
        <v>42</v>
      </c>
      <c r="C28" s="1" t="s">
        <v>51</v>
      </c>
      <c r="D28" s="4">
        <v>0.5</v>
      </c>
      <c r="E28" s="4">
        <v>1</v>
      </c>
      <c r="F28" s="4">
        <v>1</v>
      </c>
      <c r="G28" s="1" t="s">
        <v>52</v>
      </c>
      <c r="H28" s="1" t="s">
        <v>53</v>
      </c>
      <c r="I28" s="1" t="s">
        <v>54</v>
      </c>
    </row>
    <row r="29" spans="1:9" x14ac:dyDescent="0.25">
      <c r="A29" t="s">
        <v>79</v>
      </c>
      <c r="B29">
        <v>90</v>
      </c>
      <c r="G29">
        <f t="shared" ref="G29:G41" si="3">$B29*$D$28</f>
        <v>45</v>
      </c>
      <c r="H29">
        <f t="shared" ref="H29:H41" si="4">$B29*$E$28</f>
        <v>90</v>
      </c>
      <c r="I29">
        <f t="shared" ref="I29:I41" si="5">$B29*$F$28</f>
        <v>90</v>
      </c>
    </row>
    <row r="30" spans="1:9" x14ac:dyDescent="0.25">
      <c r="A30" t="s">
        <v>55</v>
      </c>
      <c r="B30">
        <v>30</v>
      </c>
      <c r="G30">
        <f t="shared" si="3"/>
        <v>15</v>
      </c>
      <c r="H30">
        <f t="shared" si="4"/>
        <v>30</v>
      </c>
      <c r="I30">
        <f t="shared" si="5"/>
        <v>30</v>
      </c>
    </row>
    <row r="31" spans="1:9" x14ac:dyDescent="0.25">
      <c r="A31" t="s">
        <v>56</v>
      </c>
      <c r="B31">
        <v>90</v>
      </c>
      <c r="G31">
        <f t="shared" si="3"/>
        <v>45</v>
      </c>
      <c r="H31">
        <f t="shared" si="4"/>
        <v>90</v>
      </c>
      <c r="I31">
        <f t="shared" si="5"/>
        <v>90</v>
      </c>
    </row>
    <row r="32" spans="1:9" x14ac:dyDescent="0.25">
      <c r="A32" t="s">
        <v>101</v>
      </c>
      <c r="B32">
        <v>60</v>
      </c>
      <c r="G32">
        <f t="shared" si="3"/>
        <v>30</v>
      </c>
      <c r="H32">
        <f t="shared" si="4"/>
        <v>60</v>
      </c>
      <c r="I32">
        <f t="shared" si="5"/>
        <v>60</v>
      </c>
    </row>
    <row r="33" spans="1:9" x14ac:dyDescent="0.25">
      <c r="A33" t="s">
        <v>57</v>
      </c>
      <c r="B33">
        <v>90</v>
      </c>
      <c r="G33">
        <f t="shared" si="3"/>
        <v>45</v>
      </c>
      <c r="H33">
        <f t="shared" si="4"/>
        <v>90</v>
      </c>
      <c r="I33">
        <f t="shared" si="5"/>
        <v>90</v>
      </c>
    </row>
    <row r="34" spans="1:9" x14ac:dyDescent="0.25">
      <c r="A34" t="s">
        <v>96</v>
      </c>
      <c r="B34">
        <v>30</v>
      </c>
      <c r="G34">
        <f t="shared" si="3"/>
        <v>15</v>
      </c>
      <c r="H34">
        <f t="shared" si="4"/>
        <v>30</v>
      </c>
      <c r="I34">
        <f t="shared" si="5"/>
        <v>30</v>
      </c>
    </row>
    <row r="35" spans="1:9" x14ac:dyDescent="0.25">
      <c r="A35" t="s">
        <v>58</v>
      </c>
      <c r="B35">
        <v>30</v>
      </c>
      <c r="G35">
        <f t="shared" si="3"/>
        <v>15</v>
      </c>
      <c r="H35">
        <f t="shared" si="4"/>
        <v>30</v>
      </c>
      <c r="I35">
        <f t="shared" si="5"/>
        <v>30</v>
      </c>
    </row>
    <row r="36" spans="1:9" x14ac:dyDescent="0.25">
      <c r="A36" t="s">
        <v>102</v>
      </c>
      <c r="B36">
        <v>60</v>
      </c>
      <c r="C36" t="s">
        <v>103</v>
      </c>
      <c r="G36">
        <f t="shared" si="3"/>
        <v>30</v>
      </c>
      <c r="H36">
        <f t="shared" si="4"/>
        <v>60</v>
      </c>
      <c r="I36">
        <f t="shared" si="5"/>
        <v>60</v>
      </c>
    </row>
    <row r="37" spans="1:9" x14ac:dyDescent="0.25">
      <c r="A37" t="s">
        <v>104</v>
      </c>
      <c r="B37">
        <v>60</v>
      </c>
      <c r="C37" t="s">
        <v>105</v>
      </c>
      <c r="G37">
        <f t="shared" si="3"/>
        <v>30</v>
      </c>
      <c r="H37">
        <f t="shared" si="4"/>
        <v>60</v>
      </c>
      <c r="I37">
        <f t="shared" si="5"/>
        <v>60</v>
      </c>
    </row>
    <row r="38" spans="1:9" x14ac:dyDescent="0.25">
      <c r="A38" t="s">
        <v>106</v>
      </c>
      <c r="B38">
        <v>60</v>
      </c>
      <c r="C38" t="s">
        <v>107</v>
      </c>
      <c r="G38">
        <f t="shared" si="3"/>
        <v>30</v>
      </c>
      <c r="H38">
        <f t="shared" si="4"/>
        <v>60</v>
      </c>
      <c r="I38">
        <f t="shared" si="5"/>
        <v>60</v>
      </c>
    </row>
    <row r="39" spans="1:9" x14ac:dyDescent="0.25">
      <c r="A39" t="s">
        <v>108</v>
      </c>
      <c r="B39">
        <v>60</v>
      </c>
      <c r="C39" t="s">
        <v>109</v>
      </c>
      <c r="G39">
        <f t="shared" si="3"/>
        <v>30</v>
      </c>
      <c r="H39">
        <f t="shared" si="4"/>
        <v>60</v>
      </c>
      <c r="I39">
        <f t="shared" si="5"/>
        <v>60</v>
      </c>
    </row>
    <row r="40" spans="1:9" x14ac:dyDescent="0.25">
      <c r="A40" t="s">
        <v>110</v>
      </c>
      <c r="B40">
        <v>30</v>
      </c>
      <c r="C40" t="s">
        <v>111</v>
      </c>
      <c r="G40">
        <f t="shared" si="3"/>
        <v>15</v>
      </c>
      <c r="H40">
        <f t="shared" si="4"/>
        <v>30</v>
      </c>
      <c r="I40">
        <f t="shared" si="5"/>
        <v>30</v>
      </c>
    </row>
    <row r="41" spans="1:9" x14ac:dyDescent="0.25">
      <c r="A41" t="s">
        <v>112</v>
      </c>
      <c r="B41">
        <v>60</v>
      </c>
      <c r="C41" t="s">
        <v>113</v>
      </c>
      <c r="G41">
        <f t="shared" si="3"/>
        <v>30</v>
      </c>
      <c r="H41">
        <f t="shared" si="4"/>
        <v>60</v>
      </c>
      <c r="I41">
        <f t="shared" si="5"/>
        <v>60</v>
      </c>
    </row>
    <row r="43" spans="1:9" x14ac:dyDescent="0.25">
      <c r="A43" s="3" t="s">
        <v>61</v>
      </c>
    </row>
    <row r="44" spans="1:9" x14ac:dyDescent="0.25">
      <c r="A44" t="s">
        <v>98</v>
      </c>
    </row>
    <row r="46" spans="1:9" x14ac:dyDescent="0.25">
      <c r="A46" s="3" t="s">
        <v>116</v>
      </c>
      <c r="B46" s="3" t="s">
        <v>100</v>
      </c>
      <c r="D46" s="3" t="s">
        <v>47</v>
      </c>
      <c r="E46" s="3" t="s">
        <v>48</v>
      </c>
      <c r="F46" s="3" t="s">
        <v>49</v>
      </c>
    </row>
    <row r="47" spans="1:9" x14ac:dyDescent="0.25">
      <c r="A47" s="1" t="s">
        <v>50</v>
      </c>
      <c r="B47" s="1" t="s">
        <v>42</v>
      </c>
      <c r="C47" s="1" t="s">
        <v>51</v>
      </c>
      <c r="D47" s="4">
        <v>0.5</v>
      </c>
      <c r="E47" s="4">
        <v>1</v>
      </c>
      <c r="F47" s="4">
        <v>1</v>
      </c>
      <c r="G47" s="1" t="s">
        <v>52</v>
      </c>
      <c r="H47" s="1" t="s">
        <v>53</v>
      </c>
      <c r="I47" s="1" t="s">
        <v>54</v>
      </c>
    </row>
    <row r="48" spans="1:9" x14ac:dyDescent="0.25">
      <c r="A48" t="s">
        <v>79</v>
      </c>
      <c r="B48">
        <v>45</v>
      </c>
      <c r="G48">
        <f t="shared" ref="G48:G60" si="6">$B48*$D$47</f>
        <v>22.5</v>
      </c>
      <c r="H48">
        <f t="shared" ref="H48:H60" si="7">$B48*$E$47</f>
        <v>45</v>
      </c>
      <c r="I48">
        <f t="shared" ref="I48:I60" si="8">$B48*$F$47</f>
        <v>45</v>
      </c>
    </row>
    <row r="49" spans="1:9" x14ac:dyDescent="0.25">
      <c r="A49" t="s">
        <v>55</v>
      </c>
      <c r="B49">
        <v>45</v>
      </c>
      <c r="G49">
        <f t="shared" si="6"/>
        <v>22.5</v>
      </c>
      <c r="H49">
        <f t="shared" si="7"/>
        <v>45</v>
      </c>
      <c r="I49">
        <f t="shared" si="8"/>
        <v>45</v>
      </c>
    </row>
    <row r="50" spans="1:9" x14ac:dyDescent="0.25">
      <c r="A50" t="s">
        <v>56</v>
      </c>
      <c r="B50">
        <v>30</v>
      </c>
      <c r="G50">
        <f t="shared" si="6"/>
        <v>15</v>
      </c>
      <c r="H50">
        <f t="shared" si="7"/>
        <v>30</v>
      </c>
      <c r="I50">
        <f t="shared" si="8"/>
        <v>30</v>
      </c>
    </row>
    <row r="51" spans="1:9" x14ac:dyDescent="0.25">
      <c r="A51" t="s">
        <v>101</v>
      </c>
      <c r="B51">
        <v>45</v>
      </c>
      <c r="G51">
        <f t="shared" si="6"/>
        <v>22.5</v>
      </c>
      <c r="H51">
        <f t="shared" si="7"/>
        <v>45</v>
      </c>
      <c r="I51">
        <f t="shared" si="8"/>
        <v>45</v>
      </c>
    </row>
    <row r="52" spans="1:9" x14ac:dyDescent="0.25">
      <c r="A52" t="s">
        <v>57</v>
      </c>
      <c r="B52">
        <v>38</v>
      </c>
      <c r="G52">
        <f t="shared" si="6"/>
        <v>19</v>
      </c>
      <c r="H52">
        <f t="shared" si="7"/>
        <v>38</v>
      </c>
      <c r="I52">
        <f t="shared" si="8"/>
        <v>38</v>
      </c>
    </row>
    <row r="53" spans="1:9" x14ac:dyDescent="0.25">
      <c r="A53" t="s">
        <v>96</v>
      </c>
      <c r="B53">
        <v>45</v>
      </c>
      <c r="G53">
        <f t="shared" si="6"/>
        <v>22.5</v>
      </c>
      <c r="H53">
        <f t="shared" si="7"/>
        <v>45</v>
      </c>
      <c r="I53">
        <f t="shared" si="8"/>
        <v>45</v>
      </c>
    </row>
    <row r="54" spans="1:9" x14ac:dyDescent="0.25">
      <c r="A54" t="s">
        <v>58</v>
      </c>
      <c r="B54">
        <v>45</v>
      </c>
      <c r="G54">
        <f t="shared" si="6"/>
        <v>22.5</v>
      </c>
      <c r="H54">
        <f t="shared" si="7"/>
        <v>45</v>
      </c>
      <c r="I54">
        <f t="shared" si="8"/>
        <v>45</v>
      </c>
    </row>
    <row r="55" spans="1:9" x14ac:dyDescent="0.25">
      <c r="A55" t="s">
        <v>102</v>
      </c>
      <c r="B55">
        <v>45</v>
      </c>
      <c r="C55" t="s">
        <v>103</v>
      </c>
      <c r="G55">
        <f t="shared" si="6"/>
        <v>22.5</v>
      </c>
      <c r="H55">
        <f t="shared" si="7"/>
        <v>45</v>
      </c>
      <c r="I55">
        <f t="shared" si="8"/>
        <v>45</v>
      </c>
    </row>
    <row r="56" spans="1:9" x14ac:dyDescent="0.25">
      <c r="A56" t="s">
        <v>104</v>
      </c>
      <c r="B56">
        <v>45</v>
      </c>
      <c r="C56" t="s">
        <v>105</v>
      </c>
      <c r="G56">
        <f t="shared" si="6"/>
        <v>22.5</v>
      </c>
      <c r="H56">
        <f t="shared" si="7"/>
        <v>45</v>
      </c>
      <c r="I56">
        <f t="shared" si="8"/>
        <v>45</v>
      </c>
    </row>
    <row r="57" spans="1:9" x14ac:dyDescent="0.25">
      <c r="A57" t="s">
        <v>106</v>
      </c>
      <c r="B57">
        <v>45</v>
      </c>
      <c r="C57" t="s">
        <v>107</v>
      </c>
      <c r="G57">
        <f t="shared" si="6"/>
        <v>22.5</v>
      </c>
      <c r="H57">
        <f t="shared" si="7"/>
        <v>45</v>
      </c>
      <c r="I57">
        <f t="shared" si="8"/>
        <v>45</v>
      </c>
    </row>
    <row r="58" spans="1:9" x14ac:dyDescent="0.25">
      <c r="A58" t="s">
        <v>108</v>
      </c>
      <c r="B58">
        <v>45</v>
      </c>
      <c r="C58" t="s">
        <v>109</v>
      </c>
      <c r="G58">
        <f t="shared" si="6"/>
        <v>22.5</v>
      </c>
      <c r="H58">
        <f t="shared" si="7"/>
        <v>45</v>
      </c>
      <c r="I58">
        <f t="shared" si="8"/>
        <v>45</v>
      </c>
    </row>
    <row r="59" spans="1:9" x14ac:dyDescent="0.25">
      <c r="A59" t="s">
        <v>110</v>
      </c>
      <c r="B59">
        <v>45</v>
      </c>
      <c r="C59" t="s">
        <v>111</v>
      </c>
      <c r="G59">
        <f t="shared" si="6"/>
        <v>22.5</v>
      </c>
      <c r="H59">
        <f t="shared" si="7"/>
        <v>45</v>
      </c>
      <c r="I59">
        <f t="shared" si="8"/>
        <v>45</v>
      </c>
    </row>
    <row r="60" spans="1:9" x14ac:dyDescent="0.25">
      <c r="A60" t="s">
        <v>112</v>
      </c>
      <c r="B60">
        <v>45</v>
      </c>
      <c r="C60" t="s">
        <v>113</v>
      </c>
      <c r="G60">
        <f t="shared" si="6"/>
        <v>22.5</v>
      </c>
      <c r="H60">
        <f t="shared" si="7"/>
        <v>45</v>
      </c>
      <c r="I60">
        <f t="shared" si="8"/>
        <v>45</v>
      </c>
    </row>
    <row r="62" spans="1:9" x14ac:dyDescent="0.25">
      <c r="A62" s="3" t="s">
        <v>61</v>
      </c>
    </row>
    <row r="63" spans="1:9" x14ac:dyDescent="0.25">
      <c r="A63" t="s">
        <v>98</v>
      </c>
    </row>
    <row r="65" spans="1:9" x14ac:dyDescent="0.25">
      <c r="A65" s="3" t="s">
        <v>117</v>
      </c>
      <c r="B65" s="3" t="s">
        <v>115</v>
      </c>
      <c r="D65" s="3" t="s">
        <v>47</v>
      </c>
      <c r="E65" s="3" t="s">
        <v>48</v>
      </c>
      <c r="F65" s="3" t="s">
        <v>49</v>
      </c>
    </row>
    <row r="66" spans="1:9" x14ac:dyDescent="0.25">
      <c r="A66" s="1" t="s">
        <v>50</v>
      </c>
      <c r="B66" s="1" t="s">
        <v>42</v>
      </c>
      <c r="C66" s="1" t="s">
        <v>51</v>
      </c>
      <c r="D66" s="4">
        <v>0.5</v>
      </c>
      <c r="E66" s="4">
        <v>1</v>
      </c>
      <c r="F66" s="4">
        <v>1</v>
      </c>
      <c r="G66" s="1" t="s">
        <v>52</v>
      </c>
      <c r="H66" s="1" t="s">
        <v>53</v>
      </c>
      <c r="I66" s="1" t="s">
        <v>54</v>
      </c>
    </row>
    <row r="67" spans="1:9" x14ac:dyDescent="0.25">
      <c r="A67" t="s">
        <v>79</v>
      </c>
      <c r="B67">
        <v>90</v>
      </c>
      <c r="G67">
        <f t="shared" ref="G67:G79" si="9">$B67*$D$66</f>
        <v>45</v>
      </c>
      <c r="H67">
        <f t="shared" ref="H67:H79" si="10">$B67*$E$66</f>
        <v>90</v>
      </c>
      <c r="I67">
        <f t="shared" ref="I67:I79" si="11">$B67*$F$66</f>
        <v>90</v>
      </c>
    </row>
    <row r="68" spans="1:9" x14ac:dyDescent="0.25">
      <c r="A68" t="s">
        <v>55</v>
      </c>
      <c r="B68">
        <v>90</v>
      </c>
      <c r="G68">
        <f t="shared" si="9"/>
        <v>45</v>
      </c>
      <c r="H68">
        <f t="shared" si="10"/>
        <v>90</v>
      </c>
      <c r="I68">
        <f t="shared" si="11"/>
        <v>90</v>
      </c>
    </row>
    <row r="69" spans="1:9" x14ac:dyDescent="0.25">
      <c r="A69" t="s">
        <v>56</v>
      </c>
      <c r="B69">
        <v>90</v>
      </c>
      <c r="G69">
        <f t="shared" si="9"/>
        <v>45</v>
      </c>
      <c r="H69">
        <f t="shared" si="10"/>
        <v>90</v>
      </c>
      <c r="I69">
        <f t="shared" si="11"/>
        <v>90</v>
      </c>
    </row>
    <row r="70" spans="1:9" x14ac:dyDescent="0.25">
      <c r="A70" t="s">
        <v>101</v>
      </c>
      <c r="B70">
        <v>90</v>
      </c>
      <c r="G70">
        <f t="shared" si="9"/>
        <v>45</v>
      </c>
      <c r="H70">
        <f t="shared" si="10"/>
        <v>90</v>
      </c>
      <c r="I70">
        <f t="shared" si="11"/>
        <v>90</v>
      </c>
    </row>
    <row r="71" spans="1:9" x14ac:dyDescent="0.25">
      <c r="A71" t="s">
        <v>57</v>
      </c>
      <c r="B71">
        <v>90</v>
      </c>
      <c r="G71">
        <f t="shared" si="9"/>
        <v>45</v>
      </c>
      <c r="H71">
        <f t="shared" si="10"/>
        <v>90</v>
      </c>
      <c r="I71">
        <f t="shared" si="11"/>
        <v>90</v>
      </c>
    </row>
    <row r="72" spans="1:9" x14ac:dyDescent="0.25">
      <c r="A72" t="s">
        <v>96</v>
      </c>
      <c r="B72">
        <v>90</v>
      </c>
      <c r="G72">
        <f t="shared" si="9"/>
        <v>45</v>
      </c>
      <c r="H72">
        <f t="shared" si="10"/>
        <v>90</v>
      </c>
      <c r="I72">
        <f t="shared" si="11"/>
        <v>90</v>
      </c>
    </row>
    <row r="73" spans="1:9" x14ac:dyDescent="0.25">
      <c r="A73" t="s">
        <v>58</v>
      </c>
      <c r="B73">
        <v>90</v>
      </c>
      <c r="G73">
        <f t="shared" si="9"/>
        <v>45</v>
      </c>
      <c r="H73">
        <f t="shared" si="10"/>
        <v>90</v>
      </c>
      <c r="I73">
        <f t="shared" si="11"/>
        <v>90</v>
      </c>
    </row>
    <row r="74" spans="1:9" x14ac:dyDescent="0.25">
      <c r="A74" t="s">
        <v>102</v>
      </c>
      <c r="B74">
        <v>90</v>
      </c>
      <c r="C74" t="s">
        <v>103</v>
      </c>
      <c r="G74">
        <f t="shared" si="9"/>
        <v>45</v>
      </c>
      <c r="H74">
        <f t="shared" si="10"/>
        <v>90</v>
      </c>
      <c r="I74">
        <f t="shared" si="11"/>
        <v>90</v>
      </c>
    </row>
    <row r="75" spans="1:9" x14ac:dyDescent="0.25">
      <c r="A75" t="s">
        <v>104</v>
      </c>
      <c r="B75">
        <v>90</v>
      </c>
      <c r="C75" t="s">
        <v>105</v>
      </c>
      <c r="G75">
        <f t="shared" si="9"/>
        <v>45</v>
      </c>
      <c r="H75">
        <f t="shared" si="10"/>
        <v>90</v>
      </c>
      <c r="I75">
        <f t="shared" si="11"/>
        <v>90</v>
      </c>
    </row>
    <row r="76" spans="1:9" x14ac:dyDescent="0.25">
      <c r="A76" t="s">
        <v>106</v>
      </c>
      <c r="B76">
        <v>90</v>
      </c>
      <c r="C76" t="s">
        <v>107</v>
      </c>
      <c r="G76">
        <f t="shared" si="9"/>
        <v>45</v>
      </c>
      <c r="H76">
        <f t="shared" si="10"/>
        <v>90</v>
      </c>
      <c r="I76">
        <f t="shared" si="11"/>
        <v>90</v>
      </c>
    </row>
    <row r="77" spans="1:9" x14ac:dyDescent="0.25">
      <c r="A77" t="s">
        <v>108</v>
      </c>
      <c r="B77">
        <v>60</v>
      </c>
      <c r="C77" t="s">
        <v>109</v>
      </c>
      <c r="G77">
        <f t="shared" si="9"/>
        <v>30</v>
      </c>
      <c r="H77">
        <f t="shared" si="10"/>
        <v>60</v>
      </c>
      <c r="I77">
        <f t="shared" si="11"/>
        <v>60</v>
      </c>
    </row>
    <row r="78" spans="1:9" x14ac:dyDescent="0.25">
      <c r="A78" t="s">
        <v>110</v>
      </c>
      <c r="B78">
        <v>90</v>
      </c>
      <c r="C78" t="s">
        <v>111</v>
      </c>
      <c r="G78">
        <f t="shared" si="9"/>
        <v>45</v>
      </c>
      <c r="H78">
        <f t="shared" si="10"/>
        <v>90</v>
      </c>
      <c r="I78">
        <f t="shared" si="11"/>
        <v>90</v>
      </c>
    </row>
    <row r="79" spans="1:9" x14ac:dyDescent="0.25">
      <c r="A79" t="s">
        <v>112</v>
      </c>
      <c r="B79">
        <v>60</v>
      </c>
      <c r="C79" t="s">
        <v>113</v>
      </c>
      <c r="G79">
        <f t="shared" si="9"/>
        <v>30</v>
      </c>
      <c r="H79">
        <f t="shared" si="10"/>
        <v>60</v>
      </c>
      <c r="I79">
        <f t="shared" si="11"/>
        <v>60</v>
      </c>
    </row>
    <row r="81" spans="1:1" x14ac:dyDescent="0.25">
      <c r="A81" s="3" t="s">
        <v>61</v>
      </c>
    </row>
    <row r="82" spans="1:1" x14ac:dyDescent="0.25">
      <c r="A82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3"/>
  <sheetViews>
    <sheetView workbookViewId="0">
      <pane ySplit="3" topLeftCell="A4" activePane="bottomLeft" state="frozen"/>
      <selection pane="bottomLeft" activeCell="D8" sqref="D8:F8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14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118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77</v>
      </c>
      <c r="B11">
        <v>-8.5</v>
      </c>
      <c r="G11">
        <f t="shared" ref="G11:G36" si="0">$B11*$D$10</f>
        <v>-4.25</v>
      </c>
      <c r="H11">
        <f t="shared" ref="H11:H36" si="1">$B11*$E$10</f>
        <v>4.25</v>
      </c>
      <c r="I11">
        <f t="shared" ref="I11:I36" si="2">$B11*$F$10</f>
        <v>0</v>
      </c>
    </row>
    <row r="12" spans="1:9" x14ac:dyDescent="0.25">
      <c r="A12" t="s">
        <v>78</v>
      </c>
      <c r="B12">
        <v>-8.5</v>
      </c>
      <c r="G12">
        <f t="shared" si="0"/>
        <v>-4.25</v>
      </c>
      <c r="H12">
        <f t="shared" si="1"/>
        <v>4.25</v>
      </c>
      <c r="I12">
        <f t="shared" si="2"/>
        <v>0</v>
      </c>
    </row>
    <row r="13" spans="1:9" x14ac:dyDescent="0.25">
      <c r="A13" t="s">
        <v>79</v>
      </c>
      <c r="B13">
        <v>-15.7</v>
      </c>
      <c r="G13">
        <f t="shared" si="0"/>
        <v>-7.85</v>
      </c>
      <c r="H13">
        <f t="shared" si="1"/>
        <v>7.85</v>
      </c>
      <c r="I13">
        <f t="shared" si="2"/>
        <v>0</v>
      </c>
    </row>
    <row r="14" spans="1:9" x14ac:dyDescent="0.25">
      <c r="A14" t="s">
        <v>55</v>
      </c>
      <c r="B14">
        <v>-8.5</v>
      </c>
      <c r="G14">
        <f t="shared" si="0"/>
        <v>-4.25</v>
      </c>
      <c r="H14">
        <f t="shared" si="1"/>
        <v>4.25</v>
      </c>
      <c r="I14">
        <f t="shared" si="2"/>
        <v>0</v>
      </c>
    </row>
    <row r="15" spans="1:9" x14ac:dyDescent="0.25">
      <c r="A15" t="s">
        <v>80</v>
      </c>
      <c r="B15">
        <v>-8.5</v>
      </c>
      <c r="G15">
        <f t="shared" si="0"/>
        <v>-4.25</v>
      </c>
      <c r="H15">
        <f t="shared" si="1"/>
        <v>4.25</v>
      </c>
      <c r="I15">
        <f t="shared" si="2"/>
        <v>0</v>
      </c>
    </row>
    <row r="16" spans="1:9" x14ac:dyDescent="0.25">
      <c r="A16" t="s">
        <v>81</v>
      </c>
      <c r="B16">
        <v>-8.5</v>
      </c>
      <c r="G16">
        <f t="shared" si="0"/>
        <v>-4.25</v>
      </c>
      <c r="H16">
        <f t="shared" si="1"/>
        <v>4.25</v>
      </c>
      <c r="I16">
        <f t="shared" si="2"/>
        <v>0</v>
      </c>
    </row>
    <row r="17" spans="1:9" x14ac:dyDescent="0.25">
      <c r="A17" t="s">
        <v>82</v>
      </c>
      <c r="B17">
        <v>-8.5</v>
      </c>
      <c r="G17">
        <f t="shared" si="0"/>
        <v>-4.25</v>
      </c>
      <c r="H17">
        <f t="shared" si="1"/>
        <v>4.25</v>
      </c>
      <c r="I17">
        <f t="shared" si="2"/>
        <v>0</v>
      </c>
    </row>
    <row r="18" spans="1:9" x14ac:dyDescent="0.25">
      <c r="A18" t="s">
        <v>83</v>
      </c>
      <c r="B18">
        <v>-8.5</v>
      </c>
      <c r="G18">
        <f t="shared" si="0"/>
        <v>-4.25</v>
      </c>
      <c r="H18">
        <f t="shared" si="1"/>
        <v>4.25</v>
      </c>
      <c r="I18">
        <f t="shared" si="2"/>
        <v>0</v>
      </c>
    </row>
    <row r="19" spans="1:9" x14ac:dyDescent="0.25">
      <c r="A19" t="s">
        <v>57</v>
      </c>
      <c r="B19">
        <v>-14.5</v>
      </c>
      <c r="G19">
        <f t="shared" si="0"/>
        <v>-7.25</v>
      </c>
      <c r="H19">
        <f t="shared" si="1"/>
        <v>7.25</v>
      </c>
      <c r="I19">
        <f t="shared" si="2"/>
        <v>0</v>
      </c>
    </row>
    <row r="20" spans="1:9" x14ac:dyDescent="0.25">
      <c r="A20" t="s">
        <v>84</v>
      </c>
      <c r="B20">
        <v>-8.5</v>
      </c>
      <c r="G20">
        <f t="shared" si="0"/>
        <v>-4.25</v>
      </c>
      <c r="H20">
        <f t="shared" si="1"/>
        <v>4.25</v>
      </c>
      <c r="I20">
        <f t="shared" si="2"/>
        <v>0</v>
      </c>
    </row>
    <row r="21" spans="1:9" x14ac:dyDescent="0.25">
      <c r="A21" t="s">
        <v>85</v>
      </c>
      <c r="B21">
        <v>-8.5</v>
      </c>
      <c r="G21">
        <f t="shared" si="0"/>
        <v>-4.25</v>
      </c>
      <c r="H21">
        <f t="shared" si="1"/>
        <v>4.25</v>
      </c>
      <c r="I21">
        <f t="shared" si="2"/>
        <v>0</v>
      </c>
    </row>
    <row r="22" spans="1:9" x14ac:dyDescent="0.25">
      <c r="A22" t="s">
        <v>60</v>
      </c>
      <c r="B22">
        <v>-8.5</v>
      </c>
      <c r="G22">
        <f t="shared" si="0"/>
        <v>-4.25</v>
      </c>
      <c r="H22">
        <f t="shared" si="1"/>
        <v>4.25</v>
      </c>
      <c r="I22">
        <f t="shared" si="2"/>
        <v>0</v>
      </c>
    </row>
    <row r="23" spans="1:9" x14ac:dyDescent="0.25">
      <c r="A23" t="s">
        <v>59</v>
      </c>
      <c r="B23">
        <v>-8.5</v>
      </c>
      <c r="G23">
        <f t="shared" si="0"/>
        <v>-4.25</v>
      </c>
      <c r="H23">
        <f t="shared" si="1"/>
        <v>4.25</v>
      </c>
      <c r="I23">
        <f t="shared" si="2"/>
        <v>0</v>
      </c>
    </row>
    <row r="24" spans="1:9" x14ac:dyDescent="0.25">
      <c r="A24" t="s">
        <v>86</v>
      </c>
      <c r="B24">
        <v>-8.5</v>
      </c>
      <c r="G24">
        <f t="shared" si="0"/>
        <v>-4.25</v>
      </c>
      <c r="H24">
        <f t="shared" si="1"/>
        <v>4.25</v>
      </c>
      <c r="I24">
        <f t="shared" si="2"/>
        <v>0</v>
      </c>
    </row>
    <row r="25" spans="1:9" x14ac:dyDescent="0.25">
      <c r="A25" t="s">
        <v>87</v>
      </c>
      <c r="B25">
        <v>-8.5</v>
      </c>
      <c r="G25">
        <f t="shared" si="0"/>
        <v>-4.25</v>
      </c>
      <c r="H25">
        <f t="shared" si="1"/>
        <v>4.25</v>
      </c>
      <c r="I25">
        <f t="shared" si="2"/>
        <v>0</v>
      </c>
    </row>
    <row r="26" spans="1:9" x14ac:dyDescent="0.25">
      <c r="A26" t="s">
        <v>88</v>
      </c>
      <c r="B26">
        <v>-8.5</v>
      </c>
      <c r="G26">
        <f t="shared" si="0"/>
        <v>-4.25</v>
      </c>
      <c r="H26">
        <f t="shared" si="1"/>
        <v>4.25</v>
      </c>
      <c r="I26">
        <f t="shared" si="2"/>
        <v>0</v>
      </c>
    </row>
    <row r="27" spans="1:9" x14ac:dyDescent="0.25">
      <c r="A27" t="s">
        <v>89</v>
      </c>
      <c r="B27">
        <v>-8.5</v>
      </c>
      <c r="G27">
        <f t="shared" si="0"/>
        <v>-4.25</v>
      </c>
      <c r="H27">
        <f t="shared" si="1"/>
        <v>4.25</v>
      </c>
      <c r="I27">
        <f t="shared" si="2"/>
        <v>0</v>
      </c>
    </row>
    <row r="28" spans="1:9" x14ac:dyDescent="0.25">
      <c r="A28" t="s">
        <v>90</v>
      </c>
      <c r="B28">
        <v>-8.5</v>
      </c>
      <c r="G28">
        <f t="shared" si="0"/>
        <v>-4.25</v>
      </c>
      <c r="H28">
        <f t="shared" si="1"/>
        <v>4.25</v>
      </c>
      <c r="I28">
        <f t="shared" si="2"/>
        <v>0</v>
      </c>
    </row>
    <row r="29" spans="1:9" x14ac:dyDescent="0.25">
      <c r="A29" t="s">
        <v>91</v>
      </c>
      <c r="B29">
        <v>-8.5</v>
      </c>
      <c r="G29">
        <f t="shared" si="0"/>
        <v>-4.25</v>
      </c>
      <c r="H29">
        <f t="shared" si="1"/>
        <v>4.25</v>
      </c>
      <c r="I29">
        <f t="shared" si="2"/>
        <v>0</v>
      </c>
    </row>
    <row r="30" spans="1:9" x14ac:dyDescent="0.25">
      <c r="A30" t="s">
        <v>92</v>
      </c>
      <c r="B30">
        <v>-8.5</v>
      </c>
      <c r="G30">
        <f t="shared" si="0"/>
        <v>-4.25</v>
      </c>
      <c r="H30">
        <f t="shared" si="1"/>
        <v>4.25</v>
      </c>
      <c r="I30">
        <f t="shared" si="2"/>
        <v>0</v>
      </c>
    </row>
    <row r="31" spans="1:9" x14ac:dyDescent="0.25">
      <c r="A31" t="s">
        <v>93</v>
      </c>
      <c r="B31">
        <v>-8.5</v>
      </c>
      <c r="G31">
        <f t="shared" si="0"/>
        <v>-4.25</v>
      </c>
      <c r="H31">
        <f t="shared" si="1"/>
        <v>4.25</v>
      </c>
      <c r="I31">
        <f t="shared" si="2"/>
        <v>0</v>
      </c>
    </row>
    <row r="32" spans="1:9" x14ac:dyDescent="0.25">
      <c r="A32" t="s">
        <v>94</v>
      </c>
      <c r="B32">
        <v>-8.5</v>
      </c>
      <c r="G32">
        <f t="shared" si="0"/>
        <v>-4.25</v>
      </c>
      <c r="H32">
        <f t="shared" si="1"/>
        <v>4.25</v>
      </c>
      <c r="I32">
        <f t="shared" si="2"/>
        <v>0</v>
      </c>
    </row>
    <row r="33" spans="1:9" x14ac:dyDescent="0.25">
      <c r="A33" t="s">
        <v>95</v>
      </c>
      <c r="B33">
        <v>-8.5</v>
      </c>
      <c r="G33">
        <f t="shared" si="0"/>
        <v>-4.25</v>
      </c>
      <c r="H33">
        <f t="shared" si="1"/>
        <v>4.25</v>
      </c>
      <c r="I33">
        <f t="shared" si="2"/>
        <v>0</v>
      </c>
    </row>
    <row r="34" spans="1:9" x14ac:dyDescent="0.25">
      <c r="A34" t="s">
        <v>96</v>
      </c>
      <c r="B34">
        <v>-15.7</v>
      </c>
      <c r="G34">
        <f t="shared" si="0"/>
        <v>-7.85</v>
      </c>
      <c r="H34">
        <f t="shared" si="1"/>
        <v>7.85</v>
      </c>
      <c r="I34">
        <f t="shared" si="2"/>
        <v>0</v>
      </c>
    </row>
    <row r="35" spans="1:9" x14ac:dyDescent="0.25">
      <c r="A35" t="s">
        <v>97</v>
      </c>
      <c r="B35">
        <v>-8.5</v>
      </c>
      <c r="G35">
        <f t="shared" si="0"/>
        <v>-4.25</v>
      </c>
      <c r="H35">
        <f t="shared" si="1"/>
        <v>4.25</v>
      </c>
      <c r="I35">
        <f t="shared" si="2"/>
        <v>0</v>
      </c>
    </row>
    <row r="36" spans="1:9" x14ac:dyDescent="0.25">
      <c r="A36" t="s">
        <v>58</v>
      </c>
      <c r="B36">
        <v>-8.5</v>
      </c>
      <c r="G36">
        <f t="shared" si="0"/>
        <v>-4.25</v>
      </c>
      <c r="H36">
        <f t="shared" si="1"/>
        <v>4.25</v>
      </c>
      <c r="I36">
        <f t="shared" si="2"/>
        <v>0</v>
      </c>
    </row>
    <row r="38" spans="1:9" x14ac:dyDescent="0.25">
      <c r="A38" s="3" t="s">
        <v>61</v>
      </c>
    </row>
    <row r="39" spans="1:9" x14ac:dyDescent="0.25">
      <c r="A39" t="s">
        <v>98</v>
      </c>
    </row>
    <row r="41" spans="1:9" x14ac:dyDescent="0.25">
      <c r="A41" s="3" t="s">
        <v>119</v>
      </c>
      <c r="D41" s="3" t="s">
        <v>47</v>
      </c>
      <c r="E41" s="3" t="s">
        <v>48</v>
      </c>
      <c r="F41" s="3" t="s">
        <v>49</v>
      </c>
    </row>
    <row r="42" spans="1:9" x14ac:dyDescent="0.25">
      <c r="A42" s="1" t="s">
        <v>50</v>
      </c>
      <c r="B42" s="1" t="s">
        <v>42</v>
      </c>
      <c r="C42" s="1" t="s">
        <v>51</v>
      </c>
      <c r="D42" s="4">
        <v>0.5</v>
      </c>
      <c r="E42" s="4">
        <v>-1</v>
      </c>
      <c r="F42" s="4">
        <v>1</v>
      </c>
      <c r="G42" s="1" t="s">
        <v>52</v>
      </c>
      <c r="H42" s="1" t="s">
        <v>53</v>
      </c>
      <c r="I42" s="1" t="s">
        <v>54</v>
      </c>
    </row>
    <row r="43" spans="1:9" x14ac:dyDescent="0.25">
      <c r="A43" t="s">
        <v>77</v>
      </c>
      <c r="B43">
        <v>-7.5</v>
      </c>
      <c r="G43">
        <f t="shared" ref="G43:G68" si="3">$B43*$D$42</f>
        <v>-3.75</v>
      </c>
      <c r="H43">
        <f t="shared" ref="H43:H68" si="4">$B43*$E$42</f>
        <v>7.5</v>
      </c>
      <c r="I43">
        <f t="shared" ref="I43:I68" si="5">$B43*$F$42</f>
        <v>-7.5</v>
      </c>
    </row>
    <row r="44" spans="1:9" x14ac:dyDescent="0.25">
      <c r="A44" t="s">
        <v>78</v>
      </c>
      <c r="B44">
        <v>-7.5</v>
      </c>
      <c r="G44">
        <f t="shared" si="3"/>
        <v>-3.75</v>
      </c>
      <c r="H44">
        <f t="shared" si="4"/>
        <v>7.5</v>
      </c>
      <c r="I44">
        <f t="shared" si="5"/>
        <v>-7.5</v>
      </c>
    </row>
    <row r="45" spans="1:9" x14ac:dyDescent="0.25">
      <c r="A45" t="s">
        <v>79</v>
      </c>
      <c r="B45">
        <v>-13.9</v>
      </c>
      <c r="G45">
        <f t="shared" si="3"/>
        <v>-6.95</v>
      </c>
      <c r="H45">
        <f t="shared" si="4"/>
        <v>13.9</v>
      </c>
      <c r="I45">
        <f t="shared" si="5"/>
        <v>-13.9</v>
      </c>
    </row>
    <row r="46" spans="1:9" x14ac:dyDescent="0.25">
      <c r="A46" t="s">
        <v>55</v>
      </c>
      <c r="B46">
        <v>-7.5</v>
      </c>
      <c r="G46">
        <f t="shared" si="3"/>
        <v>-3.75</v>
      </c>
      <c r="H46">
        <f t="shared" si="4"/>
        <v>7.5</v>
      </c>
      <c r="I46">
        <f t="shared" si="5"/>
        <v>-7.5</v>
      </c>
    </row>
    <row r="47" spans="1:9" x14ac:dyDescent="0.25">
      <c r="A47" t="s">
        <v>80</v>
      </c>
      <c r="B47">
        <v>-7.5</v>
      </c>
      <c r="G47">
        <f t="shared" si="3"/>
        <v>-3.75</v>
      </c>
      <c r="H47">
        <f t="shared" si="4"/>
        <v>7.5</v>
      </c>
      <c r="I47">
        <f t="shared" si="5"/>
        <v>-7.5</v>
      </c>
    </row>
    <row r="48" spans="1:9" x14ac:dyDescent="0.25">
      <c r="A48" t="s">
        <v>81</v>
      </c>
      <c r="B48">
        <v>-7.5</v>
      </c>
      <c r="G48">
        <f t="shared" si="3"/>
        <v>-3.75</v>
      </c>
      <c r="H48">
        <f t="shared" si="4"/>
        <v>7.5</v>
      </c>
      <c r="I48">
        <f t="shared" si="5"/>
        <v>-7.5</v>
      </c>
    </row>
    <row r="49" spans="1:9" x14ac:dyDescent="0.25">
      <c r="A49" t="s">
        <v>82</v>
      </c>
      <c r="B49">
        <v>-7.5</v>
      </c>
      <c r="G49">
        <f t="shared" si="3"/>
        <v>-3.75</v>
      </c>
      <c r="H49">
        <f t="shared" si="4"/>
        <v>7.5</v>
      </c>
      <c r="I49">
        <f t="shared" si="5"/>
        <v>-7.5</v>
      </c>
    </row>
    <row r="50" spans="1:9" x14ac:dyDescent="0.25">
      <c r="A50" t="s">
        <v>83</v>
      </c>
      <c r="B50">
        <v>-7.5</v>
      </c>
      <c r="G50">
        <f t="shared" si="3"/>
        <v>-3.75</v>
      </c>
      <c r="H50">
        <f t="shared" si="4"/>
        <v>7.5</v>
      </c>
      <c r="I50">
        <f t="shared" si="5"/>
        <v>-7.5</v>
      </c>
    </row>
    <row r="51" spans="1:9" x14ac:dyDescent="0.25">
      <c r="A51" t="s">
        <v>57</v>
      </c>
      <c r="B51">
        <v>-12.8</v>
      </c>
      <c r="G51">
        <f t="shared" si="3"/>
        <v>-6.4</v>
      </c>
      <c r="H51">
        <f t="shared" si="4"/>
        <v>12.8</v>
      </c>
      <c r="I51">
        <f t="shared" si="5"/>
        <v>-12.8</v>
      </c>
    </row>
    <row r="52" spans="1:9" x14ac:dyDescent="0.25">
      <c r="A52" t="s">
        <v>84</v>
      </c>
      <c r="B52">
        <v>-7.5</v>
      </c>
      <c r="G52">
        <f t="shared" si="3"/>
        <v>-3.75</v>
      </c>
      <c r="H52">
        <f t="shared" si="4"/>
        <v>7.5</v>
      </c>
      <c r="I52">
        <f t="shared" si="5"/>
        <v>-7.5</v>
      </c>
    </row>
    <row r="53" spans="1:9" x14ac:dyDescent="0.25">
      <c r="A53" t="s">
        <v>85</v>
      </c>
      <c r="B53">
        <v>-7.5</v>
      </c>
      <c r="G53">
        <f t="shared" si="3"/>
        <v>-3.75</v>
      </c>
      <c r="H53">
        <f t="shared" si="4"/>
        <v>7.5</v>
      </c>
      <c r="I53">
        <f t="shared" si="5"/>
        <v>-7.5</v>
      </c>
    </row>
    <row r="54" spans="1:9" x14ac:dyDescent="0.25">
      <c r="A54" t="s">
        <v>60</v>
      </c>
      <c r="B54">
        <v>-7.5</v>
      </c>
      <c r="G54">
        <f t="shared" si="3"/>
        <v>-3.75</v>
      </c>
      <c r="H54">
        <f t="shared" si="4"/>
        <v>7.5</v>
      </c>
      <c r="I54">
        <f t="shared" si="5"/>
        <v>-7.5</v>
      </c>
    </row>
    <row r="55" spans="1:9" x14ac:dyDescent="0.25">
      <c r="A55" t="s">
        <v>59</v>
      </c>
      <c r="B55">
        <v>-7.5</v>
      </c>
      <c r="G55">
        <f t="shared" si="3"/>
        <v>-3.75</v>
      </c>
      <c r="H55">
        <f t="shared" si="4"/>
        <v>7.5</v>
      </c>
      <c r="I55">
        <f t="shared" si="5"/>
        <v>-7.5</v>
      </c>
    </row>
    <row r="56" spans="1:9" x14ac:dyDescent="0.25">
      <c r="A56" t="s">
        <v>86</v>
      </c>
      <c r="B56">
        <v>-7.5</v>
      </c>
      <c r="G56">
        <f t="shared" si="3"/>
        <v>-3.75</v>
      </c>
      <c r="H56">
        <f t="shared" si="4"/>
        <v>7.5</v>
      </c>
      <c r="I56">
        <f t="shared" si="5"/>
        <v>-7.5</v>
      </c>
    </row>
    <row r="57" spans="1:9" x14ac:dyDescent="0.25">
      <c r="A57" t="s">
        <v>87</v>
      </c>
      <c r="B57">
        <v>-7.5</v>
      </c>
      <c r="G57">
        <f t="shared" si="3"/>
        <v>-3.75</v>
      </c>
      <c r="H57">
        <f t="shared" si="4"/>
        <v>7.5</v>
      </c>
      <c r="I57">
        <f t="shared" si="5"/>
        <v>-7.5</v>
      </c>
    </row>
    <row r="58" spans="1:9" x14ac:dyDescent="0.25">
      <c r="A58" t="s">
        <v>88</v>
      </c>
      <c r="B58">
        <v>-7.5</v>
      </c>
      <c r="G58">
        <f t="shared" si="3"/>
        <v>-3.75</v>
      </c>
      <c r="H58">
        <f t="shared" si="4"/>
        <v>7.5</v>
      </c>
      <c r="I58">
        <f t="shared" si="5"/>
        <v>-7.5</v>
      </c>
    </row>
    <row r="59" spans="1:9" x14ac:dyDescent="0.25">
      <c r="A59" t="s">
        <v>89</v>
      </c>
      <c r="B59">
        <v>-7.5</v>
      </c>
      <c r="G59">
        <f t="shared" si="3"/>
        <v>-3.75</v>
      </c>
      <c r="H59">
        <f t="shared" si="4"/>
        <v>7.5</v>
      </c>
      <c r="I59">
        <f t="shared" si="5"/>
        <v>-7.5</v>
      </c>
    </row>
    <row r="60" spans="1:9" x14ac:dyDescent="0.25">
      <c r="A60" t="s">
        <v>90</v>
      </c>
      <c r="B60">
        <v>-7.5</v>
      </c>
      <c r="G60">
        <f t="shared" si="3"/>
        <v>-3.75</v>
      </c>
      <c r="H60">
        <f t="shared" si="4"/>
        <v>7.5</v>
      </c>
      <c r="I60">
        <f t="shared" si="5"/>
        <v>-7.5</v>
      </c>
    </row>
    <row r="61" spans="1:9" x14ac:dyDescent="0.25">
      <c r="A61" t="s">
        <v>91</v>
      </c>
      <c r="B61">
        <v>-7.5</v>
      </c>
      <c r="G61">
        <f t="shared" si="3"/>
        <v>-3.75</v>
      </c>
      <c r="H61">
        <f t="shared" si="4"/>
        <v>7.5</v>
      </c>
      <c r="I61">
        <f t="shared" si="5"/>
        <v>-7.5</v>
      </c>
    </row>
    <row r="62" spans="1:9" x14ac:dyDescent="0.25">
      <c r="A62" t="s">
        <v>92</v>
      </c>
      <c r="B62">
        <v>-7.5</v>
      </c>
      <c r="G62">
        <f t="shared" si="3"/>
        <v>-3.75</v>
      </c>
      <c r="H62">
        <f t="shared" si="4"/>
        <v>7.5</v>
      </c>
      <c r="I62">
        <f t="shared" si="5"/>
        <v>-7.5</v>
      </c>
    </row>
    <row r="63" spans="1:9" x14ac:dyDescent="0.25">
      <c r="A63" t="s">
        <v>93</v>
      </c>
      <c r="B63">
        <v>-7.5</v>
      </c>
      <c r="G63">
        <f t="shared" si="3"/>
        <v>-3.75</v>
      </c>
      <c r="H63">
        <f t="shared" si="4"/>
        <v>7.5</v>
      </c>
      <c r="I63">
        <f t="shared" si="5"/>
        <v>-7.5</v>
      </c>
    </row>
    <row r="64" spans="1:9" x14ac:dyDescent="0.25">
      <c r="A64" t="s">
        <v>94</v>
      </c>
      <c r="B64">
        <v>-7.5</v>
      </c>
      <c r="G64">
        <f t="shared" si="3"/>
        <v>-3.75</v>
      </c>
      <c r="H64">
        <f t="shared" si="4"/>
        <v>7.5</v>
      </c>
      <c r="I64">
        <f t="shared" si="5"/>
        <v>-7.5</v>
      </c>
    </row>
    <row r="65" spans="1:9" x14ac:dyDescent="0.25">
      <c r="A65" t="s">
        <v>95</v>
      </c>
      <c r="B65">
        <v>-7.5</v>
      </c>
      <c r="G65">
        <f t="shared" si="3"/>
        <v>-3.75</v>
      </c>
      <c r="H65">
        <f t="shared" si="4"/>
        <v>7.5</v>
      </c>
      <c r="I65">
        <f t="shared" si="5"/>
        <v>-7.5</v>
      </c>
    </row>
    <row r="66" spans="1:9" x14ac:dyDescent="0.25">
      <c r="A66" t="s">
        <v>96</v>
      </c>
      <c r="B66">
        <v>-13.9</v>
      </c>
      <c r="G66">
        <f t="shared" si="3"/>
        <v>-6.95</v>
      </c>
      <c r="H66">
        <f t="shared" si="4"/>
        <v>13.9</v>
      </c>
      <c r="I66">
        <f t="shared" si="5"/>
        <v>-13.9</v>
      </c>
    </row>
    <row r="67" spans="1:9" x14ac:dyDescent="0.25">
      <c r="A67" t="s">
        <v>97</v>
      </c>
      <c r="B67">
        <v>-7.5</v>
      </c>
      <c r="G67">
        <f t="shared" si="3"/>
        <v>-3.75</v>
      </c>
      <c r="H67">
        <f t="shared" si="4"/>
        <v>7.5</v>
      </c>
      <c r="I67">
        <f t="shared" si="5"/>
        <v>-7.5</v>
      </c>
    </row>
    <row r="68" spans="1:9" x14ac:dyDescent="0.25">
      <c r="A68" t="s">
        <v>58</v>
      </c>
      <c r="B68">
        <v>-7.5</v>
      </c>
      <c r="G68">
        <f t="shared" si="3"/>
        <v>-3.75</v>
      </c>
      <c r="H68">
        <f t="shared" si="4"/>
        <v>7.5</v>
      </c>
      <c r="I68">
        <f t="shared" si="5"/>
        <v>-7.5</v>
      </c>
    </row>
    <row r="70" spans="1:9" x14ac:dyDescent="0.25">
      <c r="A70" s="3" t="s">
        <v>61</v>
      </c>
    </row>
    <row r="71" spans="1:9" x14ac:dyDescent="0.25">
      <c r="A71" t="s">
        <v>98</v>
      </c>
    </row>
    <row r="73" spans="1:9" x14ac:dyDescent="0.25">
      <c r="A73" s="3" t="s">
        <v>120</v>
      </c>
      <c r="D73" s="3" t="s">
        <v>47</v>
      </c>
      <c r="E73" s="3" t="s">
        <v>48</v>
      </c>
      <c r="F73" s="3" t="s">
        <v>49</v>
      </c>
    </row>
    <row r="74" spans="1:9" x14ac:dyDescent="0.25">
      <c r="A74" s="1" t="s">
        <v>50</v>
      </c>
      <c r="B74" s="1" t="s">
        <v>42</v>
      </c>
      <c r="C74" s="1" t="s">
        <v>51</v>
      </c>
      <c r="D74" s="4">
        <v>0.5</v>
      </c>
      <c r="E74" s="4">
        <v>-1</v>
      </c>
      <c r="F74" s="4">
        <v>1</v>
      </c>
      <c r="G74" s="1" t="s">
        <v>52</v>
      </c>
      <c r="H74" s="1" t="s">
        <v>53</v>
      </c>
      <c r="I74" s="1" t="s">
        <v>54</v>
      </c>
    </row>
    <row r="75" spans="1:9" x14ac:dyDescent="0.25">
      <c r="A75" t="s">
        <v>77</v>
      </c>
      <c r="B75">
        <v>-9.5</v>
      </c>
      <c r="G75">
        <f t="shared" ref="G75:G100" si="6">$B75*$D$74</f>
        <v>-4.75</v>
      </c>
      <c r="H75">
        <f t="shared" ref="H75:H100" si="7">$B75*$E$74</f>
        <v>9.5</v>
      </c>
      <c r="I75">
        <f t="shared" ref="I75:I100" si="8">$B75*$F$74</f>
        <v>-9.5</v>
      </c>
    </row>
    <row r="76" spans="1:9" x14ac:dyDescent="0.25">
      <c r="A76" t="s">
        <v>78</v>
      </c>
      <c r="B76">
        <v>-9.5</v>
      </c>
      <c r="G76">
        <f t="shared" si="6"/>
        <v>-4.75</v>
      </c>
      <c r="H76">
        <f t="shared" si="7"/>
        <v>9.5</v>
      </c>
      <c r="I76">
        <f t="shared" si="8"/>
        <v>-9.5</v>
      </c>
    </row>
    <row r="77" spans="1:9" x14ac:dyDescent="0.25">
      <c r="A77" t="s">
        <v>79</v>
      </c>
      <c r="B77">
        <v>-17.600000000000001</v>
      </c>
      <c r="G77">
        <f t="shared" si="6"/>
        <v>-8.8000000000000007</v>
      </c>
      <c r="H77">
        <f t="shared" si="7"/>
        <v>17.600000000000001</v>
      </c>
      <c r="I77">
        <f t="shared" si="8"/>
        <v>-17.600000000000001</v>
      </c>
    </row>
    <row r="78" spans="1:9" x14ac:dyDescent="0.25">
      <c r="A78" t="s">
        <v>55</v>
      </c>
      <c r="B78">
        <v>-9.5</v>
      </c>
      <c r="G78">
        <f t="shared" si="6"/>
        <v>-4.75</v>
      </c>
      <c r="H78">
        <f t="shared" si="7"/>
        <v>9.5</v>
      </c>
      <c r="I78">
        <f t="shared" si="8"/>
        <v>-9.5</v>
      </c>
    </row>
    <row r="79" spans="1:9" x14ac:dyDescent="0.25">
      <c r="A79" t="s">
        <v>80</v>
      </c>
      <c r="B79">
        <v>-9.5</v>
      </c>
      <c r="G79">
        <f t="shared" si="6"/>
        <v>-4.75</v>
      </c>
      <c r="H79">
        <f t="shared" si="7"/>
        <v>9.5</v>
      </c>
      <c r="I79">
        <f t="shared" si="8"/>
        <v>-9.5</v>
      </c>
    </row>
    <row r="80" spans="1:9" x14ac:dyDescent="0.25">
      <c r="A80" t="s">
        <v>81</v>
      </c>
      <c r="B80">
        <v>-9.5</v>
      </c>
      <c r="G80">
        <f t="shared" si="6"/>
        <v>-4.75</v>
      </c>
      <c r="H80">
        <f t="shared" si="7"/>
        <v>9.5</v>
      </c>
      <c r="I80">
        <f t="shared" si="8"/>
        <v>-9.5</v>
      </c>
    </row>
    <row r="81" spans="1:9" x14ac:dyDescent="0.25">
      <c r="A81" t="s">
        <v>82</v>
      </c>
      <c r="B81">
        <v>-9.5</v>
      </c>
      <c r="G81">
        <f t="shared" si="6"/>
        <v>-4.75</v>
      </c>
      <c r="H81">
        <f t="shared" si="7"/>
        <v>9.5</v>
      </c>
      <c r="I81">
        <f t="shared" si="8"/>
        <v>-9.5</v>
      </c>
    </row>
    <row r="82" spans="1:9" x14ac:dyDescent="0.25">
      <c r="A82" t="s">
        <v>83</v>
      </c>
      <c r="B82">
        <v>-9.5</v>
      </c>
      <c r="G82">
        <f t="shared" si="6"/>
        <v>-4.75</v>
      </c>
      <c r="H82">
        <f t="shared" si="7"/>
        <v>9.5</v>
      </c>
      <c r="I82">
        <f t="shared" si="8"/>
        <v>-9.5</v>
      </c>
    </row>
    <row r="83" spans="1:9" x14ac:dyDescent="0.25">
      <c r="A83" t="s">
        <v>57</v>
      </c>
      <c r="B83">
        <v>-16.2</v>
      </c>
      <c r="G83">
        <f t="shared" si="6"/>
        <v>-8.1</v>
      </c>
      <c r="H83">
        <f t="shared" si="7"/>
        <v>16.2</v>
      </c>
      <c r="I83">
        <f t="shared" si="8"/>
        <v>-16.2</v>
      </c>
    </row>
    <row r="84" spans="1:9" x14ac:dyDescent="0.25">
      <c r="A84" t="s">
        <v>84</v>
      </c>
      <c r="B84">
        <v>-9.5</v>
      </c>
      <c r="G84">
        <f t="shared" si="6"/>
        <v>-4.75</v>
      </c>
      <c r="H84">
        <f t="shared" si="7"/>
        <v>9.5</v>
      </c>
      <c r="I84">
        <f t="shared" si="8"/>
        <v>-9.5</v>
      </c>
    </row>
    <row r="85" spans="1:9" x14ac:dyDescent="0.25">
      <c r="A85" t="s">
        <v>85</v>
      </c>
      <c r="B85">
        <v>-9.5</v>
      </c>
      <c r="G85">
        <f t="shared" si="6"/>
        <v>-4.75</v>
      </c>
      <c r="H85">
        <f t="shared" si="7"/>
        <v>9.5</v>
      </c>
      <c r="I85">
        <f t="shared" si="8"/>
        <v>-9.5</v>
      </c>
    </row>
    <row r="86" spans="1:9" x14ac:dyDescent="0.25">
      <c r="A86" t="s">
        <v>60</v>
      </c>
      <c r="B86">
        <v>-9.5</v>
      </c>
      <c r="G86">
        <f t="shared" si="6"/>
        <v>-4.75</v>
      </c>
      <c r="H86">
        <f t="shared" si="7"/>
        <v>9.5</v>
      </c>
      <c r="I86">
        <f t="shared" si="8"/>
        <v>-9.5</v>
      </c>
    </row>
    <row r="87" spans="1:9" x14ac:dyDescent="0.25">
      <c r="A87" t="s">
        <v>59</v>
      </c>
      <c r="B87">
        <v>-9.5</v>
      </c>
      <c r="G87">
        <f t="shared" si="6"/>
        <v>-4.75</v>
      </c>
      <c r="H87">
        <f t="shared" si="7"/>
        <v>9.5</v>
      </c>
      <c r="I87">
        <f t="shared" si="8"/>
        <v>-9.5</v>
      </c>
    </row>
    <row r="88" spans="1:9" x14ac:dyDescent="0.25">
      <c r="A88" t="s">
        <v>86</v>
      </c>
      <c r="B88">
        <v>-9.5</v>
      </c>
      <c r="G88">
        <f t="shared" si="6"/>
        <v>-4.75</v>
      </c>
      <c r="H88">
        <f t="shared" si="7"/>
        <v>9.5</v>
      </c>
      <c r="I88">
        <f t="shared" si="8"/>
        <v>-9.5</v>
      </c>
    </row>
    <row r="89" spans="1:9" x14ac:dyDescent="0.25">
      <c r="A89" t="s">
        <v>87</v>
      </c>
      <c r="B89">
        <v>-9.5</v>
      </c>
      <c r="G89">
        <f t="shared" si="6"/>
        <v>-4.75</v>
      </c>
      <c r="H89">
        <f t="shared" si="7"/>
        <v>9.5</v>
      </c>
      <c r="I89">
        <f t="shared" si="8"/>
        <v>-9.5</v>
      </c>
    </row>
    <row r="90" spans="1:9" x14ac:dyDescent="0.25">
      <c r="A90" t="s">
        <v>88</v>
      </c>
      <c r="B90">
        <v>-9.5</v>
      </c>
      <c r="G90">
        <f t="shared" si="6"/>
        <v>-4.75</v>
      </c>
      <c r="H90">
        <f t="shared" si="7"/>
        <v>9.5</v>
      </c>
      <c r="I90">
        <f t="shared" si="8"/>
        <v>-9.5</v>
      </c>
    </row>
    <row r="91" spans="1:9" x14ac:dyDescent="0.25">
      <c r="A91" t="s">
        <v>89</v>
      </c>
      <c r="B91">
        <v>-9.5</v>
      </c>
      <c r="G91">
        <f t="shared" si="6"/>
        <v>-4.75</v>
      </c>
      <c r="H91">
        <f t="shared" si="7"/>
        <v>9.5</v>
      </c>
      <c r="I91">
        <f t="shared" si="8"/>
        <v>-9.5</v>
      </c>
    </row>
    <row r="92" spans="1:9" x14ac:dyDescent="0.25">
      <c r="A92" t="s">
        <v>90</v>
      </c>
      <c r="B92">
        <v>-9.5</v>
      </c>
      <c r="G92">
        <f t="shared" si="6"/>
        <v>-4.75</v>
      </c>
      <c r="H92">
        <f t="shared" si="7"/>
        <v>9.5</v>
      </c>
      <c r="I92">
        <f t="shared" si="8"/>
        <v>-9.5</v>
      </c>
    </row>
    <row r="93" spans="1:9" x14ac:dyDescent="0.25">
      <c r="A93" t="s">
        <v>91</v>
      </c>
      <c r="B93">
        <v>-9.5</v>
      </c>
      <c r="G93">
        <f t="shared" si="6"/>
        <v>-4.75</v>
      </c>
      <c r="H93">
        <f t="shared" si="7"/>
        <v>9.5</v>
      </c>
      <c r="I93">
        <f t="shared" si="8"/>
        <v>-9.5</v>
      </c>
    </row>
    <row r="94" spans="1:9" x14ac:dyDescent="0.25">
      <c r="A94" t="s">
        <v>92</v>
      </c>
      <c r="B94">
        <v>-9.5</v>
      </c>
      <c r="G94">
        <f t="shared" si="6"/>
        <v>-4.75</v>
      </c>
      <c r="H94">
        <f t="shared" si="7"/>
        <v>9.5</v>
      </c>
      <c r="I94">
        <f t="shared" si="8"/>
        <v>-9.5</v>
      </c>
    </row>
    <row r="95" spans="1:9" x14ac:dyDescent="0.25">
      <c r="A95" t="s">
        <v>93</v>
      </c>
      <c r="B95">
        <v>-9.5</v>
      </c>
      <c r="G95">
        <f t="shared" si="6"/>
        <v>-4.75</v>
      </c>
      <c r="H95">
        <f t="shared" si="7"/>
        <v>9.5</v>
      </c>
      <c r="I95">
        <f t="shared" si="8"/>
        <v>-9.5</v>
      </c>
    </row>
    <row r="96" spans="1:9" x14ac:dyDescent="0.25">
      <c r="A96" t="s">
        <v>94</v>
      </c>
      <c r="B96">
        <v>-9.5</v>
      </c>
      <c r="G96">
        <f t="shared" si="6"/>
        <v>-4.75</v>
      </c>
      <c r="H96">
        <f t="shared" si="7"/>
        <v>9.5</v>
      </c>
      <c r="I96">
        <f t="shared" si="8"/>
        <v>-9.5</v>
      </c>
    </row>
    <row r="97" spans="1:9" x14ac:dyDescent="0.25">
      <c r="A97" t="s">
        <v>95</v>
      </c>
      <c r="B97">
        <v>-9.5</v>
      </c>
      <c r="G97">
        <f t="shared" si="6"/>
        <v>-4.75</v>
      </c>
      <c r="H97">
        <f t="shared" si="7"/>
        <v>9.5</v>
      </c>
      <c r="I97">
        <f t="shared" si="8"/>
        <v>-9.5</v>
      </c>
    </row>
    <row r="98" spans="1:9" x14ac:dyDescent="0.25">
      <c r="A98" t="s">
        <v>96</v>
      </c>
      <c r="B98">
        <v>-17.600000000000001</v>
      </c>
      <c r="G98">
        <f t="shared" si="6"/>
        <v>-8.8000000000000007</v>
      </c>
      <c r="H98">
        <f t="shared" si="7"/>
        <v>17.600000000000001</v>
      </c>
      <c r="I98">
        <f t="shared" si="8"/>
        <v>-17.600000000000001</v>
      </c>
    </row>
    <row r="99" spans="1:9" x14ac:dyDescent="0.25">
      <c r="A99" t="s">
        <v>97</v>
      </c>
      <c r="B99">
        <v>-9.5</v>
      </c>
      <c r="G99">
        <f t="shared" si="6"/>
        <v>-4.75</v>
      </c>
      <c r="H99">
        <f t="shared" si="7"/>
        <v>9.5</v>
      </c>
      <c r="I99">
        <f t="shared" si="8"/>
        <v>-9.5</v>
      </c>
    </row>
    <row r="100" spans="1:9" x14ac:dyDescent="0.25">
      <c r="A100" t="s">
        <v>58</v>
      </c>
      <c r="B100">
        <v>-9.5</v>
      </c>
      <c r="G100">
        <f t="shared" si="6"/>
        <v>-4.75</v>
      </c>
      <c r="H100">
        <f t="shared" si="7"/>
        <v>9.5</v>
      </c>
      <c r="I100">
        <f t="shared" si="8"/>
        <v>-9.5</v>
      </c>
    </row>
    <row r="102" spans="1:9" x14ac:dyDescent="0.25">
      <c r="A102" s="3" t="s">
        <v>61</v>
      </c>
    </row>
    <row r="103" spans="1:9" x14ac:dyDescent="0.25">
      <c r="A103" t="s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3"/>
  <sheetViews>
    <sheetView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</v>
      </c>
    </row>
    <row r="2" spans="1:9" x14ac:dyDescent="0.25">
      <c r="A2" s="2" t="s">
        <v>1</v>
      </c>
      <c r="B2" t="s">
        <v>16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118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77</v>
      </c>
      <c r="B11">
        <v>-8.5</v>
      </c>
      <c r="G11">
        <f>$B11*$D$10</f>
        <v>-4.25</v>
      </c>
      <c r="H11">
        <f t="shared" ref="H11:H36" si="0">$B11*$E$10</f>
        <v>4.25</v>
      </c>
      <c r="I11">
        <f t="shared" ref="I11:I36" si="1">$B11*$F$10</f>
        <v>0</v>
      </c>
    </row>
    <row r="12" spans="1:9" x14ac:dyDescent="0.25">
      <c r="A12" t="s">
        <v>78</v>
      </c>
      <c r="B12">
        <v>-8.5</v>
      </c>
      <c r="G12">
        <f t="shared" ref="G11:G36" si="2">$B12*$D$10</f>
        <v>-4.25</v>
      </c>
      <c r="H12">
        <f t="shared" si="0"/>
        <v>4.25</v>
      </c>
      <c r="I12">
        <f t="shared" si="1"/>
        <v>0</v>
      </c>
    </row>
    <row r="13" spans="1:9" x14ac:dyDescent="0.25">
      <c r="A13" t="s">
        <v>79</v>
      </c>
      <c r="B13">
        <v>-15.7</v>
      </c>
      <c r="G13">
        <f t="shared" si="2"/>
        <v>-7.85</v>
      </c>
      <c r="H13">
        <f t="shared" si="0"/>
        <v>7.85</v>
      </c>
      <c r="I13">
        <f t="shared" si="1"/>
        <v>0</v>
      </c>
    </row>
    <row r="14" spans="1:9" x14ac:dyDescent="0.25">
      <c r="A14" t="s">
        <v>55</v>
      </c>
      <c r="B14">
        <v>-8.5</v>
      </c>
      <c r="G14">
        <f t="shared" si="2"/>
        <v>-4.25</v>
      </c>
      <c r="H14">
        <f t="shared" si="0"/>
        <v>4.25</v>
      </c>
      <c r="I14">
        <f t="shared" si="1"/>
        <v>0</v>
      </c>
    </row>
    <row r="15" spans="1:9" x14ac:dyDescent="0.25">
      <c r="A15" t="s">
        <v>80</v>
      </c>
      <c r="B15">
        <v>-8.5</v>
      </c>
      <c r="G15">
        <f t="shared" si="2"/>
        <v>-4.25</v>
      </c>
      <c r="H15">
        <f t="shared" si="0"/>
        <v>4.25</v>
      </c>
      <c r="I15">
        <f t="shared" si="1"/>
        <v>0</v>
      </c>
    </row>
    <row r="16" spans="1:9" x14ac:dyDescent="0.25">
      <c r="A16" t="s">
        <v>81</v>
      </c>
      <c r="B16">
        <v>-8.5</v>
      </c>
      <c r="G16">
        <f t="shared" si="2"/>
        <v>-4.25</v>
      </c>
      <c r="H16">
        <f t="shared" si="0"/>
        <v>4.25</v>
      </c>
      <c r="I16">
        <f t="shared" si="1"/>
        <v>0</v>
      </c>
    </row>
    <row r="17" spans="1:9" x14ac:dyDescent="0.25">
      <c r="A17" t="s">
        <v>82</v>
      </c>
      <c r="B17">
        <v>-8.5</v>
      </c>
      <c r="G17">
        <f t="shared" si="2"/>
        <v>-4.25</v>
      </c>
      <c r="H17">
        <f t="shared" si="0"/>
        <v>4.25</v>
      </c>
      <c r="I17">
        <f t="shared" si="1"/>
        <v>0</v>
      </c>
    </row>
    <row r="18" spans="1:9" x14ac:dyDescent="0.25">
      <c r="A18" t="s">
        <v>83</v>
      </c>
      <c r="B18">
        <v>-8.5</v>
      </c>
      <c r="G18">
        <f t="shared" si="2"/>
        <v>-4.25</v>
      </c>
      <c r="H18">
        <f t="shared" si="0"/>
        <v>4.25</v>
      </c>
      <c r="I18">
        <f t="shared" si="1"/>
        <v>0</v>
      </c>
    </row>
    <row r="19" spans="1:9" x14ac:dyDescent="0.25">
      <c r="A19" t="s">
        <v>57</v>
      </c>
      <c r="B19">
        <v>-14.5</v>
      </c>
      <c r="G19">
        <f t="shared" si="2"/>
        <v>-7.25</v>
      </c>
      <c r="H19">
        <f t="shared" si="0"/>
        <v>7.25</v>
      </c>
      <c r="I19">
        <f t="shared" si="1"/>
        <v>0</v>
      </c>
    </row>
    <row r="20" spans="1:9" x14ac:dyDescent="0.25">
      <c r="A20" t="s">
        <v>84</v>
      </c>
      <c r="B20">
        <v>-8.5</v>
      </c>
      <c r="G20">
        <f t="shared" si="2"/>
        <v>-4.25</v>
      </c>
      <c r="H20">
        <f t="shared" si="0"/>
        <v>4.25</v>
      </c>
      <c r="I20">
        <f t="shared" si="1"/>
        <v>0</v>
      </c>
    </row>
    <row r="21" spans="1:9" x14ac:dyDescent="0.25">
      <c r="A21" t="s">
        <v>85</v>
      </c>
      <c r="B21">
        <v>-8.5</v>
      </c>
      <c r="G21">
        <f t="shared" si="2"/>
        <v>-4.25</v>
      </c>
      <c r="H21">
        <f t="shared" si="0"/>
        <v>4.25</v>
      </c>
      <c r="I21">
        <f t="shared" si="1"/>
        <v>0</v>
      </c>
    </row>
    <row r="22" spans="1:9" x14ac:dyDescent="0.25">
      <c r="A22" t="s">
        <v>60</v>
      </c>
      <c r="B22">
        <v>-8.5</v>
      </c>
      <c r="G22">
        <f t="shared" si="2"/>
        <v>-4.25</v>
      </c>
      <c r="H22">
        <f t="shared" si="0"/>
        <v>4.25</v>
      </c>
      <c r="I22">
        <f t="shared" si="1"/>
        <v>0</v>
      </c>
    </row>
    <row r="23" spans="1:9" x14ac:dyDescent="0.25">
      <c r="A23" t="s">
        <v>59</v>
      </c>
      <c r="B23">
        <v>-8.5</v>
      </c>
      <c r="G23">
        <f t="shared" si="2"/>
        <v>-4.25</v>
      </c>
      <c r="H23">
        <f t="shared" si="0"/>
        <v>4.25</v>
      </c>
      <c r="I23">
        <f t="shared" si="1"/>
        <v>0</v>
      </c>
    </row>
    <row r="24" spans="1:9" x14ac:dyDescent="0.25">
      <c r="A24" t="s">
        <v>86</v>
      </c>
      <c r="B24">
        <v>-8.5</v>
      </c>
      <c r="G24">
        <f t="shared" si="2"/>
        <v>-4.25</v>
      </c>
      <c r="H24">
        <f t="shared" si="0"/>
        <v>4.25</v>
      </c>
      <c r="I24">
        <f t="shared" si="1"/>
        <v>0</v>
      </c>
    </row>
    <row r="25" spans="1:9" x14ac:dyDescent="0.25">
      <c r="A25" t="s">
        <v>87</v>
      </c>
      <c r="B25">
        <v>-8.5</v>
      </c>
      <c r="G25">
        <f t="shared" si="2"/>
        <v>-4.25</v>
      </c>
      <c r="H25">
        <f t="shared" si="0"/>
        <v>4.25</v>
      </c>
      <c r="I25">
        <f t="shared" si="1"/>
        <v>0</v>
      </c>
    </row>
    <row r="26" spans="1:9" x14ac:dyDescent="0.25">
      <c r="A26" t="s">
        <v>88</v>
      </c>
      <c r="B26">
        <v>-8.5</v>
      </c>
      <c r="G26">
        <f t="shared" si="2"/>
        <v>-4.25</v>
      </c>
      <c r="H26">
        <f t="shared" si="0"/>
        <v>4.25</v>
      </c>
      <c r="I26">
        <f t="shared" si="1"/>
        <v>0</v>
      </c>
    </row>
    <row r="27" spans="1:9" x14ac:dyDescent="0.25">
      <c r="A27" t="s">
        <v>89</v>
      </c>
      <c r="B27">
        <v>-8.5</v>
      </c>
      <c r="G27">
        <f t="shared" si="2"/>
        <v>-4.25</v>
      </c>
      <c r="H27">
        <f t="shared" si="0"/>
        <v>4.25</v>
      </c>
      <c r="I27">
        <f t="shared" si="1"/>
        <v>0</v>
      </c>
    </row>
    <row r="28" spans="1:9" x14ac:dyDescent="0.25">
      <c r="A28" t="s">
        <v>90</v>
      </c>
      <c r="B28">
        <v>-8.5</v>
      </c>
      <c r="G28">
        <f t="shared" si="2"/>
        <v>-4.25</v>
      </c>
      <c r="H28">
        <f t="shared" si="0"/>
        <v>4.25</v>
      </c>
      <c r="I28">
        <f t="shared" si="1"/>
        <v>0</v>
      </c>
    </row>
    <row r="29" spans="1:9" x14ac:dyDescent="0.25">
      <c r="A29" t="s">
        <v>91</v>
      </c>
      <c r="B29">
        <v>-8.5</v>
      </c>
      <c r="G29">
        <f t="shared" si="2"/>
        <v>-4.25</v>
      </c>
      <c r="H29">
        <f t="shared" si="0"/>
        <v>4.25</v>
      </c>
      <c r="I29">
        <f t="shared" si="1"/>
        <v>0</v>
      </c>
    </row>
    <row r="30" spans="1:9" x14ac:dyDescent="0.25">
      <c r="A30" t="s">
        <v>92</v>
      </c>
      <c r="B30">
        <v>-8.5</v>
      </c>
      <c r="G30">
        <f t="shared" si="2"/>
        <v>-4.25</v>
      </c>
      <c r="H30">
        <f t="shared" si="0"/>
        <v>4.25</v>
      </c>
      <c r="I30">
        <f t="shared" si="1"/>
        <v>0</v>
      </c>
    </row>
    <row r="31" spans="1:9" x14ac:dyDescent="0.25">
      <c r="A31" t="s">
        <v>93</v>
      </c>
      <c r="B31">
        <v>-8.5</v>
      </c>
      <c r="G31">
        <f t="shared" si="2"/>
        <v>-4.25</v>
      </c>
      <c r="H31">
        <f t="shared" si="0"/>
        <v>4.25</v>
      </c>
      <c r="I31">
        <f t="shared" si="1"/>
        <v>0</v>
      </c>
    </row>
    <row r="32" spans="1:9" x14ac:dyDescent="0.25">
      <c r="A32" t="s">
        <v>94</v>
      </c>
      <c r="B32">
        <v>-8.5</v>
      </c>
      <c r="G32">
        <f t="shared" si="2"/>
        <v>-4.25</v>
      </c>
      <c r="H32">
        <f t="shared" si="0"/>
        <v>4.25</v>
      </c>
      <c r="I32">
        <f t="shared" si="1"/>
        <v>0</v>
      </c>
    </row>
    <row r="33" spans="1:9" x14ac:dyDescent="0.25">
      <c r="A33" t="s">
        <v>95</v>
      </c>
      <c r="B33">
        <v>-8.5</v>
      </c>
      <c r="G33">
        <f t="shared" si="2"/>
        <v>-4.25</v>
      </c>
      <c r="H33">
        <f t="shared" si="0"/>
        <v>4.25</v>
      </c>
      <c r="I33">
        <f t="shared" si="1"/>
        <v>0</v>
      </c>
    </row>
    <row r="34" spans="1:9" x14ac:dyDescent="0.25">
      <c r="A34" t="s">
        <v>96</v>
      </c>
      <c r="B34">
        <v>-15.7</v>
      </c>
      <c r="G34">
        <f t="shared" si="2"/>
        <v>-7.85</v>
      </c>
      <c r="H34">
        <f t="shared" si="0"/>
        <v>7.85</v>
      </c>
      <c r="I34">
        <f t="shared" si="1"/>
        <v>0</v>
      </c>
    </row>
    <row r="35" spans="1:9" x14ac:dyDescent="0.25">
      <c r="A35" t="s">
        <v>97</v>
      </c>
      <c r="B35">
        <v>-8.5</v>
      </c>
      <c r="G35">
        <f t="shared" si="2"/>
        <v>-4.25</v>
      </c>
      <c r="H35">
        <f t="shared" si="0"/>
        <v>4.25</v>
      </c>
      <c r="I35">
        <f t="shared" si="1"/>
        <v>0</v>
      </c>
    </row>
    <row r="36" spans="1:9" x14ac:dyDescent="0.25">
      <c r="A36" t="s">
        <v>58</v>
      </c>
      <c r="B36">
        <v>-8.5</v>
      </c>
      <c r="G36">
        <f t="shared" si="2"/>
        <v>-4.25</v>
      </c>
      <c r="H36">
        <f t="shared" si="0"/>
        <v>4.25</v>
      </c>
      <c r="I36">
        <f t="shared" si="1"/>
        <v>0</v>
      </c>
    </row>
    <row r="38" spans="1:9" x14ac:dyDescent="0.25">
      <c r="A38" s="3" t="s">
        <v>61</v>
      </c>
    </row>
    <row r="39" spans="1:9" x14ac:dyDescent="0.25">
      <c r="A39" t="s">
        <v>98</v>
      </c>
    </row>
    <row r="41" spans="1:9" x14ac:dyDescent="0.25">
      <c r="A41" s="3" t="s">
        <v>121</v>
      </c>
      <c r="D41" s="3" t="s">
        <v>47</v>
      </c>
      <c r="E41" s="3" t="s">
        <v>48</v>
      </c>
      <c r="F41" s="3" t="s">
        <v>49</v>
      </c>
    </row>
    <row r="42" spans="1:9" x14ac:dyDescent="0.25">
      <c r="A42" s="1" t="s">
        <v>50</v>
      </c>
      <c r="B42" s="1" t="s">
        <v>42</v>
      </c>
      <c r="C42" s="1" t="s">
        <v>51</v>
      </c>
      <c r="D42" s="4">
        <v>0.5</v>
      </c>
      <c r="E42" s="4">
        <v>-1</v>
      </c>
      <c r="F42" s="4">
        <v>1</v>
      </c>
      <c r="G42" s="1" t="s">
        <v>52</v>
      </c>
      <c r="H42" s="1" t="s">
        <v>53</v>
      </c>
      <c r="I42" s="1" t="s">
        <v>54</v>
      </c>
    </row>
    <row r="43" spans="1:9" x14ac:dyDescent="0.25">
      <c r="A43" t="s">
        <v>77</v>
      </c>
      <c r="B43">
        <v>-7.5</v>
      </c>
      <c r="G43">
        <f t="shared" ref="G43:G68" si="3">$B43*$D$42</f>
        <v>-3.75</v>
      </c>
      <c r="H43">
        <f t="shared" ref="H43:H68" si="4">$B43*$E$42</f>
        <v>7.5</v>
      </c>
      <c r="I43">
        <f t="shared" ref="I43:I68" si="5">$B43*$F$42</f>
        <v>-7.5</v>
      </c>
    </row>
    <row r="44" spans="1:9" x14ac:dyDescent="0.25">
      <c r="A44" t="s">
        <v>78</v>
      </c>
      <c r="B44">
        <v>-7.5</v>
      </c>
      <c r="G44">
        <f t="shared" si="3"/>
        <v>-3.75</v>
      </c>
      <c r="H44">
        <f t="shared" si="4"/>
        <v>7.5</v>
      </c>
      <c r="I44">
        <f t="shared" si="5"/>
        <v>-7.5</v>
      </c>
    </row>
    <row r="45" spans="1:9" x14ac:dyDescent="0.25">
      <c r="A45" t="s">
        <v>79</v>
      </c>
      <c r="B45">
        <v>-13.9</v>
      </c>
      <c r="G45">
        <f t="shared" si="3"/>
        <v>-6.95</v>
      </c>
      <c r="H45">
        <f t="shared" si="4"/>
        <v>13.9</v>
      </c>
      <c r="I45">
        <f t="shared" si="5"/>
        <v>-13.9</v>
      </c>
    </row>
    <row r="46" spans="1:9" x14ac:dyDescent="0.25">
      <c r="A46" t="s">
        <v>55</v>
      </c>
      <c r="B46">
        <v>-7.5</v>
      </c>
      <c r="G46">
        <f t="shared" si="3"/>
        <v>-3.75</v>
      </c>
      <c r="H46">
        <f t="shared" si="4"/>
        <v>7.5</v>
      </c>
      <c r="I46">
        <f t="shared" si="5"/>
        <v>-7.5</v>
      </c>
    </row>
    <row r="47" spans="1:9" x14ac:dyDescent="0.25">
      <c r="A47" t="s">
        <v>80</v>
      </c>
      <c r="B47">
        <v>-7.5</v>
      </c>
      <c r="G47">
        <f t="shared" si="3"/>
        <v>-3.75</v>
      </c>
      <c r="H47">
        <f t="shared" si="4"/>
        <v>7.5</v>
      </c>
      <c r="I47">
        <f t="shared" si="5"/>
        <v>-7.5</v>
      </c>
    </row>
    <row r="48" spans="1:9" x14ac:dyDescent="0.25">
      <c r="A48" t="s">
        <v>81</v>
      </c>
      <c r="B48">
        <v>-7.5</v>
      </c>
      <c r="G48">
        <f t="shared" si="3"/>
        <v>-3.75</v>
      </c>
      <c r="H48">
        <f t="shared" si="4"/>
        <v>7.5</v>
      </c>
      <c r="I48">
        <f t="shared" si="5"/>
        <v>-7.5</v>
      </c>
    </row>
    <row r="49" spans="1:9" x14ac:dyDescent="0.25">
      <c r="A49" t="s">
        <v>82</v>
      </c>
      <c r="B49">
        <v>-7.5</v>
      </c>
      <c r="G49">
        <f t="shared" si="3"/>
        <v>-3.75</v>
      </c>
      <c r="H49">
        <f t="shared" si="4"/>
        <v>7.5</v>
      </c>
      <c r="I49">
        <f t="shared" si="5"/>
        <v>-7.5</v>
      </c>
    </row>
    <row r="50" spans="1:9" x14ac:dyDescent="0.25">
      <c r="A50" t="s">
        <v>83</v>
      </c>
      <c r="B50">
        <v>-7.5</v>
      </c>
      <c r="G50">
        <f t="shared" si="3"/>
        <v>-3.75</v>
      </c>
      <c r="H50">
        <f t="shared" si="4"/>
        <v>7.5</v>
      </c>
      <c r="I50">
        <f t="shared" si="5"/>
        <v>-7.5</v>
      </c>
    </row>
    <row r="51" spans="1:9" x14ac:dyDescent="0.25">
      <c r="A51" t="s">
        <v>57</v>
      </c>
      <c r="B51">
        <v>-12.8</v>
      </c>
      <c r="G51">
        <f t="shared" si="3"/>
        <v>-6.4</v>
      </c>
      <c r="H51">
        <f t="shared" si="4"/>
        <v>12.8</v>
      </c>
      <c r="I51">
        <f t="shared" si="5"/>
        <v>-12.8</v>
      </c>
    </row>
    <row r="52" spans="1:9" x14ac:dyDescent="0.25">
      <c r="A52" t="s">
        <v>84</v>
      </c>
      <c r="B52">
        <v>-7.5</v>
      </c>
      <c r="G52">
        <f t="shared" si="3"/>
        <v>-3.75</v>
      </c>
      <c r="H52">
        <f t="shared" si="4"/>
        <v>7.5</v>
      </c>
      <c r="I52">
        <f t="shared" si="5"/>
        <v>-7.5</v>
      </c>
    </row>
    <row r="53" spans="1:9" x14ac:dyDescent="0.25">
      <c r="A53" t="s">
        <v>85</v>
      </c>
      <c r="B53">
        <v>-7.5</v>
      </c>
      <c r="G53">
        <f t="shared" si="3"/>
        <v>-3.75</v>
      </c>
      <c r="H53">
        <f t="shared" si="4"/>
        <v>7.5</v>
      </c>
      <c r="I53">
        <f t="shared" si="5"/>
        <v>-7.5</v>
      </c>
    </row>
    <row r="54" spans="1:9" x14ac:dyDescent="0.25">
      <c r="A54" t="s">
        <v>60</v>
      </c>
      <c r="B54">
        <v>-7.5</v>
      </c>
      <c r="G54">
        <f t="shared" si="3"/>
        <v>-3.75</v>
      </c>
      <c r="H54">
        <f t="shared" si="4"/>
        <v>7.5</v>
      </c>
      <c r="I54">
        <f t="shared" si="5"/>
        <v>-7.5</v>
      </c>
    </row>
    <row r="55" spans="1:9" x14ac:dyDescent="0.25">
      <c r="A55" t="s">
        <v>59</v>
      </c>
      <c r="B55">
        <v>-7.5</v>
      </c>
      <c r="G55">
        <f t="shared" si="3"/>
        <v>-3.75</v>
      </c>
      <c r="H55">
        <f t="shared" si="4"/>
        <v>7.5</v>
      </c>
      <c r="I55">
        <f t="shared" si="5"/>
        <v>-7.5</v>
      </c>
    </row>
    <row r="56" spans="1:9" x14ac:dyDescent="0.25">
      <c r="A56" t="s">
        <v>86</v>
      </c>
      <c r="B56">
        <v>-7.5</v>
      </c>
      <c r="G56">
        <f t="shared" si="3"/>
        <v>-3.75</v>
      </c>
      <c r="H56">
        <f t="shared" si="4"/>
        <v>7.5</v>
      </c>
      <c r="I56">
        <f t="shared" si="5"/>
        <v>-7.5</v>
      </c>
    </row>
    <row r="57" spans="1:9" x14ac:dyDescent="0.25">
      <c r="A57" t="s">
        <v>87</v>
      </c>
      <c r="B57">
        <v>-7.5</v>
      </c>
      <c r="G57">
        <f t="shared" si="3"/>
        <v>-3.75</v>
      </c>
      <c r="H57">
        <f t="shared" si="4"/>
        <v>7.5</v>
      </c>
      <c r="I57">
        <f t="shared" si="5"/>
        <v>-7.5</v>
      </c>
    </row>
    <row r="58" spans="1:9" x14ac:dyDescent="0.25">
      <c r="A58" t="s">
        <v>88</v>
      </c>
      <c r="B58">
        <v>-7.5</v>
      </c>
      <c r="G58">
        <f t="shared" si="3"/>
        <v>-3.75</v>
      </c>
      <c r="H58">
        <f t="shared" si="4"/>
        <v>7.5</v>
      </c>
      <c r="I58">
        <f t="shared" si="5"/>
        <v>-7.5</v>
      </c>
    </row>
    <row r="59" spans="1:9" x14ac:dyDescent="0.25">
      <c r="A59" t="s">
        <v>89</v>
      </c>
      <c r="B59">
        <v>-7.5</v>
      </c>
      <c r="G59">
        <f t="shared" si="3"/>
        <v>-3.75</v>
      </c>
      <c r="H59">
        <f t="shared" si="4"/>
        <v>7.5</v>
      </c>
      <c r="I59">
        <f t="shared" si="5"/>
        <v>-7.5</v>
      </c>
    </row>
    <row r="60" spans="1:9" x14ac:dyDescent="0.25">
      <c r="A60" t="s">
        <v>90</v>
      </c>
      <c r="B60">
        <v>-7.5</v>
      </c>
      <c r="G60">
        <f t="shared" si="3"/>
        <v>-3.75</v>
      </c>
      <c r="H60">
        <f t="shared" si="4"/>
        <v>7.5</v>
      </c>
      <c r="I60">
        <f t="shared" si="5"/>
        <v>-7.5</v>
      </c>
    </row>
    <row r="61" spans="1:9" x14ac:dyDescent="0.25">
      <c r="A61" t="s">
        <v>91</v>
      </c>
      <c r="B61">
        <v>-7.5</v>
      </c>
      <c r="G61">
        <f t="shared" si="3"/>
        <v>-3.75</v>
      </c>
      <c r="H61">
        <f t="shared" si="4"/>
        <v>7.5</v>
      </c>
      <c r="I61">
        <f t="shared" si="5"/>
        <v>-7.5</v>
      </c>
    </row>
    <row r="62" spans="1:9" x14ac:dyDescent="0.25">
      <c r="A62" t="s">
        <v>92</v>
      </c>
      <c r="B62">
        <v>-7.5</v>
      </c>
      <c r="G62">
        <f t="shared" si="3"/>
        <v>-3.75</v>
      </c>
      <c r="H62">
        <f t="shared" si="4"/>
        <v>7.5</v>
      </c>
      <c r="I62">
        <f t="shared" si="5"/>
        <v>-7.5</v>
      </c>
    </row>
    <row r="63" spans="1:9" x14ac:dyDescent="0.25">
      <c r="A63" t="s">
        <v>93</v>
      </c>
      <c r="B63">
        <v>-7.5</v>
      </c>
      <c r="G63">
        <f t="shared" si="3"/>
        <v>-3.75</v>
      </c>
      <c r="H63">
        <f t="shared" si="4"/>
        <v>7.5</v>
      </c>
      <c r="I63">
        <f t="shared" si="5"/>
        <v>-7.5</v>
      </c>
    </row>
    <row r="64" spans="1:9" x14ac:dyDescent="0.25">
      <c r="A64" t="s">
        <v>94</v>
      </c>
      <c r="B64">
        <v>-7.5</v>
      </c>
      <c r="G64">
        <f t="shared" si="3"/>
        <v>-3.75</v>
      </c>
      <c r="H64">
        <f t="shared" si="4"/>
        <v>7.5</v>
      </c>
      <c r="I64">
        <f t="shared" si="5"/>
        <v>-7.5</v>
      </c>
    </row>
    <row r="65" spans="1:9" x14ac:dyDescent="0.25">
      <c r="A65" t="s">
        <v>95</v>
      </c>
      <c r="B65">
        <v>-7.5</v>
      </c>
      <c r="G65">
        <f t="shared" si="3"/>
        <v>-3.75</v>
      </c>
      <c r="H65">
        <f t="shared" si="4"/>
        <v>7.5</v>
      </c>
      <c r="I65">
        <f t="shared" si="5"/>
        <v>-7.5</v>
      </c>
    </row>
    <row r="66" spans="1:9" x14ac:dyDescent="0.25">
      <c r="A66" t="s">
        <v>96</v>
      </c>
      <c r="B66">
        <v>-13.9</v>
      </c>
      <c r="G66">
        <f t="shared" si="3"/>
        <v>-6.95</v>
      </c>
      <c r="H66">
        <f t="shared" si="4"/>
        <v>13.9</v>
      </c>
      <c r="I66">
        <f t="shared" si="5"/>
        <v>-13.9</v>
      </c>
    </row>
    <row r="67" spans="1:9" x14ac:dyDescent="0.25">
      <c r="A67" t="s">
        <v>97</v>
      </c>
      <c r="B67">
        <v>-7.5</v>
      </c>
      <c r="G67">
        <f t="shared" si="3"/>
        <v>-3.75</v>
      </c>
      <c r="H67">
        <f t="shared" si="4"/>
        <v>7.5</v>
      </c>
      <c r="I67">
        <f t="shared" si="5"/>
        <v>-7.5</v>
      </c>
    </row>
    <row r="68" spans="1:9" x14ac:dyDescent="0.25">
      <c r="A68" t="s">
        <v>58</v>
      </c>
      <c r="B68">
        <v>-7.5</v>
      </c>
      <c r="G68">
        <f t="shared" si="3"/>
        <v>-3.75</v>
      </c>
      <c r="H68">
        <f t="shared" si="4"/>
        <v>7.5</v>
      </c>
      <c r="I68">
        <f t="shared" si="5"/>
        <v>-7.5</v>
      </c>
    </row>
    <row r="70" spans="1:9" x14ac:dyDescent="0.25">
      <c r="A70" s="3" t="s">
        <v>61</v>
      </c>
    </row>
    <row r="71" spans="1:9" x14ac:dyDescent="0.25">
      <c r="A71" t="s">
        <v>98</v>
      </c>
    </row>
    <row r="73" spans="1:9" x14ac:dyDescent="0.25">
      <c r="A73" s="3" t="s">
        <v>120</v>
      </c>
      <c r="D73" s="3" t="s">
        <v>47</v>
      </c>
      <c r="E73" s="3" t="s">
        <v>48</v>
      </c>
      <c r="F73" s="3" t="s">
        <v>49</v>
      </c>
    </row>
    <row r="74" spans="1:9" x14ac:dyDescent="0.25">
      <c r="A74" s="1" t="s">
        <v>50</v>
      </c>
      <c r="B74" s="1" t="s">
        <v>42</v>
      </c>
      <c r="C74" s="1" t="s">
        <v>51</v>
      </c>
      <c r="D74" s="4">
        <v>0.5</v>
      </c>
      <c r="E74" s="4">
        <v>-1</v>
      </c>
      <c r="F74" s="4">
        <v>1</v>
      </c>
      <c r="G74" s="1" t="s">
        <v>52</v>
      </c>
      <c r="H74" s="1" t="s">
        <v>53</v>
      </c>
      <c r="I74" s="1" t="s">
        <v>54</v>
      </c>
    </row>
    <row r="75" spans="1:9" x14ac:dyDescent="0.25">
      <c r="A75" t="s">
        <v>77</v>
      </c>
      <c r="B75">
        <v>-9.5</v>
      </c>
      <c r="G75">
        <f t="shared" ref="G75:G100" si="6">$B75*$D$74</f>
        <v>-4.75</v>
      </c>
      <c r="H75">
        <f t="shared" ref="H75:H100" si="7">$B75*$E$74</f>
        <v>9.5</v>
      </c>
      <c r="I75">
        <f t="shared" ref="I75:I100" si="8">$B75*$F$74</f>
        <v>-9.5</v>
      </c>
    </row>
    <row r="76" spans="1:9" x14ac:dyDescent="0.25">
      <c r="A76" t="s">
        <v>78</v>
      </c>
      <c r="B76">
        <v>-9.5</v>
      </c>
      <c r="G76">
        <f t="shared" si="6"/>
        <v>-4.75</v>
      </c>
      <c r="H76">
        <f t="shared" si="7"/>
        <v>9.5</v>
      </c>
      <c r="I76">
        <f t="shared" si="8"/>
        <v>-9.5</v>
      </c>
    </row>
    <row r="77" spans="1:9" x14ac:dyDescent="0.25">
      <c r="A77" t="s">
        <v>79</v>
      </c>
      <c r="B77">
        <v>-17.600000000000001</v>
      </c>
      <c r="G77">
        <f t="shared" si="6"/>
        <v>-8.8000000000000007</v>
      </c>
      <c r="H77">
        <f t="shared" si="7"/>
        <v>17.600000000000001</v>
      </c>
      <c r="I77">
        <f t="shared" si="8"/>
        <v>-17.600000000000001</v>
      </c>
    </row>
    <row r="78" spans="1:9" x14ac:dyDescent="0.25">
      <c r="A78" t="s">
        <v>55</v>
      </c>
      <c r="B78">
        <v>-9.5</v>
      </c>
      <c r="G78">
        <f t="shared" si="6"/>
        <v>-4.75</v>
      </c>
      <c r="H78">
        <f t="shared" si="7"/>
        <v>9.5</v>
      </c>
      <c r="I78">
        <f t="shared" si="8"/>
        <v>-9.5</v>
      </c>
    </row>
    <row r="79" spans="1:9" x14ac:dyDescent="0.25">
      <c r="A79" t="s">
        <v>80</v>
      </c>
      <c r="B79">
        <v>-9.5</v>
      </c>
      <c r="G79">
        <f t="shared" si="6"/>
        <v>-4.75</v>
      </c>
      <c r="H79">
        <f t="shared" si="7"/>
        <v>9.5</v>
      </c>
      <c r="I79">
        <f t="shared" si="8"/>
        <v>-9.5</v>
      </c>
    </row>
    <row r="80" spans="1:9" x14ac:dyDescent="0.25">
      <c r="A80" t="s">
        <v>81</v>
      </c>
      <c r="B80">
        <v>-9.5</v>
      </c>
      <c r="G80">
        <f t="shared" si="6"/>
        <v>-4.75</v>
      </c>
      <c r="H80">
        <f t="shared" si="7"/>
        <v>9.5</v>
      </c>
      <c r="I80">
        <f t="shared" si="8"/>
        <v>-9.5</v>
      </c>
    </row>
    <row r="81" spans="1:9" x14ac:dyDescent="0.25">
      <c r="A81" t="s">
        <v>82</v>
      </c>
      <c r="B81">
        <v>-9.5</v>
      </c>
      <c r="G81">
        <f t="shared" si="6"/>
        <v>-4.75</v>
      </c>
      <c r="H81">
        <f t="shared" si="7"/>
        <v>9.5</v>
      </c>
      <c r="I81">
        <f t="shared" si="8"/>
        <v>-9.5</v>
      </c>
    </row>
    <row r="82" spans="1:9" x14ac:dyDescent="0.25">
      <c r="A82" t="s">
        <v>83</v>
      </c>
      <c r="B82">
        <v>-9.5</v>
      </c>
      <c r="G82">
        <f t="shared" si="6"/>
        <v>-4.75</v>
      </c>
      <c r="H82">
        <f t="shared" si="7"/>
        <v>9.5</v>
      </c>
      <c r="I82">
        <f t="shared" si="8"/>
        <v>-9.5</v>
      </c>
    </row>
    <row r="83" spans="1:9" x14ac:dyDescent="0.25">
      <c r="A83" t="s">
        <v>57</v>
      </c>
      <c r="B83">
        <v>-16.2</v>
      </c>
      <c r="G83">
        <f t="shared" si="6"/>
        <v>-8.1</v>
      </c>
      <c r="H83">
        <f t="shared" si="7"/>
        <v>16.2</v>
      </c>
      <c r="I83">
        <f t="shared" si="8"/>
        <v>-16.2</v>
      </c>
    </row>
    <row r="84" spans="1:9" x14ac:dyDescent="0.25">
      <c r="A84" t="s">
        <v>84</v>
      </c>
      <c r="B84">
        <v>-9.5</v>
      </c>
      <c r="G84">
        <f t="shared" si="6"/>
        <v>-4.75</v>
      </c>
      <c r="H84">
        <f t="shared" si="7"/>
        <v>9.5</v>
      </c>
      <c r="I84">
        <f t="shared" si="8"/>
        <v>-9.5</v>
      </c>
    </row>
    <row r="85" spans="1:9" x14ac:dyDescent="0.25">
      <c r="A85" t="s">
        <v>85</v>
      </c>
      <c r="B85">
        <v>-9.5</v>
      </c>
      <c r="G85">
        <f t="shared" si="6"/>
        <v>-4.75</v>
      </c>
      <c r="H85">
        <f t="shared" si="7"/>
        <v>9.5</v>
      </c>
      <c r="I85">
        <f t="shared" si="8"/>
        <v>-9.5</v>
      </c>
    </row>
    <row r="86" spans="1:9" x14ac:dyDescent="0.25">
      <c r="A86" t="s">
        <v>60</v>
      </c>
      <c r="B86">
        <v>-9.5</v>
      </c>
      <c r="G86">
        <f t="shared" si="6"/>
        <v>-4.75</v>
      </c>
      <c r="H86">
        <f t="shared" si="7"/>
        <v>9.5</v>
      </c>
      <c r="I86">
        <f t="shared" si="8"/>
        <v>-9.5</v>
      </c>
    </row>
    <row r="87" spans="1:9" x14ac:dyDescent="0.25">
      <c r="A87" t="s">
        <v>59</v>
      </c>
      <c r="B87">
        <v>-9.5</v>
      </c>
      <c r="G87">
        <f t="shared" si="6"/>
        <v>-4.75</v>
      </c>
      <c r="H87">
        <f t="shared" si="7"/>
        <v>9.5</v>
      </c>
      <c r="I87">
        <f t="shared" si="8"/>
        <v>-9.5</v>
      </c>
    </row>
    <row r="88" spans="1:9" x14ac:dyDescent="0.25">
      <c r="A88" t="s">
        <v>86</v>
      </c>
      <c r="B88">
        <v>-9.5</v>
      </c>
      <c r="G88">
        <f t="shared" si="6"/>
        <v>-4.75</v>
      </c>
      <c r="H88">
        <f t="shared" si="7"/>
        <v>9.5</v>
      </c>
      <c r="I88">
        <f t="shared" si="8"/>
        <v>-9.5</v>
      </c>
    </row>
    <row r="89" spans="1:9" x14ac:dyDescent="0.25">
      <c r="A89" t="s">
        <v>87</v>
      </c>
      <c r="B89">
        <v>-9.5</v>
      </c>
      <c r="G89">
        <f t="shared" si="6"/>
        <v>-4.75</v>
      </c>
      <c r="H89">
        <f t="shared" si="7"/>
        <v>9.5</v>
      </c>
      <c r="I89">
        <f t="shared" si="8"/>
        <v>-9.5</v>
      </c>
    </row>
    <row r="90" spans="1:9" x14ac:dyDescent="0.25">
      <c r="A90" t="s">
        <v>88</v>
      </c>
      <c r="B90">
        <v>-9.5</v>
      </c>
      <c r="G90">
        <f t="shared" si="6"/>
        <v>-4.75</v>
      </c>
      <c r="H90">
        <f t="shared" si="7"/>
        <v>9.5</v>
      </c>
      <c r="I90">
        <f t="shared" si="8"/>
        <v>-9.5</v>
      </c>
    </row>
    <row r="91" spans="1:9" x14ac:dyDescent="0.25">
      <c r="A91" t="s">
        <v>89</v>
      </c>
      <c r="B91">
        <v>-9.5</v>
      </c>
      <c r="G91">
        <f t="shared" si="6"/>
        <v>-4.75</v>
      </c>
      <c r="H91">
        <f t="shared" si="7"/>
        <v>9.5</v>
      </c>
      <c r="I91">
        <f t="shared" si="8"/>
        <v>-9.5</v>
      </c>
    </row>
    <row r="92" spans="1:9" x14ac:dyDescent="0.25">
      <c r="A92" t="s">
        <v>90</v>
      </c>
      <c r="B92">
        <v>-9.5</v>
      </c>
      <c r="G92">
        <f t="shared" si="6"/>
        <v>-4.75</v>
      </c>
      <c r="H92">
        <f t="shared" si="7"/>
        <v>9.5</v>
      </c>
      <c r="I92">
        <f t="shared" si="8"/>
        <v>-9.5</v>
      </c>
    </row>
    <row r="93" spans="1:9" x14ac:dyDescent="0.25">
      <c r="A93" t="s">
        <v>91</v>
      </c>
      <c r="B93">
        <v>-9.5</v>
      </c>
      <c r="G93">
        <f t="shared" si="6"/>
        <v>-4.75</v>
      </c>
      <c r="H93">
        <f t="shared" si="7"/>
        <v>9.5</v>
      </c>
      <c r="I93">
        <f t="shared" si="8"/>
        <v>-9.5</v>
      </c>
    </row>
    <row r="94" spans="1:9" x14ac:dyDescent="0.25">
      <c r="A94" t="s">
        <v>92</v>
      </c>
      <c r="B94">
        <v>-9.5</v>
      </c>
      <c r="G94">
        <f t="shared" si="6"/>
        <v>-4.75</v>
      </c>
      <c r="H94">
        <f t="shared" si="7"/>
        <v>9.5</v>
      </c>
      <c r="I94">
        <f t="shared" si="8"/>
        <v>-9.5</v>
      </c>
    </row>
    <row r="95" spans="1:9" x14ac:dyDescent="0.25">
      <c r="A95" t="s">
        <v>93</v>
      </c>
      <c r="B95">
        <v>-9.5</v>
      </c>
      <c r="G95">
        <f t="shared" si="6"/>
        <v>-4.75</v>
      </c>
      <c r="H95">
        <f t="shared" si="7"/>
        <v>9.5</v>
      </c>
      <c r="I95">
        <f t="shared" si="8"/>
        <v>-9.5</v>
      </c>
    </row>
    <row r="96" spans="1:9" x14ac:dyDescent="0.25">
      <c r="A96" t="s">
        <v>94</v>
      </c>
      <c r="B96">
        <v>-9.5</v>
      </c>
      <c r="G96">
        <f t="shared" si="6"/>
        <v>-4.75</v>
      </c>
      <c r="H96">
        <f t="shared" si="7"/>
        <v>9.5</v>
      </c>
      <c r="I96">
        <f t="shared" si="8"/>
        <v>-9.5</v>
      </c>
    </row>
    <row r="97" spans="1:9" x14ac:dyDescent="0.25">
      <c r="A97" t="s">
        <v>95</v>
      </c>
      <c r="B97">
        <v>-9.5</v>
      </c>
      <c r="G97">
        <f t="shared" si="6"/>
        <v>-4.75</v>
      </c>
      <c r="H97">
        <f t="shared" si="7"/>
        <v>9.5</v>
      </c>
      <c r="I97">
        <f t="shared" si="8"/>
        <v>-9.5</v>
      </c>
    </row>
    <row r="98" spans="1:9" x14ac:dyDescent="0.25">
      <c r="A98" t="s">
        <v>96</v>
      </c>
      <c r="B98">
        <v>-17.600000000000001</v>
      </c>
      <c r="G98">
        <f t="shared" si="6"/>
        <v>-8.8000000000000007</v>
      </c>
      <c r="H98">
        <f t="shared" si="7"/>
        <v>17.600000000000001</v>
      </c>
      <c r="I98">
        <f t="shared" si="8"/>
        <v>-17.600000000000001</v>
      </c>
    </row>
    <row r="99" spans="1:9" x14ac:dyDescent="0.25">
      <c r="A99" t="s">
        <v>97</v>
      </c>
      <c r="B99">
        <v>-9.5</v>
      </c>
      <c r="G99">
        <f t="shared" si="6"/>
        <v>-4.75</v>
      </c>
      <c r="H99">
        <f t="shared" si="7"/>
        <v>9.5</v>
      </c>
      <c r="I99">
        <f t="shared" si="8"/>
        <v>-9.5</v>
      </c>
    </row>
    <row r="100" spans="1:9" x14ac:dyDescent="0.25">
      <c r="A100" t="s">
        <v>58</v>
      </c>
      <c r="B100">
        <v>-9.5</v>
      </c>
      <c r="G100">
        <f t="shared" si="6"/>
        <v>-4.75</v>
      </c>
      <c r="H100">
        <f t="shared" si="7"/>
        <v>9.5</v>
      </c>
      <c r="I100">
        <f t="shared" si="8"/>
        <v>-9.5</v>
      </c>
    </row>
    <row r="102" spans="1:9" x14ac:dyDescent="0.25">
      <c r="A102" s="3" t="s">
        <v>61</v>
      </c>
    </row>
    <row r="103" spans="1:9" x14ac:dyDescent="0.25">
      <c r="A103" t="s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2" x14ac:dyDescent="0.25">
      <c r="A1" s="2" t="s">
        <v>0</v>
      </c>
      <c r="B1" t="s">
        <v>3</v>
      </c>
    </row>
    <row r="2" spans="1:2" x14ac:dyDescent="0.25">
      <c r="A2" s="2" t="s">
        <v>1</v>
      </c>
      <c r="B2" t="s">
        <v>18</v>
      </c>
    </row>
    <row r="4" spans="1:2" x14ac:dyDescent="0.25">
      <c r="A4" s="3" t="s">
        <v>41</v>
      </c>
      <c r="B4" s="3" t="s">
        <v>42</v>
      </c>
    </row>
    <row r="5" spans="1:2" x14ac:dyDescent="0.25">
      <c r="A5" t="s">
        <v>43</v>
      </c>
      <c r="B5">
        <v>2020</v>
      </c>
    </row>
    <row r="6" spans="1:2" x14ac:dyDescent="0.25">
      <c r="A6" t="s">
        <v>44</v>
      </c>
      <c r="B6">
        <v>2060</v>
      </c>
    </row>
    <row r="7" spans="1:2" x14ac:dyDescent="0.25">
      <c r="A7" t="s">
        <v>66</v>
      </c>
      <c r="B7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>
      <pane ySplit="3" topLeftCell="A4" activePane="bottomLeft" state="frozen"/>
      <selection pane="bottomLeft" activeCell="G8" sqref="G8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20</v>
      </c>
    </row>
    <row r="2" spans="1:9" x14ac:dyDescent="0.25">
      <c r="A2" s="2" t="s">
        <v>1</v>
      </c>
      <c r="B2" t="s">
        <v>12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1</v>
      </c>
    </row>
    <row r="9" spans="1:9" x14ac:dyDescent="0.25">
      <c r="A9" s="3" t="s">
        <v>122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-1</v>
      </c>
      <c r="F10" s="4">
        <v>-1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123</v>
      </c>
      <c r="B11">
        <v>10</v>
      </c>
      <c r="G11">
        <f t="shared" ref="G11:G27" si="0">$B11*$D$10</f>
        <v>5</v>
      </c>
      <c r="H11">
        <f t="shared" ref="H11:H27" si="1">$B11*$E$10</f>
        <v>-10</v>
      </c>
      <c r="I11">
        <f t="shared" ref="I11:I27" si="2">$B11*$F$10</f>
        <v>-10</v>
      </c>
    </row>
    <row r="12" spans="1:9" x14ac:dyDescent="0.25">
      <c r="A12" t="s">
        <v>124</v>
      </c>
      <c r="B12">
        <v>10</v>
      </c>
      <c r="G12">
        <f t="shared" si="0"/>
        <v>5</v>
      </c>
      <c r="H12">
        <f t="shared" si="1"/>
        <v>-10</v>
      </c>
      <c r="I12">
        <f t="shared" si="2"/>
        <v>-10</v>
      </c>
    </row>
    <row r="13" spans="1:9" x14ac:dyDescent="0.25">
      <c r="A13" t="s">
        <v>125</v>
      </c>
      <c r="B13">
        <v>38</v>
      </c>
      <c r="G13">
        <f t="shared" si="0"/>
        <v>19</v>
      </c>
      <c r="H13">
        <f t="shared" si="1"/>
        <v>-38</v>
      </c>
      <c r="I13">
        <f t="shared" si="2"/>
        <v>-38</v>
      </c>
    </row>
    <row r="14" spans="1:9" x14ac:dyDescent="0.25">
      <c r="A14" t="s">
        <v>126</v>
      </c>
      <c r="B14">
        <v>38</v>
      </c>
      <c r="G14">
        <f t="shared" si="0"/>
        <v>19</v>
      </c>
      <c r="H14">
        <f t="shared" si="1"/>
        <v>-38</v>
      </c>
      <c r="I14">
        <f t="shared" si="2"/>
        <v>-38</v>
      </c>
    </row>
    <row r="15" spans="1:9" x14ac:dyDescent="0.25">
      <c r="A15" t="s">
        <v>127</v>
      </c>
      <c r="B15">
        <v>38</v>
      </c>
      <c r="G15">
        <f t="shared" si="0"/>
        <v>19</v>
      </c>
      <c r="H15">
        <f t="shared" si="1"/>
        <v>-38</v>
      </c>
      <c r="I15">
        <f t="shared" si="2"/>
        <v>-38</v>
      </c>
    </row>
    <row r="16" spans="1:9" x14ac:dyDescent="0.25">
      <c r="A16" t="s">
        <v>128</v>
      </c>
      <c r="B16">
        <v>33</v>
      </c>
      <c r="G16">
        <f t="shared" si="0"/>
        <v>16.5</v>
      </c>
      <c r="H16">
        <f t="shared" si="1"/>
        <v>-33</v>
      </c>
      <c r="I16">
        <f t="shared" si="2"/>
        <v>-33</v>
      </c>
    </row>
    <row r="17" spans="1:9" x14ac:dyDescent="0.25">
      <c r="A17" t="s">
        <v>129</v>
      </c>
      <c r="B17">
        <v>33</v>
      </c>
      <c r="G17">
        <f t="shared" si="0"/>
        <v>16.5</v>
      </c>
      <c r="H17">
        <f t="shared" si="1"/>
        <v>-33</v>
      </c>
      <c r="I17">
        <f t="shared" si="2"/>
        <v>-33</v>
      </c>
    </row>
    <row r="18" spans="1:9" x14ac:dyDescent="0.25">
      <c r="A18" t="s">
        <v>130</v>
      </c>
      <c r="B18">
        <v>33</v>
      </c>
      <c r="G18">
        <f t="shared" si="0"/>
        <v>16.5</v>
      </c>
      <c r="H18">
        <f t="shared" si="1"/>
        <v>-33</v>
      </c>
      <c r="I18">
        <f t="shared" si="2"/>
        <v>-33</v>
      </c>
    </row>
    <row r="19" spans="1:9" x14ac:dyDescent="0.25">
      <c r="A19" t="s">
        <v>131</v>
      </c>
      <c r="B19">
        <v>33</v>
      </c>
      <c r="G19">
        <f t="shared" si="0"/>
        <v>16.5</v>
      </c>
      <c r="H19">
        <f t="shared" si="1"/>
        <v>-33</v>
      </c>
      <c r="I19">
        <f t="shared" si="2"/>
        <v>-33</v>
      </c>
    </row>
    <row r="20" spans="1:9" x14ac:dyDescent="0.25">
      <c r="A20" t="s">
        <v>132</v>
      </c>
      <c r="B20">
        <v>10</v>
      </c>
      <c r="G20">
        <f t="shared" si="0"/>
        <v>5</v>
      </c>
      <c r="H20">
        <f t="shared" si="1"/>
        <v>-10</v>
      </c>
      <c r="I20">
        <f t="shared" si="2"/>
        <v>-10</v>
      </c>
    </row>
    <row r="21" spans="1:9" x14ac:dyDescent="0.25">
      <c r="A21" t="s">
        <v>133</v>
      </c>
      <c r="B21">
        <v>10</v>
      </c>
      <c r="G21">
        <f t="shared" si="0"/>
        <v>5</v>
      </c>
      <c r="H21">
        <f t="shared" si="1"/>
        <v>-10</v>
      </c>
      <c r="I21">
        <f t="shared" si="2"/>
        <v>-10</v>
      </c>
    </row>
    <row r="22" spans="1:9" x14ac:dyDescent="0.25">
      <c r="A22" t="s">
        <v>134</v>
      </c>
      <c r="B22">
        <v>10</v>
      </c>
      <c r="G22">
        <f t="shared" si="0"/>
        <v>5</v>
      </c>
      <c r="H22">
        <f t="shared" si="1"/>
        <v>-10</v>
      </c>
      <c r="I22">
        <f t="shared" si="2"/>
        <v>-10</v>
      </c>
    </row>
    <row r="23" spans="1:9" x14ac:dyDescent="0.25">
      <c r="A23" t="s">
        <v>135</v>
      </c>
      <c r="B23">
        <v>20</v>
      </c>
      <c r="G23">
        <f t="shared" si="0"/>
        <v>10</v>
      </c>
      <c r="H23">
        <f t="shared" si="1"/>
        <v>-20</v>
      </c>
      <c r="I23">
        <f t="shared" si="2"/>
        <v>-20</v>
      </c>
    </row>
    <row r="24" spans="1:9" x14ac:dyDescent="0.25">
      <c r="A24" t="s">
        <v>136</v>
      </c>
      <c r="B24">
        <v>20</v>
      </c>
      <c r="G24">
        <f t="shared" si="0"/>
        <v>10</v>
      </c>
      <c r="H24">
        <f t="shared" si="1"/>
        <v>-20</v>
      </c>
      <c r="I24">
        <f t="shared" si="2"/>
        <v>-20</v>
      </c>
    </row>
    <row r="25" spans="1:9" x14ac:dyDescent="0.25">
      <c r="A25" t="s">
        <v>137</v>
      </c>
      <c r="B25">
        <v>33</v>
      </c>
      <c r="G25">
        <f t="shared" si="0"/>
        <v>16.5</v>
      </c>
      <c r="H25">
        <f t="shared" si="1"/>
        <v>-33</v>
      </c>
      <c r="I25">
        <f t="shared" si="2"/>
        <v>-33</v>
      </c>
    </row>
    <row r="26" spans="1:9" x14ac:dyDescent="0.25">
      <c r="A26" t="s">
        <v>138</v>
      </c>
      <c r="B26">
        <v>20</v>
      </c>
      <c r="G26">
        <f t="shared" si="0"/>
        <v>10</v>
      </c>
      <c r="H26">
        <f t="shared" si="1"/>
        <v>-20</v>
      </c>
      <c r="I26">
        <f t="shared" si="2"/>
        <v>-20</v>
      </c>
    </row>
    <row r="27" spans="1:9" x14ac:dyDescent="0.25">
      <c r="A27" t="s">
        <v>139</v>
      </c>
      <c r="B27">
        <v>22.5</v>
      </c>
      <c r="G27">
        <f t="shared" si="0"/>
        <v>11.25</v>
      </c>
      <c r="H27">
        <f t="shared" si="1"/>
        <v>-22.5</v>
      </c>
      <c r="I27">
        <f t="shared" si="2"/>
        <v>-22.5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20</v>
      </c>
    </row>
    <row r="2" spans="1:9" x14ac:dyDescent="0.25">
      <c r="A2" s="2" t="s">
        <v>1</v>
      </c>
      <c r="B2" t="s">
        <v>22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140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123</v>
      </c>
      <c r="B11">
        <v>-4.2</v>
      </c>
      <c r="G11">
        <f t="shared" ref="G11:G17" si="0">$B11*$D$10</f>
        <v>-2.1</v>
      </c>
      <c r="H11">
        <f t="shared" ref="H11:H17" si="1">$B11*$E$10</f>
        <v>2.1</v>
      </c>
      <c r="I11">
        <f t="shared" ref="I11:I17" si="2">$B11*$F$10</f>
        <v>0</v>
      </c>
    </row>
    <row r="12" spans="1:9" x14ac:dyDescent="0.25">
      <c r="A12" t="s">
        <v>124</v>
      </c>
      <c r="B12">
        <v>-4.2</v>
      </c>
      <c r="G12">
        <f t="shared" si="0"/>
        <v>-2.1</v>
      </c>
      <c r="H12">
        <f t="shared" si="1"/>
        <v>2.1</v>
      </c>
      <c r="I12">
        <f t="shared" si="2"/>
        <v>0</v>
      </c>
    </row>
    <row r="13" spans="1:9" x14ac:dyDescent="0.25">
      <c r="A13" t="s">
        <v>125</v>
      </c>
      <c r="B13">
        <v>-4.2</v>
      </c>
      <c r="G13">
        <f t="shared" si="0"/>
        <v>-2.1</v>
      </c>
      <c r="H13">
        <f t="shared" si="1"/>
        <v>2.1</v>
      </c>
      <c r="I13">
        <f t="shared" si="2"/>
        <v>0</v>
      </c>
    </row>
    <row r="14" spans="1:9" x14ac:dyDescent="0.25">
      <c r="A14" t="s">
        <v>126</v>
      </c>
      <c r="B14">
        <v>-4.2</v>
      </c>
      <c r="G14">
        <f t="shared" si="0"/>
        <v>-2.1</v>
      </c>
      <c r="H14">
        <f t="shared" si="1"/>
        <v>2.1</v>
      </c>
      <c r="I14">
        <f t="shared" si="2"/>
        <v>0</v>
      </c>
    </row>
    <row r="15" spans="1:9" x14ac:dyDescent="0.25">
      <c r="A15" t="s">
        <v>127</v>
      </c>
      <c r="B15">
        <v>-4.2</v>
      </c>
      <c r="G15">
        <f t="shared" si="0"/>
        <v>-2.1</v>
      </c>
      <c r="H15">
        <f t="shared" si="1"/>
        <v>2.1</v>
      </c>
      <c r="I15">
        <f t="shared" si="2"/>
        <v>0</v>
      </c>
    </row>
    <row r="16" spans="1:9" x14ac:dyDescent="0.25">
      <c r="A16" t="s">
        <v>137</v>
      </c>
      <c r="B16">
        <v>-4.2</v>
      </c>
      <c r="G16">
        <f t="shared" si="0"/>
        <v>-2.1</v>
      </c>
      <c r="H16">
        <f t="shared" si="1"/>
        <v>2.1</v>
      </c>
      <c r="I16">
        <f t="shared" si="2"/>
        <v>0</v>
      </c>
    </row>
    <row r="17" spans="1:9" x14ac:dyDescent="0.25">
      <c r="A17" t="s">
        <v>138</v>
      </c>
      <c r="B17">
        <v>-4.2</v>
      </c>
      <c r="G17">
        <f t="shared" si="0"/>
        <v>-2.1</v>
      </c>
      <c r="H17">
        <f t="shared" si="1"/>
        <v>2.1</v>
      </c>
      <c r="I17">
        <f t="shared" si="2"/>
        <v>0</v>
      </c>
    </row>
    <row r="18" spans="1:9" x14ac:dyDescent="0.25">
      <c r="D18" t="b">
        <v>1</v>
      </c>
      <c r="E18" t="b">
        <v>1</v>
      </c>
      <c r="F18" t="b">
        <v>0</v>
      </c>
    </row>
    <row r="19" spans="1:9" x14ac:dyDescent="0.25">
      <c r="A19" s="3" t="s">
        <v>141</v>
      </c>
      <c r="B19" s="3" t="s">
        <v>75</v>
      </c>
      <c r="D19" s="3" t="s">
        <v>47</v>
      </c>
      <c r="E19" s="3" t="s">
        <v>48</v>
      </c>
      <c r="F19" s="3" t="s">
        <v>49</v>
      </c>
    </row>
    <row r="20" spans="1:9" x14ac:dyDescent="0.25">
      <c r="A20" s="1" t="s">
        <v>50</v>
      </c>
      <c r="B20" s="1" t="s">
        <v>42</v>
      </c>
      <c r="C20" s="1" t="s">
        <v>51</v>
      </c>
      <c r="D20" s="4">
        <v>0.5</v>
      </c>
      <c r="E20" s="4">
        <v>-0.5</v>
      </c>
      <c r="F20" s="4">
        <v>0</v>
      </c>
      <c r="G20" s="1" t="s">
        <v>52</v>
      </c>
      <c r="H20" s="1" t="s">
        <v>53</v>
      </c>
      <c r="I20" s="1" t="s">
        <v>54</v>
      </c>
    </row>
    <row r="21" spans="1:9" x14ac:dyDescent="0.25">
      <c r="A21" t="s">
        <v>132</v>
      </c>
      <c r="B21">
        <v>-8.1999999999999993</v>
      </c>
      <c r="G21">
        <f t="shared" ref="G21:G26" si="3">$B21*$D$20</f>
        <v>-4.0999999999999996</v>
      </c>
      <c r="H21">
        <f t="shared" ref="H21:H26" si="4">$B21*$E$20</f>
        <v>4.0999999999999996</v>
      </c>
      <c r="I21">
        <f t="shared" ref="I21:I26" si="5">$B21*$F$20</f>
        <v>0</v>
      </c>
    </row>
    <row r="22" spans="1:9" x14ac:dyDescent="0.25">
      <c r="A22" t="s">
        <v>133</v>
      </c>
      <c r="B22">
        <v>-8.1999999999999993</v>
      </c>
      <c r="G22">
        <f t="shared" si="3"/>
        <v>-4.0999999999999996</v>
      </c>
      <c r="H22">
        <f t="shared" si="4"/>
        <v>4.0999999999999996</v>
      </c>
      <c r="I22">
        <f t="shared" si="5"/>
        <v>0</v>
      </c>
    </row>
    <row r="23" spans="1:9" x14ac:dyDescent="0.25">
      <c r="A23" t="s">
        <v>134</v>
      </c>
      <c r="B23">
        <v>-8.1999999999999993</v>
      </c>
      <c r="G23">
        <f t="shared" si="3"/>
        <v>-4.0999999999999996</v>
      </c>
      <c r="H23">
        <f t="shared" si="4"/>
        <v>4.0999999999999996</v>
      </c>
      <c r="I23">
        <f t="shared" si="5"/>
        <v>0</v>
      </c>
    </row>
    <row r="24" spans="1:9" x14ac:dyDescent="0.25">
      <c r="A24" t="s">
        <v>135</v>
      </c>
      <c r="B24">
        <v>-8.1999999999999993</v>
      </c>
      <c r="G24">
        <f t="shared" si="3"/>
        <v>-4.0999999999999996</v>
      </c>
      <c r="H24">
        <f t="shared" si="4"/>
        <v>4.0999999999999996</v>
      </c>
      <c r="I24">
        <f t="shared" si="5"/>
        <v>0</v>
      </c>
    </row>
    <row r="25" spans="1:9" x14ac:dyDescent="0.25">
      <c r="A25" t="s">
        <v>136</v>
      </c>
      <c r="B25">
        <v>-8.1999999999999993</v>
      </c>
      <c r="G25">
        <f t="shared" si="3"/>
        <v>-4.0999999999999996</v>
      </c>
      <c r="H25">
        <f t="shared" si="4"/>
        <v>4.0999999999999996</v>
      </c>
      <c r="I25">
        <f t="shared" si="5"/>
        <v>0</v>
      </c>
    </row>
    <row r="26" spans="1:9" x14ac:dyDescent="0.25">
      <c r="A26" t="s">
        <v>139</v>
      </c>
      <c r="B26">
        <v>-8.1999999999999993</v>
      </c>
      <c r="G26">
        <f t="shared" si="3"/>
        <v>-4.0999999999999996</v>
      </c>
      <c r="H26">
        <f t="shared" si="4"/>
        <v>4.0999999999999996</v>
      </c>
      <c r="I26">
        <f t="shared" si="5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workbookViewId="0">
      <pane ySplit="3" topLeftCell="A4" activePane="bottomLeft" state="frozen"/>
      <selection pane="bottomLeft" activeCell="D8" sqref="D8:F8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20</v>
      </c>
    </row>
    <row r="2" spans="1:9" x14ac:dyDescent="0.25">
      <c r="A2" s="2" t="s">
        <v>1</v>
      </c>
      <c r="B2" t="s">
        <v>24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0</v>
      </c>
      <c r="F8" t="b">
        <v>0</v>
      </c>
    </row>
    <row r="9" spans="1:9" x14ac:dyDescent="0.25">
      <c r="A9" s="3" t="s">
        <v>142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0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135</v>
      </c>
      <c r="B11">
        <v>10</v>
      </c>
      <c r="G11">
        <f t="shared" ref="G11:G18" si="0">$B11*$D$10</f>
        <v>5</v>
      </c>
      <c r="H11">
        <f t="shared" ref="H11:H18" si="1">$B11*$E$10</f>
        <v>0</v>
      </c>
      <c r="I11">
        <f t="shared" ref="I11:I18" si="2">$B11*$F$10</f>
        <v>0</v>
      </c>
    </row>
    <row r="12" spans="1:9" x14ac:dyDescent="0.25">
      <c r="A12" t="s">
        <v>136</v>
      </c>
      <c r="B12">
        <v>10</v>
      </c>
      <c r="G12">
        <f t="shared" si="0"/>
        <v>5</v>
      </c>
      <c r="H12">
        <f t="shared" si="1"/>
        <v>0</v>
      </c>
      <c r="I12">
        <f t="shared" si="2"/>
        <v>0</v>
      </c>
    </row>
    <row r="13" spans="1:9" x14ac:dyDescent="0.25">
      <c r="A13" t="s">
        <v>125</v>
      </c>
      <c r="B13">
        <v>10</v>
      </c>
      <c r="G13">
        <f t="shared" si="0"/>
        <v>5</v>
      </c>
      <c r="H13">
        <f t="shared" si="1"/>
        <v>0</v>
      </c>
      <c r="I13">
        <f t="shared" si="2"/>
        <v>0</v>
      </c>
    </row>
    <row r="14" spans="1:9" x14ac:dyDescent="0.25">
      <c r="A14" t="s">
        <v>126</v>
      </c>
      <c r="B14">
        <v>10</v>
      </c>
      <c r="G14">
        <f t="shared" si="0"/>
        <v>5</v>
      </c>
      <c r="H14">
        <f t="shared" si="1"/>
        <v>0</v>
      </c>
      <c r="I14">
        <f t="shared" si="2"/>
        <v>0</v>
      </c>
    </row>
    <row r="15" spans="1:9" x14ac:dyDescent="0.25">
      <c r="A15" t="s">
        <v>127</v>
      </c>
      <c r="B15">
        <v>10</v>
      </c>
      <c r="G15">
        <f t="shared" si="0"/>
        <v>5</v>
      </c>
      <c r="H15">
        <f t="shared" si="1"/>
        <v>0</v>
      </c>
      <c r="I15">
        <f t="shared" si="2"/>
        <v>0</v>
      </c>
    </row>
    <row r="16" spans="1:9" x14ac:dyDescent="0.25">
      <c r="A16" t="s">
        <v>138</v>
      </c>
      <c r="B16">
        <v>10</v>
      </c>
      <c r="G16">
        <f t="shared" si="0"/>
        <v>5</v>
      </c>
      <c r="H16">
        <f t="shared" si="1"/>
        <v>0</v>
      </c>
      <c r="I16">
        <f t="shared" si="2"/>
        <v>0</v>
      </c>
    </row>
    <row r="17" spans="1:9" x14ac:dyDescent="0.25">
      <c r="A17" t="s">
        <v>132</v>
      </c>
      <c r="B17">
        <v>10</v>
      </c>
      <c r="G17">
        <f t="shared" si="0"/>
        <v>5</v>
      </c>
      <c r="H17">
        <f t="shared" si="1"/>
        <v>0</v>
      </c>
      <c r="I17">
        <f t="shared" si="2"/>
        <v>0</v>
      </c>
    </row>
    <row r="18" spans="1:9" x14ac:dyDescent="0.25">
      <c r="A18" t="s">
        <v>137</v>
      </c>
      <c r="B18">
        <v>10</v>
      </c>
      <c r="G18">
        <f t="shared" si="0"/>
        <v>5</v>
      </c>
      <c r="H18">
        <f t="shared" si="1"/>
        <v>0</v>
      </c>
      <c r="I18">
        <f t="shared" si="2"/>
        <v>0</v>
      </c>
    </row>
    <row r="19" spans="1:9" x14ac:dyDescent="0.25">
      <c r="D19" t="b">
        <v>1</v>
      </c>
      <c r="E19" t="b">
        <v>0</v>
      </c>
      <c r="F19" t="b">
        <v>0</v>
      </c>
    </row>
    <row r="20" spans="1:9" x14ac:dyDescent="0.25">
      <c r="A20" s="3" t="s">
        <v>143</v>
      </c>
      <c r="B20" s="3" t="s">
        <v>75</v>
      </c>
      <c r="D20" s="3" t="s">
        <v>47</v>
      </c>
      <c r="E20" s="3" t="s">
        <v>48</v>
      </c>
      <c r="F20" s="3" t="s">
        <v>49</v>
      </c>
    </row>
    <row r="21" spans="1:9" x14ac:dyDescent="0.25">
      <c r="A21" s="1" t="s">
        <v>50</v>
      </c>
      <c r="B21" s="1" t="s">
        <v>42</v>
      </c>
      <c r="C21" s="1" t="s">
        <v>51</v>
      </c>
      <c r="D21" s="4">
        <v>0.5</v>
      </c>
      <c r="E21" s="4">
        <v>0</v>
      </c>
      <c r="F21" s="4">
        <v>0</v>
      </c>
      <c r="G21" s="1" t="s">
        <v>52</v>
      </c>
      <c r="H21" s="1" t="s">
        <v>53</v>
      </c>
      <c r="I21" s="1" t="s">
        <v>54</v>
      </c>
    </row>
    <row r="22" spans="1:9" x14ac:dyDescent="0.25">
      <c r="A22" t="s">
        <v>139</v>
      </c>
      <c r="B22">
        <v>20</v>
      </c>
      <c r="G22">
        <f>$B22*$D$21</f>
        <v>10</v>
      </c>
      <c r="H22">
        <f>$B22*$E$21</f>
        <v>0</v>
      </c>
      <c r="I22">
        <f>$B22*$F$21</f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workbookViewId="0">
      <pane ySplit="3" topLeftCell="A4" activePane="bottomLeft" state="frozen"/>
      <selection pane="bottomLeft" activeCell="E18" sqref="E18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20</v>
      </c>
    </row>
    <row r="2" spans="1:9" x14ac:dyDescent="0.25">
      <c r="A2" s="2" t="s">
        <v>1</v>
      </c>
      <c r="B2" t="s">
        <v>26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0</v>
      </c>
      <c r="F8" t="b">
        <v>0</v>
      </c>
    </row>
    <row r="9" spans="1:9" x14ac:dyDescent="0.25">
      <c r="A9" s="3" t="s">
        <v>143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0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139</v>
      </c>
      <c r="B11">
        <v>20</v>
      </c>
      <c r="G11">
        <f>$B11*$D$10</f>
        <v>10</v>
      </c>
      <c r="H11">
        <f>$B11*$E$10</f>
        <v>0</v>
      </c>
      <c r="I11">
        <f>$B11*$F$10</f>
        <v>0</v>
      </c>
    </row>
    <row r="12" spans="1:9" x14ac:dyDescent="0.25">
      <c r="D12" t="b">
        <v>1</v>
      </c>
      <c r="E12" t="b">
        <v>0</v>
      </c>
      <c r="F12" t="b">
        <v>0</v>
      </c>
    </row>
    <row r="13" spans="1:9" x14ac:dyDescent="0.25">
      <c r="A13" s="3" t="s">
        <v>142</v>
      </c>
      <c r="B13" s="3" t="s">
        <v>75</v>
      </c>
      <c r="D13" s="3" t="s">
        <v>47</v>
      </c>
      <c r="E13" s="3" t="s">
        <v>48</v>
      </c>
      <c r="F13" s="3" t="s">
        <v>49</v>
      </c>
    </row>
    <row r="14" spans="1:9" x14ac:dyDescent="0.25">
      <c r="A14" s="1" t="s">
        <v>50</v>
      </c>
      <c r="B14" s="1" t="s">
        <v>42</v>
      </c>
      <c r="C14" s="1" t="s">
        <v>51</v>
      </c>
      <c r="D14" s="4">
        <v>0.5</v>
      </c>
      <c r="E14" s="4">
        <v>0</v>
      </c>
      <c r="F14" s="4">
        <v>0</v>
      </c>
      <c r="G14" s="1" t="s">
        <v>52</v>
      </c>
      <c r="H14" s="1" t="s">
        <v>53</v>
      </c>
      <c r="I14" s="1" t="s">
        <v>54</v>
      </c>
    </row>
    <row r="15" spans="1:9" x14ac:dyDescent="0.25">
      <c r="A15" t="s">
        <v>135</v>
      </c>
      <c r="B15">
        <v>10</v>
      </c>
      <c r="G15">
        <f>$B15*$D$14</f>
        <v>5</v>
      </c>
      <c r="H15">
        <f>$B15*$E$14</f>
        <v>0</v>
      </c>
      <c r="I15">
        <f>$B15*$F$14</f>
        <v>0</v>
      </c>
    </row>
    <row r="16" spans="1:9" x14ac:dyDescent="0.25">
      <c r="A16" t="s">
        <v>136</v>
      </c>
      <c r="B16">
        <v>10</v>
      </c>
      <c r="G16">
        <f>$B16*$D$14</f>
        <v>5</v>
      </c>
      <c r="H16">
        <f>$B16*$E$14</f>
        <v>0</v>
      </c>
      <c r="I16">
        <f>$B16*$F$14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pane ySplit="3" topLeftCell="A4" activePane="bottomLeft" state="frozen"/>
      <selection pane="bottomLeft" activeCell="D8" sqref="D8:F8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28</v>
      </c>
    </row>
    <row r="2" spans="1:9" x14ac:dyDescent="0.25">
      <c r="A2" s="2" t="s">
        <v>1</v>
      </c>
      <c r="B2" t="s">
        <v>29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144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145</v>
      </c>
      <c r="B11">
        <v>-20</v>
      </c>
      <c r="G11">
        <f t="shared" ref="G11:G17" si="0">$B11*$D$10</f>
        <v>-10</v>
      </c>
      <c r="H11">
        <f t="shared" ref="H11:H17" si="1">$B11*$E$10</f>
        <v>10</v>
      </c>
      <c r="I11">
        <f t="shared" ref="I11:I17" si="2">$B11*$F$10</f>
        <v>0</v>
      </c>
    </row>
    <row r="12" spans="1:9" x14ac:dyDescent="0.25">
      <c r="A12" t="s">
        <v>146</v>
      </c>
      <c r="B12">
        <v>-10</v>
      </c>
      <c r="G12">
        <f t="shared" si="0"/>
        <v>-5</v>
      </c>
      <c r="H12">
        <f t="shared" si="1"/>
        <v>5</v>
      </c>
      <c r="I12">
        <f t="shared" si="2"/>
        <v>0</v>
      </c>
    </row>
    <row r="13" spans="1:9" x14ac:dyDescent="0.25">
      <c r="A13" t="s">
        <v>147</v>
      </c>
      <c r="B13">
        <v>-30</v>
      </c>
      <c r="G13">
        <f t="shared" si="0"/>
        <v>-15</v>
      </c>
      <c r="H13">
        <f t="shared" si="1"/>
        <v>15</v>
      </c>
      <c r="I13">
        <f t="shared" si="2"/>
        <v>0</v>
      </c>
    </row>
    <row r="14" spans="1:9" x14ac:dyDescent="0.25">
      <c r="A14" t="s">
        <v>148</v>
      </c>
      <c r="B14">
        <v>-20</v>
      </c>
      <c r="G14">
        <f t="shared" si="0"/>
        <v>-10</v>
      </c>
      <c r="H14">
        <f t="shared" si="1"/>
        <v>10</v>
      </c>
      <c r="I14">
        <f t="shared" si="2"/>
        <v>0</v>
      </c>
    </row>
    <row r="15" spans="1:9" x14ac:dyDescent="0.25">
      <c r="A15" t="s">
        <v>149</v>
      </c>
      <c r="B15">
        <v>-10</v>
      </c>
      <c r="G15">
        <f t="shared" si="0"/>
        <v>-5</v>
      </c>
      <c r="H15">
        <f t="shared" si="1"/>
        <v>5</v>
      </c>
      <c r="I15">
        <f t="shared" si="2"/>
        <v>0</v>
      </c>
    </row>
    <row r="16" spans="1:9" x14ac:dyDescent="0.25">
      <c r="A16" t="s">
        <v>150</v>
      </c>
      <c r="B16">
        <v>-30</v>
      </c>
      <c r="G16">
        <f t="shared" si="0"/>
        <v>-15</v>
      </c>
      <c r="H16">
        <f t="shared" si="1"/>
        <v>15</v>
      </c>
      <c r="I16">
        <f t="shared" si="2"/>
        <v>0</v>
      </c>
    </row>
    <row r="17" spans="1:9" x14ac:dyDescent="0.25">
      <c r="A17" t="s">
        <v>151</v>
      </c>
      <c r="B17">
        <v>0</v>
      </c>
      <c r="G17">
        <f t="shared" si="0"/>
        <v>0</v>
      </c>
      <c r="H17">
        <f t="shared" si="1"/>
        <v>0</v>
      </c>
      <c r="I17">
        <f t="shared" si="2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7"/>
  <sheetViews>
    <sheetView workbookViewId="0">
      <pane ySplit="3" topLeftCell="A4" activePane="bottomLeft" state="frozen"/>
      <selection pane="bottomLeft" activeCell="D8" sqref="D8:F10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28</v>
      </c>
    </row>
    <row r="2" spans="1:9" x14ac:dyDescent="0.25">
      <c r="A2" s="2" t="s">
        <v>1</v>
      </c>
      <c r="B2" t="s">
        <v>31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122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-0.5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145</v>
      </c>
      <c r="B11">
        <v>32</v>
      </c>
      <c r="G11">
        <f t="shared" ref="G11:G17" si="0">$B11*$D$10</f>
        <v>16</v>
      </c>
      <c r="H11">
        <f t="shared" ref="H11:H17" si="1">$B11*$E$10</f>
        <v>-16</v>
      </c>
      <c r="I11">
        <f t="shared" ref="I11:I17" si="2">$B11*$F$10</f>
        <v>-16</v>
      </c>
    </row>
    <row r="12" spans="1:9" x14ac:dyDescent="0.25">
      <c r="A12" t="s">
        <v>146</v>
      </c>
      <c r="B12">
        <v>32</v>
      </c>
      <c r="G12">
        <f t="shared" si="0"/>
        <v>16</v>
      </c>
      <c r="H12">
        <f t="shared" si="1"/>
        <v>-16</v>
      </c>
      <c r="I12">
        <f t="shared" si="2"/>
        <v>-16</v>
      </c>
    </row>
    <row r="13" spans="1:9" x14ac:dyDescent="0.25">
      <c r="A13" t="s">
        <v>147</v>
      </c>
      <c r="B13">
        <v>10</v>
      </c>
      <c r="G13">
        <f t="shared" si="0"/>
        <v>5</v>
      </c>
      <c r="H13">
        <f t="shared" si="1"/>
        <v>-5</v>
      </c>
      <c r="I13">
        <f t="shared" si="2"/>
        <v>-5</v>
      </c>
    </row>
    <row r="14" spans="1:9" x14ac:dyDescent="0.25">
      <c r="A14" t="s">
        <v>148</v>
      </c>
      <c r="B14">
        <v>20</v>
      </c>
      <c r="G14">
        <f t="shared" si="0"/>
        <v>10</v>
      </c>
      <c r="H14">
        <f t="shared" si="1"/>
        <v>-10</v>
      </c>
      <c r="I14">
        <f t="shared" si="2"/>
        <v>-10</v>
      </c>
    </row>
    <row r="15" spans="1:9" x14ac:dyDescent="0.25">
      <c r="A15" t="s">
        <v>149</v>
      </c>
      <c r="B15">
        <v>20</v>
      </c>
      <c r="G15">
        <f t="shared" si="0"/>
        <v>10</v>
      </c>
      <c r="H15">
        <f t="shared" si="1"/>
        <v>-10</v>
      </c>
      <c r="I15">
        <f t="shared" si="2"/>
        <v>-10</v>
      </c>
    </row>
    <row r="16" spans="1:9" x14ac:dyDescent="0.25">
      <c r="A16" t="s">
        <v>150</v>
      </c>
      <c r="B16">
        <v>0</v>
      </c>
      <c r="G16">
        <f t="shared" si="0"/>
        <v>0</v>
      </c>
      <c r="H16">
        <f t="shared" si="1"/>
        <v>0</v>
      </c>
      <c r="I16">
        <f t="shared" si="2"/>
        <v>0</v>
      </c>
    </row>
    <row r="17" spans="1:9" x14ac:dyDescent="0.25">
      <c r="A17" t="s">
        <v>151</v>
      </c>
      <c r="B17">
        <v>6</v>
      </c>
      <c r="G17">
        <f t="shared" si="0"/>
        <v>3</v>
      </c>
      <c r="H17">
        <f t="shared" si="1"/>
        <v>-3</v>
      </c>
      <c r="I17">
        <f t="shared" si="2"/>
        <v>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2"/>
  <sheetViews>
    <sheetView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28</v>
      </c>
    </row>
    <row r="2" spans="1:9" x14ac:dyDescent="0.25">
      <c r="A2" s="2" t="s">
        <v>1</v>
      </c>
      <c r="B2" t="s">
        <v>33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144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0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152</v>
      </c>
      <c r="B11">
        <v>-10</v>
      </c>
      <c r="G11">
        <f>$B11*$D$10</f>
        <v>-5</v>
      </c>
      <c r="H11">
        <f>$B11*$E$10</f>
        <v>5</v>
      </c>
      <c r="I11">
        <f>$B11*$F$10</f>
        <v>0</v>
      </c>
    </row>
    <row r="12" spans="1:9" x14ac:dyDescent="0.25">
      <c r="A12" t="s">
        <v>153</v>
      </c>
      <c r="B12">
        <v>-10</v>
      </c>
      <c r="G12">
        <f>$B12*$D$10</f>
        <v>-5</v>
      </c>
      <c r="H12">
        <f>$B12*$E$10</f>
        <v>5</v>
      </c>
      <c r="I12">
        <f>$B12*$F$10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"/>
  <sheetViews>
    <sheetView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28</v>
      </c>
    </row>
    <row r="2" spans="1:9" x14ac:dyDescent="0.25">
      <c r="A2" s="2" t="s">
        <v>1</v>
      </c>
      <c r="B2" t="s">
        <v>35</v>
      </c>
    </row>
    <row r="4" spans="1:9" x14ac:dyDescent="0.25">
      <c r="A4" s="3" t="s">
        <v>41</v>
      </c>
      <c r="B4" s="3" t="s">
        <v>42</v>
      </c>
    </row>
    <row r="5" spans="1:9" x14ac:dyDescent="0.25">
      <c r="A5" t="s">
        <v>43</v>
      </c>
      <c r="B5">
        <v>2025</v>
      </c>
    </row>
    <row r="6" spans="1:9" x14ac:dyDescent="0.25">
      <c r="A6" t="s">
        <v>44</v>
      </c>
      <c r="B6">
        <v>2060</v>
      </c>
    </row>
    <row r="7" spans="1:9" x14ac:dyDescent="0.25">
      <c r="A7" t="s">
        <v>66</v>
      </c>
      <c r="B7" t="s">
        <v>67</v>
      </c>
    </row>
    <row r="8" spans="1:9" x14ac:dyDescent="0.25">
      <c r="D8" t="b">
        <v>1</v>
      </c>
      <c r="E8" t="b">
        <v>1</v>
      </c>
      <c r="F8" t="b">
        <v>0</v>
      </c>
    </row>
    <row r="9" spans="1:9" x14ac:dyDescent="0.25">
      <c r="A9" s="3" t="s">
        <v>122</v>
      </c>
      <c r="B9" s="3" t="s">
        <v>75</v>
      </c>
      <c r="D9" s="3" t="s">
        <v>47</v>
      </c>
      <c r="E9" s="3" t="s">
        <v>48</v>
      </c>
      <c r="F9" s="3" t="s">
        <v>49</v>
      </c>
    </row>
    <row r="10" spans="1:9" x14ac:dyDescent="0.25">
      <c r="A10" s="1" t="s">
        <v>50</v>
      </c>
      <c r="B10" s="1" t="s">
        <v>42</v>
      </c>
      <c r="C10" s="1" t="s">
        <v>51</v>
      </c>
      <c r="D10" s="4">
        <v>0.5</v>
      </c>
      <c r="E10" s="4">
        <v>-0.5</v>
      </c>
      <c r="F10" s="4">
        <v>-0.5</v>
      </c>
      <c r="G10" s="1" t="s">
        <v>52</v>
      </c>
      <c r="H10" s="1" t="s">
        <v>53</v>
      </c>
      <c r="I10" s="1" t="s">
        <v>54</v>
      </c>
    </row>
    <row r="11" spans="1:9" x14ac:dyDescent="0.25">
      <c r="A11" t="s">
        <v>152</v>
      </c>
      <c r="B11">
        <v>10</v>
      </c>
      <c r="G11">
        <f>$B11*$D$10</f>
        <v>5</v>
      </c>
      <c r="H11">
        <f>$B11*$E$10</f>
        <v>-5</v>
      </c>
      <c r="I11">
        <f>$B11*$F$10</f>
        <v>-5</v>
      </c>
    </row>
    <row r="12" spans="1:9" x14ac:dyDescent="0.25">
      <c r="A12" t="s">
        <v>153</v>
      </c>
      <c r="B12">
        <v>10</v>
      </c>
      <c r="G12">
        <f>$B12*$D$10</f>
        <v>5</v>
      </c>
      <c r="H12">
        <f>$B12*$E$10</f>
        <v>-5</v>
      </c>
      <c r="I12">
        <f>$B12*$F$10</f>
        <v>-5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>
      <pane ySplit="3" topLeftCell="A4" activePane="bottomLeft" state="frozen"/>
      <selection pane="bottomLeft" activeCell="D19" sqref="D19:F19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37</v>
      </c>
    </row>
    <row r="2" spans="1:9" x14ac:dyDescent="0.25">
      <c r="A2" s="2" t="s">
        <v>1</v>
      </c>
      <c r="B2" t="s">
        <v>12</v>
      </c>
    </row>
    <row r="3" spans="1:9" x14ac:dyDescent="0.25">
      <c r="D3" t="b">
        <v>1</v>
      </c>
      <c r="E3" t="b">
        <v>0</v>
      </c>
      <c r="F3" t="b">
        <v>1</v>
      </c>
    </row>
    <row r="4" spans="1:9" x14ac:dyDescent="0.25">
      <c r="A4" s="3" t="s">
        <v>154</v>
      </c>
      <c r="B4" s="3" t="s">
        <v>155</v>
      </c>
      <c r="D4" s="3" t="s">
        <v>47</v>
      </c>
      <c r="E4" s="3" t="s">
        <v>48</v>
      </c>
      <c r="F4" s="3" t="s">
        <v>49</v>
      </c>
    </row>
    <row r="5" spans="1:9" x14ac:dyDescent="0.25">
      <c r="A5" s="1" t="s">
        <v>50</v>
      </c>
      <c r="B5" s="1" t="s">
        <v>42</v>
      </c>
      <c r="C5" s="1" t="s">
        <v>51</v>
      </c>
      <c r="D5" s="4">
        <v>0.5</v>
      </c>
      <c r="E5" s="4">
        <v>0</v>
      </c>
      <c r="F5" s="4">
        <v>0.5</v>
      </c>
      <c r="G5" s="1" t="s">
        <v>52</v>
      </c>
      <c r="H5" s="1" t="s">
        <v>53</v>
      </c>
      <c r="I5" s="1" t="s">
        <v>54</v>
      </c>
    </row>
    <row r="6" spans="1:9" x14ac:dyDescent="0.25">
      <c r="A6" t="s">
        <v>156</v>
      </c>
      <c r="B6">
        <v>0.28999999999999998</v>
      </c>
      <c r="G6">
        <f t="shared" ref="G6:G11" si="0">$B6*$D$5</f>
        <v>0.14499999999999999</v>
      </c>
      <c r="H6">
        <f t="shared" ref="H6:H11" si="1">$B6*$E$5</f>
        <v>0</v>
      </c>
      <c r="I6">
        <f t="shared" ref="I6:I11" si="2">$B6*$F$5</f>
        <v>0.14499999999999999</v>
      </c>
    </row>
    <row r="7" spans="1:9" x14ac:dyDescent="0.25">
      <c r="A7" t="s">
        <v>157</v>
      </c>
      <c r="B7">
        <v>0.13</v>
      </c>
      <c r="G7">
        <f t="shared" si="0"/>
        <v>6.5000000000000002E-2</v>
      </c>
      <c r="H7">
        <f t="shared" si="1"/>
        <v>0</v>
      </c>
      <c r="I7">
        <f t="shared" si="2"/>
        <v>6.5000000000000002E-2</v>
      </c>
    </row>
    <row r="8" spans="1:9" x14ac:dyDescent="0.25">
      <c r="A8" t="s">
        <v>158</v>
      </c>
      <c r="B8">
        <v>0.25</v>
      </c>
      <c r="G8">
        <f t="shared" si="0"/>
        <v>0.125</v>
      </c>
      <c r="H8">
        <f t="shared" si="1"/>
        <v>0</v>
      </c>
      <c r="I8">
        <f t="shared" si="2"/>
        <v>0.125</v>
      </c>
    </row>
    <row r="9" spans="1:9" x14ac:dyDescent="0.25">
      <c r="A9" t="s">
        <v>159</v>
      </c>
      <c r="B9">
        <v>0.33</v>
      </c>
      <c r="G9">
        <f t="shared" si="0"/>
        <v>0.16500000000000001</v>
      </c>
      <c r="H9">
        <f t="shared" si="1"/>
        <v>0</v>
      </c>
      <c r="I9">
        <f t="shared" si="2"/>
        <v>0.16500000000000001</v>
      </c>
    </row>
    <row r="10" spans="1:9" x14ac:dyDescent="0.25">
      <c r="A10" t="s">
        <v>160</v>
      </c>
      <c r="B10">
        <v>0.35</v>
      </c>
      <c r="G10">
        <f t="shared" si="0"/>
        <v>0.17499999999999999</v>
      </c>
      <c r="H10">
        <f t="shared" si="1"/>
        <v>0</v>
      </c>
      <c r="I10">
        <f t="shared" si="2"/>
        <v>0.17499999999999999</v>
      </c>
    </row>
    <row r="11" spans="1:9" x14ac:dyDescent="0.25">
      <c r="A11" t="s">
        <v>161</v>
      </c>
      <c r="B11">
        <v>0.5</v>
      </c>
      <c r="G11">
        <f t="shared" si="0"/>
        <v>0.25</v>
      </c>
      <c r="H11">
        <f t="shared" si="1"/>
        <v>0</v>
      </c>
      <c r="I11">
        <f t="shared" si="2"/>
        <v>0.25</v>
      </c>
    </row>
    <row r="12" spans="1:9" x14ac:dyDescent="0.25">
      <c r="D12" t="b">
        <v>1</v>
      </c>
      <c r="E12" t="b">
        <v>0</v>
      </c>
      <c r="F12" t="b">
        <v>1</v>
      </c>
    </row>
    <row r="13" spans="1:9" x14ac:dyDescent="0.25">
      <c r="A13" s="3" t="s">
        <v>162</v>
      </c>
      <c r="B13" s="3" t="s">
        <v>155</v>
      </c>
      <c r="D13" s="3" t="s">
        <v>47</v>
      </c>
      <c r="E13" s="3" t="s">
        <v>48</v>
      </c>
      <c r="F13" s="3" t="s">
        <v>49</v>
      </c>
    </row>
    <row r="14" spans="1:9" x14ac:dyDescent="0.25">
      <c r="A14" s="1" t="s">
        <v>50</v>
      </c>
      <c r="B14" s="1" t="s">
        <v>42</v>
      </c>
      <c r="C14" s="1" t="s">
        <v>51</v>
      </c>
      <c r="D14" s="4">
        <v>0.5</v>
      </c>
      <c r="E14" s="4">
        <v>0</v>
      </c>
      <c r="F14" s="4">
        <v>0.5</v>
      </c>
      <c r="G14" s="1" t="s">
        <v>52</v>
      </c>
      <c r="H14" s="1" t="s">
        <v>53</v>
      </c>
      <c r="I14" s="1" t="s">
        <v>54</v>
      </c>
    </row>
    <row r="15" spans="1:9" x14ac:dyDescent="0.25">
      <c r="A15" t="s">
        <v>156</v>
      </c>
      <c r="B15">
        <v>0.2</v>
      </c>
      <c r="G15">
        <f>$B15*$D$14</f>
        <v>0.1</v>
      </c>
      <c r="H15">
        <f>$B15*$E$14</f>
        <v>0</v>
      </c>
      <c r="I15">
        <f>$B15*$F$14</f>
        <v>0.1</v>
      </c>
    </row>
    <row r="16" spans="1:9" x14ac:dyDescent="0.25">
      <c r="A16" t="s">
        <v>159</v>
      </c>
      <c r="B16">
        <v>0.28000000000000003</v>
      </c>
      <c r="G16">
        <f>$B16*$D$14</f>
        <v>0.14000000000000001</v>
      </c>
      <c r="H16">
        <f>$B16*$E$14</f>
        <v>0</v>
      </c>
      <c r="I16">
        <f>$B16*$F$14</f>
        <v>0.14000000000000001</v>
      </c>
    </row>
    <row r="17" spans="1:9" x14ac:dyDescent="0.25">
      <c r="A17" t="s">
        <v>160</v>
      </c>
      <c r="B17">
        <v>0.68</v>
      </c>
      <c r="G17">
        <f>$B17*$D$14</f>
        <v>0.34</v>
      </c>
      <c r="H17">
        <f>$B17*$E$14</f>
        <v>0</v>
      </c>
      <c r="I17">
        <f>$B17*$F$14</f>
        <v>0.34</v>
      </c>
    </row>
    <row r="18" spans="1:9" x14ac:dyDescent="0.25">
      <c r="A18" t="s">
        <v>161</v>
      </c>
      <c r="B18">
        <v>0.28999999999999998</v>
      </c>
      <c r="G18">
        <f>$B18*$D$14</f>
        <v>0.14499999999999999</v>
      </c>
      <c r="H18">
        <f>$B18*$E$14</f>
        <v>0</v>
      </c>
      <c r="I18">
        <f>$B18*$F$14</f>
        <v>0.14499999999999999</v>
      </c>
    </row>
    <row r="19" spans="1:9" x14ac:dyDescent="0.25">
      <c r="D19" t="b">
        <v>1</v>
      </c>
      <c r="E19" t="b">
        <v>0</v>
      </c>
      <c r="F19" t="b">
        <v>1</v>
      </c>
    </row>
    <row r="20" spans="1:9" x14ac:dyDescent="0.25">
      <c r="A20" s="3" t="s">
        <v>163</v>
      </c>
      <c r="B20" s="3" t="s">
        <v>155</v>
      </c>
      <c r="D20" s="3" t="s">
        <v>47</v>
      </c>
      <c r="E20" s="3" t="s">
        <v>48</v>
      </c>
      <c r="F20" s="3" t="s">
        <v>49</v>
      </c>
    </row>
    <row r="21" spans="1:9" x14ac:dyDescent="0.25">
      <c r="A21" s="1" t="s">
        <v>50</v>
      </c>
      <c r="B21" s="1" t="s">
        <v>42</v>
      </c>
      <c r="C21" s="1" t="s">
        <v>51</v>
      </c>
      <c r="D21" s="4">
        <v>0.5</v>
      </c>
      <c r="E21" s="4">
        <v>0</v>
      </c>
      <c r="F21" s="4">
        <v>0.5</v>
      </c>
      <c r="G21" s="1" t="s">
        <v>52</v>
      </c>
      <c r="H21" s="1" t="s">
        <v>53</v>
      </c>
      <c r="I21" s="1" t="s">
        <v>54</v>
      </c>
    </row>
    <row r="22" spans="1:9" x14ac:dyDescent="0.25">
      <c r="A22" t="s">
        <v>156</v>
      </c>
      <c r="B22">
        <v>0.23799999999999999</v>
      </c>
      <c r="G22">
        <f t="shared" ref="G22:G27" si="3">$B22*$D$21</f>
        <v>0.11899999999999999</v>
      </c>
      <c r="H22">
        <f t="shared" ref="H22:H27" si="4">$B22*$E$21</f>
        <v>0</v>
      </c>
      <c r="I22">
        <f t="shared" ref="I22:I27" si="5">$B22*$F$21</f>
        <v>0.11899999999999999</v>
      </c>
    </row>
    <row r="23" spans="1:9" x14ac:dyDescent="0.25">
      <c r="A23" t="s">
        <v>157</v>
      </c>
      <c r="B23">
        <v>0.21</v>
      </c>
      <c r="G23">
        <f t="shared" si="3"/>
        <v>0.105</v>
      </c>
      <c r="H23">
        <f t="shared" si="4"/>
        <v>0</v>
      </c>
      <c r="I23">
        <f t="shared" si="5"/>
        <v>0.105</v>
      </c>
    </row>
    <row r="24" spans="1:9" x14ac:dyDescent="0.25">
      <c r="A24" t="s">
        <v>158</v>
      </c>
      <c r="B24">
        <v>0.45500000000000002</v>
      </c>
      <c r="G24">
        <f t="shared" si="3"/>
        <v>0.22750000000000001</v>
      </c>
      <c r="H24">
        <f t="shared" si="4"/>
        <v>0</v>
      </c>
      <c r="I24">
        <f t="shared" si="5"/>
        <v>0.22750000000000001</v>
      </c>
    </row>
    <row r="25" spans="1:9" x14ac:dyDescent="0.25">
      <c r="A25" t="s">
        <v>159</v>
      </c>
      <c r="B25">
        <v>0.33</v>
      </c>
      <c r="G25">
        <f t="shared" si="3"/>
        <v>0.16500000000000001</v>
      </c>
      <c r="H25">
        <f t="shared" si="4"/>
        <v>0</v>
      </c>
      <c r="I25">
        <f t="shared" si="5"/>
        <v>0.16500000000000001</v>
      </c>
    </row>
    <row r="26" spans="1:9" x14ac:dyDescent="0.25">
      <c r="A26" t="s">
        <v>160</v>
      </c>
      <c r="B26">
        <v>0.68</v>
      </c>
      <c r="G26">
        <f t="shared" si="3"/>
        <v>0.34</v>
      </c>
      <c r="H26">
        <f t="shared" si="4"/>
        <v>0</v>
      </c>
      <c r="I26">
        <f t="shared" si="5"/>
        <v>0.34</v>
      </c>
    </row>
    <row r="27" spans="1:9" x14ac:dyDescent="0.25">
      <c r="A27" t="s">
        <v>161</v>
      </c>
      <c r="B27">
        <v>0.34499999999999997</v>
      </c>
      <c r="G27">
        <f t="shared" si="3"/>
        <v>0.17249999999999999</v>
      </c>
      <c r="H27">
        <f t="shared" si="4"/>
        <v>0</v>
      </c>
      <c r="I27">
        <f t="shared" si="5"/>
        <v>0.17249999999999999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tabSelected="1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46" customWidth="1"/>
    <col min="2" max="2" width="16" customWidth="1"/>
    <col min="3" max="3" width="48" customWidth="1"/>
    <col min="4" max="9" width="12" customWidth="1"/>
  </cols>
  <sheetData>
    <row r="1" spans="1:9" x14ac:dyDescent="0.25">
      <c r="A1" s="2" t="s">
        <v>0</v>
      </c>
      <c r="B1" t="s">
        <v>37</v>
      </c>
    </row>
    <row r="2" spans="1:9" x14ac:dyDescent="0.25">
      <c r="A2" s="2" t="s">
        <v>1</v>
      </c>
      <c r="B2" t="s">
        <v>39</v>
      </c>
    </row>
    <row r="3" spans="1:9" x14ac:dyDescent="0.25">
      <c r="D3" t="b">
        <v>1</v>
      </c>
      <c r="E3" t="b">
        <v>0</v>
      </c>
      <c r="F3" t="b">
        <v>1</v>
      </c>
    </row>
    <row r="4" spans="1:9" x14ac:dyDescent="0.25">
      <c r="A4" s="3" t="s">
        <v>164</v>
      </c>
      <c r="B4" s="3" t="s">
        <v>155</v>
      </c>
      <c r="D4" s="3" t="s">
        <v>47</v>
      </c>
      <c r="E4" s="3" t="s">
        <v>48</v>
      </c>
      <c r="F4" s="3" t="s">
        <v>49</v>
      </c>
    </row>
    <row r="5" spans="1:9" x14ac:dyDescent="0.25">
      <c r="A5" s="1" t="s">
        <v>50</v>
      </c>
      <c r="B5" s="1" t="s">
        <v>42</v>
      </c>
      <c r="C5" s="1" t="s">
        <v>51</v>
      </c>
      <c r="D5" s="4">
        <v>0.5</v>
      </c>
      <c r="E5" s="4">
        <v>0</v>
      </c>
      <c r="F5" s="4">
        <v>0.5</v>
      </c>
      <c r="G5" s="1" t="s">
        <v>52</v>
      </c>
      <c r="H5" s="1" t="s">
        <v>53</v>
      </c>
      <c r="I5" s="1" t="s">
        <v>54</v>
      </c>
    </row>
    <row r="6" spans="1:9" x14ac:dyDescent="0.25">
      <c r="A6" t="s">
        <v>156</v>
      </c>
      <c r="B6">
        <v>0.92</v>
      </c>
      <c r="G6">
        <f t="shared" ref="G6:G11" si="0">$B6*$D$5</f>
        <v>0.46</v>
      </c>
      <c r="H6">
        <f t="shared" ref="H6:H11" si="1">$B6*$E$5</f>
        <v>0</v>
      </c>
      <c r="I6">
        <f t="shared" ref="I6:I11" si="2">$B6*$F$5</f>
        <v>0.46</v>
      </c>
    </row>
    <row r="7" spans="1:9" x14ac:dyDescent="0.25">
      <c r="A7" t="s">
        <v>157</v>
      </c>
      <c r="B7">
        <v>0.37</v>
      </c>
      <c r="G7">
        <f t="shared" si="0"/>
        <v>0.185</v>
      </c>
      <c r="H7">
        <f t="shared" si="1"/>
        <v>0</v>
      </c>
      <c r="I7">
        <f t="shared" si="2"/>
        <v>0.185</v>
      </c>
    </row>
    <row r="8" spans="1:9" x14ac:dyDescent="0.25">
      <c r="A8" t="s">
        <v>158</v>
      </c>
      <c r="B8">
        <v>0.3</v>
      </c>
      <c r="G8">
        <f t="shared" si="0"/>
        <v>0.15</v>
      </c>
      <c r="H8">
        <f t="shared" si="1"/>
        <v>0</v>
      </c>
      <c r="I8">
        <f t="shared" si="2"/>
        <v>0.15</v>
      </c>
    </row>
    <row r="9" spans="1:9" x14ac:dyDescent="0.25">
      <c r="A9" t="s">
        <v>159</v>
      </c>
      <c r="B9">
        <v>0.92</v>
      </c>
      <c r="G9">
        <f t="shared" si="0"/>
        <v>0.46</v>
      </c>
      <c r="H9">
        <f t="shared" si="1"/>
        <v>0</v>
      </c>
      <c r="I9">
        <f t="shared" si="2"/>
        <v>0.46</v>
      </c>
    </row>
    <row r="10" spans="1:9" x14ac:dyDescent="0.25">
      <c r="A10" t="s">
        <v>160</v>
      </c>
      <c r="B10">
        <v>0.95</v>
      </c>
      <c r="G10">
        <f t="shared" si="0"/>
        <v>0.47499999999999998</v>
      </c>
      <c r="H10">
        <f t="shared" si="1"/>
        <v>0</v>
      </c>
      <c r="I10">
        <f t="shared" si="2"/>
        <v>0.47499999999999998</v>
      </c>
    </row>
    <row r="11" spans="1:9" x14ac:dyDescent="0.25">
      <c r="A11" t="s">
        <v>161</v>
      </c>
      <c r="B11">
        <v>0.95</v>
      </c>
      <c r="G11">
        <f t="shared" si="0"/>
        <v>0.47499999999999998</v>
      </c>
      <c r="H11">
        <f t="shared" si="1"/>
        <v>0</v>
      </c>
      <c r="I11">
        <f t="shared" si="2"/>
        <v>0.47499999999999998</v>
      </c>
    </row>
    <row r="12" spans="1:9" x14ac:dyDescent="0.25">
      <c r="D12" t="b">
        <v>1</v>
      </c>
      <c r="E12" t="b">
        <v>0</v>
      </c>
      <c r="F12" t="b">
        <v>1</v>
      </c>
    </row>
    <row r="13" spans="1:9" x14ac:dyDescent="0.25">
      <c r="A13" s="3" t="s">
        <v>165</v>
      </c>
      <c r="B13" s="3" t="s">
        <v>155</v>
      </c>
      <c r="D13" s="3" t="s">
        <v>47</v>
      </c>
      <c r="E13" s="3" t="s">
        <v>48</v>
      </c>
      <c r="F13" s="3" t="s">
        <v>49</v>
      </c>
    </row>
    <row r="14" spans="1:9" x14ac:dyDescent="0.25">
      <c r="A14" s="1" t="s">
        <v>50</v>
      </c>
      <c r="B14" s="1" t="s">
        <v>42</v>
      </c>
      <c r="C14" s="1" t="s">
        <v>51</v>
      </c>
      <c r="D14" s="4">
        <v>0.5</v>
      </c>
      <c r="E14" s="4">
        <v>0</v>
      </c>
      <c r="F14" s="4">
        <v>0.5</v>
      </c>
      <c r="G14" s="1" t="s">
        <v>52</v>
      </c>
      <c r="H14" s="1" t="s">
        <v>53</v>
      </c>
      <c r="I14" s="1" t="s">
        <v>54</v>
      </c>
    </row>
    <row r="15" spans="1:9" x14ac:dyDescent="0.25">
      <c r="A15" t="s">
        <v>156</v>
      </c>
      <c r="B15">
        <v>0.94</v>
      </c>
      <c r="G15">
        <f>$B15*$D$14</f>
        <v>0.47</v>
      </c>
      <c r="H15">
        <f>$B15*$E$14</f>
        <v>0</v>
      </c>
      <c r="I15">
        <f>$B15*$F$14</f>
        <v>0.47</v>
      </c>
    </row>
    <row r="16" spans="1:9" x14ac:dyDescent="0.25">
      <c r="A16" t="s">
        <v>159</v>
      </c>
      <c r="B16">
        <v>0.86</v>
      </c>
      <c r="G16">
        <f>$B16*$D$14</f>
        <v>0.43</v>
      </c>
      <c r="H16">
        <f>$B16*$E$14</f>
        <v>0</v>
      </c>
      <c r="I16">
        <f>$B16*$F$14</f>
        <v>0.43</v>
      </c>
    </row>
    <row r="17" spans="1:9" x14ac:dyDescent="0.25">
      <c r="A17" t="s">
        <v>160</v>
      </c>
      <c r="B17">
        <v>0.95</v>
      </c>
      <c r="G17">
        <f>$B17*$D$14</f>
        <v>0.47499999999999998</v>
      </c>
      <c r="H17">
        <f>$B17*$E$14</f>
        <v>0</v>
      </c>
      <c r="I17">
        <f>$B17*$F$14</f>
        <v>0.47499999999999998</v>
      </c>
    </row>
    <row r="18" spans="1:9" x14ac:dyDescent="0.25">
      <c r="A18" t="s">
        <v>161</v>
      </c>
      <c r="B18">
        <v>0.95</v>
      </c>
      <c r="G18">
        <f>$B18*$D$14</f>
        <v>0.47499999999999998</v>
      </c>
      <c r="H18">
        <f>$B18*$E$14</f>
        <v>0</v>
      </c>
      <c r="I18">
        <f>$B18*$F$14</f>
        <v>0.47499999999999998</v>
      </c>
    </row>
    <row r="19" spans="1:9" x14ac:dyDescent="0.25">
      <c r="D19" t="b">
        <v>1</v>
      </c>
      <c r="E19" t="b">
        <v>0</v>
      </c>
      <c r="F19" t="b">
        <v>1</v>
      </c>
    </row>
    <row r="20" spans="1:9" x14ac:dyDescent="0.25">
      <c r="A20" s="3" t="s">
        <v>166</v>
      </c>
      <c r="B20" s="3" t="s">
        <v>155</v>
      </c>
      <c r="D20" s="3" t="s">
        <v>47</v>
      </c>
      <c r="E20" s="3" t="s">
        <v>48</v>
      </c>
      <c r="F20" s="3" t="s">
        <v>49</v>
      </c>
    </row>
    <row r="21" spans="1:9" x14ac:dyDescent="0.25">
      <c r="A21" s="1" t="s">
        <v>50</v>
      </c>
      <c r="B21" s="1" t="s">
        <v>42</v>
      </c>
      <c r="C21" s="1" t="s">
        <v>51</v>
      </c>
      <c r="D21" s="4">
        <v>0.5</v>
      </c>
      <c r="E21" s="4">
        <v>0</v>
      </c>
      <c r="F21" s="4">
        <v>0.5</v>
      </c>
      <c r="G21" s="1" t="s">
        <v>52</v>
      </c>
      <c r="H21" s="1" t="s">
        <v>53</v>
      </c>
      <c r="I21" s="1" t="s">
        <v>54</v>
      </c>
    </row>
    <row r="22" spans="1:9" x14ac:dyDescent="0.25">
      <c r="A22" t="s">
        <v>156</v>
      </c>
      <c r="B22">
        <v>0.93</v>
      </c>
      <c r="G22">
        <f t="shared" ref="G22:G27" si="3">$B22*$D$21</f>
        <v>0.46500000000000002</v>
      </c>
      <c r="H22">
        <f t="shared" ref="H22:H27" si="4">$B22*$E$21</f>
        <v>0</v>
      </c>
      <c r="I22">
        <f t="shared" ref="I22:I27" si="5">$B22*$F$21</f>
        <v>0.46500000000000002</v>
      </c>
    </row>
    <row r="23" spans="1:9" x14ac:dyDescent="0.25">
      <c r="A23" t="s">
        <v>157</v>
      </c>
      <c r="B23">
        <v>0.37</v>
      </c>
      <c r="G23">
        <f t="shared" si="3"/>
        <v>0.185</v>
      </c>
      <c r="H23">
        <f t="shared" si="4"/>
        <v>0</v>
      </c>
      <c r="I23">
        <f t="shared" si="5"/>
        <v>0.185</v>
      </c>
    </row>
    <row r="24" spans="1:9" x14ac:dyDescent="0.25">
      <c r="A24" t="s">
        <v>159</v>
      </c>
      <c r="B24">
        <v>0.91</v>
      </c>
      <c r="G24">
        <f t="shared" si="3"/>
        <v>0.45500000000000002</v>
      </c>
      <c r="H24">
        <f t="shared" si="4"/>
        <v>0</v>
      </c>
      <c r="I24">
        <f t="shared" si="5"/>
        <v>0.45500000000000002</v>
      </c>
    </row>
    <row r="25" spans="1:9" x14ac:dyDescent="0.25">
      <c r="A25" t="s">
        <v>160</v>
      </c>
      <c r="B25">
        <v>0.95</v>
      </c>
      <c r="G25">
        <f t="shared" si="3"/>
        <v>0.47499999999999998</v>
      </c>
      <c r="H25">
        <f t="shared" si="4"/>
        <v>0</v>
      </c>
      <c r="I25">
        <f t="shared" si="5"/>
        <v>0.47499999999999998</v>
      </c>
    </row>
    <row r="26" spans="1:9" x14ac:dyDescent="0.25">
      <c r="A26" t="s">
        <v>161</v>
      </c>
      <c r="B26">
        <v>0.95</v>
      </c>
      <c r="G26">
        <f t="shared" si="3"/>
        <v>0.47499999999999998</v>
      </c>
      <c r="H26">
        <f t="shared" si="4"/>
        <v>0</v>
      </c>
      <c r="I26">
        <f t="shared" si="5"/>
        <v>0.47499999999999998</v>
      </c>
    </row>
    <row r="27" spans="1:9" x14ac:dyDescent="0.25">
      <c r="A27" t="s">
        <v>158</v>
      </c>
      <c r="B27">
        <v>0.3</v>
      </c>
      <c r="G27">
        <f t="shared" si="3"/>
        <v>0.15</v>
      </c>
      <c r="H27">
        <f t="shared" si="4"/>
        <v>0</v>
      </c>
      <c r="I27">
        <f t="shared" si="5"/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Bldg-FloorSpaceCalibrationResid</vt:lpstr>
      <vt:lpstr>Bldg-FloorSpaceCalibrationComme</vt:lpstr>
      <vt:lpstr>Bldg-FloorSpaceReductionResiden</vt:lpstr>
      <vt:lpstr>Bldg-FloorSpaceReductionCommerc</vt:lpstr>
      <vt:lpstr>Bldg-LifetimeExtension</vt:lpstr>
      <vt:lpstr>Bldg-LightweightingResidential</vt:lpstr>
      <vt:lpstr>Bldg-LightweightingCommercial</vt:lpstr>
      <vt:lpstr>Bldg-ResourceEfficientMaterials</vt:lpstr>
      <vt:lpstr>Veh-LifetimeExtension</vt:lpstr>
      <vt:lpstr>Veh-Lightweighting</vt:lpstr>
      <vt:lpstr>Veh-IntensityOfUse</vt:lpstr>
      <vt:lpstr>Veh-MileageIncrease</vt:lpstr>
      <vt:lpstr>Elec-LightweightingGeneration</vt:lpstr>
      <vt:lpstr>Elec-LifetimeExtensionGeneratio</vt:lpstr>
      <vt:lpstr>Elec-LightweightingGrid</vt:lpstr>
      <vt:lpstr>Elec-LifetimeExtensionGrid</vt:lpstr>
      <vt:lpstr>EoL-LifetimeExtension</vt:lpstr>
      <vt:lpstr>EoL-Recycling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Arp, A.F. (Frederike)</cp:lastModifiedBy>
  <dcterms:created xsi:type="dcterms:W3CDTF">2026-09-01T20:35:47Z</dcterms:created>
  <dcterms:modified xsi:type="dcterms:W3CDTF">2026-09-01T21:03:23Z</dcterms:modified>
</cp:coreProperties>
</file>