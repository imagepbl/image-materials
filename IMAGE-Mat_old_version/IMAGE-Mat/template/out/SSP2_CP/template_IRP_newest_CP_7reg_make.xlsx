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surfdrive\Projects\IRP\GRO23\Modelling\2060\template\out\SSP2_CP\"/>
    </mc:Choice>
  </mc:AlternateContent>
  <xr:revisionPtr revIDLastSave="0" documentId="13_ncr:1_{AF81771F-E916-4E02-88DE-C83C0AEE3EC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emplate_IRP_newest_CP_7reg" sheetId="1" r:id="rId1"/>
    <sheet name="indicators" sheetId="2" r:id="rId2"/>
  </sheets>
  <definedNames>
    <definedName name="_xlnm._FilterDatabase" localSheetId="0" hidden="1">template_IRP_newest_CP_7reg!$A$1:$Q$1921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7" i="2" l="1"/>
  <c r="G87" i="2"/>
  <c r="H87" i="2"/>
  <c r="I87" i="2"/>
  <c r="J87" i="2"/>
  <c r="K87" i="2"/>
  <c r="L87" i="2"/>
  <c r="M87" i="2"/>
  <c r="F88" i="2"/>
  <c r="G88" i="2"/>
  <c r="H88" i="2"/>
  <c r="I88" i="2"/>
  <c r="J88" i="2"/>
  <c r="K88" i="2"/>
  <c r="L88" i="2"/>
  <c r="M88" i="2"/>
  <c r="F89" i="2"/>
  <c r="G89" i="2"/>
  <c r="H89" i="2"/>
  <c r="I89" i="2"/>
  <c r="J89" i="2"/>
  <c r="K89" i="2"/>
  <c r="L89" i="2"/>
  <c r="M89" i="2"/>
  <c r="F90" i="2"/>
  <c r="G90" i="2"/>
  <c r="H90" i="2"/>
  <c r="I90" i="2"/>
  <c r="J90" i="2"/>
  <c r="K90" i="2"/>
  <c r="L90" i="2"/>
  <c r="M90" i="2"/>
  <c r="F91" i="2"/>
  <c r="G91" i="2"/>
  <c r="H91" i="2"/>
  <c r="I91" i="2"/>
  <c r="J91" i="2"/>
  <c r="K91" i="2"/>
  <c r="L91" i="2"/>
  <c r="M91" i="2"/>
  <c r="F92" i="2"/>
  <c r="G92" i="2"/>
  <c r="H92" i="2"/>
  <c r="I92" i="2"/>
  <c r="J92" i="2"/>
  <c r="K92" i="2"/>
  <c r="L92" i="2"/>
  <c r="M92" i="2"/>
  <c r="F93" i="2"/>
  <c r="G93" i="2"/>
  <c r="H93" i="2"/>
  <c r="I93" i="2"/>
  <c r="J93" i="2"/>
  <c r="K93" i="2"/>
  <c r="L93" i="2"/>
  <c r="M93" i="2"/>
  <c r="F94" i="2"/>
  <c r="G94" i="2"/>
  <c r="H94" i="2"/>
  <c r="I94" i="2"/>
  <c r="J94" i="2"/>
  <c r="K94" i="2"/>
  <c r="L94" i="2"/>
  <c r="M94" i="2"/>
  <c r="F95" i="2"/>
  <c r="G95" i="2"/>
  <c r="H95" i="2"/>
  <c r="I95" i="2"/>
  <c r="J95" i="2"/>
  <c r="K95" i="2"/>
  <c r="L95" i="2"/>
  <c r="M95" i="2"/>
  <c r="E95" i="2"/>
  <c r="E94" i="2"/>
  <c r="E93" i="2"/>
  <c r="E92" i="2"/>
  <c r="E91" i="2"/>
  <c r="E90" i="2"/>
  <c r="E89" i="2"/>
  <c r="E88" i="2"/>
  <c r="E87" i="2"/>
  <c r="F78" i="2"/>
  <c r="G78" i="2"/>
  <c r="H78" i="2"/>
  <c r="I78" i="2"/>
  <c r="J78" i="2"/>
  <c r="K78" i="2"/>
  <c r="L78" i="2"/>
  <c r="M78" i="2"/>
  <c r="F79" i="2"/>
  <c r="G79" i="2"/>
  <c r="H79" i="2"/>
  <c r="I79" i="2"/>
  <c r="J79" i="2"/>
  <c r="K79" i="2"/>
  <c r="L79" i="2"/>
  <c r="M79" i="2"/>
  <c r="F80" i="2"/>
  <c r="G80" i="2"/>
  <c r="H80" i="2"/>
  <c r="I80" i="2"/>
  <c r="J80" i="2"/>
  <c r="K80" i="2"/>
  <c r="L80" i="2"/>
  <c r="M80" i="2"/>
  <c r="F81" i="2"/>
  <c r="G81" i="2"/>
  <c r="H81" i="2"/>
  <c r="I81" i="2"/>
  <c r="J81" i="2"/>
  <c r="K81" i="2"/>
  <c r="L81" i="2"/>
  <c r="M81" i="2"/>
  <c r="F82" i="2"/>
  <c r="G82" i="2"/>
  <c r="H82" i="2"/>
  <c r="I82" i="2"/>
  <c r="J82" i="2"/>
  <c r="K82" i="2"/>
  <c r="L82" i="2"/>
  <c r="M82" i="2"/>
  <c r="F83" i="2"/>
  <c r="G83" i="2"/>
  <c r="H83" i="2"/>
  <c r="I83" i="2"/>
  <c r="J83" i="2"/>
  <c r="K83" i="2"/>
  <c r="L83" i="2"/>
  <c r="M83" i="2"/>
  <c r="F84" i="2"/>
  <c r="G84" i="2"/>
  <c r="H84" i="2"/>
  <c r="I84" i="2"/>
  <c r="J84" i="2"/>
  <c r="K84" i="2"/>
  <c r="L84" i="2"/>
  <c r="M84" i="2"/>
  <c r="F85" i="2"/>
  <c r="G85" i="2"/>
  <c r="H85" i="2"/>
  <c r="I85" i="2"/>
  <c r="J85" i="2"/>
  <c r="K85" i="2"/>
  <c r="L85" i="2"/>
  <c r="M85" i="2"/>
  <c r="F86" i="2"/>
  <c r="G86" i="2"/>
  <c r="H86" i="2"/>
  <c r="I86" i="2"/>
  <c r="J86" i="2"/>
  <c r="K86" i="2"/>
  <c r="L86" i="2"/>
  <c r="M86" i="2"/>
  <c r="E86" i="2"/>
  <c r="E85" i="2"/>
  <c r="E84" i="2"/>
  <c r="E83" i="2"/>
  <c r="E82" i="2"/>
  <c r="E81" i="2"/>
  <c r="E80" i="2"/>
  <c r="E79" i="2"/>
  <c r="E78" i="2"/>
  <c r="F69" i="2"/>
  <c r="G69" i="2"/>
  <c r="H69" i="2"/>
  <c r="I69" i="2"/>
  <c r="J69" i="2"/>
  <c r="K69" i="2"/>
  <c r="L69" i="2"/>
  <c r="M69" i="2"/>
  <c r="F70" i="2"/>
  <c r="G70" i="2"/>
  <c r="H70" i="2"/>
  <c r="I70" i="2"/>
  <c r="J70" i="2"/>
  <c r="K70" i="2"/>
  <c r="L70" i="2"/>
  <c r="M70" i="2"/>
  <c r="F71" i="2"/>
  <c r="G71" i="2"/>
  <c r="H71" i="2"/>
  <c r="I71" i="2"/>
  <c r="J71" i="2"/>
  <c r="K71" i="2"/>
  <c r="L71" i="2"/>
  <c r="M71" i="2"/>
  <c r="F72" i="2"/>
  <c r="G72" i="2"/>
  <c r="H72" i="2"/>
  <c r="I72" i="2"/>
  <c r="J72" i="2"/>
  <c r="K72" i="2"/>
  <c r="L72" i="2"/>
  <c r="M72" i="2"/>
  <c r="F73" i="2"/>
  <c r="G73" i="2"/>
  <c r="H73" i="2"/>
  <c r="I73" i="2"/>
  <c r="J73" i="2"/>
  <c r="K73" i="2"/>
  <c r="L73" i="2"/>
  <c r="M73" i="2"/>
  <c r="F74" i="2"/>
  <c r="G74" i="2"/>
  <c r="H74" i="2"/>
  <c r="I74" i="2"/>
  <c r="J74" i="2"/>
  <c r="K74" i="2"/>
  <c r="L74" i="2"/>
  <c r="M74" i="2"/>
  <c r="F75" i="2"/>
  <c r="G75" i="2"/>
  <c r="H75" i="2"/>
  <c r="I75" i="2"/>
  <c r="J75" i="2"/>
  <c r="K75" i="2"/>
  <c r="L75" i="2"/>
  <c r="M75" i="2"/>
  <c r="F76" i="2"/>
  <c r="G76" i="2"/>
  <c r="H76" i="2"/>
  <c r="I76" i="2"/>
  <c r="J76" i="2"/>
  <c r="K76" i="2"/>
  <c r="L76" i="2"/>
  <c r="M76" i="2"/>
  <c r="F77" i="2"/>
  <c r="G77" i="2"/>
  <c r="H77" i="2"/>
  <c r="I77" i="2"/>
  <c r="J77" i="2"/>
  <c r="K77" i="2"/>
  <c r="L77" i="2"/>
  <c r="M77" i="2"/>
  <c r="E77" i="2"/>
  <c r="E76" i="2"/>
  <c r="E75" i="2"/>
  <c r="E74" i="2"/>
  <c r="E73" i="2"/>
  <c r="E72" i="2"/>
  <c r="E71" i="2"/>
  <c r="E70" i="2"/>
  <c r="E69" i="2"/>
  <c r="F60" i="2"/>
  <c r="G60" i="2"/>
  <c r="H60" i="2"/>
  <c r="I60" i="2"/>
  <c r="J60" i="2"/>
  <c r="K60" i="2"/>
  <c r="L60" i="2"/>
  <c r="M60" i="2"/>
  <c r="F61" i="2"/>
  <c r="G61" i="2"/>
  <c r="H61" i="2"/>
  <c r="I61" i="2"/>
  <c r="J61" i="2"/>
  <c r="K61" i="2"/>
  <c r="L61" i="2"/>
  <c r="M61" i="2"/>
  <c r="F62" i="2"/>
  <c r="G62" i="2"/>
  <c r="H62" i="2"/>
  <c r="I62" i="2"/>
  <c r="J62" i="2"/>
  <c r="K62" i="2"/>
  <c r="L62" i="2"/>
  <c r="M62" i="2"/>
  <c r="F63" i="2"/>
  <c r="G63" i="2"/>
  <c r="H63" i="2"/>
  <c r="I63" i="2"/>
  <c r="J63" i="2"/>
  <c r="K63" i="2"/>
  <c r="L63" i="2"/>
  <c r="M63" i="2"/>
  <c r="F64" i="2"/>
  <c r="G64" i="2"/>
  <c r="H64" i="2"/>
  <c r="I64" i="2"/>
  <c r="J64" i="2"/>
  <c r="K64" i="2"/>
  <c r="L64" i="2"/>
  <c r="M64" i="2"/>
  <c r="F65" i="2"/>
  <c r="G65" i="2"/>
  <c r="H65" i="2"/>
  <c r="I65" i="2"/>
  <c r="J65" i="2"/>
  <c r="K65" i="2"/>
  <c r="L65" i="2"/>
  <c r="M65" i="2"/>
  <c r="F66" i="2"/>
  <c r="G66" i="2"/>
  <c r="H66" i="2"/>
  <c r="I66" i="2"/>
  <c r="J66" i="2"/>
  <c r="K66" i="2"/>
  <c r="L66" i="2"/>
  <c r="M66" i="2"/>
  <c r="F67" i="2"/>
  <c r="G67" i="2"/>
  <c r="H67" i="2"/>
  <c r="I67" i="2"/>
  <c r="J67" i="2"/>
  <c r="K67" i="2"/>
  <c r="L67" i="2"/>
  <c r="M67" i="2"/>
  <c r="F68" i="2"/>
  <c r="G68" i="2"/>
  <c r="H68" i="2"/>
  <c r="I68" i="2"/>
  <c r="J68" i="2"/>
  <c r="K68" i="2"/>
  <c r="L68" i="2"/>
  <c r="M68" i="2"/>
  <c r="E68" i="2"/>
  <c r="E67" i="2"/>
  <c r="E66" i="2"/>
  <c r="E65" i="2"/>
  <c r="E64" i="2"/>
  <c r="E63" i="2"/>
  <c r="E62" i="2"/>
  <c r="E61" i="2"/>
  <c r="E60" i="2"/>
  <c r="E51" i="2"/>
  <c r="E52" i="2"/>
  <c r="E53" i="2"/>
  <c r="E54" i="2"/>
  <c r="E55" i="2"/>
  <c r="E56" i="2"/>
  <c r="E57" i="2"/>
  <c r="E58" i="2"/>
  <c r="F51" i="2"/>
  <c r="G51" i="2"/>
  <c r="H51" i="2"/>
  <c r="I51" i="2"/>
  <c r="J51" i="2"/>
  <c r="K51" i="2"/>
  <c r="L51" i="2"/>
  <c r="M51" i="2"/>
  <c r="F52" i="2"/>
  <c r="G52" i="2"/>
  <c r="H52" i="2"/>
  <c r="I52" i="2"/>
  <c r="J52" i="2"/>
  <c r="K52" i="2"/>
  <c r="L52" i="2"/>
  <c r="M52" i="2"/>
  <c r="F53" i="2"/>
  <c r="G53" i="2"/>
  <c r="H53" i="2"/>
  <c r="I53" i="2"/>
  <c r="J53" i="2"/>
  <c r="K53" i="2"/>
  <c r="L53" i="2"/>
  <c r="M53" i="2"/>
  <c r="F54" i="2"/>
  <c r="G54" i="2"/>
  <c r="H54" i="2"/>
  <c r="I54" i="2"/>
  <c r="J54" i="2"/>
  <c r="K54" i="2"/>
  <c r="L54" i="2"/>
  <c r="M54" i="2"/>
  <c r="F55" i="2"/>
  <c r="G55" i="2"/>
  <c r="H55" i="2"/>
  <c r="I55" i="2"/>
  <c r="J55" i="2"/>
  <c r="K55" i="2"/>
  <c r="L55" i="2"/>
  <c r="M55" i="2"/>
  <c r="F56" i="2"/>
  <c r="G56" i="2"/>
  <c r="H56" i="2"/>
  <c r="I56" i="2"/>
  <c r="J56" i="2"/>
  <c r="K56" i="2"/>
  <c r="L56" i="2"/>
  <c r="M56" i="2"/>
  <c r="F57" i="2"/>
  <c r="G57" i="2"/>
  <c r="H57" i="2"/>
  <c r="I57" i="2"/>
  <c r="J57" i="2"/>
  <c r="K57" i="2"/>
  <c r="L57" i="2"/>
  <c r="M57" i="2"/>
  <c r="F58" i="2"/>
  <c r="G58" i="2"/>
  <c r="H58" i="2"/>
  <c r="I58" i="2"/>
  <c r="J58" i="2"/>
  <c r="K58" i="2"/>
  <c r="L58" i="2"/>
  <c r="M58" i="2"/>
  <c r="F59" i="2"/>
  <c r="G59" i="2"/>
  <c r="H59" i="2"/>
  <c r="I59" i="2"/>
  <c r="J59" i="2"/>
  <c r="K59" i="2"/>
  <c r="L59" i="2"/>
  <c r="M59" i="2"/>
  <c r="E59" i="2"/>
  <c r="F50" i="2"/>
  <c r="G50" i="2"/>
  <c r="H50" i="2"/>
  <c r="I50" i="2"/>
  <c r="J50" i="2"/>
  <c r="K50" i="2"/>
  <c r="L50" i="2"/>
  <c r="M50" i="2"/>
  <c r="E50" i="2"/>
  <c r="Y50" i="2"/>
  <c r="E44" i="2"/>
  <c r="F44" i="2"/>
  <c r="G44" i="2"/>
  <c r="H44" i="2"/>
  <c r="I44" i="2"/>
  <c r="J44" i="2"/>
  <c r="K44" i="2"/>
  <c r="L44" i="2"/>
  <c r="M44" i="2"/>
  <c r="AA43" i="2"/>
  <c r="AA44" i="2" s="1"/>
  <c r="AA45" i="2" s="1"/>
  <c r="AA46" i="2" s="1"/>
  <c r="AA47" i="2" s="1"/>
  <c r="F43" i="2"/>
  <c r="G43" i="2"/>
  <c r="H43" i="2"/>
  <c r="I43" i="2"/>
  <c r="J43" i="2"/>
  <c r="K43" i="2"/>
  <c r="L43" i="2"/>
  <c r="M43" i="2"/>
  <c r="F45" i="2"/>
  <c r="G45" i="2"/>
  <c r="H45" i="2"/>
  <c r="I45" i="2"/>
  <c r="J45" i="2"/>
  <c r="K45" i="2"/>
  <c r="L45" i="2"/>
  <c r="M45" i="2"/>
  <c r="F46" i="2"/>
  <c r="G46" i="2"/>
  <c r="H46" i="2"/>
  <c r="I46" i="2"/>
  <c r="J46" i="2"/>
  <c r="K46" i="2"/>
  <c r="L46" i="2"/>
  <c r="M46" i="2"/>
  <c r="F47" i="2"/>
  <c r="G47" i="2"/>
  <c r="H47" i="2"/>
  <c r="I47" i="2"/>
  <c r="J47" i="2"/>
  <c r="K47" i="2"/>
  <c r="L47" i="2"/>
  <c r="M47" i="2"/>
  <c r="F48" i="2"/>
  <c r="G48" i="2"/>
  <c r="H48" i="2"/>
  <c r="I48" i="2"/>
  <c r="J48" i="2"/>
  <c r="K48" i="2"/>
  <c r="L48" i="2"/>
  <c r="M48" i="2"/>
  <c r="F49" i="2"/>
  <c r="G49" i="2"/>
  <c r="H49" i="2"/>
  <c r="I49" i="2"/>
  <c r="J49" i="2"/>
  <c r="K49" i="2"/>
  <c r="L49" i="2"/>
  <c r="M49" i="2"/>
  <c r="E49" i="2"/>
  <c r="E48" i="2"/>
  <c r="E47" i="2"/>
  <c r="E46" i="2"/>
  <c r="E45" i="2"/>
  <c r="E43" i="2"/>
  <c r="E42" i="2"/>
  <c r="F42" i="2"/>
  <c r="G42" i="2"/>
  <c r="H42" i="2"/>
  <c r="I42" i="2"/>
  <c r="J42" i="2"/>
  <c r="K42" i="2"/>
  <c r="L42" i="2"/>
  <c r="M42" i="2"/>
  <c r="V43" i="2"/>
  <c r="V44" i="2" s="1"/>
  <c r="U42" i="2"/>
  <c r="U43" i="2" s="1"/>
  <c r="E5" i="2"/>
  <c r="F40" i="2"/>
  <c r="G40" i="2"/>
  <c r="H40" i="2"/>
  <c r="I40" i="2"/>
  <c r="J40" i="2"/>
  <c r="K40" i="2"/>
  <c r="L40" i="2"/>
  <c r="M40" i="2"/>
  <c r="E40" i="2"/>
  <c r="F35" i="2"/>
  <c r="G35" i="2"/>
  <c r="H35" i="2"/>
  <c r="I35" i="2"/>
  <c r="J35" i="2"/>
  <c r="K35" i="2"/>
  <c r="L35" i="2"/>
  <c r="M35" i="2"/>
  <c r="E35" i="2"/>
  <c r="F30" i="2"/>
  <c r="G30" i="2"/>
  <c r="H30" i="2"/>
  <c r="I30" i="2"/>
  <c r="J30" i="2"/>
  <c r="K30" i="2"/>
  <c r="L30" i="2"/>
  <c r="M30" i="2"/>
  <c r="E30" i="2"/>
  <c r="F25" i="2"/>
  <c r="G25" i="2"/>
  <c r="H25" i="2"/>
  <c r="I25" i="2"/>
  <c r="J25" i="2"/>
  <c r="K25" i="2"/>
  <c r="L25" i="2"/>
  <c r="M25" i="2"/>
  <c r="E25" i="2"/>
  <c r="F20" i="2"/>
  <c r="G20" i="2"/>
  <c r="H20" i="2"/>
  <c r="I20" i="2"/>
  <c r="J20" i="2"/>
  <c r="K20" i="2"/>
  <c r="L20" i="2"/>
  <c r="M20" i="2"/>
  <c r="E20" i="2"/>
  <c r="F15" i="2"/>
  <c r="G15" i="2"/>
  <c r="H15" i="2"/>
  <c r="I15" i="2"/>
  <c r="J15" i="2"/>
  <c r="K15" i="2"/>
  <c r="L15" i="2"/>
  <c r="M15" i="2"/>
  <c r="E15" i="2"/>
  <c r="F10" i="2"/>
  <c r="G10" i="2"/>
  <c r="H10" i="2"/>
  <c r="I10" i="2"/>
  <c r="J10" i="2"/>
  <c r="K10" i="2"/>
  <c r="L10" i="2"/>
  <c r="M10" i="2"/>
  <c r="E10" i="2"/>
  <c r="F5" i="2"/>
  <c r="G5" i="2"/>
  <c r="H5" i="2"/>
  <c r="I5" i="2"/>
  <c r="J5" i="2"/>
  <c r="K5" i="2"/>
  <c r="L5" i="2"/>
  <c r="M5" i="2"/>
  <c r="F41" i="2"/>
  <c r="G41" i="2"/>
  <c r="H41" i="2"/>
  <c r="I41" i="2"/>
  <c r="J41" i="2"/>
  <c r="K41" i="2"/>
  <c r="L41" i="2"/>
  <c r="M41" i="2"/>
  <c r="E41" i="2"/>
  <c r="E38" i="2"/>
  <c r="F38" i="2"/>
  <c r="G38" i="2"/>
  <c r="H38" i="2"/>
  <c r="I38" i="2"/>
  <c r="J38" i="2"/>
  <c r="K38" i="2"/>
  <c r="L38" i="2"/>
  <c r="M38" i="2"/>
  <c r="E39" i="2"/>
  <c r="F39" i="2"/>
  <c r="G39" i="2"/>
  <c r="H39" i="2"/>
  <c r="I39" i="2"/>
  <c r="J39" i="2"/>
  <c r="K39" i="2"/>
  <c r="L39" i="2"/>
  <c r="M39" i="2"/>
  <c r="F37" i="2"/>
  <c r="G37" i="2"/>
  <c r="H37" i="2"/>
  <c r="I37" i="2"/>
  <c r="J37" i="2"/>
  <c r="K37" i="2"/>
  <c r="L37" i="2"/>
  <c r="M37" i="2"/>
  <c r="E37" i="2"/>
  <c r="F36" i="2"/>
  <c r="G36" i="2"/>
  <c r="H36" i="2"/>
  <c r="I36" i="2"/>
  <c r="J36" i="2"/>
  <c r="K36" i="2"/>
  <c r="L36" i="2"/>
  <c r="M36" i="2"/>
  <c r="E36" i="2"/>
  <c r="E33" i="2"/>
  <c r="F33" i="2"/>
  <c r="G33" i="2"/>
  <c r="H33" i="2"/>
  <c r="I33" i="2"/>
  <c r="J33" i="2"/>
  <c r="K33" i="2"/>
  <c r="L33" i="2"/>
  <c r="M33" i="2"/>
  <c r="E34" i="2"/>
  <c r="F34" i="2"/>
  <c r="G34" i="2"/>
  <c r="H34" i="2"/>
  <c r="I34" i="2"/>
  <c r="J34" i="2"/>
  <c r="K34" i="2"/>
  <c r="L34" i="2"/>
  <c r="M34" i="2"/>
  <c r="F32" i="2"/>
  <c r="G32" i="2"/>
  <c r="H32" i="2"/>
  <c r="I32" i="2"/>
  <c r="J32" i="2"/>
  <c r="K32" i="2"/>
  <c r="L32" i="2"/>
  <c r="M32" i="2"/>
  <c r="E32" i="2"/>
  <c r="F31" i="2"/>
  <c r="G31" i="2"/>
  <c r="H31" i="2"/>
  <c r="I31" i="2"/>
  <c r="J31" i="2"/>
  <c r="K31" i="2"/>
  <c r="L31" i="2"/>
  <c r="M31" i="2"/>
  <c r="E31" i="2"/>
  <c r="F26" i="2"/>
  <c r="G26" i="2"/>
  <c r="H26" i="2"/>
  <c r="I26" i="2"/>
  <c r="J26" i="2"/>
  <c r="K26" i="2"/>
  <c r="L26" i="2"/>
  <c r="M26" i="2"/>
  <c r="E26" i="2"/>
  <c r="E28" i="2"/>
  <c r="F28" i="2"/>
  <c r="G28" i="2"/>
  <c r="H28" i="2"/>
  <c r="I28" i="2"/>
  <c r="J28" i="2"/>
  <c r="K28" i="2"/>
  <c r="L28" i="2"/>
  <c r="M28" i="2"/>
  <c r="E29" i="2"/>
  <c r="F29" i="2"/>
  <c r="G29" i="2"/>
  <c r="H29" i="2"/>
  <c r="I29" i="2"/>
  <c r="J29" i="2"/>
  <c r="K29" i="2"/>
  <c r="L29" i="2"/>
  <c r="M29" i="2"/>
  <c r="F27" i="2"/>
  <c r="G27" i="2"/>
  <c r="H27" i="2"/>
  <c r="I27" i="2"/>
  <c r="J27" i="2"/>
  <c r="K27" i="2"/>
  <c r="L27" i="2"/>
  <c r="M27" i="2"/>
  <c r="E27" i="2"/>
  <c r="X37" i="2"/>
  <c r="W37" i="2"/>
  <c r="X32" i="2"/>
  <c r="W32" i="2"/>
  <c r="X27" i="2"/>
  <c r="W27" i="2"/>
  <c r="X22" i="2"/>
  <c r="W22" i="2"/>
  <c r="X17" i="2"/>
  <c r="W17" i="2"/>
  <c r="X12" i="2"/>
  <c r="W12" i="2"/>
  <c r="X7" i="2"/>
  <c r="W7" i="2"/>
  <c r="X2" i="2"/>
  <c r="W2" i="2"/>
  <c r="V37" i="2"/>
  <c r="U37" i="2"/>
  <c r="V32" i="2"/>
  <c r="U32" i="2"/>
  <c r="V27" i="2"/>
  <c r="U27" i="2"/>
  <c r="V22" i="2"/>
  <c r="U22" i="2"/>
  <c r="V17" i="2"/>
  <c r="U17" i="2"/>
  <c r="V12" i="2"/>
  <c r="U12" i="2"/>
  <c r="V7" i="2"/>
  <c r="U7" i="2"/>
  <c r="V2" i="2"/>
  <c r="U2" i="2"/>
  <c r="E23" i="2"/>
  <c r="F23" i="2"/>
  <c r="G23" i="2"/>
  <c r="H23" i="2"/>
  <c r="I23" i="2"/>
  <c r="J23" i="2"/>
  <c r="K23" i="2"/>
  <c r="L23" i="2"/>
  <c r="M23" i="2"/>
  <c r="E24" i="2"/>
  <c r="F24" i="2"/>
  <c r="G24" i="2"/>
  <c r="H24" i="2"/>
  <c r="I24" i="2"/>
  <c r="J24" i="2"/>
  <c r="K24" i="2"/>
  <c r="L24" i="2"/>
  <c r="M24" i="2"/>
  <c r="F22" i="2"/>
  <c r="G22" i="2"/>
  <c r="H22" i="2"/>
  <c r="I22" i="2"/>
  <c r="J22" i="2"/>
  <c r="K22" i="2"/>
  <c r="L22" i="2"/>
  <c r="M22" i="2"/>
  <c r="E22" i="2"/>
  <c r="F21" i="2"/>
  <c r="G21" i="2"/>
  <c r="H21" i="2"/>
  <c r="I21" i="2"/>
  <c r="J21" i="2"/>
  <c r="K21" i="2"/>
  <c r="L21" i="2"/>
  <c r="M21" i="2"/>
  <c r="E21" i="2"/>
  <c r="E18" i="2"/>
  <c r="F18" i="2"/>
  <c r="G18" i="2"/>
  <c r="H18" i="2"/>
  <c r="I18" i="2"/>
  <c r="J18" i="2"/>
  <c r="K18" i="2"/>
  <c r="L18" i="2"/>
  <c r="M18" i="2"/>
  <c r="E19" i="2"/>
  <c r="F19" i="2"/>
  <c r="G19" i="2"/>
  <c r="H19" i="2"/>
  <c r="I19" i="2"/>
  <c r="J19" i="2"/>
  <c r="K19" i="2"/>
  <c r="L19" i="2"/>
  <c r="M19" i="2"/>
  <c r="F17" i="2"/>
  <c r="G17" i="2"/>
  <c r="H17" i="2"/>
  <c r="I17" i="2"/>
  <c r="J17" i="2"/>
  <c r="K17" i="2"/>
  <c r="L17" i="2"/>
  <c r="M17" i="2"/>
  <c r="E17" i="2"/>
  <c r="F2" i="2"/>
  <c r="G2" i="2"/>
  <c r="H2" i="2"/>
  <c r="I2" i="2"/>
  <c r="J2" i="2"/>
  <c r="K2" i="2"/>
  <c r="L2" i="2"/>
  <c r="M2" i="2"/>
  <c r="F3" i="2"/>
  <c r="G3" i="2"/>
  <c r="H3" i="2"/>
  <c r="I3" i="2"/>
  <c r="J3" i="2"/>
  <c r="K3" i="2"/>
  <c r="L3" i="2"/>
  <c r="M3" i="2"/>
  <c r="F4" i="2"/>
  <c r="G4" i="2"/>
  <c r="H4" i="2"/>
  <c r="I4" i="2"/>
  <c r="J4" i="2"/>
  <c r="K4" i="2"/>
  <c r="L4" i="2"/>
  <c r="M4" i="2"/>
  <c r="F6" i="2"/>
  <c r="G6" i="2"/>
  <c r="H6" i="2"/>
  <c r="I6" i="2"/>
  <c r="J6" i="2"/>
  <c r="K6" i="2"/>
  <c r="L6" i="2"/>
  <c r="M6" i="2"/>
  <c r="F7" i="2"/>
  <c r="G7" i="2"/>
  <c r="H7" i="2"/>
  <c r="I7" i="2"/>
  <c r="J7" i="2"/>
  <c r="K7" i="2"/>
  <c r="L7" i="2"/>
  <c r="M7" i="2"/>
  <c r="F8" i="2"/>
  <c r="G8" i="2"/>
  <c r="H8" i="2"/>
  <c r="I8" i="2"/>
  <c r="J8" i="2"/>
  <c r="K8" i="2"/>
  <c r="L8" i="2"/>
  <c r="M8" i="2"/>
  <c r="F9" i="2"/>
  <c r="G9" i="2"/>
  <c r="H9" i="2"/>
  <c r="I9" i="2"/>
  <c r="J9" i="2"/>
  <c r="K9" i="2"/>
  <c r="L9" i="2"/>
  <c r="M9" i="2"/>
  <c r="F11" i="2"/>
  <c r="G11" i="2"/>
  <c r="H11" i="2"/>
  <c r="I11" i="2"/>
  <c r="J11" i="2"/>
  <c r="K11" i="2"/>
  <c r="L11" i="2"/>
  <c r="M11" i="2"/>
  <c r="F12" i="2"/>
  <c r="G12" i="2"/>
  <c r="H12" i="2"/>
  <c r="I12" i="2"/>
  <c r="J12" i="2"/>
  <c r="K12" i="2"/>
  <c r="L12" i="2"/>
  <c r="M12" i="2"/>
  <c r="F13" i="2"/>
  <c r="G13" i="2"/>
  <c r="H13" i="2"/>
  <c r="I13" i="2"/>
  <c r="J13" i="2"/>
  <c r="K13" i="2"/>
  <c r="L13" i="2"/>
  <c r="M13" i="2"/>
  <c r="F14" i="2"/>
  <c r="G14" i="2"/>
  <c r="H14" i="2"/>
  <c r="I14" i="2"/>
  <c r="J14" i="2"/>
  <c r="K14" i="2"/>
  <c r="L14" i="2"/>
  <c r="M14" i="2"/>
  <c r="F16" i="2"/>
  <c r="G16" i="2"/>
  <c r="H16" i="2"/>
  <c r="I16" i="2"/>
  <c r="J16" i="2"/>
  <c r="K16" i="2"/>
  <c r="L16" i="2"/>
  <c r="M16" i="2"/>
  <c r="F1" i="2"/>
  <c r="G1" i="2"/>
  <c r="H1" i="2"/>
  <c r="I1" i="2"/>
  <c r="J1" i="2"/>
  <c r="K1" i="2"/>
  <c r="L1" i="2"/>
  <c r="M1" i="2"/>
  <c r="E16" i="2"/>
  <c r="E13" i="2"/>
  <c r="E14" i="2"/>
  <c r="E12" i="2"/>
  <c r="E11" i="2"/>
  <c r="E8" i="2"/>
  <c r="E9" i="2"/>
  <c r="E7" i="2"/>
  <c r="E6" i="2"/>
  <c r="E3" i="2"/>
  <c r="E4" i="2"/>
  <c r="E2" i="2"/>
  <c r="E1" i="2"/>
  <c r="X50" i="2" l="1"/>
  <c r="V45" i="2"/>
  <c r="V46" i="2" s="1"/>
  <c r="V47" i="2" s="1"/>
  <c r="V48" i="2" s="1"/>
  <c r="V49" i="2" s="1"/>
  <c r="U44" i="2"/>
  <c r="O44" i="2" s="1"/>
  <c r="O20" i="2"/>
  <c r="O40" i="2"/>
  <c r="O5" i="2"/>
  <c r="O22" i="2"/>
  <c r="O7" i="2"/>
  <c r="O6" i="2"/>
  <c r="O30" i="2"/>
  <c r="O11" i="2"/>
  <c r="O12" i="2"/>
  <c r="O32" i="2"/>
  <c r="O16" i="2"/>
  <c r="O36" i="2"/>
  <c r="O10" i="2"/>
  <c r="O15" i="2"/>
  <c r="O25" i="2"/>
  <c r="O43" i="2"/>
  <c r="O35" i="2"/>
  <c r="O17" i="2"/>
  <c r="O21" i="2"/>
  <c r="O42" i="2"/>
  <c r="O37" i="2"/>
  <c r="O31" i="2"/>
  <c r="O27" i="2"/>
  <c r="O26" i="2"/>
  <c r="O41" i="2"/>
  <c r="U45" i="2" l="1"/>
  <c r="U46" i="2" s="1"/>
  <c r="U47" i="2" s="1"/>
  <c r="U48" i="2" s="1"/>
  <c r="U49" i="2" s="1"/>
  <c r="O49" i="2" l="1"/>
  <c r="U50" i="2"/>
  <c r="V50" i="2" s="1"/>
  <c r="O48" i="2"/>
  <c r="O46" i="2"/>
  <c r="O45" i="2"/>
  <c r="O47" i="2"/>
  <c r="O50" i="2" l="1"/>
</calcChain>
</file>

<file path=xl/sharedStrings.xml><?xml version="1.0" encoding="utf-8"?>
<sst xmlns="http://schemas.openxmlformats.org/spreadsheetml/2006/main" count="9879" uniqueCount="295">
  <si>
    <t>model</t>
  </si>
  <si>
    <t>scenario</t>
  </si>
  <si>
    <t>region</t>
  </si>
  <si>
    <t>variable</t>
  </si>
  <si>
    <t>unit</t>
  </si>
  <si>
    <t>IMAGE</t>
  </si>
  <si>
    <t>SSP2_CP</t>
  </si>
  <si>
    <t>North America</t>
  </si>
  <si>
    <t>Stock Addition|Transportation|Vehicles|Road|Passenger Cars</t>
  </si>
  <si>
    <t>thousand/yr</t>
  </si>
  <si>
    <t>Stock Addition|Transportation|Vehicles|Road|Buses</t>
  </si>
  <si>
    <t>Stock Addition|Transportation|Vehicles|Road|Bicycles</t>
  </si>
  <si>
    <t>Stock Addition|Transportation|Vehicles|Road|Trucks</t>
  </si>
  <si>
    <t>Stock Addition|Transportation|Vehicles|Rail|Trains</t>
  </si>
  <si>
    <t>Stock Addition|Transportation|Vehicles|Rail|Cargo</t>
  </si>
  <si>
    <t>Stock Addition|Transportation|Air|Planes</t>
  </si>
  <si>
    <t>Stock Addition|Transportation|Air|Cargo</t>
  </si>
  <si>
    <t>Stock Addition|Transportation|Ships</t>
  </si>
  <si>
    <t>Stock Addition|Buildings|Residential|Single-Family Houses</t>
  </si>
  <si>
    <t>m^2/yr</t>
  </si>
  <si>
    <t>Stock Addition|Buildings|Residential|Multi-Family Houses</t>
  </si>
  <si>
    <t>Stock Addition|Buildings|Residential|Residential Towers</t>
  </si>
  <si>
    <t>Stock Addition|Buildings|Commercial|Retail</t>
  </si>
  <si>
    <t>Stock Addition|Buildings|Commercial|Hotels</t>
  </si>
  <si>
    <t>Stock Addition|Buildings|Commercial|Offices</t>
  </si>
  <si>
    <t>Stock Addition|Buildings|Commercial|Public Buildings</t>
  </si>
  <si>
    <t>Material Demand|Transportation|Vehicles|Road|Passenger Cars|Steel</t>
  </si>
  <si>
    <t>Mt/yr</t>
  </si>
  <si>
    <t>Material Demand|Transportation|Vehicles|Road|Steel</t>
  </si>
  <si>
    <t>Material Demand|Transportation|Vehicles|Rail|Steel</t>
  </si>
  <si>
    <t>Material Demand|Transportation|Air|Steel</t>
  </si>
  <si>
    <t>Material Demand|Transportation|Ships|Steel</t>
  </si>
  <si>
    <t>Material Demand|Transportation|Vehicles|Road|Passenger Cars|Non-Ferrous Metals|Aluminium</t>
  </si>
  <si>
    <t>Material Demand|Transportation|Vehicles|Road|Non-Ferrous Metals|Aluminium</t>
  </si>
  <si>
    <t>Material Demand|Transportation|Vehicles|Rail|Non-Ferrous Metals|Aluminium</t>
  </si>
  <si>
    <t>Material Demand|Transportation|Air|Non-Ferrous Metals|Aluminium</t>
  </si>
  <si>
    <t>Material Demand|Transportation|Ships|Non-Ferrous Metals|Aluminium</t>
  </si>
  <si>
    <t>Material Demand|Transportation|Vehicles|Road|Passenger Cars|Non-Ferrous Metals|Copper</t>
  </si>
  <si>
    <t>Material Demand|Transportation|Vehicles|Road|Non-Ferrous Metals|Copper</t>
  </si>
  <si>
    <t>Material Demand|Transportation|Vehicles|Rail|Non-Ferrous Metals|Copper</t>
  </si>
  <si>
    <t>Material Demand|Transportation|Air|Non-Ferrous Metals|Copper</t>
  </si>
  <si>
    <t>Material Demand|Transportation|Ships|Non-Ferrous Metals|Copper</t>
  </si>
  <si>
    <t>Material Demand|Transportation|Vehicles|Road|Passenger Cars|Glass</t>
  </si>
  <si>
    <t>Material Demand|Transportation|Vehicles|Road|Glass</t>
  </si>
  <si>
    <t>Material Demand|Transportation|Vehicles|Rail|Glass</t>
  </si>
  <si>
    <t>Material Demand|Transportation|Air|Glass</t>
  </si>
  <si>
    <t>Material Demand|Transportation|Ships|Glass</t>
  </si>
  <si>
    <t>Material Demand|Transportation|Vehicles|Road|Passenger Cars|Chemicals|Plastics</t>
  </si>
  <si>
    <t>Material Demand|Transportation|Vehicles|Road|Chemicals|Plastics</t>
  </si>
  <si>
    <t>Material Demand|Transportation|Vehicles|Rail|Chemicals|Plastics</t>
  </si>
  <si>
    <t>Material Demand|Transportation|Air|Chemicals|Plastics</t>
  </si>
  <si>
    <t>Material Demand|Transportation|Ships|Chemicals|Plastics</t>
  </si>
  <si>
    <t>Material Demand|Buildings|Residential|Steel</t>
  </si>
  <si>
    <t>Material Demand|Buildings|Commercial|Steel</t>
  </si>
  <si>
    <t>Material Demand|Buildings|Residential|Non-Ferrous Metals|Aluminium</t>
  </si>
  <si>
    <t>Material Demand|Buildings|Commercial|Non-Ferrous Metals|Aluminium</t>
  </si>
  <si>
    <t>Material Demand|Buildings|Residential|Non-Ferrous Metals|Copper</t>
  </si>
  <si>
    <t>Material Demand|Buildings|Commercial|Non-Ferrous Metals|Copper</t>
  </si>
  <si>
    <t>Material Demand|Buildings|Residential|Concrete</t>
  </si>
  <si>
    <t>Material Demand|Buildings|Commercial|Concrete</t>
  </si>
  <si>
    <t>Material Demand|Buildings|Residential|Glass</t>
  </si>
  <si>
    <t>Material Demand|Buildings|Commercial|Glass</t>
  </si>
  <si>
    <t>Material Demand|Buildings|Residential|Construction Wood</t>
  </si>
  <si>
    <t>Material Demand|Buildings|Commercial|Construction Wood</t>
  </si>
  <si>
    <t>Material Demand|Electricity|Generation|Steel</t>
  </si>
  <si>
    <t>Material Demand|Electricity|Generation|Concrete</t>
  </si>
  <si>
    <t>Material Demand|Electricity|Generation|Non-Ferrous Metals|Aluminium</t>
  </si>
  <si>
    <t>Material Demand|Electricity|Generation|Non-Ferrous Metals|Copper</t>
  </si>
  <si>
    <t>Material Demand|Electricity|Generation|Glass</t>
  </si>
  <si>
    <t>Material Demand|Electricity|Grid|Steel</t>
  </si>
  <si>
    <t>Material Demand|Electricity|Grid|Concrete</t>
  </si>
  <si>
    <t>Material Demand|Electricity|Grid|Non-Ferrous Metals|Aluminium</t>
  </si>
  <si>
    <t>Material Demand|Electricity|Grid|Non-Ferrous Metals|Copper</t>
  </si>
  <si>
    <t>Material Demand|Electricity|Grid|Glass</t>
  </si>
  <si>
    <t>Material Demand|Electricity|Storage|Steel</t>
  </si>
  <si>
    <t>Material Demand|Electricity|Storage|Concrete</t>
  </si>
  <si>
    <t>Material Demand|Electricity|Storage|Non-Ferrous Metals|Aluminium</t>
  </si>
  <si>
    <t>Material Demand|Electricity|Storage|Non-Ferrous Metals|Copper</t>
  </si>
  <si>
    <t>Material Demand|Electricity|Storage|Glass</t>
  </si>
  <si>
    <t>Stock Retirement|Transportation|Vehicles|Road|Passenger Cars</t>
  </si>
  <si>
    <t>Stock Retirement|Transportation|Vehicles|Road|Buses</t>
  </si>
  <si>
    <t>Stock Retirement|Transportation|Vehicles|Road|Bicycles</t>
  </si>
  <si>
    <t>Stock Retirement|Transportation|Vehicles|Road|Trucks</t>
  </si>
  <si>
    <t>Stock Retirement|Transportation|Vehicles|Rail|Trains</t>
  </si>
  <si>
    <t>Stock Retirement|Transportation|Vehicles|Rail|Cargo</t>
  </si>
  <si>
    <t>Stock Retirement|Transportation|Air|Planes</t>
  </si>
  <si>
    <t>Stock Retirement|Transportation|Air|Cargo</t>
  </si>
  <si>
    <t>Stock Retirement|Transportation|Ships</t>
  </si>
  <si>
    <t>Stock Retirement|Buildings|Residential|Single-Family Houses</t>
  </si>
  <si>
    <t>Stock Retirement|Buildings|Residential|Multi-Family Houses</t>
  </si>
  <si>
    <t>Stock Retirement|Buildings|Residential|Residential Towers</t>
  </si>
  <si>
    <t>Stock Retirement|Buildings|Commercial|Retail</t>
  </si>
  <si>
    <t>Stock Retirement|Buildings|Commercial|Hotels</t>
  </si>
  <si>
    <t>Stock Retirement|Buildings|Commercial|Offices</t>
  </si>
  <si>
    <t>Stock Retirement|Buildings|Commercial|Public Buildings</t>
  </si>
  <si>
    <t>Total Scrap|Transportation|Vehicles|Road|Passenger Cars|Steel</t>
  </si>
  <si>
    <t>Total Scrap|Transportation|Vehicles|Road|Steel</t>
  </si>
  <si>
    <t>Total Scrap|Transportation|Vehicles|Rail|Steel</t>
  </si>
  <si>
    <t>Total Scrap|Transportation|Air|Steel</t>
  </si>
  <si>
    <t>Total Scrap|Transportation|Ships|Steel</t>
  </si>
  <si>
    <t>Total Scrap|Transportation|Vehicles|Road|Passenger Cars|Non-Ferrous Metals|Aluminium</t>
  </si>
  <si>
    <t>Total Scrap|Transportation|Vehicles|Road|Non-Ferrous Metals|Aluminium</t>
  </si>
  <si>
    <t>Total Scrap|Transportation|Vehicles|Rail|Non-Ferrous Metals|Aluminium</t>
  </si>
  <si>
    <t>Total Scrap|Transportation|Air|Non-Ferrous Metals|Aluminium</t>
  </si>
  <si>
    <t>Total Scrap|Transportation|Ships|Non-Ferrous Metals|Aluminium</t>
  </si>
  <si>
    <t>Total Scrap|Transportation|Vehicles|Road|Passenger Cars|Non-Ferrous Metals|Copper</t>
  </si>
  <si>
    <t>Total Scrap|Transportation|Vehicles|Road|Non-Ferrous Metals|Copper</t>
  </si>
  <si>
    <t>Total Scrap|Transportation|Vehicles|Rail|Non-Ferrous Metals|Copper</t>
  </si>
  <si>
    <t>Total Scrap|Transportation|Air|Non-Ferrous Metals|Copper</t>
  </si>
  <si>
    <t>Total Scrap|Transportation|Ships|Non-Ferrous Metals|Copper</t>
  </si>
  <si>
    <t>Total Scrap|Transportation|Vehicles|Road|Passenger Cars|Glass</t>
  </si>
  <si>
    <t>Total Scrap|Transportation|Vehicles|Road|Glass</t>
  </si>
  <si>
    <t>Total Scrap|Transportation|Vehicles|Rail|Glass</t>
  </si>
  <si>
    <t>Total Scrap|Transportation|Air|Glass</t>
  </si>
  <si>
    <t>Total Scrap|Transportation|Ships|Glass</t>
  </si>
  <si>
    <t>Total Scrap|Transportation|Vehicles|Road|Passenger Cars|Chemicals|Plastics</t>
  </si>
  <si>
    <t>Total Scrap|Transportation|Vehicles|Road|Chemicals|Plastics</t>
  </si>
  <si>
    <t>Total Scrap|Transportation|Vehicles|Rail|Chemicals|Plastics</t>
  </si>
  <si>
    <t>Total Scrap|Transportation|Air|Chemicals|Plastics</t>
  </si>
  <si>
    <t>Total Scrap|Transportation|Ships|Chemicals|Plastics</t>
  </si>
  <si>
    <t>Total Scrap|Buildings|Residential|Steel</t>
  </si>
  <si>
    <t>Total Scrap|Buildings|Commercial|Steel</t>
  </si>
  <si>
    <t>Total Scrap|Buildings|Residential|Non-Ferrous Metals|Aluminium</t>
  </si>
  <si>
    <t>Total Scrap|Buildings|Commercial|Non-Ferrous Metals|Aluminium</t>
  </si>
  <si>
    <t>Total Scrap|Buildings|Residential|Non-Ferrous Metals|Copper</t>
  </si>
  <si>
    <t>Total Scrap|Buildings|Commercial|Non-Ferrous Metals|Copper</t>
  </si>
  <si>
    <t>Total Scrap|Buildings|Residential|Concrete</t>
  </si>
  <si>
    <t>Total Scrap|Buildings|Commercial|Concrete</t>
  </si>
  <si>
    <t>Total Scrap|Buildings|Residential|Glass</t>
  </si>
  <si>
    <t>Total Scrap|Buildings|Commercial|Glass</t>
  </si>
  <si>
    <t>Total Scrap|Buildings|Residential|Construction Wood</t>
  </si>
  <si>
    <t>Total Scrap|Buildings|Commercial|Construction Wood</t>
  </si>
  <si>
    <t>Total Scrap|Electricity|Generation|Steel</t>
  </si>
  <si>
    <t>Total Scrap|Electricity|Generation|Concrete</t>
  </si>
  <si>
    <t>Total Scrap|Electricity|Generation|Non-Ferrous Metals|Aluminium</t>
  </si>
  <si>
    <t>Total Scrap|Electricity|Generation|Non-Ferrous Metals|Copper</t>
  </si>
  <si>
    <t>Total Scrap|Electricity|Generation|Glass</t>
  </si>
  <si>
    <t>Total Scrap|Electricity|Grid|Steel</t>
  </si>
  <si>
    <t>Total Scrap|Electricity|Grid|Concrete</t>
  </si>
  <si>
    <t>Total Scrap|Electricity|Grid|Non-Ferrous Metals|Aluminium</t>
  </si>
  <si>
    <t>Total Scrap|Electricity|Grid|Non-Ferrous Metals|Copper</t>
  </si>
  <si>
    <t>Total Scrap|Electricity|Grid|Glass</t>
  </si>
  <si>
    <t>Total Scrap|Electricity|Storage|Steel</t>
  </si>
  <si>
    <t>Total Scrap|Electricity|Storage|Concrete</t>
  </si>
  <si>
    <t>Total Scrap|Electricity|Storage|Non-Ferrous Metals|Aluminium</t>
  </si>
  <si>
    <t>Total Scrap|Electricity|Storage|Non-Ferrous Metals|Copper</t>
  </si>
  <si>
    <t>Total Scrap|Electricity|Storage|Glass</t>
  </si>
  <si>
    <t>Product Stock|Transportation|Vehicles|Road|Passenger Cars</t>
  </si>
  <si>
    <t>thousand</t>
  </si>
  <si>
    <t>Product Stock|Transportation|Vehicles|Road|Buses</t>
  </si>
  <si>
    <t>Product Stock|Transportation|Vehicles|Road|Bicycles</t>
  </si>
  <si>
    <t>Product Stock|Transportation|Vehicles|Road|Trucks</t>
  </si>
  <si>
    <t>Product Stock|Transportation|Vehicles|Rail|Trains</t>
  </si>
  <si>
    <t>Product Stock|Transportation|Vehicles|Rail|Cargo</t>
  </si>
  <si>
    <t>Product Stock|Transportation|Air|Planes</t>
  </si>
  <si>
    <t>Product Stock|Transportation|Air|Cargo</t>
  </si>
  <si>
    <t>Product Stock|Transportation|Ships</t>
  </si>
  <si>
    <t>Product Stock|Buildings|Residential|Single-Family Houses</t>
  </si>
  <si>
    <t>m^2</t>
  </si>
  <si>
    <t>Product Stock|Buildings|Residential|Multi-Family Houses</t>
  </si>
  <si>
    <t>Product Stock|Buildings|Residential|Residential Towers</t>
  </si>
  <si>
    <t>Product Stock|Buildings|Commercial|Retail</t>
  </si>
  <si>
    <t>Product Stock|Buildings|Commercial|Hotels</t>
  </si>
  <si>
    <t>Product Stock|Buildings|Commercial|Offices</t>
  </si>
  <si>
    <t>Product Stock|Buildings|Commercial|Public Buildings</t>
  </si>
  <si>
    <t>Material Stock|Transportation|Vehicles|Road|Passenger Cars|Steel</t>
  </si>
  <si>
    <t>Mt</t>
  </si>
  <si>
    <t>Material Stock|Transportation|Vehicles|Road|Steel</t>
  </si>
  <si>
    <t>Material Stock|Transportation|Vehicles|Rail|Steel</t>
  </si>
  <si>
    <t>Material Stock|Transportation|Air|Steel</t>
  </si>
  <si>
    <t>Material Stock|Transportation|Ships|Steel</t>
  </si>
  <si>
    <t>Material Stock|Transportation|Vehicles|Road|Passenger Cars|Non-Ferrous Metals|Aluminium</t>
  </si>
  <si>
    <t>Material Stock|Transportation|Vehicles|Road|Non-Ferrous Metals|Aluminium</t>
  </si>
  <si>
    <t>Material Stock|Transportation|Vehicles|Rail|Non-Ferrous Metals|Aluminium</t>
  </si>
  <si>
    <t>Material Stock|Transportation|Air|Non-Ferrous Metals|Aluminium</t>
  </si>
  <si>
    <t>Material Stock|Transportation|Ships|Non-Ferrous Metals|Aluminium</t>
  </si>
  <si>
    <t>Material Stock|Transportation|Vehicles|Road|Passenger Cars|Non-Ferrous Metals|Copper</t>
  </si>
  <si>
    <t>Material Stock|Transportation|Vehicles|Road|Non-Ferrous Metals|Copper</t>
  </si>
  <si>
    <t>Material Stock|Transportation|Vehicles|Rail|Non-Ferrous Metals|Copper</t>
  </si>
  <si>
    <t>Material Stock|Transportation|Air|Non-Ferrous Metals|Copper</t>
  </si>
  <si>
    <t>Material Stock|Transportation|Ships|Non-Ferrous Metals|Copper</t>
  </si>
  <si>
    <t>Material Stock|Transportation|Vehicles|Road|Passenger Cars|Glass</t>
  </si>
  <si>
    <t>Material Stock|Transportation|Vehicles|Road|Glass</t>
  </si>
  <si>
    <t>Material Stock|Transportation|Vehicles|Rail|Glass</t>
  </si>
  <si>
    <t>Material Stock|Transportation|Air|Glass</t>
  </si>
  <si>
    <t>Material Stock|Transportation|Ships|Glass</t>
  </si>
  <si>
    <t>Material Stock|Transportation|Vehicles|Road|Passenger Cars|Chemicals|Plastics</t>
  </si>
  <si>
    <t>Material Stock|Transportation|Vehicles|Road|Chemicals|Plastics</t>
  </si>
  <si>
    <t>Material Stock|Transportation|Vehicles|Rail|Chemicals|Plastics</t>
  </si>
  <si>
    <t>Material Stock|Transportation|Air|Chemicals|Plastics</t>
  </si>
  <si>
    <t>Material Stock|Transportation|Ships|Chemicals|Plastics</t>
  </si>
  <si>
    <t>Material Stock|Buildings|Residential|Steel</t>
  </si>
  <si>
    <t>Material Stock|Buildings|Commercial|Steel</t>
  </si>
  <si>
    <t>Material Stock|Buildings|Residential|Non-Ferrous Metals|Aluminium</t>
  </si>
  <si>
    <t>Material Stock|Buildings|Commercial|Non-Ferrous Metals|Aluminium</t>
  </si>
  <si>
    <t>Material Stock|Buildings|Residential|Non-Ferrous Metals|Copper</t>
  </si>
  <si>
    <t>Material Stock|Buildings|Commercial|Non-Ferrous Metals|Copper</t>
  </si>
  <si>
    <t>Material Stock|Buildings|Residential|Concrete</t>
  </si>
  <si>
    <t>Material Stock|Buildings|Commercial|Concrete</t>
  </si>
  <si>
    <t>Material Stock|Buildings|Residential|Glass</t>
  </si>
  <si>
    <t>Material Stock|Buildings|Commercial|Glass</t>
  </si>
  <si>
    <t>Material Stock|Buildings|Residential|Construction Wood</t>
  </si>
  <si>
    <t>Material Stock|Buildings|Commercial|Construction Wood</t>
  </si>
  <si>
    <t>Material Stock|Electricity|Generation|Steel</t>
  </si>
  <si>
    <t>Material Stock|Electricity|Generation|Concrete</t>
  </si>
  <si>
    <t>Material Stock|Electricity|Generation|Non-Ferrous Metals|Aluminium</t>
  </si>
  <si>
    <t>Material Stock|Electricity|Generation|Non-Ferrous Metals|Copper</t>
  </si>
  <si>
    <t>Material Stock|Electricity|Generation|Glass</t>
  </si>
  <si>
    <t>Material Stock|Electricity|Grid|Steel</t>
  </si>
  <si>
    <t>Material Stock|Electricity|Grid|Concrete</t>
  </si>
  <si>
    <t>Material Stock|Electricity|Grid|Non-Ferrous Metals|Aluminium</t>
  </si>
  <si>
    <t>Material Stock|Electricity|Grid|Non-Ferrous Metals|Copper</t>
  </si>
  <si>
    <t>Material Stock|Electricity|Grid|Glass</t>
  </si>
  <si>
    <t>Material Stock|Electricity|Storage|Steel</t>
  </si>
  <si>
    <t>Material Stock|Electricity|Storage|Concrete</t>
  </si>
  <si>
    <t>Material Stock|Electricity|Storage|Non-Ferrous Metals|Aluminium</t>
  </si>
  <si>
    <t>Material Stock|Electricity|Storage|Non-Ferrous Metals|Copper</t>
  </si>
  <si>
    <t>Material Stock|Electricity|Storage|Glass</t>
  </si>
  <si>
    <t>Services|Transportation|Road|Passenger Cars</t>
  </si>
  <si>
    <t>Gpkm/yr</t>
  </si>
  <si>
    <t>Services|Transportation|Road|Buses</t>
  </si>
  <si>
    <t>Services|Transportation|Road|Bicycles</t>
  </si>
  <si>
    <t>Services|Transportation|Road|Trucks</t>
  </si>
  <si>
    <t>Gtkm/yr</t>
  </si>
  <si>
    <t>Services|Transportation|Rail|Passenger</t>
  </si>
  <si>
    <t>Services|Transportation|Rail|Freight</t>
  </si>
  <si>
    <t>Services|Transportation|Air|Passenger</t>
  </si>
  <si>
    <t>Services|Transportation|Air|Freight</t>
  </si>
  <si>
    <t>Services|Transportation|Ships</t>
  </si>
  <si>
    <t>Services|People Housed|Single-Family Houses</t>
  </si>
  <si>
    <t>Million people</t>
  </si>
  <si>
    <t>Services|People Housed|Multi-Family Houses</t>
  </si>
  <si>
    <t>Services|People Housed|Residential Towers</t>
  </si>
  <si>
    <t>Total flows|Virgin input|Steel</t>
  </si>
  <si>
    <t>Total flows|Virgin input|Concrete</t>
  </si>
  <si>
    <t>Total flows|Virgin input|Non-Ferrous Metals|Aluminium</t>
  </si>
  <si>
    <t>Total flows|Virgin input|Non-Ferrous Metals|Copper</t>
  </si>
  <si>
    <t>Total flows|Virgin input|Glass</t>
  </si>
  <si>
    <t>Total flows|Virgin input|Construction Wood</t>
  </si>
  <si>
    <t>Total flows|Recycled|Steel</t>
  </si>
  <si>
    <t>Total flows|Recycled|Concrete</t>
  </si>
  <si>
    <t>Total flows|Recycled|Non-Ferrous Metals|Aluminium</t>
  </si>
  <si>
    <t>Total flows|Recycled|Non-Ferrous Metals|Copper</t>
  </si>
  <si>
    <t>Total flows|Recycled|Glass</t>
  </si>
  <si>
    <t>Total flows|Recycled|Construction Wood</t>
  </si>
  <si>
    <t>Total flows|Reused|Steel</t>
  </si>
  <si>
    <t>Total flows|Reused|Concrete</t>
  </si>
  <si>
    <t>Total flows|Reused|Non-Ferrous Metals|Aluminium</t>
  </si>
  <si>
    <t>Total flows|Reused|Non-Ferrous Metals|Copper</t>
  </si>
  <si>
    <t>Total flows|Reused|Glass</t>
  </si>
  <si>
    <t>Total flows|Reused|Construction Wood</t>
  </si>
  <si>
    <t>Total flows|Losses|Steel</t>
  </si>
  <si>
    <t>Total flows|Losses|Concrete</t>
  </si>
  <si>
    <t>Total flows|Losses|Non-Ferrous Metals|Aluminium</t>
  </si>
  <si>
    <t>Total flows|Losses|Non-Ferrous Metals|Copper</t>
  </si>
  <si>
    <t>Total flows|Losses|Glass</t>
  </si>
  <si>
    <t>Total flows|Losses|Construction Wood</t>
  </si>
  <si>
    <t>Latin America + Caribbean</t>
  </si>
  <si>
    <t>Europe</t>
  </si>
  <si>
    <t>EECCA</t>
  </si>
  <si>
    <t>Africa</t>
  </si>
  <si>
    <t>West Asia</t>
  </si>
  <si>
    <t>Asia + Pacific</t>
  </si>
  <si>
    <t>World</t>
  </si>
  <si>
    <t>Per capita floorspace</t>
  </si>
  <si>
    <t>m2/cap</t>
  </si>
  <si>
    <t>building type</t>
  </si>
  <si>
    <t>Indicator</t>
  </si>
  <si>
    <t>Single-Family Houses</t>
  </si>
  <si>
    <t>Multi-Family Houses</t>
  </si>
  <si>
    <t>Residential Towers</t>
  </si>
  <si>
    <t>Commercial</t>
  </si>
  <si>
    <t>res</t>
  </si>
  <si>
    <t>com</t>
  </si>
  <si>
    <t>Residential Total</t>
  </si>
  <si>
    <t>Steel</t>
  </si>
  <si>
    <t>Aluminium</t>
  </si>
  <si>
    <t>Copper</t>
  </si>
  <si>
    <t>Concrete</t>
  </si>
  <si>
    <t>Glass</t>
  </si>
  <si>
    <t>Wood</t>
  </si>
  <si>
    <t>base</t>
  </si>
  <si>
    <t>kg Steel/m2</t>
  </si>
  <si>
    <t>comm</t>
  </si>
  <si>
    <t>kg Al/m2</t>
  </si>
  <si>
    <t>Steel Intensity (of the stock)</t>
  </si>
  <si>
    <t>Aluminium Intensity (of the stock)</t>
  </si>
  <si>
    <t>Copper Intensity (of the stock)</t>
  </si>
  <si>
    <t>Concrete Intensity (of the stock)</t>
  </si>
  <si>
    <t>Glass Intensity (of the stock)</t>
  </si>
  <si>
    <t>kg Cu/m2</t>
  </si>
  <si>
    <t>kg Concrete/m2</t>
  </si>
  <si>
    <t>kg Glass/m2</t>
  </si>
  <si>
    <t>kg Wood/m2</t>
  </si>
  <si>
    <t>Wood Intensity (of the stock)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</si>
</sst>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18" fillId="0" borderId="0" xfId="0" applyFont="1"/>
    <xf numFmtId="164" fontId="18" fillId="0" borderId="0" xfId="0" applyNumberFormat="1" applyFont="1"/>
    <xf numFmtId="0" fontId="20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21"/>
  <sheetViews>
    <sheetView topLeftCell="A1829" workbookViewId="0">
      <selection activeCell="F1860" sqref="F1860"/>
    </sheetView>
  </sheetViews>
  <sheetFormatPr defaultRowHeight="15" x14ac:dyDescent="0.25"/>
  <cols>
    <col min="4" max="4" width="52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2005</v>
      </c>
      <c r="G1">
        <v>2010</v>
      </c>
      <c r="H1">
        <v>2015</v>
      </c>
      <c r="I1">
        <v>2020</v>
      </c>
      <c r="J1">
        <v>2025</v>
      </c>
      <c r="K1">
        <v>2030</v>
      </c>
      <c r="L1">
        <v>2035</v>
      </c>
      <c r="M1">
        <v>2040</v>
      </c>
      <c r="N1">
        <v>2045</v>
      </c>
      <c r="O1">
        <v>2050</v>
      </c>
      <c r="P1">
        <v>2055</v>
      </c>
      <c r="Q1">
        <v>2060</v>
      </c>
    </row>
    <row r="2" spans="1:17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17158.232090000001</v>
      </c>
      <c r="G2">
        <v>14578.432140000001</v>
      </c>
      <c r="H2">
        <v>19927.44815</v>
      </c>
      <c r="I2">
        <v>17715.651320000001</v>
      </c>
      <c r="J2">
        <v>24859.207109999999</v>
      </c>
      <c r="K2">
        <v>18938.561369999999</v>
      </c>
      <c r="L2">
        <v>25167.928220000002</v>
      </c>
      <c r="M2">
        <v>24116.525160000001</v>
      </c>
      <c r="N2">
        <v>23270.57764</v>
      </c>
      <c r="O2">
        <v>23778.690859999999</v>
      </c>
      <c r="P2">
        <v>24116.18362</v>
      </c>
      <c r="Q2">
        <v>24695.886770000001</v>
      </c>
    </row>
    <row r="3" spans="1:17" x14ac:dyDescent="0.25">
      <c r="A3" t="s">
        <v>5</v>
      </c>
      <c r="B3" t="s">
        <v>6</v>
      </c>
      <c r="C3" t="s">
        <v>7</v>
      </c>
      <c r="D3" t="s">
        <v>10</v>
      </c>
      <c r="E3" t="s">
        <v>9</v>
      </c>
      <c r="F3">
        <v>24.119631869999999</v>
      </c>
      <c r="G3">
        <v>23.65066508</v>
      </c>
      <c r="H3">
        <v>25.234490829999999</v>
      </c>
      <c r="I3">
        <v>23.093168649999999</v>
      </c>
      <c r="J3">
        <v>47.782673150000001</v>
      </c>
      <c r="K3">
        <v>36.782524500000001</v>
      </c>
      <c r="L3">
        <v>42.338239469999998</v>
      </c>
      <c r="M3">
        <v>42.303588429999998</v>
      </c>
      <c r="N3">
        <v>46.030324020000002</v>
      </c>
      <c r="O3">
        <v>49.520681629999999</v>
      </c>
      <c r="P3">
        <v>52.685083489999997</v>
      </c>
      <c r="Q3">
        <v>55.164580819999998</v>
      </c>
    </row>
    <row r="4" spans="1:17" x14ac:dyDescent="0.25">
      <c r="A4" t="s">
        <v>5</v>
      </c>
      <c r="B4" t="s">
        <v>6</v>
      </c>
      <c r="C4" t="s">
        <v>7</v>
      </c>
      <c r="D4" t="s">
        <v>11</v>
      </c>
      <c r="E4" t="s">
        <v>9</v>
      </c>
      <c r="F4">
        <v>1205.128559</v>
      </c>
      <c r="G4">
        <v>1432.9938070000001</v>
      </c>
      <c r="H4">
        <v>1785.204774</v>
      </c>
      <c r="I4">
        <v>1587.7042779999999</v>
      </c>
      <c r="J4">
        <v>2826.4922759999999</v>
      </c>
      <c r="K4">
        <v>2211.5256789999999</v>
      </c>
      <c r="L4">
        <v>2260.751276</v>
      </c>
      <c r="M4">
        <v>2281.6527099999998</v>
      </c>
      <c r="N4">
        <v>2576.3881510000001</v>
      </c>
      <c r="O4">
        <v>2730.8030210000002</v>
      </c>
      <c r="P4">
        <v>3076.0420709999999</v>
      </c>
      <c r="Q4">
        <v>3257.4086649999999</v>
      </c>
    </row>
    <row r="5" spans="1:17" x14ac:dyDescent="0.25">
      <c r="A5" t="s">
        <v>5</v>
      </c>
      <c r="B5" t="s">
        <v>6</v>
      </c>
      <c r="C5" t="s">
        <v>7</v>
      </c>
      <c r="D5" t="s">
        <v>12</v>
      </c>
      <c r="E5" t="s">
        <v>9</v>
      </c>
      <c r="F5">
        <v>1683.9840200000001</v>
      </c>
      <c r="G5">
        <v>1779.2720220000001</v>
      </c>
      <c r="H5">
        <v>2317.0855179999999</v>
      </c>
      <c r="I5">
        <v>2323.4414230000002</v>
      </c>
      <c r="J5">
        <v>1561.9050810000001</v>
      </c>
      <c r="K5">
        <v>3032.2158180000001</v>
      </c>
      <c r="L5">
        <v>2818.9132850000001</v>
      </c>
      <c r="M5">
        <v>2687.9380849999998</v>
      </c>
      <c r="N5">
        <v>3150.6526220000001</v>
      </c>
      <c r="O5">
        <v>3138.6384360000002</v>
      </c>
      <c r="P5">
        <v>3050.0863039999999</v>
      </c>
      <c r="Q5">
        <v>3390.5305189999999</v>
      </c>
    </row>
    <row r="6" spans="1:17" x14ac:dyDescent="0.25">
      <c r="A6" t="s">
        <v>5</v>
      </c>
      <c r="B6" t="s">
        <v>6</v>
      </c>
      <c r="C6" t="s">
        <v>7</v>
      </c>
      <c r="D6" t="s">
        <v>13</v>
      </c>
      <c r="E6" t="s">
        <v>9</v>
      </c>
      <c r="F6">
        <v>1.2236454000000001E-2</v>
      </c>
      <c r="G6">
        <v>2.3585831000000002E-2</v>
      </c>
      <c r="H6">
        <v>5.3833751999999999E-2</v>
      </c>
      <c r="I6">
        <v>3.2287585000000001E-2</v>
      </c>
      <c r="J6">
        <v>9.4607610999999994E-2</v>
      </c>
      <c r="K6">
        <v>4.8139410000000001E-2</v>
      </c>
      <c r="L6">
        <v>5.1076244E-2</v>
      </c>
      <c r="M6">
        <v>4.3808909E-2</v>
      </c>
      <c r="N6">
        <v>5.8622441999999997E-2</v>
      </c>
      <c r="O6">
        <v>7.1804278999999999E-2</v>
      </c>
      <c r="P6">
        <v>8.1571626999999994E-2</v>
      </c>
      <c r="Q6">
        <v>8.5765106999999993E-2</v>
      </c>
    </row>
    <row r="7" spans="1:17" x14ac:dyDescent="0.25">
      <c r="A7" t="s">
        <v>5</v>
      </c>
      <c r="B7" t="s">
        <v>6</v>
      </c>
      <c r="C7" t="s">
        <v>7</v>
      </c>
      <c r="D7" t="s">
        <v>14</v>
      </c>
      <c r="E7" t="s">
        <v>9</v>
      </c>
      <c r="F7">
        <v>0.73945949099999997</v>
      </c>
      <c r="G7">
        <v>0.57394585899999995</v>
      </c>
      <c r="H7">
        <v>0.69599264800000005</v>
      </c>
      <c r="I7">
        <v>0.88202627</v>
      </c>
      <c r="J7">
        <v>1.048480342</v>
      </c>
      <c r="K7">
        <v>1.1754670439999999</v>
      </c>
      <c r="L7">
        <v>1.3366255330000001</v>
      </c>
      <c r="M7">
        <v>1.3417630920000001</v>
      </c>
      <c r="N7">
        <v>1.062173977</v>
      </c>
      <c r="O7">
        <v>0.97633634300000005</v>
      </c>
      <c r="P7">
        <v>1.11042025</v>
      </c>
      <c r="Q7">
        <v>1.2069303389999999</v>
      </c>
    </row>
    <row r="8" spans="1:17" x14ac:dyDescent="0.25">
      <c r="A8" t="s">
        <v>5</v>
      </c>
      <c r="B8" t="s">
        <v>6</v>
      </c>
      <c r="C8" t="s">
        <v>7</v>
      </c>
      <c r="D8" t="s">
        <v>15</v>
      </c>
      <c r="E8" t="s">
        <v>9</v>
      </c>
      <c r="F8">
        <v>0.28557829400000001</v>
      </c>
      <c r="G8">
        <v>0.166414272</v>
      </c>
      <c r="H8">
        <v>0.326975709</v>
      </c>
      <c r="I8">
        <v>0.73969771699999998</v>
      </c>
      <c r="J8">
        <v>0.39355706899999998</v>
      </c>
      <c r="K8">
        <v>0.21706286399999999</v>
      </c>
      <c r="L8">
        <v>0.35400113599999999</v>
      </c>
      <c r="M8">
        <v>0.45286981999999998</v>
      </c>
      <c r="N8">
        <v>0.52804795599999999</v>
      </c>
      <c r="O8">
        <v>0.48836451600000003</v>
      </c>
      <c r="P8">
        <v>0.491774235</v>
      </c>
      <c r="Q8">
        <v>0.53951018299999998</v>
      </c>
    </row>
    <row r="9" spans="1:17" x14ac:dyDescent="0.25">
      <c r="A9" t="s">
        <v>5</v>
      </c>
      <c r="B9" t="s">
        <v>6</v>
      </c>
      <c r="C9" t="s">
        <v>7</v>
      </c>
      <c r="D9" t="s">
        <v>16</v>
      </c>
      <c r="E9" t="s">
        <v>9</v>
      </c>
      <c r="F9">
        <v>6.4070136999999999E-2</v>
      </c>
      <c r="G9">
        <v>2.9587985000000001E-2</v>
      </c>
      <c r="H9">
        <v>7.6585944000000003E-2</v>
      </c>
      <c r="I9">
        <v>0.13112632399999999</v>
      </c>
      <c r="J9">
        <v>9.3792180000000003E-2</v>
      </c>
      <c r="K9">
        <v>6.7712784999999998E-2</v>
      </c>
      <c r="L9">
        <v>8.8199357000000006E-2</v>
      </c>
      <c r="M9">
        <v>0.104249403</v>
      </c>
      <c r="N9">
        <v>0.116253313</v>
      </c>
      <c r="O9">
        <v>0.11040967</v>
      </c>
      <c r="P9">
        <v>0.108372236</v>
      </c>
      <c r="Q9">
        <v>0.114586875</v>
      </c>
    </row>
    <row r="10" spans="1:17" x14ac:dyDescent="0.25">
      <c r="A10" t="s">
        <v>5</v>
      </c>
      <c r="B10" t="s">
        <v>6</v>
      </c>
      <c r="C10" t="s">
        <v>7</v>
      </c>
      <c r="D10" t="s">
        <v>17</v>
      </c>
      <c r="E10" t="s">
        <v>9</v>
      </c>
      <c r="F10">
        <v>1.301567414</v>
      </c>
      <c r="G10">
        <v>0.58745270699999996</v>
      </c>
      <c r="H10">
        <v>1.286518356</v>
      </c>
      <c r="I10">
        <v>2.2955728099999999</v>
      </c>
      <c r="J10">
        <v>1.53402109</v>
      </c>
      <c r="K10">
        <v>1.491632327</v>
      </c>
      <c r="L10">
        <v>1.419018345</v>
      </c>
      <c r="M10">
        <v>1.412050477</v>
      </c>
      <c r="N10">
        <v>1.4405720820000001</v>
      </c>
      <c r="O10">
        <v>1.4685921749999999</v>
      </c>
      <c r="P10">
        <v>1.516964011</v>
      </c>
      <c r="Q10">
        <v>1.5640586409999999</v>
      </c>
    </row>
    <row r="11" spans="1:17" x14ac:dyDescent="0.25">
      <c r="A11" t="s">
        <v>5</v>
      </c>
      <c r="B11" t="s">
        <v>6</v>
      </c>
      <c r="C11" t="s">
        <v>7</v>
      </c>
      <c r="D11" t="s">
        <v>18</v>
      </c>
      <c r="E11" t="s">
        <v>19</v>
      </c>
      <c r="F11">
        <v>258556646.69999999</v>
      </c>
      <c r="G11">
        <v>160283663.90000001</v>
      </c>
      <c r="H11">
        <v>259081248</v>
      </c>
      <c r="I11">
        <v>227768010.59999999</v>
      </c>
      <c r="J11">
        <v>253202099.09999999</v>
      </c>
      <c r="K11">
        <v>270927738.39999998</v>
      </c>
      <c r="L11">
        <v>271221242.80000001</v>
      </c>
      <c r="M11">
        <v>280448841.5</v>
      </c>
      <c r="N11">
        <v>291171950.5</v>
      </c>
      <c r="O11">
        <v>304272986.5</v>
      </c>
      <c r="P11">
        <v>322123721.69999999</v>
      </c>
      <c r="Q11">
        <v>336775403.5</v>
      </c>
    </row>
    <row r="12" spans="1:17" x14ac:dyDescent="0.25">
      <c r="A12" t="s">
        <v>5</v>
      </c>
      <c r="B12" t="s">
        <v>6</v>
      </c>
      <c r="C12" t="s">
        <v>7</v>
      </c>
      <c r="D12" t="s">
        <v>20</v>
      </c>
      <c r="E12" t="s">
        <v>19</v>
      </c>
      <c r="F12">
        <v>48883353.759999998</v>
      </c>
      <c r="G12">
        <v>35516474.729999997</v>
      </c>
      <c r="H12">
        <v>52076172.100000001</v>
      </c>
      <c r="I12">
        <v>45595461.170000002</v>
      </c>
      <c r="J12">
        <v>51123227.520000003</v>
      </c>
      <c r="K12">
        <v>55274185.210000001</v>
      </c>
      <c r="L12">
        <v>56552397.920000002</v>
      </c>
      <c r="M12">
        <v>58183463.93</v>
      </c>
      <c r="N12">
        <v>60159242.310000002</v>
      </c>
      <c r="O12">
        <v>62232535.850000001</v>
      </c>
      <c r="P12">
        <v>65056174.130000003</v>
      </c>
      <c r="Q12">
        <v>67936748.530000001</v>
      </c>
    </row>
    <row r="13" spans="1:17" x14ac:dyDescent="0.25">
      <c r="A13" t="s">
        <v>5</v>
      </c>
      <c r="B13" t="s">
        <v>6</v>
      </c>
      <c r="C13" t="s">
        <v>7</v>
      </c>
      <c r="D13" t="s">
        <v>21</v>
      </c>
      <c r="E13" t="s">
        <v>19</v>
      </c>
      <c r="F13">
        <v>32799767.949999999</v>
      </c>
      <c r="G13">
        <v>23905588.82</v>
      </c>
      <c r="H13">
        <v>35362126.710000001</v>
      </c>
      <c r="I13">
        <v>31186533.559999999</v>
      </c>
      <c r="J13">
        <v>34825888.409999996</v>
      </c>
      <c r="K13">
        <v>37555372.979999997</v>
      </c>
      <c r="L13">
        <v>38408845.350000001</v>
      </c>
      <c r="M13">
        <v>39507862.390000001</v>
      </c>
      <c r="N13">
        <v>40823167.340000004</v>
      </c>
      <c r="O13">
        <v>42228936.18</v>
      </c>
      <c r="P13">
        <v>44163262.979999997</v>
      </c>
      <c r="Q13">
        <v>46151398.990000002</v>
      </c>
    </row>
    <row r="14" spans="1:17" x14ac:dyDescent="0.25">
      <c r="A14" t="s">
        <v>5</v>
      </c>
      <c r="B14" t="s">
        <v>6</v>
      </c>
      <c r="C14" t="s">
        <v>7</v>
      </c>
      <c r="D14" t="s">
        <v>22</v>
      </c>
      <c r="E14" t="s">
        <v>19</v>
      </c>
      <c r="F14">
        <v>76801169.780000001</v>
      </c>
      <c r="G14">
        <v>47050330.539999999</v>
      </c>
      <c r="H14">
        <v>84178104.829999998</v>
      </c>
      <c r="I14">
        <v>78581320.620000005</v>
      </c>
      <c r="J14">
        <v>79740316.849999994</v>
      </c>
      <c r="K14">
        <v>88220000.900000006</v>
      </c>
      <c r="L14">
        <v>86351686.909999996</v>
      </c>
      <c r="M14">
        <v>87930670.280000001</v>
      </c>
      <c r="N14">
        <v>88341118.409999996</v>
      </c>
      <c r="O14">
        <v>89335346.810000002</v>
      </c>
      <c r="P14">
        <v>91572614.680000007</v>
      </c>
      <c r="Q14">
        <v>94452865.230000004</v>
      </c>
    </row>
    <row r="15" spans="1:17" x14ac:dyDescent="0.25">
      <c r="A15" t="s">
        <v>5</v>
      </c>
      <c r="B15" t="s">
        <v>6</v>
      </c>
      <c r="C15" t="s">
        <v>7</v>
      </c>
      <c r="D15" t="s">
        <v>23</v>
      </c>
      <c r="E15" t="s">
        <v>19</v>
      </c>
      <c r="F15">
        <v>25135098.050000001</v>
      </c>
      <c r="G15">
        <v>15660553.810000001</v>
      </c>
      <c r="H15">
        <v>27739707.350000001</v>
      </c>
      <c r="I15">
        <v>26231137.59</v>
      </c>
      <c r="J15">
        <v>26819923.32</v>
      </c>
      <c r="K15">
        <v>30098766.010000002</v>
      </c>
      <c r="L15">
        <v>29654168.989999998</v>
      </c>
      <c r="M15">
        <v>30497633.82</v>
      </c>
      <c r="N15">
        <v>30829893.440000001</v>
      </c>
      <c r="O15">
        <v>31288901.16</v>
      </c>
      <c r="P15">
        <v>32226289.260000002</v>
      </c>
      <c r="Q15">
        <v>33495180.649999999</v>
      </c>
    </row>
    <row r="16" spans="1:17" x14ac:dyDescent="0.25">
      <c r="A16" t="s">
        <v>5</v>
      </c>
      <c r="B16" t="s">
        <v>6</v>
      </c>
      <c r="C16" t="s">
        <v>7</v>
      </c>
      <c r="D16" t="s">
        <v>24</v>
      </c>
      <c r="E16" t="s">
        <v>19</v>
      </c>
      <c r="F16">
        <v>43214013.590000004</v>
      </c>
      <c r="G16">
        <v>29922902.920000002</v>
      </c>
      <c r="H16">
        <v>46579438.780000001</v>
      </c>
      <c r="I16">
        <v>43400891.579999998</v>
      </c>
      <c r="J16">
        <v>45880758.990000002</v>
      </c>
      <c r="K16">
        <v>48616069.759999998</v>
      </c>
      <c r="L16">
        <v>48037732.340000004</v>
      </c>
      <c r="M16">
        <v>48513792.609999999</v>
      </c>
      <c r="N16">
        <v>48738637.420000002</v>
      </c>
      <c r="O16">
        <v>49374328.590000004</v>
      </c>
      <c r="P16">
        <v>50481963.18</v>
      </c>
      <c r="Q16">
        <v>51660051.909999996</v>
      </c>
    </row>
    <row r="17" spans="1:17" x14ac:dyDescent="0.25">
      <c r="A17" t="s">
        <v>5</v>
      </c>
      <c r="B17" t="s">
        <v>6</v>
      </c>
      <c r="C17" t="s">
        <v>7</v>
      </c>
      <c r="D17" t="s">
        <v>25</v>
      </c>
      <c r="E17" t="s">
        <v>19</v>
      </c>
      <c r="F17">
        <v>93368837.480000004</v>
      </c>
      <c r="G17">
        <v>78899247.019999996</v>
      </c>
      <c r="H17">
        <v>99610155.599999994</v>
      </c>
      <c r="I17">
        <v>98172213.879999995</v>
      </c>
      <c r="J17">
        <v>103315423.40000001</v>
      </c>
      <c r="K17">
        <v>107702322.2</v>
      </c>
      <c r="L17">
        <v>107791590.3</v>
      </c>
      <c r="M17">
        <v>109218980.5</v>
      </c>
      <c r="N17">
        <v>110264608.09999999</v>
      </c>
      <c r="O17">
        <v>112094931.3</v>
      </c>
      <c r="P17">
        <v>114802974.40000001</v>
      </c>
      <c r="Q17">
        <v>117577703.8</v>
      </c>
    </row>
    <row r="18" spans="1:17" x14ac:dyDescent="0.25">
      <c r="A18" t="s">
        <v>5</v>
      </c>
      <c r="B18" t="s">
        <v>6</v>
      </c>
      <c r="C18" t="s">
        <v>7</v>
      </c>
      <c r="D18" t="s">
        <v>26</v>
      </c>
      <c r="E18" t="s">
        <v>27</v>
      </c>
      <c r="F18">
        <v>15.287709810000001</v>
      </c>
      <c r="G18">
        <v>12.99347889</v>
      </c>
      <c r="H18">
        <v>17.836095520000001</v>
      </c>
      <c r="I18">
        <v>15.77420461</v>
      </c>
      <c r="J18">
        <v>21.835677310000001</v>
      </c>
      <c r="K18">
        <v>16.622280239999998</v>
      </c>
      <c r="L18">
        <v>22.40232499</v>
      </c>
      <c r="M18">
        <v>21.607730650000001</v>
      </c>
      <c r="N18">
        <v>20.696997719999999</v>
      </c>
      <c r="O18">
        <v>20.962614460000001</v>
      </c>
      <c r="P18">
        <v>21.210954959999999</v>
      </c>
      <c r="Q18">
        <v>21.703380379999999</v>
      </c>
    </row>
    <row r="19" spans="1:17" x14ac:dyDescent="0.25">
      <c r="A19" t="s">
        <v>5</v>
      </c>
      <c r="B19" t="s">
        <v>6</v>
      </c>
      <c r="C19" t="s">
        <v>7</v>
      </c>
      <c r="D19" t="s">
        <v>28</v>
      </c>
      <c r="E19" t="s">
        <v>27</v>
      </c>
      <c r="F19">
        <v>23.506044379999999</v>
      </c>
      <c r="G19">
        <v>21.294863500000002</v>
      </c>
      <c r="H19">
        <v>28.662059660000001</v>
      </c>
      <c r="I19">
        <v>27.07169472</v>
      </c>
      <c r="J19">
        <v>30.375450270000002</v>
      </c>
      <c r="K19">
        <v>30.276709480000001</v>
      </c>
      <c r="L19">
        <v>35.604039180000001</v>
      </c>
      <c r="M19">
        <v>35.927678909999997</v>
      </c>
      <c r="N19">
        <v>35.29338791</v>
      </c>
      <c r="O19">
        <v>36.27445247</v>
      </c>
      <c r="P19">
        <v>36.64750265</v>
      </c>
      <c r="Q19">
        <v>37.98377472</v>
      </c>
    </row>
    <row r="20" spans="1:17" x14ac:dyDescent="0.25">
      <c r="A20" t="s">
        <v>5</v>
      </c>
      <c r="B20" t="s">
        <v>6</v>
      </c>
      <c r="C20" t="s">
        <v>7</v>
      </c>
      <c r="D20" t="s">
        <v>29</v>
      </c>
      <c r="E20" t="s">
        <v>27</v>
      </c>
      <c r="F20">
        <v>1.2360443400000001</v>
      </c>
      <c r="G20">
        <v>0.96496446700000005</v>
      </c>
      <c r="H20">
        <v>1.1739277669999999</v>
      </c>
      <c r="I20">
        <v>1.478568288</v>
      </c>
      <c r="J20">
        <v>1.7718421719999999</v>
      </c>
      <c r="K20">
        <v>1.9744349919999999</v>
      </c>
      <c r="L20">
        <v>2.2470388809999999</v>
      </c>
      <c r="M20">
        <v>2.2578730550000001</v>
      </c>
      <c r="N20">
        <v>1.7981400869999999</v>
      </c>
      <c r="O20">
        <v>1.6616758549999999</v>
      </c>
      <c r="P20">
        <v>1.8922727479999999</v>
      </c>
      <c r="Q20">
        <v>2.0598329130000002</v>
      </c>
    </row>
    <row r="21" spans="1:17" x14ac:dyDescent="0.25">
      <c r="A21" t="s">
        <v>5</v>
      </c>
      <c r="B21" t="s">
        <v>6</v>
      </c>
      <c r="C21" t="s">
        <v>7</v>
      </c>
      <c r="D21" t="s">
        <v>30</v>
      </c>
      <c r="E21" t="s">
        <v>27</v>
      </c>
      <c r="F21">
        <v>2.1091249999999999E-3</v>
      </c>
      <c r="G21">
        <v>1.1622169999999999E-3</v>
      </c>
      <c r="H21">
        <v>2.4427099999999998E-3</v>
      </c>
      <c r="I21">
        <v>5.1625940000000004E-3</v>
      </c>
      <c r="J21">
        <v>2.9540119999999998E-3</v>
      </c>
      <c r="K21">
        <v>1.7671220000000001E-3</v>
      </c>
      <c r="L21">
        <v>2.6901799999999999E-3</v>
      </c>
      <c r="M21">
        <v>3.3674820000000002E-3</v>
      </c>
      <c r="N21">
        <v>3.8807630000000002E-3</v>
      </c>
      <c r="O21">
        <v>3.6140740000000001E-3</v>
      </c>
      <c r="P21">
        <v>3.6150829999999998E-3</v>
      </c>
      <c r="Q21">
        <v>3.9288609999999996E-3</v>
      </c>
    </row>
    <row r="22" spans="1:17" x14ac:dyDescent="0.25">
      <c r="A22" t="s">
        <v>5</v>
      </c>
      <c r="B22" t="s">
        <v>6</v>
      </c>
      <c r="C22" t="s">
        <v>7</v>
      </c>
      <c r="D22" t="s">
        <v>31</v>
      </c>
      <c r="E22" t="s">
        <v>27</v>
      </c>
      <c r="F22">
        <v>1.199608829</v>
      </c>
      <c r="G22">
        <v>0.56415825100000005</v>
      </c>
      <c r="H22">
        <v>1.0909802150000001</v>
      </c>
      <c r="I22">
        <v>1.978377506</v>
      </c>
      <c r="J22">
        <v>1.375897981</v>
      </c>
      <c r="K22">
        <v>1.317455152</v>
      </c>
      <c r="L22">
        <v>1.2488763510000001</v>
      </c>
      <c r="M22">
        <v>1.302666627</v>
      </c>
      <c r="N22">
        <v>1.4154759219999999</v>
      </c>
      <c r="O22">
        <v>1.4793221110000001</v>
      </c>
      <c r="P22">
        <v>1.483348581</v>
      </c>
      <c r="Q22">
        <v>1.4694395060000001</v>
      </c>
    </row>
    <row r="23" spans="1:17" x14ac:dyDescent="0.25">
      <c r="A23" t="s">
        <v>5</v>
      </c>
      <c r="B23" t="s">
        <v>6</v>
      </c>
      <c r="C23" t="s">
        <v>7</v>
      </c>
      <c r="D23" t="s">
        <v>32</v>
      </c>
      <c r="E23" t="s">
        <v>27</v>
      </c>
      <c r="F23">
        <v>2.3378812529999999</v>
      </c>
      <c r="G23">
        <v>1.995401132</v>
      </c>
      <c r="H23">
        <v>2.9524779159999999</v>
      </c>
      <c r="I23">
        <v>2.78565635</v>
      </c>
      <c r="J23">
        <v>4.7806511990000002</v>
      </c>
      <c r="K23">
        <v>3.653267789</v>
      </c>
      <c r="L23">
        <v>3.9800308630000001</v>
      </c>
      <c r="M23">
        <v>3.5624694730000002</v>
      </c>
      <c r="N23">
        <v>3.8491565950000002</v>
      </c>
      <c r="O23">
        <v>4.4241764850000003</v>
      </c>
      <c r="P23">
        <v>4.5987645190000004</v>
      </c>
      <c r="Q23">
        <v>4.7322330639999999</v>
      </c>
    </row>
    <row r="24" spans="1:17" x14ac:dyDescent="0.25">
      <c r="A24" t="s">
        <v>5</v>
      </c>
      <c r="B24" t="s">
        <v>6</v>
      </c>
      <c r="C24" t="s">
        <v>7</v>
      </c>
      <c r="D24" t="s">
        <v>33</v>
      </c>
      <c r="E24" t="s">
        <v>27</v>
      </c>
      <c r="F24">
        <v>2.7733982039999998</v>
      </c>
      <c r="G24">
        <v>2.440777653</v>
      </c>
      <c r="H24">
        <v>3.5179862860000002</v>
      </c>
      <c r="I24">
        <v>3.3584961889999998</v>
      </c>
      <c r="J24">
        <v>5.2920788090000004</v>
      </c>
      <c r="K24">
        <v>4.3931090150000003</v>
      </c>
      <c r="L24">
        <v>4.7075382379999997</v>
      </c>
      <c r="M24">
        <v>4.3186294790000002</v>
      </c>
      <c r="N24">
        <v>4.6610955020000002</v>
      </c>
      <c r="O24">
        <v>5.268920842</v>
      </c>
      <c r="P24">
        <v>5.453151965</v>
      </c>
      <c r="Q24">
        <v>5.6452517069999999</v>
      </c>
    </row>
    <row r="25" spans="1:17" x14ac:dyDescent="0.25">
      <c r="A25" t="s">
        <v>5</v>
      </c>
      <c r="B25" t="s">
        <v>6</v>
      </c>
      <c r="C25" t="s">
        <v>7</v>
      </c>
      <c r="D25" t="s">
        <v>34</v>
      </c>
      <c r="E25" t="s">
        <v>27</v>
      </c>
      <c r="F25">
        <v>7.2325571000000005E-2</v>
      </c>
      <c r="G25">
        <v>5.8704213999999998E-2</v>
      </c>
      <c r="H25">
        <v>7.3154602999999999E-2</v>
      </c>
      <c r="I25">
        <v>8.8313501000000003E-2</v>
      </c>
      <c r="J25">
        <v>0.111830103</v>
      </c>
      <c r="K25">
        <v>0.119443192</v>
      </c>
      <c r="L25">
        <v>0.13656854900000001</v>
      </c>
      <c r="M25">
        <v>0.137909318</v>
      </c>
      <c r="N25">
        <v>0.114067009</v>
      </c>
      <c r="O25">
        <v>0.108851164</v>
      </c>
      <c r="P25">
        <v>0.12480852000000001</v>
      </c>
      <c r="Q25">
        <v>0.13691972499999999</v>
      </c>
    </row>
    <row r="26" spans="1:17" x14ac:dyDescent="0.25">
      <c r="A26" t="s">
        <v>5</v>
      </c>
      <c r="B26" t="s">
        <v>6</v>
      </c>
      <c r="C26" t="s">
        <v>7</v>
      </c>
      <c r="D26" t="s">
        <v>35</v>
      </c>
      <c r="E26" t="s">
        <v>27</v>
      </c>
      <c r="F26">
        <v>1.5935613000000001E-2</v>
      </c>
      <c r="G26">
        <v>8.7811910000000007E-3</v>
      </c>
      <c r="H26">
        <v>1.8456031000000001E-2</v>
      </c>
      <c r="I26">
        <v>3.9006264999999998E-2</v>
      </c>
      <c r="J26">
        <v>2.2319200000000001E-2</v>
      </c>
      <c r="K26">
        <v>1.3351589000000001E-2</v>
      </c>
      <c r="L26">
        <v>2.0325805999999998E-2</v>
      </c>
      <c r="M26">
        <v>2.5443197000000001E-2</v>
      </c>
      <c r="N26">
        <v>2.9321323999999999E-2</v>
      </c>
      <c r="O26">
        <v>2.7306332999999999E-2</v>
      </c>
      <c r="P26">
        <v>2.7313957E-2</v>
      </c>
      <c r="Q26">
        <v>2.9684724999999999E-2</v>
      </c>
    </row>
    <row r="27" spans="1:17" x14ac:dyDescent="0.25">
      <c r="A27" t="s">
        <v>5</v>
      </c>
      <c r="B27" t="s">
        <v>6</v>
      </c>
      <c r="C27" t="s">
        <v>7</v>
      </c>
      <c r="D27" t="s">
        <v>36</v>
      </c>
      <c r="E27" t="s">
        <v>27</v>
      </c>
      <c r="F27">
        <v>1.3182515000000001E-2</v>
      </c>
      <c r="G27">
        <v>6.1995410000000003E-3</v>
      </c>
      <c r="H27">
        <v>1.1988794000000001E-2</v>
      </c>
      <c r="I27">
        <v>2.1740412000000001E-2</v>
      </c>
      <c r="J27">
        <v>1.5119758000000001E-2</v>
      </c>
      <c r="K27">
        <v>1.4477528999999999E-2</v>
      </c>
      <c r="L27">
        <v>1.3723915999999999E-2</v>
      </c>
      <c r="M27">
        <v>1.4315018000000001E-2</v>
      </c>
      <c r="N27">
        <v>1.555468E-2</v>
      </c>
      <c r="O27">
        <v>1.6256287000000001E-2</v>
      </c>
      <c r="P27">
        <v>1.6300533999999998E-2</v>
      </c>
      <c r="Q27">
        <v>1.6147687000000001E-2</v>
      </c>
    </row>
    <row r="28" spans="1:17" x14ac:dyDescent="0.25">
      <c r="A28" t="s">
        <v>5</v>
      </c>
      <c r="B28" t="s">
        <v>6</v>
      </c>
      <c r="C28" t="s">
        <v>7</v>
      </c>
      <c r="D28" t="s">
        <v>37</v>
      </c>
      <c r="E28" t="s">
        <v>27</v>
      </c>
      <c r="F28">
        <v>0.44728251699999999</v>
      </c>
      <c r="G28">
        <v>0.38808263999999998</v>
      </c>
      <c r="H28">
        <v>0.7337823</v>
      </c>
      <c r="I28">
        <v>0.81906620200000002</v>
      </c>
      <c r="J28">
        <v>2.0088542060000001</v>
      </c>
      <c r="K28">
        <v>1.50770698</v>
      </c>
      <c r="L28">
        <v>1.149007289</v>
      </c>
      <c r="M28">
        <v>0.86149883199999999</v>
      </c>
      <c r="N28">
        <v>1.2176145519999999</v>
      </c>
      <c r="O28">
        <v>1.6997664159999999</v>
      </c>
      <c r="P28">
        <v>1.8250343090000001</v>
      </c>
      <c r="Q28">
        <v>1.8853054629999999</v>
      </c>
    </row>
    <row r="29" spans="1:17" x14ac:dyDescent="0.25">
      <c r="A29" t="s">
        <v>5</v>
      </c>
      <c r="B29" t="s">
        <v>6</v>
      </c>
      <c r="C29" t="s">
        <v>7</v>
      </c>
      <c r="D29" t="s">
        <v>38</v>
      </c>
      <c r="E29" t="s">
        <v>27</v>
      </c>
      <c r="F29">
        <v>0.50612237100000002</v>
      </c>
      <c r="G29">
        <v>0.44844510399999998</v>
      </c>
      <c r="H29">
        <v>0.81253134900000001</v>
      </c>
      <c r="I29">
        <v>0.90011853200000003</v>
      </c>
      <c r="J29">
        <v>2.0697556769999998</v>
      </c>
      <c r="K29">
        <v>1.61406629</v>
      </c>
      <c r="L29">
        <v>1.2505832180000001</v>
      </c>
      <c r="M29">
        <v>0.97017867999999996</v>
      </c>
      <c r="N29">
        <v>1.3350346099999999</v>
      </c>
      <c r="O29">
        <v>1.8223377430000001</v>
      </c>
      <c r="P29">
        <v>1.948336203</v>
      </c>
      <c r="Q29">
        <v>2.0176963890000001</v>
      </c>
    </row>
    <row r="30" spans="1:17" x14ac:dyDescent="0.25">
      <c r="A30" t="s">
        <v>5</v>
      </c>
      <c r="B30" t="s">
        <v>6</v>
      </c>
      <c r="C30" t="s">
        <v>7</v>
      </c>
      <c r="D30" t="s">
        <v>39</v>
      </c>
      <c r="E30" t="s">
        <v>27</v>
      </c>
      <c r="F30">
        <v>2.0014049999999999E-3</v>
      </c>
      <c r="G30">
        <v>1.633888E-3</v>
      </c>
      <c r="H30">
        <v>1.9885010000000002E-3</v>
      </c>
      <c r="I30">
        <v>2.4268789999999998E-3</v>
      </c>
      <c r="J30">
        <v>3.0292399999999999E-3</v>
      </c>
      <c r="K30">
        <v>3.306008E-3</v>
      </c>
      <c r="L30">
        <v>3.8120979999999999E-3</v>
      </c>
      <c r="M30">
        <v>3.8973749999999998E-3</v>
      </c>
      <c r="N30">
        <v>3.249657E-3</v>
      </c>
      <c r="O30">
        <v>3.1277280000000002E-3</v>
      </c>
      <c r="P30">
        <v>3.6101089999999998E-3</v>
      </c>
      <c r="Q30">
        <v>4.0005739999999998E-3</v>
      </c>
    </row>
    <row r="31" spans="1:17" x14ac:dyDescent="0.25">
      <c r="A31" t="s">
        <v>5</v>
      </c>
      <c r="B31" t="s">
        <v>6</v>
      </c>
      <c r="C31" t="s">
        <v>7</v>
      </c>
      <c r="D31" t="s">
        <v>40</v>
      </c>
      <c r="E31" t="s">
        <v>27</v>
      </c>
      <c r="F31" s="1">
        <v>7.9599999999999997E-5</v>
      </c>
      <c r="G31" s="1">
        <v>4.6400000000000003E-5</v>
      </c>
      <c r="H31" s="1">
        <v>9.1100000000000005E-5</v>
      </c>
      <c r="I31">
        <v>2.0605499999999999E-4</v>
      </c>
      <c r="J31">
        <v>1.09632E-4</v>
      </c>
      <c r="K31" s="1">
        <v>6.05E-5</v>
      </c>
      <c r="L31" s="1">
        <v>9.8599999999999998E-5</v>
      </c>
      <c r="M31">
        <v>1.2615400000000001E-4</v>
      </c>
      <c r="N31">
        <v>1.47097E-4</v>
      </c>
      <c r="O31">
        <v>1.3604200000000001E-4</v>
      </c>
      <c r="P31">
        <v>1.3699200000000001E-4</v>
      </c>
      <c r="Q31">
        <v>1.5029E-4</v>
      </c>
    </row>
    <row r="32" spans="1:17" x14ac:dyDescent="0.25">
      <c r="A32" t="s">
        <v>5</v>
      </c>
      <c r="B32" t="s">
        <v>6</v>
      </c>
      <c r="C32" t="s">
        <v>7</v>
      </c>
      <c r="D32" t="s">
        <v>41</v>
      </c>
      <c r="E32" t="s">
        <v>27</v>
      </c>
      <c r="F32">
        <v>1.3182515000000001E-2</v>
      </c>
      <c r="G32">
        <v>6.1995410000000003E-3</v>
      </c>
      <c r="H32">
        <v>1.1988794000000001E-2</v>
      </c>
      <c r="I32">
        <v>2.1740412000000001E-2</v>
      </c>
      <c r="J32">
        <v>1.5119758000000001E-2</v>
      </c>
      <c r="K32">
        <v>1.4477528999999999E-2</v>
      </c>
      <c r="L32">
        <v>1.3723915999999999E-2</v>
      </c>
      <c r="M32">
        <v>1.4315018000000001E-2</v>
      </c>
      <c r="N32">
        <v>1.555468E-2</v>
      </c>
      <c r="O32">
        <v>1.6256287000000001E-2</v>
      </c>
      <c r="P32">
        <v>1.6300533999999998E-2</v>
      </c>
      <c r="Q32">
        <v>1.6147687000000001E-2</v>
      </c>
    </row>
    <row r="33" spans="1:17" x14ac:dyDescent="0.25">
      <c r="A33" t="s">
        <v>5</v>
      </c>
      <c r="B33" t="s">
        <v>6</v>
      </c>
      <c r="C33" t="s">
        <v>7</v>
      </c>
      <c r="D33" t="s">
        <v>42</v>
      </c>
      <c r="E33" t="s">
        <v>27</v>
      </c>
      <c r="F33">
        <v>0.64265019999999995</v>
      </c>
      <c r="G33">
        <v>0.54666293399999999</v>
      </c>
      <c r="H33">
        <v>0.76220840400000001</v>
      </c>
      <c r="I33">
        <v>0.68220236899999998</v>
      </c>
      <c r="J33">
        <v>0.99020712799999999</v>
      </c>
      <c r="K33">
        <v>0.75323931499999996</v>
      </c>
      <c r="L33">
        <v>0.96941823999999999</v>
      </c>
      <c r="M33">
        <v>0.92034949700000002</v>
      </c>
      <c r="N33">
        <v>0.90280271199999995</v>
      </c>
      <c r="O33">
        <v>0.93961744700000005</v>
      </c>
      <c r="P33">
        <v>0.95684783200000001</v>
      </c>
      <c r="Q33">
        <v>0.98060984399999995</v>
      </c>
    </row>
    <row r="34" spans="1:17" x14ac:dyDescent="0.25">
      <c r="A34" t="s">
        <v>5</v>
      </c>
      <c r="B34" t="s">
        <v>6</v>
      </c>
      <c r="C34" t="s">
        <v>7</v>
      </c>
      <c r="D34" t="s">
        <v>43</v>
      </c>
      <c r="E34" t="s">
        <v>27</v>
      </c>
      <c r="F34">
        <v>0.70319727799999998</v>
      </c>
      <c r="G34">
        <v>0.60791100300000001</v>
      </c>
      <c r="H34">
        <v>0.84044020799999997</v>
      </c>
      <c r="I34">
        <v>0.76254121799999997</v>
      </c>
      <c r="J34">
        <v>1.058926142</v>
      </c>
      <c r="K34">
        <v>0.85372645000000003</v>
      </c>
      <c r="L34">
        <v>1.0681155229999999</v>
      </c>
      <c r="M34">
        <v>1.0249089899999999</v>
      </c>
      <c r="N34">
        <v>1.011806228</v>
      </c>
      <c r="O34">
        <v>1.053672197</v>
      </c>
      <c r="P34">
        <v>1.0721768979999999</v>
      </c>
      <c r="Q34">
        <v>1.1027990510000001</v>
      </c>
    </row>
    <row r="35" spans="1:17" x14ac:dyDescent="0.25">
      <c r="A35" t="s">
        <v>5</v>
      </c>
      <c r="B35" t="s">
        <v>6</v>
      </c>
      <c r="C35" t="s">
        <v>7</v>
      </c>
      <c r="D35" t="s">
        <v>44</v>
      </c>
      <c r="E35" t="s">
        <v>27</v>
      </c>
      <c r="F35" s="1">
        <v>6.7799999999999995E-5</v>
      </c>
      <c r="G35">
        <v>1.7235800000000001E-4</v>
      </c>
      <c r="H35">
        <v>2.30096E-4</v>
      </c>
      <c r="I35">
        <v>1.44473E-4</v>
      </c>
      <c r="J35">
        <v>4.0002400000000002E-4</v>
      </c>
      <c r="K35">
        <v>2.9605700000000002E-4</v>
      </c>
      <c r="L35">
        <v>4.0966499999999997E-4</v>
      </c>
      <c r="M35">
        <v>5.0773699999999997E-4</v>
      </c>
      <c r="N35">
        <v>6.44493E-4</v>
      </c>
      <c r="O35">
        <v>7.9886900000000001E-4</v>
      </c>
      <c r="P35">
        <v>9.8315899999999994E-4</v>
      </c>
      <c r="Q35">
        <v>1.1756659999999999E-3</v>
      </c>
    </row>
    <row r="36" spans="1:17" x14ac:dyDescent="0.25">
      <c r="A36" t="s">
        <v>5</v>
      </c>
      <c r="B36" t="s">
        <v>6</v>
      </c>
      <c r="C36" t="s">
        <v>7</v>
      </c>
      <c r="D36" t="s">
        <v>45</v>
      </c>
      <c r="E36" t="s">
        <v>27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 t="s">
        <v>5</v>
      </c>
      <c r="B37" t="s">
        <v>6</v>
      </c>
      <c r="C37" t="s">
        <v>7</v>
      </c>
      <c r="D37" t="s">
        <v>46</v>
      </c>
      <c r="E37" t="s">
        <v>27</v>
      </c>
      <c r="F37">
        <v>7.9095100000000002E-4</v>
      </c>
      <c r="G37">
        <v>3.7197199999999998E-4</v>
      </c>
      <c r="H37">
        <v>7.1932799999999998E-4</v>
      </c>
      <c r="I37">
        <v>1.3044249999999999E-3</v>
      </c>
      <c r="J37">
        <v>9.0718500000000002E-4</v>
      </c>
      <c r="K37">
        <v>8.6865200000000003E-4</v>
      </c>
      <c r="L37">
        <v>8.2343499999999997E-4</v>
      </c>
      <c r="M37">
        <v>8.5890100000000002E-4</v>
      </c>
      <c r="N37">
        <v>9.33281E-4</v>
      </c>
      <c r="O37">
        <v>9.7537700000000004E-4</v>
      </c>
      <c r="P37">
        <v>9.7803199999999999E-4</v>
      </c>
      <c r="Q37">
        <v>9.6886100000000001E-4</v>
      </c>
    </row>
    <row r="38" spans="1:17" x14ac:dyDescent="0.25">
      <c r="A38" t="s">
        <v>5</v>
      </c>
      <c r="B38" t="s">
        <v>6</v>
      </c>
      <c r="C38" t="s">
        <v>7</v>
      </c>
      <c r="D38" t="s">
        <v>47</v>
      </c>
      <c r="E38" t="s">
        <v>27</v>
      </c>
      <c r="F38">
        <v>3.0110165840000001</v>
      </c>
      <c r="G38">
        <v>2.5611183369999999</v>
      </c>
      <c r="H38">
        <v>3.5589057340000001</v>
      </c>
      <c r="I38">
        <v>3.196164183</v>
      </c>
      <c r="J38">
        <v>4.6205189820000001</v>
      </c>
      <c r="K38">
        <v>3.48223232</v>
      </c>
      <c r="L38">
        <v>4.5034167680000001</v>
      </c>
      <c r="M38">
        <v>4.3036948119999998</v>
      </c>
      <c r="N38">
        <v>4.2081760060000004</v>
      </c>
      <c r="O38">
        <v>4.3749368210000004</v>
      </c>
      <c r="P38">
        <v>4.4550725309999999</v>
      </c>
      <c r="Q38">
        <v>4.5614669369999996</v>
      </c>
    </row>
    <row r="39" spans="1:17" x14ac:dyDescent="0.25">
      <c r="A39" t="s">
        <v>5</v>
      </c>
      <c r="B39" t="s">
        <v>6</v>
      </c>
      <c r="C39" t="s">
        <v>7</v>
      </c>
      <c r="D39" t="s">
        <v>48</v>
      </c>
      <c r="E39" t="s">
        <v>27</v>
      </c>
      <c r="F39">
        <v>4.2410302069999997</v>
      </c>
      <c r="G39">
        <v>3.8054961629999999</v>
      </c>
      <c r="H39">
        <v>5.1805021360000003</v>
      </c>
      <c r="I39">
        <v>4.8851154819999998</v>
      </c>
      <c r="J39">
        <v>5.9037402300000004</v>
      </c>
      <c r="K39">
        <v>5.5365017109999997</v>
      </c>
      <c r="L39">
        <v>6.4879155290000003</v>
      </c>
      <c r="M39">
        <v>6.4494748639999999</v>
      </c>
      <c r="N39">
        <v>6.4082584220000003</v>
      </c>
      <c r="O39">
        <v>6.6815197179999997</v>
      </c>
      <c r="P39">
        <v>6.7803134979999999</v>
      </c>
      <c r="Q39">
        <v>7.0181088599999999</v>
      </c>
    </row>
    <row r="40" spans="1:17" x14ac:dyDescent="0.25">
      <c r="A40" t="s">
        <v>5</v>
      </c>
      <c r="B40" t="s">
        <v>6</v>
      </c>
      <c r="C40" t="s">
        <v>7</v>
      </c>
      <c r="D40" t="s">
        <v>49</v>
      </c>
      <c r="E40" t="s">
        <v>27</v>
      </c>
      <c r="F40">
        <v>1.64408E-4</v>
      </c>
      <c r="G40">
        <v>3.9081700000000001E-4</v>
      </c>
      <c r="H40">
        <v>6.0249200000000004E-4</v>
      </c>
      <c r="I40">
        <v>3.7282400000000001E-4</v>
      </c>
      <c r="J40">
        <v>1.0511139999999999E-3</v>
      </c>
      <c r="K40">
        <v>6.9886199999999996E-4</v>
      </c>
      <c r="L40">
        <v>9.1089899999999995E-4</v>
      </c>
      <c r="M40">
        <v>1.0585150000000001E-3</v>
      </c>
      <c r="N40">
        <v>1.354512E-3</v>
      </c>
      <c r="O40">
        <v>1.6758509999999999E-3</v>
      </c>
      <c r="P40">
        <v>2.0378869999999999E-3</v>
      </c>
      <c r="Q40">
        <v>2.3943520000000002E-3</v>
      </c>
    </row>
    <row r="41" spans="1:17" x14ac:dyDescent="0.25">
      <c r="A41" t="s">
        <v>5</v>
      </c>
      <c r="B41" t="s">
        <v>6</v>
      </c>
      <c r="C41" t="s">
        <v>7</v>
      </c>
      <c r="D41" t="s">
        <v>50</v>
      </c>
      <c r="E41" t="s">
        <v>27</v>
      </c>
      <c r="F41">
        <v>1.230323E-3</v>
      </c>
      <c r="G41">
        <v>6.7796000000000002E-4</v>
      </c>
      <c r="H41">
        <v>1.424914E-3</v>
      </c>
      <c r="I41">
        <v>3.011513E-3</v>
      </c>
      <c r="J41">
        <v>1.7231740000000001E-3</v>
      </c>
      <c r="K41">
        <v>1.0308209999999999E-3</v>
      </c>
      <c r="L41">
        <v>1.569272E-3</v>
      </c>
      <c r="M41">
        <v>1.9643640000000001E-3</v>
      </c>
      <c r="N41">
        <v>2.2637790000000001E-3</v>
      </c>
      <c r="O41">
        <v>2.1082100000000001E-3</v>
      </c>
      <c r="P41">
        <v>2.1087979999999998E-3</v>
      </c>
      <c r="Q41">
        <v>2.2918349999999999E-3</v>
      </c>
    </row>
    <row r="42" spans="1:17" x14ac:dyDescent="0.25">
      <c r="A42" t="s">
        <v>5</v>
      </c>
      <c r="B42" t="s">
        <v>6</v>
      </c>
      <c r="C42" t="s">
        <v>7</v>
      </c>
      <c r="D42" t="s">
        <v>51</v>
      </c>
      <c r="E42" t="s">
        <v>27</v>
      </c>
      <c r="F42">
        <v>2.6365029000000002E-2</v>
      </c>
      <c r="G42">
        <v>1.2399082000000001E-2</v>
      </c>
      <c r="H42">
        <v>2.3977587000000002E-2</v>
      </c>
      <c r="I42">
        <v>4.3480824000000001E-2</v>
      </c>
      <c r="J42">
        <v>3.0239516000000001E-2</v>
      </c>
      <c r="K42">
        <v>2.8955057999999999E-2</v>
      </c>
      <c r="L42">
        <v>2.7447831999999998E-2</v>
      </c>
      <c r="M42">
        <v>2.8630036000000001E-2</v>
      </c>
      <c r="N42">
        <v>3.1109360999999999E-2</v>
      </c>
      <c r="O42">
        <v>3.2512574000000002E-2</v>
      </c>
      <c r="P42">
        <v>3.2601067999999997E-2</v>
      </c>
      <c r="Q42">
        <v>3.2295374000000002E-2</v>
      </c>
    </row>
    <row r="43" spans="1:17" x14ac:dyDescent="0.25">
      <c r="A43" t="s">
        <v>5</v>
      </c>
      <c r="B43" t="s">
        <v>6</v>
      </c>
      <c r="C43" t="s">
        <v>7</v>
      </c>
      <c r="D43" t="s">
        <v>52</v>
      </c>
      <c r="E43" t="s">
        <v>27</v>
      </c>
      <c r="F43">
        <v>15.214699120000001</v>
      </c>
      <c r="G43">
        <v>10.14573979</v>
      </c>
      <c r="H43">
        <v>15.71564622</v>
      </c>
      <c r="I43">
        <v>13.819824369999999</v>
      </c>
      <c r="J43">
        <v>15.40449171</v>
      </c>
      <c r="K43">
        <v>16.547663830000001</v>
      </c>
      <c r="L43">
        <v>16.728809030000001</v>
      </c>
      <c r="M43">
        <v>17.256382540000001</v>
      </c>
      <c r="N43">
        <v>17.87843213</v>
      </c>
      <c r="O43">
        <v>18.596228419999999</v>
      </c>
      <c r="P43">
        <v>19.576920139999999</v>
      </c>
      <c r="Q43">
        <v>20.460864789999999</v>
      </c>
    </row>
    <row r="44" spans="1:17" x14ac:dyDescent="0.25">
      <c r="A44" t="s">
        <v>5</v>
      </c>
      <c r="B44" t="s">
        <v>6</v>
      </c>
      <c r="C44" t="s">
        <v>7</v>
      </c>
      <c r="D44" t="s">
        <v>53</v>
      </c>
      <c r="E44" t="s">
        <v>27</v>
      </c>
      <c r="F44">
        <v>20.117310329999999</v>
      </c>
      <c r="G44">
        <v>14.59210034</v>
      </c>
      <c r="H44">
        <v>21.74564741</v>
      </c>
      <c r="I44">
        <v>20.768719770000001</v>
      </c>
      <c r="J44">
        <v>21.60493018</v>
      </c>
      <c r="K44">
        <v>23.13859965</v>
      </c>
      <c r="L44">
        <v>22.917213400000001</v>
      </c>
      <c r="M44">
        <v>23.270997919999999</v>
      </c>
      <c r="N44">
        <v>23.441208889999999</v>
      </c>
      <c r="O44">
        <v>23.774330519999999</v>
      </c>
      <c r="P44">
        <v>24.35991332</v>
      </c>
      <c r="Q44">
        <v>25.030968349999998</v>
      </c>
    </row>
    <row r="45" spans="1:17" x14ac:dyDescent="0.25">
      <c r="A45" t="s">
        <v>5</v>
      </c>
      <c r="B45" t="s">
        <v>6</v>
      </c>
      <c r="C45" t="s">
        <v>7</v>
      </c>
      <c r="D45" t="s">
        <v>54</v>
      </c>
      <c r="E45" t="s">
        <v>27</v>
      </c>
      <c r="F45">
        <v>1.040359579</v>
      </c>
      <c r="G45">
        <v>0.65732401799999995</v>
      </c>
      <c r="H45">
        <v>1.050714462</v>
      </c>
      <c r="I45">
        <v>0.92384873899999997</v>
      </c>
      <c r="J45">
        <v>1.0276914100000001</v>
      </c>
      <c r="K45">
        <v>1.100725851</v>
      </c>
      <c r="L45">
        <v>1.1047371770000001</v>
      </c>
      <c r="M45">
        <v>1.1415944039999999</v>
      </c>
      <c r="N45">
        <v>1.1845773239999999</v>
      </c>
      <c r="O45">
        <v>1.236371589</v>
      </c>
      <c r="P45">
        <v>1.306997967</v>
      </c>
      <c r="Q45">
        <v>1.3663424669999999</v>
      </c>
    </row>
    <row r="46" spans="1:17" x14ac:dyDescent="0.25">
      <c r="A46" t="s">
        <v>5</v>
      </c>
      <c r="B46" t="s">
        <v>6</v>
      </c>
      <c r="C46" t="s">
        <v>7</v>
      </c>
      <c r="D46" t="s">
        <v>55</v>
      </c>
      <c r="E46" t="s">
        <v>27</v>
      </c>
      <c r="F46">
        <v>1.0438837620000001</v>
      </c>
      <c r="G46">
        <v>0.78307279699999999</v>
      </c>
      <c r="H46">
        <v>1.125402373</v>
      </c>
      <c r="I46">
        <v>1.0817352950000001</v>
      </c>
      <c r="J46">
        <v>1.1288415220000001</v>
      </c>
      <c r="K46">
        <v>1.202193176</v>
      </c>
      <c r="L46">
        <v>1.1934947309999999</v>
      </c>
      <c r="M46">
        <v>1.2115594890000001</v>
      </c>
      <c r="N46">
        <v>1.2211504019999999</v>
      </c>
      <c r="O46">
        <v>1.239223376</v>
      </c>
      <c r="P46">
        <v>1.269740622</v>
      </c>
      <c r="Q46">
        <v>1.303984603</v>
      </c>
    </row>
    <row r="47" spans="1:17" x14ac:dyDescent="0.25">
      <c r="A47" t="s">
        <v>5</v>
      </c>
      <c r="B47" t="s">
        <v>6</v>
      </c>
      <c r="C47" t="s">
        <v>7</v>
      </c>
      <c r="D47" t="s">
        <v>56</v>
      </c>
      <c r="E47" t="s">
        <v>27</v>
      </c>
      <c r="F47">
        <v>0.453737581</v>
      </c>
      <c r="G47">
        <v>0.28194659100000002</v>
      </c>
      <c r="H47">
        <v>0.45507060900000001</v>
      </c>
      <c r="I47">
        <v>0.40006135100000001</v>
      </c>
      <c r="J47">
        <v>0.44478099100000001</v>
      </c>
      <c r="K47">
        <v>0.47598170699999998</v>
      </c>
      <c r="L47">
        <v>0.47664812200000001</v>
      </c>
      <c r="M47">
        <v>0.492824278</v>
      </c>
      <c r="N47">
        <v>0.51163188299999995</v>
      </c>
      <c r="O47">
        <v>0.53457022799999998</v>
      </c>
      <c r="P47">
        <v>0.56582726800000005</v>
      </c>
      <c r="Q47">
        <v>0.59155581700000004</v>
      </c>
    </row>
    <row r="48" spans="1:17" x14ac:dyDescent="0.25">
      <c r="A48" t="s">
        <v>5</v>
      </c>
      <c r="B48" t="s">
        <v>6</v>
      </c>
      <c r="C48" t="s">
        <v>7</v>
      </c>
      <c r="D48" t="s">
        <v>57</v>
      </c>
      <c r="E48" t="s">
        <v>27</v>
      </c>
      <c r="F48">
        <v>0.75060423399999998</v>
      </c>
      <c r="G48">
        <v>0.54798446000000001</v>
      </c>
      <c r="H48">
        <v>0.811032957</v>
      </c>
      <c r="I48">
        <v>0.77559502300000005</v>
      </c>
      <c r="J48">
        <v>0.80747986000000005</v>
      </c>
      <c r="K48">
        <v>0.86404225099999998</v>
      </c>
      <c r="L48">
        <v>0.85623703399999995</v>
      </c>
      <c r="M48">
        <v>0.86953058500000002</v>
      </c>
      <c r="N48">
        <v>0.876069553</v>
      </c>
      <c r="O48">
        <v>0.88866509999999999</v>
      </c>
      <c r="P48">
        <v>0.91061879499999998</v>
      </c>
      <c r="Q48">
        <v>0.93571311800000001</v>
      </c>
    </row>
    <row r="49" spans="1:17" x14ac:dyDescent="0.25">
      <c r="A49" t="s">
        <v>5</v>
      </c>
      <c r="B49" t="s">
        <v>6</v>
      </c>
      <c r="C49" t="s">
        <v>7</v>
      </c>
      <c r="D49" t="s">
        <v>58</v>
      </c>
      <c r="E49" t="s">
        <v>27</v>
      </c>
      <c r="F49">
        <v>303.34638589999997</v>
      </c>
      <c r="G49">
        <v>197.18912449999999</v>
      </c>
      <c r="H49">
        <v>309.71969689999997</v>
      </c>
      <c r="I49">
        <v>272.15598349999999</v>
      </c>
      <c r="J49">
        <v>303.18775570000003</v>
      </c>
      <c r="K49">
        <v>325.33003609999997</v>
      </c>
      <c r="L49">
        <v>327.80179079999999</v>
      </c>
      <c r="M49">
        <v>338.43650259999998</v>
      </c>
      <c r="N49">
        <v>350.92047489999999</v>
      </c>
      <c r="O49">
        <v>365.60273260000002</v>
      </c>
      <c r="P49">
        <v>385.62194290000002</v>
      </c>
      <c r="Q49">
        <v>403.05321550000002</v>
      </c>
    </row>
    <row r="50" spans="1:17" x14ac:dyDescent="0.25">
      <c r="A50" t="s">
        <v>5</v>
      </c>
      <c r="B50" t="s">
        <v>6</v>
      </c>
      <c r="C50" t="s">
        <v>7</v>
      </c>
      <c r="D50" t="s">
        <v>59</v>
      </c>
      <c r="E50" t="s">
        <v>27</v>
      </c>
      <c r="F50">
        <v>201.49433759999999</v>
      </c>
      <c r="G50">
        <v>146.8479025</v>
      </c>
      <c r="H50">
        <v>217.7683638</v>
      </c>
      <c r="I50">
        <v>208.30861999999999</v>
      </c>
      <c r="J50">
        <v>216.54767409999999</v>
      </c>
      <c r="K50">
        <v>231.89009480000001</v>
      </c>
      <c r="L50">
        <v>229.71814699999999</v>
      </c>
      <c r="M50">
        <v>233.2857156</v>
      </c>
      <c r="N50">
        <v>235.01139180000001</v>
      </c>
      <c r="O50">
        <v>238.3623958</v>
      </c>
      <c r="P50">
        <v>244.24056340000001</v>
      </c>
      <c r="Q50">
        <v>250.9768091</v>
      </c>
    </row>
    <row r="51" spans="1:17" x14ac:dyDescent="0.25">
      <c r="A51" t="s">
        <v>5</v>
      </c>
      <c r="B51" t="s">
        <v>6</v>
      </c>
      <c r="C51" t="s">
        <v>7</v>
      </c>
      <c r="D51" t="s">
        <v>60</v>
      </c>
      <c r="E51" t="s">
        <v>27</v>
      </c>
      <c r="F51">
        <v>0.99879788700000005</v>
      </c>
      <c r="G51">
        <v>0.65076347800000001</v>
      </c>
      <c r="H51">
        <v>1.0214364849999999</v>
      </c>
      <c r="I51">
        <v>0.89807425299999999</v>
      </c>
      <c r="J51">
        <v>1.0002379029999999</v>
      </c>
      <c r="K51">
        <v>1.073134187</v>
      </c>
      <c r="L51">
        <v>1.08149725</v>
      </c>
      <c r="M51">
        <v>1.1164333179999999</v>
      </c>
      <c r="N51">
        <v>1.157439144</v>
      </c>
      <c r="O51">
        <v>1.2056723549999999</v>
      </c>
      <c r="P51">
        <v>1.27151495</v>
      </c>
      <c r="Q51">
        <v>1.3290502</v>
      </c>
    </row>
    <row r="52" spans="1:17" x14ac:dyDescent="0.25">
      <c r="A52" t="s">
        <v>5</v>
      </c>
      <c r="B52" t="s">
        <v>6</v>
      </c>
      <c r="C52" t="s">
        <v>7</v>
      </c>
      <c r="D52" t="s">
        <v>61</v>
      </c>
      <c r="E52" t="s">
        <v>27</v>
      </c>
      <c r="F52">
        <v>1.5461064950000001</v>
      </c>
      <c r="G52">
        <v>1.174718572</v>
      </c>
      <c r="H52">
        <v>1.664957316</v>
      </c>
      <c r="I52">
        <v>1.6048097530000001</v>
      </c>
      <c r="J52">
        <v>1.6744311730000001</v>
      </c>
      <c r="K52">
        <v>1.779309024</v>
      </c>
      <c r="L52">
        <v>1.76746651</v>
      </c>
      <c r="M52">
        <v>1.7935186780000001</v>
      </c>
      <c r="N52">
        <v>1.8077094419999999</v>
      </c>
      <c r="O52">
        <v>1.834577318</v>
      </c>
      <c r="P52">
        <v>1.8794398430000001</v>
      </c>
      <c r="Q52">
        <v>1.9292742030000001</v>
      </c>
    </row>
    <row r="53" spans="1:17" x14ac:dyDescent="0.25">
      <c r="A53" t="s">
        <v>5</v>
      </c>
      <c r="B53" t="s">
        <v>6</v>
      </c>
      <c r="C53" t="s">
        <v>7</v>
      </c>
      <c r="D53" t="s">
        <v>62</v>
      </c>
      <c r="E53" t="s">
        <v>27</v>
      </c>
      <c r="F53">
        <v>17.263161100000001</v>
      </c>
      <c r="G53">
        <v>11.08287035</v>
      </c>
      <c r="H53">
        <v>17.544931989999998</v>
      </c>
      <c r="I53">
        <v>15.42317768</v>
      </c>
      <c r="J53">
        <v>17.169531370000001</v>
      </c>
      <c r="K53">
        <v>18.407784840000001</v>
      </c>
      <c r="L53">
        <v>18.515563849999999</v>
      </c>
      <c r="M53">
        <v>19.123685120000001</v>
      </c>
      <c r="N53">
        <v>19.835317400000001</v>
      </c>
      <c r="O53">
        <v>20.681632579999999</v>
      </c>
      <c r="P53">
        <v>21.835774820000001</v>
      </c>
      <c r="Q53">
        <v>22.82504831</v>
      </c>
    </row>
    <row r="54" spans="1:17" x14ac:dyDescent="0.25">
      <c r="A54" t="s">
        <v>5</v>
      </c>
      <c r="B54" t="s">
        <v>6</v>
      </c>
      <c r="C54" t="s">
        <v>7</v>
      </c>
      <c r="D54" t="s">
        <v>63</v>
      </c>
      <c r="E54" t="s">
        <v>27</v>
      </c>
      <c r="F54">
        <v>3.9901253360000002</v>
      </c>
      <c r="G54">
        <v>2.8509706829999999</v>
      </c>
      <c r="H54">
        <v>4.3253261519999997</v>
      </c>
      <c r="I54">
        <v>4.1349273469999996</v>
      </c>
      <c r="J54">
        <v>4.2788269540000003</v>
      </c>
      <c r="K54">
        <v>4.6147879820000002</v>
      </c>
      <c r="L54">
        <v>4.5662539049999999</v>
      </c>
      <c r="M54">
        <v>4.6450431229999998</v>
      </c>
      <c r="N54">
        <v>4.6808094960000002</v>
      </c>
      <c r="O54">
        <v>4.747176756</v>
      </c>
      <c r="P54">
        <v>4.8673167580000003</v>
      </c>
      <c r="Q54">
        <v>5.0094324820000002</v>
      </c>
    </row>
    <row r="55" spans="1:17" x14ac:dyDescent="0.25">
      <c r="A55" t="s">
        <v>5</v>
      </c>
      <c r="B55" t="s">
        <v>6</v>
      </c>
      <c r="C55" t="s">
        <v>7</v>
      </c>
      <c r="D55" t="s">
        <v>64</v>
      </c>
      <c r="E55" t="s">
        <v>27</v>
      </c>
      <c r="F55">
        <v>1.757298808</v>
      </c>
      <c r="G55">
        <v>2.1347708700000001</v>
      </c>
      <c r="H55">
        <v>2.8067031120000001</v>
      </c>
      <c r="I55">
        <v>4.3154678830000002</v>
      </c>
      <c r="J55">
        <v>3.382207594</v>
      </c>
      <c r="K55">
        <v>7.7969600579999998</v>
      </c>
      <c r="L55">
        <v>7.8532576609999998</v>
      </c>
      <c r="M55">
        <v>8.389908385</v>
      </c>
      <c r="N55">
        <v>8.1235559380000009</v>
      </c>
      <c r="O55">
        <v>9.3284466699999999</v>
      </c>
      <c r="P55">
        <v>12.77391029</v>
      </c>
      <c r="Q55">
        <v>14.389201699999999</v>
      </c>
    </row>
    <row r="56" spans="1:17" x14ac:dyDescent="0.25">
      <c r="A56" t="s">
        <v>5</v>
      </c>
      <c r="B56" t="s">
        <v>6</v>
      </c>
      <c r="C56" t="s">
        <v>7</v>
      </c>
      <c r="D56" t="s">
        <v>65</v>
      </c>
      <c r="E56" t="s">
        <v>27</v>
      </c>
      <c r="F56">
        <v>10.80545206</v>
      </c>
      <c r="G56">
        <v>9.4527816609999995</v>
      </c>
      <c r="H56">
        <v>16.01494606</v>
      </c>
      <c r="I56">
        <v>30.051351090000001</v>
      </c>
      <c r="J56">
        <v>16.945576419999998</v>
      </c>
      <c r="K56">
        <v>9.2194960780000006</v>
      </c>
      <c r="L56">
        <v>11.729023079999999</v>
      </c>
      <c r="M56">
        <v>15.420137909999999</v>
      </c>
      <c r="N56">
        <v>14.473364309999999</v>
      </c>
      <c r="O56">
        <v>12.66880248</v>
      </c>
      <c r="P56">
        <v>17.774714719999999</v>
      </c>
      <c r="Q56">
        <v>19.831597129999999</v>
      </c>
    </row>
    <row r="57" spans="1:17" x14ac:dyDescent="0.25">
      <c r="A57" t="s">
        <v>5</v>
      </c>
      <c r="B57" t="s">
        <v>6</v>
      </c>
      <c r="C57" t="s">
        <v>7</v>
      </c>
      <c r="D57" t="s">
        <v>66</v>
      </c>
      <c r="E57" t="s">
        <v>27</v>
      </c>
      <c r="F57">
        <v>2.1018981999999999E-2</v>
      </c>
      <c r="G57">
        <v>2.7286960999999998E-2</v>
      </c>
      <c r="H57">
        <v>6.5316062999999994E-2</v>
      </c>
      <c r="I57">
        <v>0.12465214099999999</v>
      </c>
      <c r="J57">
        <v>0.14021897799999999</v>
      </c>
      <c r="K57">
        <v>0.48353572500000003</v>
      </c>
      <c r="L57">
        <v>0.42039451999999999</v>
      </c>
      <c r="M57">
        <v>0.35562016499999999</v>
      </c>
      <c r="N57">
        <v>0.34282835699999997</v>
      </c>
      <c r="O57">
        <v>0.45642692899999998</v>
      </c>
      <c r="P57">
        <v>0.64559291900000004</v>
      </c>
      <c r="Q57">
        <v>0.702114189</v>
      </c>
    </row>
    <row r="58" spans="1:17" x14ac:dyDescent="0.25">
      <c r="A58" t="s">
        <v>5</v>
      </c>
      <c r="B58" t="s">
        <v>6</v>
      </c>
      <c r="C58" t="s">
        <v>7</v>
      </c>
      <c r="D58" t="s">
        <v>67</v>
      </c>
      <c r="E58" t="s">
        <v>27</v>
      </c>
      <c r="F58">
        <v>4.6903553000000001E-2</v>
      </c>
      <c r="G58">
        <v>0.101944931</v>
      </c>
      <c r="H58">
        <v>0.10137062500000001</v>
      </c>
      <c r="I58">
        <v>0.123627497</v>
      </c>
      <c r="J58">
        <v>0.11201781299999999</v>
      </c>
      <c r="K58">
        <v>0.313936516</v>
      </c>
      <c r="L58">
        <v>0.29245052199999999</v>
      </c>
      <c r="M58">
        <v>0.27862089099999998</v>
      </c>
      <c r="N58">
        <v>0.26614341899999999</v>
      </c>
      <c r="O58">
        <v>0.33364482000000001</v>
      </c>
      <c r="P58">
        <v>0.47492590499999998</v>
      </c>
      <c r="Q58">
        <v>0.52722234899999998</v>
      </c>
    </row>
    <row r="59" spans="1:17" x14ac:dyDescent="0.25">
      <c r="A59" t="s">
        <v>5</v>
      </c>
      <c r="B59" t="s">
        <v>6</v>
      </c>
      <c r="C59" t="s">
        <v>7</v>
      </c>
      <c r="D59" t="s">
        <v>68</v>
      </c>
      <c r="E59" t="s">
        <v>27</v>
      </c>
      <c r="F59">
        <v>1.5534030000000001E-3</v>
      </c>
      <c r="G59">
        <v>4.180731E-3</v>
      </c>
      <c r="H59">
        <v>4.0434177000000002E-2</v>
      </c>
      <c r="I59">
        <v>6.4011670000000001E-3</v>
      </c>
      <c r="J59">
        <v>1.540935E-3</v>
      </c>
      <c r="K59">
        <v>2.5420360000000001E-3</v>
      </c>
      <c r="L59">
        <v>1.9516679999999999E-3</v>
      </c>
      <c r="M59" s="1">
        <v>3.3599999999999997E-5</v>
      </c>
      <c r="N59" s="1">
        <v>4.3000000000000002E-5</v>
      </c>
      <c r="O59" s="1">
        <v>3.2799999999999998E-5</v>
      </c>
      <c r="P59" s="1">
        <v>3.7799999999999997E-5</v>
      </c>
      <c r="Q59" s="1">
        <v>5.7000000000000003E-5</v>
      </c>
    </row>
    <row r="60" spans="1:17" x14ac:dyDescent="0.25">
      <c r="A60" t="s">
        <v>5</v>
      </c>
      <c r="B60" t="s">
        <v>6</v>
      </c>
      <c r="C60" t="s">
        <v>7</v>
      </c>
      <c r="D60" t="s">
        <v>69</v>
      </c>
      <c r="E60" t="s">
        <v>27</v>
      </c>
      <c r="F60">
        <v>1.307083298</v>
      </c>
      <c r="G60">
        <v>1.2435604119999999</v>
      </c>
      <c r="H60">
        <v>1.0886184210000001</v>
      </c>
      <c r="I60">
        <v>1.591942814</v>
      </c>
      <c r="J60">
        <v>1.1177301289999999</v>
      </c>
      <c r="K60">
        <v>1.4584588970000001</v>
      </c>
      <c r="L60">
        <v>1.571881713</v>
      </c>
      <c r="M60">
        <v>1.7677142290000001</v>
      </c>
      <c r="N60">
        <v>1.5525230050000001</v>
      </c>
      <c r="O60">
        <v>1.681678792</v>
      </c>
      <c r="P60">
        <v>2.1018558700000001</v>
      </c>
      <c r="Q60">
        <v>2.2477168330000001</v>
      </c>
    </row>
    <row r="61" spans="1:17" x14ac:dyDescent="0.25">
      <c r="A61" t="s">
        <v>5</v>
      </c>
      <c r="B61" t="s">
        <v>6</v>
      </c>
      <c r="C61" t="s">
        <v>7</v>
      </c>
      <c r="D61" t="s">
        <v>70</v>
      </c>
      <c r="E61" t="s">
        <v>27</v>
      </c>
      <c r="F61">
        <v>3.7349525319999999</v>
      </c>
      <c r="G61">
        <v>3.5456175019999998</v>
      </c>
      <c r="H61">
        <v>3.1829554720000002</v>
      </c>
      <c r="I61">
        <v>4.762416741</v>
      </c>
      <c r="J61">
        <v>3.3084274659999999</v>
      </c>
      <c r="K61">
        <v>4.2601454849999998</v>
      </c>
      <c r="L61">
        <v>4.5357680609999997</v>
      </c>
      <c r="M61">
        <v>5.1315663349999996</v>
      </c>
      <c r="N61">
        <v>4.5008691970000001</v>
      </c>
      <c r="O61">
        <v>4.9142377210000001</v>
      </c>
      <c r="P61">
        <v>6.1864348270000002</v>
      </c>
      <c r="Q61">
        <v>6.6048891850000002</v>
      </c>
    </row>
    <row r="62" spans="1:17" x14ac:dyDescent="0.25">
      <c r="A62" t="s">
        <v>5</v>
      </c>
      <c r="B62" t="s">
        <v>6</v>
      </c>
      <c r="C62" t="s">
        <v>7</v>
      </c>
      <c r="D62" t="s">
        <v>71</v>
      </c>
      <c r="E62" t="s">
        <v>27</v>
      </c>
      <c r="F62">
        <v>0.68875971000000002</v>
      </c>
      <c r="G62">
        <v>0.63071502199999996</v>
      </c>
      <c r="H62">
        <v>0.58597184300000005</v>
      </c>
      <c r="I62">
        <v>0.92165553099999997</v>
      </c>
      <c r="J62">
        <v>0.63919151500000004</v>
      </c>
      <c r="K62">
        <v>0.80488508700000005</v>
      </c>
      <c r="L62">
        <v>0.82246171199999996</v>
      </c>
      <c r="M62">
        <v>0.91848588200000003</v>
      </c>
      <c r="N62">
        <v>0.83640702899999997</v>
      </c>
      <c r="O62">
        <v>0.94471733599999996</v>
      </c>
      <c r="P62">
        <v>1.2316280159999999</v>
      </c>
      <c r="Q62">
        <v>1.327680551</v>
      </c>
    </row>
    <row r="63" spans="1:17" x14ac:dyDescent="0.25">
      <c r="A63" t="s">
        <v>5</v>
      </c>
      <c r="B63" t="s">
        <v>6</v>
      </c>
      <c r="C63" t="s">
        <v>7</v>
      </c>
      <c r="D63" t="s">
        <v>72</v>
      </c>
      <c r="E63" t="s">
        <v>27</v>
      </c>
      <c r="F63">
        <v>0.44775011399999998</v>
      </c>
      <c r="G63">
        <v>0.39147195299999998</v>
      </c>
      <c r="H63">
        <v>0.37008076400000001</v>
      </c>
      <c r="I63">
        <v>0.57191449299999997</v>
      </c>
      <c r="J63">
        <v>0.41177640100000001</v>
      </c>
      <c r="K63">
        <v>0.536092079</v>
      </c>
      <c r="L63">
        <v>0.56702322199999999</v>
      </c>
      <c r="M63">
        <v>0.62566971599999999</v>
      </c>
      <c r="N63">
        <v>0.57208108599999996</v>
      </c>
      <c r="O63">
        <v>0.634151464</v>
      </c>
      <c r="P63">
        <v>0.82074535800000004</v>
      </c>
      <c r="Q63">
        <v>0.89977851900000005</v>
      </c>
    </row>
    <row r="64" spans="1:17" x14ac:dyDescent="0.25">
      <c r="A64" t="s">
        <v>5</v>
      </c>
      <c r="B64" t="s">
        <v>6</v>
      </c>
      <c r="C64" t="s">
        <v>7</v>
      </c>
      <c r="D64" t="s">
        <v>73</v>
      </c>
      <c r="E64" t="s">
        <v>27</v>
      </c>
      <c r="F64">
        <v>1.8778501999999999E-2</v>
      </c>
      <c r="G64">
        <v>1.8229355999999999E-2</v>
      </c>
      <c r="H64">
        <v>1.6544381E-2</v>
      </c>
      <c r="I64">
        <v>2.5638521000000001E-2</v>
      </c>
      <c r="J64">
        <v>1.7408392000000002E-2</v>
      </c>
      <c r="K64">
        <v>2.1616007E-2</v>
      </c>
      <c r="L64">
        <v>2.2443125000000001E-2</v>
      </c>
      <c r="M64">
        <v>2.5603351E-2</v>
      </c>
      <c r="N64">
        <v>2.2342005000000002E-2</v>
      </c>
      <c r="O64">
        <v>2.4792886E-2</v>
      </c>
      <c r="P64">
        <v>3.1579839999999998E-2</v>
      </c>
      <c r="Q64">
        <v>3.3444966E-2</v>
      </c>
    </row>
    <row r="65" spans="1:17" x14ac:dyDescent="0.25">
      <c r="A65" t="s">
        <v>5</v>
      </c>
      <c r="B65" t="s">
        <v>6</v>
      </c>
      <c r="C65" t="s">
        <v>7</v>
      </c>
      <c r="D65" t="s">
        <v>74</v>
      </c>
      <c r="E65" t="s">
        <v>27</v>
      </c>
      <c r="F65">
        <v>7.1459089999999998E-3</v>
      </c>
      <c r="G65">
        <v>2.5084640000000002E-3</v>
      </c>
      <c r="H65">
        <v>5.0442969999999997E-3</v>
      </c>
      <c r="I65">
        <v>1.0973317999999999E-2</v>
      </c>
      <c r="J65">
        <v>3.7651655999999999E-2</v>
      </c>
      <c r="K65">
        <v>0.147061098</v>
      </c>
      <c r="L65">
        <v>6.9362613000000004E-2</v>
      </c>
      <c r="M65">
        <v>4.3628394000000001E-2</v>
      </c>
      <c r="N65">
        <v>3.4469578000000001E-2</v>
      </c>
      <c r="O65">
        <v>3.2368871E-2</v>
      </c>
      <c r="P65">
        <v>0.11081150100000001</v>
      </c>
      <c r="Q65">
        <v>0.114886259</v>
      </c>
    </row>
    <row r="66" spans="1:17" x14ac:dyDescent="0.25">
      <c r="A66" t="s">
        <v>5</v>
      </c>
      <c r="B66" t="s">
        <v>6</v>
      </c>
      <c r="C66" t="s">
        <v>7</v>
      </c>
      <c r="D66" t="s">
        <v>75</v>
      </c>
      <c r="E66" t="s">
        <v>27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 t="s">
        <v>5</v>
      </c>
      <c r="B67" t="s">
        <v>6</v>
      </c>
      <c r="C67" t="s">
        <v>7</v>
      </c>
      <c r="D67" t="s">
        <v>76</v>
      </c>
      <c r="E67" t="s">
        <v>27</v>
      </c>
      <c r="F67" s="1">
        <v>2.4300000000000001E-5</v>
      </c>
      <c r="G67" s="1">
        <v>8.5299999999999996E-6</v>
      </c>
      <c r="H67" s="1">
        <v>1.7200000000000001E-5</v>
      </c>
      <c r="I67" s="1">
        <v>3.7299999999999999E-5</v>
      </c>
      <c r="J67">
        <v>1.28102E-4</v>
      </c>
      <c r="K67">
        <v>5.0034600000000004E-4</v>
      </c>
      <c r="L67">
        <v>2.35992E-4</v>
      </c>
      <c r="M67">
        <v>1.4843699999999999E-4</v>
      </c>
      <c r="N67">
        <v>1.1727600000000001E-4</v>
      </c>
      <c r="O67">
        <v>1.10129E-4</v>
      </c>
      <c r="P67">
        <v>3.7701400000000001E-4</v>
      </c>
      <c r="Q67">
        <v>3.9087699999999998E-4</v>
      </c>
    </row>
    <row r="68" spans="1:17" x14ac:dyDescent="0.25">
      <c r="A68" t="s">
        <v>5</v>
      </c>
      <c r="B68" t="s">
        <v>6</v>
      </c>
      <c r="C68" t="s">
        <v>7</v>
      </c>
      <c r="D68" t="s">
        <v>77</v>
      </c>
      <c r="E68" t="s">
        <v>27</v>
      </c>
      <c r="F68">
        <v>1.6379799999999999E-4</v>
      </c>
      <c r="G68" s="1">
        <v>5.7500000000000002E-5</v>
      </c>
      <c r="H68">
        <v>1.1562500000000001E-4</v>
      </c>
      <c r="I68">
        <v>2.5152900000000001E-4</v>
      </c>
      <c r="J68">
        <v>8.6304700000000003E-4</v>
      </c>
      <c r="K68">
        <v>3.370919E-3</v>
      </c>
      <c r="L68">
        <v>1.5899219999999999E-3</v>
      </c>
      <c r="M68">
        <v>1.000045E-3</v>
      </c>
      <c r="N68">
        <v>7.9010799999999998E-4</v>
      </c>
      <c r="O68">
        <v>7.41956E-4</v>
      </c>
      <c r="P68">
        <v>2.5400090000000002E-3</v>
      </c>
      <c r="Q68">
        <v>2.633411E-3</v>
      </c>
    </row>
    <row r="69" spans="1:17" x14ac:dyDescent="0.25">
      <c r="A69" t="s">
        <v>5</v>
      </c>
      <c r="B69" t="s">
        <v>6</v>
      </c>
      <c r="C69" t="s">
        <v>7</v>
      </c>
      <c r="D69" t="s">
        <v>78</v>
      </c>
      <c r="E69" t="s">
        <v>27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25">
      <c r="A70" t="s">
        <v>5</v>
      </c>
      <c r="B70" t="s">
        <v>6</v>
      </c>
      <c r="C70" t="s">
        <v>7</v>
      </c>
      <c r="D70" t="s">
        <v>79</v>
      </c>
      <c r="E70" t="s">
        <v>9</v>
      </c>
      <c r="F70">
        <v>14736.346299999999</v>
      </c>
      <c r="G70">
        <v>15657.787200000001</v>
      </c>
      <c r="H70">
        <v>16121.690629999999</v>
      </c>
      <c r="I70">
        <v>25131.32532</v>
      </c>
      <c r="J70">
        <v>15099.11492</v>
      </c>
      <c r="K70">
        <v>16381.038549999999</v>
      </c>
      <c r="L70">
        <v>19387.629120000001</v>
      </c>
      <c r="M70">
        <v>20881.032469999998</v>
      </c>
      <c r="N70">
        <v>20795.90164</v>
      </c>
      <c r="O70">
        <v>22203.260160000002</v>
      </c>
      <c r="P70">
        <v>23055.588390000001</v>
      </c>
      <c r="Q70">
        <v>23492.440060000001</v>
      </c>
    </row>
    <row r="71" spans="1:17" x14ac:dyDescent="0.25">
      <c r="A71" t="s">
        <v>5</v>
      </c>
      <c r="B71" t="s">
        <v>6</v>
      </c>
      <c r="C71" t="s">
        <v>7</v>
      </c>
      <c r="D71" t="s">
        <v>80</v>
      </c>
      <c r="E71" t="s">
        <v>9</v>
      </c>
      <c r="F71">
        <v>21.7602215</v>
      </c>
      <c r="G71">
        <v>21.66373098</v>
      </c>
      <c r="H71">
        <v>20.762521039999999</v>
      </c>
      <c r="I71">
        <v>23.977491260000001</v>
      </c>
      <c r="J71">
        <v>24.47728017</v>
      </c>
      <c r="K71">
        <v>27.497105770000001</v>
      </c>
      <c r="L71">
        <v>33.20500285</v>
      </c>
      <c r="M71">
        <v>37.359773789999998</v>
      </c>
      <c r="N71">
        <v>39.456784429999999</v>
      </c>
      <c r="O71">
        <v>41.638381150000001</v>
      </c>
      <c r="P71">
        <v>43.960979469999998</v>
      </c>
      <c r="Q71">
        <v>46.631846779999996</v>
      </c>
    </row>
    <row r="72" spans="1:17" x14ac:dyDescent="0.25">
      <c r="A72" t="s">
        <v>5</v>
      </c>
      <c r="B72" t="s">
        <v>6</v>
      </c>
      <c r="C72" t="s">
        <v>7</v>
      </c>
      <c r="D72" t="s">
        <v>81</v>
      </c>
      <c r="E72" t="s">
        <v>9</v>
      </c>
      <c r="F72">
        <v>1169.005392</v>
      </c>
      <c r="G72">
        <v>636.7348902</v>
      </c>
      <c r="H72">
        <v>1080.293774</v>
      </c>
      <c r="I72">
        <v>1467.626528</v>
      </c>
      <c r="J72">
        <v>1755.0896929999999</v>
      </c>
      <c r="K72">
        <v>2014.2575959999999</v>
      </c>
      <c r="L72">
        <v>2308.4975260000001</v>
      </c>
      <c r="M72">
        <v>2222.9125439999998</v>
      </c>
      <c r="N72">
        <v>2272.296484</v>
      </c>
      <c r="O72">
        <v>2293.240855</v>
      </c>
      <c r="P72">
        <v>2537.8533210000001</v>
      </c>
      <c r="Q72">
        <v>2691.342498</v>
      </c>
    </row>
    <row r="73" spans="1:17" x14ac:dyDescent="0.25">
      <c r="A73" t="s">
        <v>5</v>
      </c>
      <c r="B73" t="s">
        <v>6</v>
      </c>
      <c r="C73" t="s">
        <v>7</v>
      </c>
      <c r="D73" t="s">
        <v>82</v>
      </c>
      <c r="E73" t="s">
        <v>9</v>
      </c>
      <c r="F73">
        <v>1347.613683</v>
      </c>
      <c r="G73">
        <v>1451.568966</v>
      </c>
      <c r="H73">
        <v>1523.4500800000001</v>
      </c>
      <c r="I73">
        <v>1761.1114230000001</v>
      </c>
      <c r="J73">
        <v>2107.9044749999998</v>
      </c>
      <c r="K73">
        <v>2245.2036560000001</v>
      </c>
      <c r="L73">
        <v>2061.9662859999999</v>
      </c>
      <c r="M73">
        <v>2342.4222460000001</v>
      </c>
      <c r="N73">
        <v>2908.0478229999999</v>
      </c>
      <c r="O73">
        <v>2911.6755370000001</v>
      </c>
      <c r="P73">
        <v>2820.845914</v>
      </c>
      <c r="Q73">
        <v>3149.9285490000002</v>
      </c>
    </row>
    <row r="74" spans="1:17" x14ac:dyDescent="0.25">
      <c r="A74" t="s">
        <v>5</v>
      </c>
      <c r="B74" t="s">
        <v>6</v>
      </c>
      <c r="C74" t="s">
        <v>7</v>
      </c>
      <c r="D74" t="s">
        <v>83</v>
      </c>
      <c r="E74" t="s">
        <v>9</v>
      </c>
      <c r="F74">
        <v>2.5123072999999999E-2</v>
      </c>
      <c r="G74">
        <v>2.7988703E-2</v>
      </c>
      <c r="H74">
        <v>2.8562461000000001E-2</v>
      </c>
      <c r="I74">
        <v>4.7831354999999999E-2</v>
      </c>
      <c r="J74">
        <v>2.9533678000000001E-2</v>
      </c>
      <c r="K74">
        <v>2.9288109999999999E-2</v>
      </c>
      <c r="L74">
        <v>2.8400188999999999E-2</v>
      </c>
      <c r="M74">
        <v>2.9059255999999999E-2</v>
      </c>
      <c r="N74">
        <v>3.3154872000000002E-2</v>
      </c>
      <c r="O74">
        <v>4.0179227999999997E-2</v>
      </c>
      <c r="P74">
        <v>4.7380335000000003E-2</v>
      </c>
      <c r="Q74">
        <v>5.1780147999999998E-2</v>
      </c>
    </row>
    <row r="75" spans="1:17" x14ac:dyDescent="0.25">
      <c r="A75" t="s">
        <v>5</v>
      </c>
      <c r="B75" t="s">
        <v>6</v>
      </c>
      <c r="C75" t="s">
        <v>7</v>
      </c>
      <c r="D75" t="s">
        <v>84</v>
      </c>
      <c r="E75" t="s">
        <v>9</v>
      </c>
      <c r="F75">
        <v>0.38661027799999997</v>
      </c>
      <c r="G75">
        <v>0.43677190799999999</v>
      </c>
      <c r="H75">
        <v>0.44421929599999999</v>
      </c>
      <c r="I75">
        <v>0.47095731800000001</v>
      </c>
      <c r="J75">
        <v>0.48561354400000001</v>
      </c>
      <c r="K75">
        <v>0.51520883500000003</v>
      </c>
      <c r="L75">
        <v>0.55394691900000004</v>
      </c>
      <c r="M75">
        <v>0.59990596799999996</v>
      </c>
      <c r="N75">
        <v>0.65542738499999997</v>
      </c>
      <c r="O75">
        <v>0.72785069599999996</v>
      </c>
      <c r="P75">
        <v>0.82183215399999998</v>
      </c>
      <c r="Q75">
        <v>0.91774585200000003</v>
      </c>
    </row>
    <row r="76" spans="1:17" x14ac:dyDescent="0.25">
      <c r="A76" t="s">
        <v>5</v>
      </c>
      <c r="B76" t="s">
        <v>6</v>
      </c>
      <c r="C76" t="s">
        <v>7</v>
      </c>
      <c r="D76" t="s">
        <v>85</v>
      </c>
      <c r="E76" t="s">
        <v>9</v>
      </c>
      <c r="F76">
        <v>0.12606980100000001</v>
      </c>
      <c r="G76">
        <v>0.14839881399999999</v>
      </c>
      <c r="H76">
        <v>0.17346551700000001</v>
      </c>
      <c r="I76">
        <v>0.82841877100000005</v>
      </c>
      <c r="J76">
        <v>7.6392108E-2</v>
      </c>
      <c r="K76">
        <v>0.109610257</v>
      </c>
      <c r="L76">
        <v>0.21502260400000001</v>
      </c>
      <c r="M76">
        <v>0.355733311</v>
      </c>
      <c r="N76">
        <v>0.39173616700000002</v>
      </c>
      <c r="O76">
        <v>0.346376026</v>
      </c>
      <c r="P76">
        <v>0.35751466500000001</v>
      </c>
      <c r="Q76">
        <v>0.41627647200000001</v>
      </c>
    </row>
    <row r="77" spans="1:17" x14ac:dyDescent="0.25">
      <c r="A77" t="s">
        <v>5</v>
      </c>
      <c r="B77" t="s">
        <v>6</v>
      </c>
      <c r="C77" t="s">
        <v>7</v>
      </c>
      <c r="D77" t="s">
        <v>86</v>
      </c>
      <c r="E77" t="s">
        <v>9</v>
      </c>
      <c r="F77">
        <v>3.1261002000000003E-2</v>
      </c>
      <c r="G77">
        <v>4.0924154999999997E-2</v>
      </c>
      <c r="H77">
        <v>4.3971028000000002E-2</v>
      </c>
      <c r="I77">
        <v>8.5272323999999997E-2</v>
      </c>
      <c r="J77">
        <v>4.1765912000000002E-2</v>
      </c>
      <c r="K77">
        <v>4.6139392000000001E-2</v>
      </c>
      <c r="L77">
        <v>6.2896556000000006E-2</v>
      </c>
      <c r="M77">
        <v>8.4919365999999996E-2</v>
      </c>
      <c r="N77">
        <v>9.2930955999999995E-2</v>
      </c>
      <c r="O77">
        <v>8.7873950000000006E-2</v>
      </c>
      <c r="P77">
        <v>8.8123583000000005E-2</v>
      </c>
      <c r="Q77">
        <v>9.6105307000000001E-2</v>
      </c>
    </row>
    <row r="78" spans="1:17" x14ac:dyDescent="0.25">
      <c r="A78" t="s">
        <v>5</v>
      </c>
      <c r="B78" t="s">
        <v>6</v>
      </c>
      <c r="C78" t="s">
        <v>7</v>
      </c>
      <c r="D78" t="s">
        <v>87</v>
      </c>
      <c r="E78" t="s">
        <v>9</v>
      </c>
      <c r="F78">
        <v>1.433191643</v>
      </c>
      <c r="G78">
        <v>1.599861105</v>
      </c>
      <c r="H78">
        <v>1.266427674</v>
      </c>
      <c r="I78">
        <v>1.313363163</v>
      </c>
      <c r="J78">
        <v>1.3230549279999999</v>
      </c>
      <c r="K78">
        <v>1.287444466</v>
      </c>
      <c r="L78">
        <v>1.2530696349999999</v>
      </c>
      <c r="M78">
        <v>1.2631516490000001</v>
      </c>
      <c r="N78">
        <v>1.2962824239999999</v>
      </c>
      <c r="O78">
        <v>1.3166650740000001</v>
      </c>
      <c r="P78">
        <v>1.335730147</v>
      </c>
      <c r="Q78">
        <v>1.368324616</v>
      </c>
    </row>
    <row r="79" spans="1:17" x14ac:dyDescent="0.25">
      <c r="A79" t="s">
        <v>5</v>
      </c>
      <c r="B79" t="s">
        <v>6</v>
      </c>
      <c r="C79" t="s">
        <v>7</v>
      </c>
      <c r="D79" t="s">
        <v>88</v>
      </c>
      <c r="E79" t="s">
        <v>19</v>
      </c>
      <c r="F79">
        <v>72377564.400000006</v>
      </c>
      <c r="G79">
        <v>95474221.450000003</v>
      </c>
      <c r="H79">
        <v>89970870.079999998</v>
      </c>
      <c r="I79">
        <v>106773153.40000001</v>
      </c>
      <c r="J79">
        <v>118610347.40000001</v>
      </c>
      <c r="K79">
        <v>135430612.90000001</v>
      </c>
      <c r="L79">
        <v>153528450.30000001</v>
      </c>
      <c r="M79">
        <v>172383438.5</v>
      </c>
      <c r="N79">
        <v>191294505.90000001</v>
      </c>
      <c r="O79">
        <v>209451505.40000001</v>
      </c>
      <c r="P79">
        <v>226011890.30000001</v>
      </c>
      <c r="Q79">
        <v>238732676.19999999</v>
      </c>
    </row>
    <row r="80" spans="1:17" x14ac:dyDescent="0.25">
      <c r="A80" t="s">
        <v>5</v>
      </c>
      <c r="B80" t="s">
        <v>6</v>
      </c>
      <c r="C80" t="s">
        <v>7</v>
      </c>
      <c r="D80" t="s">
        <v>89</v>
      </c>
      <c r="E80" t="s">
        <v>19</v>
      </c>
      <c r="F80">
        <v>11759022.98</v>
      </c>
      <c r="G80">
        <v>13912219.970000001</v>
      </c>
      <c r="H80">
        <v>15348135.57</v>
      </c>
      <c r="I80">
        <v>17748312.579999998</v>
      </c>
      <c r="J80">
        <v>20113844.27</v>
      </c>
      <c r="K80">
        <v>22856462.309999999</v>
      </c>
      <c r="L80">
        <v>25834831.91</v>
      </c>
      <c r="M80">
        <v>29006390.829999998</v>
      </c>
      <c r="N80">
        <v>32296081.59</v>
      </c>
      <c r="O80">
        <v>35611138.259999998</v>
      </c>
      <c r="P80">
        <v>38846075.950000003</v>
      </c>
      <c r="Q80">
        <v>41549745.590000004</v>
      </c>
    </row>
    <row r="81" spans="1:17" x14ac:dyDescent="0.25">
      <c r="A81" t="s">
        <v>5</v>
      </c>
      <c r="B81" t="s">
        <v>6</v>
      </c>
      <c r="C81" t="s">
        <v>7</v>
      </c>
      <c r="D81" t="s">
        <v>90</v>
      </c>
      <c r="E81" t="s">
        <v>19</v>
      </c>
      <c r="F81">
        <v>7384820.7390000001</v>
      </c>
      <c r="G81">
        <v>8564186.6009999998</v>
      </c>
      <c r="H81">
        <v>9762253.807</v>
      </c>
      <c r="I81">
        <v>11259947.83</v>
      </c>
      <c r="J81">
        <v>12875387.300000001</v>
      </c>
      <c r="K81">
        <v>14683596.869999999</v>
      </c>
      <c r="L81">
        <v>16660273.880000001</v>
      </c>
      <c r="M81">
        <v>18780241.640000001</v>
      </c>
      <c r="N81">
        <v>20996725.68</v>
      </c>
      <c r="O81">
        <v>23250447.84</v>
      </c>
      <c r="P81">
        <v>25472644.870000001</v>
      </c>
      <c r="Q81">
        <v>27350413.300000001</v>
      </c>
    </row>
    <row r="82" spans="1:17" x14ac:dyDescent="0.25">
      <c r="A82" t="s">
        <v>5</v>
      </c>
      <c r="B82" t="s">
        <v>6</v>
      </c>
      <c r="C82" t="s">
        <v>7</v>
      </c>
      <c r="D82" t="s">
        <v>91</v>
      </c>
      <c r="E82" t="s">
        <v>19</v>
      </c>
      <c r="F82">
        <v>28628603.98</v>
      </c>
      <c r="G82">
        <v>41517766.840000004</v>
      </c>
      <c r="H82">
        <v>36541283.409999996</v>
      </c>
      <c r="I82">
        <v>47196766.240000002</v>
      </c>
      <c r="J82">
        <v>44815708.369999997</v>
      </c>
      <c r="K82">
        <v>49042824.770000003</v>
      </c>
      <c r="L82">
        <v>53260140.25</v>
      </c>
      <c r="M82">
        <v>57241314.829999998</v>
      </c>
      <c r="N82">
        <v>60990321.770000003</v>
      </c>
      <c r="O82">
        <v>64470117.969999999</v>
      </c>
      <c r="P82">
        <v>67702577.519999996</v>
      </c>
      <c r="Q82">
        <v>70399855.329999998</v>
      </c>
    </row>
    <row r="83" spans="1:17" x14ac:dyDescent="0.25">
      <c r="A83" t="s">
        <v>5</v>
      </c>
      <c r="B83" t="s">
        <v>6</v>
      </c>
      <c r="C83" t="s">
        <v>7</v>
      </c>
      <c r="D83" t="s">
        <v>92</v>
      </c>
      <c r="E83" t="s">
        <v>19</v>
      </c>
      <c r="F83">
        <v>9996025.6579999998</v>
      </c>
      <c r="G83">
        <v>13611710.380000001</v>
      </c>
      <c r="H83">
        <v>12438414.34</v>
      </c>
      <c r="I83">
        <v>15772360.32</v>
      </c>
      <c r="J83">
        <v>15055313.27</v>
      </c>
      <c r="K83">
        <v>16431918.050000001</v>
      </c>
      <c r="L83">
        <v>17839269.489999998</v>
      </c>
      <c r="M83">
        <v>19196538.699999999</v>
      </c>
      <c r="N83">
        <v>20505210.09</v>
      </c>
      <c r="O83">
        <v>21746602.93</v>
      </c>
      <c r="P83">
        <v>22922355.920000002</v>
      </c>
      <c r="Q83">
        <v>23921235.25</v>
      </c>
    </row>
    <row r="84" spans="1:17" x14ac:dyDescent="0.25">
      <c r="A84" t="s">
        <v>5</v>
      </c>
      <c r="B84" t="s">
        <v>6</v>
      </c>
      <c r="C84" t="s">
        <v>7</v>
      </c>
      <c r="D84" t="s">
        <v>93</v>
      </c>
      <c r="E84" t="s">
        <v>19</v>
      </c>
      <c r="F84">
        <v>19691338.370000001</v>
      </c>
      <c r="G84">
        <v>23174678.219999999</v>
      </c>
      <c r="H84">
        <v>24312958.640000001</v>
      </c>
      <c r="I84">
        <v>27294568.93</v>
      </c>
      <c r="J84">
        <v>28725715.460000001</v>
      </c>
      <c r="K84">
        <v>30830700.43</v>
      </c>
      <c r="L84">
        <v>32872501.199999999</v>
      </c>
      <c r="M84">
        <v>34772345.229999997</v>
      </c>
      <c r="N84">
        <v>36530857.390000001</v>
      </c>
      <c r="O84">
        <v>38145275.490000002</v>
      </c>
      <c r="P84">
        <v>39637937.130000003</v>
      </c>
      <c r="Q84">
        <v>40878516.119999997</v>
      </c>
    </row>
    <row r="85" spans="1:17" x14ac:dyDescent="0.25">
      <c r="A85" t="s">
        <v>5</v>
      </c>
      <c r="B85" t="s">
        <v>6</v>
      </c>
      <c r="C85" t="s">
        <v>7</v>
      </c>
      <c r="D85" t="s">
        <v>94</v>
      </c>
      <c r="E85" t="s">
        <v>19</v>
      </c>
      <c r="F85">
        <v>52641391.700000003</v>
      </c>
      <c r="G85">
        <v>57202315.420000002</v>
      </c>
      <c r="H85">
        <v>61262559.380000003</v>
      </c>
      <c r="I85">
        <v>65478286.920000002</v>
      </c>
      <c r="J85">
        <v>69474947.079999998</v>
      </c>
      <c r="K85">
        <v>73444002.549999997</v>
      </c>
      <c r="L85">
        <v>77321101.569999993</v>
      </c>
      <c r="M85">
        <v>80993156.079999998</v>
      </c>
      <c r="N85">
        <v>84453546.25</v>
      </c>
      <c r="O85">
        <v>87696056.980000004</v>
      </c>
      <c r="P85">
        <v>90760594.870000005</v>
      </c>
      <c r="Q85">
        <v>93358073.510000005</v>
      </c>
    </row>
    <row r="86" spans="1:17" x14ac:dyDescent="0.25">
      <c r="A86" t="s">
        <v>5</v>
      </c>
      <c r="B86" t="s">
        <v>6</v>
      </c>
      <c r="C86" t="s">
        <v>7</v>
      </c>
      <c r="D86" t="s">
        <v>95</v>
      </c>
      <c r="E86" t="s">
        <v>27</v>
      </c>
      <c r="F86">
        <v>13.12951215</v>
      </c>
      <c r="G86">
        <v>13.95059505</v>
      </c>
      <c r="H86">
        <v>14.36590648</v>
      </c>
      <c r="I86">
        <v>22.420169520000002</v>
      </c>
      <c r="J86">
        <v>13.469672449999999</v>
      </c>
      <c r="K86">
        <v>14.554872619999999</v>
      </c>
      <c r="L86">
        <v>17.092652959999999</v>
      </c>
      <c r="M86">
        <v>18.384699919999999</v>
      </c>
      <c r="N86">
        <v>18.42131406</v>
      </c>
      <c r="O86">
        <v>19.72514791</v>
      </c>
      <c r="P86">
        <v>20.481963279999999</v>
      </c>
      <c r="Q86">
        <v>20.82798906</v>
      </c>
    </row>
    <row r="87" spans="1:17" x14ac:dyDescent="0.25">
      <c r="A87" t="s">
        <v>5</v>
      </c>
      <c r="B87" t="s">
        <v>6</v>
      </c>
      <c r="C87" t="s">
        <v>7</v>
      </c>
      <c r="D87" t="s">
        <v>96</v>
      </c>
      <c r="E87" t="s">
        <v>27</v>
      </c>
      <c r="F87">
        <v>20.040414670000001</v>
      </c>
      <c r="G87">
        <v>20.971189630000001</v>
      </c>
      <c r="H87">
        <v>22.10193091</v>
      </c>
      <c r="I87">
        <v>31.574982349999999</v>
      </c>
      <c r="J87">
        <v>24.07420149</v>
      </c>
      <c r="K87">
        <v>25.039705219999998</v>
      </c>
      <c r="L87">
        <v>27.245305720000001</v>
      </c>
      <c r="M87">
        <v>31.32601609</v>
      </c>
      <c r="N87">
        <v>32.028757929999998</v>
      </c>
      <c r="O87">
        <v>34.100523330000001</v>
      </c>
      <c r="P87">
        <v>34.969336239999997</v>
      </c>
      <c r="Q87">
        <v>36.117316270000003</v>
      </c>
    </row>
    <row r="88" spans="1:17" x14ac:dyDescent="0.25">
      <c r="A88" t="s">
        <v>5</v>
      </c>
      <c r="B88" t="s">
        <v>6</v>
      </c>
      <c r="C88" t="s">
        <v>7</v>
      </c>
      <c r="D88" t="s">
        <v>97</v>
      </c>
      <c r="E88" t="s">
        <v>27</v>
      </c>
      <c r="F88">
        <v>0.64814353099999999</v>
      </c>
      <c r="G88">
        <v>0.73218120600000003</v>
      </c>
      <c r="H88">
        <v>0.744699679</v>
      </c>
      <c r="I88">
        <v>0.79349597500000002</v>
      </c>
      <c r="J88">
        <v>0.814203071</v>
      </c>
      <c r="K88">
        <v>0.86415358900000006</v>
      </c>
      <c r="L88">
        <v>0.92967988000000001</v>
      </c>
      <c r="M88">
        <v>1.0077212719999999</v>
      </c>
      <c r="N88">
        <v>1.102219708</v>
      </c>
      <c r="O88">
        <v>1.2253125010000001</v>
      </c>
      <c r="P88">
        <v>1.3845413200000001</v>
      </c>
      <c r="Q88">
        <v>1.546714014</v>
      </c>
    </row>
    <row r="89" spans="1:17" x14ac:dyDescent="0.25">
      <c r="A89" t="s">
        <v>5</v>
      </c>
      <c r="B89" t="s">
        <v>6</v>
      </c>
      <c r="C89" t="s">
        <v>7</v>
      </c>
      <c r="D89" t="s">
        <v>98</v>
      </c>
      <c r="E89" t="s">
        <v>27</v>
      </c>
      <c r="F89">
        <v>9.5676099999999998E-4</v>
      </c>
      <c r="G89">
        <v>1.161813E-3</v>
      </c>
      <c r="H89">
        <v>1.3247140000000001E-3</v>
      </c>
      <c r="I89">
        <v>5.2506130000000003E-3</v>
      </c>
      <c r="J89">
        <v>7.7662100000000002E-4</v>
      </c>
      <c r="K89">
        <v>9.9539200000000011E-4</v>
      </c>
      <c r="L89">
        <v>1.7144580000000001E-3</v>
      </c>
      <c r="M89">
        <v>2.6713280000000002E-3</v>
      </c>
      <c r="N89">
        <v>2.9366589999999999E-3</v>
      </c>
      <c r="O89">
        <v>2.6458150000000001E-3</v>
      </c>
      <c r="P89">
        <v>2.7086760000000001E-3</v>
      </c>
      <c r="Q89">
        <v>3.09779E-3</v>
      </c>
    </row>
    <row r="90" spans="1:17" x14ac:dyDescent="0.25">
      <c r="A90" t="s">
        <v>5</v>
      </c>
      <c r="B90" t="s">
        <v>6</v>
      </c>
      <c r="C90" t="s">
        <v>7</v>
      </c>
      <c r="D90" t="s">
        <v>99</v>
      </c>
      <c r="E90" t="s">
        <v>27</v>
      </c>
      <c r="F90">
        <v>1.0429818</v>
      </c>
      <c r="G90">
        <v>1.343639762</v>
      </c>
      <c r="H90">
        <v>1.0387066220000001</v>
      </c>
      <c r="I90">
        <v>1.125906106</v>
      </c>
      <c r="J90">
        <v>1.144935898</v>
      </c>
      <c r="K90">
        <v>1.0917883770000001</v>
      </c>
      <c r="L90">
        <v>1.063396816</v>
      </c>
      <c r="M90">
        <v>1.144983353</v>
      </c>
      <c r="N90">
        <v>1.277930419</v>
      </c>
      <c r="O90">
        <v>1.3423169939999999</v>
      </c>
      <c r="P90">
        <v>1.326960192</v>
      </c>
      <c r="Q90">
        <v>1.3067409320000001</v>
      </c>
    </row>
    <row r="91" spans="1:17" x14ac:dyDescent="0.25">
      <c r="A91" t="s">
        <v>5</v>
      </c>
      <c r="B91" t="s">
        <v>6</v>
      </c>
      <c r="C91" t="s">
        <v>7</v>
      </c>
      <c r="D91" t="s">
        <v>100</v>
      </c>
      <c r="E91" t="s">
        <v>27</v>
      </c>
      <c r="F91">
        <v>2.0093360929999999</v>
      </c>
      <c r="G91">
        <v>2.1346084649999999</v>
      </c>
      <c r="H91">
        <v>2.2032775519999999</v>
      </c>
      <c r="I91">
        <v>3.509619528</v>
      </c>
      <c r="J91">
        <v>2.1873870719999999</v>
      </c>
      <c r="K91">
        <v>2.6307145030000001</v>
      </c>
      <c r="L91">
        <v>3.5071053230000002</v>
      </c>
      <c r="M91">
        <v>3.8027616659999999</v>
      </c>
      <c r="N91">
        <v>3.4905365879999999</v>
      </c>
      <c r="O91">
        <v>3.626101909</v>
      </c>
      <c r="P91">
        <v>3.8092237500000001</v>
      </c>
      <c r="Q91">
        <v>4.0199443119999998</v>
      </c>
    </row>
    <row r="92" spans="1:17" x14ac:dyDescent="0.25">
      <c r="A92" t="s">
        <v>5</v>
      </c>
      <c r="B92" t="s">
        <v>6</v>
      </c>
      <c r="C92" t="s">
        <v>7</v>
      </c>
      <c r="D92" t="s">
        <v>101</v>
      </c>
      <c r="E92" t="s">
        <v>27</v>
      </c>
      <c r="F92">
        <v>2.3756621039999999</v>
      </c>
      <c r="G92">
        <v>2.5072830370000001</v>
      </c>
      <c r="H92">
        <v>2.603367939</v>
      </c>
      <c r="I92">
        <v>3.9800261780000001</v>
      </c>
      <c r="J92">
        <v>2.7291170280000001</v>
      </c>
      <c r="K92">
        <v>3.1891915740000001</v>
      </c>
      <c r="L92">
        <v>4.0635092899999998</v>
      </c>
      <c r="M92">
        <v>4.4741731519999997</v>
      </c>
      <c r="N92">
        <v>4.2286074280000001</v>
      </c>
      <c r="O92">
        <v>4.3963909489999997</v>
      </c>
      <c r="P92">
        <v>4.5881491170000004</v>
      </c>
      <c r="Q92">
        <v>4.8565319589999998</v>
      </c>
    </row>
    <row r="93" spans="1:17" x14ac:dyDescent="0.25">
      <c r="A93" t="s">
        <v>5</v>
      </c>
      <c r="B93" t="s">
        <v>6</v>
      </c>
      <c r="C93" t="s">
        <v>7</v>
      </c>
      <c r="D93" t="s">
        <v>102</v>
      </c>
      <c r="E93" t="s">
        <v>27</v>
      </c>
      <c r="F93">
        <v>3.8897374999999998E-2</v>
      </c>
      <c r="G93">
        <v>4.3914186000000001E-2</v>
      </c>
      <c r="H93">
        <v>4.4678784999999999E-2</v>
      </c>
      <c r="I93">
        <v>4.9306504000000001E-2</v>
      </c>
      <c r="J93">
        <v>4.8862941E-2</v>
      </c>
      <c r="K93">
        <v>5.1949412E-2</v>
      </c>
      <c r="L93">
        <v>5.6041981999999997E-2</v>
      </c>
      <c r="M93">
        <v>6.1049905000000002E-2</v>
      </c>
      <c r="N93">
        <v>6.7241720000000005E-2</v>
      </c>
      <c r="O93">
        <v>7.5270581000000003E-2</v>
      </c>
      <c r="P93">
        <v>8.5447732999999998E-2</v>
      </c>
      <c r="Q93">
        <v>9.5650871999999998E-2</v>
      </c>
    </row>
    <row r="94" spans="1:17" x14ac:dyDescent="0.25">
      <c r="A94" t="s">
        <v>5</v>
      </c>
      <c r="B94" t="s">
        <v>6</v>
      </c>
      <c r="C94" t="s">
        <v>7</v>
      </c>
      <c r="D94" t="s">
        <v>103</v>
      </c>
      <c r="E94" t="s">
        <v>27</v>
      </c>
      <c r="F94">
        <v>7.2288650000000001E-3</v>
      </c>
      <c r="G94">
        <v>8.7781400000000002E-3</v>
      </c>
      <c r="H94">
        <v>1.0008947000000001E-2</v>
      </c>
      <c r="I94">
        <v>3.9671295000000002E-2</v>
      </c>
      <c r="J94">
        <v>5.8678039999999999E-3</v>
      </c>
      <c r="K94">
        <v>7.5207429999999999E-3</v>
      </c>
      <c r="L94">
        <v>1.2953683000000001E-2</v>
      </c>
      <c r="M94">
        <v>2.0183369E-2</v>
      </c>
      <c r="N94">
        <v>2.2188088000000002E-2</v>
      </c>
      <c r="O94">
        <v>1.9990601E-2</v>
      </c>
      <c r="P94">
        <v>2.0465553000000001E-2</v>
      </c>
      <c r="Q94">
        <v>2.3405525999999999E-2</v>
      </c>
    </row>
    <row r="95" spans="1:17" x14ac:dyDescent="0.25">
      <c r="A95" t="s">
        <v>5</v>
      </c>
      <c r="B95" t="s">
        <v>6</v>
      </c>
      <c r="C95" t="s">
        <v>7</v>
      </c>
      <c r="D95" t="s">
        <v>104</v>
      </c>
      <c r="E95" t="s">
        <v>27</v>
      </c>
      <c r="F95">
        <v>1.1461338E-2</v>
      </c>
      <c r="G95">
        <v>1.4765271999999999E-2</v>
      </c>
      <c r="H95">
        <v>1.1414357999999999E-2</v>
      </c>
      <c r="I95">
        <v>1.2372595E-2</v>
      </c>
      <c r="J95">
        <v>1.2581713E-2</v>
      </c>
      <c r="K95">
        <v>1.1997674E-2</v>
      </c>
      <c r="L95">
        <v>1.1685678999999999E-2</v>
      </c>
      <c r="M95">
        <v>1.2582235000000001E-2</v>
      </c>
      <c r="N95">
        <v>1.4043191E-2</v>
      </c>
      <c r="O95">
        <v>1.4750736E-2</v>
      </c>
      <c r="P95">
        <v>1.458198E-2</v>
      </c>
      <c r="Q95">
        <v>1.4359790000000001E-2</v>
      </c>
    </row>
    <row r="96" spans="1:17" x14ac:dyDescent="0.25">
      <c r="A96" t="s">
        <v>5</v>
      </c>
      <c r="B96" t="s">
        <v>6</v>
      </c>
      <c r="C96" t="s">
        <v>7</v>
      </c>
      <c r="D96" t="s">
        <v>105</v>
      </c>
      <c r="E96" t="s">
        <v>27</v>
      </c>
      <c r="F96">
        <v>0.38559511099999999</v>
      </c>
      <c r="G96">
        <v>0.40932612699999998</v>
      </c>
      <c r="H96">
        <v>0.42633502699999998</v>
      </c>
      <c r="I96">
        <v>0.73248460900000001</v>
      </c>
      <c r="J96">
        <v>0.51570054600000004</v>
      </c>
      <c r="K96">
        <v>0.79953058399999999</v>
      </c>
      <c r="L96">
        <v>1.2941527429999999</v>
      </c>
      <c r="M96">
        <v>1.4109101070000001</v>
      </c>
      <c r="N96">
        <v>1.137598551</v>
      </c>
      <c r="O96">
        <v>1.121903753</v>
      </c>
      <c r="P96">
        <v>1.2046445939999999</v>
      </c>
      <c r="Q96">
        <v>1.3548309940000001</v>
      </c>
    </row>
    <row r="97" spans="1:17" x14ac:dyDescent="0.25">
      <c r="A97" t="s">
        <v>5</v>
      </c>
      <c r="B97" t="s">
        <v>6</v>
      </c>
      <c r="C97" t="s">
        <v>7</v>
      </c>
      <c r="D97" t="s">
        <v>106</v>
      </c>
      <c r="E97" t="s">
        <v>27</v>
      </c>
      <c r="F97">
        <v>0.43425272599999998</v>
      </c>
      <c r="G97">
        <v>0.45975634999999998</v>
      </c>
      <c r="H97">
        <v>0.48098780299999999</v>
      </c>
      <c r="I97">
        <v>0.79666810200000004</v>
      </c>
      <c r="J97">
        <v>0.59089941700000004</v>
      </c>
      <c r="K97">
        <v>0.87631290799999995</v>
      </c>
      <c r="L97">
        <v>1.3698529530000001</v>
      </c>
      <c r="M97">
        <v>1.5047620310000001</v>
      </c>
      <c r="N97">
        <v>1.241800317</v>
      </c>
      <c r="O97">
        <v>1.2324267010000001</v>
      </c>
      <c r="P97">
        <v>1.3176071819999999</v>
      </c>
      <c r="Q97">
        <v>1.4771461939999999</v>
      </c>
    </row>
    <row r="98" spans="1:17" x14ac:dyDescent="0.25">
      <c r="A98" t="s">
        <v>5</v>
      </c>
      <c r="B98" t="s">
        <v>6</v>
      </c>
      <c r="C98" t="s">
        <v>7</v>
      </c>
      <c r="D98" t="s">
        <v>107</v>
      </c>
      <c r="E98" t="s">
        <v>27</v>
      </c>
      <c r="F98">
        <v>1.032126E-3</v>
      </c>
      <c r="G98">
        <v>1.1659660000000001E-3</v>
      </c>
      <c r="H98">
        <v>1.186306E-3</v>
      </c>
      <c r="I98">
        <v>1.2923780000000001E-3</v>
      </c>
      <c r="J98">
        <v>1.304312E-3</v>
      </c>
      <c r="K98">
        <v>1.3971700000000001E-3</v>
      </c>
      <c r="L98">
        <v>1.5235909999999999E-3</v>
      </c>
      <c r="M98">
        <v>1.6750510000000001E-3</v>
      </c>
      <c r="N98">
        <v>1.852961E-3</v>
      </c>
      <c r="O98">
        <v>2.076193E-3</v>
      </c>
      <c r="P98">
        <v>2.3605200000000001E-3</v>
      </c>
      <c r="Q98">
        <v>2.6522830000000001E-3</v>
      </c>
    </row>
    <row r="99" spans="1:17" x14ac:dyDescent="0.25">
      <c r="A99" t="s">
        <v>5</v>
      </c>
      <c r="B99" t="s">
        <v>6</v>
      </c>
      <c r="C99" t="s">
        <v>7</v>
      </c>
      <c r="D99" t="s">
        <v>108</v>
      </c>
      <c r="E99" t="s">
        <v>27</v>
      </c>
      <c r="F99" s="1">
        <v>3.5099999999999999E-5</v>
      </c>
      <c r="G99" s="1">
        <v>4.1300000000000001E-5</v>
      </c>
      <c r="H99" s="1">
        <v>4.8300000000000002E-5</v>
      </c>
      <c r="I99">
        <v>2.3076999999999999E-4</v>
      </c>
      <c r="J99" s="1">
        <v>2.1299999999999999E-5</v>
      </c>
      <c r="K99" s="1">
        <v>3.0499999999999999E-5</v>
      </c>
      <c r="L99" s="1">
        <v>5.9899999999999999E-5</v>
      </c>
      <c r="M99" s="1">
        <v>9.9099999999999996E-5</v>
      </c>
      <c r="N99">
        <v>1.09125E-4</v>
      </c>
      <c r="O99" s="1">
        <v>9.6500000000000001E-5</v>
      </c>
      <c r="P99" s="1">
        <v>9.9599999999999995E-5</v>
      </c>
      <c r="Q99">
        <v>1.15961E-4</v>
      </c>
    </row>
    <row r="100" spans="1:17" x14ac:dyDescent="0.25">
      <c r="A100" t="s">
        <v>5</v>
      </c>
      <c r="B100" t="s">
        <v>6</v>
      </c>
      <c r="C100" t="s">
        <v>7</v>
      </c>
      <c r="D100" t="s">
        <v>109</v>
      </c>
      <c r="E100" t="s">
        <v>27</v>
      </c>
      <c r="F100">
        <v>1.1461338E-2</v>
      </c>
      <c r="G100">
        <v>1.4765271999999999E-2</v>
      </c>
      <c r="H100">
        <v>1.1414357999999999E-2</v>
      </c>
      <c r="I100">
        <v>1.2372595E-2</v>
      </c>
      <c r="J100">
        <v>1.2581713E-2</v>
      </c>
      <c r="K100">
        <v>1.1997674E-2</v>
      </c>
      <c r="L100">
        <v>1.1685678999999999E-2</v>
      </c>
      <c r="M100">
        <v>1.2582235000000001E-2</v>
      </c>
      <c r="N100">
        <v>1.4043191E-2</v>
      </c>
      <c r="O100">
        <v>1.4750736E-2</v>
      </c>
      <c r="P100">
        <v>1.458198E-2</v>
      </c>
      <c r="Q100">
        <v>1.4359790000000001E-2</v>
      </c>
    </row>
    <row r="101" spans="1:17" x14ac:dyDescent="0.25">
      <c r="A101" t="s">
        <v>5</v>
      </c>
      <c r="B101" t="s">
        <v>6</v>
      </c>
      <c r="C101" t="s">
        <v>7</v>
      </c>
      <c r="D101" t="s">
        <v>110</v>
      </c>
      <c r="E101" t="s">
        <v>27</v>
      </c>
      <c r="F101">
        <v>0.552002824</v>
      </c>
      <c r="G101">
        <v>0.58650118200000001</v>
      </c>
      <c r="H101">
        <v>0.60424168499999997</v>
      </c>
      <c r="I101">
        <v>0.94691772299999999</v>
      </c>
      <c r="J101">
        <v>0.57274622399999997</v>
      </c>
      <c r="K101">
        <v>0.63154490799999996</v>
      </c>
      <c r="L101">
        <v>0.76108480000000001</v>
      </c>
      <c r="M101">
        <v>0.82066927999999995</v>
      </c>
      <c r="N101">
        <v>0.80773610399999995</v>
      </c>
      <c r="O101">
        <v>0.85928798100000003</v>
      </c>
      <c r="P101">
        <v>0.89404052700000003</v>
      </c>
      <c r="Q101">
        <v>0.91594498400000002</v>
      </c>
    </row>
    <row r="102" spans="1:17" x14ac:dyDescent="0.25">
      <c r="A102" t="s">
        <v>5</v>
      </c>
      <c r="B102" t="s">
        <v>6</v>
      </c>
      <c r="C102" t="s">
        <v>7</v>
      </c>
      <c r="D102" t="s">
        <v>111</v>
      </c>
      <c r="E102" t="s">
        <v>27</v>
      </c>
      <c r="F102">
        <v>0.60307667899999995</v>
      </c>
      <c r="G102">
        <v>0.638595951</v>
      </c>
      <c r="H102">
        <v>0.66043289999999999</v>
      </c>
      <c r="I102">
        <v>1.013073487</v>
      </c>
      <c r="J102">
        <v>0.64868000000000003</v>
      </c>
      <c r="K102">
        <v>0.70819190300000001</v>
      </c>
      <c r="L102">
        <v>0.83675304699999997</v>
      </c>
      <c r="M102">
        <v>0.91458849600000003</v>
      </c>
      <c r="N102">
        <v>0.90827025100000003</v>
      </c>
      <c r="O102">
        <v>0.96485199700000002</v>
      </c>
      <c r="P102">
        <v>1.000544989</v>
      </c>
      <c r="Q102">
        <v>1.0290790169999999</v>
      </c>
    </row>
    <row r="103" spans="1:17" x14ac:dyDescent="0.25">
      <c r="A103" t="s">
        <v>5</v>
      </c>
      <c r="B103" t="s">
        <v>6</v>
      </c>
      <c r="C103" t="s">
        <v>7</v>
      </c>
      <c r="D103" t="s">
        <v>112</v>
      </c>
      <c r="E103" t="s">
        <v>27</v>
      </c>
      <c r="F103" s="1">
        <v>2.34E-5</v>
      </c>
      <c r="G103" s="1">
        <v>2.62E-5</v>
      </c>
      <c r="H103" s="1">
        <v>2.73E-5</v>
      </c>
      <c r="I103" s="1">
        <v>8.5500000000000005E-5</v>
      </c>
      <c r="J103" s="1">
        <v>3.9700000000000003E-5</v>
      </c>
      <c r="K103" s="1">
        <v>6.0099999999999997E-5</v>
      </c>
      <c r="L103" s="1">
        <v>9.3399999999999993E-5</v>
      </c>
      <c r="M103">
        <v>1.3583200000000001E-4</v>
      </c>
      <c r="N103">
        <v>1.8133099999999999E-4</v>
      </c>
      <c r="O103">
        <v>2.28929E-4</v>
      </c>
      <c r="P103">
        <v>2.8230399999999999E-4</v>
      </c>
      <c r="Q103">
        <v>3.37743E-4</v>
      </c>
    </row>
    <row r="104" spans="1:17" x14ac:dyDescent="0.25">
      <c r="A104" t="s">
        <v>5</v>
      </c>
      <c r="B104" t="s">
        <v>6</v>
      </c>
      <c r="C104" t="s">
        <v>7</v>
      </c>
      <c r="D104" t="s">
        <v>113</v>
      </c>
      <c r="E104" t="s">
        <v>27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5">
      <c r="A105" t="s">
        <v>5</v>
      </c>
      <c r="B105" t="s">
        <v>6</v>
      </c>
      <c r="C105" t="s">
        <v>7</v>
      </c>
      <c r="D105" t="s">
        <v>114</v>
      </c>
      <c r="E105" t="s">
        <v>27</v>
      </c>
      <c r="F105">
        <v>6.8767999999999998E-4</v>
      </c>
      <c r="G105">
        <v>8.8591600000000005E-4</v>
      </c>
      <c r="H105">
        <v>6.8486199999999995E-4</v>
      </c>
      <c r="I105">
        <v>7.4235600000000001E-4</v>
      </c>
      <c r="J105">
        <v>7.5490300000000002E-4</v>
      </c>
      <c r="K105">
        <v>7.1986000000000001E-4</v>
      </c>
      <c r="L105">
        <v>7.0114099999999996E-4</v>
      </c>
      <c r="M105">
        <v>7.5493399999999997E-4</v>
      </c>
      <c r="N105">
        <v>8.4259099999999996E-4</v>
      </c>
      <c r="O105">
        <v>8.8504399999999998E-4</v>
      </c>
      <c r="P105">
        <v>8.7491900000000004E-4</v>
      </c>
      <c r="Q105">
        <v>8.6158700000000003E-4</v>
      </c>
    </row>
    <row r="106" spans="1:17" x14ac:dyDescent="0.25">
      <c r="A106" t="s">
        <v>5</v>
      </c>
      <c r="B106" t="s">
        <v>6</v>
      </c>
      <c r="C106" t="s">
        <v>7</v>
      </c>
      <c r="D106" t="s">
        <v>115</v>
      </c>
      <c r="E106" t="s">
        <v>27</v>
      </c>
      <c r="F106">
        <v>2.5865717990000001</v>
      </c>
      <c r="G106">
        <v>2.747990937</v>
      </c>
      <c r="H106">
        <v>2.8306585449999999</v>
      </c>
      <c r="I106">
        <v>4.4310327459999996</v>
      </c>
      <c r="J106">
        <v>2.6789506689999998</v>
      </c>
      <c r="K106">
        <v>2.9424766899999999</v>
      </c>
      <c r="L106">
        <v>3.5242779689999999</v>
      </c>
      <c r="M106">
        <v>3.7962171709999999</v>
      </c>
      <c r="N106">
        <v>3.7494663479999999</v>
      </c>
      <c r="O106">
        <v>4.0015796779999997</v>
      </c>
      <c r="P106">
        <v>4.1693336070000004</v>
      </c>
      <c r="Q106">
        <v>4.2718118540000001</v>
      </c>
    </row>
    <row r="107" spans="1:17" x14ac:dyDescent="0.25">
      <c r="A107" t="s">
        <v>5</v>
      </c>
      <c r="B107" t="s">
        <v>6</v>
      </c>
      <c r="C107" t="s">
        <v>7</v>
      </c>
      <c r="D107" t="s">
        <v>116</v>
      </c>
      <c r="E107" t="s">
        <v>27</v>
      </c>
      <c r="F107">
        <v>3.6198159479999998</v>
      </c>
      <c r="G107">
        <v>3.7987909169999998</v>
      </c>
      <c r="H107">
        <v>3.9865703770000001</v>
      </c>
      <c r="I107">
        <v>5.7980908800000002</v>
      </c>
      <c r="J107">
        <v>4.263489592</v>
      </c>
      <c r="K107">
        <v>4.5143802930000003</v>
      </c>
      <c r="L107">
        <v>5.0478377339999998</v>
      </c>
      <c r="M107">
        <v>5.7304710249999999</v>
      </c>
      <c r="N107">
        <v>5.7942112349999997</v>
      </c>
      <c r="O107">
        <v>6.1606647880000001</v>
      </c>
      <c r="P107">
        <v>6.3466333859999997</v>
      </c>
      <c r="Q107">
        <v>6.5748443510000003</v>
      </c>
    </row>
    <row r="108" spans="1:17" x14ac:dyDescent="0.25">
      <c r="A108" t="s">
        <v>5</v>
      </c>
      <c r="B108" t="s">
        <v>6</v>
      </c>
      <c r="C108" t="s">
        <v>7</v>
      </c>
      <c r="D108" t="s">
        <v>117</v>
      </c>
      <c r="E108" t="s">
        <v>27</v>
      </c>
      <c r="F108">
        <v>1.32323E-4</v>
      </c>
      <c r="G108">
        <v>1.47575E-4</v>
      </c>
      <c r="H108">
        <v>1.51664E-4</v>
      </c>
      <c r="I108">
        <v>3.2452199999999999E-4</v>
      </c>
      <c r="J108">
        <v>1.7706699999999999E-4</v>
      </c>
      <c r="K108">
        <v>2.1236399999999999E-4</v>
      </c>
      <c r="L108">
        <v>2.6829000000000002E-4</v>
      </c>
      <c r="M108">
        <v>3.45838E-4</v>
      </c>
      <c r="N108">
        <v>4.4130599999999998E-4</v>
      </c>
      <c r="O108">
        <v>5.5108100000000003E-4</v>
      </c>
      <c r="P108">
        <v>6.7173500000000002E-4</v>
      </c>
      <c r="Q108">
        <v>7.8592699999999996E-4</v>
      </c>
    </row>
    <row r="109" spans="1:17" x14ac:dyDescent="0.25">
      <c r="A109" t="s">
        <v>5</v>
      </c>
      <c r="B109" t="s">
        <v>6</v>
      </c>
      <c r="C109" t="s">
        <v>7</v>
      </c>
      <c r="D109" t="s">
        <v>118</v>
      </c>
      <c r="E109" t="s">
        <v>27</v>
      </c>
      <c r="F109">
        <v>5.5811100000000002E-4</v>
      </c>
      <c r="G109">
        <v>6.7772399999999999E-4</v>
      </c>
      <c r="H109">
        <v>7.7275E-4</v>
      </c>
      <c r="I109">
        <v>3.062857E-3</v>
      </c>
      <c r="J109">
        <v>4.5302899999999998E-4</v>
      </c>
      <c r="K109">
        <v>5.8064599999999998E-4</v>
      </c>
      <c r="L109">
        <v>1.000101E-3</v>
      </c>
      <c r="M109">
        <v>1.558275E-3</v>
      </c>
      <c r="N109">
        <v>1.7130509999999999E-3</v>
      </c>
      <c r="O109">
        <v>1.543392E-3</v>
      </c>
      <c r="P109">
        <v>1.580061E-3</v>
      </c>
      <c r="Q109">
        <v>1.8070440000000001E-3</v>
      </c>
    </row>
    <row r="110" spans="1:17" x14ac:dyDescent="0.25">
      <c r="A110" t="s">
        <v>5</v>
      </c>
      <c r="B110" t="s">
        <v>6</v>
      </c>
      <c r="C110" t="s">
        <v>7</v>
      </c>
      <c r="D110" t="s">
        <v>119</v>
      </c>
      <c r="E110" t="s">
        <v>27</v>
      </c>
      <c r="F110">
        <v>2.2922676999999999E-2</v>
      </c>
      <c r="G110">
        <v>2.9530543999999999E-2</v>
      </c>
      <c r="H110">
        <v>2.2828716999999998E-2</v>
      </c>
      <c r="I110">
        <v>2.4745189000000001E-2</v>
      </c>
      <c r="J110">
        <v>2.5163425999999999E-2</v>
      </c>
      <c r="K110">
        <v>2.3995348999999999E-2</v>
      </c>
      <c r="L110">
        <v>2.3371359000000001E-2</v>
      </c>
      <c r="M110">
        <v>2.5164468999999998E-2</v>
      </c>
      <c r="N110">
        <v>2.8086382999999999E-2</v>
      </c>
      <c r="O110">
        <v>2.9501472000000001E-2</v>
      </c>
      <c r="P110">
        <v>2.9163959999999999E-2</v>
      </c>
      <c r="Q110">
        <v>2.8719581000000001E-2</v>
      </c>
    </row>
    <row r="111" spans="1:17" x14ac:dyDescent="0.25">
      <c r="A111" t="s">
        <v>5</v>
      </c>
      <c r="B111" t="s">
        <v>6</v>
      </c>
      <c r="C111" t="s">
        <v>7</v>
      </c>
      <c r="D111" t="s">
        <v>120</v>
      </c>
      <c r="E111" t="s">
        <v>27</v>
      </c>
      <c r="F111">
        <v>3.9307762469999998</v>
      </c>
      <c r="G111">
        <v>4.9543325710000001</v>
      </c>
      <c r="H111">
        <v>4.9973184740000001</v>
      </c>
      <c r="I111">
        <v>5.8657123980000003</v>
      </c>
      <c r="J111">
        <v>6.582867222</v>
      </c>
      <c r="K111">
        <v>7.5087655619999998</v>
      </c>
      <c r="L111">
        <v>8.5103808399999998</v>
      </c>
      <c r="M111">
        <v>9.5651051460000005</v>
      </c>
      <c r="N111">
        <v>10.63995748</v>
      </c>
      <c r="O111">
        <v>11.69585212</v>
      </c>
      <c r="P111">
        <v>12.69077674</v>
      </c>
      <c r="Q111">
        <v>13.487789830000001</v>
      </c>
    </row>
    <row r="112" spans="1:17" x14ac:dyDescent="0.25">
      <c r="A112" t="s">
        <v>5</v>
      </c>
      <c r="B112" t="s">
        <v>6</v>
      </c>
      <c r="C112" t="s">
        <v>7</v>
      </c>
      <c r="D112" t="s">
        <v>121</v>
      </c>
      <c r="E112" t="s">
        <v>27</v>
      </c>
      <c r="F112">
        <v>9.4742587220000001</v>
      </c>
      <c r="G112">
        <v>11.442271849999999</v>
      </c>
      <c r="H112">
        <v>11.466095709999999</v>
      </c>
      <c r="I112">
        <v>13.170003080000001</v>
      </c>
      <c r="J112">
        <v>13.44025881</v>
      </c>
      <c r="K112">
        <v>14.416660719999999</v>
      </c>
      <c r="L112">
        <v>15.380218149999999</v>
      </c>
      <c r="M112">
        <v>16.290274520000001</v>
      </c>
      <c r="N112">
        <v>17.146721660000001</v>
      </c>
      <c r="O112">
        <v>17.944598330000002</v>
      </c>
      <c r="P112">
        <v>18.691399709999999</v>
      </c>
      <c r="Q112">
        <v>19.31896575</v>
      </c>
    </row>
    <row r="113" spans="1:17" x14ac:dyDescent="0.25">
      <c r="A113" t="s">
        <v>5</v>
      </c>
      <c r="B113" t="s">
        <v>6</v>
      </c>
      <c r="C113" t="s">
        <v>7</v>
      </c>
      <c r="D113" t="s">
        <v>122</v>
      </c>
      <c r="E113" t="s">
        <v>27</v>
      </c>
      <c r="F113">
        <v>0.285368491</v>
      </c>
      <c r="G113">
        <v>0.37239353800000002</v>
      </c>
      <c r="H113">
        <v>0.35668935200000002</v>
      </c>
      <c r="I113">
        <v>0.42217231900000002</v>
      </c>
      <c r="J113">
        <v>0.47016422800000002</v>
      </c>
      <c r="K113">
        <v>0.53672248700000003</v>
      </c>
      <c r="L113">
        <v>0.60843355300000002</v>
      </c>
      <c r="M113">
        <v>0.68334356600000001</v>
      </c>
      <c r="N113">
        <v>0.75877634800000004</v>
      </c>
      <c r="O113">
        <v>0.831622097</v>
      </c>
      <c r="P113">
        <v>0.898622641</v>
      </c>
      <c r="Q113">
        <v>0.95066430000000002</v>
      </c>
    </row>
    <row r="114" spans="1:17" x14ac:dyDescent="0.25">
      <c r="A114" t="s">
        <v>5</v>
      </c>
      <c r="B114" t="s">
        <v>6</v>
      </c>
      <c r="C114" t="s">
        <v>7</v>
      </c>
      <c r="D114" t="s">
        <v>123</v>
      </c>
      <c r="E114" t="s">
        <v>27</v>
      </c>
      <c r="F114">
        <v>0.51252965800000005</v>
      </c>
      <c r="G114">
        <v>0.60254605100000003</v>
      </c>
      <c r="H114">
        <v>0.61445314900000003</v>
      </c>
      <c r="I114">
        <v>0.69345861900000005</v>
      </c>
      <c r="J114">
        <v>0.71463920599999997</v>
      </c>
      <c r="K114">
        <v>0.76396579600000003</v>
      </c>
      <c r="L114">
        <v>0.81256751699999996</v>
      </c>
      <c r="M114">
        <v>0.85851148799999999</v>
      </c>
      <c r="N114">
        <v>0.90177837999999999</v>
      </c>
      <c r="O114">
        <v>0.94214778899999996</v>
      </c>
      <c r="P114">
        <v>0.98001810099999997</v>
      </c>
      <c r="Q114">
        <v>1.011906792</v>
      </c>
    </row>
    <row r="115" spans="1:17" x14ac:dyDescent="0.25">
      <c r="A115" t="s">
        <v>5</v>
      </c>
      <c r="B115" t="s">
        <v>6</v>
      </c>
      <c r="C115" t="s">
        <v>7</v>
      </c>
      <c r="D115" t="s">
        <v>124</v>
      </c>
      <c r="E115" t="s">
        <v>27</v>
      </c>
      <c r="F115">
        <v>0.126720888</v>
      </c>
      <c r="G115">
        <v>0.16694289900000001</v>
      </c>
      <c r="H115">
        <v>0.15762510800000001</v>
      </c>
      <c r="I115">
        <v>0.18700073</v>
      </c>
      <c r="J115">
        <v>0.20779054499999999</v>
      </c>
      <c r="K115">
        <v>0.23724742100000001</v>
      </c>
      <c r="L115">
        <v>0.268946244</v>
      </c>
      <c r="M115">
        <v>0.30198122799999999</v>
      </c>
      <c r="N115">
        <v>0.33512982400000002</v>
      </c>
      <c r="O115">
        <v>0.36697839300000001</v>
      </c>
      <c r="P115">
        <v>0.396055508</v>
      </c>
      <c r="Q115">
        <v>0.41842093000000002</v>
      </c>
    </row>
    <row r="116" spans="1:17" x14ac:dyDescent="0.25">
      <c r="A116" t="s">
        <v>5</v>
      </c>
      <c r="B116" t="s">
        <v>6</v>
      </c>
      <c r="C116" t="s">
        <v>7</v>
      </c>
      <c r="D116" t="s">
        <v>125</v>
      </c>
      <c r="E116" t="s">
        <v>27</v>
      </c>
      <c r="F116">
        <v>0.35660882999999999</v>
      </c>
      <c r="G116">
        <v>0.42800096799999998</v>
      </c>
      <c r="H116">
        <v>0.43069264299999999</v>
      </c>
      <c r="I116">
        <v>0.492830818</v>
      </c>
      <c r="J116">
        <v>0.50401483599999997</v>
      </c>
      <c r="K116">
        <v>0.54025955000000003</v>
      </c>
      <c r="L116">
        <v>0.57603026599999996</v>
      </c>
      <c r="M116">
        <v>0.60983178699999996</v>
      </c>
      <c r="N116">
        <v>0.64165837599999997</v>
      </c>
      <c r="O116">
        <v>0.67132755</v>
      </c>
      <c r="P116">
        <v>0.69911815099999997</v>
      </c>
      <c r="Q116">
        <v>0.72248765299999995</v>
      </c>
    </row>
    <row r="117" spans="1:17" x14ac:dyDescent="0.25">
      <c r="A117" t="s">
        <v>5</v>
      </c>
      <c r="B117" t="s">
        <v>6</v>
      </c>
      <c r="C117" t="s">
        <v>7</v>
      </c>
      <c r="D117" t="s">
        <v>126</v>
      </c>
      <c r="E117" t="s">
        <v>27</v>
      </c>
      <c r="F117">
        <v>81.134862240000004</v>
      </c>
      <c r="G117">
        <v>104.1557481</v>
      </c>
      <c r="H117">
        <v>102.2075645</v>
      </c>
      <c r="I117">
        <v>120.47348119999999</v>
      </c>
      <c r="J117">
        <v>134.60876049999999</v>
      </c>
      <c r="K117">
        <v>153.5555287</v>
      </c>
      <c r="L117">
        <v>174.00007629999999</v>
      </c>
      <c r="M117">
        <v>195.4318389</v>
      </c>
      <c r="N117">
        <v>217.1313533</v>
      </c>
      <c r="O117">
        <v>238.2557151</v>
      </c>
      <c r="P117">
        <v>257.91172410000001</v>
      </c>
      <c r="Q117">
        <v>273.41175529999998</v>
      </c>
    </row>
    <row r="118" spans="1:17" x14ac:dyDescent="0.25">
      <c r="A118" t="s">
        <v>5</v>
      </c>
      <c r="B118" t="s">
        <v>6</v>
      </c>
      <c r="C118" t="s">
        <v>7</v>
      </c>
      <c r="D118" t="s">
        <v>127</v>
      </c>
      <c r="E118" t="s">
        <v>27</v>
      </c>
      <c r="F118">
        <v>95.284957570000003</v>
      </c>
      <c r="G118">
        <v>115.07226919999999</v>
      </c>
      <c r="H118">
        <v>115.1491734</v>
      </c>
      <c r="I118">
        <v>132.2596772</v>
      </c>
      <c r="J118">
        <v>134.85869</v>
      </c>
      <c r="K118">
        <v>144.61755360000001</v>
      </c>
      <c r="L118">
        <v>154.2513299</v>
      </c>
      <c r="M118">
        <v>163.35417440000001</v>
      </c>
      <c r="N118">
        <v>171.9245708</v>
      </c>
      <c r="O118">
        <v>179.91227280000001</v>
      </c>
      <c r="P118">
        <v>187.3916629</v>
      </c>
      <c r="Q118">
        <v>193.6790613</v>
      </c>
    </row>
    <row r="119" spans="1:17" x14ac:dyDescent="0.25">
      <c r="A119" t="s">
        <v>5</v>
      </c>
      <c r="B119" t="s">
        <v>6</v>
      </c>
      <c r="C119" t="s">
        <v>7</v>
      </c>
      <c r="D119" t="s">
        <v>128</v>
      </c>
      <c r="E119" t="s">
        <v>27</v>
      </c>
      <c r="F119">
        <v>0.265095107</v>
      </c>
      <c r="G119">
        <v>0.33945156399999998</v>
      </c>
      <c r="H119">
        <v>0.334441406</v>
      </c>
      <c r="I119">
        <v>0.39402057099999999</v>
      </c>
      <c r="J119">
        <v>0.44064060399999999</v>
      </c>
      <c r="K119">
        <v>0.50277287500000001</v>
      </c>
      <c r="L119">
        <v>0.56986087500000004</v>
      </c>
      <c r="M119">
        <v>0.640249599</v>
      </c>
      <c r="N119">
        <v>0.71159777000000002</v>
      </c>
      <c r="O119">
        <v>0.78115685599999996</v>
      </c>
      <c r="P119">
        <v>0.84600803099999999</v>
      </c>
      <c r="Q119">
        <v>0.89727119200000005</v>
      </c>
    </row>
    <row r="120" spans="1:17" x14ac:dyDescent="0.25">
      <c r="A120" t="s">
        <v>5</v>
      </c>
      <c r="B120" t="s">
        <v>6</v>
      </c>
      <c r="C120" t="s">
        <v>7</v>
      </c>
      <c r="D120" t="s">
        <v>129</v>
      </c>
      <c r="E120" t="s">
        <v>27</v>
      </c>
      <c r="F120">
        <v>0.76881014299999995</v>
      </c>
      <c r="G120">
        <v>0.89949657699999996</v>
      </c>
      <c r="H120">
        <v>0.918885061</v>
      </c>
      <c r="I120">
        <v>1.0329793620000001</v>
      </c>
      <c r="J120">
        <v>1.0661124580000001</v>
      </c>
      <c r="K120">
        <v>1.138504188</v>
      </c>
      <c r="L120">
        <v>1.209746805</v>
      </c>
      <c r="M120">
        <v>1.277072921</v>
      </c>
      <c r="N120">
        <v>1.340444728</v>
      </c>
      <c r="O120">
        <v>1.3995613849999999</v>
      </c>
      <c r="P120">
        <v>1.455024342</v>
      </c>
      <c r="Q120">
        <v>1.501729466</v>
      </c>
    </row>
    <row r="121" spans="1:17" x14ac:dyDescent="0.25">
      <c r="A121" t="s">
        <v>5</v>
      </c>
      <c r="B121" t="s">
        <v>6</v>
      </c>
      <c r="C121" t="s">
        <v>7</v>
      </c>
      <c r="D121" t="s">
        <v>130</v>
      </c>
      <c r="E121" t="s">
        <v>27</v>
      </c>
      <c r="F121">
        <v>4.6654051440000002</v>
      </c>
      <c r="G121">
        <v>6.0327638940000003</v>
      </c>
      <c r="H121">
        <v>5.8573793289999996</v>
      </c>
      <c r="I121">
        <v>6.9168407050000003</v>
      </c>
      <c r="J121">
        <v>7.717945362</v>
      </c>
      <c r="K121">
        <v>8.8075694089999992</v>
      </c>
      <c r="L121">
        <v>9.9826390860000007</v>
      </c>
      <c r="M121">
        <v>11.21263224</v>
      </c>
      <c r="N121">
        <v>12.455096640000001</v>
      </c>
      <c r="O121">
        <v>13.66047401</v>
      </c>
      <c r="P121">
        <v>14.776513550000001</v>
      </c>
      <c r="Q121">
        <v>15.650939230000001</v>
      </c>
    </row>
    <row r="122" spans="1:17" x14ac:dyDescent="0.25">
      <c r="A122" t="s">
        <v>5</v>
      </c>
      <c r="B122" t="s">
        <v>6</v>
      </c>
      <c r="C122" t="s">
        <v>7</v>
      </c>
      <c r="D122" t="s">
        <v>131</v>
      </c>
      <c r="E122" t="s">
        <v>27</v>
      </c>
      <c r="F122">
        <v>1.8378565549999999</v>
      </c>
      <c r="G122">
        <v>2.271920937</v>
      </c>
      <c r="H122">
        <v>2.2292985380000001</v>
      </c>
      <c r="I122">
        <v>2.605445198</v>
      </c>
      <c r="J122">
        <v>2.6232061130000002</v>
      </c>
      <c r="K122">
        <v>2.8204172239999998</v>
      </c>
      <c r="L122">
        <v>3.0161709989999999</v>
      </c>
      <c r="M122">
        <v>3.2016964489999999</v>
      </c>
      <c r="N122">
        <v>3.3769953849999998</v>
      </c>
      <c r="O122">
        <v>3.5407816560000001</v>
      </c>
      <c r="P122">
        <v>3.6943560639999999</v>
      </c>
      <c r="Q122">
        <v>3.8236165369999999</v>
      </c>
    </row>
    <row r="123" spans="1:17" x14ac:dyDescent="0.25">
      <c r="A123" t="s">
        <v>5</v>
      </c>
      <c r="B123" t="s">
        <v>6</v>
      </c>
      <c r="C123" t="s">
        <v>7</v>
      </c>
      <c r="D123" t="s">
        <v>132</v>
      </c>
      <c r="E123" t="s">
        <v>27</v>
      </c>
      <c r="F123">
        <v>0.88912840400000004</v>
      </c>
      <c r="G123">
        <v>1.2392026350000001</v>
      </c>
      <c r="H123">
        <v>1.5418816319999999</v>
      </c>
      <c r="I123">
        <v>1.524293463</v>
      </c>
      <c r="J123">
        <v>1.5926144579999999</v>
      </c>
      <c r="K123">
        <v>1.8191702359999999</v>
      </c>
      <c r="L123">
        <v>2.4299183719999999</v>
      </c>
      <c r="M123">
        <v>3.2773133379999999</v>
      </c>
      <c r="N123">
        <v>4.0261050819999999</v>
      </c>
      <c r="O123">
        <v>5.044501028</v>
      </c>
      <c r="P123">
        <v>6.6771815600000002</v>
      </c>
      <c r="Q123">
        <v>7.8326331519999997</v>
      </c>
    </row>
    <row r="124" spans="1:17" x14ac:dyDescent="0.25">
      <c r="A124" t="s">
        <v>5</v>
      </c>
      <c r="B124" t="s">
        <v>6</v>
      </c>
      <c r="C124" t="s">
        <v>7</v>
      </c>
      <c r="D124" t="s">
        <v>133</v>
      </c>
      <c r="E124" t="s">
        <v>27</v>
      </c>
      <c r="F124">
        <v>5.5911795489999996</v>
      </c>
      <c r="G124">
        <v>7.4236054850000004</v>
      </c>
      <c r="H124">
        <v>9.0660657639999993</v>
      </c>
      <c r="I124">
        <v>9.7478591229999996</v>
      </c>
      <c r="J124">
        <v>10.498795640000001</v>
      </c>
      <c r="K124">
        <v>11.64782196</v>
      </c>
      <c r="L124">
        <v>13.22888369</v>
      </c>
      <c r="M124">
        <v>14.505338630000001</v>
      </c>
      <c r="N124">
        <v>14.43594315</v>
      </c>
      <c r="O124">
        <v>13.26253966</v>
      </c>
      <c r="P124">
        <v>12.717701659999999</v>
      </c>
      <c r="Q124">
        <v>14.102558699999999</v>
      </c>
    </row>
    <row r="125" spans="1:17" x14ac:dyDescent="0.25">
      <c r="A125" t="s">
        <v>5</v>
      </c>
      <c r="B125" t="s">
        <v>6</v>
      </c>
      <c r="C125" t="s">
        <v>7</v>
      </c>
      <c r="D125" t="s">
        <v>134</v>
      </c>
      <c r="E125" t="s">
        <v>27</v>
      </c>
      <c r="F125">
        <v>7.2297020000000002E-3</v>
      </c>
      <c r="G125">
        <v>1.0066161000000001E-2</v>
      </c>
      <c r="H125">
        <v>1.2484933E-2</v>
      </c>
      <c r="I125">
        <v>1.2266854000000001E-2</v>
      </c>
      <c r="J125">
        <v>1.3483764000000001E-2</v>
      </c>
      <c r="K125">
        <v>2.1204027E-2</v>
      </c>
      <c r="L125">
        <v>3.7555136000000003E-2</v>
      </c>
      <c r="M125">
        <v>7.1874837999999996E-2</v>
      </c>
      <c r="N125">
        <v>0.12776400800000001</v>
      </c>
      <c r="O125">
        <v>0.223094284</v>
      </c>
      <c r="P125">
        <v>0.34181903200000002</v>
      </c>
      <c r="Q125">
        <v>0.39724977099999997</v>
      </c>
    </row>
    <row r="126" spans="1:17" x14ac:dyDescent="0.25">
      <c r="A126" t="s">
        <v>5</v>
      </c>
      <c r="B126" t="s">
        <v>6</v>
      </c>
      <c r="C126" t="s">
        <v>7</v>
      </c>
      <c r="D126" t="s">
        <v>135</v>
      </c>
      <c r="E126" t="s">
        <v>27</v>
      </c>
      <c r="F126">
        <v>1.4498607E-2</v>
      </c>
      <c r="G126">
        <v>1.9552146999999999E-2</v>
      </c>
      <c r="H126">
        <v>2.4287949E-2</v>
      </c>
      <c r="I126">
        <v>2.6023973999999998E-2</v>
      </c>
      <c r="J126">
        <v>3.2940023999999998E-2</v>
      </c>
      <c r="K126">
        <v>7.4249014000000002E-2</v>
      </c>
      <c r="L126">
        <v>7.7589244000000002E-2</v>
      </c>
      <c r="M126">
        <v>9.1898499999999994E-2</v>
      </c>
      <c r="N126">
        <v>0.1275404</v>
      </c>
      <c r="O126">
        <v>0.185458448</v>
      </c>
      <c r="P126">
        <v>0.25426142200000001</v>
      </c>
      <c r="Q126">
        <v>0.28618291699999998</v>
      </c>
    </row>
    <row r="127" spans="1:17" x14ac:dyDescent="0.25">
      <c r="A127" t="s">
        <v>5</v>
      </c>
      <c r="B127" t="s">
        <v>6</v>
      </c>
      <c r="C127" t="s">
        <v>7</v>
      </c>
      <c r="D127" t="s">
        <v>136</v>
      </c>
      <c r="E127" t="s">
        <v>27</v>
      </c>
      <c r="F127">
        <v>9.3520799999999998E-4</v>
      </c>
      <c r="G127">
        <v>2.5937579999999998E-3</v>
      </c>
      <c r="H127">
        <v>3.8147469999999998E-3</v>
      </c>
      <c r="I127">
        <v>3.1705029999999999E-3</v>
      </c>
      <c r="J127">
        <v>2.3916110000000001E-3</v>
      </c>
      <c r="K127">
        <v>4.535346E-3</v>
      </c>
      <c r="L127">
        <v>1.5128038999999999E-2</v>
      </c>
      <c r="M127">
        <v>2.2682913999999998E-2</v>
      </c>
      <c r="N127">
        <v>1.4795855E-2</v>
      </c>
      <c r="O127">
        <v>1.0438380000000001E-3</v>
      </c>
      <c r="P127" s="1">
        <v>1.26E-5</v>
      </c>
      <c r="Q127" s="1">
        <v>7.5300000000000003E-7</v>
      </c>
    </row>
    <row r="128" spans="1:17" x14ac:dyDescent="0.25">
      <c r="A128" t="s">
        <v>5</v>
      </c>
      <c r="B128" t="s">
        <v>6</v>
      </c>
      <c r="C128" t="s">
        <v>7</v>
      </c>
      <c r="D128" t="s">
        <v>137</v>
      </c>
      <c r="E128" t="s">
        <v>27</v>
      </c>
      <c r="F128">
        <v>0.64340861299999996</v>
      </c>
      <c r="G128">
        <v>0.776361313</v>
      </c>
      <c r="H128">
        <v>0.85652782299999997</v>
      </c>
      <c r="I128">
        <v>0.88827991900000003</v>
      </c>
      <c r="J128">
        <v>0.90515202299999997</v>
      </c>
      <c r="K128">
        <v>0.94253014199999996</v>
      </c>
      <c r="L128">
        <v>1.004803103</v>
      </c>
      <c r="M128">
        <v>1.0698863599999999</v>
      </c>
      <c r="N128">
        <v>1.139813744</v>
      </c>
      <c r="O128">
        <v>1.216398576</v>
      </c>
      <c r="P128">
        <v>1.2979568269999999</v>
      </c>
      <c r="Q128">
        <v>1.38162633</v>
      </c>
    </row>
    <row r="129" spans="1:17" x14ac:dyDescent="0.25">
      <c r="A129" t="s">
        <v>5</v>
      </c>
      <c r="B129" t="s">
        <v>6</v>
      </c>
      <c r="C129" t="s">
        <v>7</v>
      </c>
      <c r="D129" t="s">
        <v>138</v>
      </c>
      <c r="E129" t="s">
        <v>27</v>
      </c>
      <c r="F129">
        <v>1.727683401</v>
      </c>
      <c r="G129">
        <v>2.1466144639999998</v>
      </c>
      <c r="H129">
        <v>2.4642734380000002</v>
      </c>
      <c r="I129">
        <v>2.6246044199999998</v>
      </c>
      <c r="J129">
        <v>2.6532911129999999</v>
      </c>
      <c r="K129">
        <v>2.6756447510000001</v>
      </c>
      <c r="L129">
        <v>2.7826885689999998</v>
      </c>
      <c r="M129">
        <v>2.9710935360000001</v>
      </c>
      <c r="N129">
        <v>3.2168535459999998</v>
      </c>
      <c r="O129">
        <v>3.4805593510000001</v>
      </c>
      <c r="P129">
        <v>3.7369367269999998</v>
      </c>
      <c r="Q129">
        <v>3.9664344659999999</v>
      </c>
    </row>
    <row r="130" spans="1:17" x14ac:dyDescent="0.25">
      <c r="A130" t="s">
        <v>5</v>
      </c>
      <c r="B130" t="s">
        <v>6</v>
      </c>
      <c r="C130" t="s">
        <v>7</v>
      </c>
      <c r="D130" t="s">
        <v>139</v>
      </c>
      <c r="E130" t="s">
        <v>27</v>
      </c>
      <c r="F130">
        <v>0.26605266100000002</v>
      </c>
      <c r="G130">
        <v>0.35209506899999998</v>
      </c>
      <c r="H130">
        <v>0.42683302200000001</v>
      </c>
      <c r="I130">
        <v>0.47943376900000001</v>
      </c>
      <c r="J130">
        <v>0.482883693</v>
      </c>
      <c r="K130">
        <v>0.46236170900000001</v>
      </c>
      <c r="L130">
        <v>0.47113815399999998</v>
      </c>
      <c r="M130">
        <v>0.50663403200000001</v>
      </c>
      <c r="N130">
        <v>0.56374499600000005</v>
      </c>
      <c r="O130">
        <v>0.62344971000000005</v>
      </c>
      <c r="P130">
        <v>0.67745877799999998</v>
      </c>
      <c r="Q130">
        <v>0.72024005700000004</v>
      </c>
    </row>
    <row r="131" spans="1:17" x14ac:dyDescent="0.25">
      <c r="A131" t="s">
        <v>5</v>
      </c>
      <c r="B131" t="s">
        <v>6</v>
      </c>
      <c r="C131" t="s">
        <v>7</v>
      </c>
      <c r="D131" t="s">
        <v>140</v>
      </c>
      <c r="E131" t="s">
        <v>27</v>
      </c>
      <c r="F131">
        <v>0.17512781899999999</v>
      </c>
      <c r="G131">
        <v>0.22799968000000001</v>
      </c>
      <c r="H131">
        <v>0.25283673299999998</v>
      </c>
      <c r="I131">
        <v>0.284008812</v>
      </c>
      <c r="J131">
        <v>0.29537522799999999</v>
      </c>
      <c r="K131">
        <v>0.29529015600000003</v>
      </c>
      <c r="L131">
        <v>0.32155106900000002</v>
      </c>
      <c r="M131">
        <v>0.34282287099999997</v>
      </c>
      <c r="N131">
        <v>0.37010249499999998</v>
      </c>
      <c r="O131">
        <v>0.40047475100000002</v>
      </c>
      <c r="P131">
        <v>0.43541205900000002</v>
      </c>
      <c r="Q131">
        <v>0.474188944</v>
      </c>
    </row>
    <row r="132" spans="1:17" x14ac:dyDescent="0.25">
      <c r="A132" t="s">
        <v>5</v>
      </c>
      <c r="B132" t="s">
        <v>6</v>
      </c>
      <c r="C132" t="s">
        <v>7</v>
      </c>
      <c r="D132" t="s">
        <v>141</v>
      </c>
      <c r="E132" t="s">
        <v>27</v>
      </c>
      <c r="F132">
        <v>8.0738909999999997E-3</v>
      </c>
      <c r="G132">
        <v>1.0509821000000001E-2</v>
      </c>
      <c r="H132">
        <v>1.2935945000000001E-2</v>
      </c>
      <c r="I132">
        <v>1.4268803E-2</v>
      </c>
      <c r="J132">
        <v>1.4169045999999999E-2</v>
      </c>
      <c r="K132">
        <v>1.3469688E-2</v>
      </c>
      <c r="L132">
        <v>1.3343782E-2</v>
      </c>
      <c r="M132">
        <v>1.4269462E-2</v>
      </c>
      <c r="N132">
        <v>1.5875605000000001E-2</v>
      </c>
      <c r="O132">
        <v>1.7558550999999999E-2</v>
      </c>
      <c r="P132">
        <v>1.8978826000000001E-2</v>
      </c>
      <c r="Q132">
        <v>1.9942173000000001E-2</v>
      </c>
    </row>
    <row r="133" spans="1:17" x14ac:dyDescent="0.25">
      <c r="A133" t="s">
        <v>5</v>
      </c>
      <c r="B133" t="s">
        <v>6</v>
      </c>
      <c r="C133" t="s">
        <v>7</v>
      </c>
      <c r="D133" t="s">
        <v>142</v>
      </c>
      <c r="E133" t="s">
        <v>27</v>
      </c>
      <c r="F133">
        <v>5.6842289999999998E-3</v>
      </c>
      <c r="G133">
        <v>1.4115692000000001E-2</v>
      </c>
      <c r="H133">
        <v>8.774123E-3</v>
      </c>
      <c r="I133">
        <v>7.1536050000000004E-3</v>
      </c>
      <c r="J133">
        <v>5.60598E-3</v>
      </c>
      <c r="K133">
        <v>3.8193290000000002E-3</v>
      </c>
      <c r="L133">
        <v>4.0713099999999999E-3</v>
      </c>
      <c r="M133">
        <v>4.4707239999999997E-3</v>
      </c>
      <c r="N133">
        <v>4.9825030000000001E-3</v>
      </c>
      <c r="O133">
        <v>5.5363330000000001E-3</v>
      </c>
      <c r="P133">
        <v>6.3233480000000003E-3</v>
      </c>
      <c r="Q133">
        <v>7.7014750000000002E-3</v>
      </c>
    </row>
    <row r="134" spans="1:17" x14ac:dyDescent="0.25">
      <c r="A134" t="s">
        <v>5</v>
      </c>
      <c r="B134" t="s">
        <v>6</v>
      </c>
      <c r="C134" t="s">
        <v>7</v>
      </c>
      <c r="D134" t="s">
        <v>143</v>
      </c>
      <c r="E134" t="s">
        <v>27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5">
      <c r="A135" t="s">
        <v>5</v>
      </c>
      <c r="B135" t="s">
        <v>6</v>
      </c>
      <c r="C135" t="s">
        <v>7</v>
      </c>
      <c r="D135" t="s">
        <v>144</v>
      </c>
      <c r="E135" t="s">
        <v>27</v>
      </c>
      <c r="F135" s="1">
        <v>1.9300000000000002E-5</v>
      </c>
      <c r="G135" s="1">
        <v>4.8000000000000001E-5</v>
      </c>
      <c r="H135" s="1">
        <v>2.9899999999999998E-5</v>
      </c>
      <c r="I135" s="1">
        <v>2.4300000000000001E-5</v>
      </c>
      <c r="J135" s="1">
        <v>1.91E-5</v>
      </c>
      <c r="K135" s="1">
        <v>1.2999999999999999E-5</v>
      </c>
      <c r="L135" s="1">
        <v>1.3900000000000001E-5</v>
      </c>
      <c r="M135" s="1">
        <v>1.52E-5</v>
      </c>
      <c r="N135" s="1">
        <v>1.7E-5</v>
      </c>
      <c r="O135" s="1">
        <v>1.88E-5</v>
      </c>
      <c r="P135" s="1">
        <v>2.1500000000000001E-5</v>
      </c>
      <c r="Q135" s="1">
        <v>2.62E-5</v>
      </c>
    </row>
    <row r="136" spans="1:17" x14ac:dyDescent="0.25">
      <c r="A136" t="s">
        <v>5</v>
      </c>
      <c r="B136" t="s">
        <v>6</v>
      </c>
      <c r="C136" t="s">
        <v>7</v>
      </c>
      <c r="D136" t="s">
        <v>145</v>
      </c>
      <c r="E136" t="s">
        <v>27</v>
      </c>
      <c r="F136">
        <v>1.3029299999999999E-4</v>
      </c>
      <c r="G136">
        <v>3.2355799999999999E-4</v>
      </c>
      <c r="H136">
        <v>2.0112E-4</v>
      </c>
      <c r="I136">
        <v>1.63974E-4</v>
      </c>
      <c r="J136">
        <v>1.2850000000000001E-4</v>
      </c>
      <c r="K136" s="1">
        <v>8.7499999999999999E-5</v>
      </c>
      <c r="L136" s="1">
        <v>9.3300000000000005E-5</v>
      </c>
      <c r="M136">
        <v>1.02477E-4</v>
      </c>
      <c r="N136">
        <v>1.14208E-4</v>
      </c>
      <c r="O136">
        <v>1.2690299999999999E-4</v>
      </c>
      <c r="P136">
        <v>1.44943E-4</v>
      </c>
      <c r="Q136">
        <v>1.76532E-4</v>
      </c>
    </row>
    <row r="137" spans="1:17" x14ac:dyDescent="0.25">
      <c r="A137" t="s">
        <v>5</v>
      </c>
      <c r="B137" t="s">
        <v>6</v>
      </c>
      <c r="C137" t="s">
        <v>7</v>
      </c>
      <c r="D137" t="s">
        <v>146</v>
      </c>
      <c r="E137" t="s">
        <v>27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5">
      <c r="A138" t="s">
        <v>5</v>
      </c>
      <c r="B138" t="s">
        <v>6</v>
      </c>
      <c r="C138" t="s">
        <v>7</v>
      </c>
      <c r="D138" t="s">
        <v>147</v>
      </c>
      <c r="E138" t="s">
        <v>148</v>
      </c>
      <c r="F138">
        <v>236524.2193</v>
      </c>
      <c r="G138">
        <v>236445.75459999999</v>
      </c>
      <c r="H138">
        <v>246350.899</v>
      </c>
      <c r="I138">
        <v>234167.58809999999</v>
      </c>
      <c r="J138">
        <v>257809.78339999999</v>
      </c>
      <c r="K138">
        <v>273578.40120000002</v>
      </c>
      <c r="L138">
        <v>297531.2157</v>
      </c>
      <c r="M138">
        <v>318100.8419</v>
      </c>
      <c r="N138">
        <v>332150.51040000003</v>
      </c>
      <c r="O138">
        <v>341533.09169999999</v>
      </c>
      <c r="P138">
        <v>347547.78139999998</v>
      </c>
      <c r="Q138">
        <v>352475.94709999999</v>
      </c>
    </row>
    <row r="139" spans="1:17" x14ac:dyDescent="0.25">
      <c r="A139" t="s">
        <v>5</v>
      </c>
      <c r="B139" t="s">
        <v>6</v>
      </c>
      <c r="C139" t="s">
        <v>7</v>
      </c>
      <c r="D139" t="s">
        <v>149</v>
      </c>
      <c r="E139" t="s">
        <v>148</v>
      </c>
      <c r="F139">
        <v>279.38350209999999</v>
      </c>
      <c r="G139">
        <v>297.09012380000001</v>
      </c>
      <c r="H139">
        <v>314.16646709999998</v>
      </c>
      <c r="I139">
        <v>338.51144269999998</v>
      </c>
      <c r="J139">
        <v>413.18876999999998</v>
      </c>
      <c r="K139">
        <v>461.33325339999999</v>
      </c>
      <c r="L139">
        <v>513.27864650000004</v>
      </c>
      <c r="M139">
        <v>541.32554909999999</v>
      </c>
      <c r="N139">
        <v>571.52349770000001</v>
      </c>
      <c r="O139">
        <v>607.71173769999996</v>
      </c>
      <c r="P139">
        <v>650.12220449999995</v>
      </c>
      <c r="Q139">
        <v>688.52042070000005</v>
      </c>
    </row>
    <row r="140" spans="1:17" x14ac:dyDescent="0.25">
      <c r="A140" t="s">
        <v>5</v>
      </c>
      <c r="B140" t="s">
        <v>6</v>
      </c>
      <c r="C140" t="s">
        <v>7</v>
      </c>
      <c r="D140" t="s">
        <v>150</v>
      </c>
      <c r="E140" t="s">
        <v>148</v>
      </c>
      <c r="F140">
        <v>8436.2266670000008</v>
      </c>
      <c r="G140">
        <v>11487.660330000001</v>
      </c>
      <c r="H140">
        <v>15739.23933</v>
      </c>
      <c r="I140">
        <v>17849.96225</v>
      </c>
      <c r="J140">
        <v>22516.776580000002</v>
      </c>
      <c r="K140">
        <v>23191.659</v>
      </c>
      <c r="L140">
        <v>23895.002</v>
      </c>
      <c r="M140">
        <v>23542.770079999998</v>
      </c>
      <c r="N140">
        <v>24716.615330000001</v>
      </c>
      <c r="O140">
        <v>26598.82058</v>
      </c>
      <c r="P140">
        <v>29131.150249999999</v>
      </c>
      <c r="Q140">
        <v>31603.52117</v>
      </c>
    </row>
    <row r="141" spans="1:17" x14ac:dyDescent="0.25">
      <c r="A141" t="s">
        <v>5</v>
      </c>
      <c r="B141" t="s">
        <v>6</v>
      </c>
      <c r="C141" t="s">
        <v>7</v>
      </c>
      <c r="D141" t="s">
        <v>151</v>
      </c>
      <c r="E141" t="s">
        <v>148</v>
      </c>
      <c r="F141">
        <v>14419.978810000001</v>
      </c>
      <c r="G141">
        <v>15491.35166</v>
      </c>
      <c r="H141">
        <v>18635.489799999999</v>
      </c>
      <c r="I141">
        <v>21497.951499999999</v>
      </c>
      <c r="J141">
        <v>20958.040929999999</v>
      </c>
      <c r="K141">
        <v>21562.394990000001</v>
      </c>
      <c r="L141">
        <v>25835.69299</v>
      </c>
      <c r="M141">
        <v>27517.863659999999</v>
      </c>
      <c r="N141">
        <v>28681.374500000002</v>
      </c>
      <c r="O141">
        <v>29666.33856</v>
      </c>
      <c r="P141">
        <v>30648.110860000001</v>
      </c>
      <c r="Q141">
        <v>31544.292730000001</v>
      </c>
    </row>
    <row r="142" spans="1:17" x14ac:dyDescent="0.25">
      <c r="A142" t="s">
        <v>5</v>
      </c>
      <c r="B142" t="s">
        <v>6</v>
      </c>
      <c r="C142" t="s">
        <v>7</v>
      </c>
      <c r="D142" t="s">
        <v>152</v>
      </c>
      <c r="E142" t="s">
        <v>148</v>
      </c>
      <c r="F142">
        <v>1.0477886919999999</v>
      </c>
      <c r="G142">
        <v>0.986030764</v>
      </c>
      <c r="H142">
        <v>1.0692762010000001</v>
      </c>
      <c r="I142">
        <v>1.1411381220000001</v>
      </c>
      <c r="J142">
        <v>1.312222432</v>
      </c>
      <c r="K142">
        <v>1.420166933</v>
      </c>
      <c r="L142">
        <v>1.5420959780000001</v>
      </c>
      <c r="M142">
        <v>1.6148291749999999</v>
      </c>
      <c r="N142">
        <v>1.723183382</v>
      </c>
      <c r="O142">
        <v>1.8688849190000001</v>
      </c>
      <c r="P142">
        <v>2.036182454</v>
      </c>
      <c r="Q142">
        <v>2.187276003</v>
      </c>
    </row>
    <row r="143" spans="1:17" x14ac:dyDescent="0.25">
      <c r="A143" t="s">
        <v>5</v>
      </c>
      <c r="B143" t="s">
        <v>6</v>
      </c>
      <c r="C143" t="s">
        <v>7</v>
      </c>
      <c r="D143" t="s">
        <v>153</v>
      </c>
      <c r="E143" t="s">
        <v>148</v>
      </c>
      <c r="F143">
        <v>18.87060396</v>
      </c>
      <c r="G143">
        <v>19.861519099999999</v>
      </c>
      <c r="H143">
        <v>20.884034979999999</v>
      </c>
      <c r="I143">
        <v>22.691753439999999</v>
      </c>
      <c r="J143">
        <v>25.200771450000001</v>
      </c>
      <c r="K143">
        <v>28.336639300000002</v>
      </c>
      <c r="L143">
        <v>31.98644049</v>
      </c>
      <c r="M143">
        <v>35.893107350000001</v>
      </c>
      <c r="N143">
        <v>38.727180609999998</v>
      </c>
      <c r="O143">
        <v>40.024806380000001</v>
      </c>
      <c r="P143">
        <v>41.452118859999999</v>
      </c>
      <c r="Q143">
        <v>42.718719759999999</v>
      </c>
    </row>
    <row r="144" spans="1:17" x14ac:dyDescent="0.25">
      <c r="A144" t="s">
        <v>5</v>
      </c>
      <c r="B144" t="s">
        <v>6</v>
      </c>
      <c r="C144" t="s">
        <v>7</v>
      </c>
      <c r="D144" t="s">
        <v>154</v>
      </c>
      <c r="E144" t="s">
        <v>148</v>
      </c>
      <c r="F144">
        <v>3.667168352</v>
      </c>
      <c r="G144">
        <v>3.8978373890000002</v>
      </c>
      <c r="H144">
        <v>4.4546358609999999</v>
      </c>
      <c r="I144">
        <v>4.1497814249999996</v>
      </c>
      <c r="J144">
        <v>5.6034159399999997</v>
      </c>
      <c r="K144">
        <v>6.2338309509999998</v>
      </c>
      <c r="L144">
        <v>6.9149416659999998</v>
      </c>
      <c r="M144">
        <v>7.4300155180000003</v>
      </c>
      <c r="N144">
        <v>8.0349199040000006</v>
      </c>
      <c r="O144">
        <v>8.7435982400000007</v>
      </c>
      <c r="P144">
        <v>9.4312634959999997</v>
      </c>
      <c r="Q144">
        <v>9.9977730959999995</v>
      </c>
    </row>
    <row r="145" spans="1:17" x14ac:dyDescent="0.25">
      <c r="A145" t="s">
        <v>5</v>
      </c>
      <c r="B145" t="s">
        <v>6</v>
      </c>
      <c r="C145" t="s">
        <v>7</v>
      </c>
      <c r="D145" t="s">
        <v>155</v>
      </c>
      <c r="E145" t="s">
        <v>148</v>
      </c>
      <c r="F145">
        <v>0.98667076099999995</v>
      </c>
      <c r="G145">
        <v>0.96419787999999995</v>
      </c>
      <c r="H145">
        <v>1.062827438</v>
      </c>
      <c r="I145">
        <v>1.2361229330000001</v>
      </c>
      <c r="J145">
        <v>1.564160057</v>
      </c>
      <c r="K145">
        <v>1.6873579430000001</v>
      </c>
      <c r="L145">
        <v>1.8127813479999999</v>
      </c>
      <c r="M145">
        <v>1.9143902639999999</v>
      </c>
      <c r="N145">
        <v>2.0234742209999999</v>
      </c>
      <c r="O145">
        <v>2.1389093620000001</v>
      </c>
      <c r="P145">
        <v>2.2446169380000001</v>
      </c>
      <c r="Q145">
        <v>2.3294289429999999</v>
      </c>
    </row>
    <row r="146" spans="1:17" x14ac:dyDescent="0.25">
      <c r="A146" t="s">
        <v>5</v>
      </c>
      <c r="B146" t="s">
        <v>6</v>
      </c>
      <c r="C146" t="s">
        <v>7</v>
      </c>
      <c r="D146" t="s">
        <v>156</v>
      </c>
      <c r="E146" t="s">
        <v>148</v>
      </c>
      <c r="F146">
        <v>51.715313020000004</v>
      </c>
      <c r="G146">
        <v>47.264084339999997</v>
      </c>
      <c r="H146">
        <v>45.228603249999999</v>
      </c>
      <c r="I146">
        <v>48.760960320000002</v>
      </c>
      <c r="J146">
        <v>51.207812859999997</v>
      </c>
      <c r="K146">
        <v>52.285946610000003</v>
      </c>
      <c r="L146">
        <v>53.187785959999999</v>
      </c>
      <c r="M146">
        <v>53.946383769999997</v>
      </c>
      <c r="N146">
        <v>54.687413429999999</v>
      </c>
      <c r="O146">
        <v>55.401256089999997</v>
      </c>
      <c r="P146">
        <v>56.258906760000002</v>
      </c>
      <c r="Q146">
        <v>57.093748499999997</v>
      </c>
    </row>
    <row r="147" spans="1:17" x14ac:dyDescent="0.25">
      <c r="A147" t="s">
        <v>5</v>
      </c>
      <c r="B147" t="s">
        <v>6</v>
      </c>
      <c r="C147" t="s">
        <v>7</v>
      </c>
      <c r="D147" t="s">
        <v>157</v>
      </c>
      <c r="E147" t="s">
        <v>158</v>
      </c>
      <c r="F147">
        <v>14088781229</v>
      </c>
      <c r="G147">
        <v>14535425279</v>
      </c>
      <c r="H147">
        <v>15227562854</v>
      </c>
      <c r="I147">
        <v>15979387101</v>
      </c>
      <c r="J147">
        <v>16574260925</v>
      </c>
      <c r="K147">
        <v>17265085574</v>
      </c>
      <c r="L147">
        <v>17885475074</v>
      </c>
      <c r="M147">
        <v>18445773823</v>
      </c>
      <c r="N147">
        <v>18959394665</v>
      </c>
      <c r="O147">
        <v>19442498917</v>
      </c>
      <c r="P147">
        <v>19918792168</v>
      </c>
      <c r="Q147">
        <v>20346626593</v>
      </c>
    </row>
    <row r="148" spans="1:17" x14ac:dyDescent="0.25">
      <c r="A148" t="s">
        <v>5</v>
      </c>
      <c r="B148" t="s">
        <v>6</v>
      </c>
      <c r="C148" t="s">
        <v>7</v>
      </c>
      <c r="D148" t="s">
        <v>159</v>
      </c>
      <c r="E148" t="s">
        <v>158</v>
      </c>
      <c r="F148">
        <v>2039820223</v>
      </c>
      <c r="G148">
        <v>2162954767</v>
      </c>
      <c r="H148">
        <v>2320744524</v>
      </c>
      <c r="I148">
        <v>2489812988</v>
      </c>
      <c r="J148">
        <v>2626735412</v>
      </c>
      <c r="K148">
        <v>2789228645</v>
      </c>
      <c r="L148">
        <v>2945910800</v>
      </c>
      <c r="M148">
        <v>3095168202</v>
      </c>
      <c r="N148">
        <v>3236666971</v>
      </c>
      <c r="O148">
        <v>3372401316</v>
      </c>
      <c r="P148">
        <v>3503843781</v>
      </c>
      <c r="Q148">
        <v>3619565323</v>
      </c>
    </row>
    <row r="149" spans="1:17" x14ac:dyDescent="0.25">
      <c r="A149" t="s">
        <v>5</v>
      </c>
      <c r="B149" t="s">
        <v>6</v>
      </c>
      <c r="C149" t="s">
        <v>7</v>
      </c>
      <c r="D149" t="s">
        <v>160</v>
      </c>
      <c r="E149" t="s">
        <v>158</v>
      </c>
      <c r="F149">
        <v>1328809018</v>
      </c>
      <c r="G149">
        <v>1415096080</v>
      </c>
      <c r="H149">
        <v>1525552222</v>
      </c>
      <c r="I149">
        <v>1644502676</v>
      </c>
      <c r="J149">
        <v>1742511707</v>
      </c>
      <c r="K149">
        <v>1857121101</v>
      </c>
      <c r="L149">
        <v>1967903050</v>
      </c>
      <c r="M149">
        <v>2073796324</v>
      </c>
      <c r="N149">
        <v>2174433936</v>
      </c>
      <c r="O149">
        <v>2271120178</v>
      </c>
      <c r="P149">
        <v>2364854330</v>
      </c>
      <c r="Q149">
        <v>2447337463</v>
      </c>
    </row>
    <row r="150" spans="1:17" x14ac:dyDescent="0.25">
      <c r="A150" t="s">
        <v>5</v>
      </c>
      <c r="B150" t="s">
        <v>6</v>
      </c>
      <c r="C150" t="s">
        <v>7</v>
      </c>
      <c r="D150" t="s">
        <v>161</v>
      </c>
      <c r="E150" t="s">
        <v>158</v>
      </c>
      <c r="F150">
        <v>1899871812</v>
      </c>
      <c r="G150">
        <v>1965541830</v>
      </c>
      <c r="H150">
        <v>2158874197</v>
      </c>
      <c r="I150">
        <v>2355087982</v>
      </c>
      <c r="J150">
        <v>2515246069</v>
      </c>
      <c r="K150">
        <v>2710332505</v>
      </c>
      <c r="L150">
        <v>2885912385</v>
      </c>
      <c r="M150">
        <v>3044516990</v>
      </c>
      <c r="N150">
        <v>3187898268</v>
      </c>
      <c r="O150">
        <v>3316649695</v>
      </c>
      <c r="P150">
        <v>3437385676</v>
      </c>
      <c r="Q150">
        <v>3542577393</v>
      </c>
    </row>
    <row r="151" spans="1:17" x14ac:dyDescent="0.25">
      <c r="A151" t="s">
        <v>5</v>
      </c>
      <c r="B151" t="s">
        <v>6</v>
      </c>
      <c r="C151" t="s">
        <v>7</v>
      </c>
      <c r="D151" t="s">
        <v>162</v>
      </c>
      <c r="E151" t="s">
        <v>158</v>
      </c>
      <c r="F151">
        <v>634884469.5</v>
      </c>
      <c r="G151">
        <v>657032868.89999998</v>
      </c>
      <c r="H151">
        <v>718751463.5</v>
      </c>
      <c r="I151">
        <v>783252152.70000005</v>
      </c>
      <c r="J151">
        <v>836813662.39999998</v>
      </c>
      <c r="K151">
        <v>903984035.5</v>
      </c>
      <c r="L151">
        <v>966068074.29999995</v>
      </c>
      <c r="M151">
        <v>1023743768</v>
      </c>
      <c r="N151">
        <v>1077364761</v>
      </c>
      <c r="O151">
        <v>1126468319</v>
      </c>
      <c r="P151">
        <v>1173215785</v>
      </c>
      <c r="Q151">
        <v>1214686619</v>
      </c>
    </row>
    <row r="152" spans="1:17" x14ac:dyDescent="0.25">
      <c r="A152" t="s">
        <v>5</v>
      </c>
      <c r="B152" t="s">
        <v>6</v>
      </c>
      <c r="C152" t="s">
        <v>7</v>
      </c>
      <c r="D152" t="s">
        <v>163</v>
      </c>
      <c r="E152" t="s">
        <v>158</v>
      </c>
      <c r="F152">
        <v>1227120150</v>
      </c>
      <c r="G152">
        <v>1276332096</v>
      </c>
      <c r="H152">
        <v>1371707869</v>
      </c>
      <c r="I152">
        <v>1466864777</v>
      </c>
      <c r="J152">
        <v>1548333642</v>
      </c>
      <c r="K152">
        <v>1638621430</v>
      </c>
      <c r="L152">
        <v>1718967625</v>
      </c>
      <c r="M152">
        <v>1790617478</v>
      </c>
      <c r="N152">
        <v>1854589668</v>
      </c>
      <c r="O152">
        <v>1912420417</v>
      </c>
      <c r="P152">
        <v>1967226505</v>
      </c>
      <c r="Q152">
        <v>2014715532</v>
      </c>
    </row>
    <row r="153" spans="1:17" x14ac:dyDescent="0.25">
      <c r="A153" t="s">
        <v>5</v>
      </c>
      <c r="B153" t="s">
        <v>6</v>
      </c>
      <c r="C153" t="s">
        <v>7</v>
      </c>
      <c r="D153" t="s">
        <v>164</v>
      </c>
      <c r="E153" t="s">
        <v>158</v>
      </c>
      <c r="F153">
        <v>2964796273</v>
      </c>
      <c r="G153">
        <v>3093324637</v>
      </c>
      <c r="H153">
        <v>3266005239</v>
      </c>
      <c r="I153">
        <v>3444758405</v>
      </c>
      <c r="J153">
        <v>3609207535</v>
      </c>
      <c r="K153">
        <v>3782931231</v>
      </c>
      <c r="L153">
        <v>3941963082</v>
      </c>
      <c r="M153">
        <v>4087745978</v>
      </c>
      <c r="N153">
        <v>4221397135</v>
      </c>
      <c r="O153">
        <v>4345711900</v>
      </c>
      <c r="P153">
        <v>4466330942</v>
      </c>
      <c r="Q153">
        <v>4572430855</v>
      </c>
    </row>
    <row r="154" spans="1:17" x14ac:dyDescent="0.25">
      <c r="A154" t="s">
        <v>5</v>
      </c>
      <c r="B154" t="s">
        <v>6</v>
      </c>
      <c r="C154" t="s">
        <v>7</v>
      </c>
      <c r="D154" t="s">
        <v>165</v>
      </c>
      <c r="E154" t="s">
        <v>166</v>
      </c>
      <c r="F154">
        <v>210.73621990000001</v>
      </c>
      <c r="G154">
        <v>210.67281750000001</v>
      </c>
      <c r="H154">
        <v>219.7428238</v>
      </c>
      <c r="I154">
        <v>209.0703245</v>
      </c>
      <c r="J154">
        <v>229.03804099999999</v>
      </c>
      <c r="K154">
        <v>241.612368</v>
      </c>
      <c r="L154">
        <v>262.7502058</v>
      </c>
      <c r="M154">
        <v>282.46639809999999</v>
      </c>
      <c r="N154">
        <v>295.75433600000002</v>
      </c>
      <c r="O154">
        <v>303.57725529999999</v>
      </c>
      <c r="P154">
        <v>307.81063590000002</v>
      </c>
      <c r="Q154">
        <v>311.25826289999998</v>
      </c>
    </row>
    <row r="155" spans="1:17" x14ac:dyDescent="0.25">
      <c r="A155" t="s">
        <v>5</v>
      </c>
      <c r="B155" t="s">
        <v>6</v>
      </c>
      <c r="C155" t="s">
        <v>7</v>
      </c>
      <c r="D155" t="s">
        <v>167</v>
      </c>
      <c r="E155" t="s">
        <v>166</v>
      </c>
      <c r="F155">
        <v>276.99444990000001</v>
      </c>
      <c r="G155">
        <v>281.86982749999999</v>
      </c>
      <c r="H155">
        <v>305.16773810000001</v>
      </c>
      <c r="I155">
        <v>307.45988540000002</v>
      </c>
      <c r="J155">
        <v>324.32651120000003</v>
      </c>
      <c r="K155">
        <v>339.48340109999998</v>
      </c>
      <c r="L155">
        <v>381.52946200000002</v>
      </c>
      <c r="M155">
        <v>409.16527960000002</v>
      </c>
      <c r="N155">
        <v>427.93678979999999</v>
      </c>
      <c r="O155">
        <v>440.45438789999997</v>
      </c>
      <c r="P155">
        <v>449.3877549</v>
      </c>
      <c r="Q155">
        <v>457.12108460000002</v>
      </c>
    </row>
    <row r="156" spans="1:17" x14ac:dyDescent="0.25">
      <c r="A156" t="s">
        <v>5</v>
      </c>
      <c r="B156" t="s">
        <v>6</v>
      </c>
      <c r="C156" t="s">
        <v>7</v>
      </c>
      <c r="D156" t="s">
        <v>168</v>
      </c>
      <c r="E156" t="s">
        <v>166</v>
      </c>
      <c r="F156">
        <v>31.611642809999999</v>
      </c>
      <c r="G156">
        <v>33.274156179999999</v>
      </c>
      <c r="H156">
        <v>35.018825280000001</v>
      </c>
      <c r="I156">
        <v>38.066333090000001</v>
      </c>
      <c r="J156">
        <v>42.30690602</v>
      </c>
      <c r="K156">
        <v>47.584571910000001</v>
      </c>
      <c r="L156">
        <v>53.727670750000001</v>
      </c>
      <c r="M156">
        <v>60.30349992</v>
      </c>
      <c r="N156">
        <v>65.108672870000007</v>
      </c>
      <c r="O156">
        <v>67.373506829999997</v>
      </c>
      <c r="P156">
        <v>69.876897490000005</v>
      </c>
      <c r="Q156">
        <v>72.116811709999993</v>
      </c>
    </row>
    <row r="157" spans="1:17" x14ac:dyDescent="0.25">
      <c r="A157" t="s">
        <v>5</v>
      </c>
      <c r="B157" t="s">
        <v>6</v>
      </c>
      <c r="C157" t="s">
        <v>7</v>
      </c>
      <c r="D157" t="s">
        <v>169</v>
      </c>
      <c r="E157" t="s">
        <v>166</v>
      </c>
      <c r="F157">
        <v>2.8497768E-2</v>
      </c>
      <c r="G157">
        <v>2.9561117000000001E-2</v>
      </c>
      <c r="H157">
        <v>3.3446557000000002E-2</v>
      </c>
      <c r="I157">
        <v>3.3279857000000003E-2</v>
      </c>
      <c r="J157">
        <v>4.4032091000000002E-2</v>
      </c>
      <c r="K157">
        <v>4.853068E-2</v>
      </c>
      <c r="L157">
        <v>5.3324770000000001E-2</v>
      </c>
      <c r="M157">
        <v>5.7008501000000003E-2</v>
      </c>
      <c r="N157">
        <v>6.1246307E-2</v>
      </c>
      <c r="O157">
        <v>6.6104488000000003E-2</v>
      </c>
      <c r="P157">
        <v>7.0764234999999995E-2</v>
      </c>
      <c r="Q157">
        <v>7.4583414000000001E-2</v>
      </c>
    </row>
    <row r="158" spans="1:17" x14ac:dyDescent="0.25">
      <c r="A158" t="s">
        <v>5</v>
      </c>
      <c r="B158" t="s">
        <v>6</v>
      </c>
      <c r="C158" t="s">
        <v>7</v>
      </c>
      <c r="D158" t="s">
        <v>170</v>
      </c>
      <c r="E158" t="s">
        <v>166</v>
      </c>
      <c r="F158">
        <v>34.848012939999997</v>
      </c>
      <c r="G158">
        <v>32.044819740000001</v>
      </c>
      <c r="H158">
        <v>30.668288889999999</v>
      </c>
      <c r="I158">
        <v>33.908524829999998</v>
      </c>
      <c r="J158">
        <v>36.299456579999998</v>
      </c>
      <c r="K158">
        <v>37.602582400000003</v>
      </c>
      <c r="L158">
        <v>38.704724380000002</v>
      </c>
      <c r="M158">
        <v>39.60924833</v>
      </c>
      <c r="N158">
        <v>40.380747599999999</v>
      </c>
      <c r="O158">
        <v>41.056807130000003</v>
      </c>
      <c r="P158">
        <v>41.816345750000004</v>
      </c>
      <c r="Q158">
        <v>42.521150910000003</v>
      </c>
    </row>
    <row r="159" spans="1:17" x14ac:dyDescent="0.25">
      <c r="A159" t="s">
        <v>5</v>
      </c>
      <c r="B159" t="s">
        <v>6</v>
      </c>
      <c r="C159" t="s">
        <v>7</v>
      </c>
      <c r="D159" t="s">
        <v>171</v>
      </c>
      <c r="E159" t="s">
        <v>166</v>
      </c>
      <c r="F159">
        <v>32.239881150000002</v>
      </c>
      <c r="G159">
        <v>32.238485830000002</v>
      </c>
      <c r="H159">
        <v>34.313657970000001</v>
      </c>
      <c r="I159">
        <v>33.616624170000001</v>
      </c>
      <c r="J159">
        <v>41.70438171</v>
      </c>
      <c r="K159">
        <v>48.519171559999997</v>
      </c>
      <c r="L159">
        <v>52.790605030000002</v>
      </c>
      <c r="M159">
        <v>52.461121079999998</v>
      </c>
      <c r="N159">
        <v>53.176688429999999</v>
      </c>
      <c r="O159">
        <v>56.532814160000001</v>
      </c>
      <c r="P159">
        <v>60.649341630000002</v>
      </c>
      <c r="Q159">
        <v>63.930915939999998</v>
      </c>
    </row>
    <row r="160" spans="1:17" x14ac:dyDescent="0.25">
      <c r="A160" t="s">
        <v>5</v>
      </c>
      <c r="B160" t="s">
        <v>6</v>
      </c>
      <c r="C160" t="s">
        <v>7</v>
      </c>
      <c r="D160" t="s">
        <v>172</v>
      </c>
      <c r="E160" t="s">
        <v>166</v>
      </c>
      <c r="F160">
        <v>36.18647764</v>
      </c>
      <c r="G160">
        <v>36.489939960000001</v>
      </c>
      <c r="H160">
        <v>39.325782850000003</v>
      </c>
      <c r="I160">
        <v>39.330330680000003</v>
      </c>
      <c r="J160">
        <v>47.498914499999998</v>
      </c>
      <c r="K160">
        <v>54.584873139999999</v>
      </c>
      <c r="L160">
        <v>60.016547279999997</v>
      </c>
      <c r="M160">
        <v>60.165631679999997</v>
      </c>
      <c r="N160">
        <v>61.268230799999998</v>
      </c>
      <c r="O160">
        <v>64.990695110000004</v>
      </c>
      <c r="P160">
        <v>69.481394870000003</v>
      </c>
      <c r="Q160">
        <v>73.09776832</v>
      </c>
    </row>
    <row r="161" spans="1:17" x14ac:dyDescent="0.25">
      <c r="A161" t="s">
        <v>5</v>
      </c>
      <c r="B161" t="s">
        <v>6</v>
      </c>
      <c r="C161" t="s">
        <v>7</v>
      </c>
      <c r="D161" t="s">
        <v>173</v>
      </c>
      <c r="E161" t="s">
        <v>166</v>
      </c>
      <c r="F161">
        <v>1.885588942</v>
      </c>
      <c r="G161">
        <v>1.9839363969999999</v>
      </c>
      <c r="H161">
        <v>2.0999123370000001</v>
      </c>
      <c r="I161">
        <v>2.2882438060000001</v>
      </c>
      <c r="J161">
        <v>2.5552583969999998</v>
      </c>
      <c r="K161">
        <v>2.877962766</v>
      </c>
      <c r="L161">
        <v>3.2537032520000002</v>
      </c>
      <c r="M161">
        <v>3.6551898139999999</v>
      </c>
      <c r="N161">
        <v>3.9619500319999998</v>
      </c>
      <c r="O161">
        <v>4.1311494529999999</v>
      </c>
      <c r="P161">
        <v>4.3225152080000004</v>
      </c>
      <c r="Q161">
        <v>4.5001378489999997</v>
      </c>
    </row>
    <row r="162" spans="1:17" x14ac:dyDescent="0.25">
      <c r="A162" t="s">
        <v>5</v>
      </c>
      <c r="B162" t="s">
        <v>6</v>
      </c>
      <c r="C162" t="s">
        <v>7</v>
      </c>
      <c r="D162" t="s">
        <v>174</v>
      </c>
      <c r="E162" t="s">
        <v>166</v>
      </c>
      <c r="F162">
        <v>0.21531646900000001</v>
      </c>
      <c r="G162">
        <v>0.22335066100000001</v>
      </c>
      <c r="H162">
        <v>0.25270731800000001</v>
      </c>
      <c r="I162">
        <v>0.25144781199999999</v>
      </c>
      <c r="J162">
        <v>0.33268690899999998</v>
      </c>
      <c r="K162">
        <v>0.36667625199999998</v>
      </c>
      <c r="L162">
        <v>0.40289825899999998</v>
      </c>
      <c r="M162">
        <v>0.43073089399999998</v>
      </c>
      <c r="N162">
        <v>0.46274987299999998</v>
      </c>
      <c r="O162">
        <v>0.499456132</v>
      </c>
      <c r="P162">
        <v>0.53466310800000005</v>
      </c>
      <c r="Q162">
        <v>0.56351912900000001</v>
      </c>
    </row>
    <row r="163" spans="1:17" x14ac:dyDescent="0.25">
      <c r="A163" t="s">
        <v>5</v>
      </c>
      <c r="B163" t="s">
        <v>6</v>
      </c>
      <c r="C163" t="s">
        <v>7</v>
      </c>
      <c r="D163" t="s">
        <v>175</v>
      </c>
      <c r="E163" t="s">
        <v>166</v>
      </c>
      <c r="F163">
        <v>0.38294519700000001</v>
      </c>
      <c r="G163">
        <v>0.35214087599999999</v>
      </c>
      <c r="H163">
        <v>0.337014164</v>
      </c>
      <c r="I163">
        <v>0.37262115200000001</v>
      </c>
      <c r="J163">
        <v>0.39889512700000002</v>
      </c>
      <c r="K163">
        <v>0.41321519099999998</v>
      </c>
      <c r="L163">
        <v>0.42532664199999998</v>
      </c>
      <c r="M163">
        <v>0.43526646499999999</v>
      </c>
      <c r="N163">
        <v>0.44374447900000002</v>
      </c>
      <c r="O163">
        <v>0.45117370499999998</v>
      </c>
      <c r="P163">
        <v>0.45952028299999997</v>
      </c>
      <c r="Q163">
        <v>0.46726539499999997</v>
      </c>
    </row>
    <row r="164" spans="1:17" x14ac:dyDescent="0.25">
      <c r="A164" t="s">
        <v>5</v>
      </c>
      <c r="B164" t="s">
        <v>6</v>
      </c>
      <c r="C164" t="s">
        <v>7</v>
      </c>
      <c r="D164" t="s">
        <v>176</v>
      </c>
      <c r="E164" t="s">
        <v>166</v>
      </c>
      <c r="F164">
        <v>6.178279785</v>
      </c>
      <c r="G164">
        <v>6.1841300370000001</v>
      </c>
      <c r="H164">
        <v>7.0977361959999996</v>
      </c>
      <c r="I164">
        <v>7.6752267200000004</v>
      </c>
      <c r="J164">
        <v>13.08052715</v>
      </c>
      <c r="K164">
        <v>17.977134</v>
      </c>
      <c r="L164">
        <v>19.397136589999999</v>
      </c>
      <c r="M164">
        <v>16.7785276</v>
      </c>
      <c r="N164">
        <v>15.884821390000001</v>
      </c>
      <c r="O164">
        <v>17.968908039999999</v>
      </c>
      <c r="P164">
        <v>21.133240499999999</v>
      </c>
      <c r="Q164">
        <v>23.642518209999999</v>
      </c>
    </row>
    <row r="165" spans="1:17" x14ac:dyDescent="0.25">
      <c r="A165" t="s">
        <v>5</v>
      </c>
      <c r="B165" t="s">
        <v>6</v>
      </c>
      <c r="C165" t="s">
        <v>7</v>
      </c>
      <c r="D165" t="s">
        <v>177</v>
      </c>
      <c r="E165" t="s">
        <v>166</v>
      </c>
      <c r="F165">
        <v>6.6901709709999997</v>
      </c>
      <c r="G165">
        <v>6.7341081669999996</v>
      </c>
      <c r="H165">
        <v>7.7585684380000002</v>
      </c>
      <c r="I165">
        <v>8.4371734899999993</v>
      </c>
      <c r="J165">
        <v>13.8220788</v>
      </c>
      <c r="K165">
        <v>18.759372129999999</v>
      </c>
      <c r="L165">
        <v>20.360530149999999</v>
      </c>
      <c r="M165">
        <v>17.82011082</v>
      </c>
      <c r="N165">
        <v>16.99511862</v>
      </c>
      <c r="O165">
        <v>19.142637870000001</v>
      </c>
      <c r="P165">
        <v>22.362199050000001</v>
      </c>
      <c r="Q165">
        <v>24.91640885</v>
      </c>
    </row>
    <row r="166" spans="1:17" x14ac:dyDescent="0.25">
      <c r="A166" t="s">
        <v>5</v>
      </c>
      <c r="B166" t="s">
        <v>6</v>
      </c>
      <c r="C166" t="s">
        <v>7</v>
      </c>
      <c r="D166" t="s">
        <v>178</v>
      </c>
      <c r="E166" t="s">
        <v>166</v>
      </c>
      <c r="F166">
        <v>5.0374952000000001E-2</v>
      </c>
      <c r="G166">
        <v>5.3426137999999998E-2</v>
      </c>
      <c r="H166">
        <v>5.6774302999999998E-2</v>
      </c>
      <c r="I166">
        <v>6.2108364999999999E-2</v>
      </c>
      <c r="J166">
        <v>6.9535077000000001E-2</v>
      </c>
      <c r="K166">
        <v>7.8643217000000001E-2</v>
      </c>
      <c r="L166">
        <v>8.9265792999999996E-2</v>
      </c>
      <c r="M166">
        <v>0.100817661</v>
      </c>
      <c r="N166">
        <v>0.109795052</v>
      </c>
      <c r="O166">
        <v>0.115038943</v>
      </c>
      <c r="P166">
        <v>0.121053942</v>
      </c>
      <c r="Q166">
        <v>0.12678790700000001</v>
      </c>
    </row>
    <row r="167" spans="1:17" x14ac:dyDescent="0.25">
      <c r="A167" t="s">
        <v>5</v>
      </c>
      <c r="B167" t="s">
        <v>6</v>
      </c>
      <c r="C167" t="s">
        <v>7</v>
      </c>
      <c r="D167" t="s">
        <v>179</v>
      </c>
      <c r="E167" t="s">
        <v>166</v>
      </c>
      <c r="F167">
        <v>1.0215510000000001E-3</v>
      </c>
      <c r="G167">
        <v>1.085808E-3</v>
      </c>
      <c r="H167">
        <v>1.2409140000000001E-3</v>
      </c>
      <c r="I167">
        <v>1.1559910000000001E-3</v>
      </c>
      <c r="J167">
        <v>1.560926E-3</v>
      </c>
      <c r="K167">
        <v>1.7365379999999999E-3</v>
      </c>
      <c r="L167">
        <v>1.926273E-3</v>
      </c>
      <c r="M167">
        <v>2.0697559999999999E-3</v>
      </c>
      <c r="N167">
        <v>2.238262E-3</v>
      </c>
      <c r="O167">
        <v>2.4356759999999999E-3</v>
      </c>
      <c r="P167">
        <v>2.6272370000000001E-3</v>
      </c>
      <c r="Q167">
        <v>2.785048E-3</v>
      </c>
    </row>
    <row r="168" spans="1:17" x14ac:dyDescent="0.25">
      <c r="A168" t="s">
        <v>5</v>
      </c>
      <c r="B168" t="s">
        <v>6</v>
      </c>
      <c r="C168" t="s">
        <v>7</v>
      </c>
      <c r="D168" t="s">
        <v>180</v>
      </c>
      <c r="E168" t="s">
        <v>166</v>
      </c>
      <c r="F168">
        <v>0.38294519700000001</v>
      </c>
      <c r="G168">
        <v>0.35214087599999999</v>
      </c>
      <c r="H168">
        <v>0.337014164</v>
      </c>
      <c r="I168">
        <v>0.37262115200000001</v>
      </c>
      <c r="J168">
        <v>0.39889512700000002</v>
      </c>
      <c r="K168">
        <v>0.41321519099999998</v>
      </c>
      <c r="L168">
        <v>0.42532664199999998</v>
      </c>
      <c r="M168">
        <v>0.43526646499999999</v>
      </c>
      <c r="N168">
        <v>0.44374447900000002</v>
      </c>
      <c r="O168">
        <v>0.45117370499999998</v>
      </c>
      <c r="P168">
        <v>0.45952028299999997</v>
      </c>
      <c r="Q168">
        <v>0.46726539499999997</v>
      </c>
    </row>
    <row r="169" spans="1:17" x14ac:dyDescent="0.25">
      <c r="A169" t="s">
        <v>5</v>
      </c>
      <c r="B169" t="s">
        <v>6</v>
      </c>
      <c r="C169" t="s">
        <v>7</v>
      </c>
      <c r="D169" t="s">
        <v>181</v>
      </c>
      <c r="E169" t="s">
        <v>166</v>
      </c>
      <c r="F169">
        <v>8.8594120180000004</v>
      </c>
      <c r="G169">
        <v>8.8572042280000005</v>
      </c>
      <c r="H169">
        <v>9.2765834139999992</v>
      </c>
      <c r="I169">
        <v>8.8772686239999992</v>
      </c>
      <c r="J169">
        <v>9.9673796800000005</v>
      </c>
      <c r="K169">
        <v>10.73679443</v>
      </c>
      <c r="L169">
        <v>11.674669310000001</v>
      </c>
      <c r="M169">
        <v>12.33637792</v>
      </c>
      <c r="N169">
        <v>12.8238156</v>
      </c>
      <c r="O169">
        <v>13.250397830000001</v>
      </c>
      <c r="P169">
        <v>13.5926749</v>
      </c>
      <c r="Q169">
        <v>13.87007904</v>
      </c>
    </row>
    <row r="170" spans="1:17" x14ac:dyDescent="0.25">
      <c r="A170" t="s">
        <v>5</v>
      </c>
      <c r="B170" t="s">
        <v>6</v>
      </c>
      <c r="C170" t="s">
        <v>7</v>
      </c>
      <c r="D170" t="s">
        <v>182</v>
      </c>
      <c r="E170" t="s">
        <v>166</v>
      </c>
      <c r="F170">
        <v>9.3845073320000001</v>
      </c>
      <c r="G170">
        <v>9.4204500969999998</v>
      </c>
      <c r="H170">
        <v>9.9402827820000006</v>
      </c>
      <c r="I170">
        <v>9.6350773249999992</v>
      </c>
      <c r="J170">
        <v>10.72574796</v>
      </c>
      <c r="K170">
        <v>11.526130240000001</v>
      </c>
      <c r="L170">
        <v>12.618758420000001</v>
      </c>
      <c r="M170">
        <v>13.34162134</v>
      </c>
      <c r="N170">
        <v>13.874330949999999</v>
      </c>
      <c r="O170">
        <v>14.342554489999999</v>
      </c>
      <c r="P170">
        <v>14.728316339999999</v>
      </c>
      <c r="Q170">
        <v>15.04531469</v>
      </c>
    </row>
    <row r="171" spans="1:17" x14ac:dyDescent="0.25">
      <c r="A171" t="s">
        <v>5</v>
      </c>
      <c r="B171" t="s">
        <v>6</v>
      </c>
      <c r="C171" t="s">
        <v>7</v>
      </c>
      <c r="D171" t="s">
        <v>183</v>
      </c>
      <c r="E171" t="s">
        <v>166</v>
      </c>
      <c r="F171">
        <v>1.0610140000000001E-3</v>
      </c>
      <c r="G171">
        <v>1.6393079999999999E-3</v>
      </c>
      <c r="H171">
        <v>2.5818400000000002E-3</v>
      </c>
      <c r="I171">
        <v>3.3890280000000001E-3</v>
      </c>
      <c r="J171">
        <v>4.5732639999999996E-3</v>
      </c>
      <c r="K171">
        <v>5.7615959999999999E-3</v>
      </c>
      <c r="L171">
        <v>7.1737399999999996E-3</v>
      </c>
      <c r="M171">
        <v>8.9167770000000007E-3</v>
      </c>
      <c r="N171">
        <v>1.1048684E-2</v>
      </c>
      <c r="O171">
        <v>1.3667202E-2</v>
      </c>
      <c r="P171">
        <v>1.6899325999999999E-2</v>
      </c>
      <c r="Q171">
        <v>2.0328240000000001E-2</v>
      </c>
    </row>
    <row r="172" spans="1:17" x14ac:dyDescent="0.25">
      <c r="A172" t="s">
        <v>5</v>
      </c>
      <c r="B172" t="s">
        <v>6</v>
      </c>
      <c r="C172" t="s">
        <v>7</v>
      </c>
      <c r="D172" t="s">
        <v>184</v>
      </c>
      <c r="E172" t="s">
        <v>166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25">
      <c r="A173" t="s">
        <v>5</v>
      </c>
      <c r="B173" t="s">
        <v>6</v>
      </c>
      <c r="C173" t="s">
        <v>7</v>
      </c>
      <c r="D173" t="s">
        <v>185</v>
      </c>
      <c r="E173" t="s">
        <v>166</v>
      </c>
      <c r="F173">
        <v>2.2976712E-2</v>
      </c>
      <c r="G173">
        <v>2.1128452999999998E-2</v>
      </c>
      <c r="H173">
        <v>2.0220849999999999E-2</v>
      </c>
      <c r="I173">
        <v>2.2357268999999999E-2</v>
      </c>
      <c r="J173">
        <v>2.3933708000000001E-2</v>
      </c>
      <c r="K173">
        <v>2.4792911000000001E-2</v>
      </c>
      <c r="L173">
        <v>2.5519598000000001E-2</v>
      </c>
      <c r="M173">
        <v>2.6115988E-2</v>
      </c>
      <c r="N173">
        <v>2.6624669E-2</v>
      </c>
      <c r="O173">
        <v>2.7070422E-2</v>
      </c>
      <c r="P173">
        <v>2.7571216999999999E-2</v>
      </c>
      <c r="Q173">
        <v>2.8035924E-2</v>
      </c>
    </row>
    <row r="174" spans="1:17" x14ac:dyDescent="0.25">
      <c r="A174" t="s">
        <v>5</v>
      </c>
      <c r="B174" t="s">
        <v>6</v>
      </c>
      <c r="C174" t="s">
        <v>7</v>
      </c>
      <c r="D174" t="s">
        <v>186</v>
      </c>
      <c r="E174" t="s">
        <v>166</v>
      </c>
      <c r="F174">
        <v>41.512703620000003</v>
      </c>
      <c r="G174">
        <v>41.500549319999998</v>
      </c>
      <c r="H174">
        <v>43.427120680000002</v>
      </c>
      <c r="I174">
        <v>41.533144950000001</v>
      </c>
      <c r="J174">
        <v>46.645802789999998</v>
      </c>
      <c r="K174">
        <v>50.065212039999999</v>
      </c>
      <c r="L174">
        <v>54.265331410000002</v>
      </c>
      <c r="M174">
        <v>57.386273639999999</v>
      </c>
      <c r="N174">
        <v>59.730912779999997</v>
      </c>
      <c r="O174">
        <v>61.735596350000002</v>
      </c>
      <c r="P174">
        <v>63.322815929999997</v>
      </c>
      <c r="Q174">
        <v>64.594562850000003</v>
      </c>
    </row>
    <row r="175" spans="1:17" x14ac:dyDescent="0.25">
      <c r="A175" t="s">
        <v>5</v>
      </c>
      <c r="B175" t="s">
        <v>6</v>
      </c>
      <c r="C175" t="s">
        <v>7</v>
      </c>
      <c r="D175" t="s">
        <v>187</v>
      </c>
      <c r="E175" t="s">
        <v>166</v>
      </c>
      <c r="F175">
        <v>51.519079670000004</v>
      </c>
      <c r="G175">
        <v>52.255074559999997</v>
      </c>
      <c r="H175">
        <v>56.326214659999998</v>
      </c>
      <c r="I175">
        <v>56.386218120000002</v>
      </c>
      <c r="J175">
        <v>61.060168130000001</v>
      </c>
      <c r="K175">
        <v>64.899684820000004</v>
      </c>
      <c r="L175">
        <v>72.260189060000002</v>
      </c>
      <c r="M175">
        <v>76.585485090000006</v>
      </c>
      <c r="N175">
        <v>79.785218950000001</v>
      </c>
      <c r="O175">
        <v>82.534969689999997</v>
      </c>
      <c r="P175">
        <v>84.864388809999994</v>
      </c>
      <c r="Q175">
        <v>86.806061630000002</v>
      </c>
    </row>
    <row r="176" spans="1:17" x14ac:dyDescent="0.25">
      <c r="A176" t="s">
        <v>5</v>
      </c>
      <c r="B176" t="s">
        <v>6</v>
      </c>
      <c r="C176" t="s">
        <v>7</v>
      </c>
      <c r="D176" t="s">
        <v>188</v>
      </c>
      <c r="E176" t="s">
        <v>166</v>
      </c>
      <c r="F176">
        <v>5.6675229999999998E-3</v>
      </c>
      <c r="G176">
        <v>6.4696479999999997E-3</v>
      </c>
      <c r="H176">
        <v>8.4415540000000004E-3</v>
      </c>
      <c r="I176">
        <v>1.0132363E-2</v>
      </c>
      <c r="J176">
        <v>1.2850225E-2</v>
      </c>
      <c r="K176">
        <v>1.5347183E-2</v>
      </c>
      <c r="L176">
        <v>1.8291488000000002E-2</v>
      </c>
      <c r="M176">
        <v>2.1644680999999999E-2</v>
      </c>
      <c r="N176">
        <v>2.5816051E-2</v>
      </c>
      <c r="O176">
        <v>3.0985131999999999E-2</v>
      </c>
      <c r="P176">
        <v>3.7320159999999998E-2</v>
      </c>
      <c r="Q176">
        <v>4.3945536E-2</v>
      </c>
    </row>
    <row r="177" spans="1:17" x14ac:dyDescent="0.25">
      <c r="A177" t="s">
        <v>5</v>
      </c>
      <c r="B177" t="s">
        <v>6</v>
      </c>
      <c r="C177" t="s">
        <v>7</v>
      </c>
      <c r="D177" t="s">
        <v>189</v>
      </c>
      <c r="E177" t="s">
        <v>166</v>
      </c>
      <c r="F177">
        <v>1.6623697999999999E-2</v>
      </c>
      <c r="G177">
        <v>1.7243985E-2</v>
      </c>
      <c r="H177">
        <v>1.9510491000000001E-2</v>
      </c>
      <c r="I177">
        <v>1.941325E-2</v>
      </c>
      <c r="J177">
        <v>2.5685386000000001E-2</v>
      </c>
      <c r="K177">
        <v>2.8309563999999999E-2</v>
      </c>
      <c r="L177">
        <v>3.1106116E-2</v>
      </c>
      <c r="M177">
        <v>3.3254959000000001E-2</v>
      </c>
      <c r="N177">
        <v>3.5727012000000002E-2</v>
      </c>
      <c r="O177">
        <v>3.8560951000000003E-2</v>
      </c>
      <c r="P177">
        <v>4.1279137E-2</v>
      </c>
      <c r="Q177">
        <v>4.3506992000000001E-2</v>
      </c>
    </row>
    <row r="178" spans="1:17" x14ac:dyDescent="0.25">
      <c r="A178" t="s">
        <v>5</v>
      </c>
      <c r="B178" t="s">
        <v>6</v>
      </c>
      <c r="C178" t="s">
        <v>7</v>
      </c>
      <c r="D178" t="s">
        <v>190</v>
      </c>
      <c r="E178" t="s">
        <v>166</v>
      </c>
      <c r="F178">
        <v>0.76589039400000003</v>
      </c>
      <c r="G178">
        <v>0.70428175199999998</v>
      </c>
      <c r="H178">
        <v>0.67402832700000004</v>
      </c>
      <c r="I178">
        <v>0.74524230400000002</v>
      </c>
      <c r="J178">
        <v>0.797790255</v>
      </c>
      <c r="K178">
        <v>0.82643038300000005</v>
      </c>
      <c r="L178">
        <v>0.85065328299999998</v>
      </c>
      <c r="M178">
        <v>0.87053292999999998</v>
      </c>
      <c r="N178">
        <v>0.88748895800000005</v>
      </c>
      <c r="O178">
        <v>0.90234740999999996</v>
      </c>
      <c r="P178">
        <v>0.91904056599999995</v>
      </c>
      <c r="Q178">
        <v>0.93453078899999997</v>
      </c>
    </row>
    <row r="179" spans="1:17" x14ac:dyDescent="0.25">
      <c r="A179" t="s">
        <v>5</v>
      </c>
      <c r="B179" t="s">
        <v>6</v>
      </c>
      <c r="C179" t="s">
        <v>7</v>
      </c>
      <c r="D179" t="s">
        <v>191</v>
      </c>
      <c r="E179" t="s">
        <v>166</v>
      </c>
      <c r="F179">
        <v>739.2379062</v>
      </c>
      <c r="G179">
        <v>771.24682499999994</v>
      </c>
      <c r="H179">
        <v>816.21778979999999</v>
      </c>
      <c r="I179">
        <v>864.81468099999995</v>
      </c>
      <c r="J179">
        <v>903.92906049999999</v>
      </c>
      <c r="K179">
        <v>949.61972149999997</v>
      </c>
      <c r="L179">
        <v>992.18860119999999</v>
      </c>
      <c r="M179">
        <v>1031.7647689999999</v>
      </c>
      <c r="N179">
        <v>1068.73155</v>
      </c>
      <c r="O179">
        <v>1103.8920760000001</v>
      </c>
      <c r="P179">
        <v>1138.2362499999999</v>
      </c>
      <c r="Q179">
        <v>1168.7501999999999</v>
      </c>
    </row>
    <row r="180" spans="1:17" x14ac:dyDescent="0.25">
      <c r="A180" t="s">
        <v>5</v>
      </c>
      <c r="B180" t="s">
        <v>6</v>
      </c>
      <c r="C180" t="s">
        <v>7</v>
      </c>
      <c r="D180" t="s">
        <v>192</v>
      </c>
      <c r="E180" t="s">
        <v>166</v>
      </c>
      <c r="F180">
        <v>572.1819064</v>
      </c>
      <c r="G180">
        <v>594.95108919999996</v>
      </c>
      <c r="H180">
        <v>638.64562899999999</v>
      </c>
      <c r="I180">
        <v>683.27268409999999</v>
      </c>
      <c r="J180">
        <v>721.78128030000005</v>
      </c>
      <c r="K180">
        <v>765.59478479999996</v>
      </c>
      <c r="L180">
        <v>805.29490989999999</v>
      </c>
      <c r="M180">
        <v>841.37188649999996</v>
      </c>
      <c r="N180">
        <v>874.18248679999999</v>
      </c>
      <c r="O180">
        <v>904.13570549999997</v>
      </c>
      <c r="P180">
        <v>932.69189689999996</v>
      </c>
      <c r="Q180">
        <v>957.69139740000003</v>
      </c>
    </row>
    <row r="181" spans="1:17" x14ac:dyDescent="0.25">
      <c r="A181" t="s">
        <v>5</v>
      </c>
      <c r="B181" t="s">
        <v>6</v>
      </c>
      <c r="C181" t="s">
        <v>7</v>
      </c>
      <c r="D181" t="s">
        <v>193</v>
      </c>
      <c r="E181" t="s">
        <v>166</v>
      </c>
      <c r="F181">
        <v>55.118592149999998</v>
      </c>
      <c r="G181">
        <v>57.016242699999999</v>
      </c>
      <c r="H181">
        <v>59.876122719999998</v>
      </c>
      <c r="I181">
        <v>62.97835302</v>
      </c>
      <c r="J181">
        <v>65.445020330000006</v>
      </c>
      <c r="K181">
        <v>68.313701570000006</v>
      </c>
      <c r="L181">
        <v>70.916709159999996</v>
      </c>
      <c r="M181">
        <v>73.287362000000002</v>
      </c>
      <c r="N181">
        <v>75.472558509999999</v>
      </c>
      <c r="O181">
        <v>77.534754910000004</v>
      </c>
      <c r="P181">
        <v>79.562323259999999</v>
      </c>
      <c r="Q181">
        <v>81.377735709999996</v>
      </c>
    </row>
    <row r="182" spans="1:17" x14ac:dyDescent="0.25">
      <c r="A182" t="s">
        <v>5</v>
      </c>
      <c r="B182" t="s">
        <v>6</v>
      </c>
      <c r="C182" t="s">
        <v>7</v>
      </c>
      <c r="D182" t="s">
        <v>194</v>
      </c>
      <c r="E182" t="s">
        <v>166</v>
      </c>
      <c r="F182">
        <v>30.439179119999999</v>
      </c>
      <c r="G182">
        <v>31.675921970000001</v>
      </c>
      <c r="H182">
        <v>33.870832669999999</v>
      </c>
      <c r="I182">
        <v>36.119070309999998</v>
      </c>
      <c r="J182">
        <v>38.083975870000003</v>
      </c>
      <c r="K182">
        <v>40.288711769999999</v>
      </c>
      <c r="L182">
        <v>42.291319729999998</v>
      </c>
      <c r="M182">
        <v>44.115203919999999</v>
      </c>
      <c r="N182">
        <v>45.777494580000003</v>
      </c>
      <c r="O182">
        <v>47.301166889999998</v>
      </c>
      <c r="P182">
        <v>48.759281770000001</v>
      </c>
      <c r="Q182">
        <v>50.037540380000003</v>
      </c>
    </row>
    <row r="183" spans="1:17" x14ac:dyDescent="0.25">
      <c r="A183" t="s">
        <v>5</v>
      </c>
      <c r="B183" t="s">
        <v>6</v>
      </c>
      <c r="C183" t="s">
        <v>7</v>
      </c>
      <c r="D183" t="s">
        <v>195</v>
      </c>
      <c r="E183" t="s">
        <v>166</v>
      </c>
      <c r="F183">
        <v>24.640444729999999</v>
      </c>
      <c r="G183">
        <v>25.429542179999999</v>
      </c>
      <c r="H183">
        <v>26.647960990000001</v>
      </c>
      <c r="I183">
        <v>27.971163390000001</v>
      </c>
      <c r="J183">
        <v>29.018694199999999</v>
      </c>
      <c r="K183">
        <v>30.2355038</v>
      </c>
      <c r="L183">
        <v>31.3296642</v>
      </c>
      <c r="M183">
        <v>32.318876099999997</v>
      </c>
      <c r="N183">
        <v>33.226304149999997</v>
      </c>
      <c r="O183">
        <v>34.080171929999999</v>
      </c>
      <c r="P183">
        <v>34.921699060000002</v>
      </c>
      <c r="Q183">
        <v>35.677296130000002</v>
      </c>
    </row>
    <row r="184" spans="1:17" x14ac:dyDescent="0.25">
      <c r="A184" t="s">
        <v>5</v>
      </c>
      <c r="B184" t="s">
        <v>6</v>
      </c>
      <c r="C184" t="s">
        <v>7</v>
      </c>
      <c r="D184" t="s">
        <v>196</v>
      </c>
      <c r="E184" t="s">
        <v>166</v>
      </c>
      <c r="F184">
        <v>21.457876720000002</v>
      </c>
      <c r="G184">
        <v>22.31536019</v>
      </c>
      <c r="H184">
        <v>23.935119270000001</v>
      </c>
      <c r="I184">
        <v>25.5910361</v>
      </c>
      <c r="J184">
        <v>27.023720600000001</v>
      </c>
      <c r="K184">
        <v>28.65029865</v>
      </c>
      <c r="L184">
        <v>30.125484960000001</v>
      </c>
      <c r="M184">
        <v>31.467236750000001</v>
      </c>
      <c r="N184">
        <v>32.688592640000003</v>
      </c>
      <c r="O184">
        <v>33.804793500000002</v>
      </c>
      <c r="P184">
        <v>34.869950879999998</v>
      </c>
      <c r="Q184">
        <v>35.802986650000001</v>
      </c>
    </row>
    <row r="185" spans="1:17" x14ac:dyDescent="0.25">
      <c r="A185" t="s">
        <v>5</v>
      </c>
      <c r="B185" t="s">
        <v>6</v>
      </c>
      <c r="C185" t="s">
        <v>7</v>
      </c>
      <c r="D185" t="s">
        <v>197</v>
      </c>
      <c r="E185" t="s">
        <v>166</v>
      </c>
      <c r="F185">
        <v>15409.97703</v>
      </c>
      <c r="G185">
        <v>16004.451510000001</v>
      </c>
      <c r="H185">
        <v>16867.319810000001</v>
      </c>
      <c r="I185">
        <v>17801.02752</v>
      </c>
      <c r="J185">
        <v>18546.818200000002</v>
      </c>
      <c r="K185">
        <v>19417.636500000001</v>
      </c>
      <c r="L185">
        <v>20218.947100000001</v>
      </c>
      <c r="M185">
        <v>20956.692149999999</v>
      </c>
      <c r="N185">
        <v>21641.487280000001</v>
      </c>
      <c r="O185">
        <v>22290.416990000002</v>
      </c>
      <c r="P185">
        <v>22926.064460000001</v>
      </c>
      <c r="Q185">
        <v>23492.835009999999</v>
      </c>
    </row>
    <row r="186" spans="1:17" x14ac:dyDescent="0.25">
      <c r="A186" t="s">
        <v>5</v>
      </c>
      <c r="B186" t="s">
        <v>6</v>
      </c>
      <c r="C186" t="s">
        <v>7</v>
      </c>
      <c r="D186" t="s">
        <v>198</v>
      </c>
      <c r="E186" t="s">
        <v>166</v>
      </c>
      <c r="F186">
        <v>5740.8691049999998</v>
      </c>
      <c r="G186">
        <v>5969.5860229999998</v>
      </c>
      <c r="H186">
        <v>6405.9858720000002</v>
      </c>
      <c r="I186">
        <v>6852.1094489999996</v>
      </c>
      <c r="J186">
        <v>7237.4804169999998</v>
      </c>
      <c r="K186">
        <v>7675.8170110000001</v>
      </c>
      <c r="L186">
        <v>8073.228564</v>
      </c>
      <c r="M186">
        <v>8434.5672579999991</v>
      </c>
      <c r="N186">
        <v>8763.3521610000007</v>
      </c>
      <c r="O186">
        <v>9063.6275160000005</v>
      </c>
      <c r="P186">
        <v>9349.9854020000002</v>
      </c>
      <c r="Q186">
        <v>9600.7341309999993</v>
      </c>
    </row>
    <row r="187" spans="1:17" x14ac:dyDescent="0.25">
      <c r="A187" t="s">
        <v>5</v>
      </c>
      <c r="B187" t="s">
        <v>6</v>
      </c>
      <c r="C187" t="s">
        <v>7</v>
      </c>
      <c r="D187" t="s">
        <v>199</v>
      </c>
      <c r="E187" t="s">
        <v>166</v>
      </c>
      <c r="F187">
        <v>50.444739570000003</v>
      </c>
      <c r="G187">
        <v>52.423572110000002</v>
      </c>
      <c r="H187">
        <v>55.284232670000002</v>
      </c>
      <c r="I187">
        <v>58.38002315</v>
      </c>
      <c r="J187">
        <v>60.858631879999997</v>
      </c>
      <c r="K187">
        <v>63.749184900000003</v>
      </c>
      <c r="L187">
        <v>66.412917789999995</v>
      </c>
      <c r="M187">
        <v>68.868535829999999</v>
      </c>
      <c r="N187">
        <v>71.14992565</v>
      </c>
      <c r="O187">
        <v>73.312974499999996</v>
      </c>
      <c r="P187">
        <v>75.431317590000006</v>
      </c>
      <c r="Q187">
        <v>77.319267100000005</v>
      </c>
    </row>
    <row r="188" spans="1:17" x14ac:dyDescent="0.25">
      <c r="A188" t="s">
        <v>5</v>
      </c>
      <c r="B188" t="s">
        <v>6</v>
      </c>
      <c r="C188" t="s">
        <v>7</v>
      </c>
      <c r="D188" t="s">
        <v>200</v>
      </c>
      <c r="E188" t="s">
        <v>166</v>
      </c>
      <c r="F188">
        <v>45.420813899999999</v>
      </c>
      <c r="G188">
        <v>47.27762482</v>
      </c>
      <c r="H188">
        <v>50.494366309999997</v>
      </c>
      <c r="I188">
        <v>53.790650079999999</v>
      </c>
      <c r="J188">
        <v>56.682647920000001</v>
      </c>
      <c r="K188">
        <v>59.909605689999999</v>
      </c>
      <c r="L188">
        <v>62.840642320000001</v>
      </c>
      <c r="M188">
        <v>65.509534639999998</v>
      </c>
      <c r="N188">
        <v>67.941213430000005</v>
      </c>
      <c r="O188">
        <v>70.171542079999995</v>
      </c>
      <c r="P188">
        <v>72.307412760000005</v>
      </c>
      <c r="Q188">
        <v>74.179283150000003</v>
      </c>
    </row>
    <row r="189" spans="1:17" x14ac:dyDescent="0.25">
      <c r="A189" t="s">
        <v>5</v>
      </c>
      <c r="B189" t="s">
        <v>6</v>
      </c>
      <c r="C189" t="s">
        <v>7</v>
      </c>
      <c r="D189" t="s">
        <v>201</v>
      </c>
      <c r="E189" t="s">
        <v>166</v>
      </c>
      <c r="F189">
        <v>893.34823029999995</v>
      </c>
      <c r="G189">
        <v>926.17010400000004</v>
      </c>
      <c r="H189">
        <v>974.58229180000001</v>
      </c>
      <c r="I189">
        <v>1027.0298660000001</v>
      </c>
      <c r="J189">
        <v>1068.8541009999999</v>
      </c>
      <c r="K189">
        <v>1117.5914969999999</v>
      </c>
      <c r="L189">
        <v>1162.1729150000001</v>
      </c>
      <c r="M189">
        <v>1203.032025</v>
      </c>
      <c r="N189">
        <v>1240.848962</v>
      </c>
      <c r="O189">
        <v>1276.624155</v>
      </c>
      <c r="P189">
        <v>1311.723324</v>
      </c>
      <c r="Q189">
        <v>1343.073973</v>
      </c>
    </row>
    <row r="190" spans="1:17" x14ac:dyDescent="0.25">
      <c r="A190" t="s">
        <v>5</v>
      </c>
      <c r="B190" t="s">
        <v>6</v>
      </c>
      <c r="C190" t="s">
        <v>7</v>
      </c>
      <c r="D190" t="s">
        <v>202</v>
      </c>
      <c r="E190" t="s">
        <v>166</v>
      </c>
      <c r="F190">
        <v>111.5275061</v>
      </c>
      <c r="G190">
        <v>115.8881011</v>
      </c>
      <c r="H190">
        <v>124.7167511</v>
      </c>
      <c r="I190">
        <v>133.7723938</v>
      </c>
      <c r="J190">
        <v>141.53565280000001</v>
      </c>
      <c r="K190">
        <v>150.51527669999999</v>
      </c>
      <c r="L190">
        <v>158.67796190000001</v>
      </c>
      <c r="M190">
        <v>166.12186120000001</v>
      </c>
      <c r="N190">
        <v>172.91518379999999</v>
      </c>
      <c r="O190">
        <v>179.11680709999999</v>
      </c>
      <c r="P190">
        <v>185.02433980000001</v>
      </c>
      <c r="Q190">
        <v>190.2057327</v>
      </c>
    </row>
    <row r="191" spans="1:17" x14ac:dyDescent="0.25">
      <c r="A191" t="s">
        <v>5</v>
      </c>
      <c r="B191" t="s">
        <v>6</v>
      </c>
      <c r="C191" t="s">
        <v>7</v>
      </c>
      <c r="D191" t="s">
        <v>203</v>
      </c>
      <c r="E191" t="s">
        <v>166</v>
      </c>
      <c r="F191">
        <v>65.628945560000005</v>
      </c>
      <c r="G191">
        <v>70.106786729999996</v>
      </c>
      <c r="H191">
        <v>76.430894129999999</v>
      </c>
      <c r="I191">
        <v>90.386766230000006</v>
      </c>
      <c r="J191">
        <v>99.334731910000002</v>
      </c>
      <c r="K191">
        <v>129.223681</v>
      </c>
      <c r="L191">
        <v>156.34037749999999</v>
      </c>
      <c r="M191">
        <v>181.9033527</v>
      </c>
      <c r="N191">
        <v>202.39060699999999</v>
      </c>
      <c r="O191">
        <v>223.8103352</v>
      </c>
      <c r="P191">
        <v>254.29397879999999</v>
      </c>
      <c r="Q191">
        <v>282.89272039999997</v>
      </c>
    </row>
    <row r="192" spans="1:17" x14ac:dyDescent="0.25">
      <c r="A192" t="s">
        <v>5</v>
      </c>
      <c r="B192" t="s">
        <v>6</v>
      </c>
      <c r="C192" t="s">
        <v>7</v>
      </c>
      <c r="D192" t="s">
        <v>204</v>
      </c>
      <c r="E192" t="s">
        <v>166</v>
      </c>
      <c r="F192">
        <v>684.01975319999997</v>
      </c>
      <c r="G192">
        <v>694.16563410000003</v>
      </c>
      <c r="H192">
        <v>728.91003550000005</v>
      </c>
      <c r="I192">
        <v>830.4274954</v>
      </c>
      <c r="J192">
        <v>862.66139929999997</v>
      </c>
      <c r="K192">
        <v>850.51976990000003</v>
      </c>
      <c r="L192">
        <v>843.02046680000001</v>
      </c>
      <c r="M192">
        <v>847.59446319999995</v>
      </c>
      <c r="N192">
        <v>847.78156899999999</v>
      </c>
      <c r="O192">
        <v>844.81288310000002</v>
      </c>
      <c r="P192">
        <v>870.09794839999995</v>
      </c>
      <c r="Q192">
        <v>894.08420450000006</v>
      </c>
    </row>
    <row r="193" spans="1:17" x14ac:dyDescent="0.25">
      <c r="A193" t="s">
        <v>5</v>
      </c>
      <c r="B193" t="s">
        <v>6</v>
      </c>
      <c r="C193" t="s">
        <v>7</v>
      </c>
      <c r="D193" t="s">
        <v>205</v>
      </c>
      <c r="E193" t="s">
        <v>166</v>
      </c>
      <c r="F193">
        <v>0.48458688700000002</v>
      </c>
      <c r="G193">
        <v>0.57069088599999995</v>
      </c>
      <c r="H193">
        <v>0.83484653600000003</v>
      </c>
      <c r="I193">
        <v>1.3967729680000001</v>
      </c>
      <c r="J193">
        <v>2.0304490390000001</v>
      </c>
      <c r="K193">
        <v>4.3421075269999996</v>
      </c>
      <c r="L193">
        <v>6.2563044479999999</v>
      </c>
      <c r="M193">
        <v>7.6750310869999998</v>
      </c>
      <c r="N193">
        <v>8.7503528290000006</v>
      </c>
      <c r="O193">
        <v>9.9170160529999993</v>
      </c>
      <c r="P193">
        <v>11.43588549</v>
      </c>
      <c r="Q193">
        <v>12.76596157</v>
      </c>
    </row>
    <row r="194" spans="1:17" x14ac:dyDescent="0.25">
      <c r="A194" t="s">
        <v>5</v>
      </c>
      <c r="B194" t="s">
        <v>6</v>
      </c>
      <c r="C194" t="s">
        <v>7</v>
      </c>
      <c r="D194" t="s">
        <v>206</v>
      </c>
      <c r="E194" t="s">
        <v>166</v>
      </c>
      <c r="F194">
        <v>1.375193887</v>
      </c>
      <c r="G194">
        <v>1.7871578050000001</v>
      </c>
      <c r="H194">
        <v>2.1725711859999999</v>
      </c>
      <c r="I194">
        <v>2.6605888009999998</v>
      </c>
      <c r="J194">
        <v>3.0559777490000002</v>
      </c>
      <c r="K194">
        <v>4.2544152620000002</v>
      </c>
      <c r="L194">
        <v>5.3287216490000002</v>
      </c>
      <c r="M194">
        <v>6.2623336040000002</v>
      </c>
      <c r="N194">
        <v>6.9553486979999999</v>
      </c>
      <c r="O194">
        <v>7.6962805559999996</v>
      </c>
      <c r="P194">
        <v>8.7996029690000004</v>
      </c>
      <c r="Q194">
        <v>9.8494256010000001</v>
      </c>
    </row>
    <row r="195" spans="1:17" x14ac:dyDescent="0.25">
      <c r="A195" t="s">
        <v>5</v>
      </c>
      <c r="B195" t="s">
        <v>6</v>
      </c>
      <c r="C195" t="s">
        <v>7</v>
      </c>
      <c r="D195" t="s">
        <v>207</v>
      </c>
      <c r="E195" t="s">
        <v>166</v>
      </c>
      <c r="F195">
        <v>6.5628448000000006E-2</v>
      </c>
      <c r="G195">
        <v>7.3563315000000004E-2</v>
      </c>
      <c r="H195">
        <v>0.25666046300000001</v>
      </c>
      <c r="I195">
        <v>0.27281378699999997</v>
      </c>
      <c r="J195">
        <v>0.268560405</v>
      </c>
      <c r="K195">
        <v>0.25859385400000001</v>
      </c>
      <c r="L195">
        <v>0.192711996</v>
      </c>
      <c r="M195">
        <v>7.9465301000000002E-2</v>
      </c>
      <c r="N195">
        <v>5.7011379999999997E-3</v>
      </c>
      <c r="O195">
        <v>6.4604899999999999E-4</v>
      </c>
      <c r="P195">
        <v>7.72041E-4</v>
      </c>
      <c r="Q195">
        <v>1.024119E-3</v>
      </c>
    </row>
    <row r="196" spans="1:17" x14ac:dyDescent="0.25">
      <c r="A196" t="s">
        <v>5</v>
      </c>
      <c r="B196" t="s">
        <v>6</v>
      </c>
      <c r="C196" t="s">
        <v>7</v>
      </c>
      <c r="D196" t="s">
        <v>208</v>
      </c>
      <c r="E196" t="s">
        <v>166</v>
      </c>
      <c r="F196">
        <v>31.441592880000002</v>
      </c>
      <c r="G196">
        <v>33.9784261</v>
      </c>
      <c r="H196">
        <v>35.611522350000001</v>
      </c>
      <c r="I196">
        <v>38.068438260000001</v>
      </c>
      <c r="J196">
        <v>40.553063299999998</v>
      </c>
      <c r="K196">
        <v>41.98900853</v>
      </c>
      <c r="L196">
        <v>44.85003742</v>
      </c>
      <c r="M196">
        <v>48.353167059999997</v>
      </c>
      <c r="N196">
        <v>50.852345399999997</v>
      </c>
      <c r="O196">
        <v>52.944979689999997</v>
      </c>
      <c r="P196">
        <v>56.268532399999998</v>
      </c>
      <c r="Q196">
        <v>60.101256489999997</v>
      </c>
    </row>
    <row r="197" spans="1:17" x14ac:dyDescent="0.25">
      <c r="A197" t="s">
        <v>5</v>
      </c>
      <c r="B197" t="s">
        <v>6</v>
      </c>
      <c r="C197" t="s">
        <v>7</v>
      </c>
      <c r="D197" t="s">
        <v>209</v>
      </c>
      <c r="E197" t="s">
        <v>166</v>
      </c>
      <c r="F197">
        <v>94.666370569999998</v>
      </c>
      <c r="G197">
        <v>102.309504</v>
      </c>
      <c r="H197">
        <v>107.2497776</v>
      </c>
      <c r="I197">
        <v>114.7690528</v>
      </c>
      <c r="J197">
        <v>122.3114901</v>
      </c>
      <c r="K197">
        <v>126.765337</v>
      </c>
      <c r="L197">
        <v>135.5725759</v>
      </c>
      <c r="M197">
        <v>146.40400399999999</v>
      </c>
      <c r="N197">
        <v>154.17052949999999</v>
      </c>
      <c r="O197">
        <v>160.6536902</v>
      </c>
      <c r="P197">
        <v>170.80675450000001</v>
      </c>
      <c r="Q197">
        <v>182.47959539999999</v>
      </c>
    </row>
    <row r="198" spans="1:17" x14ac:dyDescent="0.25">
      <c r="A198" t="s">
        <v>5</v>
      </c>
      <c r="B198" t="s">
        <v>6</v>
      </c>
      <c r="C198" t="s">
        <v>7</v>
      </c>
      <c r="D198" t="s">
        <v>210</v>
      </c>
      <c r="E198" t="s">
        <v>166</v>
      </c>
      <c r="F198">
        <v>17.730203920000001</v>
      </c>
      <c r="G198">
        <v>19.329417809999999</v>
      </c>
      <c r="H198">
        <v>20.337771020000002</v>
      </c>
      <c r="I198">
        <v>21.93194222</v>
      </c>
      <c r="J198">
        <v>23.527539220000001</v>
      </c>
      <c r="K198">
        <v>24.558653450000001</v>
      </c>
      <c r="L198">
        <v>26.38792368</v>
      </c>
      <c r="M198">
        <v>28.467951889999998</v>
      </c>
      <c r="N198">
        <v>30.03201705</v>
      </c>
      <c r="O198">
        <v>31.455957739999999</v>
      </c>
      <c r="P198">
        <v>33.755337740000002</v>
      </c>
      <c r="Q198">
        <v>36.414529209999998</v>
      </c>
    </row>
    <row r="199" spans="1:17" x14ac:dyDescent="0.25">
      <c r="A199" t="s">
        <v>5</v>
      </c>
      <c r="B199" t="s">
        <v>6</v>
      </c>
      <c r="C199" t="s">
        <v>7</v>
      </c>
      <c r="D199" t="s">
        <v>211</v>
      </c>
      <c r="E199" t="s">
        <v>166</v>
      </c>
      <c r="F199">
        <v>10.224339369999999</v>
      </c>
      <c r="G199">
        <v>11.23105825</v>
      </c>
      <c r="H199">
        <v>11.868857889999999</v>
      </c>
      <c r="I199">
        <v>12.960077719999999</v>
      </c>
      <c r="J199">
        <v>14.00851389</v>
      </c>
      <c r="K199">
        <v>14.78677676</v>
      </c>
      <c r="L199">
        <v>16.061583859999999</v>
      </c>
      <c r="M199">
        <v>17.4852077</v>
      </c>
      <c r="N199">
        <v>18.610629469999999</v>
      </c>
      <c r="O199">
        <v>19.661467600000002</v>
      </c>
      <c r="P199">
        <v>21.279886980000001</v>
      </c>
      <c r="Q199">
        <v>23.131148580000001</v>
      </c>
    </row>
    <row r="200" spans="1:17" x14ac:dyDescent="0.25">
      <c r="A200" t="s">
        <v>5</v>
      </c>
      <c r="B200" t="s">
        <v>6</v>
      </c>
      <c r="C200" t="s">
        <v>7</v>
      </c>
      <c r="D200" t="s">
        <v>212</v>
      </c>
      <c r="E200" t="s">
        <v>166</v>
      </c>
      <c r="F200">
        <v>0.525530312</v>
      </c>
      <c r="G200">
        <v>0.56666388499999998</v>
      </c>
      <c r="H200">
        <v>0.59323704300000002</v>
      </c>
      <c r="I200">
        <v>0.63239288299999996</v>
      </c>
      <c r="J200">
        <v>0.67231117500000004</v>
      </c>
      <c r="K200">
        <v>0.69427645599999999</v>
      </c>
      <c r="L200">
        <v>0.73989321399999997</v>
      </c>
      <c r="M200">
        <v>0.79675125199999997</v>
      </c>
      <c r="N200">
        <v>0.83658386500000004</v>
      </c>
      <c r="O200">
        <v>0.86915682800000005</v>
      </c>
      <c r="P200">
        <v>0.92110126000000003</v>
      </c>
      <c r="Q200">
        <v>0.98107568099999998</v>
      </c>
    </row>
    <row r="201" spans="1:17" x14ac:dyDescent="0.25">
      <c r="A201" t="s">
        <v>5</v>
      </c>
      <c r="B201" t="s">
        <v>6</v>
      </c>
      <c r="C201" t="s">
        <v>7</v>
      </c>
      <c r="D201" t="s">
        <v>213</v>
      </c>
      <c r="E201" t="s">
        <v>166</v>
      </c>
      <c r="F201">
        <v>0.37404073799999998</v>
      </c>
      <c r="G201">
        <v>0.31600460000000002</v>
      </c>
      <c r="H201">
        <v>0.29735546899999998</v>
      </c>
      <c r="I201">
        <v>0.31645403300000002</v>
      </c>
      <c r="J201">
        <v>0.47668240899999997</v>
      </c>
      <c r="K201">
        <v>1.1928912549999999</v>
      </c>
      <c r="L201">
        <v>1.5193477710000001</v>
      </c>
      <c r="M201">
        <v>1.715136118</v>
      </c>
      <c r="N201">
        <v>1.8625714929999999</v>
      </c>
      <c r="O201">
        <v>1.996734182</v>
      </c>
      <c r="P201">
        <v>2.5191749460000001</v>
      </c>
      <c r="Q201">
        <v>2.9717613749999998</v>
      </c>
    </row>
    <row r="202" spans="1:17" x14ac:dyDescent="0.25">
      <c r="A202" t="s">
        <v>5</v>
      </c>
      <c r="B202" t="s">
        <v>6</v>
      </c>
      <c r="C202" t="s">
        <v>7</v>
      </c>
      <c r="D202" t="s">
        <v>214</v>
      </c>
      <c r="E202" t="s">
        <v>166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5">
      <c r="A203" t="s">
        <v>5</v>
      </c>
      <c r="B203" t="s">
        <v>6</v>
      </c>
      <c r="C203" t="s">
        <v>7</v>
      </c>
      <c r="D203" t="s">
        <v>215</v>
      </c>
      <c r="E203" t="s">
        <v>166</v>
      </c>
      <c r="F203">
        <v>1.272598E-3</v>
      </c>
      <c r="G203">
        <v>1.0751420000000001E-3</v>
      </c>
      <c r="H203">
        <v>1.011692E-3</v>
      </c>
      <c r="I203">
        <v>1.076671E-3</v>
      </c>
      <c r="J203">
        <v>1.621815E-3</v>
      </c>
      <c r="K203">
        <v>4.0585710000000004E-3</v>
      </c>
      <c r="L203">
        <v>5.1692730000000003E-3</v>
      </c>
      <c r="M203">
        <v>5.8354030000000003E-3</v>
      </c>
      <c r="N203">
        <v>6.3370220000000003E-3</v>
      </c>
      <c r="O203">
        <v>6.7934830000000003E-3</v>
      </c>
      <c r="P203">
        <v>8.5709819999999996E-3</v>
      </c>
      <c r="Q203">
        <v>1.0110816E-2</v>
      </c>
    </row>
    <row r="204" spans="1:17" x14ac:dyDescent="0.25">
      <c r="A204" t="s">
        <v>5</v>
      </c>
      <c r="B204" t="s">
        <v>6</v>
      </c>
      <c r="C204" t="s">
        <v>7</v>
      </c>
      <c r="D204" t="s">
        <v>216</v>
      </c>
      <c r="E204" t="s">
        <v>166</v>
      </c>
      <c r="F204">
        <v>8.5737220000000006E-3</v>
      </c>
      <c r="G204">
        <v>7.243424E-3</v>
      </c>
      <c r="H204">
        <v>6.8159500000000003E-3</v>
      </c>
      <c r="I204">
        <v>7.2537260000000003E-3</v>
      </c>
      <c r="J204">
        <v>1.0926464E-2</v>
      </c>
      <c r="K204">
        <v>2.7343327000000001E-2</v>
      </c>
      <c r="L204">
        <v>3.4826327999999997E-2</v>
      </c>
      <c r="M204">
        <v>3.9314167999999997E-2</v>
      </c>
      <c r="N204">
        <v>4.2693665999999998E-2</v>
      </c>
      <c r="O204">
        <v>4.5768929E-2</v>
      </c>
      <c r="P204">
        <v>5.7744260999999998E-2</v>
      </c>
      <c r="Q204">
        <v>6.8118398999999996E-2</v>
      </c>
    </row>
    <row r="205" spans="1:17" x14ac:dyDescent="0.25">
      <c r="A205" t="s">
        <v>5</v>
      </c>
      <c r="B205" t="s">
        <v>6</v>
      </c>
      <c r="C205" t="s">
        <v>7</v>
      </c>
      <c r="D205" t="s">
        <v>217</v>
      </c>
      <c r="E205" t="s">
        <v>166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5">
      <c r="A206" t="s">
        <v>5</v>
      </c>
      <c r="B206" t="s">
        <v>6</v>
      </c>
      <c r="C206" t="s">
        <v>7</v>
      </c>
      <c r="D206" t="s">
        <v>218</v>
      </c>
      <c r="E206" t="s">
        <v>219</v>
      </c>
      <c r="F206">
        <v>7254.1542399999998</v>
      </c>
      <c r="G206">
        <v>7082.5109199999997</v>
      </c>
      <c r="H206">
        <v>7135.6262999999999</v>
      </c>
      <c r="I206">
        <v>6663.84998</v>
      </c>
      <c r="J206">
        <v>7304.1328400000002</v>
      </c>
      <c r="K206">
        <v>7711.6956200000004</v>
      </c>
      <c r="L206">
        <v>8351.9449199999999</v>
      </c>
      <c r="M206">
        <v>8896.5462599999992</v>
      </c>
      <c r="N206">
        <v>9258.3490000000002</v>
      </c>
      <c r="O206">
        <v>9491.7813999999998</v>
      </c>
      <c r="P206">
        <v>9631.9860000000008</v>
      </c>
      <c r="Q206">
        <v>9744.4249999999993</v>
      </c>
    </row>
    <row r="207" spans="1:17" x14ac:dyDescent="0.25">
      <c r="A207" t="s">
        <v>5</v>
      </c>
      <c r="B207" t="s">
        <v>6</v>
      </c>
      <c r="C207" t="s">
        <v>7</v>
      </c>
      <c r="D207" t="s">
        <v>220</v>
      </c>
      <c r="E207" t="s">
        <v>219</v>
      </c>
      <c r="F207">
        <v>286.37734</v>
      </c>
      <c r="G207">
        <v>304.66727800000001</v>
      </c>
      <c r="H207">
        <v>322.12998199999998</v>
      </c>
      <c r="I207">
        <v>347.12857600000001</v>
      </c>
      <c r="J207">
        <v>423.25526600000001</v>
      </c>
      <c r="K207">
        <v>472.59650199999999</v>
      </c>
      <c r="L207">
        <v>525.87732400000004</v>
      </c>
      <c r="M207">
        <v>554.98097399999995</v>
      </c>
      <c r="N207">
        <v>586.10686999999996</v>
      </c>
      <c r="O207">
        <v>623.36472600000002</v>
      </c>
      <c r="P207">
        <v>667.00966200000005</v>
      </c>
      <c r="Q207">
        <v>706.53328599999998</v>
      </c>
    </row>
    <row r="208" spans="1:17" x14ac:dyDescent="0.25">
      <c r="A208" t="s">
        <v>5</v>
      </c>
      <c r="B208" t="s">
        <v>6</v>
      </c>
      <c r="C208" t="s">
        <v>7</v>
      </c>
      <c r="D208" t="s">
        <v>221</v>
      </c>
      <c r="E208" t="s">
        <v>219</v>
      </c>
      <c r="F208">
        <v>20.246943999999999</v>
      </c>
      <c r="G208">
        <v>27.570384799999999</v>
      </c>
      <c r="H208">
        <v>37.7741744</v>
      </c>
      <c r="I208">
        <v>42.839909400000003</v>
      </c>
      <c r="J208">
        <v>54.040263799999998</v>
      </c>
      <c r="K208">
        <v>55.659981600000002</v>
      </c>
      <c r="L208">
        <v>57.348004799999998</v>
      </c>
      <c r="M208">
        <v>56.502648200000003</v>
      </c>
      <c r="N208">
        <v>59.319876800000003</v>
      </c>
      <c r="O208">
        <v>63.837169400000001</v>
      </c>
      <c r="P208">
        <v>69.914760599999994</v>
      </c>
      <c r="Q208">
        <v>75.848450799999995</v>
      </c>
    </row>
    <row r="209" spans="1:17" x14ac:dyDescent="0.25">
      <c r="A209" t="s">
        <v>5</v>
      </c>
      <c r="B209" t="s">
        <v>6</v>
      </c>
      <c r="C209" t="s">
        <v>7</v>
      </c>
      <c r="D209" t="s">
        <v>222</v>
      </c>
      <c r="E209" t="s">
        <v>223</v>
      </c>
      <c r="F209">
        <v>2552.132509</v>
      </c>
      <c r="G209">
        <v>2742.0177450000001</v>
      </c>
      <c r="H209">
        <v>3299.4609540000001</v>
      </c>
      <c r="I209">
        <v>3806.4846640000001</v>
      </c>
      <c r="J209">
        <v>3696.7168579999998</v>
      </c>
      <c r="K209">
        <v>3798.131026</v>
      </c>
      <c r="L209">
        <v>4570.90499</v>
      </c>
      <c r="M209">
        <v>4871.092036</v>
      </c>
      <c r="N209">
        <v>5077.637162</v>
      </c>
      <c r="O209">
        <v>5252.1037340000003</v>
      </c>
      <c r="P209">
        <v>5425.7746020000004</v>
      </c>
      <c r="Q209">
        <v>5584.3134060000002</v>
      </c>
    </row>
    <row r="210" spans="1:17" x14ac:dyDescent="0.25">
      <c r="A210" t="s">
        <v>5</v>
      </c>
      <c r="B210" t="s">
        <v>6</v>
      </c>
      <c r="C210" t="s">
        <v>7</v>
      </c>
      <c r="D210" t="s">
        <v>224</v>
      </c>
      <c r="E210" t="s">
        <v>219</v>
      </c>
      <c r="F210">
        <v>58.043092799999997</v>
      </c>
      <c r="G210">
        <v>54.621963000000001</v>
      </c>
      <c r="H210">
        <v>59.233410599999999</v>
      </c>
      <c r="I210">
        <v>63.214259200000001</v>
      </c>
      <c r="J210">
        <v>72.691611399999999</v>
      </c>
      <c r="K210">
        <v>78.671283399999993</v>
      </c>
      <c r="L210">
        <v>85.425640400000006</v>
      </c>
      <c r="M210">
        <v>89.454753999999994</v>
      </c>
      <c r="N210">
        <v>95.457121999999998</v>
      </c>
      <c r="O210">
        <v>103.5283752</v>
      </c>
      <c r="P210">
        <v>112.795956</v>
      </c>
      <c r="Q210">
        <v>121.165904</v>
      </c>
    </row>
    <row r="211" spans="1:17" x14ac:dyDescent="0.25">
      <c r="A211" t="s">
        <v>5</v>
      </c>
      <c r="B211" t="s">
        <v>6</v>
      </c>
      <c r="C211" t="s">
        <v>7</v>
      </c>
      <c r="D211" t="s">
        <v>225</v>
      </c>
      <c r="E211" t="s">
        <v>223</v>
      </c>
      <c r="F211">
        <v>2372.4688599999999</v>
      </c>
      <c r="G211">
        <v>2497.0496800000001</v>
      </c>
      <c r="H211">
        <v>2625.6034399999999</v>
      </c>
      <c r="I211">
        <v>2852.8752199999999</v>
      </c>
      <c r="J211">
        <v>3168.31648</v>
      </c>
      <c r="K211">
        <v>3562.56718</v>
      </c>
      <c r="L211">
        <v>4021.4311200000002</v>
      </c>
      <c r="M211">
        <v>4512.5889800000004</v>
      </c>
      <c r="N211">
        <v>4868.8971600000004</v>
      </c>
      <c r="O211">
        <v>5032.03856</v>
      </c>
      <c r="P211">
        <v>5211.4845599999999</v>
      </c>
      <c r="Q211">
        <v>5370.7254199999998</v>
      </c>
    </row>
    <row r="212" spans="1:17" x14ac:dyDescent="0.25">
      <c r="A212" t="s">
        <v>5</v>
      </c>
      <c r="B212" t="s">
        <v>6</v>
      </c>
      <c r="C212" t="s">
        <v>7</v>
      </c>
      <c r="D212" t="s">
        <v>226</v>
      </c>
      <c r="E212" t="s">
        <v>219</v>
      </c>
      <c r="F212">
        <v>1320.0045600000001</v>
      </c>
      <c r="G212">
        <v>1403.0343399999999</v>
      </c>
      <c r="H212">
        <v>1603.45506</v>
      </c>
      <c r="I212">
        <v>1493.722098</v>
      </c>
      <c r="J212">
        <v>2016.96074</v>
      </c>
      <c r="K212">
        <v>2243.87988</v>
      </c>
      <c r="L212">
        <v>2489.0470399999999</v>
      </c>
      <c r="M212">
        <v>2674.4488999999999</v>
      </c>
      <c r="N212">
        <v>2892.1854400000002</v>
      </c>
      <c r="O212">
        <v>3147.2756199999999</v>
      </c>
      <c r="P212">
        <v>3394.8020999999999</v>
      </c>
      <c r="Q212">
        <v>3598.7183599999998</v>
      </c>
    </row>
    <row r="213" spans="1:17" x14ac:dyDescent="0.25">
      <c r="A213" t="s">
        <v>5</v>
      </c>
      <c r="B213" t="s">
        <v>6</v>
      </c>
      <c r="C213" t="s">
        <v>7</v>
      </c>
      <c r="D213" t="s">
        <v>227</v>
      </c>
      <c r="E213" t="s">
        <v>223</v>
      </c>
      <c r="F213">
        <v>63.305650300000003</v>
      </c>
      <c r="G213">
        <v>61.863770799999998</v>
      </c>
      <c r="H213">
        <v>68.191928599999997</v>
      </c>
      <c r="I213">
        <v>79.310717600000004</v>
      </c>
      <c r="J213">
        <v>100.35786349999999</v>
      </c>
      <c r="K213">
        <v>108.26234650000001</v>
      </c>
      <c r="L213">
        <v>116.3096208</v>
      </c>
      <c r="M213">
        <v>122.82893679999999</v>
      </c>
      <c r="N213">
        <v>129.8278579</v>
      </c>
      <c r="O213">
        <v>137.23427649999999</v>
      </c>
      <c r="P213">
        <v>144.01656610000001</v>
      </c>
      <c r="Q213">
        <v>149.45817779999999</v>
      </c>
    </row>
    <row r="214" spans="1:17" x14ac:dyDescent="0.25">
      <c r="A214" t="s">
        <v>5</v>
      </c>
      <c r="B214" t="s">
        <v>6</v>
      </c>
      <c r="C214" t="s">
        <v>7</v>
      </c>
      <c r="D214" t="s">
        <v>228</v>
      </c>
      <c r="E214" t="s">
        <v>223</v>
      </c>
      <c r="F214">
        <v>14833.00323</v>
      </c>
      <c r="G214">
        <v>14279.06012</v>
      </c>
      <c r="H214">
        <v>14461.408869999999</v>
      </c>
      <c r="I214">
        <v>16758.059840000002</v>
      </c>
      <c r="J214">
        <v>18534.964950000001</v>
      </c>
      <c r="K214">
        <v>19735.823380000002</v>
      </c>
      <c r="L214">
        <v>20800.466710000001</v>
      </c>
      <c r="M214">
        <v>21723.89445</v>
      </c>
      <c r="N214">
        <v>22529.93996</v>
      </c>
      <c r="O214">
        <v>23247.186280000002</v>
      </c>
      <c r="P214">
        <v>23986.6227</v>
      </c>
      <c r="Q214">
        <v>24634.220079999999</v>
      </c>
    </row>
    <row r="215" spans="1:17" x14ac:dyDescent="0.25">
      <c r="A215" t="s">
        <v>5</v>
      </c>
      <c r="B215" t="s">
        <v>6</v>
      </c>
      <c r="C215" t="s">
        <v>7</v>
      </c>
      <c r="D215" t="s">
        <v>229</v>
      </c>
      <c r="E215" t="s">
        <v>230</v>
      </c>
      <c r="F215">
        <v>228.3991887</v>
      </c>
      <c r="G215">
        <v>237.4209917</v>
      </c>
      <c r="H215">
        <v>245.09796019999999</v>
      </c>
      <c r="I215">
        <v>253.3708804</v>
      </c>
      <c r="J215">
        <v>261.79434800000001</v>
      </c>
      <c r="K215">
        <v>269.78825219999999</v>
      </c>
      <c r="L215">
        <v>277.1639533</v>
      </c>
      <c r="M215">
        <v>283.93771470000002</v>
      </c>
      <c r="N215">
        <v>290.14189160000001</v>
      </c>
      <c r="O215">
        <v>296.03141110000001</v>
      </c>
      <c r="P215">
        <v>301.91398450000003</v>
      </c>
      <c r="Q215">
        <v>307.15826870000001</v>
      </c>
    </row>
    <row r="216" spans="1:17" x14ac:dyDescent="0.25">
      <c r="A216" t="s">
        <v>5</v>
      </c>
      <c r="B216" t="s">
        <v>6</v>
      </c>
      <c r="C216" t="s">
        <v>7</v>
      </c>
      <c r="D216" t="s">
        <v>231</v>
      </c>
      <c r="E216" t="s">
        <v>230</v>
      </c>
      <c r="F216">
        <v>51.292260769999999</v>
      </c>
      <c r="G216">
        <v>54.344779440000003</v>
      </c>
      <c r="H216">
        <v>57.241042210000003</v>
      </c>
      <c r="I216">
        <v>60.354079110000001</v>
      </c>
      <c r="J216">
        <v>63.481652169999997</v>
      </c>
      <c r="K216">
        <v>66.469164820000003</v>
      </c>
      <c r="L216">
        <v>69.293125779999997</v>
      </c>
      <c r="M216">
        <v>71.965235019999994</v>
      </c>
      <c r="N216">
        <v>74.487825450000003</v>
      </c>
      <c r="O216">
        <v>76.911789380000002</v>
      </c>
      <c r="P216">
        <v>79.295438899999994</v>
      </c>
      <c r="Q216">
        <v>81.37636406</v>
      </c>
    </row>
    <row r="217" spans="1:17" x14ac:dyDescent="0.25">
      <c r="A217" t="s">
        <v>5</v>
      </c>
      <c r="B217" t="s">
        <v>6</v>
      </c>
      <c r="C217" t="s">
        <v>7</v>
      </c>
      <c r="D217" t="s">
        <v>232</v>
      </c>
      <c r="E217" t="s">
        <v>230</v>
      </c>
      <c r="F217">
        <v>47.844350509999998</v>
      </c>
      <c r="G217">
        <v>50.896428909999997</v>
      </c>
      <c r="H217">
        <v>53.782905560000003</v>
      </c>
      <c r="I217">
        <v>56.876626960000003</v>
      </c>
      <c r="J217">
        <v>59.990241179999998</v>
      </c>
      <c r="K217">
        <v>62.980041790000001</v>
      </c>
      <c r="L217">
        <v>65.817813279999996</v>
      </c>
      <c r="M217">
        <v>68.503282850000005</v>
      </c>
      <c r="N217">
        <v>71.031641640000004</v>
      </c>
      <c r="O217">
        <v>73.454537799999997</v>
      </c>
      <c r="P217">
        <v>75.838334579999994</v>
      </c>
      <c r="Q217">
        <v>77.922288550000005</v>
      </c>
    </row>
    <row r="218" spans="1:17" x14ac:dyDescent="0.25">
      <c r="A218" t="s">
        <v>5</v>
      </c>
      <c r="B218" t="s">
        <v>6</v>
      </c>
      <c r="C218" t="s">
        <v>7</v>
      </c>
      <c r="D218" t="s">
        <v>233</v>
      </c>
      <c r="E218" t="s">
        <v>27</v>
      </c>
      <c r="F218">
        <v>36.117383619999998</v>
      </c>
      <c r="G218">
        <v>19.622705459999999</v>
      </c>
      <c r="H218">
        <v>38.677309180000002</v>
      </c>
      <c r="I218">
        <v>35.111628860000003</v>
      </c>
      <c r="J218">
        <v>35.988115270000002</v>
      </c>
      <c r="K218">
        <v>39.637121919999998</v>
      </c>
      <c r="L218">
        <v>39.7450987</v>
      </c>
      <c r="M218">
        <v>34.175213159999998</v>
      </c>
      <c r="N218">
        <v>28.651614989999999</v>
      </c>
      <c r="O218">
        <v>25.846726400000001</v>
      </c>
      <c r="P218">
        <v>27.953564950000001</v>
      </c>
      <c r="Q218">
        <v>29.327837209999998</v>
      </c>
    </row>
    <row r="219" spans="1:17" x14ac:dyDescent="0.25">
      <c r="A219" t="s">
        <v>5</v>
      </c>
      <c r="B219" t="s">
        <v>6</v>
      </c>
      <c r="C219" t="s">
        <v>7</v>
      </c>
      <c r="D219" t="s">
        <v>234</v>
      </c>
      <c r="E219" t="s">
        <v>27</v>
      </c>
      <c r="F219">
        <v>509.09176179999997</v>
      </c>
      <c r="G219">
        <v>344.05740309999999</v>
      </c>
      <c r="H219">
        <v>533.81429860000003</v>
      </c>
      <c r="I219">
        <v>497.8249457</v>
      </c>
      <c r="J219">
        <v>501.50915079999999</v>
      </c>
      <c r="K219">
        <v>504.33121599999998</v>
      </c>
      <c r="L219">
        <v>475.71263140000002</v>
      </c>
      <c r="M219">
        <v>459.0746499</v>
      </c>
      <c r="N219">
        <v>433.7677961</v>
      </c>
      <c r="O219">
        <v>413.70377680000001</v>
      </c>
      <c r="P219">
        <v>429.22630479999998</v>
      </c>
      <c r="Q219">
        <v>444.83493010000001</v>
      </c>
    </row>
    <row r="220" spans="1:17" x14ac:dyDescent="0.25">
      <c r="A220" t="s">
        <v>5</v>
      </c>
      <c r="B220" t="s">
        <v>6</v>
      </c>
      <c r="C220" t="s">
        <v>7</v>
      </c>
      <c r="D220" t="s">
        <v>235</v>
      </c>
      <c r="E220" t="s">
        <v>27</v>
      </c>
      <c r="F220">
        <v>2.6480298250000001</v>
      </c>
      <c r="G220">
        <v>1.2662945370000001</v>
      </c>
      <c r="H220">
        <v>2.9381411900000001</v>
      </c>
      <c r="I220">
        <v>2.9479027850000001</v>
      </c>
      <c r="J220">
        <v>4.5365501369999999</v>
      </c>
      <c r="K220">
        <v>3.7767690049999998</v>
      </c>
      <c r="L220">
        <v>3.1516920060000002</v>
      </c>
      <c r="M220">
        <v>2.3140914019999999</v>
      </c>
      <c r="N220">
        <v>2.6026659570000001</v>
      </c>
      <c r="O220">
        <v>3.1216450519999999</v>
      </c>
      <c r="P220">
        <v>3.508594413</v>
      </c>
      <c r="Q220">
        <v>3.5714839440000001</v>
      </c>
    </row>
    <row r="221" spans="1:17" x14ac:dyDescent="0.25">
      <c r="A221" t="s">
        <v>5</v>
      </c>
      <c r="B221" t="s">
        <v>6</v>
      </c>
      <c r="C221" t="s">
        <v>7</v>
      </c>
      <c r="D221" t="s">
        <v>236</v>
      </c>
      <c r="E221" t="s">
        <v>27</v>
      </c>
      <c r="F221">
        <v>1.4582015989999999</v>
      </c>
      <c r="G221">
        <v>0.88035536000000003</v>
      </c>
      <c r="H221">
        <v>1.641652986</v>
      </c>
      <c r="I221">
        <v>1.7072452339999999</v>
      </c>
      <c r="J221">
        <v>2.7278074980000002</v>
      </c>
      <c r="K221">
        <v>2.398217255</v>
      </c>
      <c r="L221">
        <v>1.606009059</v>
      </c>
      <c r="M221">
        <v>1.2032288120000001</v>
      </c>
      <c r="N221">
        <v>1.579366517</v>
      </c>
      <c r="O221">
        <v>2.1035954659999998</v>
      </c>
      <c r="P221">
        <v>2.4411788539999999</v>
      </c>
      <c r="Q221">
        <v>2.5041198169999999</v>
      </c>
    </row>
    <row r="222" spans="1:17" x14ac:dyDescent="0.25">
      <c r="A222" t="s">
        <v>5</v>
      </c>
      <c r="B222" t="s">
        <v>6</v>
      </c>
      <c r="C222" t="s">
        <v>7</v>
      </c>
      <c r="D222" t="s">
        <v>237</v>
      </c>
      <c r="E222" t="s">
        <v>27</v>
      </c>
      <c r="F222">
        <v>2.9036744109999999</v>
      </c>
      <c r="G222">
        <v>2.0157121579999999</v>
      </c>
      <c r="H222">
        <v>3.1394320449999999</v>
      </c>
      <c r="I222">
        <v>2.706389358</v>
      </c>
      <c r="J222">
        <v>2.9071434049999998</v>
      </c>
      <c r="K222">
        <v>2.4960625510000001</v>
      </c>
      <c r="L222">
        <v>2.2756284930000001</v>
      </c>
      <c r="M222">
        <v>1.8739171139999999</v>
      </c>
      <c r="N222">
        <v>1.5495276650000001</v>
      </c>
      <c r="O222">
        <v>1.328851722</v>
      </c>
      <c r="P222">
        <v>1.298423001</v>
      </c>
      <c r="Q222">
        <v>1.3220162520000001</v>
      </c>
    </row>
    <row r="223" spans="1:17" x14ac:dyDescent="0.25">
      <c r="A223" t="s">
        <v>5</v>
      </c>
      <c r="B223" t="s">
        <v>6</v>
      </c>
      <c r="C223" t="s">
        <v>7</v>
      </c>
      <c r="D223" t="s">
        <v>238</v>
      </c>
      <c r="E223" t="s">
        <v>27</v>
      </c>
      <c r="F223">
        <v>19.13845938</v>
      </c>
      <c r="G223">
        <v>11.17221559</v>
      </c>
      <c r="H223">
        <v>19.147908520000001</v>
      </c>
      <c r="I223">
        <v>16.25202084</v>
      </c>
      <c r="J223">
        <v>17.416660419999999</v>
      </c>
      <c r="K223">
        <v>17.57943736</v>
      </c>
      <c r="L223">
        <v>16.02677272</v>
      </c>
      <c r="M223">
        <v>14.992999810000001</v>
      </c>
      <c r="N223">
        <v>13.995544410000001</v>
      </c>
      <c r="O223">
        <v>13.224010010000001</v>
      </c>
      <c r="P223">
        <v>13.48670649</v>
      </c>
      <c r="Q223">
        <v>13.894340379999999</v>
      </c>
    </row>
    <row r="224" spans="1:17" x14ac:dyDescent="0.25">
      <c r="A224" t="s">
        <v>5</v>
      </c>
      <c r="B224" t="s">
        <v>6</v>
      </c>
      <c r="C224" t="s">
        <v>7</v>
      </c>
      <c r="D224" t="s">
        <v>239</v>
      </c>
      <c r="E224" t="s">
        <v>27</v>
      </c>
      <c r="F224">
        <v>26.762930399999998</v>
      </c>
      <c r="G224">
        <v>29.662144600000001</v>
      </c>
      <c r="H224">
        <v>31.903470240000001</v>
      </c>
      <c r="I224">
        <v>33.663105870000003</v>
      </c>
      <c r="J224">
        <v>36.537483760000001</v>
      </c>
      <c r="K224">
        <v>39.634271159999997</v>
      </c>
      <c r="L224">
        <v>44.080411689999998</v>
      </c>
      <c r="M224">
        <v>50.390125249999997</v>
      </c>
      <c r="N224">
        <v>54.022120729999997</v>
      </c>
      <c r="O224">
        <v>58.851536619999997</v>
      </c>
      <c r="P224">
        <v>62.265906080000001</v>
      </c>
      <c r="Q224">
        <v>65.287457290000006</v>
      </c>
    </row>
    <row r="225" spans="1:17" x14ac:dyDescent="0.25">
      <c r="A225" t="s">
        <v>5</v>
      </c>
      <c r="B225" t="s">
        <v>6</v>
      </c>
      <c r="C225" t="s">
        <v>7</v>
      </c>
      <c r="D225" t="s">
        <v>240</v>
      </c>
      <c r="E225" t="s">
        <v>27</v>
      </c>
      <c r="F225">
        <v>10.289366230000001</v>
      </c>
      <c r="G225">
        <v>12.978023049999999</v>
      </c>
      <c r="H225">
        <v>12.871663570000001</v>
      </c>
      <c r="I225">
        <v>16.394477179999999</v>
      </c>
      <c r="J225">
        <v>28.971254210000001</v>
      </c>
      <c r="K225">
        <v>45.413476359999997</v>
      </c>
      <c r="L225">
        <v>63.520558059999999</v>
      </c>
      <c r="M225">
        <v>82.88364138</v>
      </c>
      <c r="N225">
        <v>102.9699358</v>
      </c>
      <c r="O225">
        <v>121.74568259999999</v>
      </c>
      <c r="P225">
        <v>131.08363979999999</v>
      </c>
      <c r="Q225">
        <v>137.54250930000001</v>
      </c>
    </row>
    <row r="226" spans="1:17" x14ac:dyDescent="0.25">
      <c r="A226" t="s">
        <v>5</v>
      </c>
      <c r="B226" t="s">
        <v>6</v>
      </c>
      <c r="C226" t="s">
        <v>7</v>
      </c>
      <c r="D226" t="s">
        <v>241</v>
      </c>
      <c r="E226" t="s">
        <v>27</v>
      </c>
      <c r="F226">
        <v>3.0208584219999999</v>
      </c>
      <c r="G226">
        <v>3.3465753939999998</v>
      </c>
      <c r="H226">
        <v>3.5108664269999998</v>
      </c>
      <c r="I226">
        <v>3.6115826229999999</v>
      </c>
      <c r="J226">
        <v>3.8408692590000002</v>
      </c>
      <c r="K226">
        <v>4.3554525039999996</v>
      </c>
      <c r="L226">
        <v>5.2677886359999997</v>
      </c>
      <c r="M226">
        <v>5.8096139859999996</v>
      </c>
      <c r="N226">
        <v>5.8024529459999998</v>
      </c>
      <c r="O226">
        <v>6.1765389339999999</v>
      </c>
      <c r="P226">
        <v>6.5673171010000004</v>
      </c>
      <c r="Q226">
        <v>6.9570325869999996</v>
      </c>
    </row>
    <row r="227" spans="1:17" x14ac:dyDescent="0.25">
      <c r="A227" t="s">
        <v>5</v>
      </c>
      <c r="B227" t="s">
        <v>6</v>
      </c>
      <c r="C227" t="s">
        <v>7</v>
      </c>
      <c r="D227" t="s">
        <v>242</v>
      </c>
      <c r="E227" t="s">
        <v>27</v>
      </c>
      <c r="F227">
        <v>0.76234352299999997</v>
      </c>
      <c r="G227">
        <v>0.89937496400000005</v>
      </c>
      <c r="H227">
        <v>0.92261732100000005</v>
      </c>
      <c r="I227">
        <v>1.088696538</v>
      </c>
      <c r="J227">
        <v>1.1371249210000001</v>
      </c>
      <c r="K227">
        <v>1.4271165109999999</v>
      </c>
      <c r="L227">
        <v>1.856157609</v>
      </c>
      <c r="M227">
        <v>2.0529339320000002</v>
      </c>
      <c r="N227">
        <v>2.0013355750000001</v>
      </c>
      <c r="O227">
        <v>2.130035903</v>
      </c>
      <c r="P227">
        <v>2.3018623200000001</v>
      </c>
      <c r="Q227">
        <v>2.4907783370000001</v>
      </c>
    </row>
    <row r="228" spans="1:17" x14ac:dyDescent="0.25">
      <c r="A228" t="s">
        <v>5</v>
      </c>
      <c r="B228" t="s">
        <v>6</v>
      </c>
      <c r="C228" t="s">
        <v>7</v>
      </c>
      <c r="D228" t="s">
        <v>243</v>
      </c>
      <c r="E228" t="s">
        <v>27</v>
      </c>
      <c r="F228">
        <v>0.29974981000000001</v>
      </c>
      <c r="G228">
        <v>0.36497291999999998</v>
      </c>
      <c r="H228">
        <v>0.36808105600000002</v>
      </c>
      <c r="I228">
        <v>0.46909202900000002</v>
      </c>
      <c r="J228">
        <v>0.52628181900000004</v>
      </c>
      <c r="K228">
        <v>0.63356931599999999</v>
      </c>
      <c r="L228">
        <v>0.71136791899999996</v>
      </c>
      <c r="M228">
        <v>0.74857442900000004</v>
      </c>
      <c r="N228">
        <v>0.73484958899999997</v>
      </c>
      <c r="O228">
        <v>0.67909313100000002</v>
      </c>
      <c r="P228">
        <v>0.69951384100000003</v>
      </c>
      <c r="Q228">
        <v>0.72929619999999995</v>
      </c>
    </row>
    <row r="229" spans="1:17" x14ac:dyDescent="0.25">
      <c r="A229" t="s">
        <v>5</v>
      </c>
      <c r="B229" t="s">
        <v>6</v>
      </c>
      <c r="C229" t="s">
        <v>7</v>
      </c>
      <c r="D229" t="s">
        <v>244</v>
      </c>
      <c r="E229" t="s">
        <v>27</v>
      </c>
      <c r="F229">
        <v>1.477922366</v>
      </c>
      <c r="G229">
        <v>1.9384919350000001</v>
      </c>
      <c r="H229">
        <v>1.951008262</v>
      </c>
      <c r="I229">
        <v>2.3482902210000001</v>
      </c>
      <c r="J229">
        <v>2.5479235419999999</v>
      </c>
      <c r="K229">
        <v>3.023101123</v>
      </c>
      <c r="L229">
        <v>3.5057244910000001</v>
      </c>
      <c r="M229">
        <v>3.948648618</v>
      </c>
      <c r="N229">
        <v>4.3204004380000001</v>
      </c>
      <c r="O229">
        <v>4.6201205649999997</v>
      </c>
      <c r="P229">
        <v>4.9468969170000001</v>
      </c>
      <c r="Q229">
        <v>5.2183271280000003</v>
      </c>
    </row>
    <row r="230" spans="1:17" x14ac:dyDescent="0.25">
      <c r="A230" t="s">
        <v>5</v>
      </c>
      <c r="B230" t="s">
        <v>6</v>
      </c>
      <c r="C230" t="s">
        <v>7</v>
      </c>
      <c r="D230" t="s">
        <v>245</v>
      </c>
      <c r="E230" t="s">
        <v>27</v>
      </c>
      <c r="F230">
        <v>1.4670301189999999</v>
      </c>
      <c r="G230">
        <v>1.658978259</v>
      </c>
      <c r="H230">
        <v>1.7102903869999999</v>
      </c>
      <c r="I230">
        <v>2.2659965500000001</v>
      </c>
      <c r="J230">
        <v>2.5475566760000001</v>
      </c>
      <c r="K230">
        <v>3.3877171960000001</v>
      </c>
      <c r="L230">
        <v>4.4176586159999998</v>
      </c>
      <c r="M230">
        <v>5.6548791300000003</v>
      </c>
      <c r="N230">
        <v>6.8673385070000004</v>
      </c>
      <c r="O230">
        <v>8.1338547779999999</v>
      </c>
      <c r="P230">
        <v>8.7306791439999998</v>
      </c>
      <c r="Q230">
        <v>9.1453194250000003</v>
      </c>
    </row>
    <row r="231" spans="1:17" x14ac:dyDescent="0.25">
      <c r="A231" t="s">
        <v>5</v>
      </c>
      <c r="B231" t="s">
        <v>6</v>
      </c>
      <c r="C231" t="s">
        <v>7</v>
      </c>
      <c r="D231" t="s">
        <v>246</v>
      </c>
      <c r="E231" t="s">
        <v>27</v>
      </c>
      <c r="F231">
        <v>0</v>
      </c>
      <c r="G231">
        <v>0</v>
      </c>
      <c r="H231">
        <v>0</v>
      </c>
      <c r="I231">
        <v>1.058948346</v>
      </c>
      <c r="J231">
        <v>9.5090287769999993</v>
      </c>
      <c r="K231">
        <v>20.955080150000001</v>
      </c>
      <c r="L231">
        <v>34.551539480000002</v>
      </c>
      <c r="M231">
        <v>50.31563104</v>
      </c>
      <c r="N231">
        <v>68.168368270000002</v>
      </c>
      <c r="O231">
        <v>86.09870918</v>
      </c>
      <c r="P231">
        <v>93.513711279999995</v>
      </c>
      <c r="Q231">
        <v>98.089071469999993</v>
      </c>
    </row>
    <row r="232" spans="1:17" x14ac:dyDescent="0.25">
      <c r="A232" t="s">
        <v>5</v>
      </c>
      <c r="B232" t="s">
        <v>6</v>
      </c>
      <c r="C232" t="s">
        <v>7</v>
      </c>
      <c r="D232" t="s">
        <v>247</v>
      </c>
      <c r="E232" t="s">
        <v>27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25">
      <c r="A233" t="s">
        <v>5</v>
      </c>
      <c r="B233" t="s">
        <v>6</v>
      </c>
      <c r="C233" t="s">
        <v>7</v>
      </c>
      <c r="D233" t="s">
        <v>248</v>
      </c>
      <c r="E233" t="s">
        <v>27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25">
      <c r="A234" t="s">
        <v>5</v>
      </c>
      <c r="B234" t="s">
        <v>6</v>
      </c>
      <c r="C234" t="s">
        <v>7</v>
      </c>
      <c r="D234" t="s">
        <v>249</v>
      </c>
      <c r="E234" t="s">
        <v>27</v>
      </c>
      <c r="F234">
        <v>6.5868085000000007E-2</v>
      </c>
      <c r="G234">
        <v>7.5662390999999996E-2</v>
      </c>
      <c r="H234">
        <v>7.7248890000000001E-2</v>
      </c>
      <c r="I234">
        <v>0.123432422</v>
      </c>
      <c r="J234">
        <v>0.32042652999999999</v>
      </c>
      <c r="K234">
        <v>0.60186054499999997</v>
      </c>
      <c r="L234">
        <v>0.95571076499999996</v>
      </c>
      <c r="M234">
        <v>1.339373006</v>
      </c>
      <c r="N234">
        <v>1.7165403619999999</v>
      </c>
      <c r="O234">
        <v>2.112576969</v>
      </c>
      <c r="P234">
        <v>2.2587737099999998</v>
      </c>
      <c r="Q234">
        <v>2.3454574620000002</v>
      </c>
    </row>
    <row r="235" spans="1:17" x14ac:dyDescent="0.25">
      <c r="A235" t="s">
        <v>5</v>
      </c>
      <c r="B235" t="s">
        <v>6</v>
      </c>
      <c r="C235" t="s">
        <v>7</v>
      </c>
      <c r="D235" t="s">
        <v>250</v>
      </c>
      <c r="E235" t="s">
        <v>27</v>
      </c>
      <c r="F235">
        <v>0.65032617000000004</v>
      </c>
      <c r="G235">
        <v>0.83046848299999998</v>
      </c>
      <c r="H235">
        <v>0.80866778699999997</v>
      </c>
      <c r="I235">
        <v>1.020493705</v>
      </c>
      <c r="J235">
        <v>1.6531796110000001</v>
      </c>
      <c r="K235">
        <v>2.5480796149999998</v>
      </c>
      <c r="L235">
        <v>3.6186236489999999</v>
      </c>
      <c r="M235">
        <v>4.8665107240000003</v>
      </c>
      <c r="N235">
        <v>6.2828143379999997</v>
      </c>
      <c r="O235">
        <v>7.7192798949999997</v>
      </c>
      <c r="P235">
        <v>8.4169094090000005</v>
      </c>
      <c r="Q235">
        <v>8.8742364170000005</v>
      </c>
    </row>
    <row r="236" spans="1:17" x14ac:dyDescent="0.25">
      <c r="A236" t="s">
        <v>5</v>
      </c>
      <c r="B236" t="s">
        <v>6</v>
      </c>
      <c r="C236" t="s">
        <v>7</v>
      </c>
      <c r="D236" t="s">
        <v>251</v>
      </c>
      <c r="E236" t="s">
        <v>27</v>
      </c>
      <c r="F236">
        <v>8.4497948090000001</v>
      </c>
      <c r="G236">
        <v>9.3283700879999998</v>
      </c>
      <c r="H236">
        <v>9.6992675659999996</v>
      </c>
      <c r="I236">
        <v>18.111616819999998</v>
      </c>
      <c r="J236">
        <v>9.4755751339999996</v>
      </c>
      <c r="K236">
        <v>8.6656002090000008</v>
      </c>
      <c r="L236">
        <v>8.0714183370000008</v>
      </c>
      <c r="M236">
        <v>7.6434377500000004</v>
      </c>
      <c r="N236">
        <v>6.4799659500000004</v>
      </c>
      <c r="O236">
        <v>5.5922936300000003</v>
      </c>
      <c r="P236">
        <v>6.0505993760000001</v>
      </c>
      <c r="Q236">
        <v>6.569808825</v>
      </c>
    </row>
    <row r="237" spans="1:17" x14ac:dyDescent="0.25">
      <c r="A237" t="s">
        <v>5</v>
      </c>
      <c r="B237" t="s">
        <v>6</v>
      </c>
      <c r="C237" t="s">
        <v>7</v>
      </c>
      <c r="D237" t="s">
        <v>252</v>
      </c>
      <c r="E237" t="s">
        <v>27</v>
      </c>
      <c r="F237">
        <v>173.44931650000001</v>
      </c>
      <c r="G237">
        <v>215.9855359</v>
      </c>
      <c r="H237">
        <v>216.06940080000001</v>
      </c>
      <c r="I237">
        <v>247.69517690000001</v>
      </c>
      <c r="J237">
        <v>244.13925420000001</v>
      </c>
      <c r="K237">
        <v>246.1279925</v>
      </c>
      <c r="L237">
        <v>246.1908809</v>
      </c>
      <c r="M237">
        <v>243.06317300000001</v>
      </c>
      <c r="N237">
        <v>235.57041670000001</v>
      </c>
      <c r="O237">
        <v>227.0666951</v>
      </c>
      <c r="P237">
        <v>237.1606744</v>
      </c>
      <c r="Q237">
        <v>249.52822889999999</v>
      </c>
    </row>
    <row r="238" spans="1:17" x14ac:dyDescent="0.25">
      <c r="A238" t="s">
        <v>5</v>
      </c>
      <c r="B238" t="s">
        <v>6</v>
      </c>
      <c r="C238" t="s">
        <v>7</v>
      </c>
      <c r="D238" t="s">
        <v>253</v>
      </c>
      <c r="E238" t="s">
        <v>27</v>
      </c>
      <c r="F238">
        <v>0.48359111199999999</v>
      </c>
      <c r="G238">
        <v>0.550984476</v>
      </c>
      <c r="H238">
        <v>0.58942544900000005</v>
      </c>
      <c r="I238">
        <v>1.9744018649999999</v>
      </c>
      <c r="J238">
        <v>0.63675019099999997</v>
      </c>
      <c r="K238">
        <v>0.68947391099999999</v>
      </c>
      <c r="L238">
        <v>0.80611021100000002</v>
      </c>
      <c r="M238">
        <v>0.87875380800000003</v>
      </c>
      <c r="N238">
        <v>0.88170816600000002</v>
      </c>
      <c r="O238">
        <v>0.95019664999999998</v>
      </c>
      <c r="P238">
        <v>1.0392673480000001</v>
      </c>
      <c r="Q238">
        <v>1.113002684</v>
      </c>
    </row>
    <row r="239" spans="1:17" x14ac:dyDescent="0.25">
      <c r="A239" t="s">
        <v>5</v>
      </c>
      <c r="B239" t="s">
        <v>6</v>
      </c>
      <c r="C239" t="s">
        <v>7</v>
      </c>
      <c r="D239" t="s">
        <v>254</v>
      </c>
      <c r="E239" t="s">
        <v>27</v>
      </c>
      <c r="F239">
        <v>0.35792481199999998</v>
      </c>
      <c r="G239">
        <v>0.42247624900000003</v>
      </c>
      <c r="H239">
        <v>0.43982738900000001</v>
      </c>
      <c r="I239">
        <v>0.64170234999999998</v>
      </c>
      <c r="J239">
        <v>0.507930934</v>
      </c>
      <c r="K239">
        <v>0.60975546300000005</v>
      </c>
      <c r="L239">
        <v>0.77117465799999996</v>
      </c>
      <c r="M239">
        <v>0.81282134399999995</v>
      </c>
      <c r="N239">
        <v>0.73101532400000002</v>
      </c>
      <c r="O239">
        <v>0.74368026300000001</v>
      </c>
      <c r="P239">
        <v>0.81777903600000001</v>
      </c>
      <c r="Q239">
        <v>0.90495286799999997</v>
      </c>
    </row>
    <row r="240" spans="1:17" x14ac:dyDescent="0.25">
      <c r="A240" t="s">
        <v>5</v>
      </c>
      <c r="B240" t="s">
        <v>6</v>
      </c>
      <c r="C240" t="s">
        <v>7</v>
      </c>
      <c r="D240" t="s">
        <v>255</v>
      </c>
      <c r="E240" t="s">
        <v>27</v>
      </c>
      <c r="F240">
        <v>1.28108424</v>
      </c>
      <c r="G240">
        <v>1.4567015409999999</v>
      </c>
      <c r="H240">
        <v>1.4906089469999999</v>
      </c>
      <c r="I240">
        <v>1.909648885</v>
      </c>
      <c r="J240">
        <v>1.326079947</v>
      </c>
      <c r="K240">
        <v>1.132824082</v>
      </c>
      <c r="L240">
        <v>0.97854844100000005</v>
      </c>
      <c r="M240">
        <v>0.78180672299999998</v>
      </c>
      <c r="N240">
        <v>0.540618182</v>
      </c>
      <c r="O240">
        <v>0.37361650000000002</v>
      </c>
      <c r="P240">
        <v>0.36343849299999997</v>
      </c>
      <c r="Q240">
        <v>0.37446826999999999</v>
      </c>
    </row>
    <row r="241" spans="1:17" x14ac:dyDescent="0.25">
      <c r="A241" t="s">
        <v>5</v>
      </c>
      <c r="B241" t="s">
        <v>6</v>
      </c>
      <c r="C241" t="s">
        <v>7</v>
      </c>
      <c r="D241" t="s">
        <v>256</v>
      </c>
      <c r="E241" t="s">
        <v>27</v>
      </c>
      <c r="F241">
        <v>4.386848928</v>
      </c>
      <c r="G241">
        <v>5.6020193620000001</v>
      </c>
      <c r="H241">
        <v>5.4531812549999996</v>
      </c>
      <c r="I241">
        <v>6.3353858750000001</v>
      </c>
      <c r="J241">
        <v>6.1725151829999998</v>
      </c>
      <c r="K241">
        <v>6.1103707800000002</v>
      </c>
      <c r="L241">
        <v>5.9733246040000001</v>
      </c>
      <c r="M241">
        <v>5.7078614429999996</v>
      </c>
      <c r="N241">
        <v>5.3095630160000002</v>
      </c>
      <c r="O241">
        <v>4.9370105830000002</v>
      </c>
      <c r="P241">
        <v>5.1882395490000004</v>
      </c>
      <c r="Q241">
        <v>5.4779074879999996</v>
      </c>
    </row>
    <row r="242" spans="1:17" x14ac:dyDescent="0.25">
      <c r="A242" t="s">
        <v>5</v>
      </c>
      <c r="B242" t="s">
        <v>6</v>
      </c>
      <c r="C242" t="s">
        <v>257</v>
      </c>
      <c r="D242" t="s">
        <v>8</v>
      </c>
      <c r="E242" t="s">
        <v>9</v>
      </c>
      <c r="F242">
        <v>6102.8316260000001</v>
      </c>
      <c r="G242">
        <v>6517.8592769999996</v>
      </c>
      <c r="H242">
        <v>7440.3974209999997</v>
      </c>
      <c r="I242">
        <v>7383.5018899999995</v>
      </c>
      <c r="J242">
        <v>11429.07626</v>
      </c>
      <c r="K242">
        <v>10632.779619999999</v>
      </c>
      <c r="L242">
        <v>13071.64451</v>
      </c>
      <c r="M242">
        <v>14120.881670000001</v>
      </c>
      <c r="N242">
        <v>15399.908649999999</v>
      </c>
      <c r="O242">
        <v>16733.34996</v>
      </c>
      <c r="P242">
        <v>17878.597839999999</v>
      </c>
      <c r="Q242">
        <v>18974.44455</v>
      </c>
    </row>
    <row r="243" spans="1:17" x14ac:dyDescent="0.25">
      <c r="A243" t="s">
        <v>5</v>
      </c>
      <c r="B243" t="s">
        <v>6</v>
      </c>
      <c r="C243" t="s">
        <v>257</v>
      </c>
      <c r="D243" t="s">
        <v>10</v>
      </c>
      <c r="E243" t="s">
        <v>9</v>
      </c>
      <c r="F243">
        <v>93.385164380000006</v>
      </c>
      <c r="G243">
        <v>92.677598549999999</v>
      </c>
      <c r="H243">
        <v>100.5595912</v>
      </c>
      <c r="I243">
        <v>91.212857970000002</v>
      </c>
      <c r="J243">
        <v>149.0039395</v>
      </c>
      <c r="K243">
        <v>126.2203495</v>
      </c>
      <c r="L243">
        <v>140.57732920000001</v>
      </c>
      <c r="M243">
        <v>136.1356643</v>
      </c>
      <c r="N243">
        <v>137.9664315</v>
      </c>
      <c r="O243">
        <v>139.84364969999999</v>
      </c>
      <c r="P243">
        <v>138.73385819999999</v>
      </c>
      <c r="Q243">
        <v>138.18506830000001</v>
      </c>
    </row>
    <row r="244" spans="1:17" x14ac:dyDescent="0.25">
      <c r="A244" t="s">
        <v>5</v>
      </c>
      <c r="B244" t="s">
        <v>6</v>
      </c>
      <c r="C244" t="s">
        <v>257</v>
      </c>
      <c r="D244" t="s">
        <v>11</v>
      </c>
      <c r="E244" t="s">
        <v>9</v>
      </c>
      <c r="F244">
        <v>8151.3302999999996</v>
      </c>
      <c r="G244">
        <v>7168.4133700000002</v>
      </c>
      <c r="H244">
        <v>9145.2913360000002</v>
      </c>
      <c r="I244">
        <v>6042.9274519999999</v>
      </c>
      <c r="J244">
        <v>10908.88841</v>
      </c>
      <c r="K244">
        <v>8153.064762</v>
      </c>
      <c r="L244">
        <v>9266.5839130000004</v>
      </c>
      <c r="M244">
        <v>8398.8959169999998</v>
      </c>
      <c r="N244">
        <v>8647.8567729999995</v>
      </c>
      <c r="O244">
        <v>8339.2389750000002</v>
      </c>
      <c r="P244">
        <v>8291.3388500000001</v>
      </c>
      <c r="Q244">
        <v>8329.7472780000007</v>
      </c>
    </row>
    <row r="245" spans="1:17" x14ac:dyDescent="0.25">
      <c r="A245" t="s">
        <v>5</v>
      </c>
      <c r="B245" t="s">
        <v>6</v>
      </c>
      <c r="C245" t="s">
        <v>257</v>
      </c>
      <c r="D245" t="s">
        <v>12</v>
      </c>
      <c r="E245" t="s">
        <v>9</v>
      </c>
      <c r="F245">
        <v>1290.159218</v>
      </c>
      <c r="G245">
        <v>1198.7671929999999</v>
      </c>
      <c r="H245">
        <v>1371.24974</v>
      </c>
      <c r="I245">
        <v>1557.4021290000001</v>
      </c>
      <c r="J245">
        <v>1683.854681</v>
      </c>
      <c r="K245">
        <v>1903.9728339999999</v>
      </c>
      <c r="L245">
        <v>2102.5696330000001</v>
      </c>
      <c r="M245">
        <v>2373.2700420000001</v>
      </c>
      <c r="N245">
        <v>2534.6891559999999</v>
      </c>
      <c r="O245">
        <v>2718.1752809999998</v>
      </c>
      <c r="P245">
        <v>2899.850817</v>
      </c>
      <c r="Q245">
        <v>3050.4038139999998</v>
      </c>
    </row>
    <row r="246" spans="1:17" x14ac:dyDescent="0.25">
      <c r="A246" t="s">
        <v>5</v>
      </c>
      <c r="B246" t="s">
        <v>6</v>
      </c>
      <c r="C246" t="s">
        <v>257</v>
      </c>
      <c r="D246" t="s">
        <v>13</v>
      </c>
      <c r="E246" t="s">
        <v>9</v>
      </c>
      <c r="F246">
        <v>4.0529250000000003E-2</v>
      </c>
      <c r="G246">
        <v>4.2434484000000001E-2</v>
      </c>
      <c r="H246">
        <v>8.0446033E-2</v>
      </c>
      <c r="I246">
        <v>6.0417839000000001E-2</v>
      </c>
      <c r="J246">
        <v>0.13876223800000001</v>
      </c>
      <c r="K246">
        <v>0.10339343400000001</v>
      </c>
      <c r="L246">
        <v>0.12717207799999999</v>
      </c>
      <c r="M246">
        <v>0.12634645899999999</v>
      </c>
      <c r="N246">
        <v>0.13074189899999999</v>
      </c>
      <c r="O246">
        <v>0.13390798900000001</v>
      </c>
      <c r="P246">
        <v>0.136015734</v>
      </c>
      <c r="Q246">
        <v>0.141969136</v>
      </c>
    </row>
    <row r="247" spans="1:17" x14ac:dyDescent="0.25">
      <c r="A247" t="s">
        <v>5</v>
      </c>
      <c r="B247" t="s">
        <v>6</v>
      </c>
      <c r="C247" t="s">
        <v>257</v>
      </c>
      <c r="D247" t="s">
        <v>14</v>
      </c>
      <c r="E247" t="s">
        <v>9</v>
      </c>
      <c r="F247">
        <v>0.112045466</v>
      </c>
      <c r="G247">
        <v>7.3157550000000002E-2</v>
      </c>
      <c r="H247">
        <v>6.9939948000000002E-2</v>
      </c>
      <c r="I247">
        <v>9.8832505000000001E-2</v>
      </c>
      <c r="J247">
        <v>0.132522323</v>
      </c>
      <c r="K247">
        <v>0.15013016500000001</v>
      </c>
      <c r="L247">
        <v>0.17377400700000001</v>
      </c>
      <c r="M247">
        <v>0.18396284700000001</v>
      </c>
      <c r="N247">
        <v>0.17047145</v>
      </c>
      <c r="O247">
        <v>0.171165121</v>
      </c>
      <c r="P247">
        <v>0.17977953699999999</v>
      </c>
      <c r="Q247">
        <v>0.19223596100000001</v>
      </c>
    </row>
    <row r="248" spans="1:17" x14ac:dyDescent="0.25">
      <c r="A248" t="s">
        <v>5</v>
      </c>
      <c r="B248" t="s">
        <v>6</v>
      </c>
      <c r="C248" t="s">
        <v>257</v>
      </c>
      <c r="D248" t="s">
        <v>15</v>
      </c>
      <c r="E248" t="s">
        <v>9</v>
      </c>
      <c r="F248">
        <v>3.8215342999999999E-2</v>
      </c>
      <c r="G248">
        <v>0.102933635</v>
      </c>
      <c r="H248">
        <v>0.112864332</v>
      </c>
      <c r="I248">
        <v>0.16312879299999999</v>
      </c>
      <c r="J248">
        <v>0.10619209</v>
      </c>
      <c r="K248">
        <v>4.8105697000000003E-2</v>
      </c>
      <c r="L248">
        <v>7.6342832999999999E-2</v>
      </c>
      <c r="M248">
        <v>0.12115126</v>
      </c>
      <c r="N248">
        <v>0.181901286</v>
      </c>
      <c r="O248">
        <v>0.204015381</v>
      </c>
      <c r="P248">
        <v>0.23067796500000001</v>
      </c>
      <c r="Q248">
        <v>0.26488842600000001</v>
      </c>
    </row>
    <row r="249" spans="1:17" x14ac:dyDescent="0.25">
      <c r="A249" t="s">
        <v>5</v>
      </c>
      <c r="B249" t="s">
        <v>6</v>
      </c>
      <c r="C249" t="s">
        <v>257</v>
      </c>
      <c r="D249" t="s">
        <v>16</v>
      </c>
      <c r="E249" t="s">
        <v>9</v>
      </c>
      <c r="F249">
        <v>2.1465620000000001E-2</v>
      </c>
      <c r="G249">
        <v>4.6448851999999999E-2</v>
      </c>
      <c r="H249">
        <v>5.3481300000000002E-2</v>
      </c>
      <c r="I249">
        <v>6.9168654999999996E-2</v>
      </c>
      <c r="J249">
        <v>4.8880252999999999E-2</v>
      </c>
      <c r="K249">
        <v>3.6759359999999998E-2</v>
      </c>
      <c r="L249">
        <v>4.8173448000000001E-2</v>
      </c>
      <c r="M249">
        <v>6.019099E-2</v>
      </c>
      <c r="N249">
        <v>7.7052412000000001E-2</v>
      </c>
      <c r="O249">
        <v>7.9857976999999997E-2</v>
      </c>
      <c r="P249">
        <v>8.2181266000000003E-2</v>
      </c>
      <c r="Q249">
        <v>8.8416933000000003E-2</v>
      </c>
    </row>
    <row r="250" spans="1:17" x14ac:dyDescent="0.25">
      <c r="A250" t="s">
        <v>5</v>
      </c>
      <c r="B250" t="s">
        <v>6</v>
      </c>
      <c r="C250" t="s">
        <v>257</v>
      </c>
      <c r="D250" t="s">
        <v>17</v>
      </c>
      <c r="E250" t="s">
        <v>9</v>
      </c>
      <c r="F250">
        <v>0.75857293999999997</v>
      </c>
      <c r="G250">
        <v>0.32632249800000002</v>
      </c>
      <c r="H250">
        <v>0.47808467599999999</v>
      </c>
      <c r="I250">
        <v>0.91996813799999999</v>
      </c>
      <c r="J250">
        <v>0.812566491</v>
      </c>
      <c r="K250">
        <v>0.85040901800000002</v>
      </c>
      <c r="L250">
        <v>0.86230392899999997</v>
      </c>
      <c r="M250">
        <v>0.86541758899999999</v>
      </c>
      <c r="N250">
        <v>0.86381100200000005</v>
      </c>
      <c r="O250">
        <v>0.85174003600000003</v>
      </c>
      <c r="P250">
        <v>0.85174082900000003</v>
      </c>
      <c r="Q250">
        <v>0.88976820700000003</v>
      </c>
    </row>
    <row r="251" spans="1:17" x14ac:dyDescent="0.25">
      <c r="A251" t="s">
        <v>5</v>
      </c>
      <c r="B251" t="s">
        <v>6</v>
      </c>
      <c r="C251" t="s">
        <v>257</v>
      </c>
      <c r="D251" t="s">
        <v>18</v>
      </c>
      <c r="E251" t="s">
        <v>19</v>
      </c>
      <c r="F251">
        <v>180101747.40000001</v>
      </c>
      <c r="G251">
        <v>165884812.40000001</v>
      </c>
      <c r="H251">
        <v>118840707.5</v>
      </c>
      <c r="I251">
        <v>111932710.3</v>
      </c>
      <c r="J251">
        <v>148570195.90000001</v>
      </c>
      <c r="K251">
        <v>194210383.30000001</v>
      </c>
      <c r="L251">
        <v>183753259.90000001</v>
      </c>
      <c r="M251">
        <v>188965647.40000001</v>
      </c>
      <c r="N251">
        <v>191966123.19999999</v>
      </c>
      <c r="O251">
        <v>194249852.5</v>
      </c>
      <c r="P251">
        <v>211841330</v>
      </c>
      <c r="Q251">
        <v>214529083.80000001</v>
      </c>
    </row>
    <row r="252" spans="1:17" x14ac:dyDescent="0.25">
      <c r="A252" t="s">
        <v>5</v>
      </c>
      <c r="B252" t="s">
        <v>6</v>
      </c>
      <c r="C252" t="s">
        <v>257</v>
      </c>
      <c r="D252" t="s">
        <v>20</v>
      </c>
      <c r="E252" t="s">
        <v>19</v>
      </c>
      <c r="F252">
        <v>130246173.09999999</v>
      </c>
      <c r="G252">
        <v>126559488.8</v>
      </c>
      <c r="H252">
        <v>91897339.859999999</v>
      </c>
      <c r="I252">
        <v>90282230.239999995</v>
      </c>
      <c r="J252">
        <v>118605889</v>
      </c>
      <c r="K252">
        <v>152959829.40000001</v>
      </c>
      <c r="L252">
        <v>148153295.5</v>
      </c>
      <c r="M252">
        <v>154160103.30000001</v>
      </c>
      <c r="N252">
        <v>158605619.30000001</v>
      </c>
      <c r="O252">
        <v>162628759.19999999</v>
      </c>
      <c r="P252">
        <v>178198214.80000001</v>
      </c>
      <c r="Q252">
        <v>182421754.19999999</v>
      </c>
    </row>
    <row r="253" spans="1:17" x14ac:dyDescent="0.25">
      <c r="A253" t="s">
        <v>5</v>
      </c>
      <c r="B253" t="s">
        <v>6</v>
      </c>
      <c r="C253" t="s">
        <v>257</v>
      </c>
      <c r="D253" t="s">
        <v>21</v>
      </c>
      <c r="E253" t="s">
        <v>19</v>
      </c>
      <c r="F253">
        <v>56919544.460000001</v>
      </c>
      <c r="G253">
        <v>54000295.729999997</v>
      </c>
      <c r="H253">
        <v>43112481.82</v>
      </c>
      <c r="I253">
        <v>40404628.549999997</v>
      </c>
      <c r="J253">
        <v>53698061.939999998</v>
      </c>
      <c r="K253">
        <v>68445244.700000003</v>
      </c>
      <c r="L253">
        <v>67718836.760000005</v>
      </c>
      <c r="M253">
        <v>70526482.319999993</v>
      </c>
      <c r="N253">
        <v>72981705.640000001</v>
      </c>
      <c r="O253">
        <v>75460140.540000007</v>
      </c>
      <c r="P253">
        <v>82912512.769999996</v>
      </c>
      <c r="Q253">
        <v>85262402.909999996</v>
      </c>
    </row>
    <row r="254" spans="1:17" x14ac:dyDescent="0.25">
      <c r="A254" t="s">
        <v>5</v>
      </c>
      <c r="B254" t="s">
        <v>6</v>
      </c>
      <c r="C254" t="s">
        <v>257</v>
      </c>
      <c r="D254" t="s">
        <v>22</v>
      </c>
      <c r="E254" t="s">
        <v>19</v>
      </c>
      <c r="F254">
        <v>9261388.9719999991</v>
      </c>
      <c r="G254">
        <v>14332342.68</v>
      </c>
      <c r="H254">
        <v>11884371.34</v>
      </c>
      <c r="I254">
        <v>14748788.24</v>
      </c>
      <c r="J254">
        <v>18540775.109999999</v>
      </c>
      <c r="K254">
        <v>26451095.050000001</v>
      </c>
      <c r="L254">
        <v>31757360.600000001</v>
      </c>
      <c r="M254">
        <v>39943461.729999997</v>
      </c>
      <c r="N254">
        <v>50025450.329999998</v>
      </c>
      <c r="O254">
        <v>64902272.850000001</v>
      </c>
      <c r="P254">
        <v>84373024.489999995</v>
      </c>
      <c r="Q254">
        <v>94975349.909999996</v>
      </c>
    </row>
    <row r="255" spans="1:17" x14ac:dyDescent="0.25">
      <c r="A255" t="s">
        <v>5</v>
      </c>
      <c r="B255" t="s">
        <v>6</v>
      </c>
      <c r="C255" t="s">
        <v>257</v>
      </c>
      <c r="D255" t="s">
        <v>23</v>
      </c>
      <c r="E255" t="s">
        <v>19</v>
      </c>
      <c r="F255">
        <v>6991769.8899999997</v>
      </c>
      <c r="G255">
        <v>9384304.1500000004</v>
      </c>
      <c r="H255">
        <v>7481558.2189999996</v>
      </c>
      <c r="I255">
        <v>9086426.2809999995</v>
      </c>
      <c r="J255">
        <v>11169609.869999999</v>
      </c>
      <c r="K255">
        <v>14217428.83</v>
      </c>
      <c r="L255">
        <v>15704832.27</v>
      </c>
      <c r="M255">
        <v>18121755.550000001</v>
      </c>
      <c r="N255">
        <v>20884855.670000002</v>
      </c>
      <c r="O255">
        <v>24831941.690000001</v>
      </c>
      <c r="P255">
        <v>29757272.739999998</v>
      </c>
      <c r="Q255">
        <v>31930328.879999999</v>
      </c>
    </row>
    <row r="256" spans="1:17" x14ac:dyDescent="0.25">
      <c r="A256" t="s">
        <v>5</v>
      </c>
      <c r="B256" t="s">
        <v>6</v>
      </c>
      <c r="C256" t="s">
        <v>257</v>
      </c>
      <c r="D256" t="s">
        <v>24</v>
      </c>
      <c r="E256" t="s">
        <v>19</v>
      </c>
      <c r="F256">
        <v>10044934.199999999</v>
      </c>
      <c r="G256">
        <v>14899207.130000001</v>
      </c>
      <c r="H256">
        <v>12075942.98</v>
      </c>
      <c r="I256">
        <v>14916995.529999999</v>
      </c>
      <c r="J256">
        <v>18568968.370000001</v>
      </c>
      <c r="K256">
        <v>25400835.460000001</v>
      </c>
      <c r="L256">
        <v>29367781.75</v>
      </c>
      <c r="M256">
        <v>35439906.200000003</v>
      </c>
      <c r="N256">
        <v>42433001.689999998</v>
      </c>
      <c r="O256">
        <v>52157995.049999997</v>
      </c>
      <c r="P256">
        <v>63756199.939999998</v>
      </c>
      <c r="Q256">
        <v>68221062.560000002</v>
      </c>
    </row>
    <row r="257" spans="1:17" x14ac:dyDescent="0.25">
      <c r="A257" t="s">
        <v>5</v>
      </c>
      <c r="B257" t="s">
        <v>6</v>
      </c>
      <c r="C257" t="s">
        <v>257</v>
      </c>
      <c r="D257" t="s">
        <v>25</v>
      </c>
      <c r="E257" t="s">
        <v>19</v>
      </c>
      <c r="F257">
        <v>76474471.370000005</v>
      </c>
      <c r="G257">
        <v>93124910.510000005</v>
      </c>
      <c r="H257">
        <v>72588432.260000005</v>
      </c>
      <c r="I257">
        <v>86263424.599999994</v>
      </c>
      <c r="J257">
        <v>104827642.5</v>
      </c>
      <c r="K257">
        <v>121836774.3</v>
      </c>
      <c r="L257">
        <v>126141516</v>
      </c>
      <c r="M257">
        <v>134822193.90000001</v>
      </c>
      <c r="N257">
        <v>143125267</v>
      </c>
      <c r="O257">
        <v>153984400</v>
      </c>
      <c r="P257">
        <v>164959357</v>
      </c>
      <c r="Q257">
        <v>163601368.5</v>
      </c>
    </row>
    <row r="258" spans="1:17" x14ac:dyDescent="0.25">
      <c r="A258" t="s">
        <v>5</v>
      </c>
      <c r="B258" t="s">
        <v>6</v>
      </c>
      <c r="C258" t="s">
        <v>257</v>
      </c>
      <c r="D258" t="s">
        <v>26</v>
      </c>
      <c r="E258" t="s">
        <v>27</v>
      </c>
      <c r="F258">
        <v>5.4376128430000001</v>
      </c>
      <c r="G258">
        <v>5.8065162680000002</v>
      </c>
      <c r="H258">
        <v>6.6320403609999996</v>
      </c>
      <c r="I258">
        <v>6.5759335759999997</v>
      </c>
      <c r="J258">
        <v>10.158596259999999</v>
      </c>
      <c r="K258">
        <v>9.4108833539999992</v>
      </c>
      <c r="L258">
        <v>11.55706668</v>
      </c>
      <c r="M258">
        <v>12.49642167</v>
      </c>
      <c r="N258">
        <v>13.60126651</v>
      </c>
      <c r="O258">
        <v>14.70845199</v>
      </c>
      <c r="P258">
        <v>15.672072630000001</v>
      </c>
      <c r="Q258">
        <v>16.6127562</v>
      </c>
    </row>
    <row r="259" spans="1:17" x14ac:dyDescent="0.25">
      <c r="A259" t="s">
        <v>5</v>
      </c>
      <c r="B259" t="s">
        <v>6</v>
      </c>
      <c r="C259" t="s">
        <v>257</v>
      </c>
      <c r="D259" t="s">
        <v>28</v>
      </c>
      <c r="E259" t="s">
        <v>27</v>
      </c>
      <c r="F259">
        <v>11.62562133</v>
      </c>
      <c r="G259">
        <v>11.93924251</v>
      </c>
      <c r="H259">
        <v>13.468769829999999</v>
      </c>
      <c r="I259">
        <v>14.2783876</v>
      </c>
      <c r="J259">
        <v>18.775729299999998</v>
      </c>
      <c r="K259">
        <v>18.863640660000002</v>
      </c>
      <c r="L259">
        <v>22.039558119999999</v>
      </c>
      <c r="M259">
        <v>24.060767160000001</v>
      </c>
      <c r="N259">
        <v>26.0767831</v>
      </c>
      <c r="O259">
        <v>28.0492521</v>
      </c>
      <c r="P259">
        <v>29.798633949999999</v>
      </c>
      <c r="Q259">
        <v>31.44193958</v>
      </c>
    </row>
    <row r="260" spans="1:17" x14ac:dyDescent="0.25">
      <c r="A260" t="s">
        <v>5</v>
      </c>
      <c r="B260" t="s">
        <v>6</v>
      </c>
      <c r="C260" t="s">
        <v>257</v>
      </c>
      <c r="D260" t="s">
        <v>29</v>
      </c>
      <c r="E260" t="s">
        <v>27</v>
      </c>
      <c r="F260">
        <v>0.192912269</v>
      </c>
      <c r="G260">
        <v>0.12839947500000001</v>
      </c>
      <c r="H260">
        <v>0.12883926000000001</v>
      </c>
      <c r="I260">
        <v>0.17393630099999999</v>
      </c>
      <c r="J260">
        <v>0.24204903999999999</v>
      </c>
      <c r="K260">
        <v>0.26602109099999999</v>
      </c>
      <c r="L260">
        <v>0.30911508999999998</v>
      </c>
      <c r="M260">
        <v>0.326167718</v>
      </c>
      <c r="N260">
        <v>0.30475105000000002</v>
      </c>
      <c r="O260">
        <v>0.30724261200000003</v>
      </c>
      <c r="P260">
        <v>0.32359278200000002</v>
      </c>
      <c r="Q260">
        <v>0.34765605199999999</v>
      </c>
    </row>
    <row r="261" spans="1:17" x14ac:dyDescent="0.25">
      <c r="A261" t="s">
        <v>5</v>
      </c>
      <c r="B261" t="s">
        <v>6</v>
      </c>
      <c r="C261" t="s">
        <v>257</v>
      </c>
      <c r="D261" t="s">
        <v>30</v>
      </c>
      <c r="E261" t="s">
        <v>27</v>
      </c>
      <c r="F261">
        <v>3.9344199999999998E-4</v>
      </c>
      <c r="G261">
        <v>9.6167300000000002E-4</v>
      </c>
      <c r="H261">
        <v>1.076458E-3</v>
      </c>
      <c r="I261">
        <v>1.485728E-3</v>
      </c>
      <c r="J261">
        <v>1.000405E-3</v>
      </c>
      <c r="K261">
        <v>5.7926799999999997E-4</v>
      </c>
      <c r="L261">
        <v>8.3162299999999998E-4</v>
      </c>
      <c r="M261">
        <v>1.1795009999999999E-3</v>
      </c>
      <c r="N261">
        <v>1.656046E-3</v>
      </c>
      <c r="O261">
        <v>1.8007730000000001E-3</v>
      </c>
      <c r="P261">
        <v>1.9661309999999999E-3</v>
      </c>
      <c r="Q261">
        <v>2.2063730000000002E-3</v>
      </c>
    </row>
    <row r="262" spans="1:17" x14ac:dyDescent="0.25">
      <c r="A262" t="s">
        <v>5</v>
      </c>
      <c r="B262" t="s">
        <v>6</v>
      </c>
      <c r="C262" t="s">
        <v>257</v>
      </c>
      <c r="D262" t="s">
        <v>31</v>
      </c>
      <c r="E262" t="s">
        <v>27</v>
      </c>
      <c r="F262">
        <v>0.53716028500000002</v>
      </c>
      <c r="G262">
        <v>0.19703340999999999</v>
      </c>
      <c r="H262">
        <v>0.25655683200000001</v>
      </c>
      <c r="I262">
        <v>0.50140443999999995</v>
      </c>
      <c r="J262">
        <v>0.447694384</v>
      </c>
      <c r="K262">
        <v>0.48245812999999999</v>
      </c>
      <c r="L262">
        <v>0.49053750899999998</v>
      </c>
      <c r="M262">
        <v>0.49586031699999999</v>
      </c>
      <c r="N262">
        <v>0.51309302499999998</v>
      </c>
      <c r="O262">
        <v>0.52402578899999996</v>
      </c>
      <c r="P262">
        <v>0.52972842200000003</v>
      </c>
      <c r="Q262">
        <v>0.55361917599999999</v>
      </c>
    </row>
    <row r="263" spans="1:17" x14ac:dyDescent="0.25">
      <c r="A263" t="s">
        <v>5</v>
      </c>
      <c r="B263" t="s">
        <v>6</v>
      </c>
      <c r="C263" t="s">
        <v>257</v>
      </c>
      <c r="D263" t="s">
        <v>32</v>
      </c>
      <c r="E263" t="s">
        <v>27</v>
      </c>
      <c r="F263">
        <v>0.83095012199999996</v>
      </c>
      <c r="G263">
        <v>0.88969520400000002</v>
      </c>
      <c r="H263">
        <v>1.0788895999999999</v>
      </c>
      <c r="I263">
        <v>1.0817476660000001</v>
      </c>
      <c r="J263">
        <v>1.7400583780000001</v>
      </c>
      <c r="K263">
        <v>1.6977429429999999</v>
      </c>
      <c r="L263">
        <v>2.1017670119999998</v>
      </c>
      <c r="M263">
        <v>2.3191979950000001</v>
      </c>
      <c r="N263">
        <v>2.7114774289999999</v>
      </c>
      <c r="O263">
        <v>3.172033034</v>
      </c>
      <c r="P263">
        <v>3.5134172879999999</v>
      </c>
      <c r="Q263">
        <v>3.7752291200000001</v>
      </c>
    </row>
    <row r="264" spans="1:17" x14ac:dyDescent="0.25">
      <c r="A264" t="s">
        <v>5</v>
      </c>
      <c r="B264" t="s">
        <v>6</v>
      </c>
      <c r="C264" t="s">
        <v>257</v>
      </c>
      <c r="D264" t="s">
        <v>33</v>
      </c>
      <c r="E264" t="s">
        <v>27</v>
      </c>
      <c r="F264">
        <v>1.410682338</v>
      </c>
      <c r="G264">
        <v>1.4517886149999999</v>
      </c>
      <c r="H264">
        <v>1.7098842249999999</v>
      </c>
      <c r="I264">
        <v>1.704084726</v>
      </c>
      <c r="J264">
        <v>2.5865636859999999</v>
      </c>
      <c r="K264">
        <v>2.5078254059999998</v>
      </c>
      <c r="L264">
        <v>3.0079921920000001</v>
      </c>
      <c r="M264">
        <v>3.26506323</v>
      </c>
      <c r="N264">
        <v>3.7062063909999998</v>
      </c>
      <c r="O264">
        <v>4.2106965289999998</v>
      </c>
      <c r="P264">
        <v>4.5875341020000002</v>
      </c>
      <c r="Q264">
        <v>4.8815666740000001</v>
      </c>
    </row>
    <row r="265" spans="1:17" x14ac:dyDescent="0.25">
      <c r="A265" t="s">
        <v>5</v>
      </c>
      <c r="B265" t="s">
        <v>6</v>
      </c>
      <c r="C265" t="s">
        <v>257</v>
      </c>
      <c r="D265" t="s">
        <v>34</v>
      </c>
      <c r="E265" t="s">
        <v>27</v>
      </c>
      <c r="F265">
        <v>1.3909575E-2</v>
      </c>
      <c r="G265">
        <v>1.0351008E-2</v>
      </c>
      <c r="H265">
        <v>1.3060297E-2</v>
      </c>
      <c r="I265">
        <v>1.423015E-2</v>
      </c>
      <c r="J265">
        <v>2.3666487E-2</v>
      </c>
      <c r="K265">
        <v>2.2551614000000001E-2</v>
      </c>
      <c r="L265">
        <v>2.672105E-2</v>
      </c>
      <c r="M265">
        <v>2.7711814000000001E-2</v>
      </c>
      <c r="N265">
        <v>2.6940184999999998E-2</v>
      </c>
      <c r="O265">
        <v>2.7617320000000001E-2</v>
      </c>
      <c r="P265">
        <v>2.931251E-2</v>
      </c>
      <c r="Q265">
        <v>3.1984809000000003E-2</v>
      </c>
    </row>
    <row r="266" spans="1:17" x14ac:dyDescent="0.25">
      <c r="A266" t="s">
        <v>5</v>
      </c>
      <c r="B266" t="s">
        <v>6</v>
      </c>
      <c r="C266" t="s">
        <v>257</v>
      </c>
      <c r="D266" t="s">
        <v>35</v>
      </c>
      <c r="E266" t="s">
        <v>27</v>
      </c>
      <c r="F266">
        <v>2.9726700000000002E-3</v>
      </c>
      <c r="G266">
        <v>7.2659719999999999E-3</v>
      </c>
      <c r="H266">
        <v>8.1332399999999999E-3</v>
      </c>
      <c r="I266">
        <v>1.1225498E-2</v>
      </c>
      <c r="J266">
        <v>7.5586150000000003E-3</v>
      </c>
      <c r="K266">
        <v>4.3766919999999997E-3</v>
      </c>
      <c r="L266">
        <v>6.2833749999999999E-3</v>
      </c>
      <c r="M266">
        <v>8.9117829999999995E-3</v>
      </c>
      <c r="N266">
        <v>1.2512348E-2</v>
      </c>
      <c r="O266">
        <v>1.3605842E-2</v>
      </c>
      <c r="P266">
        <v>1.4855208999999999E-2</v>
      </c>
      <c r="Q266">
        <v>1.6670375000000001E-2</v>
      </c>
    </row>
    <row r="267" spans="1:17" x14ac:dyDescent="0.25">
      <c r="A267" t="s">
        <v>5</v>
      </c>
      <c r="B267" t="s">
        <v>6</v>
      </c>
      <c r="C267" t="s">
        <v>257</v>
      </c>
      <c r="D267" t="s">
        <v>36</v>
      </c>
      <c r="E267" t="s">
        <v>27</v>
      </c>
      <c r="F267">
        <v>5.9028600000000002E-3</v>
      </c>
      <c r="G267">
        <v>2.1652020000000002E-3</v>
      </c>
      <c r="H267">
        <v>2.8193060000000002E-3</v>
      </c>
      <c r="I267">
        <v>5.5099390000000002E-3</v>
      </c>
      <c r="J267">
        <v>4.9197190000000003E-3</v>
      </c>
      <c r="K267">
        <v>5.3017380000000003E-3</v>
      </c>
      <c r="L267">
        <v>5.390522E-3</v>
      </c>
      <c r="M267">
        <v>5.4490140000000003E-3</v>
      </c>
      <c r="N267">
        <v>5.6383850000000001E-3</v>
      </c>
      <c r="O267">
        <v>5.7585249999999996E-3</v>
      </c>
      <c r="P267">
        <v>5.8211909999999999E-3</v>
      </c>
      <c r="Q267">
        <v>6.0837269999999997E-3</v>
      </c>
    </row>
    <row r="268" spans="1:17" x14ac:dyDescent="0.25">
      <c r="A268" t="s">
        <v>5</v>
      </c>
      <c r="B268" t="s">
        <v>6</v>
      </c>
      <c r="C268" t="s">
        <v>257</v>
      </c>
      <c r="D268" t="s">
        <v>37</v>
      </c>
      <c r="E268" t="s">
        <v>27</v>
      </c>
      <c r="F268">
        <v>0.158505745</v>
      </c>
      <c r="G268">
        <v>0.17147146999999999</v>
      </c>
      <c r="H268">
        <v>0.25469524700000001</v>
      </c>
      <c r="I268">
        <v>0.26426697599999999</v>
      </c>
      <c r="J268">
        <v>0.47348445700000003</v>
      </c>
      <c r="K268">
        <v>0.51435156599999998</v>
      </c>
      <c r="L268">
        <v>0.63919909500000005</v>
      </c>
      <c r="M268">
        <v>0.72733308799999996</v>
      </c>
      <c r="N268">
        <v>0.95615429299999999</v>
      </c>
      <c r="O268">
        <v>1.2495469180000001</v>
      </c>
      <c r="P268">
        <v>1.4506743710000001</v>
      </c>
      <c r="Q268">
        <v>1.5799197380000001</v>
      </c>
    </row>
    <row r="269" spans="1:17" x14ac:dyDescent="0.25">
      <c r="A269" t="s">
        <v>5</v>
      </c>
      <c r="B269" t="s">
        <v>6</v>
      </c>
      <c r="C269" t="s">
        <v>257</v>
      </c>
      <c r="D269" t="s">
        <v>38</v>
      </c>
      <c r="E269" t="s">
        <v>27</v>
      </c>
      <c r="F269">
        <v>0.202850164</v>
      </c>
      <c r="G269">
        <v>0.21449228000000001</v>
      </c>
      <c r="H269">
        <v>0.303277766</v>
      </c>
      <c r="I269">
        <v>0.31975778700000002</v>
      </c>
      <c r="J269">
        <v>0.53636810599999996</v>
      </c>
      <c r="K269">
        <v>0.58601345900000001</v>
      </c>
      <c r="L269">
        <v>0.72116546800000003</v>
      </c>
      <c r="M269">
        <v>0.82204590099999997</v>
      </c>
      <c r="N269">
        <v>1.0599592980000001</v>
      </c>
      <c r="O269">
        <v>1.361923642</v>
      </c>
      <c r="P269">
        <v>1.570851569</v>
      </c>
      <c r="Q269">
        <v>1.7065137640000001</v>
      </c>
    </row>
    <row r="270" spans="1:17" x14ac:dyDescent="0.25">
      <c r="A270" t="s">
        <v>5</v>
      </c>
      <c r="B270" t="s">
        <v>6</v>
      </c>
      <c r="C270" t="s">
        <v>257</v>
      </c>
      <c r="D270" t="s">
        <v>39</v>
      </c>
      <c r="E270" t="s">
        <v>27</v>
      </c>
      <c r="F270">
        <v>3.1088900000000001E-4</v>
      </c>
      <c r="G270">
        <v>2.0877E-4</v>
      </c>
      <c r="H270">
        <v>2.13816E-4</v>
      </c>
      <c r="I270">
        <v>2.8320100000000001E-4</v>
      </c>
      <c r="J270">
        <v>4.0048999999999998E-4</v>
      </c>
      <c r="K270">
        <v>4.35048E-4</v>
      </c>
      <c r="L270">
        <v>5.0743499999999998E-4</v>
      </c>
      <c r="M270">
        <v>5.3846199999999997E-4</v>
      </c>
      <c r="N270">
        <v>5.1303700000000004E-4</v>
      </c>
      <c r="O270">
        <v>5.3472199999999995E-4</v>
      </c>
      <c r="P270">
        <v>5.9499800000000001E-4</v>
      </c>
      <c r="Q270">
        <v>6.8269800000000003E-4</v>
      </c>
    </row>
    <row r="271" spans="1:17" x14ac:dyDescent="0.25">
      <c r="A271" t="s">
        <v>5</v>
      </c>
      <c r="B271" t="s">
        <v>6</v>
      </c>
      <c r="C271" t="s">
        <v>257</v>
      </c>
      <c r="D271" t="s">
        <v>40</v>
      </c>
      <c r="E271" t="s">
        <v>27</v>
      </c>
      <c r="F271" s="1">
        <v>1.06E-5</v>
      </c>
      <c r="G271" s="1">
        <v>2.87E-5</v>
      </c>
      <c r="H271" s="1">
        <v>3.1399999999999998E-5</v>
      </c>
      <c r="I271" s="1">
        <v>4.5399999999999999E-5</v>
      </c>
      <c r="J271" s="1">
        <v>2.9600000000000001E-5</v>
      </c>
      <c r="K271" s="1">
        <v>1.34E-5</v>
      </c>
      <c r="L271" s="1">
        <v>2.1299999999999999E-5</v>
      </c>
      <c r="M271" s="1">
        <v>3.3699999999999999E-5</v>
      </c>
      <c r="N271" s="1">
        <v>5.0699999999999999E-5</v>
      </c>
      <c r="O271" s="1">
        <v>5.6799999999999998E-5</v>
      </c>
      <c r="P271" s="1">
        <v>6.4300000000000004E-5</v>
      </c>
      <c r="Q271" s="1">
        <v>7.3800000000000005E-5</v>
      </c>
    </row>
    <row r="272" spans="1:17" x14ac:dyDescent="0.25">
      <c r="A272" t="s">
        <v>5</v>
      </c>
      <c r="B272" t="s">
        <v>6</v>
      </c>
      <c r="C272" t="s">
        <v>257</v>
      </c>
      <c r="D272" t="s">
        <v>41</v>
      </c>
      <c r="E272" t="s">
        <v>27</v>
      </c>
      <c r="F272">
        <v>5.9028600000000002E-3</v>
      </c>
      <c r="G272">
        <v>2.1652020000000002E-3</v>
      </c>
      <c r="H272">
        <v>2.8193060000000002E-3</v>
      </c>
      <c r="I272">
        <v>5.5099390000000002E-3</v>
      </c>
      <c r="J272">
        <v>4.9197190000000003E-3</v>
      </c>
      <c r="K272">
        <v>5.3017380000000003E-3</v>
      </c>
      <c r="L272">
        <v>5.390522E-3</v>
      </c>
      <c r="M272">
        <v>5.4490140000000003E-3</v>
      </c>
      <c r="N272">
        <v>5.6383850000000001E-3</v>
      </c>
      <c r="O272">
        <v>5.7585249999999996E-3</v>
      </c>
      <c r="P272">
        <v>5.8211909999999999E-3</v>
      </c>
      <c r="Q272">
        <v>6.0837269999999997E-3</v>
      </c>
    </row>
    <row r="273" spans="1:17" x14ac:dyDescent="0.25">
      <c r="A273" t="s">
        <v>5</v>
      </c>
      <c r="B273" t="s">
        <v>6</v>
      </c>
      <c r="C273" t="s">
        <v>257</v>
      </c>
      <c r="D273" t="s">
        <v>42</v>
      </c>
      <c r="E273" t="s">
        <v>27</v>
      </c>
      <c r="F273">
        <v>0.22855099100000001</v>
      </c>
      <c r="G273">
        <v>0.24419300499999999</v>
      </c>
      <c r="H273">
        <v>0.28243277300000003</v>
      </c>
      <c r="I273">
        <v>0.28059184999999998</v>
      </c>
      <c r="J273">
        <v>0.43712738400000001</v>
      </c>
      <c r="K273">
        <v>0.40939214600000001</v>
      </c>
      <c r="L273">
        <v>0.50317081500000005</v>
      </c>
      <c r="M273">
        <v>0.54503123600000003</v>
      </c>
      <c r="N273">
        <v>0.60095485599999998</v>
      </c>
      <c r="O273">
        <v>0.66119283900000003</v>
      </c>
      <c r="P273">
        <v>0.71100485199999996</v>
      </c>
      <c r="Q273">
        <v>0.75631689499999999</v>
      </c>
    </row>
    <row r="274" spans="1:17" x14ac:dyDescent="0.25">
      <c r="A274" t="s">
        <v>5</v>
      </c>
      <c r="B274" t="s">
        <v>6</v>
      </c>
      <c r="C274" t="s">
        <v>257</v>
      </c>
      <c r="D274" t="s">
        <v>43</v>
      </c>
      <c r="E274" t="s">
        <v>27</v>
      </c>
      <c r="F274">
        <v>0.29586997999999998</v>
      </c>
      <c r="G274">
        <v>0.31066800100000003</v>
      </c>
      <c r="H274">
        <v>0.35584812500000002</v>
      </c>
      <c r="I274">
        <v>0.357036984</v>
      </c>
      <c r="J274">
        <v>0.53593960799999996</v>
      </c>
      <c r="K274">
        <v>0.50728699200000005</v>
      </c>
      <c r="L274">
        <v>0.61186028299999995</v>
      </c>
      <c r="M274">
        <v>0.659674706</v>
      </c>
      <c r="N274">
        <v>0.72195134599999999</v>
      </c>
      <c r="O274">
        <v>0.78840233100000001</v>
      </c>
      <c r="P274">
        <v>0.84308658800000003</v>
      </c>
      <c r="Q274">
        <v>0.89283618899999995</v>
      </c>
    </row>
    <row r="275" spans="1:17" x14ac:dyDescent="0.25">
      <c r="A275" t="s">
        <v>5</v>
      </c>
      <c r="B275" t="s">
        <v>6</v>
      </c>
      <c r="C275" t="s">
        <v>257</v>
      </c>
      <c r="D275" t="s">
        <v>44</v>
      </c>
      <c r="E275" t="s">
        <v>27</v>
      </c>
      <c r="F275" s="1">
        <v>3.7799999999999997E-5</v>
      </c>
      <c r="G275" s="1">
        <v>3.9799999999999998E-5</v>
      </c>
      <c r="H275" s="1">
        <v>7.5500000000000006E-5</v>
      </c>
      <c r="I275" s="1">
        <v>5.6799999999999998E-5</v>
      </c>
      <c r="J275">
        <v>1.30486E-4</v>
      </c>
      <c r="K275" s="1">
        <v>9.8099999999999999E-5</v>
      </c>
      <c r="L275">
        <v>1.2229299999999999E-4</v>
      </c>
      <c r="M275">
        <v>1.2766700000000001E-4</v>
      </c>
      <c r="N275">
        <v>1.44098E-4</v>
      </c>
      <c r="O275">
        <v>1.73504E-4</v>
      </c>
      <c r="P275">
        <v>2.2734299999999999E-4</v>
      </c>
      <c r="Q275">
        <v>3.0721900000000001E-4</v>
      </c>
    </row>
    <row r="276" spans="1:17" x14ac:dyDescent="0.25">
      <c r="A276" t="s">
        <v>5</v>
      </c>
      <c r="B276" t="s">
        <v>6</v>
      </c>
      <c r="C276" t="s">
        <v>257</v>
      </c>
      <c r="D276" t="s">
        <v>45</v>
      </c>
      <c r="E276" t="s">
        <v>27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 x14ac:dyDescent="0.25">
      <c r="A277" t="s">
        <v>5</v>
      </c>
      <c r="B277" t="s">
        <v>6</v>
      </c>
      <c r="C277" t="s">
        <v>257</v>
      </c>
      <c r="D277" t="s">
        <v>46</v>
      </c>
      <c r="E277" t="s">
        <v>27</v>
      </c>
      <c r="F277">
        <v>3.5417199999999998E-4</v>
      </c>
      <c r="G277">
        <v>1.2991200000000001E-4</v>
      </c>
      <c r="H277">
        <v>1.6915800000000001E-4</v>
      </c>
      <c r="I277">
        <v>3.30596E-4</v>
      </c>
      <c r="J277">
        <v>2.9518300000000002E-4</v>
      </c>
      <c r="K277">
        <v>3.1810399999999999E-4</v>
      </c>
      <c r="L277">
        <v>3.23431E-4</v>
      </c>
      <c r="M277">
        <v>3.2694100000000003E-4</v>
      </c>
      <c r="N277">
        <v>3.3830299999999998E-4</v>
      </c>
      <c r="O277">
        <v>3.4551200000000002E-4</v>
      </c>
      <c r="P277">
        <v>3.4927100000000001E-4</v>
      </c>
      <c r="Q277">
        <v>3.6502399999999998E-4</v>
      </c>
    </row>
    <row r="278" spans="1:17" x14ac:dyDescent="0.25">
      <c r="A278" t="s">
        <v>5</v>
      </c>
      <c r="B278" t="s">
        <v>6</v>
      </c>
      <c r="C278" t="s">
        <v>257</v>
      </c>
      <c r="D278" t="s">
        <v>47</v>
      </c>
      <c r="E278" t="s">
        <v>27</v>
      </c>
      <c r="F278">
        <v>1.070706446</v>
      </c>
      <c r="G278">
        <v>1.1437629650000001</v>
      </c>
      <c r="H278">
        <v>1.3182247140000001</v>
      </c>
      <c r="I278">
        <v>1.3098783869999999</v>
      </c>
      <c r="J278">
        <v>2.034445045</v>
      </c>
      <c r="K278">
        <v>1.894651294</v>
      </c>
      <c r="L278">
        <v>2.3283149070000002</v>
      </c>
      <c r="M278">
        <v>2.5337662729999999</v>
      </c>
      <c r="N278">
        <v>2.8061721259999999</v>
      </c>
      <c r="O278">
        <v>3.09277252</v>
      </c>
      <c r="P278">
        <v>3.327169021</v>
      </c>
      <c r="Q278">
        <v>3.5357791660000002</v>
      </c>
    </row>
    <row r="279" spans="1:17" x14ac:dyDescent="0.25">
      <c r="A279" t="s">
        <v>5</v>
      </c>
      <c r="B279" t="s">
        <v>6</v>
      </c>
      <c r="C279" t="s">
        <v>257</v>
      </c>
      <c r="D279" t="s">
        <v>48</v>
      </c>
      <c r="E279" t="s">
        <v>27</v>
      </c>
      <c r="F279">
        <v>2.022214006</v>
      </c>
      <c r="G279">
        <v>2.0838263029999999</v>
      </c>
      <c r="H279">
        <v>2.3690874929999999</v>
      </c>
      <c r="I279">
        <v>2.4839276209999999</v>
      </c>
      <c r="J279">
        <v>3.3639053259999998</v>
      </c>
      <c r="K279">
        <v>3.3422685639999998</v>
      </c>
      <c r="L279">
        <v>3.9354620420000002</v>
      </c>
      <c r="M279">
        <v>4.3052247130000003</v>
      </c>
      <c r="N279">
        <v>4.7170438969999999</v>
      </c>
      <c r="O279">
        <v>5.1360544099999998</v>
      </c>
      <c r="P279">
        <v>5.4901344050000001</v>
      </c>
      <c r="Q279">
        <v>5.8048391989999999</v>
      </c>
    </row>
    <row r="280" spans="1:17" x14ac:dyDescent="0.25">
      <c r="A280" t="s">
        <v>5</v>
      </c>
      <c r="B280" t="s">
        <v>6</v>
      </c>
      <c r="C280" t="s">
        <v>257</v>
      </c>
      <c r="D280" t="s">
        <v>49</v>
      </c>
      <c r="E280" t="s">
        <v>27</v>
      </c>
      <c r="F280">
        <v>2.13544E-4</v>
      </c>
      <c r="G280">
        <v>2.2391800000000001E-4</v>
      </c>
      <c r="H280">
        <v>4.2449700000000003E-4</v>
      </c>
      <c r="I280">
        <v>3.1896099999999998E-4</v>
      </c>
      <c r="J280">
        <v>7.3278999999999998E-4</v>
      </c>
      <c r="K280">
        <v>5.4759199999999996E-4</v>
      </c>
      <c r="L280">
        <v>6.7638099999999999E-4</v>
      </c>
      <c r="M280">
        <v>6.8292600000000004E-4</v>
      </c>
      <c r="N280">
        <v>7.2794099999999996E-4</v>
      </c>
      <c r="O280">
        <v>7.9151799999999995E-4</v>
      </c>
      <c r="P280">
        <v>8.9459000000000001E-4</v>
      </c>
      <c r="Q280">
        <v>1.057723E-3</v>
      </c>
    </row>
    <row r="281" spans="1:17" x14ac:dyDescent="0.25">
      <c r="A281" t="s">
        <v>5</v>
      </c>
      <c r="B281" t="s">
        <v>6</v>
      </c>
      <c r="C281" t="s">
        <v>257</v>
      </c>
      <c r="D281" t="s">
        <v>50</v>
      </c>
      <c r="E281" t="s">
        <v>27</v>
      </c>
      <c r="F281">
        <v>2.2950800000000001E-4</v>
      </c>
      <c r="G281">
        <v>5.6097600000000003E-4</v>
      </c>
      <c r="H281">
        <v>6.2793400000000002E-4</v>
      </c>
      <c r="I281">
        <v>8.66674E-4</v>
      </c>
      <c r="J281">
        <v>5.8357000000000005E-4</v>
      </c>
      <c r="K281">
        <v>3.3790600000000001E-4</v>
      </c>
      <c r="L281">
        <v>4.8511300000000002E-4</v>
      </c>
      <c r="M281">
        <v>6.8804200000000004E-4</v>
      </c>
      <c r="N281">
        <v>9.6602700000000005E-4</v>
      </c>
      <c r="O281">
        <v>1.050451E-3</v>
      </c>
      <c r="P281">
        <v>1.1469099999999999E-3</v>
      </c>
      <c r="Q281">
        <v>1.287051E-3</v>
      </c>
    </row>
    <row r="282" spans="1:17" x14ac:dyDescent="0.25">
      <c r="A282" t="s">
        <v>5</v>
      </c>
      <c r="B282" t="s">
        <v>6</v>
      </c>
      <c r="C282" t="s">
        <v>257</v>
      </c>
      <c r="D282" t="s">
        <v>51</v>
      </c>
      <c r="E282" t="s">
        <v>27</v>
      </c>
      <c r="F282">
        <v>1.1805721E-2</v>
      </c>
      <c r="G282">
        <v>4.3304049999999998E-3</v>
      </c>
      <c r="H282">
        <v>5.6386120000000003E-3</v>
      </c>
      <c r="I282">
        <v>1.1019878E-2</v>
      </c>
      <c r="J282">
        <v>9.8394369999999995E-3</v>
      </c>
      <c r="K282">
        <v>1.0603474999999999E-2</v>
      </c>
      <c r="L282">
        <v>1.0781044E-2</v>
      </c>
      <c r="M282">
        <v>1.0898029E-2</v>
      </c>
      <c r="N282">
        <v>1.127677E-2</v>
      </c>
      <c r="O282">
        <v>1.1517049999999999E-2</v>
      </c>
      <c r="P282">
        <v>1.1642382999999999E-2</v>
      </c>
      <c r="Q282">
        <v>1.2167453999999999E-2</v>
      </c>
    </row>
    <row r="283" spans="1:17" x14ac:dyDescent="0.25">
      <c r="A283" t="s">
        <v>5</v>
      </c>
      <c r="B283" t="s">
        <v>6</v>
      </c>
      <c r="C283" t="s">
        <v>257</v>
      </c>
      <c r="D283" t="s">
        <v>52</v>
      </c>
      <c r="E283" t="s">
        <v>27</v>
      </c>
      <c r="F283">
        <v>20.088601610000001</v>
      </c>
      <c r="G283">
        <v>19.07665579</v>
      </c>
      <c r="H283">
        <v>14.241198689999999</v>
      </c>
      <c r="I283">
        <v>13.61400862</v>
      </c>
      <c r="J283">
        <v>18.00796527</v>
      </c>
      <c r="K283">
        <v>23.206732970000001</v>
      </c>
      <c r="L283">
        <v>22.506384969999999</v>
      </c>
      <c r="M283">
        <v>23.352879510000001</v>
      </c>
      <c r="N283">
        <v>23.996872969999998</v>
      </c>
      <c r="O283">
        <v>24.596523940000001</v>
      </c>
      <c r="P283">
        <v>26.939027110000001</v>
      </c>
      <c r="Q283">
        <v>27.54614076</v>
      </c>
    </row>
    <row r="284" spans="1:17" x14ac:dyDescent="0.25">
      <c r="A284" t="s">
        <v>5</v>
      </c>
      <c r="B284" t="s">
        <v>6</v>
      </c>
      <c r="C284" t="s">
        <v>257</v>
      </c>
      <c r="D284" t="s">
        <v>53</v>
      </c>
      <c r="E284" t="s">
        <v>27</v>
      </c>
      <c r="F284">
        <v>8.9160886589999997</v>
      </c>
      <c r="G284">
        <v>11.42370884</v>
      </c>
      <c r="H284">
        <v>9.0169778909999998</v>
      </c>
      <c r="I284">
        <v>10.83512885</v>
      </c>
      <c r="J284">
        <v>13.267365099999999</v>
      </c>
      <c r="K284">
        <v>16.26779544</v>
      </c>
      <c r="L284">
        <v>17.554015140000001</v>
      </c>
      <c r="M284">
        <v>19.72032175</v>
      </c>
      <c r="N284">
        <v>22.112921499999999</v>
      </c>
      <c r="O284">
        <v>25.4497836</v>
      </c>
      <c r="P284">
        <v>29.398183419999999</v>
      </c>
      <c r="Q284">
        <v>30.676375400000001</v>
      </c>
    </row>
    <row r="285" spans="1:17" x14ac:dyDescent="0.25">
      <c r="A285" t="s">
        <v>5</v>
      </c>
      <c r="B285" t="s">
        <v>6</v>
      </c>
      <c r="C285" t="s">
        <v>257</v>
      </c>
      <c r="D285" t="s">
        <v>54</v>
      </c>
      <c r="E285" t="s">
        <v>27</v>
      </c>
      <c r="F285">
        <v>0.88426035199999997</v>
      </c>
      <c r="G285">
        <v>0.82404677900000001</v>
      </c>
      <c r="H285">
        <v>0.60082025699999997</v>
      </c>
      <c r="I285">
        <v>0.56901726900000005</v>
      </c>
      <c r="J285">
        <v>0.75434071300000005</v>
      </c>
      <c r="K285">
        <v>0.98013816300000001</v>
      </c>
      <c r="L285">
        <v>0.93707414700000002</v>
      </c>
      <c r="M285">
        <v>0.96722296699999999</v>
      </c>
      <c r="N285">
        <v>0.98734786600000002</v>
      </c>
      <c r="O285">
        <v>1.0046117990000001</v>
      </c>
      <c r="P285">
        <v>1.0975465659999999</v>
      </c>
      <c r="Q285">
        <v>1.1160862949999999</v>
      </c>
    </row>
    <row r="286" spans="1:17" x14ac:dyDescent="0.25">
      <c r="A286" t="s">
        <v>5</v>
      </c>
      <c r="B286" t="s">
        <v>6</v>
      </c>
      <c r="C286" t="s">
        <v>257</v>
      </c>
      <c r="D286" t="s">
        <v>55</v>
      </c>
      <c r="E286" t="s">
        <v>27</v>
      </c>
      <c r="F286">
        <v>0.54475873900000005</v>
      </c>
      <c r="G286">
        <v>0.68732923599999995</v>
      </c>
      <c r="H286">
        <v>0.54041878099999996</v>
      </c>
      <c r="I286">
        <v>0.64730680900000004</v>
      </c>
      <c r="J286">
        <v>0.79077551800000001</v>
      </c>
      <c r="K286">
        <v>0.95461661600000003</v>
      </c>
      <c r="L286">
        <v>1.017905072</v>
      </c>
      <c r="M286">
        <v>1.1276803070000001</v>
      </c>
      <c r="N286">
        <v>1.2457594030000001</v>
      </c>
      <c r="O286">
        <v>1.408493894</v>
      </c>
      <c r="P286">
        <v>1.596221289</v>
      </c>
      <c r="Q286">
        <v>1.6447833249999999</v>
      </c>
    </row>
    <row r="287" spans="1:17" x14ac:dyDescent="0.25">
      <c r="A287" t="s">
        <v>5</v>
      </c>
      <c r="B287" t="s">
        <v>6</v>
      </c>
      <c r="C287" t="s">
        <v>257</v>
      </c>
      <c r="D287" t="s">
        <v>56</v>
      </c>
      <c r="E287" t="s">
        <v>27</v>
      </c>
      <c r="F287">
        <v>0.32812173300000003</v>
      </c>
      <c r="G287">
        <v>0.303093789</v>
      </c>
      <c r="H287">
        <v>0.2172847</v>
      </c>
      <c r="I287">
        <v>0.205151321</v>
      </c>
      <c r="J287">
        <v>0.272154377</v>
      </c>
      <c r="K287">
        <v>0.35543992099999999</v>
      </c>
      <c r="L287">
        <v>0.33678729800000001</v>
      </c>
      <c r="M287">
        <v>0.346575462</v>
      </c>
      <c r="N287">
        <v>0.35235006200000002</v>
      </c>
      <c r="O287">
        <v>0.356838029</v>
      </c>
      <c r="P287">
        <v>0.38923815899999997</v>
      </c>
      <c r="Q287">
        <v>0.394436599</v>
      </c>
    </row>
    <row r="288" spans="1:17" x14ac:dyDescent="0.25">
      <c r="A288" t="s">
        <v>5</v>
      </c>
      <c r="B288" t="s">
        <v>6</v>
      </c>
      <c r="C288" t="s">
        <v>257</v>
      </c>
      <c r="D288" t="s">
        <v>57</v>
      </c>
      <c r="E288" t="s">
        <v>27</v>
      </c>
      <c r="F288">
        <v>0.34496083500000002</v>
      </c>
      <c r="G288">
        <v>0.44054105599999999</v>
      </c>
      <c r="H288">
        <v>0.34741635500000001</v>
      </c>
      <c r="I288">
        <v>0.41719663099999998</v>
      </c>
      <c r="J288">
        <v>0.51057037800000005</v>
      </c>
      <c r="K288">
        <v>0.62390681100000001</v>
      </c>
      <c r="L288">
        <v>0.67142434500000003</v>
      </c>
      <c r="M288">
        <v>0.7519072</v>
      </c>
      <c r="N288">
        <v>0.84027014499999997</v>
      </c>
      <c r="O288">
        <v>0.96315016399999998</v>
      </c>
      <c r="P288">
        <v>1.1077194050000001</v>
      </c>
      <c r="Q288">
        <v>1.1525062530000001</v>
      </c>
    </row>
    <row r="289" spans="1:17" x14ac:dyDescent="0.25">
      <c r="A289" t="s">
        <v>5</v>
      </c>
      <c r="B289" t="s">
        <v>6</v>
      </c>
      <c r="C289" t="s">
        <v>257</v>
      </c>
      <c r="D289" t="s">
        <v>58</v>
      </c>
      <c r="E289" t="s">
        <v>27</v>
      </c>
      <c r="F289">
        <v>350.82458359999998</v>
      </c>
      <c r="G289">
        <v>331.96208780000001</v>
      </c>
      <c r="H289">
        <v>243.2798195</v>
      </c>
      <c r="I289">
        <v>233.1224206</v>
      </c>
      <c r="J289">
        <v>308.10484960000002</v>
      </c>
      <c r="K289">
        <v>398.84546280000001</v>
      </c>
      <c r="L289">
        <v>383.90931879999999</v>
      </c>
      <c r="M289">
        <v>397.63811049999998</v>
      </c>
      <c r="N289">
        <v>407.41214919999999</v>
      </c>
      <c r="O289">
        <v>416.12261910000001</v>
      </c>
      <c r="P289">
        <v>455.337718</v>
      </c>
      <c r="Q289">
        <v>464.50625710000003</v>
      </c>
    </row>
    <row r="290" spans="1:17" x14ac:dyDescent="0.25">
      <c r="A290" t="s">
        <v>5</v>
      </c>
      <c r="B290" t="s">
        <v>6</v>
      </c>
      <c r="C290" t="s">
        <v>257</v>
      </c>
      <c r="D290" t="s">
        <v>59</v>
      </c>
      <c r="E290" t="s">
        <v>27</v>
      </c>
      <c r="F290">
        <v>92.229999340000006</v>
      </c>
      <c r="G290">
        <v>117.5683839</v>
      </c>
      <c r="H290">
        <v>92.705703979999996</v>
      </c>
      <c r="I290">
        <v>111.2766122</v>
      </c>
      <c r="J290">
        <v>136.16917770000001</v>
      </c>
      <c r="K290">
        <v>166.19150020000001</v>
      </c>
      <c r="L290">
        <v>178.7627</v>
      </c>
      <c r="M290">
        <v>200.11057450000001</v>
      </c>
      <c r="N290">
        <v>223.60286540000001</v>
      </c>
      <c r="O290">
        <v>256.3660739</v>
      </c>
      <c r="P290">
        <v>295.08435689999999</v>
      </c>
      <c r="Q290">
        <v>307.36853889999998</v>
      </c>
    </row>
    <row r="291" spans="1:17" x14ac:dyDescent="0.25">
      <c r="A291" t="s">
        <v>5</v>
      </c>
      <c r="B291" t="s">
        <v>6</v>
      </c>
      <c r="C291" t="s">
        <v>257</v>
      </c>
      <c r="D291" t="s">
        <v>60</v>
      </c>
      <c r="E291" t="s">
        <v>27</v>
      </c>
      <c r="F291">
        <v>1.1413169110000001</v>
      </c>
      <c r="G291">
        <v>1.079409423</v>
      </c>
      <c r="H291">
        <v>0.79553172900000002</v>
      </c>
      <c r="I291">
        <v>0.76071848099999995</v>
      </c>
      <c r="J291">
        <v>1.0062629190000001</v>
      </c>
      <c r="K291">
        <v>1.3004856520000001</v>
      </c>
      <c r="L291">
        <v>1.2546213020000001</v>
      </c>
      <c r="M291">
        <v>1.299753038</v>
      </c>
      <c r="N291">
        <v>1.3326393190000001</v>
      </c>
      <c r="O291">
        <v>1.3624559890000001</v>
      </c>
      <c r="P291">
        <v>1.490706205</v>
      </c>
      <c r="Q291">
        <v>1.521473769</v>
      </c>
    </row>
    <row r="292" spans="1:17" x14ac:dyDescent="0.25">
      <c r="A292" t="s">
        <v>5</v>
      </c>
      <c r="B292" t="s">
        <v>6</v>
      </c>
      <c r="C292" t="s">
        <v>257</v>
      </c>
      <c r="D292" t="s">
        <v>61</v>
      </c>
      <c r="E292" t="s">
        <v>27</v>
      </c>
      <c r="F292">
        <v>0.85238742099999998</v>
      </c>
      <c r="G292">
        <v>1.0683775069999999</v>
      </c>
      <c r="H292">
        <v>0.83888785399999999</v>
      </c>
      <c r="I292">
        <v>1.003319877</v>
      </c>
      <c r="J292">
        <v>1.224696829</v>
      </c>
      <c r="K292">
        <v>1.4691799139999999</v>
      </c>
      <c r="L292">
        <v>1.559701843</v>
      </c>
      <c r="M292">
        <v>1.71911977</v>
      </c>
      <c r="N292">
        <v>1.889192389</v>
      </c>
      <c r="O292">
        <v>2.1231623769999999</v>
      </c>
      <c r="P292">
        <v>2.3914478739999998</v>
      </c>
      <c r="Q292">
        <v>2.455487958</v>
      </c>
    </row>
    <row r="293" spans="1:17" x14ac:dyDescent="0.25">
      <c r="A293" t="s">
        <v>5</v>
      </c>
      <c r="B293" t="s">
        <v>6</v>
      </c>
      <c r="C293" t="s">
        <v>257</v>
      </c>
      <c r="D293" t="s">
        <v>62</v>
      </c>
      <c r="E293" t="s">
        <v>27</v>
      </c>
      <c r="F293">
        <v>17.324636550000001</v>
      </c>
      <c r="G293">
        <v>16.27929279</v>
      </c>
      <c r="H293">
        <v>11.947252369999999</v>
      </c>
      <c r="I293">
        <v>11.375567330000001</v>
      </c>
      <c r="J293">
        <v>15.0587766</v>
      </c>
      <c r="K293">
        <v>19.514681849999999</v>
      </c>
      <c r="L293">
        <v>18.748121430000001</v>
      </c>
      <c r="M293">
        <v>19.39286555</v>
      </c>
      <c r="N293">
        <v>19.84514334</v>
      </c>
      <c r="O293">
        <v>20.245545109999998</v>
      </c>
      <c r="P293">
        <v>22.142643939999999</v>
      </c>
      <c r="Q293">
        <v>22.564584979999999</v>
      </c>
    </row>
    <row r="294" spans="1:17" x14ac:dyDescent="0.25">
      <c r="A294" t="s">
        <v>5</v>
      </c>
      <c r="B294" t="s">
        <v>6</v>
      </c>
      <c r="C294" t="s">
        <v>257</v>
      </c>
      <c r="D294" t="s">
        <v>63</v>
      </c>
      <c r="E294" t="s">
        <v>27</v>
      </c>
      <c r="F294">
        <v>1.741878805</v>
      </c>
      <c r="G294">
        <v>2.2199308430000002</v>
      </c>
      <c r="H294">
        <v>1.7512658379999999</v>
      </c>
      <c r="I294">
        <v>2.102015749</v>
      </c>
      <c r="J294">
        <v>2.5723716649999999</v>
      </c>
      <c r="K294">
        <v>3.1406219119999998</v>
      </c>
      <c r="L294">
        <v>3.380539883</v>
      </c>
      <c r="M294">
        <v>3.7885234799999998</v>
      </c>
      <c r="N294">
        <v>4.2406952379999998</v>
      </c>
      <c r="O294">
        <v>4.8760407360000002</v>
      </c>
      <c r="P294">
        <v>5.6370119379999997</v>
      </c>
      <c r="Q294">
        <v>5.8979040759999997</v>
      </c>
    </row>
    <row r="295" spans="1:17" x14ac:dyDescent="0.25">
      <c r="A295" t="s">
        <v>5</v>
      </c>
      <c r="B295" t="s">
        <v>6</v>
      </c>
      <c r="C295" t="s">
        <v>257</v>
      </c>
      <c r="D295" t="s">
        <v>64</v>
      </c>
      <c r="E295" t="s">
        <v>27</v>
      </c>
      <c r="F295">
        <v>0.51502714400000005</v>
      </c>
      <c r="G295">
        <v>0.65812782700000005</v>
      </c>
      <c r="H295">
        <v>1.095419559</v>
      </c>
      <c r="I295">
        <v>1.7266159169999999</v>
      </c>
      <c r="J295">
        <v>1.4187451470000001</v>
      </c>
      <c r="K295">
        <v>2.3802403330000002</v>
      </c>
      <c r="L295">
        <v>3.5710712629999999</v>
      </c>
      <c r="M295">
        <v>3.2734082560000002</v>
      </c>
      <c r="N295">
        <v>3.421219775</v>
      </c>
      <c r="O295">
        <v>3.9388268380000002</v>
      </c>
      <c r="P295">
        <v>4.4287493050000002</v>
      </c>
      <c r="Q295">
        <v>4.9366581030000001</v>
      </c>
    </row>
    <row r="296" spans="1:17" x14ac:dyDescent="0.25">
      <c r="A296" t="s">
        <v>5</v>
      </c>
      <c r="B296" t="s">
        <v>6</v>
      </c>
      <c r="C296" t="s">
        <v>257</v>
      </c>
      <c r="D296" t="s">
        <v>65</v>
      </c>
      <c r="E296" t="s">
        <v>27</v>
      </c>
      <c r="F296">
        <v>8.9284467769999996</v>
      </c>
      <c r="G296">
        <v>14.06325208</v>
      </c>
      <c r="H296">
        <v>18.105974870000001</v>
      </c>
      <c r="I296">
        <v>18.286328749999999</v>
      </c>
      <c r="J296">
        <v>13.634699850000001</v>
      </c>
      <c r="K296">
        <v>13.842138780000001</v>
      </c>
      <c r="L296">
        <v>20.470440910000001</v>
      </c>
      <c r="M296">
        <v>17.50025247</v>
      </c>
      <c r="N296">
        <v>19.915313690000001</v>
      </c>
      <c r="O296">
        <v>23.455089780000002</v>
      </c>
      <c r="P296">
        <v>22.304224210000001</v>
      </c>
      <c r="Q296">
        <v>17.13963412</v>
      </c>
    </row>
    <row r="297" spans="1:17" x14ac:dyDescent="0.25">
      <c r="A297" t="s">
        <v>5</v>
      </c>
      <c r="B297" t="s">
        <v>6</v>
      </c>
      <c r="C297" t="s">
        <v>257</v>
      </c>
      <c r="D297" t="s">
        <v>66</v>
      </c>
      <c r="E297" t="s">
        <v>27</v>
      </c>
      <c r="F297">
        <v>3.6626789999999998E-3</v>
      </c>
      <c r="G297">
        <v>4.1946370000000002E-3</v>
      </c>
      <c r="H297">
        <v>1.1738281E-2</v>
      </c>
      <c r="I297">
        <v>4.4834886999999997E-2</v>
      </c>
      <c r="J297">
        <v>4.5033490000000002E-2</v>
      </c>
      <c r="K297">
        <v>0.10035095600000001</v>
      </c>
      <c r="L297">
        <v>0.142092631</v>
      </c>
      <c r="M297">
        <v>0.120783521</v>
      </c>
      <c r="N297">
        <v>0.130974708</v>
      </c>
      <c r="O297">
        <v>0.153820754</v>
      </c>
      <c r="P297">
        <v>0.17558071</v>
      </c>
      <c r="Q297">
        <v>0.20708713200000001</v>
      </c>
    </row>
    <row r="298" spans="1:17" x14ac:dyDescent="0.25">
      <c r="A298" t="s">
        <v>5</v>
      </c>
      <c r="B298" t="s">
        <v>6</v>
      </c>
      <c r="C298" t="s">
        <v>257</v>
      </c>
      <c r="D298" t="s">
        <v>67</v>
      </c>
      <c r="E298" t="s">
        <v>27</v>
      </c>
      <c r="F298">
        <v>9.8247030000000006E-3</v>
      </c>
      <c r="G298">
        <v>1.3843767E-2</v>
      </c>
      <c r="H298">
        <v>2.5529568999999998E-2</v>
      </c>
      <c r="I298">
        <v>4.9044938000000003E-2</v>
      </c>
      <c r="J298">
        <v>4.2573189999999997E-2</v>
      </c>
      <c r="K298">
        <v>8.0110705000000004E-2</v>
      </c>
      <c r="L298">
        <v>0.116646739</v>
      </c>
      <c r="M298">
        <v>0.10233500299999999</v>
      </c>
      <c r="N298">
        <v>0.109124994</v>
      </c>
      <c r="O298">
        <v>0.12789034299999999</v>
      </c>
      <c r="P298">
        <v>0.144215436</v>
      </c>
      <c r="Q298">
        <v>0.16380169999999999</v>
      </c>
    </row>
    <row r="299" spans="1:17" x14ac:dyDescent="0.25">
      <c r="A299" t="s">
        <v>5</v>
      </c>
      <c r="B299" t="s">
        <v>6</v>
      </c>
      <c r="C299" t="s">
        <v>257</v>
      </c>
      <c r="D299" t="s">
        <v>68</v>
      </c>
      <c r="E299" t="s">
        <v>27</v>
      </c>
      <c r="F299">
        <v>0</v>
      </c>
      <c r="G299">
        <v>0</v>
      </c>
      <c r="H299">
        <v>0</v>
      </c>
      <c r="I299">
        <v>4.5306399999999998E-4</v>
      </c>
      <c r="J299">
        <v>1.2451899999999999E-4</v>
      </c>
      <c r="K299">
        <v>4.5873700000000002E-4</v>
      </c>
      <c r="L299">
        <v>9.2877699999999999E-4</v>
      </c>
      <c r="M299">
        <v>1.4350019999999999E-3</v>
      </c>
      <c r="N299">
        <v>2.4199949999999999E-3</v>
      </c>
      <c r="O299">
        <v>3.0433550000000002E-3</v>
      </c>
      <c r="P299">
        <v>2.8875179999999999E-3</v>
      </c>
      <c r="Q299">
        <v>3.783949E-3</v>
      </c>
    </row>
    <row r="300" spans="1:17" x14ac:dyDescent="0.25">
      <c r="A300" t="s">
        <v>5</v>
      </c>
      <c r="B300" t="s">
        <v>6</v>
      </c>
      <c r="C300" t="s">
        <v>257</v>
      </c>
      <c r="D300" t="s">
        <v>69</v>
      </c>
      <c r="E300" t="s">
        <v>27</v>
      </c>
      <c r="F300">
        <v>0.70462825799999995</v>
      </c>
      <c r="G300">
        <v>0.86399068800000001</v>
      </c>
      <c r="H300">
        <v>1.256182436</v>
      </c>
      <c r="I300">
        <v>1.6456010910000001</v>
      </c>
      <c r="J300">
        <v>1.2996068649999999</v>
      </c>
      <c r="K300">
        <v>1.563320051</v>
      </c>
      <c r="L300">
        <v>2.1453184269999999</v>
      </c>
      <c r="M300">
        <v>2.2378220849999999</v>
      </c>
      <c r="N300">
        <v>2.3929380180000002</v>
      </c>
      <c r="O300">
        <v>2.560947359</v>
      </c>
      <c r="P300">
        <v>2.649704652</v>
      </c>
      <c r="Q300">
        <v>2.7305265419999998</v>
      </c>
    </row>
    <row r="301" spans="1:17" x14ac:dyDescent="0.25">
      <c r="A301" t="s">
        <v>5</v>
      </c>
      <c r="B301" t="s">
        <v>6</v>
      </c>
      <c r="C301" t="s">
        <v>257</v>
      </c>
      <c r="D301" t="s">
        <v>70</v>
      </c>
      <c r="E301" t="s">
        <v>27</v>
      </c>
      <c r="F301">
        <v>2.0063565350000001</v>
      </c>
      <c r="G301">
        <v>2.4674185560000002</v>
      </c>
      <c r="H301">
        <v>3.6367946450000002</v>
      </c>
      <c r="I301">
        <v>4.8258936620000004</v>
      </c>
      <c r="J301">
        <v>3.8240115769999998</v>
      </c>
      <c r="K301">
        <v>4.5807557990000003</v>
      </c>
      <c r="L301">
        <v>6.2465085</v>
      </c>
      <c r="M301">
        <v>6.4778394629999996</v>
      </c>
      <c r="N301">
        <v>6.9156438900000001</v>
      </c>
      <c r="O301">
        <v>7.4192215490000004</v>
      </c>
      <c r="P301">
        <v>7.7238959779999998</v>
      </c>
      <c r="Q301">
        <v>7.9718511149999998</v>
      </c>
    </row>
    <row r="302" spans="1:17" x14ac:dyDescent="0.25">
      <c r="A302" t="s">
        <v>5</v>
      </c>
      <c r="B302" t="s">
        <v>6</v>
      </c>
      <c r="C302" t="s">
        <v>257</v>
      </c>
      <c r="D302" t="s">
        <v>71</v>
      </c>
      <c r="E302" t="s">
        <v>27</v>
      </c>
      <c r="F302">
        <v>0.39844248999999998</v>
      </c>
      <c r="G302">
        <v>0.48358269999999998</v>
      </c>
      <c r="H302">
        <v>0.71448529800000005</v>
      </c>
      <c r="I302">
        <v>0.96050129399999995</v>
      </c>
      <c r="J302">
        <v>0.75946133000000005</v>
      </c>
      <c r="K302">
        <v>0.94017689699999996</v>
      </c>
      <c r="L302">
        <v>1.3113498260000001</v>
      </c>
      <c r="M302">
        <v>1.340279392</v>
      </c>
      <c r="N302">
        <v>1.412447011</v>
      </c>
      <c r="O302">
        <v>1.5458111510000001</v>
      </c>
      <c r="P302">
        <v>1.63200152</v>
      </c>
      <c r="Q302">
        <v>1.697810372</v>
      </c>
    </row>
    <row r="303" spans="1:17" x14ac:dyDescent="0.25">
      <c r="A303" t="s">
        <v>5</v>
      </c>
      <c r="B303" t="s">
        <v>6</v>
      </c>
      <c r="C303" t="s">
        <v>257</v>
      </c>
      <c r="D303" t="s">
        <v>72</v>
      </c>
      <c r="E303" t="s">
        <v>27</v>
      </c>
      <c r="F303">
        <v>0.24362890200000001</v>
      </c>
      <c r="G303">
        <v>0.29867724299999998</v>
      </c>
      <c r="H303">
        <v>0.43126492399999999</v>
      </c>
      <c r="I303">
        <v>0.57059633799999998</v>
      </c>
      <c r="J303">
        <v>0.45102565</v>
      </c>
      <c r="K303">
        <v>0.56111671200000002</v>
      </c>
      <c r="L303">
        <v>0.79174858800000003</v>
      </c>
      <c r="M303">
        <v>0.82269446400000001</v>
      </c>
      <c r="N303">
        <v>0.87873783999999999</v>
      </c>
      <c r="O303">
        <v>0.97544112199999999</v>
      </c>
      <c r="P303">
        <v>1.037718114</v>
      </c>
      <c r="Q303">
        <v>1.088592392</v>
      </c>
    </row>
    <row r="304" spans="1:17" x14ac:dyDescent="0.25">
      <c r="A304" t="s">
        <v>5</v>
      </c>
      <c r="B304" t="s">
        <v>6</v>
      </c>
      <c r="C304" t="s">
        <v>257</v>
      </c>
      <c r="D304" t="s">
        <v>73</v>
      </c>
      <c r="E304" t="s">
        <v>27</v>
      </c>
      <c r="F304">
        <v>8.4194579999999995E-3</v>
      </c>
      <c r="G304">
        <v>1.0296606999999999E-2</v>
      </c>
      <c r="H304">
        <v>1.5370955E-2</v>
      </c>
      <c r="I304">
        <v>2.0875782999999998E-2</v>
      </c>
      <c r="J304">
        <v>1.6609167000000001E-2</v>
      </c>
      <c r="K304">
        <v>2.001499E-2</v>
      </c>
      <c r="L304">
        <v>2.6959851999999999E-2</v>
      </c>
      <c r="M304">
        <v>2.7669362999999999E-2</v>
      </c>
      <c r="N304">
        <v>2.9305264000000001E-2</v>
      </c>
      <c r="O304">
        <v>3.1155901999999999E-2</v>
      </c>
      <c r="P304">
        <v>3.2469681E-2</v>
      </c>
      <c r="Q304">
        <v>3.3477316999999999E-2</v>
      </c>
    </row>
    <row r="305" spans="1:17" x14ac:dyDescent="0.25">
      <c r="A305" t="s">
        <v>5</v>
      </c>
      <c r="B305" t="s">
        <v>6</v>
      </c>
      <c r="C305" t="s">
        <v>257</v>
      </c>
      <c r="D305" t="s">
        <v>74</v>
      </c>
      <c r="E305" t="s">
        <v>27</v>
      </c>
      <c r="F305">
        <v>1.4377680000000001E-3</v>
      </c>
      <c r="G305">
        <v>1.570756E-3</v>
      </c>
      <c r="H305">
        <v>1.750553E-3</v>
      </c>
      <c r="I305">
        <v>2.4325499999999999E-3</v>
      </c>
      <c r="J305">
        <v>2.7130050000000001E-3</v>
      </c>
      <c r="K305">
        <v>7.2884890000000004E-3</v>
      </c>
      <c r="L305">
        <v>1.6889063999999999E-2</v>
      </c>
      <c r="M305">
        <v>1.2614418000000001E-2</v>
      </c>
      <c r="N305">
        <v>7.1038569999999999E-3</v>
      </c>
      <c r="O305">
        <v>5.5802769999999998E-3</v>
      </c>
      <c r="P305">
        <v>6.0616050000000003E-3</v>
      </c>
      <c r="Q305">
        <v>7.151938E-3</v>
      </c>
    </row>
    <row r="306" spans="1:17" x14ac:dyDescent="0.25">
      <c r="A306" t="s">
        <v>5</v>
      </c>
      <c r="B306" t="s">
        <v>6</v>
      </c>
      <c r="C306" t="s">
        <v>257</v>
      </c>
      <c r="D306" t="s">
        <v>75</v>
      </c>
      <c r="E306" t="s">
        <v>27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25">
      <c r="A307" t="s">
        <v>5</v>
      </c>
      <c r="B307" t="s">
        <v>6</v>
      </c>
      <c r="C307" t="s">
        <v>257</v>
      </c>
      <c r="D307" t="s">
        <v>76</v>
      </c>
      <c r="E307" t="s">
        <v>27</v>
      </c>
      <c r="F307" s="1">
        <v>4.8899999999999998E-6</v>
      </c>
      <c r="G307" s="1">
        <v>5.3399999999999997E-6</v>
      </c>
      <c r="H307" s="1">
        <v>5.9599999999999997E-6</v>
      </c>
      <c r="I307" s="1">
        <v>8.2800000000000003E-6</v>
      </c>
      <c r="J307" s="1">
        <v>9.2299999999999997E-6</v>
      </c>
      <c r="K307" s="1">
        <v>2.48E-5</v>
      </c>
      <c r="L307" s="1">
        <v>5.7500000000000002E-5</v>
      </c>
      <c r="M307" s="1">
        <v>4.2899999999999999E-5</v>
      </c>
      <c r="N307" s="1">
        <v>2.4199999999999999E-5</v>
      </c>
      <c r="O307" s="1">
        <v>1.9000000000000001E-5</v>
      </c>
      <c r="P307" s="1">
        <v>2.0599999999999999E-5</v>
      </c>
      <c r="Q307" s="1">
        <v>2.4300000000000001E-5</v>
      </c>
    </row>
    <row r="308" spans="1:17" x14ac:dyDescent="0.25">
      <c r="A308" t="s">
        <v>5</v>
      </c>
      <c r="B308" t="s">
        <v>6</v>
      </c>
      <c r="C308" t="s">
        <v>257</v>
      </c>
      <c r="D308" t="s">
        <v>77</v>
      </c>
      <c r="E308" t="s">
        <v>27</v>
      </c>
      <c r="F308" s="1">
        <v>3.3000000000000003E-5</v>
      </c>
      <c r="G308" s="1">
        <v>3.6000000000000001E-5</v>
      </c>
      <c r="H308" s="1">
        <v>4.0099999999999999E-5</v>
      </c>
      <c r="I308" s="1">
        <v>5.5800000000000001E-5</v>
      </c>
      <c r="J308" s="1">
        <v>6.2199999999999994E-5</v>
      </c>
      <c r="K308">
        <v>1.67066E-4</v>
      </c>
      <c r="L308">
        <v>3.87129E-4</v>
      </c>
      <c r="M308">
        <v>2.89146E-4</v>
      </c>
      <c r="N308">
        <v>1.6283399999999999E-4</v>
      </c>
      <c r="O308">
        <v>1.27911E-4</v>
      </c>
      <c r="P308">
        <v>1.3894299999999999E-4</v>
      </c>
      <c r="Q308">
        <v>1.63936E-4</v>
      </c>
    </row>
    <row r="309" spans="1:17" x14ac:dyDescent="0.25">
      <c r="A309" t="s">
        <v>5</v>
      </c>
      <c r="B309" t="s">
        <v>6</v>
      </c>
      <c r="C309" t="s">
        <v>257</v>
      </c>
      <c r="D309" t="s">
        <v>78</v>
      </c>
      <c r="E309" t="s">
        <v>27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25">
      <c r="A310" t="s">
        <v>5</v>
      </c>
      <c r="B310" t="s">
        <v>6</v>
      </c>
      <c r="C310" t="s">
        <v>257</v>
      </c>
      <c r="D310" t="s">
        <v>79</v>
      </c>
      <c r="E310" t="s">
        <v>9</v>
      </c>
      <c r="F310">
        <v>3510.5311579999998</v>
      </c>
      <c r="G310">
        <v>4304.9203200000002</v>
      </c>
      <c r="H310">
        <v>5176.4434719999999</v>
      </c>
      <c r="I310">
        <v>7246.4900189999998</v>
      </c>
      <c r="J310">
        <v>6330.9189710000001</v>
      </c>
      <c r="K310">
        <v>7408.941941</v>
      </c>
      <c r="L310">
        <v>8671.1079769999997</v>
      </c>
      <c r="M310">
        <v>9940.9114759999993</v>
      </c>
      <c r="N310">
        <v>11330.907499999999</v>
      </c>
      <c r="O310">
        <v>12754.170819999999</v>
      </c>
      <c r="P310">
        <v>14095.55185</v>
      </c>
      <c r="Q310">
        <v>15270.07871</v>
      </c>
    </row>
    <row r="311" spans="1:17" x14ac:dyDescent="0.25">
      <c r="A311" t="s">
        <v>5</v>
      </c>
      <c r="B311" t="s">
        <v>6</v>
      </c>
      <c r="C311" t="s">
        <v>257</v>
      </c>
      <c r="D311" t="s">
        <v>80</v>
      </c>
      <c r="E311" t="s">
        <v>9</v>
      </c>
      <c r="F311">
        <v>67.845157130000004</v>
      </c>
      <c r="G311">
        <v>81.558455170000002</v>
      </c>
      <c r="H311">
        <v>93.079536070000003</v>
      </c>
      <c r="I311">
        <v>98.326871089999997</v>
      </c>
      <c r="J311">
        <v>98.547871119999996</v>
      </c>
      <c r="K311">
        <v>104.3509947</v>
      </c>
      <c r="L311">
        <v>114.3247635</v>
      </c>
      <c r="M311">
        <v>125.1400448</v>
      </c>
      <c r="N311">
        <v>132.00901089999999</v>
      </c>
      <c r="O311">
        <v>136.3524036</v>
      </c>
      <c r="P311">
        <v>137.4119129</v>
      </c>
      <c r="Q311">
        <v>138.1885738</v>
      </c>
    </row>
    <row r="312" spans="1:17" x14ac:dyDescent="0.25">
      <c r="A312" t="s">
        <v>5</v>
      </c>
      <c r="B312" t="s">
        <v>6</v>
      </c>
      <c r="C312" t="s">
        <v>257</v>
      </c>
      <c r="D312" t="s">
        <v>81</v>
      </c>
      <c r="E312" t="s">
        <v>9</v>
      </c>
      <c r="F312">
        <v>10777.800300000001</v>
      </c>
      <c r="G312">
        <v>10140.558370000001</v>
      </c>
      <c r="H312">
        <v>8419.9121689999993</v>
      </c>
      <c r="I312">
        <v>7316.4716179999996</v>
      </c>
      <c r="J312">
        <v>8679.4609110000001</v>
      </c>
      <c r="K312">
        <v>7877.4522619999998</v>
      </c>
      <c r="L312">
        <v>8900.7072459999999</v>
      </c>
      <c r="M312">
        <v>8644.2684169999993</v>
      </c>
      <c r="N312">
        <v>8881.9451069999996</v>
      </c>
      <c r="O312">
        <v>8619.7014749999998</v>
      </c>
      <c r="P312">
        <v>8541.3021829999998</v>
      </c>
      <c r="Q312">
        <v>8427.8839449999996</v>
      </c>
    </row>
    <row r="313" spans="1:17" x14ac:dyDescent="0.25">
      <c r="A313" t="s">
        <v>5</v>
      </c>
      <c r="B313" t="s">
        <v>6</v>
      </c>
      <c r="C313" t="s">
        <v>257</v>
      </c>
      <c r="D313" t="s">
        <v>82</v>
      </c>
      <c r="E313" t="s">
        <v>9</v>
      </c>
      <c r="F313">
        <v>697.86190869999996</v>
      </c>
      <c r="G313">
        <v>830.6825589</v>
      </c>
      <c r="H313">
        <v>1162.4229889999999</v>
      </c>
      <c r="I313">
        <v>1198.1785279999999</v>
      </c>
      <c r="J313">
        <v>1300.7374589999999</v>
      </c>
      <c r="K313">
        <v>1474.945532</v>
      </c>
      <c r="L313">
        <v>1619.7076259999999</v>
      </c>
      <c r="M313">
        <v>1845.4239580000001</v>
      </c>
      <c r="N313">
        <v>2032.605446</v>
      </c>
      <c r="O313">
        <v>2255.3080319999999</v>
      </c>
      <c r="P313">
        <v>2490.482947</v>
      </c>
      <c r="Q313">
        <v>2637.9159559999998</v>
      </c>
    </row>
    <row r="314" spans="1:17" x14ac:dyDescent="0.25">
      <c r="A314" t="s">
        <v>5</v>
      </c>
      <c r="B314" t="s">
        <v>6</v>
      </c>
      <c r="C314" t="s">
        <v>257</v>
      </c>
      <c r="D314" t="s">
        <v>83</v>
      </c>
      <c r="E314" t="s">
        <v>9</v>
      </c>
      <c r="F314">
        <v>2.6003384000000001E-2</v>
      </c>
      <c r="G314">
        <v>3.2036439999999999E-2</v>
      </c>
      <c r="H314">
        <v>3.2939507E-2</v>
      </c>
      <c r="I314">
        <v>5.5988441E-2</v>
      </c>
      <c r="J314">
        <v>3.9641762999999997E-2</v>
      </c>
      <c r="K314">
        <v>4.3674575E-2</v>
      </c>
      <c r="L314">
        <v>4.7914949999999998E-2</v>
      </c>
      <c r="M314">
        <v>5.3072925999999999E-2</v>
      </c>
      <c r="N314">
        <v>6.0554232E-2</v>
      </c>
      <c r="O314">
        <v>7.1133735000000003E-2</v>
      </c>
      <c r="P314">
        <v>8.3840658999999998E-2</v>
      </c>
      <c r="Q314">
        <v>9.5197431999999998E-2</v>
      </c>
    </row>
    <row r="315" spans="1:17" x14ac:dyDescent="0.25">
      <c r="A315" t="s">
        <v>5</v>
      </c>
      <c r="B315" t="s">
        <v>6</v>
      </c>
      <c r="C315" t="s">
        <v>257</v>
      </c>
      <c r="D315" t="s">
        <v>84</v>
      </c>
      <c r="E315" t="s">
        <v>9</v>
      </c>
      <c r="F315">
        <v>3.7924085000000003E-2</v>
      </c>
      <c r="G315">
        <v>4.6560968000000001E-2</v>
      </c>
      <c r="H315">
        <v>6.2821266000000001E-2</v>
      </c>
      <c r="I315">
        <v>5.8588475000000001E-2</v>
      </c>
      <c r="J315">
        <v>5.7422617000000002E-2</v>
      </c>
      <c r="K315">
        <v>6.1469327999999997E-2</v>
      </c>
      <c r="L315">
        <v>6.6723694E-2</v>
      </c>
      <c r="M315">
        <v>7.2909655000000004E-2</v>
      </c>
      <c r="N315">
        <v>7.9712875000000002E-2</v>
      </c>
      <c r="O315">
        <v>8.7979544000000007E-2</v>
      </c>
      <c r="P315">
        <v>9.9316770999999998E-2</v>
      </c>
      <c r="Q315">
        <v>0.11228447799999999</v>
      </c>
    </row>
    <row r="316" spans="1:17" x14ac:dyDescent="0.25">
      <c r="A316" t="s">
        <v>5</v>
      </c>
      <c r="B316" t="s">
        <v>6</v>
      </c>
      <c r="C316" t="s">
        <v>257</v>
      </c>
      <c r="D316" t="s">
        <v>85</v>
      </c>
      <c r="E316" t="s">
        <v>9</v>
      </c>
      <c r="F316">
        <v>1.3045743E-2</v>
      </c>
      <c r="G316">
        <v>1.6399581E-2</v>
      </c>
      <c r="H316">
        <v>2.2813652E-2</v>
      </c>
      <c r="I316">
        <v>0.198380849</v>
      </c>
      <c r="J316">
        <v>1.8883637000000002E-2</v>
      </c>
      <c r="K316">
        <v>3.6136956999999997E-2</v>
      </c>
      <c r="L316">
        <v>6.3924843999999995E-2</v>
      </c>
      <c r="M316">
        <v>9.3440519999999999E-2</v>
      </c>
      <c r="N316">
        <v>9.7550953999999995E-2</v>
      </c>
      <c r="O316">
        <v>8.3150097000000006E-2</v>
      </c>
      <c r="P316">
        <v>8.9043411000000003E-2</v>
      </c>
      <c r="Q316">
        <v>0.11688080000000001</v>
      </c>
    </row>
    <row r="317" spans="1:17" x14ac:dyDescent="0.25">
      <c r="A317" t="s">
        <v>5</v>
      </c>
      <c r="B317" t="s">
        <v>6</v>
      </c>
      <c r="C317" t="s">
        <v>257</v>
      </c>
      <c r="D317" t="s">
        <v>86</v>
      </c>
      <c r="E317" t="s">
        <v>9</v>
      </c>
      <c r="F317">
        <v>8.3375910000000001E-3</v>
      </c>
      <c r="G317">
        <v>1.0352142999999999E-2</v>
      </c>
      <c r="H317">
        <v>1.3716114999999999E-2</v>
      </c>
      <c r="I317">
        <v>3.9687887999999998E-2</v>
      </c>
      <c r="J317">
        <v>1.8992964000000001E-2</v>
      </c>
      <c r="K317">
        <v>3.0276475000000001E-2</v>
      </c>
      <c r="L317">
        <v>4.2569758999999999E-2</v>
      </c>
      <c r="M317">
        <v>5.0449862999999998E-2</v>
      </c>
      <c r="N317">
        <v>5.1100722000000001E-2</v>
      </c>
      <c r="O317">
        <v>4.7685421999999998E-2</v>
      </c>
      <c r="P317">
        <v>4.9186278E-2</v>
      </c>
      <c r="Q317">
        <v>5.6425312999999998E-2</v>
      </c>
    </row>
    <row r="318" spans="1:17" x14ac:dyDescent="0.25">
      <c r="A318" t="s">
        <v>5</v>
      </c>
      <c r="B318" t="s">
        <v>6</v>
      </c>
      <c r="C318" t="s">
        <v>257</v>
      </c>
      <c r="D318" t="s">
        <v>87</v>
      </c>
      <c r="E318" t="s">
        <v>9</v>
      </c>
      <c r="F318">
        <v>0.40532996300000002</v>
      </c>
      <c r="G318">
        <v>0.51108311799999995</v>
      </c>
      <c r="H318">
        <v>0.52368224299999999</v>
      </c>
      <c r="I318">
        <v>0.499480692</v>
      </c>
      <c r="J318">
        <v>0.53246249000000001</v>
      </c>
      <c r="K318">
        <v>0.55283356800000005</v>
      </c>
      <c r="L318">
        <v>0.55675113200000004</v>
      </c>
      <c r="M318">
        <v>0.55879449199999998</v>
      </c>
      <c r="N318">
        <v>0.57098062400000005</v>
      </c>
      <c r="O318">
        <v>0.59692075200000005</v>
      </c>
      <c r="P318">
        <v>0.63869230200000005</v>
      </c>
      <c r="Q318">
        <v>0.68602263600000002</v>
      </c>
    </row>
    <row r="319" spans="1:17" x14ac:dyDescent="0.25">
      <c r="A319" t="s">
        <v>5</v>
      </c>
      <c r="B319" t="s">
        <v>6</v>
      </c>
      <c r="C319" t="s">
        <v>257</v>
      </c>
      <c r="D319" t="s">
        <v>88</v>
      </c>
      <c r="E319" t="s">
        <v>19</v>
      </c>
      <c r="F319">
        <v>48423359.539999999</v>
      </c>
      <c r="G319">
        <v>58394223.890000001</v>
      </c>
      <c r="H319">
        <v>70707908.049999997</v>
      </c>
      <c r="I319">
        <v>69252076.290000007</v>
      </c>
      <c r="J319">
        <v>65831990.240000002</v>
      </c>
      <c r="K319">
        <v>69650864.129999995</v>
      </c>
      <c r="L319">
        <v>75596442.189999998</v>
      </c>
      <c r="M319">
        <v>81829174.810000002</v>
      </c>
      <c r="N319">
        <v>88280846.530000001</v>
      </c>
      <c r="O319">
        <v>94896987.459999993</v>
      </c>
      <c r="P319">
        <v>101641104.3</v>
      </c>
      <c r="Q319">
        <v>107723078.59999999</v>
      </c>
    </row>
    <row r="320" spans="1:17" x14ac:dyDescent="0.25">
      <c r="A320" t="s">
        <v>5</v>
      </c>
      <c r="B320" t="s">
        <v>6</v>
      </c>
      <c r="C320" t="s">
        <v>257</v>
      </c>
      <c r="D320" t="s">
        <v>89</v>
      </c>
      <c r="E320" t="s">
        <v>19</v>
      </c>
      <c r="F320">
        <v>23674231.510000002</v>
      </c>
      <c r="G320">
        <v>30282208.98</v>
      </c>
      <c r="H320">
        <v>39413856.960000001</v>
      </c>
      <c r="I320">
        <v>39248179.979999997</v>
      </c>
      <c r="J320">
        <v>39940302.299999997</v>
      </c>
      <c r="K320">
        <v>44428018.490000002</v>
      </c>
      <c r="L320">
        <v>49613745.490000002</v>
      </c>
      <c r="M320">
        <v>55161292.850000001</v>
      </c>
      <c r="N320">
        <v>61016605.789999999</v>
      </c>
      <c r="O320">
        <v>67131737.989999995</v>
      </c>
      <c r="P320">
        <v>73471653.540000007</v>
      </c>
      <c r="Q320">
        <v>79259749.450000003</v>
      </c>
    </row>
    <row r="321" spans="1:17" x14ac:dyDescent="0.25">
      <c r="A321" t="s">
        <v>5</v>
      </c>
      <c r="B321" t="s">
        <v>6</v>
      </c>
      <c r="C321" t="s">
        <v>257</v>
      </c>
      <c r="D321" t="s">
        <v>90</v>
      </c>
      <c r="E321" t="s">
        <v>19</v>
      </c>
      <c r="F321">
        <v>10901333.189999999</v>
      </c>
      <c r="G321">
        <v>14130641.48</v>
      </c>
      <c r="H321">
        <v>16549180.539999999</v>
      </c>
      <c r="I321">
        <v>17571476.52</v>
      </c>
      <c r="J321">
        <v>18795690.68</v>
      </c>
      <c r="K321">
        <v>20995484.039999999</v>
      </c>
      <c r="L321">
        <v>23485312.469999999</v>
      </c>
      <c r="M321">
        <v>26157339.739999998</v>
      </c>
      <c r="N321">
        <v>28985183.84</v>
      </c>
      <c r="O321">
        <v>31945495.27</v>
      </c>
      <c r="P321">
        <v>35022323.039999999</v>
      </c>
      <c r="Q321">
        <v>37838373.390000001</v>
      </c>
    </row>
    <row r="322" spans="1:17" x14ac:dyDescent="0.25">
      <c r="A322" t="s">
        <v>5</v>
      </c>
      <c r="B322" t="s">
        <v>6</v>
      </c>
      <c r="C322" t="s">
        <v>257</v>
      </c>
      <c r="D322" t="s">
        <v>91</v>
      </c>
      <c r="E322" t="s">
        <v>19</v>
      </c>
      <c r="F322">
        <v>3573850.5359999998</v>
      </c>
      <c r="G322">
        <v>3405047.4</v>
      </c>
      <c r="H322">
        <v>8420985.6689999998</v>
      </c>
      <c r="I322">
        <v>11498787.779999999</v>
      </c>
      <c r="J322">
        <v>3806863.2510000002</v>
      </c>
      <c r="K322">
        <v>5012174.6129999999</v>
      </c>
      <c r="L322">
        <v>6650008.6239999998</v>
      </c>
      <c r="M322">
        <v>8704061.0590000004</v>
      </c>
      <c r="N322">
        <v>11287670.41</v>
      </c>
      <c r="O322">
        <v>14521453.380000001</v>
      </c>
      <c r="P322">
        <v>18697181.350000001</v>
      </c>
      <c r="Q322">
        <v>23271301.93</v>
      </c>
    </row>
    <row r="323" spans="1:17" x14ac:dyDescent="0.25">
      <c r="A323" t="s">
        <v>5</v>
      </c>
      <c r="B323" t="s">
        <v>6</v>
      </c>
      <c r="C323" t="s">
        <v>257</v>
      </c>
      <c r="D323" t="s">
        <v>92</v>
      </c>
      <c r="E323" t="s">
        <v>19</v>
      </c>
      <c r="F323">
        <v>2602879.699</v>
      </c>
      <c r="G323">
        <v>2607748.375</v>
      </c>
      <c r="H323">
        <v>5458642.0029999996</v>
      </c>
      <c r="I323">
        <v>6606977.3459999999</v>
      </c>
      <c r="J323">
        <v>3335368.1230000001</v>
      </c>
      <c r="K323">
        <v>4013093.034</v>
      </c>
      <c r="L323">
        <v>4848686.0559999999</v>
      </c>
      <c r="M323">
        <v>5807039.5590000004</v>
      </c>
      <c r="N323">
        <v>6909142.2309999997</v>
      </c>
      <c r="O323">
        <v>8172662.9110000003</v>
      </c>
      <c r="P323">
        <v>9664489.8880000003</v>
      </c>
      <c r="Q323">
        <v>11183551.560000001</v>
      </c>
    </row>
    <row r="324" spans="1:17" x14ac:dyDescent="0.25">
      <c r="A324" t="s">
        <v>5</v>
      </c>
      <c r="B324" t="s">
        <v>6</v>
      </c>
      <c r="C324" t="s">
        <v>257</v>
      </c>
      <c r="D324" t="s">
        <v>93</v>
      </c>
      <c r="E324" t="s">
        <v>19</v>
      </c>
      <c r="F324">
        <v>3748468.773</v>
      </c>
      <c r="G324">
        <v>3652172.8360000001</v>
      </c>
      <c r="H324">
        <v>8784057.5089999996</v>
      </c>
      <c r="I324">
        <v>11348454</v>
      </c>
      <c r="J324">
        <v>4236856.7649999997</v>
      </c>
      <c r="K324">
        <v>5427754.8289999999</v>
      </c>
      <c r="L324">
        <v>6986721.9560000002</v>
      </c>
      <c r="M324">
        <v>8867826.5940000005</v>
      </c>
      <c r="N324">
        <v>11134799.210000001</v>
      </c>
      <c r="O324">
        <v>13840938.16</v>
      </c>
      <c r="P324">
        <v>17143026.350000001</v>
      </c>
      <c r="Q324">
        <v>20564815.77</v>
      </c>
    </row>
    <row r="325" spans="1:17" x14ac:dyDescent="0.25">
      <c r="A325" t="s">
        <v>5</v>
      </c>
      <c r="B325" t="s">
        <v>6</v>
      </c>
      <c r="C325" t="s">
        <v>257</v>
      </c>
      <c r="D325" t="s">
        <v>94</v>
      </c>
      <c r="E325" t="s">
        <v>19</v>
      </c>
      <c r="F325">
        <v>29835026.199999999</v>
      </c>
      <c r="G325">
        <v>30744111.699999999</v>
      </c>
      <c r="H325">
        <v>52282936.509999998</v>
      </c>
      <c r="I325">
        <v>59500578.670000002</v>
      </c>
      <c r="J325">
        <v>41106229.899999999</v>
      </c>
      <c r="K325">
        <v>46888864.689999998</v>
      </c>
      <c r="L325">
        <v>53476820</v>
      </c>
      <c r="M325">
        <v>60457535.840000004</v>
      </c>
      <c r="N325">
        <v>67802738.400000006</v>
      </c>
      <c r="O325">
        <v>75431906.060000002</v>
      </c>
      <c r="P325">
        <v>83436988.629999995</v>
      </c>
      <c r="Q325">
        <v>90693205.459999993</v>
      </c>
    </row>
    <row r="326" spans="1:17" x14ac:dyDescent="0.25">
      <c r="A326" t="s">
        <v>5</v>
      </c>
      <c r="B326" t="s">
        <v>6</v>
      </c>
      <c r="C326" t="s">
        <v>257</v>
      </c>
      <c r="D326" t="s">
        <v>95</v>
      </c>
      <c r="E326" t="s">
        <v>27</v>
      </c>
      <c r="F326">
        <v>3.1271615690000001</v>
      </c>
      <c r="G326">
        <v>3.8357194309999998</v>
      </c>
      <c r="H326">
        <v>4.6121339819999996</v>
      </c>
      <c r="I326">
        <v>6.4578086829999997</v>
      </c>
      <c r="J326">
        <v>5.6408878749999998</v>
      </c>
      <c r="K326">
        <v>6.5961073829999997</v>
      </c>
      <c r="L326">
        <v>7.702448993</v>
      </c>
      <c r="M326">
        <v>8.8143815480000001</v>
      </c>
      <c r="N326">
        <v>10.0322423</v>
      </c>
      <c r="O326">
        <v>11.27922566</v>
      </c>
      <c r="P326">
        <v>12.446795760000001</v>
      </c>
      <c r="Q326">
        <v>13.456868460000001</v>
      </c>
    </row>
    <row r="327" spans="1:17" x14ac:dyDescent="0.25">
      <c r="A327" t="s">
        <v>5</v>
      </c>
      <c r="B327" t="s">
        <v>6</v>
      </c>
      <c r="C327" t="s">
        <v>257</v>
      </c>
      <c r="D327" t="s">
        <v>96</v>
      </c>
      <c r="E327" t="s">
        <v>27</v>
      </c>
      <c r="F327">
        <v>6.9969671929999997</v>
      </c>
      <c r="G327">
        <v>8.5633606580000006</v>
      </c>
      <c r="H327">
        <v>10.619864550000001</v>
      </c>
      <c r="I327">
        <v>12.91579417</v>
      </c>
      <c r="J327">
        <v>12.480577029999999</v>
      </c>
      <c r="K327">
        <v>14.326020310000001</v>
      </c>
      <c r="L327">
        <v>16.233959380000002</v>
      </c>
      <c r="M327">
        <v>18.377850649999999</v>
      </c>
      <c r="N327">
        <v>20.635137050000001</v>
      </c>
      <c r="O327">
        <v>22.909888550000002</v>
      </c>
      <c r="P327">
        <v>25.07577169</v>
      </c>
      <c r="Q327">
        <v>26.786478379999998</v>
      </c>
    </row>
    <row r="328" spans="1:17" x14ac:dyDescent="0.25">
      <c r="A328" t="s">
        <v>5</v>
      </c>
      <c r="B328" t="s">
        <v>6</v>
      </c>
      <c r="C328" t="s">
        <v>257</v>
      </c>
      <c r="D328" t="s">
        <v>97</v>
      </c>
      <c r="E328" t="s">
        <v>27</v>
      </c>
      <c r="F328">
        <v>6.7167627999999993E-2</v>
      </c>
      <c r="G328">
        <v>8.2481401999999995E-2</v>
      </c>
      <c r="H328">
        <v>0.109718037</v>
      </c>
      <c r="I328">
        <v>0.10617877000000001</v>
      </c>
      <c r="J328">
        <v>0.101743212</v>
      </c>
      <c r="K328">
        <v>0.10910345</v>
      </c>
      <c r="L328">
        <v>0.118509329</v>
      </c>
      <c r="M328">
        <v>0.12960944899999999</v>
      </c>
      <c r="N328">
        <v>0.14209513600000001</v>
      </c>
      <c r="O328">
        <v>0.15749825200000001</v>
      </c>
      <c r="P328">
        <v>0.178359302</v>
      </c>
      <c r="Q328">
        <v>0.201757887</v>
      </c>
    </row>
    <row r="329" spans="1:17" x14ac:dyDescent="0.25">
      <c r="A329" t="s">
        <v>5</v>
      </c>
      <c r="B329" t="s">
        <v>6</v>
      </c>
      <c r="C329" t="s">
        <v>257</v>
      </c>
      <c r="D329" t="s">
        <v>98</v>
      </c>
      <c r="E329" t="s">
        <v>27</v>
      </c>
      <c r="F329">
        <v>1.4302100000000001E-4</v>
      </c>
      <c r="G329">
        <v>1.7867800000000001E-4</v>
      </c>
      <c r="H329">
        <v>2.4265300000000001E-4</v>
      </c>
      <c r="I329">
        <v>1.423562E-3</v>
      </c>
      <c r="J329">
        <v>2.6675100000000002E-4</v>
      </c>
      <c r="K329">
        <v>4.5811499999999999E-4</v>
      </c>
      <c r="L329">
        <v>7.1560600000000003E-4</v>
      </c>
      <c r="M329">
        <v>9.4444500000000003E-4</v>
      </c>
      <c r="N329">
        <v>9.72462E-4</v>
      </c>
      <c r="O329">
        <v>8.6451500000000005E-4</v>
      </c>
      <c r="P329">
        <v>9.0958100000000002E-4</v>
      </c>
      <c r="Q329">
        <v>1.123743E-3</v>
      </c>
    </row>
    <row r="330" spans="1:17" x14ac:dyDescent="0.25">
      <c r="A330" t="s">
        <v>5</v>
      </c>
      <c r="B330" t="s">
        <v>6</v>
      </c>
      <c r="C330" t="s">
        <v>257</v>
      </c>
      <c r="D330" t="s">
        <v>99</v>
      </c>
      <c r="E330" t="s">
        <v>27</v>
      </c>
      <c r="F330">
        <v>0.22678400800000001</v>
      </c>
      <c r="G330">
        <v>0.32892493299999997</v>
      </c>
      <c r="H330">
        <v>0.34156276000000002</v>
      </c>
      <c r="I330">
        <v>0.27326054</v>
      </c>
      <c r="J330">
        <v>0.304952061</v>
      </c>
      <c r="K330">
        <v>0.32425683599999999</v>
      </c>
      <c r="L330">
        <v>0.323777698</v>
      </c>
      <c r="M330">
        <v>0.32612370299999999</v>
      </c>
      <c r="N330">
        <v>0.34760844699999999</v>
      </c>
      <c r="O330">
        <v>0.37920216499999998</v>
      </c>
      <c r="P330">
        <v>0.40965742799999999</v>
      </c>
      <c r="Q330">
        <v>0.43440326800000001</v>
      </c>
    </row>
    <row r="331" spans="1:17" x14ac:dyDescent="0.25">
      <c r="A331" t="s">
        <v>5</v>
      </c>
      <c r="B331" t="s">
        <v>6</v>
      </c>
      <c r="C331" t="s">
        <v>257</v>
      </c>
      <c r="D331" t="s">
        <v>100</v>
      </c>
      <c r="E331" t="s">
        <v>27</v>
      </c>
      <c r="F331">
        <v>0.47960140000000001</v>
      </c>
      <c r="G331">
        <v>0.58607660699999997</v>
      </c>
      <c r="H331">
        <v>0.70615159699999996</v>
      </c>
      <c r="I331">
        <v>1.0005073680000001</v>
      </c>
      <c r="J331">
        <v>0.89386234099999995</v>
      </c>
      <c r="K331">
        <v>1.0792485169999999</v>
      </c>
      <c r="L331">
        <v>1.316548641</v>
      </c>
      <c r="M331">
        <v>1.5449658040000001</v>
      </c>
      <c r="N331">
        <v>1.7989997980000001</v>
      </c>
      <c r="O331">
        <v>2.0895625089999998</v>
      </c>
      <c r="P331">
        <v>2.4124075060000001</v>
      </c>
      <c r="Q331">
        <v>2.7319198990000002</v>
      </c>
    </row>
    <row r="332" spans="1:17" x14ac:dyDescent="0.25">
      <c r="A332" t="s">
        <v>5</v>
      </c>
      <c r="B332" t="s">
        <v>6</v>
      </c>
      <c r="C332" t="s">
        <v>257</v>
      </c>
      <c r="D332" t="s">
        <v>101</v>
      </c>
      <c r="E332" t="s">
        <v>27</v>
      </c>
      <c r="F332">
        <v>0.90264986700000005</v>
      </c>
      <c r="G332">
        <v>1.0744858989999999</v>
      </c>
      <c r="H332">
        <v>1.272540199</v>
      </c>
      <c r="I332">
        <v>1.5879639830000001</v>
      </c>
      <c r="J332">
        <v>1.5111658080000001</v>
      </c>
      <c r="K332">
        <v>1.7451443200000001</v>
      </c>
      <c r="L332">
        <v>2.052621303</v>
      </c>
      <c r="M332">
        <v>2.3567460599999999</v>
      </c>
      <c r="N332">
        <v>2.6781242970000001</v>
      </c>
      <c r="O332">
        <v>3.0288727230000001</v>
      </c>
      <c r="P332">
        <v>3.4046016840000002</v>
      </c>
      <c r="Q332">
        <v>3.759304244</v>
      </c>
    </row>
    <row r="333" spans="1:17" x14ac:dyDescent="0.25">
      <c r="A333" t="s">
        <v>5</v>
      </c>
      <c r="B333" t="s">
        <v>6</v>
      </c>
      <c r="C333" t="s">
        <v>257</v>
      </c>
      <c r="D333" t="s">
        <v>102</v>
      </c>
      <c r="E333" t="s">
        <v>27</v>
      </c>
      <c r="F333">
        <v>5.6817400000000002E-3</v>
      </c>
      <c r="G333">
        <v>6.9845089999999999E-3</v>
      </c>
      <c r="H333">
        <v>8.6083119999999999E-3</v>
      </c>
      <c r="I333">
        <v>1.0031948000000001E-2</v>
      </c>
      <c r="J333">
        <v>8.6245530000000001E-3</v>
      </c>
      <c r="K333">
        <v>9.3311030000000003E-3</v>
      </c>
      <c r="L333">
        <v>1.0169961999999999E-2</v>
      </c>
      <c r="M333">
        <v>1.1171245999999999E-2</v>
      </c>
      <c r="N333">
        <v>1.2416762E-2</v>
      </c>
      <c r="O333">
        <v>1.4050191E-2</v>
      </c>
      <c r="P333">
        <v>1.6152267000000001E-2</v>
      </c>
      <c r="Q333">
        <v>1.8313950999999998E-2</v>
      </c>
    </row>
    <row r="334" spans="1:17" x14ac:dyDescent="0.25">
      <c r="A334" t="s">
        <v>5</v>
      </c>
      <c r="B334" t="s">
        <v>6</v>
      </c>
      <c r="C334" t="s">
        <v>257</v>
      </c>
      <c r="D334" t="s">
        <v>103</v>
      </c>
      <c r="E334" t="s">
        <v>27</v>
      </c>
      <c r="F334">
        <v>1.080604E-3</v>
      </c>
      <c r="G334">
        <v>1.350008E-3</v>
      </c>
      <c r="H334">
        <v>1.833377E-3</v>
      </c>
      <c r="I334">
        <v>1.0755801000000001E-2</v>
      </c>
      <c r="J334">
        <v>2.0154510000000001E-3</v>
      </c>
      <c r="K334">
        <v>3.4613159999999999E-3</v>
      </c>
      <c r="L334">
        <v>5.406798E-3</v>
      </c>
      <c r="M334">
        <v>7.1358089999999999E-3</v>
      </c>
      <c r="N334">
        <v>7.3474930000000001E-3</v>
      </c>
      <c r="O334">
        <v>6.5318879999999996E-3</v>
      </c>
      <c r="P334">
        <v>6.8723869999999998E-3</v>
      </c>
      <c r="Q334">
        <v>8.4905060000000001E-3</v>
      </c>
    </row>
    <row r="335" spans="1:17" x14ac:dyDescent="0.25">
      <c r="A335" t="s">
        <v>5</v>
      </c>
      <c r="B335" t="s">
        <v>6</v>
      </c>
      <c r="C335" t="s">
        <v>257</v>
      </c>
      <c r="D335" t="s">
        <v>104</v>
      </c>
      <c r="E335" t="s">
        <v>27</v>
      </c>
      <c r="F335">
        <v>2.4921320000000002E-3</v>
      </c>
      <c r="G335">
        <v>3.6145600000000002E-3</v>
      </c>
      <c r="H335">
        <v>3.7534370000000001E-3</v>
      </c>
      <c r="I335">
        <v>3.0028630000000001E-3</v>
      </c>
      <c r="J335">
        <v>3.3511220000000002E-3</v>
      </c>
      <c r="K335">
        <v>3.5632620000000002E-3</v>
      </c>
      <c r="L335">
        <v>3.5579969999999998E-3</v>
      </c>
      <c r="M335">
        <v>3.5837769999999998E-3</v>
      </c>
      <c r="N335">
        <v>3.8198730000000001E-3</v>
      </c>
      <c r="O335">
        <v>4.1670570000000001E-3</v>
      </c>
      <c r="P335">
        <v>4.5017299999999998E-3</v>
      </c>
      <c r="Q335">
        <v>4.7736619999999997E-3</v>
      </c>
    </row>
    <row r="336" spans="1:17" x14ac:dyDescent="0.25">
      <c r="A336" t="s">
        <v>5</v>
      </c>
      <c r="B336" t="s">
        <v>6</v>
      </c>
      <c r="C336" t="s">
        <v>257</v>
      </c>
      <c r="D336" t="s">
        <v>105</v>
      </c>
      <c r="E336" t="s">
        <v>27</v>
      </c>
      <c r="F336">
        <v>9.2762549E-2</v>
      </c>
      <c r="G336">
        <v>0.111735599</v>
      </c>
      <c r="H336">
        <v>0.13570507600000001</v>
      </c>
      <c r="I336">
        <v>0.201095634</v>
      </c>
      <c r="J336">
        <v>0.19448527299999999</v>
      </c>
      <c r="K336">
        <v>0.25829124799999997</v>
      </c>
      <c r="L336">
        <v>0.35068688199999998</v>
      </c>
      <c r="M336">
        <v>0.43550439699999999</v>
      </c>
      <c r="N336">
        <v>0.53152346900000003</v>
      </c>
      <c r="O336">
        <v>0.65613223799999998</v>
      </c>
      <c r="P336">
        <v>0.81759823499999995</v>
      </c>
      <c r="Q336">
        <v>0.99316530400000003</v>
      </c>
    </row>
    <row r="337" spans="1:17" x14ac:dyDescent="0.25">
      <c r="A337" t="s">
        <v>5</v>
      </c>
      <c r="B337" t="s">
        <v>6</v>
      </c>
      <c r="C337" t="s">
        <v>257</v>
      </c>
      <c r="D337" t="s">
        <v>106</v>
      </c>
      <c r="E337" t="s">
        <v>27</v>
      </c>
      <c r="F337">
        <v>0.119034538</v>
      </c>
      <c r="G337">
        <v>0.143654431</v>
      </c>
      <c r="H337">
        <v>0.17765814999999999</v>
      </c>
      <c r="I337">
        <v>0.24567594200000001</v>
      </c>
      <c r="J337">
        <v>0.24223450499999999</v>
      </c>
      <c r="K337">
        <v>0.31314320600000001</v>
      </c>
      <c r="L337">
        <v>0.41253941900000002</v>
      </c>
      <c r="M337">
        <v>0.50704522699999999</v>
      </c>
      <c r="N337">
        <v>0.61287527200000003</v>
      </c>
      <c r="O337">
        <v>0.74853372699999998</v>
      </c>
      <c r="P337">
        <v>0.92082060099999996</v>
      </c>
      <c r="Q337">
        <v>1.103504064</v>
      </c>
    </row>
    <row r="338" spans="1:17" x14ac:dyDescent="0.25">
      <c r="A338" t="s">
        <v>5</v>
      </c>
      <c r="B338" t="s">
        <v>6</v>
      </c>
      <c r="C338" t="s">
        <v>257</v>
      </c>
      <c r="D338" t="s">
        <v>107</v>
      </c>
      <c r="E338" t="s">
        <v>27</v>
      </c>
      <c r="F338">
        <v>1.0955000000000001E-4</v>
      </c>
      <c r="G338">
        <v>1.3453799999999999E-4</v>
      </c>
      <c r="H338">
        <v>1.77894E-4</v>
      </c>
      <c r="I338">
        <v>1.7484299999999999E-4</v>
      </c>
      <c r="J338">
        <v>1.6598200000000001E-4</v>
      </c>
      <c r="K338">
        <v>1.7814299999999999E-4</v>
      </c>
      <c r="L338">
        <v>1.93604E-4</v>
      </c>
      <c r="M338">
        <v>2.11893E-4</v>
      </c>
      <c r="N338">
        <v>2.3269400000000001E-4</v>
      </c>
      <c r="O338">
        <v>2.5859500000000003E-4</v>
      </c>
      <c r="P338">
        <v>2.93732E-4</v>
      </c>
      <c r="Q338">
        <v>3.33281E-4</v>
      </c>
    </row>
    <row r="339" spans="1:17" x14ac:dyDescent="0.25">
      <c r="A339" t="s">
        <v>5</v>
      </c>
      <c r="B339" t="s">
        <v>6</v>
      </c>
      <c r="C339" t="s">
        <v>257</v>
      </c>
      <c r="D339" t="s">
        <v>108</v>
      </c>
      <c r="E339" t="s">
        <v>27</v>
      </c>
      <c r="F339" s="1">
        <v>3.63E-6</v>
      </c>
      <c r="G339" s="1">
        <v>4.5700000000000003E-6</v>
      </c>
      <c r="H339" s="1">
        <v>6.3600000000000001E-6</v>
      </c>
      <c r="I339" s="1">
        <v>5.5300000000000002E-5</v>
      </c>
      <c r="J339" s="1">
        <v>5.2599999999999996E-6</v>
      </c>
      <c r="K339" s="1">
        <v>1.01E-5</v>
      </c>
      <c r="L339" s="1">
        <v>1.7799999999999999E-5</v>
      </c>
      <c r="M339" s="1">
        <v>2.5999999999999998E-5</v>
      </c>
      <c r="N339" s="1">
        <v>2.72E-5</v>
      </c>
      <c r="O339" s="1">
        <v>2.3200000000000001E-5</v>
      </c>
      <c r="P339" s="1">
        <v>2.48E-5</v>
      </c>
      <c r="Q339" s="1">
        <v>3.26E-5</v>
      </c>
    </row>
    <row r="340" spans="1:17" x14ac:dyDescent="0.25">
      <c r="A340" t="s">
        <v>5</v>
      </c>
      <c r="B340" t="s">
        <v>6</v>
      </c>
      <c r="C340" t="s">
        <v>257</v>
      </c>
      <c r="D340" t="s">
        <v>109</v>
      </c>
      <c r="E340" t="s">
        <v>27</v>
      </c>
      <c r="F340">
        <v>2.4921320000000002E-3</v>
      </c>
      <c r="G340">
        <v>3.6145600000000002E-3</v>
      </c>
      <c r="H340">
        <v>3.7534370000000001E-3</v>
      </c>
      <c r="I340">
        <v>3.0028630000000001E-3</v>
      </c>
      <c r="J340">
        <v>3.3511220000000002E-3</v>
      </c>
      <c r="K340">
        <v>3.5632620000000002E-3</v>
      </c>
      <c r="L340">
        <v>3.5579969999999998E-3</v>
      </c>
      <c r="M340">
        <v>3.5837769999999998E-3</v>
      </c>
      <c r="N340">
        <v>3.8198730000000001E-3</v>
      </c>
      <c r="O340">
        <v>4.1670570000000001E-3</v>
      </c>
      <c r="P340">
        <v>4.5017299999999998E-3</v>
      </c>
      <c r="Q340">
        <v>4.7736619999999997E-3</v>
      </c>
    </row>
    <row r="341" spans="1:17" x14ac:dyDescent="0.25">
      <c r="A341" t="s">
        <v>5</v>
      </c>
      <c r="B341" t="s">
        <v>6</v>
      </c>
      <c r="C341" t="s">
        <v>257</v>
      </c>
      <c r="D341" t="s">
        <v>110</v>
      </c>
      <c r="E341" t="s">
        <v>27</v>
      </c>
      <c r="F341">
        <v>0.13153988699999999</v>
      </c>
      <c r="G341">
        <v>0.16121648899999999</v>
      </c>
      <c r="H341">
        <v>0.193930931</v>
      </c>
      <c r="I341">
        <v>0.27219204000000002</v>
      </c>
      <c r="J341">
        <v>0.238831179</v>
      </c>
      <c r="K341">
        <v>0.28102247400000002</v>
      </c>
      <c r="L341">
        <v>0.33100770600000001</v>
      </c>
      <c r="M341">
        <v>0.38085875000000002</v>
      </c>
      <c r="N341">
        <v>0.43542841599999998</v>
      </c>
      <c r="O341">
        <v>0.49233960100000002</v>
      </c>
      <c r="P341">
        <v>0.54774434800000005</v>
      </c>
      <c r="Q341">
        <v>0.59759572299999997</v>
      </c>
    </row>
    <row r="342" spans="1:17" x14ac:dyDescent="0.25">
      <c r="A342" t="s">
        <v>5</v>
      </c>
      <c r="B342" t="s">
        <v>6</v>
      </c>
      <c r="C342" t="s">
        <v>257</v>
      </c>
      <c r="D342" t="s">
        <v>111</v>
      </c>
      <c r="E342" t="s">
        <v>27</v>
      </c>
      <c r="F342">
        <v>0.17577425199999999</v>
      </c>
      <c r="G342">
        <v>0.21488700899999999</v>
      </c>
      <c r="H342">
        <v>0.25964300699999998</v>
      </c>
      <c r="I342">
        <v>0.34215763599999999</v>
      </c>
      <c r="J342">
        <v>0.31140617999999998</v>
      </c>
      <c r="K342">
        <v>0.36107208899999998</v>
      </c>
      <c r="L342">
        <v>0.419067825</v>
      </c>
      <c r="M342">
        <v>0.47884316199999999</v>
      </c>
      <c r="N342">
        <v>0.54206433300000001</v>
      </c>
      <c r="O342">
        <v>0.60697680399999998</v>
      </c>
      <c r="P342">
        <v>0.66930143900000005</v>
      </c>
      <c r="Q342">
        <v>0.72395342600000001</v>
      </c>
    </row>
    <row r="343" spans="1:17" x14ac:dyDescent="0.25">
      <c r="A343" t="s">
        <v>5</v>
      </c>
      <c r="B343" t="s">
        <v>6</v>
      </c>
      <c r="C343" t="s">
        <v>257</v>
      </c>
      <c r="D343" t="s">
        <v>112</v>
      </c>
      <c r="E343" t="s">
        <v>27</v>
      </c>
      <c r="F343" s="1">
        <v>2.4199999999999999E-5</v>
      </c>
      <c r="G343" s="1">
        <v>2.9899999999999998E-5</v>
      </c>
      <c r="H343" s="1">
        <v>3.0700000000000001E-5</v>
      </c>
      <c r="I343" s="1">
        <v>5.2200000000000002E-5</v>
      </c>
      <c r="J343" s="1">
        <v>3.6999999999999998E-5</v>
      </c>
      <c r="K343" s="1">
        <v>4.0800000000000002E-5</v>
      </c>
      <c r="L343" s="1">
        <v>4.4799999999999998E-5</v>
      </c>
      <c r="M343" s="1">
        <v>4.9799999999999998E-5</v>
      </c>
      <c r="N343" s="1">
        <v>5.7000000000000003E-5</v>
      </c>
      <c r="O343" s="1">
        <v>6.7199999999999994E-5</v>
      </c>
      <c r="P343" s="1">
        <v>8.0000000000000007E-5</v>
      </c>
      <c r="Q343" s="1">
        <v>9.2299999999999994E-5</v>
      </c>
    </row>
    <row r="344" spans="1:17" x14ac:dyDescent="0.25">
      <c r="A344" t="s">
        <v>5</v>
      </c>
      <c r="B344" t="s">
        <v>6</v>
      </c>
      <c r="C344" t="s">
        <v>257</v>
      </c>
      <c r="D344" t="s">
        <v>113</v>
      </c>
      <c r="E344" t="s">
        <v>27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5">
      <c r="A345" t="s">
        <v>5</v>
      </c>
      <c r="B345" t="s">
        <v>6</v>
      </c>
      <c r="C345" t="s">
        <v>257</v>
      </c>
      <c r="D345" t="s">
        <v>114</v>
      </c>
      <c r="E345" t="s">
        <v>27</v>
      </c>
      <c r="F345">
        <v>1.4952800000000001E-4</v>
      </c>
      <c r="G345">
        <v>2.1687400000000001E-4</v>
      </c>
      <c r="H345">
        <v>2.2520600000000001E-4</v>
      </c>
      <c r="I345">
        <v>1.8017200000000001E-4</v>
      </c>
      <c r="J345">
        <v>2.01067E-4</v>
      </c>
      <c r="K345">
        <v>2.1379600000000001E-4</v>
      </c>
      <c r="L345">
        <v>2.1348E-4</v>
      </c>
      <c r="M345">
        <v>2.1502700000000001E-4</v>
      </c>
      <c r="N345">
        <v>2.29192E-4</v>
      </c>
      <c r="O345">
        <v>2.5002299999999999E-4</v>
      </c>
      <c r="P345">
        <v>2.7010400000000001E-4</v>
      </c>
      <c r="Q345">
        <v>2.8642000000000001E-4</v>
      </c>
    </row>
    <row r="346" spans="1:17" x14ac:dyDescent="0.25">
      <c r="A346" t="s">
        <v>5</v>
      </c>
      <c r="B346" t="s">
        <v>6</v>
      </c>
      <c r="C346" t="s">
        <v>257</v>
      </c>
      <c r="D346" t="s">
        <v>115</v>
      </c>
      <c r="E346" t="s">
        <v>27</v>
      </c>
      <c r="F346">
        <v>0.61609024700000004</v>
      </c>
      <c r="G346">
        <v>0.75526160899999994</v>
      </c>
      <c r="H346">
        <v>0.90839826499999998</v>
      </c>
      <c r="I346">
        <v>1.2740519340000001</v>
      </c>
      <c r="J346">
        <v>1.116290934</v>
      </c>
      <c r="K346">
        <v>1.3103490769999999</v>
      </c>
      <c r="L346">
        <v>1.5384636300000001</v>
      </c>
      <c r="M346">
        <v>1.7667782869999999</v>
      </c>
      <c r="N346">
        <v>2.0202212369999999</v>
      </c>
      <c r="O346">
        <v>2.2900283149999998</v>
      </c>
      <c r="P346">
        <v>2.55550334</v>
      </c>
      <c r="Q346">
        <v>2.7925668670000001</v>
      </c>
    </row>
    <row r="347" spans="1:17" x14ac:dyDescent="0.25">
      <c r="A347" t="s">
        <v>5</v>
      </c>
      <c r="B347" t="s">
        <v>6</v>
      </c>
      <c r="C347" t="s">
        <v>257</v>
      </c>
      <c r="D347" t="s">
        <v>116</v>
      </c>
      <c r="E347" t="s">
        <v>27</v>
      </c>
      <c r="F347">
        <v>1.2175452849999999</v>
      </c>
      <c r="G347">
        <v>1.48555594</v>
      </c>
      <c r="H347">
        <v>1.83186833</v>
      </c>
      <c r="I347">
        <v>2.2621697790000002</v>
      </c>
      <c r="J347">
        <v>2.1641149209999999</v>
      </c>
      <c r="K347">
        <v>2.4912583189999999</v>
      </c>
      <c r="L347">
        <v>2.842854515</v>
      </c>
      <c r="M347">
        <v>3.2290586939999999</v>
      </c>
      <c r="N347">
        <v>3.641314087</v>
      </c>
      <c r="O347">
        <v>4.0691692310000001</v>
      </c>
      <c r="P347">
        <v>4.4878884450000003</v>
      </c>
      <c r="Q347">
        <v>4.8315616060000002</v>
      </c>
    </row>
    <row r="348" spans="1:17" x14ac:dyDescent="0.25">
      <c r="A348" t="s">
        <v>5</v>
      </c>
      <c r="B348" t="s">
        <v>6</v>
      </c>
      <c r="C348" t="s">
        <v>257</v>
      </c>
      <c r="D348" t="s">
        <v>117</v>
      </c>
      <c r="E348" t="s">
        <v>27</v>
      </c>
      <c r="F348">
        <v>1.3695499999999999E-4</v>
      </c>
      <c r="G348">
        <v>1.6872999999999999E-4</v>
      </c>
      <c r="H348">
        <v>1.73487E-4</v>
      </c>
      <c r="I348">
        <v>2.9493299999999999E-4</v>
      </c>
      <c r="J348">
        <v>2.0881799999999999E-4</v>
      </c>
      <c r="K348">
        <v>2.3012799999999999E-4</v>
      </c>
      <c r="L348">
        <v>2.52606E-4</v>
      </c>
      <c r="M348">
        <v>2.8001300000000002E-4</v>
      </c>
      <c r="N348">
        <v>3.1980300000000001E-4</v>
      </c>
      <c r="O348">
        <v>3.7624799999999998E-4</v>
      </c>
      <c r="P348">
        <v>4.4479399999999998E-4</v>
      </c>
      <c r="Q348">
        <v>5.0766199999999998E-4</v>
      </c>
    </row>
    <row r="349" spans="1:17" x14ac:dyDescent="0.25">
      <c r="A349" t="s">
        <v>5</v>
      </c>
      <c r="B349" t="s">
        <v>6</v>
      </c>
      <c r="C349" t="s">
        <v>257</v>
      </c>
      <c r="D349" t="s">
        <v>118</v>
      </c>
      <c r="E349" t="s">
        <v>27</v>
      </c>
      <c r="F349" s="1">
        <v>8.3399999999999994E-5</v>
      </c>
      <c r="G349">
        <v>1.0422899999999999E-4</v>
      </c>
      <c r="H349">
        <v>1.4154700000000001E-4</v>
      </c>
      <c r="I349">
        <v>8.3041099999999997E-4</v>
      </c>
      <c r="J349">
        <v>1.5560500000000001E-4</v>
      </c>
      <c r="K349">
        <v>2.6723399999999998E-4</v>
      </c>
      <c r="L349">
        <v>4.1743699999999999E-4</v>
      </c>
      <c r="M349">
        <v>5.5092599999999998E-4</v>
      </c>
      <c r="N349">
        <v>5.6727000000000004E-4</v>
      </c>
      <c r="O349">
        <v>5.0429999999999995E-4</v>
      </c>
      <c r="P349">
        <v>5.3058900000000004E-4</v>
      </c>
      <c r="Q349">
        <v>6.5551699999999999E-4</v>
      </c>
    </row>
    <row r="350" spans="1:17" x14ac:dyDescent="0.25">
      <c r="A350" t="s">
        <v>5</v>
      </c>
      <c r="B350" t="s">
        <v>6</v>
      </c>
      <c r="C350" t="s">
        <v>257</v>
      </c>
      <c r="D350" t="s">
        <v>119</v>
      </c>
      <c r="E350" t="s">
        <v>27</v>
      </c>
      <c r="F350">
        <v>4.9842640000000004E-3</v>
      </c>
      <c r="G350">
        <v>7.229119E-3</v>
      </c>
      <c r="H350">
        <v>7.5068740000000002E-3</v>
      </c>
      <c r="I350">
        <v>6.0057260000000003E-3</v>
      </c>
      <c r="J350">
        <v>6.7022430000000001E-3</v>
      </c>
      <c r="K350">
        <v>7.1265240000000004E-3</v>
      </c>
      <c r="L350">
        <v>7.1159930000000001E-3</v>
      </c>
      <c r="M350">
        <v>7.1675539999999996E-3</v>
      </c>
      <c r="N350">
        <v>7.6397460000000002E-3</v>
      </c>
      <c r="O350">
        <v>8.3341140000000001E-3</v>
      </c>
      <c r="P350">
        <v>9.0034599999999996E-3</v>
      </c>
      <c r="Q350">
        <v>9.5473250000000006E-3</v>
      </c>
    </row>
    <row r="351" spans="1:17" x14ac:dyDescent="0.25">
      <c r="A351" t="s">
        <v>5</v>
      </c>
      <c r="B351" t="s">
        <v>6</v>
      </c>
      <c r="C351" t="s">
        <v>257</v>
      </c>
      <c r="D351" t="s">
        <v>120</v>
      </c>
      <c r="E351" t="s">
        <v>27</v>
      </c>
      <c r="F351">
        <v>4.2350272289999999</v>
      </c>
      <c r="G351">
        <v>5.31975088</v>
      </c>
      <c r="H351">
        <v>6.530228256</v>
      </c>
      <c r="I351">
        <v>6.5965426980000004</v>
      </c>
      <c r="J351">
        <v>6.6704991939999996</v>
      </c>
      <c r="K351">
        <v>7.3126343609999997</v>
      </c>
      <c r="L351">
        <v>8.098767059</v>
      </c>
      <c r="M351">
        <v>8.9365389630000003</v>
      </c>
      <c r="N351">
        <v>9.8175062569999998</v>
      </c>
      <c r="O351">
        <v>10.734386130000001</v>
      </c>
      <c r="P351">
        <v>11.68209214</v>
      </c>
      <c r="Q351">
        <v>12.54562973</v>
      </c>
    </row>
    <row r="352" spans="1:17" x14ac:dyDescent="0.25">
      <c r="A352" t="s">
        <v>5</v>
      </c>
      <c r="B352" t="s">
        <v>6</v>
      </c>
      <c r="C352" t="s">
        <v>257</v>
      </c>
      <c r="D352" t="s">
        <v>121</v>
      </c>
      <c r="E352" t="s">
        <v>27</v>
      </c>
      <c r="F352">
        <v>3.4478169909999998</v>
      </c>
      <c r="G352">
        <v>3.5051050469999998</v>
      </c>
      <c r="H352">
        <v>6.4993435440000003</v>
      </c>
      <c r="I352">
        <v>7.7060552979999999</v>
      </c>
      <c r="J352">
        <v>4.5536083950000004</v>
      </c>
      <c r="K352">
        <v>5.3208425469999998</v>
      </c>
      <c r="L352">
        <v>6.2400209450000004</v>
      </c>
      <c r="M352">
        <v>7.2665136209999996</v>
      </c>
      <c r="N352">
        <v>8.4142849549999994</v>
      </c>
      <c r="O352">
        <v>9.6919193749999994</v>
      </c>
      <c r="P352">
        <v>11.14994767</v>
      </c>
      <c r="Q352">
        <v>12.58597659</v>
      </c>
    </row>
    <row r="353" spans="1:17" x14ac:dyDescent="0.25">
      <c r="A353" t="s">
        <v>5</v>
      </c>
      <c r="B353" t="s">
        <v>6</v>
      </c>
      <c r="C353" t="s">
        <v>257</v>
      </c>
      <c r="D353" t="s">
        <v>122</v>
      </c>
      <c r="E353" t="s">
        <v>27</v>
      </c>
      <c r="F353">
        <v>0.21803088900000001</v>
      </c>
      <c r="G353">
        <v>0.26657298000000001</v>
      </c>
      <c r="H353">
        <v>0.32388918100000003</v>
      </c>
      <c r="I353">
        <v>0.32090536200000003</v>
      </c>
      <c r="J353">
        <v>0.31209484199999998</v>
      </c>
      <c r="K353">
        <v>0.33458158700000001</v>
      </c>
      <c r="L353">
        <v>0.36591833499999998</v>
      </c>
      <c r="M353">
        <v>0.39900423200000001</v>
      </c>
      <c r="N353">
        <v>0.43348956700000002</v>
      </c>
      <c r="O353">
        <v>0.46908587400000001</v>
      </c>
      <c r="P353">
        <v>0.50559653400000004</v>
      </c>
      <c r="Q353">
        <v>0.53867569800000004</v>
      </c>
    </row>
    <row r="354" spans="1:17" x14ac:dyDescent="0.25">
      <c r="A354" t="s">
        <v>5</v>
      </c>
      <c r="B354" t="s">
        <v>6</v>
      </c>
      <c r="C354" t="s">
        <v>257</v>
      </c>
      <c r="D354" t="s">
        <v>123</v>
      </c>
      <c r="E354" t="s">
        <v>27</v>
      </c>
      <c r="F354">
        <v>0.21106571399999999</v>
      </c>
      <c r="G354">
        <v>0.21549248400000001</v>
      </c>
      <c r="H354">
        <v>0.38963289800000001</v>
      </c>
      <c r="I354">
        <v>0.45624372600000002</v>
      </c>
      <c r="J354">
        <v>0.28256513700000002</v>
      </c>
      <c r="K354">
        <v>0.32769546700000002</v>
      </c>
      <c r="L354">
        <v>0.380996061</v>
      </c>
      <c r="M354">
        <v>0.439659996</v>
      </c>
      <c r="N354">
        <v>0.50419355399999999</v>
      </c>
      <c r="O354">
        <v>0.574752763</v>
      </c>
      <c r="P354">
        <v>0.65361805100000003</v>
      </c>
      <c r="Q354">
        <v>0.72979045899999995</v>
      </c>
    </row>
    <row r="355" spans="1:17" x14ac:dyDescent="0.25">
      <c r="A355" t="s">
        <v>5</v>
      </c>
      <c r="B355" t="s">
        <v>6</v>
      </c>
      <c r="C355" t="s">
        <v>257</v>
      </c>
      <c r="D355" t="s">
        <v>124</v>
      </c>
      <c r="E355" t="s">
        <v>27</v>
      </c>
      <c r="F355">
        <v>8.6784011999999994E-2</v>
      </c>
      <c r="G355">
        <v>0.104868482</v>
      </c>
      <c r="H355">
        <v>0.12729241399999999</v>
      </c>
      <c r="I355">
        <v>0.12478846</v>
      </c>
      <c r="J355">
        <v>0.11899238099999999</v>
      </c>
      <c r="K355">
        <v>0.12617745</v>
      </c>
      <c r="L355">
        <v>0.13712849599999999</v>
      </c>
      <c r="M355">
        <v>0.148622964</v>
      </c>
      <c r="N355">
        <v>0.16053593699999999</v>
      </c>
      <c r="O355">
        <v>0.17276706</v>
      </c>
      <c r="P355">
        <v>0.185248725</v>
      </c>
      <c r="Q355">
        <v>0.19651403200000001</v>
      </c>
    </row>
    <row r="356" spans="1:17" x14ac:dyDescent="0.25">
      <c r="A356" t="s">
        <v>5</v>
      </c>
      <c r="B356" t="s">
        <v>6</v>
      </c>
      <c r="C356" t="s">
        <v>257</v>
      </c>
      <c r="D356" t="s">
        <v>125</v>
      </c>
      <c r="E356" t="s">
        <v>27</v>
      </c>
      <c r="F356">
        <v>0.13338805200000001</v>
      </c>
      <c r="G356">
        <v>0.13573218200000001</v>
      </c>
      <c r="H356">
        <v>0.25049332200000002</v>
      </c>
      <c r="I356">
        <v>0.29613257100000001</v>
      </c>
      <c r="J356">
        <v>0.176714497</v>
      </c>
      <c r="K356">
        <v>0.20616421099999999</v>
      </c>
      <c r="L356">
        <v>0.241334825</v>
      </c>
      <c r="M356">
        <v>0.280484124</v>
      </c>
      <c r="N356">
        <v>0.32409866700000001</v>
      </c>
      <c r="O356">
        <v>0.372451802</v>
      </c>
      <c r="P356">
        <v>0.427372796</v>
      </c>
      <c r="Q356">
        <v>0.48122610500000002</v>
      </c>
    </row>
    <row r="357" spans="1:17" x14ac:dyDescent="0.25">
      <c r="A357" t="s">
        <v>5</v>
      </c>
      <c r="B357" t="s">
        <v>6</v>
      </c>
      <c r="C357" t="s">
        <v>257</v>
      </c>
      <c r="D357" t="s">
        <v>126</v>
      </c>
      <c r="E357" t="s">
        <v>27</v>
      </c>
      <c r="F357">
        <v>77.527293610000001</v>
      </c>
      <c r="G357">
        <v>96.347771559999998</v>
      </c>
      <c r="H357">
        <v>119.260693</v>
      </c>
      <c r="I357">
        <v>118.75998970000001</v>
      </c>
      <c r="J357">
        <v>117.75149</v>
      </c>
      <c r="K357">
        <v>128.0368795</v>
      </c>
      <c r="L357">
        <v>141.17111180000001</v>
      </c>
      <c r="M357">
        <v>155.12152620000001</v>
      </c>
      <c r="N357">
        <v>169.74552869999999</v>
      </c>
      <c r="O357">
        <v>184.92178240000001</v>
      </c>
      <c r="P357">
        <v>200.5654437</v>
      </c>
      <c r="Q357">
        <v>214.79046650000001</v>
      </c>
    </row>
    <row r="358" spans="1:17" x14ac:dyDescent="0.25">
      <c r="A358" t="s">
        <v>5</v>
      </c>
      <c r="B358" t="s">
        <v>6</v>
      </c>
      <c r="C358" t="s">
        <v>257</v>
      </c>
      <c r="D358" t="s">
        <v>127</v>
      </c>
      <c r="E358" t="s">
        <v>27</v>
      </c>
      <c r="F358">
        <v>35.716032089999999</v>
      </c>
      <c r="G358">
        <v>36.356944800000001</v>
      </c>
      <c r="H358">
        <v>66.789530889999995</v>
      </c>
      <c r="I358">
        <v>78.924184850000003</v>
      </c>
      <c r="J358">
        <v>47.375589589999997</v>
      </c>
      <c r="K358">
        <v>55.214354880000002</v>
      </c>
      <c r="L358">
        <v>64.567112140000006</v>
      </c>
      <c r="M358">
        <v>74.971191399999995</v>
      </c>
      <c r="N358">
        <v>86.557061880000006</v>
      </c>
      <c r="O358">
        <v>99.400689479999997</v>
      </c>
      <c r="P358">
        <v>113.9950042</v>
      </c>
      <c r="Q358">
        <v>128.3184067</v>
      </c>
    </row>
    <row r="359" spans="1:17" x14ac:dyDescent="0.25">
      <c r="A359" t="s">
        <v>5</v>
      </c>
      <c r="B359" t="s">
        <v>6</v>
      </c>
      <c r="C359" t="s">
        <v>257</v>
      </c>
      <c r="D359" t="s">
        <v>128</v>
      </c>
      <c r="E359" t="s">
        <v>27</v>
      </c>
      <c r="F359">
        <v>0.252454397</v>
      </c>
      <c r="G359">
        <v>0.31396844899999998</v>
      </c>
      <c r="H359">
        <v>0.38588120999999997</v>
      </c>
      <c r="I359">
        <v>0.38630264600000003</v>
      </c>
      <c r="J359">
        <v>0.38490924300000001</v>
      </c>
      <c r="K359">
        <v>0.418895721</v>
      </c>
      <c r="L359">
        <v>0.46205734199999998</v>
      </c>
      <c r="M359">
        <v>0.50792318400000003</v>
      </c>
      <c r="N359">
        <v>0.55602510199999999</v>
      </c>
      <c r="O359">
        <v>0.60596455299999996</v>
      </c>
      <c r="P359">
        <v>0.65746386800000001</v>
      </c>
      <c r="Q359">
        <v>0.70430649199999995</v>
      </c>
    </row>
    <row r="360" spans="1:17" x14ac:dyDescent="0.25">
      <c r="A360" t="s">
        <v>5</v>
      </c>
      <c r="B360" t="s">
        <v>6</v>
      </c>
      <c r="C360" t="s">
        <v>257</v>
      </c>
      <c r="D360" t="s">
        <v>129</v>
      </c>
      <c r="E360" t="s">
        <v>27</v>
      </c>
      <c r="F360">
        <v>0.33102105999999998</v>
      </c>
      <c r="G360">
        <v>0.33852958599999999</v>
      </c>
      <c r="H360">
        <v>0.60433304499999996</v>
      </c>
      <c r="I360">
        <v>0.70458226700000004</v>
      </c>
      <c r="J360">
        <v>0.44545198499999999</v>
      </c>
      <c r="K360">
        <v>0.51489968699999999</v>
      </c>
      <c r="L360">
        <v>0.596457405</v>
      </c>
      <c r="M360">
        <v>0.68572462999999995</v>
      </c>
      <c r="N360">
        <v>0.78333061900000001</v>
      </c>
      <c r="O360">
        <v>0.88936710600000002</v>
      </c>
      <c r="P360">
        <v>1.0070431740000001</v>
      </c>
      <c r="Q360">
        <v>1.11997568</v>
      </c>
    </row>
    <row r="361" spans="1:17" x14ac:dyDescent="0.25">
      <c r="A361" t="s">
        <v>5</v>
      </c>
      <c r="B361" t="s">
        <v>6</v>
      </c>
      <c r="C361" t="s">
        <v>257</v>
      </c>
      <c r="D361" t="s">
        <v>130</v>
      </c>
      <c r="E361" t="s">
        <v>27</v>
      </c>
      <c r="F361">
        <v>4.0120130009999997</v>
      </c>
      <c r="G361">
        <v>4.953753334</v>
      </c>
      <c r="H361">
        <v>6.0659904129999997</v>
      </c>
      <c r="I361">
        <v>6.0386167220000004</v>
      </c>
      <c r="J361">
        <v>5.9486742250000004</v>
      </c>
      <c r="K361">
        <v>6.4319424930000002</v>
      </c>
      <c r="L361">
        <v>7.0688865239999998</v>
      </c>
      <c r="M361">
        <v>7.7439561509999999</v>
      </c>
      <c r="N361">
        <v>8.450157656</v>
      </c>
      <c r="O361">
        <v>9.1816109430000008</v>
      </c>
      <c r="P361">
        <v>9.9342553260000006</v>
      </c>
      <c r="Q361">
        <v>10.61778361</v>
      </c>
    </row>
    <row r="362" spans="1:17" x14ac:dyDescent="0.25">
      <c r="A362" t="s">
        <v>5</v>
      </c>
      <c r="B362" t="s">
        <v>6</v>
      </c>
      <c r="C362" t="s">
        <v>257</v>
      </c>
      <c r="D362" t="s">
        <v>131</v>
      </c>
      <c r="E362" t="s">
        <v>27</v>
      </c>
      <c r="F362">
        <v>0.67432113299999996</v>
      </c>
      <c r="G362">
        <v>0.68625195299999997</v>
      </c>
      <c r="H362">
        <v>1.2612948879999999</v>
      </c>
      <c r="I362">
        <v>1.4910201830000001</v>
      </c>
      <c r="J362">
        <v>0.89503551000000003</v>
      </c>
      <c r="K362">
        <v>1.043141471</v>
      </c>
      <c r="L362">
        <v>1.2199054519999999</v>
      </c>
      <c r="M362">
        <v>1.4166771149999999</v>
      </c>
      <c r="N362">
        <v>1.636074378</v>
      </c>
      <c r="O362">
        <v>1.879784042</v>
      </c>
      <c r="P362">
        <v>2.1576533160000002</v>
      </c>
      <c r="Q362">
        <v>2.4315543160000002</v>
      </c>
    </row>
    <row r="363" spans="1:17" x14ac:dyDescent="0.25">
      <c r="A363" t="s">
        <v>5</v>
      </c>
      <c r="B363" t="s">
        <v>6</v>
      </c>
      <c r="C363" t="s">
        <v>257</v>
      </c>
      <c r="D363" t="s">
        <v>132</v>
      </c>
      <c r="E363" t="s">
        <v>27</v>
      </c>
      <c r="F363">
        <v>6.8875558000000003E-2</v>
      </c>
      <c r="G363">
        <v>0.120438594</v>
      </c>
      <c r="H363">
        <v>0.17039089299999999</v>
      </c>
      <c r="I363">
        <v>0.193665218</v>
      </c>
      <c r="J363">
        <v>0.22893902899999999</v>
      </c>
      <c r="K363">
        <v>0.44789926099999999</v>
      </c>
      <c r="L363">
        <v>0.68963924700000001</v>
      </c>
      <c r="M363">
        <v>0.79606527900000001</v>
      </c>
      <c r="N363">
        <v>1.0589767430000001</v>
      </c>
      <c r="O363">
        <v>1.4205741860000001</v>
      </c>
      <c r="P363">
        <v>2.0041916340000001</v>
      </c>
      <c r="Q363">
        <v>2.5165078850000002</v>
      </c>
    </row>
    <row r="364" spans="1:17" x14ac:dyDescent="0.25">
      <c r="A364" t="s">
        <v>5</v>
      </c>
      <c r="B364" t="s">
        <v>6</v>
      </c>
      <c r="C364" t="s">
        <v>257</v>
      </c>
      <c r="D364" t="s">
        <v>133</v>
      </c>
      <c r="E364" t="s">
        <v>27</v>
      </c>
      <c r="F364">
        <v>0.68268811699999998</v>
      </c>
      <c r="G364">
        <v>1.0042338630000001</v>
      </c>
      <c r="H364">
        <v>1.3296846609999999</v>
      </c>
      <c r="I364">
        <v>1.564357676</v>
      </c>
      <c r="J364">
        <v>1.870082214</v>
      </c>
      <c r="K364">
        <v>2.7645858259999998</v>
      </c>
      <c r="L364">
        <v>3.6735878620000002</v>
      </c>
      <c r="M364">
        <v>4.065313776</v>
      </c>
      <c r="N364">
        <v>4.7310267000000001</v>
      </c>
      <c r="O364">
        <v>5.534451389</v>
      </c>
      <c r="P364">
        <v>6.8952325400000003</v>
      </c>
      <c r="Q364">
        <v>8.4336037860000008</v>
      </c>
    </row>
    <row r="365" spans="1:17" x14ac:dyDescent="0.25">
      <c r="A365" t="s">
        <v>5</v>
      </c>
      <c r="B365" t="s">
        <v>6</v>
      </c>
      <c r="C365" t="s">
        <v>257</v>
      </c>
      <c r="D365" t="s">
        <v>134</v>
      </c>
      <c r="E365" t="s">
        <v>27</v>
      </c>
      <c r="F365">
        <v>5.9517299999999995E-4</v>
      </c>
      <c r="G365">
        <v>1.0691800000000001E-3</v>
      </c>
      <c r="H365">
        <v>1.584547E-3</v>
      </c>
      <c r="I365">
        <v>1.928543E-3</v>
      </c>
      <c r="J365">
        <v>2.3855030000000002E-3</v>
      </c>
      <c r="K365">
        <v>4.6316079999999997E-3</v>
      </c>
      <c r="L365">
        <v>9.1268389999999994E-3</v>
      </c>
      <c r="M365">
        <v>1.7968103999999999E-2</v>
      </c>
      <c r="N365">
        <v>3.4674412000000002E-2</v>
      </c>
      <c r="O365">
        <v>5.8004319999999998E-2</v>
      </c>
      <c r="P365">
        <v>8.8572418E-2</v>
      </c>
      <c r="Q365">
        <v>0.111892196</v>
      </c>
    </row>
    <row r="366" spans="1:17" x14ac:dyDescent="0.25">
      <c r="A366" t="s">
        <v>5</v>
      </c>
      <c r="B366" t="s">
        <v>6</v>
      </c>
      <c r="C366" t="s">
        <v>257</v>
      </c>
      <c r="D366" t="s">
        <v>135</v>
      </c>
      <c r="E366" t="s">
        <v>27</v>
      </c>
      <c r="F366">
        <v>1.141448E-3</v>
      </c>
      <c r="G366">
        <v>1.929039E-3</v>
      </c>
      <c r="H366">
        <v>2.7266389999999999E-3</v>
      </c>
      <c r="I366">
        <v>3.1865190000000001E-3</v>
      </c>
      <c r="J366">
        <v>3.9400850000000003E-3</v>
      </c>
      <c r="K366">
        <v>7.3031320000000004E-3</v>
      </c>
      <c r="L366">
        <v>1.2090194E-2</v>
      </c>
      <c r="M366">
        <v>1.9096458E-2</v>
      </c>
      <c r="N366">
        <v>3.1106557E-2</v>
      </c>
      <c r="O366">
        <v>4.6881930000000002E-2</v>
      </c>
      <c r="P366">
        <v>6.8780448999999994E-2</v>
      </c>
      <c r="Q366">
        <v>8.6801205000000006E-2</v>
      </c>
    </row>
    <row r="367" spans="1:17" x14ac:dyDescent="0.25">
      <c r="A367" t="s">
        <v>5</v>
      </c>
      <c r="B367" t="s">
        <v>6</v>
      </c>
      <c r="C367" t="s">
        <v>257</v>
      </c>
      <c r="D367" t="s">
        <v>136</v>
      </c>
      <c r="E367" t="s">
        <v>27</v>
      </c>
      <c r="F367">
        <v>0</v>
      </c>
      <c r="G367">
        <v>0</v>
      </c>
      <c r="H367">
        <v>0</v>
      </c>
      <c r="I367" s="1">
        <v>6.48E-9</v>
      </c>
      <c r="J367" s="1">
        <v>2.4200000000000002E-7</v>
      </c>
      <c r="K367" s="1">
        <v>3.9600000000000002E-6</v>
      </c>
      <c r="L367" s="1">
        <v>3.01E-5</v>
      </c>
      <c r="M367">
        <v>1.09852E-4</v>
      </c>
      <c r="N367">
        <v>2.15761E-4</v>
      </c>
      <c r="O367">
        <v>3.2048299999999999E-4</v>
      </c>
      <c r="P367">
        <v>5.5684500000000004E-4</v>
      </c>
      <c r="Q367">
        <v>9.2495800000000003E-4</v>
      </c>
    </row>
    <row r="368" spans="1:17" x14ac:dyDescent="0.25">
      <c r="A368" t="s">
        <v>5</v>
      </c>
      <c r="B368" t="s">
        <v>6</v>
      </c>
      <c r="C368" t="s">
        <v>257</v>
      </c>
      <c r="D368" t="s">
        <v>137</v>
      </c>
      <c r="E368" t="s">
        <v>27</v>
      </c>
      <c r="F368">
        <v>0.181907981</v>
      </c>
      <c r="G368">
        <v>0.27505622600000001</v>
      </c>
      <c r="H368">
        <v>0.36778766099999999</v>
      </c>
      <c r="I368">
        <v>0.44366377299999998</v>
      </c>
      <c r="J368">
        <v>0.50638194999999997</v>
      </c>
      <c r="K368">
        <v>0.57154177699999997</v>
      </c>
      <c r="L368">
        <v>0.65621421999999996</v>
      </c>
      <c r="M368">
        <v>0.77780449799999996</v>
      </c>
      <c r="N368">
        <v>0.93748887000000003</v>
      </c>
      <c r="O368">
        <v>1.1118670909999999</v>
      </c>
      <c r="P368">
        <v>1.2907488490000001</v>
      </c>
      <c r="Q368">
        <v>1.4669503699999999</v>
      </c>
    </row>
    <row r="369" spans="1:17" x14ac:dyDescent="0.25">
      <c r="A369" t="s">
        <v>5</v>
      </c>
      <c r="B369" t="s">
        <v>6</v>
      </c>
      <c r="C369" t="s">
        <v>257</v>
      </c>
      <c r="D369" t="s">
        <v>138</v>
      </c>
      <c r="E369" t="s">
        <v>27</v>
      </c>
      <c r="F369">
        <v>0.45318782699999999</v>
      </c>
      <c r="G369">
        <v>0.70430262200000004</v>
      </c>
      <c r="H369">
        <v>0.988913767</v>
      </c>
      <c r="I369">
        <v>1.244913395</v>
      </c>
      <c r="J369">
        <v>1.4432073670000001</v>
      </c>
      <c r="K369">
        <v>1.60803528</v>
      </c>
      <c r="L369">
        <v>1.802218409</v>
      </c>
      <c r="M369">
        <v>2.0975658959999999</v>
      </c>
      <c r="N369">
        <v>2.5223235819999998</v>
      </c>
      <c r="O369">
        <v>3.0361011950000001</v>
      </c>
      <c r="P369">
        <v>3.5893055629999999</v>
      </c>
      <c r="Q369">
        <v>4.1009368039999998</v>
      </c>
    </row>
    <row r="370" spans="1:17" x14ac:dyDescent="0.25">
      <c r="A370" t="s">
        <v>5</v>
      </c>
      <c r="B370" t="s">
        <v>6</v>
      </c>
      <c r="C370" t="s">
        <v>257</v>
      </c>
      <c r="D370" t="s">
        <v>139</v>
      </c>
      <c r="E370" t="s">
        <v>27</v>
      </c>
      <c r="F370">
        <v>7.1873764000000007E-2</v>
      </c>
      <c r="G370">
        <v>0.117300425</v>
      </c>
      <c r="H370">
        <v>0.17872851200000001</v>
      </c>
      <c r="I370">
        <v>0.23980748499999999</v>
      </c>
      <c r="J370">
        <v>0.28027654400000002</v>
      </c>
      <c r="K370">
        <v>0.30616881200000001</v>
      </c>
      <c r="L370">
        <v>0.33415249899999999</v>
      </c>
      <c r="M370">
        <v>0.38006032099999998</v>
      </c>
      <c r="N370">
        <v>0.45457647899999998</v>
      </c>
      <c r="O370">
        <v>0.55688121499999998</v>
      </c>
      <c r="P370">
        <v>0.67491316300000004</v>
      </c>
      <c r="Q370">
        <v>0.78021032599999995</v>
      </c>
    </row>
    <row r="371" spans="1:17" x14ac:dyDescent="0.25">
      <c r="A371" t="s">
        <v>5</v>
      </c>
      <c r="B371" t="s">
        <v>6</v>
      </c>
      <c r="C371" t="s">
        <v>257</v>
      </c>
      <c r="D371" t="s">
        <v>140</v>
      </c>
      <c r="E371" t="s">
        <v>27</v>
      </c>
      <c r="F371">
        <v>5.3598200999999998E-2</v>
      </c>
      <c r="G371">
        <v>8.4138027000000004E-2</v>
      </c>
      <c r="H371">
        <v>0.120415987</v>
      </c>
      <c r="I371">
        <v>0.15379214299999999</v>
      </c>
      <c r="J371">
        <v>0.171822423</v>
      </c>
      <c r="K371">
        <v>0.188119903</v>
      </c>
      <c r="L371">
        <v>0.212745674</v>
      </c>
      <c r="M371">
        <v>0.24946736</v>
      </c>
      <c r="N371">
        <v>0.30074842699999998</v>
      </c>
      <c r="O371">
        <v>0.36156497399999998</v>
      </c>
      <c r="P371">
        <v>0.42725744199999999</v>
      </c>
      <c r="Q371">
        <v>0.49004445499999999</v>
      </c>
    </row>
    <row r="372" spans="1:17" x14ac:dyDescent="0.25">
      <c r="A372" t="s">
        <v>5</v>
      </c>
      <c r="B372" t="s">
        <v>6</v>
      </c>
      <c r="C372" t="s">
        <v>257</v>
      </c>
      <c r="D372" t="s">
        <v>141</v>
      </c>
      <c r="E372" t="s">
        <v>27</v>
      </c>
      <c r="F372">
        <v>1.484448E-3</v>
      </c>
      <c r="G372">
        <v>2.4377230000000001E-3</v>
      </c>
      <c r="H372">
        <v>3.7362850000000002E-3</v>
      </c>
      <c r="I372">
        <v>5.0359769999999996E-3</v>
      </c>
      <c r="J372">
        <v>5.9832669999999996E-3</v>
      </c>
      <c r="K372">
        <v>6.5537140000000004E-3</v>
      </c>
      <c r="L372">
        <v>7.0848120000000002E-3</v>
      </c>
      <c r="M372">
        <v>8.0028770000000003E-3</v>
      </c>
      <c r="N372">
        <v>9.5775319999999997E-3</v>
      </c>
      <c r="O372">
        <v>1.1813453999999999E-2</v>
      </c>
      <c r="P372">
        <v>1.4403696000000001E-2</v>
      </c>
      <c r="Q372">
        <v>1.6643430000000001E-2</v>
      </c>
    </row>
    <row r="373" spans="1:17" x14ac:dyDescent="0.25">
      <c r="A373" t="s">
        <v>5</v>
      </c>
      <c r="B373" t="s">
        <v>6</v>
      </c>
      <c r="C373" t="s">
        <v>257</v>
      </c>
      <c r="D373" t="s">
        <v>142</v>
      </c>
      <c r="E373" t="s">
        <v>27</v>
      </c>
      <c r="F373">
        <v>1.2095999999999999E-4</v>
      </c>
      <c r="G373">
        <v>1.18362E-4</v>
      </c>
      <c r="H373">
        <v>2.5648499999999998E-4</v>
      </c>
      <c r="I373">
        <v>6.4529500000000005E-4</v>
      </c>
      <c r="J373">
        <v>4.8743000000000001E-4</v>
      </c>
      <c r="K373">
        <v>2.8091299999999999E-4</v>
      </c>
      <c r="L373">
        <v>3.7310899999999999E-4</v>
      </c>
      <c r="M373">
        <v>1.333292E-3</v>
      </c>
      <c r="N373">
        <v>1.251963E-3</v>
      </c>
      <c r="O373">
        <v>1.0780690000000001E-3</v>
      </c>
      <c r="P373">
        <v>2.6399040000000002E-3</v>
      </c>
      <c r="Q373">
        <v>1.8924930000000001E-3</v>
      </c>
    </row>
    <row r="374" spans="1:17" x14ac:dyDescent="0.25">
      <c r="A374" t="s">
        <v>5</v>
      </c>
      <c r="B374" t="s">
        <v>6</v>
      </c>
      <c r="C374" t="s">
        <v>257</v>
      </c>
      <c r="D374" t="s">
        <v>143</v>
      </c>
      <c r="E374" t="s">
        <v>27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5">
      <c r="A375" t="s">
        <v>5</v>
      </c>
      <c r="B375" t="s">
        <v>6</v>
      </c>
      <c r="C375" t="s">
        <v>257</v>
      </c>
      <c r="D375" t="s">
        <v>144</v>
      </c>
      <c r="E375" t="s">
        <v>27</v>
      </c>
      <c r="F375" s="1">
        <v>4.1199999999999998E-7</v>
      </c>
      <c r="G375" s="1">
        <v>4.03E-7</v>
      </c>
      <c r="H375" s="1">
        <v>8.7300000000000005E-7</v>
      </c>
      <c r="I375" s="1">
        <v>2.2000000000000001E-6</v>
      </c>
      <c r="J375" s="1">
        <v>1.66E-6</v>
      </c>
      <c r="K375" s="1">
        <v>9.5600000000000004E-7</v>
      </c>
      <c r="L375" s="1">
        <v>1.2699999999999999E-6</v>
      </c>
      <c r="M375" s="1">
        <v>4.5399999999999997E-6</v>
      </c>
      <c r="N375" s="1">
        <v>4.2599999999999999E-6</v>
      </c>
      <c r="O375" s="1">
        <v>3.67E-6</v>
      </c>
      <c r="P375" s="1">
        <v>8.9800000000000004E-6</v>
      </c>
      <c r="Q375" s="1">
        <v>6.4400000000000002E-6</v>
      </c>
    </row>
    <row r="376" spans="1:17" x14ac:dyDescent="0.25">
      <c r="A376" t="s">
        <v>5</v>
      </c>
      <c r="B376" t="s">
        <v>6</v>
      </c>
      <c r="C376" t="s">
        <v>257</v>
      </c>
      <c r="D376" t="s">
        <v>145</v>
      </c>
      <c r="E376" t="s">
        <v>27</v>
      </c>
      <c r="F376" s="1">
        <v>2.7700000000000002E-6</v>
      </c>
      <c r="G376" s="1">
        <v>2.7099999999999999E-6</v>
      </c>
      <c r="H376" s="1">
        <v>5.8799999999999996E-6</v>
      </c>
      <c r="I376" s="1">
        <v>1.4800000000000001E-5</v>
      </c>
      <c r="J376" s="1">
        <v>1.1199999999999999E-5</v>
      </c>
      <c r="K376" s="1">
        <v>6.4400000000000002E-6</v>
      </c>
      <c r="L376" s="1">
        <v>8.5499999999999995E-6</v>
      </c>
      <c r="M376" s="1">
        <v>3.0599999999999998E-5</v>
      </c>
      <c r="N376" s="1">
        <v>2.87E-5</v>
      </c>
      <c r="O376" s="1">
        <v>2.4700000000000001E-5</v>
      </c>
      <c r="P376" s="1">
        <v>6.05E-5</v>
      </c>
      <c r="Q376" s="1">
        <v>4.3399999999999998E-5</v>
      </c>
    </row>
    <row r="377" spans="1:17" x14ac:dyDescent="0.25">
      <c r="A377" t="s">
        <v>5</v>
      </c>
      <c r="B377" t="s">
        <v>6</v>
      </c>
      <c r="C377" t="s">
        <v>257</v>
      </c>
      <c r="D377" t="s">
        <v>146</v>
      </c>
      <c r="E377" t="s">
        <v>27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25">
      <c r="A378" t="s">
        <v>5</v>
      </c>
      <c r="B378" t="s">
        <v>6</v>
      </c>
      <c r="C378" t="s">
        <v>257</v>
      </c>
      <c r="D378" t="s">
        <v>147</v>
      </c>
      <c r="E378" t="s">
        <v>148</v>
      </c>
      <c r="F378">
        <v>66312.820540000001</v>
      </c>
      <c r="G378">
        <v>78812.390339999998</v>
      </c>
      <c r="H378">
        <v>91540.087060000005</v>
      </c>
      <c r="I378">
        <v>96283.430009999996</v>
      </c>
      <c r="J378">
        <v>114048.8426</v>
      </c>
      <c r="K378">
        <v>130209.7634</v>
      </c>
      <c r="L378">
        <v>149875.70300000001</v>
      </c>
      <c r="M378">
        <v>171516.15460000001</v>
      </c>
      <c r="N378">
        <v>191947.9644</v>
      </c>
      <c r="O378">
        <v>212012.70980000001</v>
      </c>
      <c r="P378">
        <v>231315.08689999999</v>
      </c>
      <c r="Q378">
        <v>247676.57569999999</v>
      </c>
    </row>
    <row r="379" spans="1:17" x14ac:dyDescent="0.25">
      <c r="A379" t="s">
        <v>5</v>
      </c>
      <c r="B379" t="s">
        <v>6</v>
      </c>
      <c r="C379" t="s">
        <v>257</v>
      </c>
      <c r="D379" t="s">
        <v>149</v>
      </c>
      <c r="E379" t="s">
        <v>148</v>
      </c>
      <c r="F379">
        <v>1152.326368</v>
      </c>
      <c r="G379">
        <v>1251.765408</v>
      </c>
      <c r="H379">
        <v>1312.7658019999999</v>
      </c>
      <c r="I379">
        <v>1347.765979</v>
      </c>
      <c r="J379">
        <v>1473.3076550000001</v>
      </c>
      <c r="K379">
        <v>1586.4040600000001</v>
      </c>
      <c r="L379">
        <v>1718.055357</v>
      </c>
      <c r="M379">
        <v>1800.631803</v>
      </c>
      <c r="N379">
        <v>1838.6494170000001</v>
      </c>
      <c r="O379">
        <v>1860.410848</v>
      </c>
      <c r="P379">
        <v>1871.2811959999999</v>
      </c>
      <c r="Q379">
        <v>1873.383435</v>
      </c>
    </row>
    <row r="380" spans="1:17" x14ac:dyDescent="0.25">
      <c r="A380" t="s">
        <v>5</v>
      </c>
      <c r="B380" t="s">
        <v>6</v>
      </c>
      <c r="C380" t="s">
        <v>257</v>
      </c>
      <c r="D380" t="s">
        <v>150</v>
      </c>
      <c r="E380" t="s">
        <v>148</v>
      </c>
      <c r="F380">
        <v>106028.83</v>
      </c>
      <c r="G380">
        <v>84567.801670000001</v>
      </c>
      <c r="H380">
        <v>83849.472500000003</v>
      </c>
      <c r="I380">
        <v>84722.294999999998</v>
      </c>
      <c r="J380">
        <v>88668.080830000006</v>
      </c>
      <c r="K380">
        <v>90230.365000000005</v>
      </c>
      <c r="L380">
        <v>92563.085829999996</v>
      </c>
      <c r="M380">
        <v>92033.670830000003</v>
      </c>
      <c r="N380">
        <v>90818.336670000004</v>
      </c>
      <c r="O380">
        <v>89468.767500000002</v>
      </c>
      <c r="P380">
        <v>88096.249169999996</v>
      </c>
      <c r="Q380">
        <v>87339.80833</v>
      </c>
    </row>
    <row r="381" spans="1:17" x14ac:dyDescent="0.25">
      <c r="A381" t="s">
        <v>5</v>
      </c>
      <c r="B381" t="s">
        <v>6</v>
      </c>
      <c r="C381" t="s">
        <v>257</v>
      </c>
      <c r="D381" t="s">
        <v>151</v>
      </c>
      <c r="E381" t="s">
        <v>148</v>
      </c>
      <c r="F381">
        <v>9949.2448750000003</v>
      </c>
      <c r="G381">
        <v>11675.642540000001</v>
      </c>
      <c r="H381">
        <v>13529.54232</v>
      </c>
      <c r="I381">
        <v>14774.684869999999</v>
      </c>
      <c r="J381">
        <v>16388.860840000001</v>
      </c>
      <c r="K381">
        <v>18328.669839999999</v>
      </c>
      <c r="L381">
        <v>20451.533149999999</v>
      </c>
      <c r="M381">
        <v>22894.21588</v>
      </c>
      <c r="N381">
        <v>25272.70664</v>
      </c>
      <c r="O381">
        <v>27548.42713</v>
      </c>
      <c r="P381">
        <v>29519.24181</v>
      </c>
      <c r="Q381">
        <v>31191.53717</v>
      </c>
    </row>
    <row r="382" spans="1:17" x14ac:dyDescent="0.25">
      <c r="A382" t="s">
        <v>5</v>
      </c>
      <c r="B382" t="s">
        <v>6</v>
      </c>
      <c r="C382" t="s">
        <v>257</v>
      </c>
      <c r="D382" t="s">
        <v>152</v>
      </c>
      <c r="E382" t="s">
        <v>148</v>
      </c>
      <c r="F382">
        <v>1.4426673139999999</v>
      </c>
      <c r="G382">
        <v>1.478383776</v>
      </c>
      <c r="H382">
        <v>1.669797602</v>
      </c>
      <c r="I382">
        <v>1.8567275860000001</v>
      </c>
      <c r="J382">
        <v>2.1402724389999999</v>
      </c>
      <c r="K382">
        <v>2.4436764160000002</v>
      </c>
      <c r="L382">
        <v>2.8030625069999999</v>
      </c>
      <c r="M382">
        <v>3.1852741899999999</v>
      </c>
      <c r="N382">
        <v>3.5413619810000001</v>
      </c>
      <c r="O382">
        <v>3.8714324910000002</v>
      </c>
      <c r="P382">
        <v>4.1527743260000003</v>
      </c>
      <c r="Q382">
        <v>4.3662179800000001</v>
      </c>
    </row>
    <row r="383" spans="1:17" x14ac:dyDescent="0.25">
      <c r="A383" t="s">
        <v>5</v>
      </c>
      <c r="B383" t="s">
        <v>6</v>
      </c>
      <c r="C383" t="s">
        <v>257</v>
      </c>
      <c r="D383" t="s">
        <v>153</v>
      </c>
      <c r="E383" t="s">
        <v>148</v>
      </c>
      <c r="F383">
        <v>2.2757002129999999</v>
      </c>
      <c r="G383">
        <v>2.4718536680000001</v>
      </c>
      <c r="H383">
        <v>2.562539353</v>
      </c>
      <c r="I383">
        <v>2.6925126320000001</v>
      </c>
      <c r="J383">
        <v>2.9990034360000002</v>
      </c>
      <c r="K383">
        <v>3.4154295459999999</v>
      </c>
      <c r="L383">
        <v>3.9105321769999999</v>
      </c>
      <c r="M383">
        <v>4.4699805069999998</v>
      </c>
      <c r="N383">
        <v>4.9705718240000003</v>
      </c>
      <c r="O383">
        <v>5.3931331839999999</v>
      </c>
      <c r="P383">
        <v>5.8010916459999997</v>
      </c>
      <c r="Q383">
        <v>6.1505478440000001</v>
      </c>
    </row>
    <row r="384" spans="1:17" x14ac:dyDescent="0.25">
      <c r="A384" t="s">
        <v>5</v>
      </c>
      <c r="B384" t="s">
        <v>6</v>
      </c>
      <c r="C384" t="s">
        <v>257</v>
      </c>
      <c r="D384" t="s">
        <v>154</v>
      </c>
      <c r="E384" t="s">
        <v>148</v>
      </c>
      <c r="F384">
        <v>0.40596557999999999</v>
      </c>
      <c r="G384">
        <v>0.62625295000000003</v>
      </c>
      <c r="H384">
        <v>1.2579657500000001</v>
      </c>
      <c r="I384">
        <v>1.1262898750000001</v>
      </c>
      <c r="J384">
        <v>1.555470656</v>
      </c>
      <c r="K384">
        <v>1.648095219</v>
      </c>
      <c r="L384">
        <v>1.715531761</v>
      </c>
      <c r="M384">
        <v>1.796577785</v>
      </c>
      <c r="N384">
        <v>2.0975687120000002</v>
      </c>
      <c r="O384">
        <v>2.6424653180000002</v>
      </c>
      <c r="P384">
        <v>3.3140266490000001</v>
      </c>
      <c r="Q384">
        <v>3.957663589</v>
      </c>
    </row>
    <row r="385" spans="1:17" x14ac:dyDescent="0.25">
      <c r="A385" t="s">
        <v>5</v>
      </c>
      <c r="B385" t="s">
        <v>6</v>
      </c>
      <c r="C385" t="s">
        <v>257</v>
      </c>
      <c r="D385" t="s">
        <v>155</v>
      </c>
      <c r="E385" t="s">
        <v>148</v>
      </c>
      <c r="F385">
        <v>0.26741242799999998</v>
      </c>
      <c r="G385">
        <v>0.35625049199999997</v>
      </c>
      <c r="H385">
        <v>0.63323580800000001</v>
      </c>
      <c r="I385">
        <v>0.72623125099999997</v>
      </c>
      <c r="J385">
        <v>0.94700449499999995</v>
      </c>
      <c r="K385">
        <v>0.99105195700000004</v>
      </c>
      <c r="L385">
        <v>1.023256387</v>
      </c>
      <c r="M385">
        <v>1.05457007</v>
      </c>
      <c r="N385">
        <v>1.1508750679999999</v>
      </c>
      <c r="O385">
        <v>1.304681116</v>
      </c>
      <c r="P385">
        <v>1.468855958</v>
      </c>
      <c r="Q385">
        <v>1.611771128</v>
      </c>
    </row>
    <row r="386" spans="1:17" x14ac:dyDescent="0.25">
      <c r="A386" t="s">
        <v>5</v>
      </c>
      <c r="B386" t="s">
        <v>6</v>
      </c>
      <c r="C386" t="s">
        <v>257</v>
      </c>
      <c r="D386" t="s">
        <v>156</v>
      </c>
      <c r="E386" t="s">
        <v>148</v>
      </c>
      <c r="F386">
        <v>21.18113718</v>
      </c>
      <c r="G386">
        <v>20.793341760000001</v>
      </c>
      <c r="H386">
        <v>20.382876329999998</v>
      </c>
      <c r="I386">
        <v>21.744796699999998</v>
      </c>
      <c r="J386">
        <v>23.324567930000001</v>
      </c>
      <c r="K386">
        <v>24.797266260000001</v>
      </c>
      <c r="L386">
        <v>26.289983960000001</v>
      </c>
      <c r="M386">
        <v>27.83766237</v>
      </c>
      <c r="N386">
        <v>29.33686737</v>
      </c>
      <c r="O386">
        <v>30.7071711</v>
      </c>
      <c r="P386">
        <v>31.835570440000001</v>
      </c>
      <c r="Q386">
        <v>32.732051910000003</v>
      </c>
    </row>
    <row r="387" spans="1:17" x14ac:dyDescent="0.25">
      <c r="A387" t="s">
        <v>5</v>
      </c>
      <c r="B387" t="s">
        <v>6</v>
      </c>
      <c r="C387" t="s">
        <v>257</v>
      </c>
      <c r="D387" t="s">
        <v>157</v>
      </c>
      <c r="E387" t="s">
        <v>158</v>
      </c>
      <c r="F387">
        <v>5102737412</v>
      </c>
      <c r="G387">
        <v>5786069785</v>
      </c>
      <c r="H387">
        <v>6091287800</v>
      </c>
      <c r="I387">
        <v>6449263121</v>
      </c>
      <c r="J387">
        <v>6632095098</v>
      </c>
      <c r="K387">
        <v>7231431809</v>
      </c>
      <c r="L387">
        <v>7801379523</v>
      </c>
      <c r="M387">
        <v>8340176178</v>
      </c>
      <c r="N387">
        <v>8865701791</v>
      </c>
      <c r="O387">
        <v>9370017527</v>
      </c>
      <c r="P387">
        <v>9898412148</v>
      </c>
      <c r="Q387">
        <v>10377337484</v>
      </c>
    </row>
    <row r="388" spans="1:17" x14ac:dyDescent="0.25">
      <c r="A388" t="s">
        <v>5</v>
      </c>
      <c r="B388" t="s">
        <v>6</v>
      </c>
      <c r="C388" t="s">
        <v>257</v>
      </c>
      <c r="D388" t="s">
        <v>159</v>
      </c>
      <c r="E388" t="s">
        <v>158</v>
      </c>
      <c r="F388">
        <v>3129527581</v>
      </c>
      <c r="G388">
        <v>3694123421</v>
      </c>
      <c r="H388">
        <v>4007620293</v>
      </c>
      <c r="I388">
        <v>4354806130</v>
      </c>
      <c r="J388">
        <v>4591111787</v>
      </c>
      <c r="K388">
        <v>5114890873</v>
      </c>
      <c r="L388">
        <v>5625123489</v>
      </c>
      <c r="M388">
        <v>6120102276</v>
      </c>
      <c r="N388">
        <v>6610982892</v>
      </c>
      <c r="O388">
        <v>7091971958</v>
      </c>
      <c r="P388">
        <v>7596290365</v>
      </c>
      <c r="Q388">
        <v>8055198027</v>
      </c>
    </row>
    <row r="389" spans="1:17" x14ac:dyDescent="0.25">
      <c r="A389" t="s">
        <v>5</v>
      </c>
      <c r="B389" t="s">
        <v>6</v>
      </c>
      <c r="C389" t="s">
        <v>257</v>
      </c>
      <c r="D389" t="s">
        <v>160</v>
      </c>
      <c r="E389" t="s">
        <v>158</v>
      </c>
      <c r="F389">
        <v>1308710089</v>
      </c>
      <c r="G389">
        <v>1542571524</v>
      </c>
      <c r="H389">
        <v>1689011057</v>
      </c>
      <c r="I389">
        <v>1845771823</v>
      </c>
      <c r="J389">
        <v>1953973266</v>
      </c>
      <c r="K389">
        <v>2182968560</v>
      </c>
      <c r="L389">
        <v>2409852427</v>
      </c>
      <c r="M389">
        <v>2631854717</v>
      </c>
      <c r="N389">
        <v>2852581078</v>
      </c>
      <c r="O389">
        <v>3070791560</v>
      </c>
      <c r="P389">
        <v>3301102284</v>
      </c>
      <c r="Q389">
        <v>3511604831</v>
      </c>
    </row>
    <row r="390" spans="1:17" x14ac:dyDescent="0.25">
      <c r="A390" t="s">
        <v>5</v>
      </c>
      <c r="B390" t="s">
        <v>6</v>
      </c>
      <c r="C390" t="s">
        <v>257</v>
      </c>
      <c r="D390" t="s">
        <v>161</v>
      </c>
      <c r="E390" t="s">
        <v>158</v>
      </c>
      <c r="F390">
        <v>125084773.5</v>
      </c>
      <c r="G390">
        <v>175611241.30000001</v>
      </c>
      <c r="H390">
        <v>209087655.59999999</v>
      </c>
      <c r="I390">
        <v>230940858.69999999</v>
      </c>
      <c r="J390">
        <v>276143522.10000002</v>
      </c>
      <c r="K390">
        <v>371055195.39999998</v>
      </c>
      <c r="L390">
        <v>488945543.19999999</v>
      </c>
      <c r="M390">
        <v>631709454.5</v>
      </c>
      <c r="N390">
        <v>810518954</v>
      </c>
      <c r="O390">
        <v>1035308234</v>
      </c>
      <c r="P390">
        <v>1335201123</v>
      </c>
      <c r="Q390">
        <v>1642791492</v>
      </c>
    </row>
    <row r="391" spans="1:17" x14ac:dyDescent="0.25">
      <c r="A391" t="s">
        <v>5</v>
      </c>
      <c r="B391" t="s">
        <v>6</v>
      </c>
      <c r="C391" t="s">
        <v>257</v>
      </c>
      <c r="D391" t="s">
        <v>162</v>
      </c>
      <c r="E391" t="s">
        <v>158</v>
      </c>
      <c r="F391">
        <v>121141633.8</v>
      </c>
      <c r="G391">
        <v>154276249.59999999</v>
      </c>
      <c r="H391">
        <v>174330653.30000001</v>
      </c>
      <c r="I391">
        <v>188352969.59999999</v>
      </c>
      <c r="J391">
        <v>214381337.09999999</v>
      </c>
      <c r="K391">
        <v>261396999.19999999</v>
      </c>
      <c r="L391">
        <v>314306030</v>
      </c>
      <c r="M391">
        <v>372613766</v>
      </c>
      <c r="N391">
        <v>439349094.80000001</v>
      </c>
      <c r="O391">
        <v>516181155</v>
      </c>
      <c r="P391">
        <v>610595176.60000002</v>
      </c>
      <c r="Q391">
        <v>701599230.39999998</v>
      </c>
    </row>
    <row r="392" spans="1:17" x14ac:dyDescent="0.25">
      <c r="A392" t="s">
        <v>5</v>
      </c>
      <c r="B392" t="s">
        <v>6</v>
      </c>
      <c r="C392" t="s">
        <v>257</v>
      </c>
      <c r="D392" t="s">
        <v>163</v>
      </c>
      <c r="E392" t="s">
        <v>158</v>
      </c>
      <c r="F392">
        <v>143456762.40000001</v>
      </c>
      <c r="G392">
        <v>196497938.5</v>
      </c>
      <c r="H392">
        <v>229966882.90000001</v>
      </c>
      <c r="I392">
        <v>252159792</v>
      </c>
      <c r="J392">
        <v>297261718.19999999</v>
      </c>
      <c r="K392">
        <v>387119514.10000002</v>
      </c>
      <c r="L392">
        <v>494050321.39999998</v>
      </c>
      <c r="M392">
        <v>617726444.60000002</v>
      </c>
      <c r="N392">
        <v>765149462.20000005</v>
      </c>
      <c r="O392">
        <v>940243970.70000005</v>
      </c>
      <c r="P392">
        <v>1158918103</v>
      </c>
      <c r="Q392">
        <v>1369123571</v>
      </c>
    </row>
    <row r="393" spans="1:17" x14ac:dyDescent="0.25">
      <c r="A393" t="s">
        <v>5</v>
      </c>
      <c r="B393" t="s">
        <v>6</v>
      </c>
      <c r="C393" t="s">
        <v>257</v>
      </c>
      <c r="D393" t="s">
        <v>164</v>
      </c>
      <c r="E393" t="s">
        <v>158</v>
      </c>
      <c r="F393">
        <v>1564510827</v>
      </c>
      <c r="G393">
        <v>1880645478</v>
      </c>
      <c r="H393">
        <v>2068289197</v>
      </c>
      <c r="I393">
        <v>2207746279</v>
      </c>
      <c r="J393">
        <v>2436359519</v>
      </c>
      <c r="K393">
        <v>2794970239</v>
      </c>
      <c r="L393">
        <v>3162683990</v>
      </c>
      <c r="M393">
        <v>3529679642</v>
      </c>
      <c r="N393">
        <v>3906191584</v>
      </c>
      <c r="O393">
        <v>4288641843</v>
      </c>
      <c r="P393">
        <v>4695327590</v>
      </c>
      <c r="Q393">
        <v>5035685226</v>
      </c>
    </row>
    <row r="394" spans="1:17" x14ac:dyDescent="0.25">
      <c r="A394" t="s">
        <v>5</v>
      </c>
      <c r="B394" t="s">
        <v>6</v>
      </c>
      <c r="C394" t="s">
        <v>257</v>
      </c>
      <c r="D394" t="s">
        <v>165</v>
      </c>
      <c r="E394" t="s">
        <v>166</v>
      </c>
      <c r="F394">
        <v>59.085353400000002</v>
      </c>
      <c r="G394">
        <v>70.221088570000006</v>
      </c>
      <c r="H394">
        <v>81.563297250000005</v>
      </c>
      <c r="I394">
        <v>85.796363279999994</v>
      </c>
      <c r="J394">
        <v>101.5446343</v>
      </c>
      <c r="K394">
        <v>115.72052669999999</v>
      </c>
      <c r="L394">
        <v>132.90312130000001</v>
      </c>
      <c r="M394">
        <v>151.89664070000001</v>
      </c>
      <c r="N394">
        <v>169.8601577</v>
      </c>
      <c r="O394">
        <v>187.24703579999999</v>
      </c>
      <c r="P394">
        <v>203.7314068</v>
      </c>
      <c r="Q394">
        <v>217.65126359999999</v>
      </c>
    </row>
    <row r="395" spans="1:17" x14ac:dyDescent="0.25">
      <c r="A395" t="s">
        <v>5</v>
      </c>
      <c r="B395" t="s">
        <v>6</v>
      </c>
      <c r="C395" t="s">
        <v>257</v>
      </c>
      <c r="D395" t="s">
        <v>167</v>
      </c>
      <c r="E395" t="s">
        <v>166</v>
      </c>
      <c r="F395">
        <v>106.63655610000001</v>
      </c>
      <c r="G395">
        <v>125.1088556</v>
      </c>
      <c r="H395">
        <v>144.23647690000001</v>
      </c>
      <c r="I395">
        <v>153.6098365</v>
      </c>
      <c r="J395">
        <v>176.5901393</v>
      </c>
      <c r="K395">
        <v>199.15859699999999</v>
      </c>
      <c r="L395">
        <v>225.57013929999999</v>
      </c>
      <c r="M395">
        <v>254.65582040000001</v>
      </c>
      <c r="N395">
        <v>282.15854419999999</v>
      </c>
      <c r="O395">
        <v>308.57549879999999</v>
      </c>
      <c r="P395">
        <v>332.80125880000003</v>
      </c>
      <c r="Q395">
        <v>353.23806189999999</v>
      </c>
    </row>
    <row r="396" spans="1:17" x14ac:dyDescent="0.25">
      <c r="A396" t="s">
        <v>5</v>
      </c>
      <c r="B396" t="s">
        <v>6</v>
      </c>
      <c r="C396" t="s">
        <v>257</v>
      </c>
      <c r="D396" t="s">
        <v>168</v>
      </c>
      <c r="E396" t="s">
        <v>166</v>
      </c>
      <c r="F396">
        <v>4.0125655470000003</v>
      </c>
      <c r="G396">
        <v>4.3449393169999997</v>
      </c>
      <c r="H396">
        <v>4.5253203309999996</v>
      </c>
      <c r="I396">
        <v>4.7705090419999996</v>
      </c>
      <c r="J396">
        <v>5.3246441000000004</v>
      </c>
      <c r="K396">
        <v>6.0651234340000002</v>
      </c>
      <c r="L396">
        <v>6.9454443819999998</v>
      </c>
      <c r="M396">
        <v>7.9371907730000002</v>
      </c>
      <c r="N396">
        <v>8.8283485099999996</v>
      </c>
      <c r="O396">
        <v>9.5886652849999994</v>
      </c>
      <c r="P396">
        <v>10.323691350000001</v>
      </c>
      <c r="Q396">
        <v>10.95822229</v>
      </c>
    </row>
    <row r="397" spans="1:17" x14ac:dyDescent="0.25">
      <c r="A397" t="s">
        <v>5</v>
      </c>
      <c r="B397" t="s">
        <v>6</v>
      </c>
      <c r="C397" t="s">
        <v>257</v>
      </c>
      <c r="D397" t="s">
        <v>169</v>
      </c>
      <c r="E397" t="s">
        <v>166</v>
      </c>
      <c r="F397">
        <v>4.5192670000000004E-3</v>
      </c>
      <c r="G397">
        <v>6.486187E-3</v>
      </c>
      <c r="H397">
        <v>1.23184E-2</v>
      </c>
      <c r="I397">
        <v>1.2402903999999999E-2</v>
      </c>
      <c r="J397">
        <v>1.6646395000000001E-2</v>
      </c>
      <c r="K397">
        <v>1.7531167E-2</v>
      </c>
      <c r="L397">
        <v>1.8176502000000001E-2</v>
      </c>
      <c r="M397">
        <v>1.8888328999999999E-2</v>
      </c>
      <c r="N397">
        <v>2.1359510000000002E-2</v>
      </c>
      <c r="O397">
        <v>2.5656027000000001E-2</v>
      </c>
      <c r="P397">
        <v>3.0732335E-2</v>
      </c>
      <c r="Q397">
        <v>3.5473064999999998E-2</v>
      </c>
    </row>
    <row r="398" spans="1:17" x14ac:dyDescent="0.25">
      <c r="A398" t="s">
        <v>5</v>
      </c>
      <c r="B398" t="s">
        <v>6</v>
      </c>
      <c r="C398" t="s">
        <v>257</v>
      </c>
      <c r="D398" t="s">
        <v>170</v>
      </c>
      <c r="E398" t="s">
        <v>166</v>
      </c>
      <c r="F398">
        <v>10.271979849999999</v>
      </c>
      <c r="G398">
        <v>10.15885872</v>
      </c>
      <c r="H398">
        <v>9.7484994839999999</v>
      </c>
      <c r="I398">
        <v>10.38356132</v>
      </c>
      <c r="J398">
        <v>11.22857892</v>
      </c>
      <c r="K398">
        <v>12.024802599999999</v>
      </c>
      <c r="L398">
        <v>12.856329990000001</v>
      </c>
      <c r="M398">
        <v>13.726656699999999</v>
      </c>
      <c r="N398">
        <v>14.57468721</v>
      </c>
      <c r="O398">
        <v>15.360008150000001</v>
      </c>
      <c r="P398">
        <v>15.99534787</v>
      </c>
      <c r="Q398">
        <v>16.51260671</v>
      </c>
    </row>
    <row r="399" spans="1:17" x14ac:dyDescent="0.25">
      <c r="A399" t="s">
        <v>5</v>
      </c>
      <c r="B399" t="s">
        <v>6</v>
      </c>
      <c r="C399" t="s">
        <v>257</v>
      </c>
      <c r="D399" t="s">
        <v>171</v>
      </c>
      <c r="E399" t="s">
        <v>166</v>
      </c>
      <c r="F399">
        <v>9.0278958940000003</v>
      </c>
      <c r="G399">
        <v>10.73298701</v>
      </c>
      <c r="H399">
        <v>12.660520310000001</v>
      </c>
      <c r="I399">
        <v>13.602353409999999</v>
      </c>
      <c r="J399">
        <v>16.65044657</v>
      </c>
      <c r="K399">
        <v>19.65594016</v>
      </c>
      <c r="L399">
        <v>23.311333340000001</v>
      </c>
      <c r="M399">
        <v>27.241608459999998</v>
      </c>
      <c r="N399">
        <v>31.46430646</v>
      </c>
      <c r="O399">
        <v>36.586447370000002</v>
      </c>
      <c r="P399">
        <v>42.11769271</v>
      </c>
      <c r="Q399">
        <v>46.806716710000003</v>
      </c>
    </row>
    <row r="400" spans="1:17" x14ac:dyDescent="0.25">
      <c r="A400" t="s">
        <v>5</v>
      </c>
      <c r="B400" t="s">
        <v>6</v>
      </c>
      <c r="C400" t="s">
        <v>257</v>
      </c>
      <c r="D400" t="s">
        <v>172</v>
      </c>
      <c r="E400" t="s">
        <v>166</v>
      </c>
      <c r="F400">
        <v>14.99217728</v>
      </c>
      <c r="G400">
        <v>17.137981790000001</v>
      </c>
      <c r="H400">
        <v>19.593931829999999</v>
      </c>
      <c r="I400">
        <v>20.884859729999999</v>
      </c>
      <c r="J400">
        <v>24.63319237</v>
      </c>
      <c r="K400">
        <v>28.356480439999999</v>
      </c>
      <c r="L400">
        <v>32.840267400000002</v>
      </c>
      <c r="M400">
        <v>37.519615649999999</v>
      </c>
      <c r="N400">
        <v>42.35432797</v>
      </c>
      <c r="O400">
        <v>48.011977350000002</v>
      </c>
      <c r="P400">
        <v>53.97615957</v>
      </c>
      <c r="Q400">
        <v>59.011493520000002</v>
      </c>
    </row>
    <row r="401" spans="1:17" x14ac:dyDescent="0.25">
      <c r="A401" t="s">
        <v>5</v>
      </c>
      <c r="B401" t="s">
        <v>6</v>
      </c>
      <c r="C401" t="s">
        <v>257</v>
      </c>
      <c r="D401" t="s">
        <v>173</v>
      </c>
      <c r="E401" t="s">
        <v>166</v>
      </c>
      <c r="F401">
        <v>0.33161153700000001</v>
      </c>
      <c r="G401">
        <v>0.35317832900000001</v>
      </c>
      <c r="H401">
        <v>0.377037279</v>
      </c>
      <c r="I401">
        <v>0.40429777900000002</v>
      </c>
      <c r="J401">
        <v>0.45608395899999998</v>
      </c>
      <c r="K401">
        <v>0.51998181499999996</v>
      </c>
      <c r="L401">
        <v>0.59590706999999998</v>
      </c>
      <c r="M401">
        <v>0.68008347199999997</v>
      </c>
      <c r="N401">
        <v>0.75719643699999994</v>
      </c>
      <c r="O401">
        <v>0.82613508999999996</v>
      </c>
      <c r="P401">
        <v>0.89254933999999997</v>
      </c>
      <c r="Q401">
        <v>0.95110002900000001</v>
      </c>
    </row>
    <row r="402" spans="1:17" x14ac:dyDescent="0.25">
      <c r="A402" t="s">
        <v>5</v>
      </c>
      <c r="B402" t="s">
        <v>6</v>
      </c>
      <c r="C402" t="s">
        <v>257</v>
      </c>
      <c r="D402" t="s">
        <v>174</v>
      </c>
      <c r="E402" t="s">
        <v>166</v>
      </c>
      <c r="F402">
        <v>3.414557E-2</v>
      </c>
      <c r="G402">
        <v>4.9006744999999997E-2</v>
      </c>
      <c r="H402">
        <v>9.3072353999999996E-2</v>
      </c>
      <c r="I402">
        <v>9.3710829999999995E-2</v>
      </c>
      <c r="J402">
        <v>0.12577276200000001</v>
      </c>
      <c r="K402">
        <v>0.13245770500000001</v>
      </c>
      <c r="L402">
        <v>0.13733357099999999</v>
      </c>
      <c r="M402">
        <v>0.14271181499999999</v>
      </c>
      <c r="N402">
        <v>0.16138296199999999</v>
      </c>
      <c r="O402">
        <v>0.19384553800000001</v>
      </c>
      <c r="P402">
        <v>0.23219986300000001</v>
      </c>
      <c r="Q402">
        <v>0.26801871700000002</v>
      </c>
    </row>
    <row r="403" spans="1:17" x14ac:dyDescent="0.25">
      <c r="A403" t="s">
        <v>5</v>
      </c>
      <c r="B403" t="s">
        <v>6</v>
      </c>
      <c r="C403" t="s">
        <v>257</v>
      </c>
      <c r="D403" t="s">
        <v>175</v>
      </c>
      <c r="E403" t="s">
        <v>166</v>
      </c>
      <c r="F403">
        <v>0.112878899</v>
      </c>
      <c r="G403">
        <v>0.11163581</v>
      </c>
      <c r="H403">
        <v>0.107126368</v>
      </c>
      <c r="I403">
        <v>0.114105069</v>
      </c>
      <c r="J403">
        <v>0.123390977</v>
      </c>
      <c r="K403">
        <v>0.13214068800000001</v>
      </c>
      <c r="L403">
        <v>0.141278352</v>
      </c>
      <c r="M403">
        <v>0.150842381</v>
      </c>
      <c r="N403">
        <v>0.16016139800000001</v>
      </c>
      <c r="O403">
        <v>0.16879129800000001</v>
      </c>
      <c r="P403">
        <v>0.17577305400000001</v>
      </c>
      <c r="Q403">
        <v>0.181457217</v>
      </c>
    </row>
    <row r="404" spans="1:17" x14ac:dyDescent="0.25">
      <c r="A404" t="s">
        <v>5</v>
      </c>
      <c r="B404" t="s">
        <v>6</v>
      </c>
      <c r="C404" t="s">
        <v>257</v>
      </c>
      <c r="D404" t="s">
        <v>176</v>
      </c>
      <c r="E404" t="s">
        <v>166</v>
      </c>
      <c r="F404">
        <v>1.72115902</v>
      </c>
      <c r="G404">
        <v>2.0489215889999999</v>
      </c>
      <c r="H404">
        <v>2.5617332340000001</v>
      </c>
      <c r="I404">
        <v>2.9626528680000002</v>
      </c>
      <c r="J404">
        <v>4.0300332049999996</v>
      </c>
      <c r="K404">
        <v>5.2230365299999999</v>
      </c>
      <c r="L404">
        <v>6.6449036120000002</v>
      </c>
      <c r="M404">
        <v>8.0817256620000002</v>
      </c>
      <c r="N404">
        <v>9.8762332560000008</v>
      </c>
      <c r="O404">
        <v>12.546017579999999</v>
      </c>
      <c r="P404">
        <v>15.695419920000001</v>
      </c>
      <c r="Q404">
        <v>18.369472680000001</v>
      </c>
    </row>
    <row r="405" spans="1:17" x14ac:dyDescent="0.25">
      <c r="A405" t="s">
        <v>5</v>
      </c>
      <c r="B405" t="s">
        <v>6</v>
      </c>
      <c r="C405" t="s">
        <v>257</v>
      </c>
      <c r="D405" t="s">
        <v>177</v>
      </c>
      <c r="E405" t="s">
        <v>166</v>
      </c>
      <c r="F405">
        <v>2.0690812730000001</v>
      </c>
      <c r="G405">
        <v>2.454136042</v>
      </c>
      <c r="H405">
        <v>3.0282732120000002</v>
      </c>
      <c r="I405">
        <v>3.471336897</v>
      </c>
      <c r="J405">
        <v>4.60193136</v>
      </c>
      <c r="K405">
        <v>5.8751369980000003</v>
      </c>
      <c r="L405">
        <v>7.3920575880000001</v>
      </c>
      <c r="M405">
        <v>8.9424252020000008</v>
      </c>
      <c r="N405">
        <v>10.852070489999999</v>
      </c>
      <c r="O405">
        <v>13.629159870000001</v>
      </c>
      <c r="P405">
        <v>16.86853498</v>
      </c>
      <c r="Q405">
        <v>19.615236070000002</v>
      </c>
    </row>
    <row r="406" spans="1:17" x14ac:dyDescent="0.25">
      <c r="A406" t="s">
        <v>5</v>
      </c>
      <c r="B406" t="s">
        <v>6</v>
      </c>
      <c r="C406" t="s">
        <v>257</v>
      </c>
      <c r="D406" t="s">
        <v>178</v>
      </c>
      <c r="E406" t="s">
        <v>166</v>
      </c>
      <c r="F406">
        <v>6.5322310000000003E-3</v>
      </c>
      <c r="G406">
        <v>7.0645489999999998E-3</v>
      </c>
      <c r="H406">
        <v>7.373508E-3</v>
      </c>
      <c r="I406">
        <v>7.7852149999999998E-3</v>
      </c>
      <c r="J406">
        <v>8.6990320000000006E-3</v>
      </c>
      <c r="K406">
        <v>9.9130590000000001E-3</v>
      </c>
      <c r="L406">
        <v>1.1359173E-2</v>
      </c>
      <c r="M406">
        <v>1.2999215999999999E-2</v>
      </c>
      <c r="N406">
        <v>1.450685E-2</v>
      </c>
      <c r="O406">
        <v>1.5868363999999999E-2</v>
      </c>
      <c r="P406">
        <v>1.7316266E-2</v>
      </c>
      <c r="Q406">
        <v>1.8746921999999999E-2</v>
      </c>
    </row>
    <row r="407" spans="1:17" x14ac:dyDescent="0.25">
      <c r="A407" t="s">
        <v>5</v>
      </c>
      <c r="B407" t="s">
        <v>6</v>
      </c>
      <c r="C407" t="s">
        <v>257</v>
      </c>
      <c r="D407" t="s">
        <v>179</v>
      </c>
      <c r="E407" t="s">
        <v>166</v>
      </c>
      <c r="F407">
        <v>1.13089E-4</v>
      </c>
      <c r="G407">
        <v>1.74453E-4</v>
      </c>
      <c r="H407">
        <v>3.50427E-4</v>
      </c>
      <c r="I407">
        <v>3.1374700000000002E-4</v>
      </c>
      <c r="J407">
        <v>4.3330199999999999E-4</v>
      </c>
      <c r="K407">
        <v>4.5910500000000002E-4</v>
      </c>
      <c r="L407">
        <v>4.7789000000000002E-4</v>
      </c>
      <c r="M407">
        <v>5.0046699999999999E-4</v>
      </c>
      <c r="N407">
        <v>5.8431300000000004E-4</v>
      </c>
      <c r="O407">
        <v>7.36103E-4</v>
      </c>
      <c r="P407">
        <v>9.2317799999999998E-4</v>
      </c>
      <c r="Q407">
        <v>1.102474E-3</v>
      </c>
    </row>
    <row r="408" spans="1:17" x14ac:dyDescent="0.25">
      <c r="A408" t="s">
        <v>5</v>
      </c>
      <c r="B408" t="s">
        <v>6</v>
      </c>
      <c r="C408" t="s">
        <v>257</v>
      </c>
      <c r="D408" t="s">
        <v>180</v>
      </c>
      <c r="E408" t="s">
        <v>166</v>
      </c>
      <c r="F408">
        <v>0.112878899</v>
      </c>
      <c r="G408">
        <v>0.11163581</v>
      </c>
      <c r="H408">
        <v>0.107126368</v>
      </c>
      <c r="I408">
        <v>0.114105069</v>
      </c>
      <c r="J408">
        <v>0.123390977</v>
      </c>
      <c r="K408">
        <v>0.13214068800000001</v>
      </c>
      <c r="L408">
        <v>0.141278352</v>
      </c>
      <c r="M408">
        <v>0.150842381</v>
      </c>
      <c r="N408">
        <v>0.16016139800000001</v>
      </c>
      <c r="O408">
        <v>0.16879129800000001</v>
      </c>
      <c r="P408">
        <v>0.17577305400000001</v>
      </c>
      <c r="Q408">
        <v>0.181457217</v>
      </c>
    </row>
    <row r="409" spans="1:17" x14ac:dyDescent="0.25">
      <c r="A409" t="s">
        <v>5</v>
      </c>
      <c r="B409" t="s">
        <v>6</v>
      </c>
      <c r="C409" t="s">
        <v>257</v>
      </c>
      <c r="D409" t="s">
        <v>181</v>
      </c>
      <c r="E409" t="s">
        <v>166</v>
      </c>
      <c r="F409">
        <v>2.4833748130000002</v>
      </c>
      <c r="G409">
        <v>2.9516205819999999</v>
      </c>
      <c r="H409">
        <v>3.439298864</v>
      </c>
      <c r="I409">
        <v>3.6335871420000001</v>
      </c>
      <c r="J409">
        <v>4.330010981</v>
      </c>
      <c r="K409">
        <v>4.9705095650000004</v>
      </c>
      <c r="L409">
        <v>5.7461178779999997</v>
      </c>
      <c r="M409">
        <v>6.592610069</v>
      </c>
      <c r="N409">
        <v>7.4100940690000003</v>
      </c>
      <c r="O409">
        <v>8.2487511730000005</v>
      </c>
      <c r="P409">
        <v>9.0783128099999999</v>
      </c>
      <c r="Q409">
        <v>9.7822069290000009</v>
      </c>
    </row>
    <row r="410" spans="1:17" x14ac:dyDescent="0.25">
      <c r="A410" t="s">
        <v>5</v>
      </c>
      <c r="B410" t="s">
        <v>6</v>
      </c>
      <c r="C410" t="s">
        <v>257</v>
      </c>
      <c r="D410" t="s">
        <v>182</v>
      </c>
      <c r="E410" t="s">
        <v>166</v>
      </c>
      <c r="F410">
        <v>3.1285135839999998</v>
      </c>
      <c r="G410">
        <v>3.6756030129999999</v>
      </c>
      <c r="H410">
        <v>4.2335856630000004</v>
      </c>
      <c r="I410">
        <v>4.4728977089999997</v>
      </c>
      <c r="J410">
        <v>5.2538980740000003</v>
      </c>
      <c r="K410">
        <v>5.9832714219999996</v>
      </c>
      <c r="L410">
        <v>6.8584509860000002</v>
      </c>
      <c r="M410">
        <v>7.7964349549999996</v>
      </c>
      <c r="N410">
        <v>8.6890995649999994</v>
      </c>
      <c r="O410">
        <v>9.5950072189999993</v>
      </c>
      <c r="P410">
        <v>10.48009746</v>
      </c>
      <c r="Q410">
        <v>11.22875365</v>
      </c>
    </row>
    <row r="411" spans="1:17" x14ac:dyDescent="0.25">
      <c r="A411" t="s">
        <v>5</v>
      </c>
      <c r="B411" t="s">
        <v>6</v>
      </c>
      <c r="C411" t="s">
        <v>257</v>
      </c>
      <c r="D411" t="s">
        <v>183</v>
      </c>
      <c r="E411" t="s">
        <v>166</v>
      </c>
      <c r="F411">
        <v>1.3452119999999999E-3</v>
      </c>
      <c r="G411">
        <v>1.3792870000000001E-3</v>
      </c>
      <c r="H411">
        <v>1.5597460000000001E-3</v>
      </c>
      <c r="I411">
        <v>1.736514E-3</v>
      </c>
      <c r="J411">
        <v>2.0045319999999998E-3</v>
      </c>
      <c r="K411">
        <v>2.2942190000000001E-3</v>
      </c>
      <c r="L411">
        <v>2.6418930000000002E-3</v>
      </c>
      <c r="M411">
        <v>3.032837E-3</v>
      </c>
      <c r="N411">
        <v>3.445441E-3</v>
      </c>
      <c r="O411">
        <v>3.9320580000000004E-3</v>
      </c>
      <c r="P411">
        <v>4.5740980000000004E-3</v>
      </c>
      <c r="Q411">
        <v>5.380971E-3</v>
      </c>
    </row>
    <row r="412" spans="1:17" x14ac:dyDescent="0.25">
      <c r="A412" t="s">
        <v>5</v>
      </c>
      <c r="B412" t="s">
        <v>6</v>
      </c>
      <c r="C412" t="s">
        <v>257</v>
      </c>
      <c r="D412" t="s">
        <v>184</v>
      </c>
      <c r="E412" t="s">
        <v>166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25">
      <c r="A413" t="s">
        <v>5</v>
      </c>
      <c r="B413" t="s">
        <v>6</v>
      </c>
      <c r="C413" t="s">
        <v>257</v>
      </c>
      <c r="D413" t="s">
        <v>185</v>
      </c>
      <c r="E413" t="s">
        <v>166</v>
      </c>
      <c r="F413">
        <v>6.7727339999999999E-3</v>
      </c>
      <c r="G413">
        <v>6.6981489999999996E-3</v>
      </c>
      <c r="H413">
        <v>6.4275820000000003E-3</v>
      </c>
      <c r="I413">
        <v>6.8463040000000001E-3</v>
      </c>
      <c r="J413">
        <v>7.4034590000000003E-3</v>
      </c>
      <c r="K413">
        <v>7.9284409999999996E-3</v>
      </c>
      <c r="L413">
        <v>8.4767009999999997E-3</v>
      </c>
      <c r="M413">
        <v>9.0505429999999994E-3</v>
      </c>
      <c r="N413">
        <v>9.6096840000000003E-3</v>
      </c>
      <c r="O413">
        <v>1.0127478000000001E-2</v>
      </c>
      <c r="P413">
        <v>1.0546382999999999E-2</v>
      </c>
      <c r="Q413">
        <v>1.0887433E-2</v>
      </c>
    </row>
    <row r="414" spans="1:17" x14ac:dyDescent="0.25">
      <c r="A414" t="s">
        <v>5</v>
      </c>
      <c r="B414" t="s">
        <v>6</v>
      </c>
      <c r="C414" t="s">
        <v>257</v>
      </c>
      <c r="D414" t="s">
        <v>186</v>
      </c>
      <c r="E414" t="s">
        <v>166</v>
      </c>
      <c r="F414">
        <v>11.63405743</v>
      </c>
      <c r="G414">
        <v>13.827377950000001</v>
      </c>
      <c r="H414">
        <v>16.097356340000001</v>
      </c>
      <c r="I414">
        <v>16.986627129999999</v>
      </c>
      <c r="J414">
        <v>20.209122700000002</v>
      </c>
      <c r="K414">
        <v>23.134898660000001</v>
      </c>
      <c r="L414">
        <v>26.665095690000001</v>
      </c>
      <c r="M414">
        <v>30.57463177</v>
      </c>
      <c r="N414">
        <v>34.432720060000001</v>
      </c>
      <c r="O414">
        <v>38.430734360000002</v>
      </c>
      <c r="P414">
        <v>42.385382280000002</v>
      </c>
      <c r="Q414">
        <v>45.716818439999997</v>
      </c>
    </row>
    <row r="415" spans="1:17" x14ac:dyDescent="0.25">
      <c r="A415" t="s">
        <v>5</v>
      </c>
      <c r="B415" t="s">
        <v>6</v>
      </c>
      <c r="C415" t="s">
        <v>257</v>
      </c>
      <c r="D415" t="s">
        <v>187</v>
      </c>
      <c r="E415" t="s">
        <v>166</v>
      </c>
      <c r="F415">
        <v>19.107923459999999</v>
      </c>
      <c r="G415">
        <v>22.3964821</v>
      </c>
      <c r="H415">
        <v>25.848822980000001</v>
      </c>
      <c r="I415">
        <v>27.52262928</v>
      </c>
      <c r="J415">
        <v>31.872096280000001</v>
      </c>
      <c r="K415">
        <v>36.097366299999997</v>
      </c>
      <c r="L415">
        <v>41.05794006</v>
      </c>
      <c r="M415">
        <v>46.524725420000003</v>
      </c>
      <c r="N415">
        <v>51.859771029999997</v>
      </c>
      <c r="O415">
        <v>57.259856790000001</v>
      </c>
      <c r="P415">
        <v>62.417344380000003</v>
      </c>
      <c r="Q415">
        <v>66.756038040000007</v>
      </c>
    </row>
    <row r="416" spans="1:17" x14ac:dyDescent="0.25">
      <c r="A416" t="s">
        <v>5</v>
      </c>
      <c r="B416" t="s">
        <v>6</v>
      </c>
      <c r="C416" t="s">
        <v>257</v>
      </c>
      <c r="D416" t="s">
        <v>188</v>
      </c>
      <c r="E416" t="s">
        <v>166</v>
      </c>
      <c r="F416">
        <v>7.598362E-3</v>
      </c>
      <c r="G416">
        <v>7.7878440000000004E-3</v>
      </c>
      <c r="H416">
        <v>8.7995020000000007E-3</v>
      </c>
      <c r="I416">
        <v>9.7884119999999998E-3</v>
      </c>
      <c r="J416">
        <v>1.128824E-2</v>
      </c>
      <c r="K416">
        <v>1.2898252000000001E-2</v>
      </c>
      <c r="L416">
        <v>1.4813375E-2</v>
      </c>
      <c r="M416">
        <v>1.6887698999999999E-2</v>
      </c>
      <c r="N416">
        <v>1.8906023000000001E-2</v>
      </c>
      <c r="O416">
        <v>2.0961550999999998E-2</v>
      </c>
      <c r="P416">
        <v>2.311655E-2</v>
      </c>
      <c r="Q416">
        <v>2.5318430999999999E-2</v>
      </c>
    </row>
    <row r="417" spans="1:17" x14ac:dyDescent="0.25">
      <c r="A417" t="s">
        <v>5</v>
      </c>
      <c r="B417" t="s">
        <v>6</v>
      </c>
      <c r="C417" t="s">
        <v>257</v>
      </c>
      <c r="D417" t="s">
        <v>189</v>
      </c>
      <c r="E417" t="s">
        <v>166</v>
      </c>
      <c r="F417">
        <v>2.6362389999999999E-3</v>
      </c>
      <c r="G417">
        <v>3.7836089999999998E-3</v>
      </c>
      <c r="H417">
        <v>7.1857329999999997E-3</v>
      </c>
      <c r="I417">
        <v>7.2350269999999998E-3</v>
      </c>
      <c r="J417">
        <v>9.7103970000000008E-3</v>
      </c>
      <c r="K417">
        <v>1.0226514000000001E-2</v>
      </c>
      <c r="L417">
        <v>1.060296E-2</v>
      </c>
      <c r="M417">
        <v>1.1018192E-2</v>
      </c>
      <c r="N417">
        <v>1.2459714E-2</v>
      </c>
      <c r="O417">
        <v>1.4966016E-2</v>
      </c>
      <c r="P417">
        <v>1.7927195E-2</v>
      </c>
      <c r="Q417">
        <v>2.0692622000000001E-2</v>
      </c>
    </row>
    <row r="418" spans="1:17" x14ac:dyDescent="0.25">
      <c r="A418" t="s">
        <v>5</v>
      </c>
      <c r="B418" t="s">
        <v>6</v>
      </c>
      <c r="C418" t="s">
        <v>257</v>
      </c>
      <c r="D418" t="s">
        <v>190</v>
      </c>
      <c r="E418" t="s">
        <v>166</v>
      </c>
      <c r="F418">
        <v>0.22575779900000001</v>
      </c>
      <c r="G418">
        <v>0.22327162</v>
      </c>
      <c r="H418">
        <v>0.214252736</v>
      </c>
      <c r="I418">
        <v>0.22821013900000001</v>
      </c>
      <c r="J418">
        <v>0.246781954</v>
      </c>
      <c r="K418">
        <v>0.26428137600000001</v>
      </c>
      <c r="L418">
        <v>0.28255670300000002</v>
      </c>
      <c r="M418">
        <v>0.30168476300000002</v>
      </c>
      <c r="N418">
        <v>0.32032279600000002</v>
      </c>
      <c r="O418">
        <v>0.33758259699999998</v>
      </c>
      <c r="P418">
        <v>0.351546107</v>
      </c>
      <c r="Q418">
        <v>0.36291443299999998</v>
      </c>
    </row>
    <row r="419" spans="1:17" x14ac:dyDescent="0.25">
      <c r="A419" t="s">
        <v>5</v>
      </c>
      <c r="B419" t="s">
        <v>6</v>
      </c>
      <c r="C419" t="s">
        <v>257</v>
      </c>
      <c r="D419" t="s">
        <v>191</v>
      </c>
      <c r="E419" t="s">
        <v>166</v>
      </c>
      <c r="F419">
        <v>501.00911639999998</v>
      </c>
      <c r="G419">
        <v>583.39500520000001</v>
      </c>
      <c r="H419">
        <v>628.63542359999997</v>
      </c>
      <c r="I419">
        <v>678.73099730000001</v>
      </c>
      <c r="J419">
        <v>711.04459899999995</v>
      </c>
      <c r="K419">
        <v>787.69679229999997</v>
      </c>
      <c r="L419">
        <v>862.36432609999997</v>
      </c>
      <c r="M419">
        <v>934.56573820000006</v>
      </c>
      <c r="N419">
        <v>1005.949247</v>
      </c>
      <c r="O419">
        <v>1075.7810689999999</v>
      </c>
      <c r="P419">
        <v>1149.152241</v>
      </c>
      <c r="Q419">
        <v>1215.9517109999999</v>
      </c>
    </row>
    <row r="420" spans="1:17" x14ac:dyDescent="0.25">
      <c r="A420" t="s">
        <v>5</v>
      </c>
      <c r="B420" t="s">
        <v>6</v>
      </c>
      <c r="C420" t="s">
        <v>257</v>
      </c>
      <c r="D420" t="s">
        <v>192</v>
      </c>
      <c r="E420" t="s">
        <v>166</v>
      </c>
      <c r="F420">
        <v>169.57328039999999</v>
      </c>
      <c r="G420">
        <v>208.8470466</v>
      </c>
      <c r="H420">
        <v>232.64535720000001</v>
      </c>
      <c r="I420">
        <v>249.7655086</v>
      </c>
      <c r="J420">
        <v>279.65486989999999</v>
      </c>
      <c r="K420">
        <v>330.74521679999998</v>
      </c>
      <c r="L420">
        <v>386.52171249999998</v>
      </c>
      <c r="M420">
        <v>446.19193410000003</v>
      </c>
      <c r="N420">
        <v>512.41607439999996</v>
      </c>
      <c r="O420">
        <v>586.1349586</v>
      </c>
      <c r="P420">
        <v>673.27662699999996</v>
      </c>
      <c r="Q420">
        <v>754.04297659999997</v>
      </c>
    </row>
    <row r="421" spans="1:17" x14ac:dyDescent="0.25">
      <c r="A421" t="s">
        <v>5</v>
      </c>
      <c r="B421" t="s">
        <v>6</v>
      </c>
      <c r="C421" t="s">
        <v>257</v>
      </c>
      <c r="D421" t="s">
        <v>193</v>
      </c>
      <c r="E421" t="s">
        <v>166</v>
      </c>
      <c r="F421">
        <v>23.877662910000002</v>
      </c>
      <c r="G421">
        <v>27.33512713</v>
      </c>
      <c r="H421">
        <v>29.026369379999998</v>
      </c>
      <c r="I421">
        <v>30.95790848</v>
      </c>
      <c r="J421">
        <v>32.059841380000002</v>
      </c>
      <c r="K421">
        <v>35.169070589999997</v>
      </c>
      <c r="L421">
        <v>38.156924449999998</v>
      </c>
      <c r="M421">
        <v>41.00946433</v>
      </c>
      <c r="N421">
        <v>43.808272610000003</v>
      </c>
      <c r="O421">
        <v>46.517285700000002</v>
      </c>
      <c r="P421">
        <v>49.359338049999998</v>
      </c>
      <c r="Q421">
        <v>51.940469489999998</v>
      </c>
    </row>
    <row r="422" spans="1:17" x14ac:dyDescent="0.25">
      <c r="A422" t="s">
        <v>5</v>
      </c>
      <c r="B422" t="s">
        <v>6</v>
      </c>
      <c r="C422" t="s">
        <v>257</v>
      </c>
      <c r="D422" t="s">
        <v>194</v>
      </c>
      <c r="E422" t="s">
        <v>166</v>
      </c>
      <c r="F422">
        <v>10.5959819</v>
      </c>
      <c r="G422">
        <v>12.95121636</v>
      </c>
      <c r="H422">
        <v>14.368783629999999</v>
      </c>
      <c r="I422">
        <v>15.398306549999999</v>
      </c>
      <c r="J422">
        <v>17.163763800000002</v>
      </c>
      <c r="K422">
        <v>20.109680319999999</v>
      </c>
      <c r="L422">
        <v>23.27142452</v>
      </c>
      <c r="M422">
        <v>26.592832120000001</v>
      </c>
      <c r="N422">
        <v>30.207010109999999</v>
      </c>
      <c r="O422">
        <v>34.143230590000002</v>
      </c>
      <c r="P422">
        <v>38.686808390000003</v>
      </c>
      <c r="Q422">
        <v>42.808503639999998</v>
      </c>
    </row>
    <row r="423" spans="1:17" x14ac:dyDescent="0.25">
      <c r="A423" t="s">
        <v>5</v>
      </c>
      <c r="B423" t="s">
        <v>6</v>
      </c>
      <c r="C423" t="s">
        <v>257</v>
      </c>
      <c r="D423" t="s">
        <v>195</v>
      </c>
      <c r="E423" t="s">
        <v>166</v>
      </c>
      <c r="F423">
        <v>9.2223857079999991</v>
      </c>
      <c r="G423">
        <v>10.476259689999999</v>
      </c>
      <c r="H423">
        <v>11.04438884</v>
      </c>
      <c r="I423">
        <v>11.70786603</v>
      </c>
      <c r="J423">
        <v>12.054509250000001</v>
      </c>
      <c r="K423">
        <v>13.15786529</v>
      </c>
      <c r="L423">
        <v>14.20876603</v>
      </c>
      <c r="M423">
        <v>15.20391264</v>
      </c>
      <c r="N423">
        <v>16.175613330000001</v>
      </c>
      <c r="O423">
        <v>17.10944482</v>
      </c>
      <c r="P423">
        <v>18.087872669999999</v>
      </c>
      <c r="Q423">
        <v>18.9748892</v>
      </c>
    </row>
    <row r="424" spans="1:17" x14ac:dyDescent="0.25">
      <c r="A424" t="s">
        <v>5</v>
      </c>
      <c r="B424" t="s">
        <v>6</v>
      </c>
      <c r="C424" t="s">
        <v>257</v>
      </c>
      <c r="D424" t="s">
        <v>196</v>
      </c>
      <c r="E424" t="s">
        <v>166</v>
      </c>
      <c r="F424">
        <v>6.5905088809999999</v>
      </c>
      <c r="G424">
        <v>8.1044093139999998</v>
      </c>
      <c r="H424">
        <v>9.0201130079999992</v>
      </c>
      <c r="I424">
        <v>9.6801599080000003</v>
      </c>
      <c r="J424">
        <v>10.82840785</v>
      </c>
      <c r="K424">
        <v>12.78098136</v>
      </c>
      <c r="L424">
        <v>14.90456767</v>
      </c>
      <c r="M424">
        <v>17.167123839999999</v>
      </c>
      <c r="N424">
        <v>19.667049710000001</v>
      </c>
      <c r="O424">
        <v>22.43617673</v>
      </c>
      <c r="P424">
        <v>25.691940110000001</v>
      </c>
      <c r="Q424">
        <v>28.694929429999998</v>
      </c>
    </row>
    <row r="425" spans="1:17" x14ac:dyDescent="0.25">
      <c r="A425" t="s">
        <v>5</v>
      </c>
      <c r="B425" t="s">
        <v>6</v>
      </c>
      <c r="C425" t="s">
        <v>257</v>
      </c>
      <c r="D425" t="s">
        <v>197</v>
      </c>
      <c r="E425" t="s">
        <v>166</v>
      </c>
      <c r="F425">
        <v>9032.2974510000004</v>
      </c>
      <c r="G425">
        <v>10458.967619999999</v>
      </c>
      <c r="H425">
        <v>11203.50973</v>
      </c>
      <c r="I425">
        <v>12040.103160000001</v>
      </c>
      <c r="J425">
        <v>12559.330239999999</v>
      </c>
      <c r="K425">
        <v>13864.73077</v>
      </c>
      <c r="L425">
        <v>15128.06761</v>
      </c>
      <c r="M425">
        <v>16343.40941</v>
      </c>
      <c r="N425">
        <v>17541.738990000002</v>
      </c>
      <c r="O425">
        <v>18708.66779</v>
      </c>
      <c r="P425">
        <v>19933.294580000002</v>
      </c>
      <c r="Q425">
        <v>21046.937679999999</v>
      </c>
    </row>
    <row r="426" spans="1:17" x14ac:dyDescent="0.25">
      <c r="A426" t="s">
        <v>5</v>
      </c>
      <c r="B426" t="s">
        <v>6</v>
      </c>
      <c r="C426" t="s">
        <v>257</v>
      </c>
      <c r="D426" t="s">
        <v>198</v>
      </c>
      <c r="E426" t="s">
        <v>166</v>
      </c>
      <c r="F426">
        <v>1768.4883130000001</v>
      </c>
      <c r="G426">
        <v>2172.0673029999998</v>
      </c>
      <c r="H426">
        <v>2416.2750209999999</v>
      </c>
      <c r="I426">
        <v>2592.5140299999998</v>
      </c>
      <c r="J426">
        <v>2898.286834</v>
      </c>
      <c r="K426">
        <v>3417.2018750000002</v>
      </c>
      <c r="L426">
        <v>3981.1552339999998</v>
      </c>
      <c r="M426">
        <v>4581.7929279999998</v>
      </c>
      <c r="N426">
        <v>5245.4525519999997</v>
      </c>
      <c r="O426">
        <v>5981.0034640000003</v>
      </c>
      <c r="P426">
        <v>6846.9761840000001</v>
      </c>
      <c r="Q426">
        <v>7647.2167900000004</v>
      </c>
    </row>
    <row r="427" spans="1:17" x14ac:dyDescent="0.25">
      <c r="A427" t="s">
        <v>5</v>
      </c>
      <c r="B427" t="s">
        <v>6</v>
      </c>
      <c r="C427" t="s">
        <v>257</v>
      </c>
      <c r="D427" t="s">
        <v>199</v>
      </c>
      <c r="E427" t="s">
        <v>166</v>
      </c>
      <c r="F427">
        <v>29.231424870000001</v>
      </c>
      <c r="G427">
        <v>33.86031054</v>
      </c>
      <c r="H427">
        <v>36.303316119999998</v>
      </c>
      <c r="I427">
        <v>39.036336419999998</v>
      </c>
      <c r="J427">
        <v>40.742460540000003</v>
      </c>
      <c r="K427">
        <v>44.992665989999999</v>
      </c>
      <c r="L427">
        <v>49.11305342</v>
      </c>
      <c r="M427">
        <v>53.081237700000003</v>
      </c>
      <c r="N427">
        <v>56.995602959999999</v>
      </c>
      <c r="O427">
        <v>60.81180595</v>
      </c>
      <c r="P427">
        <v>64.817757459999996</v>
      </c>
      <c r="Q427">
        <v>68.461053590000006</v>
      </c>
    </row>
    <row r="428" spans="1:17" x14ac:dyDescent="0.25">
      <c r="A428" t="s">
        <v>5</v>
      </c>
      <c r="B428" t="s">
        <v>6</v>
      </c>
      <c r="C428" t="s">
        <v>257</v>
      </c>
      <c r="D428" t="s">
        <v>200</v>
      </c>
      <c r="E428" t="s">
        <v>166</v>
      </c>
      <c r="F428">
        <v>16.753599179999998</v>
      </c>
      <c r="G428">
        <v>20.4061585</v>
      </c>
      <c r="H428">
        <v>22.601068040000001</v>
      </c>
      <c r="I428">
        <v>24.201927560000001</v>
      </c>
      <c r="J428">
        <v>26.923728449999999</v>
      </c>
      <c r="K428">
        <v>31.420014259999999</v>
      </c>
      <c r="L428">
        <v>36.214200550000001</v>
      </c>
      <c r="M428">
        <v>41.216634929999998</v>
      </c>
      <c r="N428">
        <v>46.621619600000002</v>
      </c>
      <c r="O428">
        <v>52.464332300000002</v>
      </c>
      <c r="P428">
        <v>59.156918269999998</v>
      </c>
      <c r="Q428">
        <v>65.188693740000005</v>
      </c>
    </row>
    <row r="429" spans="1:17" x14ac:dyDescent="0.25">
      <c r="A429" t="s">
        <v>5</v>
      </c>
      <c r="B429" t="s">
        <v>6</v>
      </c>
      <c r="C429" t="s">
        <v>257</v>
      </c>
      <c r="D429" t="s">
        <v>201</v>
      </c>
      <c r="E429" t="s">
        <v>166</v>
      </c>
      <c r="F429">
        <v>454.2036382</v>
      </c>
      <c r="G429">
        <v>523.43341229999999</v>
      </c>
      <c r="H429">
        <v>558.83837070000004</v>
      </c>
      <c r="I429">
        <v>598.81133950000003</v>
      </c>
      <c r="J429">
        <v>622.87350160000005</v>
      </c>
      <c r="K429">
        <v>685.91642220000006</v>
      </c>
      <c r="L429">
        <v>746.79960370000003</v>
      </c>
      <c r="M429">
        <v>805.21743089999995</v>
      </c>
      <c r="N429">
        <v>862.7147172</v>
      </c>
      <c r="O429">
        <v>918.59527679999997</v>
      </c>
      <c r="P429">
        <v>977.24811629999999</v>
      </c>
      <c r="Q429">
        <v>1030.569538</v>
      </c>
    </row>
    <row r="430" spans="1:17" x14ac:dyDescent="0.25">
      <c r="A430" t="s">
        <v>5</v>
      </c>
      <c r="B430" t="s">
        <v>6</v>
      </c>
      <c r="C430" t="s">
        <v>257</v>
      </c>
      <c r="D430" t="s">
        <v>202</v>
      </c>
      <c r="E430" t="s">
        <v>166</v>
      </c>
      <c r="F430">
        <v>33.416594629999999</v>
      </c>
      <c r="G430">
        <v>41.038721680000002</v>
      </c>
      <c r="H430">
        <v>45.651921080000001</v>
      </c>
      <c r="I430">
        <v>48.981755440000001</v>
      </c>
      <c r="J430">
        <v>54.757325780000002</v>
      </c>
      <c r="K430">
        <v>64.562521329999996</v>
      </c>
      <c r="L430">
        <v>75.227720520000005</v>
      </c>
      <c r="M430">
        <v>86.603440269999993</v>
      </c>
      <c r="N430">
        <v>99.201914689999995</v>
      </c>
      <c r="O430">
        <v>113.2165146</v>
      </c>
      <c r="P430">
        <v>129.80978049999999</v>
      </c>
      <c r="Q430">
        <v>145.25022190000001</v>
      </c>
    </row>
    <row r="431" spans="1:17" x14ac:dyDescent="0.25">
      <c r="A431" t="s">
        <v>5</v>
      </c>
      <c r="B431" t="s">
        <v>6</v>
      </c>
      <c r="C431" t="s">
        <v>257</v>
      </c>
      <c r="D431" t="s">
        <v>203</v>
      </c>
      <c r="E431" t="s">
        <v>166</v>
      </c>
      <c r="F431">
        <v>15.161514929999999</v>
      </c>
      <c r="G431">
        <v>17.849961100000002</v>
      </c>
      <c r="H431">
        <v>22.475104429999998</v>
      </c>
      <c r="I431">
        <v>30.139857930000002</v>
      </c>
      <c r="J431">
        <v>36.088888519999998</v>
      </c>
      <c r="K431">
        <v>45.750593879999997</v>
      </c>
      <c r="L431">
        <v>60.157753960000001</v>
      </c>
      <c r="M431">
        <v>72.544468839999993</v>
      </c>
      <c r="N431">
        <v>84.355683999999997</v>
      </c>
      <c r="O431">
        <v>96.946947260000002</v>
      </c>
      <c r="P431">
        <v>109.0697356</v>
      </c>
      <c r="Q431">
        <v>119.7200515</v>
      </c>
    </row>
    <row r="432" spans="1:17" x14ac:dyDescent="0.25">
      <c r="A432" t="s">
        <v>5</v>
      </c>
      <c r="B432" t="s">
        <v>6</v>
      </c>
      <c r="C432" t="s">
        <v>257</v>
      </c>
      <c r="D432" t="s">
        <v>204</v>
      </c>
      <c r="E432" t="s">
        <v>166</v>
      </c>
      <c r="F432">
        <v>323.37873039999999</v>
      </c>
      <c r="G432">
        <v>388.67382149999997</v>
      </c>
      <c r="H432">
        <v>472.5552725</v>
      </c>
      <c r="I432">
        <v>556.16512790000002</v>
      </c>
      <c r="J432">
        <v>614.98821610000005</v>
      </c>
      <c r="K432">
        <v>670.37598079999998</v>
      </c>
      <c r="L432">
        <v>754.36024610000004</v>
      </c>
      <c r="M432">
        <v>821.53493960000003</v>
      </c>
      <c r="N432">
        <v>897.45637450000004</v>
      </c>
      <c r="O432">
        <v>987.05956649999996</v>
      </c>
      <c r="P432">
        <v>1064.104525</v>
      </c>
      <c r="Q432">
        <v>1101.88598</v>
      </c>
    </row>
    <row r="433" spans="1:17" x14ac:dyDescent="0.25">
      <c r="A433" t="s">
        <v>5</v>
      </c>
      <c r="B433" t="s">
        <v>6</v>
      </c>
      <c r="C433" t="s">
        <v>257</v>
      </c>
      <c r="D433" t="s">
        <v>205</v>
      </c>
      <c r="E433" t="s">
        <v>166</v>
      </c>
      <c r="F433">
        <v>8.8180243000000005E-2</v>
      </c>
      <c r="G433">
        <v>0.10380753</v>
      </c>
      <c r="H433">
        <v>0.154576199</v>
      </c>
      <c r="I433">
        <v>0.36910791700000001</v>
      </c>
      <c r="J433">
        <v>0.58234784900000003</v>
      </c>
      <c r="K433">
        <v>1.0609445870000001</v>
      </c>
      <c r="L433">
        <v>1.725773548</v>
      </c>
      <c r="M433">
        <v>2.2398506340000002</v>
      </c>
      <c r="N433">
        <v>2.7213521109999999</v>
      </c>
      <c r="O433">
        <v>3.2004342810000002</v>
      </c>
      <c r="P433">
        <v>3.6354757430000002</v>
      </c>
      <c r="Q433">
        <v>4.0551626230000002</v>
      </c>
    </row>
    <row r="434" spans="1:17" x14ac:dyDescent="0.25">
      <c r="A434" t="s">
        <v>5</v>
      </c>
      <c r="B434" t="s">
        <v>6</v>
      </c>
      <c r="C434" t="s">
        <v>257</v>
      </c>
      <c r="D434" t="s">
        <v>206</v>
      </c>
      <c r="E434" t="s">
        <v>166</v>
      </c>
      <c r="F434">
        <v>0.298201155</v>
      </c>
      <c r="G434">
        <v>0.35777479499999998</v>
      </c>
      <c r="H434">
        <v>0.471789444</v>
      </c>
      <c r="I434">
        <v>0.70108154099999997</v>
      </c>
      <c r="J434">
        <v>0.89424706300000001</v>
      </c>
      <c r="K434">
        <v>1.258284929</v>
      </c>
      <c r="L434">
        <v>1.7810676510000001</v>
      </c>
      <c r="M434">
        <v>2.1972603789999998</v>
      </c>
      <c r="N434">
        <v>2.587352563</v>
      </c>
      <c r="O434">
        <v>2.9923946309999998</v>
      </c>
      <c r="P434">
        <v>3.3695695649999999</v>
      </c>
      <c r="Q434">
        <v>3.7088559559999998</v>
      </c>
    </row>
    <row r="435" spans="1:17" x14ac:dyDescent="0.25">
      <c r="A435" t="s">
        <v>5</v>
      </c>
      <c r="B435" t="s">
        <v>6</v>
      </c>
      <c r="C435" t="s">
        <v>257</v>
      </c>
      <c r="D435" t="s">
        <v>207</v>
      </c>
      <c r="E435" t="s">
        <v>166</v>
      </c>
      <c r="F435">
        <v>0</v>
      </c>
      <c r="G435">
        <v>0</v>
      </c>
      <c r="H435">
        <v>0</v>
      </c>
      <c r="I435">
        <v>2.2652869999999999E-3</v>
      </c>
      <c r="J435">
        <v>2.886675E-3</v>
      </c>
      <c r="K435">
        <v>5.1605469999999997E-3</v>
      </c>
      <c r="L435">
        <v>9.654045E-3</v>
      </c>
      <c r="M435">
        <v>1.6279796999999999E-2</v>
      </c>
      <c r="N435">
        <v>2.7300970000000001E-2</v>
      </c>
      <c r="O435">
        <v>4.0915328000000001E-2</v>
      </c>
      <c r="P435">
        <v>5.2568693E-2</v>
      </c>
      <c r="Q435">
        <v>6.4930953999999999E-2</v>
      </c>
    </row>
    <row r="436" spans="1:17" x14ac:dyDescent="0.25">
      <c r="A436" t="s">
        <v>5</v>
      </c>
      <c r="B436" t="s">
        <v>6</v>
      </c>
      <c r="C436" t="s">
        <v>257</v>
      </c>
      <c r="D436" t="s">
        <v>208</v>
      </c>
      <c r="E436" t="s">
        <v>166</v>
      </c>
      <c r="F436">
        <v>16.610450310000001</v>
      </c>
      <c r="G436">
        <v>19.331103840000001</v>
      </c>
      <c r="H436">
        <v>23.03026393</v>
      </c>
      <c r="I436">
        <v>28.668037569999999</v>
      </c>
      <c r="J436">
        <v>33.563442559999999</v>
      </c>
      <c r="K436">
        <v>37.775385730000004</v>
      </c>
      <c r="L436">
        <v>44.265017319999998</v>
      </c>
      <c r="M436">
        <v>51.871585179999997</v>
      </c>
      <c r="N436">
        <v>59.04029603</v>
      </c>
      <c r="O436">
        <v>66.347639599999994</v>
      </c>
      <c r="P436">
        <v>73.347867370000003</v>
      </c>
      <c r="Q436">
        <v>79.082440460000001</v>
      </c>
    </row>
    <row r="437" spans="1:17" x14ac:dyDescent="0.25">
      <c r="A437" t="s">
        <v>5</v>
      </c>
      <c r="B437" t="s">
        <v>6</v>
      </c>
      <c r="C437" t="s">
        <v>257</v>
      </c>
      <c r="D437" t="s">
        <v>209</v>
      </c>
      <c r="E437" t="s">
        <v>166</v>
      </c>
      <c r="F437">
        <v>49.289220929999999</v>
      </c>
      <c r="G437">
        <v>57.416316549999998</v>
      </c>
      <c r="H437">
        <v>68.473046220000001</v>
      </c>
      <c r="I437">
        <v>85.252636319999993</v>
      </c>
      <c r="J437">
        <v>99.888170020000004</v>
      </c>
      <c r="K437">
        <v>112.5367088</v>
      </c>
      <c r="L437">
        <v>131.9321569</v>
      </c>
      <c r="M437">
        <v>154.67924389999999</v>
      </c>
      <c r="N437">
        <v>176.28410629999999</v>
      </c>
      <c r="O437">
        <v>198.364227</v>
      </c>
      <c r="P437">
        <v>219.6059841</v>
      </c>
      <c r="Q437">
        <v>237.1208858</v>
      </c>
    </row>
    <row r="438" spans="1:17" x14ac:dyDescent="0.25">
      <c r="A438" t="s">
        <v>5</v>
      </c>
      <c r="B438" t="s">
        <v>6</v>
      </c>
      <c r="C438" t="s">
        <v>257</v>
      </c>
      <c r="D438" t="s">
        <v>210</v>
      </c>
      <c r="E438" t="s">
        <v>166</v>
      </c>
      <c r="F438">
        <v>10.0422151</v>
      </c>
      <c r="G438">
        <v>11.74964627</v>
      </c>
      <c r="H438">
        <v>14.00264832</v>
      </c>
      <c r="I438">
        <v>17.387993760000001</v>
      </c>
      <c r="J438">
        <v>20.316068959999999</v>
      </c>
      <c r="K438">
        <v>22.967797239999999</v>
      </c>
      <c r="L438">
        <v>27.18354377</v>
      </c>
      <c r="M438">
        <v>32.201589319999997</v>
      </c>
      <c r="N438">
        <v>36.898086360000001</v>
      </c>
      <c r="O438">
        <v>41.811406419999997</v>
      </c>
      <c r="P438">
        <v>46.680073460000003</v>
      </c>
      <c r="Q438">
        <v>50.787923810000002</v>
      </c>
    </row>
    <row r="439" spans="1:17" x14ac:dyDescent="0.25">
      <c r="A439" t="s">
        <v>5</v>
      </c>
      <c r="B439" t="s">
        <v>6</v>
      </c>
      <c r="C439" t="s">
        <v>257</v>
      </c>
      <c r="D439" t="s">
        <v>211</v>
      </c>
      <c r="E439" t="s">
        <v>166</v>
      </c>
      <c r="F439">
        <v>5.8075013499999999</v>
      </c>
      <c r="G439">
        <v>6.8065908479999999</v>
      </c>
      <c r="H439">
        <v>8.1197593099999992</v>
      </c>
      <c r="I439">
        <v>10.077858730000001</v>
      </c>
      <c r="J439">
        <v>11.7747285</v>
      </c>
      <c r="K439">
        <v>13.33280545</v>
      </c>
      <c r="L439">
        <v>15.822503129999999</v>
      </c>
      <c r="M439">
        <v>18.80970039</v>
      </c>
      <c r="N439">
        <v>21.62911025</v>
      </c>
      <c r="O439">
        <v>24.64142137</v>
      </c>
      <c r="P439">
        <v>27.7151295</v>
      </c>
      <c r="Q439">
        <v>30.368732560000002</v>
      </c>
    </row>
    <row r="440" spans="1:17" x14ac:dyDescent="0.25">
      <c r="A440" t="s">
        <v>5</v>
      </c>
      <c r="B440" t="s">
        <v>6</v>
      </c>
      <c r="C440" t="s">
        <v>257</v>
      </c>
      <c r="D440" t="s">
        <v>212</v>
      </c>
      <c r="E440" t="s">
        <v>166</v>
      </c>
      <c r="F440">
        <v>0.21616972500000001</v>
      </c>
      <c r="G440">
        <v>0.25258978399999998</v>
      </c>
      <c r="H440">
        <v>0.30139040299999997</v>
      </c>
      <c r="I440">
        <v>0.37531300200000001</v>
      </c>
      <c r="J440">
        <v>0.440313601</v>
      </c>
      <c r="K440">
        <v>0.49740301199999998</v>
      </c>
      <c r="L440">
        <v>0.58460437799999998</v>
      </c>
      <c r="M440">
        <v>0.68640376700000005</v>
      </c>
      <c r="N440">
        <v>0.78355570600000002</v>
      </c>
      <c r="O440">
        <v>0.88177484699999997</v>
      </c>
      <c r="P440">
        <v>0.97482929100000004</v>
      </c>
      <c r="Q440">
        <v>1.051180783</v>
      </c>
    </row>
    <row r="441" spans="1:17" x14ac:dyDescent="0.25">
      <c r="A441" t="s">
        <v>5</v>
      </c>
      <c r="B441" t="s">
        <v>6</v>
      </c>
      <c r="C441" t="s">
        <v>257</v>
      </c>
      <c r="D441" t="s">
        <v>213</v>
      </c>
      <c r="E441" t="s">
        <v>166</v>
      </c>
      <c r="F441">
        <v>3.1424372999999999E-2</v>
      </c>
      <c r="G441">
        <v>3.868634E-2</v>
      </c>
      <c r="H441">
        <v>4.6156681999999997E-2</v>
      </c>
      <c r="I441">
        <v>5.5092957999999997E-2</v>
      </c>
      <c r="J441">
        <v>6.6220836000000005E-2</v>
      </c>
      <c r="K441">
        <v>0.101258717</v>
      </c>
      <c r="L441">
        <v>0.18383849399999999</v>
      </c>
      <c r="M441">
        <v>0.240244127</v>
      </c>
      <c r="N441">
        <v>0.26950359899999998</v>
      </c>
      <c r="O441">
        <v>0.29201463700000002</v>
      </c>
      <c r="P441">
        <v>0.30912314200000002</v>
      </c>
      <c r="Q441">
        <v>0.33247829600000001</v>
      </c>
    </row>
    <row r="442" spans="1:17" x14ac:dyDescent="0.25">
      <c r="A442" t="s">
        <v>5</v>
      </c>
      <c r="B442" t="s">
        <v>6</v>
      </c>
      <c r="C442" t="s">
        <v>257</v>
      </c>
      <c r="D442" t="s">
        <v>214</v>
      </c>
      <c r="E442" t="s">
        <v>166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5">
      <c r="A443" t="s">
        <v>5</v>
      </c>
      <c r="B443" t="s">
        <v>6</v>
      </c>
      <c r="C443" t="s">
        <v>257</v>
      </c>
      <c r="D443" t="s">
        <v>215</v>
      </c>
      <c r="E443" t="s">
        <v>166</v>
      </c>
      <c r="F443">
        <v>1.06915E-4</v>
      </c>
      <c r="G443">
        <v>1.3162199999999999E-4</v>
      </c>
      <c r="H443">
        <v>1.5703900000000001E-4</v>
      </c>
      <c r="I443">
        <v>1.87443E-4</v>
      </c>
      <c r="J443">
        <v>2.2530299999999999E-4</v>
      </c>
      <c r="K443">
        <v>3.44512E-4</v>
      </c>
      <c r="L443">
        <v>6.2547299999999998E-4</v>
      </c>
      <c r="M443">
        <v>8.1738199999999996E-4</v>
      </c>
      <c r="N443">
        <v>9.1693099999999995E-4</v>
      </c>
      <c r="O443">
        <v>9.9352100000000003E-4</v>
      </c>
      <c r="P443">
        <v>1.0517289999999999E-3</v>
      </c>
      <c r="Q443">
        <v>1.13119E-3</v>
      </c>
    </row>
    <row r="444" spans="1:17" x14ac:dyDescent="0.25">
      <c r="A444" t="s">
        <v>5</v>
      </c>
      <c r="B444" t="s">
        <v>6</v>
      </c>
      <c r="C444" t="s">
        <v>257</v>
      </c>
      <c r="D444" t="s">
        <v>216</v>
      </c>
      <c r="E444" t="s">
        <v>166</v>
      </c>
      <c r="F444">
        <v>7.2030599999999998E-4</v>
      </c>
      <c r="G444">
        <v>8.8676399999999996E-4</v>
      </c>
      <c r="H444">
        <v>1.057999E-3</v>
      </c>
      <c r="I444">
        <v>1.2628349999999999E-3</v>
      </c>
      <c r="J444">
        <v>1.517907E-3</v>
      </c>
      <c r="K444">
        <v>2.3210420000000002E-3</v>
      </c>
      <c r="L444">
        <v>4.2139259999999998E-3</v>
      </c>
      <c r="M444">
        <v>5.5068499999999998E-3</v>
      </c>
      <c r="N444">
        <v>6.1775329999999998E-3</v>
      </c>
      <c r="O444">
        <v>6.6935290000000001E-3</v>
      </c>
      <c r="P444">
        <v>7.0856879999999997E-3</v>
      </c>
      <c r="Q444">
        <v>7.6210319999999998E-3</v>
      </c>
    </row>
    <row r="445" spans="1:17" x14ac:dyDescent="0.25">
      <c r="A445" t="s">
        <v>5</v>
      </c>
      <c r="B445" t="s">
        <v>6</v>
      </c>
      <c r="C445" t="s">
        <v>257</v>
      </c>
      <c r="D445" t="s">
        <v>217</v>
      </c>
      <c r="E445" t="s">
        <v>166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0.25">
      <c r="A446" t="s">
        <v>5</v>
      </c>
      <c r="B446" t="s">
        <v>6</v>
      </c>
      <c r="C446" t="s">
        <v>257</v>
      </c>
      <c r="D446" t="s">
        <v>218</v>
      </c>
      <c r="E446" t="s">
        <v>219</v>
      </c>
      <c r="F446">
        <v>1802.19282</v>
      </c>
      <c r="G446">
        <v>1967.44634</v>
      </c>
      <c r="H446">
        <v>2253.3977399999999</v>
      </c>
      <c r="I446">
        <v>2368.4619200000002</v>
      </c>
      <c r="J446">
        <v>2788.1496400000001</v>
      </c>
      <c r="K446">
        <v>3149.8100599999998</v>
      </c>
      <c r="L446">
        <v>3589.4399800000001</v>
      </c>
      <c r="M446">
        <v>4068.41644</v>
      </c>
      <c r="N446">
        <v>4510.3665199999996</v>
      </c>
      <c r="O446">
        <v>4935.5558799999999</v>
      </c>
      <c r="P446">
        <v>5334.7677000000003</v>
      </c>
      <c r="Q446">
        <v>5665.8217800000002</v>
      </c>
    </row>
    <row r="447" spans="1:17" x14ac:dyDescent="0.25">
      <c r="A447" t="s">
        <v>5</v>
      </c>
      <c r="B447" t="s">
        <v>6</v>
      </c>
      <c r="C447" t="s">
        <v>257</v>
      </c>
      <c r="D447" t="s">
        <v>220</v>
      </c>
      <c r="E447" t="s">
        <v>219</v>
      </c>
      <c r="F447">
        <v>1479.29378</v>
      </c>
      <c r="G447">
        <v>1606.9482</v>
      </c>
      <c r="H447">
        <v>1685.2571800000001</v>
      </c>
      <c r="I447">
        <v>1730.1885</v>
      </c>
      <c r="J447">
        <v>1891.3520599999999</v>
      </c>
      <c r="K447">
        <v>2036.5390600000001</v>
      </c>
      <c r="L447">
        <v>2205.5458199999998</v>
      </c>
      <c r="M447">
        <v>2311.55296</v>
      </c>
      <c r="N447">
        <v>2360.3579</v>
      </c>
      <c r="O447">
        <v>2388.2940400000002</v>
      </c>
      <c r="P447">
        <v>2402.2487999999998</v>
      </c>
      <c r="Q447">
        <v>2404.9475400000001</v>
      </c>
    </row>
    <row r="448" spans="1:17" x14ac:dyDescent="0.25">
      <c r="A448" t="s">
        <v>5</v>
      </c>
      <c r="B448" t="s">
        <v>6</v>
      </c>
      <c r="C448" t="s">
        <v>257</v>
      </c>
      <c r="D448" t="s">
        <v>221</v>
      </c>
      <c r="E448" t="s">
        <v>219</v>
      </c>
      <c r="F448">
        <v>254.46919199999999</v>
      </c>
      <c r="G448">
        <v>202.96272400000001</v>
      </c>
      <c r="H448">
        <v>201.23873399999999</v>
      </c>
      <c r="I448">
        <v>203.33350799999999</v>
      </c>
      <c r="J448">
        <v>212.803394</v>
      </c>
      <c r="K448">
        <v>216.552876</v>
      </c>
      <c r="L448">
        <v>222.15140600000001</v>
      </c>
      <c r="M448">
        <v>220.88081</v>
      </c>
      <c r="N448">
        <v>217.96400800000001</v>
      </c>
      <c r="O448">
        <v>214.725042</v>
      </c>
      <c r="P448">
        <v>211.43099799999999</v>
      </c>
      <c r="Q448">
        <v>209.61554000000001</v>
      </c>
    </row>
    <row r="449" spans="1:17" x14ac:dyDescent="0.25">
      <c r="A449" t="s">
        <v>5</v>
      </c>
      <c r="B449" t="s">
        <v>6</v>
      </c>
      <c r="C449" t="s">
        <v>257</v>
      </c>
      <c r="D449" t="s">
        <v>222</v>
      </c>
      <c r="E449" t="s">
        <v>223</v>
      </c>
      <c r="F449">
        <v>1696.733142</v>
      </c>
      <c r="G449">
        <v>1991.7684420000001</v>
      </c>
      <c r="H449">
        <v>2309.7682100000002</v>
      </c>
      <c r="I449">
        <v>2522.6807800000001</v>
      </c>
      <c r="J449">
        <v>2798.1979620000002</v>
      </c>
      <c r="K449">
        <v>3129.2556880000002</v>
      </c>
      <c r="L449">
        <v>3491.4609780000001</v>
      </c>
      <c r="M449">
        <v>3908.2584019999999</v>
      </c>
      <c r="N449">
        <v>4314.3337000000001</v>
      </c>
      <c r="O449">
        <v>4703.0103440000003</v>
      </c>
      <c r="P449">
        <v>5039.4339980000004</v>
      </c>
      <c r="Q449">
        <v>5324.8928720000004</v>
      </c>
    </row>
    <row r="450" spans="1:17" x14ac:dyDescent="0.25">
      <c r="A450" t="s">
        <v>5</v>
      </c>
      <c r="B450" t="s">
        <v>6</v>
      </c>
      <c r="C450" t="s">
        <v>257</v>
      </c>
      <c r="D450" t="s">
        <v>224</v>
      </c>
      <c r="E450" t="s">
        <v>219</v>
      </c>
      <c r="F450">
        <v>79.91771</v>
      </c>
      <c r="G450">
        <v>81.896252000000004</v>
      </c>
      <c r="H450">
        <v>92.499774000000002</v>
      </c>
      <c r="I450">
        <v>102.85491</v>
      </c>
      <c r="J450">
        <v>118.56210400000001</v>
      </c>
      <c r="K450">
        <v>135.36940999999999</v>
      </c>
      <c r="L450">
        <v>155.27789000000001</v>
      </c>
      <c r="M450">
        <v>176.45081200000001</v>
      </c>
      <c r="N450">
        <v>196.17658</v>
      </c>
      <c r="O450">
        <v>214.46109999999999</v>
      </c>
      <c r="P450">
        <v>230.046256</v>
      </c>
      <c r="Q450">
        <v>241.870138</v>
      </c>
    </row>
    <row r="451" spans="1:17" x14ac:dyDescent="0.25">
      <c r="A451" t="s">
        <v>5</v>
      </c>
      <c r="B451" t="s">
        <v>6</v>
      </c>
      <c r="C451" t="s">
        <v>257</v>
      </c>
      <c r="D451" t="s">
        <v>225</v>
      </c>
      <c r="E451" t="s">
        <v>223</v>
      </c>
      <c r="F451">
        <v>286.10784799999999</v>
      </c>
      <c r="G451">
        <v>310.76884799999999</v>
      </c>
      <c r="H451">
        <v>322.17012399999999</v>
      </c>
      <c r="I451">
        <v>338.51075400000002</v>
      </c>
      <c r="J451">
        <v>377.04369600000001</v>
      </c>
      <c r="K451">
        <v>429.398034</v>
      </c>
      <c r="L451">
        <v>491.64382000000001</v>
      </c>
      <c r="M451">
        <v>561.97933999999998</v>
      </c>
      <c r="N451">
        <v>624.91517999999996</v>
      </c>
      <c r="O451">
        <v>678.04085999999995</v>
      </c>
      <c r="P451">
        <v>729.33061999999995</v>
      </c>
      <c r="Q451">
        <v>773.26530000000002</v>
      </c>
    </row>
    <row r="452" spans="1:17" x14ac:dyDescent="0.25">
      <c r="A452" t="s">
        <v>5</v>
      </c>
      <c r="B452" t="s">
        <v>6</v>
      </c>
      <c r="C452" t="s">
        <v>257</v>
      </c>
      <c r="D452" t="s">
        <v>226</v>
      </c>
      <c r="E452" t="s">
        <v>219</v>
      </c>
      <c r="F452">
        <v>146.12812</v>
      </c>
      <c r="G452">
        <v>225.420998</v>
      </c>
      <c r="H452">
        <v>452.80727999999999</v>
      </c>
      <c r="I452">
        <v>405.41028599999999</v>
      </c>
      <c r="J452">
        <v>559.89476400000001</v>
      </c>
      <c r="K452">
        <v>593.23515999999995</v>
      </c>
      <c r="L452">
        <v>617.50907800000004</v>
      </c>
      <c r="M452">
        <v>646.68175599999995</v>
      </c>
      <c r="N452">
        <v>755.02404000000001</v>
      </c>
      <c r="O452">
        <v>951.16066000000001</v>
      </c>
      <c r="P452">
        <v>1192.8905</v>
      </c>
      <c r="Q452">
        <v>1424.5689</v>
      </c>
    </row>
    <row r="453" spans="1:17" x14ac:dyDescent="0.25">
      <c r="A453" t="s">
        <v>5</v>
      </c>
      <c r="B453" t="s">
        <v>6</v>
      </c>
      <c r="C453" t="s">
        <v>257</v>
      </c>
      <c r="D453" t="s">
        <v>227</v>
      </c>
      <c r="E453" t="s">
        <v>223</v>
      </c>
      <c r="F453">
        <v>17.157412900000001</v>
      </c>
      <c r="G453">
        <v>22.857340000000001</v>
      </c>
      <c r="H453">
        <v>40.628957700000001</v>
      </c>
      <c r="I453">
        <v>46.595625800000001</v>
      </c>
      <c r="J453">
        <v>60.7606283</v>
      </c>
      <c r="K453">
        <v>63.586751599999999</v>
      </c>
      <c r="L453">
        <v>65.653015699999997</v>
      </c>
      <c r="M453">
        <v>67.662128699999997</v>
      </c>
      <c r="N453">
        <v>73.841140800000005</v>
      </c>
      <c r="O453">
        <v>83.709469999999996</v>
      </c>
      <c r="P453">
        <v>94.243070000000003</v>
      </c>
      <c r="Q453">
        <v>103.412631</v>
      </c>
    </row>
    <row r="454" spans="1:17" x14ac:dyDescent="0.25">
      <c r="A454" t="s">
        <v>5</v>
      </c>
      <c r="B454" t="s">
        <v>6</v>
      </c>
      <c r="C454" t="s">
        <v>257</v>
      </c>
      <c r="D454" t="s">
        <v>228</v>
      </c>
      <c r="E454" t="s">
        <v>223</v>
      </c>
      <c r="F454">
        <v>3310.6611720000001</v>
      </c>
      <c r="G454">
        <v>3434.4391000000001</v>
      </c>
      <c r="H454">
        <v>3386.0005099999998</v>
      </c>
      <c r="I454">
        <v>3711.3344259999999</v>
      </c>
      <c r="J454">
        <v>4134.3819299999996</v>
      </c>
      <c r="K454">
        <v>4542.9789600000004</v>
      </c>
      <c r="L454">
        <v>4979.43145</v>
      </c>
      <c r="M454">
        <v>5443.0117520000003</v>
      </c>
      <c r="N454">
        <v>5905.868778</v>
      </c>
      <c r="O454">
        <v>6348.388492</v>
      </c>
      <c r="P454">
        <v>6715.63429</v>
      </c>
      <c r="Q454">
        <v>7022.5693520000004</v>
      </c>
    </row>
    <row r="455" spans="1:17" x14ac:dyDescent="0.25">
      <c r="A455" t="s">
        <v>5</v>
      </c>
      <c r="B455" t="s">
        <v>6</v>
      </c>
      <c r="C455" t="s">
        <v>257</v>
      </c>
      <c r="D455" t="s">
        <v>229</v>
      </c>
      <c r="E455" t="s">
        <v>230</v>
      </c>
      <c r="F455">
        <v>277.22953740000003</v>
      </c>
      <c r="G455">
        <v>290.2964652</v>
      </c>
      <c r="H455">
        <v>302.80068970000002</v>
      </c>
      <c r="I455">
        <v>313.07536679999998</v>
      </c>
      <c r="J455">
        <v>321.85672579999999</v>
      </c>
      <c r="K455">
        <v>329.05756869999999</v>
      </c>
      <c r="L455">
        <v>334.61893909999998</v>
      </c>
      <c r="M455">
        <v>338.58692150000002</v>
      </c>
      <c r="N455">
        <v>340.94727449999999</v>
      </c>
      <c r="O455">
        <v>341.64581980000003</v>
      </c>
      <c r="P455">
        <v>340.72208920000003</v>
      </c>
      <c r="Q455">
        <v>338.75231580000002</v>
      </c>
    </row>
    <row r="456" spans="1:17" x14ac:dyDescent="0.25">
      <c r="A456" t="s">
        <v>5</v>
      </c>
      <c r="B456" t="s">
        <v>6</v>
      </c>
      <c r="C456" t="s">
        <v>257</v>
      </c>
      <c r="D456" t="s">
        <v>231</v>
      </c>
      <c r="E456" t="s">
        <v>230</v>
      </c>
      <c r="F456">
        <v>181.4457768</v>
      </c>
      <c r="G456">
        <v>195.51766119999999</v>
      </c>
      <c r="H456">
        <v>208.9657698</v>
      </c>
      <c r="I456">
        <v>220.7712827</v>
      </c>
      <c r="J456">
        <v>231.41418640000001</v>
      </c>
      <c r="K456">
        <v>240.76509419999999</v>
      </c>
      <c r="L456">
        <v>248.72361720000001</v>
      </c>
      <c r="M456">
        <v>255.287014</v>
      </c>
      <c r="N456">
        <v>260.41403200000002</v>
      </c>
      <c r="O456">
        <v>264.03002479999998</v>
      </c>
      <c r="P456">
        <v>266.14012609999997</v>
      </c>
      <c r="Q456">
        <v>266.89720899999998</v>
      </c>
    </row>
    <row r="457" spans="1:17" x14ac:dyDescent="0.25">
      <c r="A457" t="s">
        <v>5</v>
      </c>
      <c r="B457" t="s">
        <v>6</v>
      </c>
      <c r="C457" t="s">
        <v>257</v>
      </c>
      <c r="D457" t="s">
        <v>232</v>
      </c>
      <c r="E457" t="s">
        <v>230</v>
      </c>
      <c r="F457">
        <v>103.0714858</v>
      </c>
      <c r="G457">
        <v>111.74467370000001</v>
      </c>
      <c r="H457">
        <v>120.0320665</v>
      </c>
      <c r="I457">
        <v>127.3637966</v>
      </c>
      <c r="J457">
        <v>134.01229280000001</v>
      </c>
      <c r="K457">
        <v>139.8951529</v>
      </c>
      <c r="L457">
        <v>144.94774150000001</v>
      </c>
      <c r="M457">
        <v>149.16445010000001</v>
      </c>
      <c r="N457">
        <v>152.51791360000001</v>
      </c>
      <c r="O457">
        <v>154.96090430000001</v>
      </c>
      <c r="P457">
        <v>156.49378479999999</v>
      </c>
      <c r="Q457">
        <v>157.1757843</v>
      </c>
    </row>
    <row r="458" spans="1:17" x14ac:dyDescent="0.25">
      <c r="A458" t="s">
        <v>5</v>
      </c>
      <c r="B458" t="s">
        <v>6</v>
      </c>
      <c r="C458" t="s">
        <v>257</v>
      </c>
      <c r="D458" t="s">
        <v>233</v>
      </c>
      <c r="E458" t="s">
        <v>27</v>
      </c>
      <c r="F458">
        <v>30.496553179999999</v>
      </c>
      <c r="G458">
        <v>30.588794119999999</v>
      </c>
      <c r="H458">
        <v>21.998310679999999</v>
      </c>
      <c r="I458">
        <v>25.77306982</v>
      </c>
      <c r="J458">
        <v>33.287313709999999</v>
      </c>
      <c r="K458">
        <v>39.268790750000001</v>
      </c>
      <c r="L458">
        <v>40.754741660000001</v>
      </c>
      <c r="M458">
        <v>41.02198009</v>
      </c>
      <c r="N458">
        <v>41.171179209999998</v>
      </c>
      <c r="O458">
        <v>42.242921950000003</v>
      </c>
      <c r="P458">
        <v>45.842931640000003</v>
      </c>
      <c r="Q458">
        <v>45.689437320000003</v>
      </c>
    </row>
    <row r="459" spans="1:17" x14ac:dyDescent="0.25">
      <c r="A459" t="s">
        <v>5</v>
      </c>
      <c r="B459" t="s">
        <v>6</v>
      </c>
      <c r="C459" t="s">
        <v>257</v>
      </c>
      <c r="D459" t="s">
        <v>234</v>
      </c>
      <c r="E459" t="s">
        <v>27</v>
      </c>
      <c r="F459">
        <v>447.58415100000002</v>
      </c>
      <c r="G459">
        <v>458.78947870000002</v>
      </c>
      <c r="H459">
        <v>347.15376509999999</v>
      </c>
      <c r="I459">
        <v>354.67806849999999</v>
      </c>
      <c r="J459">
        <v>438.46779350000003</v>
      </c>
      <c r="K459">
        <v>542.89938970000003</v>
      </c>
      <c r="L459">
        <v>528.14944490000005</v>
      </c>
      <c r="M459">
        <v>536.55535910000003</v>
      </c>
      <c r="N459">
        <v>545.30835290000005</v>
      </c>
      <c r="O459">
        <v>562.1776979</v>
      </c>
      <c r="P459">
        <v>621.85934799999995</v>
      </c>
      <c r="Q459">
        <v>623.94075989999999</v>
      </c>
    </row>
    <row r="460" spans="1:17" x14ac:dyDescent="0.25">
      <c r="A460" t="s">
        <v>5</v>
      </c>
      <c r="B460" t="s">
        <v>6</v>
      </c>
      <c r="C460" t="s">
        <v>257</v>
      </c>
      <c r="D460" t="s">
        <v>235</v>
      </c>
      <c r="E460" t="s">
        <v>27</v>
      </c>
      <c r="F460">
        <v>2.0355337599999999</v>
      </c>
      <c r="G460">
        <v>2.0255990330000002</v>
      </c>
      <c r="H460">
        <v>1.7672427900000001</v>
      </c>
      <c r="I460">
        <v>2.1025986680000002</v>
      </c>
      <c r="J460">
        <v>2.9163873979999999</v>
      </c>
      <c r="K460">
        <v>3.167090875</v>
      </c>
      <c r="L460">
        <v>3.729854011</v>
      </c>
      <c r="M460">
        <v>3.7416908680000001</v>
      </c>
      <c r="N460">
        <v>3.9635609299999999</v>
      </c>
      <c r="O460">
        <v>4.3082990690000003</v>
      </c>
      <c r="P460">
        <v>4.5382563400000002</v>
      </c>
      <c r="Q460">
        <v>4.5001612990000002</v>
      </c>
    </row>
    <row r="461" spans="1:17" x14ac:dyDescent="0.25">
      <c r="A461" t="s">
        <v>5</v>
      </c>
      <c r="B461" t="s">
        <v>6</v>
      </c>
      <c r="C461" t="s">
        <v>257</v>
      </c>
      <c r="D461" t="s">
        <v>236</v>
      </c>
      <c r="E461" t="s">
        <v>27</v>
      </c>
      <c r="F461">
        <v>0.86273844200000005</v>
      </c>
      <c r="G461">
        <v>0.95209213699999995</v>
      </c>
      <c r="H461">
        <v>0.87125343099999997</v>
      </c>
      <c r="I461">
        <v>1.082074237</v>
      </c>
      <c r="J461">
        <v>1.3276568150000001</v>
      </c>
      <c r="K461">
        <v>1.6242421810000001</v>
      </c>
      <c r="L461">
        <v>1.923344194</v>
      </c>
      <c r="M461">
        <v>1.98702044</v>
      </c>
      <c r="N461">
        <v>2.211572796</v>
      </c>
      <c r="O461">
        <v>2.552533516</v>
      </c>
      <c r="P461">
        <v>2.7878139119999998</v>
      </c>
      <c r="Q461">
        <v>2.8160015220000001</v>
      </c>
    </row>
    <row r="462" spans="1:17" x14ac:dyDescent="0.25">
      <c r="A462" t="s">
        <v>5</v>
      </c>
      <c r="B462" t="s">
        <v>6</v>
      </c>
      <c r="C462" t="s">
        <v>257</v>
      </c>
      <c r="D462" t="s">
        <v>237</v>
      </c>
      <c r="E462" t="s">
        <v>27</v>
      </c>
      <c r="F462">
        <v>2.0987882569999998</v>
      </c>
      <c r="G462">
        <v>2.2577173460000002</v>
      </c>
      <c r="H462">
        <v>1.691541532</v>
      </c>
      <c r="I462">
        <v>1.852266824</v>
      </c>
      <c r="J462">
        <v>2.3246684320000002</v>
      </c>
      <c r="K462">
        <v>2.6060825099999998</v>
      </c>
      <c r="L462">
        <v>2.4951322600000001</v>
      </c>
      <c r="M462">
        <v>2.4560566769999999</v>
      </c>
      <c r="N462">
        <v>2.4102321770000001</v>
      </c>
      <c r="O462">
        <v>2.4313452870000001</v>
      </c>
      <c r="P462">
        <v>2.6577633409999999</v>
      </c>
      <c r="Q462">
        <v>2.608145403</v>
      </c>
    </row>
    <row r="463" spans="1:17" x14ac:dyDescent="0.25">
      <c r="A463" t="s">
        <v>5</v>
      </c>
      <c r="B463" t="s">
        <v>6</v>
      </c>
      <c r="C463" t="s">
        <v>257</v>
      </c>
      <c r="D463" t="s">
        <v>238</v>
      </c>
      <c r="E463" t="s">
        <v>27</v>
      </c>
      <c r="F463">
        <v>17.540261839999999</v>
      </c>
      <c r="G463">
        <v>16.968742429999999</v>
      </c>
      <c r="H463">
        <v>11.778938930000001</v>
      </c>
      <c r="I463">
        <v>11.26462053</v>
      </c>
      <c r="J463">
        <v>14.88572025</v>
      </c>
      <c r="K463">
        <v>19.114508090000001</v>
      </c>
      <c r="L463">
        <v>17.639207620000001</v>
      </c>
      <c r="M463">
        <v>17.63851584</v>
      </c>
      <c r="N463">
        <v>17.404539719999999</v>
      </c>
      <c r="O463">
        <v>17.285729880000002</v>
      </c>
      <c r="P463">
        <v>19.147287550000001</v>
      </c>
      <c r="Q463">
        <v>19.146246439999999</v>
      </c>
    </row>
    <row r="464" spans="1:17" x14ac:dyDescent="0.25">
      <c r="A464" t="s">
        <v>5</v>
      </c>
      <c r="B464" t="s">
        <v>6</v>
      </c>
      <c r="C464" t="s">
        <v>257</v>
      </c>
      <c r="D464" t="s">
        <v>239</v>
      </c>
      <c r="E464" t="s">
        <v>27</v>
      </c>
      <c r="F464">
        <v>11.476325170000001</v>
      </c>
      <c r="G464">
        <v>13.017174199999999</v>
      </c>
      <c r="H464">
        <v>16.536057799999998</v>
      </c>
      <c r="I464">
        <v>15.91627299</v>
      </c>
      <c r="J464">
        <v>18.842606750000002</v>
      </c>
      <c r="K464">
        <v>21.87088542</v>
      </c>
      <c r="L464">
        <v>25.289720290000002</v>
      </c>
      <c r="M464">
        <v>29.045497560000001</v>
      </c>
      <c r="N464">
        <v>33.262109600000002</v>
      </c>
      <c r="O464">
        <v>37.728843439999999</v>
      </c>
      <c r="P464">
        <v>42.051175839999999</v>
      </c>
      <c r="Q464">
        <v>45.76751865</v>
      </c>
    </row>
    <row r="465" spans="1:17" x14ac:dyDescent="0.25">
      <c r="A465" t="s">
        <v>5</v>
      </c>
      <c r="B465" t="s">
        <v>6</v>
      </c>
      <c r="C465" t="s">
        <v>257</v>
      </c>
      <c r="D465" t="s">
        <v>240</v>
      </c>
      <c r="E465" t="s">
        <v>27</v>
      </c>
      <c r="F465">
        <v>6.4052352920000004</v>
      </c>
      <c r="G465">
        <v>7.2716635610000004</v>
      </c>
      <c r="H465">
        <v>10.57452788</v>
      </c>
      <c r="I465">
        <v>12.17448044</v>
      </c>
      <c r="J465">
        <v>17.459039959999998</v>
      </c>
      <c r="K465">
        <v>27.673022939999999</v>
      </c>
      <c r="L465">
        <v>39.571316950000003</v>
      </c>
      <c r="M465">
        <v>52.887690110000001</v>
      </c>
      <c r="N465">
        <v>67.608701389999993</v>
      </c>
      <c r="O465">
        <v>82.631356490000002</v>
      </c>
      <c r="P465">
        <v>92.533153040000002</v>
      </c>
      <c r="Q465">
        <v>100.9926579</v>
      </c>
    </row>
    <row r="466" spans="1:17" x14ac:dyDescent="0.25">
      <c r="A466" t="s">
        <v>5</v>
      </c>
      <c r="B466" t="s">
        <v>6</v>
      </c>
      <c r="C466" t="s">
        <v>257</v>
      </c>
      <c r="D466" t="s">
        <v>241</v>
      </c>
      <c r="E466" t="s">
        <v>27</v>
      </c>
      <c r="F466">
        <v>1.229062836</v>
      </c>
      <c r="G466">
        <v>1.445130459</v>
      </c>
      <c r="H466">
        <v>1.83412285</v>
      </c>
      <c r="I466">
        <v>1.8541201789999999</v>
      </c>
      <c r="J466">
        <v>2.0559413900000001</v>
      </c>
      <c r="K466">
        <v>2.348272004</v>
      </c>
      <c r="L466">
        <v>2.7250122659999998</v>
      </c>
      <c r="M466">
        <v>3.1214540789999998</v>
      </c>
      <c r="N466">
        <v>3.564289536</v>
      </c>
      <c r="O466">
        <v>4.0621357319999998</v>
      </c>
      <c r="P466">
        <v>4.6006373810000003</v>
      </c>
      <c r="Q466">
        <v>5.1019357420000002</v>
      </c>
    </row>
    <row r="467" spans="1:17" x14ac:dyDescent="0.25">
      <c r="A467" t="s">
        <v>5</v>
      </c>
      <c r="B467" t="s">
        <v>6</v>
      </c>
      <c r="C467" t="s">
        <v>257</v>
      </c>
      <c r="D467" t="s">
        <v>242</v>
      </c>
      <c r="E467" t="s">
        <v>27</v>
      </c>
      <c r="F467">
        <v>0.27290524700000002</v>
      </c>
      <c r="G467">
        <v>0.32099464999999999</v>
      </c>
      <c r="H467">
        <v>0.45662457099999998</v>
      </c>
      <c r="I467">
        <v>0.48556712000000002</v>
      </c>
      <c r="J467">
        <v>0.49044686500000001</v>
      </c>
      <c r="K467">
        <v>0.58826268000000004</v>
      </c>
      <c r="L467">
        <v>0.72073459699999998</v>
      </c>
      <c r="M467">
        <v>0.86484796100000005</v>
      </c>
      <c r="N467">
        <v>1.0352344710000001</v>
      </c>
      <c r="O467">
        <v>1.2391877739999999</v>
      </c>
      <c r="P467">
        <v>1.4685481629999999</v>
      </c>
      <c r="Q467">
        <v>1.696853336</v>
      </c>
    </row>
    <row r="468" spans="1:17" x14ac:dyDescent="0.25">
      <c r="A468" t="s">
        <v>5</v>
      </c>
      <c r="B468" t="s">
        <v>6</v>
      </c>
      <c r="C468" t="s">
        <v>257</v>
      </c>
      <c r="D468" t="s">
        <v>243</v>
      </c>
      <c r="E468" t="s">
        <v>27</v>
      </c>
      <c r="F468">
        <v>0.16916120500000001</v>
      </c>
      <c r="G468">
        <v>0.17925801599999999</v>
      </c>
      <c r="H468">
        <v>0.26797498800000003</v>
      </c>
      <c r="I468">
        <v>0.22529806599999999</v>
      </c>
      <c r="J468">
        <v>0.29002115499999997</v>
      </c>
      <c r="K468">
        <v>0.36054655099999999</v>
      </c>
      <c r="L468">
        <v>0.42313201</v>
      </c>
      <c r="M468">
        <v>0.46594076499999998</v>
      </c>
      <c r="N468">
        <v>0.47940523099999999</v>
      </c>
      <c r="O468">
        <v>0.46547089600000002</v>
      </c>
      <c r="P468">
        <v>0.50601014099999997</v>
      </c>
      <c r="Q468">
        <v>0.55458178000000002</v>
      </c>
    </row>
    <row r="469" spans="1:17" x14ac:dyDescent="0.25">
      <c r="A469" t="s">
        <v>5</v>
      </c>
      <c r="B469" t="s">
        <v>6</v>
      </c>
      <c r="C469" t="s">
        <v>257</v>
      </c>
      <c r="D469" t="s">
        <v>244</v>
      </c>
      <c r="E469" t="s">
        <v>27</v>
      </c>
      <c r="F469">
        <v>1.063540291</v>
      </c>
      <c r="G469">
        <v>1.0573917639999999</v>
      </c>
      <c r="H469">
        <v>1.2950534</v>
      </c>
      <c r="I469">
        <v>1.5216414680000001</v>
      </c>
      <c r="J469">
        <v>1.680930829</v>
      </c>
      <c r="K469">
        <v>1.9381156799999999</v>
      </c>
      <c r="L469">
        <v>2.2252235140000001</v>
      </c>
      <c r="M469">
        <v>2.499925207</v>
      </c>
      <c r="N469">
        <v>2.74993153</v>
      </c>
      <c r="O469">
        <v>2.972642607</v>
      </c>
      <c r="P469">
        <v>3.2427463169999999</v>
      </c>
      <c r="Q469">
        <v>3.502347576</v>
      </c>
    </row>
    <row r="470" spans="1:17" x14ac:dyDescent="0.25">
      <c r="A470" t="s">
        <v>5</v>
      </c>
      <c r="B470" t="s">
        <v>6</v>
      </c>
      <c r="C470" t="s">
        <v>257</v>
      </c>
      <c r="D470" t="s">
        <v>245</v>
      </c>
      <c r="E470" t="s">
        <v>27</v>
      </c>
      <c r="F470">
        <v>0.608992423</v>
      </c>
      <c r="G470">
        <v>0.68372265200000004</v>
      </c>
      <c r="H470">
        <v>0.93240301599999997</v>
      </c>
      <c r="I470">
        <v>1.0896582939999999</v>
      </c>
      <c r="J470">
        <v>1.3329480549999999</v>
      </c>
      <c r="K470">
        <v>1.8984002550000001</v>
      </c>
      <c r="L470">
        <v>2.589259261</v>
      </c>
      <c r="M470">
        <v>3.4135430630000001</v>
      </c>
      <c r="N470">
        <v>4.3940505319999996</v>
      </c>
      <c r="O470">
        <v>5.4622178960000003</v>
      </c>
      <c r="P470">
        <v>6.1815398940000001</v>
      </c>
      <c r="Q470">
        <v>6.7853179499999996</v>
      </c>
    </row>
    <row r="471" spans="1:17" x14ac:dyDescent="0.25">
      <c r="A471" t="s">
        <v>5</v>
      </c>
      <c r="B471" t="s">
        <v>6</v>
      </c>
      <c r="C471" t="s">
        <v>257</v>
      </c>
      <c r="D471" t="s">
        <v>246</v>
      </c>
      <c r="E471" t="s">
        <v>27</v>
      </c>
      <c r="F471">
        <v>0</v>
      </c>
      <c r="G471">
        <v>0</v>
      </c>
      <c r="H471">
        <v>0</v>
      </c>
      <c r="I471">
        <v>0.65870629599999997</v>
      </c>
      <c r="J471">
        <v>5.8059052979999999</v>
      </c>
      <c r="K471">
        <v>12.88744494</v>
      </c>
      <c r="L471">
        <v>21.668206380000001</v>
      </c>
      <c r="M471">
        <v>32.283727679999998</v>
      </c>
      <c r="N471">
        <v>44.928917910000003</v>
      </c>
      <c r="O471">
        <v>58.553949950000003</v>
      </c>
      <c r="P471">
        <v>66.057694049999995</v>
      </c>
      <c r="Q471">
        <v>72.052863369999997</v>
      </c>
    </row>
    <row r="472" spans="1:17" x14ac:dyDescent="0.25">
      <c r="A472" t="s">
        <v>5</v>
      </c>
      <c r="B472" t="s">
        <v>6</v>
      </c>
      <c r="C472" t="s">
        <v>257</v>
      </c>
      <c r="D472" t="s">
        <v>247</v>
      </c>
      <c r="E472" t="s">
        <v>27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25">
      <c r="A473" t="s">
        <v>5</v>
      </c>
      <c r="B473" t="s">
        <v>6</v>
      </c>
      <c r="C473" t="s">
        <v>257</v>
      </c>
      <c r="D473" t="s">
        <v>248</v>
      </c>
      <c r="E473" t="s">
        <v>27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0.25">
      <c r="A474" t="s">
        <v>5</v>
      </c>
      <c r="B474" t="s">
        <v>6</v>
      </c>
      <c r="C474" t="s">
        <v>257</v>
      </c>
      <c r="D474" t="s">
        <v>249</v>
      </c>
      <c r="E474" t="s">
        <v>27</v>
      </c>
      <c r="F474">
        <v>3.0436317000000001E-2</v>
      </c>
      <c r="G474">
        <v>3.1945894000000002E-2</v>
      </c>
      <c r="H474">
        <v>4.6366762999999998E-2</v>
      </c>
      <c r="I474">
        <v>6.5226651999999996E-2</v>
      </c>
      <c r="J474">
        <v>0.16936912500000001</v>
      </c>
      <c r="K474">
        <v>0.33121344699999999</v>
      </c>
      <c r="L474">
        <v>0.53625350999999999</v>
      </c>
      <c r="M474">
        <v>0.78610904500000001</v>
      </c>
      <c r="N474">
        <v>1.086353307</v>
      </c>
      <c r="O474">
        <v>1.411922787</v>
      </c>
      <c r="P474">
        <v>1.597400999</v>
      </c>
      <c r="Q474">
        <v>1.745004241</v>
      </c>
    </row>
    <row r="475" spans="1:17" x14ac:dyDescent="0.25">
      <c r="A475" t="s">
        <v>5</v>
      </c>
      <c r="B475" t="s">
        <v>6</v>
      </c>
      <c r="C475" t="s">
        <v>257</v>
      </c>
      <c r="D475" t="s">
        <v>250</v>
      </c>
      <c r="E475" t="s">
        <v>27</v>
      </c>
      <c r="F475">
        <v>0.468633413</v>
      </c>
      <c r="G475">
        <v>0.475539606</v>
      </c>
      <c r="H475">
        <v>0.63467633700000003</v>
      </c>
      <c r="I475">
        <v>0.70536116199999999</v>
      </c>
      <c r="J475">
        <v>1.0900952260000001</v>
      </c>
      <c r="K475">
        <v>1.635745368</v>
      </c>
      <c r="L475">
        <v>2.3041376310000001</v>
      </c>
      <c r="M475">
        <v>3.0883353979999999</v>
      </c>
      <c r="N475">
        <v>3.9969695180000002</v>
      </c>
      <c r="O475">
        <v>4.9567576669999998</v>
      </c>
      <c r="P475">
        <v>5.5018184320000003</v>
      </c>
      <c r="Q475">
        <v>5.9374487550000001</v>
      </c>
    </row>
    <row r="476" spans="1:17" x14ac:dyDescent="0.25">
      <c r="A476" t="s">
        <v>5</v>
      </c>
      <c r="B476" t="s">
        <v>6</v>
      </c>
      <c r="C476" t="s">
        <v>257</v>
      </c>
      <c r="D476" t="s">
        <v>251</v>
      </c>
      <c r="E476" t="s">
        <v>27</v>
      </c>
      <c r="F476">
        <v>3.1157652530000002</v>
      </c>
      <c r="G476">
        <v>3.8339710880000002</v>
      </c>
      <c r="H476">
        <v>4.9863135989999998</v>
      </c>
      <c r="I476">
        <v>10.44400093</v>
      </c>
      <c r="J476">
        <v>4.671900247</v>
      </c>
      <c r="K476">
        <v>4.6437518889999998</v>
      </c>
      <c r="L476">
        <v>4.482997042</v>
      </c>
      <c r="M476">
        <v>4.1537432750000001</v>
      </c>
      <c r="N476">
        <v>3.6991617570000002</v>
      </c>
      <c r="O476">
        <v>3.2162169980000002</v>
      </c>
      <c r="P476">
        <v>3.561602465</v>
      </c>
      <c r="Q476">
        <v>3.9878837360000001</v>
      </c>
    </row>
    <row r="477" spans="1:17" x14ac:dyDescent="0.25">
      <c r="A477" t="s">
        <v>5</v>
      </c>
      <c r="B477" t="s">
        <v>6</v>
      </c>
      <c r="C477" t="s">
        <v>257</v>
      </c>
      <c r="D477" t="s">
        <v>252</v>
      </c>
      <c r="E477" t="s">
        <v>27</v>
      </c>
      <c r="F477">
        <v>107.9739663</v>
      </c>
      <c r="G477">
        <v>126.8861107</v>
      </c>
      <c r="H477">
        <v>177.82016830000001</v>
      </c>
      <c r="I477">
        <v>187.6705977</v>
      </c>
      <c r="J477">
        <v>145.1754239</v>
      </c>
      <c r="K477">
        <v>147.0633876</v>
      </c>
      <c r="L477">
        <v>149.97450689999999</v>
      </c>
      <c r="M477">
        <v>151.0841795</v>
      </c>
      <c r="N477">
        <v>151.01832160000001</v>
      </c>
      <c r="O477">
        <v>151.707718</v>
      </c>
      <c r="P477">
        <v>166.4541389</v>
      </c>
      <c r="Q477">
        <v>182.5978925</v>
      </c>
    </row>
    <row r="478" spans="1:17" x14ac:dyDescent="0.25">
      <c r="A478" t="s">
        <v>5</v>
      </c>
      <c r="B478" t="s">
        <v>6</v>
      </c>
      <c r="C478" t="s">
        <v>257</v>
      </c>
      <c r="D478" t="s">
        <v>253</v>
      </c>
      <c r="E478" t="s">
        <v>27</v>
      </c>
      <c r="F478">
        <v>0.184407458</v>
      </c>
      <c r="G478">
        <v>0.22785074799999999</v>
      </c>
      <c r="H478">
        <v>0.29887161000000001</v>
      </c>
      <c r="I478">
        <v>0.74362650399999997</v>
      </c>
      <c r="J478">
        <v>0.34653922799999998</v>
      </c>
      <c r="K478">
        <v>0.38630642599999998</v>
      </c>
      <c r="L478">
        <v>0.43693879699999999</v>
      </c>
      <c r="M478">
        <v>0.49388000199999998</v>
      </c>
      <c r="N478">
        <v>0.56435716000000002</v>
      </c>
      <c r="O478">
        <v>0.65021396600000003</v>
      </c>
      <c r="P478">
        <v>0.75419983499999999</v>
      </c>
      <c r="Q478">
        <v>0.84952174000000003</v>
      </c>
    </row>
    <row r="479" spans="1:17" x14ac:dyDescent="0.25">
      <c r="A479" t="s">
        <v>5</v>
      </c>
      <c r="B479" t="s">
        <v>6</v>
      </c>
      <c r="C479" t="s">
        <v>257</v>
      </c>
      <c r="D479" t="s">
        <v>254</v>
      </c>
      <c r="E479" t="s">
        <v>27</v>
      </c>
      <c r="F479">
        <v>0.121855751</v>
      </c>
      <c r="G479">
        <v>0.14967403600000001</v>
      </c>
      <c r="H479">
        <v>0.21319829900000001</v>
      </c>
      <c r="I479">
        <v>0.29827822700000001</v>
      </c>
      <c r="J479">
        <v>0.226790563</v>
      </c>
      <c r="K479">
        <v>0.25640313399999998</v>
      </c>
      <c r="L479">
        <v>0.29888197100000002</v>
      </c>
      <c r="M479">
        <v>0.34372043299999999</v>
      </c>
      <c r="N479">
        <v>0.39823882799999999</v>
      </c>
      <c r="O479">
        <v>0.46748524600000002</v>
      </c>
      <c r="P479">
        <v>0.56581262799999998</v>
      </c>
      <c r="Q479">
        <v>0.66641940600000005</v>
      </c>
    </row>
    <row r="480" spans="1:17" x14ac:dyDescent="0.25">
      <c r="A480" t="s">
        <v>5</v>
      </c>
      <c r="B480" t="s">
        <v>6</v>
      </c>
      <c r="C480" t="s">
        <v>257</v>
      </c>
      <c r="D480" t="s">
        <v>255</v>
      </c>
      <c r="E480" t="s">
        <v>27</v>
      </c>
      <c r="F480">
        <v>0.56131040899999995</v>
      </c>
      <c r="G480">
        <v>0.64895138699999999</v>
      </c>
      <c r="H480">
        <v>0.92039978700000002</v>
      </c>
      <c r="I480">
        <v>1.0505036759999999</v>
      </c>
      <c r="J480">
        <v>0.68859868499999999</v>
      </c>
      <c r="K480">
        <v>0.60991975099999995</v>
      </c>
      <c r="L480">
        <v>0.52557023599999997</v>
      </c>
      <c r="M480">
        <v>0.42881868200000001</v>
      </c>
      <c r="N480">
        <v>0.325740957</v>
      </c>
      <c r="O480">
        <v>0.23736596900000001</v>
      </c>
      <c r="P480">
        <v>0.24570797599999999</v>
      </c>
      <c r="Q480">
        <v>0.26659668600000003</v>
      </c>
    </row>
    <row r="481" spans="1:17" x14ac:dyDescent="0.25">
      <c r="A481" t="s">
        <v>5</v>
      </c>
      <c r="B481" t="s">
        <v>6</v>
      </c>
      <c r="C481" t="s">
        <v>257</v>
      </c>
      <c r="D481" t="s">
        <v>256</v>
      </c>
      <c r="E481" t="s">
        <v>27</v>
      </c>
      <c r="F481">
        <v>3.1568576899999998</v>
      </c>
      <c r="G481">
        <v>3.8880185489999999</v>
      </c>
      <c r="H481">
        <v>5.0337117280000001</v>
      </c>
      <c r="I481">
        <v>5.10409603</v>
      </c>
      <c r="J481">
        <v>4.0814753760000002</v>
      </c>
      <c r="K481">
        <v>3.9124164939999999</v>
      </c>
      <c r="L481">
        <v>3.7774340880000001</v>
      </c>
      <c r="M481">
        <v>3.596430738</v>
      </c>
      <c r="N481">
        <v>3.3702986410000002</v>
      </c>
      <c r="O481">
        <v>3.1725053459999999</v>
      </c>
      <c r="P481">
        <v>3.4013205360000001</v>
      </c>
      <c r="Q481">
        <v>3.6790728760000002</v>
      </c>
    </row>
    <row r="482" spans="1:17" x14ac:dyDescent="0.25">
      <c r="A482" t="s">
        <v>5</v>
      </c>
      <c r="B482" t="s">
        <v>6</v>
      </c>
      <c r="C482" t="s">
        <v>258</v>
      </c>
      <c r="D482" t="s">
        <v>8</v>
      </c>
      <c r="E482" t="s">
        <v>9</v>
      </c>
      <c r="F482">
        <v>16565.39961</v>
      </c>
      <c r="G482">
        <v>13644.94744</v>
      </c>
      <c r="H482">
        <v>16377.42467</v>
      </c>
      <c r="I482">
        <v>15568.90302</v>
      </c>
      <c r="J482">
        <v>22630.714090000001</v>
      </c>
      <c r="K482">
        <v>21001.439900000001</v>
      </c>
      <c r="L482">
        <v>23294.462780000002</v>
      </c>
      <c r="M482">
        <v>22543.550449999999</v>
      </c>
      <c r="N482">
        <v>23893.124879999999</v>
      </c>
      <c r="O482">
        <v>24638.0488</v>
      </c>
      <c r="P482">
        <v>25237.598750000001</v>
      </c>
      <c r="Q482">
        <v>25993.17527</v>
      </c>
    </row>
    <row r="483" spans="1:17" x14ac:dyDescent="0.25">
      <c r="A483" t="s">
        <v>5</v>
      </c>
      <c r="B483" t="s">
        <v>6</v>
      </c>
      <c r="C483" t="s">
        <v>258</v>
      </c>
      <c r="D483" t="s">
        <v>10</v>
      </c>
      <c r="E483" t="s">
        <v>9</v>
      </c>
      <c r="F483">
        <v>112.0888465</v>
      </c>
      <c r="G483">
        <v>90.52003741</v>
      </c>
      <c r="H483">
        <v>96.342168060000006</v>
      </c>
      <c r="I483">
        <v>85.102149600000004</v>
      </c>
      <c r="J483">
        <v>142.11526570000001</v>
      </c>
      <c r="K483">
        <v>115.5518594</v>
      </c>
      <c r="L483">
        <v>127.0178757</v>
      </c>
      <c r="M483">
        <v>126.99443789999999</v>
      </c>
      <c r="N483">
        <v>135.84292719999999</v>
      </c>
      <c r="O483">
        <v>145.4913574</v>
      </c>
      <c r="P483">
        <v>149.77540980000001</v>
      </c>
      <c r="Q483">
        <v>151.5700732</v>
      </c>
    </row>
    <row r="484" spans="1:17" x14ac:dyDescent="0.25">
      <c r="A484" t="s">
        <v>5</v>
      </c>
      <c r="B484" t="s">
        <v>6</v>
      </c>
      <c r="C484" t="s">
        <v>258</v>
      </c>
      <c r="D484" t="s">
        <v>11</v>
      </c>
      <c r="E484" t="s">
        <v>9</v>
      </c>
      <c r="F484">
        <v>7824.8899240000001</v>
      </c>
      <c r="G484">
        <v>7592.9535489999998</v>
      </c>
      <c r="H484">
        <v>9270.6798689999996</v>
      </c>
      <c r="I484">
        <v>6079.2394489999997</v>
      </c>
      <c r="J484">
        <v>10820.7844</v>
      </c>
      <c r="K484">
        <v>8055.379852</v>
      </c>
      <c r="L484">
        <v>9127.2013330000009</v>
      </c>
      <c r="M484">
        <v>8169.1440229999998</v>
      </c>
      <c r="N484">
        <v>8236.5904559999999</v>
      </c>
      <c r="O484">
        <v>7921.1334820000002</v>
      </c>
      <c r="P484">
        <v>7882.0287539999999</v>
      </c>
      <c r="Q484">
        <v>7987.376945</v>
      </c>
    </row>
    <row r="485" spans="1:17" x14ac:dyDescent="0.25">
      <c r="A485" t="s">
        <v>5</v>
      </c>
      <c r="B485" t="s">
        <v>6</v>
      </c>
      <c r="C485" t="s">
        <v>258</v>
      </c>
      <c r="D485" t="s">
        <v>12</v>
      </c>
      <c r="E485" t="s">
        <v>9</v>
      </c>
      <c r="F485">
        <v>749.55103259999998</v>
      </c>
      <c r="G485">
        <v>498.54797150000002</v>
      </c>
      <c r="H485">
        <v>921.8635845</v>
      </c>
      <c r="I485">
        <v>793.90503009999998</v>
      </c>
      <c r="J485">
        <v>891.71452160000001</v>
      </c>
      <c r="K485">
        <v>951.61374450000005</v>
      </c>
      <c r="L485">
        <v>1082.1958729999999</v>
      </c>
      <c r="M485">
        <v>1155.830091</v>
      </c>
      <c r="N485">
        <v>1191.0416849999999</v>
      </c>
      <c r="O485">
        <v>1270.2535969999999</v>
      </c>
      <c r="P485">
        <v>1332.5773320000001</v>
      </c>
      <c r="Q485">
        <v>1378.9156849999999</v>
      </c>
    </row>
    <row r="486" spans="1:17" x14ac:dyDescent="0.25">
      <c r="A486" t="s">
        <v>5</v>
      </c>
      <c r="B486" t="s">
        <v>6</v>
      </c>
      <c r="C486" t="s">
        <v>258</v>
      </c>
      <c r="D486" t="s">
        <v>13</v>
      </c>
      <c r="E486" t="s">
        <v>9</v>
      </c>
      <c r="F486">
        <v>0.28864457399999999</v>
      </c>
      <c r="G486">
        <v>0.268916926</v>
      </c>
      <c r="H486">
        <v>0.38686702499999998</v>
      </c>
      <c r="I486">
        <v>0.22681015199999999</v>
      </c>
      <c r="J486">
        <v>0.48315617999999999</v>
      </c>
      <c r="K486">
        <v>0.274398584</v>
      </c>
      <c r="L486">
        <v>0.30741259799999998</v>
      </c>
      <c r="M486">
        <v>0.22942299699999999</v>
      </c>
      <c r="N486">
        <v>0.21385771200000001</v>
      </c>
      <c r="O486">
        <v>0.2154577</v>
      </c>
      <c r="P486">
        <v>0.21894171100000001</v>
      </c>
      <c r="Q486">
        <v>0.22048838400000001</v>
      </c>
    </row>
    <row r="487" spans="1:17" x14ac:dyDescent="0.25">
      <c r="A487" t="s">
        <v>5</v>
      </c>
      <c r="B487" t="s">
        <v>6</v>
      </c>
      <c r="C487" t="s">
        <v>258</v>
      </c>
      <c r="D487" t="s">
        <v>14</v>
      </c>
      <c r="E487" t="s">
        <v>9</v>
      </c>
      <c r="F487">
        <v>0.30788416600000001</v>
      </c>
      <c r="G487">
        <v>0.121101233</v>
      </c>
      <c r="H487">
        <v>0.26504697500000002</v>
      </c>
      <c r="I487">
        <v>0.27461854299999999</v>
      </c>
      <c r="J487">
        <v>0.30517198600000001</v>
      </c>
      <c r="K487">
        <v>0.32537818899999998</v>
      </c>
      <c r="L487">
        <v>0.36239861899999998</v>
      </c>
      <c r="M487">
        <v>0.36577649200000001</v>
      </c>
      <c r="N487">
        <v>0.36249514399999999</v>
      </c>
      <c r="O487">
        <v>0.36305843700000001</v>
      </c>
      <c r="P487">
        <v>0.34257873100000003</v>
      </c>
      <c r="Q487">
        <v>0.36333575899999998</v>
      </c>
    </row>
    <row r="488" spans="1:17" x14ac:dyDescent="0.25">
      <c r="A488" t="s">
        <v>5</v>
      </c>
      <c r="B488" t="s">
        <v>6</v>
      </c>
      <c r="C488" t="s">
        <v>258</v>
      </c>
      <c r="D488" t="s">
        <v>15</v>
      </c>
      <c r="E488" t="s">
        <v>9</v>
      </c>
      <c r="F488">
        <v>0.20702636399999999</v>
      </c>
      <c r="G488">
        <v>0.13734339700000001</v>
      </c>
      <c r="H488">
        <v>0.30267392300000001</v>
      </c>
      <c r="I488">
        <v>0.52327352299999996</v>
      </c>
      <c r="J488">
        <v>0.29591252099999998</v>
      </c>
      <c r="K488">
        <v>0.124029048</v>
      </c>
      <c r="L488">
        <v>0.22671401699999999</v>
      </c>
      <c r="M488">
        <v>0.35843931600000001</v>
      </c>
      <c r="N488">
        <v>0.45808339300000001</v>
      </c>
      <c r="O488">
        <v>0.44139471000000002</v>
      </c>
      <c r="P488">
        <v>0.445732821</v>
      </c>
      <c r="Q488">
        <v>0.49368452200000001</v>
      </c>
    </row>
    <row r="489" spans="1:17" x14ac:dyDescent="0.25">
      <c r="A489" t="s">
        <v>5</v>
      </c>
      <c r="B489" t="s">
        <v>6</v>
      </c>
      <c r="C489" t="s">
        <v>258</v>
      </c>
      <c r="D489" t="s">
        <v>16</v>
      </c>
      <c r="E489" t="s">
        <v>9</v>
      </c>
      <c r="F489">
        <v>0.102695045</v>
      </c>
      <c r="G489">
        <v>4.8399616999999999E-2</v>
      </c>
      <c r="H489">
        <v>0.133498803</v>
      </c>
      <c r="I489">
        <v>0.21004539899999999</v>
      </c>
      <c r="J489">
        <v>0.14154455399999999</v>
      </c>
      <c r="K489">
        <v>9.6936631999999995E-2</v>
      </c>
      <c r="L489">
        <v>0.13419858200000001</v>
      </c>
      <c r="M489">
        <v>0.177784203</v>
      </c>
      <c r="N489">
        <v>0.202835402</v>
      </c>
      <c r="O489">
        <v>0.19142584600000001</v>
      </c>
      <c r="P489">
        <v>0.18772624700000001</v>
      </c>
      <c r="Q489">
        <v>0.20167174500000001</v>
      </c>
    </row>
    <row r="490" spans="1:17" x14ac:dyDescent="0.25">
      <c r="A490" t="s">
        <v>5</v>
      </c>
      <c r="B490" t="s">
        <v>6</v>
      </c>
      <c r="C490" t="s">
        <v>258</v>
      </c>
      <c r="D490" t="s">
        <v>17</v>
      </c>
      <c r="E490" t="s">
        <v>9</v>
      </c>
      <c r="F490">
        <v>2.366901967</v>
      </c>
      <c r="G490">
        <v>1.219678145</v>
      </c>
      <c r="H490">
        <v>1.9522374220000001</v>
      </c>
      <c r="I490">
        <v>2.6137382630000001</v>
      </c>
      <c r="J490">
        <v>2.0981092920000002</v>
      </c>
      <c r="K490">
        <v>2.3649627209999999</v>
      </c>
      <c r="L490">
        <v>2.4921317950000001</v>
      </c>
      <c r="M490">
        <v>2.6096523519999999</v>
      </c>
      <c r="N490">
        <v>2.6014340329999999</v>
      </c>
      <c r="O490">
        <v>2.5904575419999998</v>
      </c>
      <c r="P490">
        <v>2.602971777</v>
      </c>
      <c r="Q490">
        <v>2.677012172</v>
      </c>
    </row>
    <row r="491" spans="1:17" x14ac:dyDescent="0.25">
      <c r="A491" t="s">
        <v>5</v>
      </c>
      <c r="B491" t="s">
        <v>6</v>
      </c>
      <c r="C491" t="s">
        <v>258</v>
      </c>
      <c r="D491" t="s">
        <v>18</v>
      </c>
      <c r="E491" t="s">
        <v>19</v>
      </c>
      <c r="F491">
        <v>224789285.09999999</v>
      </c>
      <c r="G491">
        <v>119228276.3</v>
      </c>
      <c r="H491">
        <v>177588149.80000001</v>
      </c>
      <c r="I491">
        <v>116584334.59999999</v>
      </c>
      <c r="J491">
        <v>170624896.09999999</v>
      </c>
      <c r="K491">
        <v>180111526.19999999</v>
      </c>
      <c r="L491">
        <v>177964790.69999999</v>
      </c>
      <c r="M491">
        <v>176535039.40000001</v>
      </c>
      <c r="N491">
        <v>174150664.19999999</v>
      </c>
      <c r="O491">
        <v>169432032.69999999</v>
      </c>
      <c r="P491">
        <v>162463529.5</v>
      </c>
      <c r="Q491">
        <v>159731874.19999999</v>
      </c>
    </row>
    <row r="492" spans="1:17" x14ac:dyDescent="0.25">
      <c r="A492" t="s">
        <v>5</v>
      </c>
      <c r="B492" t="s">
        <v>6</v>
      </c>
      <c r="C492" t="s">
        <v>258</v>
      </c>
      <c r="D492" t="s">
        <v>20</v>
      </c>
      <c r="E492" t="s">
        <v>19</v>
      </c>
      <c r="F492">
        <v>212296910.69999999</v>
      </c>
      <c r="G492">
        <v>145813559.5</v>
      </c>
      <c r="H492">
        <v>213574919.30000001</v>
      </c>
      <c r="I492">
        <v>164732298.5</v>
      </c>
      <c r="J492">
        <v>217555887.09999999</v>
      </c>
      <c r="K492">
        <v>227981532.59999999</v>
      </c>
      <c r="L492">
        <v>234919238.5</v>
      </c>
      <c r="M492">
        <v>238430563.19999999</v>
      </c>
      <c r="N492">
        <v>239797655.69999999</v>
      </c>
      <c r="O492">
        <v>237505967.19999999</v>
      </c>
      <c r="P492">
        <v>231042655.90000001</v>
      </c>
      <c r="Q492">
        <v>231847500.90000001</v>
      </c>
    </row>
    <row r="493" spans="1:17" x14ac:dyDescent="0.25">
      <c r="A493" t="s">
        <v>5</v>
      </c>
      <c r="B493" t="s">
        <v>6</v>
      </c>
      <c r="C493" t="s">
        <v>258</v>
      </c>
      <c r="D493" t="s">
        <v>21</v>
      </c>
      <c r="E493" t="s">
        <v>19</v>
      </c>
      <c r="F493">
        <v>162337731.80000001</v>
      </c>
      <c r="G493">
        <v>107671819.3</v>
      </c>
      <c r="H493">
        <v>169955990.80000001</v>
      </c>
      <c r="I493">
        <v>129293763.59999999</v>
      </c>
      <c r="J493">
        <v>168463318.40000001</v>
      </c>
      <c r="K493">
        <v>175622617</v>
      </c>
      <c r="L493">
        <v>178212920.69999999</v>
      </c>
      <c r="M493">
        <v>179652684.90000001</v>
      </c>
      <c r="N493">
        <v>179477896.09999999</v>
      </c>
      <c r="O493">
        <v>177655629.80000001</v>
      </c>
      <c r="P493">
        <v>173384330.80000001</v>
      </c>
      <c r="Q493">
        <v>173759029.19999999</v>
      </c>
    </row>
    <row r="494" spans="1:17" x14ac:dyDescent="0.25">
      <c r="A494" t="s">
        <v>5</v>
      </c>
      <c r="B494" t="s">
        <v>6</v>
      </c>
      <c r="C494" t="s">
        <v>258</v>
      </c>
      <c r="D494" t="s">
        <v>22</v>
      </c>
      <c r="E494" t="s">
        <v>19</v>
      </c>
      <c r="F494">
        <v>87785191.200000003</v>
      </c>
      <c r="G494">
        <v>54790655.079999998</v>
      </c>
      <c r="H494">
        <v>75875415.920000002</v>
      </c>
      <c r="I494">
        <v>99491475.730000004</v>
      </c>
      <c r="J494">
        <v>91672676.409999996</v>
      </c>
      <c r="K494">
        <v>104411664.09999999</v>
      </c>
      <c r="L494">
        <v>111100471</v>
      </c>
      <c r="M494">
        <v>117201203</v>
      </c>
      <c r="N494">
        <v>119843900.5</v>
      </c>
      <c r="O494">
        <v>122558473.7</v>
      </c>
      <c r="P494">
        <v>126619102.59999999</v>
      </c>
      <c r="Q494">
        <v>128243342</v>
      </c>
    </row>
    <row r="495" spans="1:17" x14ac:dyDescent="0.25">
      <c r="A495" t="s">
        <v>5</v>
      </c>
      <c r="B495" t="s">
        <v>6</v>
      </c>
      <c r="C495" t="s">
        <v>258</v>
      </c>
      <c r="D495" t="s">
        <v>23</v>
      </c>
      <c r="E495" t="s">
        <v>19</v>
      </c>
      <c r="F495">
        <v>29927263.690000001</v>
      </c>
      <c r="G495">
        <v>19271852.25</v>
      </c>
      <c r="H495">
        <v>26328161.48</v>
      </c>
      <c r="I495">
        <v>31783615.879999999</v>
      </c>
      <c r="J495">
        <v>30688637.73</v>
      </c>
      <c r="K495">
        <v>34226131.310000002</v>
      </c>
      <c r="L495">
        <v>36231442.649999999</v>
      </c>
      <c r="M495">
        <v>38304190.109999999</v>
      </c>
      <c r="N495">
        <v>39530205.840000004</v>
      </c>
      <c r="O495">
        <v>40812481.509999998</v>
      </c>
      <c r="P495">
        <v>42554346.460000001</v>
      </c>
      <c r="Q495">
        <v>43854269.060000002</v>
      </c>
    </row>
    <row r="496" spans="1:17" x14ac:dyDescent="0.25">
      <c r="A496" t="s">
        <v>5</v>
      </c>
      <c r="B496" t="s">
        <v>6</v>
      </c>
      <c r="C496" t="s">
        <v>258</v>
      </c>
      <c r="D496" t="s">
        <v>24</v>
      </c>
      <c r="E496" t="s">
        <v>19</v>
      </c>
      <c r="F496">
        <v>59072949.689999998</v>
      </c>
      <c r="G496">
        <v>37995075.590000004</v>
      </c>
      <c r="H496">
        <v>51902580.880000003</v>
      </c>
      <c r="I496">
        <v>62233839.729999997</v>
      </c>
      <c r="J496">
        <v>60489011.590000004</v>
      </c>
      <c r="K496">
        <v>66031102.060000002</v>
      </c>
      <c r="L496">
        <v>68040768.590000004</v>
      </c>
      <c r="M496">
        <v>69559055.900000006</v>
      </c>
      <c r="N496">
        <v>69389919.620000005</v>
      </c>
      <c r="O496">
        <v>69529952.370000005</v>
      </c>
      <c r="P496">
        <v>70197256.099999994</v>
      </c>
      <c r="Q496">
        <v>69336429.989999995</v>
      </c>
    </row>
    <row r="497" spans="1:17" x14ac:dyDescent="0.25">
      <c r="A497" t="s">
        <v>5</v>
      </c>
      <c r="B497" t="s">
        <v>6</v>
      </c>
      <c r="C497" t="s">
        <v>258</v>
      </c>
      <c r="D497" t="s">
        <v>25</v>
      </c>
      <c r="E497" t="s">
        <v>19</v>
      </c>
      <c r="F497">
        <v>151072474.90000001</v>
      </c>
      <c r="G497">
        <v>109551494.8</v>
      </c>
      <c r="H497">
        <v>135861094.09999999</v>
      </c>
      <c r="I497">
        <v>134847265.59999999</v>
      </c>
      <c r="J497">
        <v>146203090.5</v>
      </c>
      <c r="K497">
        <v>150901806.09999999</v>
      </c>
      <c r="L497">
        <v>151651482.19999999</v>
      </c>
      <c r="M497">
        <v>152574596.69999999</v>
      </c>
      <c r="N497">
        <v>151711769.40000001</v>
      </c>
      <c r="O497">
        <v>151294745.19999999</v>
      </c>
      <c r="P497">
        <v>151370041.30000001</v>
      </c>
      <c r="Q497">
        <v>150070113</v>
      </c>
    </row>
    <row r="498" spans="1:17" x14ac:dyDescent="0.25">
      <c r="A498" t="s">
        <v>5</v>
      </c>
      <c r="B498" t="s">
        <v>6</v>
      </c>
      <c r="C498" t="s">
        <v>258</v>
      </c>
      <c r="D498" t="s">
        <v>26</v>
      </c>
      <c r="E498" t="s">
        <v>27</v>
      </c>
      <c r="F498">
        <v>14.713444859999999</v>
      </c>
      <c r="G498">
        <v>12.17514407</v>
      </c>
      <c r="H498">
        <v>14.59900871</v>
      </c>
      <c r="I498">
        <v>13.839858980000001</v>
      </c>
      <c r="J498">
        <v>19.833760699999999</v>
      </c>
      <c r="K498">
        <v>18.085407199999999</v>
      </c>
      <c r="L498">
        <v>20.040666040000001</v>
      </c>
      <c r="M498">
        <v>19.495372530000001</v>
      </c>
      <c r="N498">
        <v>20.625653809999999</v>
      </c>
      <c r="O498">
        <v>21.185441390000001</v>
      </c>
      <c r="P498">
        <v>21.68127024</v>
      </c>
      <c r="Q498">
        <v>22.331971800000002</v>
      </c>
    </row>
    <row r="499" spans="1:17" x14ac:dyDescent="0.25">
      <c r="A499" t="s">
        <v>5</v>
      </c>
      <c r="B499" t="s">
        <v>6</v>
      </c>
      <c r="C499" t="s">
        <v>258</v>
      </c>
      <c r="D499" t="s">
        <v>28</v>
      </c>
      <c r="E499" t="s">
        <v>27</v>
      </c>
      <c r="F499">
        <v>19.121929550000001</v>
      </c>
      <c r="G499">
        <v>15.29724002</v>
      </c>
      <c r="H499">
        <v>19.499287429999999</v>
      </c>
      <c r="I499">
        <v>18.267701339999999</v>
      </c>
      <c r="J499">
        <v>25.085240949999999</v>
      </c>
      <c r="K499">
        <v>23.463347580000001</v>
      </c>
      <c r="L499">
        <v>26.119491050000001</v>
      </c>
      <c r="M499">
        <v>25.882738369999998</v>
      </c>
      <c r="N499">
        <v>27.37874845</v>
      </c>
      <c r="O499">
        <v>28.348775960000001</v>
      </c>
      <c r="P499">
        <v>29.15172342</v>
      </c>
      <c r="Q499">
        <v>30.083088610000001</v>
      </c>
    </row>
    <row r="500" spans="1:17" x14ac:dyDescent="0.25">
      <c r="A500" t="s">
        <v>5</v>
      </c>
      <c r="B500" t="s">
        <v>6</v>
      </c>
      <c r="C500" t="s">
        <v>258</v>
      </c>
      <c r="D500" t="s">
        <v>29</v>
      </c>
      <c r="E500" t="s">
        <v>27</v>
      </c>
      <c r="F500">
        <v>0.57540059300000002</v>
      </c>
      <c r="G500">
        <v>0.26156308900000003</v>
      </c>
      <c r="H500">
        <v>0.52595702200000005</v>
      </c>
      <c r="I500">
        <v>0.50917165600000003</v>
      </c>
      <c r="J500">
        <v>0.62179543299999995</v>
      </c>
      <c r="K500">
        <v>0.61360429699999997</v>
      </c>
      <c r="L500">
        <v>0.68921628599999996</v>
      </c>
      <c r="M500">
        <v>0.68713078299999997</v>
      </c>
      <c r="N500">
        <v>0.68409040099999996</v>
      </c>
      <c r="O500">
        <v>0.69037731400000002</v>
      </c>
      <c r="P500">
        <v>0.66281145500000005</v>
      </c>
      <c r="Q500">
        <v>0.70513502699999997</v>
      </c>
    </row>
    <row r="501" spans="1:17" x14ac:dyDescent="0.25">
      <c r="A501" t="s">
        <v>5</v>
      </c>
      <c r="B501" t="s">
        <v>6</v>
      </c>
      <c r="C501" t="s">
        <v>258</v>
      </c>
      <c r="D501" t="s">
        <v>30</v>
      </c>
      <c r="E501" t="s">
        <v>27</v>
      </c>
      <c r="F501">
        <v>2.0141730000000002E-3</v>
      </c>
      <c r="G501">
        <v>1.166041E-3</v>
      </c>
      <c r="H501">
        <v>2.8011830000000001E-3</v>
      </c>
      <c r="I501">
        <v>4.6637800000000002E-3</v>
      </c>
      <c r="J501">
        <v>2.8337330000000002E-3</v>
      </c>
      <c r="K501">
        <v>1.5121480000000001E-3</v>
      </c>
      <c r="L501">
        <v>2.3932210000000001E-3</v>
      </c>
      <c r="M501">
        <v>3.4871170000000001E-3</v>
      </c>
      <c r="N501">
        <v>4.2462869999999996E-3</v>
      </c>
      <c r="O501">
        <v>4.0569129999999997E-3</v>
      </c>
      <c r="P501">
        <v>4.0486439999999997E-3</v>
      </c>
      <c r="Q501">
        <v>4.4302839999999996E-3</v>
      </c>
    </row>
    <row r="502" spans="1:17" x14ac:dyDescent="0.25">
      <c r="A502" t="s">
        <v>5</v>
      </c>
      <c r="B502" t="s">
        <v>6</v>
      </c>
      <c r="C502" t="s">
        <v>258</v>
      </c>
      <c r="D502" t="s">
        <v>31</v>
      </c>
      <c r="E502" t="s">
        <v>27</v>
      </c>
      <c r="F502">
        <v>1.6153560739999999</v>
      </c>
      <c r="G502">
        <v>0.56897019999999998</v>
      </c>
      <c r="H502">
        <v>1.231962317</v>
      </c>
      <c r="I502">
        <v>1.6931515960000001</v>
      </c>
      <c r="J502">
        <v>1.2581643360000001</v>
      </c>
      <c r="K502">
        <v>1.442796714</v>
      </c>
      <c r="L502">
        <v>1.5083067939999999</v>
      </c>
      <c r="M502">
        <v>1.6045681890000001</v>
      </c>
      <c r="N502">
        <v>1.615509989</v>
      </c>
      <c r="O502">
        <v>1.6318489220000001</v>
      </c>
      <c r="P502">
        <v>1.6569260619999999</v>
      </c>
      <c r="Q502">
        <v>1.703752527</v>
      </c>
    </row>
    <row r="503" spans="1:17" x14ac:dyDescent="0.25">
      <c r="A503" t="s">
        <v>5</v>
      </c>
      <c r="B503" t="s">
        <v>6</v>
      </c>
      <c r="C503" t="s">
        <v>258</v>
      </c>
      <c r="D503" t="s">
        <v>32</v>
      </c>
      <c r="E503" t="s">
        <v>27</v>
      </c>
      <c r="F503">
        <v>2.3236129779999999</v>
      </c>
      <c r="G503">
        <v>1.874815304</v>
      </c>
      <c r="H503">
        <v>2.6016501650000001</v>
      </c>
      <c r="I503">
        <v>2.4455854050000001</v>
      </c>
      <c r="J503">
        <v>4.5215778330000003</v>
      </c>
      <c r="K503">
        <v>4.9598135010000002</v>
      </c>
      <c r="L503">
        <v>5.4218138229999999</v>
      </c>
      <c r="M503">
        <v>5.02918311</v>
      </c>
      <c r="N503">
        <v>5.727359367</v>
      </c>
      <c r="O503">
        <v>6.3195128890000003</v>
      </c>
      <c r="P503">
        <v>6.5340939789999997</v>
      </c>
      <c r="Q503">
        <v>6.602201601</v>
      </c>
    </row>
    <row r="504" spans="1:17" x14ac:dyDescent="0.25">
      <c r="A504" t="s">
        <v>5</v>
      </c>
      <c r="B504" t="s">
        <v>6</v>
      </c>
      <c r="C504" t="s">
        <v>258</v>
      </c>
      <c r="D504" t="s">
        <v>33</v>
      </c>
      <c r="E504" t="s">
        <v>27</v>
      </c>
      <c r="F504">
        <v>2.8576336539999998</v>
      </c>
      <c r="G504">
        <v>2.2953122370000001</v>
      </c>
      <c r="H504">
        <v>3.1334729210000001</v>
      </c>
      <c r="I504">
        <v>2.900992048</v>
      </c>
      <c r="J504">
        <v>5.1941487630000003</v>
      </c>
      <c r="K504">
        <v>5.5553909580000003</v>
      </c>
      <c r="L504">
        <v>6.092255583</v>
      </c>
      <c r="M504">
        <v>5.7113538669999997</v>
      </c>
      <c r="N504">
        <v>6.4502187070000003</v>
      </c>
      <c r="O504">
        <v>7.0849381859999996</v>
      </c>
      <c r="P504">
        <v>7.3250621679999997</v>
      </c>
      <c r="Q504">
        <v>7.4110066369999998</v>
      </c>
    </row>
    <row r="505" spans="1:17" x14ac:dyDescent="0.25">
      <c r="A505" t="s">
        <v>5</v>
      </c>
      <c r="B505" t="s">
        <v>6</v>
      </c>
      <c r="C505" t="s">
        <v>258</v>
      </c>
      <c r="D505" t="s">
        <v>34</v>
      </c>
      <c r="E505" t="s">
        <v>27</v>
      </c>
      <c r="F505">
        <v>5.9990083999999999E-2</v>
      </c>
      <c r="G505">
        <v>4.0788787E-2</v>
      </c>
      <c r="H505">
        <v>6.6630538000000003E-2</v>
      </c>
      <c r="I505">
        <v>5.1337504999999999E-2</v>
      </c>
      <c r="J505">
        <v>8.4124158000000004E-2</v>
      </c>
      <c r="K505">
        <v>6.5266110000000002E-2</v>
      </c>
      <c r="L505">
        <v>7.5165674000000002E-2</v>
      </c>
      <c r="M505">
        <v>7.1067294000000003E-2</v>
      </c>
      <c r="N505">
        <v>7.1546358000000004E-2</v>
      </c>
      <c r="O505">
        <v>7.3881115999999997E-2</v>
      </c>
      <c r="P505">
        <v>7.4748817999999995E-2</v>
      </c>
      <c r="Q505">
        <v>8.0015904999999998E-2</v>
      </c>
    </row>
    <row r="506" spans="1:17" x14ac:dyDescent="0.25">
      <c r="A506" t="s">
        <v>5</v>
      </c>
      <c r="B506" t="s">
        <v>6</v>
      </c>
      <c r="C506" t="s">
        <v>258</v>
      </c>
      <c r="D506" t="s">
        <v>35</v>
      </c>
      <c r="E506" t="s">
        <v>27</v>
      </c>
      <c r="F506">
        <v>1.5218199E-2</v>
      </c>
      <c r="G506">
        <v>8.8100839999999993E-3</v>
      </c>
      <c r="H506">
        <v>2.1164492E-2</v>
      </c>
      <c r="I506">
        <v>3.5237449999999997E-2</v>
      </c>
      <c r="J506">
        <v>2.1410429000000002E-2</v>
      </c>
      <c r="K506">
        <v>1.1425121E-2</v>
      </c>
      <c r="L506">
        <v>1.8082113E-2</v>
      </c>
      <c r="M506">
        <v>2.6347103E-2</v>
      </c>
      <c r="N506">
        <v>3.2083057999999998E-2</v>
      </c>
      <c r="O506">
        <v>3.0652229999999999E-2</v>
      </c>
      <c r="P506">
        <v>3.0589755999999999E-2</v>
      </c>
      <c r="Q506">
        <v>3.3473253000000001E-2</v>
      </c>
    </row>
    <row r="507" spans="1:17" x14ac:dyDescent="0.25">
      <c r="A507" t="s">
        <v>5</v>
      </c>
      <c r="B507" t="s">
        <v>6</v>
      </c>
      <c r="C507" t="s">
        <v>258</v>
      </c>
      <c r="D507" t="s">
        <v>36</v>
      </c>
      <c r="E507" t="s">
        <v>27</v>
      </c>
      <c r="F507">
        <v>1.7751165999999999E-2</v>
      </c>
      <c r="G507">
        <v>6.2524199999999999E-3</v>
      </c>
      <c r="H507">
        <v>1.3538046999999999E-2</v>
      </c>
      <c r="I507">
        <v>1.8606061E-2</v>
      </c>
      <c r="J507">
        <v>1.3825982000000001E-2</v>
      </c>
      <c r="K507">
        <v>1.5854909E-2</v>
      </c>
      <c r="L507">
        <v>1.6574800000000001E-2</v>
      </c>
      <c r="M507">
        <v>1.7632617E-2</v>
      </c>
      <c r="N507">
        <v>1.7752857E-2</v>
      </c>
      <c r="O507">
        <v>1.7932406000000001E-2</v>
      </c>
      <c r="P507">
        <v>1.8207978999999999E-2</v>
      </c>
      <c r="Q507">
        <v>1.8722554999999998E-2</v>
      </c>
    </row>
    <row r="508" spans="1:17" x14ac:dyDescent="0.25">
      <c r="A508" t="s">
        <v>5</v>
      </c>
      <c r="B508" t="s">
        <v>6</v>
      </c>
      <c r="C508" t="s">
        <v>258</v>
      </c>
      <c r="D508" t="s">
        <v>37</v>
      </c>
      <c r="E508" t="s">
        <v>27</v>
      </c>
      <c r="F508">
        <v>0.498751375</v>
      </c>
      <c r="G508">
        <v>0.36853081199999999</v>
      </c>
      <c r="H508">
        <v>0.77321238299999995</v>
      </c>
      <c r="I508">
        <v>0.71614424399999999</v>
      </c>
      <c r="J508">
        <v>2.012999362</v>
      </c>
      <c r="K508">
        <v>2.5690052410000002</v>
      </c>
      <c r="L508">
        <v>2.688296695</v>
      </c>
      <c r="M508">
        <v>2.3727235969999998</v>
      </c>
      <c r="N508">
        <v>2.882946413</v>
      </c>
      <c r="O508">
        <v>3.363362908</v>
      </c>
      <c r="P508">
        <v>3.499360969</v>
      </c>
      <c r="Q508">
        <v>3.4786949919999999</v>
      </c>
    </row>
    <row r="509" spans="1:17" x14ac:dyDescent="0.25">
      <c r="A509" t="s">
        <v>5</v>
      </c>
      <c r="B509" t="s">
        <v>6</v>
      </c>
      <c r="C509" t="s">
        <v>258</v>
      </c>
      <c r="D509" t="s">
        <v>38</v>
      </c>
      <c r="E509" t="s">
        <v>27</v>
      </c>
      <c r="F509">
        <v>0.52825136800000005</v>
      </c>
      <c r="G509">
        <v>0.38897786899999998</v>
      </c>
      <c r="H509">
        <v>0.80752573100000002</v>
      </c>
      <c r="I509">
        <v>0.74745798500000005</v>
      </c>
      <c r="J509">
        <v>2.051801357</v>
      </c>
      <c r="K509">
        <v>2.612655148</v>
      </c>
      <c r="L509">
        <v>2.7400324110000001</v>
      </c>
      <c r="M509">
        <v>2.4300716370000002</v>
      </c>
      <c r="N509">
        <v>2.9455049070000001</v>
      </c>
      <c r="O509">
        <v>3.4308578070000002</v>
      </c>
      <c r="P509">
        <v>3.5700923659999999</v>
      </c>
      <c r="Q509">
        <v>3.5518906590000001</v>
      </c>
    </row>
    <row r="510" spans="1:17" x14ac:dyDescent="0.25">
      <c r="A510" t="s">
        <v>5</v>
      </c>
      <c r="B510" t="s">
        <v>6</v>
      </c>
      <c r="C510" t="s">
        <v>258</v>
      </c>
      <c r="D510" t="s">
        <v>39</v>
      </c>
      <c r="E510" t="s">
        <v>27</v>
      </c>
      <c r="F510">
        <v>1.31832E-3</v>
      </c>
      <c r="G510">
        <v>8.2703200000000001E-4</v>
      </c>
      <c r="H510">
        <v>1.3927480000000001E-3</v>
      </c>
      <c r="I510">
        <v>1.1785389999999999E-3</v>
      </c>
      <c r="J510">
        <v>1.8467360000000001E-3</v>
      </c>
      <c r="K510">
        <v>1.606059E-3</v>
      </c>
      <c r="L510">
        <v>1.9107740000000001E-3</v>
      </c>
      <c r="M510">
        <v>1.9839110000000001E-3</v>
      </c>
      <c r="N510">
        <v>2.0751960000000001E-3</v>
      </c>
      <c r="O510">
        <v>2.1893659999999999E-3</v>
      </c>
      <c r="P510">
        <v>2.2689239999999999E-3</v>
      </c>
      <c r="Q510">
        <v>2.4890310000000001E-3</v>
      </c>
    </row>
    <row r="511" spans="1:17" x14ac:dyDescent="0.25">
      <c r="A511" t="s">
        <v>5</v>
      </c>
      <c r="B511" t="s">
        <v>6</v>
      </c>
      <c r="C511" t="s">
        <v>258</v>
      </c>
      <c r="D511" t="s">
        <v>40</v>
      </c>
      <c r="E511" t="s">
        <v>27</v>
      </c>
      <c r="F511" s="1">
        <v>5.77E-5</v>
      </c>
      <c r="G511" s="1">
        <v>3.8300000000000003E-5</v>
      </c>
      <c r="H511" s="1">
        <v>8.4300000000000003E-5</v>
      </c>
      <c r="I511">
        <v>1.4576699999999999E-4</v>
      </c>
      <c r="J511" s="1">
        <v>8.2399999999999997E-5</v>
      </c>
      <c r="K511" s="1">
        <v>3.4600000000000001E-5</v>
      </c>
      <c r="L511" s="1">
        <v>6.3200000000000005E-5</v>
      </c>
      <c r="M511" s="1">
        <v>9.98E-5</v>
      </c>
      <c r="N511">
        <v>1.2760700000000001E-4</v>
      </c>
      <c r="O511">
        <v>1.22958E-4</v>
      </c>
      <c r="P511">
        <v>1.2416599999999999E-4</v>
      </c>
      <c r="Q511">
        <v>1.3752400000000001E-4</v>
      </c>
    </row>
    <row r="512" spans="1:17" x14ac:dyDescent="0.25">
      <c r="A512" t="s">
        <v>5</v>
      </c>
      <c r="B512" t="s">
        <v>6</v>
      </c>
      <c r="C512" t="s">
        <v>258</v>
      </c>
      <c r="D512" t="s">
        <v>41</v>
      </c>
      <c r="E512" t="s">
        <v>27</v>
      </c>
      <c r="F512">
        <v>1.7751165999999999E-2</v>
      </c>
      <c r="G512">
        <v>6.2524199999999999E-3</v>
      </c>
      <c r="H512">
        <v>1.3538046999999999E-2</v>
      </c>
      <c r="I512">
        <v>1.8606061E-2</v>
      </c>
      <c r="J512">
        <v>1.3825982000000001E-2</v>
      </c>
      <c r="K512">
        <v>1.5854909E-2</v>
      </c>
      <c r="L512">
        <v>1.6574800000000001E-2</v>
      </c>
      <c r="M512">
        <v>1.7632617E-2</v>
      </c>
      <c r="N512">
        <v>1.7752857E-2</v>
      </c>
      <c r="O512">
        <v>1.7932406000000001E-2</v>
      </c>
      <c r="P512">
        <v>1.8207978999999999E-2</v>
      </c>
      <c r="Q512">
        <v>1.8722554999999998E-2</v>
      </c>
    </row>
    <row r="513" spans="1:17" x14ac:dyDescent="0.25">
      <c r="A513" t="s">
        <v>5</v>
      </c>
      <c r="B513" t="s">
        <v>6</v>
      </c>
      <c r="C513" t="s">
        <v>258</v>
      </c>
      <c r="D513" t="s">
        <v>42</v>
      </c>
      <c r="E513" t="s">
        <v>27</v>
      </c>
      <c r="F513">
        <v>0.62284385499999995</v>
      </c>
      <c r="G513">
        <v>0.51249583499999996</v>
      </c>
      <c r="H513">
        <v>0.63450564099999995</v>
      </c>
      <c r="I513">
        <v>0.59975276799999999</v>
      </c>
      <c r="J513">
        <v>0.90806489000000001</v>
      </c>
      <c r="K513">
        <v>0.867083194</v>
      </c>
      <c r="L513">
        <v>0.95664216899999999</v>
      </c>
      <c r="M513">
        <v>0.91888934600000005</v>
      </c>
      <c r="N513">
        <v>0.98759064799999996</v>
      </c>
      <c r="O513">
        <v>1.0328133939999999</v>
      </c>
      <c r="P513">
        <v>1.0599438370000001</v>
      </c>
      <c r="Q513">
        <v>1.0869125079999999</v>
      </c>
    </row>
    <row r="514" spans="1:17" x14ac:dyDescent="0.25">
      <c r="A514" t="s">
        <v>5</v>
      </c>
      <c r="B514" t="s">
        <v>6</v>
      </c>
      <c r="C514" t="s">
        <v>258</v>
      </c>
      <c r="D514" t="s">
        <v>43</v>
      </c>
      <c r="E514" t="s">
        <v>27</v>
      </c>
      <c r="F514">
        <v>0.68333264400000004</v>
      </c>
      <c r="G514">
        <v>0.55838102499999998</v>
      </c>
      <c r="H514">
        <v>0.69384175400000003</v>
      </c>
      <c r="I514">
        <v>0.65271638700000001</v>
      </c>
      <c r="J514">
        <v>0.98252125000000001</v>
      </c>
      <c r="K514">
        <v>0.93485527999999996</v>
      </c>
      <c r="L514">
        <v>1.0322046439999999</v>
      </c>
      <c r="M514">
        <v>0.99652638599999999</v>
      </c>
      <c r="N514">
        <v>1.0700025799999999</v>
      </c>
      <c r="O514">
        <v>1.120699484</v>
      </c>
      <c r="P514">
        <v>1.1510706770000001</v>
      </c>
      <c r="Q514">
        <v>1.1803442209999999</v>
      </c>
    </row>
    <row r="515" spans="1:17" x14ac:dyDescent="0.25">
      <c r="A515" t="s">
        <v>5</v>
      </c>
      <c r="B515" t="s">
        <v>6</v>
      </c>
      <c r="C515" t="s">
        <v>258</v>
      </c>
      <c r="D515" t="s">
        <v>44</v>
      </c>
      <c r="E515" t="s">
        <v>27</v>
      </c>
      <c r="F515">
        <v>8.3626900000000005E-4</v>
      </c>
      <c r="G515">
        <v>8.3205200000000001E-4</v>
      </c>
      <c r="H515">
        <v>1.1441380000000001E-3</v>
      </c>
      <c r="I515">
        <v>7.3636100000000005E-4</v>
      </c>
      <c r="J515">
        <v>1.6770940000000001E-3</v>
      </c>
      <c r="K515">
        <v>1.1710430000000001E-3</v>
      </c>
      <c r="L515">
        <v>1.4773259999999999E-3</v>
      </c>
      <c r="M515">
        <v>1.5341249999999999E-3</v>
      </c>
      <c r="N515">
        <v>1.668545E-3</v>
      </c>
      <c r="O515">
        <v>1.828367E-3</v>
      </c>
      <c r="P515">
        <v>2.0187820000000002E-3</v>
      </c>
      <c r="Q515">
        <v>2.2527060000000002E-3</v>
      </c>
    </row>
    <row r="516" spans="1:17" x14ac:dyDescent="0.25">
      <c r="A516" t="s">
        <v>5</v>
      </c>
      <c r="B516" t="s">
        <v>6</v>
      </c>
      <c r="C516" t="s">
        <v>258</v>
      </c>
      <c r="D516" t="s">
        <v>45</v>
      </c>
      <c r="E516" t="s">
        <v>27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25">
      <c r="A517" t="s">
        <v>5</v>
      </c>
      <c r="B517" t="s">
        <v>6</v>
      </c>
      <c r="C517" t="s">
        <v>258</v>
      </c>
      <c r="D517" t="s">
        <v>46</v>
      </c>
      <c r="E517" t="s">
        <v>27</v>
      </c>
      <c r="F517">
        <v>1.06507E-3</v>
      </c>
      <c r="G517">
        <v>3.7514500000000001E-4</v>
      </c>
      <c r="H517">
        <v>8.1228300000000002E-4</v>
      </c>
      <c r="I517">
        <v>1.1163639999999999E-3</v>
      </c>
      <c r="J517">
        <v>8.29559E-4</v>
      </c>
      <c r="K517">
        <v>9.5129500000000001E-4</v>
      </c>
      <c r="L517">
        <v>9.9448799999999997E-4</v>
      </c>
      <c r="M517">
        <v>1.057957E-3</v>
      </c>
      <c r="N517">
        <v>1.065171E-3</v>
      </c>
      <c r="O517">
        <v>1.0759439999999999E-3</v>
      </c>
      <c r="P517">
        <v>1.0924789999999999E-3</v>
      </c>
      <c r="Q517">
        <v>1.1233529999999999E-3</v>
      </c>
    </row>
    <row r="518" spans="1:17" x14ac:dyDescent="0.25">
      <c r="A518" t="s">
        <v>5</v>
      </c>
      <c r="B518" t="s">
        <v>6</v>
      </c>
      <c r="C518" t="s">
        <v>258</v>
      </c>
      <c r="D518" t="s">
        <v>47</v>
      </c>
      <c r="E518" t="s">
        <v>27</v>
      </c>
      <c r="F518">
        <v>2.9100907249999999</v>
      </c>
      <c r="G518">
        <v>2.4013661160000002</v>
      </c>
      <c r="H518">
        <v>2.9441763440000002</v>
      </c>
      <c r="I518">
        <v>2.7899129230000002</v>
      </c>
      <c r="J518">
        <v>4.2368904409999999</v>
      </c>
      <c r="K518">
        <v>3.9800870559999999</v>
      </c>
      <c r="L518">
        <v>4.3557877969999996</v>
      </c>
      <c r="M518">
        <v>4.2002789729999996</v>
      </c>
      <c r="N518">
        <v>4.5720723530000003</v>
      </c>
      <c r="O518">
        <v>4.8349239549999998</v>
      </c>
      <c r="P518">
        <v>4.9793238439999996</v>
      </c>
      <c r="Q518">
        <v>5.0915811910000004</v>
      </c>
    </row>
    <row r="519" spans="1:17" x14ac:dyDescent="0.25">
      <c r="A519" t="s">
        <v>5</v>
      </c>
      <c r="B519" t="s">
        <v>6</v>
      </c>
      <c r="C519" t="s">
        <v>258</v>
      </c>
      <c r="D519" t="s">
        <v>48</v>
      </c>
      <c r="E519" t="s">
        <v>27</v>
      </c>
      <c r="F519">
        <v>3.5961729079999998</v>
      </c>
      <c r="G519">
        <v>2.8913758469999999</v>
      </c>
      <c r="H519">
        <v>3.7047049300000001</v>
      </c>
      <c r="I519">
        <v>3.474048904</v>
      </c>
      <c r="J519">
        <v>5.0629897789999996</v>
      </c>
      <c r="K519">
        <v>4.8191439420000002</v>
      </c>
      <c r="L519">
        <v>5.3037027109999997</v>
      </c>
      <c r="M519">
        <v>5.1969053369999996</v>
      </c>
      <c r="N519">
        <v>5.6276631740000003</v>
      </c>
      <c r="O519">
        <v>5.9567299650000001</v>
      </c>
      <c r="P519">
        <v>6.1491876369999998</v>
      </c>
      <c r="Q519">
        <v>6.3042553720000001</v>
      </c>
    </row>
    <row r="520" spans="1:17" x14ac:dyDescent="0.25">
      <c r="A520" t="s">
        <v>5</v>
      </c>
      <c r="B520" t="s">
        <v>6</v>
      </c>
      <c r="C520" t="s">
        <v>258</v>
      </c>
      <c r="D520" t="s">
        <v>49</v>
      </c>
      <c r="E520" t="s">
        <v>27</v>
      </c>
      <c r="F520">
        <v>2.5257510000000001E-3</v>
      </c>
      <c r="G520">
        <v>2.446985E-3</v>
      </c>
      <c r="H520">
        <v>3.4265400000000001E-3</v>
      </c>
      <c r="I520">
        <v>2.1251669999999999E-3</v>
      </c>
      <c r="J520">
        <v>4.7194130000000004E-3</v>
      </c>
      <c r="K520">
        <v>3.067817E-3</v>
      </c>
      <c r="L520">
        <v>3.7301489999999999E-3</v>
      </c>
      <c r="M520">
        <v>3.5490230000000001E-3</v>
      </c>
      <c r="N520">
        <v>3.7310989999999999E-3</v>
      </c>
      <c r="O520">
        <v>4.0202399999999996E-3</v>
      </c>
      <c r="P520">
        <v>4.3704299999999998E-3</v>
      </c>
      <c r="Q520">
        <v>4.7907610000000002E-3</v>
      </c>
    </row>
    <row r="521" spans="1:17" x14ac:dyDescent="0.25">
      <c r="A521" t="s">
        <v>5</v>
      </c>
      <c r="B521" t="s">
        <v>6</v>
      </c>
      <c r="C521" t="s">
        <v>258</v>
      </c>
      <c r="D521" t="s">
        <v>50</v>
      </c>
      <c r="E521" t="s">
        <v>27</v>
      </c>
      <c r="F521">
        <v>1.1749340000000001E-3</v>
      </c>
      <c r="G521">
        <v>6.8019E-4</v>
      </c>
      <c r="H521">
        <v>1.6340230000000001E-3</v>
      </c>
      <c r="I521">
        <v>2.7205380000000002E-3</v>
      </c>
      <c r="J521">
        <v>1.653011E-3</v>
      </c>
      <c r="K521">
        <v>8.8208700000000004E-4</v>
      </c>
      <c r="L521">
        <v>1.3960450000000001E-3</v>
      </c>
      <c r="M521">
        <v>2.0341510000000001E-3</v>
      </c>
      <c r="N521">
        <v>2.4770009999999999E-3</v>
      </c>
      <c r="O521">
        <v>2.3665320000000002E-3</v>
      </c>
      <c r="P521">
        <v>2.361709E-3</v>
      </c>
      <c r="Q521">
        <v>2.5843319999999999E-3</v>
      </c>
    </row>
    <row r="522" spans="1:17" x14ac:dyDescent="0.25">
      <c r="A522" t="s">
        <v>5</v>
      </c>
      <c r="B522" t="s">
        <v>6</v>
      </c>
      <c r="C522" t="s">
        <v>258</v>
      </c>
      <c r="D522" t="s">
        <v>51</v>
      </c>
      <c r="E522" t="s">
        <v>27</v>
      </c>
      <c r="F522">
        <v>3.5502330999999998E-2</v>
      </c>
      <c r="G522">
        <v>1.250484E-2</v>
      </c>
      <c r="H522">
        <v>2.7076095000000001E-2</v>
      </c>
      <c r="I522">
        <v>3.7212123E-2</v>
      </c>
      <c r="J522">
        <v>2.7651963000000002E-2</v>
      </c>
      <c r="K522">
        <v>3.1709818000000001E-2</v>
      </c>
      <c r="L522">
        <v>3.3149600000000001E-2</v>
      </c>
      <c r="M522">
        <v>3.5265234999999999E-2</v>
      </c>
      <c r="N522">
        <v>3.5505714000000001E-2</v>
      </c>
      <c r="O522">
        <v>3.5864811000000003E-2</v>
      </c>
      <c r="P522">
        <v>3.6415956999999999E-2</v>
      </c>
      <c r="Q522">
        <v>3.7445109999999997E-2</v>
      </c>
    </row>
    <row r="523" spans="1:17" x14ac:dyDescent="0.25">
      <c r="A523" t="s">
        <v>5</v>
      </c>
      <c r="B523" t="s">
        <v>6</v>
      </c>
      <c r="C523" t="s">
        <v>258</v>
      </c>
      <c r="D523" t="s">
        <v>52</v>
      </c>
      <c r="E523" t="s">
        <v>27</v>
      </c>
      <c r="F523">
        <v>39.654348740000003</v>
      </c>
      <c r="G523">
        <v>25.706195579999999</v>
      </c>
      <c r="H523">
        <v>39.229862410000003</v>
      </c>
      <c r="I523">
        <v>29.424272259999999</v>
      </c>
      <c r="J523">
        <v>39.070899509999997</v>
      </c>
      <c r="K523">
        <v>40.85491889</v>
      </c>
      <c r="L523">
        <v>41.538347459999997</v>
      </c>
      <c r="M523">
        <v>41.883247910000001</v>
      </c>
      <c r="N523">
        <v>41.872054910000003</v>
      </c>
      <c r="O523">
        <v>41.362951209999999</v>
      </c>
      <c r="P523">
        <v>40.222123779999997</v>
      </c>
      <c r="Q523">
        <v>40.237656819999998</v>
      </c>
    </row>
    <row r="524" spans="1:17" x14ac:dyDescent="0.25">
      <c r="A524" t="s">
        <v>5</v>
      </c>
      <c r="B524" t="s">
        <v>6</v>
      </c>
      <c r="C524" t="s">
        <v>258</v>
      </c>
      <c r="D524" t="s">
        <v>53</v>
      </c>
      <c r="E524" t="s">
        <v>27</v>
      </c>
      <c r="F524">
        <v>27.957622610000001</v>
      </c>
      <c r="G524">
        <v>18.94095214</v>
      </c>
      <c r="H524">
        <v>24.74911183</v>
      </c>
      <c r="I524">
        <v>27.860592740000001</v>
      </c>
      <c r="J524">
        <v>28.020433659999998</v>
      </c>
      <c r="K524">
        <v>30.19902433</v>
      </c>
      <c r="L524">
        <v>31.11125122</v>
      </c>
      <c r="M524">
        <v>31.95062647</v>
      </c>
      <c r="N524">
        <v>32.144179530000002</v>
      </c>
      <c r="O524">
        <v>32.418461219999998</v>
      </c>
      <c r="P524">
        <v>32.923337119999999</v>
      </c>
      <c r="Q524">
        <v>32.939884509999999</v>
      </c>
    </row>
    <row r="525" spans="1:17" x14ac:dyDescent="0.25">
      <c r="A525" t="s">
        <v>5</v>
      </c>
      <c r="B525" t="s">
        <v>6</v>
      </c>
      <c r="C525" t="s">
        <v>258</v>
      </c>
      <c r="D525" t="s">
        <v>54</v>
      </c>
      <c r="E525" t="s">
        <v>27</v>
      </c>
      <c r="F525">
        <v>1.376387153</v>
      </c>
      <c r="G525">
        <v>0.81334423899999997</v>
      </c>
      <c r="H525">
        <v>1.230097172</v>
      </c>
      <c r="I525">
        <v>0.87326223999999997</v>
      </c>
      <c r="J525">
        <v>1.2058942459999999</v>
      </c>
      <c r="K525">
        <v>1.2656981810000001</v>
      </c>
      <c r="L525">
        <v>1.2712661510000001</v>
      </c>
      <c r="M525">
        <v>1.2730159299999999</v>
      </c>
      <c r="N525">
        <v>1.2655696489999999</v>
      </c>
      <c r="O525">
        <v>1.2424410939999999</v>
      </c>
      <c r="P525">
        <v>1.2013587050000001</v>
      </c>
      <c r="Q525">
        <v>1.193548509</v>
      </c>
    </row>
    <row r="526" spans="1:17" x14ac:dyDescent="0.25">
      <c r="A526" t="s">
        <v>5</v>
      </c>
      <c r="B526" t="s">
        <v>6</v>
      </c>
      <c r="C526" t="s">
        <v>258</v>
      </c>
      <c r="D526" t="s">
        <v>55</v>
      </c>
      <c r="E526" t="s">
        <v>27</v>
      </c>
      <c r="F526">
        <v>1.5021349319999999</v>
      </c>
      <c r="G526">
        <v>1.0340687550000001</v>
      </c>
      <c r="H526">
        <v>1.335071643</v>
      </c>
      <c r="I526">
        <v>1.459464023</v>
      </c>
      <c r="J526">
        <v>1.49336961</v>
      </c>
      <c r="K526">
        <v>1.5933627370000001</v>
      </c>
      <c r="L526">
        <v>1.632233764</v>
      </c>
      <c r="M526">
        <v>1.6686374530000001</v>
      </c>
      <c r="N526">
        <v>1.6745581439999999</v>
      </c>
      <c r="O526">
        <v>1.6849685489999999</v>
      </c>
      <c r="P526">
        <v>1.7060180389999999</v>
      </c>
      <c r="Q526">
        <v>1.703964324</v>
      </c>
    </row>
    <row r="527" spans="1:17" x14ac:dyDescent="0.25">
      <c r="A527" t="s">
        <v>5</v>
      </c>
      <c r="B527" t="s">
        <v>6</v>
      </c>
      <c r="C527" t="s">
        <v>258</v>
      </c>
      <c r="D527" t="s">
        <v>56</v>
      </c>
      <c r="E527" t="s">
        <v>27</v>
      </c>
      <c r="F527">
        <v>0.42167956299999998</v>
      </c>
      <c r="G527">
        <v>0.22911651399999999</v>
      </c>
      <c r="H527">
        <v>0.341086681</v>
      </c>
      <c r="I527">
        <v>0.22801807199999999</v>
      </c>
      <c r="J527">
        <v>0.329584337</v>
      </c>
      <c r="K527">
        <v>0.34751741200000003</v>
      </c>
      <c r="L527">
        <v>0.34492751399999999</v>
      </c>
      <c r="M527">
        <v>0.34300297200000002</v>
      </c>
      <c r="N527">
        <v>0.33908643199999999</v>
      </c>
      <c r="O527">
        <v>0.33058220700000002</v>
      </c>
      <c r="P527">
        <v>0.31750094000000001</v>
      </c>
      <c r="Q527">
        <v>0.31295180099999997</v>
      </c>
    </row>
    <row r="528" spans="1:17" x14ac:dyDescent="0.25">
      <c r="A528" t="s">
        <v>5</v>
      </c>
      <c r="B528" t="s">
        <v>6</v>
      </c>
      <c r="C528" t="s">
        <v>258</v>
      </c>
      <c r="D528" t="s">
        <v>57</v>
      </c>
      <c r="E528" t="s">
        <v>27</v>
      </c>
      <c r="F528">
        <v>1.0506822810000001</v>
      </c>
      <c r="G528">
        <v>0.71412586700000003</v>
      </c>
      <c r="H528">
        <v>0.93100980700000002</v>
      </c>
      <c r="I528">
        <v>1.0412657279999999</v>
      </c>
      <c r="J528">
        <v>1.0512550409999999</v>
      </c>
      <c r="K528">
        <v>1.1305257259999999</v>
      </c>
      <c r="L528">
        <v>1.16331517</v>
      </c>
      <c r="M528">
        <v>1.1936613789999999</v>
      </c>
      <c r="N528">
        <v>1.2004373939999999</v>
      </c>
      <c r="O528">
        <v>1.2102971229999999</v>
      </c>
      <c r="P528">
        <v>1.228591588</v>
      </c>
      <c r="Q528">
        <v>1.2291000889999999</v>
      </c>
    </row>
    <row r="529" spans="1:17" x14ac:dyDescent="0.25">
      <c r="A529" t="s">
        <v>5</v>
      </c>
      <c r="B529" t="s">
        <v>6</v>
      </c>
      <c r="C529" t="s">
        <v>258</v>
      </c>
      <c r="D529" t="s">
        <v>58</v>
      </c>
      <c r="E529" t="s">
        <v>27</v>
      </c>
      <c r="F529">
        <v>573.59651469999994</v>
      </c>
      <c r="G529">
        <v>360.50710980000002</v>
      </c>
      <c r="H529">
        <v>541.52658250000002</v>
      </c>
      <c r="I529">
        <v>398.65751870000003</v>
      </c>
      <c r="J529">
        <v>538.71582369999999</v>
      </c>
      <c r="K529">
        <v>564.88855990000002</v>
      </c>
      <c r="L529">
        <v>573.07938330000002</v>
      </c>
      <c r="M529">
        <v>577.06763279999996</v>
      </c>
      <c r="N529">
        <v>576.40364199999999</v>
      </c>
      <c r="O529">
        <v>568.20204669999998</v>
      </c>
      <c r="P529">
        <v>551.27046299999995</v>
      </c>
      <c r="Q529">
        <v>550.15888829999994</v>
      </c>
    </row>
    <row r="530" spans="1:17" x14ac:dyDescent="0.25">
      <c r="A530" t="s">
        <v>5</v>
      </c>
      <c r="B530" t="s">
        <v>6</v>
      </c>
      <c r="C530" t="s">
        <v>258</v>
      </c>
      <c r="D530" t="s">
        <v>59</v>
      </c>
      <c r="E530" t="s">
        <v>27</v>
      </c>
      <c r="F530">
        <v>280.87156720000002</v>
      </c>
      <c r="G530">
        <v>190.95394730000001</v>
      </c>
      <c r="H530">
        <v>248.75721920000001</v>
      </c>
      <c r="I530">
        <v>278.77267449999999</v>
      </c>
      <c r="J530">
        <v>281.07627389999999</v>
      </c>
      <c r="K530">
        <v>302.57361659999998</v>
      </c>
      <c r="L530">
        <v>311.59608459999998</v>
      </c>
      <c r="M530">
        <v>319.95722019999999</v>
      </c>
      <c r="N530">
        <v>321.93198289999998</v>
      </c>
      <c r="O530">
        <v>324.68287550000002</v>
      </c>
      <c r="P530">
        <v>329.7137424</v>
      </c>
      <c r="Q530">
        <v>329.95862010000002</v>
      </c>
    </row>
    <row r="531" spans="1:17" x14ac:dyDescent="0.25">
      <c r="A531" t="s">
        <v>5</v>
      </c>
      <c r="B531" t="s">
        <v>6</v>
      </c>
      <c r="C531" t="s">
        <v>258</v>
      </c>
      <c r="D531" t="s">
        <v>60</v>
      </c>
      <c r="E531" t="s">
        <v>27</v>
      </c>
      <c r="F531">
        <v>2.0672760399999999</v>
      </c>
      <c r="G531">
        <v>1.3141729959999999</v>
      </c>
      <c r="H531">
        <v>1.9909482329999999</v>
      </c>
      <c r="I531">
        <v>1.4764939459999999</v>
      </c>
      <c r="J531">
        <v>1.9791422949999999</v>
      </c>
      <c r="K531">
        <v>2.0714698820000002</v>
      </c>
      <c r="L531">
        <v>2.1028270500000001</v>
      </c>
      <c r="M531">
        <v>2.11795029</v>
      </c>
      <c r="N531">
        <v>2.1157081820000001</v>
      </c>
      <c r="O531">
        <v>2.0871052830000001</v>
      </c>
      <c r="P531">
        <v>2.0261476310000002</v>
      </c>
      <c r="Q531">
        <v>2.024170872</v>
      </c>
    </row>
    <row r="532" spans="1:17" x14ac:dyDescent="0.25">
      <c r="A532" t="s">
        <v>5</v>
      </c>
      <c r="B532" t="s">
        <v>6</v>
      </c>
      <c r="C532" t="s">
        <v>258</v>
      </c>
      <c r="D532" t="s">
        <v>61</v>
      </c>
      <c r="E532" t="s">
        <v>27</v>
      </c>
      <c r="F532">
        <v>2.248596864</v>
      </c>
      <c r="G532">
        <v>1.5580467360000001</v>
      </c>
      <c r="H532">
        <v>2.000395852</v>
      </c>
      <c r="I532">
        <v>2.1666074630000001</v>
      </c>
      <c r="J532">
        <v>2.2288130349999999</v>
      </c>
      <c r="K532">
        <v>2.370806408</v>
      </c>
      <c r="L532">
        <v>2.424635522</v>
      </c>
      <c r="M532">
        <v>2.4752393819999998</v>
      </c>
      <c r="N532">
        <v>2.4818370729999999</v>
      </c>
      <c r="O532">
        <v>2.4948646719999998</v>
      </c>
      <c r="P532">
        <v>2.5228556420000001</v>
      </c>
      <c r="Q532">
        <v>2.5174779030000001</v>
      </c>
    </row>
    <row r="533" spans="1:17" x14ac:dyDescent="0.25">
      <c r="A533" t="s">
        <v>5</v>
      </c>
      <c r="B533" t="s">
        <v>6</v>
      </c>
      <c r="C533" t="s">
        <v>258</v>
      </c>
      <c r="D533" t="s">
        <v>62</v>
      </c>
      <c r="E533" t="s">
        <v>27</v>
      </c>
      <c r="F533">
        <v>28.41305496</v>
      </c>
      <c r="G533">
        <v>17.442632199999998</v>
      </c>
      <c r="H533">
        <v>26.374027330000001</v>
      </c>
      <c r="I533">
        <v>19.16400982</v>
      </c>
      <c r="J533">
        <v>26.066194549999999</v>
      </c>
      <c r="K533">
        <v>27.334249839999998</v>
      </c>
      <c r="L533">
        <v>27.611608010000001</v>
      </c>
      <c r="M533">
        <v>27.740617830000001</v>
      </c>
      <c r="N533">
        <v>27.653796799999999</v>
      </c>
      <c r="O533">
        <v>27.22170362</v>
      </c>
      <c r="P533">
        <v>26.386333579999999</v>
      </c>
      <c r="Q533">
        <v>26.291092599999999</v>
      </c>
    </row>
    <row r="534" spans="1:17" x14ac:dyDescent="0.25">
      <c r="A534" t="s">
        <v>5</v>
      </c>
      <c r="B534" t="s">
        <v>6</v>
      </c>
      <c r="C534" t="s">
        <v>258</v>
      </c>
      <c r="D534" t="s">
        <v>63</v>
      </c>
      <c r="E534" t="s">
        <v>27</v>
      </c>
      <c r="F534">
        <v>5.4289079569999998</v>
      </c>
      <c r="G534">
        <v>3.6748033840000001</v>
      </c>
      <c r="H534">
        <v>4.8016145530000003</v>
      </c>
      <c r="I534">
        <v>5.4361064690000003</v>
      </c>
      <c r="J534">
        <v>5.4467665140000001</v>
      </c>
      <c r="K534">
        <v>5.8942955789999996</v>
      </c>
      <c r="L534">
        <v>6.0966061070000004</v>
      </c>
      <c r="M534">
        <v>6.2890874950000004</v>
      </c>
      <c r="N534">
        <v>6.3528144830000004</v>
      </c>
      <c r="O534">
        <v>6.4293510940000003</v>
      </c>
      <c r="P534">
        <v>6.554859864</v>
      </c>
      <c r="Q534">
        <v>6.5890043279999997</v>
      </c>
    </row>
    <row r="535" spans="1:17" x14ac:dyDescent="0.25">
      <c r="A535" t="s">
        <v>5</v>
      </c>
      <c r="B535" t="s">
        <v>6</v>
      </c>
      <c r="C535" t="s">
        <v>258</v>
      </c>
      <c r="D535" t="s">
        <v>64</v>
      </c>
      <c r="E535" t="s">
        <v>27</v>
      </c>
      <c r="F535">
        <v>1.8821784939999999</v>
      </c>
      <c r="G535">
        <v>3.9106856849999998</v>
      </c>
      <c r="H535">
        <v>4.7787969950000004</v>
      </c>
      <c r="I535">
        <v>4.9833854039999999</v>
      </c>
      <c r="J535">
        <v>3.593258735</v>
      </c>
      <c r="K535">
        <v>7.2418586669999998</v>
      </c>
      <c r="L535">
        <v>7.6030147469999996</v>
      </c>
      <c r="M535">
        <v>7.6325238679999998</v>
      </c>
      <c r="N535">
        <v>7.5442715419999997</v>
      </c>
      <c r="O535">
        <v>8.4140904949999999</v>
      </c>
      <c r="P535">
        <v>9.9253938480000006</v>
      </c>
      <c r="Q535">
        <v>10.482370749999999</v>
      </c>
    </row>
    <row r="536" spans="1:17" x14ac:dyDescent="0.25">
      <c r="A536" t="s">
        <v>5</v>
      </c>
      <c r="B536" t="s">
        <v>6</v>
      </c>
      <c r="C536" t="s">
        <v>258</v>
      </c>
      <c r="D536" t="s">
        <v>65</v>
      </c>
      <c r="E536" t="s">
        <v>27</v>
      </c>
      <c r="F536">
        <v>16.422435650000001</v>
      </c>
      <c r="G536">
        <v>27.73474822</v>
      </c>
      <c r="H536">
        <v>29.096518889999999</v>
      </c>
      <c r="I536">
        <v>29.158364150000001</v>
      </c>
      <c r="J536">
        <v>15.9207594</v>
      </c>
      <c r="K536">
        <v>9.8321602539999997</v>
      </c>
      <c r="L536">
        <v>8.8653091259999997</v>
      </c>
      <c r="M536">
        <v>15.10826383</v>
      </c>
      <c r="N536">
        <v>16.02171409</v>
      </c>
      <c r="O536">
        <v>18.260305280000001</v>
      </c>
      <c r="P536">
        <v>20.135766629999999</v>
      </c>
      <c r="Q536">
        <v>18.994551940000001</v>
      </c>
    </row>
    <row r="537" spans="1:17" x14ac:dyDescent="0.25">
      <c r="A537" t="s">
        <v>5</v>
      </c>
      <c r="B537" t="s">
        <v>6</v>
      </c>
      <c r="C537" t="s">
        <v>258</v>
      </c>
      <c r="D537" t="s">
        <v>66</v>
      </c>
      <c r="E537" t="s">
        <v>27</v>
      </c>
      <c r="F537">
        <v>1.8615906000000002E-2</v>
      </c>
      <c r="G537">
        <v>9.3341198E-2</v>
      </c>
      <c r="H537">
        <v>0.142468712</v>
      </c>
      <c r="I537">
        <v>0.145948358</v>
      </c>
      <c r="J537">
        <v>0.14430826799999999</v>
      </c>
      <c r="K537">
        <v>0.44874829999999999</v>
      </c>
      <c r="L537">
        <v>0.465162244</v>
      </c>
      <c r="M537">
        <v>0.35002891000000003</v>
      </c>
      <c r="N537">
        <v>0.30583841299999998</v>
      </c>
      <c r="O537">
        <v>0.36174141900000001</v>
      </c>
      <c r="P537">
        <v>0.47803178400000002</v>
      </c>
      <c r="Q537">
        <v>0.51993732299999995</v>
      </c>
    </row>
    <row r="538" spans="1:17" x14ac:dyDescent="0.25">
      <c r="A538" t="s">
        <v>5</v>
      </c>
      <c r="B538" t="s">
        <v>6</v>
      </c>
      <c r="C538" t="s">
        <v>258</v>
      </c>
      <c r="D538" t="s">
        <v>67</v>
      </c>
      <c r="E538" t="s">
        <v>27</v>
      </c>
      <c r="F538">
        <v>6.5739646999999998E-2</v>
      </c>
      <c r="G538">
        <v>0.15080922299999999</v>
      </c>
      <c r="H538">
        <v>0.15636064099999999</v>
      </c>
      <c r="I538">
        <v>0.15735007500000001</v>
      </c>
      <c r="J538">
        <v>0.13050893</v>
      </c>
      <c r="K538">
        <v>0.30173709900000001</v>
      </c>
      <c r="L538">
        <v>0.31114161800000001</v>
      </c>
      <c r="M538">
        <v>0.285045359</v>
      </c>
      <c r="N538">
        <v>0.26812491700000002</v>
      </c>
      <c r="O538">
        <v>0.29468803100000002</v>
      </c>
      <c r="P538">
        <v>0.36234201900000002</v>
      </c>
      <c r="Q538">
        <v>0.389853493</v>
      </c>
    </row>
    <row r="539" spans="1:17" x14ac:dyDescent="0.25">
      <c r="A539" t="s">
        <v>5</v>
      </c>
      <c r="B539" t="s">
        <v>6</v>
      </c>
      <c r="C539" t="s">
        <v>258</v>
      </c>
      <c r="D539" t="s">
        <v>68</v>
      </c>
      <c r="E539" t="s">
        <v>27</v>
      </c>
      <c r="F539">
        <v>1.10709E-4</v>
      </c>
      <c r="G539">
        <v>2.6336294E-2</v>
      </c>
      <c r="H539">
        <v>4.5695096999999997E-2</v>
      </c>
      <c r="I539">
        <v>4.0190700000000001E-4</v>
      </c>
      <c r="J539">
        <v>1.691274E-3</v>
      </c>
      <c r="K539">
        <v>4.2099140000000004E-3</v>
      </c>
      <c r="L539">
        <v>4.0949500000000001E-4</v>
      </c>
      <c r="M539" s="1">
        <v>1.11E-5</v>
      </c>
      <c r="N539" s="1">
        <v>1.9199999999999999E-5</v>
      </c>
      <c r="O539" s="1">
        <v>2.5599999999999999E-5</v>
      </c>
      <c r="P539">
        <v>5.6309299999999997E-4</v>
      </c>
      <c r="Q539">
        <v>9.8723400000000003E-4</v>
      </c>
    </row>
    <row r="540" spans="1:17" x14ac:dyDescent="0.25">
      <c r="A540" t="s">
        <v>5</v>
      </c>
      <c r="B540" t="s">
        <v>6</v>
      </c>
      <c r="C540" t="s">
        <v>258</v>
      </c>
      <c r="D540" t="s">
        <v>69</v>
      </c>
      <c r="E540" t="s">
        <v>27</v>
      </c>
      <c r="F540">
        <v>1.157216153</v>
      </c>
      <c r="G540">
        <v>2.026411306</v>
      </c>
      <c r="H540">
        <v>1.997734093</v>
      </c>
      <c r="I540">
        <v>2.0675799750000001</v>
      </c>
      <c r="J540">
        <v>1.4379863450000001</v>
      </c>
      <c r="K540">
        <v>1.771853941</v>
      </c>
      <c r="L540">
        <v>1.998172455</v>
      </c>
      <c r="M540">
        <v>1.853166096</v>
      </c>
      <c r="N540">
        <v>1.7727797320000001</v>
      </c>
      <c r="O540">
        <v>2.0225933500000002</v>
      </c>
      <c r="P540">
        <v>2.1427197329999998</v>
      </c>
      <c r="Q540">
        <v>1.972064652</v>
      </c>
    </row>
    <row r="541" spans="1:17" x14ac:dyDescent="0.25">
      <c r="A541" t="s">
        <v>5</v>
      </c>
      <c r="B541" t="s">
        <v>6</v>
      </c>
      <c r="C541" t="s">
        <v>258</v>
      </c>
      <c r="D541" t="s">
        <v>70</v>
      </c>
      <c r="E541" t="s">
        <v>27</v>
      </c>
      <c r="F541">
        <v>3.573077708</v>
      </c>
      <c r="G541">
        <v>6.2972363979999999</v>
      </c>
      <c r="H541">
        <v>6.2599385879999998</v>
      </c>
      <c r="I541">
        <v>6.5840669710000004</v>
      </c>
      <c r="J541">
        <v>4.6320384109999999</v>
      </c>
      <c r="K541">
        <v>5.7514549119999998</v>
      </c>
      <c r="L541">
        <v>6.3103334929999999</v>
      </c>
      <c r="M541">
        <v>5.7622498350000004</v>
      </c>
      <c r="N541">
        <v>5.5404059370000001</v>
      </c>
      <c r="O541">
        <v>6.5603413350000004</v>
      </c>
      <c r="P541">
        <v>7.1585978529999998</v>
      </c>
      <c r="Q541">
        <v>6.6865030450000003</v>
      </c>
    </row>
    <row r="542" spans="1:17" x14ac:dyDescent="0.25">
      <c r="A542" t="s">
        <v>5</v>
      </c>
      <c r="B542" t="s">
        <v>6</v>
      </c>
      <c r="C542" t="s">
        <v>258</v>
      </c>
      <c r="D542" t="s">
        <v>71</v>
      </c>
      <c r="E542" t="s">
        <v>27</v>
      </c>
      <c r="F542">
        <v>0.587363933</v>
      </c>
      <c r="G542">
        <v>1.006300591</v>
      </c>
      <c r="H542">
        <v>1.0335586139999999</v>
      </c>
      <c r="I542">
        <v>1.1561309449999999</v>
      </c>
      <c r="J542">
        <v>0.84612007499999997</v>
      </c>
      <c r="K542">
        <v>1.0211920999999999</v>
      </c>
      <c r="L542">
        <v>1.079407974</v>
      </c>
      <c r="M542">
        <v>1.0112835140000001</v>
      </c>
      <c r="N542">
        <v>1.032441277</v>
      </c>
      <c r="O542">
        <v>1.248226539</v>
      </c>
      <c r="P542">
        <v>1.415403696</v>
      </c>
      <c r="Q542">
        <v>1.3873132690000001</v>
      </c>
    </row>
    <row r="543" spans="1:17" x14ac:dyDescent="0.25">
      <c r="A543" t="s">
        <v>5</v>
      </c>
      <c r="B543" t="s">
        <v>6</v>
      </c>
      <c r="C543" t="s">
        <v>258</v>
      </c>
      <c r="D543" t="s">
        <v>72</v>
      </c>
      <c r="E543" t="s">
        <v>27</v>
      </c>
      <c r="F543">
        <v>0.44849263</v>
      </c>
      <c r="G543">
        <v>0.71576841599999996</v>
      </c>
      <c r="H543">
        <v>0.732617721</v>
      </c>
      <c r="I543">
        <v>0.84747346099999998</v>
      </c>
      <c r="J543">
        <v>0.64199044800000005</v>
      </c>
      <c r="K543">
        <v>0.78176279699999995</v>
      </c>
      <c r="L543">
        <v>0.85443278199999995</v>
      </c>
      <c r="M543">
        <v>0.84916132200000005</v>
      </c>
      <c r="N543">
        <v>0.88536250000000005</v>
      </c>
      <c r="O543">
        <v>1.0327977930000001</v>
      </c>
      <c r="P543">
        <v>1.1643066559999999</v>
      </c>
      <c r="Q543">
        <v>1.19332901</v>
      </c>
    </row>
    <row r="544" spans="1:17" x14ac:dyDescent="0.25">
      <c r="A544" t="s">
        <v>5</v>
      </c>
      <c r="B544" t="s">
        <v>6</v>
      </c>
      <c r="C544" t="s">
        <v>258</v>
      </c>
      <c r="D544" t="s">
        <v>73</v>
      </c>
      <c r="E544" t="s">
        <v>27</v>
      </c>
      <c r="F544">
        <v>1.0870059E-2</v>
      </c>
      <c r="G544">
        <v>1.9799251E-2</v>
      </c>
      <c r="H544">
        <v>2.0086718E-2</v>
      </c>
      <c r="I544">
        <v>2.1216236999999999E-2</v>
      </c>
      <c r="J544">
        <v>1.4740369999999999E-2</v>
      </c>
      <c r="K544">
        <v>1.7684508000000002E-2</v>
      </c>
      <c r="L544">
        <v>1.9213596999999999E-2</v>
      </c>
      <c r="M544">
        <v>1.6761616E-2</v>
      </c>
      <c r="N544">
        <v>1.5846089000000001E-2</v>
      </c>
      <c r="O544">
        <v>1.9539193E-2</v>
      </c>
      <c r="P544">
        <v>2.1700226999999999E-2</v>
      </c>
      <c r="Q544">
        <v>1.9725245999999998E-2</v>
      </c>
    </row>
    <row r="545" spans="1:17" x14ac:dyDescent="0.25">
      <c r="A545" t="s">
        <v>5</v>
      </c>
      <c r="B545" t="s">
        <v>6</v>
      </c>
      <c r="C545" t="s">
        <v>258</v>
      </c>
      <c r="D545" t="s">
        <v>74</v>
      </c>
      <c r="E545" t="s">
        <v>27</v>
      </c>
      <c r="F545">
        <v>3.2095330000000001E-3</v>
      </c>
      <c r="G545">
        <v>4.9323819999999999E-3</v>
      </c>
      <c r="H545">
        <v>1.4085148E-2</v>
      </c>
      <c r="I545">
        <v>3.4958137E-2</v>
      </c>
      <c r="J545">
        <v>3.1664119999999997E-2</v>
      </c>
      <c r="K545">
        <v>9.574792E-2</v>
      </c>
      <c r="L545">
        <v>0.26672885499999999</v>
      </c>
      <c r="M545">
        <v>0.144223464</v>
      </c>
      <c r="N545">
        <v>6.6102029000000007E-2</v>
      </c>
      <c r="O545">
        <v>6.1785089000000001E-2</v>
      </c>
      <c r="P545">
        <v>0.110857834</v>
      </c>
      <c r="Q545">
        <v>0.229043737</v>
      </c>
    </row>
    <row r="546" spans="1:17" x14ac:dyDescent="0.25">
      <c r="A546" t="s">
        <v>5</v>
      </c>
      <c r="B546" t="s">
        <v>6</v>
      </c>
      <c r="C546" t="s">
        <v>258</v>
      </c>
      <c r="D546" t="s">
        <v>75</v>
      </c>
      <c r="E546" t="s">
        <v>27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25">
      <c r="A547" t="s">
        <v>5</v>
      </c>
      <c r="B547" t="s">
        <v>6</v>
      </c>
      <c r="C547" t="s">
        <v>258</v>
      </c>
      <c r="D547" t="s">
        <v>76</v>
      </c>
      <c r="E547" t="s">
        <v>27</v>
      </c>
      <c r="F547">
        <v>3.0456199999999998E-4</v>
      </c>
      <c r="G547" s="1">
        <v>4.2799999999999997E-5</v>
      </c>
      <c r="H547">
        <v>5.7880200000000001E-4</v>
      </c>
      <c r="I547">
        <v>9.2232600000000001E-4</v>
      </c>
      <c r="J547">
        <v>6.7614599999999997E-4</v>
      </c>
      <c r="K547">
        <v>3.2576300000000002E-4</v>
      </c>
      <c r="L547">
        <v>9.0749099999999996E-4</v>
      </c>
      <c r="M547">
        <v>4.9069100000000002E-4</v>
      </c>
      <c r="N547">
        <v>2.24899E-4</v>
      </c>
      <c r="O547">
        <v>2.10211E-4</v>
      </c>
      <c r="P547">
        <v>3.7717099999999998E-4</v>
      </c>
      <c r="Q547">
        <v>7.7927499999999995E-4</v>
      </c>
    </row>
    <row r="548" spans="1:17" x14ac:dyDescent="0.25">
      <c r="A548" t="s">
        <v>5</v>
      </c>
      <c r="B548" t="s">
        <v>6</v>
      </c>
      <c r="C548" t="s">
        <v>258</v>
      </c>
      <c r="D548" t="s">
        <v>77</v>
      </c>
      <c r="E548" t="s">
        <v>27</v>
      </c>
      <c r="F548" s="1">
        <v>7.0599999999999995E-5</v>
      </c>
      <c r="G548">
        <v>1.1281399999999999E-4</v>
      </c>
      <c r="H548">
        <v>3.2038100000000001E-4</v>
      </c>
      <c r="I548">
        <v>7.9868699999999996E-4</v>
      </c>
      <c r="J548">
        <v>7.2507400000000003E-4</v>
      </c>
      <c r="K548">
        <v>2.1947239999999999E-3</v>
      </c>
      <c r="L548">
        <v>6.1139300000000001E-3</v>
      </c>
      <c r="M548">
        <v>3.3058749999999998E-3</v>
      </c>
      <c r="N548">
        <v>1.5151839999999999E-3</v>
      </c>
      <c r="O548">
        <v>1.416231E-3</v>
      </c>
      <c r="P548">
        <v>2.5410720000000001E-3</v>
      </c>
      <c r="Q548">
        <v>5.250116E-3</v>
      </c>
    </row>
    <row r="549" spans="1:17" x14ac:dyDescent="0.25">
      <c r="A549" t="s">
        <v>5</v>
      </c>
      <c r="B549" t="s">
        <v>6</v>
      </c>
      <c r="C549" t="s">
        <v>258</v>
      </c>
      <c r="D549" t="s">
        <v>78</v>
      </c>
      <c r="E549" t="s">
        <v>27</v>
      </c>
      <c r="F549" s="1">
        <v>6.3999999999999997E-6</v>
      </c>
      <c r="G549" s="1">
        <v>3.1800000000000002E-7</v>
      </c>
      <c r="H549" s="1">
        <v>4.3200000000000001E-6</v>
      </c>
      <c r="I549" s="1">
        <v>7.9799999999999998E-6</v>
      </c>
      <c r="J549" s="1">
        <v>7.7300000000000005E-6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25">
      <c r="A550" t="s">
        <v>5</v>
      </c>
      <c r="B550" t="s">
        <v>6</v>
      </c>
      <c r="C550" t="s">
        <v>258</v>
      </c>
      <c r="D550" t="s">
        <v>79</v>
      </c>
      <c r="E550" t="s">
        <v>9</v>
      </c>
      <c r="F550">
        <v>11757.50425</v>
      </c>
      <c r="G550">
        <v>13180.727999999999</v>
      </c>
      <c r="H550">
        <v>14149.30251</v>
      </c>
      <c r="I550">
        <v>18754.219509999999</v>
      </c>
      <c r="J550">
        <v>14199.245870000001</v>
      </c>
      <c r="K550">
        <v>17510.45392</v>
      </c>
      <c r="L550">
        <v>17973.994419999999</v>
      </c>
      <c r="M550">
        <v>18322.392370000001</v>
      </c>
      <c r="N550">
        <v>20377.528200000001</v>
      </c>
      <c r="O550">
        <v>21854.030159999998</v>
      </c>
      <c r="P550">
        <v>22933.145110000001</v>
      </c>
      <c r="Q550">
        <v>23702.141960000001</v>
      </c>
    </row>
    <row r="551" spans="1:17" x14ac:dyDescent="0.25">
      <c r="A551" t="s">
        <v>5</v>
      </c>
      <c r="B551" t="s">
        <v>6</v>
      </c>
      <c r="C551" t="s">
        <v>258</v>
      </c>
      <c r="D551" t="s">
        <v>80</v>
      </c>
      <c r="E551" t="s">
        <v>9</v>
      </c>
      <c r="F551">
        <v>87.456209470000005</v>
      </c>
      <c r="G551">
        <v>88.616838329999993</v>
      </c>
      <c r="H551">
        <v>95.863641659999999</v>
      </c>
      <c r="I551">
        <v>101.4911037</v>
      </c>
      <c r="J551">
        <v>97.435107919999993</v>
      </c>
      <c r="K551">
        <v>101.15422220000001</v>
      </c>
      <c r="L551">
        <v>109.7024643</v>
      </c>
      <c r="M551">
        <v>116.7327074</v>
      </c>
      <c r="N551">
        <v>121.2741168</v>
      </c>
      <c r="O551">
        <v>126.1216498</v>
      </c>
      <c r="P551">
        <v>130.45860959999999</v>
      </c>
      <c r="Q551">
        <v>137.2401054</v>
      </c>
    </row>
    <row r="552" spans="1:17" x14ac:dyDescent="0.25">
      <c r="A552" t="s">
        <v>5</v>
      </c>
      <c r="B552" t="s">
        <v>6</v>
      </c>
      <c r="C552" t="s">
        <v>258</v>
      </c>
      <c r="D552" t="s">
        <v>81</v>
      </c>
      <c r="E552" t="s">
        <v>9</v>
      </c>
      <c r="F552">
        <v>8509.8807570000008</v>
      </c>
      <c r="G552">
        <v>8196.5227149999992</v>
      </c>
      <c r="H552">
        <v>7913.6823690000001</v>
      </c>
      <c r="I552">
        <v>7765.628616</v>
      </c>
      <c r="J552">
        <v>8814.1485680000005</v>
      </c>
      <c r="K552">
        <v>8007.1015189999998</v>
      </c>
      <c r="L552">
        <v>8876.4221660000003</v>
      </c>
      <c r="M552">
        <v>8566.7023570000001</v>
      </c>
      <c r="N552">
        <v>8732.5271219999995</v>
      </c>
      <c r="O552">
        <v>8393.0601490000008</v>
      </c>
      <c r="P552">
        <v>8167.6487539999998</v>
      </c>
      <c r="Q552">
        <v>8013.2594449999997</v>
      </c>
    </row>
    <row r="553" spans="1:17" x14ac:dyDescent="0.25">
      <c r="A553" t="s">
        <v>5</v>
      </c>
      <c r="B553" t="s">
        <v>6</v>
      </c>
      <c r="C553" t="s">
        <v>258</v>
      </c>
      <c r="D553" t="s">
        <v>82</v>
      </c>
      <c r="E553" t="s">
        <v>9</v>
      </c>
      <c r="F553">
        <v>549.18707189999998</v>
      </c>
      <c r="G553">
        <v>616.73119329999997</v>
      </c>
      <c r="H553">
        <v>607.9931613</v>
      </c>
      <c r="I553">
        <v>659.19243859999995</v>
      </c>
      <c r="J553">
        <v>802.01527080000005</v>
      </c>
      <c r="K553">
        <v>808.80564579999998</v>
      </c>
      <c r="L553">
        <v>831.08507050000003</v>
      </c>
      <c r="M553">
        <v>965.65023380000002</v>
      </c>
      <c r="N553">
        <v>1028.334644</v>
      </c>
      <c r="O553">
        <v>1114.3182979999999</v>
      </c>
      <c r="P553">
        <v>1192.1984620000001</v>
      </c>
      <c r="Q553">
        <v>1236.0700260000001</v>
      </c>
    </row>
    <row r="554" spans="1:17" x14ac:dyDescent="0.25">
      <c r="A554" t="s">
        <v>5</v>
      </c>
      <c r="B554" t="s">
        <v>6</v>
      </c>
      <c r="C554" t="s">
        <v>258</v>
      </c>
      <c r="D554" t="s">
        <v>83</v>
      </c>
      <c r="E554" t="s">
        <v>9</v>
      </c>
      <c r="F554">
        <v>0.220071397</v>
      </c>
      <c r="G554">
        <v>0.234504353</v>
      </c>
      <c r="H554">
        <v>0.23544031100000001</v>
      </c>
      <c r="I554">
        <v>0.32946082300000001</v>
      </c>
      <c r="J554">
        <v>0.199974134</v>
      </c>
      <c r="K554">
        <v>0.19598003899999999</v>
      </c>
      <c r="L554">
        <v>0.20793700600000001</v>
      </c>
      <c r="M554">
        <v>0.23505598699999999</v>
      </c>
      <c r="N554">
        <v>0.26879285200000003</v>
      </c>
      <c r="O554">
        <v>0.29805908800000003</v>
      </c>
      <c r="P554">
        <v>0.31446638999999998</v>
      </c>
      <c r="Q554">
        <v>0.316059384</v>
      </c>
    </row>
    <row r="555" spans="1:17" x14ac:dyDescent="0.25">
      <c r="A555" t="s">
        <v>5</v>
      </c>
      <c r="B555" t="s">
        <v>6</v>
      </c>
      <c r="C555" t="s">
        <v>258</v>
      </c>
      <c r="D555" t="s">
        <v>84</v>
      </c>
      <c r="E555" t="s">
        <v>9</v>
      </c>
      <c r="F555">
        <v>0.13352658000000001</v>
      </c>
      <c r="G555">
        <v>0.177455585</v>
      </c>
      <c r="H555">
        <v>0.151344117</v>
      </c>
      <c r="I555">
        <v>0.17932184800000001</v>
      </c>
      <c r="J555">
        <v>0.14860557599999999</v>
      </c>
      <c r="K555">
        <v>0.15250739599999999</v>
      </c>
      <c r="L555">
        <v>0.16436821200000001</v>
      </c>
      <c r="M555">
        <v>0.18259038599999999</v>
      </c>
      <c r="N555">
        <v>0.20390546100000001</v>
      </c>
      <c r="O555">
        <v>0.22694903299999999</v>
      </c>
      <c r="P555">
        <v>0.25200226999999997</v>
      </c>
      <c r="Q555">
        <v>0.27533201800000001</v>
      </c>
    </row>
    <row r="556" spans="1:17" x14ac:dyDescent="0.25">
      <c r="A556" t="s">
        <v>5</v>
      </c>
      <c r="B556" t="s">
        <v>6</v>
      </c>
      <c r="C556" t="s">
        <v>258</v>
      </c>
      <c r="D556" t="s">
        <v>85</v>
      </c>
      <c r="E556" t="s">
        <v>9</v>
      </c>
      <c r="F556">
        <v>7.0941690000000002E-2</v>
      </c>
      <c r="G556">
        <v>0.103727259</v>
      </c>
      <c r="H556">
        <v>0.13607276700000001</v>
      </c>
      <c r="I556">
        <v>0.66162330000000003</v>
      </c>
      <c r="J556">
        <v>5.6650465999999997E-2</v>
      </c>
      <c r="K556">
        <v>8.3518646000000002E-2</v>
      </c>
      <c r="L556">
        <v>0.16536583599999999</v>
      </c>
      <c r="M556">
        <v>0.26905078500000001</v>
      </c>
      <c r="N556">
        <v>0.28488740800000001</v>
      </c>
      <c r="O556">
        <v>0.23804175999999999</v>
      </c>
      <c r="P556">
        <v>0.25214033899999999</v>
      </c>
      <c r="Q556">
        <v>0.31991746100000001</v>
      </c>
    </row>
    <row r="557" spans="1:17" x14ac:dyDescent="0.25">
      <c r="A557" t="s">
        <v>5</v>
      </c>
      <c r="B557" t="s">
        <v>6</v>
      </c>
      <c r="C557" t="s">
        <v>258</v>
      </c>
      <c r="D557" t="s">
        <v>86</v>
      </c>
      <c r="E557" t="s">
        <v>9</v>
      </c>
      <c r="F557">
        <v>3.5526883000000002E-2</v>
      </c>
      <c r="G557">
        <v>5.5622548000000001E-2</v>
      </c>
      <c r="H557">
        <v>6.6669922000000006E-2</v>
      </c>
      <c r="I557">
        <v>0.135477616</v>
      </c>
      <c r="J557">
        <v>6.8234631000000004E-2</v>
      </c>
      <c r="K557">
        <v>7.5511080999999994E-2</v>
      </c>
      <c r="L557">
        <v>0.102681102</v>
      </c>
      <c r="M557">
        <v>0.13728174100000001</v>
      </c>
      <c r="N557">
        <v>0.146968235</v>
      </c>
      <c r="O557">
        <v>0.13547073600000001</v>
      </c>
      <c r="P557">
        <v>0.137690488</v>
      </c>
      <c r="Q557">
        <v>0.156712567</v>
      </c>
    </row>
    <row r="558" spans="1:17" x14ac:dyDescent="0.25">
      <c r="A558" t="s">
        <v>5</v>
      </c>
      <c r="B558" t="s">
        <v>6</v>
      </c>
      <c r="C558" t="s">
        <v>258</v>
      </c>
      <c r="D558" t="s">
        <v>87</v>
      </c>
      <c r="E558" t="s">
        <v>9</v>
      </c>
      <c r="F558">
        <v>1.9358799120000001</v>
      </c>
      <c r="G558">
        <v>2.4574154849999998</v>
      </c>
      <c r="H558">
        <v>1.797665778</v>
      </c>
      <c r="I558">
        <v>1.8475876790000001</v>
      </c>
      <c r="J558">
        <v>1.8403307369999999</v>
      </c>
      <c r="K558">
        <v>1.826342887</v>
      </c>
      <c r="L558">
        <v>1.81892589</v>
      </c>
      <c r="M558">
        <v>1.8487894760000001</v>
      </c>
      <c r="N558">
        <v>1.8966464199999999</v>
      </c>
      <c r="O558">
        <v>1.9395755539999999</v>
      </c>
      <c r="P558">
        <v>1.996329974</v>
      </c>
      <c r="Q558">
        <v>2.0725837999999999</v>
      </c>
    </row>
    <row r="559" spans="1:17" x14ac:dyDescent="0.25">
      <c r="A559" t="s">
        <v>5</v>
      </c>
      <c r="B559" t="s">
        <v>6</v>
      </c>
      <c r="C559" t="s">
        <v>258</v>
      </c>
      <c r="D559" t="s">
        <v>88</v>
      </c>
      <c r="E559" t="s">
        <v>19</v>
      </c>
      <c r="F559">
        <v>104367378.8</v>
      </c>
      <c r="G559">
        <v>128224048.5</v>
      </c>
      <c r="H559">
        <v>117539995.5</v>
      </c>
      <c r="I559">
        <v>134834421.5</v>
      </c>
      <c r="J559">
        <v>130968324.7</v>
      </c>
      <c r="K559">
        <v>137341899.19999999</v>
      </c>
      <c r="L559">
        <v>143104807.90000001</v>
      </c>
      <c r="M559">
        <v>148134232.80000001</v>
      </c>
      <c r="N559">
        <v>152369744.80000001</v>
      </c>
      <c r="O559">
        <v>155801976.90000001</v>
      </c>
      <c r="P559">
        <v>158470865.59999999</v>
      </c>
      <c r="Q559">
        <v>160270922</v>
      </c>
    </row>
    <row r="560" spans="1:17" x14ac:dyDescent="0.25">
      <c r="A560" t="s">
        <v>5</v>
      </c>
      <c r="B560" t="s">
        <v>6</v>
      </c>
      <c r="C560" t="s">
        <v>258</v>
      </c>
      <c r="D560" t="s">
        <v>89</v>
      </c>
      <c r="E560" t="s">
        <v>19</v>
      </c>
      <c r="F560">
        <v>87002003.930000007</v>
      </c>
      <c r="G560">
        <v>99260072.920000002</v>
      </c>
      <c r="H560">
        <v>102787379.8</v>
      </c>
      <c r="I560">
        <v>113332851.5</v>
      </c>
      <c r="J560">
        <v>119224614.09999999</v>
      </c>
      <c r="K560">
        <v>127293432.59999999</v>
      </c>
      <c r="L560">
        <v>135174228.80000001</v>
      </c>
      <c r="M560">
        <v>142790046.90000001</v>
      </c>
      <c r="N560">
        <v>150130685.09999999</v>
      </c>
      <c r="O560">
        <v>157210578.80000001</v>
      </c>
      <c r="P560">
        <v>164059311</v>
      </c>
      <c r="Q560">
        <v>169926689</v>
      </c>
    </row>
    <row r="561" spans="1:17" x14ac:dyDescent="0.25">
      <c r="A561" t="s">
        <v>5</v>
      </c>
      <c r="B561" t="s">
        <v>6</v>
      </c>
      <c r="C561" t="s">
        <v>258</v>
      </c>
      <c r="D561" t="s">
        <v>90</v>
      </c>
      <c r="E561" t="s">
        <v>19</v>
      </c>
      <c r="F561">
        <v>55246572.439999998</v>
      </c>
      <c r="G561">
        <v>68522664.370000005</v>
      </c>
      <c r="H561">
        <v>66339635.979999997</v>
      </c>
      <c r="I561">
        <v>73178159.879999995</v>
      </c>
      <c r="J561">
        <v>78821170.019999996</v>
      </c>
      <c r="K561">
        <v>85227290.109999999</v>
      </c>
      <c r="L561">
        <v>91731143.859999999</v>
      </c>
      <c r="M561">
        <v>98249011.579999998</v>
      </c>
      <c r="N561">
        <v>104721902.7</v>
      </c>
      <c r="O561">
        <v>111098878.8</v>
      </c>
      <c r="P561">
        <v>117337624.59999999</v>
      </c>
      <c r="Q561">
        <v>122685746.90000001</v>
      </c>
    </row>
    <row r="562" spans="1:17" x14ac:dyDescent="0.25">
      <c r="A562" t="s">
        <v>5</v>
      </c>
      <c r="B562" t="s">
        <v>6</v>
      </c>
      <c r="C562" t="s">
        <v>258</v>
      </c>
      <c r="D562" t="s">
        <v>91</v>
      </c>
      <c r="E562" t="s">
        <v>19</v>
      </c>
      <c r="F562">
        <v>22919493.989999998</v>
      </c>
      <c r="G562">
        <v>39508309.189999998</v>
      </c>
      <c r="H562">
        <v>31923005.210000001</v>
      </c>
      <c r="I562">
        <v>80353990.450000003</v>
      </c>
      <c r="J562">
        <v>38292136.590000004</v>
      </c>
      <c r="K562">
        <v>43863467.289999999</v>
      </c>
      <c r="L562">
        <v>49787849.990000002</v>
      </c>
      <c r="M562">
        <v>55964084.140000001</v>
      </c>
      <c r="N562">
        <v>62265036.82</v>
      </c>
      <c r="O562">
        <v>68495198.219999999</v>
      </c>
      <c r="P562">
        <v>74589378.730000004</v>
      </c>
      <c r="Q562">
        <v>79828710.810000002</v>
      </c>
    </row>
    <row r="563" spans="1:17" x14ac:dyDescent="0.25">
      <c r="A563" t="s">
        <v>5</v>
      </c>
      <c r="B563" t="s">
        <v>6</v>
      </c>
      <c r="C563" t="s">
        <v>258</v>
      </c>
      <c r="D563" t="s">
        <v>92</v>
      </c>
      <c r="E563" t="s">
        <v>19</v>
      </c>
      <c r="F563">
        <v>9541581.6089999992</v>
      </c>
      <c r="G563">
        <v>13825589.050000001</v>
      </c>
      <c r="H563">
        <v>12460233.84</v>
      </c>
      <c r="I563">
        <v>25248444.809999999</v>
      </c>
      <c r="J563">
        <v>14587026.25</v>
      </c>
      <c r="K563">
        <v>16291410.16</v>
      </c>
      <c r="L563">
        <v>18083831.25</v>
      </c>
      <c r="M563">
        <v>19941867.23</v>
      </c>
      <c r="N563">
        <v>21842249.91</v>
      </c>
      <c r="O563">
        <v>23740775</v>
      </c>
      <c r="P563">
        <v>25625517.120000001</v>
      </c>
      <c r="Q563">
        <v>27275934.649999999</v>
      </c>
    </row>
    <row r="564" spans="1:17" x14ac:dyDescent="0.25">
      <c r="A564" t="s">
        <v>5</v>
      </c>
      <c r="B564" t="s">
        <v>6</v>
      </c>
      <c r="C564" t="s">
        <v>258</v>
      </c>
      <c r="D564" t="s">
        <v>93</v>
      </c>
      <c r="E564" t="s">
        <v>19</v>
      </c>
      <c r="F564">
        <v>18306835.800000001</v>
      </c>
      <c r="G564">
        <v>27030361.77</v>
      </c>
      <c r="H564">
        <v>24391290.77</v>
      </c>
      <c r="I564">
        <v>48640185.600000001</v>
      </c>
      <c r="J564">
        <v>28861919.620000001</v>
      </c>
      <c r="K564">
        <v>32243905.66</v>
      </c>
      <c r="L564">
        <v>35713794.299999997</v>
      </c>
      <c r="M564">
        <v>39179302.950000003</v>
      </c>
      <c r="N564">
        <v>42555060.960000001</v>
      </c>
      <c r="O564">
        <v>45738690.880000003</v>
      </c>
      <c r="P564">
        <v>48709395.609999999</v>
      </c>
      <c r="Q564">
        <v>51143912.030000001</v>
      </c>
    </row>
    <row r="565" spans="1:17" x14ac:dyDescent="0.25">
      <c r="A565" t="s">
        <v>5</v>
      </c>
      <c r="B565" t="s">
        <v>6</v>
      </c>
      <c r="C565" t="s">
        <v>258</v>
      </c>
      <c r="D565" t="s">
        <v>94</v>
      </c>
      <c r="E565" t="s">
        <v>19</v>
      </c>
      <c r="F565">
        <v>68167506.319999993</v>
      </c>
      <c r="G565">
        <v>80392632.5</v>
      </c>
      <c r="H565">
        <v>81347179.099999994</v>
      </c>
      <c r="I565">
        <v>102726138.8</v>
      </c>
      <c r="J565">
        <v>92002055.640000001</v>
      </c>
      <c r="K565">
        <v>98061998.390000001</v>
      </c>
      <c r="L565">
        <v>103987688.7</v>
      </c>
      <c r="M565">
        <v>109626987.8</v>
      </c>
      <c r="N565">
        <v>114897144.3</v>
      </c>
      <c r="O565">
        <v>119699935.5</v>
      </c>
      <c r="P565">
        <v>124032199.5</v>
      </c>
      <c r="Q565">
        <v>127470871.7</v>
      </c>
    </row>
    <row r="566" spans="1:17" x14ac:dyDescent="0.25">
      <c r="A566" t="s">
        <v>5</v>
      </c>
      <c r="B566" t="s">
        <v>6</v>
      </c>
      <c r="C566" t="s">
        <v>258</v>
      </c>
      <c r="D566" t="s">
        <v>95</v>
      </c>
      <c r="E566" t="s">
        <v>27</v>
      </c>
      <c r="F566">
        <v>10.471874680000001</v>
      </c>
      <c r="G566">
        <v>11.72971613</v>
      </c>
      <c r="H566">
        <v>12.59428683</v>
      </c>
      <c r="I566">
        <v>16.698011789999999</v>
      </c>
      <c r="J566">
        <v>12.64517221</v>
      </c>
      <c r="K566">
        <v>15.533262089999999</v>
      </c>
      <c r="L566">
        <v>15.777466479999999</v>
      </c>
      <c r="M566">
        <v>15.89994349</v>
      </c>
      <c r="N566">
        <v>17.59461451</v>
      </c>
      <c r="O566">
        <v>18.833449559999998</v>
      </c>
      <c r="P566">
        <v>19.749477710000001</v>
      </c>
      <c r="Q566">
        <v>20.401357019999999</v>
      </c>
    </row>
    <row r="567" spans="1:17" x14ac:dyDescent="0.25">
      <c r="A567" t="s">
        <v>5</v>
      </c>
      <c r="B567" t="s">
        <v>6</v>
      </c>
      <c r="C567" t="s">
        <v>258</v>
      </c>
      <c r="D567" t="s">
        <v>96</v>
      </c>
      <c r="E567" t="s">
        <v>27</v>
      </c>
      <c r="F567">
        <v>13.93502848</v>
      </c>
      <c r="G567">
        <v>15.29354577</v>
      </c>
      <c r="H567">
        <v>16.27464629</v>
      </c>
      <c r="I567">
        <v>20.736662119999998</v>
      </c>
      <c r="J567">
        <v>17.214185180000001</v>
      </c>
      <c r="K567">
        <v>20.25347279</v>
      </c>
      <c r="L567">
        <v>20.744893860000001</v>
      </c>
      <c r="M567">
        <v>21.476191149999998</v>
      </c>
      <c r="N567">
        <v>23.611115590000001</v>
      </c>
      <c r="O567">
        <v>25.25191015</v>
      </c>
      <c r="P567">
        <v>26.536283439999998</v>
      </c>
      <c r="Q567">
        <v>27.49598469</v>
      </c>
    </row>
    <row r="568" spans="1:17" x14ac:dyDescent="0.25">
      <c r="A568" t="s">
        <v>5</v>
      </c>
      <c r="B568" t="s">
        <v>6</v>
      </c>
      <c r="C568" t="s">
        <v>258</v>
      </c>
      <c r="D568" t="s">
        <v>97</v>
      </c>
      <c r="E568" t="s">
        <v>27</v>
      </c>
      <c r="F568">
        <v>0.26854917</v>
      </c>
      <c r="G568">
        <v>0.34383803800000001</v>
      </c>
      <c r="H568">
        <v>0.29904219199999998</v>
      </c>
      <c r="I568">
        <v>0.36730917800000001</v>
      </c>
      <c r="J568">
        <v>0.29053295600000001</v>
      </c>
      <c r="K568">
        <v>0.29856953400000003</v>
      </c>
      <c r="L568">
        <v>0.32248091600000001</v>
      </c>
      <c r="M568">
        <v>0.35953828199999999</v>
      </c>
      <c r="N568">
        <v>0.40310713399999998</v>
      </c>
      <c r="O568">
        <v>0.44920434300000001</v>
      </c>
      <c r="P568">
        <v>0.496959392</v>
      </c>
      <c r="Q568">
        <v>0.539434992</v>
      </c>
    </row>
    <row r="569" spans="1:17" x14ac:dyDescent="0.25">
      <c r="A569" t="s">
        <v>5</v>
      </c>
      <c r="B569" t="s">
        <v>6</v>
      </c>
      <c r="C569" t="s">
        <v>258</v>
      </c>
      <c r="D569" t="s">
        <v>98</v>
      </c>
      <c r="E569" t="s">
        <v>27</v>
      </c>
      <c r="F569">
        <v>6.9309799999999996E-4</v>
      </c>
      <c r="G569">
        <v>1.0451289999999999E-3</v>
      </c>
      <c r="H569">
        <v>1.316713E-3</v>
      </c>
      <c r="I569">
        <v>4.7746050000000003E-3</v>
      </c>
      <c r="J569">
        <v>8.9734099999999996E-4</v>
      </c>
      <c r="K569">
        <v>1.1065440000000001E-3</v>
      </c>
      <c r="L569">
        <v>1.7869940000000001E-3</v>
      </c>
      <c r="M569">
        <v>2.6505600000000002E-3</v>
      </c>
      <c r="N569">
        <v>2.8204279999999998E-3</v>
      </c>
      <c r="O569">
        <v>2.465933E-3</v>
      </c>
      <c r="P569">
        <v>2.561921E-3</v>
      </c>
      <c r="Q569">
        <v>3.095403E-3</v>
      </c>
    </row>
    <row r="570" spans="1:17" x14ac:dyDescent="0.25">
      <c r="A570" t="s">
        <v>5</v>
      </c>
      <c r="B570" t="s">
        <v>6</v>
      </c>
      <c r="C570" t="s">
        <v>258</v>
      </c>
      <c r="D570" t="s">
        <v>99</v>
      </c>
      <c r="E570" t="s">
        <v>27</v>
      </c>
      <c r="F570">
        <v>1.2283433610000001</v>
      </c>
      <c r="G570">
        <v>1.9480084120000001</v>
      </c>
      <c r="H570">
        <v>1.1610230500000001</v>
      </c>
      <c r="I570">
        <v>1.2384858480000001</v>
      </c>
      <c r="J570">
        <v>1.2443888320000001</v>
      </c>
      <c r="K570">
        <v>1.201800277</v>
      </c>
      <c r="L570">
        <v>1.1542943189999999</v>
      </c>
      <c r="M570">
        <v>1.178443004</v>
      </c>
      <c r="N570">
        <v>1.252152734</v>
      </c>
      <c r="O570">
        <v>1.3060590569999999</v>
      </c>
      <c r="P570">
        <v>1.3402576530000001</v>
      </c>
      <c r="Q570">
        <v>1.3815490429999999</v>
      </c>
    </row>
    <row r="571" spans="1:17" x14ac:dyDescent="0.25">
      <c r="A571" t="s">
        <v>5</v>
      </c>
      <c r="B571" t="s">
        <v>6</v>
      </c>
      <c r="C571" t="s">
        <v>258</v>
      </c>
      <c r="D571" t="s">
        <v>100</v>
      </c>
      <c r="E571" t="s">
        <v>27</v>
      </c>
      <c r="F571">
        <v>1.6073001179999999</v>
      </c>
      <c r="G571">
        <v>1.816038848</v>
      </c>
      <c r="H571">
        <v>1.958603962</v>
      </c>
      <c r="I571">
        <v>2.6896984659999998</v>
      </c>
      <c r="J571">
        <v>2.1062126459999999</v>
      </c>
      <c r="K571">
        <v>2.8263640419999998</v>
      </c>
      <c r="L571">
        <v>3.3683852029999999</v>
      </c>
      <c r="M571">
        <v>3.9192435470000002</v>
      </c>
      <c r="N571">
        <v>4.5516187090000004</v>
      </c>
      <c r="O571">
        <v>5.0014694430000004</v>
      </c>
      <c r="P571">
        <v>5.4047078559999999</v>
      </c>
      <c r="Q571">
        <v>5.7531986960000001</v>
      </c>
    </row>
    <row r="572" spans="1:17" x14ac:dyDescent="0.25">
      <c r="A572" t="s">
        <v>5</v>
      </c>
      <c r="B572" t="s">
        <v>6</v>
      </c>
      <c r="C572" t="s">
        <v>258</v>
      </c>
      <c r="D572" t="s">
        <v>101</v>
      </c>
      <c r="E572" t="s">
        <v>27</v>
      </c>
      <c r="F572">
        <v>2.0407046969999998</v>
      </c>
      <c r="G572">
        <v>2.2578464020000002</v>
      </c>
      <c r="H572">
        <v>2.4197419939999998</v>
      </c>
      <c r="I572">
        <v>3.1785337939999998</v>
      </c>
      <c r="J572">
        <v>2.618915587</v>
      </c>
      <c r="K572">
        <v>3.3489398910000001</v>
      </c>
      <c r="L572">
        <v>3.932210489</v>
      </c>
      <c r="M572">
        <v>4.5301848329999999</v>
      </c>
      <c r="N572">
        <v>5.1964653890000001</v>
      </c>
      <c r="O572">
        <v>5.6780028639999998</v>
      </c>
      <c r="P572">
        <v>6.111177713</v>
      </c>
      <c r="Q572">
        <v>6.4912297240000001</v>
      </c>
    </row>
    <row r="573" spans="1:17" x14ac:dyDescent="0.25">
      <c r="A573" t="s">
        <v>5</v>
      </c>
      <c r="B573" t="s">
        <v>6</v>
      </c>
      <c r="C573" t="s">
        <v>258</v>
      </c>
      <c r="D573" t="s">
        <v>102</v>
      </c>
      <c r="E573" t="s">
        <v>27</v>
      </c>
      <c r="F573">
        <v>3.5454368E-2</v>
      </c>
      <c r="G573">
        <v>4.0740402000000002E-2</v>
      </c>
      <c r="H573">
        <v>3.7721910999999997E-2</v>
      </c>
      <c r="I573">
        <v>5.0929789000000003E-2</v>
      </c>
      <c r="J573">
        <v>3.5265733E-2</v>
      </c>
      <c r="K573">
        <v>3.6225907000000002E-2</v>
      </c>
      <c r="L573">
        <v>3.9285836999999997E-2</v>
      </c>
      <c r="M573">
        <v>4.4253272000000003E-2</v>
      </c>
      <c r="N573">
        <v>5.0187476000000002E-2</v>
      </c>
      <c r="O573">
        <v>5.6071224000000003E-2</v>
      </c>
      <c r="P573">
        <v>6.1240919999999997E-2</v>
      </c>
      <c r="Q573">
        <v>6.5008938000000002E-2</v>
      </c>
    </row>
    <row r="574" spans="1:17" x14ac:dyDescent="0.25">
      <c r="A574" t="s">
        <v>5</v>
      </c>
      <c r="B574" t="s">
        <v>6</v>
      </c>
      <c r="C574" t="s">
        <v>258</v>
      </c>
      <c r="D574" t="s">
        <v>103</v>
      </c>
      <c r="E574" t="s">
        <v>27</v>
      </c>
      <c r="F574">
        <v>5.2367409999999996E-3</v>
      </c>
      <c r="G574">
        <v>7.8965319999999995E-3</v>
      </c>
      <c r="H574">
        <v>9.9484949999999999E-3</v>
      </c>
      <c r="I574">
        <v>3.6074792000000001E-2</v>
      </c>
      <c r="J574">
        <v>6.7799059999999996E-3</v>
      </c>
      <c r="K574">
        <v>8.3605529999999997E-3</v>
      </c>
      <c r="L574">
        <v>1.3501733E-2</v>
      </c>
      <c r="M574">
        <v>2.0026457000000001E-2</v>
      </c>
      <c r="N574">
        <v>2.13099E-2</v>
      </c>
      <c r="O574">
        <v>1.8631492999999999E-2</v>
      </c>
      <c r="P574">
        <v>1.9356733000000001E-2</v>
      </c>
      <c r="Q574">
        <v>2.3387488000000001E-2</v>
      </c>
    </row>
    <row r="575" spans="1:17" x14ac:dyDescent="0.25">
      <c r="A575" t="s">
        <v>5</v>
      </c>
      <c r="B575" t="s">
        <v>6</v>
      </c>
      <c r="C575" t="s">
        <v>258</v>
      </c>
      <c r="D575" t="s">
        <v>104</v>
      </c>
      <c r="E575" t="s">
        <v>27</v>
      </c>
      <c r="F575">
        <v>1.3498279E-2</v>
      </c>
      <c r="G575">
        <v>2.1406686000000001E-2</v>
      </c>
      <c r="H575">
        <v>1.2758495E-2</v>
      </c>
      <c r="I575">
        <v>1.3609735E-2</v>
      </c>
      <c r="J575">
        <v>1.3674603E-2</v>
      </c>
      <c r="K575">
        <v>1.3206595999999999E-2</v>
      </c>
      <c r="L575">
        <v>1.2684552999999999E-2</v>
      </c>
      <c r="M575">
        <v>1.2949923E-2</v>
      </c>
      <c r="N575">
        <v>1.375992E-2</v>
      </c>
      <c r="O575">
        <v>1.4352297E-2</v>
      </c>
      <c r="P575">
        <v>1.4728105999999999E-2</v>
      </c>
      <c r="Q575">
        <v>1.5181857999999999E-2</v>
      </c>
    </row>
    <row r="576" spans="1:17" x14ac:dyDescent="0.25">
      <c r="A576" t="s">
        <v>5</v>
      </c>
      <c r="B576" t="s">
        <v>6</v>
      </c>
      <c r="C576" t="s">
        <v>258</v>
      </c>
      <c r="D576" t="s">
        <v>105</v>
      </c>
      <c r="E576" t="s">
        <v>27</v>
      </c>
      <c r="F576">
        <v>0.31182636699999999</v>
      </c>
      <c r="G576">
        <v>0.36381618999999998</v>
      </c>
      <c r="H576">
        <v>0.39882826300000002</v>
      </c>
      <c r="I576">
        <v>0.61616907099999996</v>
      </c>
      <c r="J576">
        <v>0.53292262499999998</v>
      </c>
      <c r="K576">
        <v>0.87328229700000004</v>
      </c>
      <c r="L576">
        <v>1.3214124739999999</v>
      </c>
      <c r="M576">
        <v>1.79540616</v>
      </c>
      <c r="N576">
        <v>2.174707911</v>
      </c>
      <c r="O576">
        <v>2.4405278410000002</v>
      </c>
      <c r="P576">
        <v>2.7005797779999998</v>
      </c>
      <c r="Q576">
        <v>2.940757139</v>
      </c>
    </row>
    <row r="577" spans="1:17" x14ac:dyDescent="0.25">
      <c r="A577" t="s">
        <v>5</v>
      </c>
      <c r="B577" t="s">
        <v>6</v>
      </c>
      <c r="C577" t="s">
        <v>258</v>
      </c>
      <c r="D577" t="s">
        <v>106</v>
      </c>
      <c r="E577" t="s">
        <v>27</v>
      </c>
      <c r="F577">
        <v>0.33446304999999998</v>
      </c>
      <c r="G577">
        <v>0.387742374</v>
      </c>
      <c r="H577">
        <v>0.423206211</v>
      </c>
      <c r="I577">
        <v>0.64292424999999997</v>
      </c>
      <c r="J577">
        <v>0.56422524799999996</v>
      </c>
      <c r="K577">
        <v>0.90677485800000002</v>
      </c>
      <c r="L577">
        <v>1.3583743509999999</v>
      </c>
      <c r="M577">
        <v>1.8394661969999999</v>
      </c>
      <c r="N577">
        <v>2.224086926</v>
      </c>
      <c r="O577">
        <v>2.495800365</v>
      </c>
      <c r="P577">
        <v>2.761558387</v>
      </c>
      <c r="Q577">
        <v>3.0059583179999998</v>
      </c>
    </row>
    <row r="578" spans="1:17" x14ac:dyDescent="0.25">
      <c r="A578" t="s">
        <v>5</v>
      </c>
      <c r="B578" t="s">
        <v>6</v>
      </c>
      <c r="C578" t="s">
        <v>258</v>
      </c>
      <c r="D578" t="s">
        <v>107</v>
      </c>
      <c r="E578" t="s">
        <v>27</v>
      </c>
      <c r="F578">
        <v>7.04862E-4</v>
      </c>
      <c r="G578">
        <v>8.2353600000000004E-4</v>
      </c>
      <c r="H578">
        <v>7.2352199999999999E-4</v>
      </c>
      <c r="I578">
        <v>9.9121499999999993E-4</v>
      </c>
      <c r="J578">
        <v>7.3587299999999995E-4</v>
      </c>
      <c r="K578">
        <v>7.9185900000000001E-4</v>
      </c>
      <c r="L578">
        <v>8.7846300000000001E-4</v>
      </c>
      <c r="M578">
        <v>9.9236500000000004E-4</v>
      </c>
      <c r="N578">
        <v>1.124431E-3</v>
      </c>
      <c r="O578">
        <v>1.266728E-3</v>
      </c>
      <c r="P578">
        <v>1.4157180000000001E-3</v>
      </c>
      <c r="Q578">
        <v>1.5516569999999999E-3</v>
      </c>
    </row>
    <row r="579" spans="1:17" x14ac:dyDescent="0.25">
      <c r="A579" t="s">
        <v>5</v>
      </c>
      <c r="B579" t="s">
        <v>6</v>
      </c>
      <c r="C579" t="s">
        <v>258</v>
      </c>
      <c r="D579" t="s">
        <v>108</v>
      </c>
      <c r="E579" t="s">
        <v>27</v>
      </c>
      <c r="F579" s="1">
        <v>1.98E-5</v>
      </c>
      <c r="G579" s="1">
        <v>2.8900000000000001E-5</v>
      </c>
      <c r="H579" s="1">
        <v>3.79E-5</v>
      </c>
      <c r="I579">
        <v>1.8430599999999999E-4</v>
      </c>
      <c r="J579" s="1">
        <v>1.5800000000000001E-5</v>
      </c>
      <c r="K579" s="1">
        <v>2.3300000000000001E-5</v>
      </c>
      <c r="L579" s="1">
        <v>4.6100000000000002E-5</v>
      </c>
      <c r="M579" s="1">
        <v>7.4900000000000005E-5</v>
      </c>
      <c r="N579" s="1">
        <v>7.9400000000000006E-5</v>
      </c>
      <c r="O579" s="1">
        <v>6.6299999999999999E-5</v>
      </c>
      <c r="P579" s="1">
        <v>7.0199999999999999E-5</v>
      </c>
      <c r="Q579" s="1">
        <v>8.9099999999999997E-5</v>
      </c>
    </row>
    <row r="580" spans="1:17" x14ac:dyDescent="0.25">
      <c r="A580" t="s">
        <v>5</v>
      </c>
      <c r="B580" t="s">
        <v>6</v>
      </c>
      <c r="C580" t="s">
        <v>258</v>
      </c>
      <c r="D580" t="s">
        <v>109</v>
      </c>
      <c r="E580" t="s">
        <v>27</v>
      </c>
      <c r="F580">
        <v>1.3498279E-2</v>
      </c>
      <c r="G580">
        <v>2.1406686000000001E-2</v>
      </c>
      <c r="H580">
        <v>1.2758495E-2</v>
      </c>
      <c r="I580">
        <v>1.3609735E-2</v>
      </c>
      <c r="J580">
        <v>1.3674603E-2</v>
      </c>
      <c r="K580">
        <v>1.3206595999999999E-2</v>
      </c>
      <c r="L580">
        <v>1.2684552999999999E-2</v>
      </c>
      <c r="M580">
        <v>1.2949923E-2</v>
      </c>
      <c r="N580">
        <v>1.375992E-2</v>
      </c>
      <c r="O580">
        <v>1.4352297E-2</v>
      </c>
      <c r="P580">
        <v>1.4728105999999999E-2</v>
      </c>
      <c r="Q580">
        <v>1.5181857999999999E-2</v>
      </c>
    </row>
    <row r="581" spans="1:17" x14ac:dyDescent="0.25">
      <c r="A581" t="s">
        <v>5</v>
      </c>
      <c r="B581" t="s">
        <v>6</v>
      </c>
      <c r="C581" t="s">
        <v>258</v>
      </c>
      <c r="D581" t="s">
        <v>110</v>
      </c>
      <c r="E581" t="s">
        <v>27</v>
      </c>
      <c r="F581">
        <v>0.44055616800000003</v>
      </c>
      <c r="G581">
        <v>0.49439449699999999</v>
      </c>
      <c r="H581">
        <v>0.53131324999999996</v>
      </c>
      <c r="I581">
        <v>0.70962426199999995</v>
      </c>
      <c r="J581">
        <v>0.54090967700000003</v>
      </c>
      <c r="K581">
        <v>0.67566186100000003</v>
      </c>
      <c r="L581">
        <v>0.70984746300000001</v>
      </c>
      <c r="M581">
        <v>0.74070870499999997</v>
      </c>
      <c r="N581">
        <v>0.83042515500000003</v>
      </c>
      <c r="O581">
        <v>0.89494575499999995</v>
      </c>
      <c r="P581">
        <v>0.94474069000000005</v>
      </c>
      <c r="Q581">
        <v>0.98228263800000004</v>
      </c>
    </row>
    <row r="582" spans="1:17" x14ac:dyDescent="0.25">
      <c r="A582" t="s">
        <v>5</v>
      </c>
      <c r="B582" t="s">
        <v>6</v>
      </c>
      <c r="C582" t="s">
        <v>258</v>
      </c>
      <c r="D582" t="s">
        <v>111</v>
      </c>
      <c r="E582" t="s">
        <v>27</v>
      </c>
      <c r="F582">
        <v>0.487667411</v>
      </c>
      <c r="G582">
        <v>0.54269250199999997</v>
      </c>
      <c r="H582">
        <v>0.58236263300000002</v>
      </c>
      <c r="I582">
        <v>0.76456385900000001</v>
      </c>
      <c r="J582">
        <v>0.59821934300000001</v>
      </c>
      <c r="K582">
        <v>0.73497745400000003</v>
      </c>
      <c r="L582">
        <v>0.773090638</v>
      </c>
      <c r="M582">
        <v>0.81001329099999997</v>
      </c>
      <c r="N582">
        <v>0.90378256199999996</v>
      </c>
      <c r="O582">
        <v>0.97235204600000003</v>
      </c>
      <c r="P582">
        <v>1.0258075680000001</v>
      </c>
      <c r="Q582">
        <v>1.0672504920000001</v>
      </c>
    </row>
    <row r="583" spans="1:17" x14ac:dyDescent="0.25">
      <c r="A583" t="s">
        <v>5</v>
      </c>
      <c r="B583" t="s">
        <v>6</v>
      </c>
      <c r="C583" t="s">
        <v>258</v>
      </c>
      <c r="D583" t="s">
        <v>112</v>
      </c>
      <c r="E583" t="s">
        <v>27</v>
      </c>
      <c r="F583">
        <v>5.9187200000000001E-4</v>
      </c>
      <c r="G583">
        <v>6.0153400000000003E-4</v>
      </c>
      <c r="H583">
        <v>5.5829899999999995E-4</v>
      </c>
      <c r="I583">
        <v>8.7258500000000005E-4</v>
      </c>
      <c r="J583">
        <v>5.7057799999999997E-4</v>
      </c>
      <c r="K583">
        <v>6.33324E-4</v>
      </c>
      <c r="L583">
        <v>7.1648600000000001E-4</v>
      </c>
      <c r="M583">
        <v>8.2100399999999996E-4</v>
      </c>
      <c r="N583">
        <v>9.4248599999999997E-4</v>
      </c>
      <c r="O583">
        <v>1.0700149999999999E-3</v>
      </c>
      <c r="P583">
        <v>1.1938999999999999E-3</v>
      </c>
      <c r="Q583">
        <v>1.299365E-3</v>
      </c>
    </row>
    <row r="584" spans="1:17" x14ac:dyDescent="0.25">
      <c r="A584" t="s">
        <v>5</v>
      </c>
      <c r="B584" t="s">
        <v>6</v>
      </c>
      <c r="C584" t="s">
        <v>258</v>
      </c>
      <c r="D584" t="s">
        <v>113</v>
      </c>
      <c r="E584" t="s">
        <v>27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25">
      <c r="A585" t="s">
        <v>5</v>
      </c>
      <c r="B585" t="s">
        <v>6</v>
      </c>
      <c r="C585" t="s">
        <v>258</v>
      </c>
      <c r="D585" t="s">
        <v>114</v>
      </c>
      <c r="E585" t="s">
        <v>27</v>
      </c>
      <c r="F585">
        <v>8.0989699999999996E-4</v>
      </c>
      <c r="G585">
        <v>1.2844009999999999E-3</v>
      </c>
      <c r="H585">
        <v>7.6550999999999995E-4</v>
      </c>
      <c r="I585">
        <v>8.1658399999999997E-4</v>
      </c>
      <c r="J585">
        <v>8.20476E-4</v>
      </c>
      <c r="K585">
        <v>7.9239600000000001E-4</v>
      </c>
      <c r="L585">
        <v>7.6107300000000002E-4</v>
      </c>
      <c r="M585">
        <v>7.7699500000000005E-4</v>
      </c>
      <c r="N585">
        <v>8.2559500000000004E-4</v>
      </c>
      <c r="O585">
        <v>8.6113800000000001E-4</v>
      </c>
      <c r="P585">
        <v>8.8368599999999996E-4</v>
      </c>
      <c r="Q585">
        <v>9.1091100000000003E-4</v>
      </c>
    </row>
    <row r="586" spans="1:17" x14ac:dyDescent="0.25">
      <c r="A586" t="s">
        <v>5</v>
      </c>
      <c r="B586" t="s">
        <v>6</v>
      </c>
      <c r="C586" t="s">
        <v>258</v>
      </c>
      <c r="D586" t="s">
        <v>115</v>
      </c>
      <c r="E586" t="s">
        <v>27</v>
      </c>
      <c r="F586">
        <v>2.0633794590000001</v>
      </c>
      <c r="G586">
        <v>2.3135259760000002</v>
      </c>
      <c r="H586">
        <v>2.4854943280000001</v>
      </c>
      <c r="I586">
        <v>3.3116700520000002</v>
      </c>
      <c r="J586">
        <v>2.5208621839999998</v>
      </c>
      <c r="K586">
        <v>3.1393522159999998</v>
      </c>
      <c r="L586">
        <v>3.2722346899999999</v>
      </c>
      <c r="M586">
        <v>3.395735664</v>
      </c>
      <c r="N586">
        <v>3.8117539809999998</v>
      </c>
      <c r="O586">
        <v>4.1268396669999996</v>
      </c>
      <c r="P586">
        <v>4.380576434</v>
      </c>
      <c r="Q586">
        <v>4.5747050509999996</v>
      </c>
    </row>
    <row r="587" spans="1:17" x14ac:dyDescent="0.25">
      <c r="A587" t="s">
        <v>5</v>
      </c>
      <c r="B587" t="s">
        <v>6</v>
      </c>
      <c r="C587" t="s">
        <v>258</v>
      </c>
      <c r="D587" t="s">
        <v>116</v>
      </c>
      <c r="E587" t="s">
        <v>27</v>
      </c>
      <c r="F587">
        <v>2.6041779869999999</v>
      </c>
      <c r="G587">
        <v>2.8702720730000002</v>
      </c>
      <c r="H587">
        <v>3.0600309129999999</v>
      </c>
      <c r="I587">
        <v>3.940169488</v>
      </c>
      <c r="J587">
        <v>3.2299955460000001</v>
      </c>
      <c r="K587">
        <v>3.871956666</v>
      </c>
      <c r="L587">
        <v>4.0446273340000003</v>
      </c>
      <c r="M587">
        <v>4.2630453680000002</v>
      </c>
      <c r="N587">
        <v>4.7475333270000002</v>
      </c>
      <c r="O587">
        <v>5.1271278379999998</v>
      </c>
      <c r="P587">
        <v>5.439778671</v>
      </c>
      <c r="Q587">
        <v>5.6830578850000002</v>
      </c>
    </row>
    <row r="588" spans="1:17" x14ac:dyDescent="0.25">
      <c r="A588" t="s">
        <v>5</v>
      </c>
      <c r="B588" t="s">
        <v>6</v>
      </c>
      <c r="C588" t="s">
        <v>258</v>
      </c>
      <c r="D588" t="s">
        <v>117</v>
      </c>
      <c r="E588" t="s">
        <v>27</v>
      </c>
      <c r="F588">
        <v>1.8446409999999999E-3</v>
      </c>
      <c r="G588">
        <v>1.9139280000000001E-3</v>
      </c>
      <c r="H588">
        <v>1.8406550000000001E-3</v>
      </c>
      <c r="I588">
        <v>2.737635E-3</v>
      </c>
      <c r="J588">
        <v>1.7342620000000001E-3</v>
      </c>
      <c r="K588">
        <v>1.8310760000000001E-3</v>
      </c>
      <c r="L588">
        <v>2.021728E-3</v>
      </c>
      <c r="M588">
        <v>2.305035E-3</v>
      </c>
      <c r="N588">
        <v>2.6423340000000001E-3</v>
      </c>
      <c r="O588">
        <v>2.9741979999999999E-3</v>
      </c>
      <c r="P588">
        <v>3.253134E-3</v>
      </c>
      <c r="Q588">
        <v>3.445877E-3</v>
      </c>
    </row>
    <row r="589" spans="1:17" x14ac:dyDescent="0.25">
      <c r="A589" t="s">
        <v>5</v>
      </c>
      <c r="B589" t="s">
        <v>6</v>
      </c>
      <c r="C589" t="s">
        <v>258</v>
      </c>
      <c r="D589" t="s">
        <v>118</v>
      </c>
      <c r="E589" t="s">
        <v>27</v>
      </c>
      <c r="F589">
        <v>4.0430700000000002E-4</v>
      </c>
      <c r="G589">
        <v>6.0965900000000003E-4</v>
      </c>
      <c r="H589">
        <v>7.6808200000000001E-4</v>
      </c>
      <c r="I589">
        <v>2.7851859999999998E-3</v>
      </c>
      <c r="J589">
        <v>5.2344900000000005E-4</v>
      </c>
      <c r="K589">
        <v>6.4548399999999999E-4</v>
      </c>
      <c r="L589">
        <v>1.0424130000000001E-3</v>
      </c>
      <c r="M589">
        <v>1.54616E-3</v>
      </c>
      <c r="N589">
        <v>1.64525E-3</v>
      </c>
      <c r="O589">
        <v>1.438461E-3</v>
      </c>
      <c r="P589">
        <v>1.4944540000000001E-3</v>
      </c>
      <c r="Q589">
        <v>1.805652E-3</v>
      </c>
    </row>
    <row r="590" spans="1:17" x14ac:dyDescent="0.25">
      <c r="A590" t="s">
        <v>5</v>
      </c>
      <c r="B590" t="s">
        <v>6</v>
      </c>
      <c r="C590" t="s">
        <v>258</v>
      </c>
      <c r="D590" t="s">
        <v>119</v>
      </c>
      <c r="E590" t="s">
        <v>27</v>
      </c>
      <c r="F590">
        <v>2.6996557000000001E-2</v>
      </c>
      <c r="G590">
        <v>4.2813372000000002E-2</v>
      </c>
      <c r="H590">
        <v>2.551699E-2</v>
      </c>
      <c r="I590">
        <v>2.7219469E-2</v>
      </c>
      <c r="J590">
        <v>2.7349205000000001E-2</v>
      </c>
      <c r="K590">
        <v>2.6413193000000001E-2</v>
      </c>
      <c r="L590">
        <v>2.5369105999999999E-2</v>
      </c>
      <c r="M590">
        <v>2.5899846000000001E-2</v>
      </c>
      <c r="N590">
        <v>2.751984E-2</v>
      </c>
      <c r="O590">
        <v>2.8704594999999999E-2</v>
      </c>
      <c r="P590">
        <v>2.9456211999999999E-2</v>
      </c>
      <c r="Q590">
        <v>3.0363714999999999E-2</v>
      </c>
    </row>
    <row r="591" spans="1:17" x14ac:dyDescent="0.25">
      <c r="A591" t="s">
        <v>5</v>
      </c>
      <c r="B591" t="s">
        <v>6</v>
      </c>
      <c r="C591" t="s">
        <v>258</v>
      </c>
      <c r="D591" t="s">
        <v>120</v>
      </c>
      <c r="E591" t="s">
        <v>27</v>
      </c>
      <c r="F591">
        <v>15.21816791</v>
      </c>
      <c r="G591">
        <v>18.329340899999998</v>
      </c>
      <c r="H591">
        <v>17.93389943</v>
      </c>
      <c r="I591">
        <v>19.944958809999999</v>
      </c>
      <c r="J591">
        <v>20.86572142</v>
      </c>
      <c r="K591">
        <v>22.331104580000002</v>
      </c>
      <c r="L591">
        <v>23.77916888</v>
      </c>
      <c r="M591">
        <v>25.19070808</v>
      </c>
      <c r="N591">
        <v>26.556370019999999</v>
      </c>
      <c r="O591">
        <v>27.8708074</v>
      </c>
      <c r="P591">
        <v>29.13207697</v>
      </c>
      <c r="Q591">
        <v>30.199156070000001</v>
      </c>
    </row>
    <row r="592" spans="1:17" x14ac:dyDescent="0.25">
      <c r="A592" t="s">
        <v>5</v>
      </c>
      <c r="B592" t="s">
        <v>6</v>
      </c>
      <c r="C592" t="s">
        <v>258</v>
      </c>
      <c r="D592" t="s">
        <v>121</v>
      </c>
      <c r="E592" t="s">
        <v>27</v>
      </c>
      <c r="F592">
        <v>10.235676509999999</v>
      </c>
      <c r="G592">
        <v>13.735237379999999</v>
      </c>
      <c r="H592">
        <v>12.89257469</v>
      </c>
      <c r="I592">
        <v>21.760608600000001</v>
      </c>
      <c r="J592">
        <v>14.91018384</v>
      </c>
      <c r="K592">
        <v>16.323916270000002</v>
      </c>
      <c r="L592">
        <v>17.767365829999999</v>
      </c>
      <c r="M592">
        <v>19.208650429999999</v>
      </c>
      <c r="N592">
        <v>20.620727339999998</v>
      </c>
      <c r="O592">
        <v>21.966885439999999</v>
      </c>
      <c r="P592">
        <v>23.239076990000001</v>
      </c>
      <c r="Q592">
        <v>24.29786532</v>
      </c>
    </row>
    <row r="593" spans="1:17" x14ac:dyDescent="0.25">
      <c r="A593" t="s">
        <v>5</v>
      </c>
      <c r="B593" t="s">
        <v>6</v>
      </c>
      <c r="C593" t="s">
        <v>258</v>
      </c>
      <c r="D593" t="s">
        <v>122</v>
      </c>
      <c r="E593" t="s">
        <v>27</v>
      </c>
      <c r="F593">
        <v>0.57987307499999996</v>
      </c>
      <c r="G593">
        <v>0.706967758</v>
      </c>
      <c r="H593">
        <v>0.66736570299999998</v>
      </c>
      <c r="I593">
        <v>0.75446915999999997</v>
      </c>
      <c r="J593">
        <v>0.75961261899999999</v>
      </c>
      <c r="K593">
        <v>0.80474997500000001</v>
      </c>
      <c r="L593">
        <v>0.84781244300000003</v>
      </c>
      <c r="M593">
        <v>0.88808383700000004</v>
      </c>
      <c r="N593">
        <v>0.92521270300000003</v>
      </c>
      <c r="O593">
        <v>0.959068586</v>
      </c>
      <c r="P593">
        <v>0.989726895</v>
      </c>
      <c r="Q593">
        <v>1.014319687</v>
      </c>
    </row>
    <row r="594" spans="1:17" x14ac:dyDescent="0.25">
      <c r="A594" t="s">
        <v>5</v>
      </c>
      <c r="B594" t="s">
        <v>6</v>
      </c>
      <c r="C594" t="s">
        <v>258</v>
      </c>
      <c r="D594" t="s">
        <v>123</v>
      </c>
      <c r="E594" t="s">
        <v>27</v>
      </c>
      <c r="F594">
        <v>0.58023409299999995</v>
      </c>
      <c r="G594">
        <v>0.75167553899999995</v>
      </c>
      <c r="H594">
        <v>0.72033207600000004</v>
      </c>
      <c r="I594">
        <v>1.1332272299999999</v>
      </c>
      <c r="J594">
        <v>0.82823318000000001</v>
      </c>
      <c r="K594">
        <v>0.90048486400000005</v>
      </c>
      <c r="L594">
        <v>0.97361450500000002</v>
      </c>
      <c r="M594">
        <v>1.0459552009999999</v>
      </c>
      <c r="N594">
        <v>1.1162097179999999</v>
      </c>
      <c r="O594">
        <v>1.1826532279999999</v>
      </c>
      <c r="P594">
        <v>1.2449586399999999</v>
      </c>
      <c r="Q594">
        <v>1.2964248519999999</v>
      </c>
    </row>
    <row r="595" spans="1:17" x14ac:dyDescent="0.25">
      <c r="A595" t="s">
        <v>5</v>
      </c>
      <c r="B595" t="s">
        <v>6</v>
      </c>
      <c r="C595" t="s">
        <v>258</v>
      </c>
      <c r="D595" t="s">
        <v>124</v>
      </c>
      <c r="E595" t="s">
        <v>27</v>
      </c>
      <c r="F595">
        <v>0.19329041699999999</v>
      </c>
      <c r="G595">
        <v>0.23653249000000001</v>
      </c>
      <c r="H595">
        <v>0.218498572</v>
      </c>
      <c r="I595">
        <v>0.24994533399999999</v>
      </c>
      <c r="J595">
        <v>0.24428346200000001</v>
      </c>
      <c r="K595">
        <v>0.25657083200000003</v>
      </c>
      <c r="L595">
        <v>0.26779075899999999</v>
      </c>
      <c r="M595">
        <v>0.27771597199999998</v>
      </c>
      <c r="N595">
        <v>0.28624049800000001</v>
      </c>
      <c r="O595">
        <v>0.29334960599999998</v>
      </c>
      <c r="P595">
        <v>0.29911532499999999</v>
      </c>
      <c r="Q595">
        <v>0.30322386000000001</v>
      </c>
    </row>
    <row r="596" spans="1:17" x14ac:dyDescent="0.25">
      <c r="A596" t="s">
        <v>5</v>
      </c>
      <c r="B596" t="s">
        <v>6</v>
      </c>
      <c r="C596" t="s">
        <v>258</v>
      </c>
      <c r="D596" t="s">
        <v>125</v>
      </c>
      <c r="E596" t="s">
        <v>27</v>
      </c>
      <c r="F596">
        <v>0.38927655300000003</v>
      </c>
      <c r="G596">
        <v>0.51801203399999995</v>
      </c>
      <c r="H596">
        <v>0.488740173</v>
      </c>
      <c r="I596">
        <v>0.81214933099999997</v>
      </c>
      <c r="J596">
        <v>0.56449498200000003</v>
      </c>
      <c r="K596">
        <v>0.61706793699999996</v>
      </c>
      <c r="L596">
        <v>0.670647404</v>
      </c>
      <c r="M596">
        <v>0.72404496900000004</v>
      </c>
      <c r="N596">
        <v>0.77627248800000004</v>
      </c>
      <c r="O596">
        <v>0.82599234399999999</v>
      </c>
      <c r="P596">
        <v>0.872921002</v>
      </c>
      <c r="Q596">
        <v>0.91193402700000004</v>
      </c>
    </row>
    <row r="597" spans="1:17" x14ac:dyDescent="0.25">
      <c r="A597" t="s">
        <v>5</v>
      </c>
      <c r="B597" t="s">
        <v>6</v>
      </c>
      <c r="C597" t="s">
        <v>258</v>
      </c>
      <c r="D597" t="s">
        <v>126</v>
      </c>
      <c r="E597" t="s">
        <v>27</v>
      </c>
      <c r="F597">
        <v>235.53312339999999</v>
      </c>
      <c r="G597">
        <v>281.37759299999999</v>
      </c>
      <c r="H597">
        <v>274.3051992</v>
      </c>
      <c r="I597">
        <v>306.91939869999999</v>
      </c>
      <c r="J597">
        <v>315.26640420000001</v>
      </c>
      <c r="K597">
        <v>335.44089639999999</v>
      </c>
      <c r="L597">
        <v>354.96906630000001</v>
      </c>
      <c r="M597">
        <v>373.58725520000002</v>
      </c>
      <c r="N597">
        <v>391.17877609999999</v>
      </c>
      <c r="O597">
        <v>407.70532009999999</v>
      </c>
      <c r="P597">
        <v>423.1955054</v>
      </c>
      <c r="Q597">
        <v>436.05082520000002</v>
      </c>
    </row>
    <row r="598" spans="1:17" x14ac:dyDescent="0.25">
      <c r="A598" t="s">
        <v>5</v>
      </c>
      <c r="B598" t="s">
        <v>6</v>
      </c>
      <c r="C598" t="s">
        <v>258</v>
      </c>
      <c r="D598" t="s">
        <v>127</v>
      </c>
      <c r="E598" t="s">
        <v>27</v>
      </c>
      <c r="F598">
        <v>103.8836836</v>
      </c>
      <c r="G598">
        <v>138.63479219999999</v>
      </c>
      <c r="H598">
        <v>130.44022240000001</v>
      </c>
      <c r="I598">
        <v>217.68430290000001</v>
      </c>
      <c r="J598">
        <v>150.65759589999999</v>
      </c>
      <c r="K598">
        <v>164.73232899999999</v>
      </c>
      <c r="L598">
        <v>179.09247809999999</v>
      </c>
      <c r="M598">
        <v>193.42296590000001</v>
      </c>
      <c r="N598">
        <v>207.45883649999999</v>
      </c>
      <c r="O598">
        <v>220.838301</v>
      </c>
      <c r="P598">
        <v>233.48177749999999</v>
      </c>
      <c r="Q598">
        <v>244.0044844</v>
      </c>
    </row>
    <row r="599" spans="1:17" x14ac:dyDescent="0.25">
      <c r="A599" t="s">
        <v>5</v>
      </c>
      <c r="B599" t="s">
        <v>6</v>
      </c>
      <c r="C599" t="s">
        <v>258</v>
      </c>
      <c r="D599" t="s">
        <v>128</v>
      </c>
      <c r="E599" t="s">
        <v>27</v>
      </c>
      <c r="F599">
        <v>0.82084960399999995</v>
      </c>
      <c r="G599">
        <v>0.98741817499999995</v>
      </c>
      <c r="H599">
        <v>0.96052411699999996</v>
      </c>
      <c r="I599">
        <v>1.072940257</v>
      </c>
      <c r="J599">
        <v>1.1096802809999999</v>
      </c>
      <c r="K599">
        <v>1.1836037909999999</v>
      </c>
      <c r="L599">
        <v>1.255907112</v>
      </c>
      <c r="M599">
        <v>1.325573227</v>
      </c>
      <c r="N599">
        <v>1.3921566990000001</v>
      </c>
      <c r="O599">
        <v>1.455458833</v>
      </c>
      <c r="P599">
        <v>1.5154909089999999</v>
      </c>
      <c r="Q599">
        <v>1.5657991309999999</v>
      </c>
    </row>
    <row r="600" spans="1:17" x14ac:dyDescent="0.25">
      <c r="A600" t="s">
        <v>5</v>
      </c>
      <c r="B600" t="s">
        <v>6</v>
      </c>
      <c r="C600" t="s">
        <v>258</v>
      </c>
      <c r="D600" t="s">
        <v>129</v>
      </c>
      <c r="E600" t="s">
        <v>27</v>
      </c>
      <c r="F600">
        <v>0.88433780799999995</v>
      </c>
      <c r="G600">
        <v>1.1346880399999999</v>
      </c>
      <c r="H600">
        <v>1.092332525</v>
      </c>
      <c r="I600">
        <v>1.6803804760000001</v>
      </c>
      <c r="J600">
        <v>1.2533573899999999</v>
      </c>
      <c r="K600">
        <v>1.3595498699999999</v>
      </c>
      <c r="L600">
        <v>1.4667544690000001</v>
      </c>
      <c r="M600">
        <v>1.5725056719999999</v>
      </c>
      <c r="N600">
        <v>1.674926167</v>
      </c>
      <c r="O600">
        <v>1.771530585</v>
      </c>
      <c r="P600">
        <v>1.861855102</v>
      </c>
      <c r="Q600">
        <v>1.936239923</v>
      </c>
    </row>
    <row r="601" spans="1:17" x14ac:dyDescent="0.25">
      <c r="A601" t="s">
        <v>5</v>
      </c>
      <c r="B601" t="s">
        <v>6</v>
      </c>
      <c r="C601" t="s">
        <v>258</v>
      </c>
      <c r="D601" t="s">
        <v>130</v>
      </c>
      <c r="E601" t="s">
        <v>27</v>
      </c>
      <c r="F601">
        <v>11.67550314</v>
      </c>
      <c r="G601">
        <v>14.106281989999999</v>
      </c>
      <c r="H601">
        <v>13.54685446</v>
      </c>
      <c r="I601">
        <v>15.216182549999999</v>
      </c>
      <c r="J601">
        <v>15.531023879999999</v>
      </c>
      <c r="K601">
        <v>16.50867272</v>
      </c>
      <c r="L601">
        <v>17.45257307</v>
      </c>
      <c r="M601">
        <v>18.348857280000001</v>
      </c>
      <c r="N601">
        <v>19.190743139999999</v>
      </c>
      <c r="O601">
        <v>19.975478429999999</v>
      </c>
      <c r="P601">
        <v>20.70393674</v>
      </c>
      <c r="Q601">
        <v>21.302450799999999</v>
      </c>
    </row>
    <row r="602" spans="1:17" x14ac:dyDescent="0.25">
      <c r="A602" t="s">
        <v>5</v>
      </c>
      <c r="B602" t="s">
        <v>6</v>
      </c>
      <c r="C602" t="s">
        <v>258</v>
      </c>
      <c r="D602" t="s">
        <v>131</v>
      </c>
      <c r="E602" t="s">
        <v>27</v>
      </c>
      <c r="F602">
        <v>1.978089132</v>
      </c>
      <c r="G602">
        <v>2.669206762</v>
      </c>
      <c r="H602">
        <v>2.4914034250000001</v>
      </c>
      <c r="I602">
        <v>4.2607820729999997</v>
      </c>
      <c r="J602">
        <v>2.8803048119999999</v>
      </c>
      <c r="K602">
        <v>3.1563351380000002</v>
      </c>
      <c r="L602">
        <v>3.4394565799999999</v>
      </c>
      <c r="M602">
        <v>3.7239135499999998</v>
      </c>
      <c r="N602">
        <v>4.0047008479999997</v>
      </c>
      <c r="O602">
        <v>4.2746268550000002</v>
      </c>
      <c r="P602">
        <v>4.5319775980000001</v>
      </c>
      <c r="Q602">
        <v>4.7481640440000001</v>
      </c>
    </row>
    <row r="603" spans="1:17" x14ac:dyDescent="0.25">
      <c r="A603" t="s">
        <v>5</v>
      </c>
      <c r="B603" t="s">
        <v>6</v>
      </c>
      <c r="C603" t="s">
        <v>258</v>
      </c>
      <c r="D603" t="s">
        <v>132</v>
      </c>
      <c r="E603" t="s">
        <v>27</v>
      </c>
      <c r="F603">
        <v>0.69926184199999997</v>
      </c>
      <c r="G603">
        <v>0.867968509</v>
      </c>
      <c r="H603">
        <v>1.088740625</v>
      </c>
      <c r="I603">
        <v>1.2925670039999999</v>
      </c>
      <c r="J603">
        <v>1.63177405</v>
      </c>
      <c r="K603">
        <v>2.3799375949999999</v>
      </c>
      <c r="L603">
        <v>3.424654238</v>
      </c>
      <c r="M603">
        <v>4.4546373150000003</v>
      </c>
      <c r="N603">
        <v>4.5811613849999997</v>
      </c>
      <c r="O603">
        <v>4.9930562509999996</v>
      </c>
      <c r="P603">
        <v>6.1944419570000004</v>
      </c>
      <c r="Q603">
        <v>7.201601557</v>
      </c>
    </row>
    <row r="604" spans="1:17" x14ac:dyDescent="0.25">
      <c r="A604" t="s">
        <v>5</v>
      </c>
      <c r="B604" t="s">
        <v>6</v>
      </c>
      <c r="C604" t="s">
        <v>258</v>
      </c>
      <c r="D604" t="s">
        <v>133</v>
      </c>
      <c r="E604" t="s">
        <v>27</v>
      </c>
      <c r="F604">
        <v>4.9397968519999997</v>
      </c>
      <c r="G604">
        <v>6.0535263600000002</v>
      </c>
      <c r="H604">
        <v>7.3784105149999997</v>
      </c>
      <c r="I604">
        <v>8.6710514560000007</v>
      </c>
      <c r="J604">
        <v>10.168646750000001</v>
      </c>
      <c r="K604">
        <v>12.229525900000001</v>
      </c>
      <c r="L604">
        <v>13.880602229999999</v>
      </c>
      <c r="M604">
        <v>16.19024349</v>
      </c>
      <c r="N604">
        <v>14.88496709</v>
      </c>
      <c r="O604">
        <v>12.24488618</v>
      </c>
      <c r="P604">
        <v>10.437245150000001</v>
      </c>
      <c r="Q604">
        <v>10.99126412</v>
      </c>
    </row>
    <row r="605" spans="1:17" x14ac:dyDescent="0.25">
      <c r="A605" t="s">
        <v>5</v>
      </c>
      <c r="B605" t="s">
        <v>6</v>
      </c>
      <c r="C605" t="s">
        <v>258</v>
      </c>
      <c r="D605" t="s">
        <v>134</v>
      </c>
      <c r="E605" t="s">
        <v>27</v>
      </c>
      <c r="F605">
        <v>5.0149080000000002E-3</v>
      </c>
      <c r="G605">
        <v>6.7182589999999999E-3</v>
      </c>
      <c r="H605">
        <v>8.7379299999999997E-3</v>
      </c>
      <c r="I605">
        <v>1.0849532E-2</v>
      </c>
      <c r="J605">
        <v>1.7440767999999999E-2</v>
      </c>
      <c r="K605">
        <v>4.0549146000000001E-2</v>
      </c>
      <c r="L605">
        <v>8.5991154E-2</v>
      </c>
      <c r="M605">
        <v>0.121795923</v>
      </c>
      <c r="N605">
        <v>0.15463119</v>
      </c>
      <c r="O605">
        <v>0.226548638</v>
      </c>
      <c r="P605">
        <v>0.338034528</v>
      </c>
      <c r="Q605">
        <v>0.400665622</v>
      </c>
    </row>
    <row r="606" spans="1:17" x14ac:dyDescent="0.25">
      <c r="A606" t="s">
        <v>5</v>
      </c>
      <c r="B606" t="s">
        <v>6</v>
      </c>
      <c r="C606" t="s">
        <v>258</v>
      </c>
      <c r="D606" t="s">
        <v>135</v>
      </c>
      <c r="E606" t="s">
        <v>27</v>
      </c>
      <c r="F606">
        <v>1.7847069E-2</v>
      </c>
      <c r="G606">
        <v>2.258493E-2</v>
      </c>
      <c r="H606">
        <v>2.9272333000000001E-2</v>
      </c>
      <c r="I606">
        <v>3.8615380999999997E-2</v>
      </c>
      <c r="J606">
        <v>4.9206712E-2</v>
      </c>
      <c r="K606">
        <v>7.5947426999999998E-2</v>
      </c>
      <c r="L606">
        <v>0.119996414</v>
      </c>
      <c r="M606">
        <v>0.16568665399999999</v>
      </c>
      <c r="N606">
        <v>0.16302913399999999</v>
      </c>
      <c r="O606">
        <v>0.18647144199999999</v>
      </c>
      <c r="P606">
        <v>0.243559101</v>
      </c>
      <c r="Q606">
        <v>0.28168644500000001</v>
      </c>
    </row>
    <row r="607" spans="1:17" x14ac:dyDescent="0.25">
      <c r="A607" t="s">
        <v>5</v>
      </c>
      <c r="B607" t="s">
        <v>6</v>
      </c>
      <c r="C607" t="s">
        <v>258</v>
      </c>
      <c r="D607" t="s">
        <v>136</v>
      </c>
      <c r="E607" t="s">
        <v>27</v>
      </c>
      <c r="F607" s="1">
        <v>4.0200000000000001E-5</v>
      </c>
      <c r="G607" s="1">
        <v>3.57E-5</v>
      </c>
      <c r="H607" s="1">
        <v>3.1099999999999997E-5</v>
      </c>
      <c r="I607">
        <v>1.7080900000000001E-4</v>
      </c>
      <c r="J607">
        <v>1.6527390000000001E-3</v>
      </c>
      <c r="K607">
        <v>8.7579870000000001E-3</v>
      </c>
      <c r="L607">
        <v>2.7591477999999999E-2</v>
      </c>
      <c r="M607">
        <v>3.0697928999999999E-2</v>
      </c>
      <c r="N607">
        <v>9.8921990000000008E-3</v>
      </c>
      <c r="O607" s="1">
        <v>9.9699999999999998E-5</v>
      </c>
      <c r="P607" s="1">
        <v>5.2700000000000004E-6</v>
      </c>
      <c r="Q607" s="1">
        <v>3.41E-7</v>
      </c>
    </row>
    <row r="608" spans="1:17" x14ac:dyDescent="0.25">
      <c r="A608" t="s">
        <v>5</v>
      </c>
      <c r="B608" t="s">
        <v>6</v>
      </c>
      <c r="C608" t="s">
        <v>258</v>
      </c>
      <c r="D608" t="s">
        <v>137</v>
      </c>
      <c r="E608" t="s">
        <v>27</v>
      </c>
      <c r="F608">
        <v>0.68058328899999998</v>
      </c>
      <c r="G608">
        <v>0.82521594499999995</v>
      </c>
      <c r="H608">
        <v>0.94462414400000005</v>
      </c>
      <c r="I608">
        <v>1.0180712279999999</v>
      </c>
      <c r="J608">
        <v>1.0390422939999999</v>
      </c>
      <c r="K608">
        <v>1.0692997980000001</v>
      </c>
      <c r="L608">
        <v>1.2156400220000001</v>
      </c>
      <c r="M608">
        <v>1.3720448190000001</v>
      </c>
      <c r="N608">
        <v>1.5345886529999999</v>
      </c>
      <c r="O608">
        <v>1.650913171</v>
      </c>
      <c r="P608">
        <v>1.7483094530000001</v>
      </c>
      <c r="Q608">
        <v>1.8235621230000001</v>
      </c>
    </row>
    <row r="609" spans="1:17" x14ac:dyDescent="0.25">
      <c r="A609" t="s">
        <v>5</v>
      </c>
      <c r="B609" t="s">
        <v>6</v>
      </c>
      <c r="C609" t="s">
        <v>258</v>
      </c>
      <c r="D609" t="s">
        <v>138</v>
      </c>
      <c r="E609" t="s">
        <v>27</v>
      </c>
      <c r="F609">
        <v>1.9399525909999999</v>
      </c>
      <c r="G609">
        <v>2.3866911069999999</v>
      </c>
      <c r="H609">
        <v>2.8163346520000001</v>
      </c>
      <c r="I609">
        <v>3.1376537990000002</v>
      </c>
      <c r="J609">
        <v>3.2435133729999999</v>
      </c>
      <c r="K609">
        <v>3.2870856129999999</v>
      </c>
      <c r="L609">
        <v>3.588687497</v>
      </c>
      <c r="M609">
        <v>3.9703219299999999</v>
      </c>
      <c r="N609">
        <v>4.4914782310000003</v>
      </c>
      <c r="O609">
        <v>5.0155580540000004</v>
      </c>
      <c r="P609">
        <v>5.4618165039999997</v>
      </c>
      <c r="Q609">
        <v>5.7204128000000001</v>
      </c>
    </row>
    <row r="610" spans="1:17" x14ac:dyDescent="0.25">
      <c r="A610" t="s">
        <v>5</v>
      </c>
      <c r="B610" t="s">
        <v>6</v>
      </c>
      <c r="C610" t="s">
        <v>258</v>
      </c>
      <c r="D610" t="s">
        <v>139</v>
      </c>
      <c r="E610" t="s">
        <v>27</v>
      </c>
      <c r="F610">
        <v>0.262589727</v>
      </c>
      <c r="G610">
        <v>0.33523538400000003</v>
      </c>
      <c r="H610">
        <v>0.413057958</v>
      </c>
      <c r="I610">
        <v>0.51761420000000002</v>
      </c>
      <c r="J610">
        <v>0.53605002499999999</v>
      </c>
      <c r="K610">
        <v>0.51254870200000002</v>
      </c>
      <c r="L610">
        <v>0.54728654499999996</v>
      </c>
      <c r="M610">
        <v>0.58832864299999998</v>
      </c>
      <c r="N610">
        <v>0.67674155899999999</v>
      </c>
      <c r="O610">
        <v>0.79261213900000005</v>
      </c>
      <c r="P610">
        <v>0.901947151</v>
      </c>
      <c r="Q610">
        <v>0.97268144300000003</v>
      </c>
    </row>
    <row r="611" spans="1:17" x14ac:dyDescent="0.25">
      <c r="A611" t="s">
        <v>5</v>
      </c>
      <c r="B611" t="s">
        <v>6</v>
      </c>
      <c r="C611" t="s">
        <v>258</v>
      </c>
      <c r="D611" t="s">
        <v>140</v>
      </c>
      <c r="E611" t="s">
        <v>27</v>
      </c>
      <c r="F611">
        <v>0.19919239999999999</v>
      </c>
      <c r="G611">
        <v>0.25430200600000002</v>
      </c>
      <c r="H611">
        <v>0.29806870099999999</v>
      </c>
      <c r="I611">
        <v>0.39139452299999999</v>
      </c>
      <c r="J611">
        <v>0.39212739000000002</v>
      </c>
      <c r="K611">
        <v>0.36617656700000001</v>
      </c>
      <c r="L611">
        <v>0.42643833399999997</v>
      </c>
      <c r="M611">
        <v>0.47519482699999999</v>
      </c>
      <c r="N611">
        <v>0.53632302399999998</v>
      </c>
      <c r="O611">
        <v>0.59445980899999995</v>
      </c>
      <c r="P611">
        <v>0.65884474299999995</v>
      </c>
      <c r="Q611">
        <v>0.73249641200000004</v>
      </c>
    </row>
    <row r="612" spans="1:17" x14ac:dyDescent="0.25">
      <c r="A612" t="s">
        <v>5</v>
      </c>
      <c r="B612" t="s">
        <v>6</v>
      </c>
      <c r="C612" t="s">
        <v>258</v>
      </c>
      <c r="D612" t="s">
        <v>141</v>
      </c>
      <c r="E612" t="s">
        <v>27</v>
      </c>
      <c r="F612">
        <v>5.4022719999999996E-3</v>
      </c>
      <c r="G612">
        <v>6.7723369999999998E-3</v>
      </c>
      <c r="H612">
        <v>8.3666509999999993E-3</v>
      </c>
      <c r="I612">
        <v>9.623787E-3</v>
      </c>
      <c r="J612">
        <v>1.0067863999999999E-2</v>
      </c>
      <c r="K612">
        <v>1.0048115999999999E-2</v>
      </c>
      <c r="L612">
        <v>1.0347200000000001E-2</v>
      </c>
      <c r="M612">
        <v>1.1053227000000001E-2</v>
      </c>
      <c r="N612">
        <v>1.2752635E-2</v>
      </c>
      <c r="O612">
        <v>1.5109375E-2</v>
      </c>
      <c r="P612">
        <v>1.7087112000000002E-2</v>
      </c>
      <c r="Q612">
        <v>1.7877018000000001E-2</v>
      </c>
    </row>
    <row r="613" spans="1:17" x14ac:dyDescent="0.25">
      <c r="A613" t="s">
        <v>5</v>
      </c>
      <c r="B613" t="s">
        <v>6</v>
      </c>
      <c r="C613" t="s">
        <v>258</v>
      </c>
      <c r="D613" t="s">
        <v>142</v>
      </c>
      <c r="E613" t="s">
        <v>27</v>
      </c>
      <c r="F613">
        <v>4.391631E-3</v>
      </c>
      <c r="G613">
        <v>6.9532880000000002E-3</v>
      </c>
      <c r="H613">
        <v>5.2577300000000004E-3</v>
      </c>
      <c r="I613">
        <v>3.348204E-3</v>
      </c>
      <c r="J613">
        <v>4.2304209999999998E-3</v>
      </c>
      <c r="K613">
        <v>2.4157088E-2</v>
      </c>
      <c r="L613">
        <v>4.9243913E-2</v>
      </c>
      <c r="M613">
        <v>3.8683632000000003E-2</v>
      </c>
      <c r="N613">
        <v>1.1842462999999999E-2</v>
      </c>
      <c r="O613">
        <v>5.6076269999999996E-3</v>
      </c>
      <c r="P613">
        <v>8.7470099999999995E-3</v>
      </c>
      <c r="Q613">
        <v>1.9101243E-2</v>
      </c>
    </row>
    <row r="614" spans="1:17" x14ac:dyDescent="0.25">
      <c r="A614" t="s">
        <v>5</v>
      </c>
      <c r="B614" t="s">
        <v>6</v>
      </c>
      <c r="C614" t="s">
        <v>258</v>
      </c>
      <c r="D614" t="s">
        <v>143</v>
      </c>
      <c r="E614" t="s">
        <v>27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25">
      <c r="A615" t="s">
        <v>5</v>
      </c>
      <c r="B615" t="s">
        <v>6</v>
      </c>
      <c r="C615" t="s">
        <v>258</v>
      </c>
      <c r="D615" t="s">
        <v>144</v>
      </c>
      <c r="E615" t="s">
        <v>27</v>
      </c>
      <c r="F615" s="1">
        <v>1.56E-5</v>
      </c>
      <c r="G615" s="1">
        <v>3.2299999999999999E-5</v>
      </c>
      <c r="H615" s="1">
        <v>5.24E-5</v>
      </c>
      <c r="I615" s="1">
        <v>9.4900000000000003E-5</v>
      </c>
      <c r="J615">
        <v>1.64656E-4</v>
      </c>
      <c r="K615">
        <v>2.8313999999999998E-4</v>
      </c>
      <c r="L615">
        <v>5.7584200000000002E-4</v>
      </c>
      <c r="M615">
        <v>6.8894900000000001E-4</v>
      </c>
      <c r="N615">
        <v>4.9828100000000005E-4</v>
      </c>
      <c r="O615">
        <v>2.9366E-4</v>
      </c>
      <c r="P615">
        <v>1.16882E-4</v>
      </c>
      <c r="Q615" s="1">
        <v>7.9900000000000004E-5</v>
      </c>
    </row>
    <row r="616" spans="1:17" x14ac:dyDescent="0.25">
      <c r="A616" t="s">
        <v>5</v>
      </c>
      <c r="B616" t="s">
        <v>6</v>
      </c>
      <c r="C616" t="s">
        <v>258</v>
      </c>
      <c r="D616" t="s">
        <v>145</v>
      </c>
      <c r="E616" t="s">
        <v>27</v>
      </c>
      <c r="F616">
        <v>1.00686E-4</v>
      </c>
      <c r="G616">
        <v>1.59696E-4</v>
      </c>
      <c r="H616">
        <v>1.21045E-4</v>
      </c>
      <c r="I616" s="1">
        <v>7.8300000000000006E-5</v>
      </c>
      <c r="J616">
        <v>1.07929E-4</v>
      </c>
      <c r="K616">
        <v>5.6797599999999998E-4</v>
      </c>
      <c r="L616">
        <v>1.1374340000000001E-3</v>
      </c>
      <c r="M616">
        <v>8.9201000000000005E-4</v>
      </c>
      <c r="N616">
        <v>2.7195700000000003E-4</v>
      </c>
      <c r="O616">
        <v>1.2646900000000001E-4</v>
      </c>
      <c r="P616">
        <v>1.9671900000000001E-4</v>
      </c>
      <c r="Q616">
        <v>4.3210200000000002E-4</v>
      </c>
    </row>
    <row r="617" spans="1:17" x14ac:dyDescent="0.25">
      <c r="A617" t="s">
        <v>5</v>
      </c>
      <c r="B617" t="s">
        <v>6</v>
      </c>
      <c r="C617" t="s">
        <v>258</v>
      </c>
      <c r="D617" t="s">
        <v>146</v>
      </c>
      <c r="E617" t="s">
        <v>27</v>
      </c>
      <c r="F617" s="1">
        <v>6.1999999999999999E-6</v>
      </c>
      <c r="G617" s="1">
        <v>3.8700000000000002E-6</v>
      </c>
      <c r="H617" s="1">
        <v>2.4899999999999999E-6</v>
      </c>
      <c r="I617" s="1">
        <v>7.0299999999999998E-7</v>
      </c>
      <c r="J617" s="1">
        <v>4.1300000000000003E-6</v>
      </c>
      <c r="K617" s="1">
        <v>5.1800000000000004E-6</v>
      </c>
      <c r="L617" s="1">
        <v>4.4700000000000004E-6</v>
      </c>
      <c r="M617" s="1">
        <v>3.3299999999999999E-6</v>
      </c>
      <c r="N617" s="1">
        <v>2.1500000000000002E-6</v>
      </c>
      <c r="O617" s="1">
        <v>4.1399999999999997E-7</v>
      </c>
      <c r="P617" s="1">
        <v>1.8699999999999999E-8</v>
      </c>
      <c r="Q617" s="1">
        <v>1.9900000000000001E-10</v>
      </c>
    </row>
    <row r="618" spans="1:17" x14ac:dyDescent="0.25">
      <c r="A618" t="s">
        <v>5</v>
      </c>
      <c r="B618" t="s">
        <v>6</v>
      </c>
      <c r="C618" t="s">
        <v>258</v>
      </c>
      <c r="D618" t="s">
        <v>147</v>
      </c>
      <c r="E618" t="s">
        <v>148</v>
      </c>
      <c r="F618">
        <v>198420.43040000001</v>
      </c>
      <c r="G618">
        <v>212152.39629999999</v>
      </c>
      <c r="H618">
        <v>216904.1263</v>
      </c>
      <c r="I618">
        <v>215916.92189999999</v>
      </c>
      <c r="J618">
        <v>241936.67670000001</v>
      </c>
      <c r="K618">
        <v>259753.71419999999</v>
      </c>
      <c r="L618">
        <v>283564.28360000002</v>
      </c>
      <c r="M618">
        <v>306661.40860000002</v>
      </c>
      <c r="N618">
        <v>325653.61379999999</v>
      </c>
      <c r="O618">
        <v>340877.48629999999</v>
      </c>
      <c r="P618">
        <v>353157.83270000003</v>
      </c>
      <c r="Q618">
        <v>363142.51890000002</v>
      </c>
    </row>
    <row r="619" spans="1:17" x14ac:dyDescent="0.25">
      <c r="A619" t="s">
        <v>5</v>
      </c>
      <c r="B619" t="s">
        <v>6</v>
      </c>
      <c r="C619" t="s">
        <v>258</v>
      </c>
      <c r="D619" t="s">
        <v>149</v>
      </c>
      <c r="E619" t="s">
        <v>148</v>
      </c>
      <c r="F619">
        <v>1228.4612239999999</v>
      </c>
      <c r="G619">
        <v>1322.608029</v>
      </c>
      <c r="H619">
        <v>1310.4332139999999</v>
      </c>
      <c r="I619">
        <v>1328.5608970000001</v>
      </c>
      <c r="J619">
        <v>1414.749487</v>
      </c>
      <c r="K619">
        <v>1471.5719570000001</v>
      </c>
      <c r="L619">
        <v>1548.6818499999999</v>
      </c>
      <c r="M619">
        <v>1604.01811</v>
      </c>
      <c r="N619">
        <v>1675.763123</v>
      </c>
      <c r="O619">
        <v>1780.5331570000001</v>
      </c>
      <c r="P619">
        <v>1893.6422259999999</v>
      </c>
      <c r="Q619">
        <v>1972.7981870000001</v>
      </c>
    </row>
    <row r="620" spans="1:17" x14ac:dyDescent="0.25">
      <c r="A620" t="s">
        <v>5</v>
      </c>
      <c r="B620" t="s">
        <v>6</v>
      </c>
      <c r="C620" t="s">
        <v>258</v>
      </c>
      <c r="D620" t="s">
        <v>150</v>
      </c>
      <c r="E620" t="s">
        <v>148</v>
      </c>
      <c r="F620">
        <v>86787.413329999996</v>
      </c>
      <c r="G620">
        <v>81351.760829999999</v>
      </c>
      <c r="H620">
        <v>85855.938330000004</v>
      </c>
      <c r="I620">
        <v>86967.975000000006</v>
      </c>
      <c r="J620">
        <v>89439.537500000006</v>
      </c>
      <c r="K620">
        <v>90136.239170000001</v>
      </c>
      <c r="L620">
        <v>91603.060830000002</v>
      </c>
      <c r="M620">
        <v>90481.55</v>
      </c>
      <c r="N620">
        <v>88145.442500000005</v>
      </c>
      <c r="O620">
        <v>85635.891669999997</v>
      </c>
      <c r="P620">
        <v>83772.06667</v>
      </c>
      <c r="Q620">
        <v>83167.992499999993</v>
      </c>
    </row>
    <row r="621" spans="1:17" x14ac:dyDescent="0.25">
      <c r="A621" t="s">
        <v>5</v>
      </c>
      <c r="B621" t="s">
        <v>6</v>
      </c>
      <c r="C621" t="s">
        <v>258</v>
      </c>
      <c r="D621" t="s">
        <v>151</v>
      </c>
      <c r="E621" t="s">
        <v>148</v>
      </c>
      <c r="F621">
        <v>6002.7386569999999</v>
      </c>
      <c r="G621">
        <v>5872.1010770000003</v>
      </c>
      <c r="H621">
        <v>6809.0413870000002</v>
      </c>
      <c r="I621">
        <v>7657.7898189999996</v>
      </c>
      <c r="J621">
        <v>8120.7224120000001</v>
      </c>
      <c r="K621">
        <v>8609.0036459999992</v>
      </c>
      <c r="L621">
        <v>9548.9010589999998</v>
      </c>
      <c r="M621">
        <v>10477.398999999999</v>
      </c>
      <c r="N621">
        <v>11209.28298</v>
      </c>
      <c r="O621">
        <v>11902.894850000001</v>
      </c>
      <c r="P621">
        <v>12523.78866</v>
      </c>
      <c r="Q621">
        <v>13056.327219999999</v>
      </c>
    </row>
    <row r="622" spans="1:17" x14ac:dyDescent="0.25">
      <c r="A622" t="s">
        <v>5</v>
      </c>
      <c r="B622" t="s">
        <v>6</v>
      </c>
      <c r="C622" t="s">
        <v>258</v>
      </c>
      <c r="D622" t="s">
        <v>152</v>
      </c>
      <c r="E622" t="s">
        <v>148</v>
      </c>
      <c r="F622">
        <v>7.5779620479999998</v>
      </c>
      <c r="G622">
        <v>7.8333468960000001</v>
      </c>
      <c r="H622">
        <v>8.3850255069999999</v>
      </c>
      <c r="I622">
        <v>8.8005427130000005</v>
      </c>
      <c r="J622">
        <v>9.3721153229999992</v>
      </c>
      <c r="K622">
        <v>9.8425907739999996</v>
      </c>
      <c r="L622">
        <v>10.352883289999999</v>
      </c>
      <c r="M622">
        <v>10.507955369999999</v>
      </c>
      <c r="N622">
        <v>10.318851649999999</v>
      </c>
      <c r="O622">
        <v>9.9513566010000005</v>
      </c>
      <c r="P622">
        <v>9.4927867460000002</v>
      </c>
      <c r="Q622">
        <v>9.0693069509999997</v>
      </c>
    </row>
    <row r="623" spans="1:17" x14ac:dyDescent="0.25">
      <c r="A623" t="s">
        <v>5</v>
      </c>
      <c r="B623" t="s">
        <v>6</v>
      </c>
      <c r="C623" t="s">
        <v>258</v>
      </c>
      <c r="D623" t="s">
        <v>153</v>
      </c>
      <c r="E623" t="s">
        <v>148</v>
      </c>
      <c r="F623">
        <v>6.1651297899999999</v>
      </c>
      <c r="G623">
        <v>6.3496474750000003</v>
      </c>
      <c r="H623">
        <v>6.5864688119999997</v>
      </c>
      <c r="I623">
        <v>7.0981291779999998</v>
      </c>
      <c r="J623">
        <v>7.7910310259999997</v>
      </c>
      <c r="K623">
        <v>8.6175615059999995</v>
      </c>
      <c r="L623">
        <v>9.5508650549999992</v>
      </c>
      <c r="M623">
        <v>10.524082480000001</v>
      </c>
      <c r="N623">
        <v>11.355170530000001</v>
      </c>
      <c r="O623">
        <v>12.107409260000001</v>
      </c>
      <c r="P623">
        <v>12.62401264</v>
      </c>
      <c r="Q623">
        <v>13.0082419</v>
      </c>
    </row>
    <row r="624" spans="1:17" x14ac:dyDescent="0.25">
      <c r="A624" t="s">
        <v>5</v>
      </c>
      <c r="B624" t="s">
        <v>6</v>
      </c>
      <c r="C624" t="s">
        <v>258</v>
      </c>
      <c r="D624" t="s">
        <v>154</v>
      </c>
      <c r="E624" t="s">
        <v>148</v>
      </c>
      <c r="F624">
        <v>2.7972733179999998</v>
      </c>
      <c r="G624">
        <v>2.9821338800000001</v>
      </c>
      <c r="H624">
        <v>3.6500175480000001</v>
      </c>
      <c r="I624">
        <v>3.1807626280000001</v>
      </c>
      <c r="J624">
        <v>4.3488059149999998</v>
      </c>
      <c r="K624">
        <v>4.6073408349999996</v>
      </c>
      <c r="L624">
        <v>4.8926669389999997</v>
      </c>
      <c r="M624">
        <v>5.2371385970000004</v>
      </c>
      <c r="N624">
        <v>5.9328492590000002</v>
      </c>
      <c r="O624">
        <v>6.9186404369999996</v>
      </c>
      <c r="P624">
        <v>7.9146584229999997</v>
      </c>
      <c r="Q624">
        <v>8.7180438880000004</v>
      </c>
    </row>
    <row r="625" spans="1:17" x14ac:dyDescent="0.25">
      <c r="A625" t="s">
        <v>5</v>
      </c>
      <c r="B625" t="s">
        <v>6</v>
      </c>
      <c r="C625" t="s">
        <v>258</v>
      </c>
      <c r="D625" t="s">
        <v>155</v>
      </c>
      <c r="E625" t="s">
        <v>148</v>
      </c>
      <c r="F625">
        <v>1.5009681589999999</v>
      </c>
      <c r="G625">
        <v>1.5174855490000001</v>
      </c>
      <c r="H625">
        <v>1.7319149460000001</v>
      </c>
      <c r="I625">
        <v>1.9935176109999999</v>
      </c>
      <c r="J625">
        <v>2.5695904700000001</v>
      </c>
      <c r="K625">
        <v>2.6836707510000002</v>
      </c>
      <c r="L625">
        <v>2.8253584250000001</v>
      </c>
      <c r="M625">
        <v>2.9983946420000001</v>
      </c>
      <c r="N625">
        <v>3.250878449</v>
      </c>
      <c r="O625">
        <v>3.5361992999999998</v>
      </c>
      <c r="P625">
        <v>3.7981660910000001</v>
      </c>
      <c r="Q625">
        <v>4.0053395820000004</v>
      </c>
    </row>
    <row r="626" spans="1:17" x14ac:dyDescent="0.25">
      <c r="A626" t="s">
        <v>5</v>
      </c>
      <c r="B626" t="s">
        <v>6</v>
      </c>
      <c r="C626" t="s">
        <v>258</v>
      </c>
      <c r="D626" t="s">
        <v>156</v>
      </c>
      <c r="E626" t="s">
        <v>148</v>
      </c>
      <c r="F626">
        <v>75.576356329999996</v>
      </c>
      <c r="G626">
        <v>71.658634660000004</v>
      </c>
      <c r="H626">
        <v>69.949427110000002</v>
      </c>
      <c r="I626">
        <v>73.099450910000002</v>
      </c>
      <c r="J626">
        <v>75.094642690000001</v>
      </c>
      <c r="K626">
        <v>77.359946840000006</v>
      </c>
      <c r="L626">
        <v>80.405774679999993</v>
      </c>
      <c r="M626">
        <v>84.095317800000004</v>
      </c>
      <c r="N626">
        <v>87.79259098</v>
      </c>
      <c r="O626">
        <v>91.141318979999994</v>
      </c>
      <c r="P626">
        <v>94.23726078</v>
      </c>
      <c r="Q626">
        <v>96.882238310000005</v>
      </c>
    </row>
    <row r="627" spans="1:17" x14ac:dyDescent="0.25">
      <c r="A627" t="s">
        <v>5</v>
      </c>
      <c r="B627" t="s">
        <v>6</v>
      </c>
      <c r="C627" t="s">
        <v>258</v>
      </c>
      <c r="D627" t="s">
        <v>157</v>
      </c>
      <c r="E627" t="s">
        <v>158</v>
      </c>
      <c r="F627">
        <v>9122148194</v>
      </c>
      <c r="G627">
        <v>9328071930</v>
      </c>
      <c r="H627">
        <v>9491574561</v>
      </c>
      <c r="I627">
        <v>9627961602</v>
      </c>
      <c r="J627">
        <v>9630040663</v>
      </c>
      <c r="K627">
        <v>9861994583</v>
      </c>
      <c r="L627">
        <v>10052000233</v>
      </c>
      <c r="M627">
        <v>10206927473</v>
      </c>
      <c r="N627">
        <v>10328496018</v>
      </c>
      <c r="O627">
        <v>10414668116</v>
      </c>
      <c r="P627">
        <v>10452750161</v>
      </c>
      <c r="Q627">
        <v>10458146825</v>
      </c>
    </row>
    <row r="628" spans="1:17" x14ac:dyDescent="0.25">
      <c r="A628" t="s">
        <v>5</v>
      </c>
      <c r="B628" t="s">
        <v>6</v>
      </c>
      <c r="C628" t="s">
        <v>258</v>
      </c>
      <c r="D628" t="s">
        <v>159</v>
      </c>
      <c r="E628" t="s">
        <v>158</v>
      </c>
      <c r="F628">
        <v>8522831573</v>
      </c>
      <c r="G628">
        <v>8915765196</v>
      </c>
      <c r="H628">
        <v>9328435660</v>
      </c>
      <c r="I628">
        <v>9776799754</v>
      </c>
      <c r="J628">
        <v>10099954894</v>
      </c>
      <c r="K628">
        <v>10615327845</v>
      </c>
      <c r="L628">
        <v>11117290473</v>
      </c>
      <c r="M628">
        <v>11604777105</v>
      </c>
      <c r="N628">
        <v>12064653742</v>
      </c>
      <c r="O628">
        <v>12487671212</v>
      </c>
      <c r="P628">
        <v>12847568729</v>
      </c>
      <c r="Q628">
        <v>13128179093</v>
      </c>
    </row>
    <row r="629" spans="1:17" x14ac:dyDescent="0.25">
      <c r="A629" t="s">
        <v>5</v>
      </c>
      <c r="B629" t="s">
        <v>6</v>
      </c>
      <c r="C629" t="s">
        <v>258</v>
      </c>
      <c r="D629" t="s">
        <v>160</v>
      </c>
      <c r="E629" t="s">
        <v>158</v>
      </c>
      <c r="F629">
        <v>5386306909</v>
      </c>
      <c r="G629">
        <v>5714360113</v>
      </c>
      <c r="H629">
        <v>6101521059</v>
      </c>
      <c r="I629">
        <v>6534343022</v>
      </c>
      <c r="J629">
        <v>6859138282</v>
      </c>
      <c r="K629">
        <v>7324280254</v>
      </c>
      <c r="L629">
        <v>7764674802</v>
      </c>
      <c r="M629">
        <v>8182939433</v>
      </c>
      <c r="N629">
        <v>8569517809</v>
      </c>
      <c r="O629">
        <v>8920609386</v>
      </c>
      <c r="P629">
        <v>9220726443</v>
      </c>
      <c r="Q629">
        <v>9453958009</v>
      </c>
    </row>
    <row r="630" spans="1:17" x14ac:dyDescent="0.25">
      <c r="A630" t="s">
        <v>5</v>
      </c>
      <c r="B630" t="s">
        <v>6</v>
      </c>
      <c r="C630" t="s">
        <v>258</v>
      </c>
      <c r="D630" t="s">
        <v>161</v>
      </c>
      <c r="E630" t="s">
        <v>158</v>
      </c>
      <c r="F630">
        <v>1635515302</v>
      </c>
      <c r="G630">
        <v>1815284973</v>
      </c>
      <c r="H630">
        <v>1969519071</v>
      </c>
      <c r="I630">
        <v>2113858518</v>
      </c>
      <c r="J630">
        <v>2333617463</v>
      </c>
      <c r="K630">
        <v>2622876531</v>
      </c>
      <c r="L630">
        <v>2927970951</v>
      </c>
      <c r="M630">
        <v>3235771978</v>
      </c>
      <c r="N630">
        <v>3532037819</v>
      </c>
      <c r="O630">
        <v>3808190279</v>
      </c>
      <c r="P630">
        <v>4072837537</v>
      </c>
      <c r="Q630">
        <v>4293399602</v>
      </c>
    </row>
    <row r="631" spans="1:17" x14ac:dyDescent="0.25">
      <c r="A631" t="s">
        <v>5</v>
      </c>
      <c r="B631" t="s">
        <v>6</v>
      </c>
      <c r="C631" t="s">
        <v>258</v>
      </c>
      <c r="D631" t="s">
        <v>162</v>
      </c>
      <c r="E631" t="s">
        <v>158</v>
      </c>
      <c r="F631">
        <v>623256737.5</v>
      </c>
      <c r="G631">
        <v>681147114.79999995</v>
      </c>
      <c r="H631">
        <v>732226990.10000002</v>
      </c>
      <c r="I631">
        <v>779454198.70000005</v>
      </c>
      <c r="J631">
        <v>846548548.39999998</v>
      </c>
      <c r="K631">
        <v>932777778.10000002</v>
      </c>
      <c r="L631">
        <v>1023006073</v>
      </c>
      <c r="M631">
        <v>1114731063</v>
      </c>
      <c r="N631">
        <v>1204780073</v>
      </c>
      <c r="O631">
        <v>1291062814</v>
      </c>
      <c r="P631">
        <v>1376011106</v>
      </c>
      <c r="Q631">
        <v>1449724918</v>
      </c>
    </row>
    <row r="632" spans="1:17" x14ac:dyDescent="0.25">
      <c r="A632" t="s">
        <v>5</v>
      </c>
      <c r="B632" t="s">
        <v>6</v>
      </c>
      <c r="C632" t="s">
        <v>258</v>
      </c>
      <c r="D632" t="s">
        <v>163</v>
      </c>
      <c r="E632" t="s">
        <v>158</v>
      </c>
      <c r="F632">
        <v>1233379202</v>
      </c>
      <c r="G632">
        <v>1349219304</v>
      </c>
      <c r="H632">
        <v>1451093863</v>
      </c>
      <c r="I632">
        <v>1546523065</v>
      </c>
      <c r="J632">
        <v>1680059977</v>
      </c>
      <c r="K632">
        <v>1845481109</v>
      </c>
      <c r="L632">
        <v>2010150657</v>
      </c>
      <c r="M632">
        <v>2166607455</v>
      </c>
      <c r="N632">
        <v>2308331780</v>
      </c>
      <c r="O632">
        <v>2432533096</v>
      </c>
      <c r="P632">
        <v>2545030659</v>
      </c>
      <c r="Q632">
        <v>2631647559</v>
      </c>
    </row>
    <row r="633" spans="1:17" x14ac:dyDescent="0.25">
      <c r="A633" t="s">
        <v>5</v>
      </c>
      <c r="B633" t="s">
        <v>6</v>
      </c>
      <c r="C633" t="s">
        <v>258</v>
      </c>
      <c r="D633" t="s">
        <v>164</v>
      </c>
      <c r="E633" t="s">
        <v>158</v>
      </c>
      <c r="F633">
        <v>3941242594</v>
      </c>
      <c r="G633">
        <v>4191476942</v>
      </c>
      <c r="H633">
        <v>4419567937</v>
      </c>
      <c r="I633">
        <v>4625313153</v>
      </c>
      <c r="J633">
        <v>4865882193</v>
      </c>
      <c r="K633">
        <v>5134115586</v>
      </c>
      <c r="L633">
        <v>5382440946</v>
      </c>
      <c r="M633">
        <v>5607102635</v>
      </c>
      <c r="N633">
        <v>5803863118</v>
      </c>
      <c r="O633">
        <v>5971196654</v>
      </c>
      <c r="P633">
        <v>6116842283</v>
      </c>
      <c r="Q633">
        <v>6225336133</v>
      </c>
    </row>
    <row r="634" spans="1:17" x14ac:dyDescent="0.25">
      <c r="A634" t="s">
        <v>5</v>
      </c>
      <c r="B634" t="s">
        <v>6</v>
      </c>
      <c r="C634" t="s">
        <v>258</v>
      </c>
      <c r="D634" t="s">
        <v>165</v>
      </c>
      <c r="E634" t="s">
        <v>166</v>
      </c>
      <c r="F634">
        <v>176.58019759999999</v>
      </c>
      <c r="G634">
        <v>188.79556679999999</v>
      </c>
      <c r="H634">
        <v>193.17783750000001</v>
      </c>
      <c r="I634">
        <v>192.3647297</v>
      </c>
      <c r="J634">
        <v>214.5654917</v>
      </c>
      <c r="K634">
        <v>228.05715810000001</v>
      </c>
      <c r="L634">
        <v>246.41430769999999</v>
      </c>
      <c r="M634">
        <v>265.36178710000002</v>
      </c>
      <c r="N634">
        <v>281.42359979999998</v>
      </c>
      <c r="O634">
        <v>294.12339969999999</v>
      </c>
      <c r="P634">
        <v>304.1932367</v>
      </c>
      <c r="Q634">
        <v>312.45697250000001</v>
      </c>
    </row>
    <row r="635" spans="1:17" x14ac:dyDescent="0.25">
      <c r="A635" t="s">
        <v>5</v>
      </c>
      <c r="B635" t="s">
        <v>6</v>
      </c>
      <c r="C635" t="s">
        <v>258</v>
      </c>
      <c r="D635" t="s">
        <v>167</v>
      </c>
      <c r="E635" t="s">
        <v>166</v>
      </c>
      <c r="F635">
        <v>212.82424030000001</v>
      </c>
      <c r="G635">
        <v>225.11771200000001</v>
      </c>
      <c r="H635">
        <v>233.65289319999999</v>
      </c>
      <c r="I635">
        <v>236.78299419999999</v>
      </c>
      <c r="J635">
        <v>261.73491289999998</v>
      </c>
      <c r="K635">
        <v>277.89896549999997</v>
      </c>
      <c r="L635">
        <v>301.22052489999999</v>
      </c>
      <c r="M635">
        <v>324.79961229999998</v>
      </c>
      <c r="N635">
        <v>344.58795309999999</v>
      </c>
      <c r="O635">
        <v>361.0346055</v>
      </c>
      <c r="P635">
        <v>374.60892899999999</v>
      </c>
      <c r="Q635">
        <v>385.78991619999999</v>
      </c>
    </row>
    <row r="636" spans="1:17" x14ac:dyDescent="0.25">
      <c r="A636" t="s">
        <v>5</v>
      </c>
      <c r="B636" t="s">
        <v>6</v>
      </c>
      <c r="C636" t="s">
        <v>258</v>
      </c>
      <c r="D636" t="s">
        <v>168</v>
      </c>
      <c r="E636" t="s">
        <v>166</v>
      </c>
      <c r="F636">
        <v>11.81753232</v>
      </c>
      <c r="G636">
        <v>12.198510750000001</v>
      </c>
      <c r="H636">
        <v>12.731552580000001</v>
      </c>
      <c r="I636">
        <v>13.70614788</v>
      </c>
      <c r="J636">
        <v>15.01911305</v>
      </c>
      <c r="K636">
        <v>16.544310459999998</v>
      </c>
      <c r="L636">
        <v>18.271597440000001</v>
      </c>
      <c r="M636">
        <v>20.030406330000002</v>
      </c>
      <c r="N636">
        <v>21.507994419999999</v>
      </c>
      <c r="O636">
        <v>22.83616919</v>
      </c>
      <c r="P636">
        <v>23.768777849999999</v>
      </c>
      <c r="Q636">
        <v>24.483966389999999</v>
      </c>
    </row>
    <row r="637" spans="1:17" x14ac:dyDescent="0.25">
      <c r="A637" t="s">
        <v>5</v>
      </c>
      <c r="B637" t="s">
        <v>6</v>
      </c>
      <c r="C637" t="s">
        <v>258</v>
      </c>
      <c r="D637" t="s">
        <v>169</v>
      </c>
      <c r="E637" t="s">
        <v>166</v>
      </c>
      <c r="F637">
        <v>2.8192911000000001E-2</v>
      </c>
      <c r="G637">
        <v>2.9342918999999999E-2</v>
      </c>
      <c r="H637">
        <v>3.4832672000000002E-2</v>
      </c>
      <c r="I637">
        <v>3.4531680000000002E-2</v>
      </c>
      <c r="J637">
        <v>4.5866902000000001E-2</v>
      </c>
      <c r="K637">
        <v>4.8260016000000003E-2</v>
      </c>
      <c r="L637">
        <v>5.1037286000000001E-2</v>
      </c>
      <c r="M637">
        <v>5.4407320000000002E-2</v>
      </c>
      <c r="N637">
        <v>6.0376988999999999E-2</v>
      </c>
      <c r="O637">
        <v>6.8210908000000001E-2</v>
      </c>
      <c r="P637">
        <v>7.5899117000000002E-2</v>
      </c>
      <c r="Q637">
        <v>8.2064795999999995E-2</v>
      </c>
    </row>
    <row r="638" spans="1:17" x14ac:dyDescent="0.25">
      <c r="A638" t="s">
        <v>5</v>
      </c>
      <c r="B638" t="s">
        <v>6</v>
      </c>
      <c r="C638" t="s">
        <v>258</v>
      </c>
      <c r="D638" t="s">
        <v>170</v>
      </c>
      <c r="E638" t="s">
        <v>166</v>
      </c>
      <c r="F638">
        <v>42.734029890000002</v>
      </c>
      <c r="G638">
        <v>38.669056980000001</v>
      </c>
      <c r="H638">
        <v>36.660178109999997</v>
      </c>
      <c r="I638">
        <v>38.7144592</v>
      </c>
      <c r="J638">
        <v>39.536634909999997</v>
      </c>
      <c r="K638">
        <v>40.493291220000003</v>
      </c>
      <c r="L638">
        <v>42.091445829999998</v>
      </c>
      <c r="M638">
        <v>44.191577189999997</v>
      </c>
      <c r="N638">
        <v>46.226421739999999</v>
      </c>
      <c r="O638">
        <v>47.907192449999997</v>
      </c>
      <c r="P638">
        <v>49.507904850000003</v>
      </c>
      <c r="Q638">
        <v>50.908094550000001</v>
      </c>
    </row>
    <row r="639" spans="1:17" x14ac:dyDescent="0.25">
      <c r="A639" t="s">
        <v>5</v>
      </c>
      <c r="B639" t="s">
        <v>6</v>
      </c>
      <c r="C639" t="s">
        <v>258</v>
      </c>
      <c r="D639" t="s">
        <v>171</v>
      </c>
      <c r="E639" t="s">
        <v>166</v>
      </c>
      <c r="F639">
        <v>27.328874330000001</v>
      </c>
      <c r="G639">
        <v>29.296771629999999</v>
      </c>
      <c r="H639">
        <v>31.01471561</v>
      </c>
      <c r="I639">
        <v>31.941089909999999</v>
      </c>
      <c r="J639">
        <v>39.603166819999998</v>
      </c>
      <c r="K639">
        <v>49.738887679999998</v>
      </c>
      <c r="L639">
        <v>61.006876419999998</v>
      </c>
      <c r="M639">
        <v>68.352561010000002</v>
      </c>
      <c r="N639">
        <v>74.161222199999997</v>
      </c>
      <c r="O639">
        <v>80.682716330000005</v>
      </c>
      <c r="P639">
        <v>86.905117239999996</v>
      </c>
      <c r="Q639">
        <v>91.151636519999997</v>
      </c>
    </row>
    <row r="640" spans="1:17" x14ac:dyDescent="0.25">
      <c r="A640" t="s">
        <v>5</v>
      </c>
      <c r="B640" t="s">
        <v>6</v>
      </c>
      <c r="C640" t="s">
        <v>258</v>
      </c>
      <c r="D640" t="s">
        <v>172</v>
      </c>
      <c r="E640" t="s">
        <v>166</v>
      </c>
      <c r="F640">
        <v>32.75087542</v>
      </c>
      <c r="G640">
        <v>34.909496269999998</v>
      </c>
      <c r="H640">
        <v>36.834910639999997</v>
      </c>
      <c r="I640">
        <v>38.010508110000004</v>
      </c>
      <c r="J640">
        <v>46.066702450000001</v>
      </c>
      <c r="K640">
        <v>56.547791289999999</v>
      </c>
      <c r="L640">
        <v>68.332485210000002</v>
      </c>
      <c r="M640">
        <v>76.096355729999999</v>
      </c>
      <c r="N640">
        <v>82.280123309999993</v>
      </c>
      <c r="O640">
        <v>89.22971948</v>
      </c>
      <c r="P640">
        <v>95.886955940000007</v>
      </c>
      <c r="Q640">
        <v>100.4697626</v>
      </c>
    </row>
    <row r="641" spans="1:17" x14ac:dyDescent="0.25">
      <c r="A641" t="s">
        <v>5</v>
      </c>
      <c r="B641" t="s">
        <v>6</v>
      </c>
      <c r="C641" t="s">
        <v>258</v>
      </c>
      <c r="D641" t="s">
        <v>173</v>
      </c>
      <c r="E641" t="s">
        <v>166</v>
      </c>
      <c r="F641">
        <v>1.3528635120000001</v>
      </c>
      <c r="G641">
        <v>1.4052972749999999</v>
      </c>
      <c r="H641">
        <v>1.4945374760000001</v>
      </c>
      <c r="I641">
        <v>1.601022699</v>
      </c>
      <c r="J641">
        <v>1.7424674550000001</v>
      </c>
      <c r="K641">
        <v>1.8907399579999999</v>
      </c>
      <c r="L641">
        <v>2.0599895319999999</v>
      </c>
      <c r="M641">
        <v>2.2129736200000001</v>
      </c>
      <c r="N641">
        <v>2.3285313780000001</v>
      </c>
      <c r="O641">
        <v>2.4262988889999999</v>
      </c>
      <c r="P641">
        <v>2.4990040919999998</v>
      </c>
      <c r="Q641">
        <v>2.5609435989999998</v>
      </c>
    </row>
    <row r="642" spans="1:17" x14ac:dyDescent="0.25">
      <c r="A642" t="s">
        <v>5</v>
      </c>
      <c r="B642" t="s">
        <v>6</v>
      </c>
      <c r="C642" t="s">
        <v>258</v>
      </c>
      <c r="D642" t="s">
        <v>174</v>
      </c>
      <c r="E642" t="s">
        <v>166</v>
      </c>
      <c r="F642">
        <v>0.21301310700000001</v>
      </c>
      <c r="G642">
        <v>0.22170205300000001</v>
      </c>
      <c r="H642">
        <v>0.26318018700000001</v>
      </c>
      <c r="I642">
        <v>0.26090602600000001</v>
      </c>
      <c r="J642">
        <v>0.34654992899999998</v>
      </c>
      <c r="K642">
        <v>0.364631233</v>
      </c>
      <c r="L642">
        <v>0.38561504699999999</v>
      </c>
      <c r="M642">
        <v>0.41107752800000003</v>
      </c>
      <c r="N642">
        <v>0.456181691</v>
      </c>
      <c r="O642">
        <v>0.51537130399999997</v>
      </c>
      <c r="P642">
        <v>0.57345999199999997</v>
      </c>
      <c r="Q642">
        <v>0.62004512300000003</v>
      </c>
    </row>
    <row r="643" spans="1:17" x14ac:dyDescent="0.25">
      <c r="A643" t="s">
        <v>5</v>
      </c>
      <c r="B643" t="s">
        <v>6</v>
      </c>
      <c r="C643" t="s">
        <v>258</v>
      </c>
      <c r="D643" t="s">
        <v>175</v>
      </c>
      <c r="E643" t="s">
        <v>166</v>
      </c>
      <c r="F643">
        <v>0.46960472399999997</v>
      </c>
      <c r="G643">
        <v>0.424934692</v>
      </c>
      <c r="H643">
        <v>0.40285910000000003</v>
      </c>
      <c r="I643">
        <v>0.42543361800000001</v>
      </c>
      <c r="J643">
        <v>0.43446851600000003</v>
      </c>
      <c r="K643">
        <v>0.44498122200000001</v>
      </c>
      <c r="L643">
        <v>0.46254336099999999</v>
      </c>
      <c r="M643">
        <v>0.485621727</v>
      </c>
      <c r="N643">
        <v>0.50798265600000003</v>
      </c>
      <c r="O643">
        <v>0.52645266400000001</v>
      </c>
      <c r="P643">
        <v>0.54404291000000005</v>
      </c>
      <c r="Q643">
        <v>0.55942961000000002</v>
      </c>
    </row>
    <row r="644" spans="1:17" x14ac:dyDescent="0.25">
      <c r="A644" t="s">
        <v>5</v>
      </c>
      <c r="B644" t="s">
        <v>6</v>
      </c>
      <c r="C644" t="s">
        <v>258</v>
      </c>
      <c r="D644" t="s">
        <v>176</v>
      </c>
      <c r="E644" t="s">
        <v>166</v>
      </c>
      <c r="F644">
        <v>5.4678202349999996</v>
      </c>
      <c r="G644">
        <v>5.9184081669999999</v>
      </c>
      <c r="H644">
        <v>7.0309482220000001</v>
      </c>
      <c r="I644">
        <v>7.9977612960000002</v>
      </c>
      <c r="J644">
        <v>12.760872600000001</v>
      </c>
      <c r="K644">
        <v>20.772091419999999</v>
      </c>
      <c r="L644">
        <v>28.82112618</v>
      </c>
      <c r="M644">
        <v>32.986251240000001</v>
      </c>
      <c r="N644">
        <v>36.124121600000002</v>
      </c>
      <c r="O644">
        <v>40.420628260000001</v>
      </c>
      <c r="P644">
        <v>44.842893590000003</v>
      </c>
      <c r="Q644">
        <v>47.703538610000003</v>
      </c>
    </row>
    <row r="645" spans="1:17" x14ac:dyDescent="0.25">
      <c r="A645" t="s">
        <v>5</v>
      </c>
      <c r="B645" t="s">
        <v>6</v>
      </c>
      <c r="C645" t="s">
        <v>258</v>
      </c>
      <c r="D645" t="s">
        <v>177</v>
      </c>
      <c r="E645" t="s">
        <v>166</v>
      </c>
      <c r="F645">
        <v>5.7191416300000002</v>
      </c>
      <c r="G645">
        <v>6.1684199279999996</v>
      </c>
      <c r="H645">
        <v>7.3147145279999997</v>
      </c>
      <c r="I645">
        <v>8.3150659000000005</v>
      </c>
      <c r="J645">
        <v>13.11004196</v>
      </c>
      <c r="K645">
        <v>21.164352300000001</v>
      </c>
      <c r="L645">
        <v>29.284352120000001</v>
      </c>
      <c r="M645">
        <v>33.52131353</v>
      </c>
      <c r="N645">
        <v>36.726440680000003</v>
      </c>
      <c r="O645">
        <v>41.087905929999998</v>
      </c>
      <c r="P645">
        <v>45.56462835</v>
      </c>
      <c r="Q645">
        <v>48.464052559999999</v>
      </c>
    </row>
    <row r="646" spans="1:17" x14ac:dyDescent="0.25">
      <c r="A646" t="s">
        <v>5</v>
      </c>
      <c r="B646" t="s">
        <v>6</v>
      </c>
      <c r="C646" t="s">
        <v>258</v>
      </c>
      <c r="D646" t="s">
        <v>178</v>
      </c>
      <c r="E646" t="s">
        <v>166</v>
      </c>
      <c r="F646">
        <v>2.7504180999999999E-2</v>
      </c>
      <c r="G646">
        <v>2.8841124999999999E-2</v>
      </c>
      <c r="H646">
        <v>3.0854249E-2</v>
      </c>
      <c r="I646">
        <v>3.3640647000000003E-2</v>
      </c>
      <c r="J646">
        <v>3.7236936999999998E-2</v>
      </c>
      <c r="K646">
        <v>4.1259837000000001E-2</v>
      </c>
      <c r="L646">
        <v>4.5976389999999999E-2</v>
      </c>
      <c r="M646">
        <v>5.1094104000000001E-2</v>
      </c>
      <c r="N646">
        <v>5.5892587000000001E-2</v>
      </c>
      <c r="O646">
        <v>6.0621346E-2</v>
      </c>
      <c r="P646">
        <v>6.4936406000000002E-2</v>
      </c>
      <c r="Q646">
        <v>6.8866057999999994E-2</v>
      </c>
    </row>
    <row r="647" spans="1:17" x14ac:dyDescent="0.25">
      <c r="A647" t="s">
        <v>5</v>
      </c>
      <c r="B647" t="s">
        <v>6</v>
      </c>
      <c r="C647" t="s">
        <v>258</v>
      </c>
      <c r="D647" t="s">
        <v>179</v>
      </c>
      <c r="E647" t="s">
        <v>166</v>
      </c>
      <c r="F647">
        <v>7.7922699999999996E-4</v>
      </c>
      <c r="G647">
        <v>8.3072300000000001E-4</v>
      </c>
      <c r="H647">
        <v>1.016774E-3</v>
      </c>
      <c r="I647">
        <v>8.8605499999999996E-4</v>
      </c>
      <c r="J647">
        <v>1.211433E-3</v>
      </c>
      <c r="K647">
        <v>1.283452E-3</v>
      </c>
      <c r="L647">
        <v>1.362935E-3</v>
      </c>
      <c r="M647">
        <v>1.458893E-3</v>
      </c>
      <c r="N647">
        <v>1.652695E-3</v>
      </c>
      <c r="O647">
        <v>1.9273039999999999E-3</v>
      </c>
      <c r="P647">
        <v>2.204761E-3</v>
      </c>
      <c r="Q647">
        <v>2.4285579999999999E-3</v>
      </c>
    </row>
    <row r="648" spans="1:17" x14ac:dyDescent="0.25">
      <c r="A648" t="s">
        <v>5</v>
      </c>
      <c r="B648" t="s">
        <v>6</v>
      </c>
      <c r="C648" t="s">
        <v>258</v>
      </c>
      <c r="D648" t="s">
        <v>180</v>
      </c>
      <c r="E648" t="s">
        <v>166</v>
      </c>
      <c r="F648">
        <v>0.46960472399999997</v>
      </c>
      <c r="G648">
        <v>0.424934692</v>
      </c>
      <c r="H648">
        <v>0.40285910000000003</v>
      </c>
      <c r="I648">
        <v>0.42543361800000001</v>
      </c>
      <c r="J648">
        <v>0.43446851600000003</v>
      </c>
      <c r="K648">
        <v>0.44498122200000001</v>
      </c>
      <c r="L648">
        <v>0.46254336099999999</v>
      </c>
      <c r="M648">
        <v>0.485621727</v>
      </c>
      <c r="N648">
        <v>0.50798265600000003</v>
      </c>
      <c r="O648">
        <v>0.52645266400000001</v>
      </c>
      <c r="P648">
        <v>0.54404291000000005</v>
      </c>
      <c r="Q648">
        <v>0.55942961000000002</v>
      </c>
    </row>
    <row r="649" spans="1:17" x14ac:dyDescent="0.25">
      <c r="A649" t="s">
        <v>5</v>
      </c>
      <c r="B649" t="s">
        <v>6</v>
      </c>
      <c r="C649" t="s">
        <v>258</v>
      </c>
      <c r="D649" t="s">
        <v>181</v>
      </c>
      <c r="E649" t="s">
        <v>166</v>
      </c>
      <c r="F649">
        <v>7.4421753009999998</v>
      </c>
      <c r="G649">
        <v>7.9614279840000002</v>
      </c>
      <c r="H649">
        <v>8.2042815739999995</v>
      </c>
      <c r="I649">
        <v>8.2280216329999991</v>
      </c>
      <c r="J649">
        <v>9.3761045070000009</v>
      </c>
      <c r="K649">
        <v>10.330588860000001</v>
      </c>
      <c r="L649">
        <v>11.50448834</v>
      </c>
      <c r="M649">
        <v>12.51149101</v>
      </c>
      <c r="N649">
        <v>13.33254977</v>
      </c>
      <c r="O649">
        <v>14.05733942</v>
      </c>
      <c r="P649">
        <v>14.676768210000001</v>
      </c>
      <c r="Q649">
        <v>15.152129199999999</v>
      </c>
    </row>
    <row r="650" spans="1:17" x14ac:dyDescent="0.25">
      <c r="A650" t="s">
        <v>5</v>
      </c>
      <c r="B650" t="s">
        <v>6</v>
      </c>
      <c r="C650" t="s">
        <v>258</v>
      </c>
      <c r="D650" t="s">
        <v>182</v>
      </c>
      <c r="E650" t="s">
        <v>166</v>
      </c>
      <c r="F650">
        <v>8.03206314</v>
      </c>
      <c r="G650">
        <v>8.578563462</v>
      </c>
      <c r="H650">
        <v>8.8459263089999993</v>
      </c>
      <c r="I650">
        <v>8.9017251490000007</v>
      </c>
      <c r="J650">
        <v>10.095190179999999</v>
      </c>
      <c r="K650">
        <v>11.089112889999999</v>
      </c>
      <c r="L650">
        <v>12.32122266</v>
      </c>
      <c r="M650">
        <v>13.37564238</v>
      </c>
      <c r="N650">
        <v>14.239283629999999</v>
      </c>
      <c r="O650">
        <v>15.01412988</v>
      </c>
      <c r="P650">
        <v>15.6853333</v>
      </c>
      <c r="Q650">
        <v>16.201033089999999</v>
      </c>
    </row>
    <row r="651" spans="1:17" x14ac:dyDescent="0.25">
      <c r="A651" t="s">
        <v>5</v>
      </c>
      <c r="B651" t="s">
        <v>6</v>
      </c>
      <c r="C651" t="s">
        <v>258</v>
      </c>
      <c r="D651" t="s">
        <v>183</v>
      </c>
      <c r="E651" t="s">
        <v>166</v>
      </c>
      <c r="F651">
        <v>1.9088034E-2</v>
      </c>
      <c r="G651">
        <v>2.0397281E-2</v>
      </c>
      <c r="H651">
        <v>2.259458E-2</v>
      </c>
      <c r="I651">
        <v>2.4797501999999999E-2</v>
      </c>
      <c r="J651">
        <v>2.753448E-2</v>
      </c>
      <c r="K651">
        <v>3.0330556000000002E-2</v>
      </c>
      <c r="L651">
        <v>3.3724410000000003E-2</v>
      </c>
      <c r="M651">
        <v>3.7381375000000001E-2</v>
      </c>
      <c r="N651">
        <v>4.0969332999999997E-2</v>
      </c>
      <c r="O651">
        <v>4.4676095999999998E-2</v>
      </c>
      <c r="P651">
        <v>4.8639836999999998E-2</v>
      </c>
      <c r="Q651">
        <v>5.2569320000000003E-2</v>
      </c>
    </row>
    <row r="652" spans="1:17" x14ac:dyDescent="0.25">
      <c r="A652" t="s">
        <v>5</v>
      </c>
      <c r="B652" t="s">
        <v>6</v>
      </c>
      <c r="C652" t="s">
        <v>258</v>
      </c>
      <c r="D652" t="s">
        <v>184</v>
      </c>
      <c r="E652" t="s">
        <v>166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25">
      <c r="A653" t="s">
        <v>5</v>
      </c>
      <c r="B653" t="s">
        <v>6</v>
      </c>
      <c r="C653" t="s">
        <v>258</v>
      </c>
      <c r="D653" t="s">
        <v>185</v>
      </c>
      <c r="E653" t="s">
        <v>166</v>
      </c>
      <c r="F653">
        <v>2.8176283E-2</v>
      </c>
      <c r="G653">
        <v>2.5496082E-2</v>
      </c>
      <c r="H653">
        <v>2.4171545999999999E-2</v>
      </c>
      <c r="I653">
        <v>2.5526017000000002E-2</v>
      </c>
      <c r="J653">
        <v>2.6068111000000001E-2</v>
      </c>
      <c r="K653">
        <v>2.6698873000000001E-2</v>
      </c>
      <c r="L653">
        <v>2.7752602000000001E-2</v>
      </c>
      <c r="M653">
        <v>2.9137303999999999E-2</v>
      </c>
      <c r="N653">
        <v>3.0478959E-2</v>
      </c>
      <c r="O653">
        <v>3.1587160000000003E-2</v>
      </c>
      <c r="P653">
        <v>3.2642575E-2</v>
      </c>
      <c r="Q653">
        <v>3.3565776999999998E-2</v>
      </c>
    </row>
    <row r="654" spans="1:17" x14ac:dyDescent="0.25">
      <c r="A654" t="s">
        <v>5</v>
      </c>
      <c r="B654" t="s">
        <v>6</v>
      </c>
      <c r="C654" t="s">
        <v>258</v>
      </c>
      <c r="D654" t="s">
        <v>186</v>
      </c>
      <c r="E654" t="s">
        <v>166</v>
      </c>
      <c r="F654">
        <v>34.831169529999997</v>
      </c>
      <c r="G654">
        <v>37.255185959999999</v>
      </c>
      <c r="H654">
        <v>38.321563480000002</v>
      </c>
      <c r="I654">
        <v>38.36003152</v>
      </c>
      <c r="J654">
        <v>43.683056980000003</v>
      </c>
      <c r="K654">
        <v>47.99617336</v>
      </c>
      <c r="L654">
        <v>53.020531869999999</v>
      </c>
      <c r="M654">
        <v>57.370848870000003</v>
      </c>
      <c r="N654">
        <v>61.170282409999999</v>
      </c>
      <c r="O654">
        <v>64.864372540000005</v>
      </c>
      <c r="P654">
        <v>68.208716969999998</v>
      </c>
      <c r="Q654">
        <v>70.723673410000004</v>
      </c>
    </row>
    <row r="655" spans="1:17" x14ac:dyDescent="0.25">
      <c r="A655" t="s">
        <v>5</v>
      </c>
      <c r="B655" t="s">
        <v>6</v>
      </c>
      <c r="C655" t="s">
        <v>258</v>
      </c>
      <c r="D655" t="s">
        <v>187</v>
      </c>
      <c r="E655" t="s">
        <v>166</v>
      </c>
      <c r="F655">
        <v>40.58381267</v>
      </c>
      <c r="G655">
        <v>43.028804649999998</v>
      </c>
      <c r="H655">
        <v>44.725134830000002</v>
      </c>
      <c r="I655">
        <v>45.366880729999998</v>
      </c>
      <c r="J655">
        <v>51.140878209999997</v>
      </c>
      <c r="K655">
        <v>55.892226190000002</v>
      </c>
      <c r="L655">
        <v>61.701310130000003</v>
      </c>
      <c r="M655">
        <v>66.780848059999997</v>
      </c>
      <c r="N655">
        <v>71.183530829999995</v>
      </c>
      <c r="O655">
        <v>75.495843309999998</v>
      </c>
      <c r="P655">
        <v>79.420727900000003</v>
      </c>
      <c r="Q655">
        <v>82.41039533</v>
      </c>
    </row>
    <row r="656" spans="1:17" x14ac:dyDescent="0.25">
      <c r="A656" t="s">
        <v>5</v>
      </c>
      <c r="B656" t="s">
        <v>6</v>
      </c>
      <c r="C656" t="s">
        <v>258</v>
      </c>
      <c r="D656" t="s">
        <v>188</v>
      </c>
      <c r="E656" t="s">
        <v>166</v>
      </c>
      <c r="F656">
        <v>6.1226899000000001E-2</v>
      </c>
      <c r="G656">
        <v>6.4471036999999995E-2</v>
      </c>
      <c r="H656">
        <v>7.0360379000000001E-2</v>
      </c>
      <c r="I656">
        <v>7.5767646999999994E-2</v>
      </c>
      <c r="J656">
        <v>8.2685715000000007E-2</v>
      </c>
      <c r="K656">
        <v>8.9343228999999996E-2</v>
      </c>
      <c r="L656">
        <v>9.7204473999999999E-2</v>
      </c>
      <c r="M656">
        <v>0.10424855500000001</v>
      </c>
      <c r="N656">
        <v>0.109926549</v>
      </c>
      <c r="O656">
        <v>0.11517052899999999</v>
      </c>
      <c r="P656">
        <v>0.120541011</v>
      </c>
      <c r="Q656">
        <v>0.12597755599999999</v>
      </c>
    </row>
    <row r="657" spans="1:17" x14ac:dyDescent="0.25">
      <c r="A657" t="s">
        <v>5</v>
      </c>
      <c r="B657" t="s">
        <v>6</v>
      </c>
      <c r="C657" t="s">
        <v>258</v>
      </c>
      <c r="D657" t="s">
        <v>189</v>
      </c>
      <c r="E657" t="s">
        <v>166</v>
      </c>
      <c r="F657">
        <v>1.6445865E-2</v>
      </c>
      <c r="G657">
        <v>1.7116703E-2</v>
      </c>
      <c r="H657">
        <v>2.0319059E-2</v>
      </c>
      <c r="I657">
        <v>2.0143479999999998E-2</v>
      </c>
      <c r="J657">
        <v>2.6755693000000001E-2</v>
      </c>
      <c r="K657">
        <v>2.8151676E-2</v>
      </c>
      <c r="L657">
        <v>2.977175E-2</v>
      </c>
      <c r="M657">
        <v>3.1737603000000003E-2</v>
      </c>
      <c r="N657">
        <v>3.521991E-2</v>
      </c>
      <c r="O657">
        <v>3.9789695999999999E-2</v>
      </c>
      <c r="P657">
        <v>4.4274485000000002E-2</v>
      </c>
      <c r="Q657">
        <v>4.7871130999999997E-2</v>
      </c>
    </row>
    <row r="658" spans="1:17" x14ac:dyDescent="0.25">
      <c r="A658" t="s">
        <v>5</v>
      </c>
      <c r="B658" t="s">
        <v>6</v>
      </c>
      <c r="C658" t="s">
        <v>258</v>
      </c>
      <c r="D658" t="s">
        <v>190</v>
      </c>
      <c r="E658" t="s">
        <v>166</v>
      </c>
      <c r="F658">
        <v>0.93920944799999995</v>
      </c>
      <c r="G658">
        <v>0.84986938400000001</v>
      </c>
      <c r="H658">
        <v>0.80571820000000005</v>
      </c>
      <c r="I658">
        <v>0.85086723500000006</v>
      </c>
      <c r="J658">
        <v>0.86893703099999997</v>
      </c>
      <c r="K658">
        <v>0.88996244400000002</v>
      </c>
      <c r="L658">
        <v>0.925086721</v>
      </c>
      <c r="M658">
        <v>0.97124345499999998</v>
      </c>
      <c r="N658">
        <v>1.0159653129999999</v>
      </c>
      <c r="O658">
        <v>1.0529053289999999</v>
      </c>
      <c r="P658">
        <v>1.088085821</v>
      </c>
      <c r="Q658">
        <v>1.1188592209999999</v>
      </c>
    </row>
    <row r="659" spans="1:17" x14ac:dyDescent="0.25">
      <c r="A659" t="s">
        <v>5</v>
      </c>
      <c r="B659" t="s">
        <v>6</v>
      </c>
      <c r="C659" t="s">
        <v>258</v>
      </c>
      <c r="D659" t="s">
        <v>191</v>
      </c>
      <c r="E659" t="s">
        <v>166</v>
      </c>
      <c r="F659">
        <v>1459.667158</v>
      </c>
      <c r="G659">
        <v>1530.243174</v>
      </c>
      <c r="H659">
        <v>1607.835192</v>
      </c>
      <c r="I659">
        <v>1692.475602</v>
      </c>
      <c r="J659">
        <v>1752.1483020000001</v>
      </c>
      <c r="K659">
        <v>1847.66608</v>
      </c>
      <c r="L659">
        <v>1938.0927409999999</v>
      </c>
      <c r="M659">
        <v>2023.8883989999999</v>
      </c>
      <c r="N659">
        <v>2103.1165820000001</v>
      </c>
      <c r="O659">
        <v>2174.6838699999998</v>
      </c>
      <c r="P659">
        <v>2234.6620499999999</v>
      </c>
      <c r="Q659">
        <v>2280.597068</v>
      </c>
    </row>
    <row r="660" spans="1:17" x14ac:dyDescent="0.25">
      <c r="A660" t="s">
        <v>5</v>
      </c>
      <c r="B660" t="s">
        <v>6</v>
      </c>
      <c r="C660" t="s">
        <v>258</v>
      </c>
      <c r="D660" t="s">
        <v>192</v>
      </c>
      <c r="E660" t="s">
        <v>166</v>
      </c>
      <c r="F660">
        <v>637.93801240000005</v>
      </c>
      <c r="G660">
        <v>689.24266660000001</v>
      </c>
      <c r="H660">
        <v>734.79789830000004</v>
      </c>
      <c r="I660">
        <v>776.72374030000003</v>
      </c>
      <c r="J660">
        <v>832.62488940000003</v>
      </c>
      <c r="K660">
        <v>900.74754770000004</v>
      </c>
      <c r="L660">
        <v>968.50890960000004</v>
      </c>
      <c r="M660">
        <v>1033.666469</v>
      </c>
      <c r="N660">
        <v>1093.901541</v>
      </c>
      <c r="O660">
        <v>1148.011377</v>
      </c>
      <c r="P660">
        <v>1198.0852259999999</v>
      </c>
      <c r="Q660">
        <v>1238.183254</v>
      </c>
    </row>
    <row r="661" spans="1:17" x14ac:dyDescent="0.25">
      <c r="A661" t="s">
        <v>5</v>
      </c>
      <c r="B661" t="s">
        <v>6</v>
      </c>
      <c r="C661" t="s">
        <v>258</v>
      </c>
      <c r="D661" t="s">
        <v>193</v>
      </c>
      <c r="E661" t="s">
        <v>166</v>
      </c>
      <c r="F661">
        <v>53.029762050000002</v>
      </c>
      <c r="G661">
        <v>54.910696680000001</v>
      </c>
      <c r="H661">
        <v>56.797417940000003</v>
      </c>
      <c r="I661">
        <v>58.733986180000002</v>
      </c>
      <c r="J661">
        <v>59.82326432</v>
      </c>
      <c r="K661">
        <v>62.234256289999998</v>
      </c>
      <c r="L661">
        <v>64.427892979999996</v>
      </c>
      <c r="M661">
        <v>66.433237180000006</v>
      </c>
      <c r="N661">
        <v>68.220568080000007</v>
      </c>
      <c r="O661">
        <v>69.764720150000002</v>
      </c>
      <c r="P661">
        <v>70.957988290000003</v>
      </c>
      <c r="Q661">
        <v>71.801507689999994</v>
      </c>
    </row>
    <row r="662" spans="1:17" x14ac:dyDescent="0.25">
      <c r="A662" t="s">
        <v>5</v>
      </c>
      <c r="B662" t="s">
        <v>6</v>
      </c>
      <c r="C662" t="s">
        <v>258</v>
      </c>
      <c r="D662" t="s">
        <v>194</v>
      </c>
      <c r="E662" t="s">
        <v>166</v>
      </c>
      <c r="F662">
        <v>35.446993589999998</v>
      </c>
      <c r="G662">
        <v>38.140550159999997</v>
      </c>
      <c r="H662">
        <v>40.547389109999997</v>
      </c>
      <c r="I662">
        <v>42.75298592</v>
      </c>
      <c r="J662">
        <v>45.611900130000002</v>
      </c>
      <c r="K662">
        <v>49.035305620000003</v>
      </c>
      <c r="L662">
        <v>52.395237649999999</v>
      </c>
      <c r="M662">
        <v>55.591580489999998</v>
      </c>
      <c r="N662">
        <v>58.520321719999998</v>
      </c>
      <c r="O662">
        <v>61.129432510000001</v>
      </c>
      <c r="P662">
        <v>63.523091360000002</v>
      </c>
      <c r="Q662">
        <v>65.421806540000006</v>
      </c>
    </row>
    <row r="663" spans="1:17" x14ac:dyDescent="0.25">
      <c r="A663" t="s">
        <v>5</v>
      </c>
      <c r="B663" t="s">
        <v>6</v>
      </c>
      <c r="C663" t="s">
        <v>258</v>
      </c>
      <c r="D663" t="s">
        <v>195</v>
      </c>
      <c r="E663" t="s">
        <v>166</v>
      </c>
      <c r="F663">
        <v>17.06718862</v>
      </c>
      <c r="G663">
        <v>17.48873433</v>
      </c>
      <c r="H663">
        <v>17.84183299</v>
      </c>
      <c r="I663">
        <v>18.155557229999999</v>
      </c>
      <c r="J663">
        <v>18.21701843</v>
      </c>
      <c r="K663">
        <v>18.705047740000001</v>
      </c>
      <c r="L663">
        <v>19.118363120000001</v>
      </c>
      <c r="M663">
        <v>19.4686992</v>
      </c>
      <c r="N663">
        <v>19.756742630000002</v>
      </c>
      <c r="O663">
        <v>19.977559979999999</v>
      </c>
      <c r="P663">
        <v>20.104917480000001</v>
      </c>
      <c r="Q663">
        <v>20.16247435</v>
      </c>
    </row>
    <row r="664" spans="1:17" x14ac:dyDescent="0.25">
      <c r="A664" t="s">
        <v>5</v>
      </c>
      <c r="B664" t="s">
        <v>6</v>
      </c>
      <c r="C664" t="s">
        <v>258</v>
      </c>
      <c r="D664" t="s">
        <v>196</v>
      </c>
      <c r="E664" t="s">
        <v>166</v>
      </c>
      <c r="F664">
        <v>24.15348749</v>
      </c>
      <c r="G664">
        <v>26.072147229999999</v>
      </c>
      <c r="H664">
        <v>27.778485379999999</v>
      </c>
      <c r="I664">
        <v>29.34746896</v>
      </c>
      <c r="J664">
        <v>31.42647345</v>
      </c>
      <c r="K664">
        <v>33.950707559999998</v>
      </c>
      <c r="L664">
        <v>36.454741220000002</v>
      </c>
      <c r="M664">
        <v>38.857752300000001</v>
      </c>
      <c r="N664">
        <v>41.076045790000002</v>
      </c>
      <c r="O664">
        <v>43.066505190000001</v>
      </c>
      <c r="P664">
        <v>44.90644854</v>
      </c>
      <c r="Q664">
        <v>46.378424629999998</v>
      </c>
    </row>
    <row r="665" spans="1:17" x14ac:dyDescent="0.25">
      <c r="A665" t="s">
        <v>5</v>
      </c>
      <c r="B665" t="s">
        <v>6</v>
      </c>
      <c r="C665" t="s">
        <v>258</v>
      </c>
      <c r="D665" t="s">
        <v>197</v>
      </c>
      <c r="E665" t="s">
        <v>166</v>
      </c>
      <c r="F665">
        <v>22091.43447</v>
      </c>
      <c r="G665">
        <v>22997.689009999998</v>
      </c>
      <c r="H665">
        <v>23942.93275</v>
      </c>
      <c r="I665">
        <v>24945.244620000001</v>
      </c>
      <c r="J665">
        <v>25596.900460000001</v>
      </c>
      <c r="K665">
        <v>26784.62572</v>
      </c>
      <c r="L665">
        <v>27899.393950000001</v>
      </c>
      <c r="M665">
        <v>28948.230179999999</v>
      </c>
      <c r="N665">
        <v>29909.48129</v>
      </c>
      <c r="O665">
        <v>30767.704760000001</v>
      </c>
      <c r="P665">
        <v>31469.09446</v>
      </c>
      <c r="Q665">
        <v>31994.52893</v>
      </c>
    </row>
    <row r="666" spans="1:17" x14ac:dyDescent="0.25">
      <c r="A666" t="s">
        <v>5</v>
      </c>
      <c r="B666" t="s">
        <v>6</v>
      </c>
      <c r="C666" t="s">
        <v>258</v>
      </c>
      <c r="D666" t="s">
        <v>198</v>
      </c>
      <c r="E666" t="s">
        <v>166</v>
      </c>
      <c r="F666">
        <v>6446.4535100000003</v>
      </c>
      <c r="G666">
        <v>6959.5357750000003</v>
      </c>
      <c r="H666">
        <v>7415.4035169999997</v>
      </c>
      <c r="I666">
        <v>7834.4777569999997</v>
      </c>
      <c r="J666">
        <v>8391.1050070000001</v>
      </c>
      <c r="K666">
        <v>9068.1970799999999</v>
      </c>
      <c r="L666">
        <v>9741.1504220000006</v>
      </c>
      <c r="M666">
        <v>10388.16236</v>
      </c>
      <c r="N666">
        <v>10986.438399999999</v>
      </c>
      <c r="O666">
        <v>11524.046689999999</v>
      </c>
      <c r="P666">
        <v>12021.57602</v>
      </c>
      <c r="Q666">
        <v>12420.206050000001</v>
      </c>
    </row>
    <row r="667" spans="1:17" x14ac:dyDescent="0.25">
      <c r="A667" t="s">
        <v>5</v>
      </c>
      <c r="B667" t="s">
        <v>6</v>
      </c>
      <c r="C667" t="s">
        <v>258</v>
      </c>
      <c r="D667" t="s">
        <v>199</v>
      </c>
      <c r="E667" t="s">
        <v>166</v>
      </c>
      <c r="F667">
        <v>77.990419430000003</v>
      </c>
      <c r="G667">
        <v>81.44263436</v>
      </c>
      <c r="H667">
        <v>85.132455910000004</v>
      </c>
      <c r="I667">
        <v>89.106080879999993</v>
      </c>
      <c r="J667">
        <v>91.79437283</v>
      </c>
      <c r="K667">
        <v>96.383945069999996</v>
      </c>
      <c r="L667">
        <v>100.7057404</v>
      </c>
      <c r="M667">
        <v>104.785701</v>
      </c>
      <c r="N667">
        <v>108.53581339999999</v>
      </c>
      <c r="O667">
        <v>111.9011132</v>
      </c>
      <c r="P667">
        <v>114.68227210000001</v>
      </c>
      <c r="Q667">
        <v>116.786635</v>
      </c>
    </row>
    <row r="668" spans="1:17" x14ac:dyDescent="0.25">
      <c r="A668" t="s">
        <v>5</v>
      </c>
      <c r="B668" t="s">
        <v>6</v>
      </c>
      <c r="C668" t="s">
        <v>258</v>
      </c>
      <c r="D668" t="s">
        <v>200</v>
      </c>
      <c r="E668" t="s">
        <v>166</v>
      </c>
      <c r="F668">
        <v>53.649278729999999</v>
      </c>
      <c r="G668">
        <v>57.646895950000001</v>
      </c>
      <c r="H668">
        <v>61.223598840000001</v>
      </c>
      <c r="I668">
        <v>64.495205260000006</v>
      </c>
      <c r="J668">
        <v>68.698916800000006</v>
      </c>
      <c r="K668">
        <v>73.704928589999994</v>
      </c>
      <c r="L668">
        <v>78.598328519999995</v>
      </c>
      <c r="M668">
        <v>83.238056139999998</v>
      </c>
      <c r="N668">
        <v>87.476215260000004</v>
      </c>
      <c r="O668">
        <v>91.238957619999994</v>
      </c>
      <c r="P668">
        <v>94.677189799999994</v>
      </c>
      <c r="Q668">
        <v>97.391586930000003</v>
      </c>
    </row>
    <row r="669" spans="1:17" x14ac:dyDescent="0.25">
      <c r="A669" t="s">
        <v>5</v>
      </c>
      <c r="B669" t="s">
        <v>6</v>
      </c>
      <c r="C669" t="s">
        <v>258</v>
      </c>
      <c r="D669" t="s">
        <v>201</v>
      </c>
      <c r="E669" t="s">
        <v>166</v>
      </c>
      <c r="F669">
        <v>1084.1404010000001</v>
      </c>
      <c r="G669">
        <v>1127.10808</v>
      </c>
      <c r="H669">
        <v>1171.763148</v>
      </c>
      <c r="I669">
        <v>1218.763115</v>
      </c>
      <c r="J669">
        <v>1248.2416009999999</v>
      </c>
      <c r="K669">
        <v>1304.477609</v>
      </c>
      <c r="L669">
        <v>1356.6571739999999</v>
      </c>
      <c r="M669">
        <v>1405.249008</v>
      </c>
      <c r="N669">
        <v>1449.3494189999999</v>
      </c>
      <c r="O669">
        <v>1488.3103180000001</v>
      </c>
      <c r="P669">
        <v>1519.667473</v>
      </c>
      <c r="Q669">
        <v>1542.7870789999999</v>
      </c>
    </row>
    <row r="670" spans="1:17" x14ac:dyDescent="0.25">
      <c r="A670" t="s">
        <v>5</v>
      </c>
      <c r="B670" t="s">
        <v>6</v>
      </c>
      <c r="C670" t="s">
        <v>258</v>
      </c>
      <c r="D670" t="s">
        <v>202</v>
      </c>
      <c r="E670" t="s">
        <v>166</v>
      </c>
      <c r="F670">
        <v>123.2340207</v>
      </c>
      <c r="G670">
        <v>133.20758789999999</v>
      </c>
      <c r="H670">
        <v>142.0504239</v>
      </c>
      <c r="I670">
        <v>150.17919760000001</v>
      </c>
      <c r="J670">
        <v>161.0911328</v>
      </c>
      <c r="K670">
        <v>174.488022</v>
      </c>
      <c r="L670">
        <v>187.92926879999999</v>
      </c>
      <c r="M670">
        <v>200.98825819999999</v>
      </c>
      <c r="N670">
        <v>213.1997403</v>
      </c>
      <c r="O670">
        <v>224.30528369999999</v>
      </c>
      <c r="P670">
        <v>234.70283570000001</v>
      </c>
      <c r="Q670">
        <v>243.1666108</v>
      </c>
    </row>
    <row r="671" spans="1:17" x14ac:dyDescent="0.25">
      <c r="A671" t="s">
        <v>5</v>
      </c>
      <c r="B671" t="s">
        <v>6</v>
      </c>
      <c r="C671" t="s">
        <v>258</v>
      </c>
      <c r="D671" t="s">
        <v>203</v>
      </c>
      <c r="E671" t="s">
        <v>166</v>
      </c>
      <c r="F671">
        <v>56.326816020000003</v>
      </c>
      <c r="G671">
        <v>71.540401889999998</v>
      </c>
      <c r="H671">
        <v>89.990683739999994</v>
      </c>
      <c r="I671">
        <v>108.44477569999999</v>
      </c>
      <c r="J671">
        <v>118.25219920000001</v>
      </c>
      <c r="K671">
        <v>142.56180449999999</v>
      </c>
      <c r="L671">
        <v>163.4536071</v>
      </c>
      <c r="M671">
        <v>179.34303980000001</v>
      </c>
      <c r="N671">
        <v>194.1585906</v>
      </c>
      <c r="O671">
        <v>211.2637618</v>
      </c>
      <c r="P671">
        <v>229.91852130000001</v>
      </c>
      <c r="Q671">
        <v>244.3440726</v>
      </c>
    </row>
    <row r="672" spans="1:17" x14ac:dyDescent="0.25">
      <c r="A672" t="s">
        <v>5</v>
      </c>
      <c r="B672" t="s">
        <v>6</v>
      </c>
      <c r="C672" t="s">
        <v>258</v>
      </c>
      <c r="D672" t="s">
        <v>204</v>
      </c>
      <c r="E672" t="s">
        <v>166</v>
      </c>
      <c r="F672">
        <v>624.79004350000002</v>
      </c>
      <c r="G672">
        <v>733.19615269999997</v>
      </c>
      <c r="H672">
        <v>841.78669460000003</v>
      </c>
      <c r="I672">
        <v>944.22325809999995</v>
      </c>
      <c r="J672">
        <v>972.98382130000005</v>
      </c>
      <c r="K672">
        <v>960.99699310000005</v>
      </c>
      <c r="L672">
        <v>935.92052760000001</v>
      </c>
      <c r="M672">
        <v>930.51062930000001</v>
      </c>
      <c r="N672">
        <v>936.19436429999996</v>
      </c>
      <c r="O672">
        <v>966.2714598</v>
      </c>
      <c r="P672">
        <v>1014.764067</v>
      </c>
      <c r="Q672">
        <v>1050.098424</v>
      </c>
    </row>
    <row r="673" spans="1:17" x14ac:dyDescent="0.25">
      <c r="A673" t="s">
        <v>5</v>
      </c>
      <c r="B673" t="s">
        <v>6</v>
      </c>
      <c r="C673" t="s">
        <v>258</v>
      </c>
      <c r="D673" t="s">
        <v>205</v>
      </c>
      <c r="E673" t="s">
        <v>166</v>
      </c>
      <c r="F673">
        <v>0.37567256199999999</v>
      </c>
      <c r="G673">
        <v>0.80878726000000001</v>
      </c>
      <c r="H673">
        <v>1.4774411700000001</v>
      </c>
      <c r="I673">
        <v>2.1529352980000001</v>
      </c>
      <c r="J673">
        <v>2.7872727980000001</v>
      </c>
      <c r="K673">
        <v>4.8282685680000004</v>
      </c>
      <c r="L673">
        <v>6.7241240189999996</v>
      </c>
      <c r="M673">
        <v>7.8652889530000003</v>
      </c>
      <c r="N673">
        <v>8.6213250699999993</v>
      </c>
      <c r="O673">
        <v>9.2972889760000008</v>
      </c>
      <c r="P673">
        <v>9.9972752549999999</v>
      </c>
      <c r="Q673">
        <v>10.51731111</v>
      </c>
    </row>
    <row r="674" spans="1:17" x14ac:dyDescent="0.25">
      <c r="A674" t="s">
        <v>5</v>
      </c>
      <c r="B674" t="s">
        <v>6</v>
      </c>
      <c r="C674" t="s">
        <v>258</v>
      </c>
      <c r="D674" t="s">
        <v>206</v>
      </c>
      <c r="E674" t="s">
        <v>166</v>
      </c>
      <c r="F674">
        <v>1.6822295309999999</v>
      </c>
      <c r="G674">
        <v>2.323350998</v>
      </c>
      <c r="H674">
        <v>2.9587925400000001</v>
      </c>
      <c r="I674">
        <v>3.5524660130000001</v>
      </c>
      <c r="J674">
        <v>3.9589771009999999</v>
      </c>
      <c r="K674">
        <v>5.0879254600000001</v>
      </c>
      <c r="L674">
        <v>6.0436514800000003</v>
      </c>
      <c r="M674">
        <v>6.6404449999999997</v>
      </c>
      <c r="N674">
        <v>7.1659239179999998</v>
      </c>
      <c r="O674">
        <v>7.7070068599999999</v>
      </c>
      <c r="P674">
        <v>8.3009214480000004</v>
      </c>
      <c r="Q674">
        <v>8.7756145520000004</v>
      </c>
    </row>
    <row r="675" spans="1:17" x14ac:dyDescent="0.25">
      <c r="A675" t="s">
        <v>5</v>
      </c>
      <c r="B675" t="s">
        <v>6</v>
      </c>
      <c r="C675" t="s">
        <v>258</v>
      </c>
      <c r="D675" t="s">
        <v>207</v>
      </c>
      <c r="E675" t="s">
        <v>166</v>
      </c>
      <c r="F675">
        <v>9.6613899999999997E-4</v>
      </c>
      <c r="G675">
        <v>0.13246886899999999</v>
      </c>
      <c r="H675">
        <v>0.36078898700000001</v>
      </c>
      <c r="I675">
        <v>0.36194447400000002</v>
      </c>
      <c r="J675">
        <v>0.36213714899999999</v>
      </c>
      <c r="K675">
        <v>0.33939678200000001</v>
      </c>
      <c r="L675">
        <v>0.20348686699999999</v>
      </c>
      <c r="M675">
        <v>5.0052811000000003E-2</v>
      </c>
      <c r="N675">
        <v>6.8804300000000005E-4</v>
      </c>
      <c r="O675">
        <v>3.1759900000000001E-4</v>
      </c>
      <c r="P675">
        <v>3.1067009999999999E-3</v>
      </c>
      <c r="Q675">
        <v>7.2215669999999999E-3</v>
      </c>
    </row>
    <row r="676" spans="1:17" x14ac:dyDescent="0.25">
      <c r="A676" t="s">
        <v>5</v>
      </c>
      <c r="B676" t="s">
        <v>6</v>
      </c>
      <c r="C676" t="s">
        <v>258</v>
      </c>
      <c r="D676" t="s">
        <v>208</v>
      </c>
      <c r="E676" t="s">
        <v>166</v>
      </c>
      <c r="F676">
        <v>33.000674830000001</v>
      </c>
      <c r="G676">
        <v>37.658093149999999</v>
      </c>
      <c r="H676">
        <v>43.626367930000001</v>
      </c>
      <c r="I676">
        <v>48.576878489999999</v>
      </c>
      <c r="J676">
        <v>52.39594159</v>
      </c>
      <c r="K676">
        <v>54.524272840000002</v>
      </c>
      <c r="L676">
        <v>58.667282139999998</v>
      </c>
      <c r="M676">
        <v>61.861003230000001</v>
      </c>
      <c r="N676">
        <v>63.313691009999999</v>
      </c>
      <c r="O676">
        <v>64.847703460000005</v>
      </c>
      <c r="P676">
        <v>66.88321071</v>
      </c>
      <c r="Q676">
        <v>68.097354109999998</v>
      </c>
    </row>
    <row r="677" spans="1:17" x14ac:dyDescent="0.25">
      <c r="A677" t="s">
        <v>5</v>
      </c>
      <c r="B677" t="s">
        <v>6</v>
      </c>
      <c r="C677" t="s">
        <v>258</v>
      </c>
      <c r="D677" t="s">
        <v>209</v>
      </c>
      <c r="E677" t="s">
        <v>166</v>
      </c>
      <c r="F677">
        <v>106.3458303</v>
      </c>
      <c r="G677">
        <v>121.74863550000001</v>
      </c>
      <c r="H677">
        <v>141.09180649999999</v>
      </c>
      <c r="I677">
        <v>157.45107329999999</v>
      </c>
      <c r="J677">
        <v>170.07097450000001</v>
      </c>
      <c r="K677">
        <v>177.77721729999999</v>
      </c>
      <c r="L677">
        <v>192.15793239999999</v>
      </c>
      <c r="M677">
        <v>203.547484</v>
      </c>
      <c r="N677">
        <v>209.56503000000001</v>
      </c>
      <c r="O677">
        <v>216.089944</v>
      </c>
      <c r="P677">
        <v>224.63023380000001</v>
      </c>
      <c r="Q677">
        <v>230.57368450000001</v>
      </c>
    </row>
    <row r="678" spans="1:17" x14ac:dyDescent="0.25">
      <c r="A678" t="s">
        <v>5</v>
      </c>
      <c r="B678" t="s">
        <v>6</v>
      </c>
      <c r="C678" t="s">
        <v>258</v>
      </c>
      <c r="D678" t="s">
        <v>210</v>
      </c>
      <c r="E678" t="s">
        <v>166</v>
      </c>
      <c r="F678">
        <v>17.594759010000001</v>
      </c>
      <c r="G678">
        <v>20.339555090000001</v>
      </c>
      <c r="H678">
        <v>23.69053302</v>
      </c>
      <c r="I678">
        <v>26.76948213</v>
      </c>
      <c r="J678">
        <v>29.176894659999999</v>
      </c>
      <c r="K678">
        <v>30.93030581</v>
      </c>
      <c r="L678">
        <v>33.778169859999998</v>
      </c>
      <c r="M678">
        <v>36.156764950000003</v>
      </c>
      <c r="N678">
        <v>37.981563059999999</v>
      </c>
      <c r="O678">
        <v>40.021611569999997</v>
      </c>
      <c r="P678">
        <v>42.53173778</v>
      </c>
      <c r="Q678">
        <v>44.600387009999999</v>
      </c>
    </row>
    <row r="679" spans="1:17" x14ac:dyDescent="0.25">
      <c r="A679" t="s">
        <v>5</v>
      </c>
      <c r="B679" t="s">
        <v>6</v>
      </c>
      <c r="C679" t="s">
        <v>258</v>
      </c>
      <c r="D679" t="s">
        <v>211</v>
      </c>
      <c r="E679" t="s">
        <v>166</v>
      </c>
      <c r="F679">
        <v>11.86168758</v>
      </c>
      <c r="G679">
        <v>13.82220367</v>
      </c>
      <c r="H679">
        <v>16.108005970000001</v>
      </c>
      <c r="I679">
        <v>18.334671360000002</v>
      </c>
      <c r="J679">
        <v>20.086339689999999</v>
      </c>
      <c r="K679">
        <v>21.58384427</v>
      </c>
      <c r="L679">
        <v>23.868002260000001</v>
      </c>
      <c r="M679">
        <v>25.860984770000002</v>
      </c>
      <c r="N679">
        <v>27.604155500000001</v>
      </c>
      <c r="O679">
        <v>29.584362160000001</v>
      </c>
      <c r="P679">
        <v>32.019362729999997</v>
      </c>
      <c r="Q679">
        <v>34.171527189999999</v>
      </c>
    </row>
    <row r="680" spans="1:17" x14ac:dyDescent="0.25">
      <c r="A680" t="s">
        <v>5</v>
      </c>
      <c r="B680" t="s">
        <v>6</v>
      </c>
      <c r="C680" t="s">
        <v>258</v>
      </c>
      <c r="D680" t="s">
        <v>212</v>
      </c>
      <c r="E680" t="s">
        <v>166</v>
      </c>
      <c r="F680">
        <v>0.34551278200000002</v>
      </c>
      <c r="G680">
        <v>0.39666390499999998</v>
      </c>
      <c r="H680">
        <v>0.46195497200000002</v>
      </c>
      <c r="I680">
        <v>0.51733748199999996</v>
      </c>
      <c r="J680">
        <v>0.55987927699999995</v>
      </c>
      <c r="K680">
        <v>0.583831345</v>
      </c>
      <c r="L680">
        <v>0.62972925400000002</v>
      </c>
      <c r="M680">
        <v>0.66679085900000001</v>
      </c>
      <c r="N680">
        <v>0.68502974699999997</v>
      </c>
      <c r="O680">
        <v>0.70396771899999999</v>
      </c>
      <c r="P680">
        <v>0.72776922399999999</v>
      </c>
      <c r="Q680">
        <v>0.74224276</v>
      </c>
    </row>
    <row r="681" spans="1:17" x14ac:dyDescent="0.25">
      <c r="A681" t="s">
        <v>5</v>
      </c>
      <c r="B681" t="s">
        <v>6</v>
      </c>
      <c r="C681" t="s">
        <v>258</v>
      </c>
      <c r="D681" t="s">
        <v>213</v>
      </c>
      <c r="E681" t="s">
        <v>166</v>
      </c>
      <c r="F681">
        <v>0.23801439599999999</v>
      </c>
      <c r="G681">
        <v>0.23048159300000001</v>
      </c>
      <c r="H681">
        <v>0.26624864799999998</v>
      </c>
      <c r="I681">
        <v>0.426009305</v>
      </c>
      <c r="J681">
        <v>0.57101459499999996</v>
      </c>
      <c r="K681">
        <v>0.92923843500000003</v>
      </c>
      <c r="L681">
        <v>2.0181229539999999</v>
      </c>
      <c r="M681">
        <v>2.5462833950000001</v>
      </c>
      <c r="N681">
        <v>2.8169728369999998</v>
      </c>
      <c r="O681">
        <v>3.09692101</v>
      </c>
      <c r="P681">
        <v>3.606697794</v>
      </c>
      <c r="Q681">
        <v>4.5537676820000001</v>
      </c>
    </row>
    <row r="682" spans="1:17" x14ac:dyDescent="0.25">
      <c r="A682" t="s">
        <v>5</v>
      </c>
      <c r="B682" t="s">
        <v>6</v>
      </c>
      <c r="C682" t="s">
        <v>258</v>
      </c>
      <c r="D682" t="s">
        <v>214</v>
      </c>
      <c r="E682" t="s">
        <v>166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25">
      <c r="A683" t="s">
        <v>5</v>
      </c>
      <c r="B683" t="s">
        <v>6</v>
      </c>
      <c r="C683" t="s">
        <v>258</v>
      </c>
      <c r="D683" t="s">
        <v>215</v>
      </c>
      <c r="E683" t="s">
        <v>166</v>
      </c>
      <c r="F683">
        <v>1.890966E-3</v>
      </c>
      <c r="G683">
        <v>2.6420480000000001E-3</v>
      </c>
      <c r="H683">
        <v>3.269325E-3</v>
      </c>
      <c r="I683">
        <v>8.0996009999999997E-3</v>
      </c>
      <c r="J683">
        <v>1.2319011E-2</v>
      </c>
      <c r="K683">
        <v>1.2659011E-2</v>
      </c>
      <c r="L683">
        <v>1.4803785E-2</v>
      </c>
      <c r="M683">
        <v>1.399939E-2</v>
      </c>
      <c r="N683">
        <v>1.2375461000000001E-2</v>
      </c>
      <c r="O683">
        <v>1.1562347000000001E-2</v>
      </c>
      <c r="P683">
        <v>1.2518104E-2</v>
      </c>
      <c r="Q683">
        <v>1.5574901E-2</v>
      </c>
    </row>
    <row r="684" spans="1:17" x14ac:dyDescent="0.25">
      <c r="A684" t="s">
        <v>5</v>
      </c>
      <c r="B684" t="s">
        <v>6</v>
      </c>
      <c r="C684" t="s">
        <v>258</v>
      </c>
      <c r="D684" t="s">
        <v>216</v>
      </c>
      <c r="E684" t="s">
        <v>166</v>
      </c>
      <c r="F684">
        <v>5.4458320000000003E-3</v>
      </c>
      <c r="G684">
        <v>5.2645180000000001E-3</v>
      </c>
      <c r="H684">
        <v>6.0784760000000002E-3</v>
      </c>
      <c r="I684">
        <v>9.7187620000000006E-3</v>
      </c>
      <c r="J684">
        <v>1.2997541E-2</v>
      </c>
      <c r="K684">
        <v>2.1141614E-2</v>
      </c>
      <c r="L684">
        <v>4.6048124000000003E-2</v>
      </c>
      <c r="M684">
        <v>5.8118310999999999E-2</v>
      </c>
      <c r="N684">
        <v>6.4312069999999999E-2</v>
      </c>
      <c r="O684">
        <v>7.0734884999999997E-2</v>
      </c>
      <c r="P684">
        <v>8.2435353000000003E-2</v>
      </c>
      <c r="Q684">
        <v>0.10416539399999999</v>
      </c>
    </row>
    <row r="685" spans="1:17" x14ac:dyDescent="0.25">
      <c r="A685" t="s">
        <v>5</v>
      </c>
      <c r="B685" t="s">
        <v>6</v>
      </c>
      <c r="C685" t="s">
        <v>258</v>
      </c>
      <c r="D685" t="s">
        <v>217</v>
      </c>
      <c r="E685" t="s">
        <v>166</v>
      </c>
      <c r="F685" s="1">
        <v>2.4300000000000001E-5</v>
      </c>
      <c r="G685" s="1">
        <v>2.4600000000000002E-5</v>
      </c>
      <c r="H685" s="1">
        <v>8.6300000000000004E-6</v>
      </c>
      <c r="I685" s="1">
        <v>4.4700000000000002E-5</v>
      </c>
      <c r="J685" s="1">
        <v>8.4699999999999999E-5</v>
      </c>
      <c r="K685" s="1">
        <v>6.4800000000000003E-5</v>
      </c>
      <c r="L685" s="1">
        <v>3.6699999999999998E-5</v>
      </c>
      <c r="M685" s="1">
        <v>1.9599999999999999E-5</v>
      </c>
      <c r="N685" s="1">
        <v>5.5799999999999999E-6</v>
      </c>
      <c r="O685" s="1">
        <v>5.4499999999999997E-7</v>
      </c>
      <c r="P685" s="1">
        <v>1.4E-8</v>
      </c>
      <c r="Q685" s="1">
        <v>9.0900000000000004E-11</v>
      </c>
    </row>
    <row r="686" spans="1:17" x14ac:dyDescent="0.25">
      <c r="A686" t="s">
        <v>5</v>
      </c>
      <c r="B686" t="s">
        <v>6</v>
      </c>
      <c r="C686" t="s">
        <v>258</v>
      </c>
      <c r="D686" t="s">
        <v>218</v>
      </c>
      <c r="E686" t="s">
        <v>219</v>
      </c>
      <c r="F686">
        <v>4826.6733199999999</v>
      </c>
      <c r="G686">
        <v>4769.4202800000003</v>
      </c>
      <c r="H686">
        <v>4795.27628</v>
      </c>
      <c r="I686">
        <v>4760.0569599999999</v>
      </c>
      <c r="J686">
        <v>5310.2279200000003</v>
      </c>
      <c r="K686">
        <v>5667.1397800000004</v>
      </c>
      <c r="L686">
        <v>6148.0359799999997</v>
      </c>
      <c r="M686">
        <v>6606.0575600000002</v>
      </c>
      <c r="N686">
        <v>6969.7227800000001</v>
      </c>
      <c r="O686">
        <v>7248.9689399999997</v>
      </c>
      <c r="P686">
        <v>7461.9860200000003</v>
      </c>
      <c r="Q686">
        <v>7628.7094200000001</v>
      </c>
    </row>
    <row r="687" spans="1:17" x14ac:dyDescent="0.25">
      <c r="A687" t="s">
        <v>5</v>
      </c>
      <c r="B687" t="s">
        <v>6</v>
      </c>
      <c r="C687" t="s">
        <v>258</v>
      </c>
      <c r="D687" t="s">
        <v>220</v>
      </c>
      <c r="E687" t="s">
        <v>219</v>
      </c>
      <c r="F687">
        <v>1088.6304600000001</v>
      </c>
      <c r="G687">
        <v>1167.796</v>
      </c>
      <c r="H687">
        <v>1161.78494</v>
      </c>
      <c r="I687">
        <v>1180.0202200000001</v>
      </c>
      <c r="J687">
        <v>1258.7460799999999</v>
      </c>
      <c r="K687">
        <v>1312.0633600000001</v>
      </c>
      <c r="L687">
        <v>1383.7981199999999</v>
      </c>
      <c r="M687">
        <v>1437.5840599999999</v>
      </c>
      <c r="N687">
        <v>1506.5740000000001</v>
      </c>
      <c r="O687">
        <v>1605.5359599999999</v>
      </c>
      <c r="P687">
        <v>1711.2517800000001</v>
      </c>
      <c r="Q687">
        <v>1784.33798</v>
      </c>
    </row>
    <row r="688" spans="1:17" x14ac:dyDescent="0.25">
      <c r="A688" t="s">
        <v>5</v>
      </c>
      <c r="B688" t="s">
        <v>6</v>
      </c>
      <c r="C688" t="s">
        <v>258</v>
      </c>
      <c r="D688" t="s">
        <v>221</v>
      </c>
      <c r="E688" t="s">
        <v>219</v>
      </c>
      <c r="F688">
        <v>208.28979200000001</v>
      </c>
      <c r="G688">
        <v>195.244226</v>
      </c>
      <c r="H688">
        <v>206.05425199999999</v>
      </c>
      <c r="I688">
        <v>208.72314</v>
      </c>
      <c r="J688">
        <v>214.65488999999999</v>
      </c>
      <c r="K688">
        <v>216.32697400000001</v>
      </c>
      <c r="L688">
        <v>219.84734599999999</v>
      </c>
      <c r="M688">
        <v>217.15572</v>
      </c>
      <c r="N688">
        <v>211.54906199999999</v>
      </c>
      <c r="O688">
        <v>205.52614</v>
      </c>
      <c r="P688">
        <v>201.05296000000001</v>
      </c>
      <c r="Q688">
        <v>199.603182</v>
      </c>
    </row>
    <row r="689" spans="1:17" x14ac:dyDescent="0.25">
      <c r="A689" t="s">
        <v>5</v>
      </c>
      <c r="B689" t="s">
        <v>6</v>
      </c>
      <c r="C689" t="s">
        <v>258</v>
      </c>
      <c r="D689" t="s">
        <v>222</v>
      </c>
      <c r="E689" t="s">
        <v>223</v>
      </c>
      <c r="F689">
        <v>1062.3117970000001</v>
      </c>
      <c r="G689">
        <v>1039.2481459999999</v>
      </c>
      <c r="H689">
        <v>1205.5005530000001</v>
      </c>
      <c r="I689">
        <v>1355.801508</v>
      </c>
      <c r="J689">
        <v>1437.1517200000001</v>
      </c>
      <c r="K689">
        <v>1522.3965020000001</v>
      </c>
      <c r="L689">
        <v>1689.7088639999999</v>
      </c>
      <c r="M689">
        <v>1854.650142</v>
      </c>
      <c r="N689">
        <v>1984.1626100000001</v>
      </c>
      <c r="O689">
        <v>2106.9469239999999</v>
      </c>
      <c r="P689">
        <v>2216.8599340000001</v>
      </c>
      <c r="Q689">
        <v>2311.1437519999999</v>
      </c>
    </row>
    <row r="690" spans="1:17" x14ac:dyDescent="0.25">
      <c r="A690" t="s">
        <v>5</v>
      </c>
      <c r="B690" t="s">
        <v>6</v>
      </c>
      <c r="C690" t="s">
        <v>258</v>
      </c>
      <c r="D690" t="s">
        <v>224</v>
      </c>
      <c r="E690" t="s">
        <v>219</v>
      </c>
      <c r="F690">
        <v>419.78726999999998</v>
      </c>
      <c r="G690">
        <v>433.93451800000003</v>
      </c>
      <c r="H690">
        <v>464.49519600000002</v>
      </c>
      <c r="I690">
        <v>487.513104</v>
      </c>
      <c r="J690">
        <v>519.17582600000003</v>
      </c>
      <c r="K690">
        <v>545.23819000000003</v>
      </c>
      <c r="L690">
        <v>573.50625200000002</v>
      </c>
      <c r="M690">
        <v>582.09659399999998</v>
      </c>
      <c r="N690">
        <v>571.62104199999999</v>
      </c>
      <c r="O690">
        <v>551.26336000000003</v>
      </c>
      <c r="P690">
        <v>525.86051599999996</v>
      </c>
      <c r="Q690">
        <v>502.40151400000002</v>
      </c>
    </row>
    <row r="691" spans="1:17" x14ac:dyDescent="0.25">
      <c r="A691" t="s">
        <v>5</v>
      </c>
      <c r="B691" t="s">
        <v>6</v>
      </c>
      <c r="C691" t="s">
        <v>258</v>
      </c>
      <c r="D691" t="s">
        <v>225</v>
      </c>
      <c r="E691" t="s">
        <v>223</v>
      </c>
      <c r="F691">
        <v>775.09858599999995</v>
      </c>
      <c r="G691">
        <v>798.29670199999998</v>
      </c>
      <c r="H691">
        <v>828.07059000000004</v>
      </c>
      <c r="I691">
        <v>892.39806399999998</v>
      </c>
      <c r="J691">
        <v>979.51175999999998</v>
      </c>
      <c r="K691">
        <v>1083.4256479999999</v>
      </c>
      <c r="L691">
        <v>1200.7633659999999</v>
      </c>
      <c r="M691">
        <v>1323.1191759999999</v>
      </c>
      <c r="N691">
        <v>1427.6060560000001</v>
      </c>
      <c r="O691">
        <v>1522.179762</v>
      </c>
      <c r="P691">
        <v>1587.128686</v>
      </c>
      <c r="Q691">
        <v>1635.43514</v>
      </c>
    </row>
    <row r="692" spans="1:17" x14ac:dyDescent="0.25">
      <c r="A692" t="s">
        <v>5</v>
      </c>
      <c r="B692" t="s">
        <v>6</v>
      </c>
      <c r="C692" t="s">
        <v>258</v>
      </c>
      <c r="D692" t="s">
        <v>226</v>
      </c>
      <c r="E692" t="s">
        <v>219</v>
      </c>
      <c r="F692">
        <v>1006.884108</v>
      </c>
      <c r="G692">
        <v>1073.4250360000001</v>
      </c>
      <c r="H692">
        <v>1313.8310939999999</v>
      </c>
      <c r="I692">
        <v>1144.9218499999999</v>
      </c>
      <c r="J692">
        <v>1565.3613600000001</v>
      </c>
      <c r="K692">
        <v>1658.4215200000001</v>
      </c>
      <c r="L692">
        <v>1761.1252199999999</v>
      </c>
      <c r="M692">
        <v>1885.1184800000001</v>
      </c>
      <c r="N692">
        <v>2135.5409199999999</v>
      </c>
      <c r="O692">
        <v>2490.37842</v>
      </c>
      <c r="P692">
        <v>2848.8970800000002</v>
      </c>
      <c r="Q692">
        <v>3138.07728</v>
      </c>
    </row>
    <row r="693" spans="1:17" x14ac:dyDescent="0.25">
      <c r="A693" t="s">
        <v>5</v>
      </c>
      <c r="B693" t="s">
        <v>6</v>
      </c>
      <c r="C693" t="s">
        <v>258</v>
      </c>
      <c r="D693" t="s">
        <v>227</v>
      </c>
      <c r="E693" t="s">
        <v>223</v>
      </c>
      <c r="F693">
        <v>96.303416619999993</v>
      </c>
      <c r="G693">
        <v>97.363186650000003</v>
      </c>
      <c r="H693">
        <v>111.1211624</v>
      </c>
      <c r="I693">
        <v>127.90581589999999</v>
      </c>
      <c r="J693">
        <v>164.86714929999999</v>
      </c>
      <c r="K693">
        <v>172.18663889999999</v>
      </c>
      <c r="L693">
        <v>181.27744269999999</v>
      </c>
      <c r="M693">
        <v>192.37959620000001</v>
      </c>
      <c r="N693">
        <v>208.5791759</v>
      </c>
      <c r="O693">
        <v>226.88560870000001</v>
      </c>
      <c r="P693">
        <v>243.69362480000001</v>
      </c>
      <c r="Q693">
        <v>256.9860554</v>
      </c>
    </row>
    <row r="694" spans="1:17" x14ac:dyDescent="0.25">
      <c r="A694" t="s">
        <v>5</v>
      </c>
      <c r="B694" t="s">
        <v>6</v>
      </c>
      <c r="C694" t="s">
        <v>258</v>
      </c>
      <c r="D694" t="s">
        <v>228</v>
      </c>
      <c r="E694" t="s">
        <v>223</v>
      </c>
      <c r="F694">
        <v>16015.796850000001</v>
      </c>
      <c r="G694">
        <v>14469.61659</v>
      </c>
      <c r="H694">
        <v>14085.349190000001</v>
      </c>
      <c r="I694">
        <v>15497.81997</v>
      </c>
      <c r="J694">
        <v>16065.3729</v>
      </c>
      <c r="K694">
        <v>16650.402389999999</v>
      </c>
      <c r="L694">
        <v>17576.82834</v>
      </c>
      <c r="M694">
        <v>18788.12803</v>
      </c>
      <c r="N694">
        <v>19952.729350000001</v>
      </c>
      <c r="O694">
        <v>20891.63076</v>
      </c>
      <c r="P694">
        <v>21810.94728</v>
      </c>
      <c r="Q694">
        <v>22621.30415</v>
      </c>
    </row>
    <row r="695" spans="1:17" x14ac:dyDescent="0.25">
      <c r="A695" t="s">
        <v>5</v>
      </c>
      <c r="B695" t="s">
        <v>6</v>
      </c>
      <c r="C695" t="s">
        <v>258</v>
      </c>
      <c r="D695" t="s">
        <v>229</v>
      </c>
      <c r="E695" t="s">
        <v>230</v>
      </c>
      <c r="F695">
        <v>220.64515249999999</v>
      </c>
      <c r="G695">
        <v>221.98875770000001</v>
      </c>
      <c r="H695">
        <v>221.7792475</v>
      </c>
      <c r="I695">
        <v>221.0497695</v>
      </c>
      <c r="J695">
        <v>220.44206460000001</v>
      </c>
      <c r="K695">
        <v>219.75547549999999</v>
      </c>
      <c r="L695">
        <v>218.71720999999999</v>
      </c>
      <c r="M695">
        <v>217.4014555</v>
      </c>
      <c r="N695">
        <v>215.8632523</v>
      </c>
      <c r="O695">
        <v>214.0362226</v>
      </c>
      <c r="P695">
        <v>211.8332049</v>
      </c>
      <c r="Q695">
        <v>209.60954670000001</v>
      </c>
    </row>
    <row r="696" spans="1:17" x14ac:dyDescent="0.25">
      <c r="A696" t="s">
        <v>5</v>
      </c>
      <c r="B696" t="s">
        <v>6</v>
      </c>
      <c r="C696" t="s">
        <v>258</v>
      </c>
      <c r="D696" t="s">
        <v>231</v>
      </c>
      <c r="E696" t="s">
        <v>230</v>
      </c>
      <c r="F696">
        <v>234.79999190000001</v>
      </c>
      <c r="G696">
        <v>242.11624280000001</v>
      </c>
      <c r="H696">
        <v>248.01297450000001</v>
      </c>
      <c r="I696">
        <v>254.05883829999999</v>
      </c>
      <c r="J696">
        <v>259.77010910000001</v>
      </c>
      <c r="K696">
        <v>264.93153289999998</v>
      </c>
      <c r="L696">
        <v>269.60201710000001</v>
      </c>
      <c r="M696">
        <v>273.81130810000002</v>
      </c>
      <c r="N696">
        <v>277.4660169</v>
      </c>
      <c r="O696">
        <v>280.44320770000002</v>
      </c>
      <c r="P696">
        <v>282.68253429999999</v>
      </c>
      <c r="Q696">
        <v>284.14251350000001</v>
      </c>
    </row>
    <row r="697" spans="1:17" x14ac:dyDescent="0.25">
      <c r="A697" t="s">
        <v>5</v>
      </c>
      <c r="B697" t="s">
        <v>6</v>
      </c>
      <c r="C697" t="s">
        <v>258</v>
      </c>
      <c r="D697" t="s">
        <v>232</v>
      </c>
      <c r="E697" t="s">
        <v>230</v>
      </c>
      <c r="F697">
        <v>139.24445549999999</v>
      </c>
      <c r="G697">
        <v>143.57219950000001</v>
      </c>
      <c r="H697">
        <v>148.24645799999999</v>
      </c>
      <c r="I697">
        <v>153.56367180000001</v>
      </c>
      <c r="J697">
        <v>158.32236739999999</v>
      </c>
      <c r="K697">
        <v>162.37432269999999</v>
      </c>
      <c r="L697">
        <v>165.9450875</v>
      </c>
      <c r="M697">
        <v>169.10900280000001</v>
      </c>
      <c r="N697">
        <v>171.82215070000001</v>
      </c>
      <c r="O697">
        <v>174.0333699</v>
      </c>
      <c r="P697">
        <v>175.70852160000001</v>
      </c>
      <c r="Q697">
        <v>176.78643349999999</v>
      </c>
    </row>
    <row r="698" spans="1:17" x14ac:dyDescent="0.25">
      <c r="A698" t="s">
        <v>5</v>
      </c>
      <c r="B698" t="s">
        <v>6</v>
      </c>
      <c r="C698" t="s">
        <v>258</v>
      </c>
      <c r="D698" t="s">
        <v>233</v>
      </c>
      <c r="E698" t="s">
        <v>27</v>
      </c>
      <c r="F698">
        <v>57.586910690000003</v>
      </c>
      <c r="G698">
        <v>29.530129280000001</v>
      </c>
      <c r="H698">
        <v>50.077271160000002</v>
      </c>
      <c r="I698">
        <v>43.440220109999998</v>
      </c>
      <c r="J698">
        <v>51.210076559999997</v>
      </c>
      <c r="K698">
        <v>51.099957430000003</v>
      </c>
      <c r="L698">
        <v>51.123445769999996</v>
      </c>
      <c r="M698">
        <v>46.469279020000002</v>
      </c>
      <c r="N698">
        <v>41.752014520000003</v>
      </c>
      <c r="O698">
        <v>37.853114390000002</v>
      </c>
      <c r="P698">
        <v>34.923890309999997</v>
      </c>
      <c r="Q698">
        <v>32.722618529999998</v>
      </c>
    </row>
    <row r="699" spans="1:17" x14ac:dyDescent="0.25">
      <c r="A699" t="s">
        <v>5</v>
      </c>
      <c r="B699" t="s">
        <v>6</v>
      </c>
      <c r="C699" t="s">
        <v>258</v>
      </c>
      <c r="D699" t="s">
        <v>234</v>
      </c>
      <c r="E699" t="s">
        <v>27</v>
      </c>
      <c r="F699">
        <v>855.07098810000002</v>
      </c>
      <c r="G699">
        <v>562.76025849999996</v>
      </c>
      <c r="H699">
        <v>802.32435280000004</v>
      </c>
      <c r="I699">
        <v>678.5162924</v>
      </c>
      <c r="J699">
        <v>774.42196869999998</v>
      </c>
      <c r="K699">
        <v>772.28857500000004</v>
      </c>
      <c r="L699">
        <v>740.86457680000001</v>
      </c>
      <c r="M699">
        <v>707.90070449999996</v>
      </c>
      <c r="N699">
        <v>657.08550439999999</v>
      </c>
      <c r="O699">
        <v>605.77447540000003</v>
      </c>
      <c r="P699">
        <v>577.5392233</v>
      </c>
      <c r="Q699">
        <v>563.27092740000001</v>
      </c>
    </row>
    <row r="700" spans="1:17" x14ac:dyDescent="0.25">
      <c r="A700" t="s">
        <v>5</v>
      </c>
      <c r="B700" t="s">
        <v>6</v>
      </c>
      <c r="C700" t="s">
        <v>258</v>
      </c>
      <c r="D700" t="s">
        <v>235</v>
      </c>
      <c r="E700" t="s">
        <v>27</v>
      </c>
      <c r="F700">
        <v>3.3901181829999998</v>
      </c>
      <c r="G700">
        <v>1.830442747</v>
      </c>
      <c r="H700">
        <v>3.2667632910000002</v>
      </c>
      <c r="I700">
        <v>2.9941967360000001</v>
      </c>
      <c r="J700">
        <v>4.8679316950000002</v>
      </c>
      <c r="K700">
        <v>5.0791413270000003</v>
      </c>
      <c r="L700">
        <v>5.0607282759999999</v>
      </c>
      <c r="M700">
        <v>3.8343802710000001</v>
      </c>
      <c r="N700">
        <v>3.7672952419999999</v>
      </c>
      <c r="O700">
        <v>4.003855347</v>
      </c>
      <c r="P700">
        <v>3.8900922539999998</v>
      </c>
      <c r="Q700">
        <v>3.4903692340000001</v>
      </c>
    </row>
    <row r="701" spans="1:17" x14ac:dyDescent="0.25">
      <c r="A701" t="s">
        <v>5</v>
      </c>
      <c r="B701" t="s">
        <v>6</v>
      </c>
      <c r="C701" t="s">
        <v>258</v>
      </c>
      <c r="D701" t="s">
        <v>236</v>
      </c>
      <c r="E701" t="s">
        <v>27</v>
      </c>
      <c r="F701">
        <v>1.748887871</v>
      </c>
      <c r="G701">
        <v>1.2366619080000001</v>
      </c>
      <c r="H701">
        <v>1.982841919</v>
      </c>
      <c r="I701">
        <v>1.899411478</v>
      </c>
      <c r="J701">
        <v>2.9645847710000002</v>
      </c>
      <c r="K701">
        <v>3.6281132719999998</v>
      </c>
      <c r="L701">
        <v>3.4294268040000002</v>
      </c>
      <c r="M701">
        <v>2.6541989130000001</v>
      </c>
      <c r="N701">
        <v>2.8120871730000001</v>
      </c>
      <c r="O701">
        <v>3.1617782509999999</v>
      </c>
      <c r="P701">
        <v>3.2075320189999998</v>
      </c>
      <c r="Q701">
        <v>2.9787760300000001</v>
      </c>
    </row>
    <row r="702" spans="1:17" x14ac:dyDescent="0.25">
      <c r="A702" t="s">
        <v>5</v>
      </c>
      <c r="B702" t="s">
        <v>6</v>
      </c>
      <c r="C702" t="s">
        <v>258</v>
      </c>
      <c r="D702" t="s">
        <v>237</v>
      </c>
      <c r="E702" t="s">
        <v>27</v>
      </c>
      <c r="F702">
        <v>4.4297379079999999</v>
      </c>
      <c r="G702">
        <v>2.8056635409999999</v>
      </c>
      <c r="H702">
        <v>4.045698485</v>
      </c>
      <c r="I702">
        <v>3.4638570070000001</v>
      </c>
      <c r="J702">
        <v>3.9458021589999999</v>
      </c>
      <c r="K702">
        <v>3.5803440649999998</v>
      </c>
      <c r="L702">
        <v>3.2273509229999999</v>
      </c>
      <c r="M702">
        <v>2.7363458939999998</v>
      </c>
      <c r="N702">
        <v>2.297421452</v>
      </c>
      <c r="O702">
        <v>1.905983199</v>
      </c>
      <c r="P702">
        <v>1.6915553169999999</v>
      </c>
      <c r="Q702">
        <v>1.5607474569999999</v>
      </c>
    </row>
    <row r="703" spans="1:17" x14ac:dyDescent="0.25">
      <c r="A703" t="s">
        <v>5</v>
      </c>
      <c r="B703" t="s">
        <v>6</v>
      </c>
      <c r="C703" t="s">
        <v>258</v>
      </c>
      <c r="D703" t="s">
        <v>238</v>
      </c>
      <c r="E703" t="s">
        <v>27</v>
      </c>
      <c r="F703">
        <v>29.402659369999999</v>
      </c>
      <c r="G703">
        <v>16.33555548</v>
      </c>
      <c r="H703">
        <v>25.836400709999999</v>
      </c>
      <c r="I703">
        <v>18.289904450000002</v>
      </c>
      <c r="J703">
        <v>24.22355112</v>
      </c>
      <c r="K703">
        <v>24.065388859999999</v>
      </c>
      <c r="L703">
        <v>22.529711970000001</v>
      </c>
      <c r="M703">
        <v>20.76012875</v>
      </c>
      <c r="N703">
        <v>18.727758569999999</v>
      </c>
      <c r="O703">
        <v>16.547027499999999</v>
      </c>
      <c r="P703">
        <v>14.980914840000001</v>
      </c>
      <c r="Q703">
        <v>14.323041310000001</v>
      </c>
    </row>
    <row r="704" spans="1:17" x14ac:dyDescent="0.25">
      <c r="A704" t="s">
        <v>5</v>
      </c>
      <c r="B704" t="s">
        <v>6</v>
      </c>
      <c r="C704" t="s">
        <v>258</v>
      </c>
      <c r="D704" t="s">
        <v>239</v>
      </c>
      <c r="E704" t="s">
        <v>27</v>
      </c>
      <c r="F704">
        <v>32.691537420000003</v>
      </c>
      <c r="G704">
        <v>35.256799309999998</v>
      </c>
      <c r="H704">
        <v>39.928282279999998</v>
      </c>
      <c r="I704">
        <v>38.627553329999998</v>
      </c>
      <c r="J704">
        <v>44.544011099999999</v>
      </c>
      <c r="K704">
        <v>49.70311736</v>
      </c>
      <c r="L704">
        <v>53.229001259999997</v>
      </c>
      <c r="M704">
        <v>56.906471289999999</v>
      </c>
      <c r="N704">
        <v>61.103907800000002</v>
      </c>
      <c r="O704">
        <v>64.967456979999994</v>
      </c>
      <c r="P704">
        <v>68.901295300000001</v>
      </c>
      <c r="Q704">
        <v>72.106890530000001</v>
      </c>
    </row>
    <row r="705" spans="1:17" x14ac:dyDescent="0.25">
      <c r="A705" t="s">
        <v>5</v>
      </c>
      <c r="B705" t="s">
        <v>6</v>
      </c>
      <c r="C705" t="s">
        <v>258</v>
      </c>
      <c r="D705" t="s">
        <v>240</v>
      </c>
      <c r="E705" t="s">
        <v>27</v>
      </c>
      <c r="F705">
        <v>19.392607160000001</v>
      </c>
      <c r="G705">
        <v>22.73278329</v>
      </c>
      <c r="H705">
        <v>23.315906420000001</v>
      </c>
      <c r="I705">
        <v>32.764445510000002</v>
      </c>
      <c r="J705">
        <v>49.519506100000001</v>
      </c>
      <c r="K705">
        <v>75.649316260000006</v>
      </c>
      <c r="L705">
        <v>102.8163302</v>
      </c>
      <c r="M705">
        <v>130.5225896</v>
      </c>
      <c r="N705">
        <v>157.96436069999999</v>
      </c>
      <c r="O705">
        <v>182.53607740000001</v>
      </c>
      <c r="P705">
        <v>192.83711719999999</v>
      </c>
      <c r="Q705">
        <v>199.71602089999999</v>
      </c>
    </row>
    <row r="706" spans="1:17" x14ac:dyDescent="0.25">
      <c r="A706" t="s">
        <v>5</v>
      </c>
      <c r="B706" t="s">
        <v>6</v>
      </c>
      <c r="C706" t="s">
        <v>258</v>
      </c>
      <c r="D706" t="s">
        <v>241</v>
      </c>
      <c r="E706" t="s">
        <v>27</v>
      </c>
      <c r="F706">
        <v>3.0452814049999999</v>
      </c>
      <c r="G706">
        <v>3.4678183850000002</v>
      </c>
      <c r="H706">
        <v>3.7098176500000002</v>
      </c>
      <c r="I706">
        <v>3.6477042200000001</v>
      </c>
      <c r="J706">
        <v>4.1359459809999999</v>
      </c>
      <c r="K706">
        <v>4.8981228520000002</v>
      </c>
      <c r="L706">
        <v>5.5903275179999996</v>
      </c>
      <c r="M706">
        <v>6.295477108</v>
      </c>
      <c r="N706">
        <v>7.0829381189999996</v>
      </c>
      <c r="O706">
        <v>7.7411364039999997</v>
      </c>
      <c r="P706">
        <v>8.3597058610000001</v>
      </c>
      <c r="Q706">
        <v>8.8583918169999993</v>
      </c>
    </row>
    <row r="707" spans="1:17" x14ac:dyDescent="0.25">
      <c r="A707" t="s">
        <v>5</v>
      </c>
      <c r="B707" t="s">
        <v>6</v>
      </c>
      <c r="C707" t="s">
        <v>258</v>
      </c>
      <c r="D707" t="s">
        <v>242</v>
      </c>
      <c r="E707" t="s">
        <v>27</v>
      </c>
      <c r="F707">
        <v>0.78515541099999997</v>
      </c>
      <c r="G707">
        <v>0.96936650700000004</v>
      </c>
      <c r="H707">
        <v>1.001094154</v>
      </c>
      <c r="I707">
        <v>1.142882897</v>
      </c>
      <c r="J707">
        <v>1.2570355639999999</v>
      </c>
      <c r="K707">
        <v>1.565775151</v>
      </c>
      <c r="L707">
        <v>2.0090853499999999</v>
      </c>
      <c r="M707">
        <v>2.4697660090000002</v>
      </c>
      <c r="N707">
        <v>2.8478998209999999</v>
      </c>
      <c r="O707">
        <v>3.1591056700000002</v>
      </c>
      <c r="P707">
        <v>3.4584436909999998</v>
      </c>
      <c r="Q707">
        <v>3.7249482490000001</v>
      </c>
    </row>
    <row r="708" spans="1:17" x14ac:dyDescent="0.25">
      <c r="A708" t="s">
        <v>5</v>
      </c>
      <c r="B708" t="s">
        <v>6</v>
      </c>
      <c r="C708" t="s">
        <v>258</v>
      </c>
      <c r="D708" t="s">
        <v>243</v>
      </c>
      <c r="E708" t="s">
        <v>27</v>
      </c>
      <c r="F708">
        <v>0.49436793400000001</v>
      </c>
      <c r="G708">
        <v>0.57289395399999998</v>
      </c>
      <c r="H708">
        <v>0.60143217599999999</v>
      </c>
      <c r="I708">
        <v>0.67921393699999999</v>
      </c>
      <c r="J708">
        <v>0.825266579</v>
      </c>
      <c r="K708">
        <v>0.98164719199999995</v>
      </c>
      <c r="L708">
        <v>1.088331419</v>
      </c>
      <c r="M708">
        <v>1.1315445879999999</v>
      </c>
      <c r="N708">
        <v>1.0984566650000001</v>
      </c>
      <c r="O708">
        <v>1.0049853719999999</v>
      </c>
      <c r="P708">
        <v>1.0267131869999999</v>
      </c>
      <c r="Q708">
        <v>1.064619872</v>
      </c>
    </row>
    <row r="709" spans="1:17" x14ac:dyDescent="0.25">
      <c r="A709" t="s">
        <v>5</v>
      </c>
      <c r="B709" t="s">
        <v>6</v>
      </c>
      <c r="C709" t="s">
        <v>258</v>
      </c>
      <c r="D709" t="s">
        <v>244</v>
      </c>
      <c r="E709" t="s">
        <v>27</v>
      </c>
      <c r="F709">
        <v>3.1002452190000001</v>
      </c>
      <c r="G709">
        <v>3.3062664919999998</v>
      </c>
      <c r="H709">
        <v>3.7904505300000002</v>
      </c>
      <c r="I709">
        <v>4.290187875</v>
      </c>
      <c r="J709">
        <v>4.5279565079999999</v>
      </c>
      <c r="K709">
        <v>5.10578602</v>
      </c>
      <c r="L709">
        <v>5.6240481710000001</v>
      </c>
      <c r="M709">
        <v>6.0491750690000003</v>
      </c>
      <c r="N709">
        <v>6.3559199</v>
      </c>
      <c r="O709">
        <v>6.5507115379999998</v>
      </c>
      <c r="P709">
        <v>6.8010888029999998</v>
      </c>
      <c r="Q709">
        <v>7.0243358550000004</v>
      </c>
    </row>
    <row r="710" spans="1:17" x14ac:dyDescent="0.25">
      <c r="A710" t="s">
        <v>5</v>
      </c>
      <c r="B710" t="s">
        <v>6</v>
      </c>
      <c r="C710" t="s">
        <v>258</v>
      </c>
      <c r="D710" t="s">
        <v>245</v>
      </c>
      <c r="E710" t="s">
        <v>27</v>
      </c>
      <c r="F710">
        <v>1.690827812</v>
      </c>
      <c r="G710">
        <v>1.9311878549999999</v>
      </c>
      <c r="H710">
        <v>2.024044994</v>
      </c>
      <c r="I710">
        <v>2.7777034500000002</v>
      </c>
      <c r="J710">
        <v>3.3681891610000001</v>
      </c>
      <c r="K710">
        <v>4.8815896959999998</v>
      </c>
      <c r="L710">
        <v>6.4844750580000001</v>
      </c>
      <c r="M710">
        <v>8.2659619600000003</v>
      </c>
      <c r="N710">
        <v>10.226060540000001</v>
      </c>
      <c r="O710">
        <v>12.13436911</v>
      </c>
      <c r="P710">
        <v>12.974756299999999</v>
      </c>
      <c r="Q710">
        <v>13.52791787</v>
      </c>
    </row>
    <row r="711" spans="1:17" x14ac:dyDescent="0.25">
      <c r="A711" t="s">
        <v>5</v>
      </c>
      <c r="B711" t="s">
        <v>6</v>
      </c>
      <c r="C711" t="s">
        <v>258</v>
      </c>
      <c r="D711" t="s">
        <v>246</v>
      </c>
      <c r="E711" t="s">
        <v>27</v>
      </c>
      <c r="F711">
        <v>0</v>
      </c>
      <c r="G711">
        <v>0</v>
      </c>
      <c r="H711">
        <v>0</v>
      </c>
      <c r="I711">
        <v>1.891886414</v>
      </c>
      <c r="J711">
        <v>16.403420520000001</v>
      </c>
      <c r="K711">
        <v>35.107900370000003</v>
      </c>
      <c r="L711">
        <v>56.17020351</v>
      </c>
      <c r="M711">
        <v>79.472072470000001</v>
      </c>
      <c r="N711">
        <v>104.8478799</v>
      </c>
      <c r="O711">
        <v>129.395016</v>
      </c>
      <c r="P711">
        <v>137.90222940000001</v>
      </c>
      <c r="Q711">
        <v>142.81161499999999</v>
      </c>
    </row>
    <row r="712" spans="1:17" x14ac:dyDescent="0.25">
      <c r="A712" t="s">
        <v>5</v>
      </c>
      <c r="B712" t="s">
        <v>6</v>
      </c>
      <c r="C712" t="s">
        <v>258</v>
      </c>
      <c r="D712" t="s">
        <v>247</v>
      </c>
      <c r="E712" t="s">
        <v>27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25">
      <c r="A713" t="s">
        <v>5</v>
      </c>
      <c r="B713" t="s">
        <v>6</v>
      </c>
      <c r="C713" t="s">
        <v>258</v>
      </c>
      <c r="D713" t="s">
        <v>248</v>
      </c>
      <c r="E713" t="s">
        <v>27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x14ac:dyDescent="0.25">
      <c r="A714" t="s">
        <v>5</v>
      </c>
      <c r="B714" t="s">
        <v>6</v>
      </c>
      <c r="C714" t="s">
        <v>258</v>
      </c>
      <c r="D714" t="s">
        <v>249</v>
      </c>
      <c r="E714" t="s">
        <v>27</v>
      </c>
      <c r="F714">
        <v>8.7988211999999996E-2</v>
      </c>
      <c r="G714">
        <v>9.9386323999999998E-2</v>
      </c>
      <c r="H714">
        <v>0.10579773200000001</v>
      </c>
      <c r="I714">
        <v>0.17622570300000001</v>
      </c>
      <c r="J714">
        <v>0.43835386700000001</v>
      </c>
      <c r="K714">
        <v>0.839157072</v>
      </c>
      <c r="L714">
        <v>1.266079779</v>
      </c>
      <c r="M714">
        <v>1.741190392</v>
      </c>
      <c r="N714">
        <v>2.29026877</v>
      </c>
      <c r="O714">
        <v>2.8141699550000001</v>
      </c>
      <c r="P714">
        <v>3.007180027</v>
      </c>
      <c r="Q714">
        <v>3.1207142069999998</v>
      </c>
    </row>
    <row r="715" spans="1:17" x14ac:dyDescent="0.25">
      <c r="A715" t="s">
        <v>5</v>
      </c>
      <c r="B715" t="s">
        <v>6</v>
      </c>
      <c r="C715" t="s">
        <v>258</v>
      </c>
      <c r="D715" t="s">
        <v>250</v>
      </c>
      <c r="E715" t="s">
        <v>27</v>
      </c>
      <c r="F715">
        <v>1.3653592269999999</v>
      </c>
      <c r="G715">
        <v>1.4834935330000001</v>
      </c>
      <c r="H715">
        <v>1.6038257890000001</v>
      </c>
      <c r="I715">
        <v>2.075328002</v>
      </c>
      <c r="J715">
        <v>2.9364378790000001</v>
      </c>
      <c r="K715">
        <v>4.2994189580000004</v>
      </c>
      <c r="L715">
        <v>5.8032472850000003</v>
      </c>
      <c r="M715">
        <v>7.4366281000000001</v>
      </c>
      <c r="N715">
        <v>9.1866886300000008</v>
      </c>
      <c r="O715">
        <v>10.86404478</v>
      </c>
      <c r="P715">
        <v>11.482341030000001</v>
      </c>
      <c r="Q715">
        <v>11.853029749999999</v>
      </c>
    </row>
    <row r="716" spans="1:17" x14ac:dyDescent="0.25">
      <c r="A716" t="s">
        <v>5</v>
      </c>
      <c r="B716" t="s">
        <v>6</v>
      </c>
      <c r="C716" t="s">
        <v>258</v>
      </c>
      <c r="D716" t="s">
        <v>251</v>
      </c>
      <c r="E716" t="s">
        <v>27</v>
      </c>
      <c r="F716">
        <v>7.8934217850000001</v>
      </c>
      <c r="G716">
        <v>9.5013469829999995</v>
      </c>
      <c r="H716">
        <v>9.3847873590000006</v>
      </c>
      <c r="I716">
        <v>23.082861690000001</v>
      </c>
      <c r="J716">
        <v>9.2887560750000002</v>
      </c>
      <c r="K716">
        <v>9.2986574130000008</v>
      </c>
      <c r="L716">
        <v>8.7460526590000001</v>
      </c>
      <c r="M716">
        <v>8.1091140199999998</v>
      </c>
      <c r="N716">
        <v>7.2439174050000004</v>
      </c>
      <c r="O716">
        <v>6.3950832850000001</v>
      </c>
      <c r="P716">
        <v>6.8226631859999998</v>
      </c>
      <c r="Q716">
        <v>7.3265420480000003</v>
      </c>
    </row>
    <row r="717" spans="1:17" x14ac:dyDescent="0.25">
      <c r="A717" t="s">
        <v>5</v>
      </c>
      <c r="B717" t="s">
        <v>6</v>
      </c>
      <c r="C717" t="s">
        <v>258</v>
      </c>
      <c r="D717" t="s">
        <v>252</v>
      </c>
      <c r="E717" t="s">
        <v>27</v>
      </c>
      <c r="F717">
        <v>326.90394930000002</v>
      </c>
      <c r="G717">
        <v>404.45925699999998</v>
      </c>
      <c r="H717">
        <v>391.70351740000001</v>
      </c>
      <c r="I717">
        <v>501.79139550000002</v>
      </c>
      <c r="J717">
        <v>413.41323360000001</v>
      </c>
      <c r="K717">
        <v>404.9326203</v>
      </c>
      <c r="L717">
        <v>392.5443004</v>
      </c>
      <c r="M717">
        <v>377.17612450000001</v>
      </c>
      <c r="N717">
        <v>355.20181739999998</v>
      </c>
      <c r="O717">
        <v>333.87297189999998</v>
      </c>
      <c r="P717">
        <v>341.83699789999997</v>
      </c>
      <c r="Q717">
        <v>354.23935060000002</v>
      </c>
    </row>
    <row r="718" spans="1:17" x14ac:dyDescent="0.25">
      <c r="A718" t="s">
        <v>5</v>
      </c>
      <c r="B718" t="s">
        <v>6</v>
      </c>
      <c r="C718" t="s">
        <v>258</v>
      </c>
      <c r="D718" t="s">
        <v>253</v>
      </c>
      <c r="E718" t="s">
        <v>27</v>
      </c>
      <c r="F718">
        <v>0.47734010199999999</v>
      </c>
      <c r="G718">
        <v>0.56383887799999999</v>
      </c>
      <c r="H718">
        <v>0.60337654500000004</v>
      </c>
      <c r="I718">
        <v>1.946772336</v>
      </c>
      <c r="J718">
        <v>0.68019109600000005</v>
      </c>
      <c r="K718">
        <v>0.76722592199999995</v>
      </c>
      <c r="L718">
        <v>0.86263558299999998</v>
      </c>
      <c r="M718">
        <v>0.95678993000000001</v>
      </c>
      <c r="N718">
        <v>1.0720780169999999</v>
      </c>
      <c r="O718">
        <v>1.1870977250000001</v>
      </c>
      <c r="P718">
        <v>1.321581707</v>
      </c>
      <c r="Q718">
        <v>1.4205876500000001</v>
      </c>
    </row>
    <row r="719" spans="1:17" x14ac:dyDescent="0.25">
      <c r="A719" t="s">
        <v>5</v>
      </c>
      <c r="B719" t="s">
        <v>6</v>
      </c>
      <c r="C719" t="s">
        <v>258</v>
      </c>
      <c r="D719" t="s">
        <v>254</v>
      </c>
      <c r="E719" t="s">
        <v>27</v>
      </c>
      <c r="F719">
        <v>0.363595426</v>
      </c>
      <c r="G719">
        <v>0.45532191300000002</v>
      </c>
      <c r="H719">
        <v>0.474377247</v>
      </c>
      <c r="I719">
        <v>0.83391108400000002</v>
      </c>
      <c r="J719">
        <v>0.57183641399999996</v>
      </c>
      <c r="K719">
        <v>0.67135216799999997</v>
      </c>
      <c r="L719">
        <v>0.84890842799999999</v>
      </c>
      <c r="M719">
        <v>1.027251857</v>
      </c>
      <c r="N719">
        <v>1.153287918</v>
      </c>
      <c r="O719">
        <v>1.2527797009999999</v>
      </c>
      <c r="P719">
        <v>1.393965648</v>
      </c>
      <c r="Q719">
        <v>1.5276055470000001</v>
      </c>
    </row>
    <row r="720" spans="1:17" x14ac:dyDescent="0.25">
      <c r="A720" t="s">
        <v>5</v>
      </c>
      <c r="B720" t="s">
        <v>6</v>
      </c>
      <c r="C720" t="s">
        <v>258</v>
      </c>
      <c r="D720" t="s">
        <v>255</v>
      </c>
      <c r="E720" t="s">
        <v>27</v>
      </c>
      <c r="F720">
        <v>1.6173491579999999</v>
      </c>
      <c r="G720">
        <v>1.9588692489999999</v>
      </c>
      <c r="H720">
        <v>1.943981365</v>
      </c>
      <c r="I720">
        <v>2.5365232780000002</v>
      </c>
      <c r="J720">
        <v>1.710752354</v>
      </c>
      <c r="K720">
        <v>1.477563854</v>
      </c>
      <c r="L720">
        <v>1.180761733</v>
      </c>
      <c r="M720">
        <v>0.87870969399999999</v>
      </c>
      <c r="N720">
        <v>0.60655505600000004</v>
      </c>
      <c r="O720">
        <v>0.39732675099999998</v>
      </c>
      <c r="P720">
        <v>0.388430355</v>
      </c>
      <c r="Q720">
        <v>0.40404310199999999</v>
      </c>
    </row>
    <row r="721" spans="1:17" x14ac:dyDescent="0.25">
      <c r="A721" t="s">
        <v>5</v>
      </c>
      <c r="B721" t="s">
        <v>6</v>
      </c>
      <c r="C721" t="s">
        <v>258</v>
      </c>
      <c r="D721" t="s">
        <v>256</v>
      </c>
      <c r="E721" t="s">
        <v>27</v>
      </c>
      <c r="F721">
        <v>9.2023151740000007</v>
      </c>
      <c r="G721">
        <v>11.505341550000001</v>
      </c>
      <c r="H721">
        <v>10.80938166</v>
      </c>
      <c r="I721">
        <v>12.9628321</v>
      </c>
      <c r="J721">
        <v>10.98605006</v>
      </c>
      <c r="K721">
        <v>10.3203525</v>
      </c>
      <c r="L721">
        <v>9.572936189</v>
      </c>
      <c r="M721">
        <v>8.7469442920000002</v>
      </c>
      <c r="N721">
        <v>7.8495639849999996</v>
      </c>
      <c r="O721">
        <v>7.0568102509999999</v>
      </c>
      <c r="P721">
        <v>7.1978729179999998</v>
      </c>
      <c r="Q721">
        <v>7.4411824160000002</v>
      </c>
    </row>
    <row r="722" spans="1:17" x14ac:dyDescent="0.25">
      <c r="A722" t="s">
        <v>5</v>
      </c>
      <c r="B722" t="s">
        <v>6</v>
      </c>
      <c r="C722" t="s">
        <v>259</v>
      </c>
      <c r="D722" t="s">
        <v>8</v>
      </c>
      <c r="E722" t="s">
        <v>9</v>
      </c>
      <c r="F722">
        <v>2584.2776779999999</v>
      </c>
      <c r="G722">
        <v>1921.0139630000001</v>
      </c>
      <c r="H722">
        <v>2013.5300500000001</v>
      </c>
      <c r="I722">
        <v>2691.9157869999999</v>
      </c>
      <c r="J722">
        <v>3280.8155470000002</v>
      </c>
      <c r="K722">
        <v>3283.2190970000001</v>
      </c>
      <c r="L722">
        <v>3682.007842</v>
      </c>
      <c r="M722">
        <v>3865.8853559999998</v>
      </c>
      <c r="N722">
        <v>4153.579796</v>
      </c>
      <c r="O722">
        <v>4467.0788949999996</v>
      </c>
      <c r="P722">
        <v>4788.6279439999998</v>
      </c>
      <c r="Q722">
        <v>5090.3982699999997</v>
      </c>
    </row>
    <row r="723" spans="1:17" x14ac:dyDescent="0.25">
      <c r="A723" t="s">
        <v>5</v>
      </c>
      <c r="B723" t="s">
        <v>6</v>
      </c>
      <c r="C723" t="s">
        <v>259</v>
      </c>
      <c r="D723" t="s">
        <v>10</v>
      </c>
      <c r="E723" t="s">
        <v>9</v>
      </c>
      <c r="F723">
        <v>39.153023330000003</v>
      </c>
      <c r="G723">
        <v>30.710991679999999</v>
      </c>
      <c r="H723">
        <v>30.310857080000002</v>
      </c>
      <c r="I723">
        <v>39.499922290000001</v>
      </c>
      <c r="J723">
        <v>44.478051890000003</v>
      </c>
      <c r="K723">
        <v>43.15449349</v>
      </c>
      <c r="L723">
        <v>46.908336740000003</v>
      </c>
      <c r="M723">
        <v>44.946219550000002</v>
      </c>
      <c r="N723">
        <v>44.762915079999999</v>
      </c>
      <c r="O723">
        <v>44.820566059999997</v>
      </c>
      <c r="P723">
        <v>43.982127230000003</v>
      </c>
      <c r="Q723">
        <v>43.447681359999997</v>
      </c>
    </row>
    <row r="724" spans="1:17" x14ac:dyDescent="0.25">
      <c r="A724" t="s">
        <v>5</v>
      </c>
      <c r="B724" t="s">
        <v>6</v>
      </c>
      <c r="C724" t="s">
        <v>259</v>
      </c>
      <c r="D724" t="s">
        <v>11</v>
      </c>
      <c r="E724" t="s">
        <v>9</v>
      </c>
      <c r="F724">
        <v>6896.952636</v>
      </c>
      <c r="G724">
        <v>5971.8581899999999</v>
      </c>
      <c r="H724">
        <v>6226.4925240000002</v>
      </c>
      <c r="I724">
        <v>4740.1194530000002</v>
      </c>
      <c r="J724">
        <v>6286.0474299999996</v>
      </c>
      <c r="K724">
        <v>5302.7955199999997</v>
      </c>
      <c r="L724">
        <v>6117.0321160000003</v>
      </c>
      <c r="M724">
        <v>6121.6942749999998</v>
      </c>
      <c r="N724">
        <v>5740.6661109999995</v>
      </c>
      <c r="O724">
        <v>5598.6770500000002</v>
      </c>
      <c r="P724">
        <v>5234.0218359999999</v>
      </c>
      <c r="Q724">
        <v>5102.8885209999999</v>
      </c>
    </row>
    <row r="725" spans="1:17" x14ac:dyDescent="0.25">
      <c r="A725" t="s">
        <v>5</v>
      </c>
      <c r="B725" t="s">
        <v>6</v>
      </c>
      <c r="C725" t="s">
        <v>259</v>
      </c>
      <c r="D725" t="s">
        <v>12</v>
      </c>
      <c r="E725" t="s">
        <v>9</v>
      </c>
      <c r="F725">
        <v>318.66133989999997</v>
      </c>
      <c r="G725">
        <v>192.52812080000001</v>
      </c>
      <c r="H725">
        <v>302.38860690000001</v>
      </c>
      <c r="I725">
        <v>341.89591810000002</v>
      </c>
      <c r="J725">
        <v>327.59566990000002</v>
      </c>
      <c r="K725">
        <v>395.34087360000001</v>
      </c>
      <c r="L725">
        <v>421.32168999999999</v>
      </c>
      <c r="M725">
        <v>433.45567119999998</v>
      </c>
      <c r="N725">
        <v>452.66481440000001</v>
      </c>
      <c r="O725">
        <v>466.84883889999998</v>
      </c>
      <c r="P725">
        <v>482.15626509999998</v>
      </c>
      <c r="Q725">
        <v>501.91915660000001</v>
      </c>
    </row>
    <row r="726" spans="1:17" x14ac:dyDescent="0.25">
      <c r="A726" t="s">
        <v>5</v>
      </c>
      <c r="B726" t="s">
        <v>6</v>
      </c>
      <c r="C726" t="s">
        <v>259</v>
      </c>
      <c r="D726" t="s">
        <v>13</v>
      </c>
      <c r="E726" t="s">
        <v>9</v>
      </c>
      <c r="F726">
        <v>0.28543602400000001</v>
      </c>
      <c r="G726">
        <v>0.397539806</v>
      </c>
      <c r="H726">
        <v>0.34726391499999998</v>
      </c>
      <c r="I726">
        <v>0.22406615399999999</v>
      </c>
      <c r="J726">
        <v>0.30621061100000002</v>
      </c>
      <c r="K726">
        <v>0.2038315</v>
      </c>
      <c r="L726">
        <v>0.24495177300000001</v>
      </c>
      <c r="M726">
        <v>0.242344959</v>
      </c>
      <c r="N726">
        <v>0.22273978</v>
      </c>
      <c r="O726">
        <v>0.20420640900000001</v>
      </c>
      <c r="P726">
        <v>0.177455743</v>
      </c>
      <c r="Q726">
        <v>0.150893154</v>
      </c>
    </row>
    <row r="727" spans="1:17" x14ac:dyDescent="0.25">
      <c r="A727" t="s">
        <v>5</v>
      </c>
      <c r="B727" t="s">
        <v>6</v>
      </c>
      <c r="C727" t="s">
        <v>259</v>
      </c>
      <c r="D727" t="s">
        <v>14</v>
      </c>
      <c r="E727" t="s">
        <v>9</v>
      </c>
      <c r="F727">
        <v>2.538384314</v>
      </c>
      <c r="G727">
        <v>1.18577285</v>
      </c>
      <c r="H727">
        <v>0.74494755300000004</v>
      </c>
      <c r="I727">
        <v>1.2153007010000001</v>
      </c>
      <c r="J727">
        <v>1.552292403</v>
      </c>
      <c r="K727">
        <v>1.8516080690000001</v>
      </c>
      <c r="L727">
        <v>1.978856521</v>
      </c>
      <c r="M727">
        <v>1.9708202189999999</v>
      </c>
      <c r="N727">
        <v>1.6929431770000001</v>
      </c>
      <c r="O727">
        <v>1.530097458</v>
      </c>
      <c r="P727">
        <v>1.653510689</v>
      </c>
      <c r="Q727">
        <v>1.8387511219999999</v>
      </c>
    </row>
    <row r="728" spans="1:17" x14ac:dyDescent="0.25">
      <c r="A728" t="s">
        <v>5</v>
      </c>
      <c r="B728" t="s">
        <v>6</v>
      </c>
      <c r="C728" t="s">
        <v>259</v>
      </c>
      <c r="D728" t="s">
        <v>15</v>
      </c>
      <c r="E728" t="s">
        <v>9</v>
      </c>
      <c r="F728">
        <v>3.4995422999999998E-2</v>
      </c>
      <c r="G728">
        <v>9.9156209999999995E-3</v>
      </c>
      <c r="H728">
        <v>4.3802235000000002E-2</v>
      </c>
      <c r="I728">
        <v>6.2629965999999995E-2</v>
      </c>
      <c r="J728">
        <v>2.9198162E-2</v>
      </c>
      <c r="K728">
        <v>1.5519916E-2</v>
      </c>
      <c r="L728">
        <v>3.1240655999999999E-2</v>
      </c>
      <c r="M728">
        <v>5.8873553000000002E-2</v>
      </c>
      <c r="N728">
        <v>7.7644751999999997E-2</v>
      </c>
      <c r="O728">
        <v>7.9885579999999998E-2</v>
      </c>
      <c r="P728">
        <v>8.5958083000000005E-2</v>
      </c>
      <c r="Q728">
        <v>9.8960135000000005E-2</v>
      </c>
    </row>
    <row r="729" spans="1:17" x14ac:dyDescent="0.25">
      <c r="A729" t="s">
        <v>5</v>
      </c>
      <c r="B729" t="s">
        <v>6</v>
      </c>
      <c r="C729" t="s">
        <v>259</v>
      </c>
      <c r="D729" t="s">
        <v>16</v>
      </c>
      <c r="E729" t="s">
        <v>9</v>
      </c>
      <c r="F729">
        <v>1.0933469999999999E-3</v>
      </c>
      <c r="G729">
        <v>2.9462800000000001E-4</v>
      </c>
      <c r="H729">
        <v>1.3347540000000001E-3</v>
      </c>
      <c r="I729">
        <v>1.743348E-3</v>
      </c>
      <c r="J729">
        <v>1.0378900000000001E-3</v>
      </c>
      <c r="K729">
        <v>7.8675000000000001E-4</v>
      </c>
      <c r="L729">
        <v>1.127035E-3</v>
      </c>
      <c r="M729">
        <v>1.6502000000000001E-3</v>
      </c>
      <c r="N729">
        <v>1.906072E-3</v>
      </c>
      <c r="O729">
        <v>1.7879860000000001E-3</v>
      </c>
      <c r="P729">
        <v>1.7436590000000001E-3</v>
      </c>
      <c r="Q729">
        <v>1.8886040000000001E-3</v>
      </c>
    </row>
    <row r="730" spans="1:17" x14ac:dyDescent="0.25">
      <c r="A730" t="s">
        <v>5</v>
      </c>
      <c r="B730" t="s">
        <v>6</v>
      </c>
      <c r="C730" t="s">
        <v>259</v>
      </c>
      <c r="D730" t="s">
        <v>17</v>
      </c>
      <c r="E730" t="s">
        <v>9</v>
      </c>
      <c r="F730">
        <v>0.58425449299999999</v>
      </c>
      <c r="G730">
        <v>0.19175562199999999</v>
      </c>
      <c r="H730">
        <v>0.31427472299999998</v>
      </c>
      <c r="I730">
        <v>0.47966713100000002</v>
      </c>
      <c r="J730">
        <v>0.36042077700000003</v>
      </c>
      <c r="K730">
        <v>0.38590134500000001</v>
      </c>
      <c r="L730">
        <v>0.38489119799999999</v>
      </c>
      <c r="M730">
        <v>0.37579072499999999</v>
      </c>
      <c r="N730">
        <v>0.36243406900000003</v>
      </c>
      <c r="O730">
        <v>0.37263568000000002</v>
      </c>
      <c r="P730">
        <v>0.41566176999999999</v>
      </c>
      <c r="Q730">
        <v>0.42499763699999998</v>
      </c>
    </row>
    <row r="731" spans="1:17" x14ac:dyDescent="0.25">
      <c r="A731" t="s">
        <v>5</v>
      </c>
      <c r="B731" t="s">
        <v>6</v>
      </c>
      <c r="C731" t="s">
        <v>259</v>
      </c>
      <c r="D731" t="s">
        <v>18</v>
      </c>
      <c r="E731" t="s">
        <v>19</v>
      </c>
      <c r="F731">
        <v>127231262.40000001</v>
      </c>
      <c r="G731">
        <v>91410906.420000002</v>
      </c>
      <c r="H731">
        <v>45484999.280000001</v>
      </c>
      <c r="I731">
        <v>46214460.229999997</v>
      </c>
      <c r="J731">
        <v>58470659.670000002</v>
      </c>
      <c r="K731">
        <v>75167456.540000007</v>
      </c>
      <c r="L731">
        <v>70347931.950000003</v>
      </c>
      <c r="M731">
        <v>72677422.989999995</v>
      </c>
      <c r="N731">
        <v>70638798.299999997</v>
      </c>
      <c r="O731">
        <v>68207945.879999995</v>
      </c>
      <c r="P731">
        <v>66291143.490000002</v>
      </c>
      <c r="Q731">
        <v>70187196.939999998</v>
      </c>
    </row>
    <row r="732" spans="1:17" x14ac:dyDescent="0.25">
      <c r="A732" t="s">
        <v>5</v>
      </c>
      <c r="B732" t="s">
        <v>6</v>
      </c>
      <c r="C732" t="s">
        <v>259</v>
      </c>
      <c r="D732" t="s">
        <v>20</v>
      </c>
      <c r="E732" t="s">
        <v>19</v>
      </c>
      <c r="F732">
        <v>62635110.850000001</v>
      </c>
      <c r="G732">
        <v>50613477.740000002</v>
      </c>
      <c r="H732">
        <v>32319822.300000001</v>
      </c>
      <c r="I732">
        <v>35521118.270000003</v>
      </c>
      <c r="J732">
        <v>42527264.950000003</v>
      </c>
      <c r="K732">
        <v>52512807.770000003</v>
      </c>
      <c r="L732">
        <v>51185733.57</v>
      </c>
      <c r="M732">
        <v>53577775.869999997</v>
      </c>
      <c r="N732">
        <v>52862142.270000003</v>
      </c>
      <c r="O732">
        <v>51900816.060000002</v>
      </c>
      <c r="P732">
        <v>51248186.590000004</v>
      </c>
      <c r="Q732">
        <v>54638790.689999998</v>
      </c>
    </row>
    <row r="733" spans="1:17" x14ac:dyDescent="0.25">
      <c r="A733" t="s">
        <v>5</v>
      </c>
      <c r="B733" t="s">
        <v>6</v>
      </c>
      <c r="C733" t="s">
        <v>259</v>
      </c>
      <c r="D733" t="s">
        <v>21</v>
      </c>
      <c r="E733" t="s">
        <v>19</v>
      </c>
      <c r="F733">
        <v>31081624.98</v>
      </c>
      <c r="G733">
        <v>25635077.600000001</v>
      </c>
      <c r="H733">
        <v>16956198.969999999</v>
      </c>
      <c r="I733">
        <v>18807605.350000001</v>
      </c>
      <c r="J733">
        <v>22374215.399999999</v>
      </c>
      <c r="K733">
        <v>27492659.07</v>
      </c>
      <c r="L733">
        <v>26930802.289999999</v>
      </c>
      <c r="M733">
        <v>28232961.34</v>
      </c>
      <c r="N733">
        <v>27904468.52</v>
      </c>
      <c r="O733">
        <v>27449190.800000001</v>
      </c>
      <c r="P733">
        <v>27152243.079999998</v>
      </c>
      <c r="Q733">
        <v>28970945.07</v>
      </c>
    </row>
    <row r="734" spans="1:17" x14ac:dyDescent="0.25">
      <c r="A734" t="s">
        <v>5</v>
      </c>
      <c r="B734" t="s">
        <v>6</v>
      </c>
      <c r="C734" t="s">
        <v>259</v>
      </c>
      <c r="D734" t="s">
        <v>22</v>
      </c>
      <c r="E734" t="s">
        <v>19</v>
      </c>
      <c r="F734">
        <v>7370910.5729999999</v>
      </c>
      <c r="G734">
        <v>7333300.8849999998</v>
      </c>
      <c r="H734">
        <v>4409766.2319999998</v>
      </c>
      <c r="I734">
        <v>9484914.5250000004</v>
      </c>
      <c r="J734">
        <v>11275221.189999999</v>
      </c>
      <c r="K734">
        <v>18247966.460000001</v>
      </c>
      <c r="L734">
        <v>19870050.210000001</v>
      </c>
      <c r="M734">
        <v>21629957.41</v>
      </c>
      <c r="N734">
        <v>22099687.66</v>
      </c>
      <c r="O734">
        <v>23607260.469999999</v>
      </c>
      <c r="P734">
        <v>28105529.469999999</v>
      </c>
      <c r="Q734">
        <v>34112381.640000001</v>
      </c>
    </row>
    <row r="735" spans="1:17" x14ac:dyDescent="0.25">
      <c r="A735" t="s">
        <v>5</v>
      </c>
      <c r="B735" t="s">
        <v>6</v>
      </c>
      <c r="C735" t="s">
        <v>259</v>
      </c>
      <c r="D735" t="s">
        <v>23</v>
      </c>
      <c r="E735" t="s">
        <v>19</v>
      </c>
      <c r="F735">
        <v>4823220.79</v>
      </c>
      <c r="G735">
        <v>4307902.3020000001</v>
      </c>
      <c r="H735">
        <v>2714765.5490000001</v>
      </c>
      <c r="I735">
        <v>4875092.5389999999</v>
      </c>
      <c r="J735">
        <v>5643685.352</v>
      </c>
      <c r="K735">
        <v>7866580.1919999998</v>
      </c>
      <c r="L735">
        <v>8026314.1789999995</v>
      </c>
      <c r="M735">
        <v>8361884.7450000001</v>
      </c>
      <c r="N735">
        <v>8332982.608</v>
      </c>
      <c r="O735">
        <v>8636182.7909999993</v>
      </c>
      <c r="P735">
        <v>9808221.3660000004</v>
      </c>
      <c r="Q735">
        <v>11377482.810000001</v>
      </c>
    </row>
    <row r="736" spans="1:17" x14ac:dyDescent="0.25">
      <c r="A736" t="s">
        <v>5</v>
      </c>
      <c r="B736" t="s">
        <v>6</v>
      </c>
      <c r="C736" t="s">
        <v>259</v>
      </c>
      <c r="D736" t="s">
        <v>24</v>
      </c>
      <c r="E736" t="s">
        <v>19</v>
      </c>
      <c r="F736">
        <v>7705692.5199999996</v>
      </c>
      <c r="G736">
        <v>7315770.7240000004</v>
      </c>
      <c r="H736">
        <v>4406491.125</v>
      </c>
      <c r="I736">
        <v>8980073.5629999992</v>
      </c>
      <c r="J736">
        <v>10458117.02</v>
      </c>
      <c r="K736">
        <v>15787150.710000001</v>
      </c>
      <c r="L736">
        <v>16423984.9</v>
      </c>
      <c r="M736">
        <v>17272813.98</v>
      </c>
      <c r="N736">
        <v>17255186.059999999</v>
      </c>
      <c r="O736">
        <v>17943445.23</v>
      </c>
      <c r="P736">
        <v>20478033.859999999</v>
      </c>
      <c r="Q736">
        <v>23770381.719999999</v>
      </c>
    </row>
    <row r="737" spans="1:17" x14ac:dyDescent="0.25">
      <c r="A737" t="s">
        <v>5</v>
      </c>
      <c r="B737" t="s">
        <v>6</v>
      </c>
      <c r="C737" t="s">
        <v>259</v>
      </c>
      <c r="D737" t="s">
        <v>25</v>
      </c>
      <c r="E737" t="s">
        <v>19</v>
      </c>
      <c r="F737">
        <v>46761422.390000001</v>
      </c>
      <c r="G737">
        <v>39350801.43</v>
      </c>
      <c r="H737">
        <v>26608548.98</v>
      </c>
      <c r="I737">
        <v>40155193.549999997</v>
      </c>
      <c r="J737">
        <v>45902581.659999996</v>
      </c>
      <c r="K737">
        <v>55434721.490000002</v>
      </c>
      <c r="L737">
        <v>53241616.969999999</v>
      </c>
      <c r="M737">
        <v>52855888.130000003</v>
      </c>
      <c r="N737">
        <v>51128026.18</v>
      </c>
      <c r="O737">
        <v>50844950.619999997</v>
      </c>
      <c r="P737">
        <v>53475048.240000002</v>
      </c>
      <c r="Q737">
        <v>56874300.659999996</v>
      </c>
    </row>
    <row r="738" spans="1:17" x14ac:dyDescent="0.25">
      <c r="A738" t="s">
        <v>5</v>
      </c>
      <c r="B738" t="s">
        <v>6</v>
      </c>
      <c r="C738" t="s">
        <v>259</v>
      </c>
      <c r="D738" t="s">
        <v>26</v>
      </c>
      <c r="E738" t="s">
        <v>27</v>
      </c>
      <c r="F738">
        <v>2.302310984</v>
      </c>
      <c r="G738">
        <v>1.7117076870000001</v>
      </c>
      <c r="H738">
        <v>1.8041402769999999</v>
      </c>
      <c r="I738">
        <v>2.406960234</v>
      </c>
      <c r="J738">
        <v>2.9371374549999998</v>
      </c>
      <c r="K738">
        <v>2.936380626</v>
      </c>
      <c r="L738">
        <v>3.2848257269999999</v>
      </c>
      <c r="M738">
        <v>3.4348678010000002</v>
      </c>
      <c r="N738">
        <v>3.6645987710000001</v>
      </c>
      <c r="O738">
        <v>3.9154050159999998</v>
      </c>
      <c r="P738">
        <v>4.1837257369999996</v>
      </c>
      <c r="Q738">
        <v>4.4431129089999999</v>
      </c>
    </row>
    <row r="739" spans="1:17" x14ac:dyDescent="0.25">
      <c r="A739" t="s">
        <v>5</v>
      </c>
      <c r="B739" t="s">
        <v>6</v>
      </c>
      <c r="C739" t="s">
        <v>259</v>
      </c>
      <c r="D739" t="s">
        <v>28</v>
      </c>
      <c r="E739" t="s">
        <v>27</v>
      </c>
      <c r="F739">
        <v>3.8975739620000001</v>
      </c>
      <c r="G739">
        <v>2.8932592229999998</v>
      </c>
      <c r="H739">
        <v>3.4067639330000001</v>
      </c>
      <c r="I739">
        <v>4.1781159370000003</v>
      </c>
      <c r="J739">
        <v>4.8408333429999999</v>
      </c>
      <c r="K739">
        <v>5.0132689270000004</v>
      </c>
      <c r="L739">
        <v>5.5309227769999998</v>
      </c>
      <c r="M739">
        <v>5.7671450589999997</v>
      </c>
      <c r="N739">
        <v>6.0701272829999997</v>
      </c>
      <c r="O739">
        <v>6.3858950610000003</v>
      </c>
      <c r="P739">
        <v>6.7215971750000003</v>
      </c>
      <c r="Q739">
        <v>7.0553965989999998</v>
      </c>
    </row>
    <row r="740" spans="1:17" x14ac:dyDescent="0.25">
      <c r="A740" t="s">
        <v>5</v>
      </c>
      <c r="B740" t="s">
        <v>6</v>
      </c>
      <c r="C740" t="s">
        <v>259</v>
      </c>
      <c r="D740" t="s">
        <v>29</v>
      </c>
      <c r="E740" t="s">
        <v>27</v>
      </c>
      <c r="F740">
        <v>4.2739230939999997</v>
      </c>
      <c r="G740">
        <v>2.0368258670000001</v>
      </c>
      <c r="H740">
        <v>1.2945145199999999</v>
      </c>
      <c r="I740">
        <v>2.059610223</v>
      </c>
      <c r="J740">
        <v>2.6338285090000002</v>
      </c>
      <c r="K740">
        <v>3.1171383769999998</v>
      </c>
      <c r="L740">
        <v>3.3357150980000001</v>
      </c>
      <c r="M740">
        <v>3.322560551</v>
      </c>
      <c r="N740">
        <v>2.8572293110000002</v>
      </c>
      <c r="O740">
        <v>2.583854885</v>
      </c>
      <c r="P740">
        <v>2.786479801</v>
      </c>
      <c r="Q740">
        <v>3.092444344</v>
      </c>
    </row>
    <row r="741" spans="1:17" x14ac:dyDescent="0.25">
      <c r="A741" t="s">
        <v>5</v>
      </c>
      <c r="B741" t="s">
        <v>6</v>
      </c>
      <c r="C741" t="s">
        <v>259</v>
      </c>
      <c r="D741" t="s">
        <v>30</v>
      </c>
      <c r="E741" t="s">
        <v>27</v>
      </c>
      <c r="F741">
        <v>2.0016399999999999E-4</v>
      </c>
      <c r="G741" s="1">
        <v>5.66E-5</v>
      </c>
      <c r="H741">
        <v>2.5024500000000001E-4</v>
      </c>
      <c r="I741">
        <v>3.5638500000000002E-4</v>
      </c>
      <c r="J741">
        <v>1.6808900000000001E-4</v>
      </c>
      <c r="K741" s="1">
        <v>9.1399999999999999E-5</v>
      </c>
      <c r="L741">
        <v>1.7998999999999999E-4</v>
      </c>
      <c r="M741">
        <v>3.3510799999999998E-4</v>
      </c>
      <c r="N741">
        <v>4.3962299999999999E-4</v>
      </c>
      <c r="O741">
        <v>4.50817E-4</v>
      </c>
      <c r="P741">
        <v>4.8353099999999999E-4</v>
      </c>
      <c r="Q741">
        <v>5.5564500000000001E-4</v>
      </c>
    </row>
    <row r="742" spans="1:17" x14ac:dyDescent="0.25">
      <c r="A742" t="s">
        <v>5</v>
      </c>
      <c r="B742" t="s">
        <v>6</v>
      </c>
      <c r="C742" t="s">
        <v>259</v>
      </c>
      <c r="D742" t="s">
        <v>31</v>
      </c>
      <c r="E742" t="s">
        <v>27</v>
      </c>
      <c r="F742">
        <v>0.25263416</v>
      </c>
      <c r="G742">
        <v>7.8036013000000001E-2</v>
      </c>
      <c r="H742">
        <v>0.10790079599999999</v>
      </c>
      <c r="I742">
        <v>0.182733385</v>
      </c>
      <c r="J742">
        <v>0.14414907099999999</v>
      </c>
      <c r="K742">
        <v>0.161043043</v>
      </c>
      <c r="L742">
        <v>0.159870225</v>
      </c>
      <c r="M742">
        <v>0.152500094</v>
      </c>
      <c r="N742">
        <v>0.147052554</v>
      </c>
      <c r="O742">
        <v>0.152748306</v>
      </c>
      <c r="P742">
        <v>0.169847314</v>
      </c>
      <c r="Q742">
        <v>0.17525243300000001</v>
      </c>
    </row>
    <row r="743" spans="1:17" x14ac:dyDescent="0.25">
      <c r="A743" t="s">
        <v>5</v>
      </c>
      <c r="B743" t="s">
        <v>6</v>
      </c>
      <c r="C743" t="s">
        <v>259</v>
      </c>
      <c r="D743" t="s">
        <v>32</v>
      </c>
      <c r="E743" t="s">
        <v>27</v>
      </c>
      <c r="F743">
        <v>0.35316466800000001</v>
      </c>
      <c r="G743">
        <v>0.261627687</v>
      </c>
      <c r="H743">
        <v>0.28365444000000001</v>
      </c>
      <c r="I743">
        <v>0.37384329700000002</v>
      </c>
      <c r="J743">
        <v>0.45890309200000001</v>
      </c>
      <c r="K743">
        <v>0.46260256</v>
      </c>
      <c r="L743">
        <v>0.53386228499999999</v>
      </c>
      <c r="M743">
        <v>0.60467125700000002</v>
      </c>
      <c r="N743">
        <v>0.73844248999999995</v>
      </c>
      <c r="O743">
        <v>0.878933666</v>
      </c>
      <c r="P743">
        <v>0.98193533</v>
      </c>
      <c r="Q743">
        <v>1.049817877</v>
      </c>
    </row>
    <row r="744" spans="1:17" x14ac:dyDescent="0.25">
      <c r="A744" t="s">
        <v>5</v>
      </c>
      <c r="B744" t="s">
        <v>6</v>
      </c>
      <c r="C744" t="s">
        <v>259</v>
      </c>
      <c r="D744" t="s">
        <v>33</v>
      </c>
      <c r="E744" t="s">
        <v>27</v>
      </c>
      <c r="F744">
        <v>0.57764938799999999</v>
      </c>
      <c r="G744">
        <v>0.43586687600000001</v>
      </c>
      <c r="H744">
        <v>0.479207889</v>
      </c>
      <c r="I744">
        <v>0.58946504499999997</v>
      </c>
      <c r="J744">
        <v>0.70239314200000003</v>
      </c>
      <c r="K744">
        <v>0.70549735099999999</v>
      </c>
      <c r="L744">
        <v>0.80056616599999997</v>
      </c>
      <c r="M744">
        <v>0.87091701499999996</v>
      </c>
      <c r="N744">
        <v>1.0057370649999999</v>
      </c>
      <c r="O744">
        <v>1.1489171330000001</v>
      </c>
      <c r="P744">
        <v>1.2506507259999999</v>
      </c>
      <c r="Q744">
        <v>1.3201887720000001</v>
      </c>
    </row>
    <row r="745" spans="1:17" x14ac:dyDescent="0.25">
      <c r="A745" t="s">
        <v>5</v>
      </c>
      <c r="B745" t="s">
        <v>6</v>
      </c>
      <c r="C745" t="s">
        <v>259</v>
      </c>
      <c r="D745" t="s">
        <v>34</v>
      </c>
      <c r="E745" t="s">
        <v>27</v>
      </c>
      <c r="F745">
        <v>0.26494601899999998</v>
      </c>
      <c r="G745">
        <v>0.144728091</v>
      </c>
      <c r="H745">
        <v>9.8669776000000001E-2</v>
      </c>
      <c r="I745">
        <v>0.13380319800000001</v>
      </c>
      <c r="J745">
        <v>0.1725159</v>
      </c>
      <c r="K745">
        <v>0.19300901600000001</v>
      </c>
      <c r="L745">
        <v>0.20851694800000001</v>
      </c>
      <c r="M745">
        <v>0.20781153199999999</v>
      </c>
      <c r="N745">
        <v>0.18005174099999999</v>
      </c>
      <c r="O745">
        <v>0.16339388499999999</v>
      </c>
      <c r="P745">
        <v>0.17348729099999999</v>
      </c>
      <c r="Q745">
        <v>0.189612212</v>
      </c>
    </row>
    <row r="746" spans="1:17" x14ac:dyDescent="0.25">
      <c r="A746" t="s">
        <v>5</v>
      </c>
      <c r="B746" t="s">
        <v>6</v>
      </c>
      <c r="C746" t="s">
        <v>259</v>
      </c>
      <c r="D746" t="s">
        <v>35</v>
      </c>
      <c r="E746" t="s">
        <v>27</v>
      </c>
      <c r="F746">
        <v>1.5123490000000001E-3</v>
      </c>
      <c r="G746">
        <v>4.27522E-4</v>
      </c>
      <c r="H746">
        <v>1.8907419999999999E-3</v>
      </c>
      <c r="I746">
        <v>2.692687E-3</v>
      </c>
      <c r="J746">
        <v>1.2700070000000001E-3</v>
      </c>
      <c r="K746">
        <v>6.9037600000000003E-4</v>
      </c>
      <c r="L746">
        <v>1.3599249999999999E-3</v>
      </c>
      <c r="M746">
        <v>2.531929E-3</v>
      </c>
      <c r="N746">
        <v>3.3215919999999999E-3</v>
      </c>
      <c r="O746">
        <v>3.4061719999999998E-3</v>
      </c>
      <c r="P746">
        <v>3.653346E-3</v>
      </c>
      <c r="Q746">
        <v>4.1982089999999996E-3</v>
      </c>
    </row>
    <row r="747" spans="1:17" x14ac:dyDescent="0.25">
      <c r="A747" t="s">
        <v>5</v>
      </c>
      <c r="B747" t="s">
        <v>6</v>
      </c>
      <c r="C747" t="s">
        <v>259</v>
      </c>
      <c r="D747" t="s">
        <v>36</v>
      </c>
      <c r="E747" t="s">
        <v>27</v>
      </c>
      <c r="F747">
        <v>2.7761999999999999E-3</v>
      </c>
      <c r="G747">
        <v>8.5753900000000004E-4</v>
      </c>
      <c r="H747">
        <v>1.1857230000000001E-3</v>
      </c>
      <c r="I747">
        <v>2.008059E-3</v>
      </c>
      <c r="J747">
        <v>1.5840559999999999E-3</v>
      </c>
      <c r="K747">
        <v>1.769704E-3</v>
      </c>
      <c r="L747">
        <v>1.756816E-3</v>
      </c>
      <c r="M747">
        <v>1.6758249999999999E-3</v>
      </c>
      <c r="N747">
        <v>1.6159620000000001E-3</v>
      </c>
      <c r="O747">
        <v>1.6785529999999999E-3</v>
      </c>
      <c r="P747">
        <v>1.866454E-3</v>
      </c>
      <c r="Q747">
        <v>1.9258509999999999E-3</v>
      </c>
    </row>
    <row r="748" spans="1:17" x14ac:dyDescent="0.25">
      <c r="A748" t="s">
        <v>5</v>
      </c>
      <c r="B748" t="s">
        <v>6</v>
      </c>
      <c r="C748" t="s">
        <v>259</v>
      </c>
      <c r="D748" t="s">
        <v>37</v>
      </c>
      <c r="E748" t="s">
        <v>27</v>
      </c>
      <c r="F748">
        <v>6.8411086999999995E-2</v>
      </c>
      <c r="G748">
        <v>4.9949036000000002E-2</v>
      </c>
      <c r="H748">
        <v>6.0211542999999999E-2</v>
      </c>
      <c r="I748">
        <v>7.5969106999999994E-2</v>
      </c>
      <c r="J748">
        <v>9.5345904999999995E-2</v>
      </c>
      <c r="K748">
        <v>9.8484446000000003E-2</v>
      </c>
      <c r="L748">
        <v>0.12421600300000001</v>
      </c>
      <c r="M748">
        <v>0.17083003099999999</v>
      </c>
      <c r="N748">
        <v>0.265028123</v>
      </c>
      <c r="O748">
        <v>0.36340367000000001</v>
      </c>
      <c r="P748">
        <v>0.425926798</v>
      </c>
      <c r="Q748">
        <v>0.45703477300000001</v>
      </c>
    </row>
    <row r="749" spans="1:17" x14ac:dyDescent="0.25">
      <c r="A749" t="s">
        <v>5</v>
      </c>
      <c r="B749" t="s">
        <v>6</v>
      </c>
      <c r="C749" t="s">
        <v>259</v>
      </c>
      <c r="D749" t="s">
        <v>38</v>
      </c>
      <c r="E749" t="s">
        <v>27</v>
      </c>
      <c r="F749">
        <v>7.954464E-2</v>
      </c>
      <c r="G749">
        <v>5.7648681E-2</v>
      </c>
      <c r="H749">
        <v>7.1250843999999994E-2</v>
      </c>
      <c r="I749">
        <v>8.8362352000000005E-2</v>
      </c>
      <c r="J749">
        <v>0.108373515</v>
      </c>
      <c r="K749">
        <v>0.113467558</v>
      </c>
      <c r="L749">
        <v>0.14082693900000001</v>
      </c>
      <c r="M749">
        <v>0.18878789900000001</v>
      </c>
      <c r="N749">
        <v>0.28427364100000002</v>
      </c>
      <c r="O749">
        <v>0.38369487699999999</v>
      </c>
      <c r="P749">
        <v>0.44721893600000001</v>
      </c>
      <c r="Q749">
        <v>0.47923730599999997</v>
      </c>
    </row>
    <row r="750" spans="1:17" x14ac:dyDescent="0.25">
      <c r="A750" t="s">
        <v>5</v>
      </c>
      <c r="B750" t="s">
        <v>6</v>
      </c>
      <c r="C750" t="s">
        <v>259</v>
      </c>
      <c r="D750" t="s">
        <v>39</v>
      </c>
      <c r="E750" t="s">
        <v>27</v>
      </c>
      <c r="F750">
        <v>6.8193840000000004E-3</v>
      </c>
      <c r="G750">
        <v>3.2796449999999999E-3</v>
      </c>
      <c r="H750">
        <v>2.0955940000000001E-3</v>
      </c>
      <c r="I750">
        <v>3.2970780000000002E-3</v>
      </c>
      <c r="J750">
        <v>4.2196209999999998E-3</v>
      </c>
      <c r="K750">
        <v>4.9776480000000003E-3</v>
      </c>
      <c r="L750">
        <v>5.3342010000000002E-3</v>
      </c>
      <c r="M750">
        <v>5.3259800000000001E-3</v>
      </c>
      <c r="N750">
        <v>4.6002719999999999E-3</v>
      </c>
      <c r="O750">
        <v>4.1812819999999997E-3</v>
      </c>
      <c r="P750">
        <v>4.5210349999999996E-3</v>
      </c>
      <c r="Q750">
        <v>5.0304620000000003E-3</v>
      </c>
    </row>
    <row r="751" spans="1:17" x14ac:dyDescent="0.25">
      <c r="A751" t="s">
        <v>5</v>
      </c>
      <c r="B751" t="s">
        <v>6</v>
      </c>
      <c r="C751" t="s">
        <v>259</v>
      </c>
      <c r="D751" t="s">
        <v>40</v>
      </c>
      <c r="E751" t="s">
        <v>27</v>
      </c>
      <c r="F751" s="1">
        <v>9.7499999999999998E-6</v>
      </c>
      <c r="G751" s="1">
        <v>2.7599999999999998E-6</v>
      </c>
      <c r="H751" s="1">
        <v>1.22E-5</v>
      </c>
      <c r="I751" s="1">
        <v>1.7399999999999999E-5</v>
      </c>
      <c r="J751" s="1">
        <v>8.1300000000000001E-6</v>
      </c>
      <c r="K751" s="1">
        <v>4.3200000000000001E-6</v>
      </c>
      <c r="L751" s="1">
        <v>8.6999999999999997E-6</v>
      </c>
      <c r="M751" s="1">
        <v>1.6399999999999999E-5</v>
      </c>
      <c r="N751" s="1">
        <v>2.16E-5</v>
      </c>
      <c r="O751" s="1">
        <v>2.23E-5</v>
      </c>
      <c r="P751" s="1">
        <v>2.3900000000000002E-5</v>
      </c>
      <c r="Q751" s="1">
        <v>2.76E-5</v>
      </c>
    </row>
    <row r="752" spans="1:17" x14ac:dyDescent="0.25">
      <c r="A752" t="s">
        <v>5</v>
      </c>
      <c r="B752" t="s">
        <v>6</v>
      </c>
      <c r="C752" t="s">
        <v>259</v>
      </c>
      <c r="D752" t="s">
        <v>41</v>
      </c>
      <c r="E752" t="s">
        <v>27</v>
      </c>
      <c r="F752">
        <v>2.7761999999999999E-3</v>
      </c>
      <c r="G752">
        <v>8.5753900000000004E-4</v>
      </c>
      <c r="H752">
        <v>1.1857230000000001E-3</v>
      </c>
      <c r="I752">
        <v>2.008059E-3</v>
      </c>
      <c r="J752">
        <v>1.5840559999999999E-3</v>
      </c>
      <c r="K752">
        <v>1.769704E-3</v>
      </c>
      <c r="L752">
        <v>1.756816E-3</v>
      </c>
      <c r="M752">
        <v>1.6758249999999999E-3</v>
      </c>
      <c r="N752">
        <v>1.6159620000000001E-3</v>
      </c>
      <c r="O752">
        <v>1.6785529999999999E-3</v>
      </c>
      <c r="P752">
        <v>1.866454E-3</v>
      </c>
      <c r="Q752">
        <v>1.9258509999999999E-3</v>
      </c>
    </row>
    <row r="753" spans="1:17" x14ac:dyDescent="0.25">
      <c r="A753" t="s">
        <v>5</v>
      </c>
      <c r="B753" t="s">
        <v>6</v>
      </c>
      <c r="C753" t="s">
        <v>259</v>
      </c>
      <c r="D753" t="s">
        <v>42</v>
      </c>
      <c r="E753" t="s">
        <v>27</v>
      </c>
      <c r="F753">
        <v>9.6837868999999993E-2</v>
      </c>
      <c r="G753">
        <v>7.1947907000000005E-2</v>
      </c>
      <c r="H753">
        <v>7.6242484999999999E-2</v>
      </c>
      <c r="I753">
        <v>0.101473337</v>
      </c>
      <c r="J753">
        <v>0.123949671</v>
      </c>
      <c r="K753">
        <v>0.124082348</v>
      </c>
      <c r="L753">
        <v>0.13957689400000001</v>
      </c>
      <c r="M753">
        <v>0.14810959400000001</v>
      </c>
      <c r="N753">
        <v>0.16234601800000001</v>
      </c>
      <c r="O753">
        <v>0.17765065899999999</v>
      </c>
      <c r="P753">
        <v>0.19184869900000001</v>
      </c>
      <c r="Q753">
        <v>0.204137711</v>
      </c>
    </row>
    <row r="754" spans="1:17" x14ac:dyDescent="0.25">
      <c r="A754" t="s">
        <v>5</v>
      </c>
      <c r="B754" t="s">
        <v>6</v>
      </c>
      <c r="C754" t="s">
        <v>259</v>
      </c>
      <c r="D754" t="s">
        <v>43</v>
      </c>
      <c r="E754" t="s">
        <v>27</v>
      </c>
      <c r="F754">
        <v>0.11836493300000001</v>
      </c>
      <c r="G754">
        <v>8.8192255999999997E-2</v>
      </c>
      <c r="H754">
        <v>9.5197222999999997E-2</v>
      </c>
      <c r="I754">
        <v>0.12426973299999999</v>
      </c>
      <c r="J754">
        <v>0.14884244599999999</v>
      </c>
      <c r="K754">
        <v>0.14987525199999999</v>
      </c>
      <c r="L754">
        <v>0.16750174500000001</v>
      </c>
      <c r="M754">
        <v>0.175998984</v>
      </c>
      <c r="N754">
        <v>0.19068526299999999</v>
      </c>
      <c r="O754">
        <v>0.20643600300000001</v>
      </c>
      <c r="P754">
        <v>0.22084500500000001</v>
      </c>
      <c r="Q754">
        <v>0.23348373</v>
      </c>
    </row>
    <row r="755" spans="1:17" x14ac:dyDescent="0.25">
      <c r="A755" t="s">
        <v>5</v>
      </c>
      <c r="B755" t="s">
        <v>6</v>
      </c>
      <c r="C755" t="s">
        <v>259</v>
      </c>
      <c r="D755" t="s">
        <v>44</v>
      </c>
      <c r="E755" t="s">
        <v>27</v>
      </c>
      <c r="F755">
        <v>2.66443E-4</v>
      </c>
      <c r="G755">
        <v>3.7200599999999998E-4</v>
      </c>
      <c r="H755">
        <v>3.2574999999999998E-4</v>
      </c>
      <c r="I755">
        <v>2.1093899999999999E-4</v>
      </c>
      <c r="J755">
        <v>2.8983200000000001E-4</v>
      </c>
      <c r="K755">
        <v>1.9710300000000001E-4</v>
      </c>
      <c r="L755">
        <v>2.42859E-4</v>
      </c>
      <c r="M755">
        <v>2.6015499999999998E-4</v>
      </c>
      <c r="N755">
        <v>2.65431E-4</v>
      </c>
      <c r="O755">
        <v>2.74362E-4</v>
      </c>
      <c r="P755">
        <v>2.8126099999999999E-4</v>
      </c>
      <c r="Q755">
        <v>2.9676000000000003E-4</v>
      </c>
    </row>
    <row r="756" spans="1:17" x14ac:dyDescent="0.25">
      <c r="A756" t="s">
        <v>5</v>
      </c>
      <c r="B756" t="s">
        <v>6</v>
      </c>
      <c r="C756" t="s">
        <v>259</v>
      </c>
      <c r="D756" t="s">
        <v>45</v>
      </c>
      <c r="E756" t="s">
        <v>27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 x14ac:dyDescent="0.25">
      <c r="A757" t="s">
        <v>5</v>
      </c>
      <c r="B757" t="s">
        <v>6</v>
      </c>
      <c r="C757" t="s">
        <v>259</v>
      </c>
      <c r="D757" t="s">
        <v>46</v>
      </c>
      <c r="E757" t="s">
        <v>27</v>
      </c>
      <c r="F757">
        <v>1.66572E-4</v>
      </c>
      <c r="G757" s="1">
        <v>5.1499999999999998E-5</v>
      </c>
      <c r="H757" s="1">
        <v>7.1099999999999994E-5</v>
      </c>
      <c r="I757">
        <v>1.2048399999999999E-4</v>
      </c>
      <c r="J757" s="1">
        <v>9.5000000000000005E-5</v>
      </c>
      <c r="K757">
        <v>1.0618199999999999E-4</v>
      </c>
      <c r="L757">
        <v>1.0540900000000001E-4</v>
      </c>
      <c r="M757">
        <v>1.0055E-4</v>
      </c>
      <c r="N757" s="1">
        <v>9.7E-5</v>
      </c>
      <c r="O757">
        <v>1.00713E-4</v>
      </c>
      <c r="P757">
        <v>1.11987E-4</v>
      </c>
      <c r="Q757">
        <v>1.1555100000000001E-4</v>
      </c>
    </row>
    <row r="758" spans="1:17" x14ac:dyDescent="0.25">
      <c r="A758" t="s">
        <v>5</v>
      </c>
      <c r="B758" t="s">
        <v>6</v>
      </c>
      <c r="C758" t="s">
        <v>259</v>
      </c>
      <c r="D758" t="s">
        <v>47</v>
      </c>
      <c r="E758" t="s">
        <v>27</v>
      </c>
      <c r="F758">
        <v>0.45389185399999998</v>
      </c>
      <c r="G758">
        <v>0.337076406</v>
      </c>
      <c r="H758">
        <v>0.35736523399999998</v>
      </c>
      <c r="I758">
        <v>0.47546601999999999</v>
      </c>
      <c r="J758">
        <v>0.58067075300000004</v>
      </c>
      <c r="K758">
        <v>0.58089661299999995</v>
      </c>
      <c r="L758">
        <v>0.65251424499999999</v>
      </c>
      <c r="M758">
        <v>0.69127520099999995</v>
      </c>
      <c r="N758">
        <v>0.75732666900000001</v>
      </c>
      <c r="O758">
        <v>0.83041596299999998</v>
      </c>
      <c r="P758">
        <v>0.89774428900000003</v>
      </c>
      <c r="Q758">
        <v>0.95427789299999999</v>
      </c>
    </row>
    <row r="759" spans="1:17" x14ac:dyDescent="0.25">
      <c r="A759" t="s">
        <v>5</v>
      </c>
      <c r="B759" t="s">
        <v>6</v>
      </c>
      <c r="C759" t="s">
        <v>259</v>
      </c>
      <c r="D759" t="s">
        <v>48</v>
      </c>
      <c r="E759" t="s">
        <v>27</v>
      </c>
      <c r="F759">
        <v>0.70795628200000005</v>
      </c>
      <c r="G759">
        <v>0.52563358800000004</v>
      </c>
      <c r="H759">
        <v>0.60949353799999995</v>
      </c>
      <c r="I759">
        <v>0.75302098399999995</v>
      </c>
      <c r="J759">
        <v>0.88019345800000004</v>
      </c>
      <c r="K759">
        <v>0.90562450900000002</v>
      </c>
      <c r="L759">
        <v>1.004405918</v>
      </c>
      <c r="M759">
        <v>1.056195225</v>
      </c>
      <c r="N759">
        <v>1.133568573</v>
      </c>
      <c r="O759">
        <v>1.2169606749999999</v>
      </c>
      <c r="P759">
        <v>1.2943406399999999</v>
      </c>
      <c r="Q759">
        <v>1.3621268440000001</v>
      </c>
    </row>
    <row r="760" spans="1:17" x14ac:dyDescent="0.25">
      <c r="A760" t="s">
        <v>5</v>
      </c>
      <c r="B760" t="s">
        <v>6</v>
      </c>
      <c r="C760" t="s">
        <v>259</v>
      </c>
      <c r="D760" t="s">
        <v>49</v>
      </c>
      <c r="E760" t="s">
        <v>27</v>
      </c>
      <c r="F760">
        <v>1.50387E-3</v>
      </c>
      <c r="G760">
        <v>2.096138E-3</v>
      </c>
      <c r="H760">
        <v>1.8324470000000001E-3</v>
      </c>
      <c r="I760">
        <v>1.1836920000000001E-3</v>
      </c>
      <c r="J760">
        <v>1.620411E-3</v>
      </c>
      <c r="K760">
        <v>1.086041E-3</v>
      </c>
      <c r="L760">
        <v>1.3157589999999999E-3</v>
      </c>
      <c r="M760">
        <v>1.3370050000000001E-3</v>
      </c>
      <c r="N760">
        <v>1.275511E-3</v>
      </c>
      <c r="O760">
        <v>1.224372E-3</v>
      </c>
      <c r="P760">
        <v>1.139936E-3</v>
      </c>
      <c r="Q760">
        <v>1.0714260000000001E-3</v>
      </c>
    </row>
    <row r="761" spans="1:17" x14ac:dyDescent="0.25">
      <c r="A761" t="s">
        <v>5</v>
      </c>
      <c r="B761" t="s">
        <v>6</v>
      </c>
      <c r="C761" t="s">
        <v>259</v>
      </c>
      <c r="D761" t="s">
        <v>50</v>
      </c>
      <c r="E761" t="s">
        <v>27</v>
      </c>
      <c r="F761">
        <v>1.16762E-4</v>
      </c>
      <c r="G761" s="1">
        <v>3.3000000000000003E-5</v>
      </c>
      <c r="H761">
        <v>1.45976E-4</v>
      </c>
      <c r="I761">
        <v>2.0789100000000001E-4</v>
      </c>
      <c r="J761" s="1">
        <v>9.8099999999999999E-5</v>
      </c>
      <c r="K761" s="1">
        <v>5.3300000000000001E-5</v>
      </c>
      <c r="L761">
        <v>1.04994E-4</v>
      </c>
      <c r="M761">
        <v>1.9547999999999999E-4</v>
      </c>
      <c r="N761">
        <v>2.5644600000000002E-4</v>
      </c>
      <c r="O761">
        <v>2.6297700000000001E-4</v>
      </c>
      <c r="P761">
        <v>2.8205999999999999E-4</v>
      </c>
      <c r="Q761">
        <v>3.2412599999999999E-4</v>
      </c>
    </row>
    <row r="762" spans="1:17" x14ac:dyDescent="0.25">
      <c r="A762" t="s">
        <v>5</v>
      </c>
      <c r="B762" t="s">
        <v>6</v>
      </c>
      <c r="C762" t="s">
        <v>259</v>
      </c>
      <c r="D762" t="s">
        <v>51</v>
      </c>
      <c r="E762" t="s">
        <v>27</v>
      </c>
      <c r="F762">
        <v>5.5523990000000004E-3</v>
      </c>
      <c r="G762">
        <v>1.715077E-3</v>
      </c>
      <c r="H762">
        <v>2.3714460000000001E-3</v>
      </c>
      <c r="I762">
        <v>4.0161179999999999E-3</v>
      </c>
      <c r="J762">
        <v>3.1681109999999999E-3</v>
      </c>
      <c r="K762">
        <v>3.539408E-3</v>
      </c>
      <c r="L762">
        <v>3.5136310000000001E-3</v>
      </c>
      <c r="M762">
        <v>3.3516499999999999E-3</v>
      </c>
      <c r="N762">
        <v>3.2319240000000002E-3</v>
      </c>
      <c r="O762">
        <v>3.3571059999999999E-3</v>
      </c>
      <c r="P762">
        <v>3.7329080000000001E-3</v>
      </c>
      <c r="Q762">
        <v>3.8517019999999998E-3</v>
      </c>
    </row>
    <row r="763" spans="1:17" x14ac:dyDescent="0.25">
      <c r="A763" t="s">
        <v>5</v>
      </c>
      <c r="B763" t="s">
        <v>6</v>
      </c>
      <c r="C763" t="s">
        <v>259</v>
      </c>
      <c r="D763" t="s">
        <v>52</v>
      </c>
      <c r="E763" t="s">
        <v>27</v>
      </c>
      <c r="F763">
        <v>11.38548246</v>
      </c>
      <c r="G763">
        <v>8.8854480630000001</v>
      </c>
      <c r="H763">
        <v>5.3180741520000003</v>
      </c>
      <c r="I763">
        <v>5.7405705820000001</v>
      </c>
      <c r="J763">
        <v>6.959563642</v>
      </c>
      <c r="K763">
        <v>8.6756384190000002</v>
      </c>
      <c r="L763">
        <v>8.3757651069999994</v>
      </c>
      <c r="M763">
        <v>8.7407319539999992</v>
      </c>
      <c r="N763">
        <v>8.5944956959999992</v>
      </c>
      <c r="O763">
        <v>8.4065491409999993</v>
      </c>
      <c r="P763">
        <v>8.2715953899999999</v>
      </c>
      <c r="Q763">
        <v>8.8053233049999999</v>
      </c>
    </row>
    <row r="764" spans="1:17" x14ac:dyDescent="0.25">
      <c r="A764" t="s">
        <v>5</v>
      </c>
      <c r="B764" t="s">
        <v>6</v>
      </c>
      <c r="C764" t="s">
        <v>259</v>
      </c>
      <c r="D764" t="s">
        <v>53</v>
      </c>
      <c r="E764" t="s">
        <v>27</v>
      </c>
      <c r="F764">
        <v>5.781020109</v>
      </c>
      <c r="G764">
        <v>5.0523090460000004</v>
      </c>
      <c r="H764">
        <v>3.3047991269999999</v>
      </c>
      <c r="I764">
        <v>5.4950333389999999</v>
      </c>
      <c r="J764">
        <v>6.338189775</v>
      </c>
      <c r="K764">
        <v>8.3987736040000005</v>
      </c>
      <c r="L764">
        <v>8.4031404429999998</v>
      </c>
      <c r="M764">
        <v>8.6106440499999994</v>
      </c>
      <c r="N764">
        <v>8.4897798249999994</v>
      </c>
      <c r="O764">
        <v>8.6688364930000006</v>
      </c>
      <c r="P764">
        <v>9.5768032440000006</v>
      </c>
      <c r="Q764">
        <v>10.770135890000001</v>
      </c>
    </row>
    <row r="765" spans="1:17" x14ac:dyDescent="0.25">
      <c r="A765" t="s">
        <v>5</v>
      </c>
      <c r="B765" t="s">
        <v>6</v>
      </c>
      <c r="C765" t="s">
        <v>259</v>
      </c>
      <c r="D765" t="s">
        <v>54</v>
      </c>
      <c r="E765" t="s">
        <v>27</v>
      </c>
      <c r="F765">
        <v>0.57724558999999998</v>
      </c>
      <c r="G765">
        <v>0.42687809199999999</v>
      </c>
      <c r="H765">
        <v>0.22785417999999999</v>
      </c>
      <c r="I765">
        <v>0.23731588300000001</v>
      </c>
      <c r="J765">
        <v>0.29502706400000001</v>
      </c>
      <c r="K765">
        <v>0.37460234999999997</v>
      </c>
      <c r="L765">
        <v>0.35499944</v>
      </c>
      <c r="M765">
        <v>0.36826373899999998</v>
      </c>
      <c r="N765">
        <v>0.35963787200000003</v>
      </c>
      <c r="O765">
        <v>0.34911861599999999</v>
      </c>
      <c r="P765">
        <v>0.34105201600000001</v>
      </c>
      <c r="Q765">
        <v>0.36191590299999998</v>
      </c>
    </row>
    <row r="766" spans="1:17" x14ac:dyDescent="0.25">
      <c r="A766" t="s">
        <v>5</v>
      </c>
      <c r="B766" t="s">
        <v>6</v>
      </c>
      <c r="C766" t="s">
        <v>259</v>
      </c>
      <c r="D766" t="s">
        <v>55</v>
      </c>
      <c r="E766" t="s">
        <v>27</v>
      </c>
      <c r="F766">
        <v>0.34711593099999999</v>
      </c>
      <c r="G766">
        <v>0.29990504000000001</v>
      </c>
      <c r="H766">
        <v>0.198009149</v>
      </c>
      <c r="I766">
        <v>0.32021867799999998</v>
      </c>
      <c r="J766">
        <v>0.36832668200000002</v>
      </c>
      <c r="K766">
        <v>0.47570778000000002</v>
      </c>
      <c r="L766">
        <v>0.47064040899999998</v>
      </c>
      <c r="M766">
        <v>0.47817784899999999</v>
      </c>
      <c r="N766">
        <v>0.469071819</v>
      </c>
      <c r="O766">
        <v>0.47568588000000001</v>
      </c>
      <c r="P766">
        <v>0.51905928700000004</v>
      </c>
      <c r="Q766">
        <v>0.57589941600000005</v>
      </c>
    </row>
    <row r="767" spans="1:17" x14ac:dyDescent="0.25">
      <c r="A767" t="s">
        <v>5</v>
      </c>
      <c r="B767" t="s">
        <v>6</v>
      </c>
      <c r="C767" t="s">
        <v>259</v>
      </c>
      <c r="D767" t="s">
        <v>56</v>
      </c>
      <c r="E767" t="s">
        <v>27</v>
      </c>
      <c r="F767">
        <v>0.22786863299999999</v>
      </c>
      <c r="G767">
        <v>0.16442665100000001</v>
      </c>
      <c r="H767">
        <v>8.2721379999999997E-2</v>
      </c>
      <c r="I767">
        <v>8.4388165000000001E-2</v>
      </c>
      <c r="J767">
        <v>0.10646206599999999</v>
      </c>
      <c r="K767">
        <v>0.136589565</v>
      </c>
      <c r="L767">
        <v>0.128090448</v>
      </c>
      <c r="M767">
        <v>0.132420394</v>
      </c>
      <c r="N767">
        <v>0.12880576699999999</v>
      </c>
      <c r="O767">
        <v>0.124481999</v>
      </c>
      <c r="P767">
        <v>0.121085937</v>
      </c>
      <c r="Q767">
        <v>0.12825038799999999</v>
      </c>
    </row>
    <row r="768" spans="1:17" x14ac:dyDescent="0.25">
      <c r="A768" t="s">
        <v>5</v>
      </c>
      <c r="B768" t="s">
        <v>6</v>
      </c>
      <c r="C768" t="s">
        <v>259</v>
      </c>
      <c r="D768" t="s">
        <v>57</v>
      </c>
      <c r="E768" t="s">
        <v>27</v>
      </c>
      <c r="F768">
        <v>0.222875404</v>
      </c>
      <c r="G768">
        <v>0.19426848099999999</v>
      </c>
      <c r="H768">
        <v>0.127298524</v>
      </c>
      <c r="I768">
        <v>0.21042807199999999</v>
      </c>
      <c r="J768">
        <v>0.24254134099999999</v>
      </c>
      <c r="K768">
        <v>0.31955129399999999</v>
      </c>
      <c r="L768">
        <v>0.31886825400000002</v>
      </c>
      <c r="M768">
        <v>0.32608949300000001</v>
      </c>
      <c r="N768">
        <v>0.32112523500000001</v>
      </c>
      <c r="O768">
        <v>0.32737560700000001</v>
      </c>
      <c r="P768">
        <v>0.36065098899999998</v>
      </c>
      <c r="Q768">
        <v>0.404356779</v>
      </c>
    </row>
    <row r="769" spans="1:17" x14ac:dyDescent="0.25">
      <c r="A769" t="s">
        <v>5</v>
      </c>
      <c r="B769" t="s">
        <v>6</v>
      </c>
      <c r="C769" t="s">
        <v>259</v>
      </c>
      <c r="D769" t="s">
        <v>58</v>
      </c>
      <c r="E769" t="s">
        <v>27</v>
      </c>
      <c r="F769">
        <v>206.57861589999999</v>
      </c>
      <c r="G769">
        <v>157.76495869999999</v>
      </c>
      <c r="H769">
        <v>90.383476959999996</v>
      </c>
      <c r="I769">
        <v>96.300685650000005</v>
      </c>
      <c r="J769">
        <v>117.81983510000001</v>
      </c>
      <c r="K769">
        <v>147.86998439999999</v>
      </c>
      <c r="L769">
        <v>141.7858268</v>
      </c>
      <c r="M769">
        <v>147.64169140000001</v>
      </c>
      <c r="N769">
        <v>144.81121049999999</v>
      </c>
      <c r="O769">
        <v>141.25629810000001</v>
      </c>
      <c r="P769">
        <v>138.62866220000001</v>
      </c>
      <c r="Q769">
        <v>147.40666060000001</v>
      </c>
    </row>
    <row r="770" spans="1:17" x14ac:dyDescent="0.25">
      <c r="A770" t="s">
        <v>5</v>
      </c>
      <c r="B770" t="s">
        <v>6</v>
      </c>
      <c r="C770" t="s">
        <v>259</v>
      </c>
      <c r="D770" t="s">
        <v>59</v>
      </c>
      <c r="E770" t="s">
        <v>27</v>
      </c>
      <c r="F770">
        <v>59.441007949999999</v>
      </c>
      <c r="G770">
        <v>51.781215770000003</v>
      </c>
      <c r="H770">
        <v>33.98681113</v>
      </c>
      <c r="I770">
        <v>56.020600539999997</v>
      </c>
      <c r="J770">
        <v>64.587995770000006</v>
      </c>
      <c r="K770">
        <v>85.022377800000001</v>
      </c>
      <c r="L770">
        <v>84.881952709999993</v>
      </c>
      <c r="M770">
        <v>86.844760190000002</v>
      </c>
      <c r="N770">
        <v>85.556332830000002</v>
      </c>
      <c r="O770">
        <v>87.260245620000006</v>
      </c>
      <c r="P770">
        <v>96.194880449999999</v>
      </c>
      <c r="Q770">
        <v>107.94481930000001</v>
      </c>
    </row>
    <row r="771" spans="1:17" x14ac:dyDescent="0.25">
      <c r="A771" t="s">
        <v>5</v>
      </c>
      <c r="B771" t="s">
        <v>6</v>
      </c>
      <c r="C771" t="s">
        <v>259</v>
      </c>
      <c r="D771" t="s">
        <v>60</v>
      </c>
      <c r="E771" t="s">
        <v>27</v>
      </c>
      <c r="F771">
        <v>0.67117489799999996</v>
      </c>
      <c r="G771">
        <v>0.51384686899999998</v>
      </c>
      <c r="H771">
        <v>0.29589889000000003</v>
      </c>
      <c r="I771">
        <v>0.315765935</v>
      </c>
      <c r="J771">
        <v>0.38590142500000002</v>
      </c>
      <c r="K771">
        <v>0.483933373</v>
      </c>
      <c r="L771">
        <v>0.46440208900000002</v>
      </c>
      <c r="M771">
        <v>0.48370910299999997</v>
      </c>
      <c r="N771">
        <v>0.47457790500000002</v>
      </c>
      <c r="O771">
        <v>0.46308114299999997</v>
      </c>
      <c r="P771">
        <v>0.45460967400000002</v>
      </c>
      <c r="Q771">
        <v>0.48346207000000002</v>
      </c>
    </row>
    <row r="772" spans="1:17" x14ac:dyDescent="0.25">
      <c r="A772" t="s">
        <v>5</v>
      </c>
      <c r="B772" t="s">
        <v>6</v>
      </c>
      <c r="C772" t="s">
        <v>259</v>
      </c>
      <c r="D772" t="s">
        <v>61</v>
      </c>
      <c r="E772" t="s">
        <v>27</v>
      </c>
      <c r="F772">
        <v>0.538808336</v>
      </c>
      <c r="G772">
        <v>0.46358292099999998</v>
      </c>
      <c r="H772">
        <v>0.307531624</v>
      </c>
      <c r="I772">
        <v>0.49141971400000001</v>
      </c>
      <c r="J772">
        <v>0.56489352299999995</v>
      </c>
      <c r="K772">
        <v>0.72263116999999999</v>
      </c>
      <c r="L772">
        <v>0.71250259000000005</v>
      </c>
      <c r="M772">
        <v>0.72207404200000003</v>
      </c>
      <c r="N772">
        <v>0.707308932</v>
      </c>
      <c r="O772">
        <v>0.715813264</v>
      </c>
      <c r="P772">
        <v>0.778057416</v>
      </c>
      <c r="Q772">
        <v>0.85961848900000004</v>
      </c>
    </row>
    <row r="773" spans="1:17" x14ac:dyDescent="0.25">
      <c r="A773" t="s">
        <v>5</v>
      </c>
      <c r="B773" t="s">
        <v>6</v>
      </c>
      <c r="C773" t="s">
        <v>259</v>
      </c>
      <c r="D773" t="s">
        <v>62</v>
      </c>
      <c r="E773" t="s">
        <v>27</v>
      </c>
      <c r="F773">
        <v>10.68800098</v>
      </c>
      <c r="G773">
        <v>8.0597602039999998</v>
      </c>
      <c r="H773">
        <v>4.4945920380000004</v>
      </c>
      <c r="I773">
        <v>4.7487243159999997</v>
      </c>
      <c r="J773">
        <v>5.8442886759999997</v>
      </c>
      <c r="K773">
        <v>7.3667133150000002</v>
      </c>
      <c r="L773">
        <v>7.0327961270000001</v>
      </c>
      <c r="M773">
        <v>7.3129792599999996</v>
      </c>
      <c r="N773">
        <v>7.1612653960000001</v>
      </c>
      <c r="O773">
        <v>6.9730334000000003</v>
      </c>
      <c r="P773">
        <v>6.8317588819999999</v>
      </c>
      <c r="Q773">
        <v>7.2589672170000004</v>
      </c>
    </row>
    <row r="774" spans="1:17" x14ac:dyDescent="0.25">
      <c r="A774" t="s">
        <v>5</v>
      </c>
      <c r="B774" t="s">
        <v>6</v>
      </c>
      <c r="C774" t="s">
        <v>259</v>
      </c>
      <c r="D774" t="s">
        <v>63</v>
      </c>
      <c r="E774" t="s">
        <v>27</v>
      </c>
      <c r="F774">
        <v>1.1224747349999999</v>
      </c>
      <c r="G774">
        <v>0.97807771499999996</v>
      </c>
      <c r="H774">
        <v>0.64206522099999996</v>
      </c>
      <c r="I774">
        <v>1.0586797100000001</v>
      </c>
      <c r="J774">
        <v>1.221431167</v>
      </c>
      <c r="K774">
        <v>1.6111471669999999</v>
      </c>
      <c r="L774">
        <v>1.6121186890000001</v>
      </c>
      <c r="M774">
        <v>1.652850602</v>
      </c>
      <c r="N774">
        <v>1.63084892</v>
      </c>
      <c r="O774">
        <v>1.666660443</v>
      </c>
      <c r="P774">
        <v>1.8438541690000001</v>
      </c>
      <c r="Q774">
        <v>2.0779278030000001</v>
      </c>
    </row>
    <row r="775" spans="1:17" x14ac:dyDescent="0.25">
      <c r="A775" t="s">
        <v>5</v>
      </c>
      <c r="B775" t="s">
        <v>6</v>
      </c>
      <c r="C775" t="s">
        <v>259</v>
      </c>
      <c r="D775" t="s">
        <v>64</v>
      </c>
      <c r="E775" t="s">
        <v>27</v>
      </c>
      <c r="F775">
        <v>0.52567242599999997</v>
      </c>
      <c r="G775">
        <v>0.46951701000000001</v>
      </c>
      <c r="H775">
        <v>0.64108068900000004</v>
      </c>
      <c r="I775">
        <v>0.86083398499999997</v>
      </c>
      <c r="J775">
        <v>0.82580842200000004</v>
      </c>
      <c r="K775">
        <v>0.90661581099999999</v>
      </c>
      <c r="L775">
        <v>1.104807248</v>
      </c>
      <c r="M775">
        <v>1.617759674</v>
      </c>
      <c r="N775">
        <v>2.1825078750000002</v>
      </c>
      <c r="O775">
        <v>3.1257078549999999</v>
      </c>
      <c r="P775">
        <v>3.0153969250000001</v>
      </c>
      <c r="Q775">
        <v>2.3642629419999999</v>
      </c>
    </row>
    <row r="776" spans="1:17" x14ac:dyDescent="0.25">
      <c r="A776" t="s">
        <v>5</v>
      </c>
      <c r="B776" t="s">
        <v>6</v>
      </c>
      <c r="C776" t="s">
        <v>259</v>
      </c>
      <c r="D776" t="s">
        <v>65</v>
      </c>
      <c r="E776" t="s">
        <v>27</v>
      </c>
      <c r="F776">
        <v>4.7096917979999997</v>
      </c>
      <c r="G776">
        <v>10.2584059</v>
      </c>
      <c r="H776">
        <v>11.386796260000001</v>
      </c>
      <c r="I776">
        <v>5.4100766470000003</v>
      </c>
      <c r="J776">
        <v>4.4864654440000002</v>
      </c>
      <c r="K776">
        <v>6.2604387419999998</v>
      </c>
      <c r="L776">
        <v>5.80800874</v>
      </c>
      <c r="M776">
        <v>8.9650734589999992</v>
      </c>
      <c r="N776">
        <v>8.1112823519999999</v>
      </c>
      <c r="O776">
        <v>6.7569526849999999</v>
      </c>
      <c r="P776">
        <v>8.6269262550000008</v>
      </c>
      <c r="Q776">
        <v>7.1914619909999997</v>
      </c>
    </row>
    <row r="777" spans="1:17" x14ac:dyDescent="0.25">
      <c r="A777" t="s">
        <v>5</v>
      </c>
      <c r="B777" t="s">
        <v>6</v>
      </c>
      <c r="C777" t="s">
        <v>259</v>
      </c>
      <c r="D777" t="s">
        <v>66</v>
      </c>
      <c r="E777" t="s">
        <v>27</v>
      </c>
      <c r="F777">
        <v>4.1527339999999999E-3</v>
      </c>
      <c r="G777">
        <v>3.9738860000000003E-3</v>
      </c>
      <c r="H777">
        <v>9.6992439999999992E-3</v>
      </c>
      <c r="I777">
        <v>2.5317582000000002E-2</v>
      </c>
      <c r="J777">
        <v>1.7627417999999999E-2</v>
      </c>
      <c r="K777">
        <v>1.1913623E-2</v>
      </c>
      <c r="L777">
        <v>3.1309292000000002E-2</v>
      </c>
      <c r="M777">
        <v>5.4038033999999999E-2</v>
      </c>
      <c r="N777">
        <v>9.1331020999999998E-2</v>
      </c>
      <c r="O777">
        <v>0.14833418400000001</v>
      </c>
      <c r="P777">
        <v>0.12806058000000001</v>
      </c>
      <c r="Q777">
        <v>8.6200652000000003E-2</v>
      </c>
    </row>
    <row r="778" spans="1:17" x14ac:dyDescent="0.25">
      <c r="A778" t="s">
        <v>5</v>
      </c>
      <c r="B778" t="s">
        <v>6</v>
      </c>
      <c r="C778" t="s">
        <v>259</v>
      </c>
      <c r="D778" t="s">
        <v>67</v>
      </c>
      <c r="E778" t="s">
        <v>27</v>
      </c>
      <c r="F778">
        <v>3.3806250000000003E-2</v>
      </c>
      <c r="G778">
        <v>2.9793219999999999E-2</v>
      </c>
      <c r="H778">
        <v>5.6334637999999999E-2</v>
      </c>
      <c r="I778">
        <v>7.5739347999999998E-2</v>
      </c>
      <c r="J778">
        <v>7.8566219000000007E-2</v>
      </c>
      <c r="K778">
        <v>5.6811199E-2</v>
      </c>
      <c r="L778">
        <v>4.0272958999999997E-2</v>
      </c>
      <c r="M778">
        <v>6.0102042000000001E-2</v>
      </c>
      <c r="N778">
        <v>0.129870975</v>
      </c>
      <c r="O778">
        <v>0.173817108</v>
      </c>
      <c r="P778">
        <v>0.12799308500000001</v>
      </c>
      <c r="Q778">
        <v>0.10638044000000001</v>
      </c>
    </row>
    <row r="779" spans="1:17" x14ac:dyDescent="0.25">
      <c r="A779" t="s">
        <v>5</v>
      </c>
      <c r="B779" t="s">
        <v>6</v>
      </c>
      <c r="C779" t="s">
        <v>259</v>
      </c>
      <c r="D779" t="s">
        <v>68</v>
      </c>
      <c r="E779" t="s">
        <v>27</v>
      </c>
      <c r="F779">
        <v>0</v>
      </c>
      <c r="G779">
        <v>0</v>
      </c>
      <c r="H779">
        <v>0</v>
      </c>
      <c r="I779">
        <v>0</v>
      </c>
      <c r="J779">
        <v>0</v>
      </c>
      <c r="K779" s="1">
        <v>1.4699999999999999E-8</v>
      </c>
      <c r="L779" s="1">
        <v>5.9100000000000004E-7</v>
      </c>
      <c r="M779" s="1">
        <v>1.66E-6</v>
      </c>
      <c r="N779" s="1">
        <v>1.75E-6</v>
      </c>
      <c r="O779" s="1">
        <v>2.0099999999999998E-6</v>
      </c>
      <c r="P779" s="1">
        <v>3.5899999999999999E-6</v>
      </c>
      <c r="Q779" s="1">
        <v>3.1300000000000001E-6</v>
      </c>
    </row>
    <row r="780" spans="1:17" x14ac:dyDescent="0.25">
      <c r="A780" t="s">
        <v>5</v>
      </c>
      <c r="B780" t="s">
        <v>6</v>
      </c>
      <c r="C780" t="s">
        <v>259</v>
      </c>
      <c r="D780" t="s">
        <v>69</v>
      </c>
      <c r="E780" t="s">
        <v>27</v>
      </c>
      <c r="F780">
        <v>0.58751685600000003</v>
      </c>
      <c r="G780">
        <v>0.64373412100000005</v>
      </c>
      <c r="H780">
        <v>1.0786925949999999</v>
      </c>
      <c r="I780">
        <v>0.99093737400000004</v>
      </c>
      <c r="J780">
        <v>1.0072566789999999</v>
      </c>
      <c r="K780">
        <v>0.73516157599999998</v>
      </c>
      <c r="L780">
        <v>0.62161694199999995</v>
      </c>
      <c r="M780">
        <v>0.68404487300000005</v>
      </c>
      <c r="N780">
        <v>1.4273491979999999</v>
      </c>
      <c r="O780">
        <v>1.9461960140000001</v>
      </c>
      <c r="P780">
        <v>1.6635662280000001</v>
      </c>
      <c r="Q780">
        <v>1.447241448</v>
      </c>
    </row>
    <row r="781" spans="1:17" x14ac:dyDescent="0.25">
      <c r="A781" t="s">
        <v>5</v>
      </c>
      <c r="B781" t="s">
        <v>6</v>
      </c>
      <c r="C781" t="s">
        <v>259</v>
      </c>
      <c r="D781" t="s">
        <v>70</v>
      </c>
      <c r="E781" t="s">
        <v>27</v>
      </c>
      <c r="F781">
        <v>1.690583502</v>
      </c>
      <c r="G781">
        <v>1.888427807</v>
      </c>
      <c r="H781">
        <v>3.2356469080000001</v>
      </c>
      <c r="I781">
        <v>2.9859269830000001</v>
      </c>
      <c r="J781">
        <v>3.0042920390000001</v>
      </c>
      <c r="K781">
        <v>2.1261880830000002</v>
      </c>
      <c r="L781">
        <v>1.75044237</v>
      </c>
      <c r="M781">
        <v>1.9391694900000001</v>
      </c>
      <c r="N781">
        <v>4.216472735</v>
      </c>
      <c r="O781">
        <v>5.828837322</v>
      </c>
      <c r="P781">
        <v>5.0080215319999999</v>
      </c>
      <c r="Q781">
        <v>4.3922294040000001</v>
      </c>
    </row>
    <row r="782" spans="1:17" x14ac:dyDescent="0.25">
      <c r="A782" t="s">
        <v>5</v>
      </c>
      <c r="B782" t="s">
        <v>6</v>
      </c>
      <c r="C782" t="s">
        <v>259</v>
      </c>
      <c r="D782" t="s">
        <v>71</v>
      </c>
      <c r="E782" t="s">
        <v>27</v>
      </c>
      <c r="F782">
        <v>0.28997817399999998</v>
      </c>
      <c r="G782">
        <v>0.33301496899999999</v>
      </c>
      <c r="H782">
        <v>0.57846946300000002</v>
      </c>
      <c r="I782">
        <v>0.540674082</v>
      </c>
      <c r="J782">
        <v>0.53744152199999995</v>
      </c>
      <c r="K782">
        <v>0.37310807600000001</v>
      </c>
      <c r="L782">
        <v>0.30050134099999998</v>
      </c>
      <c r="M782">
        <v>0.33550469999999999</v>
      </c>
      <c r="N782">
        <v>0.75958378999999998</v>
      </c>
      <c r="O782">
        <v>1.0694072969999999</v>
      </c>
      <c r="P782">
        <v>0.92775773699999997</v>
      </c>
      <c r="Q782">
        <v>0.82902002399999997</v>
      </c>
    </row>
    <row r="783" spans="1:17" x14ac:dyDescent="0.25">
      <c r="A783" t="s">
        <v>5</v>
      </c>
      <c r="B783" t="s">
        <v>6</v>
      </c>
      <c r="C783" t="s">
        <v>259</v>
      </c>
      <c r="D783" t="s">
        <v>72</v>
      </c>
      <c r="E783" t="s">
        <v>27</v>
      </c>
      <c r="F783">
        <v>0.18576237500000001</v>
      </c>
      <c r="G783">
        <v>0.20564713400000001</v>
      </c>
      <c r="H783">
        <v>0.332431068</v>
      </c>
      <c r="I783">
        <v>0.31270092999999999</v>
      </c>
      <c r="J783">
        <v>0.32036428300000003</v>
      </c>
      <c r="K783">
        <v>0.24697924199999999</v>
      </c>
      <c r="L783">
        <v>0.21257353000000001</v>
      </c>
      <c r="M783">
        <v>0.23193080499999999</v>
      </c>
      <c r="N783">
        <v>0.47989796200000001</v>
      </c>
      <c r="O783">
        <v>0.662933836</v>
      </c>
      <c r="P783">
        <v>0.57612407399999999</v>
      </c>
      <c r="Q783">
        <v>0.52114245999999997</v>
      </c>
    </row>
    <row r="784" spans="1:17" x14ac:dyDescent="0.25">
      <c r="A784" t="s">
        <v>5</v>
      </c>
      <c r="B784" t="s">
        <v>6</v>
      </c>
      <c r="C784" t="s">
        <v>259</v>
      </c>
      <c r="D784" t="s">
        <v>73</v>
      </c>
      <c r="E784" t="s">
        <v>27</v>
      </c>
      <c r="F784">
        <v>7.0354060000000001E-3</v>
      </c>
      <c r="G784">
        <v>8.0579620000000001E-3</v>
      </c>
      <c r="H784">
        <v>1.4207578E-2</v>
      </c>
      <c r="I784">
        <v>1.3185814000000001E-2</v>
      </c>
      <c r="J784">
        <v>1.3095539E-2</v>
      </c>
      <c r="K784">
        <v>8.7115500000000002E-3</v>
      </c>
      <c r="L784">
        <v>6.8200659999999996E-3</v>
      </c>
      <c r="M784">
        <v>7.6572560000000003E-3</v>
      </c>
      <c r="N784">
        <v>1.7885680000000001E-2</v>
      </c>
      <c r="O784">
        <v>2.5144297999999999E-2</v>
      </c>
      <c r="P784">
        <v>2.1643256999999999E-2</v>
      </c>
      <c r="Q784">
        <v>1.9031396999999999E-2</v>
      </c>
    </row>
    <row r="785" spans="1:17" x14ac:dyDescent="0.25">
      <c r="A785" t="s">
        <v>5</v>
      </c>
      <c r="B785" t="s">
        <v>6</v>
      </c>
      <c r="C785" t="s">
        <v>259</v>
      </c>
      <c r="D785" t="s">
        <v>74</v>
      </c>
      <c r="E785" t="s">
        <v>27</v>
      </c>
      <c r="F785">
        <v>6.5062599999999998E-3</v>
      </c>
      <c r="G785">
        <v>2.7698750000000002E-3</v>
      </c>
      <c r="H785">
        <v>2.2368470000000001E-3</v>
      </c>
      <c r="I785">
        <v>5.060246E-3</v>
      </c>
      <c r="J785">
        <v>5.5224619999999997E-3</v>
      </c>
      <c r="K785">
        <v>4.0463979999999997E-3</v>
      </c>
      <c r="L785">
        <v>4.0188469999999999E-3</v>
      </c>
      <c r="M785">
        <v>7.4372850000000001E-3</v>
      </c>
      <c r="N785">
        <v>5.5365179999999998E-3</v>
      </c>
      <c r="O785">
        <v>5.0261949999999998E-3</v>
      </c>
      <c r="P785">
        <v>3.1305949999999999E-3</v>
      </c>
      <c r="Q785">
        <v>1.6378720000000001E-3</v>
      </c>
    </row>
    <row r="786" spans="1:17" x14ac:dyDescent="0.25">
      <c r="A786" t="s">
        <v>5</v>
      </c>
      <c r="B786" t="s">
        <v>6</v>
      </c>
      <c r="C786" t="s">
        <v>259</v>
      </c>
      <c r="D786" t="s">
        <v>75</v>
      </c>
      <c r="E786" t="s">
        <v>27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25">
      <c r="A787" t="s">
        <v>5</v>
      </c>
      <c r="B787" t="s">
        <v>6</v>
      </c>
      <c r="C787" t="s">
        <v>259</v>
      </c>
      <c r="D787" t="s">
        <v>76</v>
      </c>
      <c r="E787" t="s">
        <v>27</v>
      </c>
      <c r="F787">
        <v>1.5052920000000001E-3</v>
      </c>
      <c r="G787">
        <v>2.45393E-4</v>
      </c>
      <c r="H787" s="1">
        <v>2.3799999999999999E-5</v>
      </c>
      <c r="I787">
        <v>5.3735600000000001E-4</v>
      </c>
      <c r="J787">
        <v>1.0801E-4</v>
      </c>
      <c r="K787" s="1">
        <v>1.38E-5</v>
      </c>
      <c r="L787" s="1">
        <v>1.4399999999999999E-5</v>
      </c>
      <c r="M787">
        <v>3.9367900000000002E-4</v>
      </c>
      <c r="N787" s="1">
        <v>1.88E-5</v>
      </c>
      <c r="O787" s="1">
        <v>1.7099999999999999E-5</v>
      </c>
      <c r="P787" s="1">
        <v>1.0699999999999999E-5</v>
      </c>
      <c r="Q787" s="1">
        <v>5.57E-6</v>
      </c>
    </row>
    <row r="788" spans="1:17" x14ac:dyDescent="0.25">
      <c r="A788" t="s">
        <v>5</v>
      </c>
      <c r="B788" t="s">
        <v>6</v>
      </c>
      <c r="C788" t="s">
        <v>259</v>
      </c>
      <c r="D788" t="s">
        <v>77</v>
      </c>
      <c r="E788" t="s">
        <v>27</v>
      </c>
      <c r="F788">
        <v>1.3446199999999999E-4</v>
      </c>
      <c r="G788" s="1">
        <v>6.1299999999999999E-5</v>
      </c>
      <c r="H788" s="1">
        <v>5.1199999999999998E-5</v>
      </c>
      <c r="I788">
        <v>1.14184E-4</v>
      </c>
      <c r="J788">
        <v>1.2663099999999999E-4</v>
      </c>
      <c r="K788" s="1">
        <v>9.2800000000000006E-5</v>
      </c>
      <c r="L788" s="1">
        <v>9.2100000000000003E-5</v>
      </c>
      <c r="M788">
        <v>1.86229E-4</v>
      </c>
      <c r="N788">
        <v>1.26907E-4</v>
      </c>
      <c r="O788">
        <v>1.1521E-4</v>
      </c>
      <c r="P788" s="1">
        <v>7.1799999999999997E-5</v>
      </c>
      <c r="Q788" s="1">
        <v>3.7499999999999997E-5</v>
      </c>
    </row>
    <row r="789" spans="1:17" x14ac:dyDescent="0.25">
      <c r="A789" t="s">
        <v>5</v>
      </c>
      <c r="B789" t="s">
        <v>6</v>
      </c>
      <c r="C789" t="s">
        <v>259</v>
      </c>
      <c r="D789" t="s">
        <v>78</v>
      </c>
      <c r="E789" t="s">
        <v>27</v>
      </c>
      <c r="F789" s="1">
        <v>3.6699999999999998E-5</v>
      </c>
      <c r="G789" s="1">
        <v>2.88E-6</v>
      </c>
      <c r="H789" s="1">
        <v>1.4000000000000001E-7</v>
      </c>
      <c r="I789" s="1">
        <v>4.8799999999999999E-6</v>
      </c>
      <c r="J789" s="1">
        <v>1.33E-6</v>
      </c>
      <c r="K789">
        <v>0</v>
      </c>
      <c r="L789" s="1">
        <v>1.9300000000000001E-8</v>
      </c>
      <c r="M789" s="1">
        <v>1.0699999999999999E-5</v>
      </c>
      <c r="N789">
        <v>0</v>
      </c>
      <c r="O789">
        <v>0</v>
      </c>
      <c r="P789">
        <v>0</v>
      </c>
      <c r="Q789">
        <v>0</v>
      </c>
    </row>
    <row r="790" spans="1:17" x14ac:dyDescent="0.25">
      <c r="A790" t="s">
        <v>5</v>
      </c>
      <c r="B790" t="s">
        <v>6</v>
      </c>
      <c r="C790" t="s">
        <v>259</v>
      </c>
      <c r="D790" t="s">
        <v>79</v>
      </c>
      <c r="E790" t="s">
        <v>9</v>
      </c>
      <c r="F790">
        <v>1583.1974310000001</v>
      </c>
      <c r="G790">
        <v>1857.900748</v>
      </c>
      <c r="H790">
        <v>2032.0158899999999</v>
      </c>
      <c r="I790">
        <v>2274.635135</v>
      </c>
      <c r="J790">
        <v>2131.6446080000001</v>
      </c>
      <c r="K790">
        <v>2390.2638019999999</v>
      </c>
      <c r="L790">
        <v>2702.8790239999998</v>
      </c>
      <c r="M790">
        <v>3029.5215490000001</v>
      </c>
      <c r="N790">
        <v>3338.0794350000001</v>
      </c>
      <c r="O790">
        <v>3623.9603830000001</v>
      </c>
      <c r="P790">
        <v>3905.0597039999998</v>
      </c>
      <c r="Q790">
        <v>4159.096168</v>
      </c>
    </row>
    <row r="791" spans="1:17" x14ac:dyDescent="0.25">
      <c r="A791" t="s">
        <v>5</v>
      </c>
      <c r="B791" t="s">
        <v>6</v>
      </c>
      <c r="C791" t="s">
        <v>259</v>
      </c>
      <c r="D791" t="s">
        <v>80</v>
      </c>
      <c r="E791" t="s">
        <v>9</v>
      </c>
      <c r="F791">
        <v>36.191759429999998</v>
      </c>
      <c r="G791">
        <v>33.569938479999998</v>
      </c>
      <c r="H791">
        <v>39.262804439999996</v>
      </c>
      <c r="I791">
        <v>36.499017510000002</v>
      </c>
      <c r="J791">
        <v>33.365139200000002</v>
      </c>
      <c r="K791">
        <v>35.80889655</v>
      </c>
      <c r="L791">
        <v>39.98184655</v>
      </c>
      <c r="M791">
        <v>42.135470509999998</v>
      </c>
      <c r="N791">
        <v>44.157646159999999</v>
      </c>
      <c r="O791">
        <v>45.407161440000003</v>
      </c>
      <c r="P791">
        <v>45.110844159999999</v>
      </c>
      <c r="Q791">
        <v>44.792205780000003</v>
      </c>
    </row>
    <row r="792" spans="1:17" x14ac:dyDescent="0.25">
      <c r="A792" t="s">
        <v>5</v>
      </c>
      <c r="B792" t="s">
        <v>6</v>
      </c>
      <c r="C792" t="s">
        <v>259</v>
      </c>
      <c r="D792" t="s">
        <v>81</v>
      </c>
      <c r="E792" t="s">
        <v>9</v>
      </c>
      <c r="F792">
        <v>5999.6093030000002</v>
      </c>
      <c r="G792">
        <v>5344.21569</v>
      </c>
      <c r="H792">
        <v>6230.8966909999999</v>
      </c>
      <c r="I792">
        <v>6384.8294530000003</v>
      </c>
      <c r="J792">
        <v>6174.8657629999998</v>
      </c>
      <c r="K792">
        <v>5500.5780199999999</v>
      </c>
      <c r="L792">
        <v>5528.2296159999996</v>
      </c>
      <c r="M792">
        <v>5537.6576080000004</v>
      </c>
      <c r="N792">
        <v>5918.641944</v>
      </c>
      <c r="O792">
        <v>6104.5812169999999</v>
      </c>
      <c r="P792">
        <v>5799.7468360000003</v>
      </c>
      <c r="Q792">
        <v>5628.8035209999998</v>
      </c>
    </row>
    <row r="793" spans="1:17" x14ac:dyDescent="0.25">
      <c r="A793" t="s">
        <v>5</v>
      </c>
      <c r="B793" t="s">
        <v>6</v>
      </c>
      <c r="C793" t="s">
        <v>259</v>
      </c>
      <c r="D793" t="s">
        <v>82</v>
      </c>
      <c r="E793" t="s">
        <v>9</v>
      </c>
      <c r="F793">
        <v>111.91605629999999</v>
      </c>
      <c r="G793">
        <v>152.1850187</v>
      </c>
      <c r="H793">
        <v>219.9506897</v>
      </c>
      <c r="I793">
        <v>259.69740789999997</v>
      </c>
      <c r="J793">
        <v>264.945696</v>
      </c>
      <c r="K793">
        <v>318.73812090000001</v>
      </c>
      <c r="L793">
        <v>347.26546530000002</v>
      </c>
      <c r="M793">
        <v>368.73980319999998</v>
      </c>
      <c r="N793">
        <v>406.9171169</v>
      </c>
      <c r="O793">
        <v>431.18251600000002</v>
      </c>
      <c r="P793">
        <v>444.28179560000001</v>
      </c>
      <c r="Q793">
        <v>459.88723700000003</v>
      </c>
    </row>
    <row r="794" spans="1:17" x14ac:dyDescent="0.25">
      <c r="A794" t="s">
        <v>5</v>
      </c>
      <c r="B794" t="s">
        <v>6</v>
      </c>
      <c r="C794" t="s">
        <v>259</v>
      </c>
      <c r="D794" t="s">
        <v>83</v>
      </c>
      <c r="E794" t="s">
        <v>9</v>
      </c>
      <c r="F794">
        <v>0.19786700199999999</v>
      </c>
      <c r="G794">
        <v>0.187955867</v>
      </c>
      <c r="H794">
        <v>0.19149604000000001</v>
      </c>
      <c r="I794">
        <v>0.20363619399999999</v>
      </c>
      <c r="J794">
        <v>0.152895847</v>
      </c>
      <c r="K794">
        <v>0.149984169</v>
      </c>
      <c r="L794">
        <v>0.17713804</v>
      </c>
      <c r="M794">
        <v>0.225054118</v>
      </c>
      <c r="N794">
        <v>0.268850857</v>
      </c>
      <c r="O794">
        <v>0.28854265899999998</v>
      </c>
      <c r="P794">
        <v>0.28277964799999999</v>
      </c>
      <c r="Q794">
        <v>0.26683071600000002</v>
      </c>
    </row>
    <row r="795" spans="1:17" x14ac:dyDescent="0.25">
      <c r="A795" t="s">
        <v>5</v>
      </c>
      <c r="B795" t="s">
        <v>6</v>
      </c>
      <c r="C795" t="s">
        <v>259</v>
      </c>
      <c r="D795" t="s">
        <v>84</v>
      </c>
      <c r="E795" t="s">
        <v>9</v>
      </c>
      <c r="F795">
        <v>0.400506366</v>
      </c>
      <c r="G795">
        <v>0.75504687400000003</v>
      </c>
      <c r="H795">
        <v>0.61833475699999996</v>
      </c>
      <c r="I795">
        <v>0.86560938399999998</v>
      </c>
      <c r="J795">
        <v>0.684252635</v>
      </c>
      <c r="K795">
        <v>0.776044293</v>
      </c>
      <c r="L795">
        <v>0.90553592999999999</v>
      </c>
      <c r="M795">
        <v>1.051385239</v>
      </c>
      <c r="N795">
        <v>1.171201076</v>
      </c>
      <c r="O795">
        <v>1.251389654</v>
      </c>
      <c r="P795">
        <v>1.324130373</v>
      </c>
      <c r="Q795">
        <v>1.411743161</v>
      </c>
    </row>
    <row r="796" spans="1:17" x14ac:dyDescent="0.25">
      <c r="A796" t="s">
        <v>5</v>
      </c>
      <c r="B796" t="s">
        <v>6</v>
      </c>
      <c r="C796" t="s">
        <v>259</v>
      </c>
      <c r="D796" t="s">
        <v>85</v>
      </c>
      <c r="E796" t="s">
        <v>9</v>
      </c>
      <c r="F796">
        <v>1.5209451000000001E-2</v>
      </c>
      <c r="G796">
        <v>1.7981258E-2</v>
      </c>
      <c r="H796">
        <v>1.1992610000000001E-2</v>
      </c>
      <c r="I796">
        <v>7.7267615999999997E-2</v>
      </c>
      <c r="J796">
        <v>7.0627140000000003E-3</v>
      </c>
      <c r="K796">
        <v>1.0343388E-2</v>
      </c>
      <c r="L796">
        <v>1.9617824999999998E-2</v>
      </c>
      <c r="M796">
        <v>3.1359273E-2</v>
      </c>
      <c r="N796">
        <v>3.3255532999999997E-2</v>
      </c>
      <c r="O796">
        <v>2.9902076E-2</v>
      </c>
      <c r="P796">
        <v>3.6721217E-2</v>
      </c>
      <c r="Q796">
        <v>5.1135529999999998E-2</v>
      </c>
    </row>
    <row r="797" spans="1:17" x14ac:dyDescent="0.25">
      <c r="A797" t="s">
        <v>5</v>
      </c>
      <c r="B797" t="s">
        <v>6</v>
      </c>
      <c r="C797" t="s">
        <v>259</v>
      </c>
      <c r="D797" t="s">
        <v>86</v>
      </c>
      <c r="E797" t="s">
        <v>9</v>
      </c>
      <c r="F797">
        <v>5.1098199999999999E-4</v>
      </c>
      <c r="G797">
        <v>6.4556900000000003E-4</v>
      </c>
      <c r="H797">
        <v>3.9464600000000002E-4</v>
      </c>
      <c r="I797">
        <v>1.0021539999999999E-3</v>
      </c>
      <c r="J797">
        <v>5.2668400000000003E-4</v>
      </c>
      <c r="K797">
        <v>6.4631200000000001E-4</v>
      </c>
      <c r="L797">
        <v>8.7143599999999996E-4</v>
      </c>
      <c r="M797">
        <v>1.1314809999999999E-3</v>
      </c>
      <c r="N797">
        <v>1.188403E-3</v>
      </c>
      <c r="O797">
        <v>1.1062310000000001E-3</v>
      </c>
      <c r="P797">
        <v>1.1784670000000001E-3</v>
      </c>
      <c r="Q797">
        <v>1.402948E-3</v>
      </c>
    </row>
    <row r="798" spans="1:17" x14ac:dyDescent="0.25">
      <c r="A798" t="s">
        <v>5</v>
      </c>
      <c r="B798" t="s">
        <v>6</v>
      </c>
      <c r="C798" t="s">
        <v>259</v>
      </c>
      <c r="D798" t="s">
        <v>87</v>
      </c>
      <c r="E798" t="s">
        <v>9</v>
      </c>
      <c r="F798">
        <v>0.16206287599999999</v>
      </c>
      <c r="G798">
        <v>0.26495529600000001</v>
      </c>
      <c r="H798">
        <v>0.19499412899999999</v>
      </c>
      <c r="I798">
        <v>0.20439838399999999</v>
      </c>
      <c r="J798">
        <v>0.21557694699999999</v>
      </c>
      <c r="K798">
        <v>0.23015660199999999</v>
      </c>
      <c r="L798">
        <v>0.25011380799999999</v>
      </c>
      <c r="M798">
        <v>0.27709639600000002</v>
      </c>
      <c r="N798">
        <v>0.30745433599999999</v>
      </c>
      <c r="O798">
        <v>0.33435137599999998</v>
      </c>
      <c r="P798">
        <v>0.35428567900000002</v>
      </c>
      <c r="Q798">
        <v>0.36626146700000001</v>
      </c>
    </row>
    <row r="799" spans="1:17" x14ac:dyDescent="0.25">
      <c r="A799" t="s">
        <v>5</v>
      </c>
      <c r="B799" t="s">
        <v>6</v>
      </c>
      <c r="C799" t="s">
        <v>259</v>
      </c>
      <c r="D799" t="s">
        <v>88</v>
      </c>
      <c r="E799" t="s">
        <v>19</v>
      </c>
      <c r="F799">
        <v>40089316.969999999</v>
      </c>
      <c r="G799">
        <v>53824478.479999997</v>
      </c>
      <c r="H799">
        <v>60387621.960000001</v>
      </c>
      <c r="I799">
        <v>50460544.170000002</v>
      </c>
      <c r="J799">
        <v>46067232.890000001</v>
      </c>
      <c r="K799">
        <v>47749617.079999998</v>
      </c>
      <c r="L799">
        <v>49546715.399999999</v>
      </c>
      <c r="M799">
        <v>51340548.130000003</v>
      </c>
      <c r="N799">
        <v>53118525.090000004</v>
      </c>
      <c r="O799">
        <v>54847088.329999998</v>
      </c>
      <c r="P799">
        <v>56483070.710000001</v>
      </c>
      <c r="Q799">
        <v>57823640.07</v>
      </c>
    </row>
    <row r="800" spans="1:17" x14ac:dyDescent="0.25">
      <c r="A800" t="s">
        <v>5</v>
      </c>
      <c r="B800" t="s">
        <v>6</v>
      </c>
      <c r="C800" t="s">
        <v>259</v>
      </c>
      <c r="D800" t="s">
        <v>89</v>
      </c>
      <c r="E800" t="s">
        <v>19</v>
      </c>
      <c r="F800">
        <v>18713630.850000001</v>
      </c>
      <c r="G800">
        <v>25683231.629999999</v>
      </c>
      <c r="H800">
        <v>27539493.899999999</v>
      </c>
      <c r="I800">
        <v>23861293.899999999</v>
      </c>
      <c r="J800">
        <v>23737340.300000001</v>
      </c>
      <c r="K800">
        <v>25179499.800000001</v>
      </c>
      <c r="L800">
        <v>26734661.809999999</v>
      </c>
      <c r="M800">
        <v>28374693.809999999</v>
      </c>
      <c r="N800">
        <v>30091519.620000001</v>
      </c>
      <c r="O800">
        <v>31856517.870000001</v>
      </c>
      <c r="P800">
        <v>33632481.43</v>
      </c>
      <c r="Q800">
        <v>35179987.25</v>
      </c>
    </row>
    <row r="801" spans="1:17" x14ac:dyDescent="0.25">
      <c r="A801" t="s">
        <v>5</v>
      </c>
      <c r="B801" t="s">
        <v>6</v>
      </c>
      <c r="C801" t="s">
        <v>259</v>
      </c>
      <c r="D801" t="s">
        <v>90</v>
      </c>
      <c r="E801" t="s">
        <v>19</v>
      </c>
      <c r="F801">
        <v>9191814.7210000008</v>
      </c>
      <c r="G801">
        <v>12669584.27</v>
      </c>
      <c r="H801">
        <v>13463602.15</v>
      </c>
      <c r="I801">
        <v>11750137.869999999</v>
      </c>
      <c r="J801">
        <v>11877159.800000001</v>
      </c>
      <c r="K801">
        <v>12649577.630000001</v>
      </c>
      <c r="L801">
        <v>13483298.35</v>
      </c>
      <c r="M801">
        <v>14367130.960000001</v>
      </c>
      <c r="N801">
        <v>15296894.119999999</v>
      </c>
      <c r="O801">
        <v>16257265.98</v>
      </c>
      <c r="P801">
        <v>17228307.649999999</v>
      </c>
      <c r="Q801">
        <v>18078303.420000002</v>
      </c>
    </row>
    <row r="802" spans="1:17" x14ac:dyDescent="0.25">
      <c r="A802" t="s">
        <v>5</v>
      </c>
      <c r="B802" t="s">
        <v>6</v>
      </c>
      <c r="C802" t="s">
        <v>259</v>
      </c>
      <c r="D802" t="s">
        <v>91</v>
      </c>
      <c r="E802" t="s">
        <v>19</v>
      </c>
      <c r="F802">
        <v>678568.31050000002</v>
      </c>
      <c r="G802">
        <v>2944460.2609999999</v>
      </c>
      <c r="H802">
        <v>2632845.2230000002</v>
      </c>
      <c r="I802">
        <v>4450197.301</v>
      </c>
      <c r="J802">
        <v>1936473.4839999999</v>
      </c>
      <c r="K802">
        <v>2716301.196</v>
      </c>
      <c r="L802">
        <v>3826931.9380000001</v>
      </c>
      <c r="M802">
        <v>5139320.9139999999</v>
      </c>
      <c r="N802">
        <v>6585497.8370000003</v>
      </c>
      <c r="O802">
        <v>8085866.2699999996</v>
      </c>
      <c r="P802">
        <v>9666488.5769999996</v>
      </c>
      <c r="Q802">
        <v>11213570.98</v>
      </c>
    </row>
    <row r="803" spans="1:17" x14ac:dyDescent="0.25">
      <c r="A803" t="s">
        <v>5</v>
      </c>
      <c r="B803" t="s">
        <v>6</v>
      </c>
      <c r="C803" t="s">
        <v>259</v>
      </c>
      <c r="D803" t="s">
        <v>92</v>
      </c>
      <c r="E803" t="s">
        <v>19</v>
      </c>
      <c r="F803">
        <v>744179.56559999997</v>
      </c>
      <c r="G803">
        <v>1950650.986</v>
      </c>
      <c r="H803">
        <v>1733478.5919999999</v>
      </c>
      <c r="I803">
        <v>2477846.5890000002</v>
      </c>
      <c r="J803">
        <v>1538871.415</v>
      </c>
      <c r="K803">
        <v>1901847.3089999999</v>
      </c>
      <c r="L803">
        <v>2363442.2599999998</v>
      </c>
      <c r="M803">
        <v>2867903.3220000002</v>
      </c>
      <c r="N803">
        <v>3391987.4380000001</v>
      </c>
      <c r="O803">
        <v>3910781.42</v>
      </c>
      <c r="P803">
        <v>4432186.8279999997</v>
      </c>
      <c r="Q803">
        <v>4919621.2740000002</v>
      </c>
    </row>
    <row r="804" spans="1:17" x14ac:dyDescent="0.25">
      <c r="A804" t="s">
        <v>5</v>
      </c>
      <c r="B804" t="s">
        <v>6</v>
      </c>
      <c r="C804" t="s">
        <v>259</v>
      </c>
      <c r="D804" t="s">
        <v>93</v>
      </c>
      <c r="E804" t="s">
        <v>19</v>
      </c>
      <c r="F804">
        <v>791435.18859999999</v>
      </c>
      <c r="G804">
        <v>3025031.7089999998</v>
      </c>
      <c r="H804">
        <v>2673586.5019999999</v>
      </c>
      <c r="I804">
        <v>4283772.1050000004</v>
      </c>
      <c r="J804">
        <v>2073937.452</v>
      </c>
      <c r="K804">
        <v>2787139.977</v>
      </c>
      <c r="L804">
        <v>3746364.3470000001</v>
      </c>
      <c r="M804">
        <v>4827913.307</v>
      </c>
      <c r="N804">
        <v>5973538.2000000002</v>
      </c>
      <c r="O804">
        <v>7122774.4740000004</v>
      </c>
      <c r="P804">
        <v>8287922.9910000004</v>
      </c>
      <c r="Q804">
        <v>9379573.9299999997</v>
      </c>
    </row>
    <row r="805" spans="1:17" x14ac:dyDescent="0.25">
      <c r="A805" t="s">
        <v>5</v>
      </c>
      <c r="B805" t="s">
        <v>6</v>
      </c>
      <c r="C805" t="s">
        <v>259</v>
      </c>
      <c r="D805" t="s">
        <v>94</v>
      </c>
      <c r="E805" t="s">
        <v>19</v>
      </c>
      <c r="F805">
        <v>11064197.199999999</v>
      </c>
      <c r="G805">
        <v>20093761.859999999</v>
      </c>
      <c r="H805">
        <v>18184403.789999999</v>
      </c>
      <c r="I805">
        <v>22722952.859999999</v>
      </c>
      <c r="J805">
        <v>18292525.800000001</v>
      </c>
      <c r="K805">
        <v>20876921.68</v>
      </c>
      <c r="L805">
        <v>23823828.41</v>
      </c>
      <c r="M805">
        <v>26773853.920000002</v>
      </c>
      <c r="N805">
        <v>29611544.960000001</v>
      </c>
      <c r="O805">
        <v>32227836.379999999</v>
      </c>
      <c r="P805">
        <v>34650777.93</v>
      </c>
      <c r="Q805">
        <v>36713413.869999997</v>
      </c>
    </row>
    <row r="806" spans="1:17" x14ac:dyDescent="0.25">
      <c r="A806" t="s">
        <v>5</v>
      </c>
      <c r="B806" t="s">
        <v>6</v>
      </c>
      <c r="C806" t="s">
        <v>259</v>
      </c>
      <c r="D806" t="s">
        <v>95</v>
      </c>
      <c r="E806" t="s">
        <v>27</v>
      </c>
      <c r="F806">
        <v>1.4106442830000001</v>
      </c>
      <c r="G806">
        <v>1.655323181</v>
      </c>
      <c r="H806">
        <v>1.810593562</v>
      </c>
      <c r="I806">
        <v>2.02868571</v>
      </c>
      <c r="J806">
        <v>1.9034521959999999</v>
      </c>
      <c r="K806">
        <v>2.1366674840000002</v>
      </c>
      <c r="L806">
        <v>2.4170990749999999</v>
      </c>
      <c r="M806">
        <v>2.7080916410000002</v>
      </c>
      <c r="N806">
        <v>2.9791671800000001</v>
      </c>
      <c r="O806">
        <v>3.2239675569999999</v>
      </c>
      <c r="P806">
        <v>3.4579775779999999</v>
      </c>
      <c r="Q806">
        <v>3.6667930599999998</v>
      </c>
    </row>
    <row r="807" spans="1:17" x14ac:dyDescent="0.25">
      <c r="A807" t="s">
        <v>5</v>
      </c>
      <c r="B807" t="s">
        <v>6</v>
      </c>
      <c r="C807" t="s">
        <v>259</v>
      </c>
      <c r="D807" t="s">
        <v>96</v>
      </c>
      <c r="E807" t="s">
        <v>27</v>
      </c>
      <c r="F807">
        <v>2.2324037890000001</v>
      </c>
      <c r="G807">
        <v>2.7068180380000002</v>
      </c>
      <c r="H807">
        <v>3.1781236339999999</v>
      </c>
      <c r="I807">
        <v>3.4904394910000001</v>
      </c>
      <c r="J807">
        <v>3.4978326399999999</v>
      </c>
      <c r="K807">
        <v>3.8834057830000002</v>
      </c>
      <c r="L807">
        <v>4.3409772530000001</v>
      </c>
      <c r="M807">
        <v>4.7820256060000004</v>
      </c>
      <c r="N807">
        <v>5.2149410009999997</v>
      </c>
      <c r="O807">
        <v>5.5716252620000004</v>
      </c>
      <c r="P807">
        <v>5.8694101610000002</v>
      </c>
      <c r="Q807">
        <v>6.139159942</v>
      </c>
    </row>
    <row r="808" spans="1:17" x14ac:dyDescent="0.25">
      <c r="A808" t="s">
        <v>5</v>
      </c>
      <c r="B808" t="s">
        <v>6</v>
      </c>
      <c r="C808" t="s">
        <v>259</v>
      </c>
      <c r="D808" t="s">
        <v>97</v>
      </c>
      <c r="E808" t="s">
        <v>27</v>
      </c>
      <c r="F808">
        <v>0.69763879799999995</v>
      </c>
      <c r="G808">
        <v>1.2869944280000001</v>
      </c>
      <c r="H808">
        <v>1.059694275</v>
      </c>
      <c r="I808">
        <v>1.4736462299999999</v>
      </c>
      <c r="J808">
        <v>1.1636689469999999</v>
      </c>
      <c r="K808">
        <v>1.316208772</v>
      </c>
      <c r="L808">
        <v>1.5361680900000001</v>
      </c>
      <c r="M808">
        <v>1.7865607509999999</v>
      </c>
      <c r="N808">
        <v>1.9929476580000001</v>
      </c>
      <c r="O808">
        <v>2.1296380730000002</v>
      </c>
      <c r="P808">
        <v>2.250083595</v>
      </c>
      <c r="Q808">
        <v>2.3938226189999998</v>
      </c>
    </row>
    <row r="809" spans="1:17" x14ac:dyDescent="0.25">
      <c r="A809" t="s">
        <v>5</v>
      </c>
      <c r="B809" t="s">
        <v>6</v>
      </c>
      <c r="C809" t="s">
        <v>259</v>
      </c>
      <c r="D809" t="s">
        <v>98</v>
      </c>
      <c r="E809" t="s">
        <v>27</v>
      </c>
      <c r="F809" s="1">
        <v>8.7299999999999994E-5</v>
      </c>
      <c r="G809">
        <v>1.0357E-4</v>
      </c>
      <c r="H809" s="1">
        <v>6.8800000000000005E-5</v>
      </c>
      <c r="I809">
        <v>4.2977E-4</v>
      </c>
      <c r="J809" s="1">
        <v>4.3000000000000002E-5</v>
      </c>
      <c r="K809" s="1">
        <v>6.19E-5</v>
      </c>
      <c r="L809">
        <v>1.14438E-4</v>
      </c>
      <c r="M809">
        <v>1.8067499999999999E-4</v>
      </c>
      <c r="N809">
        <v>1.9150100000000001E-4</v>
      </c>
      <c r="O809">
        <v>1.7251500000000001E-4</v>
      </c>
      <c r="P809">
        <v>2.10304E-4</v>
      </c>
      <c r="Q809">
        <v>2.90802E-4</v>
      </c>
    </row>
    <row r="810" spans="1:17" x14ac:dyDescent="0.25">
      <c r="A810" t="s">
        <v>5</v>
      </c>
      <c r="B810" t="s">
        <v>6</v>
      </c>
      <c r="C810" t="s">
        <v>259</v>
      </c>
      <c r="D810" t="s">
        <v>99</v>
      </c>
      <c r="E810" t="s">
        <v>27</v>
      </c>
      <c r="F810">
        <v>7.0050683000000002E-2</v>
      </c>
      <c r="G810">
        <v>0.120669687</v>
      </c>
      <c r="H810">
        <v>8.5031239999999994E-2</v>
      </c>
      <c r="I810">
        <v>8.4445861999999997E-2</v>
      </c>
      <c r="J810">
        <v>9.3317495E-2</v>
      </c>
      <c r="K810">
        <v>0.103296373</v>
      </c>
      <c r="L810">
        <v>0.109081462</v>
      </c>
      <c r="M810">
        <v>0.114478079</v>
      </c>
      <c r="N810">
        <v>0.124415519</v>
      </c>
      <c r="O810">
        <v>0.136592351</v>
      </c>
      <c r="P810">
        <v>0.14643426800000001</v>
      </c>
      <c r="Q810">
        <v>0.151658926</v>
      </c>
    </row>
    <row r="811" spans="1:17" x14ac:dyDescent="0.25">
      <c r="A811" t="s">
        <v>5</v>
      </c>
      <c r="B811" t="s">
        <v>6</v>
      </c>
      <c r="C811" t="s">
        <v>259</v>
      </c>
      <c r="D811" t="s">
        <v>100</v>
      </c>
      <c r="E811" t="s">
        <v>27</v>
      </c>
      <c r="F811">
        <v>0.21553532</v>
      </c>
      <c r="G811">
        <v>0.25331516199999998</v>
      </c>
      <c r="H811">
        <v>0.27743528899999997</v>
      </c>
      <c r="I811">
        <v>0.31200992300000002</v>
      </c>
      <c r="J811">
        <v>0.293991479</v>
      </c>
      <c r="K811">
        <v>0.33220814100000001</v>
      </c>
      <c r="L811">
        <v>0.37792060500000002</v>
      </c>
      <c r="M811">
        <v>0.42803401200000002</v>
      </c>
      <c r="N811">
        <v>0.48429194199999998</v>
      </c>
      <c r="O811">
        <v>0.555977689</v>
      </c>
      <c r="P811">
        <v>0.64950504499999995</v>
      </c>
      <c r="Q811">
        <v>0.74414770500000005</v>
      </c>
    </row>
    <row r="812" spans="1:17" x14ac:dyDescent="0.25">
      <c r="A812" t="s">
        <v>5</v>
      </c>
      <c r="B812" t="s">
        <v>6</v>
      </c>
      <c r="C812" t="s">
        <v>259</v>
      </c>
      <c r="D812" t="s">
        <v>101</v>
      </c>
      <c r="E812" t="s">
        <v>27</v>
      </c>
      <c r="F812">
        <v>0.38770940599999998</v>
      </c>
      <c r="G812">
        <v>0.42333608700000003</v>
      </c>
      <c r="H812">
        <v>0.48322280699999998</v>
      </c>
      <c r="I812">
        <v>0.51750066800000005</v>
      </c>
      <c r="J812">
        <v>0.49408824400000001</v>
      </c>
      <c r="K812">
        <v>0.54189386100000003</v>
      </c>
      <c r="L812">
        <v>0.60617250499999997</v>
      </c>
      <c r="M812">
        <v>0.66833563200000001</v>
      </c>
      <c r="N812">
        <v>0.74092756100000001</v>
      </c>
      <c r="O812">
        <v>0.82319985399999995</v>
      </c>
      <c r="P812">
        <v>0.91728975599999996</v>
      </c>
      <c r="Q812">
        <v>1.013354876</v>
      </c>
    </row>
    <row r="813" spans="1:17" x14ac:dyDescent="0.25">
      <c r="A813" t="s">
        <v>5</v>
      </c>
      <c r="B813" t="s">
        <v>6</v>
      </c>
      <c r="C813" t="s">
        <v>259</v>
      </c>
      <c r="D813" t="s">
        <v>102</v>
      </c>
      <c r="E813" t="s">
        <v>27</v>
      </c>
      <c r="F813">
        <v>5.3918855000000002E-2</v>
      </c>
      <c r="G813">
        <v>8.6977358000000005E-2</v>
      </c>
      <c r="H813">
        <v>7.4207750000000003E-2</v>
      </c>
      <c r="I813">
        <v>9.8775135999999999E-2</v>
      </c>
      <c r="J813">
        <v>7.7441258999999998E-2</v>
      </c>
      <c r="K813">
        <v>8.5975545E-2</v>
      </c>
      <c r="L813">
        <v>0.100494771</v>
      </c>
      <c r="M813">
        <v>0.11822434</v>
      </c>
      <c r="N813">
        <v>0.13314594399999999</v>
      </c>
      <c r="O813">
        <v>0.14238223699999999</v>
      </c>
      <c r="P813">
        <v>0.148909921</v>
      </c>
      <c r="Q813">
        <v>0.15607553900000001</v>
      </c>
    </row>
    <row r="814" spans="1:17" x14ac:dyDescent="0.25">
      <c r="A814" t="s">
        <v>5</v>
      </c>
      <c r="B814" t="s">
        <v>6</v>
      </c>
      <c r="C814" t="s">
        <v>259</v>
      </c>
      <c r="D814" t="s">
        <v>103</v>
      </c>
      <c r="E814" t="s">
        <v>27</v>
      </c>
      <c r="F814">
        <v>6.5961899999999996E-4</v>
      </c>
      <c r="G814">
        <v>7.8253199999999995E-4</v>
      </c>
      <c r="H814">
        <v>5.19569E-4</v>
      </c>
      <c r="I814">
        <v>3.2471510000000002E-3</v>
      </c>
      <c r="J814">
        <v>3.2516400000000002E-4</v>
      </c>
      <c r="K814">
        <v>4.6805700000000002E-4</v>
      </c>
      <c r="L814">
        <v>8.6464500000000004E-4</v>
      </c>
      <c r="M814">
        <v>1.3651E-3</v>
      </c>
      <c r="N814">
        <v>1.446896E-3</v>
      </c>
      <c r="O814">
        <v>1.3034469999999999E-3</v>
      </c>
      <c r="P814">
        <v>1.588964E-3</v>
      </c>
      <c r="Q814">
        <v>2.1971669999999999E-3</v>
      </c>
    </row>
    <row r="815" spans="1:17" x14ac:dyDescent="0.25">
      <c r="A815" t="s">
        <v>5</v>
      </c>
      <c r="B815" t="s">
        <v>6</v>
      </c>
      <c r="C815" t="s">
        <v>259</v>
      </c>
      <c r="D815" t="s">
        <v>104</v>
      </c>
      <c r="E815" t="s">
        <v>27</v>
      </c>
      <c r="F815">
        <v>7.6978799999999998E-4</v>
      </c>
      <c r="G815">
        <v>1.326041E-3</v>
      </c>
      <c r="H815">
        <v>9.3440899999999998E-4</v>
      </c>
      <c r="I815">
        <v>9.2797699999999997E-4</v>
      </c>
      <c r="J815">
        <v>1.025467E-3</v>
      </c>
      <c r="K815">
        <v>1.1351250000000001E-3</v>
      </c>
      <c r="L815">
        <v>1.1986970000000001E-3</v>
      </c>
      <c r="M815">
        <v>1.2580009999999999E-3</v>
      </c>
      <c r="N815">
        <v>1.3672039999999999E-3</v>
      </c>
      <c r="O815">
        <v>1.5010150000000001E-3</v>
      </c>
      <c r="P815">
        <v>1.609168E-3</v>
      </c>
      <c r="Q815">
        <v>1.666582E-3</v>
      </c>
    </row>
    <row r="816" spans="1:17" x14ac:dyDescent="0.25">
      <c r="A816" t="s">
        <v>5</v>
      </c>
      <c r="B816" t="s">
        <v>6</v>
      </c>
      <c r="C816" t="s">
        <v>259</v>
      </c>
      <c r="D816" t="s">
        <v>105</v>
      </c>
      <c r="E816" t="s">
        <v>27</v>
      </c>
      <c r="F816">
        <v>4.1089552000000001E-2</v>
      </c>
      <c r="G816">
        <v>4.8598896000000003E-2</v>
      </c>
      <c r="H816">
        <v>5.3503663E-2</v>
      </c>
      <c r="I816">
        <v>6.1061908999999998E-2</v>
      </c>
      <c r="J816">
        <v>5.8497832999999999E-2</v>
      </c>
      <c r="K816">
        <v>6.7605280000000004E-2</v>
      </c>
      <c r="L816">
        <v>7.8142223999999996E-2</v>
      </c>
      <c r="M816">
        <v>9.1614299999999996E-2</v>
      </c>
      <c r="N816">
        <v>0.112704939</v>
      </c>
      <c r="O816">
        <v>0.150341217</v>
      </c>
      <c r="P816">
        <v>0.20854678800000001</v>
      </c>
      <c r="Q816">
        <v>0.27030781799999998</v>
      </c>
    </row>
    <row r="817" spans="1:17" x14ac:dyDescent="0.25">
      <c r="A817" t="s">
        <v>5</v>
      </c>
      <c r="B817" t="s">
        <v>6</v>
      </c>
      <c r="C817" t="s">
        <v>259</v>
      </c>
      <c r="D817" t="s">
        <v>106</v>
      </c>
      <c r="E817" t="s">
        <v>27</v>
      </c>
      <c r="F817">
        <v>4.6132092E-2</v>
      </c>
      <c r="G817">
        <v>5.5226206999999999E-2</v>
      </c>
      <c r="H817">
        <v>6.2404303000000001E-2</v>
      </c>
      <c r="I817">
        <v>7.0881238999999999E-2</v>
      </c>
      <c r="J817">
        <v>6.9043541999999999E-2</v>
      </c>
      <c r="K817">
        <v>7.9635181999999999E-2</v>
      </c>
      <c r="L817">
        <v>9.1527027999999996E-2</v>
      </c>
      <c r="M817">
        <v>0.106269107</v>
      </c>
      <c r="N817">
        <v>0.12903972499999999</v>
      </c>
      <c r="O817">
        <v>0.16814917400000001</v>
      </c>
      <c r="P817">
        <v>0.22747088200000001</v>
      </c>
      <c r="Q817">
        <v>0.29018881299999999</v>
      </c>
    </row>
    <row r="818" spans="1:17" x14ac:dyDescent="0.25">
      <c r="A818" t="s">
        <v>5</v>
      </c>
      <c r="B818" t="s">
        <v>6</v>
      </c>
      <c r="C818" t="s">
        <v>259</v>
      </c>
      <c r="D818" t="s">
        <v>107</v>
      </c>
      <c r="E818" t="s">
        <v>27</v>
      </c>
      <c r="F818">
        <v>1.1298479999999999E-3</v>
      </c>
      <c r="G818">
        <v>2.0647320000000001E-3</v>
      </c>
      <c r="H818">
        <v>1.7041479999999999E-3</v>
      </c>
      <c r="I818">
        <v>2.362917E-3</v>
      </c>
      <c r="J818">
        <v>1.8650610000000001E-3</v>
      </c>
      <c r="K818">
        <v>2.107126E-3</v>
      </c>
      <c r="L818">
        <v>2.4597130000000001E-3</v>
      </c>
      <c r="M818">
        <v>2.8630679999999999E-3</v>
      </c>
      <c r="N818">
        <v>3.1962599999999998E-3</v>
      </c>
      <c r="O818">
        <v>3.4165070000000001E-3</v>
      </c>
      <c r="P818">
        <v>3.6091230000000001E-3</v>
      </c>
      <c r="Q818">
        <v>3.83885E-3</v>
      </c>
    </row>
    <row r="819" spans="1:17" x14ac:dyDescent="0.25">
      <c r="A819" t="s">
        <v>5</v>
      </c>
      <c r="B819" t="s">
        <v>6</v>
      </c>
      <c r="C819" t="s">
        <v>259</v>
      </c>
      <c r="D819" t="s">
        <v>108</v>
      </c>
      <c r="E819" t="s">
        <v>27</v>
      </c>
      <c r="F819" s="1">
        <v>4.2400000000000001E-6</v>
      </c>
      <c r="G819" s="1">
        <v>5.0100000000000003E-6</v>
      </c>
      <c r="H819" s="1">
        <v>3.3400000000000002E-6</v>
      </c>
      <c r="I819" s="1">
        <v>2.1500000000000001E-5</v>
      </c>
      <c r="J819" s="1">
        <v>1.9700000000000002E-6</v>
      </c>
      <c r="K819" s="1">
        <v>2.88E-6</v>
      </c>
      <c r="L819" s="1">
        <v>5.4600000000000002E-6</v>
      </c>
      <c r="M819" s="1">
        <v>8.7399999999999993E-6</v>
      </c>
      <c r="N819" s="1">
        <v>9.2599999999999994E-6</v>
      </c>
      <c r="O819" s="1">
        <v>8.3299999999999999E-6</v>
      </c>
      <c r="P819" s="1">
        <v>1.0200000000000001E-5</v>
      </c>
      <c r="Q819" s="1">
        <v>1.42E-5</v>
      </c>
    </row>
    <row r="820" spans="1:17" x14ac:dyDescent="0.25">
      <c r="A820" t="s">
        <v>5</v>
      </c>
      <c r="B820" t="s">
        <v>6</v>
      </c>
      <c r="C820" t="s">
        <v>259</v>
      </c>
      <c r="D820" t="s">
        <v>109</v>
      </c>
      <c r="E820" t="s">
        <v>27</v>
      </c>
      <c r="F820">
        <v>7.6978799999999998E-4</v>
      </c>
      <c r="G820">
        <v>1.326041E-3</v>
      </c>
      <c r="H820">
        <v>9.3440899999999998E-4</v>
      </c>
      <c r="I820">
        <v>9.2797699999999997E-4</v>
      </c>
      <c r="J820">
        <v>1.025467E-3</v>
      </c>
      <c r="K820">
        <v>1.1351250000000001E-3</v>
      </c>
      <c r="L820">
        <v>1.1986970000000001E-3</v>
      </c>
      <c r="M820">
        <v>1.2580009999999999E-3</v>
      </c>
      <c r="N820">
        <v>1.3672039999999999E-3</v>
      </c>
      <c r="O820">
        <v>1.5010150000000001E-3</v>
      </c>
      <c r="P820">
        <v>1.609168E-3</v>
      </c>
      <c r="Q820">
        <v>1.666582E-3</v>
      </c>
    </row>
    <row r="821" spans="1:17" x14ac:dyDescent="0.25">
      <c r="A821" t="s">
        <v>5</v>
      </c>
      <c r="B821" t="s">
        <v>6</v>
      </c>
      <c r="C821" t="s">
        <v>259</v>
      </c>
      <c r="D821" t="s">
        <v>110</v>
      </c>
      <c r="E821" t="s">
        <v>27</v>
      </c>
      <c r="F821">
        <v>5.9289609E-2</v>
      </c>
      <c r="G821">
        <v>6.9593423000000001E-2</v>
      </c>
      <c r="H821">
        <v>7.613905E-2</v>
      </c>
      <c r="I821">
        <v>8.5369355999999993E-2</v>
      </c>
      <c r="J821">
        <v>8.0158515999999999E-2</v>
      </c>
      <c r="K821">
        <v>9.0077649999999995E-2</v>
      </c>
      <c r="L821">
        <v>0.101997696</v>
      </c>
      <c r="M821">
        <v>0.114498353</v>
      </c>
      <c r="N821">
        <v>0.12659693799999999</v>
      </c>
      <c r="O821">
        <v>0.13850368499999999</v>
      </c>
      <c r="P821">
        <v>0.151045023</v>
      </c>
      <c r="Q821">
        <v>0.16274407499999999</v>
      </c>
    </row>
    <row r="822" spans="1:17" x14ac:dyDescent="0.25">
      <c r="A822" t="s">
        <v>5</v>
      </c>
      <c r="B822" t="s">
        <v>6</v>
      </c>
      <c r="C822" t="s">
        <v>259</v>
      </c>
      <c r="D822" t="s">
        <v>111</v>
      </c>
      <c r="E822" t="s">
        <v>27</v>
      </c>
      <c r="F822">
        <v>7.4755974000000003E-2</v>
      </c>
      <c r="G822">
        <v>8.5790446000000006E-2</v>
      </c>
      <c r="H822">
        <v>9.6033843999999993E-2</v>
      </c>
      <c r="I822">
        <v>0.10514907800000001</v>
      </c>
      <c r="J822">
        <v>9.9811808000000002E-2</v>
      </c>
      <c r="K822">
        <v>0.111544449</v>
      </c>
      <c r="L822">
        <v>0.12580140200000001</v>
      </c>
      <c r="M822">
        <v>0.13986842699999999</v>
      </c>
      <c r="N822">
        <v>0.153614522</v>
      </c>
      <c r="O822">
        <v>0.16660973500000001</v>
      </c>
      <c r="P822">
        <v>0.17948745199999999</v>
      </c>
      <c r="Q822">
        <v>0.191506173</v>
      </c>
    </row>
    <row r="823" spans="1:17" x14ac:dyDescent="0.25">
      <c r="A823" t="s">
        <v>5</v>
      </c>
      <c r="B823" t="s">
        <v>6</v>
      </c>
      <c r="C823" t="s">
        <v>259</v>
      </c>
      <c r="D823" t="s">
        <v>112</v>
      </c>
      <c r="E823" t="s">
        <v>27</v>
      </c>
      <c r="F823">
        <v>1.8449100000000001E-4</v>
      </c>
      <c r="G823">
        <v>1.7525099999999999E-4</v>
      </c>
      <c r="H823">
        <v>1.7856600000000001E-4</v>
      </c>
      <c r="I823">
        <v>1.8990200000000001E-4</v>
      </c>
      <c r="J823">
        <v>1.42664E-4</v>
      </c>
      <c r="K823">
        <v>1.4015100000000001E-4</v>
      </c>
      <c r="L823">
        <v>1.6585800000000001E-4</v>
      </c>
      <c r="M823">
        <v>2.11132E-4</v>
      </c>
      <c r="N823">
        <v>2.5284100000000001E-4</v>
      </c>
      <c r="O823">
        <v>2.7270000000000001E-4</v>
      </c>
      <c r="P823">
        <v>2.7032400000000001E-4</v>
      </c>
      <c r="Q823">
        <v>2.60346E-4</v>
      </c>
    </row>
    <row r="824" spans="1:17" x14ac:dyDescent="0.25">
      <c r="A824" t="s">
        <v>5</v>
      </c>
      <c r="B824" t="s">
        <v>6</v>
      </c>
      <c r="C824" t="s">
        <v>259</v>
      </c>
      <c r="D824" t="s">
        <v>113</v>
      </c>
      <c r="E824" t="s">
        <v>27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 x14ac:dyDescent="0.25">
      <c r="A825" t="s">
        <v>5</v>
      </c>
      <c r="B825" t="s">
        <v>6</v>
      </c>
      <c r="C825" t="s">
        <v>259</v>
      </c>
      <c r="D825" t="s">
        <v>114</v>
      </c>
      <c r="E825" t="s">
        <v>27</v>
      </c>
      <c r="F825" s="1">
        <v>4.6199999999999998E-5</v>
      </c>
      <c r="G825" s="1">
        <v>7.9599999999999997E-5</v>
      </c>
      <c r="H825" s="1">
        <v>5.6100000000000002E-5</v>
      </c>
      <c r="I825" s="1">
        <v>5.5699999999999999E-5</v>
      </c>
      <c r="J825" s="1">
        <v>6.1500000000000004E-5</v>
      </c>
      <c r="K825" s="1">
        <v>6.8100000000000002E-5</v>
      </c>
      <c r="L825" s="1">
        <v>7.1899999999999999E-5</v>
      </c>
      <c r="M825" s="1">
        <v>7.5500000000000006E-5</v>
      </c>
      <c r="N825" s="1">
        <v>8.2000000000000001E-5</v>
      </c>
      <c r="O825" s="1">
        <v>9.0099999999999995E-5</v>
      </c>
      <c r="P825" s="1">
        <v>9.6600000000000003E-5</v>
      </c>
      <c r="Q825" s="1">
        <v>1E-4</v>
      </c>
    </row>
    <row r="826" spans="1:17" x14ac:dyDescent="0.25">
      <c r="A826" t="s">
        <v>5</v>
      </c>
      <c r="B826" t="s">
        <v>6</v>
      </c>
      <c r="C826" t="s">
        <v>259</v>
      </c>
      <c r="D826" t="s">
        <v>115</v>
      </c>
      <c r="E826" t="s">
        <v>27</v>
      </c>
      <c r="F826">
        <v>0.27775931799999998</v>
      </c>
      <c r="G826">
        <v>0.32607389799999997</v>
      </c>
      <c r="H826">
        <v>0.35674583599999998</v>
      </c>
      <c r="I826">
        <v>0.39996977900000003</v>
      </c>
      <c r="J826">
        <v>0.37551361799999999</v>
      </c>
      <c r="K826">
        <v>0.421849217</v>
      </c>
      <c r="L826">
        <v>0.477486941</v>
      </c>
      <c r="M826">
        <v>0.53585633700000002</v>
      </c>
      <c r="N826">
        <v>0.59228679100000003</v>
      </c>
      <c r="O826">
        <v>0.647938342</v>
      </c>
      <c r="P826">
        <v>0.706718501</v>
      </c>
      <c r="Q826">
        <v>0.76147735999999999</v>
      </c>
    </row>
    <row r="827" spans="1:17" x14ac:dyDescent="0.25">
      <c r="A827" t="s">
        <v>5</v>
      </c>
      <c r="B827" t="s">
        <v>6</v>
      </c>
      <c r="C827" t="s">
        <v>259</v>
      </c>
      <c r="D827" t="s">
        <v>116</v>
      </c>
      <c r="E827" t="s">
        <v>27</v>
      </c>
      <c r="F827">
        <v>0.413831434</v>
      </c>
      <c r="G827">
        <v>0.494831146</v>
      </c>
      <c r="H827">
        <v>0.57489387400000003</v>
      </c>
      <c r="I827">
        <v>0.63223507800000001</v>
      </c>
      <c r="J827">
        <v>0.62611356500000004</v>
      </c>
      <c r="K827">
        <v>0.69543704200000001</v>
      </c>
      <c r="L827">
        <v>0.77832342200000004</v>
      </c>
      <c r="M827">
        <v>0.85956310999999996</v>
      </c>
      <c r="N827">
        <v>0.94160163799999996</v>
      </c>
      <c r="O827">
        <v>1.0151918680000001</v>
      </c>
      <c r="P827">
        <v>1.0837671010000001</v>
      </c>
      <c r="Q827">
        <v>1.1479028689999999</v>
      </c>
    </row>
    <row r="828" spans="1:17" x14ac:dyDescent="0.25">
      <c r="A828" t="s">
        <v>5</v>
      </c>
      <c r="B828" t="s">
        <v>6</v>
      </c>
      <c r="C828" t="s">
        <v>259</v>
      </c>
      <c r="D828" t="s">
        <v>117</v>
      </c>
      <c r="E828" t="s">
        <v>27</v>
      </c>
      <c r="F828">
        <v>1.042126E-3</v>
      </c>
      <c r="G828">
        <v>9.8992700000000004E-4</v>
      </c>
      <c r="H828">
        <v>1.0085980000000001E-3</v>
      </c>
      <c r="I828">
        <v>1.072567E-3</v>
      </c>
      <c r="J828">
        <v>8.0545699999999998E-4</v>
      </c>
      <c r="K828">
        <v>7.9047899999999996E-4</v>
      </c>
      <c r="L828">
        <v>9.3418199999999998E-4</v>
      </c>
      <c r="M828">
        <v>1.187605E-3</v>
      </c>
      <c r="N828">
        <v>1.4198220000000001E-3</v>
      </c>
      <c r="O828">
        <v>1.5261910000000001E-3</v>
      </c>
      <c r="P828">
        <v>1.5011530000000001E-3</v>
      </c>
      <c r="Q828">
        <v>1.4258280000000001E-3</v>
      </c>
    </row>
    <row r="829" spans="1:17" x14ac:dyDescent="0.25">
      <c r="A829" t="s">
        <v>5</v>
      </c>
      <c r="B829" t="s">
        <v>6</v>
      </c>
      <c r="C829" t="s">
        <v>259</v>
      </c>
      <c r="D829" t="s">
        <v>118</v>
      </c>
      <c r="E829" t="s">
        <v>27</v>
      </c>
      <c r="F829" s="1">
        <v>5.0899999999999997E-5</v>
      </c>
      <c r="G829" s="1">
        <v>6.0399999999999998E-5</v>
      </c>
      <c r="H829" s="1">
        <v>4.0099999999999999E-5</v>
      </c>
      <c r="I829">
        <v>2.5069900000000001E-4</v>
      </c>
      <c r="J829" s="1">
        <v>2.51E-5</v>
      </c>
      <c r="K829" s="1">
        <v>3.6100000000000003E-5</v>
      </c>
      <c r="L829" s="1">
        <v>6.6799999999999997E-5</v>
      </c>
      <c r="M829">
        <v>1.05394E-4</v>
      </c>
      <c r="N829">
        <v>1.11709E-4</v>
      </c>
      <c r="O829">
        <v>1.00634E-4</v>
      </c>
      <c r="P829">
        <v>1.2267699999999999E-4</v>
      </c>
      <c r="Q829">
        <v>1.69634E-4</v>
      </c>
    </row>
    <row r="830" spans="1:17" x14ac:dyDescent="0.25">
      <c r="A830" t="s">
        <v>5</v>
      </c>
      <c r="B830" t="s">
        <v>6</v>
      </c>
      <c r="C830" t="s">
        <v>259</v>
      </c>
      <c r="D830" t="s">
        <v>119</v>
      </c>
      <c r="E830" t="s">
        <v>27</v>
      </c>
      <c r="F830">
        <v>1.5395750000000001E-3</v>
      </c>
      <c r="G830">
        <v>2.6520810000000001E-3</v>
      </c>
      <c r="H830">
        <v>1.868818E-3</v>
      </c>
      <c r="I830">
        <v>1.855953E-3</v>
      </c>
      <c r="J830">
        <v>2.0509339999999999E-3</v>
      </c>
      <c r="K830">
        <v>2.2702500000000001E-3</v>
      </c>
      <c r="L830">
        <v>2.3973950000000001E-3</v>
      </c>
      <c r="M830">
        <v>2.5160019999999998E-3</v>
      </c>
      <c r="N830">
        <v>2.7344069999999999E-3</v>
      </c>
      <c r="O830">
        <v>3.0020300000000001E-3</v>
      </c>
      <c r="P830">
        <v>3.218336E-3</v>
      </c>
      <c r="Q830">
        <v>3.3331630000000001E-3</v>
      </c>
    </row>
    <row r="831" spans="1:17" x14ac:dyDescent="0.25">
      <c r="A831" t="s">
        <v>5</v>
      </c>
      <c r="B831" t="s">
        <v>6</v>
      </c>
      <c r="C831" t="s">
        <v>259</v>
      </c>
      <c r="D831" t="s">
        <v>120</v>
      </c>
      <c r="E831" t="s">
        <v>27</v>
      </c>
      <c r="F831">
        <v>3.4589940650000002</v>
      </c>
      <c r="G831">
        <v>4.7142320829999997</v>
      </c>
      <c r="H831">
        <v>5.1287623739999999</v>
      </c>
      <c r="I831">
        <v>4.3923548439999998</v>
      </c>
      <c r="J831">
        <v>4.2554643380000003</v>
      </c>
      <c r="K831">
        <v>4.4831770210000004</v>
      </c>
      <c r="L831">
        <v>4.7282599679999997</v>
      </c>
      <c r="M831">
        <v>4.9839196039999996</v>
      </c>
      <c r="N831">
        <v>5.2487932270000002</v>
      </c>
      <c r="O831">
        <v>5.5183569419999996</v>
      </c>
      <c r="P831">
        <v>5.786742415</v>
      </c>
      <c r="Q831">
        <v>6.018257073</v>
      </c>
    </row>
    <row r="832" spans="1:17" x14ac:dyDescent="0.25">
      <c r="A832" t="s">
        <v>5</v>
      </c>
      <c r="B832" t="s">
        <v>6</v>
      </c>
      <c r="C832" t="s">
        <v>259</v>
      </c>
      <c r="D832" t="s">
        <v>121</v>
      </c>
      <c r="E832" t="s">
        <v>27</v>
      </c>
      <c r="F832">
        <v>1.1521904300000001</v>
      </c>
      <c r="G832">
        <v>2.4285663749999999</v>
      </c>
      <c r="H832">
        <v>2.1862860639999999</v>
      </c>
      <c r="I832">
        <v>2.938217318</v>
      </c>
      <c r="J832">
        <v>2.0677483680000002</v>
      </c>
      <c r="K832">
        <v>2.4515664799999999</v>
      </c>
      <c r="L832">
        <v>2.9240879710000001</v>
      </c>
      <c r="M832">
        <v>3.4274823429999999</v>
      </c>
      <c r="N832">
        <v>3.938919147</v>
      </c>
      <c r="O832">
        <v>4.434929661</v>
      </c>
      <c r="P832">
        <v>4.9217270720000004</v>
      </c>
      <c r="Q832">
        <v>5.3644130109999999</v>
      </c>
    </row>
    <row r="833" spans="1:17" x14ac:dyDescent="0.25">
      <c r="A833" t="s">
        <v>5</v>
      </c>
      <c r="B833" t="s">
        <v>6</v>
      </c>
      <c r="C833" t="s">
        <v>259</v>
      </c>
      <c r="D833" t="s">
        <v>122</v>
      </c>
      <c r="E833" t="s">
        <v>27</v>
      </c>
      <c r="F833">
        <v>0.17967202900000001</v>
      </c>
      <c r="G833">
        <v>0.242438126</v>
      </c>
      <c r="H833">
        <v>0.26923925199999998</v>
      </c>
      <c r="I833">
        <v>0.226816932</v>
      </c>
      <c r="J833">
        <v>0.211297821</v>
      </c>
      <c r="K833">
        <v>0.22025967299999999</v>
      </c>
      <c r="L833">
        <v>0.229864343</v>
      </c>
      <c r="M833">
        <v>0.23964138500000001</v>
      </c>
      <c r="N833">
        <v>0.24952961300000001</v>
      </c>
      <c r="O833">
        <v>0.25935058</v>
      </c>
      <c r="P833">
        <v>0.26887390100000003</v>
      </c>
      <c r="Q833">
        <v>0.27687721799999998</v>
      </c>
    </row>
    <row r="834" spans="1:17" x14ac:dyDescent="0.25">
      <c r="A834" t="s">
        <v>5</v>
      </c>
      <c r="B834" t="s">
        <v>6</v>
      </c>
      <c r="C834" t="s">
        <v>259</v>
      </c>
      <c r="D834" t="s">
        <v>123</v>
      </c>
      <c r="E834" t="s">
        <v>27</v>
      </c>
      <c r="F834">
        <v>7.2874187000000007E-2</v>
      </c>
      <c r="G834">
        <v>0.14671354</v>
      </c>
      <c r="H834">
        <v>0.13224889200000001</v>
      </c>
      <c r="I834">
        <v>0.173938231</v>
      </c>
      <c r="J834">
        <v>0.12747011999999999</v>
      </c>
      <c r="K834">
        <v>0.14935166899999999</v>
      </c>
      <c r="L834">
        <v>0.17574453600000001</v>
      </c>
      <c r="M834">
        <v>0.20341548100000001</v>
      </c>
      <c r="N834">
        <v>0.231149884</v>
      </c>
      <c r="O834">
        <v>0.25772428600000002</v>
      </c>
      <c r="P834">
        <v>0.28345773699999999</v>
      </c>
      <c r="Q834">
        <v>0.30651865900000003</v>
      </c>
    </row>
    <row r="835" spans="1:17" x14ac:dyDescent="0.25">
      <c r="A835" t="s">
        <v>5</v>
      </c>
      <c r="B835" t="s">
        <v>6</v>
      </c>
      <c r="C835" t="s">
        <v>259</v>
      </c>
      <c r="D835" t="s">
        <v>124</v>
      </c>
      <c r="E835" t="s">
        <v>27</v>
      </c>
      <c r="F835">
        <v>7.1669580999999996E-2</v>
      </c>
      <c r="G835">
        <v>9.6295332999999997E-2</v>
      </c>
      <c r="H835">
        <v>0.107875502</v>
      </c>
      <c r="I835">
        <v>9.0249562000000005E-2</v>
      </c>
      <c r="J835">
        <v>8.2639716000000002E-2</v>
      </c>
      <c r="K835">
        <v>8.5730667999999996E-2</v>
      </c>
      <c r="L835">
        <v>8.9034236000000003E-2</v>
      </c>
      <c r="M835">
        <v>9.2342919999999995E-2</v>
      </c>
      <c r="N835">
        <v>9.5633932000000005E-2</v>
      </c>
      <c r="O835">
        <v>9.8845636000000001E-2</v>
      </c>
      <c r="P835">
        <v>0.101898699</v>
      </c>
      <c r="Q835">
        <v>0.10441215600000001</v>
      </c>
    </row>
    <row r="836" spans="1:17" x14ac:dyDescent="0.25">
      <c r="A836" t="s">
        <v>5</v>
      </c>
      <c r="B836" t="s">
        <v>6</v>
      </c>
      <c r="C836" t="s">
        <v>259</v>
      </c>
      <c r="D836" t="s">
        <v>125</v>
      </c>
      <c r="E836" t="s">
        <v>27</v>
      </c>
      <c r="F836">
        <v>4.4870202999999997E-2</v>
      </c>
      <c r="G836">
        <v>9.3715951000000006E-2</v>
      </c>
      <c r="H836">
        <v>8.4376678999999996E-2</v>
      </c>
      <c r="I836">
        <v>0.112872668</v>
      </c>
      <c r="J836">
        <v>8.0122883000000006E-2</v>
      </c>
      <c r="K836">
        <v>9.4755337999999995E-2</v>
      </c>
      <c r="L836">
        <v>0.112685829</v>
      </c>
      <c r="M836">
        <v>0.131718065</v>
      </c>
      <c r="N836">
        <v>0.15099465300000001</v>
      </c>
      <c r="O836">
        <v>0.16963869200000001</v>
      </c>
      <c r="P836">
        <v>0.18788112200000001</v>
      </c>
      <c r="Q836">
        <v>0.20441583299999999</v>
      </c>
    </row>
    <row r="837" spans="1:17" x14ac:dyDescent="0.25">
      <c r="A837" t="s">
        <v>5</v>
      </c>
      <c r="B837" t="s">
        <v>6</v>
      </c>
      <c r="C837" t="s">
        <v>259</v>
      </c>
      <c r="D837" t="s">
        <v>126</v>
      </c>
      <c r="E837" t="s">
        <v>27</v>
      </c>
      <c r="F837">
        <v>63.388922030000003</v>
      </c>
      <c r="G837">
        <v>86.036119670000005</v>
      </c>
      <c r="H837">
        <v>94.403139730000007</v>
      </c>
      <c r="I837">
        <v>80.298029769999999</v>
      </c>
      <c r="J837">
        <v>76.559936930000006</v>
      </c>
      <c r="K837">
        <v>80.313857960000007</v>
      </c>
      <c r="L837">
        <v>84.348167380000007</v>
      </c>
      <c r="M837">
        <v>88.521177530000003</v>
      </c>
      <c r="N837">
        <v>92.809318959999999</v>
      </c>
      <c r="O837">
        <v>97.137954750000006</v>
      </c>
      <c r="P837">
        <v>101.4104263</v>
      </c>
      <c r="Q837">
        <v>105.0649932</v>
      </c>
    </row>
    <row r="838" spans="1:17" x14ac:dyDescent="0.25">
      <c r="A838" t="s">
        <v>5</v>
      </c>
      <c r="B838" t="s">
        <v>6</v>
      </c>
      <c r="C838" t="s">
        <v>259</v>
      </c>
      <c r="D838" t="s">
        <v>127</v>
      </c>
      <c r="E838" t="s">
        <v>27</v>
      </c>
      <c r="F838">
        <v>12.07638146</v>
      </c>
      <c r="G838">
        <v>25.038419279999999</v>
      </c>
      <c r="H838">
        <v>22.557133289999999</v>
      </c>
      <c r="I838">
        <v>30.110649670000001</v>
      </c>
      <c r="J838">
        <v>21.469481989999998</v>
      </c>
      <c r="K838">
        <v>25.356427549999999</v>
      </c>
      <c r="L838">
        <v>30.118239930000001</v>
      </c>
      <c r="M838">
        <v>35.17380026</v>
      </c>
      <c r="N838">
        <v>40.296348100000003</v>
      </c>
      <c r="O838">
        <v>45.25302954</v>
      </c>
      <c r="P838">
        <v>50.106356660000003</v>
      </c>
      <c r="Q838">
        <v>54.509896429999998</v>
      </c>
    </row>
    <row r="839" spans="1:17" x14ac:dyDescent="0.25">
      <c r="A839" t="s">
        <v>5</v>
      </c>
      <c r="B839" t="s">
        <v>6</v>
      </c>
      <c r="C839" t="s">
        <v>259</v>
      </c>
      <c r="D839" t="s">
        <v>128</v>
      </c>
      <c r="E839" t="s">
        <v>27</v>
      </c>
      <c r="F839">
        <v>0.205720036</v>
      </c>
      <c r="G839">
        <v>0.27934784299999998</v>
      </c>
      <c r="H839">
        <v>0.30622179999999999</v>
      </c>
      <c r="I839">
        <v>0.26066728900000002</v>
      </c>
      <c r="J839">
        <v>0.24898275</v>
      </c>
      <c r="K839">
        <v>0.261317935</v>
      </c>
      <c r="L839">
        <v>0.27457687200000003</v>
      </c>
      <c r="M839">
        <v>0.28830598299999999</v>
      </c>
      <c r="N839">
        <v>0.30242826499999997</v>
      </c>
      <c r="O839">
        <v>0.31669849</v>
      </c>
      <c r="P839">
        <v>0.33079900899999998</v>
      </c>
      <c r="Q839">
        <v>0.34287319900000002</v>
      </c>
    </row>
    <row r="840" spans="1:17" x14ac:dyDescent="0.25">
      <c r="A840" t="s">
        <v>5</v>
      </c>
      <c r="B840" t="s">
        <v>6</v>
      </c>
      <c r="C840" t="s">
        <v>259</v>
      </c>
      <c r="D840" t="s">
        <v>129</v>
      </c>
      <c r="E840" t="s">
        <v>27</v>
      </c>
      <c r="F840">
        <v>0.11600779</v>
      </c>
      <c r="G840">
        <v>0.22861630499999999</v>
      </c>
      <c r="H840">
        <v>0.20630204199999999</v>
      </c>
      <c r="I840">
        <v>0.26890043600000002</v>
      </c>
      <c r="J840">
        <v>0.20046688900000001</v>
      </c>
      <c r="K840">
        <v>0.23371703499999999</v>
      </c>
      <c r="L840">
        <v>0.27352868299999999</v>
      </c>
      <c r="M840">
        <v>0.31504047000000002</v>
      </c>
      <c r="N840">
        <v>0.35645937999999999</v>
      </c>
      <c r="O840">
        <v>0.39598597200000002</v>
      </c>
      <c r="P840">
        <v>0.43409523300000002</v>
      </c>
      <c r="Q840">
        <v>0.46808950700000002</v>
      </c>
    </row>
    <row r="841" spans="1:17" x14ac:dyDescent="0.25">
      <c r="A841" t="s">
        <v>5</v>
      </c>
      <c r="B841" t="s">
        <v>6</v>
      </c>
      <c r="C841" t="s">
        <v>259</v>
      </c>
      <c r="D841" t="s">
        <v>130</v>
      </c>
      <c r="E841" t="s">
        <v>27</v>
      </c>
      <c r="F841">
        <v>3.2983317059999999</v>
      </c>
      <c r="G841">
        <v>4.4662522830000002</v>
      </c>
      <c r="H841">
        <v>4.9243048280000004</v>
      </c>
      <c r="I841">
        <v>4.1724099270000004</v>
      </c>
      <c r="J841">
        <v>3.9416960400000001</v>
      </c>
      <c r="K841">
        <v>4.1246818210000002</v>
      </c>
      <c r="L841">
        <v>4.3211398709999997</v>
      </c>
      <c r="M841">
        <v>4.5231914639999999</v>
      </c>
      <c r="N841">
        <v>4.7296515299999999</v>
      </c>
      <c r="O841">
        <v>4.9368799450000003</v>
      </c>
      <c r="P841">
        <v>5.1401677770000003</v>
      </c>
      <c r="Q841">
        <v>5.3130057940000004</v>
      </c>
    </row>
    <row r="842" spans="1:17" x14ac:dyDescent="0.25">
      <c r="A842" t="s">
        <v>5</v>
      </c>
      <c r="B842" t="s">
        <v>6</v>
      </c>
      <c r="C842" t="s">
        <v>259</v>
      </c>
      <c r="D842" t="s">
        <v>131</v>
      </c>
      <c r="E842" t="s">
        <v>27</v>
      </c>
      <c r="F842">
        <v>0.22794145800000001</v>
      </c>
      <c r="G842">
        <v>0.472920801</v>
      </c>
      <c r="H842">
        <v>0.42608982899999998</v>
      </c>
      <c r="I842">
        <v>0.56893910199999997</v>
      </c>
      <c r="J842">
        <v>0.40558722200000003</v>
      </c>
      <c r="K842">
        <v>0.47912981799999999</v>
      </c>
      <c r="L842">
        <v>0.569390175</v>
      </c>
      <c r="M842">
        <v>0.66543990799999997</v>
      </c>
      <c r="N842">
        <v>0.76300350500000003</v>
      </c>
      <c r="O842">
        <v>0.85764258400000004</v>
      </c>
      <c r="P842">
        <v>0.95061432999999995</v>
      </c>
      <c r="Q842">
        <v>1.035336053</v>
      </c>
    </row>
    <row r="843" spans="1:17" x14ac:dyDescent="0.25">
      <c r="A843" t="s">
        <v>5</v>
      </c>
      <c r="B843" t="s">
        <v>6</v>
      </c>
      <c r="C843" t="s">
        <v>259</v>
      </c>
      <c r="D843" t="s">
        <v>132</v>
      </c>
      <c r="E843" t="s">
        <v>27</v>
      </c>
      <c r="F843">
        <v>0.304258794</v>
      </c>
      <c r="G843">
        <v>0.362691245</v>
      </c>
      <c r="H843">
        <v>0.41328559500000001</v>
      </c>
      <c r="I843">
        <v>0.44580878899999998</v>
      </c>
      <c r="J843">
        <v>0.339437398</v>
      </c>
      <c r="K843">
        <v>0.58427146699999999</v>
      </c>
      <c r="L843">
        <v>0.60894296199999998</v>
      </c>
      <c r="M843">
        <v>1.0006185460000001</v>
      </c>
      <c r="N843">
        <v>0.891965864</v>
      </c>
      <c r="O843">
        <v>0.652412942</v>
      </c>
      <c r="P843">
        <v>0.64245730300000004</v>
      </c>
      <c r="Q843">
        <v>0.801731109</v>
      </c>
    </row>
    <row r="844" spans="1:17" x14ac:dyDescent="0.25">
      <c r="A844" t="s">
        <v>5</v>
      </c>
      <c r="B844" t="s">
        <v>6</v>
      </c>
      <c r="C844" t="s">
        <v>259</v>
      </c>
      <c r="D844" t="s">
        <v>133</v>
      </c>
      <c r="E844" t="s">
        <v>27</v>
      </c>
      <c r="F844">
        <v>1.8930035629999999</v>
      </c>
      <c r="G844">
        <v>2.2227330689999998</v>
      </c>
      <c r="H844">
        <v>2.5221570799999999</v>
      </c>
      <c r="I844">
        <v>2.8441515590000002</v>
      </c>
      <c r="J844">
        <v>2.5642208100000001</v>
      </c>
      <c r="K844">
        <v>3.7026701009999998</v>
      </c>
      <c r="L844">
        <v>3.78941499</v>
      </c>
      <c r="M844">
        <v>5.0374619960000002</v>
      </c>
      <c r="N844">
        <v>4.2021835100000002</v>
      </c>
      <c r="O844">
        <v>3.3998120329999999</v>
      </c>
      <c r="P844">
        <v>3.4148095829999998</v>
      </c>
      <c r="Q844">
        <v>3.5101845580000002</v>
      </c>
    </row>
    <row r="845" spans="1:17" x14ac:dyDescent="0.25">
      <c r="A845" t="s">
        <v>5</v>
      </c>
      <c r="B845" t="s">
        <v>6</v>
      </c>
      <c r="C845" t="s">
        <v>259</v>
      </c>
      <c r="D845" t="s">
        <v>134</v>
      </c>
      <c r="E845" t="s">
        <v>27</v>
      </c>
      <c r="F845">
        <v>3.547063E-3</v>
      </c>
      <c r="G845">
        <v>4.1885710000000003E-3</v>
      </c>
      <c r="H845">
        <v>4.7334100000000004E-3</v>
      </c>
      <c r="I845">
        <v>5.107861E-3</v>
      </c>
      <c r="J845">
        <v>3.618731E-3</v>
      </c>
      <c r="K845">
        <v>5.0292799999999997E-3</v>
      </c>
      <c r="L845">
        <v>6.475359E-3</v>
      </c>
      <c r="M845">
        <v>1.332911E-2</v>
      </c>
      <c r="N845">
        <v>1.8192647999999999E-2</v>
      </c>
      <c r="O845">
        <v>1.7442783E-2</v>
      </c>
      <c r="P845">
        <v>1.9000631E-2</v>
      </c>
      <c r="Q845">
        <v>2.9774098999999998E-2</v>
      </c>
    </row>
    <row r="846" spans="1:17" x14ac:dyDescent="0.25">
      <c r="A846" t="s">
        <v>5</v>
      </c>
      <c r="B846" t="s">
        <v>6</v>
      </c>
      <c r="C846" t="s">
        <v>259</v>
      </c>
      <c r="D846" t="s">
        <v>135</v>
      </c>
      <c r="E846" t="s">
        <v>27</v>
      </c>
      <c r="F846">
        <v>2.3649878999999999E-2</v>
      </c>
      <c r="G846">
        <v>2.6050798999999999E-2</v>
      </c>
      <c r="H846">
        <v>2.835064E-2</v>
      </c>
      <c r="I846">
        <v>3.1455191E-2</v>
      </c>
      <c r="J846">
        <v>2.7541960000000001E-2</v>
      </c>
      <c r="K846">
        <v>4.4722515999999997E-2</v>
      </c>
      <c r="L846">
        <v>4.5756011999999999E-2</v>
      </c>
      <c r="M846">
        <v>7.0371053000000003E-2</v>
      </c>
      <c r="N846">
        <v>5.9382447999999997E-2</v>
      </c>
      <c r="O846">
        <v>4.4362434999999999E-2</v>
      </c>
      <c r="P846">
        <v>4.7406482E-2</v>
      </c>
      <c r="Q846">
        <v>5.5111911E-2</v>
      </c>
    </row>
    <row r="847" spans="1:17" x14ac:dyDescent="0.25">
      <c r="A847" t="s">
        <v>5</v>
      </c>
      <c r="B847" t="s">
        <v>6</v>
      </c>
      <c r="C847" t="s">
        <v>259</v>
      </c>
      <c r="D847" t="s">
        <v>136</v>
      </c>
      <c r="E847" t="s">
        <v>27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 s="1">
        <v>2.0499999999999999E-12</v>
      </c>
      <c r="M847" s="1">
        <v>3.7400000000000001E-11</v>
      </c>
      <c r="N847" s="1">
        <v>3.6700000000000003E-10</v>
      </c>
      <c r="O847" s="1">
        <v>2.6200000000000001E-9</v>
      </c>
      <c r="P847" s="1">
        <v>1.4E-8</v>
      </c>
      <c r="Q847" s="1">
        <v>4.6399999999999999E-8</v>
      </c>
    </row>
    <row r="848" spans="1:17" x14ac:dyDescent="0.25">
      <c r="A848" t="s">
        <v>5</v>
      </c>
      <c r="B848" t="s">
        <v>6</v>
      </c>
      <c r="C848" t="s">
        <v>259</v>
      </c>
      <c r="D848" t="s">
        <v>137</v>
      </c>
      <c r="E848" t="s">
        <v>27</v>
      </c>
      <c r="F848">
        <v>0.49433558100000002</v>
      </c>
      <c r="G848">
        <v>0.52636080100000004</v>
      </c>
      <c r="H848">
        <v>0.52848445200000005</v>
      </c>
      <c r="I848">
        <v>0.51793058400000003</v>
      </c>
      <c r="J848">
        <v>0.51977086400000005</v>
      </c>
      <c r="K848">
        <v>0.55042286100000004</v>
      </c>
      <c r="L848">
        <v>0.596652022</v>
      </c>
      <c r="M848">
        <v>0.66167093899999996</v>
      </c>
      <c r="N848">
        <v>0.74586224400000001</v>
      </c>
      <c r="O848">
        <v>0.82711232499999998</v>
      </c>
      <c r="P848">
        <v>0.88150966799999997</v>
      </c>
      <c r="Q848">
        <v>0.89723054000000002</v>
      </c>
    </row>
    <row r="849" spans="1:17" x14ac:dyDescent="0.25">
      <c r="A849" t="s">
        <v>5</v>
      </c>
      <c r="B849" t="s">
        <v>6</v>
      </c>
      <c r="C849" t="s">
        <v>259</v>
      </c>
      <c r="D849" t="s">
        <v>138</v>
      </c>
      <c r="E849" t="s">
        <v>27</v>
      </c>
      <c r="F849">
        <v>1.380167878</v>
      </c>
      <c r="G849">
        <v>1.5098451429999999</v>
      </c>
      <c r="H849">
        <v>1.563175027</v>
      </c>
      <c r="I849">
        <v>1.5442559060000001</v>
      </c>
      <c r="J849">
        <v>1.5080072069999999</v>
      </c>
      <c r="K849">
        <v>1.5326278739999999</v>
      </c>
      <c r="L849">
        <v>1.6390050789999999</v>
      </c>
      <c r="M849">
        <v>1.8372333279999999</v>
      </c>
      <c r="N849">
        <v>2.1032588460000001</v>
      </c>
      <c r="O849">
        <v>2.3745833740000002</v>
      </c>
      <c r="P849">
        <v>2.5807600829999999</v>
      </c>
      <c r="Q849">
        <v>2.6604184329999998</v>
      </c>
    </row>
    <row r="850" spans="1:17" x14ac:dyDescent="0.25">
      <c r="A850" t="s">
        <v>5</v>
      </c>
      <c r="B850" t="s">
        <v>6</v>
      </c>
      <c r="C850" t="s">
        <v>259</v>
      </c>
      <c r="D850" t="s">
        <v>139</v>
      </c>
      <c r="E850" t="s">
        <v>27</v>
      </c>
      <c r="F850">
        <v>0.22674967600000001</v>
      </c>
      <c r="G850">
        <v>0.25757401099999999</v>
      </c>
      <c r="H850">
        <v>0.27253622500000002</v>
      </c>
      <c r="I850">
        <v>0.27431007099999999</v>
      </c>
      <c r="J850">
        <v>0.25903420900000002</v>
      </c>
      <c r="K850">
        <v>0.25087240100000002</v>
      </c>
      <c r="L850">
        <v>0.26389847</v>
      </c>
      <c r="M850">
        <v>0.29974033999999999</v>
      </c>
      <c r="N850">
        <v>0.34942105099999998</v>
      </c>
      <c r="O850">
        <v>0.40310484899999999</v>
      </c>
      <c r="P850">
        <v>0.44929317000000002</v>
      </c>
      <c r="Q850">
        <v>0.47152901899999999</v>
      </c>
    </row>
    <row r="851" spans="1:17" x14ac:dyDescent="0.25">
      <c r="A851" t="s">
        <v>5</v>
      </c>
      <c r="B851" t="s">
        <v>6</v>
      </c>
      <c r="C851" t="s">
        <v>259</v>
      </c>
      <c r="D851" t="s">
        <v>140</v>
      </c>
      <c r="E851" t="s">
        <v>27</v>
      </c>
      <c r="F851">
        <v>0.14555305399999999</v>
      </c>
      <c r="G851">
        <v>0.15887601100000001</v>
      </c>
      <c r="H851">
        <v>0.155753432</v>
      </c>
      <c r="I851">
        <v>0.15794488100000001</v>
      </c>
      <c r="J851">
        <v>0.156132453</v>
      </c>
      <c r="K851">
        <v>0.16380387800000001</v>
      </c>
      <c r="L851">
        <v>0.177621696</v>
      </c>
      <c r="M851">
        <v>0.19808743300000001</v>
      </c>
      <c r="N851">
        <v>0.22470881100000001</v>
      </c>
      <c r="O851">
        <v>0.25139196200000002</v>
      </c>
      <c r="P851">
        <v>0.272220513</v>
      </c>
      <c r="Q851">
        <v>0.281999946</v>
      </c>
    </row>
    <row r="852" spans="1:17" x14ac:dyDescent="0.25">
      <c r="A852" t="s">
        <v>5</v>
      </c>
      <c r="B852" t="s">
        <v>6</v>
      </c>
      <c r="C852" t="s">
        <v>259</v>
      </c>
      <c r="D852" t="s">
        <v>141</v>
      </c>
      <c r="E852" t="s">
        <v>27</v>
      </c>
      <c r="F852">
        <v>5.392071E-3</v>
      </c>
      <c r="G852">
        <v>6.1711719999999999E-3</v>
      </c>
      <c r="H852">
        <v>6.7060490000000004E-3</v>
      </c>
      <c r="I852">
        <v>6.7082859999999999E-3</v>
      </c>
      <c r="J852">
        <v>6.2922170000000001E-3</v>
      </c>
      <c r="K852">
        <v>5.9794009999999996E-3</v>
      </c>
      <c r="L852">
        <v>6.2491170000000002E-3</v>
      </c>
      <c r="M852">
        <v>7.1479639999999997E-3</v>
      </c>
      <c r="N852">
        <v>8.4118230000000006E-3</v>
      </c>
      <c r="O852">
        <v>9.7773789999999992E-3</v>
      </c>
      <c r="P852">
        <v>1.0936668E-2</v>
      </c>
      <c r="Q852">
        <v>1.1466853000000001E-2</v>
      </c>
    </row>
    <row r="853" spans="1:17" x14ac:dyDescent="0.25">
      <c r="A853" t="s">
        <v>5</v>
      </c>
      <c r="B853" t="s">
        <v>6</v>
      </c>
      <c r="C853" t="s">
        <v>259</v>
      </c>
      <c r="D853" t="s">
        <v>142</v>
      </c>
      <c r="E853" t="s">
        <v>27</v>
      </c>
      <c r="F853">
        <v>1.405562E-3</v>
      </c>
      <c r="G853">
        <v>1.023801E-3</v>
      </c>
      <c r="H853">
        <v>1.230243E-3</v>
      </c>
      <c r="I853">
        <v>2.3712450000000001E-3</v>
      </c>
      <c r="J853">
        <v>3.1648800000000001E-3</v>
      </c>
      <c r="K853">
        <v>2.3069190000000002E-3</v>
      </c>
      <c r="L853">
        <v>1.6421980000000001E-3</v>
      </c>
      <c r="M853">
        <v>1.7734599999999999E-3</v>
      </c>
      <c r="N853">
        <v>1.787982E-3</v>
      </c>
      <c r="O853">
        <v>1.775748E-3</v>
      </c>
      <c r="P853">
        <v>2.1385150000000001E-3</v>
      </c>
      <c r="Q853">
        <v>2.7730910000000001E-3</v>
      </c>
    </row>
    <row r="854" spans="1:17" x14ac:dyDescent="0.25">
      <c r="A854" t="s">
        <v>5</v>
      </c>
      <c r="B854" t="s">
        <v>6</v>
      </c>
      <c r="C854" t="s">
        <v>259</v>
      </c>
      <c r="D854" t="s">
        <v>143</v>
      </c>
      <c r="E854" t="s">
        <v>27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7" x14ac:dyDescent="0.25">
      <c r="A855" t="s">
        <v>5</v>
      </c>
      <c r="B855" t="s">
        <v>6</v>
      </c>
      <c r="C855" t="s">
        <v>259</v>
      </c>
      <c r="D855" t="s">
        <v>144</v>
      </c>
      <c r="E855" t="s">
        <v>27</v>
      </c>
      <c r="F855" s="1">
        <v>1.1399999999999999E-5</v>
      </c>
      <c r="G855" s="1">
        <v>7.2899999999999997E-5</v>
      </c>
      <c r="H855">
        <v>2.78552E-4</v>
      </c>
      <c r="I855">
        <v>6.5084699999999997E-4</v>
      </c>
      <c r="J855">
        <v>8.7060499999999999E-4</v>
      </c>
      <c r="K855">
        <v>5.1864000000000001E-4</v>
      </c>
      <c r="L855">
        <v>2.49397E-4</v>
      </c>
      <c r="M855">
        <v>2.3613099999999999E-4</v>
      </c>
      <c r="N855">
        <v>1.68667E-4</v>
      </c>
      <c r="O855" s="1">
        <v>8.25E-5</v>
      </c>
      <c r="P855" s="1">
        <v>4.4299999999999999E-5</v>
      </c>
      <c r="Q855" s="1">
        <v>5.5800000000000001E-5</v>
      </c>
    </row>
    <row r="856" spans="1:17" x14ac:dyDescent="0.25">
      <c r="A856" t="s">
        <v>5</v>
      </c>
      <c r="B856" t="s">
        <v>6</v>
      </c>
      <c r="C856" t="s">
        <v>259</v>
      </c>
      <c r="D856" t="s">
        <v>145</v>
      </c>
      <c r="E856" t="s">
        <v>27</v>
      </c>
      <c r="F856" s="1">
        <v>3.2400000000000001E-5</v>
      </c>
      <c r="G856" s="1">
        <v>2.5599999999999999E-5</v>
      </c>
      <c r="H856" s="1">
        <v>3.04E-5</v>
      </c>
      <c r="I856" s="1">
        <v>5.4700000000000001E-5</v>
      </c>
      <c r="J856" s="1">
        <v>7.5799999999999999E-5</v>
      </c>
      <c r="K856" s="1">
        <v>5.6400000000000002E-5</v>
      </c>
      <c r="L856" s="1">
        <v>3.9199999999999997E-5</v>
      </c>
      <c r="M856" s="1">
        <v>4.18E-5</v>
      </c>
      <c r="N856" s="1">
        <v>4.46E-5</v>
      </c>
      <c r="O856" s="1">
        <v>4.1699999999999997E-5</v>
      </c>
      <c r="P856" s="1">
        <v>4.7800000000000003E-5</v>
      </c>
      <c r="Q856" s="1">
        <v>6.3800000000000006E-5</v>
      </c>
    </row>
    <row r="857" spans="1:17" x14ac:dyDescent="0.25">
      <c r="A857" t="s">
        <v>5</v>
      </c>
      <c r="B857" t="s">
        <v>6</v>
      </c>
      <c r="C857" t="s">
        <v>259</v>
      </c>
      <c r="D857" t="s">
        <v>146</v>
      </c>
      <c r="E857" t="s">
        <v>27</v>
      </c>
      <c r="F857" s="1">
        <v>3.9199999999999997E-5</v>
      </c>
      <c r="G857" s="1">
        <v>3.7499999999999997E-5</v>
      </c>
      <c r="H857" s="1">
        <v>9.4900000000000006E-6</v>
      </c>
      <c r="I857" s="1">
        <v>1.44E-6</v>
      </c>
      <c r="J857" s="1">
        <v>2.3199999999999998E-6</v>
      </c>
      <c r="K857" s="1">
        <v>1.57E-6</v>
      </c>
      <c r="L857" s="1">
        <v>1.5200000000000001E-6</v>
      </c>
      <c r="M857" s="1">
        <v>1.13E-6</v>
      </c>
      <c r="N857" s="1">
        <v>7.85E-7</v>
      </c>
      <c r="O857" s="1">
        <v>3.3000000000000002E-6</v>
      </c>
      <c r="P857" s="1">
        <v>3.5200000000000002E-6</v>
      </c>
      <c r="Q857" s="1">
        <v>1.7799999999999999E-6</v>
      </c>
    </row>
    <row r="858" spans="1:17" x14ac:dyDescent="0.25">
      <c r="A858" t="s">
        <v>5</v>
      </c>
      <c r="B858" t="s">
        <v>6</v>
      </c>
      <c r="C858" t="s">
        <v>259</v>
      </c>
      <c r="D858" t="s">
        <v>147</v>
      </c>
      <c r="E858" t="s">
        <v>148</v>
      </c>
      <c r="F858">
        <v>28445.404699999999</v>
      </c>
      <c r="G858">
        <v>30728.542310000001</v>
      </c>
      <c r="H858">
        <v>30351.03728</v>
      </c>
      <c r="I858">
        <v>31617.791010000001</v>
      </c>
      <c r="J858">
        <v>36546.085619999998</v>
      </c>
      <c r="K858">
        <v>40952.22683</v>
      </c>
      <c r="L858">
        <v>45630.288130000001</v>
      </c>
      <c r="M858">
        <v>50162.356679999997</v>
      </c>
      <c r="N858">
        <v>54200.906320000002</v>
      </c>
      <c r="O858">
        <v>58354.067029999998</v>
      </c>
      <c r="P858">
        <v>62679.696239999997</v>
      </c>
      <c r="Q858">
        <v>66681.490109999999</v>
      </c>
    </row>
    <row r="859" spans="1:17" x14ac:dyDescent="0.25">
      <c r="A859" t="s">
        <v>5</v>
      </c>
      <c r="B859" t="s">
        <v>6</v>
      </c>
      <c r="C859" t="s">
        <v>259</v>
      </c>
      <c r="D859" t="s">
        <v>149</v>
      </c>
      <c r="E859" t="s">
        <v>148</v>
      </c>
      <c r="F859">
        <v>480.94548630000003</v>
      </c>
      <c r="G859">
        <v>498.09682989999999</v>
      </c>
      <c r="H859">
        <v>463.19616439999999</v>
      </c>
      <c r="I859">
        <v>466.60740440000001</v>
      </c>
      <c r="J859">
        <v>504.1160261</v>
      </c>
      <c r="K859">
        <v>539.88480609999999</v>
      </c>
      <c r="L859">
        <v>577.36805819999995</v>
      </c>
      <c r="M859">
        <v>601.066508</v>
      </c>
      <c r="N859">
        <v>608.5425381</v>
      </c>
      <c r="O859">
        <v>608.03042730000004</v>
      </c>
      <c r="P859">
        <v>603.30059570000003</v>
      </c>
      <c r="Q859">
        <v>597.65967999999998</v>
      </c>
    </row>
    <row r="860" spans="1:17" x14ac:dyDescent="0.25">
      <c r="A860" t="s">
        <v>5</v>
      </c>
      <c r="B860" t="s">
        <v>6</v>
      </c>
      <c r="C860" t="s">
        <v>259</v>
      </c>
      <c r="D860" t="s">
        <v>150</v>
      </c>
      <c r="E860" t="s">
        <v>148</v>
      </c>
      <c r="F860">
        <v>59259.23833</v>
      </c>
      <c r="G860">
        <v>64679.405830000003</v>
      </c>
      <c r="H860">
        <v>66848.752500000002</v>
      </c>
      <c r="I860">
        <v>63053.281669999997</v>
      </c>
      <c r="J860">
        <v>59151.164169999996</v>
      </c>
      <c r="K860">
        <v>57630.009169999998</v>
      </c>
      <c r="L860">
        <v>58980.7575</v>
      </c>
      <c r="M860">
        <v>62456.083330000001</v>
      </c>
      <c r="N860">
        <v>63045.51</v>
      </c>
      <c r="O860">
        <v>61011.265829999997</v>
      </c>
      <c r="P860">
        <v>58232.055829999998</v>
      </c>
      <c r="Q860">
        <v>55819.905830000003</v>
      </c>
    </row>
    <row r="861" spans="1:17" x14ac:dyDescent="0.25">
      <c r="A861" t="s">
        <v>5</v>
      </c>
      <c r="B861" t="s">
        <v>6</v>
      </c>
      <c r="C861" t="s">
        <v>259</v>
      </c>
      <c r="D861" t="s">
        <v>151</v>
      </c>
      <c r="E861" t="s">
        <v>148</v>
      </c>
      <c r="F861">
        <v>1934.9992259999999</v>
      </c>
      <c r="G861">
        <v>2403.2949899999999</v>
      </c>
      <c r="H861">
        <v>2788.3458850000002</v>
      </c>
      <c r="I861">
        <v>3205.37563</v>
      </c>
      <c r="J861">
        <v>3488.1545449999999</v>
      </c>
      <c r="K861">
        <v>3835.7633919999998</v>
      </c>
      <c r="L861">
        <v>4191.7715950000002</v>
      </c>
      <c r="M861">
        <v>4521.8805309999998</v>
      </c>
      <c r="N861">
        <v>4770.4366600000003</v>
      </c>
      <c r="O861">
        <v>4948.4608689999995</v>
      </c>
      <c r="P861">
        <v>5120.3244850000001</v>
      </c>
      <c r="Q861">
        <v>5288.1728059999996</v>
      </c>
    </row>
    <row r="862" spans="1:17" x14ac:dyDescent="0.25">
      <c r="A862" t="s">
        <v>5</v>
      </c>
      <c r="B862" t="s">
        <v>6</v>
      </c>
      <c r="C862" t="s">
        <v>259</v>
      </c>
      <c r="D862" t="s">
        <v>152</v>
      </c>
      <c r="E862" t="s">
        <v>148</v>
      </c>
      <c r="F862">
        <v>5.518246907</v>
      </c>
      <c r="G862">
        <v>6.5293750069999996</v>
      </c>
      <c r="H862">
        <v>7.472829709</v>
      </c>
      <c r="I862">
        <v>8.0627583680000008</v>
      </c>
      <c r="J862">
        <v>8.4352397109999995</v>
      </c>
      <c r="K862">
        <v>8.757002516</v>
      </c>
      <c r="L862">
        <v>9.0771914119999995</v>
      </c>
      <c r="M862">
        <v>9.2763884989999994</v>
      </c>
      <c r="N862">
        <v>9.1665859869999995</v>
      </c>
      <c r="O862">
        <v>8.8115218120000005</v>
      </c>
      <c r="P862">
        <v>8.3212102720000001</v>
      </c>
      <c r="Q862">
        <v>7.8277860419999996</v>
      </c>
    </row>
    <row r="863" spans="1:17" x14ac:dyDescent="0.25">
      <c r="A863" t="s">
        <v>5</v>
      </c>
      <c r="B863" t="s">
        <v>6</v>
      </c>
      <c r="C863" t="s">
        <v>259</v>
      </c>
      <c r="D863" t="s">
        <v>153</v>
      </c>
      <c r="E863" t="s">
        <v>148</v>
      </c>
      <c r="F863">
        <v>29.206009130000002</v>
      </c>
      <c r="G863">
        <v>34.737577289999997</v>
      </c>
      <c r="H863">
        <v>36.136046039999997</v>
      </c>
      <c r="I863">
        <v>37.699828220000001</v>
      </c>
      <c r="J863">
        <v>40.862564499999998</v>
      </c>
      <c r="K863">
        <v>45.90812579</v>
      </c>
      <c r="L863">
        <v>51.357395240000002</v>
      </c>
      <c r="M863">
        <v>56.36437488</v>
      </c>
      <c r="N863">
        <v>59.814523029999997</v>
      </c>
      <c r="O863">
        <v>61.478659319999998</v>
      </c>
      <c r="P863">
        <v>62.98790589</v>
      </c>
      <c r="Q863">
        <v>64.703083919999997</v>
      </c>
    </row>
    <row r="864" spans="1:17" x14ac:dyDescent="0.25">
      <c r="A864" t="s">
        <v>5</v>
      </c>
      <c r="B864" t="s">
        <v>6</v>
      </c>
      <c r="C864" t="s">
        <v>259</v>
      </c>
      <c r="D864" t="s">
        <v>154</v>
      </c>
      <c r="E864" t="s">
        <v>148</v>
      </c>
      <c r="F864">
        <v>0.34791578400000001</v>
      </c>
      <c r="G864">
        <v>0.340884413</v>
      </c>
      <c r="H864">
        <v>0.41977577700000002</v>
      </c>
      <c r="I864">
        <v>0.38755529999999999</v>
      </c>
      <c r="J864">
        <v>0.50649825500000001</v>
      </c>
      <c r="K864">
        <v>0.53577811600000003</v>
      </c>
      <c r="L864">
        <v>0.577782613</v>
      </c>
      <c r="M864">
        <v>0.68053446100000003</v>
      </c>
      <c r="N864">
        <v>0.869700747</v>
      </c>
      <c r="O864">
        <v>1.1144625969999999</v>
      </c>
      <c r="P864">
        <v>1.36277501</v>
      </c>
      <c r="Q864">
        <v>1.5757881490000001</v>
      </c>
    </row>
    <row r="865" spans="1:17" x14ac:dyDescent="0.25">
      <c r="A865" t="s">
        <v>5</v>
      </c>
      <c r="B865" t="s">
        <v>6</v>
      </c>
      <c r="C865" t="s">
        <v>259</v>
      </c>
      <c r="D865" t="s">
        <v>155</v>
      </c>
      <c r="E865" t="s">
        <v>148</v>
      </c>
      <c r="F865">
        <v>1.1975504E-2</v>
      </c>
      <c r="G865">
        <v>1.119159E-2</v>
      </c>
      <c r="H865">
        <v>1.3470039E-2</v>
      </c>
      <c r="I865">
        <v>1.6522246000000001E-2</v>
      </c>
      <c r="J865">
        <v>2.1181877000000002E-2</v>
      </c>
      <c r="K865">
        <v>2.1998797E-2</v>
      </c>
      <c r="L865">
        <v>2.2984182999999998E-2</v>
      </c>
      <c r="M865">
        <v>2.5021509000000001E-2</v>
      </c>
      <c r="N865">
        <v>2.8263047999999999E-2</v>
      </c>
      <c r="O865">
        <v>3.1842812999999998E-2</v>
      </c>
      <c r="P865">
        <v>3.4893047000000003E-2</v>
      </c>
      <c r="Q865">
        <v>3.7169005999999997E-2</v>
      </c>
    </row>
    <row r="866" spans="1:17" x14ac:dyDescent="0.25">
      <c r="A866" t="s">
        <v>5</v>
      </c>
      <c r="B866" t="s">
        <v>6</v>
      </c>
      <c r="C866" t="s">
        <v>259</v>
      </c>
      <c r="D866" t="s">
        <v>156</v>
      </c>
      <c r="E866" t="s">
        <v>148</v>
      </c>
      <c r="F866">
        <v>9.3390155129999997</v>
      </c>
      <c r="G866">
        <v>9.8488562240000004</v>
      </c>
      <c r="H866">
        <v>10.09470044</v>
      </c>
      <c r="I866">
        <v>11.38051499</v>
      </c>
      <c r="J866">
        <v>12.22148323</v>
      </c>
      <c r="K866">
        <v>13.005063010000001</v>
      </c>
      <c r="L866">
        <v>13.730495360000001</v>
      </c>
      <c r="M866">
        <v>14.29963832</v>
      </c>
      <c r="N866">
        <v>14.667293369999999</v>
      </c>
      <c r="O866">
        <v>14.841314199999999</v>
      </c>
      <c r="P866">
        <v>15.12775761</v>
      </c>
      <c r="Q866">
        <v>15.389330879999999</v>
      </c>
    </row>
    <row r="867" spans="1:17" x14ac:dyDescent="0.25">
      <c r="A867" t="s">
        <v>5</v>
      </c>
      <c r="B867" t="s">
        <v>6</v>
      </c>
      <c r="C867" t="s">
        <v>259</v>
      </c>
      <c r="D867" t="s">
        <v>157</v>
      </c>
      <c r="E867" t="s">
        <v>158</v>
      </c>
      <c r="F867">
        <v>2887572230</v>
      </c>
      <c r="G867">
        <v>3199727895</v>
      </c>
      <c r="H867">
        <v>3197809652</v>
      </c>
      <c r="I867">
        <v>3223953355</v>
      </c>
      <c r="J867">
        <v>3215168559</v>
      </c>
      <c r="K867">
        <v>3336698890</v>
      </c>
      <c r="L867">
        <v>3452767489</v>
      </c>
      <c r="M867">
        <v>3559635337</v>
      </c>
      <c r="N867">
        <v>3654987473</v>
      </c>
      <c r="O867">
        <v>3730858351</v>
      </c>
      <c r="P867">
        <v>3785775429</v>
      </c>
      <c r="Q867">
        <v>3834325510</v>
      </c>
    </row>
    <row r="868" spans="1:17" x14ac:dyDescent="0.25">
      <c r="A868" t="s">
        <v>5</v>
      </c>
      <c r="B868" t="s">
        <v>6</v>
      </c>
      <c r="C868" t="s">
        <v>259</v>
      </c>
      <c r="D868" t="s">
        <v>159</v>
      </c>
      <c r="E868" t="s">
        <v>158</v>
      </c>
      <c r="F868">
        <v>1448786696</v>
      </c>
      <c r="G868">
        <v>1622338630</v>
      </c>
      <c r="H868">
        <v>1670185360</v>
      </c>
      <c r="I868">
        <v>1754491488</v>
      </c>
      <c r="J868">
        <v>1813042229</v>
      </c>
      <c r="K868">
        <v>1939779745</v>
      </c>
      <c r="L868">
        <v>2067206903</v>
      </c>
      <c r="M868">
        <v>2192772484</v>
      </c>
      <c r="N868">
        <v>2311610866</v>
      </c>
      <c r="O868">
        <v>2417817118</v>
      </c>
      <c r="P868">
        <v>2509906710</v>
      </c>
      <c r="Q868">
        <v>2591272326</v>
      </c>
    </row>
    <row r="869" spans="1:17" x14ac:dyDescent="0.25">
      <c r="A869" t="s">
        <v>5</v>
      </c>
      <c r="B869" t="s">
        <v>6</v>
      </c>
      <c r="C869" t="s">
        <v>259</v>
      </c>
      <c r="D869" t="s">
        <v>160</v>
      </c>
      <c r="E869" t="s">
        <v>158</v>
      </c>
      <c r="F869">
        <v>721456309.20000005</v>
      </c>
      <c r="G869">
        <v>809416830.79999995</v>
      </c>
      <c r="H869">
        <v>837671676.10000002</v>
      </c>
      <c r="I869">
        <v>886112840.29999995</v>
      </c>
      <c r="J869">
        <v>920981753.20000005</v>
      </c>
      <c r="K869">
        <v>990060188</v>
      </c>
      <c r="L869">
        <v>1059793248</v>
      </c>
      <c r="M869">
        <v>1128849232</v>
      </c>
      <c r="N869">
        <v>1194469115</v>
      </c>
      <c r="O869">
        <v>1253539255</v>
      </c>
      <c r="P869">
        <v>1305252737</v>
      </c>
      <c r="Q869">
        <v>1350942822</v>
      </c>
    </row>
    <row r="870" spans="1:17" x14ac:dyDescent="0.25">
      <c r="A870" t="s">
        <v>5</v>
      </c>
      <c r="B870" t="s">
        <v>6</v>
      </c>
      <c r="C870" t="s">
        <v>259</v>
      </c>
      <c r="D870" t="s">
        <v>161</v>
      </c>
      <c r="E870" t="s">
        <v>158</v>
      </c>
      <c r="F870">
        <v>53156668.310000002</v>
      </c>
      <c r="G870">
        <v>79193616.409999996</v>
      </c>
      <c r="H870">
        <v>95987094.180000007</v>
      </c>
      <c r="I870">
        <v>116758072</v>
      </c>
      <c r="J870">
        <v>150541811.90000001</v>
      </c>
      <c r="K870">
        <v>218324047.19999999</v>
      </c>
      <c r="L870">
        <v>297778588.19999999</v>
      </c>
      <c r="M870">
        <v>379870630.39999998</v>
      </c>
      <c r="N870">
        <v>459733250.19999999</v>
      </c>
      <c r="O870">
        <v>536182278.89999998</v>
      </c>
      <c r="P870">
        <v>621513224.5</v>
      </c>
      <c r="Q870">
        <v>713395522.89999998</v>
      </c>
    </row>
    <row r="871" spans="1:17" x14ac:dyDescent="0.25">
      <c r="A871" t="s">
        <v>5</v>
      </c>
      <c r="B871" t="s">
        <v>6</v>
      </c>
      <c r="C871" t="s">
        <v>259</v>
      </c>
      <c r="D871" t="s">
        <v>162</v>
      </c>
      <c r="E871" t="s">
        <v>158</v>
      </c>
      <c r="F871">
        <v>52793750</v>
      </c>
      <c r="G871">
        <v>67542770.439999998</v>
      </c>
      <c r="H871">
        <v>76671250.349999994</v>
      </c>
      <c r="I871">
        <v>86913510.840000004</v>
      </c>
      <c r="J871">
        <v>102220490.40000001</v>
      </c>
      <c r="K871">
        <v>129495864</v>
      </c>
      <c r="L871">
        <v>158417689.5</v>
      </c>
      <c r="M871">
        <v>186364859</v>
      </c>
      <c r="N871">
        <v>212259607</v>
      </c>
      <c r="O871">
        <v>235960149.5</v>
      </c>
      <c r="P871">
        <v>261253313.59999999</v>
      </c>
      <c r="Q871">
        <v>287501617.89999998</v>
      </c>
    </row>
    <row r="872" spans="1:17" x14ac:dyDescent="0.25">
      <c r="A872" t="s">
        <v>5</v>
      </c>
      <c r="B872" t="s">
        <v>6</v>
      </c>
      <c r="C872" t="s">
        <v>259</v>
      </c>
      <c r="D872" t="s">
        <v>163</v>
      </c>
      <c r="E872" t="s">
        <v>158</v>
      </c>
      <c r="F872">
        <v>61129721.590000004</v>
      </c>
      <c r="G872">
        <v>87252707.730000004</v>
      </c>
      <c r="H872">
        <v>103663127.5</v>
      </c>
      <c r="I872">
        <v>123277187.5</v>
      </c>
      <c r="J872">
        <v>154053982.19999999</v>
      </c>
      <c r="K872">
        <v>212253990.30000001</v>
      </c>
      <c r="L872">
        <v>276431413.69999999</v>
      </c>
      <c r="M872">
        <v>339481901.19999999</v>
      </c>
      <c r="N872">
        <v>398413540</v>
      </c>
      <c r="O872">
        <v>452682137.89999998</v>
      </c>
      <c r="P872">
        <v>510292270.19999999</v>
      </c>
      <c r="Q872">
        <v>569256979.70000005</v>
      </c>
    </row>
    <row r="873" spans="1:17" x14ac:dyDescent="0.25">
      <c r="A873" t="s">
        <v>5</v>
      </c>
      <c r="B873" t="s">
        <v>6</v>
      </c>
      <c r="C873" t="s">
        <v>259</v>
      </c>
      <c r="D873" t="s">
        <v>164</v>
      </c>
      <c r="E873" t="s">
        <v>158</v>
      </c>
      <c r="F873">
        <v>698458232.70000005</v>
      </c>
      <c r="G873">
        <v>822039279.39999998</v>
      </c>
      <c r="H873">
        <v>898159520.79999995</v>
      </c>
      <c r="I873">
        <v>975484667.10000002</v>
      </c>
      <c r="J873">
        <v>1081619007</v>
      </c>
      <c r="K873">
        <v>1248588147</v>
      </c>
      <c r="L873">
        <v>1405285320</v>
      </c>
      <c r="M873">
        <v>1542789342</v>
      </c>
      <c r="N873">
        <v>1659684319</v>
      </c>
      <c r="O873">
        <v>1757081092</v>
      </c>
      <c r="P873">
        <v>1849993224</v>
      </c>
      <c r="Q873">
        <v>1935933506</v>
      </c>
    </row>
    <row r="874" spans="1:17" x14ac:dyDescent="0.25">
      <c r="A874" t="s">
        <v>5</v>
      </c>
      <c r="B874" t="s">
        <v>6</v>
      </c>
      <c r="C874" t="s">
        <v>259</v>
      </c>
      <c r="D874" t="s">
        <v>165</v>
      </c>
      <c r="E874" t="s">
        <v>166</v>
      </c>
      <c r="F874">
        <v>25.344528409999999</v>
      </c>
      <c r="G874">
        <v>27.37812873</v>
      </c>
      <c r="H874">
        <v>27.071736059999999</v>
      </c>
      <c r="I874">
        <v>28.239519189999999</v>
      </c>
      <c r="J874">
        <v>32.678186529999998</v>
      </c>
      <c r="K874">
        <v>36.633283589999998</v>
      </c>
      <c r="L874">
        <v>40.79866097</v>
      </c>
      <c r="M874">
        <v>44.771635340000003</v>
      </c>
      <c r="N874">
        <v>48.210304669999999</v>
      </c>
      <c r="O874">
        <v>51.639970599999998</v>
      </c>
      <c r="P874">
        <v>55.177234669999997</v>
      </c>
      <c r="Q874">
        <v>58.487974620000003</v>
      </c>
    </row>
    <row r="875" spans="1:17" x14ac:dyDescent="0.25">
      <c r="A875" t="s">
        <v>5</v>
      </c>
      <c r="B875" t="s">
        <v>6</v>
      </c>
      <c r="C875" t="s">
        <v>259</v>
      </c>
      <c r="D875" t="s">
        <v>167</v>
      </c>
      <c r="E875" t="s">
        <v>166</v>
      </c>
      <c r="F875">
        <v>36.712362910000003</v>
      </c>
      <c r="G875">
        <v>40.687393759999999</v>
      </c>
      <c r="H875">
        <v>41.621362390000002</v>
      </c>
      <c r="I875">
        <v>44.396906569999999</v>
      </c>
      <c r="J875">
        <v>50.181443180000002</v>
      </c>
      <c r="K875">
        <v>55.729781559999999</v>
      </c>
      <c r="L875">
        <v>61.539863699999998</v>
      </c>
      <c r="M875">
        <v>66.961772909999993</v>
      </c>
      <c r="N875">
        <v>71.406808429999998</v>
      </c>
      <c r="O875">
        <v>75.506007460000006</v>
      </c>
      <c r="P875">
        <v>79.657084519999998</v>
      </c>
      <c r="Q875">
        <v>83.561846970000005</v>
      </c>
    </row>
    <row r="876" spans="1:17" x14ac:dyDescent="0.25">
      <c r="A876" t="s">
        <v>5</v>
      </c>
      <c r="B876" t="s">
        <v>6</v>
      </c>
      <c r="C876" t="s">
        <v>259</v>
      </c>
      <c r="D876" t="s">
        <v>168</v>
      </c>
      <c r="E876" t="s">
        <v>166</v>
      </c>
      <c r="F876">
        <v>49.515191289999997</v>
      </c>
      <c r="G876">
        <v>58.888246129999999</v>
      </c>
      <c r="H876">
        <v>61.363029709999999</v>
      </c>
      <c r="I876">
        <v>64.05947046</v>
      </c>
      <c r="J876">
        <v>69.387672629999997</v>
      </c>
      <c r="K876">
        <v>77.846400459999998</v>
      </c>
      <c r="L876">
        <v>86.978393170000004</v>
      </c>
      <c r="M876">
        <v>95.357265609999999</v>
      </c>
      <c r="N876">
        <v>101.0978954</v>
      </c>
      <c r="O876">
        <v>103.82850120000001</v>
      </c>
      <c r="P876">
        <v>106.2846389</v>
      </c>
      <c r="Q876">
        <v>109.0861046</v>
      </c>
    </row>
    <row r="877" spans="1:17" x14ac:dyDescent="0.25">
      <c r="A877" t="s">
        <v>5</v>
      </c>
      <c r="B877" t="s">
        <v>6</v>
      </c>
      <c r="C877" t="s">
        <v>259</v>
      </c>
      <c r="D877" t="s">
        <v>169</v>
      </c>
      <c r="E877" t="s">
        <v>166</v>
      </c>
      <c r="F877">
        <v>1.9995170000000001E-3</v>
      </c>
      <c r="G877">
        <v>1.9544319999999999E-3</v>
      </c>
      <c r="H877">
        <v>2.4040609999999999E-3</v>
      </c>
      <c r="I877">
        <v>2.2547800000000001E-3</v>
      </c>
      <c r="J877">
        <v>2.9432389999999998E-3</v>
      </c>
      <c r="K877">
        <v>3.1098670000000001E-3</v>
      </c>
      <c r="L877">
        <v>3.347301E-3</v>
      </c>
      <c r="M877">
        <v>3.9248950000000003E-3</v>
      </c>
      <c r="N877">
        <v>4.9838540000000002E-3</v>
      </c>
      <c r="O877">
        <v>6.3487379999999996E-3</v>
      </c>
      <c r="P877">
        <v>7.7284069999999996E-3</v>
      </c>
      <c r="Q877">
        <v>8.909007E-3</v>
      </c>
    </row>
    <row r="878" spans="1:17" x14ac:dyDescent="0.25">
      <c r="A878" t="s">
        <v>5</v>
      </c>
      <c r="B878" t="s">
        <v>6</v>
      </c>
      <c r="C878" t="s">
        <v>259</v>
      </c>
      <c r="D878" t="s">
        <v>170</v>
      </c>
      <c r="E878" t="s">
        <v>166</v>
      </c>
      <c r="F878">
        <v>3.5479503810000002</v>
      </c>
      <c r="G878">
        <v>3.7456502380000001</v>
      </c>
      <c r="H878">
        <v>3.7352157460000002</v>
      </c>
      <c r="I878">
        <v>4.1683200520000003</v>
      </c>
      <c r="J878">
        <v>4.4697023590000002</v>
      </c>
      <c r="K878">
        <v>4.7618346809999998</v>
      </c>
      <c r="L878">
        <v>5.0388394549999997</v>
      </c>
      <c r="M878">
        <v>5.2600216380000004</v>
      </c>
      <c r="N878">
        <v>5.4075346509999997</v>
      </c>
      <c r="O878">
        <v>5.4858841959999998</v>
      </c>
      <c r="P878">
        <v>5.5952484619999998</v>
      </c>
      <c r="Q878">
        <v>5.6988502790000002</v>
      </c>
    </row>
    <row r="879" spans="1:17" x14ac:dyDescent="0.25">
      <c r="A879" t="s">
        <v>5</v>
      </c>
      <c r="B879" t="s">
        <v>6</v>
      </c>
      <c r="C879" t="s">
        <v>259</v>
      </c>
      <c r="D879" t="s">
        <v>171</v>
      </c>
      <c r="E879" t="s">
        <v>166</v>
      </c>
      <c r="F879">
        <v>3.8751907910000001</v>
      </c>
      <c r="G879">
        <v>4.1895258929999999</v>
      </c>
      <c r="H879">
        <v>4.1621105710000004</v>
      </c>
      <c r="I879">
        <v>4.3685076760000001</v>
      </c>
      <c r="J879">
        <v>5.0779067739999997</v>
      </c>
      <c r="K879">
        <v>5.7158804029999999</v>
      </c>
      <c r="L879">
        <v>6.4361804999999999</v>
      </c>
      <c r="M879">
        <v>7.2740402030000002</v>
      </c>
      <c r="N879">
        <v>8.3697790570000006</v>
      </c>
      <c r="O879">
        <v>9.8674926559999996</v>
      </c>
      <c r="P879">
        <v>11.53535902</v>
      </c>
      <c r="Q879">
        <v>12.931731190000001</v>
      </c>
    </row>
    <row r="880" spans="1:17" x14ac:dyDescent="0.25">
      <c r="A880" t="s">
        <v>5</v>
      </c>
      <c r="B880" t="s">
        <v>6</v>
      </c>
      <c r="C880" t="s">
        <v>259</v>
      </c>
      <c r="D880" t="s">
        <v>172</v>
      </c>
      <c r="E880" t="s">
        <v>166</v>
      </c>
      <c r="F880">
        <v>6.0907254330000002</v>
      </c>
      <c r="G880">
        <v>6.5754930099999997</v>
      </c>
      <c r="H880">
        <v>6.5305364250000002</v>
      </c>
      <c r="I880">
        <v>6.7933685109999997</v>
      </c>
      <c r="J880">
        <v>7.6324058839999998</v>
      </c>
      <c r="K880">
        <v>8.4261293990000006</v>
      </c>
      <c r="L880">
        <v>9.3322084109999999</v>
      </c>
      <c r="M880">
        <v>10.331829819999999</v>
      </c>
      <c r="N880">
        <v>11.509059779999999</v>
      </c>
      <c r="O880">
        <v>13.032698229999999</v>
      </c>
      <c r="P880">
        <v>14.706954469999999</v>
      </c>
      <c r="Q880">
        <v>16.107529469999999</v>
      </c>
    </row>
    <row r="881" spans="1:17" x14ac:dyDescent="0.25">
      <c r="A881" t="s">
        <v>5</v>
      </c>
      <c r="B881" t="s">
        <v>6</v>
      </c>
      <c r="C881" t="s">
        <v>259</v>
      </c>
      <c r="D881" t="s">
        <v>173</v>
      </c>
      <c r="E881" t="s">
        <v>166</v>
      </c>
      <c r="F881">
        <v>3.2254774359999998</v>
      </c>
      <c r="G881">
        <v>3.833743176</v>
      </c>
      <c r="H881">
        <v>4.042162362</v>
      </c>
      <c r="I881">
        <v>4.2383558219999999</v>
      </c>
      <c r="J881">
        <v>4.5700063289999999</v>
      </c>
      <c r="K881">
        <v>5.0775373439999996</v>
      </c>
      <c r="L881">
        <v>5.6237754200000003</v>
      </c>
      <c r="M881">
        <v>6.1192275040000004</v>
      </c>
      <c r="N881">
        <v>6.4430183589999999</v>
      </c>
      <c r="O881">
        <v>6.578512065</v>
      </c>
      <c r="P881">
        <v>6.6903067209999998</v>
      </c>
      <c r="Q881">
        <v>6.8226114210000004</v>
      </c>
    </row>
    <row r="882" spans="1:17" x14ac:dyDescent="0.25">
      <c r="A882" t="s">
        <v>5</v>
      </c>
      <c r="B882" t="s">
        <v>6</v>
      </c>
      <c r="C882" t="s">
        <v>259</v>
      </c>
      <c r="D882" t="s">
        <v>174</v>
      </c>
      <c r="E882" t="s">
        <v>166</v>
      </c>
      <c r="F882">
        <v>1.510746E-2</v>
      </c>
      <c r="G882">
        <v>1.4766820999999999E-2</v>
      </c>
      <c r="H882">
        <v>1.8164018000000001E-2</v>
      </c>
      <c r="I882">
        <v>1.7036118999999999E-2</v>
      </c>
      <c r="J882">
        <v>2.2237805999999999E-2</v>
      </c>
      <c r="K882">
        <v>2.3496776E-2</v>
      </c>
      <c r="L882">
        <v>2.5290718E-2</v>
      </c>
      <c r="M882">
        <v>2.9654761000000002E-2</v>
      </c>
      <c r="N882">
        <v>3.7655783999999998E-2</v>
      </c>
      <c r="O882">
        <v>4.7968245E-2</v>
      </c>
      <c r="P882">
        <v>5.8392405000000001E-2</v>
      </c>
      <c r="Q882">
        <v>6.7312497999999998E-2</v>
      </c>
    </row>
    <row r="883" spans="1:17" x14ac:dyDescent="0.25">
      <c r="A883" t="s">
        <v>5</v>
      </c>
      <c r="B883" t="s">
        <v>6</v>
      </c>
      <c r="C883" t="s">
        <v>259</v>
      </c>
      <c r="D883" t="s">
        <v>175</v>
      </c>
      <c r="E883" t="s">
        <v>166</v>
      </c>
      <c r="F883">
        <v>3.8988465999999999E-2</v>
      </c>
      <c r="G883">
        <v>4.1160992E-2</v>
      </c>
      <c r="H883">
        <v>4.1046327000000001E-2</v>
      </c>
      <c r="I883">
        <v>4.5805714999999997E-2</v>
      </c>
      <c r="J883">
        <v>4.9117608E-2</v>
      </c>
      <c r="K883">
        <v>5.2327854E-2</v>
      </c>
      <c r="L883">
        <v>5.5371862000000001E-2</v>
      </c>
      <c r="M883">
        <v>5.7802435999999999E-2</v>
      </c>
      <c r="N883">
        <v>5.9423457999999998E-2</v>
      </c>
      <c r="O883">
        <v>6.0284442000000001E-2</v>
      </c>
      <c r="P883">
        <v>6.1486247000000001E-2</v>
      </c>
      <c r="Q883">
        <v>6.2624728000000005E-2</v>
      </c>
    </row>
    <row r="884" spans="1:17" x14ac:dyDescent="0.25">
      <c r="A884" t="s">
        <v>5</v>
      </c>
      <c r="B884" t="s">
        <v>6</v>
      </c>
      <c r="C884" t="s">
        <v>259</v>
      </c>
      <c r="D884" t="s">
        <v>176</v>
      </c>
      <c r="E884" t="s">
        <v>166</v>
      </c>
      <c r="F884">
        <v>0.74090725999999996</v>
      </c>
      <c r="G884">
        <v>0.80365334600000005</v>
      </c>
      <c r="H884">
        <v>0.813286234</v>
      </c>
      <c r="I884">
        <v>0.87411093500000003</v>
      </c>
      <c r="J884">
        <v>1.033737734</v>
      </c>
      <c r="K884">
        <v>1.1803167429999999</v>
      </c>
      <c r="L884">
        <v>1.3755330290000001</v>
      </c>
      <c r="M884">
        <v>1.693530137</v>
      </c>
      <c r="N884">
        <v>2.2968628419999999</v>
      </c>
      <c r="O884">
        <v>3.2600481370000001</v>
      </c>
      <c r="P884">
        <v>4.3638141429999999</v>
      </c>
      <c r="Q884">
        <v>5.2464777009999999</v>
      </c>
    </row>
    <row r="885" spans="1:17" x14ac:dyDescent="0.25">
      <c r="A885" t="s">
        <v>5</v>
      </c>
      <c r="B885" t="s">
        <v>6</v>
      </c>
      <c r="C885" t="s">
        <v>259</v>
      </c>
      <c r="D885" t="s">
        <v>177</v>
      </c>
      <c r="E885" t="s">
        <v>166</v>
      </c>
      <c r="F885">
        <v>0.81733499099999996</v>
      </c>
      <c r="G885">
        <v>0.895040006</v>
      </c>
      <c r="H885">
        <v>0.91553660000000003</v>
      </c>
      <c r="I885">
        <v>0.98966238100000004</v>
      </c>
      <c r="J885">
        <v>1.160423955</v>
      </c>
      <c r="K885">
        <v>1.321025275</v>
      </c>
      <c r="L885">
        <v>1.532182648</v>
      </c>
      <c r="M885">
        <v>1.8670097430000001</v>
      </c>
      <c r="N885">
        <v>2.485837853</v>
      </c>
      <c r="O885">
        <v>3.4621997059999998</v>
      </c>
      <c r="P885">
        <v>4.5780936209999998</v>
      </c>
      <c r="Q885">
        <v>5.4712237559999997</v>
      </c>
    </row>
    <row r="886" spans="1:17" x14ac:dyDescent="0.25">
      <c r="A886" t="s">
        <v>5</v>
      </c>
      <c r="B886" t="s">
        <v>6</v>
      </c>
      <c r="C886" t="s">
        <v>259</v>
      </c>
      <c r="D886" t="s">
        <v>178</v>
      </c>
      <c r="E886" t="s">
        <v>166</v>
      </c>
      <c r="F886">
        <v>7.9248136999999996E-2</v>
      </c>
      <c r="G886">
        <v>9.4248865000000001E-2</v>
      </c>
      <c r="H886">
        <v>9.8289660000000001E-2</v>
      </c>
      <c r="I886">
        <v>0.10264435700000001</v>
      </c>
      <c r="J886">
        <v>0.111157536</v>
      </c>
      <c r="K886">
        <v>0.124644932</v>
      </c>
      <c r="L886">
        <v>0.139215593</v>
      </c>
      <c r="M886">
        <v>0.152626383</v>
      </c>
      <c r="N886">
        <v>0.161883096</v>
      </c>
      <c r="O886">
        <v>0.16641144199999999</v>
      </c>
      <c r="P886">
        <v>0.170576267</v>
      </c>
      <c r="Q886">
        <v>0.17534222599999999</v>
      </c>
    </row>
    <row r="887" spans="1:17" x14ac:dyDescent="0.25">
      <c r="A887" t="s">
        <v>5</v>
      </c>
      <c r="B887" t="s">
        <v>6</v>
      </c>
      <c r="C887" t="s">
        <v>259</v>
      </c>
      <c r="D887" t="s">
        <v>179</v>
      </c>
      <c r="E887" t="s">
        <v>166</v>
      </c>
      <c r="F887" s="1">
        <v>9.6899999999999997E-5</v>
      </c>
      <c r="G887" s="1">
        <v>9.5000000000000005E-5</v>
      </c>
      <c r="H887">
        <v>1.1693600000000001E-4</v>
      </c>
      <c r="I887">
        <v>1.0796E-4</v>
      </c>
      <c r="J887">
        <v>1.41094E-4</v>
      </c>
      <c r="K887">
        <v>1.4925E-4</v>
      </c>
      <c r="L887">
        <v>1.60951E-4</v>
      </c>
      <c r="M887">
        <v>1.89574E-4</v>
      </c>
      <c r="N887">
        <v>2.4227E-4</v>
      </c>
      <c r="O887">
        <v>3.1045200000000002E-4</v>
      </c>
      <c r="P887">
        <v>3.7962400000000001E-4</v>
      </c>
      <c r="Q887">
        <v>4.3896199999999999E-4</v>
      </c>
    </row>
    <row r="888" spans="1:17" x14ac:dyDescent="0.25">
      <c r="A888" t="s">
        <v>5</v>
      </c>
      <c r="B888" t="s">
        <v>6</v>
      </c>
      <c r="C888" t="s">
        <v>259</v>
      </c>
      <c r="D888" t="s">
        <v>180</v>
      </c>
      <c r="E888" t="s">
        <v>166</v>
      </c>
      <c r="F888">
        <v>3.8988465999999999E-2</v>
      </c>
      <c r="G888">
        <v>4.1160992E-2</v>
      </c>
      <c r="H888">
        <v>4.1046327000000001E-2</v>
      </c>
      <c r="I888">
        <v>4.5805714999999997E-2</v>
      </c>
      <c r="J888">
        <v>4.9117608E-2</v>
      </c>
      <c r="K888">
        <v>5.2327854E-2</v>
      </c>
      <c r="L888">
        <v>5.5371862000000001E-2</v>
      </c>
      <c r="M888">
        <v>5.7802435999999999E-2</v>
      </c>
      <c r="N888">
        <v>5.9423457999999998E-2</v>
      </c>
      <c r="O888">
        <v>6.0284442000000001E-2</v>
      </c>
      <c r="P888">
        <v>6.1486247000000001E-2</v>
      </c>
      <c r="Q888">
        <v>6.2624728000000005E-2</v>
      </c>
    </row>
    <row r="889" spans="1:17" x14ac:dyDescent="0.25">
      <c r="A889" t="s">
        <v>5</v>
      </c>
      <c r="B889" t="s">
        <v>6</v>
      </c>
      <c r="C889" t="s">
        <v>259</v>
      </c>
      <c r="D889" t="s">
        <v>181</v>
      </c>
      <c r="E889" t="s">
        <v>166</v>
      </c>
      <c r="F889">
        <v>1.0653757109999999</v>
      </c>
      <c r="G889">
        <v>1.151033655</v>
      </c>
      <c r="H889">
        <v>1.139160253</v>
      </c>
      <c r="I889">
        <v>1.189682074</v>
      </c>
      <c r="J889">
        <v>1.3777731010000001</v>
      </c>
      <c r="K889">
        <v>1.5455753050000001</v>
      </c>
      <c r="L889">
        <v>1.72454409</v>
      </c>
      <c r="M889">
        <v>1.902288438</v>
      </c>
      <c r="N889">
        <v>2.0733321500000002</v>
      </c>
      <c r="O889">
        <v>2.2627559260000001</v>
      </c>
      <c r="P889">
        <v>2.4639984519999998</v>
      </c>
      <c r="Q889">
        <v>2.644903062</v>
      </c>
    </row>
    <row r="890" spans="1:17" x14ac:dyDescent="0.25">
      <c r="A890" t="s">
        <v>5</v>
      </c>
      <c r="B890" t="s">
        <v>6</v>
      </c>
      <c r="C890" t="s">
        <v>259</v>
      </c>
      <c r="D890" t="s">
        <v>182</v>
      </c>
      <c r="E890" t="s">
        <v>166</v>
      </c>
      <c r="F890">
        <v>1.2799634049999999</v>
      </c>
      <c r="G890">
        <v>1.3824534939999999</v>
      </c>
      <c r="H890">
        <v>1.367837102</v>
      </c>
      <c r="I890">
        <v>1.4300949629999999</v>
      </c>
      <c r="J890">
        <v>1.6381817249999999</v>
      </c>
      <c r="K890">
        <v>1.826914143</v>
      </c>
      <c r="L890">
        <v>2.0273092039999998</v>
      </c>
      <c r="M890">
        <v>2.2210452919999999</v>
      </c>
      <c r="N890">
        <v>2.400724227</v>
      </c>
      <c r="O890">
        <v>2.5944932509999998</v>
      </c>
      <c r="P890">
        <v>2.7986236309999999</v>
      </c>
      <c r="Q890">
        <v>2.9820340870000002</v>
      </c>
    </row>
    <row r="891" spans="1:17" x14ac:dyDescent="0.25">
      <c r="A891" t="s">
        <v>5</v>
      </c>
      <c r="B891" t="s">
        <v>6</v>
      </c>
      <c r="C891" t="s">
        <v>259</v>
      </c>
      <c r="D891" t="s">
        <v>183</v>
      </c>
      <c r="E891" t="s">
        <v>166</v>
      </c>
      <c r="F891">
        <v>5.14563E-3</v>
      </c>
      <c r="G891">
        <v>6.0930990000000003E-3</v>
      </c>
      <c r="H891">
        <v>6.9820230000000004E-3</v>
      </c>
      <c r="I891">
        <v>7.5428470000000001E-3</v>
      </c>
      <c r="J891">
        <v>7.9053939999999996E-3</v>
      </c>
      <c r="K891">
        <v>8.2329989999999995E-3</v>
      </c>
      <c r="L891">
        <v>8.5807499999999998E-3</v>
      </c>
      <c r="M891">
        <v>8.8911660000000007E-3</v>
      </c>
      <c r="N891">
        <v>9.0200660000000002E-3</v>
      </c>
      <c r="O891">
        <v>9.0407309999999998E-3</v>
      </c>
      <c r="P891">
        <v>9.0682479999999992E-3</v>
      </c>
      <c r="Q891">
        <v>9.1736179999999997E-3</v>
      </c>
    </row>
    <row r="892" spans="1:17" x14ac:dyDescent="0.25">
      <c r="A892" t="s">
        <v>5</v>
      </c>
      <c r="B892" t="s">
        <v>6</v>
      </c>
      <c r="C892" t="s">
        <v>259</v>
      </c>
      <c r="D892" t="s">
        <v>184</v>
      </c>
      <c r="E892" t="s">
        <v>166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x14ac:dyDescent="0.25">
      <c r="A893" t="s">
        <v>5</v>
      </c>
      <c r="B893" t="s">
        <v>6</v>
      </c>
      <c r="C893" t="s">
        <v>259</v>
      </c>
      <c r="D893" t="s">
        <v>185</v>
      </c>
      <c r="E893" t="s">
        <v>166</v>
      </c>
      <c r="F893">
        <v>2.339308E-3</v>
      </c>
      <c r="G893">
        <v>2.4696589999999999E-3</v>
      </c>
      <c r="H893">
        <v>2.4627799999999999E-3</v>
      </c>
      <c r="I893">
        <v>2.7483429999999999E-3</v>
      </c>
      <c r="J893">
        <v>2.9470569999999999E-3</v>
      </c>
      <c r="K893">
        <v>3.1396710000000001E-3</v>
      </c>
      <c r="L893">
        <v>3.322312E-3</v>
      </c>
      <c r="M893">
        <v>3.4681460000000001E-3</v>
      </c>
      <c r="N893">
        <v>3.565407E-3</v>
      </c>
      <c r="O893">
        <v>3.6170669999999999E-3</v>
      </c>
      <c r="P893">
        <v>3.6891749999999998E-3</v>
      </c>
      <c r="Q893">
        <v>3.7574840000000002E-3</v>
      </c>
    </row>
    <row r="894" spans="1:17" x14ac:dyDescent="0.25">
      <c r="A894" t="s">
        <v>5</v>
      </c>
      <c r="B894" t="s">
        <v>6</v>
      </c>
      <c r="C894" t="s">
        <v>259</v>
      </c>
      <c r="D894" t="s">
        <v>186</v>
      </c>
      <c r="E894" t="s">
        <v>166</v>
      </c>
      <c r="F894">
        <v>4.991512803</v>
      </c>
      <c r="G894">
        <v>5.3933851180000003</v>
      </c>
      <c r="H894">
        <v>5.3378911450000004</v>
      </c>
      <c r="I894">
        <v>5.5745247180000002</v>
      </c>
      <c r="J894">
        <v>6.4556420240000003</v>
      </c>
      <c r="K894">
        <v>7.2403630459999997</v>
      </c>
      <c r="L894">
        <v>8.0739320350000003</v>
      </c>
      <c r="M894">
        <v>8.8971179879999998</v>
      </c>
      <c r="N894">
        <v>9.6859899869999992</v>
      </c>
      <c r="O894">
        <v>10.567607280000001</v>
      </c>
      <c r="P894">
        <v>11.51397923</v>
      </c>
      <c r="Q894">
        <v>12.36401442</v>
      </c>
    </row>
    <row r="895" spans="1:17" x14ac:dyDescent="0.25">
      <c r="A895" t="s">
        <v>5</v>
      </c>
      <c r="B895" t="s">
        <v>6</v>
      </c>
      <c r="C895" t="s">
        <v>259</v>
      </c>
      <c r="D895" t="s">
        <v>187</v>
      </c>
      <c r="E895" t="s">
        <v>166</v>
      </c>
      <c r="F895">
        <v>6.8551729699999999</v>
      </c>
      <c r="G895">
        <v>7.5577828560000002</v>
      </c>
      <c r="H895">
        <v>7.6851340779999999</v>
      </c>
      <c r="I895">
        <v>8.160226153</v>
      </c>
      <c r="J895">
        <v>9.2471730000000001</v>
      </c>
      <c r="K895">
        <v>10.277765029999999</v>
      </c>
      <c r="L895">
        <v>11.36916128</v>
      </c>
      <c r="M895">
        <v>12.422790579999999</v>
      </c>
      <c r="N895">
        <v>13.37200414</v>
      </c>
      <c r="O895">
        <v>14.360444360000001</v>
      </c>
      <c r="P895">
        <v>15.40374709</v>
      </c>
      <c r="Q895">
        <v>16.346091210000001</v>
      </c>
    </row>
    <row r="896" spans="1:17" x14ac:dyDescent="0.25">
      <c r="A896" t="s">
        <v>5</v>
      </c>
      <c r="B896" t="s">
        <v>6</v>
      </c>
      <c r="C896" t="s">
        <v>259</v>
      </c>
      <c r="D896" t="s">
        <v>188</v>
      </c>
      <c r="E896" t="s">
        <v>166</v>
      </c>
      <c r="F896">
        <v>2.9064241000000001E-2</v>
      </c>
      <c r="G896">
        <v>3.4397972999999998E-2</v>
      </c>
      <c r="H896">
        <v>3.9383352000000003E-2</v>
      </c>
      <c r="I896">
        <v>4.2509493000000002E-2</v>
      </c>
      <c r="J896">
        <v>4.4498307000000001E-2</v>
      </c>
      <c r="K896">
        <v>4.6241889000000001E-2</v>
      </c>
      <c r="L896">
        <v>4.8015504000000001E-2</v>
      </c>
      <c r="M896">
        <v>4.9285695999999997E-2</v>
      </c>
      <c r="N896">
        <v>4.9117442999999997E-2</v>
      </c>
      <c r="O896">
        <v>4.7870991000000002E-2</v>
      </c>
      <c r="P896">
        <v>4.6147949000000001E-2</v>
      </c>
      <c r="Q896">
        <v>4.4551689999999998E-2</v>
      </c>
    </row>
    <row r="897" spans="1:17" x14ac:dyDescent="0.25">
      <c r="A897" t="s">
        <v>5</v>
      </c>
      <c r="B897" t="s">
        <v>6</v>
      </c>
      <c r="C897" t="s">
        <v>259</v>
      </c>
      <c r="D897" t="s">
        <v>189</v>
      </c>
      <c r="E897" t="s">
        <v>166</v>
      </c>
      <c r="F897">
        <v>1.166385E-3</v>
      </c>
      <c r="G897">
        <v>1.1400850000000001E-3</v>
      </c>
      <c r="H897">
        <v>1.4023690000000001E-3</v>
      </c>
      <c r="I897">
        <v>1.3152890000000001E-3</v>
      </c>
      <c r="J897">
        <v>1.7168890000000001E-3</v>
      </c>
      <c r="K897">
        <v>1.8140890000000001E-3</v>
      </c>
      <c r="L897">
        <v>1.952592E-3</v>
      </c>
      <c r="M897">
        <v>2.289522E-3</v>
      </c>
      <c r="N897">
        <v>2.9072479999999999E-3</v>
      </c>
      <c r="O897">
        <v>3.7034310000000001E-3</v>
      </c>
      <c r="P897">
        <v>4.508237E-3</v>
      </c>
      <c r="Q897">
        <v>5.1969210000000002E-3</v>
      </c>
    </row>
    <row r="898" spans="1:17" x14ac:dyDescent="0.25">
      <c r="A898" t="s">
        <v>5</v>
      </c>
      <c r="B898" t="s">
        <v>6</v>
      </c>
      <c r="C898" t="s">
        <v>259</v>
      </c>
      <c r="D898" t="s">
        <v>190</v>
      </c>
      <c r="E898" t="s">
        <v>166</v>
      </c>
      <c r="F898">
        <v>7.7976930999999999E-2</v>
      </c>
      <c r="G898">
        <v>8.2321983000000001E-2</v>
      </c>
      <c r="H898">
        <v>8.2092654000000001E-2</v>
      </c>
      <c r="I898">
        <v>9.1611429999999994E-2</v>
      </c>
      <c r="J898">
        <v>9.8235217E-2</v>
      </c>
      <c r="K898">
        <v>0.104655707</v>
      </c>
      <c r="L898">
        <v>0.110743724</v>
      </c>
      <c r="M898">
        <v>0.115604871</v>
      </c>
      <c r="N898">
        <v>0.118846915</v>
      </c>
      <c r="O898">
        <v>0.120568883</v>
      </c>
      <c r="P898">
        <v>0.122972494</v>
      </c>
      <c r="Q898">
        <v>0.12524945700000001</v>
      </c>
    </row>
    <row r="899" spans="1:17" x14ac:dyDescent="0.25">
      <c r="A899" t="s">
        <v>5</v>
      </c>
      <c r="B899" t="s">
        <v>6</v>
      </c>
      <c r="C899" t="s">
        <v>259</v>
      </c>
      <c r="D899" t="s">
        <v>191</v>
      </c>
      <c r="E899" t="s">
        <v>166</v>
      </c>
      <c r="F899">
        <v>261.82418419999999</v>
      </c>
      <c r="G899">
        <v>292.25648940000002</v>
      </c>
      <c r="H899">
        <v>298.21712450000001</v>
      </c>
      <c r="I899">
        <v>309.53501670000003</v>
      </c>
      <c r="J899">
        <v>316.65137809999999</v>
      </c>
      <c r="K899">
        <v>335.93613520000002</v>
      </c>
      <c r="L899">
        <v>355.15675640000001</v>
      </c>
      <c r="M899">
        <v>373.88934769999997</v>
      </c>
      <c r="N899">
        <v>391.45845229999998</v>
      </c>
      <c r="O899">
        <v>406.90195990000001</v>
      </c>
      <c r="P899">
        <v>419.99262679999998</v>
      </c>
      <c r="Q899">
        <v>431.55964340000003</v>
      </c>
    </row>
    <row r="900" spans="1:17" x14ac:dyDescent="0.25">
      <c r="A900" t="s">
        <v>5</v>
      </c>
      <c r="B900" t="s">
        <v>6</v>
      </c>
      <c r="C900" t="s">
        <v>259</v>
      </c>
      <c r="D900" t="s">
        <v>192</v>
      </c>
      <c r="E900" t="s">
        <v>166</v>
      </c>
      <c r="F900">
        <v>75.104557060000005</v>
      </c>
      <c r="G900">
        <v>91.612578999999997</v>
      </c>
      <c r="H900">
        <v>101.8715729</v>
      </c>
      <c r="I900">
        <v>112.9429947</v>
      </c>
      <c r="J900">
        <v>129.01835990000001</v>
      </c>
      <c r="K900">
        <v>156.62964410000001</v>
      </c>
      <c r="L900">
        <v>184.93691390000001</v>
      </c>
      <c r="M900">
        <v>211.56812650000001</v>
      </c>
      <c r="N900">
        <v>235.65424100000001</v>
      </c>
      <c r="O900">
        <v>257.13915700000001</v>
      </c>
      <c r="P900">
        <v>279.3440185</v>
      </c>
      <c r="Q900">
        <v>301.62771809999998</v>
      </c>
    </row>
    <row r="901" spans="1:17" x14ac:dyDescent="0.25">
      <c r="A901" t="s">
        <v>5</v>
      </c>
      <c r="B901" t="s">
        <v>6</v>
      </c>
      <c r="C901" t="s">
        <v>259</v>
      </c>
      <c r="D901" t="s">
        <v>193</v>
      </c>
      <c r="E901" t="s">
        <v>166</v>
      </c>
      <c r="F901">
        <v>13.15984858</v>
      </c>
      <c r="G901">
        <v>14.61912375</v>
      </c>
      <c r="H901">
        <v>14.71603311</v>
      </c>
      <c r="I901">
        <v>14.989275259999999</v>
      </c>
      <c r="J901">
        <v>15.085518009999999</v>
      </c>
      <c r="K901">
        <v>15.78172863</v>
      </c>
      <c r="L901">
        <v>16.46047235</v>
      </c>
      <c r="M901">
        <v>17.103247329999999</v>
      </c>
      <c r="N901">
        <v>17.691485449999998</v>
      </c>
      <c r="O901">
        <v>18.184753619999999</v>
      </c>
      <c r="P901">
        <v>18.574726729999998</v>
      </c>
      <c r="Q901">
        <v>18.919384690000001</v>
      </c>
    </row>
    <row r="902" spans="1:17" x14ac:dyDescent="0.25">
      <c r="A902" t="s">
        <v>5</v>
      </c>
      <c r="B902" t="s">
        <v>6</v>
      </c>
      <c r="C902" t="s">
        <v>259</v>
      </c>
      <c r="D902" t="s">
        <v>194</v>
      </c>
      <c r="E902" t="s">
        <v>166</v>
      </c>
      <c r="F902">
        <v>4.7043489169999999</v>
      </c>
      <c r="G902">
        <v>5.6738936869999996</v>
      </c>
      <c r="H902">
        <v>6.27463076</v>
      </c>
      <c r="I902">
        <v>6.9121803890000004</v>
      </c>
      <c r="J902">
        <v>7.8239198639999996</v>
      </c>
      <c r="K902">
        <v>9.3543899229999994</v>
      </c>
      <c r="L902">
        <v>10.88923209</v>
      </c>
      <c r="M902">
        <v>12.3093862</v>
      </c>
      <c r="N902">
        <v>13.575856119999999</v>
      </c>
      <c r="O902">
        <v>14.68900672</v>
      </c>
      <c r="P902">
        <v>15.82050991</v>
      </c>
      <c r="Q902">
        <v>16.938004209999999</v>
      </c>
    </row>
    <row r="903" spans="1:17" x14ac:dyDescent="0.25">
      <c r="A903" t="s">
        <v>5</v>
      </c>
      <c r="B903" t="s">
        <v>6</v>
      </c>
      <c r="C903" t="s">
        <v>259</v>
      </c>
      <c r="D903" t="s">
        <v>195</v>
      </c>
      <c r="E903" t="s">
        <v>166</v>
      </c>
      <c r="F903">
        <v>5.1750390829999997</v>
      </c>
      <c r="G903">
        <v>5.7366239730000004</v>
      </c>
      <c r="H903">
        <v>5.7393742059999999</v>
      </c>
      <c r="I903">
        <v>5.7952537279999996</v>
      </c>
      <c r="J903">
        <v>5.787491728</v>
      </c>
      <c r="K903">
        <v>6.0136328719999996</v>
      </c>
      <c r="L903">
        <v>6.2304204800000003</v>
      </c>
      <c r="M903">
        <v>6.4310679640000004</v>
      </c>
      <c r="N903">
        <v>6.6109568970000003</v>
      </c>
      <c r="O903">
        <v>6.7555696669999996</v>
      </c>
      <c r="P903">
        <v>6.8621726770000002</v>
      </c>
      <c r="Q903">
        <v>6.9564103150000003</v>
      </c>
    </row>
    <row r="904" spans="1:17" x14ac:dyDescent="0.25">
      <c r="A904" t="s">
        <v>5</v>
      </c>
      <c r="B904" t="s">
        <v>6</v>
      </c>
      <c r="C904" t="s">
        <v>259</v>
      </c>
      <c r="D904" t="s">
        <v>196</v>
      </c>
      <c r="E904" t="s">
        <v>166</v>
      </c>
      <c r="F904">
        <v>2.920202368</v>
      </c>
      <c r="G904">
        <v>3.5537641240000002</v>
      </c>
      <c r="H904">
        <v>3.9471482610000002</v>
      </c>
      <c r="I904">
        <v>4.3701697529999999</v>
      </c>
      <c r="J904">
        <v>4.9823330390000002</v>
      </c>
      <c r="K904">
        <v>6.0283710959999999</v>
      </c>
      <c r="L904">
        <v>7.0954052670000003</v>
      </c>
      <c r="M904">
        <v>8.0954426349999995</v>
      </c>
      <c r="N904">
        <v>8.9970345920000003</v>
      </c>
      <c r="O904">
        <v>9.7986158159999999</v>
      </c>
      <c r="P904">
        <v>10.62398383</v>
      </c>
      <c r="Q904">
        <v>11.44934151</v>
      </c>
    </row>
    <row r="905" spans="1:17" x14ac:dyDescent="0.25">
      <c r="A905" t="s">
        <v>5</v>
      </c>
      <c r="B905" t="s">
        <v>6</v>
      </c>
      <c r="C905" t="s">
        <v>259</v>
      </c>
      <c r="D905" t="s">
        <v>197</v>
      </c>
      <c r="E905" t="s">
        <v>166</v>
      </c>
      <c r="F905">
        <v>4733.7804239999996</v>
      </c>
      <c r="G905">
        <v>5273.71479</v>
      </c>
      <c r="H905">
        <v>5351.8473299999996</v>
      </c>
      <c r="I905">
        <v>5513.250583</v>
      </c>
      <c r="J905">
        <v>5603.6876190000003</v>
      </c>
      <c r="K905">
        <v>5912.426974</v>
      </c>
      <c r="L905">
        <v>6217.9241599999996</v>
      </c>
      <c r="M905">
        <v>6512.9251619999995</v>
      </c>
      <c r="N905">
        <v>6787.4667810000001</v>
      </c>
      <c r="O905">
        <v>7025.3127770000001</v>
      </c>
      <c r="P905">
        <v>7222.8073590000004</v>
      </c>
      <c r="Q905">
        <v>7397.3260460000001</v>
      </c>
    </row>
    <row r="906" spans="1:17" x14ac:dyDescent="0.25">
      <c r="A906" t="s">
        <v>5</v>
      </c>
      <c r="B906" t="s">
        <v>6</v>
      </c>
      <c r="C906" t="s">
        <v>259</v>
      </c>
      <c r="D906" t="s">
        <v>198</v>
      </c>
      <c r="E906" t="s">
        <v>166</v>
      </c>
      <c r="F906">
        <v>784.03485509999996</v>
      </c>
      <c r="G906">
        <v>952.53665420000004</v>
      </c>
      <c r="H906">
        <v>1057.2132329999999</v>
      </c>
      <c r="I906">
        <v>1169.618506</v>
      </c>
      <c r="J906">
        <v>1332.1581189999999</v>
      </c>
      <c r="K906">
        <v>1609.79501</v>
      </c>
      <c r="L906">
        <v>1893.1180139999999</v>
      </c>
      <c r="M906">
        <v>2158.8728729999998</v>
      </c>
      <c r="N906">
        <v>2398.6539950000001</v>
      </c>
      <c r="O906">
        <v>2612.0200239999999</v>
      </c>
      <c r="P906">
        <v>2832.0443209999999</v>
      </c>
      <c r="Q906">
        <v>3052.4510270000001</v>
      </c>
    </row>
    <row r="907" spans="1:17" x14ac:dyDescent="0.25">
      <c r="A907" t="s">
        <v>5</v>
      </c>
      <c r="B907" t="s">
        <v>6</v>
      </c>
      <c r="C907" t="s">
        <v>259</v>
      </c>
      <c r="D907" t="s">
        <v>199</v>
      </c>
      <c r="E907" t="s">
        <v>166</v>
      </c>
      <c r="F907">
        <v>15.386231159999999</v>
      </c>
      <c r="G907">
        <v>17.144970990000001</v>
      </c>
      <c r="H907">
        <v>17.40984512</v>
      </c>
      <c r="I907">
        <v>17.950381270000001</v>
      </c>
      <c r="J907">
        <v>18.258414200000001</v>
      </c>
      <c r="K907">
        <v>19.276623499999999</v>
      </c>
      <c r="L907">
        <v>20.285062109999998</v>
      </c>
      <c r="M907">
        <v>21.260001200000001</v>
      </c>
      <c r="N907">
        <v>22.16822866</v>
      </c>
      <c r="O907">
        <v>22.9565448</v>
      </c>
      <c r="P907">
        <v>23.612900369999998</v>
      </c>
      <c r="Q907">
        <v>24.192892789999998</v>
      </c>
    </row>
    <row r="908" spans="1:17" x14ac:dyDescent="0.25">
      <c r="A908" t="s">
        <v>5</v>
      </c>
      <c r="B908" t="s">
        <v>6</v>
      </c>
      <c r="C908" t="s">
        <v>259</v>
      </c>
      <c r="D908" t="s">
        <v>200</v>
      </c>
      <c r="E908" t="s">
        <v>166</v>
      </c>
      <c r="F908">
        <v>7.4478177319999999</v>
      </c>
      <c r="G908">
        <v>8.9377029570000008</v>
      </c>
      <c r="H908">
        <v>9.8605069810000003</v>
      </c>
      <c r="I908">
        <v>10.832970250000001</v>
      </c>
      <c r="J908">
        <v>12.215352129999999</v>
      </c>
      <c r="K908">
        <v>14.51637088</v>
      </c>
      <c r="L908">
        <v>16.806577170000001</v>
      </c>
      <c r="M908">
        <v>18.914388970000001</v>
      </c>
      <c r="N908">
        <v>20.78554879</v>
      </c>
      <c r="O908">
        <v>22.422234150000001</v>
      </c>
      <c r="P908">
        <v>24.07750278</v>
      </c>
      <c r="Q908">
        <v>25.704630229999999</v>
      </c>
    </row>
    <row r="909" spans="1:17" x14ac:dyDescent="0.25">
      <c r="A909" t="s">
        <v>5</v>
      </c>
      <c r="B909" t="s">
        <v>6</v>
      </c>
      <c r="C909" t="s">
        <v>259</v>
      </c>
      <c r="D909" t="s">
        <v>201</v>
      </c>
      <c r="E909" t="s">
        <v>166</v>
      </c>
      <c r="F909">
        <v>244.41840959999999</v>
      </c>
      <c r="G909">
        <v>271.98982080000002</v>
      </c>
      <c r="H909">
        <v>275.13935729999997</v>
      </c>
      <c r="I909">
        <v>282.18276070000002</v>
      </c>
      <c r="J909">
        <v>285.71115909999997</v>
      </c>
      <c r="K909">
        <v>300.46030669999999</v>
      </c>
      <c r="L909">
        <v>314.97988370000002</v>
      </c>
      <c r="M909">
        <v>328.90758369999998</v>
      </c>
      <c r="N909">
        <v>341.79611610000001</v>
      </c>
      <c r="O909">
        <v>352.84174710000002</v>
      </c>
      <c r="P909">
        <v>361.86923400000001</v>
      </c>
      <c r="Q909">
        <v>369.84688210000002</v>
      </c>
    </row>
    <row r="910" spans="1:17" x14ac:dyDescent="0.25">
      <c r="A910" t="s">
        <v>5</v>
      </c>
      <c r="B910" t="s">
        <v>6</v>
      </c>
      <c r="C910" t="s">
        <v>259</v>
      </c>
      <c r="D910" t="s">
        <v>202</v>
      </c>
      <c r="E910" t="s">
        <v>166</v>
      </c>
      <c r="F910">
        <v>14.81374686</v>
      </c>
      <c r="G910">
        <v>17.99601384</v>
      </c>
      <c r="H910">
        <v>19.973564799999998</v>
      </c>
      <c r="I910">
        <v>22.097920559999999</v>
      </c>
      <c r="J910">
        <v>25.17204435</v>
      </c>
      <c r="K910">
        <v>30.433445630000001</v>
      </c>
      <c r="L910">
        <v>35.820112170000002</v>
      </c>
      <c r="M910">
        <v>40.891196739999998</v>
      </c>
      <c r="N910">
        <v>45.482544930000003</v>
      </c>
      <c r="O910">
        <v>49.583758789999997</v>
      </c>
      <c r="P910">
        <v>53.837036099999999</v>
      </c>
      <c r="Q910">
        <v>58.125264700000002</v>
      </c>
    </row>
    <row r="911" spans="1:17" x14ac:dyDescent="0.25">
      <c r="A911" t="s">
        <v>5</v>
      </c>
      <c r="B911" t="s">
        <v>6</v>
      </c>
      <c r="C911" t="s">
        <v>259</v>
      </c>
      <c r="D911" t="s">
        <v>203</v>
      </c>
      <c r="E911" t="s">
        <v>166</v>
      </c>
      <c r="F911">
        <v>18.44122479</v>
      </c>
      <c r="G911">
        <v>18.975353609999999</v>
      </c>
      <c r="H911">
        <v>20.114329080000001</v>
      </c>
      <c r="I911">
        <v>22.18945506</v>
      </c>
      <c r="J911">
        <v>24.621310179999998</v>
      </c>
      <c r="K911">
        <v>26.2330319</v>
      </c>
      <c r="L911">
        <v>28.712353329999999</v>
      </c>
      <c r="M911">
        <v>31.79805898</v>
      </c>
      <c r="N911">
        <v>38.250769030000001</v>
      </c>
      <c r="O911">
        <v>50.617243600000002</v>
      </c>
      <c r="P911">
        <v>62.481941710000001</v>
      </c>
      <c r="Q911">
        <v>69.177438370000004</v>
      </c>
    </row>
    <row r="912" spans="1:17" x14ac:dyDescent="0.25">
      <c r="A912" t="s">
        <v>5</v>
      </c>
      <c r="B912" t="s">
        <v>6</v>
      </c>
      <c r="C912" t="s">
        <v>259</v>
      </c>
      <c r="D912" t="s">
        <v>204</v>
      </c>
      <c r="E912" t="s">
        <v>166</v>
      </c>
      <c r="F912">
        <v>181.21027939999999</v>
      </c>
      <c r="G912">
        <v>221.38864359999999</v>
      </c>
      <c r="H912">
        <v>265.7118395</v>
      </c>
      <c r="I912">
        <v>278.54146489999999</v>
      </c>
      <c r="J912">
        <v>288.15268809999998</v>
      </c>
      <c r="K912">
        <v>300.94153130000001</v>
      </c>
      <c r="L912">
        <v>311.0345001</v>
      </c>
      <c r="M912">
        <v>330.67255740000002</v>
      </c>
      <c r="N912">
        <v>350.21805160000002</v>
      </c>
      <c r="O912">
        <v>367.00375489999999</v>
      </c>
      <c r="P912">
        <v>393.06433820000001</v>
      </c>
      <c r="Q912">
        <v>408.76017330000002</v>
      </c>
    </row>
    <row r="913" spans="1:17" x14ac:dyDescent="0.25">
      <c r="A913" t="s">
        <v>5</v>
      </c>
      <c r="B913" t="s">
        <v>6</v>
      </c>
      <c r="C913" t="s">
        <v>259</v>
      </c>
      <c r="D913" t="s">
        <v>205</v>
      </c>
      <c r="E913" t="s">
        <v>166</v>
      </c>
      <c r="F913">
        <v>0.160168949</v>
      </c>
      <c r="G913">
        <v>0.15909552299999999</v>
      </c>
      <c r="H913">
        <v>0.183924696</v>
      </c>
      <c r="I913">
        <v>0.28497330300000001</v>
      </c>
      <c r="J913">
        <v>0.35501673900000003</v>
      </c>
      <c r="K913">
        <v>0.38943845100000002</v>
      </c>
      <c r="L913">
        <v>0.51360811699999998</v>
      </c>
      <c r="M913">
        <v>0.71715273800000001</v>
      </c>
      <c r="N913">
        <v>1.082844607</v>
      </c>
      <c r="O913">
        <v>1.7373016109999999</v>
      </c>
      <c r="P913">
        <v>2.282601358</v>
      </c>
      <c r="Q913">
        <v>2.5218801759999998</v>
      </c>
    </row>
    <row r="914" spans="1:17" x14ac:dyDescent="0.25">
      <c r="A914" t="s">
        <v>5</v>
      </c>
      <c r="B914" t="s">
        <v>6</v>
      </c>
      <c r="C914" t="s">
        <v>259</v>
      </c>
      <c r="D914" t="s">
        <v>206</v>
      </c>
      <c r="E914" t="s">
        <v>166</v>
      </c>
      <c r="F914">
        <v>1.2329919600000001</v>
      </c>
      <c r="G914">
        <v>1.251704065</v>
      </c>
      <c r="H914">
        <v>1.391624054</v>
      </c>
      <c r="I914">
        <v>1.613044838</v>
      </c>
      <c r="J914">
        <v>1.868166134</v>
      </c>
      <c r="K914">
        <v>1.9286095519999999</v>
      </c>
      <c r="L914">
        <v>1.901194287</v>
      </c>
      <c r="M914">
        <v>1.849849232</v>
      </c>
      <c r="N914">
        <v>2.2022918699999998</v>
      </c>
      <c r="O914">
        <v>2.8495652379999998</v>
      </c>
      <c r="P914">
        <v>3.2524982499999999</v>
      </c>
      <c r="Q914">
        <v>3.4701409299999999</v>
      </c>
    </row>
    <row r="915" spans="1:17" x14ac:dyDescent="0.25">
      <c r="A915" t="s">
        <v>5</v>
      </c>
      <c r="B915" t="s">
        <v>6</v>
      </c>
      <c r="C915" t="s">
        <v>259</v>
      </c>
      <c r="D915" t="s">
        <v>207</v>
      </c>
      <c r="E915" t="s">
        <v>166</v>
      </c>
      <c r="F915">
        <v>0</v>
      </c>
      <c r="G915">
        <v>0</v>
      </c>
      <c r="H915">
        <v>0</v>
      </c>
      <c r="I915">
        <v>0</v>
      </c>
      <c r="J915">
        <v>0</v>
      </c>
      <c r="K915" s="1">
        <v>7.3500000000000003E-8</v>
      </c>
      <c r="L915" s="1">
        <v>3.0299999999999998E-6</v>
      </c>
      <c r="M915" s="1">
        <v>1.13E-5</v>
      </c>
      <c r="N915" s="1">
        <v>2.0000000000000002E-5</v>
      </c>
      <c r="O915" s="1">
        <v>3.01E-5</v>
      </c>
      <c r="P915" s="1">
        <v>4.8000000000000001E-5</v>
      </c>
      <c r="Q915" s="1">
        <v>6.1299999999999999E-5</v>
      </c>
    </row>
    <row r="916" spans="1:17" x14ac:dyDescent="0.25">
      <c r="A916" t="s">
        <v>5</v>
      </c>
      <c r="B916" t="s">
        <v>6</v>
      </c>
      <c r="C916" t="s">
        <v>259</v>
      </c>
      <c r="D916" t="s">
        <v>208</v>
      </c>
      <c r="E916" t="s">
        <v>166</v>
      </c>
      <c r="F916">
        <v>19.993004590000002</v>
      </c>
      <c r="G916">
        <v>19.911998350000001</v>
      </c>
      <c r="H916">
        <v>22.010772580000001</v>
      </c>
      <c r="I916">
        <v>24.615811969999999</v>
      </c>
      <c r="J916">
        <v>26.94969781</v>
      </c>
      <c r="K916">
        <v>28.711191450000001</v>
      </c>
      <c r="L916">
        <v>28.972014000000001</v>
      </c>
      <c r="M916">
        <v>28.97595652</v>
      </c>
      <c r="N916">
        <v>30.772112960000001</v>
      </c>
      <c r="O916">
        <v>36.014018370000002</v>
      </c>
      <c r="P916">
        <v>40.507090040000001</v>
      </c>
      <c r="Q916">
        <v>43.503746890000002</v>
      </c>
    </row>
    <row r="917" spans="1:17" x14ac:dyDescent="0.25">
      <c r="A917" t="s">
        <v>5</v>
      </c>
      <c r="B917" t="s">
        <v>6</v>
      </c>
      <c r="C917" t="s">
        <v>259</v>
      </c>
      <c r="D917" t="s">
        <v>209</v>
      </c>
      <c r="E917" t="s">
        <v>166</v>
      </c>
      <c r="F917">
        <v>60.171473820000003</v>
      </c>
      <c r="G917">
        <v>60.080016950000001</v>
      </c>
      <c r="H917">
        <v>66.492939820000004</v>
      </c>
      <c r="I917">
        <v>74.414814089999993</v>
      </c>
      <c r="J917">
        <v>81.551653079999994</v>
      </c>
      <c r="K917">
        <v>87.037987610000002</v>
      </c>
      <c r="L917">
        <v>88.005420360000002</v>
      </c>
      <c r="M917">
        <v>88.19116099</v>
      </c>
      <c r="N917">
        <v>93.835757290000004</v>
      </c>
      <c r="O917">
        <v>110.0196917</v>
      </c>
      <c r="P917">
        <v>123.9276421</v>
      </c>
      <c r="Q917">
        <v>133.2819853</v>
      </c>
    </row>
    <row r="918" spans="1:17" x14ac:dyDescent="0.25">
      <c r="A918" t="s">
        <v>5</v>
      </c>
      <c r="B918" t="s">
        <v>6</v>
      </c>
      <c r="C918" t="s">
        <v>259</v>
      </c>
      <c r="D918" t="s">
        <v>210</v>
      </c>
      <c r="E918" t="s">
        <v>166</v>
      </c>
      <c r="F918">
        <v>10.84184224</v>
      </c>
      <c r="G918">
        <v>10.86747598</v>
      </c>
      <c r="H918">
        <v>12.049365760000001</v>
      </c>
      <c r="I918">
        <v>13.504400090000001</v>
      </c>
      <c r="J918">
        <v>14.82646883</v>
      </c>
      <c r="K918">
        <v>15.88215937</v>
      </c>
      <c r="L918">
        <v>16.13570288</v>
      </c>
      <c r="M918">
        <v>16.255447449999998</v>
      </c>
      <c r="N918">
        <v>17.3861463</v>
      </c>
      <c r="O918">
        <v>20.503055150000002</v>
      </c>
      <c r="P918">
        <v>23.217220319999999</v>
      </c>
      <c r="Q918">
        <v>25.09673527</v>
      </c>
    </row>
    <row r="919" spans="1:17" x14ac:dyDescent="0.25">
      <c r="A919" t="s">
        <v>5</v>
      </c>
      <c r="B919" t="s">
        <v>6</v>
      </c>
      <c r="C919" t="s">
        <v>259</v>
      </c>
      <c r="D919" t="s">
        <v>211</v>
      </c>
      <c r="E919" t="s">
        <v>166</v>
      </c>
      <c r="F919">
        <v>6.1741975599999996</v>
      </c>
      <c r="G919">
        <v>6.2113740479999997</v>
      </c>
      <c r="H919">
        <v>6.8986625769999996</v>
      </c>
      <c r="I919">
        <v>7.7406029199999997</v>
      </c>
      <c r="J919">
        <v>8.5131759920000007</v>
      </c>
      <c r="K919">
        <v>9.1690920810000005</v>
      </c>
      <c r="L919">
        <v>9.3839205660000005</v>
      </c>
      <c r="M919">
        <v>9.5206850809999999</v>
      </c>
      <c r="N919">
        <v>10.25011975</v>
      </c>
      <c r="O919">
        <v>12.17106225</v>
      </c>
      <c r="P919">
        <v>13.873245949999999</v>
      </c>
      <c r="Q919">
        <v>15.09369817</v>
      </c>
    </row>
    <row r="920" spans="1:17" x14ac:dyDescent="0.25">
      <c r="A920" t="s">
        <v>5</v>
      </c>
      <c r="B920" t="s">
        <v>6</v>
      </c>
      <c r="C920" t="s">
        <v>259</v>
      </c>
      <c r="D920" t="s">
        <v>212</v>
      </c>
      <c r="E920" t="s">
        <v>166</v>
      </c>
      <c r="F920">
        <v>0.26459414599999997</v>
      </c>
      <c r="G920">
        <v>0.26554381300000002</v>
      </c>
      <c r="H920">
        <v>0.294604543</v>
      </c>
      <c r="I920">
        <v>0.33009340799999998</v>
      </c>
      <c r="J920">
        <v>0.36237033699999999</v>
      </c>
      <c r="K920">
        <v>0.38742211399999998</v>
      </c>
      <c r="L920">
        <v>0.39212818100000002</v>
      </c>
      <c r="M920">
        <v>0.39324484700000001</v>
      </c>
      <c r="N920">
        <v>0.41870322999999998</v>
      </c>
      <c r="O920">
        <v>0.49089347</v>
      </c>
      <c r="P920">
        <v>0.55246221500000003</v>
      </c>
      <c r="Q920">
        <v>0.593545926</v>
      </c>
    </row>
    <row r="921" spans="1:17" x14ac:dyDescent="0.25">
      <c r="A921" t="s">
        <v>5</v>
      </c>
      <c r="B921" t="s">
        <v>6</v>
      </c>
      <c r="C921" t="s">
        <v>259</v>
      </c>
      <c r="D921" t="s">
        <v>213</v>
      </c>
      <c r="E921" t="s">
        <v>166</v>
      </c>
      <c r="F921">
        <v>8.3979803000000006E-2</v>
      </c>
      <c r="G921">
        <v>0.100601101</v>
      </c>
      <c r="H921">
        <v>0.108805054</v>
      </c>
      <c r="I921">
        <v>0.121256636</v>
      </c>
      <c r="J921">
        <v>0.13690034700000001</v>
      </c>
      <c r="K921">
        <v>0.143541962</v>
      </c>
      <c r="L921">
        <v>0.15424792400000001</v>
      </c>
      <c r="M921">
        <v>0.179507113</v>
      </c>
      <c r="N921">
        <v>0.20121129300000001</v>
      </c>
      <c r="O921">
        <v>0.21726756</v>
      </c>
      <c r="P921">
        <v>0.22216688200000001</v>
      </c>
      <c r="Q921">
        <v>0.21804079700000001</v>
      </c>
    </row>
    <row r="922" spans="1:17" x14ac:dyDescent="0.25">
      <c r="A922" t="s">
        <v>5</v>
      </c>
      <c r="B922" t="s">
        <v>6</v>
      </c>
      <c r="C922" t="s">
        <v>259</v>
      </c>
      <c r="D922" t="s">
        <v>214</v>
      </c>
      <c r="E922" t="s">
        <v>166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25">
      <c r="A923" t="s">
        <v>5</v>
      </c>
      <c r="B923" t="s">
        <v>6</v>
      </c>
      <c r="C923" t="s">
        <v>259</v>
      </c>
      <c r="D923" t="s">
        <v>215</v>
      </c>
      <c r="E923" t="s">
        <v>166</v>
      </c>
      <c r="F923">
        <v>8.967671E-3</v>
      </c>
      <c r="G923">
        <v>1.2024043999999999E-2</v>
      </c>
      <c r="H923">
        <v>1.1685839E-2</v>
      </c>
      <c r="I923">
        <v>1.1215886E-2</v>
      </c>
      <c r="J923">
        <v>8.2959769999999995E-3</v>
      </c>
      <c r="K923">
        <v>4.9978460000000002E-3</v>
      </c>
      <c r="L923">
        <v>3.4355729999999999E-3</v>
      </c>
      <c r="M923">
        <v>3.6210970000000002E-3</v>
      </c>
      <c r="N923">
        <v>3.2994220000000002E-3</v>
      </c>
      <c r="O923">
        <v>2.8178280000000001E-3</v>
      </c>
      <c r="P923">
        <v>2.5908229999999999E-3</v>
      </c>
      <c r="Q923">
        <v>2.4043630000000001E-3</v>
      </c>
    </row>
    <row r="924" spans="1:17" x14ac:dyDescent="0.25">
      <c r="A924" t="s">
        <v>5</v>
      </c>
      <c r="B924" t="s">
        <v>6</v>
      </c>
      <c r="C924" t="s">
        <v>259</v>
      </c>
      <c r="D924" t="s">
        <v>216</v>
      </c>
      <c r="E924" t="s">
        <v>166</v>
      </c>
      <c r="F924">
        <v>1.846037E-3</v>
      </c>
      <c r="G924">
        <v>2.189608E-3</v>
      </c>
      <c r="H924">
        <v>2.3601379999999999E-3</v>
      </c>
      <c r="I924">
        <v>2.633434E-3</v>
      </c>
      <c r="J924">
        <v>2.981601E-3</v>
      </c>
      <c r="K924">
        <v>3.1148370000000001E-3</v>
      </c>
      <c r="L924">
        <v>3.3482770000000002E-3</v>
      </c>
      <c r="M924">
        <v>3.9761229999999998E-3</v>
      </c>
      <c r="N924">
        <v>4.483824E-3</v>
      </c>
      <c r="O924">
        <v>4.8406059999999999E-3</v>
      </c>
      <c r="P924">
        <v>4.9573559999999996E-3</v>
      </c>
      <c r="Q924">
        <v>4.8639929999999996E-3</v>
      </c>
    </row>
    <row r="925" spans="1:17" x14ac:dyDescent="0.25">
      <c r="A925" t="s">
        <v>5</v>
      </c>
      <c r="B925" t="s">
        <v>6</v>
      </c>
      <c r="C925" t="s">
        <v>259</v>
      </c>
      <c r="D925" t="s">
        <v>217</v>
      </c>
      <c r="E925" t="s">
        <v>166</v>
      </c>
      <c r="F925">
        <v>2.28884E-4</v>
      </c>
      <c r="G925">
        <v>1.3149E-4</v>
      </c>
      <c r="H925" s="1">
        <v>2.0599999999999999E-5</v>
      </c>
      <c r="I925" s="1">
        <v>2.3799999999999999E-5</v>
      </c>
      <c r="J925" s="1">
        <v>2.8600000000000001E-5</v>
      </c>
      <c r="K925" s="1">
        <v>1.9599999999999999E-5</v>
      </c>
      <c r="L925" s="1">
        <v>1.2E-5</v>
      </c>
      <c r="M925" s="1">
        <v>4.1600000000000002E-5</v>
      </c>
      <c r="N925" s="1">
        <v>5.4599999999999999E-5</v>
      </c>
      <c r="O925" s="1">
        <v>4.46E-5</v>
      </c>
      <c r="P925" s="1">
        <v>2.4499999999999999E-5</v>
      </c>
      <c r="Q925" s="1">
        <v>1.4399999999999999E-5</v>
      </c>
    </row>
    <row r="926" spans="1:17" x14ac:dyDescent="0.25">
      <c r="A926" t="s">
        <v>5</v>
      </c>
      <c r="B926" t="s">
        <v>6</v>
      </c>
      <c r="C926" t="s">
        <v>259</v>
      </c>
      <c r="D926" t="s">
        <v>218</v>
      </c>
      <c r="E926" t="s">
        <v>219</v>
      </c>
      <c r="F926">
        <v>828.83705999999995</v>
      </c>
      <c r="G926">
        <v>834.38553999999999</v>
      </c>
      <c r="H926">
        <v>820.41984000000002</v>
      </c>
      <c r="I926">
        <v>849.84568000000002</v>
      </c>
      <c r="J926">
        <v>974.58144000000004</v>
      </c>
      <c r="K926">
        <v>1076.8494800000001</v>
      </c>
      <c r="L926">
        <v>1184.32466</v>
      </c>
      <c r="M926">
        <v>1287.3357000000001</v>
      </c>
      <c r="N926">
        <v>1378.3194000000001</v>
      </c>
      <c r="O926">
        <v>1472.81242</v>
      </c>
      <c r="P926">
        <v>1570.64002</v>
      </c>
      <c r="Q926">
        <v>1659.6571799999999</v>
      </c>
    </row>
    <row r="927" spans="1:17" x14ac:dyDescent="0.25">
      <c r="A927" t="s">
        <v>5</v>
      </c>
      <c r="B927" t="s">
        <v>6</v>
      </c>
      <c r="C927" t="s">
        <v>259</v>
      </c>
      <c r="D927" t="s">
        <v>220</v>
      </c>
      <c r="E927" t="s">
        <v>219</v>
      </c>
      <c r="F927">
        <v>617.41160000000002</v>
      </c>
      <c r="G927">
        <v>639.42956000000004</v>
      </c>
      <c r="H927">
        <v>594.62598800000001</v>
      </c>
      <c r="I927">
        <v>599.00515199999995</v>
      </c>
      <c r="J927">
        <v>647.15667599999995</v>
      </c>
      <c r="K927">
        <v>693.07468600000004</v>
      </c>
      <c r="L927">
        <v>741.19364199999995</v>
      </c>
      <c r="M927">
        <v>771.61641999999995</v>
      </c>
      <c r="N927">
        <v>781.21374000000003</v>
      </c>
      <c r="O927">
        <v>780.55632000000003</v>
      </c>
      <c r="P927">
        <v>774.48442</v>
      </c>
      <c r="Q927">
        <v>767.24292000000003</v>
      </c>
    </row>
    <row r="928" spans="1:17" x14ac:dyDescent="0.25">
      <c r="A928" t="s">
        <v>5</v>
      </c>
      <c r="B928" t="s">
        <v>6</v>
      </c>
      <c r="C928" t="s">
        <v>259</v>
      </c>
      <c r="D928" t="s">
        <v>221</v>
      </c>
      <c r="E928" t="s">
        <v>219</v>
      </c>
      <c r="F928">
        <v>142.222172</v>
      </c>
      <c r="G928">
        <v>155.23057399999999</v>
      </c>
      <c r="H928">
        <v>160.437006</v>
      </c>
      <c r="I928">
        <v>151.327876</v>
      </c>
      <c r="J928">
        <v>141.962794</v>
      </c>
      <c r="K928">
        <v>138.31202200000001</v>
      </c>
      <c r="L928">
        <v>141.55381800000001</v>
      </c>
      <c r="M928">
        <v>149.8946</v>
      </c>
      <c r="N928">
        <v>151.309224</v>
      </c>
      <c r="O928">
        <v>146.42703800000001</v>
      </c>
      <c r="P928">
        <v>139.756934</v>
      </c>
      <c r="Q928">
        <v>133.96777399999999</v>
      </c>
    </row>
    <row r="929" spans="1:17" x14ac:dyDescent="0.25">
      <c r="A929" t="s">
        <v>5</v>
      </c>
      <c r="B929" t="s">
        <v>6</v>
      </c>
      <c r="C929" t="s">
        <v>259</v>
      </c>
      <c r="D929" t="s">
        <v>222</v>
      </c>
      <c r="E929" t="s">
        <v>223</v>
      </c>
      <c r="F929">
        <v>329.10493919999999</v>
      </c>
      <c r="G929">
        <v>408.9484898</v>
      </c>
      <c r="H929">
        <v>474.88793859999998</v>
      </c>
      <c r="I929">
        <v>545.99800540000001</v>
      </c>
      <c r="J929">
        <v>594.16906219999998</v>
      </c>
      <c r="K929">
        <v>653.37786540000002</v>
      </c>
      <c r="L929">
        <v>713.9600868</v>
      </c>
      <c r="M929">
        <v>770.06705199999999</v>
      </c>
      <c r="N929">
        <v>812.30579799999998</v>
      </c>
      <c r="O929">
        <v>842.58464800000002</v>
      </c>
      <c r="P929">
        <v>871.83858799999996</v>
      </c>
      <c r="Q929">
        <v>900.41774599999997</v>
      </c>
    </row>
    <row r="930" spans="1:17" x14ac:dyDescent="0.25">
      <c r="A930" t="s">
        <v>5</v>
      </c>
      <c r="B930" t="s">
        <v>6</v>
      </c>
      <c r="C930" t="s">
        <v>259</v>
      </c>
      <c r="D930" t="s">
        <v>224</v>
      </c>
      <c r="E930" t="s">
        <v>219</v>
      </c>
      <c r="F930">
        <v>305.687702</v>
      </c>
      <c r="G930">
        <v>361.699952</v>
      </c>
      <c r="H930">
        <v>413.96337999999997</v>
      </c>
      <c r="I930">
        <v>446.64294999999998</v>
      </c>
      <c r="J930">
        <v>467.27685200000002</v>
      </c>
      <c r="K930">
        <v>485.10115999999999</v>
      </c>
      <c r="L930">
        <v>502.83828</v>
      </c>
      <c r="M930">
        <v>513.87296200000003</v>
      </c>
      <c r="N930">
        <v>507.79036400000001</v>
      </c>
      <c r="O930">
        <v>488.12130000000002</v>
      </c>
      <c r="P930">
        <v>460.96010000000001</v>
      </c>
      <c r="Q930">
        <v>433.62646999999998</v>
      </c>
    </row>
    <row r="931" spans="1:17" x14ac:dyDescent="0.25">
      <c r="A931" t="s">
        <v>5</v>
      </c>
      <c r="B931" t="s">
        <v>6</v>
      </c>
      <c r="C931" t="s">
        <v>259</v>
      </c>
      <c r="D931" t="s">
        <v>225</v>
      </c>
      <c r="E931" t="s">
        <v>223</v>
      </c>
      <c r="F931">
        <v>3671.8669599999998</v>
      </c>
      <c r="G931">
        <v>4367.3122800000001</v>
      </c>
      <c r="H931">
        <v>4543.1319599999997</v>
      </c>
      <c r="I931">
        <v>4739.7353400000002</v>
      </c>
      <c r="J931">
        <v>5137.36402</v>
      </c>
      <c r="K931">
        <v>5771.7070999999996</v>
      </c>
      <c r="L931">
        <v>6456.8055800000002</v>
      </c>
      <c r="M931">
        <v>7086.2980600000001</v>
      </c>
      <c r="N931">
        <v>7520.0610200000001</v>
      </c>
      <c r="O931">
        <v>7729.2812199999998</v>
      </c>
      <c r="P931">
        <v>7919.0282200000001</v>
      </c>
      <c r="Q931">
        <v>8134.66554</v>
      </c>
    </row>
    <row r="932" spans="1:17" x14ac:dyDescent="0.25">
      <c r="A932" t="s">
        <v>5</v>
      </c>
      <c r="B932" t="s">
        <v>6</v>
      </c>
      <c r="C932" t="s">
        <v>259</v>
      </c>
      <c r="D932" t="s">
        <v>226</v>
      </c>
      <c r="E932" t="s">
        <v>219</v>
      </c>
      <c r="F932">
        <v>125.23298</v>
      </c>
      <c r="G932">
        <v>122.70202399999999</v>
      </c>
      <c r="H932">
        <v>151.09912800000001</v>
      </c>
      <c r="I932">
        <v>139.50130279999999</v>
      </c>
      <c r="J932">
        <v>182.31505659999999</v>
      </c>
      <c r="K932">
        <v>192.85440120000001</v>
      </c>
      <c r="L932">
        <v>207.9740036</v>
      </c>
      <c r="M932">
        <v>244.95973599999999</v>
      </c>
      <c r="N932">
        <v>313.05051800000001</v>
      </c>
      <c r="O932">
        <v>401.15303399999999</v>
      </c>
      <c r="P932">
        <v>490.53358200000002</v>
      </c>
      <c r="Q932">
        <v>567.20808599999998</v>
      </c>
    </row>
    <row r="933" spans="1:17" x14ac:dyDescent="0.25">
      <c r="A933" t="s">
        <v>5</v>
      </c>
      <c r="B933" t="s">
        <v>6</v>
      </c>
      <c r="C933" t="s">
        <v>259</v>
      </c>
      <c r="D933" t="s">
        <v>227</v>
      </c>
      <c r="E933" t="s">
        <v>223</v>
      </c>
      <c r="F933">
        <v>0.76835871200000005</v>
      </c>
      <c r="G933">
        <v>0.71806207399999999</v>
      </c>
      <c r="H933">
        <v>0.86424938100000004</v>
      </c>
      <c r="I933">
        <v>1.060081611</v>
      </c>
      <c r="J933">
        <v>1.3590475639999999</v>
      </c>
      <c r="K933">
        <v>1.4114618430000001</v>
      </c>
      <c r="L933">
        <v>1.4746850600000001</v>
      </c>
      <c r="M933">
        <v>1.6054016499999999</v>
      </c>
      <c r="N933">
        <v>1.8133816410000001</v>
      </c>
      <c r="O933">
        <v>2.043062457</v>
      </c>
      <c r="P933">
        <v>2.2387680919999999</v>
      </c>
      <c r="Q933">
        <v>2.384795601</v>
      </c>
    </row>
    <row r="934" spans="1:17" x14ac:dyDescent="0.25">
      <c r="A934" t="s">
        <v>5</v>
      </c>
      <c r="B934" t="s">
        <v>6</v>
      </c>
      <c r="C934" t="s">
        <v>259</v>
      </c>
      <c r="D934" t="s">
        <v>228</v>
      </c>
      <c r="E934" t="s">
        <v>223</v>
      </c>
      <c r="F934">
        <v>781.68131459999995</v>
      </c>
      <c r="G934">
        <v>854.76581720000001</v>
      </c>
      <c r="H934">
        <v>836.92223620000004</v>
      </c>
      <c r="I934">
        <v>934.1812582</v>
      </c>
      <c r="J934">
        <v>1014.861613</v>
      </c>
      <c r="K934">
        <v>1099.5321429999999</v>
      </c>
      <c r="L934">
        <v>1184.2291600000001</v>
      </c>
      <c r="M934">
        <v>1257.5610340000001</v>
      </c>
      <c r="N934">
        <v>1314.361527</v>
      </c>
      <c r="O934">
        <v>1355.7634619999999</v>
      </c>
      <c r="P934">
        <v>1397.4410310000001</v>
      </c>
      <c r="Q934">
        <v>1437.721335</v>
      </c>
    </row>
    <row r="935" spans="1:17" x14ac:dyDescent="0.25">
      <c r="A935" t="s">
        <v>5</v>
      </c>
      <c r="B935" t="s">
        <v>6</v>
      </c>
      <c r="C935" t="s">
        <v>259</v>
      </c>
      <c r="D935" t="s">
        <v>229</v>
      </c>
      <c r="E935" t="s">
        <v>230</v>
      </c>
      <c r="F935">
        <v>153.64240179999999</v>
      </c>
      <c r="G935">
        <v>154.9346908</v>
      </c>
      <c r="H935">
        <v>155.80604020000001</v>
      </c>
      <c r="I935">
        <v>153.95043659999999</v>
      </c>
      <c r="J935">
        <v>151.74040120000001</v>
      </c>
      <c r="K935">
        <v>149.50693219999999</v>
      </c>
      <c r="L935">
        <v>147.2093625</v>
      </c>
      <c r="M935">
        <v>145.04940719999999</v>
      </c>
      <c r="N935">
        <v>142.916234</v>
      </c>
      <c r="O935">
        <v>140.669983</v>
      </c>
      <c r="P935">
        <v>138.25597830000001</v>
      </c>
      <c r="Q935">
        <v>136.04880420000001</v>
      </c>
    </row>
    <row r="936" spans="1:17" x14ac:dyDescent="0.25">
      <c r="A936" t="s">
        <v>5</v>
      </c>
      <c r="B936" t="s">
        <v>6</v>
      </c>
      <c r="C936" t="s">
        <v>259</v>
      </c>
      <c r="D936" t="s">
        <v>231</v>
      </c>
      <c r="E936" t="s">
        <v>230</v>
      </c>
      <c r="F936">
        <v>81.594960720000003</v>
      </c>
      <c r="G936">
        <v>82.468817270000002</v>
      </c>
      <c r="H936">
        <v>84.848589180000005</v>
      </c>
      <c r="I936">
        <v>86.763639580000003</v>
      </c>
      <c r="J936">
        <v>88.080718110000007</v>
      </c>
      <c r="K936">
        <v>88.970114929999994</v>
      </c>
      <c r="L936">
        <v>89.774667030000003</v>
      </c>
      <c r="M936">
        <v>90.616332220000004</v>
      </c>
      <c r="N936">
        <v>91.323111729999994</v>
      </c>
      <c r="O936">
        <v>91.801435130000002</v>
      </c>
      <c r="P936">
        <v>92.035779640000001</v>
      </c>
      <c r="Q936">
        <v>92.099151280000001</v>
      </c>
    </row>
    <row r="937" spans="1:17" x14ac:dyDescent="0.25">
      <c r="A937" t="s">
        <v>5</v>
      </c>
      <c r="B937" t="s">
        <v>6</v>
      </c>
      <c r="C937" t="s">
        <v>259</v>
      </c>
      <c r="D937" t="s">
        <v>232</v>
      </c>
      <c r="E937" t="s">
        <v>230</v>
      </c>
      <c r="F937">
        <v>44.015837470000001</v>
      </c>
      <c r="G937">
        <v>44.515691920000002</v>
      </c>
      <c r="H937">
        <v>46.090314659999997</v>
      </c>
      <c r="I937">
        <v>47.56347109</v>
      </c>
      <c r="J937">
        <v>48.65188509</v>
      </c>
      <c r="K937">
        <v>49.446584989999998</v>
      </c>
      <c r="L937">
        <v>50.187807679999999</v>
      </c>
      <c r="M937">
        <v>50.943593030000002</v>
      </c>
      <c r="N937">
        <v>51.603990840000002</v>
      </c>
      <c r="O937">
        <v>52.115597569999998</v>
      </c>
      <c r="P937">
        <v>52.472090059999999</v>
      </c>
      <c r="Q937">
        <v>52.693744240000001</v>
      </c>
    </row>
    <row r="938" spans="1:17" x14ac:dyDescent="0.25">
      <c r="A938" t="s">
        <v>5</v>
      </c>
      <c r="B938" t="s">
        <v>6</v>
      </c>
      <c r="C938" t="s">
        <v>259</v>
      </c>
      <c r="D938" t="s">
        <v>233</v>
      </c>
      <c r="E938" t="s">
        <v>27</v>
      </c>
      <c r="F938">
        <v>19.953793690000001</v>
      </c>
      <c r="G938">
        <v>12.331337680000001</v>
      </c>
      <c r="H938">
        <v>6.9536213670000002</v>
      </c>
      <c r="I938">
        <v>11.29621253</v>
      </c>
      <c r="J938">
        <v>12.94222059</v>
      </c>
      <c r="K938">
        <v>15.761111440000001</v>
      </c>
      <c r="L938">
        <v>14.728247059999999</v>
      </c>
      <c r="M938">
        <v>14.15134187</v>
      </c>
      <c r="N938">
        <v>13.375089989999999</v>
      </c>
      <c r="O938">
        <v>13.455278890000001</v>
      </c>
      <c r="P938">
        <v>13.19143624</v>
      </c>
      <c r="Q938">
        <v>13.53864724</v>
      </c>
    </row>
    <row r="939" spans="1:17" x14ac:dyDescent="0.25">
      <c r="A939" t="s">
        <v>5</v>
      </c>
      <c r="B939" t="s">
        <v>6</v>
      </c>
      <c r="C939" t="s">
        <v>259</v>
      </c>
      <c r="D939" t="s">
        <v>234</v>
      </c>
      <c r="E939" t="s">
        <v>27</v>
      </c>
      <c r="F939">
        <v>268.01054449999998</v>
      </c>
      <c r="G939">
        <v>216.5103699</v>
      </c>
      <c r="H939">
        <v>132.71647369999999</v>
      </c>
      <c r="I939">
        <v>153.49442440000001</v>
      </c>
      <c r="J939">
        <v>175.9622766</v>
      </c>
      <c r="K939">
        <v>217.76256530000001</v>
      </c>
      <c r="L939">
        <v>200.0448293</v>
      </c>
      <c r="M939">
        <v>199.42793760000001</v>
      </c>
      <c r="N939">
        <v>184.1341602</v>
      </c>
      <c r="O939">
        <v>170.326063</v>
      </c>
      <c r="P939">
        <v>172.01585850000001</v>
      </c>
      <c r="Q939">
        <v>186.4351504</v>
      </c>
    </row>
    <row r="940" spans="1:17" x14ac:dyDescent="0.25">
      <c r="A940" t="s">
        <v>5</v>
      </c>
      <c r="B940" t="s">
        <v>6</v>
      </c>
      <c r="C940" t="s">
        <v>259</v>
      </c>
      <c r="D940" t="s">
        <v>235</v>
      </c>
      <c r="E940" t="s">
        <v>27</v>
      </c>
      <c r="F940">
        <v>1.3034770529999999</v>
      </c>
      <c r="G940">
        <v>0.79722037000000001</v>
      </c>
      <c r="H940">
        <v>0.62006350700000001</v>
      </c>
      <c r="I940">
        <v>0.90794211700000005</v>
      </c>
      <c r="J940">
        <v>1.1174113699999999</v>
      </c>
      <c r="K940">
        <v>1.081246669</v>
      </c>
      <c r="L940">
        <v>0.99941900699999997</v>
      </c>
      <c r="M940">
        <v>1.012321435</v>
      </c>
      <c r="N940">
        <v>1.4117679439999999</v>
      </c>
      <c r="O940">
        <v>1.7485455809999999</v>
      </c>
      <c r="P940">
        <v>1.580740177</v>
      </c>
      <c r="Q940">
        <v>1.4622248149999999</v>
      </c>
    </row>
    <row r="941" spans="1:17" x14ac:dyDescent="0.25">
      <c r="A941" t="s">
        <v>5</v>
      </c>
      <c r="B941" t="s">
        <v>6</v>
      </c>
      <c r="C941" t="s">
        <v>259</v>
      </c>
      <c r="D941" t="s">
        <v>236</v>
      </c>
      <c r="E941" t="s">
        <v>27</v>
      </c>
      <c r="F941">
        <v>0.54742030699999999</v>
      </c>
      <c r="G941">
        <v>0.40529020500000001</v>
      </c>
      <c r="H941">
        <v>0.392920512</v>
      </c>
      <c r="I941">
        <v>0.48114512999999998</v>
      </c>
      <c r="J941">
        <v>0.58660730900000002</v>
      </c>
      <c r="K941">
        <v>0.563902664</v>
      </c>
      <c r="L941">
        <v>0.49129664899999997</v>
      </c>
      <c r="M941">
        <v>0.52879583100000005</v>
      </c>
      <c r="N941">
        <v>0.88063889900000003</v>
      </c>
      <c r="O941">
        <v>1.1482250430000001</v>
      </c>
      <c r="P941">
        <v>1.0353437780000001</v>
      </c>
      <c r="Q941">
        <v>0.97243413700000003</v>
      </c>
    </row>
    <row r="942" spans="1:17" x14ac:dyDescent="0.25">
      <c r="A942" t="s">
        <v>5</v>
      </c>
      <c r="B942" t="s">
        <v>6</v>
      </c>
      <c r="C942" t="s">
        <v>259</v>
      </c>
      <c r="D942" t="s">
        <v>237</v>
      </c>
      <c r="E942" t="s">
        <v>27</v>
      </c>
      <c r="F942">
        <v>1.226492173</v>
      </c>
      <c r="G942">
        <v>0.93309900400000001</v>
      </c>
      <c r="H942">
        <v>0.555627011</v>
      </c>
      <c r="I942">
        <v>0.79989037500000004</v>
      </c>
      <c r="J942">
        <v>0.87421669499999999</v>
      </c>
      <c r="K942">
        <v>1.018552017</v>
      </c>
      <c r="L942">
        <v>0.88694487600000005</v>
      </c>
      <c r="M942">
        <v>0.80336012899999998</v>
      </c>
      <c r="N942">
        <v>0.68346836300000002</v>
      </c>
      <c r="O942">
        <v>0.59522792000000002</v>
      </c>
      <c r="P942">
        <v>0.59315597499999995</v>
      </c>
      <c r="Q942">
        <v>0.65975589400000001</v>
      </c>
    </row>
    <row r="943" spans="1:17" x14ac:dyDescent="0.25">
      <c r="A943" t="s">
        <v>5</v>
      </c>
      <c r="B943" t="s">
        <v>6</v>
      </c>
      <c r="C943" t="s">
        <v>259</v>
      </c>
      <c r="D943" t="s">
        <v>238</v>
      </c>
      <c r="E943" t="s">
        <v>27</v>
      </c>
      <c r="F943">
        <v>10.66082954</v>
      </c>
      <c r="G943">
        <v>7.801315926</v>
      </c>
      <c r="H943">
        <v>4.028184134</v>
      </c>
      <c r="I943">
        <v>4.4808600500000004</v>
      </c>
      <c r="J943">
        <v>5.3082873629999998</v>
      </c>
      <c r="K943">
        <v>6.7824039110000003</v>
      </c>
      <c r="L943">
        <v>5.9806301250000002</v>
      </c>
      <c r="M943">
        <v>5.8137314990000002</v>
      </c>
      <c r="N943">
        <v>5.1407558309999999</v>
      </c>
      <c r="O943">
        <v>4.5181472740000004</v>
      </c>
      <c r="P943">
        <v>4.3088163890000004</v>
      </c>
      <c r="Q943">
        <v>4.7852322640000002</v>
      </c>
    </row>
    <row r="944" spans="1:17" x14ac:dyDescent="0.25">
      <c r="A944" t="s">
        <v>5</v>
      </c>
      <c r="B944" t="s">
        <v>6</v>
      </c>
      <c r="C944" t="s">
        <v>259</v>
      </c>
      <c r="D944" t="s">
        <v>239</v>
      </c>
      <c r="E944" t="s">
        <v>27</v>
      </c>
      <c r="F944">
        <v>6.4202811909999999</v>
      </c>
      <c r="G944">
        <v>7.3057445190000001</v>
      </c>
      <c r="H944">
        <v>7.7260392009999999</v>
      </c>
      <c r="I944">
        <v>7.6815732539999999</v>
      </c>
      <c r="J944">
        <v>9.1445077650000002</v>
      </c>
      <c r="K944">
        <v>10.297955119999999</v>
      </c>
      <c r="L944">
        <v>11.523458979999999</v>
      </c>
      <c r="M944">
        <v>13.070244150000001</v>
      </c>
      <c r="N944">
        <v>14.29301892</v>
      </c>
      <c r="O944">
        <v>15.292412369999999</v>
      </c>
      <c r="P944">
        <v>16.269910920000001</v>
      </c>
      <c r="Q944">
        <v>17.25394914</v>
      </c>
    </row>
    <row r="945" spans="1:17" x14ac:dyDescent="0.25">
      <c r="A945" t="s">
        <v>5</v>
      </c>
      <c r="B945" t="s">
        <v>6</v>
      </c>
      <c r="C945" t="s">
        <v>259</v>
      </c>
      <c r="D945" t="s">
        <v>240</v>
      </c>
      <c r="E945" t="s">
        <v>27</v>
      </c>
      <c r="F945">
        <v>4.409354596</v>
      </c>
      <c r="G945">
        <v>5.182638216</v>
      </c>
      <c r="H945">
        <v>6.2762575949999997</v>
      </c>
      <c r="I945">
        <v>6.8284016489999999</v>
      </c>
      <c r="J945">
        <v>10.486666659999999</v>
      </c>
      <c r="K945">
        <v>16.09593229</v>
      </c>
      <c r="L945">
        <v>22.137062910000001</v>
      </c>
      <c r="M945">
        <v>28.619200790000001</v>
      </c>
      <c r="N945">
        <v>35.241352020000001</v>
      </c>
      <c r="O945">
        <v>41.459342069999998</v>
      </c>
      <c r="P945">
        <v>44.62410757</v>
      </c>
      <c r="Q945">
        <v>46.989294000000001</v>
      </c>
    </row>
    <row r="946" spans="1:17" x14ac:dyDescent="0.25">
      <c r="A946" t="s">
        <v>5</v>
      </c>
      <c r="B946" t="s">
        <v>6</v>
      </c>
      <c r="C946" t="s">
        <v>259</v>
      </c>
      <c r="D946" t="s">
        <v>241</v>
      </c>
      <c r="E946" t="s">
        <v>27</v>
      </c>
      <c r="F946">
        <v>0.76340462499999995</v>
      </c>
      <c r="G946">
        <v>0.84867703699999997</v>
      </c>
      <c r="H946">
        <v>0.97494644200000002</v>
      </c>
      <c r="I946">
        <v>0.94409045400000002</v>
      </c>
      <c r="J946">
        <v>0.97888243100000005</v>
      </c>
      <c r="K946">
        <v>1.055065374</v>
      </c>
      <c r="L946">
        <v>1.1702456779999999</v>
      </c>
      <c r="M946">
        <v>1.306992868</v>
      </c>
      <c r="N946">
        <v>1.458601756</v>
      </c>
      <c r="O946">
        <v>1.6114132400000001</v>
      </c>
      <c r="P946">
        <v>1.7648579120000001</v>
      </c>
      <c r="Q946">
        <v>1.9067417959999999</v>
      </c>
    </row>
    <row r="947" spans="1:17" x14ac:dyDescent="0.25">
      <c r="A947" t="s">
        <v>5</v>
      </c>
      <c r="B947" t="s">
        <v>6</v>
      </c>
      <c r="C947" t="s">
        <v>259</v>
      </c>
      <c r="D947" t="s">
        <v>242</v>
      </c>
      <c r="E947" t="s">
        <v>27</v>
      </c>
      <c r="F947">
        <v>0.212176789</v>
      </c>
      <c r="G947">
        <v>0.25069518200000002</v>
      </c>
      <c r="H947">
        <v>0.28046063700000001</v>
      </c>
      <c r="I947">
        <v>0.29591050499999999</v>
      </c>
      <c r="J947">
        <v>0.27563855599999998</v>
      </c>
      <c r="K947">
        <v>0.31634062200000002</v>
      </c>
      <c r="L947">
        <v>0.35652734800000002</v>
      </c>
      <c r="M947">
        <v>0.41773923600000001</v>
      </c>
      <c r="N947">
        <v>0.46969945200000002</v>
      </c>
      <c r="O947">
        <v>0.53007568299999996</v>
      </c>
      <c r="P947">
        <v>0.60421243700000005</v>
      </c>
      <c r="Q947">
        <v>0.67395465799999998</v>
      </c>
    </row>
    <row r="948" spans="1:17" x14ac:dyDescent="0.25">
      <c r="A948" t="s">
        <v>5</v>
      </c>
      <c r="B948" t="s">
        <v>6</v>
      </c>
      <c r="C948" t="s">
        <v>259</v>
      </c>
      <c r="D948" t="s">
        <v>243</v>
      </c>
      <c r="E948" t="s">
        <v>27</v>
      </c>
      <c r="F948">
        <v>9.3275331000000003E-2</v>
      </c>
      <c r="G948">
        <v>0.121070523</v>
      </c>
      <c r="H948">
        <v>0.134282021</v>
      </c>
      <c r="I948">
        <v>0.11400665</v>
      </c>
      <c r="J948">
        <v>0.156986132</v>
      </c>
      <c r="K948">
        <v>0.191113177</v>
      </c>
      <c r="L948">
        <v>0.21909806200000001</v>
      </c>
      <c r="M948">
        <v>0.23554156500000001</v>
      </c>
      <c r="N948">
        <v>0.23590823</v>
      </c>
      <c r="O948">
        <v>0.22190596900000001</v>
      </c>
      <c r="P948">
        <v>0.23252785000000001</v>
      </c>
      <c r="Q948">
        <v>0.24653266200000001</v>
      </c>
    </row>
    <row r="949" spans="1:17" x14ac:dyDescent="0.25">
      <c r="A949" t="s">
        <v>5</v>
      </c>
      <c r="B949" t="s">
        <v>6</v>
      </c>
      <c r="C949" t="s">
        <v>259</v>
      </c>
      <c r="D949" t="s">
        <v>244</v>
      </c>
      <c r="E949" t="s">
        <v>27</v>
      </c>
      <c r="F949">
        <v>0.799952942</v>
      </c>
      <c r="G949">
        <v>0.86740037800000003</v>
      </c>
      <c r="H949">
        <v>0.72860406700000002</v>
      </c>
      <c r="I949">
        <v>0.86689046000000003</v>
      </c>
      <c r="J949">
        <v>1.0671136029999999</v>
      </c>
      <c r="K949">
        <v>1.1921740359999999</v>
      </c>
      <c r="L949">
        <v>1.310648934</v>
      </c>
      <c r="M949">
        <v>1.413171223</v>
      </c>
      <c r="N949">
        <v>1.494379632</v>
      </c>
      <c r="O949">
        <v>1.553845135</v>
      </c>
      <c r="P949">
        <v>1.629868053</v>
      </c>
      <c r="Q949">
        <v>1.700161614</v>
      </c>
    </row>
    <row r="950" spans="1:17" x14ac:dyDescent="0.25">
      <c r="A950" t="s">
        <v>5</v>
      </c>
      <c r="B950" t="s">
        <v>6</v>
      </c>
      <c r="C950" t="s">
        <v>259</v>
      </c>
      <c r="D950" t="s">
        <v>245</v>
      </c>
      <c r="E950" t="s">
        <v>27</v>
      </c>
      <c r="F950">
        <v>0.33645459999999999</v>
      </c>
      <c r="G950">
        <v>0.42487359800000002</v>
      </c>
      <c r="H950">
        <v>0.47465233600000001</v>
      </c>
      <c r="I950">
        <v>0.53546567599999995</v>
      </c>
      <c r="J950">
        <v>0.66859164000000004</v>
      </c>
      <c r="K950">
        <v>0.95271097599999999</v>
      </c>
      <c r="L950">
        <v>1.2843306409999999</v>
      </c>
      <c r="M950">
        <v>1.6815726289999999</v>
      </c>
      <c r="N950">
        <v>2.106408971</v>
      </c>
      <c r="O950">
        <v>2.5275735030000002</v>
      </c>
      <c r="P950">
        <v>2.7475530400000001</v>
      </c>
      <c r="Q950">
        <v>2.9196540999999998</v>
      </c>
    </row>
    <row r="951" spans="1:17" x14ac:dyDescent="0.25">
      <c r="A951" t="s">
        <v>5</v>
      </c>
      <c r="B951" t="s">
        <v>6</v>
      </c>
      <c r="C951" t="s">
        <v>259</v>
      </c>
      <c r="D951" t="s">
        <v>246</v>
      </c>
      <c r="E951" t="s">
        <v>27</v>
      </c>
      <c r="F951">
        <v>0</v>
      </c>
      <c r="G951">
        <v>0</v>
      </c>
      <c r="H951">
        <v>0</v>
      </c>
      <c r="I951">
        <v>0.39446374099999998</v>
      </c>
      <c r="J951">
        <v>3.44964505</v>
      </c>
      <c r="K951">
        <v>7.4204914610000001</v>
      </c>
      <c r="L951">
        <v>12.04433841</v>
      </c>
      <c r="M951">
        <v>17.343556150000001</v>
      </c>
      <c r="N951">
        <v>23.319786229999998</v>
      </c>
      <c r="O951">
        <v>29.316928650000001</v>
      </c>
      <c r="P951">
        <v>31.81852443</v>
      </c>
      <c r="Q951">
        <v>33.510726820000002</v>
      </c>
    </row>
    <row r="952" spans="1:17" x14ac:dyDescent="0.25">
      <c r="A952" t="s">
        <v>5</v>
      </c>
      <c r="B952" t="s">
        <v>6</v>
      </c>
      <c r="C952" t="s">
        <v>259</v>
      </c>
      <c r="D952" t="s">
        <v>247</v>
      </c>
      <c r="E952" t="s">
        <v>27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 x14ac:dyDescent="0.25">
      <c r="A953" t="s">
        <v>5</v>
      </c>
      <c r="B953" t="s">
        <v>6</v>
      </c>
      <c r="C953" t="s">
        <v>259</v>
      </c>
      <c r="D953" t="s">
        <v>248</v>
      </c>
      <c r="E953" t="s">
        <v>27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17" x14ac:dyDescent="0.25">
      <c r="A954" t="s">
        <v>5</v>
      </c>
      <c r="B954" t="s">
        <v>6</v>
      </c>
      <c r="C954" t="s">
        <v>259</v>
      </c>
      <c r="D954" t="s">
        <v>249</v>
      </c>
      <c r="E954" t="s">
        <v>27</v>
      </c>
      <c r="F954">
        <v>1.6085828E-2</v>
      </c>
      <c r="G954">
        <v>1.9936819000000001E-2</v>
      </c>
      <c r="H954">
        <v>2.3323316E-2</v>
      </c>
      <c r="I954">
        <v>3.1080475E-2</v>
      </c>
      <c r="J954">
        <v>8.1916309000000007E-2</v>
      </c>
      <c r="K954">
        <v>0.15578945199999999</v>
      </c>
      <c r="L954">
        <v>0.245532429</v>
      </c>
      <c r="M954">
        <v>0.35091071600000001</v>
      </c>
      <c r="N954">
        <v>0.47144532300000003</v>
      </c>
      <c r="O954">
        <v>0.59371790099999999</v>
      </c>
      <c r="P954">
        <v>0.649868365</v>
      </c>
      <c r="Q954">
        <v>0.68972257100000001</v>
      </c>
    </row>
    <row r="955" spans="1:17" x14ac:dyDescent="0.25">
      <c r="A955" t="s">
        <v>5</v>
      </c>
      <c r="B955" t="s">
        <v>6</v>
      </c>
      <c r="C955" t="s">
        <v>259</v>
      </c>
      <c r="D955" t="s">
        <v>250</v>
      </c>
      <c r="E955" t="s">
        <v>27</v>
      </c>
      <c r="F955">
        <v>0.35262731600000002</v>
      </c>
      <c r="G955">
        <v>0.36999039</v>
      </c>
      <c r="H955">
        <v>0.38193765800000001</v>
      </c>
      <c r="I955">
        <v>0.46232879100000002</v>
      </c>
      <c r="J955">
        <v>0.69300014300000001</v>
      </c>
      <c r="K955">
        <v>1.00647562</v>
      </c>
      <c r="L955">
        <v>1.358511754</v>
      </c>
      <c r="M955">
        <v>1.748270456</v>
      </c>
      <c r="N955">
        <v>2.1756159589999999</v>
      </c>
      <c r="O955">
        <v>2.5960752989999998</v>
      </c>
      <c r="P955">
        <v>2.7713058589999999</v>
      </c>
      <c r="Q955">
        <v>2.8884955410000002</v>
      </c>
    </row>
    <row r="956" spans="1:17" x14ac:dyDescent="0.25">
      <c r="A956" t="s">
        <v>5</v>
      </c>
      <c r="B956" t="s">
        <v>6</v>
      </c>
      <c r="C956" t="s">
        <v>259</v>
      </c>
      <c r="D956" t="s">
        <v>251</v>
      </c>
      <c r="E956" t="s">
        <v>27</v>
      </c>
      <c r="F956">
        <v>1.6563606989999999</v>
      </c>
      <c r="G956">
        <v>2.3629661870000001</v>
      </c>
      <c r="H956">
        <v>2.4279933960000002</v>
      </c>
      <c r="I956">
        <v>4.7659196870000002</v>
      </c>
      <c r="J956">
        <v>2.1273485619999999</v>
      </c>
      <c r="K956">
        <v>2.1240515310000001</v>
      </c>
      <c r="L956">
        <v>2.0381367479999999</v>
      </c>
      <c r="M956">
        <v>2.0068932209999999</v>
      </c>
      <c r="N956">
        <v>1.7603962550000001</v>
      </c>
      <c r="O956">
        <v>1.452629945</v>
      </c>
      <c r="P956">
        <v>1.483249343</v>
      </c>
      <c r="Q956">
        <v>1.5957338700000001</v>
      </c>
    </row>
    <row r="957" spans="1:17" x14ac:dyDescent="0.25">
      <c r="A957" t="s">
        <v>5</v>
      </c>
      <c r="B957" t="s">
        <v>6</v>
      </c>
      <c r="C957" t="s">
        <v>259</v>
      </c>
      <c r="D957" t="s">
        <v>252</v>
      </c>
      <c r="E957" t="s">
        <v>27</v>
      </c>
      <c r="F957">
        <v>74.329120329999995</v>
      </c>
      <c r="G957">
        <v>108.3779186</v>
      </c>
      <c r="H957">
        <v>114.2670512</v>
      </c>
      <c r="I957">
        <v>107.41313479999999</v>
      </c>
      <c r="J957">
        <v>88.165335220000003</v>
      </c>
      <c r="K957">
        <v>87.389159739999997</v>
      </c>
      <c r="L957">
        <v>85.713426049999995</v>
      </c>
      <c r="M957">
        <v>84.606916179999999</v>
      </c>
      <c r="N957">
        <v>80.849971170000003</v>
      </c>
      <c r="O957">
        <v>77.389108969999995</v>
      </c>
      <c r="P957">
        <v>81.069720649999994</v>
      </c>
      <c r="Q957">
        <v>85.245471789999996</v>
      </c>
    </row>
    <row r="958" spans="1:17" x14ac:dyDescent="0.25">
      <c r="A958" t="s">
        <v>5</v>
      </c>
      <c r="B958" t="s">
        <v>6</v>
      </c>
      <c r="C958" t="s">
        <v>259</v>
      </c>
      <c r="D958" t="s">
        <v>253</v>
      </c>
      <c r="E958" t="s">
        <v>27</v>
      </c>
      <c r="F958">
        <v>0.16250741699999999</v>
      </c>
      <c r="G958">
        <v>0.19655609199999999</v>
      </c>
      <c r="H958">
        <v>0.20915868800000001</v>
      </c>
      <c r="I958">
        <v>0.34594689099999998</v>
      </c>
      <c r="J958">
        <v>0.196289189</v>
      </c>
      <c r="K958">
        <v>0.20043887699999999</v>
      </c>
      <c r="L958">
        <v>0.214717045</v>
      </c>
      <c r="M958">
        <v>0.238552651</v>
      </c>
      <c r="N958">
        <v>0.266747711</v>
      </c>
      <c r="O958">
        <v>0.29467829200000001</v>
      </c>
      <c r="P958">
        <v>0.32520964699999999</v>
      </c>
      <c r="Q958">
        <v>0.35130719799999999</v>
      </c>
    </row>
    <row r="959" spans="1:17" x14ac:dyDescent="0.25">
      <c r="A959" t="s">
        <v>5</v>
      </c>
      <c r="B959" t="s">
        <v>6</v>
      </c>
      <c r="C959" t="s">
        <v>259</v>
      </c>
      <c r="D959" t="s">
        <v>254</v>
      </c>
      <c r="E959" t="s">
        <v>27</v>
      </c>
      <c r="F959">
        <v>0.12180042000000001</v>
      </c>
      <c r="G959">
        <v>0.15142193000000001</v>
      </c>
      <c r="H959">
        <v>0.153758907</v>
      </c>
      <c r="I959">
        <v>0.16794427100000001</v>
      </c>
      <c r="J959">
        <v>0.14281032099999999</v>
      </c>
      <c r="K959">
        <v>0.155608475</v>
      </c>
      <c r="L959">
        <v>0.16380050500000001</v>
      </c>
      <c r="M959">
        <v>0.185220936</v>
      </c>
      <c r="N959">
        <v>0.19467742199999999</v>
      </c>
      <c r="O959">
        <v>0.20727978499999999</v>
      </c>
      <c r="P959">
        <v>0.237941551</v>
      </c>
      <c r="Q959">
        <v>0.26775748900000002</v>
      </c>
    </row>
    <row r="960" spans="1:17" x14ac:dyDescent="0.25">
      <c r="A960" t="s">
        <v>5</v>
      </c>
      <c r="B960" t="s">
        <v>6</v>
      </c>
      <c r="C960" t="s">
        <v>259</v>
      </c>
      <c r="D960" t="s">
        <v>255</v>
      </c>
      <c r="E960" t="s">
        <v>27</v>
      </c>
      <c r="F960">
        <v>0.29278454900000001</v>
      </c>
      <c r="G960">
        <v>0.43301231800000001</v>
      </c>
      <c r="H960">
        <v>0.44359362800000002</v>
      </c>
      <c r="I960">
        <v>0.45361464099999999</v>
      </c>
      <c r="J960">
        <v>0.31685773299999997</v>
      </c>
      <c r="K960">
        <v>0.26586601599999998</v>
      </c>
      <c r="L960">
        <v>0.21576487899999999</v>
      </c>
      <c r="M960">
        <v>0.16419830199999999</v>
      </c>
      <c r="N960">
        <v>0.113896096</v>
      </c>
      <c r="O960">
        <v>7.3813767000000002E-2</v>
      </c>
      <c r="P960">
        <v>7.3292556999999994E-2</v>
      </c>
      <c r="Q960">
        <v>7.8042664999999997E-2</v>
      </c>
    </row>
    <row r="961" spans="1:17" x14ac:dyDescent="0.25">
      <c r="A961" t="s">
        <v>5</v>
      </c>
      <c r="B961" t="s">
        <v>6</v>
      </c>
      <c r="C961" t="s">
        <v>259</v>
      </c>
      <c r="D961" t="s">
        <v>256</v>
      </c>
      <c r="E961" t="s">
        <v>27</v>
      </c>
      <c r="F961">
        <v>2.3744634950000001</v>
      </c>
      <c r="G961">
        <v>3.4500035809999998</v>
      </c>
      <c r="H961">
        <v>3.7557520910000002</v>
      </c>
      <c r="I961">
        <v>3.1944265679999999</v>
      </c>
      <c r="J961">
        <v>2.589694841</v>
      </c>
      <c r="K961">
        <v>2.406887013</v>
      </c>
      <c r="L961">
        <v>2.2234141520000001</v>
      </c>
      <c r="M961">
        <v>2.0298381700000001</v>
      </c>
      <c r="N961">
        <v>1.826843395</v>
      </c>
      <c r="O961">
        <v>1.6521936269999999</v>
      </c>
      <c r="P961">
        <v>1.7028014149999999</v>
      </c>
      <c r="Q961">
        <v>1.778878833</v>
      </c>
    </row>
    <row r="962" spans="1:17" x14ac:dyDescent="0.25">
      <c r="A962" t="s">
        <v>5</v>
      </c>
      <c r="B962" t="s">
        <v>6</v>
      </c>
      <c r="C962" t="s">
        <v>260</v>
      </c>
      <c r="D962" t="s">
        <v>8</v>
      </c>
      <c r="E962" t="s">
        <v>9</v>
      </c>
      <c r="F962">
        <v>2407.6591090000002</v>
      </c>
      <c r="G962">
        <v>2696.168549</v>
      </c>
      <c r="H962">
        <v>4744.5728669999999</v>
      </c>
      <c r="I962">
        <v>5287.4909729999999</v>
      </c>
      <c r="J962">
        <v>7281.5343290000001</v>
      </c>
      <c r="K962">
        <v>9090.7200749999993</v>
      </c>
      <c r="L962">
        <v>11928.550069999999</v>
      </c>
      <c r="M962">
        <v>15687.696019999999</v>
      </c>
      <c r="N962">
        <v>19467.273679999998</v>
      </c>
      <c r="O962">
        <v>23612.64716</v>
      </c>
      <c r="P962">
        <v>28520.52262</v>
      </c>
      <c r="Q962">
        <v>33824.479070000001</v>
      </c>
    </row>
    <row r="963" spans="1:17" x14ac:dyDescent="0.25">
      <c r="A963" t="s">
        <v>5</v>
      </c>
      <c r="B963" t="s">
        <v>6</v>
      </c>
      <c r="C963" t="s">
        <v>260</v>
      </c>
      <c r="D963" t="s">
        <v>10</v>
      </c>
      <c r="E963" t="s">
        <v>9</v>
      </c>
      <c r="F963">
        <v>148.93130629999999</v>
      </c>
      <c r="G963">
        <v>123.8970092</v>
      </c>
      <c r="H963">
        <v>186.4703074</v>
      </c>
      <c r="I963">
        <v>228.6505487</v>
      </c>
      <c r="J963">
        <v>265.71638730000001</v>
      </c>
      <c r="K963">
        <v>300.84026180000001</v>
      </c>
      <c r="L963">
        <v>350.22868169999998</v>
      </c>
      <c r="M963">
        <v>387.97154929999999</v>
      </c>
      <c r="N963">
        <v>420.83732429999998</v>
      </c>
      <c r="O963">
        <v>452.34702119999997</v>
      </c>
      <c r="P963">
        <v>470.27736759999999</v>
      </c>
      <c r="Q963">
        <v>480.19440150000003</v>
      </c>
    </row>
    <row r="964" spans="1:17" x14ac:dyDescent="0.25">
      <c r="A964" t="s">
        <v>5</v>
      </c>
      <c r="B964" t="s">
        <v>6</v>
      </c>
      <c r="C964" t="s">
        <v>260</v>
      </c>
      <c r="D964" t="s">
        <v>11</v>
      </c>
      <c r="E964" t="s">
        <v>9</v>
      </c>
      <c r="F964">
        <v>15235.01225</v>
      </c>
      <c r="G964">
        <v>14114.28326</v>
      </c>
      <c r="H964">
        <v>28320.398280000001</v>
      </c>
      <c r="I964">
        <v>19155.814969999999</v>
      </c>
      <c r="J964">
        <v>23782.690159999998</v>
      </c>
      <c r="K964">
        <v>19406.167259999998</v>
      </c>
      <c r="L964">
        <v>20635.177609999999</v>
      </c>
      <c r="M964">
        <v>18314.278730000002</v>
      </c>
      <c r="N964">
        <v>18229.927060000002</v>
      </c>
      <c r="O964">
        <v>18398.461510000001</v>
      </c>
      <c r="P964">
        <v>18244.61289</v>
      </c>
      <c r="Q964">
        <v>17995.851879999998</v>
      </c>
    </row>
    <row r="965" spans="1:17" x14ac:dyDescent="0.25">
      <c r="A965" t="s">
        <v>5</v>
      </c>
      <c r="B965" t="s">
        <v>6</v>
      </c>
      <c r="C965" t="s">
        <v>260</v>
      </c>
      <c r="D965" t="s">
        <v>12</v>
      </c>
      <c r="E965" t="s">
        <v>9</v>
      </c>
      <c r="F965">
        <v>266.1606251</v>
      </c>
      <c r="G965">
        <v>262.84687760000003</v>
      </c>
      <c r="H965">
        <v>357.59702470000002</v>
      </c>
      <c r="I965">
        <v>404.00911200000002</v>
      </c>
      <c r="J965">
        <v>439.16456649999998</v>
      </c>
      <c r="K965">
        <v>547.71157589999996</v>
      </c>
      <c r="L965">
        <v>604.38025359999995</v>
      </c>
      <c r="M965">
        <v>695.44908889999999</v>
      </c>
      <c r="N965">
        <v>802.72589359999995</v>
      </c>
      <c r="O965">
        <v>903.70772929999998</v>
      </c>
      <c r="P965">
        <v>1022.020203</v>
      </c>
      <c r="Q965">
        <v>1143.237003</v>
      </c>
    </row>
    <row r="966" spans="1:17" x14ac:dyDescent="0.25">
      <c r="A966" t="s">
        <v>5</v>
      </c>
      <c r="B966" t="s">
        <v>6</v>
      </c>
      <c r="C966" t="s">
        <v>260</v>
      </c>
      <c r="D966" t="s">
        <v>13</v>
      </c>
      <c r="E966" t="s">
        <v>9</v>
      </c>
      <c r="F966">
        <v>8.0187306999999999E-2</v>
      </c>
      <c r="G966">
        <v>2.0768436000000001E-2</v>
      </c>
      <c r="H966">
        <v>9.2609715999999995E-2</v>
      </c>
      <c r="I966">
        <v>5.3283504000000002E-2</v>
      </c>
      <c r="J966">
        <v>5.1677463999999999E-2</v>
      </c>
      <c r="K966">
        <v>5.8524660999999999E-2</v>
      </c>
      <c r="L966">
        <v>8.8861907000000004E-2</v>
      </c>
      <c r="M966">
        <v>0.13997003699999999</v>
      </c>
      <c r="N966">
        <v>0.21127327500000001</v>
      </c>
      <c r="O966">
        <v>0.312328198</v>
      </c>
      <c r="P966">
        <v>0.36909155700000001</v>
      </c>
      <c r="Q966">
        <v>0.35935650499999999</v>
      </c>
    </row>
    <row r="967" spans="1:17" x14ac:dyDescent="0.25">
      <c r="A967" t="s">
        <v>5</v>
      </c>
      <c r="B967" t="s">
        <v>6</v>
      </c>
      <c r="C967" t="s">
        <v>260</v>
      </c>
      <c r="D967" t="s">
        <v>14</v>
      </c>
      <c r="E967" t="s">
        <v>9</v>
      </c>
      <c r="F967">
        <v>9.9123032999999999E-2</v>
      </c>
      <c r="G967">
        <v>8.0142282999999995E-2</v>
      </c>
      <c r="H967">
        <v>9.3374841E-2</v>
      </c>
      <c r="I967">
        <v>0.117574391</v>
      </c>
      <c r="J967">
        <v>0.150516181</v>
      </c>
      <c r="K967">
        <v>0.187142576</v>
      </c>
      <c r="L967">
        <v>0.219978387</v>
      </c>
      <c r="M967">
        <v>0.25443019099999997</v>
      </c>
      <c r="N967">
        <v>0.280991137</v>
      </c>
      <c r="O967">
        <v>0.30329851099999999</v>
      </c>
      <c r="P967">
        <v>0.34790639099999998</v>
      </c>
      <c r="Q967">
        <v>0.39767184799999999</v>
      </c>
    </row>
    <row r="968" spans="1:17" x14ac:dyDescent="0.25">
      <c r="A968" t="s">
        <v>5</v>
      </c>
      <c r="B968" t="s">
        <v>6</v>
      </c>
      <c r="C968" t="s">
        <v>260</v>
      </c>
      <c r="D968" t="s">
        <v>15</v>
      </c>
      <c r="E968" t="s">
        <v>9</v>
      </c>
      <c r="F968">
        <v>3.0731244000000001E-2</v>
      </c>
      <c r="G968">
        <v>3.2897362999999999E-2</v>
      </c>
      <c r="H968">
        <v>7.4671408999999994E-2</v>
      </c>
      <c r="I968">
        <v>9.2928769999999994E-2</v>
      </c>
      <c r="J968">
        <v>6.0367280000000002E-2</v>
      </c>
      <c r="K968">
        <v>5.9101760000000003E-2</v>
      </c>
      <c r="L968">
        <v>9.5491555000000006E-2</v>
      </c>
      <c r="M968">
        <v>0.13942843799999999</v>
      </c>
      <c r="N968">
        <v>0.16691319099999999</v>
      </c>
      <c r="O968">
        <v>0.227140165</v>
      </c>
      <c r="P968">
        <v>0.32023644200000001</v>
      </c>
      <c r="Q968">
        <v>0.42404898800000002</v>
      </c>
    </row>
    <row r="969" spans="1:17" x14ac:dyDescent="0.25">
      <c r="A969" t="s">
        <v>5</v>
      </c>
      <c r="B969" t="s">
        <v>6</v>
      </c>
      <c r="C969" t="s">
        <v>260</v>
      </c>
      <c r="D969" t="s">
        <v>16</v>
      </c>
      <c r="E969" t="s">
        <v>9</v>
      </c>
      <c r="F969">
        <v>1.495754E-2</v>
      </c>
      <c r="G969">
        <v>1.9571367999999999E-2</v>
      </c>
      <c r="H969">
        <v>1.2561526E-2</v>
      </c>
      <c r="I969">
        <v>2.7095307999999999E-2</v>
      </c>
      <c r="J969">
        <v>1.9963926999999999E-2</v>
      </c>
      <c r="K969">
        <v>1.6552445999999998E-2</v>
      </c>
      <c r="L969">
        <v>2.1314041999999998E-2</v>
      </c>
      <c r="M969">
        <v>2.5730901E-2</v>
      </c>
      <c r="N969">
        <v>2.8693131E-2</v>
      </c>
      <c r="O969">
        <v>3.0018461999999999E-2</v>
      </c>
      <c r="P969">
        <v>3.1916509000000003E-2</v>
      </c>
      <c r="Q969">
        <v>3.5547031E-2</v>
      </c>
    </row>
    <row r="970" spans="1:17" x14ac:dyDescent="0.25">
      <c r="A970" t="s">
        <v>5</v>
      </c>
      <c r="B970" t="s">
        <v>6</v>
      </c>
      <c r="C970" t="s">
        <v>260</v>
      </c>
      <c r="D970" t="s">
        <v>17</v>
      </c>
      <c r="E970" t="s">
        <v>9</v>
      </c>
      <c r="F970">
        <v>0.32913826200000001</v>
      </c>
      <c r="G970">
        <v>0.13447426000000001</v>
      </c>
      <c r="H970">
        <v>0.18549341899999999</v>
      </c>
      <c r="I970">
        <v>0.34866300700000002</v>
      </c>
      <c r="J970">
        <v>0.255207976</v>
      </c>
      <c r="K970">
        <v>0.30578644799999999</v>
      </c>
      <c r="L970">
        <v>0.30412668399999998</v>
      </c>
      <c r="M970">
        <v>0.316773358</v>
      </c>
      <c r="N970">
        <v>0.34537158499999998</v>
      </c>
      <c r="O970">
        <v>0.372696317</v>
      </c>
      <c r="P970">
        <v>0.39570189300000003</v>
      </c>
      <c r="Q970">
        <v>0.416745596</v>
      </c>
    </row>
    <row r="971" spans="1:17" x14ac:dyDescent="0.25">
      <c r="A971" t="s">
        <v>5</v>
      </c>
      <c r="B971" t="s">
        <v>6</v>
      </c>
      <c r="C971" t="s">
        <v>260</v>
      </c>
      <c r="D971" t="s">
        <v>18</v>
      </c>
      <c r="E971" t="s">
        <v>19</v>
      </c>
      <c r="F971">
        <v>223365328.5</v>
      </c>
      <c r="G971">
        <v>295253960.10000002</v>
      </c>
      <c r="H971">
        <v>219009222.09999999</v>
      </c>
      <c r="I971">
        <v>235300313.69999999</v>
      </c>
      <c r="J971">
        <v>255139441.19999999</v>
      </c>
      <c r="K971">
        <v>353653994.39999998</v>
      </c>
      <c r="L971">
        <v>376593374.5</v>
      </c>
      <c r="M971">
        <v>415232241.39999998</v>
      </c>
      <c r="N971">
        <v>466217150.30000001</v>
      </c>
      <c r="O971">
        <v>532019154.39999998</v>
      </c>
      <c r="P971">
        <v>655407702.20000005</v>
      </c>
      <c r="Q971">
        <v>755680136</v>
      </c>
    </row>
    <row r="972" spans="1:17" x14ac:dyDescent="0.25">
      <c r="A972" t="s">
        <v>5</v>
      </c>
      <c r="B972" t="s">
        <v>6</v>
      </c>
      <c r="C972" t="s">
        <v>260</v>
      </c>
      <c r="D972" t="s">
        <v>20</v>
      </c>
      <c r="E972" t="s">
        <v>19</v>
      </c>
      <c r="F972">
        <v>93144053.439999998</v>
      </c>
      <c r="G972">
        <v>128037073</v>
      </c>
      <c r="H972">
        <v>109155990.8</v>
      </c>
      <c r="I972">
        <v>123837679.2</v>
      </c>
      <c r="J972">
        <v>138533135.69999999</v>
      </c>
      <c r="K972">
        <v>193200393</v>
      </c>
      <c r="L972">
        <v>214896090.59999999</v>
      </c>
      <c r="M972">
        <v>243833252.69999999</v>
      </c>
      <c r="N972">
        <v>279333526.30000001</v>
      </c>
      <c r="O972">
        <v>323652224</v>
      </c>
      <c r="P972">
        <v>405019007.69999999</v>
      </c>
      <c r="Q972">
        <v>475638513.89999998</v>
      </c>
    </row>
    <row r="973" spans="1:17" x14ac:dyDescent="0.25">
      <c r="A973" t="s">
        <v>5</v>
      </c>
      <c r="B973" t="s">
        <v>6</v>
      </c>
      <c r="C973" t="s">
        <v>260</v>
      </c>
      <c r="D973" t="s">
        <v>21</v>
      </c>
      <c r="E973" t="s">
        <v>19</v>
      </c>
      <c r="F973">
        <v>45320587.950000003</v>
      </c>
      <c r="G973">
        <v>62037991.219999999</v>
      </c>
      <c r="H973">
        <v>54450409.729999997</v>
      </c>
      <c r="I973">
        <v>62161764.57</v>
      </c>
      <c r="J973">
        <v>69915141.730000004</v>
      </c>
      <c r="K973">
        <v>98055727.150000006</v>
      </c>
      <c r="L973">
        <v>109847702.8</v>
      </c>
      <c r="M973">
        <v>125227384.90000001</v>
      </c>
      <c r="N973">
        <v>143887149.90000001</v>
      </c>
      <c r="O973">
        <v>166975337.19999999</v>
      </c>
      <c r="P973">
        <v>208497404.19999999</v>
      </c>
      <c r="Q973">
        <v>245142712.80000001</v>
      </c>
    </row>
    <row r="974" spans="1:17" x14ac:dyDescent="0.25">
      <c r="A974" t="s">
        <v>5</v>
      </c>
      <c r="B974" t="s">
        <v>6</v>
      </c>
      <c r="C974" t="s">
        <v>260</v>
      </c>
      <c r="D974" t="s">
        <v>22</v>
      </c>
      <c r="E974" t="s">
        <v>19</v>
      </c>
      <c r="F974">
        <v>2390857.2250000001</v>
      </c>
      <c r="G974">
        <v>6583318.8030000003</v>
      </c>
      <c r="H974">
        <v>2732361.4589999998</v>
      </c>
      <c r="I974">
        <v>4652517.5180000002</v>
      </c>
      <c r="J974">
        <v>6806659.8490000004</v>
      </c>
      <c r="K974">
        <v>12771426.710000001</v>
      </c>
      <c r="L974">
        <v>19536345.670000002</v>
      </c>
      <c r="M974">
        <v>31457775.41</v>
      </c>
      <c r="N974">
        <v>50316787.859999999</v>
      </c>
      <c r="O974">
        <v>84068999.920000002</v>
      </c>
      <c r="P974">
        <v>135446416.59999999</v>
      </c>
      <c r="Q974">
        <v>194638994.80000001</v>
      </c>
    </row>
    <row r="975" spans="1:17" x14ac:dyDescent="0.25">
      <c r="A975" t="s">
        <v>5</v>
      </c>
      <c r="B975" t="s">
        <v>6</v>
      </c>
      <c r="C975" t="s">
        <v>260</v>
      </c>
      <c r="D975" t="s">
        <v>23</v>
      </c>
      <c r="E975" t="s">
        <v>19</v>
      </c>
      <c r="F975">
        <v>3346273.7230000002</v>
      </c>
      <c r="G975">
        <v>8060063.9709999999</v>
      </c>
      <c r="H975">
        <v>3756738.875</v>
      </c>
      <c r="I975">
        <v>5747346.9620000003</v>
      </c>
      <c r="J975">
        <v>7956729.29</v>
      </c>
      <c r="K975">
        <v>12236235.82</v>
      </c>
      <c r="L975">
        <v>16255929.49</v>
      </c>
      <c r="M975">
        <v>22391690.670000002</v>
      </c>
      <c r="N975">
        <v>30627748.190000001</v>
      </c>
      <c r="O975">
        <v>43105248.640000001</v>
      </c>
      <c r="P975">
        <v>59099339.219999999</v>
      </c>
      <c r="Q975">
        <v>76053993.280000001</v>
      </c>
    </row>
    <row r="976" spans="1:17" x14ac:dyDescent="0.25">
      <c r="A976" t="s">
        <v>5</v>
      </c>
      <c r="B976" t="s">
        <v>6</v>
      </c>
      <c r="C976" t="s">
        <v>260</v>
      </c>
      <c r="D976" t="s">
        <v>24</v>
      </c>
      <c r="E976" t="s">
        <v>19</v>
      </c>
      <c r="F976">
        <v>2920047.9279999998</v>
      </c>
      <c r="G976">
        <v>8049734.9079999998</v>
      </c>
      <c r="H976">
        <v>3340483.398</v>
      </c>
      <c r="I976">
        <v>5601291.767</v>
      </c>
      <c r="J976">
        <v>8148280.7570000002</v>
      </c>
      <c r="K976">
        <v>14592707.109999999</v>
      </c>
      <c r="L976">
        <v>21485521.52</v>
      </c>
      <c r="M976">
        <v>33000342.780000001</v>
      </c>
      <c r="N976">
        <v>49971195.020000003</v>
      </c>
      <c r="O976">
        <v>77804006.109999999</v>
      </c>
      <c r="P976">
        <v>115054546.7</v>
      </c>
      <c r="Q976">
        <v>152751477.5</v>
      </c>
    </row>
    <row r="977" spans="1:17" x14ac:dyDescent="0.25">
      <c r="A977" t="s">
        <v>5</v>
      </c>
      <c r="B977" t="s">
        <v>6</v>
      </c>
      <c r="C977" t="s">
        <v>260</v>
      </c>
      <c r="D977" t="s">
        <v>25</v>
      </c>
      <c r="E977" t="s">
        <v>19</v>
      </c>
      <c r="F977">
        <v>54725677.829999998</v>
      </c>
      <c r="G977">
        <v>115820734.7</v>
      </c>
      <c r="H977">
        <v>60173492.969999999</v>
      </c>
      <c r="I977">
        <v>87226713.430000007</v>
      </c>
      <c r="J977">
        <v>114400307.40000001</v>
      </c>
      <c r="K977">
        <v>157254301.30000001</v>
      </c>
      <c r="L977">
        <v>192606406.09999999</v>
      </c>
      <c r="M977">
        <v>240755108.5</v>
      </c>
      <c r="N977">
        <v>296517959.10000002</v>
      </c>
      <c r="O977">
        <v>366592435.19999999</v>
      </c>
      <c r="P977">
        <v>436519092.10000002</v>
      </c>
      <c r="Q977">
        <v>498164596.5</v>
      </c>
    </row>
    <row r="978" spans="1:17" x14ac:dyDescent="0.25">
      <c r="A978" t="s">
        <v>5</v>
      </c>
      <c r="B978" t="s">
        <v>6</v>
      </c>
      <c r="C978" t="s">
        <v>260</v>
      </c>
      <c r="D978" t="s">
        <v>26</v>
      </c>
      <c r="E978" t="s">
        <v>27</v>
      </c>
      <c r="F978">
        <v>2.145198857</v>
      </c>
      <c r="G978">
        <v>2.4022082020000002</v>
      </c>
      <c r="H978">
        <v>4.236574461</v>
      </c>
      <c r="I978">
        <v>4.721516695</v>
      </c>
      <c r="J978">
        <v>6.5022248600000001</v>
      </c>
      <c r="K978">
        <v>8.1114651210000002</v>
      </c>
      <c r="L978">
        <v>10.63772575</v>
      </c>
      <c r="M978">
        <v>13.98428472</v>
      </c>
      <c r="N978">
        <v>17.343941749999999</v>
      </c>
      <c r="O978">
        <v>21.016392679999999</v>
      </c>
      <c r="P978">
        <v>25.347109320000001</v>
      </c>
      <c r="Q978">
        <v>30.008004759999999</v>
      </c>
    </row>
    <row r="979" spans="1:17" x14ac:dyDescent="0.25">
      <c r="A979" t="s">
        <v>5</v>
      </c>
      <c r="B979" t="s">
        <v>6</v>
      </c>
      <c r="C979" t="s">
        <v>260</v>
      </c>
      <c r="D979" t="s">
        <v>28</v>
      </c>
      <c r="E979" t="s">
        <v>27</v>
      </c>
      <c r="F979">
        <v>4.4572675759999996</v>
      </c>
      <c r="G979">
        <v>4.5727931279999998</v>
      </c>
      <c r="H979">
        <v>7.3024412529999996</v>
      </c>
      <c r="I979">
        <v>8.2758188609999994</v>
      </c>
      <c r="J979">
        <v>10.5598566</v>
      </c>
      <c r="K979">
        <v>12.77299781</v>
      </c>
      <c r="L979">
        <v>15.99027802</v>
      </c>
      <c r="M979">
        <v>19.999595889999998</v>
      </c>
      <c r="N979">
        <v>24.045255650000001</v>
      </c>
      <c r="O979">
        <v>28.427186720000002</v>
      </c>
      <c r="P979">
        <v>33.416799810000001</v>
      </c>
      <c r="Q979">
        <v>38.671396020000003</v>
      </c>
    </row>
    <row r="980" spans="1:17" x14ac:dyDescent="0.25">
      <c r="A980" t="s">
        <v>5</v>
      </c>
      <c r="B980" t="s">
        <v>6</v>
      </c>
      <c r="C980" t="s">
        <v>260</v>
      </c>
      <c r="D980" t="s">
        <v>29</v>
      </c>
      <c r="E980" t="s">
        <v>27</v>
      </c>
      <c r="F980">
        <v>0.177420993</v>
      </c>
      <c r="G980">
        <v>0.13673083599999999</v>
      </c>
      <c r="H980">
        <v>0.16974169</v>
      </c>
      <c r="I980">
        <v>0.20407695100000001</v>
      </c>
      <c r="J980">
        <v>0.25873568800000002</v>
      </c>
      <c r="K980">
        <v>0.32083147200000001</v>
      </c>
      <c r="L980">
        <v>0.38021282899999997</v>
      </c>
      <c r="M980">
        <v>0.44554755099999999</v>
      </c>
      <c r="N980">
        <v>0.50105278799999997</v>
      </c>
      <c r="O980">
        <v>0.55484394699999995</v>
      </c>
      <c r="P980">
        <v>0.64090610400000003</v>
      </c>
      <c r="Q980">
        <v>0.72802194200000003</v>
      </c>
    </row>
    <row r="981" spans="1:17" x14ac:dyDescent="0.25">
      <c r="A981" t="s">
        <v>5</v>
      </c>
      <c r="B981" t="s">
        <v>6</v>
      </c>
      <c r="C981" t="s">
        <v>260</v>
      </c>
      <c r="D981" t="s">
        <v>30</v>
      </c>
      <c r="E981" t="s">
        <v>27</v>
      </c>
      <c r="F981">
        <v>2.96514E-4</v>
      </c>
      <c r="G981">
        <v>3.4811800000000002E-4</v>
      </c>
      <c r="H981">
        <v>5.1533000000000004E-4</v>
      </c>
      <c r="I981">
        <v>7.4020300000000004E-4</v>
      </c>
      <c r="J981">
        <v>5.0122100000000004E-4</v>
      </c>
      <c r="K981">
        <v>4.6489699999999998E-4</v>
      </c>
      <c r="L981">
        <v>7.0430199999999997E-4</v>
      </c>
      <c r="M981">
        <v>9.8186699999999998E-4</v>
      </c>
      <c r="N981">
        <v>1.1572170000000001E-3</v>
      </c>
      <c r="O981">
        <v>1.4968990000000001E-3</v>
      </c>
      <c r="P981">
        <v>2.0206669999999999E-3</v>
      </c>
      <c r="Q981">
        <v>2.6177840000000002E-3</v>
      </c>
    </row>
    <row r="982" spans="1:17" x14ac:dyDescent="0.25">
      <c r="A982" t="s">
        <v>5</v>
      </c>
      <c r="B982" t="s">
        <v>6</v>
      </c>
      <c r="C982" t="s">
        <v>260</v>
      </c>
      <c r="D982" t="s">
        <v>31</v>
      </c>
      <c r="E982" t="s">
        <v>27</v>
      </c>
      <c r="F982">
        <v>0.43227982399999998</v>
      </c>
      <c r="G982">
        <v>0.18928213699999999</v>
      </c>
      <c r="H982">
        <v>0.21870990700000001</v>
      </c>
      <c r="I982">
        <v>0.55652837700000002</v>
      </c>
      <c r="J982">
        <v>0.39679250500000002</v>
      </c>
      <c r="K982">
        <v>0.51370792700000001</v>
      </c>
      <c r="L982">
        <v>0.54124629300000004</v>
      </c>
      <c r="M982">
        <v>0.59712320900000004</v>
      </c>
      <c r="N982">
        <v>0.69402547800000003</v>
      </c>
      <c r="O982">
        <v>0.79501755500000004</v>
      </c>
      <c r="P982">
        <v>0.880432569</v>
      </c>
      <c r="Q982">
        <v>0.95020284799999999</v>
      </c>
    </row>
    <row r="983" spans="1:17" x14ac:dyDescent="0.25">
      <c r="A983" t="s">
        <v>5</v>
      </c>
      <c r="B983" t="s">
        <v>6</v>
      </c>
      <c r="C983" t="s">
        <v>260</v>
      </c>
      <c r="D983" t="s">
        <v>32</v>
      </c>
      <c r="E983" t="s">
        <v>27</v>
      </c>
      <c r="F983">
        <v>0.32784155999999998</v>
      </c>
      <c r="G983">
        <v>0.36727535</v>
      </c>
      <c r="H983">
        <v>0.65151716999999998</v>
      </c>
      <c r="I983">
        <v>0.72644429499999996</v>
      </c>
      <c r="J983">
        <v>1.001541067</v>
      </c>
      <c r="K983">
        <v>1.2476555069999999</v>
      </c>
      <c r="L983">
        <v>1.637682096</v>
      </c>
      <c r="M983">
        <v>2.1665539310000002</v>
      </c>
      <c r="N983">
        <v>2.7447559589999999</v>
      </c>
      <c r="O983">
        <v>3.4331915610000001</v>
      </c>
      <c r="P983">
        <v>4.3067008729999996</v>
      </c>
      <c r="Q983">
        <v>5.3053121369999996</v>
      </c>
    </row>
    <row r="984" spans="1:17" x14ac:dyDescent="0.25">
      <c r="A984" t="s">
        <v>5</v>
      </c>
      <c r="B984" t="s">
        <v>6</v>
      </c>
      <c r="C984" t="s">
        <v>260</v>
      </c>
      <c r="D984" t="s">
        <v>33</v>
      </c>
      <c r="E984" t="s">
        <v>27</v>
      </c>
      <c r="F984">
        <v>0.91759136299999999</v>
      </c>
      <c r="G984">
        <v>0.87932038700000004</v>
      </c>
      <c r="H984">
        <v>1.4683161490000001</v>
      </c>
      <c r="I984">
        <v>1.599036635</v>
      </c>
      <c r="J984">
        <v>2.023261529</v>
      </c>
      <c r="K984">
        <v>2.3524336219999999</v>
      </c>
      <c r="L984">
        <v>2.9051594349999998</v>
      </c>
      <c r="M984">
        <v>3.5411970429999999</v>
      </c>
      <c r="N984">
        <v>4.2335522360000004</v>
      </c>
      <c r="O984">
        <v>5.0350962030000002</v>
      </c>
      <c r="P984">
        <v>5.9842803370000004</v>
      </c>
      <c r="Q984">
        <v>7.0353916879999998</v>
      </c>
    </row>
    <row r="985" spans="1:17" x14ac:dyDescent="0.25">
      <c r="A985" t="s">
        <v>5</v>
      </c>
      <c r="B985" t="s">
        <v>6</v>
      </c>
      <c r="C985" t="s">
        <v>260</v>
      </c>
      <c r="D985" t="s">
        <v>34</v>
      </c>
      <c r="E985" t="s">
        <v>27</v>
      </c>
      <c r="F985">
        <v>1.5819474E-2</v>
      </c>
      <c r="G985">
        <v>9.2975760000000001E-3</v>
      </c>
      <c r="H985">
        <v>1.6258353999999999E-2</v>
      </c>
      <c r="I985">
        <v>1.5450969E-2</v>
      </c>
      <c r="J985">
        <v>1.8469846000000002E-2</v>
      </c>
      <c r="K985">
        <v>2.2513833E-2</v>
      </c>
      <c r="L985">
        <v>2.8067343000000002E-2</v>
      </c>
      <c r="M985">
        <v>3.5461260000000001E-2</v>
      </c>
      <c r="N985">
        <v>4.3805205E-2</v>
      </c>
      <c r="O985">
        <v>5.4455820000000002E-2</v>
      </c>
      <c r="P985">
        <v>6.4508103999999997E-2</v>
      </c>
      <c r="Q985">
        <v>7.0876621000000001E-2</v>
      </c>
    </row>
    <row r="986" spans="1:17" x14ac:dyDescent="0.25">
      <c r="A986" t="s">
        <v>5</v>
      </c>
      <c r="B986" t="s">
        <v>6</v>
      </c>
      <c r="C986" t="s">
        <v>260</v>
      </c>
      <c r="D986" t="s">
        <v>35</v>
      </c>
      <c r="E986" t="s">
        <v>27</v>
      </c>
      <c r="F986">
        <v>2.2403269999999999E-3</v>
      </c>
      <c r="G986">
        <v>2.630224E-3</v>
      </c>
      <c r="H986">
        <v>3.8936019999999999E-3</v>
      </c>
      <c r="I986">
        <v>5.5926439999999999E-3</v>
      </c>
      <c r="J986">
        <v>3.787005E-3</v>
      </c>
      <c r="K986">
        <v>3.5125540000000002E-3</v>
      </c>
      <c r="L986">
        <v>5.3213940000000001E-3</v>
      </c>
      <c r="M986">
        <v>7.4185509999999998E-3</v>
      </c>
      <c r="N986">
        <v>8.7434160000000004E-3</v>
      </c>
      <c r="O986">
        <v>1.1309905E-2</v>
      </c>
      <c r="P986">
        <v>1.526726E-2</v>
      </c>
      <c r="Q986">
        <v>1.9778815000000002E-2</v>
      </c>
    </row>
    <row r="987" spans="1:17" x14ac:dyDescent="0.25">
      <c r="A987" t="s">
        <v>5</v>
      </c>
      <c r="B987" t="s">
        <v>6</v>
      </c>
      <c r="C987" t="s">
        <v>260</v>
      </c>
      <c r="D987" t="s">
        <v>36</v>
      </c>
      <c r="E987" t="s">
        <v>27</v>
      </c>
      <c r="F987">
        <v>4.7503279999999998E-3</v>
      </c>
      <c r="G987">
        <v>2.0800229999999999E-3</v>
      </c>
      <c r="H987">
        <v>2.4034059999999999E-3</v>
      </c>
      <c r="I987">
        <v>6.1156960000000003E-3</v>
      </c>
      <c r="J987">
        <v>4.3603569999999996E-3</v>
      </c>
      <c r="K987">
        <v>5.6451419999999997E-3</v>
      </c>
      <c r="L987">
        <v>5.9477610000000002E-3</v>
      </c>
      <c r="M987">
        <v>6.5617940000000001E-3</v>
      </c>
      <c r="N987">
        <v>7.6266540000000001E-3</v>
      </c>
      <c r="O987">
        <v>8.7364569999999996E-3</v>
      </c>
      <c r="P987">
        <v>9.6750829999999993E-3</v>
      </c>
      <c r="Q987">
        <v>1.0441789999999999E-2</v>
      </c>
    </row>
    <row r="988" spans="1:17" x14ac:dyDescent="0.25">
      <c r="A988" t="s">
        <v>5</v>
      </c>
      <c r="B988" t="s">
        <v>6</v>
      </c>
      <c r="C988" t="s">
        <v>260</v>
      </c>
      <c r="D988" t="s">
        <v>37</v>
      </c>
      <c r="E988" t="s">
        <v>27</v>
      </c>
      <c r="F988">
        <v>6.2552426999999994E-2</v>
      </c>
      <c r="G988">
        <v>7.0192299999999999E-2</v>
      </c>
      <c r="H988">
        <v>0.127472792</v>
      </c>
      <c r="I988">
        <v>0.142419619</v>
      </c>
      <c r="J988">
        <v>0.197236047</v>
      </c>
      <c r="K988">
        <v>0.244024835</v>
      </c>
      <c r="L988">
        <v>0.32090079999999999</v>
      </c>
      <c r="M988">
        <v>0.43399501600000001</v>
      </c>
      <c r="N988">
        <v>0.58978761400000002</v>
      </c>
      <c r="O988">
        <v>0.81053018600000004</v>
      </c>
      <c r="P988">
        <v>1.124997255</v>
      </c>
      <c r="Q988">
        <v>1.513159828</v>
      </c>
    </row>
    <row r="989" spans="1:17" x14ac:dyDescent="0.25">
      <c r="A989" t="s">
        <v>5</v>
      </c>
      <c r="B989" t="s">
        <v>6</v>
      </c>
      <c r="C989" t="s">
        <v>260</v>
      </c>
      <c r="D989" t="s">
        <v>38</v>
      </c>
      <c r="E989" t="s">
        <v>27</v>
      </c>
      <c r="F989">
        <v>7.6172724999999997E-2</v>
      </c>
      <c r="G989">
        <v>8.3144254000000001E-2</v>
      </c>
      <c r="H989">
        <v>0.14543059</v>
      </c>
      <c r="I989">
        <v>0.16359968599999999</v>
      </c>
      <c r="J989">
        <v>0.22140818800000001</v>
      </c>
      <c r="K989">
        <v>0.27286010199999999</v>
      </c>
      <c r="L989">
        <v>0.35429400300000002</v>
      </c>
      <c r="M989">
        <v>0.47274779099999997</v>
      </c>
      <c r="N989">
        <v>0.63453785500000004</v>
      </c>
      <c r="O989">
        <v>0.86155433199999998</v>
      </c>
      <c r="P989">
        <v>1.1825204520000001</v>
      </c>
      <c r="Q989">
        <v>1.5768399449999999</v>
      </c>
    </row>
    <row r="990" spans="1:17" x14ac:dyDescent="0.25">
      <c r="A990" t="s">
        <v>5</v>
      </c>
      <c r="B990" t="s">
        <v>6</v>
      </c>
      <c r="C990" t="s">
        <v>260</v>
      </c>
      <c r="D990" t="s">
        <v>39</v>
      </c>
      <c r="E990" t="s">
        <v>27</v>
      </c>
      <c r="F990">
        <v>2.90647E-4</v>
      </c>
      <c r="G990">
        <v>2.1948200000000001E-4</v>
      </c>
      <c r="H990">
        <v>2.7995899999999998E-4</v>
      </c>
      <c r="I990">
        <v>3.3014999999999997E-4</v>
      </c>
      <c r="J990">
        <v>4.1685499999999999E-4</v>
      </c>
      <c r="K990">
        <v>5.1646199999999998E-4</v>
      </c>
      <c r="L990">
        <v>6.1479700000000004E-4</v>
      </c>
      <c r="M990">
        <v>7.2679099999999996E-4</v>
      </c>
      <c r="N990">
        <v>8.30344E-4</v>
      </c>
      <c r="O990">
        <v>9.5156199999999998E-4</v>
      </c>
      <c r="P990">
        <v>1.156996E-3</v>
      </c>
      <c r="Q990">
        <v>1.409654E-3</v>
      </c>
    </row>
    <row r="991" spans="1:17" x14ac:dyDescent="0.25">
      <c r="A991" t="s">
        <v>5</v>
      </c>
      <c r="B991" t="s">
        <v>6</v>
      </c>
      <c r="C991" t="s">
        <v>260</v>
      </c>
      <c r="D991" t="s">
        <v>40</v>
      </c>
      <c r="E991" t="s">
        <v>27</v>
      </c>
      <c r="F991" s="1">
        <v>8.5599999999999994E-6</v>
      </c>
      <c r="G991" s="1">
        <v>9.1600000000000004E-6</v>
      </c>
      <c r="H991" s="1">
        <v>2.0800000000000001E-5</v>
      </c>
      <c r="I991" s="1">
        <v>2.5899999999999999E-5</v>
      </c>
      <c r="J991" s="1">
        <v>1.6799999999999998E-5</v>
      </c>
      <c r="K991" s="1">
        <v>1.6500000000000001E-5</v>
      </c>
      <c r="L991" s="1">
        <v>2.6599999999999999E-5</v>
      </c>
      <c r="M991" s="1">
        <v>3.8800000000000001E-5</v>
      </c>
      <c r="N991" s="1">
        <v>4.6499999999999999E-5</v>
      </c>
      <c r="O991" s="1">
        <v>6.3299999999999994E-5</v>
      </c>
      <c r="P991" s="1">
        <v>8.92E-5</v>
      </c>
      <c r="Q991">
        <v>1.18126E-4</v>
      </c>
    </row>
    <row r="992" spans="1:17" x14ac:dyDescent="0.25">
      <c r="A992" t="s">
        <v>5</v>
      </c>
      <c r="B992" t="s">
        <v>6</v>
      </c>
      <c r="C992" t="s">
        <v>260</v>
      </c>
      <c r="D992" t="s">
        <v>41</v>
      </c>
      <c r="E992" t="s">
        <v>27</v>
      </c>
      <c r="F992">
        <v>4.7503279999999998E-3</v>
      </c>
      <c r="G992">
        <v>2.0800229999999999E-3</v>
      </c>
      <c r="H992">
        <v>2.4034059999999999E-3</v>
      </c>
      <c r="I992">
        <v>6.1156960000000003E-3</v>
      </c>
      <c r="J992">
        <v>4.3603569999999996E-3</v>
      </c>
      <c r="K992">
        <v>5.6451419999999997E-3</v>
      </c>
      <c r="L992">
        <v>5.9477610000000002E-3</v>
      </c>
      <c r="M992">
        <v>6.5617940000000001E-3</v>
      </c>
      <c r="N992">
        <v>7.6266540000000001E-3</v>
      </c>
      <c r="O992">
        <v>8.7364569999999996E-3</v>
      </c>
      <c r="P992">
        <v>9.6750829999999993E-3</v>
      </c>
      <c r="Q992">
        <v>1.0441789999999999E-2</v>
      </c>
    </row>
    <row r="993" spans="1:17" x14ac:dyDescent="0.25">
      <c r="A993" t="s">
        <v>5</v>
      </c>
      <c r="B993" t="s">
        <v>6</v>
      </c>
      <c r="C993" t="s">
        <v>260</v>
      </c>
      <c r="D993" t="s">
        <v>42</v>
      </c>
      <c r="E993" t="s">
        <v>27</v>
      </c>
      <c r="F993">
        <v>9.0167369999999997E-2</v>
      </c>
      <c r="G993">
        <v>0.100979008</v>
      </c>
      <c r="H993">
        <v>0.17827168299999999</v>
      </c>
      <c r="I993">
        <v>0.19869311100000001</v>
      </c>
      <c r="J993">
        <v>0.27367788900000001</v>
      </c>
      <c r="K993">
        <v>0.34131121199999997</v>
      </c>
      <c r="L993">
        <v>0.44767477500000002</v>
      </c>
      <c r="M993">
        <v>0.58915217099999995</v>
      </c>
      <c r="N993">
        <v>0.73334467199999998</v>
      </c>
      <c r="O993">
        <v>0.89360675300000003</v>
      </c>
      <c r="P993">
        <v>1.085586495</v>
      </c>
      <c r="Q993">
        <v>1.2951163020000001</v>
      </c>
    </row>
    <row r="994" spans="1:17" x14ac:dyDescent="0.25">
      <c r="A994" t="s">
        <v>5</v>
      </c>
      <c r="B994" t="s">
        <v>6</v>
      </c>
      <c r="C994" t="s">
        <v>260</v>
      </c>
      <c r="D994" t="s">
        <v>43</v>
      </c>
      <c r="E994" t="s">
        <v>27</v>
      </c>
      <c r="F994">
        <v>0.147253894</v>
      </c>
      <c r="G994">
        <v>0.149996782</v>
      </c>
      <c r="H994">
        <v>0.25051016999999998</v>
      </c>
      <c r="I994">
        <v>0.28648448799999998</v>
      </c>
      <c r="J994">
        <v>0.37511178499999998</v>
      </c>
      <c r="K994">
        <v>0.456986002</v>
      </c>
      <c r="L994">
        <v>0.58185008500000002</v>
      </c>
      <c r="M994">
        <v>0.73852661900000005</v>
      </c>
      <c r="N994">
        <v>0.89661865200000002</v>
      </c>
      <c r="O994">
        <v>1.070486646</v>
      </c>
      <c r="P994">
        <v>1.2719081969999999</v>
      </c>
      <c r="Q994">
        <v>1.488189363</v>
      </c>
    </row>
    <row r="995" spans="1:17" x14ac:dyDescent="0.25">
      <c r="A995" t="s">
        <v>5</v>
      </c>
      <c r="B995" t="s">
        <v>6</v>
      </c>
      <c r="C995" t="s">
        <v>260</v>
      </c>
      <c r="D995" t="s">
        <v>44</v>
      </c>
      <c r="E995" t="s">
        <v>27</v>
      </c>
      <c r="F995" s="1">
        <v>7.4800000000000002E-5</v>
      </c>
      <c r="G995" s="1">
        <v>1.9400000000000001E-5</v>
      </c>
      <c r="H995" s="1">
        <v>8.6600000000000004E-5</v>
      </c>
      <c r="I995" s="1">
        <v>4.99E-5</v>
      </c>
      <c r="J995" s="1">
        <v>4.85E-5</v>
      </c>
      <c r="K995" s="1">
        <v>5.5300000000000002E-5</v>
      </c>
      <c r="L995" s="1">
        <v>8.4599999999999996E-5</v>
      </c>
      <c r="M995">
        <v>1.3615200000000001E-4</v>
      </c>
      <c r="N995">
        <v>2.1406999999999999E-4</v>
      </c>
      <c r="O995">
        <v>3.4575099999999999E-4</v>
      </c>
      <c r="P995">
        <v>4.9377799999999995E-4</v>
      </c>
      <c r="Q995">
        <v>6.6034600000000002E-4</v>
      </c>
    </row>
    <row r="996" spans="1:17" x14ac:dyDescent="0.25">
      <c r="A996" t="s">
        <v>5</v>
      </c>
      <c r="B996" t="s">
        <v>6</v>
      </c>
      <c r="C996" t="s">
        <v>260</v>
      </c>
      <c r="D996" t="s">
        <v>45</v>
      </c>
      <c r="E996" t="s">
        <v>27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0.25">
      <c r="A997" t="s">
        <v>5</v>
      </c>
      <c r="B997" t="s">
        <v>6</v>
      </c>
      <c r="C997" t="s">
        <v>260</v>
      </c>
      <c r="D997" t="s">
        <v>46</v>
      </c>
      <c r="E997" t="s">
        <v>27</v>
      </c>
      <c r="F997">
        <v>2.8501999999999998E-4</v>
      </c>
      <c r="G997">
        <v>1.2480100000000001E-4</v>
      </c>
      <c r="H997">
        <v>1.4420399999999999E-4</v>
      </c>
      <c r="I997">
        <v>3.6694199999999998E-4</v>
      </c>
      <c r="J997">
        <v>2.6162100000000002E-4</v>
      </c>
      <c r="K997">
        <v>3.3870900000000003E-4</v>
      </c>
      <c r="L997">
        <v>3.5686600000000001E-4</v>
      </c>
      <c r="M997">
        <v>3.9370799999999999E-4</v>
      </c>
      <c r="N997">
        <v>4.5759899999999999E-4</v>
      </c>
      <c r="O997">
        <v>5.2418699999999996E-4</v>
      </c>
      <c r="P997">
        <v>5.8050500000000004E-4</v>
      </c>
      <c r="Q997">
        <v>6.26507E-4</v>
      </c>
    </row>
    <row r="998" spans="1:17" x14ac:dyDescent="0.25">
      <c r="A998" t="s">
        <v>5</v>
      </c>
      <c r="B998" t="s">
        <v>6</v>
      </c>
      <c r="C998" t="s">
        <v>260</v>
      </c>
      <c r="D998" t="s">
        <v>47</v>
      </c>
      <c r="E998" t="s">
        <v>27</v>
      </c>
      <c r="F998">
        <v>0.42240545400000001</v>
      </c>
      <c r="G998">
        <v>0.47303928499999998</v>
      </c>
      <c r="H998">
        <v>0.83547413800000003</v>
      </c>
      <c r="I998">
        <v>0.93105922600000002</v>
      </c>
      <c r="J998">
        <v>1.2822656569999999</v>
      </c>
      <c r="K998">
        <v>1.59885933</v>
      </c>
      <c r="L998">
        <v>2.0968738309999999</v>
      </c>
      <c r="M998">
        <v>2.7591956729999998</v>
      </c>
      <c r="N998">
        <v>3.4344188</v>
      </c>
      <c r="O998">
        <v>4.1859175210000004</v>
      </c>
      <c r="P998">
        <v>5.08494286</v>
      </c>
      <c r="Q998">
        <v>6.0624834639999996</v>
      </c>
    </row>
    <row r="999" spans="1:17" x14ac:dyDescent="0.25">
      <c r="A999" t="s">
        <v>5</v>
      </c>
      <c r="B999" t="s">
        <v>6</v>
      </c>
      <c r="C999" t="s">
        <v>260</v>
      </c>
      <c r="D999" t="s">
        <v>48</v>
      </c>
      <c r="E999" t="s">
        <v>27</v>
      </c>
      <c r="F999">
        <v>0.81204338099999995</v>
      </c>
      <c r="G999">
        <v>0.83551922099999998</v>
      </c>
      <c r="H999">
        <v>1.359974969</v>
      </c>
      <c r="I999">
        <v>1.524991719</v>
      </c>
      <c r="J999">
        <v>1.9634696309999999</v>
      </c>
      <c r="K999">
        <v>2.3719036509999998</v>
      </c>
      <c r="L999">
        <v>2.98326476</v>
      </c>
      <c r="M999">
        <v>3.7494224580000002</v>
      </c>
      <c r="N999">
        <v>4.5345143459999999</v>
      </c>
      <c r="O999">
        <v>5.3995847440000002</v>
      </c>
      <c r="P999">
        <v>6.4021928299999997</v>
      </c>
      <c r="Q999">
        <v>7.4719374509999996</v>
      </c>
    </row>
    <row r="1000" spans="1:17" x14ac:dyDescent="0.25">
      <c r="A1000" t="s">
        <v>5</v>
      </c>
      <c r="B1000" t="s">
        <v>6</v>
      </c>
      <c r="C1000" t="s">
        <v>260</v>
      </c>
      <c r="D1000" t="s">
        <v>49</v>
      </c>
      <c r="E1000" t="s">
        <v>27</v>
      </c>
      <c r="F1000">
        <v>4.2233800000000002E-4</v>
      </c>
      <c r="G1000">
        <v>1.09479E-4</v>
      </c>
      <c r="H1000">
        <v>4.8812399999999999E-4</v>
      </c>
      <c r="I1000">
        <v>2.8103900000000002E-4</v>
      </c>
      <c r="J1000">
        <v>2.7278799999999999E-4</v>
      </c>
      <c r="K1000">
        <v>3.0947800000000002E-4</v>
      </c>
      <c r="L1000">
        <v>4.7107099999999999E-4</v>
      </c>
      <c r="M1000">
        <v>7.4719999999999995E-4</v>
      </c>
      <c r="N1000">
        <v>1.143015E-3</v>
      </c>
      <c r="O1000">
        <v>1.741661E-3</v>
      </c>
      <c r="P1000">
        <v>2.2092330000000001E-3</v>
      </c>
      <c r="Q1000">
        <v>2.4693739999999999E-3</v>
      </c>
    </row>
    <row r="1001" spans="1:17" x14ac:dyDescent="0.25">
      <c r="A1001" t="s">
        <v>5</v>
      </c>
      <c r="B1001" t="s">
        <v>6</v>
      </c>
      <c r="C1001" t="s">
        <v>260</v>
      </c>
      <c r="D1001" t="s">
        <v>50</v>
      </c>
      <c r="E1001" t="s">
        <v>27</v>
      </c>
      <c r="F1001">
        <v>1.7296600000000001E-4</v>
      </c>
      <c r="G1001">
        <v>2.03069E-4</v>
      </c>
      <c r="H1001">
        <v>3.0060900000000002E-4</v>
      </c>
      <c r="I1001">
        <v>4.3178500000000001E-4</v>
      </c>
      <c r="J1001">
        <v>2.92379E-4</v>
      </c>
      <c r="K1001">
        <v>2.7118999999999998E-4</v>
      </c>
      <c r="L1001">
        <v>4.1084299999999998E-4</v>
      </c>
      <c r="M1001">
        <v>5.72756E-4</v>
      </c>
      <c r="N1001">
        <v>6.7504299999999995E-4</v>
      </c>
      <c r="O1001">
        <v>8.7319100000000005E-4</v>
      </c>
      <c r="P1001">
        <v>1.1787220000000001E-3</v>
      </c>
      <c r="Q1001">
        <v>1.527041E-3</v>
      </c>
    </row>
    <row r="1002" spans="1:17" x14ac:dyDescent="0.25">
      <c r="A1002" t="s">
        <v>5</v>
      </c>
      <c r="B1002" t="s">
        <v>6</v>
      </c>
      <c r="C1002" t="s">
        <v>260</v>
      </c>
      <c r="D1002" t="s">
        <v>51</v>
      </c>
      <c r="E1002" t="s">
        <v>27</v>
      </c>
      <c r="F1002">
        <v>9.5006550000000002E-3</v>
      </c>
      <c r="G1002">
        <v>4.1600470000000001E-3</v>
      </c>
      <c r="H1002">
        <v>4.8068110000000002E-3</v>
      </c>
      <c r="I1002">
        <v>1.2231393E-2</v>
      </c>
      <c r="J1002">
        <v>8.7207139999999992E-3</v>
      </c>
      <c r="K1002">
        <v>1.1290283999999999E-2</v>
      </c>
      <c r="L1002">
        <v>1.1895523E-2</v>
      </c>
      <c r="M1002">
        <v>1.3123587000000001E-2</v>
      </c>
      <c r="N1002">
        <v>1.5253307000000001E-2</v>
      </c>
      <c r="O1002">
        <v>1.7472913E-2</v>
      </c>
      <c r="P1002">
        <v>1.9350165999999999E-2</v>
      </c>
      <c r="Q1002">
        <v>2.0883578999999999E-2</v>
      </c>
    </row>
    <row r="1003" spans="1:17" x14ac:dyDescent="0.25">
      <c r="A1003" t="s">
        <v>5</v>
      </c>
      <c r="B1003" t="s">
        <v>6</v>
      </c>
      <c r="C1003" t="s">
        <v>260</v>
      </c>
      <c r="D1003" t="s">
        <v>52</v>
      </c>
      <c r="E1003" t="s">
        <v>27</v>
      </c>
      <c r="F1003">
        <v>17.838997160000002</v>
      </c>
      <c r="G1003">
        <v>24.17204856</v>
      </c>
      <c r="H1003">
        <v>19.69911394</v>
      </c>
      <c r="I1003">
        <v>21.973181490000002</v>
      </c>
      <c r="J1003">
        <v>24.352876479999999</v>
      </c>
      <c r="K1003">
        <v>33.92205422</v>
      </c>
      <c r="L1003">
        <v>37.265189710000001</v>
      </c>
      <c r="M1003">
        <v>41.949115300000003</v>
      </c>
      <c r="N1003">
        <v>47.794131010000001</v>
      </c>
      <c r="O1003">
        <v>55.14932915</v>
      </c>
      <c r="P1003">
        <v>68.679072820000002</v>
      </c>
      <c r="Q1003">
        <v>80.247729739999997</v>
      </c>
    </row>
    <row r="1004" spans="1:17" x14ac:dyDescent="0.25">
      <c r="A1004" t="s">
        <v>5</v>
      </c>
      <c r="B1004" t="s">
        <v>6</v>
      </c>
      <c r="C1004" t="s">
        <v>260</v>
      </c>
      <c r="D1004" t="s">
        <v>53</v>
      </c>
      <c r="E1004" t="s">
        <v>27</v>
      </c>
      <c r="F1004">
        <v>5.4993213540000001</v>
      </c>
      <c r="G1004">
        <v>12.02116651</v>
      </c>
      <c r="H1004">
        <v>6.0739083970000003</v>
      </c>
      <c r="I1004">
        <v>8.9575036489999995</v>
      </c>
      <c r="J1004">
        <v>11.91568423</v>
      </c>
      <c r="K1004">
        <v>17.08147967</v>
      </c>
      <c r="L1004">
        <v>21.67849296</v>
      </c>
      <c r="M1004">
        <v>28.407883680000001</v>
      </c>
      <c r="N1004">
        <v>37.03216991</v>
      </c>
      <c r="O1004">
        <v>49.43709475</v>
      </c>
      <c r="P1004">
        <v>64.351452140000006</v>
      </c>
      <c r="Q1004">
        <v>79.226199019999996</v>
      </c>
    </row>
    <row r="1005" spans="1:17" x14ac:dyDescent="0.25">
      <c r="A1005" t="s">
        <v>5</v>
      </c>
      <c r="B1005" t="s">
        <v>6</v>
      </c>
      <c r="C1005" t="s">
        <v>260</v>
      </c>
      <c r="D1005" t="s">
        <v>54</v>
      </c>
      <c r="E1005" t="s">
        <v>27</v>
      </c>
      <c r="F1005">
        <v>0.97547422100000003</v>
      </c>
      <c r="G1005">
        <v>1.300055908</v>
      </c>
      <c r="H1005">
        <v>0.99460612100000001</v>
      </c>
      <c r="I1005">
        <v>1.0825514730000001</v>
      </c>
      <c r="J1005">
        <v>1.182824986</v>
      </c>
      <c r="K1005">
        <v>1.642160157</v>
      </c>
      <c r="L1005">
        <v>1.768243137</v>
      </c>
      <c r="M1005">
        <v>1.9643886699999999</v>
      </c>
      <c r="N1005">
        <v>2.217493138</v>
      </c>
      <c r="O1005">
        <v>2.541007402</v>
      </c>
      <c r="P1005">
        <v>3.1433902169999999</v>
      </c>
      <c r="Q1005">
        <v>3.6426496350000002</v>
      </c>
    </row>
    <row r="1006" spans="1:17" x14ac:dyDescent="0.25">
      <c r="A1006" t="s">
        <v>5</v>
      </c>
      <c r="B1006" t="s">
        <v>6</v>
      </c>
      <c r="C1006" t="s">
        <v>260</v>
      </c>
      <c r="D1006" t="s">
        <v>55</v>
      </c>
      <c r="E1006" t="s">
        <v>27</v>
      </c>
      <c r="F1006">
        <v>0.35188682300000002</v>
      </c>
      <c r="G1006">
        <v>0.76166323599999997</v>
      </c>
      <c r="H1006">
        <v>0.38812789800000003</v>
      </c>
      <c r="I1006">
        <v>0.56925550700000005</v>
      </c>
      <c r="J1006">
        <v>0.75397912300000003</v>
      </c>
      <c r="K1006">
        <v>1.0666108030000001</v>
      </c>
      <c r="L1006">
        <v>1.3386609780000001</v>
      </c>
      <c r="M1006">
        <v>1.728803375</v>
      </c>
      <c r="N1006">
        <v>2.2151882820000002</v>
      </c>
      <c r="O1006">
        <v>2.8911240469999999</v>
      </c>
      <c r="P1006">
        <v>3.6691810500000002</v>
      </c>
      <c r="Q1006">
        <v>4.4243329100000004</v>
      </c>
    </row>
    <row r="1007" spans="1:17" x14ac:dyDescent="0.25">
      <c r="A1007" t="s">
        <v>5</v>
      </c>
      <c r="B1007" t="s">
        <v>6</v>
      </c>
      <c r="C1007" t="s">
        <v>260</v>
      </c>
      <c r="D1007" t="s">
        <v>56</v>
      </c>
      <c r="E1007" t="s">
        <v>27</v>
      </c>
      <c r="F1007">
        <v>0.397401269</v>
      </c>
      <c r="G1007">
        <v>0.52620668699999995</v>
      </c>
      <c r="H1007">
        <v>0.392014046</v>
      </c>
      <c r="I1007">
        <v>0.42203859700000002</v>
      </c>
      <c r="J1007">
        <v>0.458122274</v>
      </c>
      <c r="K1007">
        <v>0.63500730299999997</v>
      </c>
      <c r="L1007">
        <v>0.677297331</v>
      </c>
      <c r="M1007">
        <v>0.747609097</v>
      </c>
      <c r="N1007">
        <v>0.84008354799999996</v>
      </c>
      <c r="O1007">
        <v>0.959301238</v>
      </c>
      <c r="P1007">
        <v>1.1828232970000001</v>
      </c>
      <c r="Q1007">
        <v>1.3649447029999999</v>
      </c>
    </row>
    <row r="1008" spans="1:17" x14ac:dyDescent="0.25">
      <c r="A1008" t="s">
        <v>5</v>
      </c>
      <c r="B1008" t="s">
        <v>6</v>
      </c>
      <c r="C1008" t="s">
        <v>260</v>
      </c>
      <c r="D1008" t="s">
        <v>57</v>
      </c>
      <c r="E1008" t="s">
        <v>27</v>
      </c>
      <c r="F1008">
        <v>0.214666421</v>
      </c>
      <c r="G1008">
        <v>0.46853632099999998</v>
      </c>
      <c r="H1008">
        <v>0.23705077899999999</v>
      </c>
      <c r="I1008">
        <v>0.34923236800000002</v>
      </c>
      <c r="J1008">
        <v>0.46424321000000002</v>
      </c>
      <c r="K1008">
        <v>0.66377728899999999</v>
      </c>
      <c r="L1008">
        <v>0.84048466300000002</v>
      </c>
      <c r="M1008">
        <v>1.0979925070000001</v>
      </c>
      <c r="N1008">
        <v>1.4259744519999999</v>
      </c>
      <c r="O1008">
        <v>1.8940769740000001</v>
      </c>
      <c r="P1008">
        <v>2.4512520900000001</v>
      </c>
      <c r="Q1008">
        <v>3.0033490550000002</v>
      </c>
    </row>
    <row r="1009" spans="1:17" x14ac:dyDescent="0.25">
      <c r="A1009" t="s">
        <v>5</v>
      </c>
      <c r="B1009" t="s">
        <v>6</v>
      </c>
      <c r="C1009" t="s">
        <v>260</v>
      </c>
      <c r="D1009" t="s">
        <v>58</v>
      </c>
      <c r="E1009" t="s">
        <v>27</v>
      </c>
      <c r="F1009">
        <v>335.62691239999998</v>
      </c>
      <c r="G1009">
        <v>450.9294701</v>
      </c>
      <c r="H1009">
        <v>358.25295540000002</v>
      </c>
      <c r="I1009">
        <v>395.6199077</v>
      </c>
      <c r="J1009">
        <v>436.0956013</v>
      </c>
      <c r="K1009">
        <v>606.96657159999995</v>
      </c>
      <c r="L1009">
        <v>661.67385330000002</v>
      </c>
      <c r="M1009">
        <v>741.12044060000005</v>
      </c>
      <c r="N1009">
        <v>841.40812430000005</v>
      </c>
      <c r="O1009">
        <v>968.2008088</v>
      </c>
      <c r="P1009">
        <v>1202.2376200000001</v>
      </c>
      <c r="Q1009">
        <v>1400.2187699999999</v>
      </c>
    </row>
    <row r="1010" spans="1:17" x14ac:dyDescent="0.25">
      <c r="A1010" t="s">
        <v>5</v>
      </c>
      <c r="B1010" t="s">
        <v>6</v>
      </c>
      <c r="C1010" t="s">
        <v>260</v>
      </c>
      <c r="D1010" t="s">
        <v>59</v>
      </c>
      <c r="E1010" t="s">
        <v>27</v>
      </c>
      <c r="F1010">
        <v>57.898247740000002</v>
      </c>
      <c r="G1010">
        <v>126.0102333</v>
      </c>
      <c r="H1010">
        <v>63.908187470000001</v>
      </c>
      <c r="I1010">
        <v>94.038700030000001</v>
      </c>
      <c r="J1010">
        <v>124.8641968</v>
      </c>
      <c r="K1010">
        <v>178.1010622</v>
      </c>
      <c r="L1010">
        <v>225.13793960000001</v>
      </c>
      <c r="M1010">
        <v>293.57961499999999</v>
      </c>
      <c r="N1010">
        <v>380.65550610000003</v>
      </c>
      <c r="O1010">
        <v>504.91528469999997</v>
      </c>
      <c r="P1010">
        <v>653.19821420000005</v>
      </c>
      <c r="Q1010">
        <v>800.84510899999998</v>
      </c>
    </row>
    <row r="1011" spans="1:17" x14ac:dyDescent="0.25">
      <c r="A1011" t="s">
        <v>5</v>
      </c>
      <c r="B1011" t="s">
        <v>6</v>
      </c>
      <c r="C1011" t="s">
        <v>260</v>
      </c>
      <c r="D1011" t="s">
        <v>60</v>
      </c>
      <c r="E1011" t="s">
        <v>27</v>
      </c>
      <c r="F1011">
        <v>1.0772337620000001</v>
      </c>
      <c r="G1011">
        <v>1.4534340160000001</v>
      </c>
      <c r="H1011">
        <v>1.156513159</v>
      </c>
      <c r="I1011">
        <v>1.27925657</v>
      </c>
      <c r="J1011">
        <v>1.410426916</v>
      </c>
      <c r="K1011">
        <v>1.960806507</v>
      </c>
      <c r="L1011">
        <v>2.1387180300000002</v>
      </c>
      <c r="M1011">
        <v>2.3962647029999999</v>
      </c>
      <c r="N1011">
        <v>2.7214009639999999</v>
      </c>
      <c r="O1011">
        <v>3.133149392</v>
      </c>
      <c r="P1011">
        <v>3.8957076220000002</v>
      </c>
      <c r="Q1011">
        <v>4.5401277919999998</v>
      </c>
    </row>
    <row r="1012" spans="1:17" x14ac:dyDescent="0.25">
      <c r="A1012" t="s">
        <v>5</v>
      </c>
      <c r="B1012" t="s">
        <v>6</v>
      </c>
      <c r="C1012" t="s">
        <v>260</v>
      </c>
      <c r="D1012" t="s">
        <v>61</v>
      </c>
      <c r="E1012" t="s">
        <v>27</v>
      </c>
      <c r="F1012">
        <v>0.56317003300000001</v>
      </c>
      <c r="G1012">
        <v>1.21186715</v>
      </c>
      <c r="H1012">
        <v>0.62064350899999998</v>
      </c>
      <c r="I1012">
        <v>0.90775956999999996</v>
      </c>
      <c r="J1012">
        <v>1.1993417019999999</v>
      </c>
      <c r="K1012">
        <v>1.6859502239999999</v>
      </c>
      <c r="L1012">
        <v>2.1054223950000002</v>
      </c>
      <c r="M1012">
        <v>2.7020293789999998</v>
      </c>
      <c r="N1012">
        <v>3.4380418220000002</v>
      </c>
      <c r="O1012">
        <v>4.4483242049999996</v>
      </c>
      <c r="P1012">
        <v>5.5955495940000004</v>
      </c>
      <c r="Q1012">
        <v>6.7027050109999999</v>
      </c>
    </row>
    <row r="1013" spans="1:17" x14ac:dyDescent="0.25">
      <c r="A1013" t="s">
        <v>5</v>
      </c>
      <c r="B1013" t="s">
        <v>6</v>
      </c>
      <c r="C1013" t="s">
        <v>260</v>
      </c>
      <c r="D1013" t="s">
        <v>62</v>
      </c>
      <c r="E1013" t="s">
        <v>27</v>
      </c>
      <c r="F1013">
        <v>17.654413229999999</v>
      </c>
      <c r="G1013">
        <v>23.630507430000002</v>
      </c>
      <c r="H1013">
        <v>18.494396760000001</v>
      </c>
      <c r="I1013">
        <v>20.304625789999999</v>
      </c>
      <c r="J1013">
        <v>22.305390240000001</v>
      </c>
      <c r="K1013">
        <v>31.02125358</v>
      </c>
      <c r="L1013">
        <v>33.656781690000003</v>
      </c>
      <c r="M1013">
        <v>37.57996043</v>
      </c>
      <c r="N1013">
        <v>42.571935959999998</v>
      </c>
      <c r="O1013">
        <v>48.907311360000001</v>
      </c>
      <c r="P1013">
        <v>60.629882860000002</v>
      </c>
      <c r="Q1013">
        <v>70.474566620000004</v>
      </c>
    </row>
    <row r="1014" spans="1:17" x14ac:dyDescent="0.25">
      <c r="A1014" t="s">
        <v>5</v>
      </c>
      <c r="B1014" t="s">
        <v>6</v>
      </c>
      <c r="C1014" t="s">
        <v>260</v>
      </c>
      <c r="D1014" t="s">
        <v>63</v>
      </c>
      <c r="E1014" t="s">
        <v>27</v>
      </c>
      <c r="F1014">
        <v>1.0935179500000001</v>
      </c>
      <c r="G1014">
        <v>2.3817179739999998</v>
      </c>
      <c r="H1014">
        <v>1.207256205</v>
      </c>
      <c r="I1014">
        <v>1.776277305</v>
      </c>
      <c r="J1014">
        <v>2.3594768670000001</v>
      </c>
      <c r="K1014">
        <v>3.3653261969999999</v>
      </c>
      <c r="L1014">
        <v>4.2535612140000003</v>
      </c>
      <c r="M1014">
        <v>5.546234246</v>
      </c>
      <c r="N1014">
        <v>7.1928174440000001</v>
      </c>
      <c r="O1014">
        <v>9.5507483210000004</v>
      </c>
      <c r="P1014">
        <v>12.391570829999999</v>
      </c>
      <c r="Q1014">
        <v>15.261098670000001</v>
      </c>
    </row>
    <row r="1015" spans="1:17" x14ac:dyDescent="0.25">
      <c r="A1015" t="s">
        <v>5</v>
      </c>
      <c r="B1015" t="s">
        <v>6</v>
      </c>
      <c r="C1015" t="s">
        <v>260</v>
      </c>
      <c r="D1015" t="s">
        <v>64</v>
      </c>
      <c r="E1015" t="s">
        <v>27</v>
      </c>
      <c r="F1015">
        <v>0.223269257</v>
      </c>
      <c r="G1015">
        <v>0.34169778899999997</v>
      </c>
      <c r="H1015">
        <v>0.67884206599999997</v>
      </c>
      <c r="I1015">
        <v>1.2294661229999999</v>
      </c>
      <c r="J1015">
        <v>0.82999938100000004</v>
      </c>
      <c r="K1015">
        <v>1.452086408</v>
      </c>
      <c r="L1015">
        <v>1.836570552</v>
      </c>
      <c r="M1015">
        <v>2.1032263090000001</v>
      </c>
      <c r="N1015">
        <v>3.4638631449999999</v>
      </c>
      <c r="O1015">
        <v>5.3463192250000002</v>
      </c>
      <c r="P1015">
        <v>6.864214059</v>
      </c>
      <c r="Q1015">
        <v>8.3032460080000003</v>
      </c>
    </row>
    <row r="1016" spans="1:17" x14ac:dyDescent="0.25">
      <c r="A1016" t="s">
        <v>5</v>
      </c>
      <c r="B1016" t="s">
        <v>6</v>
      </c>
      <c r="C1016" t="s">
        <v>260</v>
      </c>
      <c r="D1016" t="s">
        <v>65</v>
      </c>
      <c r="E1016" t="s">
        <v>27</v>
      </c>
      <c r="F1016">
        <v>3.0126526280000001</v>
      </c>
      <c r="G1016">
        <v>6.0534791050000001</v>
      </c>
      <c r="H1016">
        <v>9.5706402449999999</v>
      </c>
      <c r="I1016">
        <v>9.8956636840000005</v>
      </c>
      <c r="J1016">
        <v>8.1513036860000003</v>
      </c>
      <c r="K1016">
        <v>13.108890069999999</v>
      </c>
      <c r="L1016">
        <v>13.80169882</v>
      </c>
      <c r="M1016">
        <v>13.69412571</v>
      </c>
      <c r="N1016">
        <v>17.015661730000001</v>
      </c>
      <c r="O1016">
        <v>21.786510199999999</v>
      </c>
      <c r="P1016">
        <v>24.687198859999999</v>
      </c>
      <c r="Q1016">
        <v>26.509003029999999</v>
      </c>
    </row>
    <row r="1017" spans="1:17" x14ac:dyDescent="0.25">
      <c r="A1017" t="s">
        <v>5</v>
      </c>
      <c r="B1017" t="s">
        <v>6</v>
      </c>
      <c r="C1017" t="s">
        <v>260</v>
      </c>
      <c r="D1017" t="s">
        <v>66</v>
      </c>
      <c r="E1017" t="s">
        <v>27</v>
      </c>
      <c r="F1017">
        <v>2.089643E-3</v>
      </c>
      <c r="G1017">
        <v>2.8463970000000001E-3</v>
      </c>
      <c r="H1017">
        <v>9.3886690000000005E-3</v>
      </c>
      <c r="I1017">
        <v>2.3485242999999999E-2</v>
      </c>
      <c r="J1017">
        <v>1.7865967999999999E-2</v>
      </c>
      <c r="K1017">
        <v>3.7934669999999997E-2</v>
      </c>
      <c r="L1017">
        <v>4.9582664999999998E-2</v>
      </c>
      <c r="M1017">
        <v>5.9676163999999997E-2</v>
      </c>
      <c r="N1017">
        <v>0.10266963</v>
      </c>
      <c r="O1017">
        <v>0.16640587100000001</v>
      </c>
      <c r="P1017">
        <v>0.23888474900000001</v>
      </c>
      <c r="Q1017">
        <v>0.31081769199999998</v>
      </c>
    </row>
    <row r="1018" spans="1:17" x14ac:dyDescent="0.25">
      <c r="A1018" t="s">
        <v>5</v>
      </c>
      <c r="B1018" t="s">
        <v>6</v>
      </c>
      <c r="C1018" t="s">
        <v>260</v>
      </c>
      <c r="D1018" t="s">
        <v>67</v>
      </c>
      <c r="E1018" t="s">
        <v>27</v>
      </c>
      <c r="F1018">
        <v>4.5936409999999999E-3</v>
      </c>
      <c r="G1018">
        <v>7.2586589999999998E-3</v>
      </c>
      <c r="H1018">
        <v>1.5284274E-2</v>
      </c>
      <c r="I1018">
        <v>2.6940084999999999E-2</v>
      </c>
      <c r="J1018">
        <v>2.1754698999999999E-2</v>
      </c>
      <c r="K1018">
        <v>4.1839860999999999E-2</v>
      </c>
      <c r="L1018">
        <v>5.1313849000000002E-2</v>
      </c>
      <c r="M1018">
        <v>5.7865521000000003E-2</v>
      </c>
      <c r="N1018">
        <v>9.7349110000000003E-2</v>
      </c>
      <c r="O1018">
        <v>0.15511198200000001</v>
      </c>
      <c r="P1018">
        <v>0.20970237999999999</v>
      </c>
      <c r="Q1018">
        <v>0.26403031199999999</v>
      </c>
    </row>
    <row r="1019" spans="1:17" x14ac:dyDescent="0.25">
      <c r="A1019" t="s">
        <v>5</v>
      </c>
      <c r="B1019" t="s">
        <v>6</v>
      </c>
      <c r="C1019" t="s">
        <v>260</v>
      </c>
      <c r="D1019" t="s">
        <v>68</v>
      </c>
      <c r="E1019" t="s">
        <v>27</v>
      </c>
      <c r="F1019">
        <v>0</v>
      </c>
      <c r="G1019">
        <v>1.09191E-3</v>
      </c>
      <c r="H1019">
        <v>8.2987689999999992E-3</v>
      </c>
      <c r="I1019">
        <v>2.3858092000000001E-2</v>
      </c>
      <c r="J1019">
        <v>1.8301039999999999E-3</v>
      </c>
      <c r="K1019">
        <v>7.6552149999999999E-3</v>
      </c>
      <c r="L1019">
        <v>5.7086120000000001E-3</v>
      </c>
      <c r="M1019">
        <v>3.700802E-3</v>
      </c>
      <c r="N1019">
        <v>3.8235209999999999E-3</v>
      </c>
      <c r="O1019">
        <v>1.8145676999999999E-2</v>
      </c>
      <c r="P1019">
        <v>2.2969084000000001E-2</v>
      </c>
      <c r="Q1019">
        <v>1.9447834000000001E-2</v>
      </c>
    </row>
    <row r="1020" spans="1:17" x14ac:dyDescent="0.25">
      <c r="A1020" t="s">
        <v>5</v>
      </c>
      <c r="B1020" t="s">
        <v>6</v>
      </c>
      <c r="C1020" t="s">
        <v>260</v>
      </c>
      <c r="D1020" t="s">
        <v>69</v>
      </c>
      <c r="E1020" t="s">
        <v>27</v>
      </c>
      <c r="F1020">
        <v>0.475852098</v>
      </c>
      <c r="G1020">
        <v>0.63594803899999996</v>
      </c>
      <c r="H1020">
        <v>1.0416179649999999</v>
      </c>
      <c r="I1020">
        <v>1.5348415070000001</v>
      </c>
      <c r="J1020">
        <v>1.0996333709999999</v>
      </c>
      <c r="K1020">
        <v>1.877966944</v>
      </c>
      <c r="L1020">
        <v>2.5552786150000002</v>
      </c>
      <c r="M1020">
        <v>2.951902477</v>
      </c>
      <c r="N1020">
        <v>4.3522062569999997</v>
      </c>
      <c r="O1020">
        <v>6.4888552879999999</v>
      </c>
      <c r="P1020">
        <v>8.1441080580000005</v>
      </c>
      <c r="Q1020">
        <v>9.5534656269999996</v>
      </c>
    </row>
    <row r="1021" spans="1:17" x14ac:dyDescent="0.25">
      <c r="A1021" t="s">
        <v>5</v>
      </c>
      <c r="B1021" t="s">
        <v>6</v>
      </c>
      <c r="C1021" t="s">
        <v>260</v>
      </c>
      <c r="D1021" t="s">
        <v>70</v>
      </c>
      <c r="E1021" t="s">
        <v>27</v>
      </c>
      <c r="F1021">
        <v>1.4208928460000001</v>
      </c>
      <c r="G1021">
        <v>1.886809838</v>
      </c>
      <c r="H1021">
        <v>3.1362367340000001</v>
      </c>
      <c r="I1021">
        <v>4.6665990549999998</v>
      </c>
      <c r="J1021">
        <v>3.4157820679999999</v>
      </c>
      <c r="K1021">
        <v>5.8576274049999997</v>
      </c>
      <c r="L1021">
        <v>7.9363959069999996</v>
      </c>
      <c r="M1021">
        <v>9.1598538420000004</v>
      </c>
      <c r="N1021">
        <v>13.61383717</v>
      </c>
      <c r="O1021">
        <v>20.533489230000001</v>
      </c>
      <c r="P1021">
        <v>25.971423560000002</v>
      </c>
      <c r="Q1021">
        <v>30.630380639999998</v>
      </c>
    </row>
    <row r="1022" spans="1:17" x14ac:dyDescent="0.25">
      <c r="A1022" t="s">
        <v>5</v>
      </c>
      <c r="B1022" t="s">
        <v>6</v>
      </c>
      <c r="C1022" t="s">
        <v>260</v>
      </c>
      <c r="D1022" t="s">
        <v>71</v>
      </c>
      <c r="E1022" t="s">
        <v>27</v>
      </c>
      <c r="F1022">
        <v>0.18793463799999999</v>
      </c>
      <c r="G1022">
        <v>0.27138967800000002</v>
      </c>
      <c r="H1022">
        <v>0.45441375000000001</v>
      </c>
      <c r="I1022">
        <v>0.68186279900000002</v>
      </c>
      <c r="J1022">
        <v>0.40380781999999998</v>
      </c>
      <c r="K1022">
        <v>0.67840544999999997</v>
      </c>
      <c r="L1022">
        <v>0.92288445500000005</v>
      </c>
      <c r="M1022">
        <v>1.0200788460000001</v>
      </c>
      <c r="N1022">
        <v>1.4442242009999999</v>
      </c>
      <c r="O1022">
        <v>2.1056864329999998</v>
      </c>
      <c r="P1022">
        <v>2.6812789270000001</v>
      </c>
      <c r="Q1022">
        <v>3.169465228</v>
      </c>
    </row>
    <row r="1023" spans="1:17" x14ac:dyDescent="0.25">
      <c r="A1023" t="s">
        <v>5</v>
      </c>
      <c r="B1023" t="s">
        <v>6</v>
      </c>
      <c r="C1023" t="s">
        <v>260</v>
      </c>
      <c r="D1023" t="s">
        <v>72</v>
      </c>
      <c r="E1023" t="s">
        <v>27</v>
      </c>
      <c r="F1023">
        <v>0.110977981</v>
      </c>
      <c r="G1023">
        <v>0.16028587599999999</v>
      </c>
      <c r="H1023">
        <v>0.25949043599999999</v>
      </c>
      <c r="I1023">
        <v>0.379869295</v>
      </c>
      <c r="J1023">
        <v>0.22213713199999999</v>
      </c>
      <c r="K1023">
        <v>0.373500569</v>
      </c>
      <c r="L1023">
        <v>0.51655607199999998</v>
      </c>
      <c r="M1023">
        <v>0.57923570000000002</v>
      </c>
      <c r="N1023">
        <v>0.81515076099999995</v>
      </c>
      <c r="O1023">
        <v>1.1839091900000001</v>
      </c>
      <c r="P1023">
        <v>1.5576696999999999</v>
      </c>
      <c r="Q1023">
        <v>1.910536598</v>
      </c>
    </row>
    <row r="1024" spans="1:17" x14ac:dyDescent="0.25">
      <c r="A1024" t="s">
        <v>5</v>
      </c>
      <c r="B1024" t="s">
        <v>6</v>
      </c>
      <c r="C1024" t="s">
        <v>260</v>
      </c>
      <c r="D1024" t="s">
        <v>73</v>
      </c>
      <c r="E1024" t="s">
        <v>27</v>
      </c>
      <c r="F1024">
        <v>5.9763439999999998E-3</v>
      </c>
      <c r="G1024">
        <v>8.0093330000000004E-3</v>
      </c>
      <c r="H1024">
        <v>1.3560823E-2</v>
      </c>
      <c r="I1024">
        <v>2.0645150000000001E-2</v>
      </c>
      <c r="J1024">
        <v>1.4439769999999999E-2</v>
      </c>
      <c r="K1024">
        <v>2.4971643000000002E-2</v>
      </c>
      <c r="L1024">
        <v>3.3683912000000003E-2</v>
      </c>
      <c r="M1024">
        <v>3.8899569000000002E-2</v>
      </c>
      <c r="N1024">
        <v>5.8134234E-2</v>
      </c>
      <c r="O1024">
        <v>8.7968356999999997E-2</v>
      </c>
      <c r="P1024">
        <v>0.110525071</v>
      </c>
      <c r="Q1024">
        <v>0.12887986500000001</v>
      </c>
    </row>
    <row r="1025" spans="1:17" x14ac:dyDescent="0.25">
      <c r="A1025" t="s">
        <v>5</v>
      </c>
      <c r="B1025" t="s">
        <v>6</v>
      </c>
      <c r="C1025" t="s">
        <v>260</v>
      </c>
      <c r="D1025" t="s">
        <v>74</v>
      </c>
      <c r="E1025" t="s">
        <v>27</v>
      </c>
      <c r="F1025">
        <v>3.3622140000000001E-3</v>
      </c>
      <c r="G1025">
        <v>4.4558799999999997E-3</v>
      </c>
      <c r="H1025">
        <v>9.0986369999999997E-3</v>
      </c>
      <c r="I1025">
        <v>1.216661E-2</v>
      </c>
      <c r="J1025">
        <v>2.0616129999999999E-3</v>
      </c>
      <c r="K1025">
        <v>9.1332700000000002E-4</v>
      </c>
      <c r="L1025">
        <v>2.9329299999999998E-3</v>
      </c>
      <c r="M1025">
        <v>3.2730480000000002E-3</v>
      </c>
      <c r="N1025">
        <v>6.4198470000000002E-3</v>
      </c>
      <c r="O1025">
        <v>8.6667849999999998E-3</v>
      </c>
      <c r="P1025">
        <v>1.001953E-2</v>
      </c>
      <c r="Q1025">
        <v>1.2865276E-2</v>
      </c>
    </row>
    <row r="1026" spans="1:17" x14ac:dyDescent="0.25">
      <c r="A1026" t="s">
        <v>5</v>
      </c>
      <c r="B1026" t="s">
        <v>6</v>
      </c>
      <c r="C1026" t="s">
        <v>260</v>
      </c>
      <c r="D1026" t="s">
        <v>75</v>
      </c>
      <c r="E1026" t="s">
        <v>27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 spans="1:17" x14ac:dyDescent="0.25">
      <c r="A1027" t="s">
        <v>5</v>
      </c>
      <c r="B1027" t="s">
        <v>6</v>
      </c>
      <c r="C1027" t="s">
        <v>260</v>
      </c>
      <c r="D1027" t="s">
        <v>76</v>
      </c>
      <c r="E1027" t="s">
        <v>27</v>
      </c>
      <c r="F1027">
        <v>7.1874000000000005E-4</v>
      </c>
      <c r="G1027">
        <v>7.3479399999999999E-4</v>
      </c>
      <c r="H1027">
        <v>1.5619360000000001E-3</v>
      </c>
      <c r="I1027">
        <v>1.7364030000000001E-3</v>
      </c>
      <c r="J1027" s="1">
        <v>7.0099999999999998E-6</v>
      </c>
      <c r="K1027" s="1">
        <v>3.1099999999999999E-6</v>
      </c>
      <c r="L1027" s="1">
        <v>4.0800000000000002E-5</v>
      </c>
      <c r="M1027">
        <v>1.55582E-4</v>
      </c>
      <c r="N1027">
        <v>3.8706199999999997E-4</v>
      </c>
      <c r="O1027">
        <v>4.8226699999999998E-4</v>
      </c>
      <c r="P1027">
        <v>6.9775399999999997E-4</v>
      </c>
      <c r="Q1027">
        <v>5.9076300000000001E-4</v>
      </c>
    </row>
    <row r="1028" spans="1:17" x14ac:dyDescent="0.25">
      <c r="A1028" t="s">
        <v>5</v>
      </c>
      <c r="B1028" t="s">
        <v>6</v>
      </c>
      <c r="C1028" t="s">
        <v>260</v>
      </c>
      <c r="D1028" t="s">
        <v>77</v>
      </c>
      <c r="E1028" t="s">
        <v>27</v>
      </c>
      <c r="F1028" s="1">
        <v>7.0099999999999996E-5</v>
      </c>
      <c r="G1028" s="1">
        <v>9.5299999999999999E-5</v>
      </c>
      <c r="H1028">
        <v>1.99638E-4</v>
      </c>
      <c r="I1028">
        <v>2.7287699999999998E-4</v>
      </c>
      <c r="J1028" s="1">
        <v>4.7299999999999998E-5</v>
      </c>
      <c r="K1028" s="1">
        <v>2.09E-5</v>
      </c>
      <c r="L1028" s="1">
        <v>6.8499999999999998E-5</v>
      </c>
      <c r="M1028" s="1">
        <v>8.14E-5</v>
      </c>
      <c r="N1028">
        <v>1.64427E-4</v>
      </c>
      <c r="O1028">
        <v>2.21955E-4</v>
      </c>
      <c r="P1028">
        <v>2.6410700000000002E-4</v>
      </c>
      <c r="Q1028">
        <v>3.2328199999999999E-4</v>
      </c>
    </row>
    <row r="1029" spans="1:17" x14ac:dyDescent="0.25">
      <c r="A1029" t="s">
        <v>5</v>
      </c>
      <c r="B1029" t="s">
        <v>6</v>
      </c>
      <c r="C1029" t="s">
        <v>260</v>
      </c>
      <c r="D1029" t="s">
        <v>78</v>
      </c>
      <c r="E1029" t="s">
        <v>27</v>
      </c>
      <c r="F1029" s="1">
        <v>1.7399999999999999E-5</v>
      </c>
      <c r="G1029" s="1">
        <v>8.7399999999999993E-6</v>
      </c>
      <c r="H1029" s="1">
        <v>1.2999999999999999E-5</v>
      </c>
      <c r="I1029" s="1">
        <v>1.4800000000000001E-5</v>
      </c>
      <c r="J1029">
        <v>0</v>
      </c>
      <c r="K1029">
        <v>0</v>
      </c>
      <c r="L1029" s="1">
        <v>8.78E-7</v>
      </c>
      <c r="M1029" s="1">
        <v>4.2200000000000003E-6</v>
      </c>
      <c r="N1029" s="1">
        <v>1.0900000000000001E-5</v>
      </c>
      <c r="O1029" s="1">
        <v>1.3699999999999999E-5</v>
      </c>
      <c r="P1029" s="1">
        <v>2.02E-5</v>
      </c>
      <c r="Q1029" s="1">
        <v>1.66E-5</v>
      </c>
    </row>
    <row r="1030" spans="1:17" x14ac:dyDescent="0.25">
      <c r="A1030" t="s">
        <v>5</v>
      </c>
      <c r="B1030" t="s">
        <v>6</v>
      </c>
      <c r="C1030" t="s">
        <v>260</v>
      </c>
      <c r="D1030" t="s">
        <v>79</v>
      </c>
      <c r="E1030" t="s">
        <v>9</v>
      </c>
      <c r="F1030">
        <v>1256.896221</v>
      </c>
      <c r="G1030">
        <v>1537.076955</v>
      </c>
      <c r="H1030">
        <v>2019.87501</v>
      </c>
      <c r="I1030">
        <v>2690.1858189999998</v>
      </c>
      <c r="J1030">
        <v>3482.4537180000002</v>
      </c>
      <c r="K1030">
        <v>4551.3898209999998</v>
      </c>
      <c r="L1030">
        <v>5903.9941630000003</v>
      </c>
      <c r="M1030">
        <v>7659.1953700000004</v>
      </c>
      <c r="N1030">
        <v>9985.4640639999998</v>
      </c>
      <c r="O1030">
        <v>12875.3537</v>
      </c>
      <c r="P1030">
        <v>16259.130499999999</v>
      </c>
      <c r="Q1030">
        <v>19620.488290000001</v>
      </c>
    </row>
    <row r="1031" spans="1:17" x14ac:dyDescent="0.25">
      <c r="A1031" t="s">
        <v>5</v>
      </c>
      <c r="B1031" t="s">
        <v>6</v>
      </c>
      <c r="C1031" t="s">
        <v>260</v>
      </c>
      <c r="D1031" t="s">
        <v>80</v>
      </c>
      <c r="E1031" t="s">
        <v>9</v>
      </c>
      <c r="F1031">
        <v>64.273056460000006</v>
      </c>
      <c r="G1031">
        <v>85.321199190000002</v>
      </c>
      <c r="H1031">
        <v>126.6792466</v>
      </c>
      <c r="I1031">
        <v>140.5174428</v>
      </c>
      <c r="J1031">
        <v>162.61128930000001</v>
      </c>
      <c r="K1031">
        <v>186.95374820000001</v>
      </c>
      <c r="L1031">
        <v>229.5927361</v>
      </c>
      <c r="M1031">
        <v>273.1638787</v>
      </c>
      <c r="N1031">
        <v>315.56102909999998</v>
      </c>
      <c r="O1031">
        <v>359.37402159999999</v>
      </c>
      <c r="P1031">
        <v>396.92482660000002</v>
      </c>
      <c r="Q1031">
        <v>425.6261083</v>
      </c>
    </row>
    <row r="1032" spans="1:17" x14ac:dyDescent="0.25">
      <c r="A1032" t="s">
        <v>5</v>
      </c>
      <c r="B1032" t="s">
        <v>6</v>
      </c>
      <c r="C1032" t="s">
        <v>260</v>
      </c>
      <c r="D1032" t="s">
        <v>81</v>
      </c>
      <c r="E1032" t="s">
        <v>9</v>
      </c>
      <c r="F1032">
        <v>21578.937249999999</v>
      </c>
      <c r="G1032">
        <v>20853.550759999998</v>
      </c>
      <c r="H1032">
        <v>18489.774939999999</v>
      </c>
      <c r="I1032">
        <v>16938.947469999999</v>
      </c>
      <c r="J1032">
        <v>22748.300159999999</v>
      </c>
      <c r="K1032">
        <v>19836.44226</v>
      </c>
      <c r="L1032">
        <v>21752.95261</v>
      </c>
      <c r="M1032">
        <v>20474.37948</v>
      </c>
      <c r="N1032">
        <v>19993.898809999999</v>
      </c>
      <c r="O1032">
        <v>18796.184010000001</v>
      </c>
      <c r="P1032">
        <v>18218.734560000001</v>
      </c>
      <c r="Q1032">
        <v>18409.919379999999</v>
      </c>
    </row>
    <row r="1033" spans="1:17" x14ac:dyDescent="0.25">
      <c r="A1033" t="s">
        <v>5</v>
      </c>
      <c r="B1033" t="s">
        <v>6</v>
      </c>
      <c r="C1033" t="s">
        <v>260</v>
      </c>
      <c r="D1033" t="s">
        <v>82</v>
      </c>
      <c r="E1033" t="s">
        <v>9</v>
      </c>
      <c r="F1033">
        <v>162.66898420000001</v>
      </c>
      <c r="G1033">
        <v>189.7217741</v>
      </c>
      <c r="H1033">
        <v>231.73802409999999</v>
      </c>
      <c r="I1033">
        <v>278.06112839999997</v>
      </c>
      <c r="J1033">
        <v>324.02122159999999</v>
      </c>
      <c r="K1033">
        <v>390.56138040000002</v>
      </c>
      <c r="L1033">
        <v>432.14804930000003</v>
      </c>
      <c r="M1033">
        <v>501.12093170000003</v>
      </c>
      <c r="N1033">
        <v>588.85225419999995</v>
      </c>
      <c r="O1033">
        <v>664.78199059999997</v>
      </c>
      <c r="P1033">
        <v>761.01906229999997</v>
      </c>
      <c r="Q1033">
        <v>857.93031780000001</v>
      </c>
    </row>
    <row r="1034" spans="1:17" x14ac:dyDescent="0.25">
      <c r="A1034" t="s">
        <v>5</v>
      </c>
      <c r="B1034" t="s">
        <v>6</v>
      </c>
      <c r="C1034" t="s">
        <v>260</v>
      </c>
      <c r="D1034" t="s">
        <v>83</v>
      </c>
      <c r="E1034" t="s">
        <v>9</v>
      </c>
      <c r="F1034">
        <v>7.2996118999999998E-2</v>
      </c>
      <c r="G1034">
        <v>0.10750950300000001</v>
      </c>
      <c r="H1034">
        <v>6.1015498000000001E-2</v>
      </c>
      <c r="I1034">
        <v>4.0989879E-2</v>
      </c>
      <c r="J1034">
        <v>3.2740327999999999E-2</v>
      </c>
      <c r="K1034">
        <v>3.7237133999999998E-2</v>
      </c>
      <c r="L1034">
        <v>4.3890296000000002E-2</v>
      </c>
      <c r="M1034">
        <v>4.4795580000000002E-2</v>
      </c>
      <c r="N1034">
        <v>4.5010410000000001E-2</v>
      </c>
      <c r="O1034">
        <v>4.8973260999999997E-2</v>
      </c>
      <c r="P1034">
        <v>5.4574787999999999E-2</v>
      </c>
      <c r="Q1034">
        <v>6.2933924000000002E-2</v>
      </c>
    </row>
    <row r="1035" spans="1:17" x14ac:dyDescent="0.25">
      <c r="A1035" t="s">
        <v>5</v>
      </c>
      <c r="B1035" t="s">
        <v>6</v>
      </c>
      <c r="C1035" t="s">
        <v>260</v>
      </c>
      <c r="D1035" t="s">
        <v>84</v>
      </c>
      <c r="E1035" t="s">
        <v>9</v>
      </c>
      <c r="F1035">
        <v>3.7143998999999997E-2</v>
      </c>
      <c r="G1035">
        <v>4.3981328E-2</v>
      </c>
      <c r="H1035">
        <v>5.0232343999999998E-2</v>
      </c>
      <c r="I1035">
        <v>5.9420542999999999E-2</v>
      </c>
      <c r="J1035">
        <v>5.6523846000000003E-2</v>
      </c>
      <c r="K1035">
        <v>6.0376284000000002E-2</v>
      </c>
      <c r="L1035">
        <v>6.6560470999999996E-2</v>
      </c>
      <c r="M1035">
        <v>7.5358335999999998E-2</v>
      </c>
      <c r="N1035">
        <v>8.6443099999999995E-2</v>
      </c>
      <c r="O1035">
        <v>0.10012613300000001</v>
      </c>
      <c r="P1035">
        <v>0.117586553</v>
      </c>
      <c r="Q1035">
        <v>0.13677303800000001</v>
      </c>
    </row>
    <row r="1036" spans="1:17" x14ac:dyDescent="0.25">
      <c r="A1036" t="s">
        <v>5</v>
      </c>
      <c r="B1036" t="s">
        <v>6</v>
      </c>
      <c r="C1036" t="s">
        <v>260</v>
      </c>
      <c r="D1036" t="s">
        <v>85</v>
      </c>
      <c r="E1036" t="s">
        <v>9</v>
      </c>
      <c r="F1036">
        <v>7.878075E-3</v>
      </c>
      <c r="G1036">
        <v>1.9246332000000001E-2</v>
      </c>
      <c r="H1036">
        <v>7.3025404000000002E-2</v>
      </c>
      <c r="I1036">
        <v>8.1063971999999998E-2</v>
      </c>
      <c r="J1036">
        <v>6.3800020000000001E-3</v>
      </c>
      <c r="K1036">
        <v>1.1325961000000001E-2</v>
      </c>
      <c r="L1036">
        <v>2.5494438000000001E-2</v>
      </c>
      <c r="M1036">
        <v>4.7688398E-2</v>
      </c>
      <c r="N1036">
        <v>6.3302646000000004E-2</v>
      </c>
      <c r="O1036">
        <v>7.4388186999999995E-2</v>
      </c>
      <c r="P1036">
        <v>9.7747088999999995E-2</v>
      </c>
      <c r="Q1036">
        <v>0.12850640899999999</v>
      </c>
    </row>
    <row r="1037" spans="1:17" x14ac:dyDescent="0.25">
      <c r="A1037" t="s">
        <v>5</v>
      </c>
      <c r="B1037" t="s">
        <v>6</v>
      </c>
      <c r="C1037" t="s">
        <v>260</v>
      </c>
      <c r="D1037" t="s">
        <v>86</v>
      </c>
      <c r="E1037" t="s">
        <v>9</v>
      </c>
      <c r="F1037">
        <v>3.2550029999999998E-3</v>
      </c>
      <c r="G1037">
        <v>6.598891E-3</v>
      </c>
      <c r="H1037">
        <v>1.6637316999999999E-2</v>
      </c>
      <c r="I1037">
        <v>1.2188862999999999E-2</v>
      </c>
      <c r="J1037">
        <v>7.1283859999999996E-3</v>
      </c>
      <c r="K1037">
        <v>9.8840170000000001E-3</v>
      </c>
      <c r="L1037">
        <v>1.2712078999999999E-2</v>
      </c>
      <c r="M1037">
        <v>1.6634085E-2</v>
      </c>
      <c r="N1037">
        <v>1.9445954000000001E-2</v>
      </c>
      <c r="O1037">
        <v>1.9904247E-2</v>
      </c>
      <c r="P1037">
        <v>2.1068190000000001E-2</v>
      </c>
      <c r="Q1037">
        <v>2.3594494000000001E-2</v>
      </c>
    </row>
    <row r="1038" spans="1:17" x14ac:dyDescent="0.25">
      <c r="A1038" t="s">
        <v>5</v>
      </c>
      <c r="B1038" t="s">
        <v>6</v>
      </c>
      <c r="C1038" t="s">
        <v>260</v>
      </c>
      <c r="D1038" t="s">
        <v>87</v>
      </c>
      <c r="E1038" t="s">
        <v>9</v>
      </c>
      <c r="F1038">
        <v>0.177038374</v>
      </c>
      <c r="G1038">
        <v>0.264147356</v>
      </c>
      <c r="H1038">
        <v>0.16629132999999999</v>
      </c>
      <c r="I1038">
        <v>0.17618518399999999</v>
      </c>
      <c r="J1038">
        <v>0.19859203</v>
      </c>
      <c r="K1038">
        <v>0.205476995</v>
      </c>
      <c r="L1038">
        <v>0.200211373</v>
      </c>
      <c r="M1038">
        <v>0.20211568999999999</v>
      </c>
      <c r="N1038">
        <v>0.21503807699999999</v>
      </c>
      <c r="O1038">
        <v>0.22773027300000001</v>
      </c>
      <c r="P1038">
        <v>0.237951369</v>
      </c>
      <c r="Q1038">
        <v>0.248728424</v>
      </c>
    </row>
    <row r="1039" spans="1:17" x14ac:dyDescent="0.25">
      <c r="A1039" t="s">
        <v>5</v>
      </c>
      <c r="B1039" t="s">
        <v>6</v>
      </c>
      <c r="C1039" t="s">
        <v>260</v>
      </c>
      <c r="D1039" t="s">
        <v>88</v>
      </c>
      <c r="E1039" t="s">
        <v>19</v>
      </c>
      <c r="F1039">
        <v>60778653.109999999</v>
      </c>
      <c r="G1039">
        <v>69890799.870000005</v>
      </c>
      <c r="H1039">
        <v>83535274.659999996</v>
      </c>
      <c r="I1039">
        <v>93767634.900000006</v>
      </c>
      <c r="J1039">
        <v>100744276.8</v>
      </c>
      <c r="K1039">
        <v>110137959.3</v>
      </c>
      <c r="L1039">
        <v>122981208.40000001</v>
      </c>
      <c r="M1039">
        <v>137307643.90000001</v>
      </c>
      <c r="N1039">
        <v>153214853.19999999</v>
      </c>
      <c r="O1039">
        <v>170924942.40000001</v>
      </c>
      <c r="P1039">
        <v>190838199.69999999</v>
      </c>
      <c r="Q1039">
        <v>210746107.19999999</v>
      </c>
    </row>
    <row r="1040" spans="1:17" x14ac:dyDescent="0.25">
      <c r="A1040" t="s">
        <v>5</v>
      </c>
      <c r="B1040" t="s">
        <v>6</v>
      </c>
      <c r="C1040" t="s">
        <v>260</v>
      </c>
      <c r="D1040" t="s">
        <v>89</v>
      </c>
      <c r="E1040" t="s">
        <v>19</v>
      </c>
      <c r="F1040">
        <v>18156608.539999999</v>
      </c>
      <c r="G1040">
        <v>21745496.18</v>
      </c>
      <c r="H1040">
        <v>26476692</v>
      </c>
      <c r="I1040">
        <v>31727302.84</v>
      </c>
      <c r="J1040">
        <v>36401181.530000001</v>
      </c>
      <c r="K1040">
        <v>41351216.600000001</v>
      </c>
      <c r="L1040">
        <v>48402753.100000001</v>
      </c>
      <c r="M1040">
        <v>56653853.439999998</v>
      </c>
      <c r="N1040">
        <v>66212597.340000004</v>
      </c>
      <c r="O1040">
        <v>77237443.439999998</v>
      </c>
      <c r="P1040">
        <v>89983044.760000005</v>
      </c>
      <c r="Q1040">
        <v>102969321.7</v>
      </c>
    </row>
    <row r="1041" spans="1:17" x14ac:dyDescent="0.25">
      <c r="A1041" t="s">
        <v>5</v>
      </c>
      <c r="B1041" t="s">
        <v>6</v>
      </c>
      <c r="C1041" t="s">
        <v>260</v>
      </c>
      <c r="D1041" t="s">
        <v>90</v>
      </c>
      <c r="E1041" t="s">
        <v>19</v>
      </c>
      <c r="F1041">
        <v>7968208.665</v>
      </c>
      <c r="G1041">
        <v>9693191.4039999992</v>
      </c>
      <c r="H1041">
        <v>11851633.789999999</v>
      </c>
      <c r="I1041">
        <v>14573771.039999999</v>
      </c>
      <c r="J1041">
        <v>17009022.890000001</v>
      </c>
      <c r="K1041">
        <v>19417373.25</v>
      </c>
      <c r="L1041">
        <v>22992401.870000001</v>
      </c>
      <c r="M1041">
        <v>27209381.27</v>
      </c>
      <c r="N1041">
        <v>32128271.93</v>
      </c>
      <c r="O1041">
        <v>37832774.409999996</v>
      </c>
      <c r="P1041">
        <v>44453310.770000003</v>
      </c>
      <c r="Q1041">
        <v>51210064.5</v>
      </c>
    </row>
    <row r="1042" spans="1:17" x14ac:dyDescent="0.25">
      <c r="A1042" t="s">
        <v>5</v>
      </c>
      <c r="B1042" t="s">
        <v>6</v>
      </c>
      <c r="C1042" t="s">
        <v>260</v>
      </c>
      <c r="D1042" t="s">
        <v>91</v>
      </c>
      <c r="E1042" t="s">
        <v>19</v>
      </c>
      <c r="F1042">
        <v>501781.02010000002</v>
      </c>
      <c r="G1042">
        <v>786183.34629999998</v>
      </c>
      <c r="H1042">
        <v>1974928.412</v>
      </c>
      <c r="I1042">
        <v>2298439.4339999999</v>
      </c>
      <c r="J1042">
        <v>1339575.99</v>
      </c>
      <c r="K1042">
        <v>1799883.817</v>
      </c>
      <c r="L1042">
        <v>2581288.4619999998</v>
      </c>
      <c r="M1042">
        <v>3838091.656</v>
      </c>
      <c r="N1042">
        <v>5859081.983</v>
      </c>
      <c r="O1042">
        <v>9152038.4509999994</v>
      </c>
      <c r="P1042">
        <v>14600923.810000001</v>
      </c>
      <c r="Q1042">
        <v>21962700.390000001</v>
      </c>
    </row>
    <row r="1043" spans="1:17" x14ac:dyDescent="0.25">
      <c r="A1043" t="s">
        <v>5</v>
      </c>
      <c r="B1043" t="s">
        <v>6</v>
      </c>
      <c r="C1043" t="s">
        <v>260</v>
      </c>
      <c r="D1043" t="s">
        <v>92</v>
      </c>
      <c r="E1043" t="s">
        <v>19</v>
      </c>
      <c r="F1043">
        <v>985608.78769999999</v>
      </c>
      <c r="G1043">
        <v>1211700.6370000001</v>
      </c>
      <c r="H1043">
        <v>2096350.4509999999</v>
      </c>
      <c r="I1043">
        <v>2371645.8119999999</v>
      </c>
      <c r="J1043">
        <v>2157249.6090000002</v>
      </c>
      <c r="K1043">
        <v>2660983.6179999998</v>
      </c>
      <c r="L1043">
        <v>3389706.5660000001</v>
      </c>
      <c r="M1043">
        <v>4401062.9989999998</v>
      </c>
      <c r="N1043">
        <v>5801349.0760000004</v>
      </c>
      <c r="O1043">
        <v>7751824.1710000001</v>
      </c>
      <c r="P1043">
        <v>10489910.810000001</v>
      </c>
      <c r="Q1043">
        <v>13712745.52</v>
      </c>
    </row>
    <row r="1044" spans="1:17" x14ac:dyDescent="0.25">
      <c r="A1044" t="s">
        <v>5</v>
      </c>
      <c r="B1044" t="s">
        <v>6</v>
      </c>
      <c r="C1044" t="s">
        <v>260</v>
      </c>
      <c r="D1044" t="s">
        <v>93</v>
      </c>
      <c r="E1044" t="s">
        <v>19</v>
      </c>
      <c r="F1044">
        <v>664450.01580000005</v>
      </c>
      <c r="G1044">
        <v>977926.07389999996</v>
      </c>
      <c r="H1044">
        <v>2342214.051</v>
      </c>
      <c r="I1044">
        <v>2604816.2740000002</v>
      </c>
      <c r="J1044">
        <v>1708457.9069999999</v>
      </c>
      <c r="K1044">
        <v>2252728.0529999998</v>
      </c>
      <c r="L1044">
        <v>3141875.3330000001</v>
      </c>
      <c r="M1044">
        <v>4516236.409</v>
      </c>
      <c r="N1044">
        <v>6627162.2920000004</v>
      </c>
      <c r="O1044">
        <v>9880455.1830000002</v>
      </c>
      <c r="P1044">
        <v>14900795.84</v>
      </c>
      <c r="Q1044">
        <v>21209672.98</v>
      </c>
    </row>
    <row r="1045" spans="1:17" x14ac:dyDescent="0.25">
      <c r="A1045" t="s">
        <v>5</v>
      </c>
      <c r="B1045" t="s">
        <v>6</v>
      </c>
      <c r="C1045" t="s">
        <v>260</v>
      </c>
      <c r="D1045" t="s">
        <v>94</v>
      </c>
      <c r="E1045" t="s">
        <v>19</v>
      </c>
      <c r="F1045">
        <v>18251693.280000001</v>
      </c>
      <c r="G1045">
        <v>21308152.350000001</v>
      </c>
      <c r="H1045">
        <v>27927230.68</v>
      </c>
      <c r="I1045">
        <v>34888611.689999998</v>
      </c>
      <c r="J1045">
        <v>36632705.020000003</v>
      </c>
      <c r="K1045">
        <v>43557048.310000002</v>
      </c>
      <c r="L1045">
        <v>52685498.270000003</v>
      </c>
      <c r="M1045">
        <v>64265990.119999997</v>
      </c>
      <c r="N1045">
        <v>78822540.980000004</v>
      </c>
      <c r="O1045">
        <v>96999203.920000002</v>
      </c>
      <c r="P1045">
        <v>119448596.3</v>
      </c>
      <c r="Q1045">
        <v>142769733.59999999</v>
      </c>
    </row>
    <row r="1046" spans="1:17" x14ac:dyDescent="0.25">
      <c r="A1046" t="s">
        <v>5</v>
      </c>
      <c r="B1046" t="s">
        <v>6</v>
      </c>
      <c r="C1046" t="s">
        <v>260</v>
      </c>
      <c r="D1046" t="s">
        <v>95</v>
      </c>
      <c r="E1046" t="s">
        <v>27</v>
      </c>
      <c r="F1046">
        <v>1.1198326750000001</v>
      </c>
      <c r="G1046">
        <v>1.369496995</v>
      </c>
      <c r="H1046">
        <v>1.7997984199999999</v>
      </c>
      <c r="I1046">
        <v>2.3984881859999998</v>
      </c>
      <c r="J1046">
        <v>3.107072118</v>
      </c>
      <c r="K1046">
        <v>4.0626104879999998</v>
      </c>
      <c r="L1046">
        <v>5.269970432</v>
      </c>
      <c r="M1046">
        <v>6.8347529800000002</v>
      </c>
      <c r="N1046">
        <v>8.9068343769999991</v>
      </c>
      <c r="O1046">
        <v>11.478997830000001</v>
      </c>
      <c r="P1046">
        <v>14.48689602</v>
      </c>
      <c r="Q1046">
        <v>17.469236779999999</v>
      </c>
    </row>
    <row r="1047" spans="1:17" x14ac:dyDescent="0.25">
      <c r="A1047" t="s">
        <v>5</v>
      </c>
      <c r="B1047" t="s">
        <v>6</v>
      </c>
      <c r="C1047" t="s">
        <v>260</v>
      </c>
      <c r="D1047" t="s">
        <v>96</v>
      </c>
      <c r="E1047" t="s">
        <v>27</v>
      </c>
      <c r="F1047">
        <v>2.476587399</v>
      </c>
      <c r="G1047">
        <v>3.0323460519999998</v>
      </c>
      <c r="H1047">
        <v>3.915235478</v>
      </c>
      <c r="I1047">
        <v>4.8459734729999999</v>
      </c>
      <c r="J1047">
        <v>5.987298118</v>
      </c>
      <c r="K1047">
        <v>7.3265518570000001</v>
      </c>
      <c r="L1047">
        <v>9.1248787730000007</v>
      </c>
      <c r="M1047">
        <v>11.320522499999999</v>
      </c>
      <c r="N1047">
        <v>14.07391481</v>
      </c>
      <c r="O1047">
        <v>17.346305170000001</v>
      </c>
      <c r="P1047">
        <v>21.07357541</v>
      </c>
      <c r="Q1047">
        <v>24.70100175</v>
      </c>
    </row>
    <row r="1048" spans="1:17" x14ac:dyDescent="0.25">
      <c r="A1048" t="s">
        <v>5</v>
      </c>
      <c r="B1048" t="s">
        <v>6</v>
      </c>
      <c r="C1048" t="s">
        <v>260</v>
      </c>
      <c r="D1048" t="s">
        <v>97</v>
      </c>
      <c r="E1048" t="s">
        <v>27</v>
      </c>
      <c r="F1048">
        <v>7.3032073000000003E-2</v>
      </c>
      <c r="G1048">
        <v>8.9688872000000003E-2</v>
      </c>
      <c r="H1048">
        <v>9.3018329999999996E-2</v>
      </c>
      <c r="I1048">
        <v>0.10527847</v>
      </c>
      <c r="J1048">
        <v>9.9192712000000002E-2</v>
      </c>
      <c r="K1048">
        <v>0.106299066</v>
      </c>
      <c r="L1048">
        <v>0.117620751</v>
      </c>
      <c r="M1048">
        <v>0.13242278499999999</v>
      </c>
      <c r="N1048">
        <v>0.150932069</v>
      </c>
      <c r="O1048">
        <v>0.174346377</v>
      </c>
      <c r="P1048">
        <v>0.20431734100000001</v>
      </c>
      <c r="Q1048">
        <v>0.237609601</v>
      </c>
    </row>
    <row r="1049" spans="1:17" x14ac:dyDescent="0.25">
      <c r="A1049" t="s">
        <v>5</v>
      </c>
      <c r="B1049" t="s">
        <v>6</v>
      </c>
      <c r="C1049" t="s">
        <v>260</v>
      </c>
      <c r="D1049" t="s">
        <v>98</v>
      </c>
      <c r="E1049" t="s">
        <v>27</v>
      </c>
      <c r="F1049" s="1">
        <v>7.1000000000000005E-5</v>
      </c>
      <c r="G1049">
        <v>1.6181799999999999E-4</v>
      </c>
      <c r="H1049">
        <v>5.4151600000000002E-4</v>
      </c>
      <c r="I1049">
        <v>5.4695600000000003E-4</v>
      </c>
      <c r="J1049" s="1">
        <v>9.6299999999999996E-5</v>
      </c>
      <c r="K1049">
        <v>1.4698700000000001E-4</v>
      </c>
      <c r="L1049">
        <v>2.4860300000000002E-4</v>
      </c>
      <c r="M1049">
        <v>4.0339599999999998E-4</v>
      </c>
      <c r="N1049">
        <v>5.12752E-4</v>
      </c>
      <c r="O1049">
        <v>5.7712300000000002E-4</v>
      </c>
      <c r="P1049">
        <v>7.1447500000000001E-4</v>
      </c>
      <c r="Q1049">
        <v>9.0391099999999997E-4</v>
      </c>
    </row>
    <row r="1050" spans="1:17" x14ac:dyDescent="0.25">
      <c r="A1050" t="s">
        <v>5</v>
      </c>
      <c r="B1050" t="s">
        <v>6</v>
      </c>
      <c r="C1050" t="s">
        <v>260</v>
      </c>
      <c r="D1050" t="s">
        <v>99</v>
      </c>
      <c r="E1050" t="s">
        <v>27</v>
      </c>
      <c r="F1050">
        <v>0.168996073</v>
      </c>
      <c r="G1050">
        <v>0.29242341700000002</v>
      </c>
      <c r="H1050">
        <v>0.20175650000000001</v>
      </c>
      <c r="I1050">
        <v>0.21666918600000001</v>
      </c>
      <c r="J1050">
        <v>0.26093256199999998</v>
      </c>
      <c r="K1050">
        <v>0.28297382700000001</v>
      </c>
      <c r="L1050">
        <v>0.28862974400000002</v>
      </c>
      <c r="M1050">
        <v>0.31490877099999998</v>
      </c>
      <c r="N1050">
        <v>0.37003288099999998</v>
      </c>
      <c r="O1050">
        <v>0.42685182399999999</v>
      </c>
      <c r="P1050">
        <v>0.47449607300000002</v>
      </c>
      <c r="Q1050">
        <v>0.51730042700000001</v>
      </c>
    </row>
    <row r="1051" spans="1:17" x14ac:dyDescent="0.25">
      <c r="A1051" t="s">
        <v>5</v>
      </c>
      <c r="B1051" t="s">
        <v>6</v>
      </c>
      <c r="C1051" t="s">
        <v>260</v>
      </c>
      <c r="D1051" t="s">
        <v>100</v>
      </c>
      <c r="E1051" t="s">
        <v>27</v>
      </c>
      <c r="F1051">
        <v>0.171219023</v>
      </c>
      <c r="G1051">
        <v>0.20933196100000001</v>
      </c>
      <c r="H1051">
        <v>0.27516853800000002</v>
      </c>
      <c r="I1051">
        <v>0.36733805000000003</v>
      </c>
      <c r="J1051">
        <v>0.47683315999999998</v>
      </c>
      <c r="K1051">
        <v>0.62480847500000003</v>
      </c>
      <c r="L1051">
        <v>0.811278316</v>
      </c>
      <c r="M1051">
        <v>1.0524541869999999</v>
      </c>
      <c r="N1051">
        <v>1.3741437480000001</v>
      </c>
      <c r="O1051">
        <v>1.7843233629999999</v>
      </c>
      <c r="P1051">
        <v>2.2880143749999999</v>
      </c>
      <c r="Q1051">
        <v>2.8174249360000001</v>
      </c>
    </row>
    <row r="1052" spans="1:17" x14ac:dyDescent="0.25">
      <c r="A1052" t="s">
        <v>5</v>
      </c>
      <c r="B1052" t="s">
        <v>6</v>
      </c>
      <c r="C1052" t="s">
        <v>260</v>
      </c>
      <c r="D1052" t="s">
        <v>101</v>
      </c>
      <c r="E1052" t="s">
        <v>27</v>
      </c>
      <c r="F1052">
        <v>0.55589639400000002</v>
      </c>
      <c r="G1052">
        <v>0.65370973099999996</v>
      </c>
      <c r="H1052">
        <v>0.82439055699999997</v>
      </c>
      <c r="I1052">
        <v>0.953421886</v>
      </c>
      <c r="J1052">
        <v>1.1810263489999999</v>
      </c>
      <c r="K1052">
        <v>1.3856343280000001</v>
      </c>
      <c r="L1052">
        <v>1.7179433390000001</v>
      </c>
      <c r="M1052">
        <v>2.085897369</v>
      </c>
      <c r="N1052">
        <v>2.5405084480000002</v>
      </c>
      <c r="O1052">
        <v>3.0818717100000002</v>
      </c>
      <c r="P1052">
        <v>3.7077865839999999</v>
      </c>
      <c r="Q1052">
        <v>4.3404996569999996</v>
      </c>
    </row>
    <row r="1053" spans="1:17" x14ac:dyDescent="0.25">
      <c r="A1053" t="s">
        <v>5</v>
      </c>
      <c r="B1053" t="s">
        <v>6</v>
      </c>
      <c r="C1053" t="s">
        <v>260</v>
      </c>
      <c r="D1053" t="s">
        <v>102</v>
      </c>
      <c r="E1053" t="s">
        <v>27</v>
      </c>
      <c r="F1053">
        <v>9.3328200000000004E-3</v>
      </c>
      <c r="G1053">
        <v>1.2721701E-2</v>
      </c>
      <c r="H1053">
        <v>9.6324859999999991E-3</v>
      </c>
      <c r="I1053">
        <v>8.9221690000000006E-3</v>
      </c>
      <c r="J1053">
        <v>7.9914310000000002E-3</v>
      </c>
      <c r="K1053">
        <v>8.7158589999999994E-3</v>
      </c>
      <c r="L1053">
        <v>9.8340619999999993E-3</v>
      </c>
      <c r="M1053">
        <v>1.0746412E-2</v>
      </c>
      <c r="N1053">
        <v>1.1822852E-2</v>
      </c>
      <c r="O1053">
        <v>1.3445897E-2</v>
      </c>
      <c r="P1053">
        <v>1.5564315E-2</v>
      </c>
      <c r="Q1053">
        <v>1.8076361999999999E-2</v>
      </c>
    </row>
    <row r="1054" spans="1:17" x14ac:dyDescent="0.25">
      <c r="A1054" t="s">
        <v>5</v>
      </c>
      <c r="B1054" t="s">
        <v>6</v>
      </c>
      <c r="C1054" t="s">
        <v>260</v>
      </c>
      <c r="D1054" t="s">
        <v>103</v>
      </c>
      <c r="E1054" t="s">
        <v>27</v>
      </c>
      <c r="F1054">
        <v>5.3655399999999996E-4</v>
      </c>
      <c r="G1054">
        <v>1.2226240000000001E-3</v>
      </c>
      <c r="H1054">
        <v>4.0914530000000001E-3</v>
      </c>
      <c r="I1054">
        <v>4.1325570000000002E-3</v>
      </c>
      <c r="J1054">
        <v>7.2730500000000003E-4</v>
      </c>
      <c r="K1054">
        <v>1.11057E-3</v>
      </c>
      <c r="L1054">
        <v>1.8783339999999999E-3</v>
      </c>
      <c r="M1054">
        <v>3.0478789999999999E-3</v>
      </c>
      <c r="N1054">
        <v>3.8741230000000001E-3</v>
      </c>
      <c r="O1054">
        <v>4.360488E-3</v>
      </c>
      <c r="P1054">
        <v>5.3982530000000004E-3</v>
      </c>
      <c r="Q1054">
        <v>6.829552E-3</v>
      </c>
    </row>
    <row r="1055" spans="1:17" x14ac:dyDescent="0.25">
      <c r="A1055" t="s">
        <v>5</v>
      </c>
      <c r="B1055" t="s">
        <v>6</v>
      </c>
      <c r="C1055" t="s">
        <v>260</v>
      </c>
      <c r="D1055" t="s">
        <v>104</v>
      </c>
      <c r="E1055" t="s">
        <v>27</v>
      </c>
      <c r="F1055">
        <v>1.8571E-3</v>
      </c>
      <c r="G1055">
        <v>3.2134440000000002E-3</v>
      </c>
      <c r="H1055">
        <v>2.2171040000000001E-3</v>
      </c>
      <c r="I1055">
        <v>2.38098E-3</v>
      </c>
      <c r="J1055">
        <v>2.867391E-3</v>
      </c>
      <c r="K1055">
        <v>3.1096019999999999E-3</v>
      </c>
      <c r="L1055">
        <v>3.1717550000000001E-3</v>
      </c>
      <c r="M1055">
        <v>3.4605360000000002E-3</v>
      </c>
      <c r="N1055">
        <v>4.0662950000000002E-3</v>
      </c>
      <c r="O1055">
        <v>4.6906789999999997E-3</v>
      </c>
      <c r="P1055">
        <v>5.2142430000000003E-3</v>
      </c>
      <c r="Q1055">
        <v>5.6846199999999996E-3</v>
      </c>
    </row>
    <row r="1056" spans="1:17" x14ac:dyDescent="0.25">
      <c r="A1056" t="s">
        <v>5</v>
      </c>
      <c r="B1056" t="s">
        <v>6</v>
      </c>
      <c r="C1056" t="s">
        <v>260</v>
      </c>
      <c r="D1056" t="s">
        <v>105</v>
      </c>
      <c r="E1056" t="s">
        <v>27</v>
      </c>
      <c r="F1056">
        <v>3.2727702999999997E-2</v>
      </c>
      <c r="G1056">
        <v>3.9968484999999998E-2</v>
      </c>
      <c r="H1056">
        <v>5.2588428999999999E-2</v>
      </c>
      <c r="I1056">
        <v>7.0702799999999996E-2</v>
      </c>
      <c r="J1056">
        <v>9.2548792000000005E-2</v>
      </c>
      <c r="K1056">
        <v>0.122154956</v>
      </c>
      <c r="L1056">
        <v>0.15895467899999999</v>
      </c>
      <c r="M1056">
        <v>0.20637783100000001</v>
      </c>
      <c r="N1056">
        <v>0.27130070099999998</v>
      </c>
      <c r="O1056">
        <v>0.36161477600000003</v>
      </c>
      <c r="P1056">
        <v>0.48868675</v>
      </c>
      <c r="Q1056">
        <v>0.64131378000000006</v>
      </c>
    </row>
    <row r="1057" spans="1:17" x14ac:dyDescent="0.25">
      <c r="A1057" t="s">
        <v>5</v>
      </c>
      <c r="B1057" t="s">
        <v>6</v>
      </c>
      <c r="C1057" t="s">
        <v>260</v>
      </c>
      <c r="D1057" t="s">
        <v>106</v>
      </c>
      <c r="E1057" t="s">
        <v>27</v>
      </c>
      <c r="F1057">
        <v>4.0456126000000002E-2</v>
      </c>
      <c r="G1057">
        <v>4.9477744999999997E-2</v>
      </c>
      <c r="H1057">
        <v>6.4787294999999995E-2</v>
      </c>
      <c r="I1057">
        <v>8.5068005000000002E-2</v>
      </c>
      <c r="J1057">
        <v>0.109382826</v>
      </c>
      <c r="K1057">
        <v>0.14184836000000001</v>
      </c>
      <c r="L1057">
        <v>0.182177956</v>
      </c>
      <c r="M1057">
        <v>0.233851487</v>
      </c>
      <c r="N1057">
        <v>0.30361246600000003</v>
      </c>
      <c r="O1057">
        <v>0.39908439000000001</v>
      </c>
      <c r="P1057">
        <v>0.53190644300000001</v>
      </c>
      <c r="Q1057">
        <v>0.68999105599999999</v>
      </c>
    </row>
    <row r="1058" spans="1:17" x14ac:dyDescent="0.25">
      <c r="A1058" t="s">
        <v>5</v>
      </c>
      <c r="B1058" t="s">
        <v>6</v>
      </c>
      <c r="C1058" t="s">
        <v>260</v>
      </c>
      <c r="D1058" t="s">
        <v>107</v>
      </c>
      <c r="E1058" t="s">
        <v>27</v>
      </c>
      <c r="F1058">
        <v>1.2406400000000001E-4</v>
      </c>
      <c r="G1058">
        <v>1.54337E-4</v>
      </c>
      <c r="H1058">
        <v>1.5448299999999999E-4</v>
      </c>
      <c r="I1058">
        <v>1.7174700000000001E-4</v>
      </c>
      <c r="J1058">
        <v>1.6115899999999999E-4</v>
      </c>
      <c r="K1058">
        <v>1.7295099999999999E-4</v>
      </c>
      <c r="L1058">
        <v>1.9168700000000001E-4</v>
      </c>
      <c r="M1058">
        <v>2.15331E-4</v>
      </c>
      <c r="N1058">
        <v>2.44811E-4</v>
      </c>
      <c r="O1058">
        <v>2.8256499999999998E-4</v>
      </c>
      <c r="P1058">
        <v>3.3114899999999998E-4</v>
      </c>
      <c r="Q1058">
        <v>3.85807E-4</v>
      </c>
    </row>
    <row r="1059" spans="1:17" x14ac:dyDescent="0.25">
      <c r="A1059" t="s">
        <v>5</v>
      </c>
      <c r="B1059" t="s">
        <v>6</v>
      </c>
      <c r="C1059" t="s">
        <v>260</v>
      </c>
      <c r="D1059" t="s">
        <v>108</v>
      </c>
      <c r="E1059" t="s">
        <v>27</v>
      </c>
      <c r="F1059" s="1">
        <v>2.1900000000000002E-6</v>
      </c>
      <c r="G1059" s="1">
        <v>5.3600000000000004E-6</v>
      </c>
      <c r="H1059" s="1">
        <v>2.0299999999999999E-5</v>
      </c>
      <c r="I1059" s="1">
        <v>2.26E-5</v>
      </c>
      <c r="J1059" s="1">
        <v>1.7799999999999999E-6</v>
      </c>
      <c r="K1059" s="1">
        <v>3.1599999999999998E-6</v>
      </c>
      <c r="L1059" s="1">
        <v>7.0999999999999998E-6</v>
      </c>
      <c r="M1059" s="1">
        <v>1.33E-5</v>
      </c>
      <c r="N1059" s="1">
        <v>1.7600000000000001E-5</v>
      </c>
      <c r="O1059" s="1">
        <v>2.0699999999999998E-5</v>
      </c>
      <c r="P1059" s="1">
        <v>2.72E-5</v>
      </c>
      <c r="Q1059" s="1">
        <v>3.5800000000000003E-5</v>
      </c>
    </row>
    <row r="1060" spans="1:17" x14ac:dyDescent="0.25">
      <c r="A1060" t="s">
        <v>5</v>
      </c>
      <c r="B1060" t="s">
        <v>6</v>
      </c>
      <c r="C1060" t="s">
        <v>260</v>
      </c>
      <c r="D1060" t="s">
        <v>109</v>
      </c>
      <c r="E1060" t="s">
        <v>27</v>
      </c>
      <c r="F1060">
        <v>1.8571E-3</v>
      </c>
      <c r="G1060">
        <v>3.2134440000000002E-3</v>
      </c>
      <c r="H1060">
        <v>2.2171040000000001E-3</v>
      </c>
      <c r="I1060">
        <v>2.38098E-3</v>
      </c>
      <c r="J1060">
        <v>2.867391E-3</v>
      </c>
      <c r="K1060">
        <v>3.1096019999999999E-3</v>
      </c>
      <c r="L1060">
        <v>3.1717550000000001E-3</v>
      </c>
      <c r="M1060">
        <v>3.4605360000000002E-3</v>
      </c>
      <c r="N1060">
        <v>4.0662950000000002E-3</v>
      </c>
      <c r="O1060">
        <v>4.6906789999999997E-3</v>
      </c>
      <c r="P1060">
        <v>5.2142430000000003E-3</v>
      </c>
      <c r="Q1060">
        <v>5.6846199999999996E-3</v>
      </c>
    </row>
    <row r="1061" spans="1:17" x14ac:dyDescent="0.25">
      <c r="A1061" t="s">
        <v>5</v>
      </c>
      <c r="B1061" t="s">
        <v>6</v>
      </c>
      <c r="C1061" t="s">
        <v>260</v>
      </c>
      <c r="D1061" t="s">
        <v>110</v>
      </c>
      <c r="E1061" t="s">
        <v>27</v>
      </c>
      <c r="F1061">
        <v>4.7073670999999997E-2</v>
      </c>
      <c r="G1061">
        <v>5.7565111000000002E-2</v>
      </c>
      <c r="H1061">
        <v>7.5655400999999997E-2</v>
      </c>
      <c r="I1061">
        <v>0.100852371</v>
      </c>
      <c r="J1061">
        <v>0.13069002699999999</v>
      </c>
      <c r="K1061">
        <v>0.170938323</v>
      </c>
      <c r="L1061">
        <v>0.22177381900000001</v>
      </c>
      <c r="M1061">
        <v>0.287641164</v>
      </c>
      <c r="N1061">
        <v>0.37497346300000001</v>
      </c>
      <c r="O1061">
        <v>0.48388632999999998</v>
      </c>
      <c r="P1061">
        <v>0.61236196799999998</v>
      </c>
      <c r="Q1061">
        <v>0.74114463200000003</v>
      </c>
    </row>
    <row r="1062" spans="1:17" x14ac:dyDescent="0.25">
      <c r="A1062" t="s">
        <v>5</v>
      </c>
      <c r="B1062" t="s">
        <v>6</v>
      </c>
      <c r="C1062" t="s">
        <v>260</v>
      </c>
      <c r="D1062" t="s">
        <v>111</v>
      </c>
      <c r="E1062" t="s">
        <v>27</v>
      </c>
      <c r="F1062">
        <v>7.3447729000000003E-2</v>
      </c>
      <c r="G1062">
        <v>9.1944166999999993E-2</v>
      </c>
      <c r="H1062">
        <v>0.12489987800000001</v>
      </c>
      <c r="I1062">
        <v>0.156254964</v>
      </c>
      <c r="J1062">
        <v>0.19498080800000001</v>
      </c>
      <c r="K1062">
        <v>0.24486171100000001</v>
      </c>
      <c r="L1062">
        <v>0.31158071900000001</v>
      </c>
      <c r="M1062">
        <v>0.39404346899999998</v>
      </c>
      <c r="N1062">
        <v>0.497963814</v>
      </c>
      <c r="O1062">
        <v>0.62396146799999996</v>
      </c>
      <c r="P1062">
        <v>0.76786592300000001</v>
      </c>
      <c r="Q1062">
        <v>0.90905371400000001</v>
      </c>
    </row>
    <row r="1063" spans="1:17" x14ac:dyDescent="0.25">
      <c r="A1063" t="s">
        <v>5</v>
      </c>
      <c r="B1063" t="s">
        <v>6</v>
      </c>
      <c r="C1063" t="s">
        <v>260</v>
      </c>
      <c r="D1063" t="s">
        <v>112</v>
      </c>
      <c r="E1063" t="s">
        <v>27</v>
      </c>
      <c r="F1063" s="1">
        <v>6.8100000000000002E-5</v>
      </c>
      <c r="G1063">
        <v>1.0024199999999999E-4</v>
      </c>
      <c r="H1063" s="1">
        <v>5.6900000000000001E-5</v>
      </c>
      <c r="I1063" s="1">
        <v>3.82E-5</v>
      </c>
      <c r="J1063" s="1">
        <v>3.0499999999999999E-5</v>
      </c>
      <c r="K1063" s="1">
        <v>3.4700000000000003E-5</v>
      </c>
      <c r="L1063" s="1">
        <v>4.1E-5</v>
      </c>
      <c r="M1063" s="1">
        <v>4.1900000000000002E-5</v>
      </c>
      <c r="N1063" s="1">
        <v>4.2200000000000003E-5</v>
      </c>
      <c r="O1063" s="1">
        <v>4.6100000000000002E-5</v>
      </c>
      <c r="P1063" s="1">
        <v>5.1799999999999999E-5</v>
      </c>
      <c r="Q1063" s="1">
        <v>6.0900000000000003E-5</v>
      </c>
    </row>
    <row r="1064" spans="1:17" x14ac:dyDescent="0.25">
      <c r="A1064" t="s">
        <v>5</v>
      </c>
      <c r="B1064" t="s">
        <v>6</v>
      </c>
      <c r="C1064" t="s">
        <v>260</v>
      </c>
      <c r="D1064" t="s">
        <v>113</v>
      </c>
      <c r="E1064" t="s">
        <v>27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0.25">
      <c r="A1065" t="s">
        <v>5</v>
      </c>
      <c r="B1065" t="s">
        <v>6</v>
      </c>
      <c r="C1065" t="s">
        <v>260</v>
      </c>
      <c r="D1065" t="s">
        <v>114</v>
      </c>
      <c r="E1065" t="s">
        <v>27</v>
      </c>
      <c r="F1065">
        <v>1.11426E-4</v>
      </c>
      <c r="G1065">
        <v>1.92807E-4</v>
      </c>
      <c r="H1065">
        <v>1.3302600000000001E-4</v>
      </c>
      <c r="I1065">
        <v>1.4285900000000001E-4</v>
      </c>
      <c r="J1065">
        <v>1.7204300000000001E-4</v>
      </c>
      <c r="K1065">
        <v>1.8657600000000001E-4</v>
      </c>
      <c r="L1065">
        <v>1.9030499999999999E-4</v>
      </c>
      <c r="M1065">
        <v>2.0763199999999999E-4</v>
      </c>
      <c r="N1065">
        <v>2.43978E-4</v>
      </c>
      <c r="O1065">
        <v>2.81441E-4</v>
      </c>
      <c r="P1065">
        <v>3.1285500000000001E-4</v>
      </c>
      <c r="Q1065">
        <v>3.4107700000000001E-4</v>
      </c>
    </row>
    <row r="1066" spans="1:17" x14ac:dyDescent="0.25">
      <c r="A1066" t="s">
        <v>5</v>
      </c>
      <c r="B1066" t="s">
        <v>6</v>
      </c>
      <c r="C1066" t="s">
        <v>260</v>
      </c>
      <c r="D1066" t="s">
        <v>115</v>
      </c>
      <c r="E1066" t="s">
        <v>27</v>
      </c>
      <c r="F1066">
        <v>0.220517136</v>
      </c>
      <c r="G1066">
        <v>0.26966964500000001</v>
      </c>
      <c r="H1066">
        <v>0.35441865900000002</v>
      </c>
      <c r="I1066">
        <v>0.47249060300000001</v>
      </c>
      <c r="J1066">
        <v>0.61230986300000001</v>
      </c>
      <c r="K1066">
        <v>0.80078892899999998</v>
      </c>
      <c r="L1066">
        <v>1.0388169300000001</v>
      </c>
      <c r="M1066">
        <v>1.347343105</v>
      </c>
      <c r="N1066">
        <v>1.756437815</v>
      </c>
      <c r="O1066">
        <v>2.266693241</v>
      </c>
      <c r="P1066">
        <v>2.868707347</v>
      </c>
      <c r="Q1066">
        <v>3.4720004919999998</v>
      </c>
    </row>
    <row r="1067" spans="1:17" x14ac:dyDescent="0.25">
      <c r="A1067" t="s">
        <v>5</v>
      </c>
      <c r="B1067" t="s">
        <v>6</v>
      </c>
      <c r="C1067" t="s">
        <v>260</v>
      </c>
      <c r="D1067" t="s">
        <v>116</v>
      </c>
      <c r="E1067" t="s">
        <v>27</v>
      </c>
      <c r="F1067">
        <v>0.45983080500000001</v>
      </c>
      <c r="G1067">
        <v>0.55731064900000005</v>
      </c>
      <c r="H1067">
        <v>0.71416357399999997</v>
      </c>
      <c r="I1067">
        <v>0.88222404399999999</v>
      </c>
      <c r="J1067">
        <v>1.0973214600000001</v>
      </c>
      <c r="K1067">
        <v>1.344414333</v>
      </c>
      <c r="L1067">
        <v>1.6802113190000001</v>
      </c>
      <c r="M1067">
        <v>2.0893512190000001</v>
      </c>
      <c r="N1067">
        <v>2.6077203930000001</v>
      </c>
      <c r="O1067">
        <v>3.2295636889999999</v>
      </c>
      <c r="P1067">
        <v>3.9460978400000002</v>
      </c>
      <c r="Q1067">
        <v>4.6522892359999997</v>
      </c>
    </row>
    <row r="1068" spans="1:17" x14ac:dyDescent="0.25">
      <c r="A1068" t="s">
        <v>5</v>
      </c>
      <c r="B1068" t="s">
        <v>6</v>
      </c>
      <c r="C1068" t="s">
        <v>260</v>
      </c>
      <c r="D1068" t="s">
        <v>117</v>
      </c>
      <c r="E1068" t="s">
        <v>27</v>
      </c>
      <c r="F1068">
        <v>3.8445599999999998E-4</v>
      </c>
      <c r="G1068">
        <v>5.6623100000000005E-4</v>
      </c>
      <c r="H1068">
        <v>3.2136600000000001E-4</v>
      </c>
      <c r="I1068">
        <v>2.1592099999999999E-4</v>
      </c>
      <c r="J1068">
        <v>1.7244600000000001E-4</v>
      </c>
      <c r="K1068">
        <v>1.96152E-4</v>
      </c>
      <c r="L1068">
        <v>2.31246E-4</v>
      </c>
      <c r="M1068">
        <v>2.3610999999999999E-4</v>
      </c>
      <c r="N1068">
        <v>2.3740600000000001E-4</v>
      </c>
      <c r="O1068">
        <v>2.5862999999999998E-4</v>
      </c>
      <c r="P1068">
        <v>2.8911799999999999E-4</v>
      </c>
      <c r="Q1068">
        <v>3.3546500000000001E-4</v>
      </c>
    </row>
    <row r="1069" spans="1:17" x14ac:dyDescent="0.25">
      <c r="A1069" t="s">
        <v>5</v>
      </c>
      <c r="B1069" t="s">
        <v>6</v>
      </c>
      <c r="C1069" t="s">
        <v>260</v>
      </c>
      <c r="D1069" t="s">
        <v>118</v>
      </c>
      <c r="E1069" t="s">
        <v>27</v>
      </c>
      <c r="F1069" s="1">
        <v>4.1399999999999997E-5</v>
      </c>
      <c r="G1069" s="1">
        <v>9.4400000000000004E-5</v>
      </c>
      <c r="H1069">
        <v>3.15884E-4</v>
      </c>
      <c r="I1069">
        <v>3.1905799999999999E-4</v>
      </c>
      <c r="J1069" s="1">
        <v>5.6199999999999997E-5</v>
      </c>
      <c r="K1069" s="1">
        <v>8.5699999999999996E-5</v>
      </c>
      <c r="L1069">
        <v>1.4501800000000001E-4</v>
      </c>
      <c r="M1069">
        <v>2.35314E-4</v>
      </c>
      <c r="N1069">
        <v>2.9910499999999998E-4</v>
      </c>
      <c r="O1069">
        <v>3.3665499999999999E-4</v>
      </c>
      <c r="P1069">
        <v>4.1677700000000001E-4</v>
      </c>
      <c r="Q1069">
        <v>5.2728200000000001E-4</v>
      </c>
    </row>
    <row r="1070" spans="1:17" x14ac:dyDescent="0.25">
      <c r="A1070" t="s">
        <v>5</v>
      </c>
      <c r="B1070" t="s">
        <v>6</v>
      </c>
      <c r="C1070" t="s">
        <v>260</v>
      </c>
      <c r="D1070" t="s">
        <v>119</v>
      </c>
      <c r="E1070" t="s">
        <v>27</v>
      </c>
      <c r="F1070">
        <v>3.7141990000000001E-3</v>
      </c>
      <c r="G1070">
        <v>6.4268880000000004E-3</v>
      </c>
      <c r="H1070">
        <v>4.4342089999999997E-3</v>
      </c>
      <c r="I1070">
        <v>4.76196E-3</v>
      </c>
      <c r="J1070">
        <v>5.7347819999999999E-3</v>
      </c>
      <c r="K1070">
        <v>6.2192050000000002E-3</v>
      </c>
      <c r="L1070">
        <v>6.3435109999999996E-3</v>
      </c>
      <c r="M1070">
        <v>6.9210720000000003E-3</v>
      </c>
      <c r="N1070">
        <v>8.1325909999999998E-3</v>
      </c>
      <c r="O1070">
        <v>9.3813590000000006E-3</v>
      </c>
      <c r="P1070">
        <v>1.0428484999999999E-2</v>
      </c>
      <c r="Q1070">
        <v>1.1369239999999999E-2</v>
      </c>
    </row>
    <row r="1071" spans="1:17" x14ac:dyDescent="0.25">
      <c r="A1071" t="s">
        <v>5</v>
      </c>
      <c r="B1071" t="s">
        <v>6</v>
      </c>
      <c r="C1071" t="s">
        <v>260</v>
      </c>
      <c r="D1071" t="s">
        <v>120</v>
      </c>
      <c r="E1071" t="s">
        <v>27</v>
      </c>
      <c r="F1071">
        <v>3.9540898229999999</v>
      </c>
      <c r="G1071">
        <v>4.6556138000000002</v>
      </c>
      <c r="H1071">
        <v>5.6244278029999997</v>
      </c>
      <c r="I1071">
        <v>6.5665948160000003</v>
      </c>
      <c r="J1071">
        <v>7.3431961609999998</v>
      </c>
      <c r="K1071">
        <v>8.2184212280000004</v>
      </c>
      <c r="L1071">
        <v>9.4545121600000002</v>
      </c>
      <c r="M1071">
        <v>10.881419210000001</v>
      </c>
      <c r="N1071">
        <v>12.515352650000001</v>
      </c>
      <c r="O1071">
        <v>14.38226476</v>
      </c>
      <c r="P1071">
        <v>16.52498993</v>
      </c>
      <c r="Q1071">
        <v>18.697290559999999</v>
      </c>
    </row>
    <row r="1072" spans="1:17" x14ac:dyDescent="0.25">
      <c r="A1072" t="s">
        <v>5</v>
      </c>
      <c r="B1072" t="s">
        <v>6</v>
      </c>
      <c r="C1072" t="s">
        <v>260</v>
      </c>
      <c r="D1072" t="s">
        <v>121</v>
      </c>
      <c r="E1072" t="s">
        <v>27</v>
      </c>
      <c r="F1072">
        <v>1.7702155740000001</v>
      </c>
      <c r="G1072">
        <v>2.1069796040000002</v>
      </c>
      <c r="H1072">
        <v>2.9804290959999999</v>
      </c>
      <c r="I1072">
        <v>3.6579251730000002</v>
      </c>
      <c r="J1072">
        <v>3.6302153879999999</v>
      </c>
      <c r="K1072">
        <v>4.3619985430000003</v>
      </c>
      <c r="L1072">
        <v>5.3622884109999998</v>
      </c>
      <c r="M1072">
        <v>6.6829216599999999</v>
      </c>
      <c r="N1072">
        <v>8.4248172669999999</v>
      </c>
      <c r="O1072">
        <v>10.73548555</v>
      </c>
      <c r="P1072">
        <v>13.818974989999999</v>
      </c>
      <c r="Q1072">
        <v>17.288106519999999</v>
      </c>
    </row>
    <row r="1073" spans="1:17" x14ac:dyDescent="0.25">
      <c r="A1073" t="s">
        <v>5</v>
      </c>
      <c r="B1073" t="s">
        <v>6</v>
      </c>
      <c r="C1073" t="s">
        <v>260</v>
      </c>
      <c r="D1073" t="s">
        <v>122</v>
      </c>
      <c r="E1073" t="s">
        <v>27</v>
      </c>
      <c r="F1073">
        <v>0.25008145999999998</v>
      </c>
      <c r="G1073">
        <v>0.28942672000000003</v>
      </c>
      <c r="H1073">
        <v>0.34696939199999999</v>
      </c>
      <c r="I1073">
        <v>0.39376035100000001</v>
      </c>
      <c r="J1073">
        <v>0.42800254799999998</v>
      </c>
      <c r="K1073">
        <v>0.47122929099999999</v>
      </c>
      <c r="L1073">
        <v>0.53094145699999995</v>
      </c>
      <c r="M1073">
        <v>0.59837194000000005</v>
      </c>
      <c r="N1073">
        <v>0.67409094300000005</v>
      </c>
      <c r="O1073">
        <v>0.75920944800000001</v>
      </c>
      <c r="P1073">
        <v>0.85566340900000004</v>
      </c>
      <c r="Q1073">
        <v>0.95261094700000004</v>
      </c>
    </row>
    <row r="1074" spans="1:17" x14ac:dyDescent="0.25">
      <c r="A1074" t="s">
        <v>5</v>
      </c>
      <c r="B1074" t="s">
        <v>6</v>
      </c>
      <c r="C1074" t="s">
        <v>260</v>
      </c>
      <c r="D1074" t="s">
        <v>123</v>
      </c>
      <c r="E1074" t="s">
        <v>27</v>
      </c>
      <c r="F1074">
        <v>0.114590134</v>
      </c>
      <c r="G1074">
        <v>0.135499652</v>
      </c>
      <c r="H1074">
        <v>0.18718433600000001</v>
      </c>
      <c r="I1074">
        <v>0.23080856199999999</v>
      </c>
      <c r="J1074">
        <v>0.233377168</v>
      </c>
      <c r="K1074">
        <v>0.27947202399999999</v>
      </c>
      <c r="L1074">
        <v>0.34176669300000001</v>
      </c>
      <c r="M1074">
        <v>0.42299677499999999</v>
      </c>
      <c r="N1074">
        <v>0.52856884900000001</v>
      </c>
      <c r="O1074">
        <v>0.66609448599999999</v>
      </c>
      <c r="P1074">
        <v>0.84552350300000001</v>
      </c>
      <c r="Q1074">
        <v>1.0429174459999999</v>
      </c>
    </row>
    <row r="1075" spans="1:17" x14ac:dyDescent="0.25">
      <c r="A1075" t="s">
        <v>5</v>
      </c>
      <c r="B1075" t="s">
        <v>6</v>
      </c>
      <c r="C1075" t="s">
        <v>260</v>
      </c>
      <c r="D1075" t="s">
        <v>124</v>
      </c>
      <c r="E1075" t="s">
        <v>27</v>
      </c>
      <c r="F1075">
        <v>0.10730891400000001</v>
      </c>
      <c r="G1075">
        <v>0.123495284</v>
      </c>
      <c r="H1075">
        <v>0.14767153099999999</v>
      </c>
      <c r="I1075">
        <v>0.16597205500000001</v>
      </c>
      <c r="J1075">
        <v>0.17860741699999999</v>
      </c>
      <c r="K1075">
        <v>0.195484624</v>
      </c>
      <c r="L1075">
        <v>0.218552309</v>
      </c>
      <c r="M1075">
        <v>0.24432994099999999</v>
      </c>
      <c r="N1075">
        <v>0.27299918499999998</v>
      </c>
      <c r="O1075">
        <v>0.304963331</v>
      </c>
      <c r="P1075">
        <v>0.34094622000000002</v>
      </c>
      <c r="Q1075">
        <v>0.37695095299999998</v>
      </c>
    </row>
    <row r="1076" spans="1:17" x14ac:dyDescent="0.25">
      <c r="A1076" t="s">
        <v>5</v>
      </c>
      <c r="B1076" t="s">
        <v>6</v>
      </c>
      <c r="C1076" t="s">
        <v>260</v>
      </c>
      <c r="D1076" t="s">
        <v>125</v>
      </c>
      <c r="E1076" t="s">
        <v>27</v>
      </c>
      <c r="F1076">
        <v>6.9250838999999995E-2</v>
      </c>
      <c r="G1076">
        <v>8.2310804000000001E-2</v>
      </c>
      <c r="H1076">
        <v>0.115966781</v>
      </c>
      <c r="I1076">
        <v>0.14236723400000001</v>
      </c>
      <c r="J1076">
        <v>0.141845581</v>
      </c>
      <c r="K1076">
        <v>0.17033277899999999</v>
      </c>
      <c r="L1076">
        <v>0.20918494400000001</v>
      </c>
      <c r="M1076">
        <v>0.26034901999999999</v>
      </c>
      <c r="N1076">
        <v>0.32762318299999998</v>
      </c>
      <c r="O1076">
        <v>0.41651214199999997</v>
      </c>
      <c r="P1076">
        <v>0.53453514400000002</v>
      </c>
      <c r="Q1076">
        <v>0.66664363900000001</v>
      </c>
    </row>
    <row r="1077" spans="1:17" x14ac:dyDescent="0.25">
      <c r="A1077" t="s">
        <v>5</v>
      </c>
      <c r="B1077" t="s">
        <v>6</v>
      </c>
      <c r="C1077" t="s">
        <v>260</v>
      </c>
      <c r="D1077" t="s">
        <v>126</v>
      </c>
      <c r="E1077" t="s">
        <v>27</v>
      </c>
      <c r="F1077">
        <v>79.173182800000006</v>
      </c>
      <c r="G1077">
        <v>92.513239960000007</v>
      </c>
      <c r="H1077">
        <v>111.361267</v>
      </c>
      <c r="I1077">
        <v>128.45664590000001</v>
      </c>
      <c r="J1077">
        <v>141.8611295</v>
      </c>
      <c r="K1077">
        <v>157.57487380000001</v>
      </c>
      <c r="L1077">
        <v>179.6682854</v>
      </c>
      <c r="M1077">
        <v>204.95874760000001</v>
      </c>
      <c r="N1077">
        <v>233.7059136</v>
      </c>
      <c r="O1077">
        <v>266.35319490000001</v>
      </c>
      <c r="P1077">
        <v>303.64551669999997</v>
      </c>
      <c r="Q1077">
        <v>341.32864439999997</v>
      </c>
    </row>
    <row r="1078" spans="1:17" x14ac:dyDescent="0.25">
      <c r="A1078" t="s">
        <v>5</v>
      </c>
      <c r="B1078" t="s">
        <v>6</v>
      </c>
      <c r="C1078" t="s">
        <v>260</v>
      </c>
      <c r="D1078" t="s">
        <v>127</v>
      </c>
      <c r="E1078" t="s">
        <v>27</v>
      </c>
      <c r="F1078">
        <v>18.723877219999999</v>
      </c>
      <c r="G1078">
        <v>22.230360350000002</v>
      </c>
      <c r="H1078">
        <v>31.135428139999998</v>
      </c>
      <c r="I1078">
        <v>38.313869420000003</v>
      </c>
      <c r="J1078">
        <v>38.285662389999999</v>
      </c>
      <c r="K1078">
        <v>45.940144840000002</v>
      </c>
      <c r="L1078">
        <v>56.358757799999999</v>
      </c>
      <c r="M1078">
        <v>70.053477209999997</v>
      </c>
      <c r="N1078">
        <v>88.027795139999995</v>
      </c>
      <c r="O1078">
        <v>111.7376294</v>
      </c>
      <c r="P1078">
        <v>143.17861210000001</v>
      </c>
      <c r="Q1078">
        <v>178.3580771</v>
      </c>
    </row>
    <row r="1079" spans="1:17" x14ac:dyDescent="0.25">
      <c r="A1079" t="s">
        <v>5</v>
      </c>
      <c r="B1079" t="s">
        <v>6</v>
      </c>
      <c r="C1079" t="s">
        <v>260</v>
      </c>
      <c r="D1079" t="s">
        <v>128</v>
      </c>
      <c r="E1079" t="s">
        <v>27</v>
      </c>
      <c r="F1079">
        <v>0.25357162999999999</v>
      </c>
      <c r="G1079">
        <v>0.29635095299999997</v>
      </c>
      <c r="H1079">
        <v>0.35695353299999999</v>
      </c>
      <c r="I1079">
        <v>0.41160943700000002</v>
      </c>
      <c r="J1079">
        <v>0.45510614100000002</v>
      </c>
      <c r="K1079">
        <v>0.50638175100000005</v>
      </c>
      <c r="L1079">
        <v>0.57780297800000002</v>
      </c>
      <c r="M1079">
        <v>0.65960285299999999</v>
      </c>
      <c r="N1079">
        <v>0.75262495100000004</v>
      </c>
      <c r="O1079">
        <v>0.85830714399999997</v>
      </c>
      <c r="P1079">
        <v>0.97907380799999999</v>
      </c>
      <c r="Q1079">
        <v>1.101169954</v>
      </c>
    </row>
    <row r="1080" spans="1:17" x14ac:dyDescent="0.25">
      <c r="A1080" t="s">
        <v>5</v>
      </c>
      <c r="B1080" t="s">
        <v>6</v>
      </c>
      <c r="C1080" t="s">
        <v>260</v>
      </c>
      <c r="D1080" t="s">
        <v>129</v>
      </c>
      <c r="E1080" t="s">
        <v>27</v>
      </c>
      <c r="F1080">
        <v>0.18444369099999999</v>
      </c>
      <c r="G1080">
        <v>0.21748398099999999</v>
      </c>
      <c r="H1080">
        <v>0.29655420300000002</v>
      </c>
      <c r="I1080">
        <v>0.36715741299999999</v>
      </c>
      <c r="J1080">
        <v>0.37425507000000002</v>
      </c>
      <c r="K1080">
        <v>0.447406164</v>
      </c>
      <c r="L1080">
        <v>0.545735207</v>
      </c>
      <c r="M1080">
        <v>0.67323717900000002</v>
      </c>
      <c r="N1080">
        <v>0.83789926299999995</v>
      </c>
      <c r="O1080">
        <v>1.0508191019999999</v>
      </c>
      <c r="P1080">
        <v>1.3262283939999999</v>
      </c>
      <c r="Q1080">
        <v>1.6268062050000001</v>
      </c>
    </row>
    <row r="1081" spans="1:17" x14ac:dyDescent="0.25">
      <c r="A1081" t="s">
        <v>5</v>
      </c>
      <c r="B1081" t="s">
        <v>6</v>
      </c>
      <c r="C1081" t="s">
        <v>260</v>
      </c>
      <c r="D1081" t="s">
        <v>130</v>
      </c>
      <c r="E1081" t="s">
        <v>27</v>
      </c>
      <c r="F1081">
        <v>4.3095421290000004</v>
      </c>
      <c r="G1081">
        <v>5.0154648179999999</v>
      </c>
      <c r="H1081">
        <v>6.0265355869999997</v>
      </c>
      <c r="I1081">
        <v>6.9054541800000004</v>
      </c>
      <c r="J1081">
        <v>7.5755649189999996</v>
      </c>
      <c r="K1081">
        <v>8.3826095780000003</v>
      </c>
      <c r="L1081">
        <v>9.5112197799999993</v>
      </c>
      <c r="M1081">
        <v>10.796409990000001</v>
      </c>
      <c r="N1081">
        <v>12.25048868</v>
      </c>
      <c r="O1081">
        <v>13.89546986</v>
      </c>
      <c r="P1081">
        <v>15.768815699999999</v>
      </c>
      <c r="Q1081">
        <v>17.657915320000001</v>
      </c>
    </row>
    <row r="1082" spans="1:17" x14ac:dyDescent="0.25">
      <c r="A1082" t="s">
        <v>5</v>
      </c>
      <c r="B1082" t="s">
        <v>6</v>
      </c>
      <c r="C1082" t="s">
        <v>260</v>
      </c>
      <c r="D1082" t="s">
        <v>131</v>
      </c>
      <c r="E1082" t="s">
        <v>27</v>
      </c>
      <c r="F1082">
        <v>0.35355812800000003</v>
      </c>
      <c r="G1082">
        <v>0.41955811300000001</v>
      </c>
      <c r="H1082">
        <v>0.58840081200000005</v>
      </c>
      <c r="I1082">
        <v>0.72315394499999996</v>
      </c>
      <c r="J1082">
        <v>0.72319320799999998</v>
      </c>
      <c r="K1082">
        <v>0.86785239000000003</v>
      </c>
      <c r="L1082">
        <v>1.0647360480000001</v>
      </c>
      <c r="M1082">
        <v>1.3234944470000001</v>
      </c>
      <c r="N1082">
        <v>1.6630927259999999</v>
      </c>
      <c r="O1082">
        <v>2.1111699970000002</v>
      </c>
      <c r="P1082">
        <v>2.7060395979999998</v>
      </c>
      <c r="Q1082">
        <v>3.3732888760000002</v>
      </c>
    </row>
    <row r="1083" spans="1:17" x14ac:dyDescent="0.25">
      <c r="A1083" t="s">
        <v>5</v>
      </c>
      <c r="B1083" t="s">
        <v>6</v>
      </c>
      <c r="C1083" t="s">
        <v>260</v>
      </c>
      <c r="D1083" t="s">
        <v>132</v>
      </c>
      <c r="E1083" t="s">
        <v>27</v>
      </c>
      <c r="F1083">
        <v>5.2830454999999998E-2</v>
      </c>
      <c r="G1083">
        <v>8.1319127000000005E-2</v>
      </c>
      <c r="H1083">
        <v>0.120562134</v>
      </c>
      <c r="I1083">
        <v>0.16556100400000001</v>
      </c>
      <c r="J1083">
        <v>0.228764306</v>
      </c>
      <c r="K1083">
        <v>0.33969417899999999</v>
      </c>
      <c r="L1083">
        <v>0.38213410599999997</v>
      </c>
      <c r="M1083">
        <v>0.401822173</v>
      </c>
      <c r="N1083">
        <v>0.51537928499999996</v>
      </c>
      <c r="O1083">
        <v>0.72098594299999996</v>
      </c>
      <c r="P1083">
        <v>1.0434091750000001</v>
      </c>
      <c r="Q1083">
        <v>1.334732633</v>
      </c>
    </row>
    <row r="1084" spans="1:17" x14ac:dyDescent="0.25">
      <c r="A1084" t="s">
        <v>5</v>
      </c>
      <c r="B1084" t="s">
        <v>6</v>
      </c>
      <c r="C1084" t="s">
        <v>260</v>
      </c>
      <c r="D1084" t="s">
        <v>133</v>
      </c>
      <c r="E1084" t="s">
        <v>27</v>
      </c>
      <c r="F1084">
        <v>0.354986835</v>
      </c>
      <c r="G1084">
        <v>0.49749865300000001</v>
      </c>
      <c r="H1084">
        <v>0.68494735200000001</v>
      </c>
      <c r="I1084">
        <v>0.86920623600000002</v>
      </c>
      <c r="J1084">
        <v>1.1682381420000001</v>
      </c>
      <c r="K1084">
        <v>1.5655999119999999</v>
      </c>
      <c r="L1084">
        <v>1.6019639779999999</v>
      </c>
      <c r="M1084">
        <v>1.4982655570000001</v>
      </c>
      <c r="N1084">
        <v>1.723556807</v>
      </c>
      <c r="O1084">
        <v>2.28906309</v>
      </c>
      <c r="P1084">
        <v>3.1756958800000001</v>
      </c>
      <c r="Q1084">
        <v>3.9600393820000002</v>
      </c>
    </row>
    <row r="1085" spans="1:17" x14ac:dyDescent="0.25">
      <c r="A1085" t="s">
        <v>5</v>
      </c>
      <c r="B1085" t="s">
        <v>6</v>
      </c>
      <c r="C1085" t="s">
        <v>260</v>
      </c>
      <c r="D1085" t="s">
        <v>134</v>
      </c>
      <c r="E1085" t="s">
        <v>27</v>
      </c>
      <c r="F1085">
        <v>3.8983300000000002E-4</v>
      </c>
      <c r="G1085">
        <v>6.5132999999999999E-4</v>
      </c>
      <c r="H1085">
        <v>1.0234E-3</v>
      </c>
      <c r="I1085">
        <v>1.8835569999999999E-3</v>
      </c>
      <c r="J1085">
        <v>2.1307880000000002E-3</v>
      </c>
      <c r="K1085">
        <v>3.1771379999999999E-3</v>
      </c>
      <c r="L1085">
        <v>5.0938499999999996E-3</v>
      </c>
      <c r="M1085">
        <v>9.1342279999999994E-3</v>
      </c>
      <c r="N1085">
        <v>1.4728069999999999E-2</v>
      </c>
      <c r="O1085">
        <v>2.1843329000000002E-2</v>
      </c>
      <c r="P1085">
        <v>3.2049047999999997E-2</v>
      </c>
      <c r="Q1085">
        <v>4.2839226000000001E-2</v>
      </c>
    </row>
    <row r="1086" spans="1:17" x14ac:dyDescent="0.25">
      <c r="A1086" t="s">
        <v>5</v>
      </c>
      <c r="B1086" t="s">
        <v>6</v>
      </c>
      <c r="C1086" t="s">
        <v>260</v>
      </c>
      <c r="D1086" t="s">
        <v>135</v>
      </c>
      <c r="E1086" t="s">
        <v>27</v>
      </c>
      <c r="F1086">
        <v>8.1607399999999997E-4</v>
      </c>
      <c r="G1086">
        <v>1.292833E-3</v>
      </c>
      <c r="H1086">
        <v>1.9668950000000002E-3</v>
      </c>
      <c r="I1086">
        <v>2.8819509999999998E-3</v>
      </c>
      <c r="J1086">
        <v>3.6863519999999999E-3</v>
      </c>
      <c r="K1086">
        <v>5.2092989999999997E-3</v>
      </c>
      <c r="L1086">
        <v>6.6084280000000004E-3</v>
      </c>
      <c r="M1086">
        <v>9.0226349999999993E-3</v>
      </c>
      <c r="N1086">
        <v>1.3488646999999999E-2</v>
      </c>
      <c r="O1086">
        <v>2.0293575000000001E-2</v>
      </c>
      <c r="P1086">
        <v>2.9781301E-2</v>
      </c>
      <c r="Q1086">
        <v>3.8966716999999998E-2</v>
      </c>
    </row>
    <row r="1087" spans="1:17" x14ac:dyDescent="0.25">
      <c r="A1087" t="s">
        <v>5</v>
      </c>
      <c r="B1087" t="s">
        <v>6</v>
      </c>
      <c r="C1087" t="s">
        <v>260</v>
      </c>
      <c r="D1087" t="s">
        <v>136</v>
      </c>
      <c r="E1087" t="s">
        <v>27</v>
      </c>
      <c r="F1087">
        <v>0</v>
      </c>
      <c r="G1087" s="1">
        <v>3.58E-9</v>
      </c>
      <c r="H1087" s="1">
        <v>2.7799999999999997E-7</v>
      </c>
      <c r="I1087" s="1">
        <v>7.7700000000000001E-6</v>
      </c>
      <c r="J1087">
        <v>1.08645E-4</v>
      </c>
      <c r="K1087">
        <v>8.38552E-4</v>
      </c>
      <c r="L1087">
        <v>3.7022660000000001E-3</v>
      </c>
      <c r="M1087">
        <v>1.1719916E-2</v>
      </c>
      <c r="N1087">
        <v>1.4516929E-2</v>
      </c>
      <c r="O1087">
        <v>8.5011099999999992E-3</v>
      </c>
      <c r="P1087">
        <v>4.4195679999999996E-3</v>
      </c>
      <c r="Q1087">
        <v>4.3609390000000003E-3</v>
      </c>
    </row>
    <row r="1088" spans="1:17" x14ac:dyDescent="0.25">
      <c r="A1088" t="s">
        <v>5</v>
      </c>
      <c r="B1088" t="s">
        <v>6</v>
      </c>
      <c r="C1088" t="s">
        <v>260</v>
      </c>
      <c r="D1088" t="s">
        <v>137</v>
      </c>
      <c r="E1088" t="s">
        <v>27</v>
      </c>
      <c r="F1088">
        <v>0.118595096</v>
      </c>
      <c r="G1088">
        <v>0.17506063099999999</v>
      </c>
      <c r="H1088">
        <v>0.23081176</v>
      </c>
      <c r="I1088">
        <v>0.27339535100000001</v>
      </c>
      <c r="J1088">
        <v>0.30386879900000002</v>
      </c>
      <c r="K1088">
        <v>0.34037229000000002</v>
      </c>
      <c r="L1088">
        <v>0.40833793200000001</v>
      </c>
      <c r="M1088">
        <v>0.52829019200000005</v>
      </c>
      <c r="N1088">
        <v>0.70209816800000002</v>
      </c>
      <c r="O1088">
        <v>0.91055153899999997</v>
      </c>
      <c r="P1088">
        <v>1.1559838250000001</v>
      </c>
      <c r="Q1088">
        <v>1.4309565209999999</v>
      </c>
    </row>
    <row r="1089" spans="1:17" x14ac:dyDescent="0.25">
      <c r="A1089" t="s">
        <v>5</v>
      </c>
      <c r="B1089" t="s">
        <v>6</v>
      </c>
      <c r="C1089" t="s">
        <v>260</v>
      </c>
      <c r="D1089" t="s">
        <v>138</v>
      </c>
      <c r="E1089" t="s">
        <v>27</v>
      </c>
      <c r="F1089">
        <v>0.31768915800000003</v>
      </c>
      <c r="G1089">
        <v>0.47724380900000002</v>
      </c>
      <c r="H1089">
        <v>0.652152387</v>
      </c>
      <c r="I1089">
        <v>0.79964869000000005</v>
      </c>
      <c r="J1089">
        <v>0.90247566800000001</v>
      </c>
      <c r="K1089">
        <v>0.995714396</v>
      </c>
      <c r="L1089">
        <v>1.1537851859999999</v>
      </c>
      <c r="M1089">
        <v>1.4550817709999999</v>
      </c>
      <c r="N1089">
        <v>1.9364372110000001</v>
      </c>
      <c r="O1089">
        <v>2.5713601480000001</v>
      </c>
      <c r="P1089">
        <v>3.3451415999999998</v>
      </c>
      <c r="Q1089">
        <v>4.1752411900000004</v>
      </c>
    </row>
    <row r="1090" spans="1:17" x14ac:dyDescent="0.25">
      <c r="A1090" t="s">
        <v>5</v>
      </c>
      <c r="B1090" t="s">
        <v>6</v>
      </c>
      <c r="C1090" t="s">
        <v>260</v>
      </c>
      <c r="D1090" t="s">
        <v>139</v>
      </c>
      <c r="E1090" t="s">
        <v>27</v>
      </c>
      <c r="F1090">
        <v>3.5914956999999997E-2</v>
      </c>
      <c r="G1090">
        <v>5.6200376000000003E-2</v>
      </c>
      <c r="H1090">
        <v>8.4049408000000006E-2</v>
      </c>
      <c r="I1090">
        <v>0.112259951</v>
      </c>
      <c r="J1090">
        <v>0.13203269200000001</v>
      </c>
      <c r="K1090">
        <v>0.14305241499999999</v>
      </c>
      <c r="L1090">
        <v>0.15524384399999999</v>
      </c>
      <c r="M1090">
        <v>0.18355435000000001</v>
      </c>
      <c r="N1090">
        <v>0.2394039</v>
      </c>
      <c r="O1090">
        <v>0.32140191600000001</v>
      </c>
      <c r="P1090">
        <v>0.41591249200000002</v>
      </c>
      <c r="Q1090">
        <v>0.49962740999999999</v>
      </c>
    </row>
    <row r="1091" spans="1:17" x14ac:dyDescent="0.25">
      <c r="A1091" t="s">
        <v>5</v>
      </c>
      <c r="B1091" t="s">
        <v>6</v>
      </c>
      <c r="C1091" t="s">
        <v>260</v>
      </c>
      <c r="D1091" t="s">
        <v>140</v>
      </c>
      <c r="E1091" t="s">
        <v>27</v>
      </c>
      <c r="F1091">
        <v>2.8321186000000002E-2</v>
      </c>
      <c r="G1091">
        <v>4.1516311E-2</v>
      </c>
      <c r="H1091">
        <v>5.5535499000000002E-2</v>
      </c>
      <c r="I1091">
        <v>6.8037128000000002E-2</v>
      </c>
      <c r="J1091">
        <v>7.7523341999999995E-2</v>
      </c>
      <c r="K1091">
        <v>8.7521645999999995E-2</v>
      </c>
      <c r="L1091">
        <v>0.103548104</v>
      </c>
      <c r="M1091">
        <v>0.13056311500000001</v>
      </c>
      <c r="N1091">
        <v>0.170862181</v>
      </c>
      <c r="O1091">
        <v>0.22011361900000001</v>
      </c>
      <c r="P1091">
        <v>0.27537447599999998</v>
      </c>
      <c r="Q1091">
        <v>0.33177489300000002</v>
      </c>
    </row>
    <row r="1092" spans="1:17" x14ac:dyDescent="0.25">
      <c r="A1092" t="s">
        <v>5</v>
      </c>
      <c r="B1092" t="s">
        <v>6</v>
      </c>
      <c r="C1092" t="s">
        <v>260</v>
      </c>
      <c r="D1092" t="s">
        <v>141</v>
      </c>
      <c r="E1092" t="s">
        <v>27</v>
      </c>
      <c r="F1092">
        <v>1.0688469999999999E-3</v>
      </c>
      <c r="G1092">
        <v>1.686955E-3</v>
      </c>
      <c r="H1092">
        <v>2.5067069999999999E-3</v>
      </c>
      <c r="I1092">
        <v>3.2890419999999998E-3</v>
      </c>
      <c r="J1092">
        <v>3.8042599999999998E-3</v>
      </c>
      <c r="K1092">
        <v>4.0726470000000004E-3</v>
      </c>
      <c r="L1092">
        <v>4.4204480000000004E-3</v>
      </c>
      <c r="M1092">
        <v>5.3073460000000001E-3</v>
      </c>
      <c r="N1092">
        <v>7.0699659999999996E-3</v>
      </c>
      <c r="O1092">
        <v>9.7323870000000003E-3</v>
      </c>
      <c r="P1092">
        <v>1.3014071E-2</v>
      </c>
      <c r="Q1092">
        <v>1.6206594000000001E-2</v>
      </c>
    </row>
    <row r="1093" spans="1:17" x14ac:dyDescent="0.25">
      <c r="A1093" t="s">
        <v>5</v>
      </c>
      <c r="B1093" t="s">
        <v>6</v>
      </c>
      <c r="C1093" t="s">
        <v>260</v>
      </c>
      <c r="D1093" t="s">
        <v>142</v>
      </c>
      <c r="E1093" t="s">
        <v>27</v>
      </c>
      <c r="F1093">
        <v>2.8386999999999998E-4</v>
      </c>
      <c r="G1093">
        <v>2.2121599999999999E-4</v>
      </c>
      <c r="H1093">
        <v>6.7636300000000003E-4</v>
      </c>
      <c r="I1093">
        <v>1.615724E-3</v>
      </c>
      <c r="J1093">
        <v>4.559858E-3</v>
      </c>
      <c r="K1093">
        <v>7.6925639999999998E-3</v>
      </c>
      <c r="L1093">
        <v>5.6051210000000002E-3</v>
      </c>
      <c r="M1093">
        <v>3.8375839999999998E-3</v>
      </c>
      <c r="N1093">
        <v>1.9074109999999999E-3</v>
      </c>
      <c r="O1093">
        <v>9.3824000000000002E-4</v>
      </c>
      <c r="P1093">
        <v>1.1421000000000001E-3</v>
      </c>
      <c r="Q1093">
        <v>1.5756819999999999E-3</v>
      </c>
    </row>
    <row r="1094" spans="1:17" x14ac:dyDescent="0.25">
      <c r="A1094" t="s">
        <v>5</v>
      </c>
      <c r="B1094" t="s">
        <v>6</v>
      </c>
      <c r="C1094" t="s">
        <v>260</v>
      </c>
      <c r="D1094" t="s">
        <v>143</v>
      </c>
      <c r="E1094" t="s">
        <v>27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 x14ac:dyDescent="0.25">
      <c r="A1095" t="s">
        <v>5</v>
      </c>
      <c r="B1095" t="s">
        <v>6</v>
      </c>
      <c r="C1095" t="s">
        <v>260</v>
      </c>
      <c r="D1095" t="s">
        <v>144</v>
      </c>
      <c r="E1095" t="s">
        <v>27</v>
      </c>
      <c r="F1095" s="1">
        <v>4.4700000000000004E-6</v>
      </c>
      <c r="G1095" s="1">
        <v>4.2799999999999997E-5</v>
      </c>
      <c r="H1095">
        <v>1.9786700000000001E-4</v>
      </c>
      <c r="I1095">
        <v>4.6294199999999999E-4</v>
      </c>
      <c r="J1095">
        <v>6.9180499999999998E-4</v>
      </c>
      <c r="K1095">
        <v>9.4258199999999997E-4</v>
      </c>
      <c r="L1095">
        <v>1.345244E-3</v>
      </c>
      <c r="M1095">
        <v>1.1648889999999999E-3</v>
      </c>
      <c r="N1095">
        <v>4.4885500000000001E-4</v>
      </c>
      <c r="O1095" s="1">
        <v>9.0099999999999995E-5</v>
      </c>
      <c r="P1095" s="1">
        <v>3.8500000000000001E-5</v>
      </c>
      <c r="Q1095" s="1">
        <v>6.0300000000000002E-5</v>
      </c>
    </row>
    <row r="1096" spans="1:17" x14ac:dyDescent="0.25">
      <c r="A1096" t="s">
        <v>5</v>
      </c>
      <c r="B1096" t="s">
        <v>6</v>
      </c>
      <c r="C1096" t="s">
        <v>260</v>
      </c>
      <c r="D1096" t="s">
        <v>145</v>
      </c>
      <c r="E1096" t="s">
        <v>27</v>
      </c>
      <c r="F1096" s="1">
        <v>6.72E-6</v>
      </c>
      <c r="G1096" s="1">
        <v>6.2400000000000004E-6</v>
      </c>
      <c r="H1096" s="1">
        <v>1.8199999999999999E-5</v>
      </c>
      <c r="I1096" s="1">
        <v>4.5899999999999998E-5</v>
      </c>
      <c r="J1096">
        <v>1.3007200000000001E-4</v>
      </c>
      <c r="K1096">
        <v>1.8877799999999999E-4</v>
      </c>
      <c r="L1096">
        <v>1.3206900000000001E-4</v>
      </c>
      <c r="M1096" s="1">
        <v>8.7299999999999994E-5</v>
      </c>
      <c r="N1096" s="1">
        <v>4.4199999999999997E-5</v>
      </c>
      <c r="O1096" s="1">
        <v>2.6400000000000001E-5</v>
      </c>
      <c r="P1096" s="1">
        <v>3.6600000000000002E-5</v>
      </c>
      <c r="Q1096" s="1">
        <v>5.3600000000000002E-5</v>
      </c>
    </row>
    <row r="1097" spans="1:17" x14ac:dyDescent="0.25">
      <c r="A1097" t="s">
        <v>5</v>
      </c>
      <c r="B1097" t="s">
        <v>6</v>
      </c>
      <c r="C1097" t="s">
        <v>260</v>
      </c>
      <c r="D1097" t="s">
        <v>146</v>
      </c>
      <c r="E1097" t="s">
        <v>27</v>
      </c>
      <c r="F1097" s="1">
        <v>3.29E-5</v>
      </c>
      <c r="G1097" s="1">
        <v>2.2500000000000001E-5</v>
      </c>
      <c r="H1097" s="1">
        <v>9.4199999999999996E-6</v>
      </c>
      <c r="I1097" s="1">
        <v>7.1999999999999997E-6</v>
      </c>
      <c r="J1097" s="1">
        <v>1.08E-5</v>
      </c>
      <c r="K1097" s="1">
        <v>4.8099999999999997E-6</v>
      </c>
      <c r="L1097" s="1">
        <v>5.4099999999999999E-6</v>
      </c>
      <c r="M1097" s="1">
        <v>2.9699999999999999E-6</v>
      </c>
      <c r="N1097" s="1">
        <v>6.1099999999999995E-7</v>
      </c>
      <c r="O1097" s="1">
        <v>1.33E-6</v>
      </c>
      <c r="P1097" s="1">
        <v>5.0699999999999997E-6</v>
      </c>
      <c r="Q1097" s="1">
        <v>7.9300000000000003E-6</v>
      </c>
    </row>
    <row r="1098" spans="1:17" x14ac:dyDescent="0.25">
      <c r="A1098" t="s">
        <v>5</v>
      </c>
      <c r="B1098" t="s">
        <v>6</v>
      </c>
      <c r="C1098" t="s">
        <v>260</v>
      </c>
      <c r="D1098" t="s">
        <v>147</v>
      </c>
      <c r="E1098" t="s">
        <v>148</v>
      </c>
      <c r="F1098">
        <v>23158.788540000001</v>
      </c>
      <c r="G1098">
        <v>29652.571080000002</v>
      </c>
      <c r="H1098">
        <v>42740.795290000002</v>
      </c>
      <c r="I1098">
        <v>53040.532350000001</v>
      </c>
      <c r="J1098">
        <v>70205.302460000006</v>
      </c>
      <c r="K1098">
        <v>90898.932209999999</v>
      </c>
      <c r="L1098">
        <v>117138.9498</v>
      </c>
      <c r="M1098">
        <v>153949.9889</v>
      </c>
      <c r="N1098">
        <v>198484.15539999999</v>
      </c>
      <c r="O1098">
        <v>249686.00210000001</v>
      </c>
      <c r="P1098">
        <v>307611.53899999999</v>
      </c>
      <c r="Q1098">
        <v>366317.33730000001</v>
      </c>
    </row>
    <row r="1099" spans="1:17" x14ac:dyDescent="0.25">
      <c r="A1099" t="s">
        <v>5</v>
      </c>
      <c r="B1099" t="s">
        <v>6</v>
      </c>
      <c r="C1099" t="s">
        <v>260</v>
      </c>
      <c r="D1099" t="s">
        <v>149</v>
      </c>
      <c r="E1099" t="s">
        <v>148</v>
      </c>
      <c r="F1099">
        <v>1295.892683</v>
      </c>
      <c r="G1099">
        <v>1629.3391509999999</v>
      </c>
      <c r="H1099">
        <v>2045.7804329999999</v>
      </c>
      <c r="I1099">
        <v>2257.1295089999999</v>
      </c>
      <c r="J1099">
        <v>2758.157432</v>
      </c>
      <c r="K1099">
        <v>3279.8564719999999</v>
      </c>
      <c r="L1099">
        <v>3868.748666</v>
      </c>
      <c r="M1099">
        <v>4465.1721200000002</v>
      </c>
      <c r="N1099">
        <v>5007.4842250000002</v>
      </c>
      <c r="O1099">
        <v>5501.5606630000002</v>
      </c>
      <c r="P1099">
        <v>5908.2736000000004</v>
      </c>
      <c r="Q1099">
        <v>6181.7887190000001</v>
      </c>
    </row>
    <row r="1100" spans="1:17" x14ac:dyDescent="0.25">
      <c r="A1100" t="s">
        <v>5</v>
      </c>
      <c r="B1100" t="s">
        <v>6</v>
      </c>
      <c r="C1100" t="s">
        <v>260</v>
      </c>
      <c r="D1100" t="s">
        <v>150</v>
      </c>
      <c r="E1100" t="s">
        <v>148</v>
      </c>
      <c r="F1100">
        <v>217338.6067</v>
      </c>
      <c r="G1100">
        <v>165500.30420000001</v>
      </c>
      <c r="H1100">
        <v>205357.5692</v>
      </c>
      <c r="I1100">
        <v>219023.32329999999</v>
      </c>
      <c r="J1100">
        <v>220357.55170000001</v>
      </c>
      <c r="K1100">
        <v>221502.35329999999</v>
      </c>
      <c r="L1100">
        <v>216883.2133</v>
      </c>
      <c r="M1100">
        <v>207510.4742</v>
      </c>
      <c r="N1100">
        <v>197115.40599999999</v>
      </c>
      <c r="O1100">
        <v>192655.98579999999</v>
      </c>
      <c r="P1100">
        <v>192493.77</v>
      </c>
      <c r="Q1100">
        <v>191325.56</v>
      </c>
    </row>
    <row r="1101" spans="1:17" x14ac:dyDescent="0.25">
      <c r="A1101" t="s">
        <v>5</v>
      </c>
      <c r="B1101" t="s">
        <v>6</v>
      </c>
      <c r="C1101" t="s">
        <v>260</v>
      </c>
      <c r="D1101" t="s">
        <v>151</v>
      </c>
      <c r="E1101" t="s">
        <v>148</v>
      </c>
      <c r="F1101">
        <v>2293.627896</v>
      </c>
      <c r="G1101">
        <v>2630.7145650000002</v>
      </c>
      <c r="H1101">
        <v>3228.5515839999998</v>
      </c>
      <c r="I1101">
        <v>3861.1886749999999</v>
      </c>
      <c r="J1101">
        <v>4352.937156</v>
      </c>
      <c r="K1101">
        <v>5043.1732199999997</v>
      </c>
      <c r="L1101">
        <v>5829.0184579999996</v>
      </c>
      <c r="M1101">
        <v>6709.2130710000001</v>
      </c>
      <c r="N1101">
        <v>7678.6388800000004</v>
      </c>
      <c r="O1101">
        <v>8759.357908</v>
      </c>
      <c r="P1101">
        <v>9948.5485640000006</v>
      </c>
      <c r="Q1101">
        <v>11080.950940000001</v>
      </c>
    </row>
    <row r="1102" spans="1:17" x14ac:dyDescent="0.25">
      <c r="A1102" t="s">
        <v>5</v>
      </c>
      <c r="B1102" t="s">
        <v>6</v>
      </c>
      <c r="C1102" t="s">
        <v>260</v>
      </c>
      <c r="D1102" t="s">
        <v>152</v>
      </c>
      <c r="E1102" t="s">
        <v>148</v>
      </c>
      <c r="F1102">
        <v>1.8464123130000001</v>
      </c>
      <c r="G1102">
        <v>1.446140245</v>
      </c>
      <c r="H1102">
        <v>1.4725055549999999</v>
      </c>
      <c r="I1102">
        <v>1.533316428</v>
      </c>
      <c r="J1102">
        <v>1.5619812769999999</v>
      </c>
      <c r="K1102">
        <v>1.661952069</v>
      </c>
      <c r="L1102">
        <v>1.819908098</v>
      </c>
      <c r="M1102">
        <v>2.1897778890000001</v>
      </c>
      <c r="N1102">
        <v>2.8630013679999999</v>
      </c>
      <c r="O1102">
        <v>3.9906886770000001</v>
      </c>
      <c r="P1102">
        <v>5.4926846080000002</v>
      </c>
      <c r="Q1102">
        <v>6.8424029260000001</v>
      </c>
    </row>
    <row r="1103" spans="1:17" x14ac:dyDescent="0.25">
      <c r="A1103" t="s">
        <v>5</v>
      </c>
      <c r="B1103" t="s">
        <v>6</v>
      </c>
      <c r="C1103" t="s">
        <v>260</v>
      </c>
      <c r="D1103" t="s">
        <v>153</v>
      </c>
      <c r="E1103" t="s">
        <v>148</v>
      </c>
      <c r="F1103">
        <v>2.165188272</v>
      </c>
      <c r="G1103">
        <v>2.383361265</v>
      </c>
      <c r="H1103">
        <v>2.6003390729999998</v>
      </c>
      <c r="I1103">
        <v>2.8992322530000001</v>
      </c>
      <c r="J1103">
        <v>3.2534257219999998</v>
      </c>
      <c r="K1103">
        <v>3.838301827</v>
      </c>
      <c r="L1103">
        <v>4.5488454589999998</v>
      </c>
      <c r="M1103">
        <v>5.3942142119999996</v>
      </c>
      <c r="N1103">
        <v>6.3452764359999998</v>
      </c>
      <c r="O1103">
        <v>7.3339492509999999</v>
      </c>
      <c r="P1103">
        <v>8.4309275820000007</v>
      </c>
      <c r="Q1103">
        <v>9.5160320790000004</v>
      </c>
    </row>
    <row r="1104" spans="1:17" x14ac:dyDescent="0.25">
      <c r="A1104" t="s">
        <v>5</v>
      </c>
      <c r="B1104" t="s">
        <v>6</v>
      </c>
      <c r="C1104" t="s">
        <v>260</v>
      </c>
      <c r="D1104" t="s">
        <v>154</v>
      </c>
      <c r="E1104" t="s">
        <v>148</v>
      </c>
      <c r="F1104">
        <v>0.31928247500000001</v>
      </c>
      <c r="G1104">
        <v>0.381414584</v>
      </c>
      <c r="H1104">
        <v>0.53552972600000004</v>
      </c>
      <c r="I1104">
        <v>0.40595034000000002</v>
      </c>
      <c r="J1104">
        <v>0.696522215</v>
      </c>
      <c r="K1104">
        <v>0.90029610599999998</v>
      </c>
      <c r="L1104">
        <v>1.1902516889999999</v>
      </c>
      <c r="M1104">
        <v>1.6213278600000001</v>
      </c>
      <c r="N1104">
        <v>2.1081591400000002</v>
      </c>
      <c r="O1104">
        <v>2.758817273</v>
      </c>
      <c r="P1104">
        <v>3.727205348</v>
      </c>
      <c r="Q1104">
        <v>4.8839359309999999</v>
      </c>
    </row>
    <row r="1105" spans="1:17" x14ac:dyDescent="0.25">
      <c r="A1105" t="s">
        <v>5</v>
      </c>
      <c r="B1105" t="s">
        <v>6</v>
      </c>
      <c r="C1105" t="s">
        <v>260</v>
      </c>
      <c r="D1105" t="s">
        <v>155</v>
      </c>
      <c r="E1105" t="s">
        <v>148</v>
      </c>
      <c r="F1105">
        <v>0.119183782</v>
      </c>
      <c r="G1105">
        <v>0.17942360399999999</v>
      </c>
      <c r="H1105">
        <v>0.217504054</v>
      </c>
      <c r="I1105">
        <v>0.22114129099999999</v>
      </c>
      <c r="J1105">
        <v>0.31564980100000001</v>
      </c>
      <c r="K1105">
        <v>0.3495838</v>
      </c>
      <c r="L1105">
        <v>0.38751792200000001</v>
      </c>
      <c r="M1105">
        <v>0.43287043600000003</v>
      </c>
      <c r="N1105">
        <v>0.47838561299999999</v>
      </c>
      <c r="O1105">
        <v>0.52723582099999999</v>
      </c>
      <c r="P1105">
        <v>0.57990566499999996</v>
      </c>
      <c r="Q1105">
        <v>0.63004719499999995</v>
      </c>
    </row>
    <row r="1106" spans="1:17" x14ac:dyDescent="0.25">
      <c r="A1106" t="s">
        <v>5</v>
      </c>
      <c r="B1106" t="s">
        <v>6</v>
      </c>
      <c r="C1106" t="s">
        <v>260</v>
      </c>
      <c r="D1106" t="s">
        <v>156</v>
      </c>
      <c r="E1106" t="s">
        <v>148</v>
      </c>
      <c r="F1106">
        <v>6.9707845830000004</v>
      </c>
      <c r="G1106">
        <v>6.5533590139999998</v>
      </c>
      <c r="H1106">
        <v>6.4280653409999999</v>
      </c>
      <c r="I1106">
        <v>7.1379534910000002</v>
      </c>
      <c r="J1106">
        <v>7.5380079259999997</v>
      </c>
      <c r="K1106">
        <v>7.9887032260000002</v>
      </c>
      <c r="L1106">
        <v>8.4998779029999998</v>
      </c>
      <c r="M1106">
        <v>9.0466251680000003</v>
      </c>
      <c r="N1106">
        <v>9.6694246259999996</v>
      </c>
      <c r="O1106">
        <v>10.36231697</v>
      </c>
      <c r="P1106">
        <v>11.13148906</v>
      </c>
      <c r="Q1106">
        <v>11.84502412</v>
      </c>
    </row>
    <row r="1107" spans="1:17" x14ac:dyDescent="0.25">
      <c r="A1107" t="s">
        <v>5</v>
      </c>
      <c r="B1107" t="s">
        <v>6</v>
      </c>
      <c r="C1107" t="s">
        <v>260</v>
      </c>
      <c r="D1107" t="s">
        <v>157</v>
      </c>
      <c r="E1107" t="s">
        <v>158</v>
      </c>
      <c r="F1107">
        <v>5927429305</v>
      </c>
      <c r="G1107">
        <v>7003017046</v>
      </c>
      <c r="H1107">
        <v>7772871112</v>
      </c>
      <c r="I1107">
        <v>8590113763</v>
      </c>
      <c r="J1107">
        <v>9217450598</v>
      </c>
      <c r="K1107">
        <v>10293695257</v>
      </c>
      <c r="L1107">
        <v>11545526376</v>
      </c>
      <c r="M1107">
        <v>12884516007</v>
      </c>
      <c r="N1107">
        <v>14373921960</v>
      </c>
      <c r="O1107">
        <v>16073777578</v>
      </c>
      <c r="P1107">
        <v>18177433794</v>
      </c>
      <c r="Q1107">
        <v>20425919862</v>
      </c>
    </row>
    <row r="1108" spans="1:17" x14ac:dyDescent="0.25">
      <c r="A1108" t="s">
        <v>5</v>
      </c>
      <c r="B1108" t="s">
        <v>6</v>
      </c>
      <c r="C1108" t="s">
        <v>260</v>
      </c>
      <c r="D1108" t="s">
        <v>159</v>
      </c>
      <c r="E1108" t="s">
        <v>158</v>
      </c>
      <c r="F1108">
        <v>2048506914</v>
      </c>
      <c r="G1108">
        <v>2539558221</v>
      </c>
      <c r="H1108">
        <v>2969385505</v>
      </c>
      <c r="I1108">
        <v>3466201347</v>
      </c>
      <c r="J1108">
        <v>3902237343</v>
      </c>
      <c r="K1108">
        <v>4577341698</v>
      </c>
      <c r="L1108">
        <v>5382299008</v>
      </c>
      <c r="M1108">
        <v>6276240674</v>
      </c>
      <c r="N1108">
        <v>7286886441</v>
      </c>
      <c r="O1108">
        <v>8447094384</v>
      </c>
      <c r="P1108">
        <v>9875648614</v>
      </c>
      <c r="Q1108">
        <v>11407451325</v>
      </c>
    </row>
    <row r="1109" spans="1:17" x14ac:dyDescent="0.25">
      <c r="A1109" t="s">
        <v>5</v>
      </c>
      <c r="B1109" t="s">
        <v>6</v>
      </c>
      <c r="C1109" t="s">
        <v>260</v>
      </c>
      <c r="D1109" t="s">
        <v>160</v>
      </c>
      <c r="E1109" t="s">
        <v>158</v>
      </c>
      <c r="F1109">
        <v>942059879.20000005</v>
      </c>
      <c r="G1109">
        <v>1183661197</v>
      </c>
      <c r="H1109">
        <v>1401853549</v>
      </c>
      <c r="I1109">
        <v>1657818310</v>
      </c>
      <c r="J1109">
        <v>1883670708</v>
      </c>
      <c r="K1109">
        <v>2233190838</v>
      </c>
      <c r="L1109">
        <v>2651887057</v>
      </c>
      <c r="M1109">
        <v>3119400841</v>
      </c>
      <c r="N1109">
        <v>3649160413</v>
      </c>
      <c r="O1109">
        <v>4257549920</v>
      </c>
      <c r="P1109">
        <v>5003136366</v>
      </c>
      <c r="Q1109">
        <v>5800342552</v>
      </c>
    </row>
    <row r="1110" spans="1:17" x14ac:dyDescent="0.25">
      <c r="A1110" t="s">
        <v>5</v>
      </c>
      <c r="B1110" t="s">
        <v>6</v>
      </c>
      <c r="C1110" t="s">
        <v>260</v>
      </c>
      <c r="D1110" t="s">
        <v>161</v>
      </c>
      <c r="E1110" t="s">
        <v>158</v>
      </c>
      <c r="F1110">
        <v>33086362.75</v>
      </c>
      <c r="G1110">
        <v>47471641.859999999</v>
      </c>
      <c r="H1110">
        <v>66755475.189999998</v>
      </c>
      <c r="I1110">
        <v>78821512.540000007</v>
      </c>
      <c r="J1110">
        <v>96265428.950000003</v>
      </c>
      <c r="K1110">
        <v>140432708.40000001</v>
      </c>
      <c r="L1110">
        <v>211510232.90000001</v>
      </c>
      <c r="M1110">
        <v>326959200.80000001</v>
      </c>
      <c r="N1110">
        <v>511099835.60000002</v>
      </c>
      <c r="O1110">
        <v>818980563.10000002</v>
      </c>
      <c r="P1110">
        <v>1324830225</v>
      </c>
      <c r="Q1110">
        <v>1985424401</v>
      </c>
    </row>
    <row r="1111" spans="1:17" x14ac:dyDescent="0.25">
      <c r="A1111" t="s">
        <v>5</v>
      </c>
      <c r="B1111" t="s">
        <v>6</v>
      </c>
      <c r="C1111" t="s">
        <v>260</v>
      </c>
      <c r="D1111" t="s">
        <v>162</v>
      </c>
      <c r="E1111" t="s">
        <v>158</v>
      </c>
      <c r="F1111">
        <v>60925142.259999998</v>
      </c>
      <c r="G1111">
        <v>78797444.109999999</v>
      </c>
      <c r="H1111">
        <v>103878779.5</v>
      </c>
      <c r="I1111">
        <v>120157530.2</v>
      </c>
      <c r="J1111">
        <v>141476252.59999999</v>
      </c>
      <c r="K1111">
        <v>182374336.19999999</v>
      </c>
      <c r="L1111">
        <v>239284878.19999999</v>
      </c>
      <c r="M1111">
        <v>318767987.39999998</v>
      </c>
      <c r="N1111">
        <v>427733336.10000002</v>
      </c>
      <c r="O1111">
        <v>582305415.29999995</v>
      </c>
      <c r="P1111">
        <v>797694682.29999995</v>
      </c>
      <c r="Q1111">
        <v>1045938639</v>
      </c>
    </row>
    <row r="1112" spans="1:17" x14ac:dyDescent="0.25">
      <c r="A1112" t="s">
        <v>5</v>
      </c>
      <c r="B1112" t="s">
        <v>6</v>
      </c>
      <c r="C1112" t="s">
        <v>260</v>
      </c>
      <c r="D1112" t="s">
        <v>163</v>
      </c>
      <c r="E1112" t="s">
        <v>158</v>
      </c>
      <c r="F1112">
        <v>43069765.289999999</v>
      </c>
      <c r="G1112">
        <v>60505822.140000001</v>
      </c>
      <c r="H1112">
        <v>84383898.969999999</v>
      </c>
      <c r="I1112">
        <v>99309812.299999997</v>
      </c>
      <c r="J1112">
        <v>120572549.09999999</v>
      </c>
      <c r="K1112">
        <v>170970940.59999999</v>
      </c>
      <c r="L1112">
        <v>249028714.90000001</v>
      </c>
      <c r="M1112">
        <v>370231423.19999999</v>
      </c>
      <c r="N1112">
        <v>553653549.5</v>
      </c>
      <c r="O1112">
        <v>840622309.60000002</v>
      </c>
      <c r="P1112">
        <v>1274328749</v>
      </c>
      <c r="Q1112">
        <v>1794777548</v>
      </c>
    </row>
    <row r="1113" spans="1:17" x14ac:dyDescent="0.25">
      <c r="A1113" t="s">
        <v>5</v>
      </c>
      <c r="B1113" t="s">
        <v>6</v>
      </c>
      <c r="C1113" t="s">
        <v>260</v>
      </c>
      <c r="D1113" t="s">
        <v>164</v>
      </c>
      <c r="E1113" t="s">
        <v>158</v>
      </c>
      <c r="F1113">
        <v>1106319352</v>
      </c>
      <c r="G1113">
        <v>1370973511</v>
      </c>
      <c r="H1113">
        <v>1740173319</v>
      </c>
      <c r="I1113">
        <v>1991148320</v>
      </c>
      <c r="J1113">
        <v>2299794498</v>
      </c>
      <c r="K1113">
        <v>2804338984</v>
      </c>
      <c r="L1113">
        <v>3445437166</v>
      </c>
      <c r="M1113">
        <v>4255934257</v>
      </c>
      <c r="N1113">
        <v>5254972561</v>
      </c>
      <c r="O1113">
        <v>6499799628</v>
      </c>
      <c r="P1113">
        <v>7991767275</v>
      </c>
      <c r="Q1113">
        <v>9485847719</v>
      </c>
    </row>
    <row r="1114" spans="1:17" x14ac:dyDescent="0.25">
      <c r="A1114" t="s">
        <v>5</v>
      </c>
      <c r="B1114" t="s">
        <v>6</v>
      </c>
      <c r="C1114" t="s">
        <v>260</v>
      </c>
      <c r="D1114" t="s">
        <v>165</v>
      </c>
      <c r="E1114" t="s">
        <v>166</v>
      </c>
      <c r="F1114">
        <v>20.633691819999999</v>
      </c>
      <c r="G1114">
        <v>26.41972977</v>
      </c>
      <c r="H1114">
        <v>38.106422549999998</v>
      </c>
      <c r="I1114">
        <v>47.329436299999998</v>
      </c>
      <c r="J1114">
        <v>62.675281630000001</v>
      </c>
      <c r="K1114">
        <v>81.144249340000002</v>
      </c>
      <c r="L1114">
        <v>104.5334601</v>
      </c>
      <c r="M1114">
        <v>137.3170068</v>
      </c>
      <c r="N1114">
        <v>176.95849319999999</v>
      </c>
      <c r="O1114">
        <v>222.4706424</v>
      </c>
      <c r="P1114">
        <v>273.83450579999999</v>
      </c>
      <c r="Q1114">
        <v>325.73247359999999</v>
      </c>
    </row>
    <row r="1115" spans="1:17" x14ac:dyDescent="0.25">
      <c r="A1115" t="s">
        <v>5</v>
      </c>
      <c r="B1115" t="s">
        <v>6</v>
      </c>
      <c r="C1115" t="s">
        <v>260</v>
      </c>
      <c r="D1115" t="s">
        <v>167</v>
      </c>
      <c r="E1115" t="s">
        <v>166</v>
      </c>
      <c r="F1115">
        <v>40.025162510000001</v>
      </c>
      <c r="G1115">
        <v>49.244053639999997</v>
      </c>
      <c r="H1115">
        <v>66.517313849999994</v>
      </c>
      <c r="I1115">
        <v>79.738858620000002</v>
      </c>
      <c r="J1115">
        <v>100.6185354</v>
      </c>
      <c r="K1115">
        <v>125.5402515</v>
      </c>
      <c r="L1115">
        <v>156.20029439999999</v>
      </c>
      <c r="M1115">
        <v>196.64818529999999</v>
      </c>
      <c r="N1115">
        <v>243.90641110000001</v>
      </c>
      <c r="O1115">
        <v>297.15513270000002</v>
      </c>
      <c r="P1115">
        <v>356.06427109999998</v>
      </c>
      <c r="Q1115">
        <v>414.3182817</v>
      </c>
    </row>
    <row r="1116" spans="1:17" x14ac:dyDescent="0.25">
      <c r="A1116" t="s">
        <v>5</v>
      </c>
      <c r="B1116" t="s">
        <v>6</v>
      </c>
      <c r="C1116" t="s">
        <v>260</v>
      </c>
      <c r="D1116" t="s">
        <v>168</v>
      </c>
      <c r="E1116" t="s">
        <v>166</v>
      </c>
      <c r="F1116">
        <v>3.889942579</v>
      </c>
      <c r="G1116">
        <v>4.1925220530000002</v>
      </c>
      <c r="H1116">
        <v>4.5581782540000004</v>
      </c>
      <c r="I1116">
        <v>5.0656107410000004</v>
      </c>
      <c r="J1116">
        <v>5.6603077710000003</v>
      </c>
      <c r="K1116">
        <v>6.6503721860000002</v>
      </c>
      <c r="L1116">
        <v>7.8588051730000004</v>
      </c>
      <c r="M1116">
        <v>9.3246616729999996</v>
      </c>
      <c r="N1116">
        <v>11.01412384</v>
      </c>
      <c r="O1116">
        <v>12.83957537</v>
      </c>
      <c r="P1116">
        <v>14.91359971</v>
      </c>
      <c r="Q1116">
        <v>16.96177861</v>
      </c>
    </row>
    <row r="1117" spans="1:17" x14ac:dyDescent="0.25">
      <c r="A1117" t="s">
        <v>5</v>
      </c>
      <c r="B1117" t="s">
        <v>6</v>
      </c>
      <c r="C1117" t="s">
        <v>260</v>
      </c>
      <c r="D1117" t="s">
        <v>169</v>
      </c>
      <c r="E1117" t="s">
        <v>166</v>
      </c>
      <c r="F1117">
        <v>2.7682240000000001E-3</v>
      </c>
      <c r="G1117">
        <v>3.6264779999999998E-3</v>
      </c>
      <c r="H1117">
        <v>4.7949170000000001E-3</v>
      </c>
      <c r="I1117">
        <v>4.1200550000000001E-3</v>
      </c>
      <c r="J1117">
        <v>6.5189530000000001E-3</v>
      </c>
      <c r="K1117">
        <v>7.9222760000000007E-3</v>
      </c>
      <c r="L1117">
        <v>9.8298129999999997E-3</v>
      </c>
      <c r="M1117">
        <v>1.2570478E-2</v>
      </c>
      <c r="N1117">
        <v>1.5616423000000001E-2</v>
      </c>
      <c r="O1117">
        <v>1.9584028999999999E-2</v>
      </c>
      <c r="P1117">
        <v>2.531628E-2</v>
      </c>
      <c r="Q1117">
        <v>3.2053230000000002E-2</v>
      </c>
    </row>
    <row r="1118" spans="1:17" x14ac:dyDescent="0.25">
      <c r="A1118" t="s">
        <v>5</v>
      </c>
      <c r="B1118" t="s">
        <v>6</v>
      </c>
      <c r="C1118" t="s">
        <v>260</v>
      </c>
      <c r="D1118" t="s">
        <v>170</v>
      </c>
      <c r="E1118" t="s">
        <v>166</v>
      </c>
      <c r="F1118">
        <v>6.9710156129999996</v>
      </c>
      <c r="G1118">
        <v>6.8079899570000002</v>
      </c>
      <c r="H1118">
        <v>6.7903779970000002</v>
      </c>
      <c r="I1118">
        <v>8.0469279730000007</v>
      </c>
      <c r="J1118">
        <v>9.0340334149999997</v>
      </c>
      <c r="K1118">
        <v>10.090023860000001</v>
      </c>
      <c r="L1118">
        <v>11.34259529</v>
      </c>
      <c r="M1118">
        <v>12.70879352</v>
      </c>
      <c r="N1118">
        <v>14.260077580000001</v>
      </c>
      <c r="O1118">
        <v>16.0091112</v>
      </c>
      <c r="P1118">
        <v>17.9850919</v>
      </c>
      <c r="Q1118">
        <v>19.820814810000002</v>
      </c>
    </row>
    <row r="1119" spans="1:17" x14ac:dyDescent="0.25">
      <c r="A1119" t="s">
        <v>5</v>
      </c>
      <c r="B1119" t="s">
        <v>6</v>
      </c>
      <c r="C1119" t="s">
        <v>260</v>
      </c>
      <c r="D1119" t="s">
        <v>171</v>
      </c>
      <c r="E1119" t="s">
        <v>166</v>
      </c>
      <c r="F1119">
        <v>3.1542503069999999</v>
      </c>
      <c r="G1119">
        <v>4.0383576039999998</v>
      </c>
      <c r="H1119">
        <v>5.8355432360000004</v>
      </c>
      <c r="I1119">
        <v>7.2654663160000004</v>
      </c>
      <c r="J1119">
        <v>9.6385532400000002</v>
      </c>
      <c r="K1119">
        <v>12.484407559999999</v>
      </c>
      <c r="L1119">
        <v>16.08529214</v>
      </c>
      <c r="M1119">
        <v>21.166163050000002</v>
      </c>
      <c r="N1119">
        <v>27.48749999</v>
      </c>
      <c r="O1119">
        <v>35.164618619999999</v>
      </c>
      <c r="P1119">
        <v>44.448298370000003</v>
      </c>
      <c r="Q1119">
        <v>54.467194900000003</v>
      </c>
    </row>
    <row r="1120" spans="1:17" x14ac:dyDescent="0.25">
      <c r="A1120" t="s">
        <v>5</v>
      </c>
      <c r="B1120" t="s">
        <v>6</v>
      </c>
      <c r="C1120" t="s">
        <v>260</v>
      </c>
      <c r="D1120" t="s">
        <v>172</v>
      </c>
      <c r="E1120" t="s">
        <v>166</v>
      </c>
      <c r="F1120">
        <v>8.9272924079999996</v>
      </c>
      <c r="G1120">
        <v>10.398053640000001</v>
      </c>
      <c r="H1120">
        <v>13.78948814</v>
      </c>
      <c r="I1120">
        <v>16.036827800000001</v>
      </c>
      <c r="J1120">
        <v>19.915352290000001</v>
      </c>
      <c r="K1120">
        <v>24.36269214</v>
      </c>
      <c r="L1120">
        <v>29.72945249</v>
      </c>
      <c r="M1120">
        <v>36.58270297</v>
      </c>
      <c r="N1120">
        <v>44.538963680000002</v>
      </c>
      <c r="O1120">
        <v>53.789435070000003</v>
      </c>
      <c r="P1120">
        <v>64.461287690000006</v>
      </c>
      <c r="Q1120">
        <v>75.478328840000003</v>
      </c>
    </row>
    <row r="1121" spans="1:17" x14ac:dyDescent="0.25">
      <c r="A1121" t="s">
        <v>5</v>
      </c>
      <c r="B1121" t="s">
        <v>6</v>
      </c>
      <c r="C1121" t="s">
        <v>260</v>
      </c>
      <c r="D1121" t="s">
        <v>173</v>
      </c>
      <c r="E1121" t="s">
        <v>166</v>
      </c>
      <c r="F1121">
        <v>0.35306985600000002</v>
      </c>
      <c r="G1121">
        <v>0.34216510999999999</v>
      </c>
      <c r="H1121">
        <v>0.36497963900000002</v>
      </c>
      <c r="I1121">
        <v>0.39834753299999998</v>
      </c>
      <c r="J1121">
        <v>0.434447417</v>
      </c>
      <c r="K1121">
        <v>0.49824116299999999</v>
      </c>
      <c r="L1121">
        <v>0.578667916</v>
      </c>
      <c r="M1121">
        <v>0.68894244199999999</v>
      </c>
      <c r="N1121">
        <v>0.83386703100000004</v>
      </c>
      <c r="O1121">
        <v>1.0201084709999999</v>
      </c>
      <c r="P1121">
        <v>1.2510088829999999</v>
      </c>
      <c r="Q1121">
        <v>1.47594519</v>
      </c>
    </row>
    <row r="1122" spans="1:17" x14ac:dyDescent="0.25">
      <c r="A1122" t="s">
        <v>5</v>
      </c>
      <c r="B1122" t="s">
        <v>6</v>
      </c>
      <c r="C1122" t="s">
        <v>260</v>
      </c>
      <c r="D1122" t="s">
        <v>174</v>
      </c>
      <c r="E1122" t="s">
        <v>166</v>
      </c>
      <c r="F1122">
        <v>2.0915467E-2</v>
      </c>
      <c r="G1122">
        <v>2.7400056999999998E-2</v>
      </c>
      <c r="H1122">
        <v>3.6228257999999999E-2</v>
      </c>
      <c r="I1122">
        <v>3.1129302000000001E-2</v>
      </c>
      <c r="J1122">
        <v>4.9254315E-2</v>
      </c>
      <c r="K1122">
        <v>5.9857198E-2</v>
      </c>
      <c r="L1122">
        <v>7.4269696999999996E-2</v>
      </c>
      <c r="M1122">
        <v>9.4976941999999995E-2</v>
      </c>
      <c r="N1122">
        <v>0.117990753</v>
      </c>
      <c r="O1122">
        <v>0.14796821700000001</v>
      </c>
      <c r="P1122">
        <v>0.19127855999999999</v>
      </c>
      <c r="Q1122">
        <v>0.242179964</v>
      </c>
    </row>
    <row r="1123" spans="1:17" x14ac:dyDescent="0.25">
      <c r="A1123" t="s">
        <v>5</v>
      </c>
      <c r="B1123" t="s">
        <v>6</v>
      </c>
      <c r="C1123" t="s">
        <v>260</v>
      </c>
      <c r="D1123" t="s">
        <v>175</v>
      </c>
      <c r="E1123" t="s">
        <v>166</v>
      </c>
      <c r="F1123">
        <v>7.6604566999999998E-2</v>
      </c>
      <c r="G1123">
        <v>7.4813076000000006E-2</v>
      </c>
      <c r="H1123">
        <v>7.4619537999999999E-2</v>
      </c>
      <c r="I1123">
        <v>8.8427779999999997E-2</v>
      </c>
      <c r="J1123">
        <v>9.9275091999999995E-2</v>
      </c>
      <c r="K1123">
        <v>0.110879383</v>
      </c>
      <c r="L1123">
        <v>0.124643904</v>
      </c>
      <c r="M1123">
        <v>0.13965707199999999</v>
      </c>
      <c r="N1123">
        <v>0.15670414899999999</v>
      </c>
      <c r="O1123">
        <v>0.17592429900000001</v>
      </c>
      <c r="P1123">
        <v>0.19763837300000001</v>
      </c>
      <c r="Q1123">
        <v>0.21781115200000001</v>
      </c>
    </row>
    <row r="1124" spans="1:17" x14ac:dyDescent="0.25">
      <c r="A1124" t="s">
        <v>5</v>
      </c>
      <c r="B1124" t="s">
        <v>6</v>
      </c>
      <c r="C1124" t="s">
        <v>260</v>
      </c>
      <c r="D1124" t="s">
        <v>176</v>
      </c>
      <c r="E1124" t="s">
        <v>166</v>
      </c>
      <c r="F1124">
        <v>0.60249281600000004</v>
      </c>
      <c r="G1124">
        <v>0.77107191200000003</v>
      </c>
      <c r="H1124">
        <v>1.1226671290000001</v>
      </c>
      <c r="I1124">
        <v>1.4114425900000001</v>
      </c>
      <c r="J1124">
        <v>1.886141361</v>
      </c>
      <c r="K1124">
        <v>2.446646549</v>
      </c>
      <c r="L1124">
        <v>3.151274049</v>
      </c>
      <c r="M1124">
        <v>4.1684369009999998</v>
      </c>
      <c r="N1124">
        <v>5.5576656770000001</v>
      </c>
      <c r="O1124">
        <v>7.5284762509999998</v>
      </c>
      <c r="P1124">
        <v>10.304842349999999</v>
      </c>
      <c r="Q1124">
        <v>13.67156784</v>
      </c>
    </row>
    <row r="1125" spans="1:17" x14ac:dyDescent="0.25">
      <c r="A1125" t="s">
        <v>5</v>
      </c>
      <c r="B1125" t="s">
        <v>6</v>
      </c>
      <c r="C1125" t="s">
        <v>260</v>
      </c>
      <c r="D1125" t="s">
        <v>177</v>
      </c>
      <c r="E1125" t="s">
        <v>166</v>
      </c>
      <c r="F1125">
        <v>0.716351827</v>
      </c>
      <c r="G1125">
        <v>0.90672747799999998</v>
      </c>
      <c r="H1125">
        <v>1.291210137</v>
      </c>
      <c r="I1125">
        <v>1.606809127</v>
      </c>
      <c r="J1125">
        <v>2.1155408069999999</v>
      </c>
      <c r="K1125">
        <v>2.7181338340000001</v>
      </c>
      <c r="L1125">
        <v>3.4718751019999998</v>
      </c>
      <c r="M1125">
        <v>4.5439662949999997</v>
      </c>
      <c r="N1125">
        <v>5.9929019080000003</v>
      </c>
      <c r="O1125">
        <v>8.0297510780000003</v>
      </c>
      <c r="P1125">
        <v>10.876362629999999</v>
      </c>
      <c r="Q1125">
        <v>14.30770751</v>
      </c>
    </row>
    <row r="1126" spans="1:17" x14ac:dyDescent="0.25">
      <c r="A1126" t="s">
        <v>5</v>
      </c>
      <c r="B1126" t="s">
        <v>6</v>
      </c>
      <c r="C1126" t="s">
        <v>260</v>
      </c>
      <c r="D1126" t="s">
        <v>178</v>
      </c>
      <c r="E1126" t="s">
        <v>166</v>
      </c>
      <c r="F1126">
        <v>6.3821310000000001E-3</v>
      </c>
      <c r="G1126">
        <v>6.8184589999999998E-3</v>
      </c>
      <c r="H1126">
        <v>7.402657E-3</v>
      </c>
      <c r="I1126">
        <v>8.2159710000000007E-3</v>
      </c>
      <c r="J1126">
        <v>9.1643909999999992E-3</v>
      </c>
      <c r="K1126">
        <v>1.0749565000000001E-2</v>
      </c>
      <c r="L1126">
        <v>1.2689880000000001E-2</v>
      </c>
      <c r="M1126">
        <v>1.5071022999999999E-2</v>
      </c>
      <c r="N1126">
        <v>1.7865527999999999E-2</v>
      </c>
      <c r="O1126">
        <v>2.1008237999999999E-2</v>
      </c>
      <c r="P1126">
        <v>2.4811430999999998E-2</v>
      </c>
      <c r="Q1126">
        <v>2.8906382000000001E-2</v>
      </c>
    </row>
    <row r="1127" spans="1:17" x14ac:dyDescent="0.25">
      <c r="A1127" t="s">
        <v>5</v>
      </c>
      <c r="B1127" t="s">
        <v>6</v>
      </c>
      <c r="C1127" t="s">
        <v>260</v>
      </c>
      <c r="D1127" t="s">
        <v>179</v>
      </c>
      <c r="E1127" t="s">
        <v>166</v>
      </c>
      <c r="F1127" s="1">
        <v>8.8900000000000006E-5</v>
      </c>
      <c r="G1127">
        <v>1.0624900000000001E-4</v>
      </c>
      <c r="H1127">
        <v>1.4918099999999999E-4</v>
      </c>
      <c r="I1127">
        <v>1.13084E-4</v>
      </c>
      <c r="J1127">
        <v>1.9402800000000001E-4</v>
      </c>
      <c r="K1127">
        <v>2.5079300000000002E-4</v>
      </c>
      <c r="L1127">
        <v>3.3156499999999997E-4</v>
      </c>
      <c r="M1127">
        <v>4.5164800000000002E-4</v>
      </c>
      <c r="N1127">
        <v>5.8726299999999998E-4</v>
      </c>
      <c r="O1127">
        <v>7.68515E-4</v>
      </c>
      <c r="P1127">
        <v>1.0382760000000001E-3</v>
      </c>
      <c r="Q1127">
        <v>1.360502E-3</v>
      </c>
    </row>
    <row r="1128" spans="1:17" x14ac:dyDescent="0.25">
      <c r="A1128" t="s">
        <v>5</v>
      </c>
      <c r="B1128" t="s">
        <v>6</v>
      </c>
      <c r="C1128" t="s">
        <v>260</v>
      </c>
      <c r="D1128" t="s">
        <v>180</v>
      </c>
      <c r="E1128" t="s">
        <v>166</v>
      </c>
      <c r="F1128">
        <v>7.6604566999999998E-2</v>
      </c>
      <c r="G1128">
        <v>7.4813076000000006E-2</v>
      </c>
      <c r="H1128">
        <v>7.4619537999999999E-2</v>
      </c>
      <c r="I1128">
        <v>8.8427779999999997E-2</v>
      </c>
      <c r="J1128">
        <v>9.9275091999999995E-2</v>
      </c>
      <c r="K1128">
        <v>0.110879383</v>
      </c>
      <c r="L1128">
        <v>0.124643904</v>
      </c>
      <c r="M1128">
        <v>0.13965707199999999</v>
      </c>
      <c r="N1128">
        <v>0.15670414899999999</v>
      </c>
      <c r="O1128">
        <v>0.17592429900000001</v>
      </c>
      <c r="P1128">
        <v>0.19763837300000001</v>
      </c>
      <c r="Q1128">
        <v>0.21781115200000001</v>
      </c>
    </row>
    <row r="1129" spans="1:17" x14ac:dyDescent="0.25">
      <c r="A1129" t="s">
        <v>5</v>
      </c>
      <c r="B1129" t="s">
        <v>6</v>
      </c>
      <c r="C1129" t="s">
        <v>260</v>
      </c>
      <c r="D1129" t="s">
        <v>181</v>
      </c>
      <c r="E1129" t="s">
        <v>166</v>
      </c>
      <c r="F1129">
        <v>0.86733127300000001</v>
      </c>
      <c r="G1129">
        <v>1.1105220259999999</v>
      </c>
      <c r="H1129">
        <v>1.6022876699999999</v>
      </c>
      <c r="I1129">
        <v>1.990944115</v>
      </c>
      <c r="J1129">
        <v>2.637303738</v>
      </c>
      <c r="K1129">
        <v>3.414656489</v>
      </c>
      <c r="L1129">
        <v>4.3988994559999997</v>
      </c>
      <c r="M1129">
        <v>5.7801070079999999</v>
      </c>
      <c r="N1129">
        <v>7.4584477849999997</v>
      </c>
      <c r="O1129">
        <v>9.4047596860000002</v>
      </c>
      <c r="P1129">
        <v>11.63044543</v>
      </c>
      <c r="Q1129">
        <v>13.909920209999999</v>
      </c>
    </row>
    <row r="1130" spans="1:17" x14ac:dyDescent="0.25">
      <c r="A1130" t="s">
        <v>5</v>
      </c>
      <c r="B1130" t="s">
        <v>6</v>
      </c>
      <c r="C1130" t="s">
        <v>260</v>
      </c>
      <c r="D1130" t="s">
        <v>182</v>
      </c>
      <c r="E1130" t="s">
        <v>166</v>
      </c>
      <c r="F1130">
        <v>1.3574385840000001</v>
      </c>
      <c r="G1130">
        <v>1.7204223329999999</v>
      </c>
      <c r="H1130">
        <v>2.3664591480000001</v>
      </c>
      <c r="I1130">
        <v>2.841600079</v>
      </c>
      <c r="J1130">
        <v>3.6673353629999998</v>
      </c>
      <c r="K1130">
        <v>4.6361589460000001</v>
      </c>
      <c r="L1130">
        <v>5.836686716</v>
      </c>
      <c r="M1130">
        <v>7.4391657139999996</v>
      </c>
      <c r="N1130">
        <v>9.3231486639999996</v>
      </c>
      <c r="O1130">
        <v>11.46199852</v>
      </c>
      <c r="P1130">
        <v>13.85399915</v>
      </c>
      <c r="Q1130">
        <v>16.254029760000002</v>
      </c>
    </row>
    <row r="1131" spans="1:17" x14ac:dyDescent="0.25">
      <c r="A1131" t="s">
        <v>5</v>
      </c>
      <c r="B1131" t="s">
        <v>6</v>
      </c>
      <c r="C1131" t="s">
        <v>260</v>
      </c>
      <c r="D1131" t="s">
        <v>183</v>
      </c>
      <c r="E1131" t="s">
        <v>166</v>
      </c>
      <c r="F1131">
        <v>1.7216009999999999E-3</v>
      </c>
      <c r="G1131">
        <v>1.348522E-3</v>
      </c>
      <c r="H1131">
        <v>1.373967E-3</v>
      </c>
      <c r="I1131">
        <v>1.431746E-3</v>
      </c>
      <c r="J1131">
        <v>1.459667E-3</v>
      </c>
      <c r="K1131">
        <v>1.5555390000000001E-3</v>
      </c>
      <c r="L1131">
        <v>1.7084050000000001E-3</v>
      </c>
      <c r="M1131">
        <v>2.0718749999999999E-3</v>
      </c>
      <c r="N1131">
        <v>2.75575E-3</v>
      </c>
      <c r="O1131">
        <v>3.9880990000000002E-3</v>
      </c>
      <c r="P1131">
        <v>5.9108839999999999E-3</v>
      </c>
      <c r="Q1131">
        <v>8.2239600000000006E-3</v>
      </c>
    </row>
    <row r="1132" spans="1:17" x14ac:dyDescent="0.25">
      <c r="A1132" t="s">
        <v>5</v>
      </c>
      <c r="B1132" t="s">
        <v>6</v>
      </c>
      <c r="C1132" t="s">
        <v>260</v>
      </c>
      <c r="D1132" t="s">
        <v>184</v>
      </c>
      <c r="E1132" t="s">
        <v>166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x14ac:dyDescent="0.25">
      <c r="A1133" t="s">
        <v>5</v>
      </c>
      <c r="B1133" t="s">
        <v>6</v>
      </c>
      <c r="C1133" t="s">
        <v>260</v>
      </c>
      <c r="D1133" t="s">
        <v>185</v>
      </c>
      <c r="E1133" t="s">
        <v>166</v>
      </c>
      <c r="F1133">
        <v>4.596274E-3</v>
      </c>
      <c r="G1133">
        <v>4.4887850000000003E-3</v>
      </c>
      <c r="H1133">
        <v>4.4771719999999997E-3</v>
      </c>
      <c r="I1133">
        <v>5.305667E-3</v>
      </c>
      <c r="J1133">
        <v>5.9565060000000003E-3</v>
      </c>
      <c r="K1133">
        <v>6.6527629999999999E-3</v>
      </c>
      <c r="L1133">
        <v>7.4786339999999996E-3</v>
      </c>
      <c r="M1133">
        <v>8.3794239999999999E-3</v>
      </c>
      <c r="N1133">
        <v>9.4022489999999997E-3</v>
      </c>
      <c r="O1133">
        <v>1.0555458E-2</v>
      </c>
      <c r="P1133">
        <v>1.1858301999999999E-2</v>
      </c>
      <c r="Q1133">
        <v>1.3068669E-2</v>
      </c>
    </row>
    <row r="1134" spans="1:17" x14ac:dyDescent="0.25">
      <c r="A1134" t="s">
        <v>5</v>
      </c>
      <c r="B1134" t="s">
        <v>6</v>
      </c>
      <c r="C1134" t="s">
        <v>260</v>
      </c>
      <c r="D1134" t="s">
        <v>186</v>
      </c>
      <c r="E1134" t="s">
        <v>166</v>
      </c>
      <c r="F1134">
        <v>4.0630908530000003</v>
      </c>
      <c r="G1134">
        <v>5.2023703599999997</v>
      </c>
      <c r="H1134">
        <v>7.5070488339999999</v>
      </c>
      <c r="I1134">
        <v>9.3291162930000002</v>
      </c>
      <c r="J1134">
        <v>12.35771581</v>
      </c>
      <c r="K1134">
        <v>15.99869327</v>
      </c>
      <c r="L1134">
        <v>20.607712039999999</v>
      </c>
      <c r="M1134">
        <v>27.074729820000002</v>
      </c>
      <c r="N1134">
        <v>34.93259561</v>
      </c>
      <c r="O1134">
        <v>44.048595630000001</v>
      </c>
      <c r="P1134">
        <v>54.476562889999997</v>
      </c>
      <c r="Q1134">
        <v>65.146202119999998</v>
      </c>
    </row>
    <row r="1135" spans="1:17" x14ac:dyDescent="0.25">
      <c r="A1135" t="s">
        <v>5</v>
      </c>
      <c r="B1135" t="s">
        <v>6</v>
      </c>
      <c r="C1135" t="s">
        <v>260</v>
      </c>
      <c r="D1135" t="s">
        <v>187</v>
      </c>
      <c r="E1135" t="s">
        <v>166</v>
      </c>
      <c r="F1135">
        <v>7.4544830009999998</v>
      </c>
      <c r="G1135">
        <v>9.1043683239999993</v>
      </c>
      <c r="H1135">
        <v>12.366509880000001</v>
      </c>
      <c r="I1135">
        <v>14.842811680000001</v>
      </c>
      <c r="J1135">
        <v>18.791993430000002</v>
      </c>
      <c r="K1135">
        <v>23.495145359999999</v>
      </c>
      <c r="L1135">
        <v>29.29408321</v>
      </c>
      <c r="M1135">
        <v>37.008104770000003</v>
      </c>
      <c r="N1135">
        <v>46.100623319999997</v>
      </c>
      <c r="O1135">
        <v>56.474936479999997</v>
      </c>
      <c r="P1135">
        <v>68.128397719999995</v>
      </c>
      <c r="Q1135">
        <v>79.821567130000005</v>
      </c>
    </row>
    <row r="1136" spans="1:17" x14ac:dyDescent="0.25">
      <c r="A1136" t="s">
        <v>5</v>
      </c>
      <c r="B1136" t="s">
        <v>6</v>
      </c>
      <c r="C1136" t="s">
        <v>260</v>
      </c>
      <c r="D1136" t="s">
        <v>188</v>
      </c>
      <c r="E1136" t="s">
        <v>166</v>
      </c>
      <c r="F1136">
        <v>9.7246950000000002E-3</v>
      </c>
      <c r="G1136">
        <v>7.6167810000000004E-3</v>
      </c>
      <c r="H1136">
        <v>7.7571699999999999E-3</v>
      </c>
      <c r="I1136">
        <v>8.0793610000000002E-3</v>
      </c>
      <c r="J1136">
        <v>8.2324500000000005E-3</v>
      </c>
      <c r="K1136">
        <v>8.763692E-3</v>
      </c>
      <c r="L1136">
        <v>9.605522E-3</v>
      </c>
      <c r="M1136">
        <v>1.1586535E-2</v>
      </c>
      <c r="N1136">
        <v>1.5231840999999999E-2</v>
      </c>
      <c r="O1136">
        <v>2.1491863999999999E-2</v>
      </c>
      <c r="P1136">
        <v>3.0328641999999999E-2</v>
      </c>
      <c r="Q1136">
        <v>3.9307112999999998E-2</v>
      </c>
    </row>
    <row r="1137" spans="1:17" x14ac:dyDescent="0.25">
      <c r="A1137" t="s">
        <v>5</v>
      </c>
      <c r="B1137" t="s">
        <v>6</v>
      </c>
      <c r="C1137" t="s">
        <v>260</v>
      </c>
      <c r="D1137" t="s">
        <v>189</v>
      </c>
      <c r="E1137" t="s">
        <v>166</v>
      </c>
      <c r="F1137">
        <v>1.6147970000000001E-3</v>
      </c>
      <c r="G1137">
        <v>2.115446E-3</v>
      </c>
      <c r="H1137">
        <v>2.7970349999999998E-3</v>
      </c>
      <c r="I1137">
        <v>2.4033650000000002E-3</v>
      </c>
      <c r="J1137">
        <v>3.802723E-3</v>
      </c>
      <c r="K1137">
        <v>4.6213280000000001E-3</v>
      </c>
      <c r="L1137">
        <v>5.7340569999999999E-3</v>
      </c>
      <c r="M1137">
        <v>7.3327790000000002E-3</v>
      </c>
      <c r="N1137">
        <v>9.1095800000000008E-3</v>
      </c>
      <c r="O1137">
        <v>1.1424017E-2</v>
      </c>
      <c r="P1137">
        <v>1.4767829999999999E-2</v>
      </c>
      <c r="Q1137">
        <v>1.8697717999999999E-2</v>
      </c>
    </row>
    <row r="1138" spans="1:17" x14ac:dyDescent="0.25">
      <c r="A1138" t="s">
        <v>5</v>
      </c>
      <c r="B1138" t="s">
        <v>6</v>
      </c>
      <c r="C1138" t="s">
        <v>260</v>
      </c>
      <c r="D1138" t="s">
        <v>190</v>
      </c>
      <c r="E1138" t="s">
        <v>166</v>
      </c>
      <c r="F1138">
        <v>0.153209134</v>
      </c>
      <c r="G1138">
        <v>0.14962615300000001</v>
      </c>
      <c r="H1138">
        <v>0.149239077</v>
      </c>
      <c r="I1138">
        <v>0.17685555999999999</v>
      </c>
      <c r="J1138">
        <v>0.19855018499999999</v>
      </c>
      <c r="K1138">
        <v>0.221758766</v>
      </c>
      <c r="L1138">
        <v>0.249287809</v>
      </c>
      <c r="M1138">
        <v>0.27931414300000001</v>
      </c>
      <c r="N1138">
        <v>0.313408299</v>
      </c>
      <c r="O1138">
        <v>0.35184859800000001</v>
      </c>
      <c r="P1138">
        <v>0.39527674499999998</v>
      </c>
      <c r="Q1138">
        <v>0.43562230299999999</v>
      </c>
    </row>
    <row r="1139" spans="1:17" x14ac:dyDescent="0.25">
      <c r="A1139" t="s">
        <v>5</v>
      </c>
      <c r="B1139" t="s">
        <v>6</v>
      </c>
      <c r="C1139" t="s">
        <v>260</v>
      </c>
      <c r="D1139" t="s">
        <v>191</v>
      </c>
      <c r="E1139" t="s">
        <v>166</v>
      </c>
      <c r="F1139">
        <v>420.28038409999999</v>
      </c>
      <c r="G1139">
        <v>511.44867440000002</v>
      </c>
      <c r="H1139">
        <v>586.41783120000002</v>
      </c>
      <c r="I1139">
        <v>671.0916436</v>
      </c>
      <c r="J1139">
        <v>742.77491090000001</v>
      </c>
      <c r="K1139">
        <v>856.85379539999997</v>
      </c>
      <c r="L1139">
        <v>992.02456930000005</v>
      </c>
      <c r="M1139">
        <v>1140.720282</v>
      </c>
      <c r="N1139">
        <v>1308.1571039999999</v>
      </c>
      <c r="O1139">
        <v>1500.0999449999999</v>
      </c>
      <c r="P1139">
        <v>1736.5967169999999</v>
      </c>
      <c r="Q1139">
        <v>1989.852312</v>
      </c>
    </row>
    <row r="1140" spans="1:17" x14ac:dyDescent="0.25">
      <c r="A1140" t="s">
        <v>5</v>
      </c>
      <c r="B1140" t="s">
        <v>6</v>
      </c>
      <c r="C1140" t="s">
        <v>260</v>
      </c>
      <c r="D1140" t="s">
        <v>192</v>
      </c>
      <c r="E1140" t="s">
        <v>166</v>
      </c>
      <c r="F1140">
        <v>107.8783165</v>
      </c>
      <c r="G1140">
        <v>135.15633410000001</v>
      </c>
      <c r="H1140">
        <v>173.11934790000001</v>
      </c>
      <c r="I1140">
        <v>198.65322040000001</v>
      </c>
      <c r="J1140">
        <v>230.64828650000001</v>
      </c>
      <c r="K1140">
        <v>286.18647090000002</v>
      </c>
      <c r="L1140">
        <v>359.68411500000002</v>
      </c>
      <c r="M1140">
        <v>457.38485109999999</v>
      </c>
      <c r="N1140">
        <v>585.23361739999996</v>
      </c>
      <c r="O1140">
        <v>757.74159280000003</v>
      </c>
      <c r="P1140">
        <v>986.05028279999999</v>
      </c>
      <c r="Q1140">
        <v>1237.270685</v>
      </c>
    </row>
    <row r="1141" spans="1:17" x14ac:dyDescent="0.25">
      <c r="A1141" t="s">
        <v>5</v>
      </c>
      <c r="B1141" t="s">
        <v>6</v>
      </c>
      <c r="C1141" t="s">
        <v>260</v>
      </c>
      <c r="D1141" t="s">
        <v>193</v>
      </c>
      <c r="E1141" t="s">
        <v>166</v>
      </c>
      <c r="F1141">
        <v>24.982412480000001</v>
      </c>
      <c r="G1141">
        <v>29.771165610000001</v>
      </c>
      <c r="H1141">
        <v>33.365586749999999</v>
      </c>
      <c r="I1141">
        <v>37.268454009999999</v>
      </c>
      <c r="J1141">
        <v>40.380341520000002</v>
      </c>
      <c r="K1141">
        <v>45.563773300000001</v>
      </c>
      <c r="L1141">
        <v>51.635117649999998</v>
      </c>
      <c r="M1141">
        <v>58.199536379999998</v>
      </c>
      <c r="N1141">
        <v>65.536248079999993</v>
      </c>
      <c r="O1141">
        <v>73.924380900000003</v>
      </c>
      <c r="P1141">
        <v>84.288702169999993</v>
      </c>
      <c r="Q1141">
        <v>95.375824620000003</v>
      </c>
    </row>
    <row r="1142" spans="1:17" x14ac:dyDescent="0.25">
      <c r="A1142" t="s">
        <v>5</v>
      </c>
      <c r="B1142" t="s">
        <v>6</v>
      </c>
      <c r="C1142" t="s">
        <v>260</v>
      </c>
      <c r="D1142" t="s">
        <v>194</v>
      </c>
      <c r="E1142" t="s">
        <v>166</v>
      </c>
      <c r="F1142">
        <v>6.9708650089999997</v>
      </c>
      <c r="G1142">
        <v>8.7027150039999999</v>
      </c>
      <c r="H1142">
        <v>11.11532774</v>
      </c>
      <c r="I1142">
        <v>12.743212120000001</v>
      </c>
      <c r="J1142">
        <v>14.77108887</v>
      </c>
      <c r="K1142">
        <v>18.225312200000001</v>
      </c>
      <c r="L1142">
        <v>22.739351419999998</v>
      </c>
      <c r="M1142">
        <v>28.648810749999999</v>
      </c>
      <c r="N1142">
        <v>36.24504417</v>
      </c>
      <c r="O1142">
        <v>46.261522110000001</v>
      </c>
      <c r="P1142">
        <v>59.158477329999997</v>
      </c>
      <c r="Q1142">
        <v>72.999997579999999</v>
      </c>
    </row>
    <row r="1143" spans="1:17" x14ac:dyDescent="0.25">
      <c r="A1143" t="s">
        <v>5</v>
      </c>
      <c r="B1143" t="s">
        <v>6</v>
      </c>
      <c r="C1143" t="s">
        <v>260</v>
      </c>
      <c r="D1143" t="s">
        <v>195</v>
      </c>
      <c r="E1143" t="s">
        <v>166</v>
      </c>
      <c r="F1143">
        <v>10.49857093</v>
      </c>
      <c r="G1143">
        <v>12.41811747</v>
      </c>
      <c r="H1143">
        <v>13.801810870000001</v>
      </c>
      <c r="I1143">
        <v>15.275543499999999</v>
      </c>
      <c r="J1143">
        <v>16.41437694</v>
      </c>
      <c r="K1143">
        <v>18.357495119999999</v>
      </c>
      <c r="L1143">
        <v>20.619850540000002</v>
      </c>
      <c r="M1143">
        <v>23.043631869999999</v>
      </c>
      <c r="N1143">
        <v>25.741637390000001</v>
      </c>
      <c r="O1143">
        <v>28.821819770000001</v>
      </c>
      <c r="P1143">
        <v>32.633788729999999</v>
      </c>
      <c r="Q1143">
        <v>36.709546490000001</v>
      </c>
    </row>
    <row r="1144" spans="1:17" x14ac:dyDescent="0.25">
      <c r="A1144" t="s">
        <v>5</v>
      </c>
      <c r="B1144" t="s">
        <v>6</v>
      </c>
      <c r="C1144" t="s">
        <v>260</v>
      </c>
      <c r="D1144" t="s">
        <v>196</v>
      </c>
      <c r="E1144" t="s">
        <v>166</v>
      </c>
      <c r="F1144">
        <v>4.2187945119999997</v>
      </c>
      <c r="G1144">
        <v>5.2822584739999998</v>
      </c>
      <c r="H1144">
        <v>6.762799813</v>
      </c>
      <c r="I1144">
        <v>7.759053389</v>
      </c>
      <c r="J1144">
        <v>9.0061116059999993</v>
      </c>
      <c r="K1144">
        <v>11.16284462</v>
      </c>
      <c r="L1144">
        <v>14.009668960000001</v>
      </c>
      <c r="M1144">
        <v>17.781773139999999</v>
      </c>
      <c r="N1144">
        <v>22.698751850000001</v>
      </c>
      <c r="O1144">
        <v>29.299469989999999</v>
      </c>
      <c r="P1144">
        <v>37.980931759999997</v>
      </c>
      <c r="Q1144">
        <v>47.47877604</v>
      </c>
    </row>
    <row r="1145" spans="1:17" x14ac:dyDescent="0.25">
      <c r="A1145" t="s">
        <v>5</v>
      </c>
      <c r="B1145" t="s">
        <v>6</v>
      </c>
      <c r="C1145" t="s">
        <v>260</v>
      </c>
      <c r="D1145" t="s">
        <v>197</v>
      </c>
      <c r="E1145" t="s">
        <v>166</v>
      </c>
      <c r="F1145">
        <v>8186.6132129999996</v>
      </c>
      <c r="G1145">
        <v>9871.6938160000009</v>
      </c>
      <c r="H1145">
        <v>11207.59275</v>
      </c>
      <c r="I1145">
        <v>12693.851570000001</v>
      </c>
      <c r="J1145">
        <v>13922.73804</v>
      </c>
      <c r="K1145">
        <v>15915.10009</v>
      </c>
      <c r="L1145">
        <v>18266.035739999999</v>
      </c>
      <c r="M1145">
        <v>20835.947510000002</v>
      </c>
      <c r="N1145">
        <v>23721.879669999998</v>
      </c>
      <c r="O1145">
        <v>27026.5877</v>
      </c>
      <c r="P1145">
        <v>31100.711719999999</v>
      </c>
      <c r="Q1145">
        <v>35460.576780000003</v>
      </c>
    </row>
    <row r="1146" spans="1:17" x14ac:dyDescent="0.25">
      <c r="A1146" t="s">
        <v>5</v>
      </c>
      <c r="B1146" t="s">
        <v>6</v>
      </c>
      <c r="C1146" t="s">
        <v>260</v>
      </c>
      <c r="D1146" t="s">
        <v>198</v>
      </c>
      <c r="E1146" t="s">
        <v>166</v>
      </c>
      <c r="F1146">
        <v>1140.2367750000001</v>
      </c>
      <c r="G1146">
        <v>1426.456639</v>
      </c>
      <c r="H1146">
        <v>1824.8644959999999</v>
      </c>
      <c r="I1146">
        <v>2093.2201580000001</v>
      </c>
      <c r="J1146">
        <v>2428.6664129999999</v>
      </c>
      <c r="K1146">
        <v>3006.7911730000001</v>
      </c>
      <c r="L1146">
        <v>3768.438052</v>
      </c>
      <c r="M1146">
        <v>4775.708619</v>
      </c>
      <c r="N1146">
        <v>6086.498611</v>
      </c>
      <c r="O1146">
        <v>7843.639698</v>
      </c>
      <c r="P1146">
        <v>10153.445750000001</v>
      </c>
      <c r="Q1146">
        <v>12682.244000000001</v>
      </c>
    </row>
    <row r="1147" spans="1:17" x14ac:dyDescent="0.25">
      <c r="A1147" t="s">
        <v>5</v>
      </c>
      <c r="B1147" t="s">
        <v>6</v>
      </c>
      <c r="C1147" t="s">
        <v>260</v>
      </c>
      <c r="D1147" t="s">
        <v>199</v>
      </c>
      <c r="E1147" t="s">
        <v>166</v>
      </c>
      <c r="F1147">
        <v>26.266910289999998</v>
      </c>
      <c r="G1147">
        <v>31.696095329999999</v>
      </c>
      <c r="H1147">
        <v>36.017235640000003</v>
      </c>
      <c r="I1147">
        <v>40.829977970000002</v>
      </c>
      <c r="J1147">
        <v>44.831816289999999</v>
      </c>
      <c r="K1147">
        <v>51.282399230000003</v>
      </c>
      <c r="L1147">
        <v>58.893872369999997</v>
      </c>
      <c r="M1147">
        <v>67.217375399999995</v>
      </c>
      <c r="N1147">
        <v>76.566191279999998</v>
      </c>
      <c r="O1147">
        <v>87.274955489999996</v>
      </c>
      <c r="P1147">
        <v>100.4917986</v>
      </c>
      <c r="Q1147">
        <v>114.6482024</v>
      </c>
    </row>
    <row r="1148" spans="1:17" x14ac:dyDescent="0.25">
      <c r="A1148" t="s">
        <v>5</v>
      </c>
      <c r="B1148" t="s">
        <v>6</v>
      </c>
      <c r="C1148" t="s">
        <v>260</v>
      </c>
      <c r="D1148" t="s">
        <v>200</v>
      </c>
      <c r="E1148" t="s">
        <v>166</v>
      </c>
      <c r="F1148">
        <v>11.2105374</v>
      </c>
      <c r="G1148">
        <v>13.969825419999999</v>
      </c>
      <c r="H1148">
        <v>17.813910679999999</v>
      </c>
      <c r="I1148">
        <v>20.412865490000002</v>
      </c>
      <c r="J1148">
        <v>23.640317549999999</v>
      </c>
      <c r="K1148">
        <v>29.08820849</v>
      </c>
      <c r="L1148">
        <v>36.16696855</v>
      </c>
      <c r="M1148">
        <v>45.372684730000003</v>
      </c>
      <c r="N1148">
        <v>57.119669700000003</v>
      </c>
      <c r="O1148">
        <v>72.471290580000002</v>
      </c>
      <c r="P1148">
        <v>92.043379029999997</v>
      </c>
      <c r="Q1148">
        <v>112.8791631</v>
      </c>
    </row>
    <row r="1149" spans="1:17" x14ac:dyDescent="0.25">
      <c r="A1149" t="s">
        <v>5</v>
      </c>
      <c r="B1149" t="s">
        <v>6</v>
      </c>
      <c r="C1149" t="s">
        <v>260</v>
      </c>
      <c r="D1149" t="s">
        <v>201</v>
      </c>
      <c r="E1149" t="s">
        <v>166</v>
      </c>
      <c r="F1149">
        <v>439.1998241</v>
      </c>
      <c r="G1149">
        <v>527.01111360000004</v>
      </c>
      <c r="H1149">
        <v>595.13092559999996</v>
      </c>
      <c r="I1149">
        <v>670.21818089999999</v>
      </c>
      <c r="J1149">
        <v>731.41804019999995</v>
      </c>
      <c r="K1149">
        <v>831.72275860000002</v>
      </c>
      <c r="L1149">
        <v>949.75722519999999</v>
      </c>
      <c r="M1149">
        <v>1078.257852</v>
      </c>
      <c r="N1149">
        <v>1222.305366</v>
      </c>
      <c r="O1149">
        <v>1387.154822</v>
      </c>
      <c r="P1149">
        <v>1590.5130899999999</v>
      </c>
      <c r="Q1149">
        <v>1808.068483</v>
      </c>
    </row>
    <row r="1150" spans="1:17" x14ac:dyDescent="0.25">
      <c r="A1150" t="s">
        <v>5</v>
      </c>
      <c r="B1150" t="s">
        <v>6</v>
      </c>
      <c r="C1150" t="s">
        <v>260</v>
      </c>
      <c r="D1150" t="s">
        <v>202</v>
      </c>
      <c r="E1150" t="s">
        <v>166</v>
      </c>
      <c r="F1150">
        <v>21.53158664</v>
      </c>
      <c r="G1150">
        <v>26.94046458</v>
      </c>
      <c r="H1150">
        <v>34.472046939999998</v>
      </c>
      <c r="I1150">
        <v>39.54291886</v>
      </c>
      <c r="J1150">
        <v>45.882471039999999</v>
      </c>
      <c r="K1150">
        <v>56.80804577</v>
      </c>
      <c r="L1150">
        <v>71.199298999999996</v>
      </c>
      <c r="M1150">
        <v>90.228541840000005</v>
      </c>
      <c r="N1150">
        <v>114.9945341</v>
      </c>
      <c r="O1150">
        <v>148.2219389</v>
      </c>
      <c r="P1150">
        <v>192.01587499999999</v>
      </c>
      <c r="Q1150">
        <v>240.1902575</v>
      </c>
    </row>
    <row r="1151" spans="1:17" x14ac:dyDescent="0.25">
      <c r="A1151" t="s">
        <v>5</v>
      </c>
      <c r="B1151" t="s">
        <v>6</v>
      </c>
      <c r="C1151" t="s">
        <v>260</v>
      </c>
      <c r="D1151" t="s">
        <v>203</v>
      </c>
      <c r="E1151" t="s">
        <v>166</v>
      </c>
      <c r="F1151">
        <v>7.2113219400000004</v>
      </c>
      <c r="G1151">
        <v>8.5132152510000001</v>
      </c>
      <c r="H1151">
        <v>11.30461491</v>
      </c>
      <c r="I1151">
        <v>16.62414051</v>
      </c>
      <c r="J1151">
        <v>19.630315889999999</v>
      </c>
      <c r="K1151">
        <v>25.19227703</v>
      </c>
      <c r="L1151">
        <v>32.464459259999998</v>
      </c>
      <c r="M1151">
        <v>40.971479940000002</v>
      </c>
      <c r="N1151">
        <v>55.713899240000003</v>
      </c>
      <c r="O1151">
        <v>78.840565650000002</v>
      </c>
      <c r="P1151">
        <v>107.9445901</v>
      </c>
      <c r="Q1151">
        <v>138.78007690000001</v>
      </c>
    </row>
    <row r="1152" spans="1:17" x14ac:dyDescent="0.25">
      <c r="A1152" t="s">
        <v>5</v>
      </c>
      <c r="B1152" t="s">
        <v>6</v>
      </c>
      <c r="C1152" t="s">
        <v>260</v>
      </c>
      <c r="D1152" t="s">
        <v>204</v>
      </c>
      <c r="E1152" t="s">
        <v>166</v>
      </c>
      <c r="F1152">
        <v>78.579248300000003</v>
      </c>
      <c r="G1152">
        <v>106.35915060000001</v>
      </c>
      <c r="H1152">
        <v>150.78761499999999</v>
      </c>
      <c r="I1152">
        <v>195.91990229999999</v>
      </c>
      <c r="J1152">
        <v>230.83523</v>
      </c>
      <c r="K1152">
        <v>288.55168079999999</v>
      </c>
      <c r="L1152">
        <v>349.55035500000002</v>
      </c>
      <c r="M1152">
        <v>410.5296558</v>
      </c>
      <c r="N1152">
        <v>486.99018039999999</v>
      </c>
      <c r="O1152">
        <v>584.47741589999998</v>
      </c>
      <c r="P1152">
        <v>692.03493079999998</v>
      </c>
      <c r="Q1152">
        <v>791.08260849999999</v>
      </c>
    </row>
    <row r="1153" spans="1:17" x14ac:dyDescent="0.25">
      <c r="A1153" t="s">
        <v>5</v>
      </c>
      <c r="B1153" t="s">
        <v>6</v>
      </c>
      <c r="C1153" t="s">
        <v>260</v>
      </c>
      <c r="D1153" t="s">
        <v>205</v>
      </c>
      <c r="E1153" t="s">
        <v>166</v>
      </c>
      <c r="F1153">
        <v>5.6482627000000001E-2</v>
      </c>
      <c r="G1153">
        <v>6.7457960999999997E-2</v>
      </c>
      <c r="H1153">
        <v>0.109284302</v>
      </c>
      <c r="I1153">
        <v>0.21729273199999999</v>
      </c>
      <c r="J1153">
        <v>0.29596862899999998</v>
      </c>
      <c r="K1153">
        <v>0.46975629099999999</v>
      </c>
      <c r="L1153">
        <v>0.69220036500000004</v>
      </c>
      <c r="M1153">
        <v>0.94491004199999995</v>
      </c>
      <c r="N1153">
        <v>1.3846178389999999</v>
      </c>
      <c r="O1153">
        <v>2.1074305459999998</v>
      </c>
      <c r="P1153">
        <v>3.14160905</v>
      </c>
      <c r="Q1153">
        <v>4.328830011</v>
      </c>
    </row>
    <row r="1154" spans="1:17" x14ac:dyDescent="0.25">
      <c r="A1154" t="s">
        <v>5</v>
      </c>
      <c r="B1154" t="s">
        <v>6</v>
      </c>
      <c r="C1154" t="s">
        <v>260</v>
      </c>
      <c r="D1154" t="s">
        <v>206</v>
      </c>
      <c r="E1154" t="s">
        <v>166</v>
      </c>
      <c r="F1154">
        <v>0.12947233699999999</v>
      </c>
      <c r="G1154">
        <v>0.159301468</v>
      </c>
      <c r="H1154">
        <v>0.22588836200000001</v>
      </c>
      <c r="I1154">
        <v>0.346179034</v>
      </c>
      <c r="J1154">
        <v>0.436520768</v>
      </c>
      <c r="K1154">
        <v>0.61967357700000003</v>
      </c>
      <c r="L1154">
        <v>0.84320068299999995</v>
      </c>
      <c r="M1154">
        <v>1.087415115</v>
      </c>
      <c r="N1154">
        <v>1.506717428</v>
      </c>
      <c r="O1154">
        <v>2.1808094599999999</v>
      </c>
      <c r="P1154">
        <v>3.080414856</v>
      </c>
      <c r="Q1154">
        <v>4.076944407</v>
      </c>
    </row>
    <row r="1155" spans="1:17" x14ac:dyDescent="0.25">
      <c r="A1155" t="s">
        <v>5</v>
      </c>
      <c r="B1155" t="s">
        <v>6</v>
      </c>
      <c r="C1155" t="s">
        <v>260</v>
      </c>
      <c r="D1155" t="s">
        <v>207</v>
      </c>
      <c r="E1155" t="s">
        <v>166</v>
      </c>
      <c r="F1155">
        <v>0</v>
      </c>
      <c r="G1155">
        <v>5.4595329999999999E-3</v>
      </c>
      <c r="H1155">
        <v>4.6951987000000001E-2</v>
      </c>
      <c r="I1155">
        <v>0.16620359400000001</v>
      </c>
      <c r="J1155">
        <v>0.17481089</v>
      </c>
      <c r="K1155">
        <v>0.208894207</v>
      </c>
      <c r="L1155">
        <v>0.21892594000000001</v>
      </c>
      <c r="M1155">
        <v>0.17883037099999999</v>
      </c>
      <c r="N1155">
        <v>0.125363329</v>
      </c>
      <c r="O1155">
        <v>0.17358616499999999</v>
      </c>
      <c r="P1155">
        <v>0.26633374500000001</v>
      </c>
      <c r="Q1155">
        <v>0.33254385400000003</v>
      </c>
    </row>
    <row r="1156" spans="1:17" x14ac:dyDescent="0.25">
      <c r="A1156" t="s">
        <v>5</v>
      </c>
      <c r="B1156" t="s">
        <v>6</v>
      </c>
      <c r="C1156" t="s">
        <v>260</v>
      </c>
      <c r="D1156" t="s">
        <v>208</v>
      </c>
      <c r="E1156" t="s">
        <v>166</v>
      </c>
      <c r="F1156">
        <v>9.9411279480000001</v>
      </c>
      <c r="G1156">
        <v>12.030024900000001</v>
      </c>
      <c r="H1156">
        <v>15.172441600000001</v>
      </c>
      <c r="I1156">
        <v>20.95695637</v>
      </c>
      <c r="J1156">
        <v>25.701501</v>
      </c>
      <c r="K1156">
        <v>31.59989629</v>
      </c>
      <c r="L1156">
        <v>41.325927419999999</v>
      </c>
      <c r="M1156">
        <v>52.860515290000002</v>
      </c>
      <c r="N1156">
        <v>68.076799840000007</v>
      </c>
      <c r="O1156">
        <v>92.157257279999996</v>
      </c>
      <c r="P1156">
        <v>124.5259363</v>
      </c>
      <c r="Q1156">
        <v>158.0428177</v>
      </c>
    </row>
    <row r="1157" spans="1:17" x14ac:dyDescent="0.25">
      <c r="A1157" t="s">
        <v>5</v>
      </c>
      <c r="B1157" t="s">
        <v>6</v>
      </c>
      <c r="C1157" t="s">
        <v>260</v>
      </c>
      <c r="D1157" t="s">
        <v>209</v>
      </c>
      <c r="E1157" t="s">
        <v>166</v>
      </c>
      <c r="F1157">
        <v>30.430944440000001</v>
      </c>
      <c r="G1157">
        <v>36.841097900000001</v>
      </c>
      <c r="H1157">
        <v>46.458393860000001</v>
      </c>
      <c r="I1157">
        <v>64.183794239999997</v>
      </c>
      <c r="J1157">
        <v>78.908516500000005</v>
      </c>
      <c r="K1157">
        <v>97.617104710000007</v>
      </c>
      <c r="L1157">
        <v>128.31403370000001</v>
      </c>
      <c r="M1157">
        <v>164.8970492</v>
      </c>
      <c r="N1157">
        <v>213.45843310000001</v>
      </c>
      <c r="O1157">
        <v>290.82195589999998</v>
      </c>
      <c r="P1157">
        <v>395.39992960000001</v>
      </c>
      <c r="Q1157">
        <v>504.29096090000002</v>
      </c>
    </row>
    <row r="1158" spans="1:17" x14ac:dyDescent="0.25">
      <c r="A1158" t="s">
        <v>5</v>
      </c>
      <c r="B1158" t="s">
        <v>6</v>
      </c>
      <c r="C1158" t="s">
        <v>260</v>
      </c>
      <c r="D1158" t="s">
        <v>210</v>
      </c>
      <c r="E1158" t="s">
        <v>166</v>
      </c>
      <c r="F1158">
        <v>4.5437652240000004</v>
      </c>
      <c r="G1158">
        <v>5.4890378599999998</v>
      </c>
      <c r="H1158">
        <v>6.9440816779999999</v>
      </c>
      <c r="I1158">
        <v>9.5698613619999993</v>
      </c>
      <c r="J1158">
        <v>11.488525579999999</v>
      </c>
      <c r="K1158">
        <v>13.459559110000001</v>
      </c>
      <c r="L1158">
        <v>16.947097809999999</v>
      </c>
      <c r="M1158">
        <v>20.977551850000001</v>
      </c>
      <c r="N1158">
        <v>26.094356860000001</v>
      </c>
      <c r="O1158">
        <v>33.855749279999998</v>
      </c>
      <c r="P1158">
        <v>44.277955669999997</v>
      </c>
      <c r="Q1158">
        <v>55.237006919999999</v>
      </c>
    </row>
    <row r="1159" spans="1:17" x14ac:dyDescent="0.25">
      <c r="A1159" t="s">
        <v>5</v>
      </c>
      <c r="B1159" t="s">
        <v>6</v>
      </c>
      <c r="C1159" t="s">
        <v>260</v>
      </c>
      <c r="D1159" t="s">
        <v>211</v>
      </c>
      <c r="E1159" t="s">
        <v>166</v>
      </c>
      <c r="F1159">
        <v>2.5084426870000001</v>
      </c>
      <c r="G1159">
        <v>3.0269072210000001</v>
      </c>
      <c r="H1159">
        <v>3.8300149010000002</v>
      </c>
      <c r="I1159">
        <v>5.2706931270000004</v>
      </c>
      <c r="J1159">
        <v>6.3089705949999999</v>
      </c>
      <c r="K1159">
        <v>7.3571033889999997</v>
      </c>
      <c r="L1159">
        <v>9.2303252629999992</v>
      </c>
      <c r="M1159">
        <v>11.3958429</v>
      </c>
      <c r="N1159">
        <v>14.13385068</v>
      </c>
      <c r="O1159">
        <v>18.301543420000002</v>
      </c>
      <c r="P1159">
        <v>24.085963979999999</v>
      </c>
      <c r="Q1159">
        <v>30.454660359999998</v>
      </c>
    </row>
    <row r="1160" spans="1:17" x14ac:dyDescent="0.25">
      <c r="A1160" t="s">
        <v>5</v>
      </c>
      <c r="B1160" t="s">
        <v>6</v>
      </c>
      <c r="C1160" t="s">
        <v>260</v>
      </c>
      <c r="D1160" t="s">
        <v>212</v>
      </c>
      <c r="E1160" t="s">
        <v>166</v>
      </c>
      <c r="F1160">
        <v>0.13369049099999999</v>
      </c>
      <c r="G1160">
        <v>0.16248675000000001</v>
      </c>
      <c r="H1160">
        <v>0.20540323399999999</v>
      </c>
      <c r="I1160">
        <v>0.284699641</v>
      </c>
      <c r="J1160">
        <v>0.349230027</v>
      </c>
      <c r="K1160">
        <v>0.42870182800000001</v>
      </c>
      <c r="L1160">
        <v>0.56136253899999999</v>
      </c>
      <c r="M1160">
        <v>0.71981365799999997</v>
      </c>
      <c r="N1160">
        <v>0.93244311199999996</v>
      </c>
      <c r="O1160">
        <v>1.269757574</v>
      </c>
      <c r="P1160">
        <v>1.7227233639999999</v>
      </c>
      <c r="Q1160">
        <v>2.1885859700000001</v>
      </c>
    </row>
    <row r="1161" spans="1:17" x14ac:dyDescent="0.25">
      <c r="A1161" t="s">
        <v>5</v>
      </c>
      <c r="B1161" t="s">
        <v>6</v>
      </c>
      <c r="C1161" t="s">
        <v>260</v>
      </c>
      <c r="D1161" t="s">
        <v>213</v>
      </c>
      <c r="E1161" t="s">
        <v>166</v>
      </c>
      <c r="F1161">
        <v>4.0060244000000002E-2</v>
      </c>
      <c r="G1161">
        <v>6.0479045000000002E-2</v>
      </c>
      <c r="H1161">
        <v>9.2202520999999996E-2</v>
      </c>
      <c r="I1161">
        <v>0.15783362500000001</v>
      </c>
      <c r="J1161">
        <v>0.15268421800000001</v>
      </c>
      <c r="K1161">
        <v>0.12008656500000001</v>
      </c>
      <c r="L1161">
        <v>0.108393982</v>
      </c>
      <c r="M1161">
        <v>0.102016439</v>
      </c>
      <c r="N1161">
        <v>0.119512995</v>
      </c>
      <c r="O1161">
        <v>0.15525313700000001</v>
      </c>
      <c r="P1161">
        <v>0.19829027399999999</v>
      </c>
      <c r="Q1161">
        <v>0.25195545600000002</v>
      </c>
    </row>
    <row r="1162" spans="1:17" x14ac:dyDescent="0.25">
      <c r="A1162" t="s">
        <v>5</v>
      </c>
      <c r="B1162" t="s">
        <v>6</v>
      </c>
      <c r="C1162" t="s">
        <v>260</v>
      </c>
      <c r="D1162" t="s">
        <v>214</v>
      </c>
      <c r="E1162" t="s">
        <v>166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25">
      <c r="A1163" t="s">
        <v>5</v>
      </c>
      <c r="B1163" t="s">
        <v>6</v>
      </c>
      <c r="C1163" t="s">
        <v>260</v>
      </c>
      <c r="D1163" t="s">
        <v>215</v>
      </c>
      <c r="E1163" t="s">
        <v>166</v>
      </c>
      <c r="F1163">
        <v>5.6945980000000004E-3</v>
      </c>
      <c r="G1163">
        <v>9.0544000000000006E-3</v>
      </c>
      <c r="H1163">
        <v>1.3528518999999999E-2</v>
      </c>
      <c r="I1163">
        <v>2.3310880999999999E-2</v>
      </c>
      <c r="J1163">
        <v>2.1615944000000002E-2</v>
      </c>
      <c r="K1163">
        <v>1.7489745000000001E-2</v>
      </c>
      <c r="L1163">
        <v>1.1644471999999999E-2</v>
      </c>
      <c r="M1163">
        <v>5.5109019999999998E-3</v>
      </c>
      <c r="N1163">
        <v>3.5649190000000002E-3</v>
      </c>
      <c r="O1163">
        <v>4.66059E-3</v>
      </c>
      <c r="P1163">
        <v>7.5731729999999999E-3</v>
      </c>
      <c r="Q1163">
        <v>1.0376275000000001E-2</v>
      </c>
    </row>
    <row r="1164" spans="1:17" x14ac:dyDescent="0.25">
      <c r="A1164" t="s">
        <v>5</v>
      </c>
      <c r="B1164" t="s">
        <v>6</v>
      </c>
      <c r="C1164" t="s">
        <v>260</v>
      </c>
      <c r="D1164" t="s">
        <v>216</v>
      </c>
      <c r="E1164" t="s">
        <v>166</v>
      </c>
      <c r="F1164">
        <v>8.6826899999999996E-4</v>
      </c>
      <c r="G1164">
        <v>1.299403E-3</v>
      </c>
      <c r="H1164">
        <v>1.980206E-3</v>
      </c>
      <c r="I1164">
        <v>3.4105559999999999E-3</v>
      </c>
      <c r="J1164">
        <v>3.186571E-3</v>
      </c>
      <c r="K1164">
        <v>2.34643E-3</v>
      </c>
      <c r="L1164">
        <v>2.047138E-3</v>
      </c>
      <c r="M1164">
        <v>1.9132750000000001E-3</v>
      </c>
      <c r="N1164">
        <v>2.3928450000000002E-3</v>
      </c>
      <c r="O1164">
        <v>3.2923169999999999E-3</v>
      </c>
      <c r="P1164">
        <v>4.3930890000000002E-3</v>
      </c>
      <c r="Q1164">
        <v>5.7059859999999997E-3</v>
      </c>
    </row>
    <row r="1165" spans="1:17" x14ac:dyDescent="0.25">
      <c r="A1165" t="s">
        <v>5</v>
      </c>
      <c r="B1165" t="s">
        <v>6</v>
      </c>
      <c r="C1165" t="s">
        <v>260</v>
      </c>
      <c r="D1165" t="s">
        <v>217</v>
      </c>
      <c r="E1165" t="s">
        <v>166</v>
      </c>
      <c r="F1165">
        <v>1.6614099999999999E-4</v>
      </c>
      <c r="G1165" s="1">
        <v>8.9699999999999998E-5</v>
      </c>
      <c r="H1165" s="1">
        <v>6.7199999999999994E-5</v>
      </c>
      <c r="I1165">
        <v>1.2531599999999999E-4</v>
      </c>
      <c r="J1165" s="1">
        <v>8.7399999999999997E-5</v>
      </c>
      <c r="K1165" s="1">
        <v>5.3100000000000003E-5</v>
      </c>
      <c r="L1165" s="1">
        <v>2.9200000000000002E-5</v>
      </c>
      <c r="M1165" s="1">
        <v>1.8600000000000001E-5</v>
      </c>
      <c r="N1165" s="1">
        <v>5.9599999999999999E-5</v>
      </c>
      <c r="O1165">
        <v>1.13917E-4</v>
      </c>
      <c r="P1165">
        <v>1.87901E-4</v>
      </c>
      <c r="Q1165">
        <v>2.4322499999999999E-4</v>
      </c>
    </row>
    <row r="1166" spans="1:17" x14ac:dyDescent="0.25">
      <c r="A1166" t="s">
        <v>5</v>
      </c>
      <c r="B1166" t="s">
        <v>6</v>
      </c>
      <c r="C1166" t="s">
        <v>260</v>
      </c>
      <c r="D1166" t="s">
        <v>218</v>
      </c>
      <c r="E1166" t="s">
        <v>219</v>
      </c>
      <c r="F1166">
        <v>660.84240599999998</v>
      </c>
      <c r="G1166">
        <v>836.552682</v>
      </c>
      <c r="H1166">
        <v>1178.159836</v>
      </c>
      <c r="I1166">
        <v>1457.8896500000001</v>
      </c>
      <c r="J1166">
        <v>1919.8164859999999</v>
      </c>
      <c r="K1166">
        <v>2450.076118</v>
      </c>
      <c r="L1166">
        <v>3110.417344</v>
      </c>
      <c r="M1166">
        <v>4027.376546</v>
      </c>
      <c r="N1166">
        <v>5115.2034800000001</v>
      </c>
      <c r="O1166">
        <v>6341.1911600000003</v>
      </c>
      <c r="P1166">
        <v>7699.3453799999997</v>
      </c>
      <c r="Q1166">
        <v>9052.0775400000002</v>
      </c>
    </row>
    <row r="1167" spans="1:17" x14ac:dyDescent="0.25">
      <c r="A1167" t="s">
        <v>5</v>
      </c>
      <c r="B1167" t="s">
        <v>6</v>
      </c>
      <c r="C1167" t="s">
        <v>260</v>
      </c>
      <c r="D1167" t="s">
        <v>220</v>
      </c>
      <c r="E1167" t="s">
        <v>219</v>
      </c>
      <c r="F1167">
        <v>1663.5963899999999</v>
      </c>
      <c r="G1167">
        <v>2091.65679</v>
      </c>
      <c r="H1167">
        <v>2626.2614079999998</v>
      </c>
      <c r="I1167">
        <v>2897.5798319999999</v>
      </c>
      <c r="J1167">
        <v>3540.7721700000002</v>
      </c>
      <c r="K1167">
        <v>4210.5009600000003</v>
      </c>
      <c r="L1167">
        <v>4966.48866</v>
      </c>
      <c r="M1167">
        <v>5732.1445800000001</v>
      </c>
      <c r="N1167">
        <v>6428.3352999999997</v>
      </c>
      <c r="O1167">
        <v>7062.6036999999997</v>
      </c>
      <c r="P1167">
        <v>7584.7196000000004</v>
      </c>
      <c r="Q1167">
        <v>7935.8433999999997</v>
      </c>
    </row>
    <row r="1168" spans="1:17" x14ac:dyDescent="0.25">
      <c r="A1168" t="s">
        <v>5</v>
      </c>
      <c r="B1168" t="s">
        <v>6</v>
      </c>
      <c r="C1168" t="s">
        <v>260</v>
      </c>
      <c r="D1168" t="s">
        <v>221</v>
      </c>
      <c r="E1168" t="s">
        <v>219</v>
      </c>
      <c r="F1168">
        <v>521.61265600000002</v>
      </c>
      <c r="G1168">
        <v>397.20073000000002</v>
      </c>
      <c r="H1168">
        <v>492.85816599999998</v>
      </c>
      <c r="I1168">
        <v>525.65597600000001</v>
      </c>
      <c r="J1168">
        <v>528.85812399999998</v>
      </c>
      <c r="K1168">
        <v>531.60564799999997</v>
      </c>
      <c r="L1168">
        <v>520.51971200000003</v>
      </c>
      <c r="M1168">
        <v>498.02513800000003</v>
      </c>
      <c r="N1168">
        <v>473.07697439999998</v>
      </c>
      <c r="O1168">
        <v>462.37436600000001</v>
      </c>
      <c r="P1168">
        <v>461.98504800000001</v>
      </c>
      <c r="Q1168">
        <v>459.18134400000002</v>
      </c>
    </row>
    <row r="1169" spans="1:17" x14ac:dyDescent="0.25">
      <c r="A1169" t="s">
        <v>5</v>
      </c>
      <c r="B1169" t="s">
        <v>6</v>
      </c>
      <c r="C1169" t="s">
        <v>260</v>
      </c>
      <c r="D1169" t="s">
        <v>222</v>
      </c>
      <c r="E1169" t="s">
        <v>223</v>
      </c>
      <c r="F1169">
        <v>388.3039986</v>
      </c>
      <c r="G1169">
        <v>445.634163</v>
      </c>
      <c r="H1169">
        <v>547.4313128</v>
      </c>
      <c r="I1169">
        <v>654.43832940000004</v>
      </c>
      <c r="J1169">
        <v>737.6833656</v>
      </c>
      <c r="K1169">
        <v>854.77548200000001</v>
      </c>
      <c r="L1169">
        <v>988.05160599999999</v>
      </c>
      <c r="M1169">
        <v>1137.4188939999999</v>
      </c>
      <c r="N1169">
        <v>1302.0743339999999</v>
      </c>
      <c r="O1169">
        <v>1485.759554</v>
      </c>
      <c r="P1169">
        <v>1687.963892</v>
      </c>
      <c r="Q1169">
        <v>1880.621666</v>
      </c>
    </row>
    <row r="1170" spans="1:17" x14ac:dyDescent="0.25">
      <c r="A1170" t="s">
        <v>5</v>
      </c>
      <c r="B1170" t="s">
        <v>6</v>
      </c>
      <c r="C1170" t="s">
        <v>260</v>
      </c>
      <c r="D1170" t="s">
        <v>224</v>
      </c>
      <c r="E1170" t="s">
        <v>219</v>
      </c>
      <c r="F1170">
        <v>102.2834872</v>
      </c>
      <c r="G1170">
        <v>80.110095799999996</v>
      </c>
      <c r="H1170">
        <v>81.5706232</v>
      </c>
      <c r="I1170">
        <v>84.939290200000002</v>
      </c>
      <c r="J1170">
        <v>86.527202399999993</v>
      </c>
      <c r="K1170">
        <v>92.0651644</v>
      </c>
      <c r="L1170">
        <v>100.815265</v>
      </c>
      <c r="M1170">
        <v>121.304498</v>
      </c>
      <c r="N1170">
        <v>158.59825119999999</v>
      </c>
      <c r="O1170">
        <v>221.0673918</v>
      </c>
      <c r="P1170">
        <v>304.271658</v>
      </c>
      <c r="Q1170">
        <v>379.04038400000002</v>
      </c>
    </row>
    <row r="1171" spans="1:17" x14ac:dyDescent="0.25">
      <c r="A1171" t="s">
        <v>5</v>
      </c>
      <c r="B1171" t="s">
        <v>6</v>
      </c>
      <c r="C1171" t="s">
        <v>260</v>
      </c>
      <c r="D1171" t="s">
        <v>225</v>
      </c>
      <c r="E1171" t="s">
        <v>223</v>
      </c>
      <c r="F1171">
        <v>272.21395580000001</v>
      </c>
      <c r="G1171">
        <v>299.64331800000002</v>
      </c>
      <c r="H1171">
        <v>326.92241799999999</v>
      </c>
      <c r="I1171">
        <v>364.50016399999998</v>
      </c>
      <c r="J1171">
        <v>409.03042799999997</v>
      </c>
      <c r="K1171">
        <v>482.56280400000003</v>
      </c>
      <c r="L1171">
        <v>571.89447800000005</v>
      </c>
      <c r="M1171">
        <v>678.17677000000003</v>
      </c>
      <c r="N1171">
        <v>797.747162</v>
      </c>
      <c r="O1171">
        <v>922.04606999999999</v>
      </c>
      <c r="P1171">
        <v>1059.961472</v>
      </c>
      <c r="Q1171">
        <v>1196.3840600000001</v>
      </c>
    </row>
    <row r="1172" spans="1:17" x14ac:dyDescent="0.25">
      <c r="A1172" t="s">
        <v>5</v>
      </c>
      <c r="B1172" t="s">
        <v>6</v>
      </c>
      <c r="C1172" t="s">
        <v>260</v>
      </c>
      <c r="D1172" t="s">
        <v>226</v>
      </c>
      <c r="E1172" t="s">
        <v>219</v>
      </c>
      <c r="F1172">
        <v>114.9263634</v>
      </c>
      <c r="G1172">
        <v>137.29094000000001</v>
      </c>
      <c r="H1172">
        <v>192.7649926</v>
      </c>
      <c r="I1172">
        <v>146.12263419999999</v>
      </c>
      <c r="J1172">
        <v>250.71456000000001</v>
      </c>
      <c r="K1172">
        <v>324.06337839999998</v>
      </c>
      <c r="L1172">
        <v>428.43346860000003</v>
      </c>
      <c r="M1172">
        <v>583.60019599999998</v>
      </c>
      <c r="N1172">
        <v>758.83608579999998</v>
      </c>
      <c r="O1172">
        <v>993.04177819999995</v>
      </c>
      <c r="P1172">
        <v>1341.6149969999999</v>
      </c>
      <c r="Q1172">
        <v>1757.9824759999999</v>
      </c>
    </row>
    <row r="1173" spans="1:17" x14ac:dyDescent="0.25">
      <c r="A1173" t="s">
        <v>5</v>
      </c>
      <c r="B1173" t="s">
        <v>6</v>
      </c>
      <c r="C1173" t="s">
        <v>260</v>
      </c>
      <c r="D1173" t="s">
        <v>227</v>
      </c>
      <c r="E1173" t="s">
        <v>223</v>
      </c>
      <c r="F1173">
        <v>7.6469346700000003</v>
      </c>
      <c r="G1173">
        <v>11.511973770000001</v>
      </c>
      <c r="H1173">
        <v>13.95524844</v>
      </c>
      <c r="I1173">
        <v>14.188616720000001</v>
      </c>
      <c r="J1173">
        <v>20.252364490000001</v>
      </c>
      <c r="K1173">
        <v>22.429599249999999</v>
      </c>
      <c r="L1173">
        <v>24.863485409999999</v>
      </c>
      <c r="M1173">
        <v>27.773341980000001</v>
      </c>
      <c r="N1173">
        <v>30.69363512</v>
      </c>
      <c r="O1173">
        <v>33.827906740000003</v>
      </c>
      <c r="P1173">
        <v>37.207249539999999</v>
      </c>
      <c r="Q1173">
        <v>40.424373520000003</v>
      </c>
    </row>
    <row r="1174" spans="1:17" x14ac:dyDescent="0.25">
      <c r="A1174" t="s">
        <v>5</v>
      </c>
      <c r="B1174" t="s">
        <v>6</v>
      </c>
      <c r="C1174" t="s">
        <v>260</v>
      </c>
      <c r="D1174" t="s">
        <v>228</v>
      </c>
      <c r="E1174" t="s">
        <v>223</v>
      </c>
      <c r="F1174">
        <v>3571.0140289999999</v>
      </c>
      <c r="G1174">
        <v>3691.7395750000001</v>
      </c>
      <c r="H1174">
        <v>3924.3749379999999</v>
      </c>
      <c r="I1174">
        <v>4902.9997990000002</v>
      </c>
      <c r="J1174">
        <v>5728.2426160000005</v>
      </c>
      <c r="K1174">
        <v>6617.6783500000001</v>
      </c>
      <c r="L1174">
        <v>7676.4916569999996</v>
      </c>
      <c r="M1174">
        <v>8849.0046660000007</v>
      </c>
      <c r="N1174">
        <v>10189.139639999999</v>
      </c>
      <c r="O1174">
        <v>11709.25045</v>
      </c>
      <c r="P1174">
        <v>13432.552390000001</v>
      </c>
      <c r="Q1174">
        <v>15040.88523</v>
      </c>
    </row>
    <row r="1175" spans="1:17" x14ac:dyDescent="0.25">
      <c r="A1175" t="s">
        <v>5</v>
      </c>
      <c r="B1175" t="s">
        <v>6</v>
      </c>
      <c r="C1175" t="s">
        <v>260</v>
      </c>
      <c r="D1175" t="s">
        <v>229</v>
      </c>
      <c r="E1175" t="s">
        <v>230</v>
      </c>
      <c r="F1175">
        <v>608.84512319999999</v>
      </c>
      <c r="G1175">
        <v>681.83861969999998</v>
      </c>
      <c r="H1175">
        <v>761.4273882</v>
      </c>
      <c r="I1175">
        <v>832.67596060000005</v>
      </c>
      <c r="J1175">
        <v>902.05906689999995</v>
      </c>
      <c r="K1175">
        <v>970.35406509999996</v>
      </c>
      <c r="L1175">
        <v>1036.3476880000001</v>
      </c>
      <c r="M1175">
        <v>1099.349635</v>
      </c>
      <c r="N1175">
        <v>1158.4167540000001</v>
      </c>
      <c r="O1175">
        <v>1212.603353</v>
      </c>
      <c r="P1175">
        <v>1259.9646379999999</v>
      </c>
      <c r="Q1175">
        <v>1296.225966</v>
      </c>
    </row>
    <row r="1176" spans="1:17" x14ac:dyDescent="0.25">
      <c r="A1176" t="s">
        <v>5</v>
      </c>
      <c r="B1176" t="s">
        <v>6</v>
      </c>
      <c r="C1176" t="s">
        <v>260</v>
      </c>
      <c r="D1176" t="s">
        <v>231</v>
      </c>
      <c r="E1176" t="s">
        <v>230</v>
      </c>
      <c r="F1176">
        <v>216.14764650000001</v>
      </c>
      <c r="G1176">
        <v>250.2915639</v>
      </c>
      <c r="H1176">
        <v>290.85437769999999</v>
      </c>
      <c r="I1176">
        <v>331.44833569999997</v>
      </c>
      <c r="J1176">
        <v>373.06530520000001</v>
      </c>
      <c r="K1176">
        <v>415.85394650000001</v>
      </c>
      <c r="L1176">
        <v>459.63423</v>
      </c>
      <c r="M1176">
        <v>503.92111119999998</v>
      </c>
      <c r="N1176">
        <v>547.90338110000005</v>
      </c>
      <c r="O1176">
        <v>590.8505844</v>
      </c>
      <c r="P1176">
        <v>631.49957640000002</v>
      </c>
      <c r="Q1176">
        <v>665.23817699999995</v>
      </c>
    </row>
    <row r="1177" spans="1:17" x14ac:dyDescent="0.25">
      <c r="A1177" t="s">
        <v>5</v>
      </c>
      <c r="B1177" t="s">
        <v>6</v>
      </c>
      <c r="C1177" t="s">
        <v>260</v>
      </c>
      <c r="D1177" t="s">
        <v>232</v>
      </c>
      <c r="E1177" t="s">
        <v>230</v>
      </c>
      <c r="F1177">
        <v>100.3350303</v>
      </c>
      <c r="G1177">
        <v>118.05261640000001</v>
      </c>
      <c r="H1177">
        <v>139.6753301</v>
      </c>
      <c r="I1177">
        <v>161.99162010000001</v>
      </c>
      <c r="J1177">
        <v>185.16530739999999</v>
      </c>
      <c r="K1177">
        <v>209.2365029</v>
      </c>
      <c r="L1177">
        <v>234.17853940000001</v>
      </c>
      <c r="M1177">
        <v>259.71179130000002</v>
      </c>
      <c r="N1177">
        <v>285.35157090000001</v>
      </c>
      <c r="O1177">
        <v>310.66921050000002</v>
      </c>
      <c r="P1177">
        <v>334.94836839999999</v>
      </c>
      <c r="Q1177">
        <v>355.34567629999998</v>
      </c>
    </row>
    <row r="1178" spans="1:17" x14ac:dyDescent="0.25">
      <c r="A1178" t="s">
        <v>5</v>
      </c>
      <c r="B1178" t="s">
        <v>6</v>
      </c>
      <c r="C1178" t="s">
        <v>260</v>
      </c>
      <c r="D1178" t="s">
        <v>233</v>
      </c>
      <c r="E1178" t="s">
        <v>27</v>
      </c>
      <c r="F1178">
        <v>22.000853679999999</v>
      </c>
      <c r="G1178">
        <v>31.834495820000001</v>
      </c>
      <c r="H1178">
        <v>24.148591620000001</v>
      </c>
      <c r="I1178">
        <v>27.99516852</v>
      </c>
      <c r="J1178">
        <v>34.471646829999997</v>
      </c>
      <c r="K1178">
        <v>49.98717302</v>
      </c>
      <c r="L1178">
        <v>58.229317979999998</v>
      </c>
      <c r="M1178">
        <v>69.32552278</v>
      </c>
      <c r="N1178">
        <v>84.191806439999993</v>
      </c>
      <c r="O1178">
        <v>104.4395786</v>
      </c>
      <c r="P1178">
        <v>132.1740226</v>
      </c>
      <c r="Q1178">
        <v>157.6475039</v>
      </c>
    </row>
    <row r="1179" spans="1:17" x14ac:dyDescent="0.25">
      <c r="A1179" t="s">
        <v>5</v>
      </c>
      <c r="B1179" t="s">
        <v>6</v>
      </c>
      <c r="C1179" t="s">
        <v>260</v>
      </c>
      <c r="D1179" t="s">
        <v>234</v>
      </c>
      <c r="E1179" t="s">
        <v>27</v>
      </c>
      <c r="F1179">
        <v>392.43880039999999</v>
      </c>
      <c r="G1179">
        <v>577.93986089999999</v>
      </c>
      <c r="H1179">
        <v>426.77079939999999</v>
      </c>
      <c r="I1179">
        <v>493.17870090000002</v>
      </c>
      <c r="J1179">
        <v>547.25416659999996</v>
      </c>
      <c r="K1179">
        <v>759.08071210000003</v>
      </c>
      <c r="L1179">
        <v>838.44105379999996</v>
      </c>
      <c r="M1179">
        <v>955.9319074</v>
      </c>
      <c r="N1179">
        <v>1111.639715</v>
      </c>
      <c r="O1179">
        <v>1327.995799</v>
      </c>
      <c r="P1179">
        <v>1681.28953</v>
      </c>
      <c r="Q1179">
        <v>1996.7090470000001</v>
      </c>
    </row>
    <row r="1180" spans="1:17" x14ac:dyDescent="0.25">
      <c r="A1180" t="s">
        <v>5</v>
      </c>
      <c r="B1180" t="s">
        <v>6</v>
      </c>
      <c r="C1180" t="s">
        <v>260</v>
      </c>
      <c r="D1180" t="s">
        <v>235</v>
      </c>
      <c r="E1180" t="s">
        <v>27</v>
      </c>
      <c r="F1180">
        <v>1.611853454</v>
      </c>
      <c r="G1180">
        <v>2.1681762409999998</v>
      </c>
      <c r="H1180">
        <v>2.1074420780000001</v>
      </c>
      <c r="I1180">
        <v>2.289542258</v>
      </c>
      <c r="J1180">
        <v>2.6791440199999998</v>
      </c>
      <c r="K1180">
        <v>3.8040870600000001</v>
      </c>
      <c r="L1180">
        <v>4.5974184449999997</v>
      </c>
      <c r="M1180">
        <v>5.4457828709999996</v>
      </c>
      <c r="N1180">
        <v>6.7363256700000003</v>
      </c>
      <c r="O1180">
        <v>8.5222533640000009</v>
      </c>
      <c r="P1180">
        <v>10.63261791</v>
      </c>
      <c r="Q1180">
        <v>12.61124672</v>
      </c>
    </row>
    <row r="1181" spans="1:17" x14ac:dyDescent="0.25">
      <c r="A1181" t="s">
        <v>5</v>
      </c>
      <c r="B1181" t="s">
        <v>6</v>
      </c>
      <c r="C1181" t="s">
        <v>260</v>
      </c>
      <c r="D1181" t="s">
        <v>236</v>
      </c>
      <c r="E1181" t="s">
        <v>27</v>
      </c>
      <c r="F1181">
        <v>0.63359681400000001</v>
      </c>
      <c r="G1181">
        <v>1.024405722</v>
      </c>
      <c r="H1181">
        <v>0.77910526300000005</v>
      </c>
      <c r="I1181">
        <v>0.93193058600000001</v>
      </c>
      <c r="J1181">
        <v>1.024487028</v>
      </c>
      <c r="K1181">
        <v>1.549687236</v>
      </c>
      <c r="L1181">
        <v>1.902458582</v>
      </c>
      <c r="M1181">
        <v>2.286499015</v>
      </c>
      <c r="N1181">
        <v>2.970129236</v>
      </c>
      <c r="O1181">
        <v>3.9868788340000001</v>
      </c>
      <c r="P1181">
        <v>5.245944905</v>
      </c>
      <c r="Q1181">
        <v>6.4827104159999998</v>
      </c>
    </row>
    <row r="1182" spans="1:17" x14ac:dyDescent="0.25">
      <c r="A1182" t="s">
        <v>5</v>
      </c>
      <c r="B1182" t="s">
        <v>6</v>
      </c>
      <c r="C1182" t="s">
        <v>260</v>
      </c>
      <c r="D1182" t="s">
        <v>237</v>
      </c>
      <c r="E1182" t="s">
        <v>27</v>
      </c>
      <c r="F1182">
        <v>1.646512019</v>
      </c>
      <c r="G1182">
        <v>2.6394739629999999</v>
      </c>
      <c r="H1182">
        <v>1.8267172140000001</v>
      </c>
      <c r="I1182">
        <v>2.1919754060000001</v>
      </c>
      <c r="J1182">
        <v>2.5600326619999998</v>
      </c>
      <c r="K1182">
        <v>3.4616684879999999</v>
      </c>
      <c r="L1182">
        <v>3.8947611439999998</v>
      </c>
      <c r="M1182">
        <v>4.5436138509999999</v>
      </c>
      <c r="N1182">
        <v>5.3380060650000001</v>
      </c>
      <c r="O1182">
        <v>6.4607319539999999</v>
      </c>
      <c r="P1182">
        <v>8.0950815390000006</v>
      </c>
      <c r="Q1182">
        <v>9.5639036110000006</v>
      </c>
    </row>
    <row r="1183" spans="1:17" x14ac:dyDescent="0.25">
      <c r="A1183" t="s">
        <v>5</v>
      </c>
      <c r="B1183" t="s">
        <v>6</v>
      </c>
      <c r="C1183" t="s">
        <v>260</v>
      </c>
      <c r="D1183" t="s">
        <v>238</v>
      </c>
      <c r="E1183" t="s">
        <v>27</v>
      </c>
      <c r="F1183">
        <v>17.228318229999999</v>
      </c>
      <c r="G1183">
        <v>24.085655880000001</v>
      </c>
      <c r="H1183">
        <v>17.610976470000001</v>
      </c>
      <c r="I1183">
        <v>19.486388529999999</v>
      </c>
      <c r="J1183">
        <v>21.376598059999999</v>
      </c>
      <c r="K1183">
        <v>29.971541649999999</v>
      </c>
      <c r="L1183">
        <v>32.141309909999997</v>
      </c>
      <c r="M1183">
        <v>35.746775409999998</v>
      </c>
      <c r="N1183">
        <v>40.480976480000002</v>
      </c>
      <c r="O1183">
        <v>47.024740659999999</v>
      </c>
      <c r="P1183">
        <v>59.729609189999998</v>
      </c>
      <c r="Q1183">
        <v>70.624097919999997</v>
      </c>
    </row>
    <row r="1184" spans="1:17" x14ac:dyDescent="0.25">
      <c r="A1184" t="s">
        <v>5</v>
      </c>
      <c r="B1184" t="s">
        <v>6</v>
      </c>
      <c r="C1184" t="s">
        <v>260</v>
      </c>
      <c r="D1184" t="s">
        <v>239</v>
      </c>
      <c r="E1184" t="s">
        <v>27</v>
      </c>
      <c r="F1184">
        <v>6.762625248</v>
      </c>
      <c r="G1184">
        <v>9.8226225930000002</v>
      </c>
      <c r="H1184">
        <v>10.518699209999999</v>
      </c>
      <c r="I1184">
        <v>14.11036479</v>
      </c>
      <c r="J1184">
        <v>13.899388070000001</v>
      </c>
      <c r="K1184">
        <v>16.35631514</v>
      </c>
      <c r="L1184">
        <v>19.676381880000001</v>
      </c>
      <c r="M1184">
        <v>23.807441749999999</v>
      </c>
      <c r="N1184">
        <v>29.078294960000001</v>
      </c>
      <c r="O1184">
        <v>35.545016070000003</v>
      </c>
      <c r="P1184">
        <v>43.181185290000002</v>
      </c>
      <c r="Q1184">
        <v>51.002489820000001</v>
      </c>
    </row>
    <row r="1185" spans="1:17" x14ac:dyDescent="0.25">
      <c r="A1185" t="s">
        <v>5</v>
      </c>
      <c r="B1185" t="s">
        <v>6</v>
      </c>
      <c r="C1185" t="s">
        <v>260</v>
      </c>
      <c r="D1185" t="s">
        <v>240</v>
      </c>
      <c r="E1185" t="s">
        <v>27</v>
      </c>
      <c r="F1185">
        <v>5.5199052169999998</v>
      </c>
      <c r="G1185">
        <v>6.9401314110000003</v>
      </c>
      <c r="H1185">
        <v>8.0972204229999996</v>
      </c>
      <c r="I1185">
        <v>10.331834389999999</v>
      </c>
      <c r="J1185">
        <v>18.948004579999999</v>
      </c>
      <c r="K1185">
        <v>30.624610199999999</v>
      </c>
      <c r="L1185">
        <v>45.226584799999998</v>
      </c>
      <c r="M1185">
        <v>63.00102639</v>
      </c>
      <c r="N1185">
        <v>84.607065809999995</v>
      </c>
      <c r="O1185">
        <v>109.54340879999999</v>
      </c>
      <c r="P1185">
        <v>130.9718598</v>
      </c>
      <c r="Q1185">
        <v>152.36000440000001</v>
      </c>
    </row>
    <row r="1186" spans="1:17" x14ac:dyDescent="0.25">
      <c r="A1186" t="s">
        <v>5</v>
      </c>
      <c r="B1186" t="s">
        <v>6</v>
      </c>
      <c r="C1186" t="s">
        <v>260</v>
      </c>
      <c r="D1186" t="s">
        <v>241</v>
      </c>
      <c r="E1186" t="s">
        <v>27</v>
      </c>
      <c r="F1186">
        <v>0.84665210199999996</v>
      </c>
      <c r="G1186">
        <v>1.0618419830000001</v>
      </c>
      <c r="H1186">
        <v>1.231527807</v>
      </c>
      <c r="I1186">
        <v>1.6955451100000001</v>
      </c>
      <c r="J1186">
        <v>1.7292196280000001</v>
      </c>
      <c r="K1186">
        <v>2.0051322790000001</v>
      </c>
      <c r="L1186">
        <v>2.426489557</v>
      </c>
      <c r="M1186">
        <v>2.9179584119999999</v>
      </c>
      <c r="N1186">
        <v>3.537364153</v>
      </c>
      <c r="O1186">
        <v>4.2920510409999997</v>
      </c>
      <c r="P1186">
        <v>5.1745455739999997</v>
      </c>
      <c r="Q1186">
        <v>6.0730984179999998</v>
      </c>
    </row>
    <row r="1187" spans="1:17" x14ac:dyDescent="0.25">
      <c r="A1187" t="s">
        <v>5</v>
      </c>
      <c r="B1187" t="s">
        <v>6</v>
      </c>
      <c r="C1187" t="s">
        <v>260</v>
      </c>
      <c r="D1187" t="s">
        <v>242</v>
      </c>
      <c r="E1187" t="s">
        <v>27</v>
      </c>
      <c r="F1187">
        <v>0.175334831</v>
      </c>
      <c r="G1187">
        <v>0.223430091</v>
      </c>
      <c r="H1187">
        <v>0.27306866400000002</v>
      </c>
      <c r="I1187">
        <v>0.416494056</v>
      </c>
      <c r="J1187">
        <v>0.368019761</v>
      </c>
      <c r="K1187">
        <v>0.443496891</v>
      </c>
      <c r="L1187">
        <v>0.54414496999999995</v>
      </c>
      <c r="M1187">
        <v>0.67636042399999996</v>
      </c>
      <c r="N1187">
        <v>0.85163441100000004</v>
      </c>
      <c r="O1187">
        <v>1.077048129</v>
      </c>
      <c r="P1187">
        <v>1.349208408</v>
      </c>
      <c r="Q1187">
        <v>1.6492830489999999</v>
      </c>
    </row>
    <row r="1188" spans="1:17" x14ac:dyDescent="0.25">
      <c r="A1188" t="s">
        <v>5</v>
      </c>
      <c r="B1188" t="s">
        <v>6</v>
      </c>
      <c r="C1188" t="s">
        <v>260</v>
      </c>
      <c r="D1188" t="s">
        <v>243</v>
      </c>
      <c r="E1188" t="s">
        <v>27</v>
      </c>
      <c r="F1188">
        <v>0.126989402</v>
      </c>
      <c r="G1188">
        <v>0.16076692000000001</v>
      </c>
      <c r="H1188">
        <v>0.191808374</v>
      </c>
      <c r="I1188">
        <v>0.27937058599999998</v>
      </c>
      <c r="J1188">
        <v>0.28964614300000002</v>
      </c>
      <c r="K1188">
        <v>0.36832907100000001</v>
      </c>
      <c r="L1188">
        <v>0.44913310299999998</v>
      </c>
      <c r="M1188">
        <v>0.52014850899999998</v>
      </c>
      <c r="N1188">
        <v>0.56893708799999998</v>
      </c>
      <c r="O1188">
        <v>0.59391529300000001</v>
      </c>
      <c r="P1188">
        <v>0.70081186900000003</v>
      </c>
      <c r="Q1188">
        <v>0.82930475199999998</v>
      </c>
    </row>
    <row r="1189" spans="1:17" x14ac:dyDescent="0.25">
      <c r="A1189" t="s">
        <v>5</v>
      </c>
      <c r="B1189" t="s">
        <v>6</v>
      </c>
      <c r="C1189" t="s">
        <v>260</v>
      </c>
      <c r="D1189" t="s">
        <v>244</v>
      </c>
      <c r="E1189" t="s">
        <v>27</v>
      </c>
      <c r="F1189">
        <v>1.058062635</v>
      </c>
      <c r="G1189">
        <v>1.3963975369999999</v>
      </c>
      <c r="H1189">
        <v>1.4497759939999999</v>
      </c>
      <c r="I1189">
        <v>1.8141393560000001</v>
      </c>
      <c r="J1189">
        <v>1.9786411340000001</v>
      </c>
      <c r="K1189">
        <v>2.3960620829999999</v>
      </c>
      <c r="L1189">
        <v>2.834586281</v>
      </c>
      <c r="M1189">
        <v>3.3006315220000002</v>
      </c>
      <c r="N1189">
        <v>3.7838769819999998</v>
      </c>
      <c r="O1189">
        <v>4.2885681120000001</v>
      </c>
      <c r="P1189">
        <v>4.9368244839999997</v>
      </c>
      <c r="Q1189">
        <v>5.6213867659999996</v>
      </c>
    </row>
    <row r="1190" spans="1:17" x14ac:dyDescent="0.25">
      <c r="A1190" t="s">
        <v>5</v>
      </c>
      <c r="B1190" t="s">
        <v>6</v>
      </c>
      <c r="C1190" t="s">
        <v>260</v>
      </c>
      <c r="D1190" t="s">
        <v>245</v>
      </c>
      <c r="E1190" t="s">
        <v>27</v>
      </c>
      <c r="F1190">
        <v>0.344588055</v>
      </c>
      <c r="G1190">
        <v>0.417352581</v>
      </c>
      <c r="H1190">
        <v>0.52669835899999995</v>
      </c>
      <c r="I1190">
        <v>0.63879045400000001</v>
      </c>
      <c r="J1190">
        <v>1.0451061960000001</v>
      </c>
      <c r="K1190">
        <v>1.5990145149999999</v>
      </c>
      <c r="L1190">
        <v>2.345206358</v>
      </c>
      <c r="M1190">
        <v>3.3256848020000001</v>
      </c>
      <c r="N1190">
        <v>4.6201799030000004</v>
      </c>
      <c r="O1190">
        <v>6.224215611</v>
      </c>
      <c r="P1190">
        <v>7.6338178179999998</v>
      </c>
      <c r="Q1190">
        <v>9.0457505769999997</v>
      </c>
    </row>
    <row r="1191" spans="1:17" x14ac:dyDescent="0.25">
      <c r="A1191" t="s">
        <v>5</v>
      </c>
      <c r="B1191" t="s">
        <v>6</v>
      </c>
      <c r="C1191" t="s">
        <v>260</v>
      </c>
      <c r="D1191" t="s">
        <v>246</v>
      </c>
      <c r="E1191" t="s">
        <v>27</v>
      </c>
      <c r="F1191">
        <v>0</v>
      </c>
      <c r="G1191">
        <v>0</v>
      </c>
      <c r="H1191">
        <v>0</v>
      </c>
      <c r="I1191">
        <v>0.71033513299999995</v>
      </c>
      <c r="J1191">
        <v>6.3247126810000003</v>
      </c>
      <c r="K1191">
        <v>14.32882904</v>
      </c>
      <c r="L1191">
        <v>24.882249040000001</v>
      </c>
      <c r="M1191">
        <v>38.621101459999998</v>
      </c>
      <c r="N1191">
        <v>56.446348749999999</v>
      </c>
      <c r="O1191">
        <v>77.896885130000001</v>
      </c>
      <c r="P1191">
        <v>93.833067060000005</v>
      </c>
      <c r="Q1191">
        <v>109.13421150000001</v>
      </c>
    </row>
    <row r="1192" spans="1:17" x14ac:dyDescent="0.25">
      <c r="A1192" t="s">
        <v>5</v>
      </c>
      <c r="B1192" t="s">
        <v>6</v>
      </c>
      <c r="C1192" t="s">
        <v>260</v>
      </c>
      <c r="D1192" t="s">
        <v>247</v>
      </c>
      <c r="E1192" t="s">
        <v>27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 x14ac:dyDescent="0.25">
      <c r="A1193" t="s">
        <v>5</v>
      </c>
      <c r="B1193" t="s">
        <v>6</v>
      </c>
      <c r="C1193" t="s">
        <v>260</v>
      </c>
      <c r="D1193" t="s">
        <v>248</v>
      </c>
      <c r="E1193" t="s">
        <v>27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</row>
    <row r="1194" spans="1:17" x14ac:dyDescent="0.25">
      <c r="A1194" t="s">
        <v>5</v>
      </c>
      <c r="B1194" t="s">
        <v>6</v>
      </c>
      <c r="C1194" t="s">
        <v>260</v>
      </c>
      <c r="D1194" t="s">
        <v>249</v>
      </c>
      <c r="E1194" t="s">
        <v>27</v>
      </c>
      <c r="F1194">
        <v>2.050977E-2</v>
      </c>
      <c r="G1194">
        <v>2.4311263E-2</v>
      </c>
      <c r="H1194">
        <v>3.1244557999999999E-2</v>
      </c>
      <c r="I1194">
        <v>4.7089542999999998E-2</v>
      </c>
      <c r="J1194">
        <v>0.151781623</v>
      </c>
      <c r="K1194">
        <v>0.30676600999999998</v>
      </c>
      <c r="L1194">
        <v>0.52193110700000001</v>
      </c>
      <c r="M1194">
        <v>0.81619278900000003</v>
      </c>
      <c r="N1194">
        <v>1.2117585740000001</v>
      </c>
      <c r="O1194">
        <v>1.704310717</v>
      </c>
      <c r="P1194">
        <v>2.1018606370000001</v>
      </c>
      <c r="Q1194">
        <v>2.487444998</v>
      </c>
    </row>
    <row r="1195" spans="1:17" x14ac:dyDescent="0.25">
      <c r="A1195" t="s">
        <v>5</v>
      </c>
      <c r="B1195" t="s">
        <v>6</v>
      </c>
      <c r="C1195" t="s">
        <v>260</v>
      </c>
      <c r="D1195" t="s">
        <v>250</v>
      </c>
      <c r="E1195" t="s">
        <v>27</v>
      </c>
      <c r="F1195">
        <v>0.46631002599999999</v>
      </c>
      <c r="G1195">
        <v>0.53228005700000003</v>
      </c>
      <c r="H1195">
        <v>0.64376630599999995</v>
      </c>
      <c r="I1195">
        <v>0.78704184300000002</v>
      </c>
      <c r="J1195">
        <v>1.31485944</v>
      </c>
      <c r="K1195">
        <v>2.025466985</v>
      </c>
      <c r="L1195">
        <v>2.9415937470000002</v>
      </c>
      <c r="M1195">
        <v>4.0882387710000003</v>
      </c>
      <c r="N1195">
        <v>5.5165995250000002</v>
      </c>
      <c r="O1195">
        <v>7.1746807690000001</v>
      </c>
      <c r="P1195">
        <v>8.4060591589999998</v>
      </c>
      <c r="Q1195">
        <v>9.5691979089999997</v>
      </c>
    </row>
    <row r="1196" spans="1:17" x14ac:dyDescent="0.25">
      <c r="A1196" t="s">
        <v>5</v>
      </c>
      <c r="B1196" t="s">
        <v>6</v>
      </c>
      <c r="C1196" t="s">
        <v>260</v>
      </c>
      <c r="D1196" t="s">
        <v>251</v>
      </c>
      <c r="E1196" t="s">
        <v>27</v>
      </c>
      <c r="F1196">
        <v>1.509290523</v>
      </c>
      <c r="G1196">
        <v>1.8596073369999999</v>
      </c>
      <c r="H1196">
        <v>2.3339404419999998</v>
      </c>
      <c r="I1196">
        <v>3.3204833040000001</v>
      </c>
      <c r="J1196">
        <v>2.9136299050000001</v>
      </c>
      <c r="K1196">
        <v>3.0288208910000001</v>
      </c>
      <c r="L1196">
        <v>3.1226673649999999</v>
      </c>
      <c r="M1196">
        <v>3.1334217139999998</v>
      </c>
      <c r="N1196">
        <v>3.0564724289999998</v>
      </c>
      <c r="O1196">
        <v>2.9290748440000001</v>
      </c>
      <c r="P1196">
        <v>3.4826002059999999</v>
      </c>
      <c r="Q1196">
        <v>4.1612371939999999</v>
      </c>
    </row>
    <row r="1197" spans="1:17" x14ac:dyDescent="0.25">
      <c r="A1197" t="s">
        <v>5</v>
      </c>
      <c r="B1197" t="s">
        <v>6</v>
      </c>
      <c r="C1197" t="s">
        <v>260</v>
      </c>
      <c r="D1197" t="s">
        <v>252</v>
      </c>
      <c r="E1197" t="s">
        <v>27</v>
      </c>
      <c r="F1197">
        <v>93.049830799999995</v>
      </c>
      <c r="G1197">
        <v>109.2381156</v>
      </c>
      <c r="H1197">
        <v>135.7791024</v>
      </c>
      <c r="I1197">
        <v>157.28658250000001</v>
      </c>
      <c r="J1197">
        <v>156.94478839999999</v>
      </c>
      <c r="K1197">
        <v>161.12289369999999</v>
      </c>
      <c r="L1197">
        <v>168.6739585</v>
      </c>
      <c r="M1197">
        <v>176.34344429999999</v>
      </c>
      <c r="N1197">
        <v>184.3402882</v>
      </c>
      <c r="O1197">
        <v>195.51095359999999</v>
      </c>
      <c r="P1197">
        <v>228.54003950000001</v>
      </c>
      <c r="Q1197">
        <v>266.32778610000003</v>
      </c>
    </row>
    <row r="1198" spans="1:17" x14ac:dyDescent="0.25">
      <c r="A1198" t="s">
        <v>5</v>
      </c>
      <c r="B1198" t="s">
        <v>6</v>
      </c>
      <c r="C1198" t="s">
        <v>260</v>
      </c>
      <c r="D1198" t="s">
        <v>253</v>
      </c>
      <c r="E1198" t="s">
        <v>27</v>
      </c>
      <c r="F1198">
        <v>0.121951616</v>
      </c>
      <c r="G1198">
        <v>0.148388768</v>
      </c>
      <c r="H1198">
        <v>0.190972328</v>
      </c>
      <c r="I1198">
        <v>0.24283650400000001</v>
      </c>
      <c r="J1198">
        <v>0.25962784900000002</v>
      </c>
      <c r="K1198">
        <v>0.29131153100000001</v>
      </c>
      <c r="L1198">
        <v>0.34072902100000002</v>
      </c>
      <c r="M1198">
        <v>0.40041596600000001</v>
      </c>
      <c r="N1198">
        <v>0.48014818399999998</v>
      </c>
      <c r="O1198">
        <v>0.58095704299999995</v>
      </c>
      <c r="P1198">
        <v>0.70860478999999998</v>
      </c>
      <c r="Q1198">
        <v>0.83604713100000005</v>
      </c>
    </row>
    <row r="1199" spans="1:17" x14ac:dyDescent="0.25">
      <c r="A1199" t="s">
        <v>5</v>
      </c>
      <c r="B1199" t="s">
        <v>6</v>
      </c>
      <c r="C1199" t="s">
        <v>260</v>
      </c>
      <c r="D1199" t="s">
        <v>254</v>
      </c>
      <c r="E1199" t="s">
        <v>27</v>
      </c>
      <c r="F1199">
        <v>7.2937926E-2</v>
      </c>
      <c r="G1199">
        <v>9.0088853999999996E-2</v>
      </c>
      <c r="H1199">
        <v>0.116426826</v>
      </c>
      <c r="I1199">
        <v>0.141530188</v>
      </c>
      <c r="J1199">
        <v>0.14618615600000001</v>
      </c>
      <c r="K1199">
        <v>0.160374302</v>
      </c>
      <c r="L1199">
        <v>0.179429385</v>
      </c>
      <c r="M1199">
        <v>0.205532205</v>
      </c>
      <c r="N1199">
        <v>0.24132414899999999</v>
      </c>
      <c r="O1199">
        <v>0.28893924900000001</v>
      </c>
      <c r="P1199">
        <v>0.36894442</v>
      </c>
      <c r="Q1199">
        <v>0.46120401</v>
      </c>
    </row>
    <row r="1200" spans="1:17" x14ac:dyDescent="0.25">
      <c r="A1200" t="s">
        <v>5</v>
      </c>
      <c r="B1200" t="s">
        <v>6</v>
      </c>
      <c r="C1200" t="s">
        <v>260</v>
      </c>
      <c r="D1200" t="s">
        <v>255</v>
      </c>
      <c r="E1200" t="s">
        <v>27</v>
      </c>
      <c r="F1200">
        <v>0.36524508100000003</v>
      </c>
      <c r="G1200">
        <v>0.43449928700000001</v>
      </c>
      <c r="H1200">
        <v>0.56040442599999996</v>
      </c>
      <c r="I1200">
        <v>0.65940722399999996</v>
      </c>
      <c r="J1200">
        <v>0.58704057499999995</v>
      </c>
      <c r="K1200">
        <v>0.52869186400000001</v>
      </c>
      <c r="L1200">
        <v>0.47241409400000001</v>
      </c>
      <c r="M1200">
        <v>0.40782193700000002</v>
      </c>
      <c r="N1200">
        <v>0.32966601299999998</v>
      </c>
      <c r="O1200">
        <v>0.253424023</v>
      </c>
      <c r="P1200">
        <v>0.28829901800000002</v>
      </c>
      <c r="Q1200">
        <v>0.34125759999999999</v>
      </c>
    </row>
    <row r="1201" spans="1:17" x14ac:dyDescent="0.25">
      <c r="A1201" t="s">
        <v>5</v>
      </c>
      <c r="B1201" t="s">
        <v>6</v>
      </c>
      <c r="C1201" t="s">
        <v>260</v>
      </c>
      <c r="D1201" t="s">
        <v>256</v>
      </c>
      <c r="E1201" t="s">
        <v>27</v>
      </c>
      <c r="F1201">
        <v>3.140598615</v>
      </c>
      <c r="G1201">
        <v>3.6724909659999998</v>
      </c>
      <c r="H1201">
        <v>4.4725761159999999</v>
      </c>
      <c r="I1201">
        <v>5.0943390229999999</v>
      </c>
      <c r="J1201">
        <v>4.952394505</v>
      </c>
      <c r="K1201">
        <v>4.8324562479999997</v>
      </c>
      <c r="L1201">
        <v>4.8035355219999998</v>
      </c>
      <c r="M1201">
        <v>4.7352830409999997</v>
      </c>
      <c r="N1201">
        <v>4.618453465</v>
      </c>
      <c r="O1201">
        <v>4.5510127880000004</v>
      </c>
      <c r="P1201">
        <v>5.1443302940000004</v>
      </c>
      <c r="Q1201">
        <v>5.8604754139999997</v>
      </c>
    </row>
    <row r="1202" spans="1:17" x14ac:dyDescent="0.25">
      <c r="A1202" t="s">
        <v>5</v>
      </c>
      <c r="B1202" t="s">
        <v>6</v>
      </c>
      <c r="C1202" t="s">
        <v>261</v>
      </c>
      <c r="D1202" t="s">
        <v>8</v>
      </c>
      <c r="E1202" t="s">
        <v>9</v>
      </c>
      <c r="F1202">
        <v>1850.0770709999999</v>
      </c>
      <c r="G1202">
        <v>1526.4464720000001</v>
      </c>
      <c r="H1202">
        <v>2509.293165</v>
      </c>
      <c r="I1202">
        <v>2415.5503650000001</v>
      </c>
      <c r="J1202">
        <v>3930.9806560000002</v>
      </c>
      <c r="K1202">
        <v>3360.774214</v>
      </c>
      <c r="L1202">
        <v>4329.5828949999996</v>
      </c>
      <c r="M1202">
        <v>4783.414393</v>
      </c>
      <c r="N1202">
        <v>5361.8695729999999</v>
      </c>
      <c r="O1202">
        <v>5975.2121500000003</v>
      </c>
      <c r="P1202">
        <v>6593.2764020000004</v>
      </c>
      <c r="Q1202">
        <v>7220.4705860000004</v>
      </c>
    </row>
    <row r="1203" spans="1:17" x14ac:dyDescent="0.25">
      <c r="A1203" t="s">
        <v>5</v>
      </c>
      <c r="B1203" t="s">
        <v>6</v>
      </c>
      <c r="C1203" t="s">
        <v>261</v>
      </c>
      <c r="D1203" t="s">
        <v>10</v>
      </c>
      <c r="E1203" t="s">
        <v>9</v>
      </c>
      <c r="F1203">
        <v>29.66844317</v>
      </c>
      <c r="G1203">
        <v>31.51062786</v>
      </c>
      <c r="H1203">
        <v>41.78413724</v>
      </c>
      <c r="I1203">
        <v>36.88940616</v>
      </c>
      <c r="J1203">
        <v>76.200424839999997</v>
      </c>
      <c r="K1203">
        <v>61.859473639999997</v>
      </c>
      <c r="L1203">
        <v>74.349458010000006</v>
      </c>
      <c r="M1203">
        <v>72.070618679999995</v>
      </c>
      <c r="N1203">
        <v>73.566023979999997</v>
      </c>
      <c r="O1203">
        <v>76.005846669999997</v>
      </c>
      <c r="P1203">
        <v>75.883818079999998</v>
      </c>
      <c r="Q1203">
        <v>76.329216720000005</v>
      </c>
    </row>
    <row r="1204" spans="1:17" x14ac:dyDescent="0.25">
      <c r="A1204" t="s">
        <v>5</v>
      </c>
      <c r="B1204" t="s">
        <v>6</v>
      </c>
      <c r="C1204" t="s">
        <v>261</v>
      </c>
      <c r="D1204" t="s">
        <v>11</v>
      </c>
      <c r="E1204" t="s">
        <v>9</v>
      </c>
      <c r="F1204">
        <v>3141.344497</v>
      </c>
      <c r="G1204">
        <v>2836.3312500000002</v>
      </c>
      <c r="H1204">
        <v>4250.1157720000001</v>
      </c>
      <c r="I1204">
        <v>2080.0525459999999</v>
      </c>
      <c r="J1204">
        <v>4307.2390409999998</v>
      </c>
      <c r="K1204">
        <v>2525.240041</v>
      </c>
      <c r="L1204">
        <v>4196.740401</v>
      </c>
      <c r="M1204">
        <v>3487.0617259999999</v>
      </c>
      <c r="N1204">
        <v>3823.8428309999999</v>
      </c>
      <c r="O1204">
        <v>3823.502845</v>
      </c>
      <c r="P1204">
        <v>3877.4857940000002</v>
      </c>
      <c r="Q1204">
        <v>4061.2973569999999</v>
      </c>
    </row>
    <row r="1205" spans="1:17" x14ac:dyDescent="0.25">
      <c r="A1205" t="s">
        <v>5</v>
      </c>
      <c r="B1205" t="s">
        <v>6</v>
      </c>
      <c r="C1205" t="s">
        <v>261</v>
      </c>
      <c r="D1205" t="s">
        <v>12</v>
      </c>
      <c r="E1205" t="s">
        <v>9</v>
      </c>
      <c r="F1205">
        <v>837.97683129999996</v>
      </c>
      <c r="G1205">
        <v>663.06929449999996</v>
      </c>
      <c r="H1205">
        <v>1156.0616660000001</v>
      </c>
      <c r="I1205">
        <v>1346.9381980000001</v>
      </c>
      <c r="J1205">
        <v>1186.8978509999999</v>
      </c>
      <c r="K1205">
        <v>1532.5653030000001</v>
      </c>
      <c r="L1205">
        <v>1621.125957</v>
      </c>
      <c r="M1205">
        <v>1672.486903</v>
      </c>
      <c r="N1205">
        <v>1865.1264000000001</v>
      </c>
      <c r="O1205">
        <v>1947.6867769999999</v>
      </c>
      <c r="P1205">
        <v>2009.0573890000001</v>
      </c>
      <c r="Q1205">
        <v>2139.6792150000001</v>
      </c>
    </row>
    <row r="1206" spans="1:17" x14ac:dyDescent="0.25">
      <c r="A1206" t="s">
        <v>5</v>
      </c>
      <c r="B1206" t="s">
        <v>6</v>
      </c>
      <c r="C1206" t="s">
        <v>261</v>
      </c>
      <c r="D1206" t="s">
        <v>13</v>
      </c>
      <c r="E1206" t="s">
        <v>9</v>
      </c>
      <c r="F1206">
        <v>9.9061900000000005E-3</v>
      </c>
      <c r="G1206">
        <v>0</v>
      </c>
      <c r="H1206">
        <v>1.1820470000000001E-3</v>
      </c>
      <c r="I1206">
        <v>2.4792970000000001E-3</v>
      </c>
      <c r="J1206">
        <v>8.3077949999999998E-3</v>
      </c>
      <c r="K1206">
        <v>5.659374E-3</v>
      </c>
      <c r="L1206">
        <v>1.2248024999999999E-2</v>
      </c>
      <c r="M1206">
        <v>2.0395020999999999E-2</v>
      </c>
      <c r="N1206">
        <v>3.2944210000000002E-2</v>
      </c>
      <c r="O1206">
        <v>4.6061712999999997E-2</v>
      </c>
      <c r="P1206">
        <v>5.3720364999999999E-2</v>
      </c>
      <c r="Q1206">
        <v>5.6470063000000001E-2</v>
      </c>
    </row>
    <row r="1207" spans="1:17" x14ac:dyDescent="0.25">
      <c r="A1207" t="s">
        <v>5</v>
      </c>
      <c r="B1207" t="s">
        <v>6</v>
      </c>
      <c r="C1207" t="s">
        <v>261</v>
      </c>
      <c r="D1207" t="s">
        <v>14</v>
      </c>
      <c r="E1207" t="s">
        <v>9</v>
      </c>
      <c r="F1207">
        <v>2.9670443000000001E-2</v>
      </c>
      <c r="G1207">
        <v>2.1400796E-2</v>
      </c>
      <c r="H1207">
        <v>2.5828782000000002E-2</v>
      </c>
      <c r="I1207">
        <v>2.4677325E-2</v>
      </c>
      <c r="J1207">
        <v>3.2818110999999997E-2</v>
      </c>
      <c r="K1207">
        <v>4.5483005999999999E-2</v>
      </c>
      <c r="L1207">
        <v>5.4978222E-2</v>
      </c>
      <c r="M1207">
        <v>6.4114224999999997E-2</v>
      </c>
      <c r="N1207">
        <v>6.1967341000000002E-2</v>
      </c>
      <c r="O1207">
        <v>5.2960146999999999E-2</v>
      </c>
      <c r="P1207">
        <v>5.8239819999999998E-2</v>
      </c>
      <c r="Q1207">
        <v>6.4447939999999995E-2</v>
      </c>
    </row>
    <row r="1208" spans="1:17" x14ac:dyDescent="0.25">
      <c r="A1208" t="s">
        <v>5</v>
      </c>
      <c r="B1208" t="s">
        <v>6</v>
      </c>
      <c r="C1208" t="s">
        <v>261</v>
      </c>
      <c r="D1208" t="s">
        <v>15</v>
      </c>
      <c r="E1208" t="s">
        <v>9</v>
      </c>
      <c r="F1208">
        <v>3.7987686E-2</v>
      </c>
      <c r="G1208">
        <v>7.0958197000000001E-2</v>
      </c>
      <c r="H1208">
        <v>0.10085595999999999</v>
      </c>
      <c r="I1208">
        <v>0.15441960599999999</v>
      </c>
      <c r="J1208">
        <v>0.13873453599999999</v>
      </c>
      <c r="K1208">
        <v>6.7443307999999993E-2</v>
      </c>
      <c r="L1208">
        <v>0.112975215</v>
      </c>
      <c r="M1208">
        <v>0.15718557</v>
      </c>
      <c r="N1208">
        <v>0.20231600299999999</v>
      </c>
      <c r="O1208">
        <v>0.21173786</v>
      </c>
      <c r="P1208">
        <v>0.22347108900000001</v>
      </c>
      <c r="Q1208">
        <v>0.24651273300000001</v>
      </c>
    </row>
    <row r="1209" spans="1:17" x14ac:dyDescent="0.25">
      <c r="A1209" t="s">
        <v>5</v>
      </c>
      <c r="B1209" t="s">
        <v>6</v>
      </c>
      <c r="C1209" t="s">
        <v>261</v>
      </c>
      <c r="D1209" t="s">
        <v>16</v>
      </c>
      <c r="E1209" t="s">
        <v>9</v>
      </c>
      <c r="F1209">
        <v>9.1470686999999995E-2</v>
      </c>
      <c r="G1209">
        <v>9.7803319E-2</v>
      </c>
      <c r="H1209">
        <v>0.17920962300000001</v>
      </c>
      <c r="I1209">
        <v>0.385756924</v>
      </c>
      <c r="J1209">
        <v>0.24002231800000001</v>
      </c>
      <c r="K1209">
        <v>0.142460005</v>
      </c>
      <c r="L1209">
        <v>0.21458165300000001</v>
      </c>
      <c r="M1209">
        <v>0.28110183300000002</v>
      </c>
      <c r="N1209">
        <v>0.32390437500000002</v>
      </c>
      <c r="O1209">
        <v>0.30667881000000002</v>
      </c>
      <c r="P1209">
        <v>0.30029892800000002</v>
      </c>
      <c r="Q1209">
        <v>0.32324029799999998</v>
      </c>
    </row>
    <row r="1210" spans="1:17" x14ac:dyDescent="0.25">
      <c r="A1210" t="s">
        <v>5</v>
      </c>
      <c r="B1210" t="s">
        <v>6</v>
      </c>
      <c r="C1210" t="s">
        <v>261</v>
      </c>
      <c r="D1210" t="s">
        <v>17</v>
      </c>
      <c r="E1210" t="s">
        <v>9</v>
      </c>
      <c r="F1210">
        <v>0.145481851</v>
      </c>
      <c r="G1210">
        <v>1.7122196999999999E-2</v>
      </c>
      <c r="H1210">
        <v>9.2186314000000005E-2</v>
      </c>
      <c r="I1210">
        <v>5.529941E-2</v>
      </c>
      <c r="J1210">
        <v>4.9234512000000001E-2</v>
      </c>
      <c r="K1210">
        <v>6.7530050999999994E-2</v>
      </c>
      <c r="L1210">
        <v>7.5768789000000003E-2</v>
      </c>
      <c r="M1210">
        <v>9.6975676999999996E-2</v>
      </c>
      <c r="N1210">
        <v>0.15764282700000001</v>
      </c>
      <c r="O1210">
        <v>0.60835073699999997</v>
      </c>
      <c r="P1210">
        <v>2.7748098999999998E-2</v>
      </c>
      <c r="Q1210">
        <v>3.4855733999999999E-2</v>
      </c>
    </row>
    <row r="1211" spans="1:17" x14ac:dyDescent="0.25">
      <c r="A1211" t="s">
        <v>5</v>
      </c>
      <c r="B1211" t="s">
        <v>6</v>
      </c>
      <c r="C1211" t="s">
        <v>261</v>
      </c>
      <c r="D1211" t="s">
        <v>18</v>
      </c>
      <c r="E1211" t="s">
        <v>19</v>
      </c>
      <c r="F1211">
        <v>90743067.810000002</v>
      </c>
      <c r="G1211">
        <v>154874661.80000001</v>
      </c>
      <c r="H1211">
        <v>90815357.170000002</v>
      </c>
      <c r="I1211">
        <v>87572020.849999994</v>
      </c>
      <c r="J1211">
        <v>87667796.260000005</v>
      </c>
      <c r="K1211">
        <v>132849406.90000001</v>
      </c>
      <c r="L1211">
        <v>137921262.09999999</v>
      </c>
      <c r="M1211">
        <v>138251532.5</v>
      </c>
      <c r="N1211">
        <v>139804647.80000001</v>
      </c>
      <c r="O1211">
        <v>142732738</v>
      </c>
      <c r="P1211">
        <v>149545692.5</v>
      </c>
      <c r="Q1211">
        <v>153696459.69999999</v>
      </c>
    </row>
    <row r="1212" spans="1:17" x14ac:dyDescent="0.25">
      <c r="A1212" t="s">
        <v>5</v>
      </c>
      <c r="B1212" t="s">
        <v>6</v>
      </c>
      <c r="C1212" t="s">
        <v>261</v>
      </c>
      <c r="D1212" t="s">
        <v>20</v>
      </c>
      <c r="E1212" t="s">
        <v>19</v>
      </c>
      <c r="F1212">
        <v>35317650.329999998</v>
      </c>
      <c r="G1212">
        <v>60683782.850000001</v>
      </c>
      <c r="H1212">
        <v>39452371.560000002</v>
      </c>
      <c r="I1212">
        <v>39091581.079999998</v>
      </c>
      <c r="J1212">
        <v>39568067.890000001</v>
      </c>
      <c r="K1212">
        <v>58322046.450000003</v>
      </c>
      <c r="L1212">
        <v>61636985.659999996</v>
      </c>
      <c r="M1212">
        <v>62852490.409999996</v>
      </c>
      <c r="N1212">
        <v>64377635.57</v>
      </c>
      <c r="O1212">
        <v>66431295.259999998</v>
      </c>
      <c r="P1212">
        <v>70164578.560000002</v>
      </c>
      <c r="Q1212">
        <v>72727013.680000007</v>
      </c>
    </row>
    <row r="1213" spans="1:17" x14ac:dyDescent="0.25">
      <c r="A1213" t="s">
        <v>5</v>
      </c>
      <c r="B1213" t="s">
        <v>6</v>
      </c>
      <c r="C1213" t="s">
        <v>261</v>
      </c>
      <c r="D1213" t="s">
        <v>21</v>
      </c>
      <c r="E1213" t="s">
        <v>19</v>
      </c>
      <c r="F1213">
        <v>17702155.219999999</v>
      </c>
      <c r="G1213">
        <v>30471399.710000001</v>
      </c>
      <c r="H1213">
        <v>20331755.129999999</v>
      </c>
      <c r="I1213">
        <v>20273233.809999999</v>
      </c>
      <c r="J1213">
        <v>20571652.280000001</v>
      </c>
      <c r="K1213">
        <v>30130265.670000002</v>
      </c>
      <c r="L1213">
        <v>31973737.199999999</v>
      </c>
      <c r="M1213">
        <v>32730455.84</v>
      </c>
      <c r="N1213">
        <v>33619812.030000001</v>
      </c>
      <c r="O1213">
        <v>34773174.020000003</v>
      </c>
      <c r="P1213">
        <v>36791149.93</v>
      </c>
      <c r="Q1213">
        <v>38203988.07</v>
      </c>
    </row>
    <row r="1214" spans="1:17" x14ac:dyDescent="0.25">
      <c r="A1214" t="s">
        <v>5</v>
      </c>
      <c r="B1214" t="s">
        <v>6</v>
      </c>
      <c r="C1214" t="s">
        <v>261</v>
      </c>
      <c r="D1214" t="s">
        <v>22</v>
      </c>
      <c r="E1214" t="s">
        <v>19</v>
      </c>
      <c r="F1214">
        <v>1505039.1</v>
      </c>
      <c r="G1214">
        <v>3854628.622</v>
      </c>
      <c r="H1214">
        <v>3768348.557</v>
      </c>
      <c r="I1214">
        <v>5134983.3969999999</v>
      </c>
      <c r="J1214">
        <v>6265188.3859999999</v>
      </c>
      <c r="K1214">
        <v>11251657.23</v>
      </c>
      <c r="L1214">
        <v>13526879.27</v>
      </c>
      <c r="M1214">
        <v>16604003.210000001</v>
      </c>
      <c r="N1214">
        <v>19982678.329999998</v>
      </c>
      <c r="O1214">
        <v>24337788.760000002</v>
      </c>
      <c r="P1214">
        <v>30807304.780000001</v>
      </c>
      <c r="Q1214">
        <v>37217671.100000001</v>
      </c>
    </row>
    <row r="1215" spans="1:17" x14ac:dyDescent="0.25">
      <c r="A1215" t="s">
        <v>5</v>
      </c>
      <c r="B1215" t="s">
        <v>6</v>
      </c>
      <c r="C1215" t="s">
        <v>261</v>
      </c>
      <c r="D1215" t="s">
        <v>23</v>
      </c>
      <c r="E1215" t="s">
        <v>19</v>
      </c>
      <c r="F1215">
        <v>1599978.1310000001</v>
      </c>
      <c r="G1215">
        <v>3249344.878</v>
      </c>
      <c r="H1215">
        <v>2958433.2</v>
      </c>
      <c r="I1215">
        <v>3634255.2710000002</v>
      </c>
      <c r="J1215">
        <v>4352400.6270000003</v>
      </c>
      <c r="K1215">
        <v>6669777.3940000003</v>
      </c>
      <c r="L1215">
        <v>7377246.2529999996</v>
      </c>
      <c r="M1215">
        <v>8380459.3959999997</v>
      </c>
      <c r="N1215">
        <v>9401066.3829999994</v>
      </c>
      <c r="O1215">
        <v>10675015.439999999</v>
      </c>
      <c r="P1215">
        <v>12519906.58</v>
      </c>
      <c r="Q1215">
        <v>14213475.310000001</v>
      </c>
    </row>
    <row r="1216" spans="1:17" x14ac:dyDescent="0.25">
      <c r="A1216" t="s">
        <v>5</v>
      </c>
      <c r="B1216" t="s">
        <v>6</v>
      </c>
      <c r="C1216" t="s">
        <v>261</v>
      </c>
      <c r="D1216" t="s">
        <v>24</v>
      </c>
      <c r="E1216" t="s">
        <v>19</v>
      </c>
      <c r="F1216">
        <v>1780620.4820000001</v>
      </c>
      <c r="G1216">
        <v>4327403.341</v>
      </c>
      <c r="H1216">
        <v>4123171.321</v>
      </c>
      <c r="I1216">
        <v>5473930.2460000003</v>
      </c>
      <c r="J1216">
        <v>6610130.3720000004</v>
      </c>
      <c r="K1216">
        <v>11297883.439999999</v>
      </c>
      <c r="L1216">
        <v>13109511.07</v>
      </c>
      <c r="M1216">
        <v>15546799</v>
      </c>
      <c r="N1216">
        <v>18087929.98</v>
      </c>
      <c r="O1216">
        <v>21250701.75</v>
      </c>
      <c r="P1216">
        <v>25787627.98</v>
      </c>
      <c r="Q1216">
        <v>29951366.870000001</v>
      </c>
    </row>
    <row r="1217" spans="1:17" x14ac:dyDescent="0.25">
      <c r="A1217" t="s">
        <v>5</v>
      </c>
      <c r="B1217" t="s">
        <v>6</v>
      </c>
      <c r="C1217" t="s">
        <v>261</v>
      </c>
      <c r="D1217" t="s">
        <v>25</v>
      </c>
      <c r="E1217" t="s">
        <v>19</v>
      </c>
      <c r="F1217">
        <v>21478380.579999998</v>
      </c>
      <c r="G1217">
        <v>37514034</v>
      </c>
      <c r="H1217">
        <v>33888026.240000002</v>
      </c>
      <c r="I1217">
        <v>37619968.850000001</v>
      </c>
      <c r="J1217">
        <v>44973137.640000001</v>
      </c>
      <c r="K1217">
        <v>61048704.740000002</v>
      </c>
      <c r="L1217">
        <v>63909144.25</v>
      </c>
      <c r="M1217">
        <v>68492143.25</v>
      </c>
      <c r="N1217">
        <v>72529739.989999995</v>
      </c>
      <c r="O1217">
        <v>77252003.790000007</v>
      </c>
      <c r="P1217">
        <v>83721820.159999996</v>
      </c>
      <c r="Q1217">
        <v>88517559.609999999</v>
      </c>
    </row>
    <row r="1218" spans="1:17" x14ac:dyDescent="0.25">
      <c r="A1218" t="s">
        <v>5</v>
      </c>
      <c r="B1218" t="s">
        <v>6</v>
      </c>
      <c r="C1218" t="s">
        <v>261</v>
      </c>
      <c r="D1218" t="s">
        <v>26</v>
      </c>
      <c r="E1218" t="s">
        <v>27</v>
      </c>
      <c r="F1218">
        <v>1.6484385180000001</v>
      </c>
      <c r="G1218">
        <v>1.3600798970000001</v>
      </c>
      <c r="H1218">
        <v>2.2361603400000001</v>
      </c>
      <c r="I1218">
        <v>2.1525252429999999</v>
      </c>
      <c r="J1218">
        <v>3.5027354019999999</v>
      </c>
      <c r="K1218">
        <v>2.9944858779999999</v>
      </c>
      <c r="L1218">
        <v>3.8577048060000001</v>
      </c>
      <c r="M1218">
        <v>4.2620735390000002</v>
      </c>
      <c r="N1218">
        <v>4.7774833110000001</v>
      </c>
      <c r="O1218">
        <v>5.3239783029999996</v>
      </c>
      <c r="P1218">
        <v>5.8746836900000003</v>
      </c>
      <c r="Q1218">
        <v>6.4335411239999996</v>
      </c>
    </row>
    <row r="1219" spans="1:17" x14ac:dyDescent="0.25">
      <c r="A1219" t="s">
        <v>5</v>
      </c>
      <c r="B1219" t="s">
        <v>6</v>
      </c>
      <c r="C1219" t="s">
        <v>261</v>
      </c>
      <c r="D1219" t="s">
        <v>28</v>
      </c>
      <c r="E1219" t="s">
        <v>27</v>
      </c>
      <c r="F1219">
        <v>5.0506824549999996</v>
      </c>
      <c r="G1219">
        <v>4.492475378</v>
      </c>
      <c r="H1219">
        <v>7.2298561729999999</v>
      </c>
      <c r="I1219">
        <v>7.834528604</v>
      </c>
      <c r="J1219">
        <v>9.4001393049999997</v>
      </c>
      <c r="K1219">
        <v>9.7582843879999999</v>
      </c>
      <c r="L1219">
        <v>11.170496050000001</v>
      </c>
      <c r="M1219">
        <v>12.04369294</v>
      </c>
      <c r="N1219">
        <v>13.157442290000001</v>
      </c>
      <c r="O1219">
        <v>14.14874927</v>
      </c>
      <c r="P1219">
        <v>15.08814503</v>
      </c>
      <c r="Q1219">
        <v>16.08060369</v>
      </c>
    </row>
    <row r="1220" spans="1:17" x14ac:dyDescent="0.25">
      <c r="A1220" t="s">
        <v>5</v>
      </c>
      <c r="B1220" t="s">
        <v>6</v>
      </c>
      <c r="C1220" t="s">
        <v>261</v>
      </c>
      <c r="D1220" t="s">
        <v>29</v>
      </c>
      <c r="E1220" t="s">
        <v>27</v>
      </c>
      <c r="F1220">
        <v>5.0962941999999997E-2</v>
      </c>
      <c r="G1220">
        <v>3.5692269999999998E-2</v>
      </c>
      <c r="H1220">
        <v>4.3290977000000001E-2</v>
      </c>
      <c r="I1220">
        <v>4.1553893000000001E-2</v>
      </c>
      <c r="J1220">
        <v>5.6051563999999998E-2</v>
      </c>
      <c r="K1220">
        <v>7.6772473999999993E-2</v>
      </c>
      <c r="L1220">
        <v>9.3725773999999998E-2</v>
      </c>
      <c r="M1220">
        <v>0.110456703</v>
      </c>
      <c r="N1220">
        <v>0.109205916</v>
      </c>
      <c r="O1220">
        <v>9.6929873999999999E-2</v>
      </c>
      <c r="P1220">
        <v>0.10822454400000001</v>
      </c>
      <c r="Q1220">
        <v>0.12104166800000001</v>
      </c>
    </row>
    <row r="1221" spans="1:17" x14ac:dyDescent="0.25">
      <c r="A1221" t="s">
        <v>5</v>
      </c>
      <c r="B1221" t="s">
        <v>6</v>
      </c>
      <c r="C1221" t="s">
        <v>261</v>
      </c>
      <c r="D1221" t="s">
        <v>30</v>
      </c>
      <c r="E1221" t="s">
        <v>27</v>
      </c>
      <c r="F1221">
        <v>9.9605599999999994E-4</v>
      </c>
      <c r="G1221">
        <v>1.2303769999999999E-3</v>
      </c>
      <c r="H1221">
        <v>2.0955259999999999E-3</v>
      </c>
      <c r="I1221">
        <v>4.1691100000000002E-3</v>
      </c>
      <c r="J1221">
        <v>2.8265349999999998E-3</v>
      </c>
      <c r="K1221">
        <v>1.5964219999999999E-3</v>
      </c>
      <c r="L1221">
        <v>2.4666929999999998E-3</v>
      </c>
      <c r="M1221">
        <v>3.2814440000000001E-3</v>
      </c>
      <c r="N1221">
        <v>3.896624E-3</v>
      </c>
      <c r="O1221">
        <v>3.7993889999999998E-3</v>
      </c>
      <c r="P1221">
        <v>3.808306E-3</v>
      </c>
      <c r="Q1221">
        <v>4.1317769999999997E-3</v>
      </c>
    </row>
    <row r="1222" spans="1:17" x14ac:dyDescent="0.25">
      <c r="A1222" t="s">
        <v>5</v>
      </c>
      <c r="B1222" t="s">
        <v>6</v>
      </c>
      <c r="C1222" t="s">
        <v>261</v>
      </c>
      <c r="D1222" t="s">
        <v>31</v>
      </c>
      <c r="E1222" t="s">
        <v>27</v>
      </c>
      <c r="F1222">
        <v>0.269539207</v>
      </c>
      <c r="G1222">
        <v>0.11293398</v>
      </c>
      <c r="H1222">
        <v>0.212818598</v>
      </c>
      <c r="I1222">
        <v>0.156937199</v>
      </c>
      <c r="J1222">
        <v>0.19262811799999999</v>
      </c>
      <c r="K1222">
        <v>0.26698243300000002</v>
      </c>
      <c r="L1222">
        <v>0.34545819999999999</v>
      </c>
      <c r="M1222">
        <v>0.50339535000000002</v>
      </c>
      <c r="N1222">
        <v>0.91553849899999995</v>
      </c>
      <c r="O1222">
        <v>3.620493814</v>
      </c>
      <c r="P1222">
        <v>0.34571974999999999</v>
      </c>
      <c r="Q1222">
        <v>0.45313820900000001</v>
      </c>
    </row>
    <row r="1223" spans="1:17" x14ac:dyDescent="0.25">
      <c r="A1223" t="s">
        <v>5</v>
      </c>
      <c r="B1223" t="s">
        <v>6</v>
      </c>
      <c r="C1223" t="s">
        <v>261</v>
      </c>
      <c r="D1223" t="s">
        <v>32</v>
      </c>
      <c r="E1223" t="s">
        <v>27</v>
      </c>
      <c r="F1223">
        <v>0.251860062</v>
      </c>
      <c r="G1223">
        <v>0.207803977</v>
      </c>
      <c r="H1223">
        <v>0.34166574399999999</v>
      </c>
      <c r="I1223">
        <v>0.32888468599999998</v>
      </c>
      <c r="J1223">
        <v>0.53517788099999997</v>
      </c>
      <c r="K1223">
        <v>0.45751867099999999</v>
      </c>
      <c r="L1223">
        <v>0.58940734699999997</v>
      </c>
      <c r="M1223">
        <v>0.65118965399999995</v>
      </c>
      <c r="N1223">
        <v>0.72993759400000002</v>
      </c>
      <c r="O1223">
        <v>0.81343497099999995</v>
      </c>
      <c r="P1223">
        <v>0.89757677999999996</v>
      </c>
      <c r="Q1223">
        <v>0.98298281499999995</v>
      </c>
    </row>
    <row r="1224" spans="1:17" x14ac:dyDescent="0.25">
      <c r="A1224" t="s">
        <v>5</v>
      </c>
      <c r="B1224" t="s">
        <v>6</v>
      </c>
      <c r="C1224" t="s">
        <v>261</v>
      </c>
      <c r="D1224" t="s">
        <v>33</v>
      </c>
      <c r="E1224" t="s">
        <v>27</v>
      </c>
      <c r="F1224">
        <v>0.51353653700000002</v>
      </c>
      <c r="G1224">
        <v>0.451322793</v>
      </c>
      <c r="H1224">
        <v>0.71309535199999996</v>
      </c>
      <c r="I1224">
        <v>0.70495042299999999</v>
      </c>
      <c r="J1224">
        <v>1.024794725</v>
      </c>
      <c r="K1224">
        <v>0.94680003300000004</v>
      </c>
      <c r="L1224">
        <v>1.1466232590000001</v>
      </c>
      <c r="M1224">
        <v>1.215421973</v>
      </c>
      <c r="N1224">
        <v>1.332908585</v>
      </c>
      <c r="O1224">
        <v>1.4424992729999999</v>
      </c>
      <c r="P1224">
        <v>1.5433795290000001</v>
      </c>
      <c r="Q1224">
        <v>1.654489409</v>
      </c>
    </row>
    <row r="1225" spans="1:17" x14ac:dyDescent="0.25">
      <c r="A1225" t="s">
        <v>5</v>
      </c>
      <c r="B1225" t="s">
        <v>6</v>
      </c>
      <c r="C1225" t="s">
        <v>261</v>
      </c>
      <c r="D1225" t="s">
        <v>34</v>
      </c>
      <c r="E1225" t="s">
        <v>27</v>
      </c>
      <c r="F1225">
        <v>3.6196900000000001E-3</v>
      </c>
      <c r="G1225">
        <v>2.0540240000000002E-3</v>
      </c>
      <c r="H1225">
        <v>2.5868649999999998E-3</v>
      </c>
      <c r="I1225">
        <v>2.5730900000000001E-3</v>
      </c>
      <c r="J1225">
        <v>3.8299530000000001E-3</v>
      </c>
      <c r="K1225">
        <v>4.8364640000000004E-3</v>
      </c>
      <c r="L1225">
        <v>6.3176939999999996E-3</v>
      </c>
      <c r="M1225">
        <v>7.9467140000000006E-3</v>
      </c>
      <c r="N1225">
        <v>8.9113409999999997E-3</v>
      </c>
      <c r="O1225">
        <v>9.4017360000000008E-3</v>
      </c>
      <c r="P1225">
        <v>1.1073398E-2</v>
      </c>
      <c r="Q1225">
        <v>1.2749873E-2</v>
      </c>
    </row>
    <row r="1226" spans="1:17" x14ac:dyDescent="0.25">
      <c r="A1226" t="s">
        <v>5</v>
      </c>
      <c r="B1226" t="s">
        <v>6</v>
      </c>
      <c r="C1226" t="s">
        <v>261</v>
      </c>
      <c r="D1226" t="s">
        <v>35</v>
      </c>
      <c r="E1226" t="s">
        <v>27</v>
      </c>
      <c r="F1226">
        <v>7.5257529999999996E-3</v>
      </c>
      <c r="G1226">
        <v>9.2961780000000004E-3</v>
      </c>
      <c r="H1226">
        <v>1.5832863999999999E-2</v>
      </c>
      <c r="I1226">
        <v>3.1499940999999997E-2</v>
      </c>
      <c r="J1226">
        <v>2.1356043000000002E-2</v>
      </c>
      <c r="K1226">
        <v>1.2061858E-2</v>
      </c>
      <c r="L1226">
        <v>1.8637238E-2</v>
      </c>
      <c r="M1226">
        <v>2.4793131E-2</v>
      </c>
      <c r="N1226">
        <v>2.9441156999999999E-2</v>
      </c>
      <c r="O1226">
        <v>2.8706498E-2</v>
      </c>
      <c r="P1226">
        <v>2.8773868000000001E-2</v>
      </c>
      <c r="Q1226">
        <v>3.1217874E-2</v>
      </c>
    </row>
    <row r="1227" spans="1:17" x14ac:dyDescent="0.25">
      <c r="A1227" t="s">
        <v>5</v>
      </c>
      <c r="B1227" t="s">
        <v>6</v>
      </c>
      <c r="C1227" t="s">
        <v>261</v>
      </c>
      <c r="D1227" t="s">
        <v>36</v>
      </c>
      <c r="E1227" t="s">
        <v>27</v>
      </c>
      <c r="F1227">
        <v>2.9619690000000001E-3</v>
      </c>
      <c r="G1227">
        <v>1.2410329999999999E-3</v>
      </c>
      <c r="H1227">
        <v>2.3386660000000001E-3</v>
      </c>
      <c r="I1227">
        <v>1.7245850000000001E-3</v>
      </c>
      <c r="J1227">
        <v>2.1167930000000001E-3</v>
      </c>
      <c r="K1227">
        <v>2.933873E-3</v>
      </c>
      <c r="L1227">
        <v>3.7962439999999998E-3</v>
      </c>
      <c r="M1227">
        <v>5.5318169999999996E-3</v>
      </c>
      <c r="N1227">
        <v>1.0060863E-2</v>
      </c>
      <c r="O1227">
        <v>3.9785646000000001E-2</v>
      </c>
      <c r="P1227">
        <v>3.7991180000000002E-3</v>
      </c>
      <c r="Q1227">
        <v>4.9795409999999997E-3</v>
      </c>
    </row>
    <row r="1228" spans="1:17" x14ac:dyDescent="0.25">
      <c r="A1228" t="s">
        <v>5</v>
      </c>
      <c r="B1228" t="s">
        <v>6</v>
      </c>
      <c r="C1228" t="s">
        <v>261</v>
      </c>
      <c r="D1228" t="s">
        <v>37</v>
      </c>
      <c r="E1228" t="s">
        <v>27</v>
      </c>
      <c r="F1228">
        <v>4.8008007999999998E-2</v>
      </c>
      <c r="G1228">
        <v>3.9611335999999997E-2</v>
      </c>
      <c r="H1228">
        <v>6.5138301999999995E-2</v>
      </c>
      <c r="I1228">
        <v>6.2698708000000006E-2</v>
      </c>
      <c r="J1228">
        <v>0.102019756</v>
      </c>
      <c r="K1228">
        <v>8.7209381000000002E-2</v>
      </c>
      <c r="L1228">
        <v>0.112349185</v>
      </c>
      <c r="M1228">
        <v>0.12412574699999999</v>
      </c>
      <c r="N1228">
        <v>0.13913619199999999</v>
      </c>
      <c r="O1228">
        <v>0.15505195799999999</v>
      </c>
      <c r="P1228">
        <v>0.171091347</v>
      </c>
      <c r="Q1228">
        <v>0.18738484399999999</v>
      </c>
    </row>
    <row r="1229" spans="1:17" x14ac:dyDescent="0.25">
      <c r="A1229" t="s">
        <v>5</v>
      </c>
      <c r="B1229" t="s">
        <v>6</v>
      </c>
      <c r="C1229" t="s">
        <v>261</v>
      </c>
      <c r="D1229" t="s">
        <v>38</v>
      </c>
      <c r="E1229" t="s">
        <v>27</v>
      </c>
      <c r="F1229">
        <v>7.3967514999999998E-2</v>
      </c>
      <c r="G1229">
        <v>6.2218403999999998E-2</v>
      </c>
      <c r="H1229">
        <v>0.102373901</v>
      </c>
      <c r="I1229">
        <v>0.10552017700000001</v>
      </c>
      <c r="J1229">
        <v>0.14387296799999999</v>
      </c>
      <c r="K1229">
        <v>0.13733920799999999</v>
      </c>
      <c r="L1229">
        <v>0.16619557900000001</v>
      </c>
      <c r="M1229">
        <v>0.18141421899999999</v>
      </c>
      <c r="N1229">
        <v>0.2020824</v>
      </c>
      <c r="O1229">
        <v>0.221633946</v>
      </c>
      <c r="P1229">
        <v>0.240798756</v>
      </c>
      <c r="Q1229">
        <v>0.26137818000000002</v>
      </c>
    </row>
    <row r="1230" spans="1:17" x14ac:dyDescent="0.25">
      <c r="A1230" t="s">
        <v>5</v>
      </c>
      <c r="B1230" t="s">
        <v>6</v>
      </c>
      <c r="C1230" t="s">
        <v>261</v>
      </c>
      <c r="D1230" t="s">
        <v>39</v>
      </c>
      <c r="E1230" t="s">
        <v>27</v>
      </c>
      <c r="F1230" s="1">
        <v>8.2100000000000003E-5</v>
      </c>
      <c r="G1230" s="1">
        <v>5.7200000000000001E-5</v>
      </c>
      <c r="H1230" s="1">
        <v>7.0199999999999999E-5</v>
      </c>
      <c r="I1230" s="1">
        <v>6.7299999999999996E-5</v>
      </c>
      <c r="J1230" s="1">
        <v>9.1799999999999995E-5</v>
      </c>
      <c r="K1230">
        <v>1.2477300000000001E-4</v>
      </c>
      <c r="L1230">
        <v>1.5496100000000001E-4</v>
      </c>
      <c r="M1230">
        <v>1.87794E-4</v>
      </c>
      <c r="N1230">
        <v>1.9563E-4</v>
      </c>
      <c r="O1230">
        <v>1.92566E-4</v>
      </c>
      <c r="P1230">
        <v>2.38414E-4</v>
      </c>
      <c r="Q1230">
        <v>3.0088000000000001E-4</v>
      </c>
    </row>
    <row r="1231" spans="1:17" x14ac:dyDescent="0.25">
      <c r="A1231" t="s">
        <v>5</v>
      </c>
      <c r="B1231" t="s">
        <v>6</v>
      </c>
      <c r="C1231" t="s">
        <v>261</v>
      </c>
      <c r="D1231" t="s">
        <v>40</v>
      </c>
      <c r="E1231" t="s">
        <v>27</v>
      </c>
      <c r="F1231" s="1">
        <v>1.06E-5</v>
      </c>
      <c r="G1231" s="1">
        <v>1.98E-5</v>
      </c>
      <c r="H1231" s="1">
        <v>2.8099999999999999E-5</v>
      </c>
      <c r="I1231" s="1">
        <v>4.3000000000000002E-5</v>
      </c>
      <c r="J1231" s="1">
        <v>3.8600000000000003E-5</v>
      </c>
      <c r="K1231" s="1">
        <v>1.88E-5</v>
      </c>
      <c r="L1231" s="1">
        <v>3.15E-5</v>
      </c>
      <c r="M1231" s="1">
        <v>4.3800000000000001E-5</v>
      </c>
      <c r="N1231" s="1">
        <v>5.6400000000000002E-5</v>
      </c>
      <c r="O1231" s="1">
        <v>5.8999999999999998E-5</v>
      </c>
      <c r="P1231" s="1">
        <v>6.2299999999999996E-5</v>
      </c>
      <c r="Q1231" s="1">
        <v>6.8700000000000003E-5</v>
      </c>
    </row>
    <row r="1232" spans="1:17" x14ac:dyDescent="0.25">
      <c r="A1232" t="s">
        <v>5</v>
      </c>
      <c r="B1232" t="s">
        <v>6</v>
      </c>
      <c r="C1232" t="s">
        <v>261</v>
      </c>
      <c r="D1232" t="s">
        <v>41</v>
      </c>
      <c r="E1232" t="s">
        <v>27</v>
      </c>
      <c r="F1232">
        <v>2.9619690000000001E-3</v>
      </c>
      <c r="G1232">
        <v>1.2410329999999999E-3</v>
      </c>
      <c r="H1232">
        <v>2.3386660000000001E-3</v>
      </c>
      <c r="I1232">
        <v>1.7245850000000001E-3</v>
      </c>
      <c r="J1232">
        <v>2.1167930000000001E-3</v>
      </c>
      <c r="K1232">
        <v>2.933873E-3</v>
      </c>
      <c r="L1232">
        <v>3.7962439999999998E-3</v>
      </c>
      <c r="M1232">
        <v>5.5318169999999996E-3</v>
      </c>
      <c r="N1232">
        <v>1.0060863E-2</v>
      </c>
      <c r="O1232">
        <v>3.9785646000000001E-2</v>
      </c>
      <c r="P1232">
        <v>3.7991180000000002E-3</v>
      </c>
      <c r="Q1232">
        <v>4.9795409999999997E-3</v>
      </c>
    </row>
    <row r="1233" spans="1:17" x14ac:dyDescent="0.25">
      <c r="A1233" t="s">
        <v>5</v>
      </c>
      <c r="B1233" t="s">
        <v>6</v>
      </c>
      <c r="C1233" t="s">
        <v>261</v>
      </c>
      <c r="D1233" t="s">
        <v>42</v>
      </c>
      <c r="E1233" t="s">
        <v>27</v>
      </c>
      <c r="F1233">
        <v>6.9283707E-2</v>
      </c>
      <c r="G1233">
        <v>5.7164102000000001E-2</v>
      </c>
      <c r="H1233">
        <v>9.3984988000000005E-2</v>
      </c>
      <c r="I1233">
        <v>9.0469970999999996E-2</v>
      </c>
      <c r="J1233">
        <v>0.14721920299999999</v>
      </c>
      <c r="K1233">
        <v>0.125857944</v>
      </c>
      <c r="L1233">
        <v>0.16213895</v>
      </c>
      <c r="M1233">
        <v>0.17913452799999999</v>
      </c>
      <c r="N1233">
        <v>0.20079714900000001</v>
      </c>
      <c r="O1233">
        <v>0.22376627900000001</v>
      </c>
      <c r="P1233">
        <v>0.246912409</v>
      </c>
      <c r="Q1233">
        <v>0.27040193299999998</v>
      </c>
    </row>
    <row r="1234" spans="1:17" x14ac:dyDescent="0.25">
      <c r="A1234" t="s">
        <v>5</v>
      </c>
      <c r="B1234" t="s">
        <v>6</v>
      </c>
      <c r="C1234" t="s">
        <v>261</v>
      </c>
      <c r="D1234" t="s">
        <v>43</v>
      </c>
      <c r="E1234" t="s">
        <v>27</v>
      </c>
      <c r="F1234">
        <v>0.10053398299999999</v>
      </c>
      <c r="G1234">
        <v>8.6737460000000002E-2</v>
      </c>
      <c r="H1234">
        <v>0.13906564699999999</v>
      </c>
      <c r="I1234">
        <v>0.13887918899999999</v>
      </c>
      <c r="J1234">
        <v>0.20760310800000001</v>
      </c>
      <c r="K1234">
        <v>0.188428978</v>
      </c>
      <c r="L1234">
        <v>0.23177261800000001</v>
      </c>
      <c r="M1234">
        <v>0.25100774999999997</v>
      </c>
      <c r="N1234">
        <v>0.277263066</v>
      </c>
      <c r="O1234">
        <v>0.30380549000000001</v>
      </c>
      <c r="P1234">
        <v>0.32937413999999998</v>
      </c>
      <c r="Q1234">
        <v>0.35597175199999997</v>
      </c>
    </row>
    <row r="1235" spans="1:17" x14ac:dyDescent="0.25">
      <c r="A1235" t="s">
        <v>5</v>
      </c>
      <c r="B1235" t="s">
        <v>6</v>
      </c>
      <c r="C1235" t="s">
        <v>261</v>
      </c>
      <c r="D1235" t="s">
        <v>44</v>
      </c>
      <c r="E1235" t="s">
        <v>27</v>
      </c>
      <c r="F1235" s="1">
        <v>9.38E-6</v>
      </c>
      <c r="G1235" s="1">
        <v>8.1699999999999997E-7</v>
      </c>
      <c r="H1235" s="1">
        <v>3.1300000000000001E-6</v>
      </c>
      <c r="I1235" s="1">
        <v>3.8399999999999997E-6</v>
      </c>
      <c r="J1235" s="1">
        <v>1.06E-5</v>
      </c>
      <c r="K1235" s="1">
        <v>8.6600000000000001E-6</v>
      </c>
      <c r="L1235" s="1">
        <v>1.8700000000000001E-5</v>
      </c>
      <c r="M1235" s="1">
        <v>3.4400000000000003E-5</v>
      </c>
      <c r="N1235" s="1">
        <v>5.8999999999999998E-5</v>
      </c>
      <c r="O1235" s="1">
        <v>9.3999999999999994E-5</v>
      </c>
      <c r="P1235">
        <v>1.42328E-4</v>
      </c>
      <c r="Q1235">
        <v>2.0853199999999999E-4</v>
      </c>
    </row>
    <row r="1236" spans="1:17" x14ac:dyDescent="0.25">
      <c r="A1236" t="s">
        <v>5</v>
      </c>
      <c r="B1236" t="s">
        <v>6</v>
      </c>
      <c r="C1236" t="s">
        <v>261</v>
      </c>
      <c r="D1236" t="s">
        <v>45</v>
      </c>
      <c r="E1236" t="s">
        <v>27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 x14ac:dyDescent="0.25">
      <c r="A1237" t="s">
        <v>5</v>
      </c>
      <c r="B1237" t="s">
        <v>6</v>
      </c>
      <c r="C1237" t="s">
        <v>261</v>
      </c>
      <c r="D1237" t="s">
        <v>46</v>
      </c>
      <c r="E1237" t="s">
        <v>27</v>
      </c>
      <c r="F1237">
        <v>1.7771799999999999E-4</v>
      </c>
      <c r="G1237" s="1">
        <v>7.4499999999999995E-5</v>
      </c>
      <c r="H1237">
        <v>1.4032000000000001E-4</v>
      </c>
      <c r="I1237">
        <v>1.0347499999999999E-4</v>
      </c>
      <c r="J1237">
        <v>1.2700799999999999E-4</v>
      </c>
      <c r="K1237">
        <v>1.7603200000000001E-4</v>
      </c>
      <c r="L1237">
        <v>2.2777499999999999E-4</v>
      </c>
      <c r="M1237">
        <v>3.3190900000000002E-4</v>
      </c>
      <c r="N1237">
        <v>6.0365199999999999E-4</v>
      </c>
      <c r="O1237">
        <v>2.3871389999999999E-3</v>
      </c>
      <c r="P1237">
        <v>2.2794699999999999E-4</v>
      </c>
      <c r="Q1237">
        <v>2.9877199999999999E-4</v>
      </c>
    </row>
    <row r="1238" spans="1:17" x14ac:dyDescent="0.25">
      <c r="A1238" t="s">
        <v>5</v>
      </c>
      <c r="B1238" t="s">
        <v>6</v>
      </c>
      <c r="C1238" t="s">
        <v>261</v>
      </c>
      <c r="D1238" t="s">
        <v>47</v>
      </c>
      <c r="E1238" t="s">
        <v>27</v>
      </c>
      <c r="F1238">
        <v>0.32457845000000002</v>
      </c>
      <c r="G1238">
        <v>0.26780074100000001</v>
      </c>
      <c r="H1238">
        <v>0.44032238200000001</v>
      </c>
      <c r="I1238">
        <v>0.42384653900000002</v>
      </c>
      <c r="J1238">
        <v>0.68969989899999995</v>
      </c>
      <c r="K1238">
        <v>0.58961591599999996</v>
      </c>
      <c r="L1238">
        <v>0.75958419700000002</v>
      </c>
      <c r="M1238">
        <v>0.83920462299999998</v>
      </c>
      <c r="N1238">
        <v>0.94068909099999998</v>
      </c>
      <c r="O1238">
        <v>1.048294265</v>
      </c>
      <c r="P1238">
        <v>1.15672884</v>
      </c>
      <c r="Q1238">
        <v>1.2667734479999999</v>
      </c>
    </row>
    <row r="1239" spans="1:17" x14ac:dyDescent="0.25">
      <c r="A1239" t="s">
        <v>5</v>
      </c>
      <c r="B1239" t="s">
        <v>6</v>
      </c>
      <c r="C1239" t="s">
        <v>261</v>
      </c>
      <c r="D1239" t="s">
        <v>48</v>
      </c>
      <c r="E1239" t="s">
        <v>27</v>
      </c>
      <c r="F1239">
        <v>0.84447613899999996</v>
      </c>
      <c r="G1239">
        <v>0.74476187900000002</v>
      </c>
      <c r="H1239">
        <v>1.200884139</v>
      </c>
      <c r="I1239">
        <v>1.284336358</v>
      </c>
      <c r="J1239">
        <v>1.588579236</v>
      </c>
      <c r="K1239">
        <v>1.6161716479999999</v>
      </c>
      <c r="L1239">
        <v>1.872097847</v>
      </c>
      <c r="M1239">
        <v>2.0196533539999999</v>
      </c>
      <c r="N1239">
        <v>2.2131436610000002</v>
      </c>
      <c r="O1239">
        <v>2.387942534</v>
      </c>
      <c r="P1239">
        <v>2.5544972439999998</v>
      </c>
      <c r="Q1239">
        <v>2.7311111499999998</v>
      </c>
    </row>
    <row r="1240" spans="1:17" x14ac:dyDescent="0.25">
      <c r="A1240" t="s">
        <v>5</v>
      </c>
      <c r="B1240" t="s">
        <v>6</v>
      </c>
      <c r="C1240" t="s">
        <v>261</v>
      </c>
      <c r="D1240" t="s">
        <v>49</v>
      </c>
      <c r="E1240" t="s">
        <v>27</v>
      </c>
      <c r="F1240" s="1">
        <v>5.24E-5</v>
      </c>
      <c r="G1240" s="1">
        <v>1.4500000000000001E-6</v>
      </c>
      <c r="H1240" s="1">
        <v>9.8200000000000008E-6</v>
      </c>
      <c r="I1240" s="1">
        <v>1.5800000000000001E-5</v>
      </c>
      <c r="J1240" s="1">
        <v>4.88E-5</v>
      </c>
      <c r="K1240" s="1">
        <v>3.5800000000000003E-5</v>
      </c>
      <c r="L1240" s="1">
        <v>7.7299999999999995E-5</v>
      </c>
      <c r="M1240">
        <v>1.3471800000000001E-4</v>
      </c>
      <c r="N1240">
        <v>2.23575E-4</v>
      </c>
      <c r="O1240">
        <v>3.3309499999999999E-4</v>
      </c>
      <c r="P1240">
        <v>4.46472E-4</v>
      </c>
      <c r="Q1240">
        <v>5.7378699999999997E-4</v>
      </c>
    </row>
    <row r="1241" spans="1:17" x14ac:dyDescent="0.25">
      <c r="A1241" t="s">
        <v>5</v>
      </c>
      <c r="B1241" t="s">
        <v>6</v>
      </c>
      <c r="C1241" t="s">
        <v>261</v>
      </c>
      <c r="D1241" t="s">
        <v>50</v>
      </c>
      <c r="E1241" t="s">
        <v>27</v>
      </c>
      <c r="F1241">
        <v>5.8103199999999999E-4</v>
      </c>
      <c r="G1241">
        <v>7.1772000000000003E-4</v>
      </c>
      <c r="H1241">
        <v>1.2223900000000001E-3</v>
      </c>
      <c r="I1241">
        <v>2.4319810000000002E-3</v>
      </c>
      <c r="J1241">
        <v>1.6488119999999999E-3</v>
      </c>
      <c r="K1241">
        <v>9.3124600000000005E-4</v>
      </c>
      <c r="L1241">
        <v>1.438904E-3</v>
      </c>
      <c r="M1241">
        <v>1.9141760000000001E-3</v>
      </c>
      <c r="N1241">
        <v>2.273031E-3</v>
      </c>
      <c r="O1241">
        <v>2.2163109999999999E-3</v>
      </c>
      <c r="P1241">
        <v>2.2215120000000001E-3</v>
      </c>
      <c r="Q1241">
        <v>2.4102030000000001E-3</v>
      </c>
    </row>
    <row r="1242" spans="1:17" x14ac:dyDescent="0.25">
      <c r="A1242" t="s">
        <v>5</v>
      </c>
      <c r="B1242" t="s">
        <v>6</v>
      </c>
      <c r="C1242" t="s">
        <v>261</v>
      </c>
      <c r="D1242" t="s">
        <v>51</v>
      </c>
      <c r="E1242" t="s">
        <v>27</v>
      </c>
      <c r="F1242">
        <v>5.9239389999999996E-3</v>
      </c>
      <c r="G1242">
        <v>2.4820659999999998E-3</v>
      </c>
      <c r="H1242">
        <v>4.6773320000000002E-3</v>
      </c>
      <c r="I1242">
        <v>3.4491690000000002E-3</v>
      </c>
      <c r="J1242">
        <v>4.2335849999999998E-3</v>
      </c>
      <c r="K1242">
        <v>5.8677460000000001E-3</v>
      </c>
      <c r="L1242">
        <v>7.5924879999999997E-3</v>
      </c>
      <c r="M1242">
        <v>1.1063633999999999E-2</v>
      </c>
      <c r="N1242">
        <v>2.0121725E-2</v>
      </c>
      <c r="O1242">
        <v>7.9571293000000001E-2</v>
      </c>
      <c r="P1242">
        <v>7.5982360000000004E-3</v>
      </c>
      <c r="Q1242">
        <v>9.9590819999999993E-3</v>
      </c>
    </row>
    <row r="1243" spans="1:17" x14ac:dyDescent="0.25">
      <c r="A1243" t="s">
        <v>5</v>
      </c>
      <c r="B1243" t="s">
        <v>6</v>
      </c>
      <c r="C1243" t="s">
        <v>261</v>
      </c>
      <c r="D1243" t="s">
        <v>52</v>
      </c>
      <c r="E1243" t="s">
        <v>27</v>
      </c>
      <c r="F1243">
        <v>7.0542406379999996</v>
      </c>
      <c r="G1243">
        <v>12.092805009999999</v>
      </c>
      <c r="H1243">
        <v>7.5968435950000002</v>
      </c>
      <c r="I1243">
        <v>7.4625967849999997</v>
      </c>
      <c r="J1243">
        <v>7.5274740580000001</v>
      </c>
      <c r="K1243">
        <v>11.192699660000001</v>
      </c>
      <c r="L1243">
        <v>11.76232304</v>
      </c>
      <c r="M1243">
        <v>11.93013056</v>
      </c>
      <c r="N1243">
        <v>12.17125513</v>
      </c>
      <c r="O1243">
        <v>12.518401069999999</v>
      </c>
      <c r="P1243">
        <v>13.1894686</v>
      </c>
      <c r="Q1243">
        <v>13.635966270000001</v>
      </c>
    </row>
    <row r="1244" spans="1:17" x14ac:dyDescent="0.25">
      <c r="A1244" t="s">
        <v>5</v>
      </c>
      <c r="B1244" t="s">
        <v>6</v>
      </c>
      <c r="C1244" t="s">
        <v>261</v>
      </c>
      <c r="D1244" t="s">
        <v>53</v>
      </c>
      <c r="E1244" t="s">
        <v>27</v>
      </c>
      <c r="F1244">
        <v>2.2880592709999998</v>
      </c>
      <c r="G1244">
        <v>4.2474458320000004</v>
      </c>
      <c r="H1244">
        <v>3.8815465910000002</v>
      </c>
      <c r="I1244">
        <v>4.4986470289999998</v>
      </c>
      <c r="J1244">
        <v>5.3945197739999999</v>
      </c>
      <c r="K1244">
        <v>7.8227210249999999</v>
      </c>
      <c r="L1244">
        <v>8.4795639479999991</v>
      </c>
      <c r="M1244">
        <v>9.4323588839999992</v>
      </c>
      <c r="N1244">
        <v>10.371492679999999</v>
      </c>
      <c r="O1244">
        <v>11.5249994</v>
      </c>
      <c r="P1244">
        <v>13.17046345</v>
      </c>
      <c r="Q1244">
        <v>14.615060250000001</v>
      </c>
    </row>
    <row r="1245" spans="1:17" x14ac:dyDescent="0.25">
      <c r="A1245" t="s">
        <v>5</v>
      </c>
      <c r="B1245" t="s">
        <v>6</v>
      </c>
      <c r="C1245" t="s">
        <v>261</v>
      </c>
      <c r="D1245" t="s">
        <v>54</v>
      </c>
      <c r="E1245" t="s">
        <v>27</v>
      </c>
      <c r="F1245">
        <v>0.39342258600000002</v>
      </c>
      <c r="G1245">
        <v>0.67238478800000001</v>
      </c>
      <c r="H1245">
        <v>0.40299985999999999</v>
      </c>
      <c r="I1245">
        <v>0.39097188500000002</v>
      </c>
      <c r="J1245">
        <v>0.39237792100000002</v>
      </c>
      <c r="K1245">
        <v>0.59090304599999999</v>
      </c>
      <c r="L1245">
        <v>0.61591739400000001</v>
      </c>
      <c r="M1245">
        <v>0.61980133100000001</v>
      </c>
      <c r="N1245">
        <v>0.62861185100000005</v>
      </c>
      <c r="O1245">
        <v>0.64336870400000001</v>
      </c>
      <c r="P1245">
        <v>0.67534676000000005</v>
      </c>
      <c r="Q1245">
        <v>0.69547883600000004</v>
      </c>
    </row>
    <row r="1246" spans="1:17" x14ac:dyDescent="0.25">
      <c r="A1246" t="s">
        <v>5</v>
      </c>
      <c r="B1246" t="s">
        <v>6</v>
      </c>
      <c r="C1246" t="s">
        <v>261</v>
      </c>
      <c r="D1246" t="s">
        <v>55</v>
      </c>
      <c r="E1246" t="s">
        <v>27</v>
      </c>
      <c r="F1246">
        <v>0.14377358300000001</v>
      </c>
      <c r="G1246">
        <v>0.26190115899999999</v>
      </c>
      <c r="H1246">
        <v>0.23840291699999999</v>
      </c>
      <c r="I1246">
        <v>0.27278536799999997</v>
      </c>
      <c r="J1246">
        <v>0.326759839</v>
      </c>
      <c r="K1246">
        <v>0.46466332599999999</v>
      </c>
      <c r="L1246">
        <v>0.49852308400000001</v>
      </c>
      <c r="M1246">
        <v>0.54860269500000003</v>
      </c>
      <c r="N1246">
        <v>0.59681767600000002</v>
      </c>
      <c r="O1246">
        <v>0.65544575100000002</v>
      </c>
      <c r="P1246">
        <v>0.73839229200000001</v>
      </c>
      <c r="Q1246">
        <v>0.80903010900000005</v>
      </c>
    </row>
    <row r="1247" spans="1:17" x14ac:dyDescent="0.25">
      <c r="A1247" t="s">
        <v>5</v>
      </c>
      <c r="B1247" t="s">
        <v>6</v>
      </c>
      <c r="C1247" t="s">
        <v>261</v>
      </c>
      <c r="D1247" t="s">
        <v>56</v>
      </c>
      <c r="E1247" t="s">
        <v>27</v>
      </c>
      <c r="F1247">
        <v>0.161291345</v>
      </c>
      <c r="G1247">
        <v>0.27533276699999998</v>
      </c>
      <c r="H1247">
        <v>0.16193254800000001</v>
      </c>
      <c r="I1247">
        <v>0.15628023399999999</v>
      </c>
      <c r="J1247">
        <v>0.15650530600000001</v>
      </c>
      <c r="K1247">
        <v>0.23695935900000001</v>
      </c>
      <c r="L1247">
        <v>0.24614175199999999</v>
      </c>
      <c r="M1247">
        <v>0.24686449999999999</v>
      </c>
      <c r="N1247">
        <v>0.249740032</v>
      </c>
      <c r="O1247">
        <v>0.25505868700000001</v>
      </c>
      <c r="P1247">
        <v>0.26730342400000001</v>
      </c>
      <c r="Q1247">
        <v>0.27479943499999998</v>
      </c>
    </row>
    <row r="1248" spans="1:17" x14ac:dyDescent="0.25">
      <c r="A1248" t="s">
        <v>5</v>
      </c>
      <c r="B1248" t="s">
        <v>6</v>
      </c>
      <c r="C1248" t="s">
        <v>261</v>
      </c>
      <c r="D1248" t="s">
        <v>57</v>
      </c>
      <c r="E1248" t="s">
        <v>27</v>
      </c>
      <c r="F1248">
        <v>8.9032426999999997E-2</v>
      </c>
      <c r="G1248">
        <v>0.16466294200000001</v>
      </c>
      <c r="H1248">
        <v>0.15032137500000001</v>
      </c>
      <c r="I1248">
        <v>0.173786577</v>
      </c>
      <c r="J1248">
        <v>0.208331512</v>
      </c>
      <c r="K1248">
        <v>0.30085037399999998</v>
      </c>
      <c r="L1248">
        <v>0.325350368</v>
      </c>
      <c r="M1248">
        <v>0.36102661800000002</v>
      </c>
      <c r="N1248">
        <v>0.39600793499999998</v>
      </c>
      <c r="O1248">
        <v>0.43887401799999998</v>
      </c>
      <c r="P1248">
        <v>0.49990241200000002</v>
      </c>
      <c r="Q1248">
        <v>0.55311784100000005</v>
      </c>
    </row>
    <row r="1249" spans="1:17" x14ac:dyDescent="0.25">
      <c r="A1249" t="s">
        <v>5</v>
      </c>
      <c r="B1249" t="s">
        <v>6</v>
      </c>
      <c r="C1249" t="s">
        <v>261</v>
      </c>
      <c r="D1249" t="s">
        <v>58</v>
      </c>
      <c r="E1249" t="s">
        <v>27</v>
      </c>
      <c r="F1249">
        <v>132.74524120000001</v>
      </c>
      <c r="G1249">
        <v>227.25566850000001</v>
      </c>
      <c r="H1249">
        <v>139.87705199999999</v>
      </c>
      <c r="I1249">
        <v>136.67492899999999</v>
      </c>
      <c r="J1249">
        <v>137.56649229999999</v>
      </c>
      <c r="K1249">
        <v>205.6614754</v>
      </c>
      <c r="L1249">
        <v>215.37519810000001</v>
      </c>
      <c r="M1249">
        <v>217.71805090000001</v>
      </c>
      <c r="N1249">
        <v>221.56524440000001</v>
      </c>
      <c r="O1249">
        <v>227.41249869999999</v>
      </c>
      <c r="P1249">
        <v>239.22957840000001</v>
      </c>
      <c r="Q1249">
        <v>246.9217447</v>
      </c>
    </row>
    <row r="1250" spans="1:17" x14ac:dyDescent="0.25">
      <c r="A1250" t="s">
        <v>5</v>
      </c>
      <c r="B1250" t="s">
        <v>6</v>
      </c>
      <c r="C1250" t="s">
        <v>261</v>
      </c>
      <c r="D1250" t="s">
        <v>59</v>
      </c>
      <c r="E1250" t="s">
        <v>27</v>
      </c>
      <c r="F1250">
        <v>23.908518359999999</v>
      </c>
      <c r="G1250">
        <v>44.070085079999998</v>
      </c>
      <c r="H1250">
        <v>40.230309630000001</v>
      </c>
      <c r="I1250">
        <v>46.411736269999999</v>
      </c>
      <c r="J1250">
        <v>55.643025940000001</v>
      </c>
      <c r="K1250">
        <v>80.18276797</v>
      </c>
      <c r="L1250">
        <v>86.666026900000006</v>
      </c>
      <c r="M1250">
        <v>96.124596780000005</v>
      </c>
      <c r="N1250">
        <v>105.407083</v>
      </c>
      <c r="O1250">
        <v>116.7954119</v>
      </c>
      <c r="P1250">
        <v>133.03146599999999</v>
      </c>
      <c r="Q1250">
        <v>147.22998229999999</v>
      </c>
    </row>
    <row r="1251" spans="1:17" x14ac:dyDescent="0.25">
      <c r="A1251" t="s">
        <v>5</v>
      </c>
      <c r="B1251" t="s">
        <v>6</v>
      </c>
      <c r="C1251" t="s">
        <v>261</v>
      </c>
      <c r="D1251" t="s">
        <v>60</v>
      </c>
      <c r="E1251" t="s">
        <v>27</v>
      </c>
      <c r="F1251">
        <v>0.42957990000000001</v>
      </c>
      <c r="G1251">
        <v>0.73553542500000002</v>
      </c>
      <c r="H1251">
        <v>0.45375404400000002</v>
      </c>
      <c r="I1251">
        <v>0.44363191000000002</v>
      </c>
      <c r="J1251">
        <v>0.44663420300000001</v>
      </c>
      <c r="K1251">
        <v>0.66730957899999999</v>
      </c>
      <c r="L1251">
        <v>0.699101847</v>
      </c>
      <c r="M1251">
        <v>0.70697336700000002</v>
      </c>
      <c r="N1251">
        <v>0.71966878700000003</v>
      </c>
      <c r="O1251">
        <v>0.73883488200000003</v>
      </c>
      <c r="P1251">
        <v>0.77736474700000002</v>
      </c>
      <c r="Q1251">
        <v>0.80250997499999999</v>
      </c>
    </row>
    <row r="1252" spans="1:17" x14ac:dyDescent="0.25">
      <c r="A1252" t="s">
        <v>5</v>
      </c>
      <c r="B1252" t="s">
        <v>6</v>
      </c>
      <c r="C1252" t="s">
        <v>261</v>
      </c>
      <c r="D1252" t="s">
        <v>61</v>
      </c>
      <c r="E1252" t="s">
        <v>27</v>
      </c>
      <c r="F1252">
        <v>0.227861332</v>
      </c>
      <c r="G1252">
        <v>0.41134250900000002</v>
      </c>
      <c r="H1252">
        <v>0.37403211800000002</v>
      </c>
      <c r="I1252">
        <v>0.425327279</v>
      </c>
      <c r="J1252">
        <v>0.50938476499999996</v>
      </c>
      <c r="K1252">
        <v>0.71833967300000001</v>
      </c>
      <c r="L1252">
        <v>0.76773186100000002</v>
      </c>
      <c r="M1252">
        <v>0.84148947799999996</v>
      </c>
      <c r="N1252">
        <v>0.91192088900000001</v>
      </c>
      <c r="O1252">
        <v>0.99733050300000003</v>
      </c>
      <c r="P1252">
        <v>1.117946976</v>
      </c>
      <c r="Q1252">
        <v>1.219715313</v>
      </c>
    </row>
    <row r="1253" spans="1:17" x14ac:dyDescent="0.25">
      <c r="A1253" t="s">
        <v>5</v>
      </c>
      <c r="B1253" t="s">
        <v>6</v>
      </c>
      <c r="C1253" t="s">
        <v>261</v>
      </c>
      <c r="D1253" t="s">
        <v>62</v>
      </c>
      <c r="E1253" t="s">
        <v>27</v>
      </c>
      <c r="F1253">
        <v>7.0443988849999997</v>
      </c>
      <c r="G1253">
        <v>12.051537740000001</v>
      </c>
      <c r="H1253">
        <v>7.3393640830000004</v>
      </c>
      <c r="I1253">
        <v>7.1511060430000004</v>
      </c>
      <c r="J1253">
        <v>7.1894882339999997</v>
      </c>
      <c r="K1253">
        <v>10.7793177</v>
      </c>
      <c r="L1253">
        <v>11.26753091</v>
      </c>
      <c r="M1253">
        <v>11.36975807</v>
      </c>
      <c r="N1253">
        <v>11.55519747</v>
      </c>
      <c r="O1253">
        <v>11.846909050000001</v>
      </c>
      <c r="P1253">
        <v>12.45201357</v>
      </c>
      <c r="Q1253">
        <v>12.840960170000001</v>
      </c>
    </row>
    <row r="1254" spans="1:17" x14ac:dyDescent="0.25">
      <c r="A1254" t="s">
        <v>5</v>
      </c>
      <c r="B1254" t="s">
        <v>6</v>
      </c>
      <c r="C1254" t="s">
        <v>261</v>
      </c>
      <c r="D1254" t="s">
        <v>63</v>
      </c>
      <c r="E1254" t="s">
        <v>27</v>
      </c>
      <c r="F1254">
        <v>0.45180057699999998</v>
      </c>
      <c r="G1254">
        <v>0.83261025799999999</v>
      </c>
      <c r="H1254">
        <v>0.75961498199999999</v>
      </c>
      <c r="I1254">
        <v>0.87658328399999996</v>
      </c>
      <c r="J1254">
        <v>1.0509456150000001</v>
      </c>
      <c r="K1254">
        <v>1.5143500299999999</v>
      </c>
      <c r="L1254">
        <v>1.6373176359999999</v>
      </c>
      <c r="M1254">
        <v>1.8170062810000001</v>
      </c>
      <c r="N1254">
        <v>1.9940790079999999</v>
      </c>
      <c r="O1254">
        <v>2.2120943</v>
      </c>
      <c r="P1254">
        <v>2.5241153189999999</v>
      </c>
      <c r="Q1254">
        <v>2.7994972470000001</v>
      </c>
    </row>
    <row r="1255" spans="1:17" x14ac:dyDescent="0.25">
      <c r="A1255" t="s">
        <v>5</v>
      </c>
      <c r="B1255" t="s">
        <v>6</v>
      </c>
      <c r="C1255" t="s">
        <v>261</v>
      </c>
      <c r="D1255" t="s">
        <v>64</v>
      </c>
      <c r="E1255" t="s">
        <v>27</v>
      </c>
      <c r="F1255">
        <v>0.38915165800000001</v>
      </c>
      <c r="G1255">
        <v>0.658945432</v>
      </c>
      <c r="H1255">
        <v>0.90075099599999997</v>
      </c>
      <c r="I1255">
        <v>0.863329342</v>
      </c>
      <c r="J1255">
        <v>0.50840576599999998</v>
      </c>
      <c r="K1255">
        <v>0.77376091199999997</v>
      </c>
      <c r="L1255">
        <v>1.242362798</v>
      </c>
      <c r="M1255">
        <v>1.9843063439999999</v>
      </c>
      <c r="N1255">
        <v>2.9019874109999999</v>
      </c>
      <c r="O1255">
        <v>2.6233682599999999</v>
      </c>
      <c r="P1255">
        <v>2.9481239979999998</v>
      </c>
      <c r="Q1255">
        <v>3.4021595549999999</v>
      </c>
    </row>
    <row r="1256" spans="1:17" x14ac:dyDescent="0.25">
      <c r="A1256" t="s">
        <v>5</v>
      </c>
      <c r="B1256" t="s">
        <v>6</v>
      </c>
      <c r="C1256" t="s">
        <v>261</v>
      </c>
      <c r="D1256" t="s">
        <v>65</v>
      </c>
      <c r="E1256" t="s">
        <v>27</v>
      </c>
      <c r="F1256">
        <v>5.2291612089999999</v>
      </c>
      <c r="G1256">
        <v>11.66299502</v>
      </c>
      <c r="H1256">
        <v>15.07719986</v>
      </c>
      <c r="I1256">
        <v>11.59764446</v>
      </c>
      <c r="J1256">
        <v>4.9984120680000004</v>
      </c>
      <c r="K1256">
        <v>1.948061668</v>
      </c>
      <c r="L1256">
        <v>2.992579519</v>
      </c>
      <c r="M1256">
        <v>3.9334679879999999</v>
      </c>
      <c r="N1256">
        <v>2.792320454</v>
      </c>
      <c r="O1256">
        <v>3.3243234500000001</v>
      </c>
      <c r="P1256">
        <v>3.904962957</v>
      </c>
      <c r="Q1256">
        <v>4.1601620459999999</v>
      </c>
    </row>
    <row r="1257" spans="1:17" x14ac:dyDescent="0.25">
      <c r="A1257" t="s">
        <v>5</v>
      </c>
      <c r="B1257" t="s">
        <v>6</v>
      </c>
      <c r="C1257" t="s">
        <v>261</v>
      </c>
      <c r="D1257" t="s">
        <v>66</v>
      </c>
      <c r="E1257" t="s">
        <v>27</v>
      </c>
      <c r="F1257">
        <v>3.7675790000000001E-3</v>
      </c>
      <c r="G1257">
        <v>6.2451299999999998E-3</v>
      </c>
      <c r="H1257">
        <v>8.9904619999999994E-3</v>
      </c>
      <c r="I1257">
        <v>1.5965905999999998E-2</v>
      </c>
      <c r="J1257">
        <v>1.6753939999999998E-2</v>
      </c>
      <c r="K1257">
        <v>2.9538604E-2</v>
      </c>
      <c r="L1257">
        <v>4.1696942000000001E-2</v>
      </c>
      <c r="M1257">
        <v>7.7962519999999993E-2</v>
      </c>
      <c r="N1257">
        <v>0.15666696099999999</v>
      </c>
      <c r="O1257">
        <v>0.129584637</v>
      </c>
      <c r="P1257">
        <v>0.14158431899999999</v>
      </c>
      <c r="Q1257">
        <v>0.16127250400000001</v>
      </c>
    </row>
    <row r="1258" spans="1:17" x14ac:dyDescent="0.25">
      <c r="A1258" t="s">
        <v>5</v>
      </c>
      <c r="B1258" t="s">
        <v>6</v>
      </c>
      <c r="C1258" t="s">
        <v>261</v>
      </c>
      <c r="D1258" t="s">
        <v>67</v>
      </c>
      <c r="E1258" t="s">
        <v>27</v>
      </c>
      <c r="F1258">
        <v>7.761998E-3</v>
      </c>
      <c r="G1258">
        <v>1.4320385999999999E-2</v>
      </c>
      <c r="H1258">
        <v>1.8795758999999999E-2</v>
      </c>
      <c r="I1258">
        <v>1.9769083999999999E-2</v>
      </c>
      <c r="J1258">
        <v>1.5720417E-2</v>
      </c>
      <c r="K1258">
        <v>2.6123265999999999E-2</v>
      </c>
      <c r="L1258">
        <v>4.2459116999999998E-2</v>
      </c>
      <c r="M1258">
        <v>6.8341446E-2</v>
      </c>
      <c r="N1258">
        <v>0.109291848</v>
      </c>
      <c r="O1258">
        <v>9.5924344999999994E-2</v>
      </c>
      <c r="P1258">
        <v>0.109636703</v>
      </c>
      <c r="Q1258">
        <v>0.12579310299999999</v>
      </c>
    </row>
    <row r="1259" spans="1:17" x14ac:dyDescent="0.25">
      <c r="A1259" t="s">
        <v>5</v>
      </c>
      <c r="B1259" t="s">
        <v>6</v>
      </c>
      <c r="C1259" t="s">
        <v>261</v>
      </c>
      <c r="D1259" t="s">
        <v>68</v>
      </c>
      <c r="E1259" t="s">
        <v>27</v>
      </c>
      <c r="F1259" s="1">
        <v>3.6100000000000002E-7</v>
      </c>
      <c r="G1259">
        <v>1.8331099999999999E-4</v>
      </c>
      <c r="H1259">
        <v>3.1251920000000002E-3</v>
      </c>
      <c r="I1259">
        <v>8.8546089999999994E-3</v>
      </c>
      <c r="J1259">
        <v>1.8657260000000001E-3</v>
      </c>
      <c r="K1259">
        <v>2.5613900000000001E-4</v>
      </c>
      <c r="L1259">
        <v>4.0180199999999999E-4</v>
      </c>
      <c r="M1259">
        <v>5.0932500000000003E-4</v>
      </c>
      <c r="N1259" s="1">
        <v>6.81E-6</v>
      </c>
      <c r="O1259" s="1">
        <v>1.03E-5</v>
      </c>
      <c r="P1259" s="1">
        <v>8.4500000000000004E-6</v>
      </c>
      <c r="Q1259" s="1">
        <v>9.6500000000000008E-6</v>
      </c>
    </row>
    <row r="1260" spans="1:17" x14ac:dyDescent="0.25">
      <c r="A1260" t="s">
        <v>5</v>
      </c>
      <c r="B1260" t="s">
        <v>6</v>
      </c>
      <c r="C1260" t="s">
        <v>261</v>
      </c>
      <c r="D1260" t="s">
        <v>69</v>
      </c>
      <c r="E1260" t="s">
        <v>27</v>
      </c>
      <c r="F1260">
        <v>0.30516750100000001</v>
      </c>
      <c r="G1260">
        <v>0.52746965499999998</v>
      </c>
      <c r="H1260">
        <v>0.62795682900000005</v>
      </c>
      <c r="I1260">
        <v>0.51999039199999997</v>
      </c>
      <c r="J1260">
        <v>0.29524158900000003</v>
      </c>
      <c r="K1260">
        <v>0.48330995700000001</v>
      </c>
      <c r="L1260">
        <v>0.66048699799999999</v>
      </c>
      <c r="M1260">
        <v>1.0496066260000001</v>
      </c>
      <c r="N1260">
        <v>1.0653057349999999</v>
      </c>
      <c r="O1260">
        <v>1.0578575429999999</v>
      </c>
      <c r="P1260">
        <v>1.079605546</v>
      </c>
      <c r="Q1260">
        <v>1.26816712</v>
      </c>
    </row>
    <row r="1261" spans="1:17" x14ac:dyDescent="0.25">
      <c r="A1261" t="s">
        <v>5</v>
      </c>
      <c r="B1261" t="s">
        <v>6</v>
      </c>
      <c r="C1261" t="s">
        <v>261</v>
      </c>
      <c r="D1261" t="s">
        <v>70</v>
      </c>
      <c r="E1261" t="s">
        <v>27</v>
      </c>
      <c r="F1261">
        <v>0.87563545499999995</v>
      </c>
      <c r="G1261">
        <v>1.519295098</v>
      </c>
      <c r="H1261">
        <v>1.8166749579999999</v>
      </c>
      <c r="I1261">
        <v>1.5096034460000001</v>
      </c>
      <c r="J1261">
        <v>0.84695946600000005</v>
      </c>
      <c r="K1261">
        <v>1.3874316</v>
      </c>
      <c r="L1261">
        <v>1.8748054489999999</v>
      </c>
      <c r="M1261">
        <v>2.9939617190000001</v>
      </c>
      <c r="N1261">
        <v>3.0479391300000001</v>
      </c>
      <c r="O1261">
        <v>3.0702405349999999</v>
      </c>
      <c r="P1261">
        <v>3.1659772020000001</v>
      </c>
      <c r="Q1261">
        <v>3.7050939220000001</v>
      </c>
    </row>
    <row r="1262" spans="1:17" x14ac:dyDescent="0.25">
      <c r="A1262" t="s">
        <v>5</v>
      </c>
      <c r="B1262" t="s">
        <v>6</v>
      </c>
      <c r="C1262" t="s">
        <v>261</v>
      </c>
      <c r="D1262" t="s">
        <v>71</v>
      </c>
      <c r="E1262" t="s">
        <v>27</v>
      </c>
      <c r="F1262">
        <v>0.17874604799999999</v>
      </c>
      <c r="G1262">
        <v>0.311593962</v>
      </c>
      <c r="H1262">
        <v>0.37456981499999997</v>
      </c>
      <c r="I1262">
        <v>0.31389128700000002</v>
      </c>
      <c r="J1262">
        <v>0.17366619699999999</v>
      </c>
      <c r="K1262">
        <v>0.28325494000000001</v>
      </c>
      <c r="L1262">
        <v>0.37742047899999998</v>
      </c>
      <c r="M1262">
        <v>0.610125582</v>
      </c>
      <c r="N1262">
        <v>0.62964267200000001</v>
      </c>
      <c r="O1262">
        <v>0.647713015</v>
      </c>
      <c r="P1262">
        <v>0.67927056500000005</v>
      </c>
      <c r="Q1262">
        <v>0.79441031299999998</v>
      </c>
    </row>
    <row r="1263" spans="1:17" x14ac:dyDescent="0.25">
      <c r="A1263" t="s">
        <v>5</v>
      </c>
      <c r="B1263" t="s">
        <v>6</v>
      </c>
      <c r="C1263" t="s">
        <v>261</v>
      </c>
      <c r="D1263" t="s">
        <v>72</v>
      </c>
      <c r="E1263" t="s">
        <v>27</v>
      </c>
      <c r="F1263">
        <v>0.10315685099999999</v>
      </c>
      <c r="G1263">
        <v>0.17890423599999999</v>
      </c>
      <c r="H1263">
        <v>0.213918355</v>
      </c>
      <c r="I1263">
        <v>0.18035242600000001</v>
      </c>
      <c r="J1263">
        <v>0.100973996</v>
      </c>
      <c r="K1263">
        <v>0.164985992</v>
      </c>
      <c r="L1263">
        <v>0.22331419399999999</v>
      </c>
      <c r="M1263">
        <v>0.36106496300000002</v>
      </c>
      <c r="N1263">
        <v>0.37635236500000002</v>
      </c>
      <c r="O1263">
        <v>0.383176397</v>
      </c>
      <c r="P1263">
        <v>0.40064411999999999</v>
      </c>
      <c r="Q1263">
        <v>0.47403974900000001</v>
      </c>
    </row>
    <row r="1264" spans="1:17" x14ac:dyDescent="0.25">
      <c r="A1264" t="s">
        <v>5</v>
      </c>
      <c r="B1264" t="s">
        <v>6</v>
      </c>
      <c r="C1264" t="s">
        <v>261</v>
      </c>
      <c r="D1264" t="s">
        <v>73</v>
      </c>
      <c r="E1264" t="s">
        <v>27</v>
      </c>
      <c r="F1264">
        <v>4.3197799999999996E-3</v>
      </c>
      <c r="G1264">
        <v>7.5356199999999998E-3</v>
      </c>
      <c r="H1264">
        <v>9.0665280000000008E-3</v>
      </c>
      <c r="I1264">
        <v>7.5723609999999997E-3</v>
      </c>
      <c r="J1264">
        <v>4.1752550000000001E-3</v>
      </c>
      <c r="K1264">
        <v>6.8599120000000001E-3</v>
      </c>
      <c r="L1264">
        <v>9.1217899999999994E-3</v>
      </c>
      <c r="M1264">
        <v>1.4594322999999999E-2</v>
      </c>
      <c r="N1264">
        <v>1.4799494E-2</v>
      </c>
      <c r="O1264">
        <v>1.5171669E-2</v>
      </c>
      <c r="P1264">
        <v>1.5815716E-2</v>
      </c>
      <c r="Q1264">
        <v>1.8365415E-2</v>
      </c>
    </row>
    <row r="1265" spans="1:17" x14ac:dyDescent="0.25">
      <c r="A1265" t="s">
        <v>5</v>
      </c>
      <c r="B1265" t="s">
        <v>6</v>
      </c>
      <c r="C1265" t="s">
        <v>261</v>
      </c>
      <c r="D1265" t="s">
        <v>74</v>
      </c>
      <c r="E1265" t="s">
        <v>27</v>
      </c>
      <c r="F1265">
        <v>5.3106949999999998E-3</v>
      </c>
      <c r="G1265">
        <v>5.2729939999999996E-3</v>
      </c>
      <c r="H1265">
        <v>7.667503E-3</v>
      </c>
      <c r="I1265">
        <v>1.2596135E-2</v>
      </c>
      <c r="J1265">
        <v>2.0029119999999999E-3</v>
      </c>
      <c r="K1265">
        <v>2.6671799999999999E-4</v>
      </c>
      <c r="L1265">
        <v>3.4689360000000002E-3</v>
      </c>
      <c r="M1265">
        <v>8.2331799999999997E-3</v>
      </c>
      <c r="N1265">
        <v>2.8203262999999999E-2</v>
      </c>
      <c r="O1265">
        <v>1.5015975000000001E-2</v>
      </c>
      <c r="P1265">
        <v>1.9044558999999999E-2</v>
      </c>
      <c r="Q1265">
        <v>2.1985648E-2</v>
      </c>
    </row>
    <row r="1266" spans="1:17" x14ac:dyDescent="0.25">
      <c r="A1266" t="s">
        <v>5</v>
      </c>
      <c r="B1266" t="s">
        <v>6</v>
      </c>
      <c r="C1266" t="s">
        <v>261</v>
      </c>
      <c r="D1266" t="s">
        <v>75</v>
      </c>
      <c r="E1266" t="s">
        <v>27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25">
      <c r="A1267" t="s">
        <v>5</v>
      </c>
      <c r="B1267" t="s">
        <v>6</v>
      </c>
      <c r="C1267" t="s">
        <v>261</v>
      </c>
      <c r="D1267" t="s">
        <v>76</v>
      </c>
      <c r="E1267" t="s">
        <v>27</v>
      </c>
      <c r="F1267">
        <v>1.0008910000000001E-3</v>
      </c>
      <c r="G1267">
        <v>5.7621899999999999E-4</v>
      </c>
      <c r="H1267">
        <v>6.7721299999999997E-4</v>
      </c>
      <c r="I1267">
        <v>1.278653E-3</v>
      </c>
      <c r="J1267" s="1">
        <v>6.81E-6</v>
      </c>
      <c r="K1267" s="1">
        <v>9.0699999999999996E-7</v>
      </c>
      <c r="L1267" s="1">
        <v>1.1800000000000001E-5</v>
      </c>
      <c r="M1267">
        <v>6.4914699999999998E-4</v>
      </c>
      <c r="N1267">
        <v>3.3629760000000002E-3</v>
      </c>
      <c r="O1267">
        <v>2.3109049999999998E-3</v>
      </c>
      <c r="P1267">
        <v>3.1977149999999998E-3</v>
      </c>
      <c r="Q1267">
        <v>3.8270230000000001E-3</v>
      </c>
    </row>
    <row r="1268" spans="1:17" x14ac:dyDescent="0.25">
      <c r="A1268" t="s">
        <v>5</v>
      </c>
      <c r="B1268" t="s">
        <v>6</v>
      </c>
      <c r="C1268" t="s">
        <v>261</v>
      </c>
      <c r="D1268" t="s">
        <v>77</v>
      </c>
      <c r="E1268" t="s">
        <v>27</v>
      </c>
      <c r="F1268">
        <v>1.11976E-4</v>
      </c>
      <c r="G1268">
        <v>1.15486E-4</v>
      </c>
      <c r="H1268">
        <v>1.71793E-4</v>
      </c>
      <c r="I1268">
        <v>2.84271E-4</v>
      </c>
      <c r="J1268" s="1">
        <v>4.5899999999999998E-5</v>
      </c>
      <c r="K1268" s="1">
        <v>6.1099999999999999E-6</v>
      </c>
      <c r="L1268" s="1">
        <v>7.9499999999999994E-5</v>
      </c>
      <c r="M1268">
        <v>2.16536E-4</v>
      </c>
      <c r="N1268">
        <v>7.9948300000000003E-4</v>
      </c>
      <c r="O1268">
        <v>4.6028399999999999E-4</v>
      </c>
      <c r="P1268">
        <v>5.9911800000000005E-4</v>
      </c>
      <c r="Q1268">
        <v>6.9867200000000001E-4</v>
      </c>
    </row>
    <row r="1269" spans="1:17" x14ac:dyDescent="0.25">
      <c r="A1269" t="s">
        <v>5</v>
      </c>
      <c r="B1269" t="s">
        <v>6</v>
      </c>
      <c r="C1269" t="s">
        <v>261</v>
      </c>
      <c r="D1269" t="s">
        <v>78</v>
      </c>
      <c r="E1269" t="s">
        <v>27</v>
      </c>
      <c r="F1269" s="1">
        <v>2.3099999999999999E-5</v>
      </c>
      <c r="G1269" s="1">
        <v>7.1899999999999998E-6</v>
      </c>
      <c r="H1269" s="1">
        <v>5.57E-6</v>
      </c>
      <c r="I1269" s="1">
        <v>1.0900000000000001E-5</v>
      </c>
      <c r="J1269" s="1">
        <v>1.3599999999999999E-21</v>
      </c>
      <c r="K1269" s="1">
        <v>1.3599999999999999E-21</v>
      </c>
      <c r="L1269" s="1">
        <v>1.3599999999999999E-21</v>
      </c>
      <c r="M1269" s="1">
        <v>1.8199999999999999E-5</v>
      </c>
      <c r="N1269" s="1">
        <v>9.6899999999999997E-5</v>
      </c>
      <c r="O1269" s="1">
        <v>6.86E-5</v>
      </c>
      <c r="P1269" s="1">
        <v>9.5299999999999999E-5</v>
      </c>
      <c r="Q1269">
        <v>1.14171E-4</v>
      </c>
    </row>
    <row r="1270" spans="1:17" x14ac:dyDescent="0.25">
      <c r="A1270" t="s">
        <v>5</v>
      </c>
      <c r="B1270" t="s">
        <v>6</v>
      </c>
      <c r="C1270" t="s">
        <v>261</v>
      </c>
      <c r="D1270" t="s">
        <v>79</v>
      </c>
      <c r="E1270" t="s">
        <v>9</v>
      </c>
      <c r="F1270">
        <v>907.37596789999998</v>
      </c>
      <c r="G1270">
        <v>1136.355082</v>
      </c>
      <c r="H1270">
        <v>1364.119465</v>
      </c>
      <c r="I1270">
        <v>2685.4249749999999</v>
      </c>
      <c r="J1270">
        <v>1656.5696190000001</v>
      </c>
      <c r="K1270">
        <v>2168.5623230000001</v>
      </c>
      <c r="L1270">
        <v>2667.596403</v>
      </c>
      <c r="M1270">
        <v>3174.8674409999999</v>
      </c>
      <c r="N1270">
        <v>3705.8307129999998</v>
      </c>
      <c r="O1270">
        <v>4258.2232629999999</v>
      </c>
      <c r="P1270">
        <v>4828.5876340000004</v>
      </c>
      <c r="Q1270">
        <v>5345.0150610000001</v>
      </c>
    </row>
    <row r="1271" spans="1:17" x14ac:dyDescent="0.25">
      <c r="A1271" t="s">
        <v>5</v>
      </c>
      <c r="B1271" t="s">
        <v>6</v>
      </c>
      <c r="C1271" t="s">
        <v>261</v>
      </c>
      <c r="D1271" t="s">
        <v>80</v>
      </c>
      <c r="E1271" t="s">
        <v>9</v>
      </c>
      <c r="F1271">
        <v>16.317588109999999</v>
      </c>
      <c r="G1271">
        <v>20.359320929999999</v>
      </c>
      <c r="H1271">
        <v>24.599126550000001</v>
      </c>
      <c r="I1271">
        <v>38.170314259999998</v>
      </c>
      <c r="J1271">
        <v>33.351542139999999</v>
      </c>
      <c r="K1271">
        <v>41.450054350000002</v>
      </c>
      <c r="L1271">
        <v>52.361641759999998</v>
      </c>
      <c r="M1271">
        <v>60.62520361</v>
      </c>
      <c r="N1271">
        <v>66.577722910000006</v>
      </c>
      <c r="O1271">
        <v>71.325479700000002</v>
      </c>
      <c r="P1271">
        <v>73.00334058</v>
      </c>
      <c r="Q1271">
        <v>74.107748180000002</v>
      </c>
    </row>
    <row r="1272" spans="1:17" x14ac:dyDescent="0.25">
      <c r="A1272" t="s">
        <v>5</v>
      </c>
      <c r="B1272" t="s">
        <v>6</v>
      </c>
      <c r="C1272" t="s">
        <v>261</v>
      </c>
      <c r="D1272" t="s">
        <v>81</v>
      </c>
      <c r="E1272" t="s">
        <v>9</v>
      </c>
      <c r="F1272">
        <v>3785.4928300000001</v>
      </c>
      <c r="G1272">
        <v>4027.2520840000002</v>
      </c>
      <c r="H1272">
        <v>3355.0141050000002</v>
      </c>
      <c r="I1272">
        <v>3910.6125459999998</v>
      </c>
      <c r="J1272">
        <v>3232.5348749999998</v>
      </c>
      <c r="K1272">
        <v>2732.970041</v>
      </c>
      <c r="L1272">
        <v>3273.0995680000001</v>
      </c>
      <c r="M1272">
        <v>3129.2900589999999</v>
      </c>
      <c r="N1272">
        <v>3661.9961640000001</v>
      </c>
      <c r="O1272">
        <v>3702.2178450000001</v>
      </c>
      <c r="P1272">
        <v>3729.7457939999999</v>
      </c>
      <c r="Q1272">
        <v>3847.2506899999998</v>
      </c>
    </row>
    <row r="1273" spans="1:17" x14ac:dyDescent="0.25">
      <c r="A1273" t="s">
        <v>5</v>
      </c>
      <c r="B1273" t="s">
        <v>6</v>
      </c>
      <c r="C1273" t="s">
        <v>261</v>
      </c>
      <c r="D1273" t="s">
        <v>82</v>
      </c>
      <c r="E1273" t="s">
        <v>9</v>
      </c>
      <c r="F1273">
        <v>419.21271439999998</v>
      </c>
      <c r="G1273">
        <v>460.05618529999998</v>
      </c>
      <c r="H1273">
        <v>598.08649119999995</v>
      </c>
      <c r="I1273">
        <v>801.39011849999997</v>
      </c>
      <c r="J1273">
        <v>954.50422330000004</v>
      </c>
      <c r="K1273">
        <v>1216.5744090000001</v>
      </c>
      <c r="L1273">
        <v>1312.42011</v>
      </c>
      <c r="M1273">
        <v>1364.909134</v>
      </c>
      <c r="N1273">
        <v>1580.6439130000001</v>
      </c>
      <c r="O1273">
        <v>1685.262295</v>
      </c>
      <c r="P1273">
        <v>1769.378952</v>
      </c>
      <c r="Q1273">
        <v>1900.1974640000001</v>
      </c>
    </row>
    <row r="1274" spans="1:17" x14ac:dyDescent="0.25">
      <c r="A1274" t="s">
        <v>5</v>
      </c>
      <c r="B1274" t="s">
        <v>6</v>
      </c>
      <c r="C1274" t="s">
        <v>261</v>
      </c>
      <c r="D1274" t="s">
        <v>83</v>
      </c>
      <c r="E1274" t="s">
        <v>9</v>
      </c>
      <c r="F1274">
        <v>1.1298931E-2</v>
      </c>
      <c r="G1274">
        <v>1.9974583000000001E-2</v>
      </c>
      <c r="H1274">
        <v>7.7349259999999996E-3</v>
      </c>
      <c r="I1274">
        <v>1.2346619E-2</v>
      </c>
      <c r="J1274">
        <v>6.0321200000000002E-3</v>
      </c>
      <c r="K1274">
        <v>6.13658E-3</v>
      </c>
      <c r="L1274">
        <v>5.7533699999999998E-3</v>
      </c>
      <c r="M1274">
        <v>4.8311689999999997E-3</v>
      </c>
      <c r="N1274">
        <v>3.9425170000000004E-3</v>
      </c>
      <c r="O1274">
        <v>3.7690480000000001E-3</v>
      </c>
      <c r="P1274">
        <v>4.7030029999999999E-3</v>
      </c>
      <c r="Q1274">
        <v>6.5182249999999999E-3</v>
      </c>
    </row>
    <row r="1275" spans="1:17" x14ac:dyDescent="0.25">
      <c r="A1275" t="s">
        <v>5</v>
      </c>
      <c r="B1275" t="s">
        <v>6</v>
      </c>
      <c r="C1275" t="s">
        <v>261</v>
      </c>
      <c r="D1275" t="s">
        <v>84</v>
      </c>
      <c r="E1275" t="s">
        <v>9</v>
      </c>
      <c r="F1275">
        <v>8.3998079999999999E-3</v>
      </c>
      <c r="G1275">
        <v>9.7541120000000005E-3</v>
      </c>
      <c r="H1275">
        <v>1.0952442E-2</v>
      </c>
      <c r="I1275">
        <v>1.2107532000000001E-2</v>
      </c>
      <c r="J1275">
        <v>1.3575060999999999E-2</v>
      </c>
      <c r="K1275">
        <v>1.559285E-2</v>
      </c>
      <c r="L1275">
        <v>1.8039871999999998E-2</v>
      </c>
      <c r="M1275">
        <v>2.0583764000000001E-2</v>
      </c>
      <c r="N1275">
        <v>2.3030312000000001E-2</v>
      </c>
      <c r="O1275">
        <v>2.5600155999999999E-2</v>
      </c>
      <c r="P1275">
        <v>2.8900875999999999E-2</v>
      </c>
      <c r="Q1275">
        <v>3.2841469999999998E-2</v>
      </c>
    </row>
    <row r="1276" spans="1:17" x14ac:dyDescent="0.25">
      <c r="A1276" t="s">
        <v>5</v>
      </c>
      <c r="B1276" t="s">
        <v>6</v>
      </c>
      <c r="C1276" t="s">
        <v>261</v>
      </c>
      <c r="D1276" t="s">
        <v>85</v>
      </c>
      <c r="E1276" t="s">
        <v>9</v>
      </c>
      <c r="F1276">
        <v>6.075741E-3</v>
      </c>
      <c r="G1276">
        <v>8.2845609999999993E-3</v>
      </c>
      <c r="H1276">
        <v>1.3129317E-2</v>
      </c>
      <c r="I1276">
        <v>0.18865794999999999</v>
      </c>
      <c r="J1276">
        <v>1.2502869999999999E-2</v>
      </c>
      <c r="K1276">
        <v>2.5914158999999999E-2</v>
      </c>
      <c r="L1276">
        <v>5.5106332000000001E-2</v>
      </c>
      <c r="M1276">
        <v>9.4001032999999998E-2</v>
      </c>
      <c r="N1276">
        <v>0.10999880400000001</v>
      </c>
      <c r="O1276">
        <v>0.105351451</v>
      </c>
      <c r="P1276">
        <v>0.1177281</v>
      </c>
      <c r="Q1276">
        <v>0.14650717499999999</v>
      </c>
    </row>
    <row r="1277" spans="1:17" x14ac:dyDescent="0.25">
      <c r="A1277" t="s">
        <v>5</v>
      </c>
      <c r="B1277" t="s">
        <v>6</v>
      </c>
      <c r="C1277" t="s">
        <v>261</v>
      </c>
      <c r="D1277" t="s">
        <v>86</v>
      </c>
      <c r="E1277" t="s">
        <v>9</v>
      </c>
      <c r="F1277">
        <v>1.5918402000000002E-2</v>
      </c>
      <c r="G1277">
        <v>2.3699581000000001E-2</v>
      </c>
      <c r="H1277">
        <v>3.6580313000000003E-2</v>
      </c>
      <c r="I1277">
        <v>0.13295749800000001</v>
      </c>
      <c r="J1277">
        <v>6.3355281999999999E-2</v>
      </c>
      <c r="K1277">
        <v>9.9925509999999995E-2</v>
      </c>
      <c r="L1277">
        <v>0.16307502300000001</v>
      </c>
      <c r="M1277">
        <v>0.22898065300000001</v>
      </c>
      <c r="N1277">
        <v>0.24493957399999999</v>
      </c>
      <c r="O1277">
        <v>0.21894822899999999</v>
      </c>
      <c r="P1277">
        <v>0.21750344299999999</v>
      </c>
      <c r="Q1277">
        <v>0.247873017</v>
      </c>
    </row>
    <row r="1278" spans="1:17" x14ac:dyDescent="0.25">
      <c r="A1278" t="s">
        <v>5</v>
      </c>
      <c r="B1278" t="s">
        <v>6</v>
      </c>
      <c r="C1278" t="s">
        <v>261</v>
      </c>
      <c r="D1278" t="s">
        <v>87</v>
      </c>
      <c r="E1278" t="s">
        <v>9</v>
      </c>
      <c r="F1278">
        <v>4.7904728000000001E-2</v>
      </c>
      <c r="G1278">
        <v>7.4033626000000005E-2</v>
      </c>
      <c r="H1278">
        <v>5.3548288999999999E-2</v>
      </c>
      <c r="I1278">
        <v>7.5526764999999996E-2</v>
      </c>
      <c r="J1278">
        <v>7.7411900000000006E-2</v>
      </c>
      <c r="K1278">
        <v>7.8466925000000007E-2</v>
      </c>
      <c r="L1278">
        <v>7.1497844000000005E-2</v>
      </c>
      <c r="M1278">
        <v>6.4076064000000002E-2</v>
      </c>
      <c r="N1278">
        <v>6.0073816000000002E-2</v>
      </c>
      <c r="O1278">
        <v>9.9666444000000007E-2</v>
      </c>
      <c r="P1278">
        <v>0.14031781900000001</v>
      </c>
      <c r="Q1278">
        <v>0.12363072899999999</v>
      </c>
    </row>
    <row r="1279" spans="1:17" x14ac:dyDescent="0.25">
      <c r="A1279" t="s">
        <v>5</v>
      </c>
      <c r="B1279" t="s">
        <v>6</v>
      </c>
      <c r="C1279" t="s">
        <v>261</v>
      </c>
      <c r="D1279" t="s">
        <v>88</v>
      </c>
      <c r="E1279" t="s">
        <v>19</v>
      </c>
      <c r="F1279">
        <v>21044431.579999998</v>
      </c>
      <c r="G1279">
        <v>25351473.25</v>
      </c>
      <c r="H1279">
        <v>29096474.100000001</v>
      </c>
      <c r="I1279">
        <v>33946020.060000002</v>
      </c>
      <c r="J1279">
        <v>38932931.329999998</v>
      </c>
      <c r="K1279">
        <v>43946742.289999999</v>
      </c>
      <c r="L1279">
        <v>49326876.130000003</v>
      </c>
      <c r="M1279">
        <v>55089437.340000004</v>
      </c>
      <c r="N1279">
        <v>61124614.859999999</v>
      </c>
      <c r="O1279">
        <v>67334561.719999999</v>
      </c>
      <c r="P1279">
        <v>73645882.170000002</v>
      </c>
      <c r="Q1279">
        <v>79254361.379999995</v>
      </c>
    </row>
    <row r="1280" spans="1:17" x14ac:dyDescent="0.25">
      <c r="A1280" t="s">
        <v>5</v>
      </c>
      <c r="B1280" t="s">
        <v>6</v>
      </c>
      <c r="C1280" t="s">
        <v>261</v>
      </c>
      <c r="D1280" t="s">
        <v>89</v>
      </c>
      <c r="E1280" t="s">
        <v>19</v>
      </c>
      <c r="F1280">
        <v>6742834.0750000002</v>
      </c>
      <c r="G1280">
        <v>8244642.1579999998</v>
      </c>
      <c r="H1280">
        <v>9919322.193</v>
      </c>
      <c r="I1280">
        <v>11901450.689999999</v>
      </c>
      <c r="J1280">
        <v>14006656.83</v>
      </c>
      <c r="K1280">
        <v>16191593.35</v>
      </c>
      <c r="L1280">
        <v>18591122.32</v>
      </c>
      <c r="M1280">
        <v>21216024.379999999</v>
      </c>
      <c r="N1280">
        <v>24023725.98</v>
      </c>
      <c r="O1280">
        <v>26972690.949999999</v>
      </c>
      <c r="P1280">
        <v>30029541.370000001</v>
      </c>
      <c r="Q1280">
        <v>32792222.760000002</v>
      </c>
    </row>
    <row r="1281" spans="1:17" x14ac:dyDescent="0.25">
      <c r="A1281" t="s">
        <v>5</v>
      </c>
      <c r="B1281" t="s">
        <v>6</v>
      </c>
      <c r="C1281" t="s">
        <v>261</v>
      </c>
      <c r="D1281" t="s">
        <v>90</v>
      </c>
      <c r="E1281" t="s">
        <v>19</v>
      </c>
      <c r="F1281">
        <v>3183262.4589999998</v>
      </c>
      <c r="G1281">
        <v>3912331.6239999998</v>
      </c>
      <c r="H1281">
        <v>4781182.5609999998</v>
      </c>
      <c r="I1281">
        <v>5787521.9110000003</v>
      </c>
      <c r="J1281">
        <v>6864996.1059999997</v>
      </c>
      <c r="K1281">
        <v>7991830.3679999998</v>
      </c>
      <c r="L1281">
        <v>9235995.2479999997</v>
      </c>
      <c r="M1281">
        <v>10603506.550000001</v>
      </c>
      <c r="N1281">
        <v>12073047.699999999</v>
      </c>
      <c r="O1281">
        <v>13623331.1</v>
      </c>
      <c r="P1281">
        <v>15236973.970000001</v>
      </c>
      <c r="Q1281">
        <v>16700373.810000001</v>
      </c>
    </row>
    <row r="1282" spans="1:17" x14ac:dyDescent="0.25">
      <c r="A1282" t="s">
        <v>5</v>
      </c>
      <c r="B1282" t="s">
        <v>6</v>
      </c>
      <c r="C1282" t="s">
        <v>261</v>
      </c>
      <c r="D1282" t="s">
        <v>91</v>
      </c>
      <c r="E1282" t="s">
        <v>19</v>
      </c>
      <c r="F1282">
        <v>352128.24979999999</v>
      </c>
      <c r="G1282">
        <v>474111.56939999998</v>
      </c>
      <c r="H1282">
        <v>799477.84569999995</v>
      </c>
      <c r="I1282">
        <v>2053933.7990000001</v>
      </c>
      <c r="J1282">
        <v>1166804.93</v>
      </c>
      <c r="K1282">
        <v>1611006.6310000001</v>
      </c>
      <c r="L1282">
        <v>2292339.4730000002</v>
      </c>
      <c r="M1282">
        <v>3171658.8169999998</v>
      </c>
      <c r="N1282">
        <v>4265365.5209999997</v>
      </c>
      <c r="O1282">
        <v>5587473.8760000002</v>
      </c>
      <c r="P1282">
        <v>7197305.5329999998</v>
      </c>
      <c r="Q1282">
        <v>8916486.2349999994</v>
      </c>
    </row>
    <row r="1283" spans="1:17" x14ac:dyDescent="0.25">
      <c r="A1283" t="s">
        <v>5</v>
      </c>
      <c r="B1283" t="s">
        <v>6</v>
      </c>
      <c r="C1283" t="s">
        <v>261</v>
      </c>
      <c r="D1283" t="s">
        <v>92</v>
      </c>
      <c r="E1283" t="s">
        <v>19</v>
      </c>
      <c r="F1283">
        <v>462098.39510000002</v>
      </c>
      <c r="G1283">
        <v>577979.12</v>
      </c>
      <c r="H1283">
        <v>742718.63359999994</v>
      </c>
      <c r="I1283">
        <v>1423718.6470000001</v>
      </c>
      <c r="J1283">
        <v>1137838.274</v>
      </c>
      <c r="K1283">
        <v>1429136.9439999999</v>
      </c>
      <c r="L1283">
        <v>1825168.2990000001</v>
      </c>
      <c r="M1283">
        <v>2291874.0989999999</v>
      </c>
      <c r="N1283">
        <v>2825940.98</v>
      </c>
      <c r="O1283">
        <v>3423316.5269999998</v>
      </c>
      <c r="P1283">
        <v>4095673.7880000002</v>
      </c>
      <c r="Q1283">
        <v>4763557.2680000002</v>
      </c>
    </row>
    <row r="1284" spans="1:17" x14ac:dyDescent="0.25">
      <c r="A1284" t="s">
        <v>5</v>
      </c>
      <c r="B1284" t="s">
        <v>6</v>
      </c>
      <c r="C1284" t="s">
        <v>261</v>
      </c>
      <c r="D1284" t="s">
        <v>93</v>
      </c>
      <c r="E1284" t="s">
        <v>19</v>
      </c>
      <c r="F1284">
        <v>436002.2549</v>
      </c>
      <c r="G1284">
        <v>577232.48069999996</v>
      </c>
      <c r="H1284">
        <v>898181.70629999996</v>
      </c>
      <c r="I1284">
        <v>2174940.3280000002</v>
      </c>
      <c r="J1284">
        <v>1344348.121</v>
      </c>
      <c r="K1284">
        <v>1807647.3160000001</v>
      </c>
      <c r="L1284">
        <v>2490123.5819999999</v>
      </c>
      <c r="M1284">
        <v>3340237.2140000002</v>
      </c>
      <c r="N1284">
        <v>4360745.307</v>
      </c>
      <c r="O1284">
        <v>5550838.0319999997</v>
      </c>
      <c r="P1284">
        <v>6943730.3870000001</v>
      </c>
      <c r="Q1284">
        <v>8373160.6950000003</v>
      </c>
    </row>
    <row r="1285" spans="1:17" x14ac:dyDescent="0.25">
      <c r="A1285" t="s">
        <v>5</v>
      </c>
      <c r="B1285" t="s">
        <v>6</v>
      </c>
      <c r="C1285" t="s">
        <v>261</v>
      </c>
      <c r="D1285" t="s">
        <v>94</v>
      </c>
      <c r="E1285" t="s">
        <v>19</v>
      </c>
      <c r="F1285">
        <v>6966937.3169999998</v>
      </c>
      <c r="G1285">
        <v>8396624.9120000005</v>
      </c>
      <c r="H1285">
        <v>10308755.42</v>
      </c>
      <c r="I1285">
        <v>14549114.210000001</v>
      </c>
      <c r="J1285">
        <v>14705081.550000001</v>
      </c>
      <c r="K1285">
        <v>17538305.600000001</v>
      </c>
      <c r="L1285">
        <v>21055524.719999999</v>
      </c>
      <c r="M1285">
        <v>24921748.600000001</v>
      </c>
      <c r="N1285">
        <v>29051446.359999999</v>
      </c>
      <c r="O1285">
        <v>33357712.039999999</v>
      </c>
      <c r="P1285">
        <v>37835366.299999997</v>
      </c>
      <c r="Q1285">
        <v>41932505.049999997</v>
      </c>
    </row>
    <row r="1286" spans="1:17" x14ac:dyDescent="0.25">
      <c r="A1286" t="s">
        <v>5</v>
      </c>
      <c r="B1286" t="s">
        <v>6</v>
      </c>
      <c r="C1286" t="s">
        <v>261</v>
      </c>
      <c r="D1286" t="s">
        <v>95</v>
      </c>
      <c r="E1286" t="s">
        <v>27</v>
      </c>
      <c r="F1286">
        <v>0.80848172100000004</v>
      </c>
      <c r="G1286">
        <v>1.0125045619999999</v>
      </c>
      <c r="H1286">
        <v>1.215448912</v>
      </c>
      <c r="I1286">
        <v>2.3928956079999999</v>
      </c>
      <c r="J1286">
        <v>1.4761358760000001</v>
      </c>
      <c r="K1286">
        <v>1.9324783510000001</v>
      </c>
      <c r="L1286">
        <v>2.377027896</v>
      </c>
      <c r="M1286">
        <v>2.8289104300000001</v>
      </c>
      <c r="N1286">
        <v>3.3019409049999999</v>
      </c>
      <c r="O1286">
        <v>3.7941226110000001</v>
      </c>
      <c r="P1286">
        <v>4.3023234370000001</v>
      </c>
      <c r="Q1286">
        <v>4.7624663350000001</v>
      </c>
    </row>
    <row r="1287" spans="1:17" x14ac:dyDescent="0.25">
      <c r="A1287" t="s">
        <v>5</v>
      </c>
      <c r="B1287" t="s">
        <v>6</v>
      </c>
      <c r="C1287" t="s">
        <v>261</v>
      </c>
      <c r="D1287" t="s">
        <v>96</v>
      </c>
      <c r="E1287" t="s">
        <v>27</v>
      </c>
      <c r="F1287">
        <v>2.6748557860000002</v>
      </c>
      <c r="G1287">
        <v>3.379889506</v>
      </c>
      <c r="H1287">
        <v>4.1558287229999999</v>
      </c>
      <c r="I1287">
        <v>6.275530797</v>
      </c>
      <c r="J1287">
        <v>6.2642776470000001</v>
      </c>
      <c r="K1287">
        <v>7.4725187850000001</v>
      </c>
      <c r="L1287">
        <v>8.4698596510000002</v>
      </c>
      <c r="M1287">
        <v>9.4749464929999991</v>
      </c>
      <c r="N1287">
        <v>10.65844686</v>
      </c>
      <c r="O1287">
        <v>11.68690952</v>
      </c>
      <c r="P1287">
        <v>12.67372756</v>
      </c>
      <c r="Q1287">
        <v>13.572576740000001</v>
      </c>
    </row>
    <row r="1288" spans="1:17" x14ac:dyDescent="0.25">
      <c r="A1288" t="s">
        <v>5</v>
      </c>
      <c r="B1288" t="s">
        <v>6</v>
      </c>
      <c r="C1288" t="s">
        <v>261</v>
      </c>
      <c r="D1288" t="s">
        <v>97</v>
      </c>
      <c r="E1288" t="s">
        <v>27</v>
      </c>
      <c r="F1288">
        <v>1.5721505E-2</v>
      </c>
      <c r="G1288">
        <v>1.9301248E-2</v>
      </c>
      <c r="H1288">
        <v>1.9432369000000001E-2</v>
      </c>
      <c r="I1288">
        <v>2.2089483E-2</v>
      </c>
      <c r="J1288">
        <v>2.3545205E-2</v>
      </c>
      <c r="K1288">
        <v>2.6927736000000001E-2</v>
      </c>
      <c r="L1288">
        <v>3.0955442999999999E-2</v>
      </c>
      <c r="M1288">
        <v>3.5067237000000001E-2</v>
      </c>
      <c r="N1288">
        <v>3.9026533000000002E-2</v>
      </c>
      <c r="O1288">
        <v>4.3308067999999998E-2</v>
      </c>
      <c r="P1288">
        <v>4.8996790999999998E-2</v>
      </c>
      <c r="Q1288">
        <v>5.5915929000000003E-2</v>
      </c>
    </row>
    <row r="1289" spans="1:17" x14ac:dyDescent="0.25">
      <c r="A1289" t="s">
        <v>5</v>
      </c>
      <c r="B1289" t="s">
        <v>6</v>
      </c>
      <c r="C1289" t="s">
        <v>261</v>
      </c>
      <c r="D1289" t="s">
        <v>98</v>
      </c>
      <c r="E1289" t="s">
        <v>27</v>
      </c>
      <c r="F1289">
        <v>1.7042399999999999E-4</v>
      </c>
      <c r="G1289">
        <v>2.4958199999999998E-4</v>
      </c>
      <c r="H1289">
        <v>3.8709500000000001E-4</v>
      </c>
      <c r="I1289">
        <v>2.175101E-3</v>
      </c>
      <c r="J1289">
        <v>6.1463800000000003E-4</v>
      </c>
      <c r="K1289">
        <v>1.003182E-3</v>
      </c>
      <c r="L1289">
        <v>1.7070060000000001E-3</v>
      </c>
      <c r="M1289">
        <v>2.4874839999999999E-3</v>
      </c>
      <c r="N1289">
        <v>2.7123350000000002E-3</v>
      </c>
      <c r="O1289">
        <v>2.4628079999999999E-3</v>
      </c>
      <c r="P1289">
        <v>2.5178000000000002E-3</v>
      </c>
      <c r="Q1289">
        <v>2.9366169999999999E-3</v>
      </c>
    </row>
    <row r="1290" spans="1:17" x14ac:dyDescent="0.25">
      <c r="A1290" t="s">
        <v>5</v>
      </c>
      <c r="B1290" t="s">
        <v>6</v>
      </c>
      <c r="C1290" t="s">
        <v>261</v>
      </c>
      <c r="D1290" t="s">
        <v>99</v>
      </c>
      <c r="E1290" t="s">
        <v>27</v>
      </c>
      <c r="F1290">
        <v>6.1952651999999997E-2</v>
      </c>
      <c r="G1290">
        <v>0.106692988</v>
      </c>
      <c r="H1290">
        <v>9.0872632999999994E-2</v>
      </c>
      <c r="I1290">
        <v>0.12664487899999999</v>
      </c>
      <c r="J1290">
        <v>0.147737861</v>
      </c>
      <c r="K1290">
        <v>0.16825301300000001</v>
      </c>
      <c r="L1290">
        <v>0.17667660199999999</v>
      </c>
      <c r="M1290">
        <v>0.179443138</v>
      </c>
      <c r="N1290">
        <v>0.18817850799999999</v>
      </c>
      <c r="O1290">
        <v>0.261811446</v>
      </c>
      <c r="P1290">
        <v>0.35727959599999998</v>
      </c>
      <c r="Q1290">
        <v>0.42338510400000001</v>
      </c>
    </row>
    <row r="1291" spans="1:17" x14ac:dyDescent="0.25">
      <c r="A1291" t="s">
        <v>5</v>
      </c>
      <c r="B1291" t="s">
        <v>6</v>
      </c>
      <c r="C1291" t="s">
        <v>261</v>
      </c>
      <c r="D1291" t="s">
        <v>100</v>
      </c>
      <c r="E1291" t="s">
        <v>27</v>
      </c>
      <c r="F1291">
        <v>0.123525539</v>
      </c>
      <c r="G1291">
        <v>0.15469760900000001</v>
      </c>
      <c r="H1291">
        <v>0.185705182</v>
      </c>
      <c r="I1291">
        <v>0.36560852199999999</v>
      </c>
      <c r="J1291">
        <v>0.22553858399999999</v>
      </c>
      <c r="K1291">
        <v>0.29527151099999999</v>
      </c>
      <c r="L1291">
        <v>0.36319122100000001</v>
      </c>
      <c r="M1291">
        <v>0.43222598000000001</v>
      </c>
      <c r="N1291">
        <v>0.504494259</v>
      </c>
      <c r="O1291">
        <v>0.57969281100000003</v>
      </c>
      <c r="P1291">
        <v>0.657339326</v>
      </c>
      <c r="Q1291">
        <v>0.72764339499999997</v>
      </c>
    </row>
    <row r="1292" spans="1:17" x14ac:dyDescent="0.25">
      <c r="A1292" t="s">
        <v>5</v>
      </c>
      <c r="B1292" t="s">
        <v>6</v>
      </c>
      <c r="C1292" t="s">
        <v>261</v>
      </c>
      <c r="D1292" t="s">
        <v>101</v>
      </c>
      <c r="E1292" t="s">
        <v>27</v>
      </c>
      <c r="F1292">
        <v>0.280232278</v>
      </c>
      <c r="G1292">
        <v>0.34144812099999999</v>
      </c>
      <c r="H1292">
        <v>0.40505307600000001</v>
      </c>
      <c r="I1292">
        <v>0.66674564599999997</v>
      </c>
      <c r="J1292">
        <v>0.54676054100000004</v>
      </c>
      <c r="K1292">
        <v>0.67459282200000004</v>
      </c>
      <c r="L1292">
        <v>0.79808288199999999</v>
      </c>
      <c r="M1292">
        <v>0.90747431000000001</v>
      </c>
      <c r="N1292">
        <v>1.035920524</v>
      </c>
      <c r="O1292">
        <v>1.147605024</v>
      </c>
      <c r="P1292">
        <v>1.2507995540000001</v>
      </c>
      <c r="Q1292">
        <v>1.347925923</v>
      </c>
    </row>
    <row r="1293" spans="1:17" x14ac:dyDescent="0.25">
      <c r="A1293" t="s">
        <v>5</v>
      </c>
      <c r="B1293" t="s">
        <v>6</v>
      </c>
      <c r="C1293" t="s">
        <v>261</v>
      </c>
      <c r="D1293" t="s">
        <v>102</v>
      </c>
      <c r="E1293" t="s">
        <v>27</v>
      </c>
      <c r="F1293">
        <v>1.6976109999999999E-3</v>
      </c>
      <c r="G1293">
        <v>2.514695E-3</v>
      </c>
      <c r="H1293">
        <v>1.6587699999999999E-3</v>
      </c>
      <c r="I1293">
        <v>2.146874E-3</v>
      </c>
      <c r="J1293">
        <v>1.77483E-3</v>
      </c>
      <c r="K1293">
        <v>1.9773400000000002E-3</v>
      </c>
      <c r="L1293">
        <v>2.1839250000000002E-3</v>
      </c>
      <c r="M1293">
        <v>2.3590629999999998E-3</v>
      </c>
      <c r="N1293">
        <v>2.5295159999999999E-3</v>
      </c>
      <c r="O1293">
        <v>2.7716960000000001E-3</v>
      </c>
      <c r="P1293">
        <v>3.180006E-3</v>
      </c>
      <c r="Q1293">
        <v>3.731781E-3</v>
      </c>
    </row>
    <row r="1294" spans="1:17" x14ac:dyDescent="0.25">
      <c r="A1294" t="s">
        <v>5</v>
      </c>
      <c r="B1294" t="s">
        <v>6</v>
      </c>
      <c r="C1294" t="s">
        <v>261</v>
      </c>
      <c r="D1294" t="s">
        <v>103</v>
      </c>
      <c r="E1294" t="s">
        <v>27</v>
      </c>
      <c r="F1294">
        <v>1.2876490000000001E-3</v>
      </c>
      <c r="G1294">
        <v>1.885732E-3</v>
      </c>
      <c r="H1294">
        <v>2.924715E-3</v>
      </c>
      <c r="I1294">
        <v>1.64341E-2</v>
      </c>
      <c r="J1294">
        <v>4.6439300000000001E-3</v>
      </c>
      <c r="K1294">
        <v>7.5795999999999997E-3</v>
      </c>
      <c r="L1294">
        <v>1.2897375000000001E-2</v>
      </c>
      <c r="M1294">
        <v>1.8794320999999999E-2</v>
      </c>
      <c r="N1294">
        <v>2.0493194999999999E-2</v>
      </c>
      <c r="O1294">
        <v>1.8607879000000001E-2</v>
      </c>
      <c r="P1294">
        <v>1.9023380999999999E-2</v>
      </c>
      <c r="Q1294">
        <v>2.2187770999999998E-2</v>
      </c>
    </row>
    <row r="1295" spans="1:17" x14ac:dyDescent="0.25">
      <c r="A1295" t="s">
        <v>5</v>
      </c>
      <c r="B1295" t="s">
        <v>6</v>
      </c>
      <c r="C1295" t="s">
        <v>261</v>
      </c>
      <c r="D1295" t="s">
        <v>104</v>
      </c>
      <c r="E1295" t="s">
        <v>27</v>
      </c>
      <c r="F1295">
        <v>6.8079800000000004E-4</v>
      </c>
      <c r="G1295">
        <v>1.17245E-3</v>
      </c>
      <c r="H1295">
        <v>9.986000000000001E-4</v>
      </c>
      <c r="I1295">
        <v>1.3917020000000001E-3</v>
      </c>
      <c r="J1295">
        <v>1.6234929999999999E-3</v>
      </c>
      <c r="K1295">
        <v>1.848934E-3</v>
      </c>
      <c r="L1295">
        <v>1.941501E-3</v>
      </c>
      <c r="M1295">
        <v>1.9719030000000001E-3</v>
      </c>
      <c r="N1295">
        <v>2.0678960000000001E-3</v>
      </c>
      <c r="O1295">
        <v>2.877049E-3</v>
      </c>
      <c r="P1295">
        <v>3.9261490000000003E-3</v>
      </c>
      <c r="Q1295">
        <v>4.6525840000000004E-3</v>
      </c>
    </row>
    <row r="1296" spans="1:17" x14ac:dyDescent="0.25">
      <c r="A1296" t="s">
        <v>5</v>
      </c>
      <c r="B1296" t="s">
        <v>6</v>
      </c>
      <c r="C1296" t="s">
        <v>261</v>
      </c>
      <c r="D1296" t="s">
        <v>105</v>
      </c>
      <c r="E1296" t="s">
        <v>27</v>
      </c>
      <c r="F1296">
        <v>2.3545674999999999E-2</v>
      </c>
      <c r="G1296">
        <v>2.9487518000000001E-2</v>
      </c>
      <c r="H1296">
        <v>3.5398273000000001E-2</v>
      </c>
      <c r="I1296">
        <v>6.9696252E-2</v>
      </c>
      <c r="J1296">
        <v>4.2995861000000003E-2</v>
      </c>
      <c r="K1296">
        <v>5.6294808000000002E-2</v>
      </c>
      <c r="L1296">
        <v>6.9236877000000002E-2</v>
      </c>
      <c r="M1296">
        <v>8.2391323000000002E-2</v>
      </c>
      <c r="N1296">
        <v>9.6163845999999997E-2</v>
      </c>
      <c r="O1296">
        <v>0.11049746100000001</v>
      </c>
      <c r="P1296">
        <v>0.12529796500000001</v>
      </c>
      <c r="Q1296">
        <v>0.138699024</v>
      </c>
    </row>
    <row r="1297" spans="1:17" x14ac:dyDescent="0.25">
      <c r="A1297" t="s">
        <v>5</v>
      </c>
      <c r="B1297" t="s">
        <v>6</v>
      </c>
      <c r="C1297" t="s">
        <v>261</v>
      </c>
      <c r="D1297" t="s">
        <v>106</v>
      </c>
      <c r="E1297" t="s">
        <v>27</v>
      </c>
      <c r="F1297">
        <v>3.7246511000000003E-2</v>
      </c>
      <c r="G1297">
        <v>4.6032482999999999E-2</v>
      </c>
      <c r="H1297">
        <v>5.6311688999999998E-2</v>
      </c>
      <c r="I1297">
        <v>9.7463574999999997E-2</v>
      </c>
      <c r="J1297">
        <v>7.6887580999999997E-2</v>
      </c>
      <c r="K1297">
        <v>9.6872763000000001E-2</v>
      </c>
      <c r="L1297">
        <v>0.113548156</v>
      </c>
      <c r="M1297">
        <v>0.12995643300000001</v>
      </c>
      <c r="N1297">
        <v>0.149772869</v>
      </c>
      <c r="O1297">
        <v>0.16829075099999999</v>
      </c>
      <c r="P1297">
        <v>0.18695811200000001</v>
      </c>
      <c r="Q1297">
        <v>0.204499281</v>
      </c>
    </row>
    <row r="1298" spans="1:17" x14ac:dyDescent="0.25">
      <c r="A1298" t="s">
        <v>5</v>
      </c>
      <c r="B1298" t="s">
        <v>6</v>
      </c>
      <c r="C1298" t="s">
        <v>261</v>
      </c>
      <c r="D1298" t="s">
        <v>107</v>
      </c>
      <c r="E1298" t="s">
        <v>27</v>
      </c>
      <c r="F1298" s="1">
        <v>2.62E-5</v>
      </c>
      <c r="G1298" s="1">
        <v>3.29E-5</v>
      </c>
      <c r="H1298" s="1">
        <v>3.1699999999999998E-5</v>
      </c>
      <c r="I1298" s="1">
        <v>3.6999999999999998E-5</v>
      </c>
      <c r="J1298" s="1">
        <v>3.8099999999999998E-5</v>
      </c>
      <c r="K1298" s="1">
        <v>4.3600000000000003E-5</v>
      </c>
      <c r="L1298" s="1">
        <v>5.0099999999999998E-5</v>
      </c>
      <c r="M1298" s="1">
        <v>5.6799999999999998E-5</v>
      </c>
      <c r="N1298" s="1">
        <v>6.3299999999999994E-5</v>
      </c>
      <c r="O1298" s="1">
        <v>7.0599999999999995E-5</v>
      </c>
      <c r="P1298" s="1">
        <v>8.0699999999999996E-5</v>
      </c>
      <c r="Q1298" s="1">
        <v>9.3399999999999993E-5</v>
      </c>
    </row>
    <row r="1299" spans="1:17" x14ac:dyDescent="0.25">
      <c r="A1299" t="s">
        <v>5</v>
      </c>
      <c r="B1299" t="s">
        <v>6</v>
      </c>
      <c r="C1299" t="s">
        <v>261</v>
      </c>
      <c r="D1299" t="s">
        <v>108</v>
      </c>
      <c r="E1299" t="s">
        <v>27</v>
      </c>
      <c r="F1299" s="1">
        <v>1.6899999999999999E-6</v>
      </c>
      <c r="G1299" s="1">
        <v>2.3099999999999999E-6</v>
      </c>
      <c r="H1299" s="1">
        <v>3.6600000000000001E-6</v>
      </c>
      <c r="I1299" s="1">
        <v>5.2599999999999998E-5</v>
      </c>
      <c r="J1299" s="1">
        <v>3.4800000000000001E-6</v>
      </c>
      <c r="K1299" s="1">
        <v>7.2200000000000003E-6</v>
      </c>
      <c r="L1299" s="1">
        <v>1.5400000000000002E-5</v>
      </c>
      <c r="M1299" s="1">
        <v>2.62E-5</v>
      </c>
      <c r="N1299" s="1">
        <v>3.0599999999999998E-5</v>
      </c>
      <c r="O1299" s="1">
        <v>2.9300000000000001E-5</v>
      </c>
      <c r="P1299" s="1">
        <v>3.2799999999999998E-5</v>
      </c>
      <c r="Q1299" s="1">
        <v>4.0800000000000002E-5</v>
      </c>
    </row>
    <row r="1300" spans="1:17" x14ac:dyDescent="0.25">
      <c r="A1300" t="s">
        <v>5</v>
      </c>
      <c r="B1300" t="s">
        <v>6</v>
      </c>
      <c r="C1300" t="s">
        <v>261</v>
      </c>
      <c r="D1300" t="s">
        <v>109</v>
      </c>
      <c r="E1300" t="s">
        <v>27</v>
      </c>
      <c r="F1300">
        <v>6.8079800000000004E-4</v>
      </c>
      <c r="G1300">
        <v>1.17245E-3</v>
      </c>
      <c r="H1300">
        <v>9.986000000000001E-4</v>
      </c>
      <c r="I1300">
        <v>1.3917020000000001E-3</v>
      </c>
      <c r="J1300">
        <v>1.6234929999999999E-3</v>
      </c>
      <c r="K1300">
        <v>1.848934E-3</v>
      </c>
      <c r="L1300">
        <v>1.941501E-3</v>
      </c>
      <c r="M1300">
        <v>1.9719030000000001E-3</v>
      </c>
      <c r="N1300">
        <v>2.0678960000000001E-3</v>
      </c>
      <c r="O1300">
        <v>2.877049E-3</v>
      </c>
      <c r="P1300">
        <v>3.9261490000000003E-3</v>
      </c>
      <c r="Q1300">
        <v>4.6525840000000004E-3</v>
      </c>
    </row>
    <row r="1301" spans="1:17" x14ac:dyDescent="0.25">
      <c r="A1301" t="s">
        <v>5</v>
      </c>
      <c r="B1301" t="s">
        <v>6</v>
      </c>
      <c r="C1301" t="s">
        <v>261</v>
      </c>
      <c r="D1301" t="s">
        <v>110</v>
      </c>
      <c r="E1301" t="s">
        <v>27</v>
      </c>
      <c r="F1301">
        <v>3.3980405999999998E-2</v>
      </c>
      <c r="G1301">
        <v>4.2555467E-2</v>
      </c>
      <c r="H1301">
        <v>5.1085203000000003E-2</v>
      </c>
      <c r="I1301">
        <v>0.10057292</v>
      </c>
      <c r="J1301">
        <v>6.2041612000000003E-2</v>
      </c>
      <c r="K1301">
        <v>8.1221354999999995E-2</v>
      </c>
      <c r="L1301">
        <v>9.9906022999999997E-2</v>
      </c>
      <c r="M1301">
        <v>0.118898744</v>
      </c>
      <c r="N1301">
        <v>0.138780242</v>
      </c>
      <c r="O1301">
        <v>0.15946659699999999</v>
      </c>
      <c r="P1301">
        <v>0.18082622700000001</v>
      </c>
      <c r="Q1301">
        <v>0.20016599400000001</v>
      </c>
    </row>
    <row r="1302" spans="1:17" x14ac:dyDescent="0.25">
      <c r="A1302" t="s">
        <v>5</v>
      </c>
      <c r="B1302" t="s">
        <v>6</v>
      </c>
      <c r="C1302" t="s">
        <v>261</v>
      </c>
      <c r="D1302" t="s">
        <v>111</v>
      </c>
      <c r="E1302" t="s">
        <v>27</v>
      </c>
      <c r="F1302">
        <v>5.0909643999999997E-2</v>
      </c>
      <c r="G1302">
        <v>6.3678433000000007E-2</v>
      </c>
      <c r="H1302">
        <v>7.7279214999999998E-2</v>
      </c>
      <c r="I1302">
        <v>0.13687845800000001</v>
      </c>
      <c r="J1302">
        <v>0.10274435699999999</v>
      </c>
      <c r="K1302">
        <v>0.12961742900000001</v>
      </c>
      <c r="L1302">
        <v>0.15499418000000001</v>
      </c>
      <c r="M1302">
        <v>0.17976577399999999</v>
      </c>
      <c r="N1302">
        <v>0.206263787</v>
      </c>
      <c r="O1302">
        <v>0.23180309199999999</v>
      </c>
      <c r="P1302">
        <v>0.25671230499999997</v>
      </c>
      <c r="Q1302">
        <v>0.27938505200000002</v>
      </c>
    </row>
    <row r="1303" spans="1:17" x14ac:dyDescent="0.25">
      <c r="A1303" t="s">
        <v>5</v>
      </c>
      <c r="B1303" t="s">
        <v>6</v>
      </c>
      <c r="C1303" t="s">
        <v>261</v>
      </c>
      <c r="D1303" t="s">
        <v>112</v>
      </c>
      <c r="E1303" t="s">
        <v>27</v>
      </c>
      <c r="F1303" s="1">
        <v>1.0499999999999999E-5</v>
      </c>
      <c r="G1303" s="1">
        <v>1.8600000000000001E-5</v>
      </c>
      <c r="H1303" s="1">
        <v>7.2099999999999996E-6</v>
      </c>
      <c r="I1303" s="1">
        <v>1.24E-5</v>
      </c>
      <c r="J1303" s="1">
        <v>5.6799999999999998E-6</v>
      </c>
      <c r="K1303" s="1">
        <v>5.8900000000000004E-6</v>
      </c>
      <c r="L1303" s="1">
        <v>5.7899999999999996E-6</v>
      </c>
      <c r="M1303" s="1">
        <v>5.3199999999999999E-6</v>
      </c>
      <c r="N1303" s="1">
        <v>5.04E-6</v>
      </c>
      <c r="O1303" s="1">
        <v>5.6500000000000001E-6</v>
      </c>
      <c r="P1303" s="1">
        <v>7.9300000000000003E-6</v>
      </c>
      <c r="Q1303" s="1">
        <v>1.2E-5</v>
      </c>
    </row>
    <row r="1304" spans="1:17" x14ac:dyDescent="0.25">
      <c r="A1304" t="s">
        <v>5</v>
      </c>
      <c r="B1304" t="s">
        <v>6</v>
      </c>
      <c r="C1304" t="s">
        <v>261</v>
      </c>
      <c r="D1304" t="s">
        <v>113</v>
      </c>
      <c r="E1304" t="s">
        <v>27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</row>
    <row r="1305" spans="1:17" x14ac:dyDescent="0.25">
      <c r="A1305" t="s">
        <v>5</v>
      </c>
      <c r="B1305" t="s">
        <v>6</v>
      </c>
      <c r="C1305" t="s">
        <v>261</v>
      </c>
      <c r="D1305" t="s">
        <v>114</v>
      </c>
      <c r="E1305" t="s">
        <v>27</v>
      </c>
      <c r="F1305" s="1">
        <v>4.0800000000000002E-5</v>
      </c>
      <c r="G1305" s="1">
        <v>7.0300000000000001E-5</v>
      </c>
      <c r="H1305" s="1">
        <v>5.9899999999999999E-5</v>
      </c>
      <c r="I1305" s="1">
        <v>8.3499999999999997E-5</v>
      </c>
      <c r="J1305" s="1">
        <v>9.7399999999999996E-5</v>
      </c>
      <c r="K1305">
        <v>1.10936E-4</v>
      </c>
      <c r="L1305">
        <v>1.1649E-4</v>
      </c>
      <c r="M1305">
        <v>1.1831400000000001E-4</v>
      </c>
      <c r="N1305">
        <v>1.2407400000000001E-4</v>
      </c>
      <c r="O1305">
        <v>1.72623E-4</v>
      </c>
      <c r="P1305">
        <v>2.3556900000000001E-4</v>
      </c>
      <c r="Q1305">
        <v>2.7915500000000001E-4</v>
      </c>
    </row>
    <row r="1306" spans="1:17" x14ac:dyDescent="0.25">
      <c r="A1306" t="s">
        <v>5</v>
      </c>
      <c r="B1306" t="s">
        <v>6</v>
      </c>
      <c r="C1306" t="s">
        <v>261</v>
      </c>
      <c r="D1306" t="s">
        <v>115</v>
      </c>
      <c r="E1306" t="s">
        <v>27</v>
      </c>
      <c r="F1306">
        <v>0.15919049499999999</v>
      </c>
      <c r="G1306">
        <v>0.199362709</v>
      </c>
      <c r="H1306">
        <v>0.23932281999999999</v>
      </c>
      <c r="I1306">
        <v>0.471170694</v>
      </c>
      <c r="J1306">
        <v>0.29065739899999998</v>
      </c>
      <c r="K1306">
        <v>0.38051655200000001</v>
      </c>
      <c r="L1306">
        <v>0.46804432699999998</v>
      </c>
      <c r="M1306">
        <v>0.55701666400000005</v>
      </c>
      <c r="N1306">
        <v>0.65015422599999995</v>
      </c>
      <c r="O1306">
        <v>0.74706482799999996</v>
      </c>
      <c r="P1306">
        <v>0.84712985399999996</v>
      </c>
      <c r="Q1306">
        <v>0.93773230500000004</v>
      </c>
    </row>
    <row r="1307" spans="1:17" x14ac:dyDescent="0.25">
      <c r="A1307" t="s">
        <v>5</v>
      </c>
      <c r="B1307" t="s">
        <v>6</v>
      </c>
      <c r="C1307" t="s">
        <v>261</v>
      </c>
      <c r="D1307" t="s">
        <v>116</v>
      </c>
      <c r="E1307" t="s">
        <v>27</v>
      </c>
      <c r="F1307">
        <v>0.44597672300000002</v>
      </c>
      <c r="G1307">
        <v>0.56044683699999998</v>
      </c>
      <c r="H1307">
        <v>0.68626606999999995</v>
      </c>
      <c r="I1307">
        <v>1.062186461</v>
      </c>
      <c r="J1307">
        <v>1.0138663139999999</v>
      </c>
      <c r="K1307">
        <v>1.2192863780000001</v>
      </c>
      <c r="L1307">
        <v>1.391670674</v>
      </c>
      <c r="M1307">
        <v>1.5631772100000001</v>
      </c>
      <c r="N1307">
        <v>1.7657574519999999</v>
      </c>
      <c r="O1307">
        <v>1.943867776</v>
      </c>
      <c r="P1307">
        <v>2.1159018629999999</v>
      </c>
      <c r="Q1307">
        <v>2.2736869369999999</v>
      </c>
    </row>
    <row r="1308" spans="1:17" x14ac:dyDescent="0.25">
      <c r="A1308" t="s">
        <v>5</v>
      </c>
      <c r="B1308" t="s">
        <v>6</v>
      </c>
      <c r="C1308" t="s">
        <v>261</v>
      </c>
      <c r="D1308" t="s">
        <v>117</v>
      </c>
      <c r="E1308" t="s">
        <v>27</v>
      </c>
      <c r="F1308" s="1">
        <v>5.9500000000000003E-5</v>
      </c>
      <c r="G1308">
        <v>1.05203E-4</v>
      </c>
      <c r="H1308" s="1">
        <v>4.07E-5</v>
      </c>
      <c r="I1308" s="1">
        <v>6.6600000000000006E-5</v>
      </c>
      <c r="J1308" s="1">
        <v>3.1900000000000003E-5</v>
      </c>
      <c r="K1308" s="1">
        <v>3.26E-5</v>
      </c>
      <c r="L1308" s="1">
        <v>3.1000000000000001E-5</v>
      </c>
      <c r="M1308" s="1">
        <v>2.69E-5</v>
      </c>
      <c r="N1308" s="1">
        <v>2.3200000000000001E-5</v>
      </c>
      <c r="O1308" s="1">
        <v>2.3600000000000001E-5</v>
      </c>
      <c r="P1308" s="1">
        <v>3.1099999999999997E-5</v>
      </c>
      <c r="Q1308" s="1">
        <v>4.4799999999999998E-5</v>
      </c>
    </row>
    <row r="1309" spans="1:17" x14ac:dyDescent="0.25">
      <c r="A1309" t="s">
        <v>5</v>
      </c>
      <c r="B1309" t="s">
        <v>6</v>
      </c>
      <c r="C1309" t="s">
        <v>261</v>
      </c>
      <c r="D1309" t="s">
        <v>118</v>
      </c>
      <c r="E1309" t="s">
        <v>27</v>
      </c>
      <c r="F1309" s="1">
        <v>9.9400000000000004E-5</v>
      </c>
      <c r="G1309">
        <v>1.4558999999999999E-4</v>
      </c>
      <c r="H1309">
        <v>2.2580500000000001E-4</v>
      </c>
      <c r="I1309">
        <v>1.2688090000000001E-3</v>
      </c>
      <c r="J1309">
        <v>3.58539E-4</v>
      </c>
      <c r="K1309">
        <v>5.8518999999999997E-4</v>
      </c>
      <c r="L1309">
        <v>9.9575300000000005E-4</v>
      </c>
      <c r="M1309">
        <v>1.4510320000000001E-3</v>
      </c>
      <c r="N1309">
        <v>1.582195E-3</v>
      </c>
      <c r="O1309">
        <v>1.4366380000000001E-3</v>
      </c>
      <c r="P1309">
        <v>1.468717E-3</v>
      </c>
      <c r="Q1309">
        <v>1.7130260000000001E-3</v>
      </c>
    </row>
    <row r="1310" spans="1:17" x14ac:dyDescent="0.25">
      <c r="A1310" t="s">
        <v>5</v>
      </c>
      <c r="B1310" t="s">
        <v>6</v>
      </c>
      <c r="C1310" t="s">
        <v>261</v>
      </c>
      <c r="D1310" t="s">
        <v>119</v>
      </c>
      <c r="E1310" t="s">
        <v>27</v>
      </c>
      <c r="F1310">
        <v>1.361597E-3</v>
      </c>
      <c r="G1310">
        <v>2.3449009999999999E-3</v>
      </c>
      <c r="H1310">
        <v>1.9972010000000001E-3</v>
      </c>
      <c r="I1310">
        <v>2.7834040000000002E-3</v>
      </c>
      <c r="J1310">
        <v>3.2469859999999999E-3</v>
      </c>
      <c r="K1310">
        <v>3.697868E-3</v>
      </c>
      <c r="L1310">
        <v>3.883002E-3</v>
      </c>
      <c r="M1310">
        <v>3.9438049999999999E-3</v>
      </c>
      <c r="N1310">
        <v>4.1357909999999998E-3</v>
      </c>
      <c r="O1310">
        <v>5.754098E-3</v>
      </c>
      <c r="P1310">
        <v>7.8522990000000001E-3</v>
      </c>
      <c r="Q1310">
        <v>9.3051669999999996E-3</v>
      </c>
    </row>
    <row r="1311" spans="1:17" x14ac:dyDescent="0.25">
      <c r="A1311" t="s">
        <v>5</v>
      </c>
      <c r="B1311" t="s">
        <v>6</v>
      </c>
      <c r="C1311" t="s">
        <v>261</v>
      </c>
      <c r="D1311" t="s">
        <v>120</v>
      </c>
      <c r="E1311" t="s">
        <v>27</v>
      </c>
      <c r="F1311">
        <v>1.446653414</v>
      </c>
      <c r="G1311">
        <v>1.758657192</v>
      </c>
      <c r="H1311">
        <v>2.078177642</v>
      </c>
      <c r="I1311">
        <v>2.467552687</v>
      </c>
      <c r="J1311">
        <v>2.8767092010000002</v>
      </c>
      <c r="K1311">
        <v>3.2970135159999998</v>
      </c>
      <c r="L1311">
        <v>3.7552124180000002</v>
      </c>
      <c r="M1311">
        <v>4.2531479330000002</v>
      </c>
      <c r="N1311">
        <v>4.7823051349999997</v>
      </c>
      <c r="O1311">
        <v>5.334625935</v>
      </c>
      <c r="P1311">
        <v>5.9037754309999997</v>
      </c>
      <c r="Q1311">
        <v>6.415590752</v>
      </c>
    </row>
    <row r="1312" spans="1:17" x14ac:dyDescent="0.25">
      <c r="A1312" t="s">
        <v>5</v>
      </c>
      <c r="B1312" t="s">
        <v>6</v>
      </c>
      <c r="C1312" t="s">
        <v>261</v>
      </c>
      <c r="D1312" t="s">
        <v>121</v>
      </c>
      <c r="E1312" t="s">
        <v>27</v>
      </c>
      <c r="F1312">
        <v>0.71311569200000002</v>
      </c>
      <c r="G1312">
        <v>0.87009801899999994</v>
      </c>
      <c r="H1312">
        <v>1.1062107839999999</v>
      </c>
      <c r="I1312">
        <v>1.7521718550000001</v>
      </c>
      <c r="J1312">
        <v>1.5927284079999999</v>
      </c>
      <c r="K1312">
        <v>1.942374059</v>
      </c>
      <c r="L1312">
        <v>2.399669072</v>
      </c>
      <c r="M1312">
        <v>2.9245948249999998</v>
      </c>
      <c r="N1312">
        <v>3.5109100259999999</v>
      </c>
      <c r="O1312">
        <v>4.1516513799999997</v>
      </c>
      <c r="P1312">
        <v>4.8550039600000003</v>
      </c>
      <c r="Q1312">
        <v>5.5365430150000003</v>
      </c>
    </row>
    <row r="1313" spans="1:17" x14ac:dyDescent="0.25">
      <c r="A1313" t="s">
        <v>5</v>
      </c>
      <c r="B1313" t="s">
        <v>6</v>
      </c>
      <c r="C1313" t="s">
        <v>261</v>
      </c>
      <c r="D1313" t="s">
        <v>122</v>
      </c>
      <c r="E1313" t="s">
        <v>27</v>
      </c>
      <c r="F1313">
        <v>8.7973587000000006E-2</v>
      </c>
      <c r="G1313">
        <v>0.106253374</v>
      </c>
      <c r="H1313">
        <v>0.122979835</v>
      </c>
      <c r="I1313">
        <v>0.14421890500000001</v>
      </c>
      <c r="J1313">
        <v>0.166210572</v>
      </c>
      <c r="K1313">
        <v>0.188475106</v>
      </c>
      <c r="L1313">
        <v>0.21249031900000001</v>
      </c>
      <c r="M1313">
        <v>0.23833621199999999</v>
      </c>
      <c r="N1313">
        <v>0.26553706700000002</v>
      </c>
      <c r="O1313">
        <v>0.29366086899999999</v>
      </c>
      <c r="P1313">
        <v>0.32237855300000001</v>
      </c>
      <c r="Q1313">
        <v>0.34800250599999999</v>
      </c>
    </row>
    <row r="1314" spans="1:17" x14ac:dyDescent="0.25">
      <c r="A1314" t="s">
        <v>5</v>
      </c>
      <c r="B1314" t="s">
        <v>6</v>
      </c>
      <c r="C1314" t="s">
        <v>261</v>
      </c>
      <c r="D1314" t="s">
        <v>123</v>
      </c>
      <c r="E1314" t="s">
        <v>27</v>
      </c>
      <c r="F1314">
        <v>4.5379388E-2</v>
      </c>
      <c r="G1314">
        <v>5.5152116000000001E-2</v>
      </c>
      <c r="H1314">
        <v>6.9288762000000004E-2</v>
      </c>
      <c r="I1314">
        <v>0.106018379</v>
      </c>
      <c r="J1314">
        <v>9.9549163999999996E-2</v>
      </c>
      <c r="K1314">
        <v>0.120553498</v>
      </c>
      <c r="L1314">
        <v>0.14760699199999999</v>
      </c>
      <c r="M1314">
        <v>0.178275508</v>
      </c>
      <c r="N1314">
        <v>0.21210098399999999</v>
      </c>
      <c r="O1314">
        <v>0.248591282</v>
      </c>
      <c r="P1314">
        <v>0.28806952800000002</v>
      </c>
      <c r="Q1314">
        <v>0.32575892000000001</v>
      </c>
    </row>
    <row r="1315" spans="1:17" x14ac:dyDescent="0.25">
      <c r="A1315" t="s">
        <v>5</v>
      </c>
      <c r="B1315" t="s">
        <v>6</v>
      </c>
      <c r="C1315" t="s">
        <v>261</v>
      </c>
      <c r="D1315" t="s">
        <v>124</v>
      </c>
      <c r="E1315" t="s">
        <v>27</v>
      </c>
      <c r="F1315">
        <v>3.7224687999999999E-2</v>
      </c>
      <c r="G1315">
        <v>4.4858454999999998E-2</v>
      </c>
      <c r="H1315">
        <v>5.1542115999999999E-2</v>
      </c>
      <c r="I1315">
        <v>6.0173763999999998E-2</v>
      </c>
      <c r="J1315">
        <v>6.9058263999999994E-2</v>
      </c>
      <c r="K1315">
        <v>7.7999224000000006E-2</v>
      </c>
      <c r="L1315">
        <v>8.7600295999999994E-2</v>
      </c>
      <c r="M1315">
        <v>9.7890669999999999E-2</v>
      </c>
      <c r="N1315">
        <v>0.10867518</v>
      </c>
      <c r="O1315">
        <v>0.11977947999999999</v>
      </c>
      <c r="P1315">
        <v>0.131072509</v>
      </c>
      <c r="Q1315">
        <v>0.14111369800000001</v>
      </c>
    </row>
    <row r="1316" spans="1:17" x14ac:dyDescent="0.25">
      <c r="A1316" t="s">
        <v>5</v>
      </c>
      <c r="B1316" t="s">
        <v>6</v>
      </c>
      <c r="C1316" t="s">
        <v>261</v>
      </c>
      <c r="D1316" t="s">
        <v>125</v>
      </c>
      <c r="E1316" t="s">
        <v>27</v>
      </c>
      <c r="F1316">
        <v>2.7815235000000001E-2</v>
      </c>
      <c r="G1316">
        <v>3.3913115000000001E-2</v>
      </c>
      <c r="H1316">
        <v>4.2990990999999999E-2</v>
      </c>
      <c r="I1316">
        <v>6.7656319000000006E-2</v>
      </c>
      <c r="J1316">
        <v>6.1906320000000001E-2</v>
      </c>
      <c r="K1316">
        <v>7.5387358000000002E-2</v>
      </c>
      <c r="L1316">
        <v>9.2960736000000002E-2</v>
      </c>
      <c r="M1316">
        <v>0.11307724500000001</v>
      </c>
      <c r="N1316">
        <v>0.13548295799999999</v>
      </c>
      <c r="O1316">
        <v>0.159897287</v>
      </c>
      <c r="P1316">
        <v>0.18660945500000001</v>
      </c>
      <c r="Q1316">
        <v>0.21240621300000001</v>
      </c>
    </row>
    <row r="1317" spans="1:17" x14ac:dyDescent="0.25">
      <c r="A1317" t="s">
        <v>5</v>
      </c>
      <c r="B1317" t="s">
        <v>6</v>
      </c>
      <c r="C1317" t="s">
        <v>261</v>
      </c>
      <c r="D1317" t="s">
        <v>126</v>
      </c>
      <c r="E1317" t="s">
        <v>27</v>
      </c>
      <c r="F1317">
        <v>28.308237739999999</v>
      </c>
      <c r="G1317">
        <v>34.310296360000002</v>
      </c>
      <c r="H1317">
        <v>40.160197019999998</v>
      </c>
      <c r="I1317">
        <v>47.416406870000003</v>
      </c>
      <c r="J1317">
        <v>54.992669200000002</v>
      </c>
      <c r="K1317">
        <v>62.726782450000002</v>
      </c>
      <c r="L1317">
        <v>71.119995200000005</v>
      </c>
      <c r="M1317">
        <v>80.203587080000005</v>
      </c>
      <c r="N1317">
        <v>89.817201949999998</v>
      </c>
      <c r="O1317">
        <v>99.811793559999998</v>
      </c>
      <c r="P1317">
        <v>110.0717607</v>
      </c>
      <c r="Q1317">
        <v>119.2682841</v>
      </c>
    </row>
    <row r="1318" spans="1:17" x14ac:dyDescent="0.25">
      <c r="A1318" t="s">
        <v>5</v>
      </c>
      <c r="B1318" t="s">
        <v>6</v>
      </c>
      <c r="C1318" t="s">
        <v>261</v>
      </c>
      <c r="D1318" t="s">
        <v>127</v>
      </c>
      <c r="E1318" t="s">
        <v>27</v>
      </c>
      <c r="F1318">
        <v>7.4885076279999998</v>
      </c>
      <c r="G1318">
        <v>9.1228964339999994</v>
      </c>
      <c r="H1318">
        <v>11.55348532</v>
      </c>
      <c r="I1318">
        <v>18.064254170000002</v>
      </c>
      <c r="J1318">
        <v>16.611442910000001</v>
      </c>
      <c r="K1318">
        <v>20.20733675</v>
      </c>
      <c r="L1318">
        <v>24.88785305</v>
      </c>
      <c r="M1318">
        <v>30.241181260000001</v>
      </c>
      <c r="N1318">
        <v>36.199988099999999</v>
      </c>
      <c r="O1318">
        <v>42.690241370000003</v>
      </c>
      <c r="P1318">
        <v>49.789595660000003</v>
      </c>
      <c r="Q1318">
        <v>56.645559599999999</v>
      </c>
    </row>
    <row r="1319" spans="1:17" x14ac:dyDescent="0.25">
      <c r="A1319" t="s">
        <v>5</v>
      </c>
      <c r="B1319" t="s">
        <v>6</v>
      </c>
      <c r="C1319" t="s">
        <v>261</v>
      </c>
      <c r="D1319" t="s">
        <v>128</v>
      </c>
      <c r="E1319" t="s">
        <v>27</v>
      </c>
      <c r="F1319">
        <v>9.1222991000000003E-2</v>
      </c>
      <c r="G1319">
        <v>0.110599868</v>
      </c>
      <c r="H1319">
        <v>0.12958874100000001</v>
      </c>
      <c r="I1319">
        <v>0.153095961</v>
      </c>
      <c r="J1319">
        <v>0.17765746900000001</v>
      </c>
      <c r="K1319">
        <v>0.20274826500000001</v>
      </c>
      <c r="L1319">
        <v>0.22999118599999999</v>
      </c>
      <c r="M1319">
        <v>0.25948866100000001</v>
      </c>
      <c r="N1319">
        <v>0.29072179999999997</v>
      </c>
      <c r="O1319">
        <v>0.323207352</v>
      </c>
      <c r="P1319">
        <v>0.35656993300000001</v>
      </c>
      <c r="Q1319">
        <v>0.38648558399999999</v>
      </c>
    </row>
    <row r="1320" spans="1:17" x14ac:dyDescent="0.25">
      <c r="A1320" t="s">
        <v>5</v>
      </c>
      <c r="B1320" t="s">
        <v>6</v>
      </c>
      <c r="C1320" t="s">
        <v>261</v>
      </c>
      <c r="D1320" t="s">
        <v>129</v>
      </c>
      <c r="E1320" t="s">
        <v>27</v>
      </c>
      <c r="F1320">
        <v>7.2371115999999999E-2</v>
      </c>
      <c r="G1320">
        <v>8.7786336000000006E-2</v>
      </c>
      <c r="H1320">
        <v>0.109835957</v>
      </c>
      <c r="I1320">
        <v>0.16515598300000001</v>
      </c>
      <c r="J1320">
        <v>0.157407307</v>
      </c>
      <c r="K1320">
        <v>0.19002048599999999</v>
      </c>
      <c r="L1320">
        <v>0.231758358</v>
      </c>
      <c r="M1320">
        <v>0.27884092300000002</v>
      </c>
      <c r="N1320">
        <v>0.33052029399999999</v>
      </c>
      <c r="O1320">
        <v>0.38600355400000003</v>
      </c>
      <c r="P1320">
        <v>0.44571412700000002</v>
      </c>
      <c r="Q1320">
        <v>0.50241949699999999</v>
      </c>
    </row>
    <row r="1321" spans="1:17" x14ac:dyDescent="0.25">
      <c r="A1321" t="s">
        <v>5</v>
      </c>
      <c r="B1321" t="s">
        <v>6</v>
      </c>
      <c r="C1321" t="s">
        <v>261</v>
      </c>
      <c r="D1321" t="s">
        <v>130</v>
      </c>
      <c r="E1321" t="s">
        <v>27</v>
      </c>
      <c r="F1321">
        <v>1.5316720640000001</v>
      </c>
      <c r="G1321">
        <v>1.8537320129999999</v>
      </c>
      <c r="H1321">
        <v>2.1597545779999998</v>
      </c>
      <c r="I1321">
        <v>2.5428955160000002</v>
      </c>
      <c r="J1321">
        <v>2.941605231</v>
      </c>
      <c r="K1321">
        <v>3.3472833510000002</v>
      </c>
      <c r="L1321">
        <v>3.7864736059999999</v>
      </c>
      <c r="M1321">
        <v>4.2607441570000004</v>
      </c>
      <c r="N1321">
        <v>4.7615820129999999</v>
      </c>
      <c r="O1321">
        <v>5.2811479510000003</v>
      </c>
      <c r="P1321">
        <v>5.8134051949999996</v>
      </c>
      <c r="Q1321">
        <v>6.2896478770000002</v>
      </c>
    </row>
    <row r="1322" spans="1:17" x14ac:dyDescent="0.25">
      <c r="A1322" t="s">
        <v>5</v>
      </c>
      <c r="B1322" t="s">
        <v>6</v>
      </c>
      <c r="C1322" t="s">
        <v>261</v>
      </c>
      <c r="D1322" t="s">
        <v>131</v>
      </c>
      <c r="E1322" t="s">
        <v>27</v>
      </c>
      <c r="F1322">
        <v>0.141508415</v>
      </c>
      <c r="G1322">
        <v>0.172396944</v>
      </c>
      <c r="H1322">
        <v>0.21794490599999999</v>
      </c>
      <c r="I1322">
        <v>0.34116836299999997</v>
      </c>
      <c r="J1322">
        <v>0.31387385699999998</v>
      </c>
      <c r="K1322">
        <v>0.38178798200000003</v>
      </c>
      <c r="L1322">
        <v>0.47018561399999997</v>
      </c>
      <c r="M1322">
        <v>0.57131642299999996</v>
      </c>
      <c r="N1322">
        <v>0.68394548899999996</v>
      </c>
      <c r="O1322">
        <v>0.80672410699999997</v>
      </c>
      <c r="P1322">
        <v>0.94120453199999998</v>
      </c>
      <c r="Q1322">
        <v>1.0713075439999999</v>
      </c>
    </row>
    <row r="1323" spans="1:17" x14ac:dyDescent="0.25">
      <c r="A1323" t="s">
        <v>5</v>
      </c>
      <c r="B1323" t="s">
        <v>6</v>
      </c>
      <c r="C1323" t="s">
        <v>261</v>
      </c>
      <c r="D1323" t="s">
        <v>132</v>
      </c>
      <c r="E1323" t="s">
        <v>27</v>
      </c>
      <c r="F1323">
        <v>2.6468126000000002E-2</v>
      </c>
      <c r="G1323">
        <v>5.5757651999999998E-2</v>
      </c>
      <c r="H1323">
        <v>9.9134010999999994E-2</v>
      </c>
      <c r="I1323">
        <v>0.145190665</v>
      </c>
      <c r="J1323">
        <v>0.17656970999999999</v>
      </c>
      <c r="K1323">
        <v>0.21720867499999999</v>
      </c>
      <c r="L1323">
        <v>0.63052126100000006</v>
      </c>
      <c r="M1323">
        <v>0.62087036299999998</v>
      </c>
      <c r="N1323">
        <v>0.44268787799999998</v>
      </c>
      <c r="O1323">
        <v>0.54839878399999997</v>
      </c>
      <c r="P1323">
        <v>1.0636608219999999</v>
      </c>
      <c r="Q1323">
        <v>1.3433742440000001</v>
      </c>
    </row>
    <row r="1324" spans="1:17" x14ac:dyDescent="0.25">
      <c r="A1324" t="s">
        <v>5</v>
      </c>
      <c r="B1324" t="s">
        <v>6</v>
      </c>
      <c r="C1324" t="s">
        <v>261</v>
      </c>
      <c r="D1324" t="s">
        <v>133</v>
      </c>
      <c r="E1324" t="s">
        <v>27</v>
      </c>
      <c r="F1324">
        <v>0.108826968</v>
      </c>
      <c r="G1324">
        <v>0.21128608300000001</v>
      </c>
      <c r="H1324">
        <v>0.35945197699999998</v>
      </c>
      <c r="I1324">
        <v>0.51593981499999997</v>
      </c>
      <c r="J1324">
        <v>0.62946083799999997</v>
      </c>
      <c r="K1324">
        <v>0.77139708699999998</v>
      </c>
      <c r="L1324">
        <v>1.990657575</v>
      </c>
      <c r="M1324">
        <v>1.9112661120000001</v>
      </c>
      <c r="N1324">
        <v>1.304670233</v>
      </c>
      <c r="O1324">
        <v>1.6325933909999999</v>
      </c>
      <c r="P1324">
        <v>3.557620467</v>
      </c>
      <c r="Q1324">
        <v>4.1363586479999999</v>
      </c>
    </row>
    <row r="1325" spans="1:17" x14ac:dyDescent="0.25">
      <c r="A1325" t="s">
        <v>5</v>
      </c>
      <c r="B1325" t="s">
        <v>6</v>
      </c>
      <c r="C1325" t="s">
        <v>261</v>
      </c>
      <c r="D1325" t="s">
        <v>134</v>
      </c>
      <c r="E1325" t="s">
        <v>27</v>
      </c>
      <c r="F1325">
        <v>3.0131800000000002E-4</v>
      </c>
      <c r="G1325">
        <v>6.3112400000000005E-4</v>
      </c>
      <c r="H1325">
        <v>1.12192E-3</v>
      </c>
      <c r="I1325">
        <v>1.671973E-3</v>
      </c>
      <c r="J1325">
        <v>2.1160660000000002E-3</v>
      </c>
      <c r="K1325">
        <v>2.7891249999999999E-3</v>
      </c>
      <c r="L1325">
        <v>7.2997139999999997E-3</v>
      </c>
      <c r="M1325">
        <v>1.0370911999999999E-2</v>
      </c>
      <c r="N1325">
        <v>1.3944346E-2</v>
      </c>
      <c r="O1325">
        <v>1.9864768000000001E-2</v>
      </c>
      <c r="P1325">
        <v>3.0036775000000002E-2</v>
      </c>
      <c r="Q1325">
        <v>4.4590469000000001E-2</v>
      </c>
    </row>
    <row r="1326" spans="1:17" x14ac:dyDescent="0.25">
      <c r="A1326" t="s">
        <v>5</v>
      </c>
      <c r="B1326" t="s">
        <v>6</v>
      </c>
      <c r="C1326" t="s">
        <v>261</v>
      </c>
      <c r="D1326" t="s">
        <v>135</v>
      </c>
      <c r="E1326" t="s">
        <v>27</v>
      </c>
      <c r="F1326">
        <v>4.3901399999999999E-4</v>
      </c>
      <c r="G1326">
        <v>9.0230400000000004E-4</v>
      </c>
      <c r="H1326">
        <v>1.5850090000000001E-3</v>
      </c>
      <c r="I1326">
        <v>2.3509160000000002E-3</v>
      </c>
      <c r="J1326">
        <v>2.9578719999999998E-3</v>
      </c>
      <c r="K1326">
        <v>3.7408960000000001E-3</v>
      </c>
      <c r="L1326">
        <v>8.9185940000000002E-3</v>
      </c>
      <c r="M1326">
        <v>1.0770162E-2</v>
      </c>
      <c r="N1326">
        <v>1.2081081E-2</v>
      </c>
      <c r="O1326">
        <v>1.7017816000000002E-2</v>
      </c>
      <c r="P1326">
        <v>2.8957864999999999E-2</v>
      </c>
      <c r="Q1326">
        <v>4.1233446999999999E-2</v>
      </c>
    </row>
    <row r="1327" spans="1:17" x14ac:dyDescent="0.25">
      <c r="A1327" t="s">
        <v>5</v>
      </c>
      <c r="B1327" t="s">
        <v>6</v>
      </c>
      <c r="C1327" t="s">
        <v>261</v>
      </c>
      <c r="D1327" t="s">
        <v>136</v>
      </c>
      <c r="E1327" t="s">
        <v>27</v>
      </c>
      <c r="F1327" s="1">
        <v>3.6100000000000002E-7</v>
      </c>
      <c r="G1327" s="1">
        <v>1.4300000000000001E-6</v>
      </c>
      <c r="H1327" s="1">
        <v>2.7800000000000001E-6</v>
      </c>
      <c r="I1327" s="1">
        <v>5.6699999999999999E-6</v>
      </c>
      <c r="J1327" s="1">
        <v>4.3800000000000001E-5</v>
      </c>
      <c r="K1327">
        <v>3.0586699999999998E-4</v>
      </c>
      <c r="L1327">
        <v>1.3360010000000001E-3</v>
      </c>
      <c r="M1327">
        <v>4.059114E-3</v>
      </c>
      <c r="N1327">
        <v>5.7042899999999999E-3</v>
      </c>
      <c r="O1327">
        <v>3.5732680000000001E-3</v>
      </c>
      <c r="P1327">
        <v>1.6568E-4</v>
      </c>
      <c r="Q1327" s="1">
        <v>1.2800000000000001E-7</v>
      </c>
    </row>
    <row r="1328" spans="1:17" x14ac:dyDescent="0.25">
      <c r="A1328" t="s">
        <v>5</v>
      </c>
      <c r="B1328" t="s">
        <v>6</v>
      </c>
      <c r="C1328" t="s">
        <v>261</v>
      </c>
      <c r="D1328" t="s">
        <v>137</v>
      </c>
      <c r="E1328" t="s">
        <v>27</v>
      </c>
      <c r="F1328">
        <v>3.7544429999999997E-2</v>
      </c>
      <c r="G1328">
        <v>6.7029942999999995E-2</v>
      </c>
      <c r="H1328">
        <v>9.7091119000000004E-2</v>
      </c>
      <c r="I1328">
        <v>0.122761989</v>
      </c>
      <c r="J1328">
        <v>0.14907443000000001</v>
      </c>
      <c r="K1328">
        <v>0.18776658199999999</v>
      </c>
      <c r="L1328">
        <v>0.249187201</v>
      </c>
      <c r="M1328">
        <v>0.328546116</v>
      </c>
      <c r="N1328">
        <v>0.40127435700000003</v>
      </c>
      <c r="O1328">
        <v>0.44661748200000001</v>
      </c>
      <c r="P1328">
        <v>0.47537380200000001</v>
      </c>
      <c r="Q1328">
        <v>0.51220630199999995</v>
      </c>
    </row>
    <row r="1329" spans="1:17" x14ac:dyDescent="0.25">
      <c r="A1329" t="s">
        <v>5</v>
      </c>
      <c r="B1329" t="s">
        <v>6</v>
      </c>
      <c r="C1329" t="s">
        <v>261</v>
      </c>
      <c r="D1329" t="s">
        <v>138</v>
      </c>
      <c r="E1329" t="s">
        <v>27</v>
      </c>
      <c r="F1329">
        <v>8.7349671000000004E-2</v>
      </c>
      <c r="G1329">
        <v>0.16321659599999999</v>
      </c>
      <c r="H1329">
        <v>0.25278905499999998</v>
      </c>
      <c r="I1329">
        <v>0.33788543799999998</v>
      </c>
      <c r="J1329">
        <v>0.41598180299999998</v>
      </c>
      <c r="K1329">
        <v>0.50902508400000002</v>
      </c>
      <c r="L1329">
        <v>0.65235563500000004</v>
      </c>
      <c r="M1329">
        <v>0.85617879799999996</v>
      </c>
      <c r="N1329">
        <v>1.077416704</v>
      </c>
      <c r="O1329">
        <v>1.252678186</v>
      </c>
      <c r="P1329">
        <v>1.3651757</v>
      </c>
      <c r="Q1329">
        <v>1.450540626</v>
      </c>
    </row>
    <row r="1330" spans="1:17" x14ac:dyDescent="0.25">
      <c r="A1330" t="s">
        <v>5</v>
      </c>
      <c r="B1330" t="s">
        <v>6</v>
      </c>
      <c r="C1330" t="s">
        <v>261</v>
      </c>
      <c r="D1330" t="s">
        <v>139</v>
      </c>
      <c r="E1330" t="s">
        <v>27</v>
      </c>
      <c r="F1330">
        <v>1.2715324E-2</v>
      </c>
      <c r="G1330">
        <v>2.6009391999999999E-2</v>
      </c>
      <c r="H1330">
        <v>4.5128135999999999E-2</v>
      </c>
      <c r="I1330">
        <v>6.6697792000000006E-2</v>
      </c>
      <c r="J1330">
        <v>8.2786607999999998E-2</v>
      </c>
      <c r="K1330">
        <v>9.6349283999999993E-2</v>
      </c>
      <c r="L1330">
        <v>0.11731113999999999</v>
      </c>
      <c r="M1330">
        <v>0.15287146500000001</v>
      </c>
      <c r="N1330">
        <v>0.201150885</v>
      </c>
      <c r="O1330">
        <v>0.248303423</v>
      </c>
      <c r="P1330">
        <v>0.27894517000000002</v>
      </c>
      <c r="Q1330">
        <v>0.291469009</v>
      </c>
    </row>
    <row r="1331" spans="1:17" x14ac:dyDescent="0.25">
      <c r="A1331" t="s">
        <v>5</v>
      </c>
      <c r="B1331" t="s">
        <v>6</v>
      </c>
      <c r="C1331" t="s">
        <v>261</v>
      </c>
      <c r="D1331" t="s">
        <v>140</v>
      </c>
      <c r="E1331" t="s">
        <v>27</v>
      </c>
      <c r="F1331">
        <v>1.0306335E-2</v>
      </c>
      <c r="G1331">
        <v>1.9213834999999999E-2</v>
      </c>
      <c r="H1331">
        <v>2.9654970999999999E-2</v>
      </c>
      <c r="I1331">
        <v>4.1900109999999997E-2</v>
      </c>
      <c r="J1331">
        <v>5.0094939999999998E-2</v>
      </c>
      <c r="K1331">
        <v>5.9463219999999997E-2</v>
      </c>
      <c r="L1331">
        <v>7.6462894000000003E-2</v>
      </c>
      <c r="M1331">
        <v>0.10056818100000001</v>
      </c>
      <c r="N1331">
        <v>0.12663697900000001</v>
      </c>
      <c r="O1331">
        <v>0.14731221</v>
      </c>
      <c r="P1331">
        <v>0.160866283</v>
      </c>
      <c r="Q1331">
        <v>0.171534198</v>
      </c>
    </row>
    <row r="1332" spans="1:17" x14ac:dyDescent="0.25">
      <c r="A1332" t="s">
        <v>5</v>
      </c>
      <c r="B1332" t="s">
        <v>6</v>
      </c>
      <c r="C1332" t="s">
        <v>261</v>
      </c>
      <c r="D1332" t="s">
        <v>141</v>
      </c>
      <c r="E1332" t="s">
        <v>27</v>
      </c>
      <c r="F1332">
        <v>2.8692499999999999E-4</v>
      </c>
      <c r="G1332">
        <v>5.9922899999999995E-4</v>
      </c>
      <c r="H1332">
        <v>1.06387E-3</v>
      </c>
      <c r="I1332">
        <v>1.56357E-3</v>
      </c>
      <c r="J1332">
        <v>1.9666240000000001E-3</v>
      </c>
      <c r="K1332">
        <v>2.2988409999999998E-3</v>
      </c>
      <c r="L1332">
        <v>2.7743379999999999E-3</v>
      </c>
      <c r="M1332">
        <v>3.6120779999999999E-3</v>
      </c>
      <c r="N1332">
        <v>4.7926679999999999E-3</v>
      </c>
      <c r="O1332">
        <v>5.9762540000000003E-3</v>
      </c>
      <c r="P1332">
        <v>6.7432170000000001E-3</v>
      </c>
      <c r="Q1332">
        <v>7.0213619999999997E-3</v>
      </c>
    </row>
    <row r="1333" spans="1:17" x14ac:dyDescent="0.25">
      <c r="A1333" t="s">
        <v>5</v>
      </c>
      <c r="B1333" t="s">
        <v>6</v>
      </c>
      <c r="C1333" t="s">
        <v>261</v>
      </c>
      <c r="D1333" t="s">
        <v>142</v>
      </c>
      <c r="E1333" t="s">
        <v>27</v>
      </c>
      <c r="F1333" s="1">
        <v>3.0899999999999999E-5</v>
      </c>
      <c r="G1333">
        <v>1.63232E-4</v>
      </c>
      <c r="H1333">
        <v>6.3228100000000005E-4</v>
      </c>
      <c r="I1333">
        <v>1.6531370000000001E-3</v>
      </c>
      <c r="J1333">
        <v>5.2974279999999999E-3</v>
      </c>
      <c r="K1333">
        <v>1.0378119E-2</v>
      </c>
      <c r="L1333">
        <v>5.6670699999999997E-3</v>
      </c>
      <c r="M1333">
        <v>2.3952449999999998E-3</v>
      </c>
      <c r="N1333">
        <v>1.4018419999999999E-3</v>
      </c>
      <c r="O1333">
        <v>1.2396460000000001E-3</v>
      </c>
      <c r="P1333">
        <v>2.0552840000000001E-3</v>
      </c>
      <c r="Q1333">
        <v>2.9491059999999999E-3</v>
      </c>
    </row>
    <row r="1334" spans="1:17" x14ac:dyDescent="0.25">
      <c r="A1334" t="s">
        <v>5</v>
      </c>
      <c r="B1334" t="s">
        <v>6</v>
      </c>
      <c r="C1334" t="s">
        <v>261</v>
      </c>
      <c r="D1334" t="s">
        <v>143</v>
      </c>
      <c r="E1334" t="s">
        <v>27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 x14ac:dyDescent="0.25">
      <c r="A1335" t="s">
        <v>5</v>
      </c>
      <c r="B1335" t="s">
        <v>6</v>
      </c>
      <c r="C1335" t="s">
        <v>261</v>
      </c>
      <c r="D1335" t="s">
        <v>144</v>
      </c>
      <c r="E1335" t="s">
        <v>27</v>
      </c>
      <c r="F1335" s="1">
        <v>4.33E-6</v>
      </c>
      <c r="G1335" s="1">
        <v>4.5800000000000002E-5</v>
      </c>
      <c r="H1335">
        <v>1.9780399999999999E-4</v>
      </c>
      <c r="I1335">
        <v>4.7193000000000002E-4</v>
      </c>
      <c r="J1335">
        <v>7.3231499999999998E-4</v>
      </c>
      <c r="K1335">
        <v>7.57374E-4</v>
      </c>
      <c r="L1335">
        <v>7.8812000000000001E-4</v>
      </c>
      <c r="M1335">
        <v>7.1270299999999997E-4</v>
      </c>
      <c r="N1335">
        <v>3.4020900000000001E-4</v>
      </c>
      <c r="O1335">
        <v>1.32705E-4</v>
      </c>
      <c r="P1335">
        <v>1.52614E-4</v>
      </c>
      <c r="Q1335">
        <v>2.6916100000000002E-4</v>
      </c>
    </row>
    <row r="1336" spans="1:17" x14ac:dyDescent="0.25">
      <c r="A1336" t="s">
        <v>5</v>
      </c>
      <c r="B1336" t="s">
        <v>6</v>
      </c>
      <c r="C1336" t="s">
        <v>261</v>
      </c>
      <c r="D1336" t="s">
        <v>145</v>
      </c>
      <c r="E1336" t="s">
        <v>27</v>
      </c>
      <c r="F1336" s="1">
        <v>9.0100000000000003E-7</v>
      </c>
      <c r="G1336" s="1">
        <v>5.0900000000000004E-6</v>
      </c>
      <c r="H1336" s="1">
        <v>1.7499999999999998E-5</v>
      </c>
      <c r="I1336" s="1">
        <v>4.2299999999999998E-5</v>
      </c>
      <c r="J1336">
        <v>1.3635700000000001E-4</v>
      </c>
      <c r="K1336">
        <v>2.45751E-4</v>
      </c>
      <c r="L1336">
        <v>1.3208800000000001E-4</v>
      </c>
      <c r="M1336" s="1">
        <v>5.3699999999999997E-5</v>
      </c>
      <c r="N1336" s="1">
        <v>5.8600000000000001E-5</v>
      </c>
      <c r="O1336">
        <v>1.04777E-4</v>
      </c>
      <c r="P1336">
        <v>1.5580600000000001E-4</v>
      </c>
      <c r="Q1336">
        <v>2.2012600000000001E-4</v>
      </c>
    </row>
    <row r="1337" spans="1:17" x14ac:dyDescent="0.25">
      <c r="A1337" t="s">
        <v>5</v>
      </c>
      <c r="B1337" t="s">
        <v>6</v>
      </c>
      <c r="C1337" t="s">
        <v>261</v>
      </c>
      <c r="D1337" t="s">
        <v>146</v>
      </c>
      <c r="E1337" t="s">
        <v>27</v>
      </c>
      <c r="F1337" s="1">
        <v>3.29E-5</v>
      </c>
      <c r="G1337" s="1">
        <v>2.23E-5</v>
      </c>
      <c r="H1337" s="1">
        <v>1.1600000000000001E-5</v>
      </c>
      <c r="I1337" s="1">
        <v>3.8299999999999998E-6</v>
      </c>
      <c r="J1337" s="1">
        <v>6.9800000000000001E-6</v>
      </c>
      <c r="K1337" s="1">
        <v>2.7999999999999999E-6</v>
      </c>
      <c r="L1337" s="1">
        <v>3.2499999999999998E-6</v>
      </c>
      <c r="M1337" s="1">
        <v>2.04E-6</v>
      </c>
      <c r="N1337" s="1">
        <v>3.4200000000000002E-7</v>
      </c>
      <c r="O1337" s="1">
        <v>4.7099999999999998E-6</v>
      </c>
      <c r="P1337" s="1">
        <v>4.0000000000000003E-5</v>
      </c>
      <c r="Q1337" s="1">
        <v>5.24E-5</v>
      </c>
    </row>
    <row r="1338" spans="1:17" x14ac:dyDescent="0.25">
      <c r="A1338" t="s">
        <v>5</v>
      </c>
      <c r="B1338" t="s">
        <v>6</v>
      </c>
      <c r="C1338" t="s">
        <v>261</v>
      </c>
      <c r="D1338" t="s">
        <v>147</v>
      </c>
      <c r="E1338" t="s">
        <v>148</v>
      </c>
      <c r="F1338">
        <v>17699.089049999999</v>
      </c>
      <c r="G1338">
        <v>21010.488669999999</v>
      </c>
      <c r="H1338">
        <v>24550.389800000001</v>
      </c>
      <c r="I1338">
        <v>27083.478299999999</v>
      </c>
      <c r="J1338">
        <v>34829.21127</v>
      </c>
      <c r="K1338">
        <v>40668.060239999999</v>
      </c>
      <c r="L1338">
        <v>48139.721700000002</v>
      </c>
      <c r="M1338">
        <v>56242.322359999998</v>
      </c>
      <c r="N1338">
        <v>64434.513959999997</v>
      </c>
      <c r="O1338">
        <v>72863.129010000004</v>
      </c>
      <c r="P1338">
        <v>81568.787039999996</v>
      </c>
      <c r="Q1338">
        <v>89577.833689999999</v>
      </c>
    </row>
    <row r="1339" spans="1:17" x14ac:dyDescent="0.25">
      <c r="A1339" t="s">
        <v>5</v>
      </c>
      <c r="B1339" t="s">
        <v>6</v>
      </c>
      <c r="C1339" t="s">
        <v>261</v>
      </c>
      <c r="D1339" t="s">
        <v>149</v>
      </c>
      <c r="E1339" t="s">
        <v>148</v>
      </c>
      <c r="F1339">
        <v>288.91488409999999</v>
      </c>
      <c r="G1339">
        <v>359.19702380000001</v>
      </c>
      <c r="H1339">
        <v>430.38800400000002</v>
      </c>
      <c r="I1339">
        <v>504.17512199999999</v>
      </c>
      <c r="J1339">
        <v>632.87423020000006</v>
      </c>
      <c r="K1339">
        <v>733.48091650000003</v>
      </c>
      <c r="L1339">
        <v>847.06057920000001</v>
      </c>
      <c r="M1339">
        <v>922.00502930000005</v>
      </c>
      <c r="N1339">
        <v>964.83065199999999</v>
      </c>
      <c r="O1339">
        <v>991.85064950000003</v>
      </c>
      <c r="P1339">
        <v>1009.392444</v>
      </c>
      <c r="Q1339">
        <v>1019.936123</v>
      </c>
    </row>
    <row r="1340" spans="1:17" x14ac:dyDescent="0.25">
      <c r="A1340" t="s">
        <v>5</v>
      </c>
      <c r="B1340" t="s">
        <v>6</v>
      </c>
      <c r="C1340" t="s">
        <v>261</v>
      </c>
      <c r="D1340" t="s">
        <v>150</v>
      </c>
      <c r="E1340" t="s">
        <v>148</v>
      </c>
      <c r="F1340">
        <v>41291.839169999999</v>
      </c>
      <c r="G1340">
        <v>33677.522499999999</v>
      </c>
      <c r="H1340">
        <v>34785.593330000003</v>
      </c>
      <c r="I1340">
        <v>35193.464999999997</v>
      </c>
      <c r="J1340">
        <v>31523.99</v>
      </c>
      <c r="K1340">
        <v>32461.861669999998</v>
      </c>
      <c r="L1340">
        <v>34795.224999999999</v>
      </c>
      <c r="M1340">
        <v>37733.092499999999</v>
      </c>
      <c r="N1340">
        <v>38848.660000000003</v>
      </c>
      <c r="O1340">
        <v>39469.815000000002</v>
      </c>
      <c r="P1340">
        <v>40126.997499999998</v>
      </c>
      <c r="Q1340">
        <v>40934.56667</v>
      </c>
    </row>
    <row r="1341" spans="1:17" x14ac:dyDescent="0.25">
      <c r="A1341" t="s">
        <v>5</v>
      </c>
      <c r="B1341" t="s">
        <v>6</v>
      </c>
      <c r="C1341" t="s">
        <v>261</v>
      </c>
      <c r="D1341" t="s">
        <v>151</v>
      </c>
      <c r="E1341" t="s">
        <v>148</v>
      </c>
      <c r="F1341">
        <v>6444.7221310000004</v>
      </c>
      <c r="G1341">
        <v>7685.6590399999995</v>
      </c>
      <c r="H1341">
        <v>10040.79549</v>
      </c>
      <c r="I1341">
        <v>12870.67124</v>
      </c>
      <c r="J1341">
        <v>14499.141100000001</v>
      </c>
      <c r="K1341">
        <v>16029.02003</v>
      </c>
      <c r="L1341">
        <v>17577.397779999999</v>
      </c>
      <c r="M1341">
        <v>19157.474389999999</v>
      </c>
      <c r="N1341">
        <v>20629.962189999998</v>
      </c>
      <c r="O1341">
        <v>22004.53167</v>
      </c>
      <c r="P1341">
        <v>23240.187000000002</v>
      </c>
      <c r="Q1341">
        <v>24291.947919999999</v>
      </c>
    </row>
    <row r="1342" spans="1:17" x14ac:dyDescent="0.25">
      <c r="A1342" t="s">
        <v>5</v>
      </c>
      <c r="B1342" t="s">
        <v>6</v>
      </c>
      <c r="C1342" t="s">
        <v>261</v>
      </c>
      <c r="D1342" t="s">
        <v>152</v>
      </c>
      <c r="E1342" t="s">
        <v>148</v>
      </c>
      <c r="F1342">
        <v>0.35416190400000003</v>
      </c>
      <c r="G1342">
        <v>0.27035547799999998</v>
      </c>
      <c r="H1342">
        <v>0.207975731</v>
      </c>
      <c r="I1342">
        <v>0.184957917</v>
      </c>
      <c r="J1342">
        <v>0.163703508</v>
      </c>
      <c r="K1342">
        <v>0.16021998400000001</v>
      </c>
      <c r="L1342">
        <v>0.176617195</v>
      </c>
      <c r="M1342">
        <v>0.234381271</v>
      </c>
      <c r="N1342">
        <v>0.351332953</v>
      </c>
      <c r="O1342">
        <v>0.53762415200000002</v>
      </c>
      <c r="P1342">
        <v>0.77250874599999997</v>
      </c>
      <c r="Q1342">
        <v>0.99148953500000003</v>
      </c>
    </row>
    <row r="1343" spans="1:17" x14ac:dyDescent="0.25">
      <c r="A1343" t="s">
        <v>5</v>
      </c>
      <c r="B1343" t="s">
        <v>6</v>
      </c>
      <c r="C1343" t="s">
        <v>261</v>
      </c>
      <c r="D1343" t="s">
        <v>153</v>
      </c>
      <c r="E1343" t="s">
        <v>148</v>
      </c>
      <c r="F1343">
        <v>0.53644356500000001</v>
      </c>
      <c r="G1343">
        <v>0.61359027899999996</v>
      </c>
      <c r="H1343">
        <v>0.67893115000000004</v>
      </c>
      <c r="I1343">
        <v>0.75426172800000002</v>
      </c>
      <c r="J1343">
        <v>0.82387745700000004</v>
      </c>
      <c r="K1343">
        <v>0.95852536200000005</v>
      </c>
      <c r="L1343">
        <v>1.126834747</v>
      </c>
      <c r="M1343">
        <v>1.3346059649999999</v>
      </c>
      <c r="N1343">
        <v>1.5454359719999999</v>
      </c>
      <c r="O1343">
        <v>1.6982508160000001</v>
      </c>
      <c r="P1343">
        <v>1.84132154</v>
      </c>
      <c r="Q1343">
        <v>1.975275873</v>
      </c>
    </row>
    <row r="1344" spans="1:17" x14ac:dyDescent="0.25">
      <c r="A1344" t="s">
        <v>5</v>
      </c>
      <c r="B1344" t="s">
        <v>6</v>
      </c>
      <c r="C1344" t="s">
        <v>261</v>
      </c>
      <c r="D1344" t="s">
        <v>154</v>
      </c>
      <c r="E1344" t="s">
        <v>148</v>
      </c>
      <c r="F1344">
        <v>0.28632595900000002</v>
      </c>
      <c r="G1344">
        <v>0.49844996899999999</v>
      </c>
      <c r="H1344">
        <v>0.96905422399999996</v>
      </c>
      <c r="I1344">
        <v>0.92364227899999995</v>
      </c>
      <c r="J1344">
        <v>1.462051743</v>
      </c>
      <c r="K1344">
        <v>1.698687187</v>
      </c>
      <c r="L1344">
        <v>1.9551307170000001</v>
      </c>
      <c r="M1344">
        <v>2.2476277219999998</v>
      </c>
      <c r="N1344">
        <v>2.6472520679999998</v>
      </c>
      <c r="O1344">
        <v>3.1607592659999999</v>
      </c>
      <c r="P1344">
        <v>3.6943243059999999</v>
      </c>
      <c r="Q1344">
        <v>4.1453616750000002</v>
      </c>
    </row>
    <row r="1345" spans="1:17" x14ac:dyDescent="0.25">
      <c r="A1345" t="s">
        <v>5</v>
      </c>
      <c r="B1345" t="s">
        <v>6</v>
      </c>
      <c r="C1345" t="s">
        <v>261</v>
      </c>
      <c r="D1345" t="s">
        <v>155</v>
      </c>
      <c r="E1345" t="s">
        <v>148</v>
      </c>
      <c r="F1345">
        <v>0.86186729699999998</v>
      </c>
      <c r="G1345">
        <v>1.1161302</v>
      </c>
      <c r="H1345">
        <v>1.8347169809999999</v>
      </c>
      <c r="I1345">
        <v>2.6856121389999998</v>
      </c>
      <c r="J1345">
        <v>4.0942581860000002</v>
      </c>
      <c r="K1345">
        <v>4.3725187700000001</v>
      </c>
      <c r="L1345">
        <v>4.6075050009999998</v>
      </c>
      <c r="M1345">
        <v>4.8514901750000003</v>
      </c>
      <c r="N1345">
        <v>5.1899799959999999</v>
      </c>
      <c r="O1345">
        <v>5.6211197520000002</v>
      </c>
      <c r="P1345">
        <v>6.0475482239999998</v>
      </c>
      <c r="Q1345">
        <v>6.3919753100000003</v>
      </c>
    </row>
    <row r="1346" spans="1:17" x14ac:dyDescent="0.25">
      <c r="A1346" t="s">
        <v>5</v>
      </c>
      <c r="B1346" t="s">
        <v>6</v>
      </c>
      <c r="C1346" t="s">
        <v>261</v>
      </c>
      <c r="D1346" t="s">
        <v>156</v>
      </c>
      <c r="E1346" t="s">
        <v>148</v>
      </c>
      <c r="F1346">
        <v>2.0186534269999998</v>
      </c>
      <c r="G1346">
        <v>1.9844549650000001</v>
      </c>
      <c r="H1346">
        <v>1.966287235</v>
      </c>
      <c r="I1346">
        <v>2.0200377500000002</v>
      </c>
      <c r="J1346">
        <v>1.8589598709999999</v>
      </c>
      <c r="K1346">
        <v>1.7759001599999999</v>
      </c>
      <c r="L1346">
        <v>1.76062075</v>
      </c>
      <c r="M1346">
        <v>1.8640337629999999</v>
      </c>
      <c r="N1346">
        <v>2.1863587899999999</v>
      </c>
      <c r="O1346">
        <v>4.217476928</v>
      </c>
      <c r="P1346">
        <v>4.6255182570000004</v>
      </c>
      <c r="Q1346">
        <v>4.1912830440000004</v>
      </c>
    </row>
    <row r="1347" spans="1:17" x14ac:dyDescent="0.25">
      <c r="A1347" t="s">
        <v>5</v>
      </c>
      <c r="B1347" t="s">
        <v>6</v>
      </c>
      <c r="C1347" t="s">
        <v>261</v>
      </c>
      <c r="D1347" t="s">
        <v>157</v>
      </c>
      <c r="E1347" t="s">
        <v>158</v>
      </c>
      <c r="F1347">
        <v>2241599937</v>
      </c>
      <c r="G1347">
        <v>2886425877</v>
      </c>
      <c r="H1347">
        <v>3241986208</v>
      </c>
      <c r="I1347">
        <v>3569765297</v>
      </c>
      <c r="J1347">
        <v>3765259594</v>
      </c>
      <c r="K1347">
        <v>4142861348</v>
      </c>
      <c r="L1347">
        <v>4593934639</v>
      </c>
      <c r="M1347">
        <v>5020715624</v>
      </c>
      <c r="N1347">
        <v>5422871753</v>
      </c>
      <c r="O1347">
        <v>5805637738</v>
      </c>
      <c r="P1347">
        <v>6184714108</v>
      </c>
      <c r="Q1347">
        <v>6515272339</v>
      </c>
    </row>
    <row r="1348" spans="1:17" x14ac:dyDescent="0.25">
      <c r="A1348" t="s">
        <v>5</v>
      </c>
      <c r="B1348" t="s">
        <v>6</v>
      </c>
      <c r="C1348" t="s">
        <v>261</v>
      </c>
      <c r="D1348" t="s">
        <v>159</v>
      </c>
      <c r="E1348" t="s">
        <v>158</v>
      </c>
      <c r="F1348">
        <v>792228463.79999995</v>
      </c>
      <c r="G1348">
        <v>1048256869</v>
      </c>
      <c r="H1348">
        <v>1210302528</v>
      </c>
      <c r="I1348">
        <v>1367846809</v>
      </c>
      <c r="J1348">
        <v>1476619491</v>
      </c>
      <c r="K1348">
        <v>1659013577</v>
      </c>
      <c r="L1348">
        <v>1875438827</v>
      </c>
      <c r="M1348">
        <v>2086627964</v>
      </c>
      <c r="N1348">
        <v>2290919878</v>
      </c>
      <c r="O1348">
        <v>2489722440</v>
      </c>
      <c r="P1348">
        <v>2689273522</v>
      </c>
      <c r="Q1348">
        <v>2865491631</v>
      </c>
    </row>
    <row r="1349" spans="1:17" x14ac:dyDescent="0.25">
      <c r="A1349" t="s">
        <v>5</v>
      </c>
      <c r="B1349" t="s">
        <v>6</v>
      </c>
      <c r="C1349" t="s">
        <v>261</v>
      </c>
      <c r="D1349" t="s">
        <v>160</v>
      </c>
      <c r="E1349" t="s">
        <v>158</v>
      </c>
      <c r="F1349">
        <v>386203143</v>
      </c>
      <c r="G1349">
        <v>515217840.19999999</v>
      </c>
      <c r="H1349">
        <v>599649555.79999995</v>
      </c>
      <c r="I1349">
        <v>682681343.60000002</v>
      </c>
      <c r="J1349">
        <v>741635760.39999998</v>
      </c>
      <c r="K1349">
        <v>837863537.5</v>
      </c>
      <c r="L1349">
        <v>951886141.60000002</v>
      </c>
      <c r="M1349">
        <v>1063856625</v>
      </c>
      <c r="N1349">
        <v>1172734583</v>
      </c>
      <c r="O1349">
        <v>1279140270</v>
      </c>
      <c r="P1349">
        <v>1386217524</v>
      </c>
      <c r="Q1349">
        <v>1480995977</v>
      </c>
    </row>
    <row r="1350" spans="1:17" x14ac:dyDescent="0.25">
      <c r="A1350" t="s">
        <v>5</v>
      </c>
      <c r="B1350" t="s">
        <v>6</v>
      </c>
      <c r="C1350" t="s">
        <v>261</v>
      </c>
      <c r="D1350" t="s">
        <v>161</v>
      </c>
      <c r="E1350" t="s">
        <v>158</v>
      </c>
      <c r="F1350">
        <v>25505024.100000001</v>
      </c>
      <c r="G1350">
        <v>38040148.119999997</v>
      </c>
      <c r="H1350">
        <v>50989166.68</v>
      </c>
      <c r="I1350">
        <v>70733840.049999997</v>
      </c>
      <c r="J1350">
        <v>88494599.920000002</v>
      </c>
      <c r="K1350">
        <v>128686122.59999999</v>
      </c>
      <c r="L1350">
        <v>181831961.30000001</v>
      </c>
      <c r="M1350">
        <v>244364017</v>
      </c>
      <c r="N1350">
        <v>318508000.89999998</v>
      </c>
      <c r="O1350">
        <v>405330461.30000001</v>
      </c>
      <c r="P1350">
        <v>513283023.60000002</v>
      </c>
      <c r="Q1350">
        <v>629037366.29999995</v>
      </c>
    </row>
    <row r="1351" spans="1:17" x14ac:dyDescent="0.25">
      <c r="A1351" t="s">
        <v>5</v>
      </c>
      <c r="B1351" t="s">
        <v>6</v>
      </c>
      <c r="C1351" t="s">
        <v>261</v>
      </c>
      <c r="D1351" t="s">
        <v>162</v>
      </c>
      <c r="E1351" t="s">
        <v>158</v>
      </c>
      <c r="F1351">
        <v>30719092.190000001</v>
      </c>
      <c r="G1351">
        <v>41225296.960000001</v>
      </c>
      <c r="H1351">
        <v>51452539.590000004</v>
      </c>
      <c r="I1351">
        <v>65273500.130000003</v>
      </c>
      <c r="J1351">
        <v>77317052.430000007</v>
      </c>
      <c r="K1351">
        <v>100215337</v>
      </c>
      <c r="L1351">
        <v>127436340.90000001</v>
      </c>
      <c r="M1351">
        <v>156741503.09999999</v>
      </c>
      <c r="N1351">
        <v>188724702.69999999</v>
      </c>
      <c r="O1351">
        <v>223359009.30000001</v>
      </c>
      <c r="P1351">
        <v>263080253.80000001</v>
      </c>
      <c r="Q1351">
        <v>302781662.80000001</v>
      </c>
    </row>
    <row r="1352" spans="1:17" x14ac:dyDescent="0.25">
      <c r="A1352" t="s">
        <v>5</v>
      </c>
      <c r="B1352" t="s">
        <v>6</v>
      </c>
      <c r="C1352" t="s">
        <v>261</v>
      </c>
      <c r="D1352" t="s">
        <v>163</v>
      </c>
      <c r="E1352" t="s">
        <v>158</v>
      </c>
      <c r="F1352">
        <v>31022057.600000001</v>
      </c>
      <c r="G1352">
        <v>45117150.409999996</v>
      </c>
      <c r="H1352">
        <v>59409259.57</v>
      </c>
      <c r="I1352">
        <v>80500836.469999999</v>
      </c>
      <c r="J1352">
        <v>99188797.049999997</v>
      </c>
      <c r="K1352">
        <v>139403093.59999999</v>
      </c>
      <c r="L1352">
        <v>190425737.69999999</v>
      </c>
      <c r="M1352">
        <v>248127652.5</v>
      </c>
      <c r="N1352">
        <v>313890614.80000001</v>
      </c>
      <c r="O1352">
        <v>387817597.5</v>
      </c>
      <c r="P1352">
        <v>475611490.10000002</v>
      </c>
      <c r="Q1352">
        <v>565562790</v>
      </c>
    </row>
    <row r="1353" spans="1:17" x14ac:dyDescent="0.25">
      <c r="A1353" t="s">
        <v>5</v>
      </c>
      <c r="B1353" t="s">
        <v>6</v>
      </c>
      <c r="C1353" t="s">
        <v>261</v>
      </c>
      <c r="D1353" t="s">
        <v>164</v>
      </c>
      <c r="E1353" t="s">
        <v>158</v>
      </c>
      <c r="F1353">
        <v>441109064.80000001</v>
      </c>
      <c r="G1353">
        <v>560864254.89999998</v>
      </c>
      <c r="H1353">
        <v>673843346.60000002</v>
      </c>
      <c r="I1353">
        <v>813794480.10000002</v>
      </c>
      <c r="J1353">
        <v>934727330</v>
      </c>
      <c r="K1353">
        <v>1132571036</v>
      </c>
      <c r="L1353">
        <v>1348685053</v>
      </c>
      <c r="M1353">
        <v>1564891641</v>
      </c>
      <c r="N1353">
        <v>1783115164</v>
      </c>
      <c r="O1353">
        <v>2000575593</v>
      </c>
      <c r="P1353">
        <v>2226259749</v>
      </c>
      <c r="Q1353">
        <v>2430399571</v>
      </c>
    </row>
    <row r="1354" spans="1:17" x14ac:dyDescent="0.25">
      <c r="A1354" t="s">
        <v>5</v>
      </c>
      <c r="B1354" t="s">
        <v>6</v>
      </c>
      <c r="C1354" t="s">
        <v>261</v>
      </c>
      <c r="D1354" t="s">
        <v>165</v>
      </c>
      <c r="E1354" t="s">
        <v>166</v>
      </c>
      <c r="F1354">
        <v>15.770078180000001</v>
      </c>
      <c r="G1354">
        <v>18.720569650000002</v>
      </c>
      <c r="H1354">
        <v>21.875542469999999</v>
      </c>
      <c r="I1354">
        <v>24.133873040000001</v>
      </c>
      <c r="J1354">
        <v>31.035964929999999</v>
      </c>
      <c r="K1354">
        <v>36.237448980000003</v>
      </c>
      <c r="L1354">
        <v>42.893709809999997</v>
      </c>
      <c r="M1354">
        <v>50.112638869999998</v>
      </c>
      <c r="N1354">
        <v>57.411846879999999</v>
      </c>
      <c r="O1354">
        <v>64.921828120000001</v>
      </c>
      <c r="P1354">
        <v>72.678671859999994</v>
      </c>
      <c r="Q1354">
        <v>79.81487199</v>
      </c>
    </row>
    <row r="1355" spans="1:17" x14ac:dyDescent="0.25">
      <c r="A1355" t="s">
        <v>5</v>
      </c>
      <c r="B1355" t="s">
        <v>6</v>
      </c>
      <c r="C1355" t="s">
        <v>261</v>
      </c>
      <c r="D1355" t="s">
        <v>167</v>
      </c>
      <c r="E1355" t="s">
        <v>166</v>
      </c>
      <c r="F1355">
        <v>39.354249539999998</v>
      </c>
      <c r="G1355">
        <v>47.016956819999997</v>
      </c>
      <c r="H1355">
        <v>58.805999030000002</v>
      </c>
      <c r="I1355">
        <v>70.99317997</v>
      </c>
      <c r="J1355">
        <v>84.110077020000006</v>
      </c>
      <c r="K1355">
        <v>95.192790680000002</v>
      </c>
      <c r="L1355">
        <v>107.9306703</v>
      </c>
      <c r="M1355">
        <v>121.0644982</v>
      </c>
      <c r="N1355">
        <v>133.6689619</v>
      </c>
      <c r="O1355">
        <v>146.04068240000001</v>
      </c>
      <c r="P1355">
        <v>158.1295533</v>
      </c>
      <c r="Q1355">
        <v>168.9252864</v>
      </c>
    </row>
    <row r="1356" spans="1:17" x14ac:dyDescent="0.25">
      <c r="A1356" t="s">
        <v>5</v>
      </c>
      <c r="B1356" t="s">
        <v>6</v>
      </c>
      <c r="C1356" t="s">
        <v>261</v>
      </c>
      <c r="D1356" t="s">
        <v>168</v>
      </c>
      <c r="E1356" t="s">
        <v>166</v>
      </c>
      <c r="F1356">
        <v>0.94802344999999999</v>
      </c>
      <c r="G1356">
        <v>1.063899519</v>
      </c>
      <c r="H1356">
        <v>1.163532341</v>
      </c>
      <c r="I1356">
        <v>1.2858743829999999</v>
      </c>
      <c r="J1356">
        <v>1.398870732</v>
      </c>
      <c r="K1356">
        <v>1.6232080250000001</v>
      </c>
      <c r="L1356">
        <v>1.9069901499999999</v>
      </c>
      <c r="M1356">
        <v>2.2638912119999999</v>
      </c>
      <c r="N1356">
        <v>2.6365355579999998</v>
      </c>
      <c r="O1356">
        <v>2.9259094060000002</v>
      </c>
      <c r="P1356">
        <v>3.211580305</v>
      </c>
      <c r="Q1356">
        <v>3.485439639</v>
      </c>
    </row>
    <row r="1357" spans="1:17" x14ac:dyDescent="0.25">
      <c r="A1357" t="s">
        <v>5</v>
      </c>
      <c r="B1357" t="s">
        <v>6</v>
      </c>
      <c r="C1357" t="s">
        <v>261</v>
      </c>
      <c r="D1357" t="s">
        <v>169</v>
      </c>
      <c r="E1357" t="s">
        <v>166</v>
      </c>
      <c r="F1357">
        <v>8.9948949999999993E-3</v>
      </c>
      <c r="G1357">
        <v>1.2344256E-2</v>
      </c>
      <c r="H1357">
        <v>2.1107589E-2</v>
      </c>
      <c r="I1357">
        <v>2.8199795E-2</v>
      </c>
      <c r="J1357">
        <v>4.3285043000000002E-2</v>
      </c>
      <c r="K1357">
        <v>4.6974996999999998E-2</v>
      </c>
      <c r="L1357">
        <v>5.0399632E-2</v>
      </c>
      <c r="M1357">
        <v>5.4098388999999997E-2</v>
      </c>
      <c r="N1357">
        <v>5.9196198999999998E-2</v>
      </c>
      <c r="O1357">
        <v>6.5713882000000001E-2</v>
      </c>
      <c r="P1357">
        <v>7.2300244999999999E-2</v>
      </c>
      <c r="Q1357">
        <v>7.7729481000000003E-2</v>
      </c>
    </row>
    <row r="1358" spans="1:17" x14ac:dyDescent="0.25">
      <c r="A1358" t="s">
        <v>5</v>
      </c>
      <c r="B1358" t="s">
        <v>6</v>
      </c>
      <c r="C1358" t="s">
        <v>261</v>
      </c>
      <c r="D1358" t="s">
        <v>170</v>
      </c>
      <c r="E1358" t="s">
        <v>166</v>
      </c>
      <c r="F1358">
        <v>3.184821254</v>
      </c>
      <c r="G1358">
        <v>3.6036517350000001</v>
      </c>
      <c r="H1358">
        <v>3.9646186600000002</v>
      </c>
      <c r="I1358">
        <v>4.3604040639999999</v>
      </c>
      <c r="J1358">
        <v>4.5198738599999997</v>
      </c>
      <c r="K1358">
        <v>4.9364208300000003</v>
      </c>
      <c r="L1358">
        <v>5.6326441479999998</v>
      </c>
      <c r="M1358">
        <v>6.9235414510000002</v>
      </c>
      <c r="N1358">
        <v>9.5381622089999993</v>
      </c>
      <c r="O1358">
        <v>22.578300890000001</v>
      </c>
      <c r="P1358">
        <v>28.04966568</v>
      </c>
      <c r="Q1358">
        <v>28.097963060000001</v>
      </c>
    </row>
    <row r="1359" spans="1:17" x14ac:dyDescent="0.25">
      <c r="A1359" t="s">
        <v>5</v>
      </c>
      <c r="B1359" t="s">
        <v>6</v>
      </c>
      <c r="C1359" t="s">
        <v>261</v>
      </c>
      <c r="D1359" t="s">
        <v>171</v>
      </c>
      <c r="E1359" t="s">
        <v>166</v>
      </c>
      <c r="F1359">
        <v>2.4094637639999998</v>
      </c>
      <c r="G1359">
        <v>2.8602643830000001</v>
      </c>
      <c r="H1359">
        <v>3.342330139</v>
      </c>
      <c r="I1359">
        <v>3.6874060239999999</v>
      </c>
      <c r="J1359">
        <v>4.7419700520000001</v>
      </c>
      <c r="K1359">
        <v>5.5366618829999998</v>
      </c>
      <c r="L1359">
        <v>6.5536229109999997</v>
      </c>
      <c r="M1359">
        <v>7.6565658919999997</v>
      </c>
      <c r="N1359">
        <v>8.7717869569999998</v>
      </c>
      <c r="O1359">
        <v>9.9192147960000003</v>
      </c>
      <c r="P1359">
        <v>11.104362160000001</v>
      </c>
      <c r="Q1359">
        <v>12.194719620000001</v>
      </c>
    </row>
    <row r="1360" spans="1:17" x14ac:dyDescent="0.25">
      <c r="A1360" t="s">
        <v>5</v>
      </c>
      <c r="B1360" t="s">
        <v>6</v>
      </c>
      <c r="C1360" t="s">
        <v>261</v>
      </c>
      <c r="D1360" t="s">
        <v>172</v>
      </c>
      <c r="E1360" t="s">
        <v>166</v>
      </c>
      <c r="F1360">
        <v>4.624779309</v>
      </c>
      <c r="G1360">
        <v>5.4262952210000002</v>
      </c>
      <c r="H1360">
        <v>6.5253727650000002</v>
      </c>
      <c r="I1360">
        <v>7.5571872859999996</v>
      </c>
      <c r="J1360">
        <v>9.2128696730000001</v>
      </c>
      <c r="K1360">
        <v>10.556983349999999</v>
      </c>
      <c r="L1360">
        <v>12.17568442</v>
      </c>
      <c r="M1360">
        <v>13.78540871</v>
      </c>
      <c r="N1360">
        <v>15.288543089999999</v>
      </c>
      <c r="O1360">
        <v>16.76063375</v>
      </c>
      <c r="P1360">
        <v>18.2206808</v>
      </c>
      <c r="Q1360">
        <v>19.535421710000001</v>
      </c>
    </row>
    <row r="1361" spans="1:17" x14ac:dyDescent="0.25">
      <c r="A1361" t="s">
        <v>5</v>
      </c>
      <c r="B1361" t="s">
        <v>6</v>
      </c>
      <c r="C1361" t="s">
        <v>261</v>
      </c>
      <c r="D1361" t="s">
        <v>173</v>
      </c>
      <c r="E1361" t="s">
        <v>166</v>
      </c>
      <c r="F1361">
        <v>7.9289251000000005E-2</v>
      </c>
      <c r="G1361">
        <v>8.0044462999999996E-2</v>
      </c>
      <c r="H1361">
        <v>8.1441151000000003E-2</v>
      </c>
      <c r="I1361">
        <v>8.6937164999999997E-2</v>
      </c>
      <c r="J1361">
        <v>9.1989316000000002E-2</v>
      </c>
      <c r="K1361">
        <v>0.104764155</v>
      </c>
      <c r="L1361">
        <v>0.12246119799999999</v>
      </c>
      <c r="M1361">
        <v>0.147646319</v>
      </c>
      <c r="N1361">
        <v>0.178500252</v>
      </c>
      <c r="O1361">
        <v>0.21051367500000001</v>
      </c>
      <c r="P1361">
        <v>0.24761345700000001</v>
      </c>
      <c r="Q1361">
        <v>0.28503256999999999</v>
      </c>
    </row>
    <row r="1362" spans="1:17" x14ac:dyDescent="0.25">
      <c r="A1362" t="s">
        <v>5</v>
      </c>
      <c r="B1362" t="s">
        <v>6</v>
      </c>
      <c r="C1362" t="s">
        <v>261</v>
      </c>
      <c r="D1362" t="s">
        <v>174</v>
      </c>
      <c r="E1362" t="s">
        <v>166</v>
      </c>
      <c r="F1362">
        <v>6.7961427000000005E-2</v>
      </c>
      <c r="G1362">
        <v>9.3267712000000003E-2</v>
      </c>
      <c r="H1362">
        <v>0.15947955999999999</v>
      </c>
      <c r="I1362">
        <v>0.213065116</v>
      </c>
      <c r="J1362">
        <v>0.32704254300000002</v>
      </c>
      <c r="K1362">
        <v>0.35492220200000002</v>
      </c>
      <c r="L1362">
        <v>0.38079721700000002</v>
      </c>
      <c r="M1362">
        <v>0.40874338399999999</v>
      </c>
      <c r="N1362">
        <v>0.44726017000000001</v>
      </c>
      <c r="O1362">
        <v>0.49650488300000001</v>
      </c>
      <c r="P1362">
        <v>0.54626851799999998</v>
      </c>
      <c r="Q1362">
        <v>0.58728941300000004</v>
      </c>
    </row>
    <row r="1363" spans="1:17" x14ac:dyDescent="0.25">
      <c r="A1363" t="s">
        <v>5</v>
      </c>
      <c r="B1363" t="s">
        <v>6</v>
      </c>
      <c r="C1363" t="s">
        <v>261</v>
      </c>
      <c r="D1363" t="s">
        <v>175</v>
      </c>
      <c r="E1363" t="s">
        <v>166</v>
      </c>
      <c r="F1363">
        <v>3.4998036000000003E-2</v>
      </c>
      <c r="G1363">
        <v>3.9600569000000002E-2</v>
      </c>
      <c r="H1363">
        <v>4.3567238000000001E-2</v>
      </c>
      <c r="I1363">
        <v>4.7916528E-2</v>
      </c>
      <c r="J1363">
        <v>4.9668944E-2</v>
      </c>
      <c r="K1363">
        <v>5.4246383000000002E-2</v>
      </c>
      <c r="L1363">
        <v>6.1897187999999999E-2</v>
      </c>
      <c r="M1363">
        <v>7.6082872999999995E-2</v>
      </c>
      <c r="N1363">
        <v>0.10481496899999999</v>
      </c>
      <c r="O1363">
        <v>0.24811319700000001</v>
      </c>
      <c r="P1363">
        <v>0.30823808400000002</v>
      </c>
      <c r="Q1363">
        <v>0.30876882500000002</v>
      </c>
    </row>
    <row r="1364" spans="1:17" x14ac:dyDescent="0.25">
      <c r="A1364" t="s">
        <v>5</v>
      </c>
      <c r="B1364" t="s">
        <v>6</v>
      </c>
      <c r="C1364" t="s">
        <v>261</v>
      </c>
      <c r="D1364" t="s">
        <v>176</v>
      </c>
      <c r="E1364" t="s">
        <v>166</v>
      </c>
      <c r="F1364">
        <v>0.45927708900000003</v>
      </c>
      <c r="G1364">
        <v>0.54520868600000005</v>
      </c>
      <c r="H1364">
        <v>0.63712970999999996</v>
      </c>
      <c r="I1364">
        <v>0.70294962500000002</v>
      </c>
      <c r="J1364">
        <v>0.90398642900000004</v>
      </c>
      <c r="K1364">
        <v>1.055429634</v>
      </c>
      <c r="L1364">
        <v>1.249237162</v>
      </c>
      <c r="M1364">
        <v>1.459451982</v>
      </c>
      <c r="N1364">
        <v>1.6720239299999999</v>
      </c>
      <c r="O1364">
        <v>1.8907394310000001</v>
      </c>
      <c r="P1364">
        <v>2.1166463169999998</v>
      </c>
      <c r="Q1364">
        <v>2.3245104049999998</v>
      </c>
    </row>
    <row r="1365" spans="1:17" x14ac:dyDescent="0.25">
      <c r="A1365" t="s">
        <v>5</v>
      </c>
      <c r="B1365" t="s">
        <v>6</v>
      </c>
      <c r="C1365" t="s">
        <v>261</v>
      </c>
      <c r="D1365" t="s">
        <v>177</v>
      </c>
      <c r="E1365" t="s">
        <v>166</v>
      </c>
      <c r="F1365">
        <v>0.64454586199999997</v>
      </c>
      <c r="G1365">
        <v>0.76767329100000004</v>
      </c>
      <c r="H1365">
        <v>0.92843428500000003</v>
      </c>
      <c r="I1365">
        <v>1.0742394529999999</v>
      </c>
      <c r="J1365">
        <v>1.32352922</v>
      </c>
      <c r="K1365">
        <v>1.5207156040000001</v>
      </c>
      <c r="L1365">
        <v>1.761748163</v>
      </c>
      <c r="M1365">
        <v>2.020671729</v>
      </c>
      <c r="N1365">
        <v>2.2806383829999999</v>
      </c>
      <c r="O1365">
        <v>2.5446944789999999</v>
      </c>
      <c r="P1365">
        <v>2.8118870399999998</v>
      </c>
      <c r="Q1365">
        <v>3.055220464</v>
      </c>
    </row>
    <row r="1366" spans="1:17" x14ac:dyDescent="0.25">
      <c r="A1366" t="s">
        <v>5</v>
      </c>
      <c r="B1366" t="s">
        <v>6</v>
      </c>
      <c r="C1366" t="s">
        <v>261</v>
      </c>
      <c r="D1366" t="s">
        <v>178</v>
      </c>
      <c r="E1366" t="s">
        <v>166</v>
      </c>
      <c r="F1366">
        <v>1.5449350000000001E-3</v>
      </c>
      <c r="G1366">
        <v>1.7213739999999999E-3</v>
      </c>
      <c r="H1366">
        <v>1.8777570000000001E-3</v>
      </c>
      <c r="I1366">
        <v>2.0757750000000002E-3</v>
      </c>
      <c r="J1366">
        <v>2.2573049999999998E-3</v>
      </c>
      <c r="K1366">
        <v>2.6227389999999998E-3</v>
      </c>
      <c r="L1366">
        <v>3.0911910000000001E-3</v>
      </c>
      <c r="M1366">
        <v>3.701663E-3</v>
      </c>
      <c r="N1366">
        <v>4.3767370000000003E-3</v>
      </c>
      <c r="O1366">
        <v>4.9851979999999997E-3</v>
      </c>
      <c r="P1366">
        <v>5.6976450000000003E-3</v>
      </c>
      <c r="Q1366">
        <v>6.5078870000000004E-3</v>
      </c>
    </row>
    <row r="1367" spans="1:17" x14ac:dyDescent="0.25">
      <c r="A1367" t="s">
        <v>5</v>
      </c>
      <c r="B1367" t="s">
        <v>6</v>
      </c>
      <c r="C1367" t="s">
        <v>261</v>
      </c>
      <c r="D1367" t="s">
        <v>179</v>
      </c>
      <c r="E1367" t="s">
        <v>166</v>
      </c>
      <c r="F1367" s="1">
        <v>7.9800000000000002E-5</v>
      </c>
      <c r="G1367">
        <v>1.3885199999999999E-4</v>
      </c>
      <c r="H1367">
        <v>2.6994600000000002E-4</v>
      </c>
      <c r="I1367">
        <v>2.5729600000000001E-4</v>
      </c>
      <c r="J1367">
        <v>4.0727899999999997E-4</v>
      </c>
      <c r="K1367">
        <v>4.7319799999999998E-4</v>
      </c>
      <c r="L1367">
        <v>5.4463500000000002E-4</v>
      </c>
      <c r="M1367">
        <v>6.2611399999999999E-4</v>
      </c>
      <c r="N1367">
        <v>7.3743699999999997E-4</v>
      </c>
      <c r="O1367">
        <v>8.8048300000000005E-4</v>
      </c>
      <c r="P1367">
        <v>1.0291160000000001E-3</v>
      </c>
      <c r="Q1367">
        <v>1.1547599999999999E-3</v>
      </c>
    </row>
    <row r="1368" spans="1:17" x14ac:dyDescent="0.25">
      <c r="A1368" t="s">
        <v>5</v>
      </c>
      <c r="B1368" t="s">
        <v>6</v>
      </c>
      <c r="C1368" t="s">
        <v>261</v>
      </c>
      <c r="D1368" t="s">
        <v>180</v>
      </c>
      <c r="E1368" t="s">
        <v>166</v>
      </c>
      <c r="F1368">
        <v>3.4998036000000003E-2</v>
      </c>
      <c r="G1368">
        <v>3.9600569000000002E-2</v>
      </c>
      <c r="H1368">
        <v>4.3567238000000001E-2</v>
      </c>
      <c r="I1368">
        <v>4.7916528E-2</v>
      </c>
      <c r="J1368">
        <v>4.9668944E-2</v>
      </c>
      <c r="K1368">
        <v>5.4246383000000002E-2</v>
      </c>
      <c r="L1368">
        <v>6.1897187999999999E-2</v>
      </c>
      <c r="M1368">
        <v>7.6082872999999995E-2</v>
      </c>
      <c r="N1368">
        <v>0.10481496899999999</v>
      </c>
      <c r="O1368">
        <v>0.24811319700000001</v>
      </c>
      <c r="P1368">
        <v>0.30823808400000002</v>
      </c>
      <c r="Q1368">
        <v>0.30876882500000002</v>
      </c>
    </row>
    <row r="1369" spans="1:17" x14ac:dyDescent="0.25">
      <c r="A1369" t="s">
        <v>5</v>
      </c>
      <c r="B1369" t="s">
        <v>6</v>
      </c>
      <c r="C1369" t="s">
        <v>261</v>
      </c>
      <c r="D1369" t="s">
        <v>181</v>
      </c>
      <c r="E1369" t="s">
        <v>166</v>
      </c>
      <c r="F1369">
        <v>0.66281482000000003</v>
      </c>
      <c r="G1369">
        <v>0.78682389699999999</v>
      </c>
      <c r="H1369">
        <v>0.919425767</v>
      </c>
      <c r="I1369">
        <v>1.0143406020000001</v>
      </c>
      <c r="J1369">
        <v>1.3044333029999999</v>
      </c>
      <c r="K1369">
        <v>1.5230529530000001</v>
      </c>
      <c r="L1369">
        <v>1.8028169919999999</v>
      </c>
      <c r="M1369">
        <v>2.1062289860000001</v>
      </c>
      <c r="N1369">
        <v>2.4130142170000002</v>
      </c>
      <c r="O1369">
        <v>2.7286579889999998</v>
      </c>
      <c r="P1369">
        <v>3.05467742</v>
      </c>
      <c r="Q1369">
        <v>3.3546126850000002</v>
      </c>
    </row>
    <row r="1370" spans="1:17" x14ac:dyDescent="0.25">
      <c r="A1370" t="s">
        <v>5</v>
      </c>
      <c r="B1370" t="s">
        <v>6</v>
      </c>
      <c r="C1370" t="s">
        <v>261</v>
      </c>
      <c r="D1370" t="s">
        <v>182</v>
      </c>
      <c r="E1370" t="s">
        <v>166</v>
      </c>
      <c r="F1370">
        <v>0.904923598</v>
      </c>
      <c r="G1370">
        <v>1.081407934</v>
      </c>
      <c r="H1370">
        <v>1.2932497249999999</v>
      </c>
      <c r="I1370">
        <v>1.477221976</v>
      </c>
      <c r="J1370">
        <v>1.846587081</v>
      </c>
      <c r="K1370">
        <v>2.1339719719999999</v>
      </c>
      <c r="L1370">
        <v>2.4874657670000002</v>
      </c>
      <c r="M1370">
        <v>2.8525045069999999</v>
      </c>
      <c r="N1370">
        <v>3.207711583</v>
      </c>
      <c r="O1370">
        <v>3.5642795010000001</v>
      </c>
      <c r="P1370">
        <v>3.9249061969999999</v>
      </c>
      <c r="Q1370">
        <v>4.2528537499999999</v>
      </c>
    </row>
    <row r="1371" spans="1:17" x14ac:dyDescent="0.25">
      <c r="A1371" t="s">
        <v>5</v>
      </c>
      <c r="B1371" t="s">
        <v>6</v>
      </c>
      <c r="C1371" t="s">
        <v>261</v>
      </c>
      <c r="D1371" t="s">
        <v>183</v>
      </c>
      <c r="E1371" t="s">
        <v>166</v>
      </c>
      <c r="F1371">
        <v>3.3043900000000003E-4</v>
      </c>
      <c r="G1371">
        <v>2.5486600000000002E-4</v>
      </c>
      <c r="H1371">
        <v>2.04398E-4</v>
      </c>
      <c r="I1371">
        <v>1.9247900000000001E-4</v>
      </c>
      <c r="J1371">
        <v>1.79402E-4</v>
      </c>
      <c r="K1371">
        <v>1.9067699999999999E-4</v>
      </c>
      <c r="L1371">
        <v>2.3024800000000001E-4</v>
      </c>
      <c r="M1371">
        <v>3.40842E-4</v>
      </c>
      <c r="N1371">
        <v>5.56932E-4</v>
      </c>
      <c r="O1371">
        <v>9.2590399999999996E-4</v>
      </c>
      <c r="P1371">
        <v>1.499245E-3</v>
      </c>
      <c r="Q1371">
        <v>2.237864E-3</v>
      </c>
    </row>
    <row r="1372" spans="1:17" x14ac:dyDescent="0.25">
      <c r="A1372" t="s">
        <v>5</v>
      </c>
      <c r="B1372" t="s">
        <v>6</v>
      </c>
      <c r="C1372" t="s">
        <v>261</v>
      </c>
      <c r="D1372" t="s">
        <v>184</v>
      </c>
      <c r="E1372" t="s">
        <v>166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0.25">
      <c r="A1373" t="s">
        <v>5</v>
      </c>
      <c r="B1373" t="s">
        <v>6</v>
      </c>
      <c r="C1373" t="s">
        <v>261</v>
      </c>
      <c r="D1373" t="s">
        <v>185</v>
      </c>
      <c r="E1373" t="s">
        <v>166</v>
      </c>
      <c r="F1373">
        <v>2.099882E-3</v>
      </c>
      <c r="G1373">
        <v>2.376034E-3</v>
      </c>
      <c r="H1373">
        <v>2.6140339999999999E-3</v>
      </c>
      <c r="I1373">
        <v>2.8749919999999998E-3</v>
      </c>
      <c r="J1373">
        <v>2.9801369999999999E-3</v>
      </c>
      <c r="K1373">
        <v>3.2547829999999998E-3</v>
      </c>
      <c r="L1373">
        <v>3.7138309999999999E-3</v>
      </c>
      <c r="M1373">
        <v>4.5649719999999996E-3</v>
      </c>
      <c r="N1373">
        <v>6.2888980000000002E-3</v>
      </c>
      <c r="O1373">
        <v>1.4886791999999999E-2</v>
      </c>
      <c r="P1373">
        <v>1.8494284999999999E-2</v>
      </c>
      <c r="Q1373">
        <v>1.8526128999999999E-2</v>
      </c>
    </row>
    <row r="1374" spans="1:17" x14ac:dyDescent="0.25">
      <c r="A1374" t="s">
        <v>5</v>
      </c>
      <c r="B1374" t="s">
        <v>6</v>
      </c>
      <c r="C1374" t="s">
        <v>261</v>
      </c>
      <c r="D1374" t="s">
        <v>186</v>
      </c>
      <c r="E1374" t="s">
        <v>166</v>
      </c>
      <c r="F1374">
        <v>3.1051370650000001</v>
      </c>
      <c r="G1374">
        <v>3.6860911550000002</v>
      </c>
      <c r="H1374">
        <v>4.3073610809999998</v>
      </c>
      <c r="I1374">
        <v>4.7521013339999998</v>
      </c>
      <c r="J1374">
        <v>6.1111498319999997</v>
      </c>
      <c r="K1374">
        <v>7.1352691930000001</v>
      </c>
      <c r="L1374">
        <v>8.4458324670000007</v>
      </c>
      <c r="M1374">
        <v>9.8672128069999996</v>
      </c>
      <c r="N1374">
        <v>11.30442438</v>
      </c>
      <c r="O1374">
        <v>12.783143669999999</v>
      </c>
      <c r="P1374">
        <v>14.3104712</v>
      </c>
      <c r="Q1374">
        <v>15.715603679999999</v>
      </c>
    </row>
    <row r="1375" spans="1:17" x14ac:dyDescent="0.25">
      <c r="A1375" t="s">
        <v>5</v>
      </c>
      <c r="B1375" t="s">
        <v>6</v>
      </c>
      <c r="C1375" t="s">
        <v>261</v>
      </c>
      <c r="D1375" t="s">
        <v>187</v>
      </c>
      <c r="E1375" t="s">
        <v>166</v>
      </c>
      <c r="F1375">
        <v>6.7620722459999998</v>
      </c>
      <c r="G1375">
        <v>8.0564931630000007</v>
      </c>
      <c r="H1375">
        <v>9.9932944169999995</v>
      </c>
      <c r="I1375">
        <v>11.94961996</v>
      </c>
      <c r="J1375">
        <v>14.263874210000001</v>
      </c>
      <c r="K1375">
        <v>16.19317075</v>
      </c>
      <c r="L1375">
        <v>18.4430589</v>
      </c>
      <c r="M1375">
        <v>20.774668699999999</v>
      </c>
      <c r="N1375">
        <v>23.025453880000001</v>
      </c>
      <c r="O1375">
        <v>25.249375700000002</v>
      </c>
      <c r="P1375">
        <v>27.441069550000002</v>
      </c>
      <c r="Q1375">
        <v>29.407623619999999</v>
      </c>
    </row>
    <row r="1376" spans="1:17" x14ac:dyDescent="0.25">
      <c r="A1376" t="s">
        <v>5</v>
      </c>
      <c r="B1376" t="s">
        <v>6</v>
      </c>
      <c r="C1376" t="s">
        <v>261</v>
      </c>
      <c r="D1376" t="s">
        <v>188</v>
      </c>
      <c r="E1376" t="s">
        <v>166</v>
      </c>
      <c r="F1376">
        <v>1.865687E-3</v>
      </c>
      <c r="G1376">
        <v>1.4288479999999999E-3</v>
      </c>
      <c r="H1376">
        <v>1.1139500000000001E-3</v>
      </c>
      <c r="I1376">
        <v>1.0096389999999999E-3</v>
      </c>
      <c r="J1376">
        <v>9.0964699999999997E-4</v>
      </c>
      <c r="K1376">
        <v>9.1704899999999997E-4</v>
      </c>
      <c r="L1376">
        <v>1.046461E-3</v>
      </c>
      <c r="M1376">
        <v>1.451283E-3</v>
      </c>
      <c r="N1376">
        <v>2.2570300000000001E-3</v>
      </c>
      <c r="O1376">
        <v>3.5844050000000001E-3</v>
      </c>
      <c r="P1376">
        <v>5.4497210000000003E-3</v>
      </c>
      <c r="Q1376">
        <v>7.5505980000000004E-3</v>
      </c>
    </row>
    <row r="1377" spans="1:17" x14ac:dyDescent="0.25">
      <c r="A1377" t="s">
        <v>5</v>
      </c>
      <c r="B1377" t="s">
        <v>6</v>
      </c>
      <c r="C1377" t="s">
        <v>261</v>
      </c>
      <c r="D1377" t="s">
        <v>189</v>
      </c>
      <c r="E1377" t="s">
        <v>166</v>
      </c>
      <c r="F1377">
        <v>5.2470219999999996E-3</v>
      </c>
      <c r="G1377">
        <v>7.2008159999999996E-3</v>
      </c>
      <c r="H1377">
        <v>1.2312760000000001E-2</v>
      </c>
      <c r="I1377">
        <v>1.644988E-2</v>
      </c>
      <c r="J1377">
        <v>2.5249608E-2</v>
      </c>
      <c r="K1377">
        <v>2.7402082000000001E-2</v>
      </c>
      <c r="L1377">
        <v>2.9399785000000001E-2</v>
      </c>
      <c r="M1377">
        <v>3.1557394000000002E-2</v>
      </c>
      <c r="N1377">
        <v>3.4531116000000001E-2</v>
      </c>
      <c r="O1377">
        <v>3.8333098000000003E-2</v>
      </c>
      <c r="P1377">
        <v>4.2175142999999998E-2</v>
      </c>
      <c r="Q1377">
        <v>4.5342197000000001E-2</v>
      </c>
    </row>
    <row r="1378" spans="1:17" x14ac:dyDescent="0.25">
      <c r="A1378" t="s">
        <v>5</v>
      </c>
      <c r="B1378" t="s">
        <v>6</v>
      </c>
      <c r="C1378" t="s">
        <v>261</v>
      </c>
      <c r="D1378" t="s">
        <v>190</v>
      </c>
      <c r="E1378" t="s">
        <v>166</v>
      </c>
      <c r="F1378">
        <v>6.9996072000000006E-2</v>
      </c>
      <c r="G1378">
        <v>7.9201137000000005E-2</v>
      </c>
      <c r="H1378">
        <v>8.7134476000000002E-2</v>
      </c>
      <c r="I1378">
        <v>9.5833056E-2</v>
      </c>
      <c r="J1378">
        <v>9.9337887E-2</v>
      </c>
      <c r="K1378">
        <v>0.108492765</v>
      </c>
      <c r="L1378">
        <v>0.123794377</v>
      </c>
      <c r="M1378">
        <v>0.15216574599999999</v>
      </c>
      <c r="N1378">
        <v>0.20962993899999999</v>
      </c>
      <c r="O1378">
        <v>0.49622639299999999</v>
      </c>
      <c r="P1378">
        <v>0.61647616900000002</v>
      </c>
      <c r="Q1378">
        <v>0.61753765000000005</v>
      </c>
    </row>
    <row r="1379" spans="1:17" x14ac:dyDescent="0.25">
      <c r="A1379" t="s">
        <v>5</v>
      </c>
      <c r="B1379" t="s">
        <v>6</v>
      </c>
      <c r="C1379" t="s">
        <v>261</v>
      </c>
      <c r="D1379" t="s">
        <v>191</v>
      </c>
      <c r="E1379" t="s">
        <v>166</v>
      </c>
      <c r="F1379">
        <v>163.7700686</v>
      </c>
      <c r="G1379">
        <v>214.5594633</v>
      </c>
      <c r="H1379">
        <v>245.29402529999999</v>
      </c>
      <c r="I1379">
        <v>274.69417650000003</v>
      </c>
      <c r="J1379">
        <v>294.16561589999998</v>
      </c>
      <c r="K1379">
        <v>328.15268379999998</v>
      </c>
      <c r="L1379">
        <v>368.56210490000001</v>
      </c>
      <c r="M1379">
        <v>407.63470239999998</v>
      </c>
      <c r="N1379">
        <v>445.14433989999998</v>
      </c>
      <c r="O1379">
        <v>481.41564140000003</v>
      </c>
      <c r="P1379">
        <v>517.68577059999996</v>
      </c>
      <c r="Q1379">
        <v>549.60234700000001</v>
      </c>
    </row>
    <row r="1380" spans="1:17" x14ac:dyDescent="0.25">
      <c r="A1380" t="s">
        <v>5</v>
      </c>
      <c r="B1380" t="s">
        <v>6</v>
      </c>
      <c r="C1380" t="s">
        <v>261</v>
      </c>
      <c r="D1380" t="s">
        <v>192</v>
      </c>
      <c r="E1380" t="s">
        <v>166</v>
      </c>
      <c r="F1380">
        <v>45.853872260000003</v>
      </c>
      <c r="G1380">
        <v>59.469351709999998</v>
      </c>
      <c r="H1380">
        <v>72.523768129999993</v>
      </c>
      <c r="I1380">
        <v>89.405307320000006</v>
      </c>
      <c r="J1380">
        <v>104.0990517</v>
      </c>
      <c r="K1380">
        <v>130.19560580000001</v>
      </c>
      <c r="L1380">
        <v>160.27964879999999</v>
      </c>
      <c r="M1380">
        <v>191.90608710000001</v>
      </c>
      <c r="N1380">
        <v>225.59280100000001</v>
      </c>
      <c r="O1380">
        <v>261.18277110000002</v>
      </c>
      <c r="P1380">
        <v>300.8506668</v>
      </c>
      <c r="Q1380">
        <v>339.42614029999999</v>
      </c>
    </row>
    <row r="1381" spans="1:17" x14ac:dyDescent="0.25">
      <c r="A1381" t="s">
        <v>5</v>
      </c>
      <c r="B1381" t="s">
        <v>6</v>
      </c>
      <c r="C1381" t="s">
        <v>261</v>
      </c>
      <c r="D1381" t="s">
        <v>193</v>
      </c>
      <c r="E1381" t="s">
        <v>166</v>
      </c>
      <c r="F1381">
        <v>9.5376556140000002</v>
      </c>
      <c r="G1381">
        <v>12.34475351</v>
      </c>
      <c r="H1381">
        <v>13.939681999999999</v>
      </c>
      <c r="I1381">
        <v>15.428400269999999</v>
      </c>
      <c r="J1381">
        <v>16.349712100000001</v>
      </c>
      <c r="K1381">
        <v>18.066753590000001</v>
      </c>
      <c r="L1381">
        <v>20.1145979</v>
      </c>
      <c r="M1381">
        <v>22.066637780000001</v>
      </c>
      <c r="N1381">
        <v>23.917976209999999</v>
      </c>
      <c r="O1381">
        <v>25.689888549999999</v>
      </c>
      <c r="P1381">
        <v>27.45073232</v>
      </c>
      <c r="Q1381">
        <v>28.99118511</v>
      </c>
    </row>
    <row r="1382" spans="1:17" x14ac:dyDescent="0.25">
      <c r="A1382" t="s">
        <v>5</v>
      </c>
      <c r="B1382" t="s">
        <v>6</v>
      </c>
      <c r="C1382" t="s">
        <v>261</v>
      </c>
      <c r="D1382" t="s">
        <v>194</v>
      </c>
      <c r="E1382" t="s">
        <v>166</v>
      </c>
      <c r="F1382">
        <v>2.903714516</v>
      </c>
      <c r="G1382">
        <v>3.742262663</v>
      </c>
      <c r="H1382">
        <v>4.5422210300000003</v>
      </c>
      <c r="I1382">
        <v>5.5633766160000002</v>
      </c>
      <c r="J1382">
        <v>6.4501068100000003</v>
      </c>
      <c r="K1382">
        <v>7.9878410339999997</v>
      </c>
      <c r="L1382">
        <v>9.7335334580000001</v>
      </c>
      <c r="M1382">
        <v>11.5435205</v>
      </c>
      <c r="N1382">
        <v>13.44355079</v>
      </c>
      <c r="O1382">
        <v>15.42043565</v>
      </c>
      <c r="P1382">
        <v>17.584674069999998</v>
      </c>
      <c r="Q1382">
        <v>19.652947900000001</v>
      </c>
    </row>
    <row r="1383" spans="1:17" x14ac:dyDescent="0.25">
      <c r="A1383" t="s">
        <v>5</v>
      </c>
      <c r="B1383" t="s">
        <v>6</v>
      </c>
      <c r="C1383" t="s">
        <v>261</v>
      </c>
      <c r="D1383" t="s">
        <v>195</v>
      </c>
      <c r="E1383" t="s">
        <v>166</v>
      </c>
      <c r="F1383">
        <v>3.9743190240000001</v>
      </c>
      <c r="G1383">
        <v>5.121097067</v>
      </c>
      <c r="H1383">
        <v>5.756042044</v>
      </c>
      <c r="I1383">
        <v>6.3423951929999998</v>
      </c>
      <c r="J1383">
        <v>6.6939575050000002</v>
      </c>
      <c r="K1383">
        <v>7.3695495009999998</v>
      </c>
      <c r="L1383">
        <v>8.1764121969999994</v>
      </c>
      <c r="M1383">
        <v>8.9406232059999997</v>
      </c>
      <c r="N1383">
        <v>9.6614002059999997</v>
      </c>
      <c r="O1383">
        <v>10.347969040000001</v>
      </c>
      <c r="P1383">
        <v>11.028252520000001</v>
      </c>
      <c r="Q1383">
        <v>11.62174186</v>
      </c>
    </row>
    <row r="1384" spans="1:17" x14ac:dyDescent="0.25">
      <c r="A1384" t="s">
        <v>5</v>
      </c>
      <c r="B1384" t="s">
        <v>6</v>
      </c>
      <c r="C1384" t="s">
        <v>261</v>
      </c>
      <c r="D1384" t="s">
        <v>196</v>
      </c>
      <c r="E1384" t="s">
        <v>166</v>
      </c>
      <c r="F1384">
        <v>1.786935223</v>
      </c>
      <c r="G1384">
        <v>2.3146762330000001</v>
      </c>
      <c r="H1384">
        <v>2.8201224630000001</v>
      </c>
      <c r="I1384">
        <v>3.4719995770000001</v>
      </c>
      <c r="J1384">
        <v>4.0390564940000004</v>
      </c>
      <c r="K1384">
        <v>5.0411453479999997</v>
      </c>
      <c r="L1384">
        <v>6.1924302630000003</v>
      </c>
      <c r="M1384">
        <v>7.398961924</v>
      </c>
      <c r="N1384">
        <v>8.679869815</v>
      </c>
      <c r="O1384">
        <v>10.02846224</v>
      </c>
      <c r="P1384">
        <v>11.5254998</v>
      </c>
      <c r="Q1384">
        <v>12.97557518</v>
      </c>
    </row>
    <row r="1385" spans="1:17" x14ac:dyDescent="0.25">
      <c r="A1385" t="s">
        <v>5</v>
      </c>
      <c r="B1385" t="s">
        <v>6</v>
      </c>
      <c r="C1385" t="s">
        <v>261</v>
      </c>
      <c r="D1385" t="s">
        <v>197</v>
      </c>
      <c r="E1385" t="s">
        <v>166</v>
      </c>
      <c r="F1385">
        <v>3141.9285970000001</v>
      </c>
      <c r="G1385">
        <v>4093.8801269999999</v>
      </c>
      <c r="H1385">
        <v>4654.4985740000002</v>
      </c>
      <c r="I1385">
        <v>5185.2747239999999</v>
      </c>
      <c r="J1385">
        <v>5527.1794760000002</v>
      </c>
      <c r="K1385">
        <v>6140.1788829999996</v>
      </c>
      <c r="L1385">
        <v>6869.9575830000003</v>
      </c>
      <c r="M1385">
        <v>7571.4174750000002</v>
      </c>
      <c r="N1385">
        <v>8241.451497</v>
      </c>
      <c r="O1385">
        <v>8886.6403109999992</v>
      </c>
      <c r="P1385">
        <v>9530.1692770000009</v>
      </c>
      <c r="Q1385">
        <v>10095.109839999999</v>
      </c>
    </row>
    <row r="1386" spans="1:17" x14ac:dyDescent="0.25">
      <c r="A1386" t="s">
        <v>5</v>
      </c>
      <c r="B1386" t="s">
        <v>6</v>
      </c>
      <c r="C1386" t="s">
        <v>261</v>
      </c>
      <c r="D1386" t="s">
        <v>198</v>
      </c>
      <c r="E1386" t="s">
        <v>166</v>
      </c>
      <c r="F1386">
        <v>480.57574369999998</v>
      </c>
      <c r="G1386">
        <v>621.77282639999999</v>
      </c>
      <c r="H1386">
        <v>756.92231879999997</v>
      </c>
      <c r="I1386">
        <v>930.91281309999999</v>
      </c>
      <c r="J1386">
        <v>1082.265607</v>
      </c>
      <c r="K1386">
        <v>1348.988652</v>
      </c>
      <c r="L1386">
        <v>1655.1128309999999</v>
      </c>
      <c r="M1386">
        <v>1975.76072</v>
      </c>
      <c r="N1386">
        <v>2316.0542340000002</v>
      </c>
      <c r="O1386">
        <v>2674.2861320000002</v>
      </c>
      <c r="P1386">
        <v>3071.9943929999999</v>
      </c>
      <c r="Q1386">
        <v>3457.408946</v>
      </c>
    </row>
    <row r="1387" spans="1:17" x14ac:dyDescent="0.25">
      <c r="A1387" t="s">
        <v>5</v>
      </c>
      <c r="B1387" t="s">
        <v>6</v>
      </c>
      <c r="C1387" t="s">
        <v>261</v>
      </c>
      <c r="D1387" t="s">
        <v>199</v>
      </c>
      <c r="E1387" t="s">
        <v>166</v>
      </c>
      <c r="F1387">
        <v>10.14628358</v>
      </c>
      <c r="G1387">
        <v>13.228264230000001</v>
      </c>
      <c r="H1387">
        <v>15.04880157</v>
      </c>
      <c r="I1387">
        <v>16.774448</v>
      </c>
      <c r="J1387">
        <v>17.88960698</v>
      </c>
      <c r="K1387">
        <v>19.882793110000001</v>
      </c>
      <c r="L1387">
        <v>22.255340409999999</v>
      </c>
      <c r="M1387">
        <v>24.537369160000001</v>
      </c>
      <c r="N1387">
        <v>26.718416189999999</v>
      </c>
      <c r="O1387">
        <v>28.819609539999998</v>
      </c>
      <c r="P1387">
        <v>30.916013769999999</v>
      </c>
      <c r="Q1387">
        <v>32.756910130000001</v>
      </c>
    </row>
    <row r="1388" spans="1:17" x14ac:dyDescent="0.25">
      <c r="A1388" t="s">
        <v>5</v>
      </c>
      <c r="B1388" t="s">
        <v>6</v>
      </c>
      <c r="C1388" t="s">
        <v>261</v>
      </c>
      <c r="D1388" t="s">
        <v>200</v>
      </c>
      <c r="E1388" t="s">
        <v>166</v>
      </c>
      <c r="F1388">
        <v>4.6193242630000002</v>
      </c>
      <c r="G1388">
        <v>5.9354014509999997</v>
      </c>
      <c r="H1388">
        <v>7.1882477619999996</v>
      </c>
      <c r="I1388">
        <v>8.7782215539999999</v>
      </c>
      <c r="J1388">
        <v>10.15795116</v>
      </c>
      <c r="K1388">
        <v>12.525643880000001</v>
      </c>
      <c r="L1388">
        <v>15.197281179999999</v>
      </c>
      <c r="M1388">
        <v>17.953070990000001</v>
      </c>
      <c r="N1388">
        <v>20.830519160000001</v>
      </c>
      <c r="O1388">
        <v>23.807972370000002</v>
      </c>
      <c r="P1388">
        <v>27.0470404</v>
      </c>
      <c r="Q1388">
        <v>30.124193330000001</v>
      </c>
    </row>
    <row r="1389" spans="1:17" x14ac:dyDescent="0.25">
      <c r="A1389" t="s">
        <v>5</v>
      </c>
      <c r="B1389" t="s">
        <v>6</v>
      </c>
      <c r="C1389" t="s">
        <v>261</v>
      </c>
      <c r="D1389" t="s">
        <v>201</v>
      </c>
      <c r="E1389" t="s">
        <v>166</v>
      </c>
      <c r="F1389">
        <v>168.36386759999999</v>
      </c>
      <c r="G1389">
        <v>218.77826719999999</v>
      </c>
      <c r="H1389">
        <v>248.04756269999999</v>
      </c>
      <c r="I1389">
        <v>275.6048897</v>
      </c>
      <c r="J1389">
        <v>293.08417850000001</v>
      </c>
      <c r="K1389">
        <v>324.89386259999998</v>
      </c>
      <c r="L1389">
        <v>362.79015629999998</v>
      </c>
      <c r="M1389">
        <v>399.09787840000001</v>
      </c>
      <c r="N1389">
        <v>433.68328969999999</v>
      </c>
      <c r="O1389">
        <v>466.9084062</v>
      </c>
      <c r="P1389">
        <v>500.00102140000001</v>
      </c>
      <c r="Q1389">
        <v>529.01365220000002</v>
      </c>
    </row>
    <row r="1390" spans="1:17" x14ac:dyDescent="0.25">
      <c r="A1390" t="s">
        <v>5</v>
      </c>
      <c r="B1390" t="s">
        <v>6</v>
      </c>
      <c r="C1390" t="s">
        <v>261</v>
      </c>
      <c r="D1390" t="s">
        <v>202</v>
      </c>
      <c r="E1390" t="s">
        <v>166</v>
      </c>
      <c r="F1390">
        <v>9.0821683689999997</v>
      </c>
      <c r="G1390">
        <v>11.749892089999999</v>
      </c>
      <c r="H1390">
        <v>14.302988879999999</v>
      </c>
      <c r="I1390">
        <v>17.589079720000001</v>
      </c>
      <c r="J1390">
        <v>20.447563240000001</v>
      </c>
      <c r="K1390">
        <v>25.484115840000001</v>
      </c>
      <c r="L1390">
        <v>31.266299950000001</v>
      </c>
      <c r="M1390">
        <v>37.32683729</v>
      </c>
      <c r="N1390">
        <v>43.765459819999997</v>
      </c>
      <c r="O1390">
        <v>50.553969680000002</v>
      </c>
      <c r="P1390">
        <v>58.108118009999998</v>
      </c>
      <c r="Q1390">
        <v>65.450578640000003</v>
      </c>
    </row>
    <row r="1391" spans="1:17" x14ac:dyDescent="0.25">
      <c r="A1391" t="s">
        <v>5</v>
      </c>
      <c r="B1391" t="s">
        <v>6</v>
      </c>
      <c r="C1391" t="s">
        <v>261</v>
      </c>
      <c r="D1391" t="s">
        <v>203</v>
      </c>
      <c r="E1391" t="s">
        <v>166</v>
      </c>
      <c r="F1391">
        <v>7.6168046560000002</v>
      </c>
      <c r="G1391">
        <v>10.63274356</v>
      </c>
      <c r="H1391">
        <v>14.64082848</v>
      </c>
      <c r="I1391">
        <v>18.231521870000002</v>
      </c>
      <c r="J1391">
        <v>19.890702149999999</v>
      </c>
      <c r="K1391">
        <v>22.673463340000001</v>
      </c>
      <c r="L1391">
        <v>25.732671020000002</v>
      </c>
      <c r="M1391">
        <v>32.549850929999998</v>
      </c>
      <c r="N1391">
        <v>44.846348589999998</v>
      </c>
      <c r="O1391">
        <v>55.221195969999997</v>
      </c>
      <c r="P1391">
        <v>64.643511860000004</v>
      </c>
      <c r="Q1391">
        <v>73.704508439999998</v>
      </c>
    </row>
    <row r="1392" spans="1:17" x14ac:dyDescent="0.25">
      <c r="A1392" t="s">
        <v>5</v>
      </c>
      <c r="B1392" t="s">
        <v>6</v>
      </c>
      <c r="C1392" t="s">
        <v>261</v>
      </c>
      <c r="D1392" t="s">
        <v>204</v>
      </c>
      <c r="E1392" t="s">
        <v>166</v>
      </c>
      <c r="F1392">
        <v>73.586177570000004</v>
      </c>
      <c r="G1392">
        <v>130.84472220000001</v>
      </c>
      <c r="H1392">
        <v>204.43346170000001</v>
      </c>
      <c r="I1392">
        <v>259.8419849</v>
      </c>
      <c r="J1392">
        <v>281.68674099999998</v>
      </c>
      <c r="K1392">
        <v>287.57006389999998</v>
      </c>
      <c r="L1392">
        <v>292.57967359999998</v>
      </c>
      <c r="M1392">
        <v>302.69068299999998</v>
      </c>
      <c r="N1392">
        <v>310.12893409999998</v>
      </c>
      <c r="O1392">
        <v>318.58758440000003</v>
      </c>
      <c r="P1392">
        <v>320.32429689999998</v>
      </c>
      <c r="Q1392">
        <v>320.63357059999998</v>
      </c>
    </row>
    <row r="1393" spans="1:17" x14ac:dyDescent="0.25">
      <c r="A1393" t="s">
        <v>5</v>
      </c>
      <c r="B1393" t="s">
        <v>6</v>
      </c>
      <c r="C1393" t="s">
        <v>261</v>
      </c>
      <c r="D1393" t="s">
        <v>205</v>
      </c>
      <c r="E1393" t="s">
        <v>166</v>
      </c>
      <c r="F1393">
        <v>8.0508663999999994E-2</v>
      </c>
      <c r="G1393">
        <v>0.108578691</v>
      </c>
      <c r="H1393">
        <v>0.14792140000000001</v>
      </c>
      <c r="I1393">
        <v>0.21939106799999999</v>
      </c>
      <c r="J1393">
        <v>0.29258043900000003</v>
      </c>
      <c r="K1393">
        <v>0.42632783600000002</v>
      </c>
      <c r="L1393">
        <v>0.59831397399999997</v>
      </c>
      <c r="M1393">
        <v>0.93627201199999999</v>
      </c>
      <c r="N1393">
        <v>1.6498850890000001</v>
      </c>
      <c r="O1393">
        <v>2.1984844350000001</v>
      </c>
      <c r="P1393">
        <v>2.7562221550000001</v>
      </c>
      <c r="Q1393">
        <v>3.2671234349999998</v>
      </c>
    </row>
    <row r="1394" spans="1:17" x14ac:dyDescent="0.25">
      <c r="A1394" t="s">
        <v>5</v>
      </c>
      <c r="B1394" t="s">
        <v>6</v>
      </c>
      <c r="C1394" t="s">
        <v>261</v>
      </c>
      <c r="D1394" t="s">
        <v>206</v>
      </c>
      <c r="E1394" t="s">
        <v>166</v>
      </c>
      <c r="F1394">
        <v>0.14460186799999999</v>
      </c>
      <c r="G1394">
        <v>0.21169227800000001</v>
      </c>
      <c r="H1394">
        <v>0.29774602999999999</v>
      </c>
      <c r="I1394">
        <v>0.38483687</v>
      </c>
      <c r="J1394">
        <v>0.44864959399999998</v>
      </c>
      <c r="K1394">
        <v>0.56056144699999999</v>
      </c>
      <c r="L1394">
        <v>0.72826406200000005</v>
      </c>
      <c r="M1394">
        <v>1.0161204829999999</v>
      </c>
      <c r="N1394">
        <v>1.50217432</v>
      </c>
      <c r="O1394">
        <v>1.8967069679999999</v>
      </c>
      <c r="P1394">
        <v>2.3001011550000001</v>
      </c>
      <c r="Q1394">
        <v>2.6706386370000001</v>
      </c>
    </row>
    <row r="1395" spans="1:17" x14ac:dyDescent="0.25">
      <c r="A1395" t="s">
        <v>5</v>
      </c>
      <c r="B1395" t="s">
        <v>6</v>
      </c>
      <c r="C1395" t="s">
        <v>261</v>
      </c>
      <c r="D1395" t="s">
        <v>207</v>
      </c>
      <c r="E1395" t="s">
        <v>166</v>
      </c>
      <c r="F1395" s="1">
        <v>3.8999999999999999E-5</v>
      </c>
      <c r="G1395">
        <v>9.4839900000000005E-4</v>
      </c>
      <c r="H1395">
        <v>1.6560479999999999E-2</v>
      </c>
      <c r="I1395">
        <v>6.0805163000000002E-2</v>
      </c>
      <c r="J1395">
        <v>6.9914783999999994E-2</v>
      </c>
      <c r="K1395">
        <v>6.9666142E-2</v>
      </c>
      <c r="L1395">
        <v>6.4995150000000002E-2</v>
      </c>
      <c r="M1395">
        <v>4.7246203000000001E-2</v>
      </c>
      <c r="N1395">
        <v>1.8758787999999998E-2</v>
      </c>
      <c r="O1395">
        <v>9.43961E-4</v>
      </c>
      <c r="P1395">
        <v>1.57794E-4</v>
      </c>
      <c r="Q1395">
        <v>1.9974899999999999E-4</v>
      </c>
    </row>
    <row r="1396" spans="1:17" x14ac:dyDescent="0.25">
      <c r="A1396" t="s">
        <v>5</v>
      </c>
      <c r="B1396" t="s">
        <v>6</v>
      </c>
      <c r="C1396" t="s">
        <v>261</v>
      </c>
      <c r="D1396" t="s">
        <v>208</v>
      </c>
      <c r="E1396" t="s">
        <v>166</v>
      </c>
      <c r="F1396">
        <v>4.8658453719999999</v>
      </c>
      <c r="G1396">
        <v>6.7598094639999999</v>
      </c>
      <c r="H1396">
        <v>9.3663545119999991</v>
      </c>
      <c r="I1396">
        <v>11.738148689999999</v>
      </c>
      <c r="J1396">
        <v>12.839541049999999</v>
      </c>
      <c r="K1396">
        <v>13.958911090000001</v>
      </c>
      <c r="L1396">
        <v>15.765258749999999</v>
      </c>
      <c r="M1396">
        <v>18.762855429999998</v>
      </c>
      <c r="N1396">
        <v>22.324256290000001</v>
      </c>
      <c r="O1396">
        <v>25.423516540000001</v>
      </c>
      <c r="P1396">
        <v>28.429033789999998</v>
      </c>
      <c r="Q1396">
        <v>31.450653469999999</v>
      </c>
    </row>
    <row r="1397" spans="1:17" x14ac:dyDescent="0.25">
      <c r="A1397" t="s">
        <v>5</v>
      </c>
      <c r="B1397" t="s">
        <v>6</v>
      </c>
      <c r="C1397" t="s">
        <v>261</v>
      </c>
      <c r="D1397" t="s">
        <v>209</v>
      </c>
      <c r="E1397" t="s">
        <v>166</v>
      </c>
      <c r="F1397">
        <v>14.28433559</v>
      </c>
      <c r="G1397">
        <v>19.8644584</v>
      </c>
      <c r="H1397">
        <v>27.540387590000002</v>
      </c>
      <c r="I1397">
        <v>34.536485880000001</v>
      </c>
      <c r="J1397">
        <v>37.778570559999999</v>
      </c>
      <c r="K1397">
        <v>41.101758359999998</v>
      </c>
      <c r="L1397">
        <v>46.471806129999997</v>
      </c>
      <c r="M1397">
        <v>55.365841699999997</v>
      </c>
      <c r="N1397">
        <v>65.927164770000005</v>
      </c>
      <c r="O1397">
        <v>75.136141260000002</v>
      </c>
      <c r="P1397">
        <v>84.085355500000006</v>
      </c>
      <c r="Q1397">
        <v>93.094615469999994</v>
      </c>
    </row>
    <row r="1398" spans="1:17" x14ac:dyDescent="0.25">
      <c r="A1398" t="s">
        <v>5</v>
      </c>
      <c r="B1398" t="s">
        <v>6</v>
      </c>
      <c r="C1398" t="s">
        <v>261</v>
      </c>
      <c r="D1398" t="s">
        <v>210</v>
      </c>
      <c r="E1398" t="s">
        <v>166</v>
      </c>
      <c r="F1398">
        <v>2.9970587360000001</v>
      </c>
      <c r="G1398">
        <v>4.1727034559999998</v>
      </c>
      <c r="H1398">
        <v>5.7890258799999996</v>
      </c>
      <c r="I1398">
        <v>7.2649546330000003</v>
      </c>
      <c r="J1398">
        <v>7.9473121329999996</v>
      </c>
      <c r="K1398">
        <v>8.6535147559999999</v>
      </c>
      <c r="L1398">
        <v>9.7964449279999997</v>
      </c>
      <c r="M1398">
        <v>11.692710870000001</v>
      </c>
      <c r="N1398">
        <v>13.97394667</v>
      </c>
      <c r="O1398">
        <v>15.989866810000001</v>
      </c>
      <c r="P1398">
        <v>17.970114410000001</v>
      </c>
      <c r="Q1398">
        <v>19.977272379999999</v>
      </c>
    </row>
    <row r="1399" spans="1:17" x14ac:dyDescent="0.25">
      <c r="A1399" t="s">
        <v>5</v>
      </c>
      <c r="B1399" t="s">
        <v>6</v>
      </c>
      <c r="C1399" t="s">
        <v>261</v>
      </c>
      <c r="D1399" t="s">
        <v>211</v>
      </c>
      <c r="E1399" t="s">
        <v>166</v>
      </c>
      <c r="F1399">
        <v>1.6699797249999999</v>
      </c>
      <c r="G1399">
        <v>2.3276256900000001</v>
      </c>
      <c r="H1399">
        <v>3.2313212889999998</v>
      </c>
      <c r="I1399">
        <v>4.0579765710000002</v>
      </c>
      <c r="J1399">
        <v>4.4393129910000004</v>
      </c>
      <c r="K1399">
        <v>4.8375501099999996</v>
      </c>
      <c r="L1399">
        <v>5.4829804449999999</v>
      </c>
      <c r="M1399">
        <v>6.5578046040000002</v>
      </c>
      <c r="N1399">
        <v>7.8754354150000001</v>
      </c>
      <c r="O1399">
        <v>9.0602145529999998</v>
      </c>
      <c r="P1399">
        <v>10.23962976</v>
      </c>
      <c r="Q1399">
        <v>11.44499516</v>
      </c>
    </row>
    <row r="1400" spans="1:17" x14ac:dyDescent="0.25">
      <c r="A1400" t="s">
        <v>5</v>
      </c>
      <c r="B1400" t="s">
        <v>6</v>
      </c>
      <c r="C1400" t="s">
        <v>261</v>
      </c>
      <c r="D1400" t="s">
        <v>212</v>
      </c>
      <c r="E1400" t="s">
        <v>166</v>
      </c>
      <c r="F1400">
        <v>7.2668920999999997E-2</v>
      </c>
      <c r="G1400">
        <v>0.101228967</v>
      </c>
      <c r="H1400">
        <v>0.14048464299999999</v>
      </c>
      <c r="I1400">
        <v>0.17636141999999999</v>
      </c>
      <c r="J1400">
        <v>0.19293017300000001</v>
      </c>
      <c r="K1400">
        <v>0.21015373300000001</v>
      </c>
      <c r="L1400">
        <v>0.23804807</v>
      </c>
      <c r="M1400">
        <v>0.28395095199999998</v>
      </c>
      <c r="N1400">
        <v>0.33779567500000002</v>
      </c>
      <c r="O1400">
        <v>0.38445001699999998</v>
      </c>
      <c r="P1400">
        <v>0.42961270499999998</v>
      </c>
      <c r="Q1400">
        <v>0.47496549999999998</v>
      </c>
    </row>
    <row r="1401" spans="1:17" x14ac:dyDescent="0.25">
      <c r="A1401" t="s">
        <v>5</v>
      </c>
      <c r="B1401" t="s">
        <v>6</v>
      </c>
      <c r="C1401" t="s">
        <v>261</v>
      </c>
      <c r="D1401" t="s">
        <v>213</v>
      </c>
      <c r="E1401" t="s">
        <v>166</v>
      </c>
      <c r="F1401">
        <v>4.9155797000000001E-2</v>
      </c>
      <c r="G1401">
        <v>7.9435855E-2</v>
      </c>
      <c r="H1401">
        <v>0.112251536</v>
      </c>
      <c r="I1401">
        <v>0.17025604899999999</v>
      </c>
      <c r="J1401">
        <v>0.16009247099999999</v>
      </c>
      <c r="K1401">
        <v>0.109278157</v>
      </c>
      <c r="L1401">
        <v>9.8594081E-2</v>
      </c>
      <c r="M1401">
        <v>0.113752283</v>
      </c>
      <c r="N1401">
        <v>0.234953148</v>
      </c>
      <c r="O1401">
        <v>0.30267970900000002</v>
      </c>
      <c r="P1401">
        <v>0.37815578399999999</v>
      </c>
      <c r="Q1401">
        <v>0.45613943000000001</v>
      </c>
    </row>
    <row r="1402" spans="1:17" x14ac:dyDescent="0.25">
      <c r="A1402" t="s">
        <v>5</v>
      </c>
      <c r="B1402" t="s">
        <v>6</v>
      </c>
      <c r="C1402" t="s">
        <v>261</v>
      </c>
      <c r="D1402" t="s">
        <v>214</v>
      </c>
      <c r="E1402" t="s">
        <v>166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25">
      <c r="A1403" t="s">
        <v>5</v>
      </c>
      <c r="B1403" t="s">
        <v>6</v>
      </c>
      <c r="C1403" t="s">
        <v>261</v>
      </c>
      <c r="D1403" t="s">
        <v>215</v>
      </c>
      <c r="E1403" t="s">
        <v>166</v>
      </c>
      <c r="F1403">
        <v>5.9109399999999999E-3</v>
      </c>
      <c r="G1403">
        <v>9.8974990000000006E-3</v>
      </c>
      <c r="H1403">
        <v>1.1863667E-2</v>
      </c>
      <c r="I1403">
        <v>1.6967341E-2</v>
      </c>
      <c r="J1403">
        <v>1.4872671000000001E-2</v>
      </c>
      <c r="K1403">
        <v>1.1036173999999999E-2</v>
      </c>
      <c r="L1403">
        <v>7.3078850000000001E-3</v>
      </c>
      <c r="M1403">
        <v>4.16987E-3</v>
      </c>
      <c r="N1403">
        <v>1.6558664000000001E-2</v>
      </c>
      <c r="O1403">
        <v>2.6891511E-2</v>
      </c>
      <c r="P1403">
        <v>4.0199674999999997E-2</v>
      </c>
      <c r="Q1403">
        <v>5.4762207E-2</v>
      </c>
    </row>
    <row r="1404" spans="1:17" x14ac:dyDescent="0.25">
      <c r="A1404" t="s">
        <v>5</v>
      </c>
      <c r="B1404" t="s">
        <v>6</v>
      </c>
      <c r="C1404" t="s">
        <v>261</v>
      </c>
      <c r="D1404" t="s">
        <v>216</v>
      </c>
      <c r="E1404" t="s">
        <v>166</v>
      </c>
      <c r="F1404">
        <v>1.0748190000000001E-3</v>
      </c>
      <c r="G1404">
        <v>1.725589E-3</v>
      </c>
      <c r="H1404">
        <v>2.4466940000000001E-3</v>
      </c>
      <c r="I1404">
        <v>3.732422E-3</v>
      </c>
      <c r="J1404">
        <v>3.4421030000000002E-3</v>
      </c>
      <c r="K1404">
        <v>2.2192459999999998E-3</v>
      </c>
      <c r="L1404">
        <v>1.9529269999999999E-3</v>
      </c>
      <c r="M1404">
        <v>2.3279239999999999E-3</v>
      </c>
      <c r="N1404">
        <v>5.735314E-3</v>
      </c>
      <c r="O1404">
        <v>7.5341970000000003E-3</v>
      </c>
      <c r="P1404">
        <v>9.4844390000000008E-3</v>
      </c>
      <c r="Q1404">
        <v>1.1490208E-2</v>
      </c>
    </row>
    <row r="1405" spans="1:17" x14ac:dyDescent="0.25">
      <c r="A1405" t="s">
        <v>5</v>
      </c>
      <c r="B1405" t="s">
        <v>6</v>
      </c>
      <c r="C1405" t="s">
        <v>261</v>
      </c>
      <c r="D1405" t="s">
        <v>217</v>
      </c>
      <c r="E1405" t="s">
        <v>166</v>
      </c>
      <c r="F1405">
        <v>1.6029400000000001E-4</v>
      </c>
      <c r="G1405">
        <v>1.0839E-4</v>
      </c>
      <c r="H1405" s="1">
        <v>4.5800000000000002E-5</v>
      </c>
      <c r="I1405" s="1">
        <v>7.4400000000000006E-5</v>
      </c>
      <c r="J1405" s="1">
        <v>5.6799999999999998E-5</v>
      </c>
      <c r="K1405" s="1">
        <v>3.3000000000000003E-5</v>
      </c>
      <c r="L1405" s="1">
        <v>1.8600000000000001E-5</v>
      </c>
      <c r="M1405" s="1">
        <v>2.2900000000000001E-5</v>
      </c>
      <c r="N1405">
        <v>4.4382900000000002E-4</v>
      </c>
      <c r="O1405">
        <v>7.6895999999999996E-4</v>
      </c>
      <c r="P1405">
        <v>1.066666E-3</v>
      </c>
      <c r="Q1405">
        <v>1.305044E-3</v>
      </c>
    </row>
    <row r="1406" spans="1:17" x14ac:dyDescent="0.25">
      <c r="A1406" t="s">
        <v>5</v>
      </c>
      <c r="B1406" t="s">
        <v>6</v>
      </c>
      <c r="C1406" t="s">
        <v>261</v>
      </c>
      <c r="D1406" t="s">
        <v>218</v>
      </c>
      <c r="E1406" t="s">
        <v>219</v>
      </c>
      <c r="F1406">
        <v>505.89677999999998</v>
      </c>
      <c r="G1406">
        <v>563.54215999999997</v>
      </c>
      <c r="H1406">
        <v>654.55334000000005</v>
      </c>
      <c r="I1406">
        <v>718.64660000000003</v>
      </c>
      <c r="J1406">
        <v>923.32737999999995</v>
      </c>
      <c r="K1406">
        <v>1068.5940000000001</v>
      </c>
      <c r="L1406">
        <v>1253.8571999999999</v>
      </c>
      <c r="M1406">
        <v>1453.2478000000001</v>
      </c>
      <c r="N1406">
        <v>1652.9498000000001</v>
      </c>
      <c r="O1406">
        <v>1856.7438</v>
      </c>
      <c r="P1406">
        <v>2064.7719999999999</v>
      </c>
      <c r="Q1406">
        <v>2253.8263999999999</v>
      </c>
    </row>
    <row r="1407" spans="1:17" x14ac:dyDescent="0.25">
      <c r="A1407" t="s">
        <v>5</v>
      </c>
      <c r="B1407" t="s">
        <v>6</v>
      </c>
      <c r="C1407" t="s">
        <v>261</v>
      </c>
      <c r="D1407" t="s">
        <v>220</v>
      </c>
      <c r="E1407" t="s">
        <v>219</v>
      </c>
      <c r="F1407">
        <v>370.89317999999997</v>
      </c>
      <c r="G1407">
        <v>461.11756000000003</v>
      </c>
      <c r="H1407">
        <v>552.50865999999996</v>
      </c>
      <c r="I1407">
        <v>647.23253999999997</v>
      </c>
      <c r="J1407">
        <v>812.44943999999998</v>
      </c>
      <c r="K1407">
        <v>941.60281999999995</v>
      </c>
      <c r="L1407">
        <v>1087.4102</v>
      </c>
      <c r="M1407">
        <v>1183.6197999999999</v>
      </c>
      <c r="N1407">
        <v>1238.597</v>
      </c>
      <c r="O1407">
        <v>1273.2837999999999</v>
      </c>
      <c r="P1407">
        <v>1295.8030000000001</v>
      </c>
      <c r="Q1407">
        <v>1309.3384000000001</v>
      </c>
    </row>
    <row r="1408" spans="1:17" x14ac:dyDescent="0.25">
      <c r="A1408" t="s">
        <v>5</v>
      </c>
      <c r="B1408" t="s">
        <v>6</v>
      </c>
      <c r="C1408" t="s">
        <v>261</v>
      </c>
      <c r="D1408" t="s">
        <v>221</v>
      </c>
      <c r="E1408" t="s">
        <v>219</v>
      </c>
      <c r="F1408">
        <v>99.100414000000001</v>
      </c>
      <c r="G1408">
        <v>80.826053999999999</v>
      </c>
      <c r="H1408">
        <v>83.485423999999995</v>
      </c>
      <c r="I1408">
        <v>84.464315999999997</v>
      </c>
      <c r="J1408">
        <v>75.657576000000006</v>
      </c>
      <c r="K1408">
        <v>77.908467999999999</v>
      </c>
      <c r="L1408">
        <v>83.508539999999996</v>
      </c>
      <c r="M1408">
        <v>90.559421999999998</v>
      </c>
      <c r="N1408">
        <v>93.236784</v>
      </c>
      <c r="O1408">
        <v>94.727556000000007</v>
      </c>
      <c r="P1408">
        <v>96.304794000000001</v>
      </c>
      <c r="Q1408">
        <v>98.242959999999997</v>
      </c>
    </row>
    <row r="1409" spans="1:17" x14ac:dyDescent="0.25">
      <c r="A1409" t="s">
        <v>5</v>
      </c>
      <c r="B1409" t="s">
        <v>6</v>
      </c>
      <c r="C1409" t="s">
        <v>261</v>
      </c>
      <c r="D1409" t="s">
        <v>222</v>
      </c>
      <c r="E1409" t="s">
        <v>223</v>
      </c>
      <c r="F1409">
        <v>1058.0940800000001</v>
      </c>
      <c r="G1409">
        <v>1263.5432800000001</v>
      </c>
      <c r="H1409">
        <v>1654.0813000000001</v>
      </c>
      <c r="I1409">
        <v>2119.42148</v>
      </c>
      <c r="J1409">
        <v>2386.0013600000002</v>
      </c>
      <c r="K1409">
        <v>2638.2800200000001</v>
      </c>
      <c r="L1409">
        <v>2893.9919399999999</v>
      </c>
      <c r="M1409">
        <v>3154.98216</v>
      </c>
      <c r="N1409">
        <v>3398.1765999999998</v>
      </c>
      <c r="O1409">
        <v>3625.2626</v>
      </c>
      <c r="P1409">
        <v>3829.5136000000002</v>
      </c>
      <c r="Q1409">
        <v>4003.3955999999998</v>
      </c>
    </row>
    <row r="1410" spans="1:17" x14ac:dyDescent="0.25">
      <c r="A1410" t="s">
        <v>5</v>
      </c>
      <c r="B1410" t="s">
        <v>6</v>
      </c>
      <c r="C1410" t="s">
        <v>261</v>
      </c>
      <c r="D1410" t="s">
        <v>224</v>
      </c>
      <c r="E1410" t="s">
        <v>219</v>
      </c>
      <c r="F1410">
        <v>19.619081999999999</v>
      </c>
      <c r="G1410">
        <v>14.976558000000001</v>
      </c>
      <c r="H1410">
        <v>11.520982</v>
      </c>
      <c r="I1410">
        <v>10.245891800000001</v>
      </c>
      <c r="J1410">
        <v>9.0684868000000005</v>
      </c>
      <c r="K1410">
        <v>8.8755141999999996</v>
      </c>
      <c r="L1410">
        <v>9.7838507999999997</v>
      </c>
      <c r="M1410">
        <v>12.983738000000001</v>
      </c>
      <c r="N1410">
        <v>19.46237</v>
      </c>
      <c r="O1410">
        <v>29.782119999999999</v>
      </c>
      <c r="P1410">
        <v>42.79374</v>
      </c>
      <c r="Q1410">
        <v>54.924356000000003</v>
      </c>
    </row>
    <row r="1411" spans="1:17" x14ac:dyDescent="0.25">
      <c r="A1411" t="s">
        <v>5</v>
      </c>
      <c r="B1411" t="s">
        <v>6</v>
      </c>
      <c r="C1411" t="s">
        <v>261</v>
      </c>
      <c r="D1411" t="s">
        <v>225</v>
      </c>
      <c r="E1411" t="s">
        <v>223</v>
      </c>
      <c r="F1411">
        <v>67.443292</v>
      </c>
      <c r="G1411">
        <v>77.142408000000003</v>
      </c>
      <c r="H1411">
        <v>85.357258000000002</v>
      </c>
      <c r="I1411">
        <v>94.828044000000006</v>
      </c>
      <c r="J1411">
        <v>103.580342</v>
      </c>
      <c r="K1411">
        <v>120.50868</v>
      </c>
      <c r="L1411">
        <v>141.66904</v>
      </c>
      <c r="M1411">
        <v>167.79066</v>
      </c>
      <c r="N1411">
        <v>194.29684</v>
      </c>
      <c r="O1411">
        <v>213.50917999999999</v>
      </c>
      <c r="P1411">
        <v>231.49646000000001</v>
      </c>
      <c r="Q1411">
        <v>248.33760000000001</v>
      </c>
    </row>
    <row r="1412" spans="1:17" x14ac:dyDescent="0.25">
      <c r="A1412" t="s">
        <v>5</v>
      </c>
      <c r="B1412" t="s">
        <v>6</v>
      </c>
      <c r="C1412" t="s">
        <v>261</v>
      </c>
      <c r="D1412" t="s">
        <v>226</v>
      </c>
      <c r="E1412" t="s">
        <v>219</v>
      </c>
      <c r="F1412">
        <v>103.06359999999999</v>
      </c>
      <c r="G1412">
        <v>179.41806</v>
      </c>
      <c r="H1412">
        <v>348.81299999999999</v>
      </c>
      <c r="I1412">
        <v>332.46688</v>
      </c>
      <c r="J1412">
        <v>526.26844000000006</v>
      </c>
      <c r="K1412">
        <v>611.44583999999998</v>
      </c>
      <c r="L1412">
        <v>703.75319999999999</v>
      </c>
      <c r="M1412">
        <v>809.03808000000004</v>
      </c>
      <c r="N1412">
        <v>952.88365999999996</v>
      </c>
      <c r="O1412">
        <v>1137.7216000000001</v>
      </c>
      <c r="P1412">
        <v>1329.7793999999999</v>
      </c>
      <c r="Q1412">
        <v>1492.1312</v>
      </c>
    </row>
    <row r="1413" spans="1:17" x14ac:dyDescent="0.25">
      <c r="A1413" t="s">
        <v>5</v>
      </c>
      <c r="B1413" t="s">
        <v>6</v>
      </c>
      <c r="C1413" t="s">
        <v>261</v>
      </c>
      <c r="D1413" t="s">
        <v>227</v>
      </c>
      <c r="E1413" t="s">
        <v>223</v>
      </c>
      <c r="F1413">
        <v>55.298152000000002</v>
      </c>
      <c r="G1413">
        <v>71.611879999999999</v>
      </c>
      <c r="H1413">
        <v>117.71702999999999</v>
      </c>
      <c r="I1413">
        <v>172.31120000000001</v>
      </c>
      <c r="J1413">
        <v>262.69114999999999</v>
      </c>
      <c r="K1413">
        <v>280.54459000000003</v>
      </c>
      <c r="L1413">
        <v>295.62151</v>
      </c>
      <c r="M1413">
        <v>311.27580999999998</v>
      </c>
      <c r="N1413">
        <v>332.99360999999999</v>
      </c>
      <c r="O1413">
        <v>360.65591000000001</v>
      </c>
      <c r="P1413">
        <v>388.01593000000003</v>
      </c>
      <c r="Q1413">
        <v>410.11466999999999</v>
      </c>
    </row>
    <row r="1414" spans="1:17" x14ac:dyDescent="0.25">
      <c r="A1414" t="s">
        <v>5</v>
      </c>
      <c r="B1414" t="s">
        <v>6</v>
      </c>
      <c r="C1414" t="s">
        <v>261</v>
      </c>
      <c r="D1414" t="s">
        <v>228</v>
      </c>
      <c r="E1414" t="s">
        <v>223</v>
      </c>
      <c r="F1414">
        <v>1840.2200969999999</v>
      </c>
      <c r="G1414">
        <v>2235.816742</v>
      </c>
      <c r="H1414">
        <v>2651.205207</v>
      </c>
      <c r="I1414">
        <v>3048.921218</v>
      </c>
      <c r="J1414">
        <v>3288.327421</v>
      </c>
      <c r="K1414">
        <v>3717.2313389999999</v>
      </c>
      <c r="L1414">
        <v>4371.4908539999997</v>
      </c>
      <c r="M1414">
        <v>5524.1834159999999</v>
      </c>
      <c r="N1414">
        <v>7811.0657449999999</v>
      </c>
      <c r="O1414">
        <v>18975.767100000001</v>
      </c>
      <c r="P1414">
        <v>23983.285169999999</v>
      </c>
      <c r="Q1414">
        <v>24356.537609999999</v>
      </c>
    </row>
    <row r="1415" spans="1:17" x14ac:dyDescent="0.25">
      <c r="A1415" t="s">
        <v>5</v>
      </c>
      <c r="B1415" t="s">
        <v>6</v>
      </c>
      <c r="C1415" t="s">
        <v>261</v>
      </c>
      <c r="D1415" t="s">
        <v>229</v>
      </c>
      <c r="E1415" t="s">
        <v>230</v>
      </c>
      <c r="F1415">
        <v>103.7316699</v>
      </c>
      <c r="G1415">
        <v>115.9439814</v>
      </c>
      <c r="H1415">
        <v>126.7403616</v>
      </c>
      <c r="I1415">
        <v>136.7699375</v>
      </c>
      <c r="J1415">
        <v>146.2715168</v>
      </c>
      <c r="K1415">
        <v>155.1580026</v>
      </c>
      <c r="L1415">
        <v>163.5153881</v>
      </c>
      <c r="M1415">
        <v>171.30810959999999</v>
      </c>
      <c r="N1415">
        <v>178.27157740000001</v>
      </c>
      <c r="O1415">
        <v>184.2295661</v>
      </c>
      <c r="P1415">
        <v>189.11754959999999</v>
      </c>
      <c r="Q1415">
        <v>192.5345805</v>
      </c>
    </row>
    <row r="1416" spans="1:17" x14ac:dyDescent="0.25">
      <c r="A1416" t="s">
        <v>5</v>
      </c>
      <c r="B1416" t="s">
        <v>6</v>
      </c>
      <c r="C1416" t="s">
        <v>261</v>
      </c>
      <c r="D1416" t="s">
        <v>231</v>
      </c>
      <c r="E1416" t="s">
        <v>230</v>
      </c>
      <c r="F1416">
        <v>56.903790180000001</v>
      </c>
      <c r="G1416">
        <v>65.588972839999997</v>
      </c>
      <c r="H1416">
        <v>73.974763379999999</v>
      </c>
      <c r="I1416">
        <v>82.200382210000001</v>
      </c>
      <c r="J1416">
        <v>90.221454059999999</v>
      </c>
      <c r="K1416">
        <v>97.953872329999996</v>
      </c>
      <c r="L1416">
        <v>105.47519579999999</v>
      </c>
      <c r="M1416">
        <v>112.7222812</v>
      </c>
      <c r="N1416">
        <v>119.45778369999999</v>
      </c>
      <c r="O1416">
        <v>125.52315780000001</v>
      </c>
      <c r="P1416">
        <v>130.84773430000001</v>
      </c>
      <c r="Q1416">
        <v>134.9068662</v>
      </c>
    </row>
    <row r="1417" spans="1:17" x14ac:dyDescent="0.25">
      <c r="A1417" t="s">
        <v>5</v>
      </c>
      <c r="B1417" t="s">
        <v>6</v>
      </c>
      <c r="C1417" t="s">
        <v>261</v>
      </c>
      <c r="D1417" t="s">
        <v>232</v>
      </c>
      <c r="E1417" t="s">
        <v>230</v>
      </c>
      <c r="F1417">
        <v>30.97173991</v>
      </c>
      <c r="G1417">
        <v>35.990645790000002</v>
      </c>
      <c r="H1417">
        <v>40.916714990000003</v>
      </c>
      <c r="I1417">
        <v>45.793866559999998</v>
      </c>
      <c r="J1417">
        <v>50.572186420000001</v>
      </c>
      <c r="K1417">
        <v>55.20056056</v>
      </c>
      <c r="L1417">
        <v>59.725666259999997</v>
      </c>
      <c r="M1417">
        <v>64.106726230000007</v>
      </c>
      <c r="N1417">
        <v>68.201014560000004</v>
      </c>
      <c r="O1417">
        <v>71.913148890000002</v>
      </c>
      <c r="P1417">
        <v>75.199484100000006</v>
      </c>
      <c r="Q1417">
        <v>77.729706149999998</v>
      </c>
    </row>
    <row r="1418" spans="1:17" x14ac:dyDescent="0.25">
      <c r="A1418" t="s">
        <v>5</v>
      </c>
      <c r="B1418" t="s">
        <v>6</v>
      </c>
      <c r="C1418" t="s">
        <v>261</v>
      </c>
      <c r="D1418" t="s">
        <v>233</v>
      </c>
      <c r="E1418" t="s">
        <v>27</v>
      </c>
      <c r="F1418">
        <v>11.519863389999999</v>
      </c>
      <c r="G1418">
        <v>15.625639530000001</v>
      </c>
      <c r="H1418">
        <v>14.403021000000001</v>
      </c>
      <c r="I1418">
        <v>13.16431777</v>
      </c>
      <c r="J1418">
        <v>14.34659533</v>
      </c>
      <c r="K1418">
        <v>19.307199449999999</v>
      </c>
      <c r="L1418">
        <v>20.319971320000001</v>
      </c>
      <c r="M1418">
        <v>21.337046390000001</v>
      </c>
      <c r="N1418">
        <v>22.47503098</v>
      </c>
      <c r="O1418">
        <v>24.63025678</v>
      </c>
      <c r="P1418">
        <v>22.292108509999998</v>
      </c>
      <c r="Q1418">
        <v>23.67084247</v>
      </c>
    </row>
    <row r="1419" spans="1:17" x14ac:dyDescent="0.25">
      <c r="A1419" t="s">
        <v>5</v>
      </c>
      <c r="B1419" t="s">
        <v>6</v>
      </c>
      <c r="C1419" t="s">
        <v>261</v>
      </c>
      <c r="D1419" t="s">
        <v>234</v>
      </c>
      <c r="E1419" t="s">
        <v>27</v>
      </c>
      <c r="F1419">
        <v>160.7429526</v>
      </c>
      <c r="G1419">
        <v>281.63585999999998</v>
      </c>
      <c r="H1419">
        <v>194.0601949</v>
      </c>
      <c r="I1419">
        <v>191.80726000000001</v>
      </c>
      <c r="J1419">
        <v>188.9460942</v>
      </c>
      <c r="K1419">
        <v>270.84629919999998</v>
      </c>
      <c r="L1419">
        <v>278.30922839999999</v>
      </c>
      <c r="M1419">
        <v>279.88189740000001</v>
      </c>
      <c r="N1419">
        <v>277.53250029999998</v>
      </c>
      <c r="O1419">
        <v>279.91344709999998</v>
      </c>
      <c r="P1419">
        <v>298.75794869999999</v>
      </c>
      <c r="Q1419">
        <v>313.3425929</v>
      </c>
    </row>
    <row r="1420" spans="1:17" x14ac:dyDescent="0.25">
      <c r="A1420" t="s">
        <v>5</v>
      </c>
      <c r="B1420" t="s">
        <v>6</v>
      </c>
      <c r="C1420" t="s">
        <v>261</v>
      </c>
      <c r="D1420" t="s">
        <v>235</v>
      </c>
      <c r="E1420" t="s">
        <v>27</v>
      </c>
      <c r="F1420">
        <v>0.87212904599999996</v>
      </c>
      <c r="G1420">
        <v>1.195168901</v>
      </c>
      <c r="H1420">
        <v>1.1916201580000001</v>
      </c>
      <c r="I1420">
        <v>0.95610619200000002</v>
      </c>
      <c r="J1420">
        <v>1.180227004</v>
      </c>
      <c r="K1420">
        <v>1.3875308740000001</v>
      </c>
      <c r="L1420">
        <v>1.5819879370000001</v>
      </c>
      <c r="M1420">
        <v>1.8018030039999999</v>
      </c>
      <c r="N1420">
        <v>1.8785823180000001</v>
      </c>
      <c r="O1420">
        <v>1.8844743589999999</v>
      </c>
      <c r="P1420">
        <v>1.9266414679999999</v>
      </c>
      <c r="Q1420">
        <v>2.102582709</v>
      </c>
    </row>
    <row r="1421" spans="1:17" x14ac:dyDescent="0.25">
      <c r="A1421" t="s">
        <v>5</v>
      </c>
      <c r="B1421" t="s">
        <v>6</v>
      </c>
      <c r="C1421" t="s">
        <v>261</v>
      </c>
      <c r="D1421" t="s">
        <v>236</v>
      </c>
      <c r="E1421" t="s">
        <v>27</v>
      </c>
      <c r="F1421">
        <v>0.358802593</v>
      </c>
      <c r="G1421">
        <v>0.58371476200000005</v>
      </c>
      <c r="H1421">
        <v>0.52366293500000005</v>
      </c>
      <c r="I1421">
        <v>0.443323729</v>
      </c>
      <c r="J1421">
        <v>0.444387054</v>
      </c>
      <c r="K1421">
        <v>0.64443193499999996</v>
      </c>
      <c r="L1421">
        <v>0.73133590100000001</v>
      </c>
      <c r="M1421">
        <v>0.89073725699999995</v>
      </c>
      <c r="N1421">
        <v>0.94519707900000005</v>
      </c>
      <c r="O1421">
        <v>0.96847991899999997</v>
      </c>
      <c r="P1421">
        <v>0.99228892700000004</v>
      </c>
      <c r="Q1421">
        <v>1.105924014</v>
      </c>
    </row>
    <row r="1422" spans="1:17" x14ac:dyDescent="0.25">
      <c r="A1422" t="s">
        <v>5</v>
      </c>
      <c r="B1422" t="s">
        <v>6</v>
      </c>
      <c r="C1422" t="s">
        <v>261</v>
      </c>
      <c r="D1422" t="s">
        <v>237</v>
      </c>
      <c r="E1422" t="s">
        <v>27</v>
      </c>
      <c r="F1422">
        <v>0.70648136699999997</v>
      </c>
      <c r="G1422">
        <v>1.16199819</v>
      </c>
      <c r="H1422">
        <v>0.89635305399999998</v>
      </c>
      <c r="I1422">
        <v>0.89499017700000005</v>
      </c>
      <c r="J1422">
        <v>0.98749632300000001</v>
      </c>
      <c r="K1422">
        <v>1.2958947009999999</v>
      </c>
      <c r="L1422">
        <v>1.2993793220000001</v>
      </c>
      <c r="M1422">
        <v>1.265159551</v>
      </c>
      <c r="N1422">
        <v>1.2206181549999999</v>
      </c>
      <c r="O1422">
        <v>1.2021561489999999</v>
      </c>
      <c r="P1422">
        <v>1.272072941</v>
      </c>
      <c r="Q1422">
        <v>1.327520955</v>
      </c>
    </row>
    <row r="1423" spans="1:17" x14ac:dyDescent="0.25">
      <c r="A1423" t="s">
        <v>5</v>
      </c>
      <c r="B1423" t="s">
        <v>6</v>
      </c>
      <c r="C1423" t="s">
        <v>261</v>
      </c>
      <c r="D1423" t="s">
        <v>238</v>
      </c>
      <c r="E1423" t="s">
        <v>27</v>
      </c>
      <c r="F1423">
        <v>6.9521944900000001</v>
      </c>
      <c r="G1423">
        <v>12.037542739999999</v>
      </c>
      <c r="H1423">
        <v>7.2957138690000001</v>
      </c>
      <c r="I1423">
        <v>6.9984209819999998</v>
      </c>
      <c r="J1423">
        <v>6.9218951310000003</v>
      </c>
      <c r="K1423">
        <v>10.514035099999999</v>
      </c>
      <c r="L1423">
        <v>10.583828520000001</v>
      </c>
      <c r="M1423">
        <v>10.246699039999999</v>
      </c>
      <c r="N1423">
        <v>9.9198735009999996</v>
      </c>
      <c r="O1423">
        <v>9.7393495609999992</v>
      </c>
      <c r="P1423">
        <v>10.10177275</v>
      </c>
      <c r="Q1423">
        <v>10.329288500000001</v>
      </c>
    </row>
    <row r="1424" spans="1:17" x14ac:dyDescent="0.25">
      <c r="A1424" t="s">
        <v>5</v>
      </c>
      <c r="B1424" t="s">
        <v>6</v>
      </c>
      <c r="C1424" t="s">
        <v>261</v>
      </c>
      <c r="D1424" t="s">
        <v>239</v>
      </c>
      <c r="E1424" t="s">
        <v>27</v>
      </c>
      <c r="F1424">
        <v>3.695186514</v>
      </c>
      <c r="G1424">
        <v>6.2983178259999999</v>
      </c>
      <c r="H1424">
        <v>5.7938951169999999</v>
      </c>
      <c r="I1424">
        <v>7.7789604460000001</v>
      </c>
      <c r="J1424">
        <v>8.447468314</v>
      </c>
      <c r="K1424">
        <v>10.21985345</v>
      </c>
      <c r="L1424">
        <v>12.255328309999999</v>
      </c>
      <c r="M1424">
        <v>14.15165507</v>
      </c>
      <c r="N1424">
        <v>16.20145982</v>
      </c>
      <c r="O1424">
        <v>18.405427629999998</v>
      </c>
      <c r="P1424">
        <v>20.708619330000001</v>
      </c>
      <c r="Q1424">
        <v>22.665408530000001</v>
      </c>
    </row>
    <row r="1425" spans="1:17" x14ac:dyDescent="0.25">
      <c r="A1425" t="s">
        <v>5</v>
      </c>
      <c r="B1425" t="s">
        <v>6</v>
      </c>
      <c r="C1425" t="s">
        <v>261</v>
      </c>
      <c r="D1425" t="s">
        <v>240</v>
      </c>
      <c r="E1425" t="s">
        <v>27</v>
      </c>
      <c r="F1425">
        <v>2.0156036319999999</v>
      </c>
      <c r="G1425">
        <v>2.872183637</v>
      </c>
      <c r="H1425">
        <v>2.941041528</v>
      </c>
      <c r="I1425">
        <v>4.115142831</v>
      </c>
      <c r="J1425">
        <v>7.5731003240000003</v>
      </c>
      <c r="K1425">
        <v>12.493747170000001</v>
      </c>
      <c r="L1425">
        <v>18.47989531</v>
      </c>
      <c r="M1425">
        <v>25.38379539</v>
      </c>
      <c r="N1425">
        <v>33.182088870000001</v>
      </c>
      <c r="O1425">
        <v>41.33852357</v>
      </c>
      <c r="P1425">
        <v>47.00315105</v>
      </c>
      <c r="Q1425">
        <v>51.73248289</v>
      </c>
    </row>
    <row r="1426" spans="1:17" x14ac:dyDescent="0.25">
      <c r="A1426" t="s">
        <v>5</v>
      </c>
      <c r="B1426" t="s">
        <v>6</v>
      </c>
      <c r="C1426" t="s">
        <v>261</v>
      </c>
      <c r="D1426" t="s">
        <v>241</v>
      </c>
      <c r="E1426" t="s">
        <v>27</v>
      </c>
      <c r="F1426">
        <v>0.37622558900000003</v>
      </c>
      <c r="G1426">
        <v>0.52144638399999999</v>
      </c>
      <c r="H1426">
        <v>0.56787385499999998</v>
      </c>
      <c r="I1426">
        <v>0.77953494800000001</v>
      </c>
      <c r="J1426">
        <v>0.78143522099999996</v>
      </c>
      <c r="K1426">
        <v>0.94746217700000002</v>
      </c>
      <c r="L1426">
        <v>1.126956198</v>
      </c>
      <c r="M1426">
        <v>1.3090319070000001</v>
      </c>
      <c r="N1426">
        <v>1.5178417639999999</v>
      </c>
      <c r="O1426">
        <v>1.714341806</v>
      </c>
      <c r="P1426">
        <v>1.898176095</v>
      </c>
      <c r="Q1426">
        <v>2.0648727710000001</v>
      </c>
    </row>
    <row r="1427" spans="1:17" x14ac:dyDescent="0.25">
      <c r="A1427" t="s">
        <v>5</v>
      </c>
      <c r="B1427" t="s">
        <v>6</v>
      </c>
      <c r="C1427" t="s">
        <v>261</v>
      </c>
      <c r="D1427" t="s">
        <v>242</v>
      </c>
      <c r="E1427" t="s">
        <v>27</v>
      </c>
      <c r="F1427">
        <v>7.9574198999999998E-2</v>
      </c>
      <c r="G1427">
        <v>0.11315747800000001</v>
      </c>
      <c r="H1427">
        <v>0.12628777099999999</v>
      </c>
      <c r="I1427">
        <v>0.194503915</v>
      </c>
      <c r="J1427">
        <v>0.18331029200000001</v>
      </c>
      <c r="K1427">
        <v>0.22490981299999999</v>
      </c>
      <c r="L1427">
        <v>0.27618730000000002</v>
      </c>
      <c r="M1427">
        <v>0.33395442199999997</v>
      </c>
      <c r="N1427">
        <v>0.399389836</v>
      </c>
      <c r="O1427">
        <v>0.46668495500000001</v>
      </c>
      <c r="P1427">
        <v>0.53069538900000002</v>
      </c>
      <c r="Q1427">
        <v>0.58925205599999997</v>
      </c>
    </row>
    <row r="1428" spans="1:17" x14ac:dyDescent="0.25">
      <c r="A1428" t="s">
        <v>5</v>
      </c>
      <c r="B1428" t="s">
        <v>6</v>
      </c>
      <c r="C1428" t="s">
        <v>261</v>
      </c>
      <c r="D1428" t="s">
        <v>243</v>
      </c>
      <c r="E1428" t="s">
        <v>27</v>
      </c>
      <c r="F1428">
        <v>4.7429203000000003E-2</v>
      </c>
      <c r="G1428">
        <v>6.8907540000000003E-2</v>
      </c>
      <c r="H1428">
        <v>7.0125528000000006E-2</v>
      </c>
      <c r="I1428">
        <v>0.105659155</v>
      </c>
      <c r="J1428">
        <v>0.11712043699999999</v>
      </c>
      <c r="K1428">
        <v>0.15168045799999999</v>
      </c>
      <c r="L1428">
        <v>0.18458333099999999</v>
      </c>
      <c r="M1428">
        <v>0.210109456</v>
      </c>
      <c r="N1428">
        <v>0.22231089600000001</v>
      </c>
      <c r="O1428">
        <v>0.22073063200000001</v>
      </c>
      <c r="P1428">
        <v>0.24389435400000001</v>
      </c>
      <c r="Q1428">
        <v>0.270227145</v>
      </c>
    </row>
    <row r="1429" spans="1:17" x14ac:dyDescent="0.25">
      <c r="A1429" t="s">
        <v>5</v>
      </c>
      <c r="B1429" t="s">
        <v>6</v>
      </c>
      <c r="C1429" t="s">
        <v>261</v>
      </c>
      <c r="D1429" t="s">
        <v>244</v>
      </c>
      <c r="E1429" t="s">
        <v>27</v>
      </c>
      <c r="F1429">
        <v>0.37964889400000001</v>
      </c>
      <c r="G1429">
        <v>0.64523354700000002</v>
      </c>
      <c r="H1429">
        <v>0.56783458200000003</v>
      </c>
      <c r="I1429">
        <v>0.72161245399999996</v>
      </c>
      <c r="J1429">
        <v>0.80034582899999995</v>
      </c>
      <c r="K1429">
        <v>0.96602166499999997</v>
      </c>
      <c r="L1429">
        <v>1.140973754</v>
      </c>
      <c r="M1429">
        <v>1.315981826</v>
      </c>
      <c r="N1429">
        <v>1.4809630659999999</v>
      </c>
      <c r="O1429">
        <v>1.631135701</v>
      </c>
      <c r="P1429">
        <v>1.804807917</v>
      </c>
      <c r="Q1429">
        <v>1.9669156000000001</v>
      </c>
    </row>
    <row r="1430" spans="1:17" x14ac:dyDescent="0.25">
      <c r="A1430" t="s">
        <v>5</v>
      </c>
      <c r="B1430" t="s">
        <v>6</v>
      </c>
      <c r="C1430" t="s">
        <v>261</v>
      </c>
      <c r="D1430" t="s">
        <v>245</v>
      </c>
      <c r="E1430" t="s">
        <v>27</v>
      </c>
      <c r="F1430">
        <v>0.19906051899999999</v>
      </c>
      <c r="G1430">
        <v>0.25031357399999998</v>
      </c>
      <c r="H1430">
        <v>0.305910666</v>
      </c>
      <c r="I1430">
        <v>0.45107027900000002</v>
      </c>
      <c r="J1430">
        <v>0.58522597300000001</v>
      </c>
      <c r="K1430">
        <v>0.84934109400000002</v>
      </c>
      <c r="L1430">
        <v>1.1850528119999999</v>
      </c>
      <c r="M1430">
        <v>1.5767605760000001</v>
      </c>
      <c r="N1430">
        <v>2.0478367519999998</v>
      </c>
      <c r="O1430">
        <v>2.5739301779999999</v>
      </c>
      <c r="P1430">
        <v>2.9518759320000001</v>
      </c>
      <c r="Q1430">
        <v>3.2660031909999998</v>
      </c>
    </row>
    <row r="1431" spans="1:17" x14ac:dyDescent="0.25">
      <c r="A1431" t="s">
        <v>5</v>
      </c>
      <c r="B1431" t="s">
        <v>6</v>
      </c>
      <c r="C1431" t="s">
        <v>261</v>
      </c>
      <c r="D1431" t="s">
        <v>246</v>
      </c>
      <c r="E1431" t="s">
        <v>27</v>
      </c>
      <c r="F1431">
        <v>0</v>
      </c>
      <c r="G1431">
        <v>0</v>
      </c>
      <c r="H1431">
        <v>0</v>
      </c>
      <c r="I1431">
        <v>0.271510317</v>
      </c>
      <c r="J1431">
        <v>2.5356951759999999</v>
      </c>
      <c r="K1431">
        <v>5.839690279</v>
      </c>
      <c r="L1431">
        <v>10.119486220000001</v>
      </c>
      <c r="M1431">
        <v>15.5043846</v>
      </c>
      <c r="N1431">
        <v>22.097997929999998</v>
      </c>
      <c r="O1431">
        <v>29.35050395</v>
      </c>
      <c r="P1431">
        <v>33.570884829999997</v>
      </c>
      <c r="Q1431">
        <v>36.941907190000002</v>
      </c>
    </row>
    <row r="1432" spans="1:17" x14ac:dyDescent="0.25">
      <c r="A1432" t="s">
        <v>5</v>
      </c>
      <c r="B1432" t="s">
        <v>6</v>
      </c>
      <c r="C1432" t="s">
        <v>261</v>
      </c>
      <c r="D1432" t="s">
        <v>247</v>
      </c>
      <c r="E1432" t="s">
        <v>27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</row>
    <row r="1433" spans="1:17" x14ac:dyDescent="0.25">
      <c r="A1433" t="s">
        <v>5</v>
      </c>
      <c r="B1433" t="s">
        <v>6</v>
      </c>
      <c r="C1433" t="s">
        <v>261</v>
      </c>
      <c r="D1433" t="s">
        <v>248</v>
      </c>
      <c r="E1433" t="s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</row>
    <row r="1434" spans="1:17" x14ac:dyDescent="0.25">
      <c r="A1434" t="s">
        <v>5</v>
      </c>
      <c r="B1434" t="s">
        <v>6</v>
      </c>
      <c r="C1434" t="s">
        <v>261</v>
      </c>
      <c r="D1434" t="s">
        <v>249</v>
      </c>
      <c r="E1434" t="s">
        <v>27</v>
      </c>
      <c r="F1434">
        <v>8.5950130000000003E-3</v>
      </c>
      <c r="G1434">
        <v>1.0511064000000001E-2</v>
      </c>
      <c r="H1434">
        <v>1.271397E-2</v>
      </c>
      <c r="I1434">
        <v>2.3734241999999999E-2</v>
      </c>
      <c r="J1434">
        <v>6.5183880999999999E-2</v>
      </c>
      <c r="K1434">
        <v>0.13380381199999999</v>
      </c>
      <c r="L1434">
        <v>0.22441369799999999</v>
      </c>
      <c r="M1434">
        <v>0.33968977700000003</v>
      </c>
      <c r="N1434">
        <v>0.48148954300000002</v>
      </c>
      <c r="O1434">
        <v>0.63481579200000005</v>
      </c>
      <c r="P1434">
        <v>0.72500833200000003</v>
      </c>
      <c r="Q1434">
        <v>0.79944548500000001</v>
      </c>
    </row>
    <row r="1435" spans="1:17" x14ac:dyDescent="0.25">
      <c r="A1435" t="s">
        <v>5</v>
      </c>
      <c r="B1435" t="s">
        <v>6</v>
      </c>
      <c r="C1435" t="s">
        <v>261</v>
      </c>
      <c r="D1435" t="s">
        <v>250</v>
      </c>
      <c r="E1435" t="s">
        <v>27</v>
      </c>
      <c r="F1435">
        <v>0.167318048</v>
      </c>
      <c r="G1435">
        <v>0.20261289599999999</v>
      </c>
      <c r="H1435">
        <v>0.23776994800000001</v>
      </c>
      <c r="I1435">
        <v>0.30938091600000001</v>
      </c>
      <c r="J1435">
        <v>0.52031000299999997</v>
      </c>
      <c r="K1435">
        <v>0.81654483</v>
      </c>
      <c r="L1435">
        <v>1.1838425210000001</v>
      </c>
      <c r="M1435">
        <v>1.6296153069999999</v>
      </c>
      <c r="N1435">
        <v>2.1585007690000002</v>
      </c>
      <c r="O1435">
        <v>2.7283037330000002</v>
      </c>
      <c r="P1435">
        <v>3.0733474260000002</v>
      </c>
      <c r="Q1435">
        <v>3.3492347169999999</v>
      </c>
    </row>
    <row r="1436" spans="1:17" x14ac:dyDescent="0.25">
      <c r="A1436" t="s">
        <v>5</v>
      </c>
      <c r="B1436" t="s">
        <v>6</v>
      </c>
      <c r="C1436" t="s">
        <v>261</v>
      </c>
      <c r="D1436" t="s">
        <v>251</v>
      </c>
      <c r="E1436" t="s">
        <v>27</v>
      </c>
      <c r="F1436">
        <v>1.0831675439999999</v>
      </c>
      <c r="G1436">
        <v>1.378272964</v>
      </c>
      <c r="H1436">
        <v>1.689784814</v>
      </c>
      <c r="I1436">
        <v>2.6494668290000001</v>
      </c>
      <c r="J1436">
        <v>2.2038602389999999</v>
      </c>
      <c r="K1436">
        <v>2.2542491249999999</v>
      </c>
      <c r="L1436">
        <v>2.2790746030000002</v>
      </c>
      <c r="M1436">
        <v>2.0930831919999999</v>
      </c>
      <c r="N1436">
        <v>1.777646904</v>
      </c>
      <c r="O1436">
        <v>1.497667262</v>
      </c>
      <c r="P1436">
        <v>1.7218957800000001</v>
      </c>
      <c r="Q1436">
        <v>1.9340660940000001</v>
      </c>
    </row>
    <row r="1437" spans="1:17" x14ac:dyDescent="0.25">
      <c r="A1437" t="s">
        <v>5</v>
      </c>
      <c r="B1437" t="s">
        <v>6</v>
      </c>
      <c r="C1437" t="s">
        <v>261</v>
      </c>
      <c r="D1437" t="s">
        <v>252</v>
      </c>
      <c r="E1437" t="s">
        <v>27</v>
      </c>
      <c r="F1437">
        <v>33.977318369999999</v>
      </c>
      <c r="G1437">
        <v>41.354464530000001</v>
      </c>
      <c r="H1437">
        <v>49.395671659999998</v>
      </c>
      <c r="I1437">
        <v>61.962233169999998</v>
      </c>
      <c r="J1437">
        <v>62.540759250000001</v>
      </c>
      <c r="K1437">
        <v>65.881103920000001</v>
      </c>
      <c r="L1437">
        <v>70.051479929999999</v>
      </c>
      <c r="M1437">
        <v>72.324033259999993</v>
      </c>
      <c r="N1437">
        <v>73.119190189999998</v>
      </c>
      <c r="O1437">
        <v>74.698278979999998</v>
      </c>
      <c r="P1437">
        <v>84.210116639999995</v>
      </c>
      <c r="Q1437">
        <v>92.82635295</v>
      </c>
    </row>
    <row r="1438" spans="1:17" x14ac:dyDescent="0.25">
      <c r="A1438" t="s">
        <v>5</v>
      </c>
      <c r="B1438" t="s">
        <v>6</v>
      </c>
      <c r="C1438" t="s">
        <v>261</v>
      </c>
      <c r="D1438" t="s">
        <v>253</v>
      </c>
      <c r="E1438" t="s">
        <v>27</v>
      </c>
      <c r="F1438">
        <v>5.4046694999999999E-2</v>
      </c>
      <c r="G1438">
        <v>6.9665412999999995E-2</v>
      </c>
      <c r="H1438">
        <v>8.7774349000000002E-2</v>
      </c>
      <c r="I1438">
        <v>0.219006541</v>
      </c>
      <c r="J1438">
        <v>0.12476229799999999</v>
      </c>
      <c r="K1438">
        <v>0.147460907</v>
      </c>
      <c r="L1438">
        <v>0.173645772</v>
      </c>
      <c r="M1438">
        <v>0.20213449</v>
      </c>
      <c r="N1438">
        <v>0.236242857</v>
      </c>
      <c r="O1438">
        <v>0.26807288899999998</v>
      </c>
      <c r="P1438">
        <v>0.29833563600000002</v>
      </c>
      <c r="Q1438">
        <v>0.32371535200000001</v>
      </c>
    </row>
    <row r="1439" spans="1:17" x14ac:dyDescent="0.25">
      <c r="A1439" t="s">
        <v>5</v>
      </c>
      <c r="B1439" t="s">
        <v>6</v>
      </c>
      <c r="C1439" t="s">
        <v>261</v>
      </c>
      <c r="D1439" t="s">
        <v>254</v>
      </c>
      <c r="E1439" t="s">
        <v>27</v>
      </c>
      <c r="F1439">
        <v>3.4239176000000003E-2</v>
      </c>
      <c r="G1439">
        <v>4.5064034000000003E-2</v>
      </c>
      <c r="H1439">
        <v>5.7474749999999998E-2</v>
      </c>
      <c r="I1439">
        <v>8.5222225999999998E-2</v>
      </c>
      <c r="J1439">
        <v>7.9396115000000003E-2</v>
      </c>
      <c r="K1439">
        <v>9.0699109E-2</v>
      </c>
      <c r="L1439">
        <v>0.105442391</v>
      </c>
      <c r="M1439">
        <v>0.120416801</v>
      </c>
      <c r="N1439">
        <v>0.13547963800000001</v>
      </c>
      <c r="O1439">
        <v>0.148694363</v>
      </c>
      <c r="P1439">
        <v>0.16796425100000001</v>
      </c>
      <c r="Q1439">
        <v>0.18654168900000001</v>
      </c>
    </row>
    <row r="1440" spans="1:17" x14ac:dyDescent="0.25">
      <c r="A1440" t="s">
        <v>5</v>
      </c>
      <c r="B1440" t="s">
        <v>6</v>
      </c>
      <c r="C1440" t="s">
        <v>261</v>
      </c>
      <c r="D1440" t="s">
        <v>255</v>
      </c>
      <c r="E1440" t="s">
        <v>27</v>
      </c>
      <c r="F1440">
        <v>0.15885110299999999</v>
      </c>
      <c r="G1440">
        <v>0.19474941900000001</v>
      </c>
      <c r="H1440">
        <v>0.23572126299999999</v>
      </c>
      <c r="I1440">
        <v>0.33835441799999999</v>
      </c>
      <c r="J1440">
        <v>0.25762530900000002</v>
      </c>
      <c r="K1440">
        <v>0.23962625200000001</v>
      </c>
      <c r="L1440">
        <v>0.21198256200000001</v>
      </c>
      <c r="M1440">
        <v>0.176092998</v>
      </c>
      <c r="N1440">
        <v>0.13433185</v>
      </c>
      <c r="O1440">
        <v>9.5200081000000006E-2</v>
      </c>
      <c r="P1440">
        <v>9.7286037000000006E-2</v>
      </c>
      <c r="Q1440">
        <v>0.105982495</v>
      </c>
    </row>
    <row r="1441" spans="1:17" x14ac:dyDescent="0.25">
      <c r="A1441" t="s">
        <v>5</v>
      </c>
      <c r="B1441" t="s">
        <v>6</v>
      </c>
      <c r="C1441" t="s">
        <v>261</v>
      </c>
      <c r="D1441" t="s">
        <v>256</v>
      </c>
      <c r="E1441" t="s">
        <v>27</v>
      </c>
      <c r="F1441">
        <v>1.1268943360000001</v>
      </c>
      <c r="G1441">
        <v>1.3648670089999999</v>
      </c>
      <c r="H1441">
        <v>1.60141427</v>
      </c>
      <c r="I1441">
        <v>1.914526967</v>
      </c>
      <c r="J1441">
        <v>1.938027468</v>
      </c>
      <c r="K1441">
        <v>1.948354251</v>
      </c>
      <c r="L1441">
        <v>1.9337847640000001</v>
      </c>
      <c r="M1441">
        <v>1.888435477</v>
      </c>
      <c r="N1441">
        <v>1.808131573</v>
      </c>
      <c r="O1441">
        <v>1.7313096729999999</v>
      </c>
      <c r="P1441">
        <v>1.8803805339999999</v>
      </c>
      <c r="Q1441">
        <v>2.0494577039999999</v>
      </c>
    </row>
    <row r="1442" spans="1:17" x14ac:dyDescent="0.25">
      <c r="A1442" t="s">
        <v>5</v>
      </c>
      <c r="B1442" t="s">
        <v>6</v>
      </c>
      <c r="C1442" t="s">
        <v>262</v>
      </c>
      <c r="D1442" t="s">
        <v>8</v>
      </c>
      <c r="E1442" t="s">
        <v>9</v>
      </c>
      <c r="F1442">
        <v>18879.325130000001</v>
      </c>
      <c r="G1442">
        <v>17962.38034</v>
      </c>
      <c r="H1442">
        <v>29460.510999999999</v>
      </c>
      <c r="I1442">
        <v>37304.518029999999</v>
      </c>
      <c r="J1442">
        <v>45408.86679</v>
      </c>
      <c r="K1442">
        <v>49648.551720000003</v>
      </c>
      <c r="L1442">
        <v>61265.555110000001</v>
      </c>
      <c r="M1442">
        <v>69678.894820000001</v>
      </c>
      <c r="N1442">
        <v>76492.176359999998</v>
      </c>
      <c r="O1442">
        <v>83877.820309999996</v>
      </c>
      <c r="P1442">
        <v>90074.178899999999</v>
      </c>
      <c r="Q1442">
        <v>95337.411210000006</v>
      </c>
    </row>
    <row r="1443" spans="1:17" x14ac:dyDescent="0.25">
      <c r="A1443" t="s">
        <v>5</v>
      </c>
      <c r="B1443" t="s">
        <v>6</v>
      </c>
      <c r="C1443" t="s">
        <v>262</v>
      </c>
      <c r="D1443" t="s">
        <v>10</v>
      </c>
      <c r="E1443" t="s">
        <v>9</v>
      </c>
      <c r="F1443">
        <v>581.71431829999995</v>
      </c>
      <c r="G1443">
        <v>441.75487299999998</v>
      </c>
      <c r="H1443">
        <v>573.13539930000002</v>
      </c>
      <c r="I1443">
        <v>624.01482309999994</v>
      </c>
      <c r="J1443">
        <v>801.0005635</v>
      </c>
      <c r="K1443">
        <v>729.67832669999996</v>
      </c>
      <c r="L1443">
        <v>793.15951110000003</v>
      </c>
      <c r="M1443">
        <v>749.54125050000005</v>
      </c>
      <c r="N1443">
        <v>752.55761559999996</v>
      </c>
      <c r="O1443">
        <v>754.79205720000004</v>
      </c>
      <c r="P1443">
        <v>732.12700170000005</v>
      </c>
      <c r="Q1443">
        <v>714.81283540000004</v>
      </c>
    </row>
    <row r="1444" spans="1:17" x14ac:dyDescent="0.25">
      <c r="A1444" t="s">
        <v>5</v>
      </c>
      <c r="B1444" t="s">
        <v>6</v>
      </c>
      <c r="C1444" t="s">
        <v>262</v>
      </c>
      <c r="D1444" t="s">
        <v>11</v>
      </c>
      <c r="E1444" t="s">
        <v>9</v>
      </c>
      <c r="F1444">
        <v>59148.734550000001</v>
      </c>
      <c r="G1444">
        <v>95722.785980000001</v>
      </c>
      <c r="H1444">
        <v>108309.2634</v>
      </c>
      <c r="I1444">
        <v>80941.24007</v>
      </c>
      <c r="J1444">
        <v>123746.0724</v>
      </c>
      <c r="K1444">
        <v>94312.731079999998</v>
      </c>
      <c r="L1444">
        <v>101395.9844</v>
      </c>
      <c r="M1444">
        <v>90158.681370000006</v>
      </c>
      <c r="N1444">
        <v>88570.767500000002</v>
      </c>
      <c r="O1444">
        <v>81705.060750000004</v>
      </c>
      <c r="P1444">
        <v>77738.378169999996</v>
      </c>
      <c r="Q1444">
        <v>74318.728640000001</v>
      </c>
    </row>
    <row r="1445" spans="1:17" x14ac:dyDescent="0.25">
      <c r="A1445" t="s">
        <v>5</v>
      </c>
      <c r="B1445" t="s">
        <v>6</v>
      </c>
      <c r="C1445" t="s">
        <v>262</v>
      </c>
      <c r="D1445" t="s">
        <v>12</v>
      </c>
      <c r="E1445" t="s">
        <v>9</v>
      </c>
      <c r="F1445">
        <v>3215.6050049999999</v>
      </c>
      <c r="G1445">
        <v>3873.198907</v>
      </c>
      <c r="H1445">
        <v>6024.776167</v>
      </c>
      <c r="I1445">
        <v>6180.4832329999999</v>
      </c>
      <c r="J1445">
        <v>7717.4148269999996</v>
      </c>
      <c r="K1445">
        <v>8377.1169260000006</v>
      </c>
      <c r="L1445">
        <v>9167.1071499999998</v>
      </c>
      <c r="M1445">
        <v>10313.64321</v>
      </c>
      <c r="N1445">
        <v>10974.9804</v>
      </c>
      <c r="O1445">
        <v>11471.316269999999</v>
      </c>
      <c r="P1445">
        <v>12165.362289999999</v>
      </c>
      <c r="Q1445">
        <v>12682.98927</v>
      </c>
    </row>
    <row r="1446" spans="1:17" x14ac:dyDescent="0.25">
      <c r="A1446" t="s">
        <v>5</v>
      </c>
      <c r="B1446" t="s">
        <v>6</v>
      </c>
      <c r="C1446" t="s">
        <v>262</v>
      </c>
      <c r="D1446" t="s">
        <v>13</v>
      </c>
      <c r="E1446" t="s">
        <v>9</v>
      </c>
      <c r="F1446">
        <v>1.444657356</v>
      </c>
      <c r="G1446">
        <v>1.882358985</v>
      </c>
      <c r="H1446">
        <v>3.0473251050000001</v>
      </c>
      <c r="I1446">
        <v>2.0417511039999998</v>
      </c>
      <c r="J1446">
        <v>3.2140825230000001</v>
      </c>
      <c r="K1446">
        <v>2.2958551620000001</v>
      </c>
      <c r="L1446">
        <v>2.5590558419999998</v>
      </c>
      <c r="M1446">
        <v>2.5801485049999999</v>
      </c>
      <c r="N1446">
        <v>2.5697807849999998</v>
      </c>
      <c r="O1446">
        <v>2.5608493609999998</v>
      </c>
      <c r="P1446">
        <v>2.3442317510000001</v>
      </c>
      <c r="Q1446">
        <v>2.045148669</v>
      </c>
    </row>
    <row r="1447" spans="1:17" x14ac:dyDescent="0.25">
      <c r="A1447" t="s">
        <v>5</v>
      </c>
      <c r="B1447" t="s">
        <v>6</v>
      </c>
      <c r="C1447" t="s">
        <v>262</v>
      </c>
      <c r="D1447" t="s">
        <v>14</v>
      </c>
      <c r="E1447" t="s">
        <v>9</v>
      </c>
      <c r="F1447">
        <v>0.85727660100000003</v>
      </c>
      <c r="G1447">
        <v>0.76152163299999998</v>
      </c>
      <c r="H1447">
        <v>0.88048466400000003</v>
      </c>
      <c r="I1447">
        <v>1.105907288</v>
      </c>
      <c r="J1447">
        <v>1.317647674</v>
      </c>
      <c r="K1447">
        <v>1.510423117</v>
      </c>
      <c r="L1447">
        <v>1.744323753</v>
      </c>
      <c r="M1447">
        <v>2.021597238</v>
      </c>
      <c r="N1447">
        <v>1.8789188720000001</v>
      </c>
      <c r="O1447">
        <v>1.4355034099999999</v>
      </c>
      <c r="P1447">
        <v>1.4839763749999999</v>
      </c>
      <c r="Q1447">
        <v>1.61169579</v>
      </c>
    </row>
    <row r="1448" spans="1:17" x14ac:dyDescent="0.25">
      <c r="A1448" t="s">
        <v>5</v>
      </c>
      <c r="B1448" t="s">
        <v>6</v>
      </c>
      <c r="C1448" t="s">
        <v>262</v>
      </c>
      <c r="D1448" t="s">
        <v>15</v>
      </c>
      <c r="E1448" t="s">
        <v>9</v>
      </c>
      <c r="F1448">
        <v>0.18637572199999999</v>
      </c>
      <c r="G1448">
        <v>0.34359093800000001</v>
      </c>
      <c r="H1448">
        <v>0.563639573</v>
      </c>
      <c r="I1448">
        <v>0.94745210700000004</v>
      </c>
      <c r="J1448">
        <v>0.80491093700000005</v>
      </c>
      <c r="K1448">
        <v>0.662993634</v>
      </c>
      <c r="L1448">
        <v>0.82301674700000005</v>
      </c>
      <c r="M1448">
        <v>1.063226285</v>
      </c>
      <c r="N1448">
        <v>1.453508155</v>
      </c>
      <c r="O1448">
        <v>1.5651864710000001</v>
      </c>
      <c r="P1448">
        <v>1.6390590169999999</v>
      </c>
      <c r="Q1448">
        <v>1.8145486850000001</v>
      </c>
    </row>
    <row r="1449" spans="1:17" x14ac:dyDescent="0.25">
      <c r="A1449" t="s">
        <v>5</v>
      </c>
      <c r="B1449" t="s">
        <v>6</v>
      </c>
      <c r="C1449" t="s">
        <v>262</v>
      </c>
      <c r="D1449" t="s">
        <v>16</v>
      </c>
      <c r="E1449" t="s">
        <v>9</v>
      </c>
      <c r="F1449">
        <v>9.6653322999999999E-2</v>
      </c>
      <c r="G1449">
        <v>0.16153811700000001</v>
      </c>
      <c r="H1449">
        <v>0.260495541</v>
      </c>
      <c r="I1449">
        <v>0.30853223200000002</v>
      </c>
      <c r="J1449">
        <v>0.24909851099999999</v>
      </c>
      <c r="K1449">
        <v>0.22409195100000001</v>
      </c>
      <c r="L1449">
        <v>0.26200214100000002</v>
      </c>
      <c r="M1449">
        <v>0.30157781</v>
      </c>
      <c r="N1449">
        <v>0.35340412300000001</v>
      </c>
      <c r="O1449">
        <v>0.34455354500000002</v>
      </c>
      <c r="P1449">
        <v>0.33302842900000001</v>
      </c>
      <c r="Q1449">
        <v>0.34347978299999998</v>
      </c>
    </row>
    <row r="1450" spans="1:17" x14ac:dyDescent="0.25">
      <c r="A1450" t="s">
        <v>5</v>
      </c>
      <c r="B1450" t="s">
        <v>6</v>
      </c>
      <c r="C1450" t="s">
        <v>262</v>
      </c>
      <c r="D1450" t="s">
        <v>17</v>
      </c>
      <c r="E1450" t="s">
        <v>9</v>
      </c>
      <c r="F1450">
        <v>6.8814985279999998</v>
      </c>
      <c r="G1450">
        <v>4.0443036079999999</v>
      </c>
      <c r="H1450">
        <v>6.72097999</v>
      </c>
      <c r="I1450">
        <v>8.9221602279999992</v>
      </c>
      <c r="J1450">
        <v>7.3368041929999999</v>
      </c>
      <c r="K1450">
        <v>7.289553121</v>
      </c>
      <c r="L1450">
        <v>7.0812135759999997</v>
      </c>
      <c r="M1450">
        <v>7.0305165399999998</v>
      </c>
      <c r="N1450">
        <v>7.0046912179999996</v>
      </c>
      <c r="O1450">
        <v>6.986433152</v>
      </c>
      <c r="P1450">
        <v>7.0953009319999998</v>
      </c>
      <c r="Q1450">
        <v>7.275832071</v>
      </c>
    </row>
    <row r="1451" spans="1:17" x14ac:dyDescent="0.25">
      <c r="A1451" t="s">
        <v>5</v>
      </c>
      <c r="B1451" t="s">
        <v>6</v>
      </c>
      <c r="C1451" t="s">
        <v>262</v>
      </c>
      <c r="D1451" t="s">
        <v>18</v>
      </c>
      <c r="E1451" t="s">
        <v>19</v>
      </c>
      <c r="F1451">
        <v>1131988325</v>
      </c>
      <c r="G1451">
        <v>1335543189</v>
      </c>
      <c r="H1451">
        <v>1366938236</v>
      </c>
      <c r="I1451">
        <v>1148954575</v>
      </c>
      <c r="J1451">
        <v>1420645067</v>
      </c>
      <c r="K1451">
        <v>1494782545</v>
      </c>
      <c r="L1451">
        <v>1537923895</v>
      </c>
      <c r="M1451">
        <v>1550378271</v>
      </c>
      <c r="N1451">
        <v>1564762315</v>
      </c>
      <c r="O1451">
        <v>1558087006</v>
      </c>
      <c r="P1451">
        <v>1511718538</v>
      </c>
      <c r="Q1451">
        <v>1517801877</v>
      </c>
    </row>
    <row r="1452" spans="1:17" x14ac:dyDescent="0.25">
      <c r="A1452" t="s">
        <v>5</v>
      </c>
      <c r="B1452" t="s">
        <v>6</v>
      </c>
      <c r="C1452" t="s">
        <v>262</v>
      </c>
      <c r="D1452" t="s">
        <v>20</v>
      </c>
      <c r="E1452" t="s">
        <v>19</v>
      </c>
      <c r="F1452">
        <v>573173441.5</v>
      </c>
      <c r="G1452">
        <v>646978754.79999995</v>
      </c>
      <c r="H1452">
        <v>749877748.60000002</v>
      </c>
      <c r="I1452">
        <v>699784956.20000005</v>
      </c>
      <c r="J1452">
        <v>851717143.10000002</v>
      </c>
      <c r="K1452">
        <v>931961574</v>
      </c>
      <c r="L1452">
        <v>1009710038</v>
      </c>
      <c r="M1452">
        <v>1059221963</v>
      </c>
      <c r="N1452">
        <v>1103724652</v>
      </c>
      <c r="O1452">
        <v>1127508498</v>
      </c>
      <c r="P1452">
        <v>1104623032</v>
      </c>
      <c r="Q1452">
        <v>1134008558</v>
      </c>
    </row>
    <row r="1453" spans="1:17" x14ac:dyDescent="0.25">
      <c r="A1453" t="s">
        <v>5</v>
      </c>
      <c r="B1453" t="s">
        <v>6</v>
      </c>
      <c r="C1453" t="s">
        <v>262</v>
      </c>
      <c r="D1453" t="s">
        <v>21</v>
      </c>
      <c r="E1453" t="s">
        <v>19</v>
      </c>
      <c r="F1453">
        <v>209771104.30000001</v>
      </c>
      <c r="G1453">
        <v>240131013.90000001</v>
      </c>
      <c r="H1453">
        <v>285682715.10000002</v>
      </c>
      <c r="I1453">
        <v>267768669.30000001</v>
      </c>
      <c r="J1453">
        <v>328629054.30000001</v>
      </c>
      <c r="K1453">
        <v>361689056.60000002</v>
      </c>
      <c r="L1453">
        <v>394206858.30000001</v>
      </c>
      <c r="M1453">
        <v>416450426.69999999</v>
      </c>
      <c r="N1453">
        <v>436656624.69999999</v>
      </c>
      <c r="O1453">
        <v>449780898.10000002</v>
      </c>
      <c r="P1453">
        <v>447566220</v>
      </c>
      <c r="Q1453">
        <v>463584191.69999999</v>
      </c>
    </row>
    <row r="1454" spans="1:17" x14ac:dyDescent="0.25">
      <c r="A1454" t="s">
        <v>5</v>
      </c>
      <c r="B1454" t="s">
        <v>6</v>
      </c>
      <c r="C1454" t="s">
        <v>262</v>
      </c>
      <c r="D1454" t="s">
        <v>22</v>
      </c>
      <c r="E1454" t="s">
        <v>19</v>
      </c>
      <c r="F1454">
        <v>45775332.630000003</v>
      </c>
      <c r="G1454">
        <v>56703737.399999999</v>
      </c>
      <c r="H1454">
        <v>85130208.310000002</v>
      </c>
      <c r="I1454">
        <v>145591510</v>
      </c>
      <c r="J1454">
        <v>235060108.09999999</v>
      </c>
      <c r="K1454">
        <v>294814866.39999998</v>
      </c>
      <c r="L1454">
        <v>337473065.60000002</v>
      </c>
      <c r="M1454">
        <v>373760679.39999998</v>
      </c>
      <c r="N1454">
        <v>404148495.10000002</v>
      </c>
      <c r="O1454">
        <v>430230238.30000001</v>
      </c>
      <c r="P1454">
        <v>479232024.39999998</v>
      </c>
      <c r="Q1454">
        <v>524714838.80000001</v>
      </c>
    </row>
    <row r="1455" spans="1:17" x14ac:dyDescent="0.25">
      <c r="A1455" t="s">
        <v>5</v>
      </c>
      <c r="B1455" t="s">
        <v>6</v>
      </c>
      <c r="C1455" t="s">
        <v>262</v>
      </c>
      <c r="D1455" t="s">
        <v>23</v>
      </c>
      <c r="E1455" t="s">
        <v>19</v>
      </c>
      <c r="F1455">
        <v>28758455.760000002</v>
      </c>
      <c r="G1455">
        <v>39013727.490000002</v>
      </c>
      <c r="H1455">
        <v>54906654.119999997</v>
      </c>
      <c r="I1455">
        <v>77074538.900000006</v>
      </c>
      <c r="J1455">
        <v>105831887.3</v>
      </c>
      <c r="K1455">
        <v>117684280.90000001</v>
      </c>
      <c r="L1455">
        <v>127827590.5</v>
      </c>
      <c r="M1455">
        <v>138185713.59999999</v>
      </c>
      <c r="N1455">
        <v>148499832.30000001</v>
      </c>
      <c r="O1455">
        <v>157719087.80000001</v>
      </c>
      <c r="P1455">
        <v>172468553.90000001</v>
      </c>
      <c r="Q1455">
        <v>184603727.69999999</v>
      </c>
    </row>
    <row r="1456" spans="1:17" x14ac:dyDescent="0.25">
      <c r="A1456" t="s">
        <v>5</v>
      </c>
      <c r="B1456" t="s">
        <v>6</v>
      </c>
      <c r="C1456" t="s">
        <v>262</v>
      </c>
      <c r="D1456" t="s">
        <v>24</v>
      </c>
      <c r="E1456" t="s">
        <v>19</v>
      </c>
      <c r="F1456">
        <v>39167703.840000004</v>
      </c>
      <c r="G1456">
        <v>53231225.759999998</v>
      </c>
      <c r="H1456">
        <v>82698097.450000003</v>
      </c>
      <c r="I1456">
        <v>134846115.09999999</v>
      </c>
      <c r="J1456">
        <v>202437985.40000001</v>
      </c>
      <c r="K1456">
        <v>233857368.90000001</v>
      </c>
      <c r="L1456">
        <v>253196743.09999999</v>
      </c>
      <c r="M1456">
        <v>268842623.69999999</v>
      </c>
      <c r="N1456">
        <v>283986766.10000002</v>
      </c>
      <c r="O1456">
        <v>300123015.80000001</v>
      </c>
      <c r="P1456">
        <v>329825048.10000002</v>
      </c>
      <c r="Q1456">
        <v>354857885.30000001</v>
      </c>
    </row>
    <row r="1457" spans="1:17" x14ac:dyDescent="0.25">
      <c r="A1457" t="s">
        <v>5</v>
      </c>
      <c r="B1457" t="s">
        <v>6</v>
      </c>
      <c r="C1457" t="s">
        <v>262</v>
      </c>
      <c r="D1457" t="s">
        <v>25</v>
      </c>
      <c r="E1457" t="s">
        <v>19</v>
      </c>
      <c r="F1457">
        <v>318388258.19999999</v>
      </c>
      <c r="G1457">
        <v>427827156.80000001</v>
      </c>
      <c r="H1457">
        <v>555524325.5</v>
      </c>
      <c r="I1457">
        <v>660426776.29999995</v>
      </c>
      <c r="J1457">
        <v>794111239.89999998</v>
      </c>
      <c r="K1457">
        <v>787865135.29999995</v>
      </c>
      <c r="L1457">
        <v>801286413.79999995</v>
      </c>
      <c r="M1457">
        <v>821210694.89999998</v>
      </c>
      <c r="N1457">
        <v>846227281.10000002</v>
      </c>
      <c r="O1457">
        <v>867975836.29999995</v>
      </c>
      <c r="P1457">
        <v>898535421.89999998</v>
      </c>
      <c r="Q1457">
        <v>910004387.29999995</v>
      </c>
    </row>
    <row r="1458" spans="1:17" x14ac:dyDescent="0.25">
      <c r="A1458" t="s">
        <v>5</v>
      </c>
      <c r="B1458" t="s">
        <v>6</v>
      </c>
      <c r="C1458" t="s">
        <v>262</v>
      </c>
      <c r="D1458" t="s">
        <v>26</v>
      </c>
      <c r="E1458" t="s">
        <v>27</v>
      </c>
      <c r="F1458">
        <v>16.816818720000001</v>
      </c>
      <c r="G1458">
        <v>15.99306238</v>
      </c>
      <c r="H1458">
        <v>26.248603500000002</v>
      </c>
      <c r="I1458">
        <v>33.180903290000003</v>
      </c>
      <c r="J1458">
        <v>40.240888959999999</v>
      </c>
      <c r="K1458">
        <v>43.783969929999998</v>
      </c>
      <c r="L1458">
        <v>53.848306839999999</v>
      </c>
      <c r="M1458">
        <v>61.17267399</v>
      </c>
      <c r="N1458">
        <v>67.024379120000006</v>
      </c>
      <c r="O1458">
        <v>73.34862262</v>
      </c>
      <c r="P1458">
        <v>78.741914230000006</v>
      </c>
      <c r="Q1458">
        <v>83.346158529999997</v>
      </c>
    </row>
    <row r="1459" spans="1:17" x14ac:dyDescent="0.25">
      <c r="A1459" t="s">
        <v>5</v>
      </c>
      <c r="B1459" t="s">
        <v>6</v>
      </c>
      <c r="C1459" t="s">
        <v>262</v>
      </c>
      <c r="D1459" t="s">
        <v>28</v>
      </c>
      <c r="E1459" t="s">
        <v>27</v>
      </c>
      <c r="F1459">
        <v>34.605933110000002</v>
      </c>
      <c r="G1459">
        <v>36.164428170000001</v>
      </c>
      <c r="H1459">
        <v>56.679794180000002</v>
      </c>
      <c r="I1459">
        <v>65.620088199999998</v>
      </c>
      <c r="J1459">
        <v>81.251493740000001</v>
      </c>
      <c r="K1459">
        <v>86.311800140000003</v>
      </c>
      <c r="L1459">
        <v>101.9921143</v>
      </c>
      <c r="M1459">
        <v>113.0334081</v>
      </c>
      <c r="N1459">
        <v>122.6031464</v>
      </c>
      <c r="O1459">
        <v>131.73071809999999</v>
      </c>
      <c r="P1459">
        <v>139.7949514</v>
      </c>
      <c r="Q1459">
        <v>146.6614146</v>
      </c>
    </row>
    <row r="1460" spans="1:17" x14ac:dyDescent="0.25">
      <c r="A1460" t="s">
        <v>5</v>
      </c>
      <c r="B1460" t="s">
        <v>6</v>
      </c>
      <c r="C1460" t="s">
        <v>262</v>
      </c>
      <c r="D1460" t="s">
        <v>29</v>
      </c>
      <c r="E1460" t="s">
        <v>27</v>
      </c>
      <c r="F1460">
        <v>1.666590614</v>
      </c>
      <c r="G1460">
        <v>1.568916301</v>
      </c>
      <c r="H1460">
        <v>1.9538339469999999</v>
      </c>
      <c r="I1460">
        <v>2.1740136059999999</v>
      </c>
      <c r="J1460">
        <v>2.7188002419999999</v>
      </c>
      <c r="K1460">
        <v>2.895290031</v>
      </c>
      <c r="L1460">
        <v>3.3296596150000002</v>
      </c>
      <c r="M1460">
        <v>3.8006456709999998</v>
      </c>
      <c r="N1460">
        <v>3.5700246729999998</v>
      </c>
      <c r="O1460">
        <v>2.8437907130000002</v>
      </c>
      <c r="P1460">
        <v>2.9114973310000001</v>
      </c>
      <c r="Q1460">
        <v>3.1036418659999998</v>
      </c>
    </row>
    <row r="1461" spans="1:17" x14ac:dyDescent="0.25">
      <c r="A1461" t="s">
        <v>5</v>
      </c>
      <c r="B1461" t="s">
        <v>6</v>
      </c>
      <c r="C1461" t="s">
        <v>262</v>
      </c>
      <c r="D1461" t="s">
        <v>30</v>
      </c>
      <c r="E1461" t="s">
        <v>27</v>
      </c>
      <c r="F1461">
        <v>1.8495079999999999E-3</v>
      </c>
      <c r="G1461">
        <v>3.2660530000000001E-3</v>
      </c>
      <c r="H1461">
        <v>5.3189600000000002E-3</v>
      </c>
      <c r="I1461">
        <v>7.8251810000000005E-3</v>
      </c>
      <c r="J1461">
        <v>6.5356329999999999E-3</v>
      </c>
      <c r="K1461">
        <v>5.5464490000000002E-3</v>
      </c>
      <c r="L1461">
        <v>6.7456189999999996E-3</v>
      </c>
      <c r="M1461">
        <v>8.3961880000000006E-3</v>
      </c>
      <c r="N1461">
        <v>1.0970357E-2</v>
      </c>
      <c r="O1461">
        <v>1.1502685E-2</v>
      </c>
      <c r="P1461">
        <v>1.1805892E-2</v>
      </c>
      <c r="Q1461">
        <v>1.2852501000000001E-2</v>
      </c>
    </row>
    <row r="1462" spans="1:17" x14ac:dyDescent="0.25">
      <c r="A1462" t="s">
        <v>5</v>
      </c>
      <c r="B1462" t="s">
        <v>6</v>
      </c>
      <c r="C1462" t="s">
        <v>262</v>
      </c>
      <c r="D1462" t="s">
        <v>31</v>
      </c>
      <c r="E1462" t="s">
        <v>27</v>
      </c>
      <c r="F1462">
        <v>3.208015971</v>
      </c>
      <c r="G1462">
        <v>1.844334522</v>
      </c>
      <c r="H1462">
        <v>3.1840544249999998</v>
      </c>
      <c r="I1462">
        <v>4.3185703320000002</v>
      </c>
      <c r="J1462">
        <v>3.5980406720000002</v>
      </c>
      <c r="K1462">
        <v>3.7026881669999998</v>
      </c>
      <c r="L1462">
        <v>3.741329227</v>
      </c>
      <c r="M1462">
        <v>3.8816155270000001</v>
      </c>
      <c r="N1462">
        <v>4.0262574600000001</v>
      </c>
      <c r="O1462">
        <v>4.1056662490000004</v>
      </c>
      <c r="P1462">
        <v>4.1919226639999998</v>
      </c>
      <c r="Q1462">
        <v>4.3172319999999997</v>
      </c>
    </row>
    <row r="1463" spans="1:17" x14ac:dyDescent="0.25">
      <c r="A1463" t="s">
        <v>5</v>
      </c>
      <c r="B1463" t="s">
        <v>6</v>
      </c>
      <c r="C1463" t="s">
        <v>262</v>
      </c>
      <c r="D1463" t="s">
        <v>32</v>
      </c>
      <c r="E1463" t="s">
        <v>27</v>
      </c>
      <c r="F1463">
        <v>2.594323433</v>
      </c>
      <c r="G1463">
        <v>2.5673062419999999</v>
      </c>
      <c r="H1463">
        <v>4.4419169170000004</v>
      </c>
      <c r="I1463">
        <v>5.7105875399999997</v>
      </c>
      <c r="J1463">
        <v>7.5378314949999998</v>
      </c>
      <c r="K1463">
        <v>8.7722399329999998</v>
      </c>
      <c r="L1463">
        <v>11.06841448</v>
      </c>
      <c r="M1463">
        <v>12.666427089999999</v>
      </c>
      <c r="N1463">
        <v>14.51653872</v>
      </c>
      <c r="O1463">
        <v>16.53494955</v>
      </c>
      <c r="P1463">
        <v>17.893874660000002</v>
      </c>
      <c r="Q1463">
        <v>18.83401843</v>
      </c>
    </row>
    <row r="1464" spans="1:17" x14ac:dyDescent="0.25">
      <c r="A1464" t="s">
        <v>5</v>
      </c>
      <c r="B1464" t="s">
        <v>6</v>
      </c>
      <c r="C1464" t="s">
        <v>262</v>
      </c>
      <c r="D1464" t="s">
        <v>33</v>
      </c>
      <c r="E1464" t="s">
        <v>27</v>
      </c>
      <c r="F1464">
        <v>5.3103697829999996</v>
      </c>
      <c r="G1464">
        <v>5.3229913379999996</v>
      </c>
      <c r="H1464">
        <v>8.0929403569999998</v>
      </c>
      <c r="I1464">
        <v>9.3568413570000004</v>
      </c>
      <c r="J1464">
        <v>12.337933850000001</v>
      </c>
      <c r="K1464">
        <v>13.267186649999999</v>
      </c>
      <c r="L1464">
        <v>16.02596698</v>
      </c>
      <c r="M1464">
        <v>17.643073470000001</v>
      </c>
      <c r="N1464">
        <v>19.660867889999999</v>
      </c>
      <c r="O1464">
        <v>21.760480659999999</v>
      </c>
      <c r="P1464">
        <v>23.167289920000002</v>
      </c>
      <c r="Q1464">
        <v>24.14657613</v>
      </c>
    </row>
    <row r="1465" spans="1:17" x14ac:dyDescent="0.25">
      <c r="A1465" t="s">
        <v>5</v>
      </c>
      <c r="B1465" t="s">
        <v>6</v>
      </c>
      <c r="C1465" t="s">
        <v>262</v>
      </c>
      <c r="D1465" t="s">
        <v>34</v>
      </c>
      <c r="E1465" t="s">
        <v>27</v>
      </c>
      <c r="F1465">
        <v>0.20380537200000001</v>
      </c>
      <c r="G1465">
        <v>0.22732943999999999</v>
      </c>
      <c r="H1465">
        <v>0.33486115</v>
      </c>
      <c r="I1465">
        <v>0.27573318000000002</v>
      </c>
      <c r="J1465">
        <v>0.39444662699999999</v>
      </c>
      <c r="K1465">
        <v>0.33803054199999999</v>
      </c>
      <c r="L1465">
        <v>0.38309458000000002</v>
      </c>
      <c r="M1465">
        <v>0.41362999700000003</v>
      </c>
      <c r="N1465">
        <v>0.40287795999999998</v>
      </c>
      <c r="O1465">
        <v>0.36579687500000002</v>
      </c>
      <c r="P1465">
        <v>0.36166973200000002</v>
      </c>
      <c r="Q1465">
        <v>0.360654802</v>
      </c>
    </row>
    <row r="1466" spans="1:17" x14ac:dyDescent="0.25">
      <c r="A1466" t="s">
        <v>5</v>
      </c>
      <c r="B1466" t="s">
        <v>6</v>
      </c>
      <c r="C1466" t="s">
        <v>262</v>
      </c>
      <c r="D1466" t="s">
        <v>35</v>
      </c>
      <c r="E1466" t="s">
        <v>27</v>
      </c>
      <c r="F1466">
        <v>1.3974057999999999E-2</v>
      </c>
      <c r="G1466">
        <v>2.4676844999999999E-2</v>
      </c>
      <c r="H1466">
        <v>4.01877E-2</v>
      </c>
      <c r="I1466">
        <v>5.9123592000000003E-2</v>
      </c>
      <c r="J1466">
        <v>4.9380339000000002E-2</v>
      </c>
      <c r="K1466">
        <v>4.1906504999999997E-2</v>
      </c>
      <c r="L1466">
        <v>5.0966896999999997E-2</v>
      </c>
      <c r="M1466">
        <v>6.3437865999999996E-2</v>
      </c>
      <c r="N1466">
        <v>8.2887143999999996E-2</v>
      </c>
      <c r="O1466">
        <v>8.6909173000000006E-2</v>
      </c>
      <c r="P1466">
        <v>8.9200074000000004E-2</v>
      </c>
      <c r="Q1466">
        <v>9.7107789E-2</v>
      </c>
    </row>
    <row r="1467" spans="1:17" x14ac:dyDescent="0.25">
      <c r="A1467" t="s">
        <v>5</v>
      </c>
      <c r="B1467" t="s">
        <v>6</v>
      </c>
      <c r="C1467" t="s">
        <v>262</v>
      </c>
      <c r="D1467" t="s">
        <v>36</v>
      </c>
      <c r="E1467" t="s">
        <v>27</v>
      </c>
      <c r="F1467">
        <v>3.5252922999999999E-2</v>
      </c>
      <c r="G1467">
        <v>2.0267411999999999E-2</v>
      </c>
      <c r="H1467">
        <v>3.4989608999999998E-2</v>
      </c>
      <c r="I1467">
        <v>4.7456816999999998E-2</v>
      </c>
      <c r="J1467">
        <v>3.9538907999999998E-2</v>
      </c>
      <c r="K1467">
        <v>4.0688881000000003E-2</v>
      </c>
      <c r="L1467">
        <v>4.1113508E-2</v>
      </c>
      <c r="M1467">
        <v>4.2655116E-2</v>
      </c>
      <c r="N1467">
        <v>4.4244587000000002E-2</v>
      </c>
      <c r="O1467">
        <v>4.5117211999999997E-2</v>
      </c>
      <c r="P1467">
        <v>4.6065083999999999E-2</v>
      </c>
      <c r="Q1467">
        <v>4.7442110000000003E-2</v>
      </c>
    </row>
    <row r="1468" spans="1:17" x14ac:dyDescent="0.25">
      <c r="A1468" t="s">
        <v>5</v>
      </c>
      <c r="B1468" t="s">
        <v>6</v>
      </c>
      <c r="C1468" t="s">
        <v>262</v>
      </c>
      <c r="D1468" t="s">
        <v>37</v>
      </c>
      <c r="E1468" t="s">
        <v>27</v>
      </c>
      <c r="F1468">
        <v>0.513943767</v>
      </c>
      <c r="G1468">
        <v>0.58540912300000003</v>
      </c>
      <c r="H1468">
        <v>1.176706018</v>
      </c>
      <c r="I1468">
        <v>1.5828231530000001</v>
      </c>
      <c r="J1468">
        <v>2.503826536</v>
      </c>
      <c r="K1468">
        <v>3.2005980680000001</v>
      </c>
      <c r="L1468">
        <v>4.0974106949999998</v>
      </c>
      <c r="M1468">
        <v>4.7074163929999999</v>
      </c>
      <c r="N1468">
        <v>5.7227980919999997</v>
      </c>
      <c r="O1468">
        <v>6.8497338259999996</v>
      </c>
      <c r="P1468">
        <v>7.47797512</v>
      </c>
      <c r="Q1468">
        <v>7.8049795849999999</v>
      </c>
    </row>
    <row r="1469" spans="1:17" x14ac:dyDescent="0.25">
      <c r="A1469" t="s">
        <v>5</v>
      </c>
      <c r="B1469" t="s">
        <v>6</v>
      </c>
      <c r="C1469" t="s">
        <v>262</v>
      </c>
      <c r="D1469" t="s">
        <v>38</v>
      </c>
      <c r="E1469" t="s">
        <v>27</v>
      </c>
      <c r="F1469">
        <v>0.63449508200000004</v>
      </c>
      <c r="G1469">
        <v>0.72427004500000003</v>
      </c>
      <c r="H1469">
        <v>1.390582609</v>
      </c>
      <c r="I1469">
        <v>1.811700028</v>
      </c>
      <c r="J1469">
        <v>2.7994127870000001</v>
      </c>
      <c r="K1469">
        <v>3.5189514929999999</v>
      </c>
      <c r="L1469">
        <v>4.4627609289999999</v>
      </c>
      <c r="M1469">
        <v>5.1220160249999998</v>
      </c>
      <c r="N1469">
        <v>6.1745849699999997</v>
      </c>
      <c r="O1469">
        <v>7.3293776700000004</v>
      </c>
      <c r="P1469">
        <v>7.9853310730000002</v>
      </c>
      <c r="Q1469">
        <v>8.3339223039999997</v>
      </c>
    </row>
    <row r="1470" spans="1:17" x14ac:dyDescent="0.25">
      <c r="A1470" t="s">
        <v>5</v>
      </c>
      <c r="B1470" t="s">
        <v>6</v>
      </c>
      <c r="C1470" t="s">
        <v>262</v>
      </c>
      <c r="D1470" t="s">
        <v>39</v>
      </c>
      <c r="E1470" t="s">
        <v>27</v>
      </c>
      <c r="F1470">
        <v>3.1658400000000001E-3</v>
      </c>
      <c r="G1470">
        <v>2.9608630000000002E-3</v>
      </c>
      <c r="H1470">
        <v>3.88544E-3</v>
      </c>
      <c r="I1470">
        <v>4.079137E-3</v>
      </c>
      <c r="J1470">
        <v>5.3425010000000004E-3</v>
      </c>
      <c r="K1470">
        <v>5.4235419999999999E-3</v>
      </c>
      <c r="L1470">
        <v>6.2327850000000002E-3</v>
      </c>
      <c r="M1470">
        <v>7.0987419999999999E-3</v>
      </c>
      <c r="N1470">
        <v>6.9094949999999999E-3</v>
      </c>
      <c r="O1470">
        <v>6.0426789999999996E-3</v>
      </c>
      <c r="P1470">
        <v>6.5327240000000002E-3</v>
      </c>
      <c r="Q1470">
        <v>7.3119470000000001E-3</v>
      </c>
    </row>
    <row r="1471" spans="1:17" x14ac:dyDescent="0.25">
      <c r="A1471" t="s">
        <v>5</v>
      </c>
      <c r="B1471" t="s">
        <v>6</v>
      </c>
      <c r="C1471" t="s">
        <v>262</v>
      </c>
      <c r="D1471" t="s">
        <v>40</v>
      </c>
      <c r="E1471" t="s">
        <v>27</v>
      </c>
      <c r="F1471" s="1">
        <v>5.1900000000000001E-5</v>
      </c>
      <c r="G1471" s="1">
        <v>9.5699999999999995E-5</v>
      </c>
      <c r="H1471">
        <v>1.57011E-4</v>
      </c>
      <c r="I1471">
        <v>2.6392899999999999E-4</v>
      </c>
      <c r="J1471">
        <v>2.2422100000000001E-4</v>
      </c>
      <c r="K1471">
        <v>1.8468799999999999E-4</v>
      </c>
      <c r="L1471">
        <v>2.2926500000000001E-4</v>
      </c>
      <c r="M1471">
        <v>2.9618E-4</v>
      </c>
      <c r="N1471">
        <v>4.0489900000000001E-4</v>
      </c>
      <c r="O1471">
        <v>4.3600900000000001E-4</v>
      </c>
      <c r="P1471">
        <v>4.56587E-4</v>
      </c>
      <c r="Q1471">
        <v>5.0547299999999999E-4</v>
      </c>
    </row>
    <row r="1472" spans="1:17" x14ac:dyDescent="0.25">
      <c r="A1472" t="s">
        <v>5</v>
      </c>
      <c r="B1472" t="s">
        <v>6</v>
      </c>
      <c r="C1472" t="s">
        <v>262</v>
      </c>
      <c r="D1472" t="s">
        <v>41</v>
      </c>
      <c r="E1472" t="s">
        <v>27</v>
      </c>
      <c r="F1472">
        <v>3.5252922999999999E-2</v>
      </c>
      <c r="G1472">
        <v>2.0267411999999999E-2</v>
      </c>
      <c r="H1472">
        <v>3.4989608999999998E-2</v>
      </c>
      <c r="I1472">
        <v>4.7456816999999998E-2</v>
      </c>
      <c r="J1472">
        <v>3.9538907999999998E-2</v>
      </c>
      <c r="K1472">
        <v>4.0688881000000003E-2</v>
      </c>
      <c r="L1472">
        <v>4.1113508E-2</v>
      </c>
      <c r="M1472">
        <v>4.2655116E-2</v>
      </c>
      <c r="N1472">
        <v>4.4244587000000002E-2</v>
      </c>
      <c r="O1472">
        <v>4.5117211999999997E-2</v>
      </c>
      <c r="P1472">
        <v>4.6065083999999999E-2</v>
      </c>
      <c r="Q1472">
        <v>4.7442110000000003E-2</v>
      </c>
    </row>
    <row r="1473" spans="1:17" x14ac:dyDescent="0.25">
      <c r="A1473" t="s">
        <v>5</v>
      </c>
      <c r="B1473" t="s">
        <v>6</v>
      </c>
      <c r="C1473" t="s">
        <v>262</v>
      </c>
      <c r="D1473" t="s">
        <v>42</v>
      </c>
      <c r="E1473" t="s">
        <v>27</v>
      </c>
      <c r="F1473">
        <v>0.70808814600000003</v>
      </c>
      <c r="G1473">
        <v>0.67849300199999996</v>
      </c>
      <c r="H1473">
        <v>1.1258332820000001</v>
      </c>
      <c r="I1473">
        <v>1.4272927929999999</v>
      </c>
      <c r="J1473">
        <v>1.761291065</v>
      </c>
      <c r="K1473">
        <v>1.9422848559999999</v>
      </c>
      <c r="L1473">
        <v>2.4016584939999999</v>
      </c>
      <c r="M1473">
        <v>2.7309562180000002</v>
      </c>
      <c r="N1473">
        <v>3.0187445249999998</v>
      </c>
      <c r="O1473">
        <v>3.3326950470000001</v>
      </c>
      <c r="P1473">
        <v>3.5847936549999999</v>
      </c>
      <c r="Q1473">
        <v>3.7911457149999999</v>
      </c>
    </row>
    <row r="1474" spans="1:17" x14ac:dyDescent="0.25">
      <c r="A1474" t="s">
        <v>5</v>
      </c>
      <c r="B1474" t="s">
        <v>6</v>
      </c>
      <c r="C1474" t="s">
        <v>262</v>
      </c>
      <c r="D1474" t="s">
        <v>43</v>
      </c>
      <c r="E1474" t="s">
        <v>27</v>
      </c>
      <c r="F1474">
        <v>0.98964530299999998</v>
      </c>
      <c r="G1474">
        <v>0.93430956600000004</v>
      </c>
      <c r="H1474">
        <v>1.486529939</v>
      </c>
      <c r="I1474">
        <v>1.8152865549999999</v>
      </c>
      <c r="J1474">
        <v>2.2550240000000001</v>
      </c>
      <c r="K1474">
        <v>2.4270311449999999</v>
      </c>
      <c r="L1474">
        <v>2.9399871050000002</v>
      </c>
      <c r="M1474">
        <v>3.282501237</v>
      </c>
      <c r="N1474">
        <v>3.5950468710000001</v>
      </c>
      <c r="O1474">
        <v>3.9278114550000001</v>
      </c>
      <c r="P1474">
        <v>4.1914041690000001</v>
      </c>
      <c r="Q1474">
        <v>4.4077598900000003</v>
      </c>
    </row>
    <row r="1475" spans="1:17" x14ac:dyDescent="0.25">
      <c r="A1475" t="s">
        <v>5</v>
      </c>
      <c r="B1475" t="s">
        <v>6</v>
      </c>
      <c r="C1475" t="s">
        <v>262</v>
      </c>
      <c r="D1475" t="s">
        <v>44</v>
      </c>
      <c r="E1475" t="s">
        <v>27</v>
      </c>
      <c r="F1475">
        <v>1.893762E-3</v>
      </c>
      <c r="G1475">
        <v>2.1522400000000001E-3</v>
      </c>
      <c r="H1475">
        <v>3.5190769999999998E-3</v>
      </c>
      <c r="I1475">
        <v>2.5134490000000001E-3</v>
      </c>
      <c r="J1475">
        <v>4.0151420000000002E-3</v>
      </c>
      <c r="K1475">
        <v>3.0103700000000001E-3</v>
      </c>
      <c r="L1475">
        <v>3.3931999999999999E-3</v>
      </c>
      <c r="M1475">
        <v>3.5888869999999998E-3</v>
      </c>
      <c r="N1475">
        <v>3.8504289999999998E-3</v>
      </c>
      <c r="O1475">
        <v>4.2798089999999999E-3</v>
      </c>
      <c r="P1475">
        <v>4.6966270000000001E-3</v>
      </c>
      <c r="Q1475">
        <v>5.1898170000000002E-3</v>
      </c>
    </row>
    <row r="1476" spans="1:17" x14ac:dyDescent="0.25">
      <c r="A1476" t="s">
        <v>5</v>
      </c>
      <c r="B1476" t="s">
        <v>6</v>
      </c>
      <c r="C1476" t="s">
        <v>262</v>
      </c>
      <c r="D1476" t="s">
        <v>45</v>
      </c>
      <c r="E1476" t="s">
        <v>27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</row>
    <row r="1477" spans="1:17" x14ac:dyDescent="0.25">
      <c r="A1477" t="s">
        <v>5</v>
      </c>
      <c r="B1477" t="s">
        <v>6</v>
      </c>
      <c r="C1477" t="s">
        <v>262</v>
      </c>
      <c r="D1477" t="s">
        <v>46</v>
      </c>
      <c r="E1477" t="s">
        <v>27</v>
      </c>
      <c r="F1477">
        <v>2.115175E-3</v>
      </c>
      <c r="G1477">
        <v>1.216045E-3</v>
      </c>
      <c r="H1477">
        <v>2.0993769999999999E-3</v>
      </c>
      <c r="I1477">
        <v>2.847409E-3</v>
      </c>
      <c r="J1477">
        <v>2.3723350000000002E-3</v>
      </c>
      <c r="K1477">
        <v>2.441333E-3</v>
      </c>
      <c r="L1477">
        <v>2.4668099999999998E-3</v>
      </c>
      <c r="M1477">
        <v>2.5593069999999998E-3</v>
      </c>
      <c r="N1477">
        <v>2.654675E-3</v>
      </c>
      <c r="O1477">
        <v>2.7070330000000002E-3</v>
      </c>
      <c r="P1477">
        <v>2.7639050000000001E-3</v>
      </c>
      <c r="Q1477">
        <v>2.8465270000000002E-3</v>
      </c>
    </row>
    <row r="1478" spans="1:17" x14ac:dyDescent="0.25">
      <c r="A1478" t="s">
        <v>5</v>
      </c>
      <c r="B1478" t="s">
        <v>6</v>
      </c>
      <c r="C1478" t="s">
        <v>262</v>
      </c>
      <c r="D1478" t="s">
        <v>47</v>
      </c>
      <c r="E1478" t="s">
        <v>27</v>
      </c>
      <c r="F1478">
        <v>3.3210730229999998</v>
      </c>
      <c r="G1478">
        <v>3.1916234069999998</v>
      </c>
      <c r="H1478">
        <v>5.2783777299999999</v>
      </c>
      <c r="I1478">
        <v>6.6916031939999998</v>
      </c>
      <c r="J1478">
        <v>8.2296491219999997</v>
      </c>
      <c r="K1478">
        <v>9.0117196019999994</v>
      </c>
      <c r="L1478">
        <v>11.09124665</v>
      </c>
      <c r="M1478">
        <v>12.637916779999999</v>
      </c>
      <c r="N1478">
        <v>14.03385739</v>
      </c>
      <c r="O1478">
        <v>15.55715715</v>
      </c>
      <c r="P1478">
        <v>16.75624534</v>
      </c>
      <c r="Q1478">
        <v>17.699353219999999</v>
      </c>
    </row>
    <row r="1479" spans="1:17" x14ac:dyDescent="0.25">
      <c r="A1479" t="s">
        <v>5</v>
      </c>
      <c r="B1479" t="s">
        <v>6</v>
      </c>
      <c r="C1479" t="s">
        <v>262</v>
      </c>
      <c r="D1479" t="s">
        <v>48</v>
      </c>
      <c r="E1479" t="s">
        <v>27</v>
      </c>
      <c r="F1479">
        <v>6.1554293070000003</v>
      </c>
      <c r="G1479">
        <v>6.4004419160000001</v>
      </c>
      <c r="H1479">
        <v>10.06236118</v>
      </c>
      <c r="I1479">
        <v>11.732510789999999</v>
      </c>
      <c r="J1479">
        <v>14.670370009999999</v>
      </c>
      <c r="K1479">
        <v>15.62144404</v>
      </c>
      <c r="L1479">
        <v>18.563651700000001</v>
      </c>
      <c r="M1479">
        <v>20.66303594</v>
      </c>
      <c r="N1479">
        <v>22.625024929999999</v>
      </c>
      <c r="O1479">
        <v>24.568611700000002</v>
      </c>
      <c r="P1479">
        <v>26.168341250000001</v>
      </c>
      <c r="Q1479">
        <v>27.446533819999999</v>
      </c>
    </row>
    <row r="1480" spans="1:17" x14ac:dyDescent="0.25">
      <c r="A1480" t="s">
        <v>5</v>
      </c>
      <c r="B1480" t="s">
        <v>6</v>
      </c>
      <c r="C1480" t="s">
        <v>262</v>
      </c>
      <c r="D1480" t="s">
        <v>49</v>
      </c>
      <c r="E1480" t="s">
        <v>27</v>
      </c>
      <c r="F1480">
        <v>8.5781179999999992E-3</v>
      </c>
      <c r="G1480">
        <v>1.0618106E-2</v>
      </c>
      <c r="H1480">
        <v>1.7251285000000002E-2</v>
      </c>
      <c r="I1480">
        <v>1.1834511000000001E-2</v>
      </c>
      <c r="J1480">
        <v>1.8733403999999999E-2</v>
      </c>
      <c r="K1480">
        <v>1.3633790999999999E-2</v>
      </c>
      <c r="L1480">
        <v>1.526366E-2</v>
      </c>
      <c r="M1480">
        <v>1.5686830999999998E-2</v>
      </c>
      <c r="N1480">
        <v>1.6113071999999999E-2</v>
      </c>
      <c r="O1480">
        <v>1.6842076000000001E-2</v>
      </c>
      <c r="P1480">
        <v>1.6798297E-2</v>
      </c>
      <c r="Q1480">
        <v>1.6591918000000001E-2</v>
      </c>
    </row>
    <row r="1481" spans="1:17" x14ac:dyDescent="0.25">
      <c r="A1481" t="s">
        <v>5</v>
      </c>
      <c r="B1481" t="s">
        <v>6</v>
      </c>
      <c r="C1481" t="s">
        <v>262</v>
      </c>
      <c r="D1481" t="s">
        <v>50</v>
      </c>
      <c r="E1481" t="s">
        <v>27</v>
      </c>
      <c r="F1481">
        <v>1.078879E-3</v>
      </c>
      <c r="G1481">
        <v>1.9051980000000001E-3</v>
      </c>
      <c r="H1481">
        <v>3.102727E-3</v>
      </c>
      <c r="I1481">
        <v>4.5646890000000002E-3</v>
      </c>
      <c r="J1481">
        <v>3.8124529999999999E-3</v>
      </c>
      <c r="K1481">
        <v>3.2354290000000002E-3</v>
      </c>
      <c r="L1481">
        <v>3.9349440000000001E-3</v>
      </c>
      <c r="M1481">
        <v>4.8977760000000004E-3</v>
      </c>
      <c r="N1481">
        <v>6.3993749999999997E-3</v>
      </c>
      <c r="O1481">
        <v>6.7098990000000001E-3</v>
      </c>
      <c r="P1481">
        <v>6.8867700000000004E-3</v>
      </c>
      <c r="Q1481">
        <v>7.4972930000000004E-3</v>
      </c>
    </row>
    <row r="1482" spans="1:17" x14ac:dyDescent="0.25">
      <c r="A1482" t="s">
        <v>5</v>
      </c>
      <c r="B1482" t="s">
        <v>6</v>
      </c>
      <c r="C1482" t="s">
        <v>262</v>
      </c>
      <c r="D1482" t="s">
        <v>51</v>
      </c>
      <c r="E1482" t="s">
        <v>27</v>
      </c>
      <c r="F1482">
        <v>7.0505845999999997E-2</v>
      </c>
      <c r="G1482">
        <v>4.0534824999999997E-2</v>
      </c>
      <c r="H1482">
        <v>6.9979217999999996E-2</v>
      </c>
      <c r="I1482">
        <v>9.4913633999999997E-2</v>
      </c>
      <c r="J1482">
        <v>7.9077816999999995E-2</v>
      </c>
      <c r="K1482">
        <v>8.1377762000000006E-2</v>
      </c>
      <c r="L1482">
        <v>8.2227016E-2</v>
      </c>
      <c r="M1482">
        <v>8.5310231E-2</v>
      </c>
      <c r="N1482">
        <v>8.8489175000000003E-2</v>
      </c>
      <c r="O1482">
        <v>9.0234422999999994E-2</v>
      </c>
      <c r="P1482">
        <v>9.2130167999999998E-2</v>
      </c>
      <c r="Q1482">
        <v>9.4884220000000005E-2</v>
      </c>
    </row>
    <row r="1483" spans="1:17" x14ac:dyDescent="0.25">
      <c r="A1483" t="s">
        <v>5</v>
      </c>
      <c r="B1483" t="s">
        <v>6</v>
      </c>
      <c r="C1483" t="s">
        <v>262</v>
      </c>
      <c r="D1483" t="s">
        <v>52</v>
      </c>
      <c r="E1483" t="s">
        <v>27</v>
      </c>
      <c r="F1483">
        <v>95.033659599999993</v>
      </c>
      <c r="G1483">
        <v>109.562719</v>
      </c>
      <c r="H1483">
        <v>121.4521232</v>
      </c>
      <c r="I1483">
        <v>109.1243101</v>
      </c>
      <c r="J1483">
        <v>133.6861926</v>
      </c>
      <c r="K1483">
        <v>144.5316211</v>
      </c>
      <c r="L1483">
        <v>154.08751789999999</v>
      </c>
      <c r="M1483">
        <v>159.57852270000001</v>
      </c>
      <c r="N1483">
        <v>164.6133365</v>
      </c>
      <c r="O1483">
        <v>166.8269354</v>
      </c>
      <c r="P1483">
        <v>162.85757469999999</v>
      </c>
      <c r="Q1483">
        <v>166.26467360000001</v>
      </c>
    </row>
    <row r="1484" spans="1:17" x14ac:dyDescent="0.25">
      <c r="A1484" t="s">
        <v>5</v>
      </c>
      <c r="B1484" t="s">
        <v>6</v>
      </c>
      <c r="C1484" t="s">
        <v>262</v>
      </c>
      <c r="D1484" t="s">
        <v>53</v>
      </c>
      <c r="E1484" t="s">
        <v>27</v>
      </c>
      <c r="F1484">
        <v>37.328678369999999</v>
      </c>
      <c r="G1484">
        <v>49.909893570000001</v>
      </c>
      <c r="H1484">
        <v>67.387357850000001</v>
      </c>
      <c r="I1484">
        <v>88.041553730000004</v>
      </c>
      <c r="J1484">
        <v>115.40635450000001</v>
      </c>
      <c r="K1484">
        <v>123.3559077</v>
      </c>
      <c r="L1484">
        <v>130.39577790000001</v>
      </c>
      <c r="M1484">
        <v>137.1776495</v>
      </c>
      <c r="N1484">
        <v>143.9259246</v>
      </c>
      <c r="O1484">
        <v>150.0998999</v>
      </c>
      <c r="P1484">
        <v>160.53421510000001</v>
      </c>
      <c r="Q1484">
        <v>168.36099659999999</v>
      </c>
    </row>
    <row r="1485" spans="1:17" x14ac:dyDescent="0.25">
      <c r="A1485" t="s">
        <v>5</v>
      </c>
      <c r="B1485" t="s">
        <v>6</v>
      </c>
      <c r="C1485" t="s">
        <v>262</v>
      </c>
      <c r="D1485" t="s">
        <v>54</v>
      </c>
      <c r="E1485" t="s">
        <v>27</v>
      </c>
      <c r="F1485">
        <v>5.0196019610000002</v>
      </c>
      <c r="G1485">
        <v>5.8796569319999996</v>
      </c>
      <c r="H1485">
        <v>6.172960904</v>
      </c>
      <c r="I1485">
        <v>5.3060095629999999</v>
      </c>
      <c r="J1485">
        <v>6.5386275879999998</v>
      </c>
      <c r="K1485">
        <v>6.9452717020000003</v>
      </c>
      <c r="L1485">
        <v>7.2361709660000004</v>
      </c>
      <c r="M1485">
        <v>7.3637630290000002</v>
      </c>
      <c r="N1485">
        <v>7.4894963920000004</v>
      </c>
      <c r="O1485">
        <v>7.5032021269999998</v>
      </c>
      <c r="P1485">
        <v>7.2894674430000004</v>
      </c>
      <c r="Q1485">
        <v>7.363062717</v>
      </c>
    </row>
    <row r="1486" spans="1:17" x14ac:dyDescent="0.25">
      <c r="A1486" t="s">
        <v>5</v>
      </c>
      <c r="B1486" t="s">
        <v>6</v>
      </c>
      <c r="C1486" t="s">
        <v>262</v>
      </c>
      <c r="D1486" t="s">
        <v>55</v>
      </c>
      <c r="E1486" t="s">
        <v>27</v>
      </c>
      <c r="F1486">
        <v>2.2710548799999999</v>
      </c>
      <c r="G1486">
        <v>3.044656764</v>
      </c>
      <c r="H1486">
        <v>4.064893734</v>
      </c>
      <c r="I1486">
        <v>5.1662842500000004</v>
      </c>
      <c r="J1486">
        <v>6.6073520849999996</v>
      </c>
      <c r="K1486">
        <v>6.9174996709999999</v>
      </c>
      <c r="L1486">
        <v>7.2351823230000001</v>
      </c>
      <c r="M1486">
        <v>7.5585093949999997</v>
      </c>
      <c r="N1486">
        <v>7.8946103580000004</v>
      </c>
      <c r="O1486">
        <v>8.2013668840000005</v>
      </c>
      <c r="P1486">
        <v>8.7036841729999992</v>
      </c>
      <c r="Q1486">
        <v>9.0529153109999996</v>
      </c>
    </row>
    <row r="1487" spans="1:17" x14ac:dyDescent="0.25">
      <c r="A1487" t="s">
        <v>5</v>
      </c>
      <c r="B1487" t="s">
        <v>6</v>
      </c>
      <c r="C1487" t="s">
        <v>262</v>
      </c>
      <c r="D1487" t="s">
        <v>56</v>
      </c>
      <c r="E1487" t="s">
        <v>27</v>
      </c>
      <c r="F1487">
        <v>2.031300581</v>
      </c>
      <c r="G1487">
        <v>2.3928300180000002</v>
      </c>
      <c r="H1487">
        <v>2.4584755889999999</v>
      </c>
      <c r="I1487">
        <v>2.0743949439999998</v>
      </c>
      <c r="J1487">
        <v>2.5624239649999998</v>
      </c>
      <c r="K1487">
        <v>2.700491617</v>
      </c>
      <c r="L1487">
        <v>2.7843642169999998</v>
      </c>
      <c r="M1487">
        <v>2.8105343829999998</v>
      </c>
      <c r="N1487">
        <v>2.8394336949999999</v>
      </c>
      <c r="O1487">
        <v>2.8287974600000001</v>
      </c>
      <c r="P1487">
        <v>2.7417884130000001</v>
      </c>
      <c r="Q1487">
        <v>2.7544578290000001</v>
      </c>
    </row>
    <row r="1488" spans="1:17" x14ac:dyDescent="0.25">
      <c r="A1488" t="s">
        <v>5</v>
      </c>
      <c r="B1488" t="s">
        <v>6</v>
      </c>
      <c r="C1488" t="s">
        <v>262</v>
      </c>
      <c r="D1488" t="s">
        <v>57</v>
      </c>
      <c r="E1488" t="s">
        <v>27</v>
      </c>
      <c r="F1488">
        <v>1.4412119830000001</v>
      </c>
      <c r="G1488">
        <v>1.9291807560000001</v>
      </c>
      <c r="H1488">
        <v>2.5992780550000001</v>
      </c>
      <c r="I1488">
        <v>3.375972247</v>
      </c>
      <c r="J1488">
        <v>4.4005362129999996</v>
      </c>
      <c r="K1488">
        <v>4.6807543750000002</v>
      </c>
      <c r="L1488">
        <v>4.9354257229999998</v>
      </c>
      <c r="M1488">
        <v>5.1839021550000002</v>
      </c>
      <c r="N1488">
        <v>5.434012096</v>
      </c>
      <c r="O1488">
        <v>5.6631439600000002</v>
      </c>
      <c r="P1488">
        <v>6.0472117169999997</v>
      </c>
      <c r="Q1488">
        <v>6.3309178460000002</v>
      </c>
    </row>
    <row r="1489" spans="1:17" x14ac:dyDescent="0.25">
      <c r="A1489" t="s">
        <v>5</v>
      </c>
      <c r="B1489" t="s">
        <v>6</v>
      </c>
      <c r="C1489" t="s">
        <v>262</v>
      </c>
      <c r="D1489" t="s">
        <v>58</v>
      </c>
      <c r="E1489" t="s">
        <v>27</v>
      </c>
      <c r="F1489">
        <v>1793.0240590000001</v>
      </c>
      <c r="G1489">
        <v>2075.8169330000001</v>
      </c>
      <c r="H1489">
        <v>2261.080019</v>
      </c>
      <c r="I1489">
        <v>2004.615726</v>
      </c>
      <c r="J1489">
        <v>2461.7185789999999</v>
      </c>
      <c r="K1489">
        <v>2645.1807429999999</v>
      </c>
      <c r="L1489">
        <v>2799.3376069999999</v>
      </c>
      <c r="M1489">
        <v>2887.1293949999999</v>
      </c>
      <c r="N1489">
        <v>2969.030166</v>
      </c>
      <c r="O1489">
        <v>3003.6853970000002</v>
      </c>
      <c r="P1489">
        <v>2939.5331620000002</v>
      </c>
      <c r="Q1489">
        <v>2993.5502590000001</v>
      </c>
    </row>
    <row r="1490" spans="1:17" x14ac:dyDescent="0.25">
      <c r="A1490" t="s">
        <v>5</v>
      </c>
      <c r="B1490" t="s">
        <v>6</v>
      </c>
      <c r="C1490" t="s">
        <v>262</v>
      </c>
      <c r="D1490" t="s">
        <v>59</v>
      </c>
      <c r="E1490" t="s">
        <v>27</v>
      </c>
      <c r="F1490">
        <v>387.03792299999998</v>
      </c>
      <c r="G1490">
        <v>517.14560959999994</v>
      </c>
      <c r="H1490">
        <v>695.0132089</v>
      </c>
      <c r="I1490">
        <v>900.14638330000002</v>
      </c>
      <c r="J1490">
        <v>1172.4760289999999</v>
      </c>
      <c r="K1490">
        <v>1248.067922</v>
      </c>
      <c r="L1490">
        <v>1317.326904</v>
      </c>
      <c r="M1490">
        <v>1384.758558</v>
      </c>
      <c r="N1490">
        <v>1451.9391720000001</v>
      </c>
      <c r="O1490">
        <v>1512.7970519999999</v>
      </c>
      <c r="P1490">
        <v>1615.1250230000001</v>
      </c>
      <c r="Q1490">
        <v>1691.0284899999999</v>
      </c>
    </row>
    <row r="1491" spans="1:17" x14ac:dyDescent="0.25">
      <c r="A1491" t="s">
        <v>5</v>
      </c>
      <c r="B1491" t="s">
        <v>6</v>
      </c>
      <c r="C1491" t="s">
        <v>262</v>
      </c>
      <c r="D1491" t="s">
        <v>60</v>
      </c>
      <c r="E1491" t="s">
        <v>27</v>
      </c>
      <c r="F1491">
        <v>5.7770236600000002</v>
      </c>
      <c r="G1491">
        <v>6.6916016489999999</v>
      </c>
      <c r="H1491">
        <v>7.2637150679999998</v>
      </c>
      <c r="I1491">
        <v>6.426720778</v>
      </c>
      <c r="J1491">
        <v>7.879307356</v>
      </c>
      <c r="K1491">
        <v>8.4672653120000003</v>
      </c>
      <c r="L1491">
        <v>8.9563175990000001</v>
      </c>
      <c r="M1491">
        <v>9.2110853919999993</v>
      </c>
      <c r="N1491">
        <v>9.4471286729999999</v>
      </c>
      <c r="O1491">
        <v>9.5221366449999998</v>
      </c>
      <c r="P1491">
        <v>9.2453541159999997</v>
      </c>
      <c r="Q1491">
        <v>9.3941618630000008</v>
      </c>
    </row>
    <row r="1492" spans="1:17" x14ac:dyDescent="0.25">
      <c r="A1492" t="s">
        <v>5</v>
      </c>
      <c r="B1492" t="s">
        <v>6</v>
      </c>
      <c r="C1492" t="s">
        <v>262</v>
      </c>
      <c r="D1492" t="s">
        <v>61</v>
      </c>
      <c r="E1492" t="s">
        <v>27</v>
      </c>
      <c r="F1492">
        <v>3.5644804799999998</v>
      </c>
      <c r="G1492">
        <v>4.7735416920000002</v>
      </c>
      <c r="H1492">
        <v>6.3350572920000001</v>
      </c>
      <c r="I1492">
        <v>7.9582932959999999</v>
      </c>
      <c r="J1492">
        <v>10.088142489999999</v>
      </c>
      <c r="K1492">
        <v>10.49431669</v>
      </c>
      <c r="L1492">
        <v>10.945605820000001</v>
      </c>
      <c r="M1492">
        <v>11.413128070000001</v>
      </c>
      <c r="N1492">
        <v>11.901349679999999</v>
      </c>
      <c r="O1492">
        <v>12.340998750000001</v>
      </c>
      <c r="P1492">
        <v>13.055597300000001</v>
      </c>
      <c r="Q1492">
        <v>13.53763614</v>
      </c>
    </row>
    <row r="1493" spans="1:17" x14ac:dyDescent="0.25">
      <c r="A1493" t="s">
        <v>5</v>
      </c>
      <c r="B1493" t="s">
        <v>6</v>
      </c>
      <c r="C1493" t="s">
        <v>262</v>
      </c>
      <c r="D1493" t="s">
        <v>62</v>
      </c>
      <c r="E1493" t="s">
        <v>27</v>
      </c>
      <c r="F1493">
        <v>92.045965150000001</v>
      </c>
      <c r="G1493">
        <v>107.14834159999999</v>
      </c>
      <c r="H1493">
        <v>114.96749749999999</v>
      </c>
      <c r="I1493">
        <v>100.6214463</v>
      </c>
      <c r="J1493">
        <v>123.79026020000001</v>
      </c>
      <c r="K1493">
        <v>132.3971378</v>
      </c>
      <c r="L1493">
        <v>139.23772220000001</v>
      </c>
      <c r="M1493">
        <v>142.87087510000001</v>
      </c>
      <c r="N1493">
        <v>146.31632680000001</v>
      </c>
      <c r="O1493">
        <v>147.5125937</v>
      </c>
      <c r="P1493">
        <v>144.0816887</v>
      </c>
      <c r="Q1493">
        <v>146.3172447</v>
      </c>
    </row>
    <row r="1494" spans="1:17" x14ac:dyDescent="0.25">
      <c r="A1494" t="s">
        <v>5</v>
      </c>
      <c r="B1494" t="s">
        <v>6</v>
      </c>
      <c r="C1494" t="s">
        <v>262</v>
      </c>
      <c r="D1494" t="s">
        <v>63</v>
      </c>
      <c r="E1494" t="s">
        <v>27</v>
      </c>
      <c r="F1494">
        <v>7.3546502599999997</v>
      </c>
      <c r="G1494">
        <v>9.8088387269999995</v>
      </c>
      <c r="H1494">
        <v>13.16077757</v>
      </c>
      <c r="I1494">
        <v>17.04279592</v>
      </c>
      <c r="J1494">
        <v>22.2389653</v>
      </c>
      <c r="K1494">
        <v>23.771580140000001</v>
      </c>
      <c r="L1494">
        <v>25.192667419999999</v>
      </c>
      <c r="M1494">
        <v>26.58610543</v>
      </c>
      <c r="N1494">
        <v>27.954170489999999</v>
      </c>
      <c r="O1494">
        <v>29.16672552</v>
      </c>
      <c r="P1494">
        <v>31.196850009999999</v>
      </c>
      <c r="Q1494">
        <v>32.731078529999998</v>
      </c>
    </row>
    <row r="1495" spans="1:17" x14ac:dyDescent="0.25">
      <c r="A1495" t="s">
        <v>5</v>
      </c>
      <c r="B1495" t="s">
        <v>6</v>
      </c>
      <c r="C1495" t="s">
        <v>262</v>
      </c>
      <c r="D1495" t="s">
        <v>64</v>
      </c>
      <c r="E1495" t="s">
        <v>27</v>
      </c>
      <c r="F1495">
        <v>4.8332843600000004</v>
      </c>
      <c r="G1495">
        <v>9.1021468720000005</v>
      </c>
      <c r="H1495">
        <v>14.4397994</v>
      </c>
      <c r="I1495">
        <v>22.259129340000001</v>
      </c>
      <c r="J1495">
        <v>20.01133214</v>
      </c>
      <c r="K1495">
        <v>21.463063689999998</v>
      </c>
      <c r="L1495">
        <v>19.48226425</v>
      </c>
      <c r="M1495">
        <v>22.684817859999999</v>
      </c>
      <c r="N1495">
        <v>26.30949553</v>
      </c>
      <c r="O1495">
        <v>32.688580680000001</v>
      </c>
      <c r="P1495">
        <v>37.683743999999997</v>
      </c>
      <c r="Q1495">
        <v>36.640230529999997</v>
      </c>
    </row>
    <row r="1496" spans="1:17" x14ac:dyDescent="0.25">
      <c r="A1496" t="s">
        <v>5</v>
      </c>
      <c r="B1496" t="s">
        <v>6</v>
      </c>
      <c r="C1496" t="s">
        <v>262</v>
      </c>
      <c r="D1496" t="s">
        <v>65</v>
      </c>
      <c r="E1496" t="s">
        <v>27</v>
      </c>
      <c r="F1496">
        <v>35.614980359999997</v>
      </c>
      <c r="G1496">
        <v>75.292624930000002</v>
      </c>
      <c r="H1496">
        <v>114.4861792</v>
      </c>
      <c r="I1496">
        <v>82.802395730000001</v>
      </c>
      <c r="J1496">
        <v>69.107528639999998</v>
      </c>
      <c r="K1496">
        <v>114.1266711</v>
      </c>
      <c r="L1496">
        <v>104.2259974</v>
      </c>
      <c r="M1496">
        <v>77.747701730000003</v>
      </c>
      <c r="N1496">
        <v>77.676561840000005</v>
      </c>
      <c r="O1496">
        <v>80.385838629999995</v>
      </c>
      <c r="P1496">
        <v>78.649359939999997</v>
      </c>
      <c r="Q1496">
        <v>73.710195429999999</v>
      </c>
    </row>
    <row r="1497" spans="1:17" x14ac:dyDescent="0.25">
      <c r="A1497" t="s">
        <v>5</v>
      </c>
      <c r="B1497" t="s">
        <v>6</v>
      </c>
      <c r="C1497" t="s">
        <v>262</v>
      </c>
      <c r="D1497" t="s">
        <v>66</v>
      </c>
      <c r="E1497" t="s">
        <v>27</v>
      </c>
      <c r="F1497">
        <v>3.3902091000000002E-2</v>
      </c>
      <c r="G1497">
        <v>7.2441921000000006E-2</v>
      </c>
      <c r="H1497">
        <v>0.28725198699999999</v>
      </c>
      <c r="I1497">
        <v>0.70181953100000005</v>
      </c>
      <c r="J1497">
        <v>0.74587415499999998</v>
      </c>
      <c r="K1497">
        <v>0.82154922200000002</v>
      </c>
      <c r="L1497">
        <v>0.73983801199999999</v>
      </c>
      <c r="M1497">
        <v>0.97672972999999996</v>
      </c>
      <c r="N1497">
        <v>1.178948085</v>
      </c>
      <c r="O1497">
        <v>1.4607594800000001</v>
      </c>
      <c r="P1497">
        <v>1.7516681780000001</v>
      </c>
      <c r="Q1497">
        <v>1.7372971669999999</v>
      </c>
    </row>
    <row r="1498" spans="1:17" x14ac:dyDescent="0.25">
      <c r="A1498" t="s">
        <v>5</v>
      </c>
      <c r="B1498" t="s">
        <v>6</v>
      </c>
      <c r="C1498" t="s">
        <v>262</v>
      </c>
      <c r="D1498" t="s">
        <v>67</v>
      </c>
      <c r="E1498" t="s">
        <v>27</v>
      </c>
      <c r="F1498">
        <v>8.7998828000000001E-2</v>
      </c>
      <c r="G1498">
        <v>0.16444546700000001</v>
      </c>
      <c r="H1498">
        <v>0.34957876900000001</v>
      </c>
      <c r="I1498">
        <v>0.62241548800000002</v>
      </c>
      <c r="J1498">
        <v>0.60898775699999996</v>
      </c>
      <c r="K1498">
        <v>0.68791801399999997</v>
      </c>
      <c r="L1498">
        <v>0.62356415600000004</v>
      </c>
      <c r="M1498">
        <v>0.77578988000000004</v>
      </c>
      <c r="N1498">
        <v>0.960555143</v>
      </c>
      <c r="O1498">
        <v>1.1604097099999999</v>
      </c>
      <c r="P1498">
        <v>1.3199175809999999</v>
      </c>
      <c r="Q1498">
        <v>1.2941766690000001</v>
      </c>
    </row>
    <row r="1499" spans="1:17" x14ac:dyDescent="0.25">
      <c r="A1499" t="s">
        <v>5</v>
      </c>
      <c r="B1499" t="s">
        <v>6</v>
      </c>
      <c r="C1499" t="s">
        <v>262</v>
      </c>
      <c r="D1499" t="s">
        <v>68</v>
      </c>
      <c r="E1499" t="s">
        <v>27</v>
      </c>
      <c r="F1499" s="1">
        <v>2.72E-5</v>
      </c>
      <c r="G1499">
        <v>1.4234100000000001E-4</v>
      </c>
      <c r="H1499">
        <v>9.8345810000000002E-3</v>
      </c>
      <c r="I1499">
        <v>1.5100689E-2</v>
      </c>
      <c r="J1499">
        <v>3.9961620000000002E-3</v>
      </c>
      <c r="K1499">
        <v>6.3252209999999998E-3</v>
      </c>
      <c r="L1499">
        <v>3.3859459999999999E-3</v>
      </c>
      <c r="M1499">
        <v>8.9240100000000002E-4</v>
      </c>
      <c r="N1499">
        <v>5.38457E-4</v>
      </c>
      <c r="O1499">
        <v>5.5288600000000005E-4</v>
      </c>
      <c r="P1499">
        <v>1.6165799999999999E-4</v>
      </c>
      <c r="Q1499">
        <v>1.2639699999999999E-4</v>
      </c>
    </row>
    <row r="1500" spans="1:17" x14ac:dyDescent="0.25">
      <c r="A1500" t="s">
        <v>5</v>
      </c>
      <c r="B1500" t="s">
        <v>6</v>
      </c>
      <c r="C1500" t="s">
        <v>262</v>
      </c>
      <c r="D1500" t="s">
        <v>69</v>
      </c>
      <c r="E1500" t="s">
        <v>27</v>
      </c>
      <c r="F1500">
        <v>2.2305581380000001</v>
      </c>
      <c r="G1500">
        <v>3.864424557</v>
      </c>
      <c r="H1500">
        <v>5.5526117590000004</v>
      </c>
      <c r="I1500">
        <v>7.3434051289999998</v>
      </c>
      <c r="J1500">
        <v>6.1189271129999998</v>
      </c>
      <c r="K1500">
        <v>6.6731381230000002</v>
      </c>
      <c r="L1500">
        <v>7.1107609270000003</v>
      </c>
      <c r="M1500">
        <v>7.7497931849999997</v>
      </c>
      <c r="N1500">
        <v>8.8425088560000003</v>
      </c>
      <c r="O1500">
        <v>10.65650889</v>
      </c>
      <c r="P1500">
        <v>12.52673534</v>
      </c>
      <c r="Q1500">
        <v>12.8577827</v>
      </c>
    </row>
    <row r="1501" spans="1:17" x14ac:dyDescent="0.25">
      <c r="A1501" t="s">
        <v>5</v>
      </c>
      <c r="B1501" t="s">
        <v>6</v>
      </c>
      <c r="C1501" t="s">
        <v>262</v>
      </c>
      <c r="D1501" t="s">
        <v>70</v>
      </c>
      <c r="E1501" t="s">
        <v>27</v>
      </c>
      <c r="F1501">
        <v>6.6234980009999997</v>
      </c>
      <c r="G1501">
        <v>11.565621869999999</v>
      </c>
      <c r="H1501">
        <v>16.75886049</v>
      </c>
      <c r="I1501">
        <v>22.229954370000002</v>
      </c>
      <c r="J1501">
        <v>18.591524840000002</v>
      </c>
      <c r="K1501">
        <v>20.17328199</v>
      </c>
      <c r="L1501">
        <v>21.301969710000002</v>
      </c>
      <c r="M1501">
        <v>23.03799077</v>
      </c>
      <c r="N1501">
        <v>26.201289429999999</v>
      </c>
      <c r="O1501">
        <v>31.804992250000002</v>
      </c>
      <c r="P1501">
        <v>37.872427100000003</v>
      </c>
      <c r="Q1501">
        <v>39.086741179999997</v>
      </c>
    </row>
    <row r="1502" spans="1:17" x14ac:dyDescent="0.25">
      <c r="A1502" t="s">
        <v>5</v>
      </c>
      <c r="B1502" t="s">
        <v>6</v>
      </c>
      <c r="C1502" t="s">
        <v>262</v>
      </c>
      <c r="D1502" t="s">
        <v>71</v>
      </c>
      <c r="E1502" t="s">
        <v>27</v>
      </c>
      <c r="F1502">
        <v>1.1588204090000001</v>
      </c>
      <c r="G1502">
        <v>1.988246076</v>
      </c>
      <c r="H1502">
        <v>2.802491689</v>
      </c>
      <c r="I1502">
        <v>3.7902214170000001</v>
      </c>
      <c r="J1502">
        <v>3.1402391569999999</v>
      </c>
      <c r="K1502">
        <v>3.502902878</v>
      </c>
      <c r="L1502">
        <v>3.6064569500000001</v>
      </c>
      <c r="M1502">
        <v>3.7774363850000001</v>
      </c>
      <c r="N1502">
        <v>4.2727704930000003</v>
      </c>
      <c r="O1502">
        <v>5.1785696430000003</v>
      </c>
      <c r="P1502">
        <v>6.0093495929999996</v>
      </c>
      <c r="Q1502">
        <v>6.2830443489999999</v>
      </c>
    </row>
    <row r="1503" spans="1:17" x14ac:dyDescent="0.25">
      <c r="A1503" t="s">
        <v>5</v>
      </c>
      <c r="B1503" t="s">
        <v>6</v>
      </c>
      <c r="C1503" t="s">
        <v>262</v>
      </c>
      <c r="D1503" t="s">
        <v>72</v>
      </c>
      <c r="E1503" t="s">
        <v>27</v>
      </c>
      <c r="F1503">
        <v>0.67488576700000003</v>
      </c>
      <c r="G1503">
        <v>1.145487181</v>
      </c>
      <c r="H1503">
        <v>1.597676323</v>
      </c>
      <c r="I1503">
        <v>2.1726606620000002</v>
      </c>
      <c r="J1503">
        <v>1.8748179410000001</v>
      </c>
      <c r="K1503">
        <v>2.1540849670000002</v>
      </c>
      <c r="L1503">
        <v>2.2473358480000001</v>
      </c>
      <c r="M1503">
        <v>2.4002805930000002</v>
      </c>
      <c r="N1503">
        <v>2.735455698</v>
      </c>
      <c r="O1503">
        <v>3.2556890429999998</v>
      </c>
      <c r="P1503">
        <v>3.6930221830000001</v>
      </c>
      <c r="Q1503">
        <v>3.9028531719999999</v>
      </c>
    </row>
    <row r="1504" spans="1:17" x14ac:dyDescent="0.25">
      <c r="A1504" t="s">
        <v>5</v>
      </c>
      <c r="B1504" t="s">
        <v>6</v>
      </c>
      <c r="C1504" t="s">
        <v>262</v>
      </c>
      <c r="D1504" t="s">
        <v>73</v>
      </c>
      <c r="E1504" t="s">
        <v>27</v>
      </c>
      <c r="F1504">
        <v>2.9467619E-2</v>
      </c>
      <c r="G1504">
        <v>5.2284115999999999E-2</v>
      </c>
      <c r="H1504">
        <v>7.8025555999999996E-2</v>
      </c>
      <c r="I1504">
        <v>0.104467148</v>
      </c>
      <c r="J1504">
        <v>8.6563302999999994E-2</v>
      </c>
      <c r="K1504">
        <v>9.2953051999999994E-2</v>
      </c>
      <c r="L1504">
        <v>9.8575667000000006E-2</v>
      </c>
      <c r="M1504">
        <v>0.105556518</v>
      </c>
      <c r="N1504">
        <v>0.119683362</v>
      </c>
      <c r="O1504">
        <v>0.14779956899999999</v>
      </c>
      <c r="P1504">
        <v>0.18099230699999999</v>
      </c>
      <c r="Q1504">
        <v>0.18737150899999999</v>
      </c>
    </row>
    <row r="1505" spans="1:17" x14ac:dyDescent="0.25">
      <c r="A1505" t="s">
        <v>5</v>
      </c>
      <c r="B1505" t="s">
        <v>6</v>
      </c>
      <c r="C1505" t="s">
        <v>262</v>
      </c>
      <c r="D1505" t="s">
        <v>74</v>
      </c>
      <c r="E1505" t="s">
        <v>27</v>
      </c>
      <c r="F1505">
        <v>1.7603806E-2</v>
      </c>
      <c r="G1505">
        <v>3.6965271000000001E-2</v>
      </c>
      <c r="H1505">
        <v>0.12578162400000001</v>
      </c>
      <c r="I1505">
        <v>0.32396887000000002</v>
      </c>
      <c r="J1505">
        <v>0.26255134400000002</v>
      </c>
      <c r="K1505">
        <v>0.27253137999999999</v>
      </c>
      <c r="L1505">
        <v>0.196504548</v>
      </c>
      <c r="M1505">
        <v>0.23990576299999999</v>
      </c>
      <c r="N1505">
        <v>0.189268567</v>
      </c>
      <c r="O1505">
        <v>0.20399224199999999</v>
      </c>
      <c r="P1505">
        <v>0.27637334400000002</v>
      </c>
      <c r="Q1505">
        <v>0.25867952799999999</v>
      </c>
    </row>
    <row r="1506" spans="1:17" x14ac:dyDescent="0.25">
      <c r="A1506" t="s">
        <v>5</v>
      </c>
      <c r="B1506" t="s">
        <v>6</v>
      </c>
      <c r="C1506" t="s">
        <v>262</v>
      </c>
      <c r="D1506" t="s">
        <v>75</v>
      </c>
      <c r="E1506" t="s">
        <v>27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</row>
    <row r="1507" spans="1:17" x14ac:dyDescent="0.25">
      <c r="A1507" t="s">
        <v>5</v>
      </c>
      <c r="B1507" t="s">
        <v>6</v>
      </c>
      <c r="C1507" t="s">
        <v>262</v>
      </c>
      <c r="D1507" t="s">
        <v>76</v>
      </c>
      <c r="E1507" t="s">
        <v>27</v>
      </c>
      <c r="F1507">
        <v>1.3185989999999999E-3</v>
      </c>
      <c r="G1507">
        <v>2.0426630000000001E-3</v>
      </c>
      <c r="H1507">
        <v>4.0987159999999996E-3</v>
      </c>
      <c r="I1507">
        <v>1.8533748999999999E-2</v>
      </c>
      <c r="J1507">
        <v>2.3854039999999998E-3</v>
      </c>
      <c r="K1507">
        <v>1.6624229999999999E-3</v>
      </c>
      <c r="L1507">
        <v>1.542592E-3</v>
      </c>
      <c r="M1507">
        <v>3.014755E-3</v>
      </c>
      <c r="N1507">
        <v>2.190811E-3</v>
      </c>
      <c r="O1507">
        <v>1.0218180000000001E-3</v>
      </c>
      <c r="P1507">
        <v>9.4030399999999999E-4</v>
      </c>
      <c r="Q1507">
        <v>8.8010499999999995E-4</v>
      </c>
    </row>
    <row r="1508" spans="1:17" x14ac:dyDescent="0.25">
      <c r="A1508" t="s">
        <v>5</v>
      </c>
      <c r="B1508" t="s">
        <v>6</v>
      </c>
      <c r="C1508" t="s">
        <v>262</v>
      </c>
      <c r="D1508" t="s">
        <v>77</v>
      </c>
      <c r="E1508" t="s">
        <v>27</v>
      </c>
      <c r="F1508">
        <v>3.9096399999999999E-4</v>
      </c>
      <c r="G1508">
        <v>8.2921500000000001E-4</v>
      </c>
      <c r="H1508">
        <v>2.8614560000000001E-3</v>
      </c>
      <c r="I1508">
        <v>7.3713499999999996E-3</v>
      </c>
      <c r="J1508">
        <v>6.0171560000000001E-3</v>
      </c>
      <c r="K1508">
        <v>6.2731990000000001E-3</v>
      </c>
      <c r="L1508">
        <v>4.5380680000000001E-3</v>
      </c>
      <c r="M1508">
        <v>5.5950339999999996E-3</v>
      </c>
      <c r="N1508">
        <v>4.4110590000000002E-3</v>
      </c>
      <c r="O1508">
        <v>4.6925040000000001E-3</v>
      </c>
      <c r="P1508">
        <v>6.3350000000000004E-3</v>
      </c>
      <c r="Q1508">
        <v>5.9294250000000003E-3</v>
      </c>
    </row>
    <row r="1509" spans="1:17" x14ac:dyDescent="0.25">
      <c r="A1509" t="s">
        <v>5</v>
      </c>
      <c r="B1509" t="s">
        <v>6</v>
      </c>
      <c r="C1509" t="s">
        <v>262</v>
      </c>
      <c r="D1509" t="s">
        <v>78</v>
      </c>
      <c r="E1509" t="s">
        <v>27</v>
      </c>
      <c r="F1509" s="1">
        <v>2.7800000000000001E-5</v>
      </c>
      <c r="G1509" s="1">
        <v>2.3200000000000001E-5</v>
      </c>
      <c r="H1509" s="1">
        <v>3.1199999999999999E-5</v>
      </c>
      <c r="I1509">
        <v>1.9068500000000001E-4</v>
      </c>
      <c r="J1509" s="1">
        <v>2.0999999999999999E-5</v>
      </c>
      <c r="K1509" s="1">
        <v>2.0100000000000001E-5</v>
      </c>
      <c r="L1509" s="1">
        <v>2.4600000000000002E-5</v>
      </c>
      <c r="M1509" s="1">
        <v>6.3999999999999997E-5</v>
      </c>
      <c r="N1509" s="1">
        <v>4.5899999999999998E-5</v>
      </c>
      <c r="O1509" s="1">
        <v>9.9199999999999999E-6</v>
      </c>
      <c r="P1509" s="1">
        <v>4.7399999999999998E-21</v>
      </c>
      <c r="Q1509" s="1">
        <v>4.7399999999999998E-21</v>
      </c>
    </row>
    <row r="1510" spans="1:17" x14ac:dyDescent="0.25">
      <c r="A1510" t="s">
        <v>5</v>
      </c>
      <c r="B1510" t="s">
        <v>6</v>
      </c>
      <c r="C1510" t="s">
        <v>262</v>
      </c>
      <c r="D1510" t="s">
        <v>79</v>
      </c>
      <c r="E1510" t="s">
        <v>9</v>
      </c>
      <c r="F1510">
        <v>7950.4880279999998</v>
      </c>
      <c r="G1510">
        <v>10648.16764</v>
      </c>
      <c r="H1510">
        <v>14007.612999999999</v>
      </c>
      <c r="I1510">
        <v>25349.488979999998</v>
      </c>
      <c r="J1510">
        <v>20875.851579999999</v>
      </c>
      <c r="K1510">
        <v>28068.594249999998</v>
      </c>
      <c r="L1510">
        <v>35744.005899999996</v>
      </c>
      <c r="M1510">
        <v>43900.932540000002</v>
      </c>
      <c r="N1510">
        <v>52758.002280000001</v>
      </c>
      <c r="O1510">
        <v>61061.461159999999</v>
      </c>
      <c r="P1510">
        <v>68716.208769999997</v>
      </c>
      <c r="Q1510">
        <v>75325.222049999997</v>
      </c>
    </row>
    <row r="1511" spans="1:17" x14ac:dyDescent="0.25">
      <c r="A1511" t="s">
        <v>5</v>
      </c>
      <c r="B1511" t="s">
        <v>6</v>
      </c>
      <c r="C1511" t="s">
        <v>262</v>
      </c>
      <c r="D1511" t="s">
        <v>80</v>
      </c>
      <c r="E1511" t="s">
        <v>9</v>
      </c>
      <c r="F1511">
        <v>337.4518314</v>
      </c>
      <c r="G1511">
        <v>397.73003219999998</v>
      </c>
      <c r="H1511">
        <v>472.55112969999999</v>
      </c>
      <c r="I1511">
        <v>542.61644100000001</v>
      </c>
      <c r="J1511">
        <v>524.39297099999999</v>
      </c>
      <c r="K1511">
        <v>599.25974359999998</v>
      </c>
      <c r="L1511">
        <v>681.45605550000005</v>
      </c>
      <c r="M1511">
        <v>725.33578620000003</v>
      </c>
      <c r="N1511">
        <v>753.39263459999995</v>
      </c>
      <c r="O1511">
        <v>762.92229999999995</v>
      </c>
      <c r="P1511">
        <v>754.65922209999997</v>
      </c>
      <c r="Q1511">
        <v>751.69056269999999</v>
      </c>
    </row>
    <row r="1512" spans="1:17" x14ac:dyDescent="0.25">
      <c r="A1512" t="s">
        <v>5</v>
      </c>
      <c r="B1512" t="s">
        <v>6</v>
      </c>
      <c r="C1512" t="s">
        <v>262</v>
      </c>
      <c r="D1512" t="s">
        <v>81</v>
      </c>
      <c r="E1512" t="s">
        <v>9</v>
      </c>
      <c r="F1512">
        <v>85429.070470000006</v>
      </c>
      <c r="G1512">
        <v>77028.772400000002</v>
      </c>
      <c r="H1512">
        <v>67639.046929999997</v>
      </c>
      <c r="I1512">
        <v>85958.200410000005</v>
      </c>
      <c r="J1512">
        <v>105076.7043</v>
      </c>
      <c r="K1512">
        <v>96621.689830000003</v>
      </c>
      <c r="L1512">
        <v>106381.5021</v>
      </c>
      <c r="M1512">
        <v>99368.703699999998</v>
      </c>
      <c r="N1512">
        <v>98257.695500000002</v>
      </c>
      <c r="O1512">
        <v>92302.134999999995</v>
      </c>
      <c r="P1512">
        <v>87997.238840000005</v>
      </c>
      <c r="Q1512">
        <v>83469.115390000006</v>
      </c>
    </row>
    <row r="1513" spans="1:17" x14ac:dyDescent="0.25">
      <c r="A1513" t="s">
        <v>5</v>
      </c>
      <c r="B1513" t="s">
        <v>6</v>
      </c>
      <c r="C1513" t="s">
        <v>262</v>
      </c>
      <c r="D1513" t="s">
        <v>82</v>
      </c>
      <c r="E1513" t="s">
        <v>9</v>
      </c>
      <c r="F1513">
        <v>1309.3197029999999</v>
      </c>
      <c r="G1513">
        <v>1750.075335</v>
      </c>
      <c r="H1513">
        <v>2417.0961320000001</v>
      </c>
      <c r="I1513">
        <v>4069.746975</v>
      </c>
      <c r="J1513">
        <v>5053.3697320000001</v>
      </c>
      <c r="K1513">
        <v>6176.0738920000003</v>
      </c>
      <c r="L1513">
        <v>7011.5005540000002</v>
      </c>
      <c r="M1513">
        <v>8148.1980290000001</v>
      </c>
      <c r="N1513">
        <v>9049.8721100000002</v>
      </c>
      <c r="O1513">
        <v>9796.1141630000002</v>
      </c>
      <c r="P1513">
        <v>10761.534240000001</v>
      </c>
      <c r="Q1513">
        <v>11317.23178</v>
      </c>
    </row>
    <row r="1514" spans="1:17" x14ac:dyDescent="0.25">
      <c r="A1514" t="s">
        <v>5</v>
      </c>
      <c r="B1514" t="s">
        <v>6</v>
      </c>
      <c r="C1514" t="s">
        <v>262</v>
      </c>
      <c r="D1514" t="s">
        <v>83</v>
      </c>
      <c r="E1514" t="s">
        <v>9</v>
      </c>
      <c r="F1514">
        <v>0.653731112</v>
      </c>
      <c r="G1514">
        <v>0.70996609600000005</v>
      </c>
      <c r="H1514">
        <v>0.65572220400000003</v>
      </c>
      <c r="I1514">
        <v>1.407357883</v>
      </c>
      <c r="J1514">
        <v>0.897912453</v>
      </c>
      <c r="K1514">
        <v>1.06219095</v>
      </c>
      <c r="L1514">
        <v>1.2758875869999999</v>
      </c>
      <c r="M1514">
        <v>1.554411969</v>
      </c>
      <c r="N1514">
        <v>1.872986985</v>
      </c>
      <c r="O1514">
        <v>2.1665056740000002</v>
      </c>
      <c r="P1514">
        <v>2.371091152</v>
      </c>
      <c r="Q1514">
        <v>2.4662328659999999</v>
      </c>
    </row>
    <row r="1515" spans="1:17" x14ac:dyDescent="0.25">
      <c r="A1515" t="s">
        <v>5</v>
      </c>
      <c r="B1515" t="s">
        <v>6</v>
      </c>
      <c r="C1515" t="s">
        <v>262</v>
      </c>
      <c r="D1515" t="s">
        <v>84</v>
      </c>
      <c r="E1515" t="s">
        <v>9</v>
      </c>
      <c r="F1515">
        <v>0.14281544700000001</v>
      </c>
      <c r="G1515">
        <v>0.19480846099999999</v>
      </c>
      <c r="H1515">
        <v>0.225283022</v>
      </c>
      <c r="I1515">
        <v>0.31131499699999998</v>
      </c>
      <c r="J1515">
        <v>0.342159612</v>
      </c>
      <c r="K1515">
        <v>0.418419547</v>
      </c>
      <c r="L1515">
        <v>0.50955234800000004</v>
      </c>
      <c r="M1515">
        <v>0.61649457500000004</v>
      </c>
      <c r="N1515">
        <v>0.73843055300000005</v>
      </c>
      <c r="O1515">
        <v>0.875115427</v>
      </c>
      <c r="P1515">
        <v>1.0278388030000001</v>
      </c>
      <c r="Q1515">
        <v>1.174517534</v>
      </c>
    </row>
    <row r="1516" spans="1:17" x14ac:dyDescent="0.25">
      <c r="A1516" t="s">
        <v>5</v>
      </c>
      <c r="B1516" t="s">
        <v>6</v>
      </c>
      <c r="C1516" t="s">
        <v>262</v>
      </c>
      <c r="D1516" t="s">
        <v>85</v>
      </c>
      <c r="E1516" t="s">
        <v>9</v>
      </c>
      <c r="F1516">
        <v>9.0539336999999998E-2</v>
      </c>
      <c r="G1516">
        <v>0.124895441</v>
      </c>
      <c r="H1516">
        <v>0.12954776400000001</v>
      </c>
      <c r="I1516">
        <v>0.77868874200000004</v>
      </c>
      <c r="J1516">
        <v>0.106857735</v>
      </c>
      <c r="K1516">
        <v>0.201872043</v>
      </c>
      <c r="L1516">
        <v>0.38442787699999997</v>
      </c>
      <c r="M1516">
        <v>0.61558209699999999</v>
      </c>
      <c r="N1516">
        <v>0.74971171999999997</v>
      </c>
      <c r="O1516">
        <v>0.782352041</v>
      </c>
      <c r="P1516">
        <v>0.87636657799999995</v>
      </c>
      <c r="Q1516">
        <v>1.0526684770000001</v>
      </c>
    </row>
    <row r="1517" spans="1:17" x14ac:dyDescent="0.25">
      <c r="A1517" t="s">
        <v>5</v>
      </c>
      <c r="B1517" t="s">
        <v>6</v>
      </c>
      <c r="C1517" t="s">
        <v>262</v>
      </c>
      <c r="D1517" t="s">
        <v>86</v>
      </c>
      <c r="E1517" t="s">
        <v>9</v>
      </c>
      <c r="F1517">
        <v>5.5106561999999998E-2</v>
      </c>
      <c r="G1517">
        <v>6.4589987000000001E-2</v>
      </c>
      <c r="H1517">
        <v>6.4733481999999995E-2</v>
      </c>
      <c r="I1517">
        <v>0.18383487300000001</v>
      </c>
      <c r="J1517">
        <v>8.4394184999999997E-2</v>
      </c>
      <c r="K1517">
        <v>0.12786708999999999</v>
      </c>
      <c r="L1517">
        <v>0.185945846</v>
      </c>
      <c r="M1517">
        <v>0.23350199999999999</v>
      </c>
      <c r="N1517">
        <v>0.25266091600000001</v>
      </c>
      <c r="O1517">
        <v>0.2525384</v>
      </c>
      <c r="P1517">
        <v>0.26279560899999999</v>
      </c>
      <c r="Q1517">
        <v>0.28711288499999998</v>
      </c>
    </row>
    <row r="1518" spans="1:17" x14ac:dyDescent="0.25">
      <c r="A1518" t="s">
        <v>5</v>
      </c>
      <c r="B1518" t="s">
        <v>6</v>
      </c>
      <c r="C1518" t="s">
        <v>262</v>
      </c>
      <c r="D1518" t="s">
        <v>87</v>
      </c>
      <c r="E1518" t="s">
        <v>9</v>
      </c>
      <c r="F1518">
        <v>3.163785829</v>
      </c>
      <c r="G1518">
        <v>4.2931921849999997</v>
      </c>
      <c r="H1518">
        <v>3.9030535230000001</v>
      </c>
      <c r="I1518">
        <v>4.3609508129999996</v>
      </c>
      <c r="J1518">
        <v>4.7280274369999997</v>
      </c>
      <c r="K1518">
        <v>5.0002966119999996</v>
      </c>
      <c r="L1518">
        <v>5.2245231040000002</v>
      </c>
      <c r="M1518">
        <v>5.4766069369999997</v>
      </c>
      <c r="N1518">
        <v>5.7811034059999997</v>
      </c>
      <c r="O1518">
        <v>6.1243610149999999</v>
      </c>
      <c r="P1518">
        <v>6.491883531</v>
      </c>
      <c r="Q1518">
        <v>6.798481851</v>
      </c>
    </row>
    <row r="1519" spans="1:17" x14ac:dyDescent="0.25">
      <c r="A1519" t="s">
        <v>5</v>
      </c>
      <c r="B1519" t="s">
        <v>6</v>
      </c>
      <c r="C1519" t="s">
        <v>262</v>
      </c>
      <c r="D1519" t="s">
        <v>88</v>
      </c>
      <c r="E1519" t="s">
        <v>19</v>
      </c>
      <c r="F1519">
        <v>818855273.29999995</v>
      </c>
      <c r="G1519">
        <v>853215964.39999998</v>
      </c>
      <c r="H1519">
        <v>888918475.10000002</v>
      </c>
      <c r="I1519">
        <v>934454491.29999995</v>
      </c>
      <c r="J1519">
        <v>964763167.5</v>
      </c>
      <c r="K1519">
        <v>1003622529</v>
      </c>
      <c r="L1519">
        <v>1045766093</v>
      </c>
      <c r="M1519">
        <v>1091145425</v>
      </c>
      <c r="N1519">
        <v>1137860128</v>
      </c>
      <c r="O1519">
        <v>1183934208</v>
      </c>
      <c r="P1519">
        <v>1226684901</v>
      </c>
      <c r="Q1519">
        <v>1258414382</v>
      </c>
    </row>
    <row r="1520" spans="1:17" x14ac:dyDescent="0.25">
      <c r="A1520" t="s">
        <v>5</v>
      </c>
      <c r="B1520" t="s">
        <v>6</v>
      </c>
      <c r="C1520" t="s">
        <v>262</v>
      </c>
      <c r="D1520" t="s">
        <v>89</v>
      </c>
      <c r="E1520" t="s">
        <v>19</v>
      </c>
      <c r="F1520">
        <v>212321329.80000001</v>
      </c>
      <c r="G1520">
        <v>240532834.5</v>
      </c>
      <c r="H1520">
        <v>272329556.5</v>
      </c>
      <c r="I1520">
        <v>310570060.60000002</v>
      </c>
      <c r="J1520">
        <v>346510214.5</v>
      </c>
      <c r="K1520">
        <v>388023905.69999999</v>
      </c>
      <c r="L1520">
        <v>433047433.10000002</v>
      </c>
      <c r="M1520">
        <v>481594673.39999998</v>
      </c>
      <c r="N1520">
        <v>532941252.30000001</v>
      </c>
      <c r="O1520">
        <v>586139640.79999995</v>
      </c>
      <c r="P1520">
        <v>639733196.60000002</v>
      </c>
      <c r="Q1520">
        <v>685385894.5</v>
      </c>
    </row>
    <row r="1521" spans="1:17" x14ac:dyDescent="0.25">
      <c r="A1521" t="s">
        <v>5</v>
      </c>
      <c r="B1521" t="s">
        <v>6</v>
      </c>
      <c r="C1521" t="s">
        <v>262</v>
      </c>
      <c r="D1521" t="s">
        <v>90</v>
      </c>
      <c r="E1521" t="s">
        <v>19</v>
      </c>
      <c r="F1521">
        <v>68094139.269999996</v>
      </c>
      <c r="G1521">
        <v>78220043.959999993</v>
      </c>
      <c r="H1521">
        <v>89260513.879999995</v>
      </c>
      <c r="I1521">
        <v>102867471.59999999</v>
      </c>
      <c r="J1521">
        <v>114583291.3</v>
      </c>
      <c r="K1521">
        <v>128944744.59999999</v>
      </c>
      <c r="L1521">
        <v>144743905.09999999</v>
      </c>
      <c r="M1521">
        <v>162060304.69999999</v>
      </c>
      <c r="N1521">
        <v>180763110</v>
      </c>
      <c r="O1521">
        <v>200617673.90000001</v>
      </c>
      <c r="P1521">
        <v>221258311.90000001</v>
      </c>
      <c r="Q1521">
        <v>239625973.59999999</v>
      </c>
    </row>
    <row r="1522" spans="1:17" x14ac:dyDescent="0.25">
      <c r="A1522" t="s">
        <v>5</v>
      </c>
      <c r="B1522" t="s">
        <v>6</v>
      </c>
      <c r="C1522" t="s">
        <v>262</v>
      </c>
      <c r="D1522" t="s">
        <v>91</v>
      </c>
      <c r="E1522" t="s">
        <v>19</v>
      </c>
      <c r="F1522">
        <v>10026463.189999999</v>
      </c>
      <c r="G1522">
        <v>17322934.649999999</v>
      </c>
      <c r="H1522">
        <v>17703254.48</v>
      </c>
      <c r="I1522">
        <v>33280473.010000002</v>
      </c>
      <c r="J1522">
        <v>30090956.449999999</v>
      </c>
      <c r="K1522">
        <v>44443422.530000001</v>
      </c>
      <c r="L1522">
        <v>63328264.689999998</v>
      </c>
      <c r="M1522">
        <v>85734757.370000005</v>
      </c>
      <c r="N1522">
        <v>110972323.3</v>
      </c>
      <c r="O1522">
        <v>138122286.80000001</v>
      </c>
      <c r="P1522">
        <v>166833130.5</v>
      </c>
      <c r="Q1522">
        <v>193699225.69999999</v>
      </c>
    </row>
    <row r="1523" spans="1:17" x14ac:dyDescent="0.25">
      <c r="A1523" t="s">
        <v>5</v>
      </c>
      <c r="B1523" t="s">
        <v>6</v>
      </c>
      <c r="C1523" t="s">
        <v>262</v>
      </c>
      <c r="D1523" t="s">
        <v>92</v>
      </c>
      <c r="E1523" t="s">
        <v>19</v>
      </c>
      <c r="F1523">
        <v>7519020.3109999998</v>
      </c>
      <c r="G1523">
        <v>10261840.26</v>
      </c>
      <c r="H1523">
        <v>11787632.9</v>
      </c>
      <c r="I1523">
        <v>19088992.239999998</v>
      </c>
      <c r="J1523">
        <v>19454757.899999999</v>
      </c>
      <c r="K1523">
        <v>25910667.07</v>
      </c>
      <c r="L1523">
        <v>33494921.690000001</v>
      </c>
      <c r="M1523">
        <v>41883790.020000003</v>
      </c>
      <c r="N1523">
        <v>50929287.579999998</v>
      </c>
      <c r="O1523">
        <v>60434981.780000001</v>
      </c>
      <c r="P1523">
        <v>70323760.75</v>
      </c>
      <c r="Q1523">
        <v>79405643.049999997</v>
      </c>
    </row>
    <row r="1524" spans="1:17" x14ac:dyDescent="0.25">
      <c r="A1524" t="s">
        <v>5</v>
      </c>
      <c r="B1524" t="s">
        <v>6</v>
      </c>
      <c r="C1524" t="s">
        <v>262</v>
      </c>
      <c r="D1524" t="s">
        <v>93</v>
      </c>
      <c r="E1524" t="s">
        <v>19</v>
      </c>
      <c r="F1524">
        <v>9251430.1359999999</v>
      </c>
      <c r="G1524">
        <v>13912436.539999999</v>
      </c>
      <c r="H1524">
        <v>15325294.66</v>
      </c>
      <c r="I1524">
        <v>27433266.879999999</v>
      </c>
      <c r="J1524">
        <v>28167035</v>
      </c>
      <c r="K1524">
        <v>40521543.770000003</v>
      </c>
      <c r="L1524">
        <v>55693366.869999997</v>
      </c>
      <c r="M1524">
        <v>72685816.219999999</v>
      </c>
      <c r="N1524">
        <v>90911754.379999995</v>
      </c>
      <c r="O1524">
        <v>109852364</v>
      </c>
      <c r="P1524">
        <v>129414261.8</v>
      </c>
      <c r="Q1524">
        <v>147350158.69999999</v>
      </c>
    </row>
    <row r="1525" spans="1:17" x14ac:dyDescent="0.25">
      <c r="A1525" t="s">
        <v>5</v>
      </c>
      <c r="B1525" t="s">
        <v>6</v>
      </c>
      <c r="C1525" t="s">
        <v>262</v>
      </c>
      <c r="D1525" t="s">
        <v>94</v>
      </c>
      <c r="E1525" t="s">
        <v>19</v>
      </c>
      <c r="F1525">
        <v>101287299.2</v>
      </c>
      <c r="G1525">
        <v>119822337.09999999</v>
      </c>
      <c r="H1525">
        <v>144541765.90000001</v>
      </c>
      <c r="I1525">
        <v>196633448.90000001</v>
      </c>
      <c r="J1525">
        <v>215777113</v>
      </c>
      <c r="K1525">
        <v>262951063.30000001</v>
      </c>
      <c r="L1525">
        <v>312210771.39999998</v>
      </c>
      <c r="M1525">
        <v>361854774.10000002</v>
      </c>
      <c r="N1525">
        <v>411171618.80000001</v>
      </c>
      <c r="O1525">
        <v>459498471.10000002</v>
      </c>
      <c r="P1525">
        <v>506501856.39999998</v>
      </c>
      <c r="Q1525">
        <v>546711180.5</v>
      </c>
    </row>
    <row r="1526" spans="1:17" x14ac:dyDescent="0.25">
      <c r="A1526" t="s">
        <v>5</v>
      </c>
      <c r="B1526" t="s">
        <v>6</v>
      </c>
      <c r="C1526" t="s">
        <v>262</v>
      </c>
      <c r="D1526" t="s">
        <v>95</v>
      </c>
      <c r="E1526" t="s">
        <v>27</v>
      </c>
      <c r="F1526">
        <v>7.0839859980000002</v>
      </c>
      <c r="G1526">
        <v>9.4867635210000003</v>
      </c>
      <c r="H1526">
        <v>12.4780929</v>
      </c>
      <c r="I1526">
        <v>22.563787390000002</v>
      </c>
      <c r="J1526">
        <v>18.596751919999999</v>
      </c>
      <c r="K1526">
        <v>24.955159380000001</v>
      </c>
      <c r="L1526">
        <v>31.661819059999999</v>
      </c>
      <c r="M1526">
        <v>38.755662569999998</v>
      </c>
      <c r="N1526">
        <v>46.415652049999998</v>
      </c>
      <c r="O1526">
        <v>53.614683929999998</v>
      </c>
      <c r="P1526">
        <v>60.257398250000001</v>
      </c>
      <c r="Q1526">
        <v>65.979931980000003</v>
      </c>
    </row>
    <row r="1527" spans="1:17" x14ac:dyDescent="0.25">
      <c r="A1527" t="s">
        <v>5</v>
      </c>
      <c r="B1527" t="s">
        <v>6</v>
      </c>
      <c r="C1527" t="s">
        <v>262</v>
      </c>
      <c r="D1527" t="s">
        <v>96</v>
      </c>
      <c r="E1527" t="s">
        <v>27</v>
      </c>
      <c r="F1527">
        <v>16.326581019999999</v>
      </c>
      <c r="G1527">
        <v>21.54606673</v>
      </c>
      <c r="H1527">
        <v>28.833164979999999</v>
      </c>
      <c r="I1527">
        <v>46.981789030000002</v>
      </c>
      <c r="J1527">
        <v>47.590440749999999</v>
      </c>
      <c r="K1527">
        <v>58.477611680000003</v>
      </c>
      <c r="L1527">
        <v>71.101245789999993</v>
      </c>
      <c r="M1527">
        <v>82.525490700000006</v>
      </c>
      <c r="N1527">
        <v>94.9306713</v>
      </c>
      <c r="O1527">
        <v>105.8896232</v>
      </c>
      <c r="P1527">
        <v>116.29202119999999</v>
      </c>
      <c r="Q1527">
        <v>124.5116993</v>
      </c>
    </row>
    <row r="1528" spans="1:17" x14ac:dyDescent="0.25">
      <c r="A1528" t="s">
        <v>5</v>
      </c>
      <c r="B1528" t="s">
        <v>6</v>
      </c>
      <c r="C1528" t="s">
        <v>262</v>
      </c>
      <c r="D1528" t="s">
        <v>97</v>
      </c>
      <c r="E1528" t="s">
        <v>27</v>
      </c>
      <c r="F1528">
        <v>0.35619979899999998</v>
      </c>
      <c r="G1528">
        <v>0.45294532799999998</v>
      </c>
      <c r="H1528">
        <v>0.494988924</v>
      </c>
      <c r="I1528">
        <v>0.75507499499999997</v>
      </c>
      <c r="J1528">
        <v>0.72781956699999995</v>
      </c>
      <c r="K1528">
        <v>0.87958239999999999</v>
      </c>
      <c r="L1528">
        <v>1.0631829500000001</v>
      </c>
      <c r="M1528">
        <v>1.2838113209999999</v>
      </c>
      <c r="N1528">
        <v>1.537102838</v>
      </c>
      <c r="O1528">
        <v>1.8123013290000001</v>
      </c>
      <c r="P1528">
        <v>2.101068556</v>
      </c>
      <c r="Q1528">
        <v>2.3629821409999998</v>
      </c>
    </row>
    <row r="1529" spans="1:17" x14ac:dyDescent="0.25">
      <c r="A1529" t="s">
        <v>5</v>
      </c>
      <c r="B1529" t="s">
        <v>6</v>
      </c>
      <c r="C1529" t="s">
        <v>262</v>
      </c>
      <c r="D1529" t="s">
        <v>98</v>
      </c>
      <c r="E1529" t="s">
        <v>27</v>
      </c>
      <c r="F1529">
        <v>9.6880100000000004E-4</v>
      </c>
      <c r="G1529">
        <v>1.237852E-3</v>
      </c>
      <c r="H1529">
        <v>1.264446E-3</v>
      </c>
      <c r="I1529">
        <v>5.8297610000000001E-3</v>
      </c>
      <c r="J1529">
        <v>1.3103710000000001E-3</v>
      </c>
      <c r="K1529">
        <v>2.203212E-3</v>
      </c>
      <c r="L1529">
        <v>3.6991609999999999E-3</v>
      </c>
      <c r="M1529">
        <v>5.3692159999999996E-3</v>
      </c>
      <c r="N1529">
        <v>6.2655139999999998E-3</v>
      </c>
      <c r="O1529">
        <v>6.442354E-3</v>
      </c>
      <c r="P1529">
        <v>7.0432309999999996E-3</v>
      </c>
      <c r="Q1529">
        <v>8.213873E-3</v>
      </c>
    </row>
    <row r="1530" spans="1:17" x14ac:dyDescent="0.25">
      <c r="A1530" t="s">
        <v>5</v>
      </c>
      <c r="B1530" t="s">
        <v>6</v>
      </c>
      <c r="C1530" t="s">
        <v>262</v>
      </c>
      <c r="D1530" t="s">
        <v>99</v>
      </c>
      <c r="E1530" t="s">
        <v>27</v>
      </c>
      <c r="F1530">
        <v>1.3141879089999999</v>
      </c>
      <c r="G1530">
        <v>1.9420426980000001</v>
      </c>
      <c r="H1530">
        <v>1.7506143949999999</v>
      </c>
      <c r="I1530">
        <v>2.017970198</v>
      </c>
      <c r="J1530">
        <v>2.2246811480000002</v>
      </c>
      <c r="K1530">
        <v>2.3832622290000001</v>
      </c>
      <c r="L1530">
        <v>2.5477041069999999</v>
      </c>
      <c r="M1530">
        <v>2.7823788760000001</v>
      </c>
      <c r="N1530">
        <v>3.0558370359999998</v>
      </c>
      <c r="O1530">
        <v>3.2889172680000001</v>
      </c>
      <c r="P1530">
        <v>3.4809606350000002</v>
      </c>
      <c r="Q1530">
        <v>3.647195993</v>
      </c>
    </row>
    <row r="1531" spans="1:17" x14ac:dyDescent="0.25">
      <c r="A1531" t="s">
        <v>5</v>
      </c>
      <c r="B1531" t="s">
        <v>6</v>
      </c>
      <c r="C1531" t="s">
        <v>262</v>
      </c>
      <c r="D1531" t="s">
        <v>100</v>
      </c>
      <c r="E1531" t="s">
        <v>27</v>
      </c>
      <c r="F1531">
        <v>1.0824019650000001</v>
      </c>
      <c r="G1531">
        <v>1.454477064</v>
      </c>
      <c r="H1531">
        <v>1.938409072</v>
      </c>
      <c r="I1531">
        <v>3.7332514840000002</v>
      </c>
      <c r="J1531">
        <v>3.0602914499999998</v>
      </c>
      <c r="K1531">
        <v>4.3340483919999997</v>
      </c>
      <c r="L1531">
        <v>5.8362192620000002</v>
      </c>
      <c r="M1531">
        <v>7.4969147190000003</v>
      </c>
      <c r="N1531">
        <v>9.3233789250000001</v>
      </c>
      <c r="O1531">
        <v>11.06445763</v>
      </c>
      <c r="P1531">
        <v>12.77983291</v>
      </c>
      <c r="Q1531">
        <v>14.33781967</v>
      </c>
    </row>
    <row r="1532" spans="1:17" x14ac:dyDescent="0.25">
      <c r="A1532" t="s">
        <v>5</v>
      </c>
      <c r="B1532" t="s">
        <v>6</v>
      </c>
      <c r="C1532" t="s">
        <v>262</v>
      </c>
      <c r="D1532" t="s">
        <v>101</v>
      </c>
      <c r="E1532" t="s">
        <v>27</v>
      </c>
      <c r="F1532">
        <v>2.9817626920000002</v>
      </c>
      <c r="G1532">
        <v>3.5593290529999999</v>
      </c>
      <c r="H1532">
        <v>4.3386291809999999</v>
      </c>
      <c r="I1532">
        <v>6.8167469699999996</v>
      </c>
      <c r="J1532">
        <v>6.4463202190000004</v>
      </c>
      <c r="K1532">
        <v>8.0709935559999995</v>
      </c>
      <c r="L1532">
        <v>10.10639937</v>
      </c>
      <c r="M1532">
        <v>12.047229720000001</v>
      </c>
      <c r="N1532">
        <v>14.155077439999999</v>
      </c>
      <c r="O1532">
        <v>16.057331779999998</v>
      </c>
      <c r="P1532">
        <v>17.91612932</v>
      </c>
      <c r="Q1532">
        <v>19.556358039999999</v>
      </c>
    </row>
    <row r="1533" spans="1:17" x14ac:dyDescent="0.25">
      <c r="A1533" t="s">
        <v>5</v>
      </c>
      <c r="B1533" t="s">
        <v>6</v>
      </c>
      <c r="C1533" t="s">
        <v>262</v>
      </c>
      <c r="D1533" t="s">
        <v>102</v>
      </c>
      <c r="E1533" t="s">
        <v>27</v>
      </c>
      <c r="F1533">
        <v>7.3276390999999996E-2</v>
      </c>
      <c r="G1533">
        <v>8.3340183999999998E-2</v>
      </c>
      <c r="H1533">
        <v>8.1748654000000004E-2</v>
      </c>
      <c r="I1533">
        <v>0.150442203</v>
      </c>
      <c r="J1533">
        <v>0.112580335</v>
      </c>
      <c r="K1533">
        <v>0.13272541600000001</v>
      </c>
      <c r="L1533">
        <v>0.15800413799999999</v>
      </c>
      <c r="M1533">
        <v>0.190267728</v>
      </c>
      <c r="N1533">
        <v>0.22779991599999999</v>
      </c>
      <c r="O1533">
        <v>0.26523764799999999</v>
      </c>
      <c r="P1533">
        <v>0.29732390600000003</v>
      </c>
      <c r="Q1533">
        <v>0.32011685200000001</v>
      </c>
    </row>
    <row r="1534" spans="1:17" x14ac:dyDescent="0.25">
      <c r="A1534" t="s">
        <v>5</v>
      </c>
      <c r="B1534" t="s">
        <v>6</v>
      </c>
      <c r="C1534" t="s">
        <v>262</v>
      </c>
      <c r="D1534" t="s">
        <v>103</v>
      </c>
      <c r="E1534" t="s">
        <v>27</v>
      </c>
      <c r="F1534">
        <v>7.3198320000000001E-3</v>
      </c>
      <c r="G1534">
        <v>9.3526630000000006E-3</v>
      </c>
      <c r="H1534">
        <v>9.5535949999999998E-3</v>
      </c>
      <c r="I1534">
        <v>4.4047081000000002E-2</v>
      </c>
      <c r="J1534">
        <v>9.9005840000000005E-3</v>
      </c>
      <c r="K1534">
        <v>1.664649E-2</v>
      </c>
      <c r="L1534">
        <v>2.7949218000000001E-2</v>
      </c>
      <c r="M1534">
        <v>4.0567407999999999E-2</v>
      </c>
      <c r="N1534">
        <v>4.7339438999999997E-2</v>
      </c>
      <c r="O1534">
        <v>4.8675564999999997E-2</v>
      </c>
      <c r="P1534">
        <v>5.3215525999999999E-2</v>
      </c>
      <c r="Q1534">
        <v>6.2060375000000001E-2</v>
      </c>
    </row>
    <row r="1535" spans="1:17" x14ac:dyDescent="0.25">
      <c r="A1535" t="s">
        <v>5</v>
      </c>
      <c r="B1535" t="s">
        <v>6</v>
      </c>
      <c r="C1535" t="s">
        <v>262</v>
      </c>
      <c r="D1535" t="s">
        <v>104</v>
      </c>
      <c r="E1535" t="s">
        <v>27</v>
      </c>
      <c r="F1535">
        <v>1.4441625E-2</v>
      </c>
      <c r="G1535">
        <v>2.1341129E-2</v>
      </c>
      <c r="H1535">
        <v>1.9237521E-2</v>
      </c>
      <c r="I1535">
        <v>2.2175496999999999E-2</v>
      </c>
      <c r="J1535">
        <v>2.4447046E-2</v>
      </c>
      <c r="K1535">
        <v>2.6189694999999999E-2</v>
      </c>
      <c r="L1535">
        <v>2.7996747999999998E-2</v>
      </c>
      <c r="M1535">
        <v>3.0575591999999999E-2</v>
      </c>
      <c r="N1535">
        <v>3.3580627000000002E-2</v>
      </c>
      <c r="O1535">
        <v>3.6141948E-2</v>
      </c>
      <c r="P1535">
        <v>3.8252315000000002E-2</v>
      </c>
      <c r="Q1535">
        <v>4.0079076999999998E-2</v>
      </c>
    </row>
    <row r="1536" spans="1:17" x14ac:dyDescent="0.25">
      <c r="A1536" t="s">
        <v>5</v>
      </c>
      <c r="B1536" t="s">
        <v>6</v>
      </c>
      <c r="C1536" t="s">
        <v>262</v>
      </c>
      <c r="D1536" t="s">
        <v>105</v>
      </c>
      <c r="E1536" t="s">
        <v>27</v>
      </c>
      <c r="F1536">
        <v>0.20636770700000001</v>
      </c>
      <c r="G1536">
        <v>0.28114580500000003</v>
      </c>
      <c r="H1536">
        <v>0.39417253099999999</v>
      </c>
      <c r="I1536">
        <v>0.93332915400000005</v>
      </c>
      <c r="J1536">
        <v>0.75242981499999995</v>
      </c>
      <c r="K1536">
        <v>1.2118964830000001</v>
      </c>
      <c r="L1536">
        <v>1.817784112</v>
      </c>
      <c r="M1536">
        <v>2.5328063699999999</v>
      </c>
      <c r="N1536">
        <v>3.3380875049999998</v>
      </c>
      <c r="O1536">
        <v>4.1135896900000004</v>
      </c>
      <c r="P1536">
        <v>4.9230710420000001</v>
      </c>
      <c r="Q1536">
        <v>5.6912672410000003</v>
      </c>
    </row>
    <row r="1537" spans="1:17" x14ac:dyDescent="0.25">
      <c r="A1537" t="s">
        <v>5</v>
      </c>
      <c r="B1537" t="s">
        <v>6</v>
      </c>
      <c r="C1537" t="s">
        <v>262</v>
      </c>
      <c r="D1537" t="s">
        <v>106</v>
      </c>
      <c r="E1537" t="s">
        <v>27</v>
      </c>
      <c r="F1537">
        <v>0.263147619</v>
      </c>
      <c r="G1537">
        <v>0.35669537299999998</v>
      </c>
      <c r="H1537">
        <v>0.49822765899999999</v>
      </c>
      <c r="I1537">
        <v>1.0952114820000001</v>
      </c>
      <c r="J1537">
        <v>0.94785297999999996</v>
      </c>
      <c r="K1537">
        <v>1.447537987</v>
      </c>
      <c r="L1537">
        <v>2.0979383440000001</v>
      </c>
      <c r="M1537">
        <v>2.8546548679999999</v>
      </c>
      <c r="N1537">
        <v>3.7026824440000001</v>
      </c>
      <c r="O1537">
        <v>4.5186676070000003</v>
      </c>
      <c r="P1537">
        <v>5.3708952300000004</v>
      </c>
      <c r="Q1537">
        <v>6.1659381069999997</v>
      </c>
    </row>
    <row r="1538" spans="1:17" x14ac:dyDescent="0.25">
      <c r="A1538" t="s">
        <v>5</v>
      </c>
      <c r="B1538" t="s">
        <v>6</v>
      </c>
      <c r="C1538" t="s">
        <v>262</v>
      </c>
      <c r="D1538" t="s">
        <v>107</v>
      </c>
      <c r="E1538" t="s">
        <v>27</v>
      </c>
      <c r="F1538">
        <v>1.015427E-3</v>
      </c>
      <c r="G1538">
        <v>1.2063079999999999E-3</v>
      </c>
      <c r="H1538">
        <v>1.25741E-3</v>
      </c>
      <c r="I1538">
        <v>1.796712E-3</v>
      </c>
      <c r="J1538">
        <v>1.6768709999999999E-3</v>
      </c>
      <c r="K1538">
        <v>1.928419E-3</v>
      </c>
      <c r="L1538">
        <v>2.2261519999999999E-3</v>
      </c>
      <c r="M1538">
        <v>2.6060990000000002E-3</v>
      </c>
      <c r="N1538">
        <v>3.0743210000000001E-3</v>
      </c>
      <c r="O1538">
        <v>3.5979330000000002E-3</v>
      </c>
      <c r="P1538">
        <v>4.141367E-3</v>
      </c>
      <c r="Q1538">
        <v>4.6281250000000003E-3</v>
      </c>
    </row>
    <row r="1539" spans="1:17" x14ac:dyDescent="0.25">
      <c r="A1539" t="s">
        <v>5</v>
      </c>
      <c r="B1539" t="s">
        <v>6</v>
      </c>
      <c r="C1539" t="s">
        <v>262</v>
      </c>
      <c r="D1539" t="s">
        <v>108</v>
      </c>
      <c r="E1539" t="s">
        <v>27</v>
      </c>
      <c r="F1539" s="1">
        <v>2.5199999999999999E-5</v>
      </c>
      <c r="G1539" s="1">
        <v>3.4799999999999999E-5</v>
      </c>
      <c r="H1539" s="1">
        <v>3.6100000000000003E-5</v>
      </c>
      <c r="I1539">
        <v>2.1691700000000001E-4</v>
      </c>
      <c r="J1539" s="1">
        <v>2.9799999999999999E-5</v>
      </c>
      <c r="K1539" s="1">
        <v>5.6199999999999997E-5</v>
      </c>
      <c r="L1539">
        <v>1.07089E-4</v>
      </c>
      <c r="M1539">
        <v>1.7148099999999999E-4</v>
      </c>
      <c r="N1539">
        <v>2.0884500000000001E-4</v>
      </c>
      <c r="O1539">
        <v>2.17937E-4</v>
      </c>
      <c r="P1539">
        <v>2.4412699999999999E-4</v>
      </c>
      <c r="Q1539">
        <v>2.9323799999999997E-4</v>
      </c>
    </row>
    <row r="1540" spans="1:17" x14ac:dyDescent="0.25">
      <c r="A1540" t="s">
        <v>5</v>
      </c>
      <c r="B1540" t="s">
        <v>6</v>
      </c>
      <c r="C1540" t="s">
        <v>262</v>
      </c>
      <c r="D1540" t="s">
        <v>109</v>
      </c>
      <c r="E1540" t="s">
        <v>27</v>
      </c>
      <c r="F1540">
        <v>1.4441625E-2</v>
      </c>
      <c r="G1540">
        <v>2.1341129E-2</v>
      </c>
      <c r="H1540">
        <v>1.9237521E-2</v>
      </c>
      <c r="I1540">
        <v>2.2175496999999999E-2</v>
      </c>
      <c r="J1540">
        <v>2.4447046E-2</v>
      </c>
      <c r="K1540">
        <v>2.6189694999999999E-2</v>
      </c>
      <c r="L1540">
        <v>2.7996747999999998E-2</v>
      </c>
      <c r="M1540">
        <v>3.0575591999999999E-2</v>
      </c>
      <c r="N1540">
        <v>3.3580627000000002E-2</v>
      </c>
      <c r="O1540">
        <v>3.6141948E-2</v>
      </c>
      <c r="P1540">
        <v>3.8252315000000002E-2</v>
      </c>
      <c r="Q1540">
        <v>4.0079076999999998E-2</v>
      </c>
    </row>
    <row r="1541" spans="1:17" x14ac:dyDescent="0.25">
      <c r="A1541" t="s">
        <v>5</v>
      </c>
      <c r="B1541" t="s">
        <v>6</v>
      </c>
      <c r="C1541" t="s">
        <v>262</v>
      </c>
      <c r="D1541" t="s">
        <v>110</v>
      </c>
      <c r="E1541" t="s">
        <v>27</v>
      </c>
      <c r="F1541">
        <v>0.29774239600000002</v>
      </c>
      <c r="G1541">
        <v>0.398981482</v>
      </c>
      <c r="H1541">
        <v>0.52606396899999996</v>
      </c>
      <c r="I1541">
        <v>0.96267177500000001</v>
      </c>
      <c r="J1541">
        <v>0.79257244199999999</v>
      </c>
      <c r="K1541">
        <v>1.074111043</v>
      </c>
      <c r="L1541">
        <v>1.3789333029999999</v>
      </c>
      <c r="M1541">
        <v>1.705473376</v>
      </c>
      <c r="N1541">
        <v>2.0602162119999998</v>
      </c>
      <c r="O1541">
        <v>2.3934589289999999</v>
      </c>
      <c r="P1541">
        <v>2.7043866780000001</v>
      </c>
      <c r="Q1541">
        <v>2.9756519159999999</v>
      </c>
    </row>
    <row r="1542" spans="1:17" x14ac:dyDescent="0.25">
      <c r="A1542" t="s">
        <v>5</v>
      </c>
      <c r="B1542" t="s">
        <v>6</v>
      </c>
      <c r="C1542" t="s">
        <v>262</v>
      </c>
      <c r="D1542" t="s">
        <v>111</v>
      </c>
      <c r="E1542" t="s">
        <v>27</v>
      </c>
      <c r="F1542">
        <v>0.451041841</v>
      </c>
      <c r="G1542">
        <v>0.58793087099999997</v>
      </c>
      <c r="H1542">
        <v>0.76427181799999999</v>
      </c>
      <c r="I1542">
        <v>1.2727096870000001</v>
      </c>
      <c r="J1542">
        <v>1.127472195</v>
      </c>
      <c r="K1542">
        <v>1.460953433</v>
      </c>
      <c r="L1542">
        <v>1.8265953580000001</v>
      </c>
      <c r="M1542">
        <v>2.1951630710000001</v>
      </c>
      <c r="N1542">
        <v>2.5887294160000001</v>
      </c>
      <c r="O1542">
        <v>2.9492790040000001</v>
      </c>
      <c r="P1542">
        <v>3.2831454839999998</v>
      </c>
      <c r="Q1542">
        <v>3.5700969229999999</v>
      </c>
    </row>
    <row r="1543" spans="1:17" x14ac:dyDescent="0.25">
      <c r="A1543" t="s">
        <v>5</v>
      </c>
      <c r="B1543" t="s">
        <v>6</v>
      </c>
      <c r="C1543" t="s">
        <v>262</v>
      </c>
      <c r="D1543" t="s">
        <v>112</v>
      </c>
      <c r="E1543" t="s">
        <v>27</v>
      </c>
      <c r="F1543">
        <v>1.184018E-3</v>
      </c>
      <c r="G1543">
        <v>1.283661E-3</v>
      </c>
      <c r="H1543">
        <v>1.2183700000000001E-3</v>
      </c>
      <c r="I1543">
        <v>1.98475E-3</v>
      </c>
      <c r="J1543">
        <v>1.479031E-3</v>
      </c>
      <c r="K1543">
        <v>1.6205530000000001E-3</v>
      </c>
      <c r="L1543">
        <v>1.793163E-3</v>
      </c>
      <c r="M1543">
        <v>2.0509299999999999E-3</v>
      </c>
      <c r="N1543">
        <v>2.3947059999999999E-3</v>
      </c>
      <c r="O1543">
        <v>2.7506990000000001E-3</v>
      </c>
      <c r="P1543">
        <v>3.036122E-3</v>
      </c>
      <c r="Q1543">
        <v>3.2165840000000002E-3</v>
      </c>
    </row>
    <row r="1544" spans="1:17" x14ac:dyDescent="0.25">
      <c r="A1544" t="s">
        <v>5</v>
      </c>
      <c r="B1544" t="s">
        <v>6</v>
      </c>
      <c r="C1544" t="s">
        <v>262</v>
      </c>
      <c r="D1544" t="s">
        <v>113</v>
      </c>
      <c r="E1544" t="s">
        <v>27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</row>
    <row r="1545" spans="1:17" x14ac:dyDescent="0.25">
      <c r="A1545" t="s">
        <v>5</v>
      </c>
      <c r="B1545" t="s">
        <v>6</v>
      </c>
      <c r="C1545" t="s">
        <v>262</v>
      </c>
      <c r="D1545" t="s">
        <v>114</v>
      </c>
      <c r="E1545" t="s">
        <v>27</v>
      </c>
      <c r="F1545">
        <v>8.6649800000000005E-4</v>
      </c>
      <c r="G1545">
        <v>1.2804680000000001E-3</v>
      </c>
      <c r="H1545">
        <v>1.154251E-3</v>
      </c>
      <c r="I1545">
        <v>1.3305299999999999E-3</v>
      </c>
      <c r="J1545">
        <v>1.4668229999999999E-3</v>
      </c>
      <c r="K1545">
        <v>1.5713820000000001E-3</v>
      </c>
      <c r="L1545">
        <v>1.6798049999999999E-3</v>
      </c>
      <c r="M1545">
        <v>1.8345359999999999E-3</v>
      </c>
      <c r="N1545">
        <v>2.0148380000000001E-3</v>
      </c>
      <c r="O1545">
        <v>2.168517E-3</v>
      </c>
      <c r="P1545">
        <v>2.2951389999999999E-3</v>
      </c>
      <c r="Q1545">
        <v>2.4047449999999998E-3</v>
      </c>
    </row>
    <row r="1546" spans="1:17" x14ac:dyDescent="0.25">
      <c r="A1546" t="s">
        <v>5</v>
      </c>
      <c r="B1546" t="s">
        <v>6</v>
      </c>
      <c r="C1546" t="s">
        <v>262</v>
      </c>
      <c r="D1546" t="s">
        <v>115</v>
      </c>
      <c r="E1546" t="s">
        <v>27</v>
      </c>
      <c r="F1546">
        <v>1.394862976</v>
      </c>
      <c r="G1546">
        <v>1.869664743</v>
      </c>
      <c r="H1546">
        <v>2.4660598789999999</v>
      </c>
      <c r="I1546">
        <v>4.5175580000000002</v>
      </c>
      <c r="J1546">
        <v>3.7100599860000001</v>
      </c>
      <c r="K1546">
        <v>5.0132984839999999</v>
      </c>
      <c r="L1546">
        <v>6.4092866270000002</v>
      </c>
      <c r="M1546">
        <v>7.9107547629999999</v>
      </c>
      <c r="N1546">
        <v>9.5518539320000002</v>
      </c>
      <c r="O1546">
        <v>11.120520409999999</v>
      </c>
      <c r="P1546">
        <v>12.598165959999999</v>
      </c>
      <c r="Q1546">
        <v>13.88183976</v>
      </c>
    </row>
    <row r="1547" spans="1:17" x14ac:dyDescent="0.25">
      <c r="A1547" t="s">
        <v>5</v>
      </c>
      <c r="B1547" t="s">
        <v>6</v>
      </c>
      <c r="C1547" t="s">
        <v>262</v>
      </c>
      <c r="D1547" t="s">
        <v>116</v>
      </c>
      <c r="E1547" t="s">
        <v>27</v>
      </c>
      <c r="F1547">
        <v>2.933260712</v>
      </c>
      <c r="G1547">
        <v>3.8267692769999999</v>
      </c>
      <c r="H1547">
        <v>5.0622460440000001</v>
      </c>
      <c r="I1547">
        <v>8.334125212</v>
      </c>
      <c r="J1547">
        <v>8.2580984690000001</v>
      </c>
      <c r="K1547">
        <v>10.23685094</v>
      </c>
      <c r="L1547">
        <v>12.545111329999999</v>
      </c>
      <c r="M1547">
        <v>14.70099871</v>
      </c>
      <c r="N1547">
        <v>17.063205010000001</v>
      </c>
      <c r="O1547">
        <v>19.20151263</v>
      </c>
      <c r="P1547">
        <v>21.251900119999998</v>
      </c>
      <c r="Q1547">
        <v>22.910948260000001</v>
      </c>
    </row>
    <row r="1548" spans="1:17" x14ac:dyDescent="0.25">
      <c r="A1548" t="s">
        <v>5</v>
      </c>
      <c r="B1548" t="s">
        <v>6</v>
      </c>
      <c r="C1548" t="s">
        <v>262</v>
      </c>
      <c r="D1548" t="s">
        <v>117</v>
      </c>
      <c r="E1548" t="s">
        <v>27</v>
      </c>
      <c r="F1548">
        <v>4.4616079999999997E-3</v>
      </c>
      <c r="G1548">
        <v>4.8414870000000002E-3</v>
      </c>
      <c r="H1548">
        <v>4.5297059999999997E-3</v>
      </c>
      <c r="I1548">
        <v>8.6046490000000007E-3</v>
      </c>
      <c r="J1548">
        <v>5.8670500000000004E-3</v>
      </c>
      <c r="K1548">
        <v>6.7116149999999998E-3</v>
      </c>
      <c r="L1548">
        <v>7.7898780000000001E-3</v>
      </c>
      <c r="M1548">
        <v>9.2533900000000002E-3</v>
      </c>
      <c r="N1548">
        <v>1.1014125E-2</v>
      </c>
      <c r="O1548">
        <v>1.2705973000000001E-2</v>
      </c>
      <c r="P1548">
        <v>1.3951326999999999E-2</v>
      </c>
      <c r="Q1548">
        <v>1.4615092999999999E-2</v>
      </c>
    </row>
    <row r="1549" spans="1:17" x14ac:dyDescent="0.25">
      <c r="A1549" t="s">
        <v>5</v>
      </c>
      <c r="B1549" t="s">
        <v>6</v>
      </c>
      <c r="C1549" t="s">
        <v>262</v>
      </c>
      <c r="D1549" t="s">
        <v>118</v>
      </c>
      <c r="E1549" t="s">
        <v>27</v>
      </c>
      <c r="F1549">
        <v>5.6513400000000001E-4</v>
      </c>
      <c r="G1549">
        <v>7.2208099999999996E-4</v>
      </c>
      <c r="H1549">
        <v>7.3759400000000005E-4</v>
      </c>
      <c r="I1549">
        <v>3.4006940000000001E-3</v>
      </c>
      <c r="J1549">
        <v>7.6438299999999999E-4</v>
      </c>
      <c r="K1549">
        <v>1.285207E-3</v>
      </c>
      <c r="L1549">
        <v>2.1578439999999999E-3</v>
      </c>
      <c r="M1549">
        <v>3.1320430000000002E-3</v>
      </c>
      <c r="N1549">
        <v>3.6548829999999998E-3</v>
      </c>
      <c r="O1549">
        <v>3.7580399999999998E-3</v>
      </c>
      <c r="P1549">
        <v>4.1085519999999997E-3</v>
      </c>
      <c r="Q1549">
        <v>4.7914259999999997E-3</v>
      </c>
    </row>
    <row r="1550" spans="1:17" x14ac:dyDescent="0.25">
      <c r="A1550" t="s">
        <v>5</v>
      </c>
      <c r="B1550" t="s">
        <v>6</v>
      </c>
      <c r="C1550" t="s">
        <v>262</v>
      </c>
      <c r="D1550" t="s">
        <v>119</v>
      </c>
      <c r="E1550" t="s">
        <v>27</v>
      </c>
      <c r="F1550">
        <v>2.8883250999999999E-2</v>
      </c>
      <c r="G1550">
        <v>4.2682257000000001E-2</v>
      </c>
      <c r="H1550">
        <v>3.8475042000000001E-2</v>
      </c>
      <c r="I1550">
        <v>4.4350992999999998E-2</v>
      </c>
      <c r="J1550">
        <v>4.8894091000000001E-2</v>
      </c>
      <c r="K1550">
        <v>5.2379389999999998E-2</v>
      </c>
      <c r="L1550">
        <v>5.5993497000000003E-2</v>
      </c>
      <c r="M1550">
        <v>6.1151183999999997E-2</v>
      </c>
      <c r="N1550">
        <v>6.7161254000000004E-2</v>
      </c>
      <c r="O1550">
        <v>7.2283896E-2</v>
      </c>
      <c r="P1550">
        <v>7.6504629000000005E-2</v>
      </c>
      <c r="Q1550">
        <v>8.0158153999999995E-2</v>
      </c>
    </row>
    <row r="1551" spans="1:17" x14ac:dyDescent="0.25">
      <c r="A1551" t="s">
        <v>5</v>
      </c>
      <c r="B1551" t="s">
        <v>6</v>
      </c>
      <c r="C1551" t="s">
        <v>262</v>
      </c>
      <c r="D1551" t="s">
        <v>120</v>
      </c>
      <c r="E1551" t="s">
        <v>27</v>
      </c>
      <c r="F1551">
        <v>46.751707740000001</v>
      </c>
      <c r="G1551">
        <v>50.689584279999998</v>
      </c>
      <c r="H1551">
        <v>54.971110520000003</v>
      </c>
      <c r="I1551">
        <v>60.278939379999997</v>
      </c>
      <c r="J1551">
        <v>64.610330070000003</v>
      </c>
      <c r="K1551">
        <v>69.895605540000005</v>
      </c>
      <c r="L1551">
        <v>75.646815169999996</v>
      </c>
      <c r="M1551">
        <v>81.872243549999993</v>
      </c>
      <c r="N1551">
        <v>88.455401269999996</v>
      </c>
      <c r="O1551">
        <v>95.253229689999998</v>
      </c>
      <c r="P1551">
        <v>102.05679050000001</v>
      </c>
      <c r="Q1551">
        <v>107.7951173</v>
      </c>
    </row>
    <row r="1552" spans="1:17" x14ac:dyDescent="0.25">
      <c r="A1552" t="s">
        <v>5</v>
      </c>
      <c r="B1552" t="s">
        <v>6</v>
      </c>
      <c r="C1552" t="s">
        <v>262</v>
      </c>
      <c r="D1552" t="s">
        <v>121</v>
      </c>
      <c r="E1552" t="s">
        <v>27</v>
      </c>
      <c r="F1552">
        <v>11.08589684</v>
      </c>
      <c r="G1552">
        <v>13.923533369999999</v>
      </c>
      <c r="H1552">
        <v>16.368720159999999</v>
      </c>
      <c r="I1552">
        <v>23.856398810000002</v>
      </c>
      <c r="J1552">
        <v>25.39897642</v>
      </c>
      <c r="K1552">
        <v>32.330278079999999</v>
      </c>
      <c r="L1552">
        <v>40.150777730000001</v>
      </c>
      <c r="M1552">
        <v>48.510402759999998</v>
      </c>
      <c r="N1552">
        <v>57.22484678</v>
      </c>
      <c r="O1552">
        <v>66.101065009999999</v>
      </c>
      <c r="P1552">
        <v>75.069104280000005</v>
      </c>
      <c r="Q1552">
        <v>83.080599520000007</v>
      </c>
    </row>
    <row r="1553" spans="1:17" x14ac:dyDescent="0.25">
      <c r="A1553" t="s">
        <v>5</v>
      </c>
      <c r="B1553" t="s">
        <v>6</v>
      </c>
      <c r="C1553" t="s">
        <v>262</v>
      </c>
      <c r="D1553" t="s">
        <v>122</v>
      </c>
      <c r="E1553" t="s">
        <v>27</v>
      </c>
      <c r="F1553">
        <v>3.2523225949999999</v>
      </c>
      <c r="G1553">
        <v>3.4223306349999998</v>
      </c>
      <c r="H1553">
        <v>3.6019599969999998</v>
      </c>
      <c r="I1553">
        <v>3.8289118800000002</v>
      </c>
      <c r="J1553">
        <v>3.9920592300000002</v>
      </c>
      <c r="K1553">
        <v>4.1976316320000002</v>
      </c>
      <c r="L1553">
        <v>4.4208863039999997</v>
      </c>
      <c r="M1553">
        <v>4.6618318350000001</v>
      </c>
      <c r="N1553">
        <v>4.912831776</v>
      </c>
      <c r="O1553">
        <v>5.1655770399999996</v>
      </c>
      <c r="P1553">
        <v>5.4085475230000002</v>
      </c>
      <c r="Q1553">
        <v>5.6006487229999999</v>
      </c>
    </row>
    <row r="1554" spans="1:17" x14ac:dyDescent="0.25">
      <c r="A1554" t="s">
        <v>5</v>
      </c>
      <c r="B1554" t="s">
        <v>6</v>
      </c>
      <c r="C1554" t="s">
        <v>262</v>
      </c>
      <c r="D1554" t="s">
        <v>123</v>
      </c>
      <c r="E1554" t="s">
        <v>27</v>
      </c>
      <c r="F1554">
        <v>0.68902040099999995</v>
      </c>
      <c r="G1554">
        <v>0.84847639100000005</v>
      </c>
      <c r="H1554">
        <v>1.006257052</v>
      </c>
      <c r="I1554">
        <v>1.436018386</v>
      </c>
      <c r="J1554">
        <v>1.544528254</v>
      </c>
      <c r="K1554">
        <v>1.940290726</v>
      </c>
      <c r="L1554">
        <v>2.3775161260000002</v>
      </c>
      <c r="M1554">
        <v>2.8377017019999999</v>
      </c>
      <c r="N1554">
        <v>3.3115942509999998</v>
      </c>
      <c r="O1554">
        <v>3.7897898880000001</v>
      </c>
      <c r="P1554">
        <v>4.268723284</v>
      </c>
      <c r="Q1554">
        <v>4.6924685799999999</v>
      </c>
    </row>
    <row r="1555" spans="1:17" x14ac:dyDescent="0.25">
      <c r="A1555" t="s">
        <v>5</v>
      </c>
      <c r="B1555" t="s">
        <v>6</v>
      </c>
      <c r="C1555" t="s">
        <v>262</v>
      </c>
      <c r="D1555" t="s">
        <v>124</v>
      </c>
      <c r="E1555" t="s">
        <v>27</v>
      </c>
      <c r="F1555">
        <v>1.4409394040000001</v>
      </c>
      <c r="G1555">
        <v>1.5039288399999999</v>
      </c>
      <c r="H1555">
        <v>1.569624492</v>
      </c>
      <c r="I1555">
        <v>1.653290943</v>
      </c>
      <c r="J1555">
        <v>1.7097583940000001</v>
      </c>
      <c r="K1555">
        <v>1.7819226429999999</v>
      </c>
      <c r="L1555">
        <v>1.8601566309999999</v>
      </c>
      <c r="M1555">
        <v>1.9443783779999999</v>
      </c>
      <c r="N1555">
        <v>2.0312258660000002</v>
      </c>
      <c r="O1555">
        <v>2.1171818899999999</v>
      </c>
      <c r="P1555">
        <v>2.1974525549999999</v>
      </c>
      <c r="Q1555">
        <v>2.257760695</v>
      </c>
    </row>
    <row r="1556" spans="1:17" x14ac:dyDescent="0.25">
      <c r="A1556" t="s">
        <v>5</v>
      </c>
      <c r="B1556" t="s">
        <v>6</v>
      </c>
      <c r="C1556" t="s">
        <v>262</v>
      </c>
      <c r="D1556" t="s">
        <v>125</v>
      </c>
      <c r="E1556" t="s">
        <v>27</v>
      </c>
      <c r="F1556">
        <v>0.42983483099999997</v>
      </c>
      <c r="G1556">
        <v>0.53741363900000005</v>
      </c>
      <c r="H1556">
        <v>0.63318485400000002</v>
      </c>
      <c r="I1556">
        <v>0.91890002800000004</v>
      </c>
      <c r="J1556">
        <v>0.980794473</v>
      </c>
      <c r="K1556">
        <v>1.244974842</v>
      </c>
      <c r="L1556">
        <v>1.541607988</v>
      </c>
      <c r="M1556">
        <v>1.8575641220000001</v>
      </c>
      <c r="N1556">
        <v>2.1860281960000001</v>
      </c>
      <c r="O1556">
        <v>2.519922717</v>
      </c>
      <c r="P1556">
        <v>2.8566712949999999</v>
      </c>
      <c r="Q1556">
        <v>3.1569116030000002</v>
      </c>
    </row>
    <row r="1557" spans="1:17" x14ac:dyDescent="0.25">
      <c r="A1557" t="s">
        <v>5</v>
      </c>
      <c r="B1557" t="s">
        <v>6</v>
      </c>
      <c r="C1557" t="s">
        <v>262</v>
      </c>
      <c r="D1557" t="s">
        <v>126</v>
      </c>
      <c r="E1557" t="s">
        <v>27</v>
      </c>
      <c r="F1557">
        <v>994.77576180000005</v>
      </c>
      <c r="G1557">
        <v>1064.83755</v>
      </c>
      <c r="H1557">
        <v>1140.952033</v>
      </c>
      <c r="I1557">
        <v>1234.8736220000001</v>
      </c>
      <c r="J1557">
        <v>1312.0087860000001</v>
      </c>
      <c r="K1557">
        <v>1404.9229029999999</v>
      </c>
      <c r="L1557">
        <v>1505.918091</v>
      </c>
      <c r="M1557">
        <v>1615.0421699999999</v>
      </c>
      <c r="N1557">
        <v>1729.743091</v>
      </c>
      <c r="O1557">
        <v>1847.05594</v>
      </c>
      <c r="P1557">
        <v>1962.718666</v>
      </c>
      <c r="Q1557">
        <v>2057.9791380000001</v>
      </c>
    </row>
    <row r="1558" spans="1:17" x14ac:dyDescent="0.25">
      <c r="A1558" t="s">
        <v>5</v>
      </c>
      <c r="B1558" t="s">
        <v>6</v>
      </c>
      <c r="C1558" t="s">
        <v>262</v>
      </c>
      <c r="D1558" t="s">
        <v>127</v>
      </c>
      <c r="E1558" t="s">
        <v>27</v>
      </c>
      <c r="F1558">
        <v>115.71564720000001</v>
      </c>
      <c r="G1558">
        <v>144.62084440000001</v>
      </c>
      <c r="H1558">
        <v>170.323927</v>
      </c>
      <c r="I1558">
        <v>246.61899410000001</v>
      </c>
      <c r="J1558">
        <v>262.93981489999999</v>
      </c>
      <c r="K1558">
        <v>333.29256529999998</v>
      </c>
      <c r="L1558">
        <v>412.30674759999999</v>
      </c>
      <c r="M1558">
        <v>496.52939889999999</v>
      </c>
      <c r="N1558">
        <v>584.15573830000005</v>
      </c>
      <c r="O1558">
        <v>673.27362559999995</v>
      </c>
      <c r="P1558">
        <v>763.1649238</v>
      </c>
      <c r="Q1558">
        <v>843.31487830000003</v>
      </c>
    </row>
    <row r="1559" spans="1:17" x14ac:dyDescent="0.25">
      <c r="A1559" t="s">
        <v>5</v>
      </c>
      <c r="B1559" t="s">
        <v>6</v>
      </c>
      <c r="C1559" t="s">
        <v>262</v>
      </c>
      <c r="D1559" t="s">
        <v>128</v>
      </c>
      <c r="E1559" t="s">
        <v>27</v>
      </c>
      <c r="F1559">
        <v>3.1370904089999998</v>
      </c>
      <c r="G1559">
        <v>3.3617890529999999</v>
      </c>
      <c r="H1559">
        <v>3.6041085210000001</v>
      </c>
      <c r="I1559">
        <v>3.9068419269999999</v>
      </c>
      <c r="J1559">
        <v>4.1430188579999996</v>
      </c>
      <c r="K1559">
        <v>4.434676209</v>
      </c>
      <c r="L1559">
        <v>4.7514022840000001</v>
      </c>
      <c r="M1559">
        <v>5.0934427229999999</v>
      </c>
      <c r="N1559">
        <v>5.4530980680000001</v>
      </c>
      <c r="O1559">
        <v>5.8213897389999998</v>
      </c>
      <c r="P1559">
        <v>6.1854418329999996</v>
      </c>
      <c r="Q1559">
        <v>6.4868011399999999</v>
      </c>
    </row>
    <row r="1560" spans="1:17" x14ac:dyDescent="0.25">
      <c r="A1560" t="s">
        <v>5</v>
      </c>
      <c r="B1560" t="s">
        <v>6</v>
      </c>
      <c r="C1560" t="s">
        <v>262</v>
      </c>
      <c r="D1560" t="s">
        <v>129</v>
      </c>
      <c r="E1560" t="s">
        <v>27</v>
      </c>
      <c r="F1560">
        <v>1.0915729169999999</v>
      </c>
      <c r="G1560">
        <v>1.3354615940000001</v>
      </c>
      <c r="H1560">
        <v>1.587384487</v>
      </c>
      <c r="I1560">
        <v>2.2449038300000002</v>
      </c>
      <c r="J1560">
        <v>2.4201738110000002</v>
      </c>
      <c r="K1560">
        <v>3.0234795079999999</v>
      </c>
      <c r="L1560">
        <v>3.685291506</v>
      </c>
      <c r="M1560">
        <v>4.3784817580000004</v>
      </c>
      <c r="N1560">
        <v>5.0896062640000004</v>
      </c>
      <c r="O1560">
        <v>5.8048946199999998</v>
      </c>
      <c r="P1560">
        <v>6.5188614090000003</v>
      </c>
      <c r="Q1560">
        <v>7.1481501600000001</v>
      </c>
    </row>
    <row r="1561" spans="1:17" x14ac:dyDescent="0.25">
      <c r="A1561" t="s">
        <v>5</v>
      </c>
      <c r="B1561" t="s">
        <v>6</v>
      </c>
      <c r="C1561" t="s">
        <v>262</v>
      </c>
      <c r="D1561" t="s">
        <v>130</v>
      </c>
      <c r="E1561" t="s">
        <v>27</v>
      </c>
      <c r="F1561">
        <v>54.763723400000003</v>
      </c>
      <c r="G1561">
        <v>58.149367689999998</v>
      </c>
      <c r="H1561">
        <v>61.78396746</v>
      </c>
      <c r="I1561">
        <v>66.312156360000003</v>
      </c>
      <c r="J1561">
        <v>69.842546060000004</v>
      </c>
      <c r="K1561">
        <v>74.171945190000002</v>
      </c>
      <c r="L1561">
        <v>78.879251060000001</v>
      </c>
      <c r="M1561">
        <v>83.966714760000002</v>
      </c>
      <c r="N1561">
        <v>89.300502179999995</v>
      </c>
      <c r="O1561">
        <v>94.729151150000007</v>
      </c>
      <c r="P1561">
        <v>100.0383839</v>
      </c>
      <c r="Q1561">
        <v>104.3551379</v>
      </c>
    </row>
    <row r="1562" spans="1:17" x14ac:dyDescent="0.25">
      <c r="A1562" t="s">
        <v>5</v>
      </c>
      <c r="B1562" t="s">
        <v>6</v>
      </c>
      <c r="C1562" t="s">
        <v>262</v>
      </c>
      <c r="D1562" t="s">
        <v>131</v>
      </c>
      <c r="E1562" t="s">
        <v>27</v>
      </c>
      <c r="F1562">
        <v>2.1901006559999998</v>
      </c>
      <c r="G1562">
        <v>2.7488089580000001</v>
      </c>
      <c r="H1562">
        <v>3.2310348649999998</v>
      </c>
      <c r="I1562">
        <v>4.6929512320000004</v>
      </c>
      <c r="J1562">
        <v>4.9789042940000003</v>
      </c>
      <c r="K1562">
        <v>6.3139929520000004</v>
      </c>
      <c r="L1562">
        <v>7.8185909240000004</v>
      </c>
      <c r="M1562">
        <v>9.4289423639999992</v>
      </c>
      <c r="N1562">
        <v>11.11184856</v>
      </c>
      <c r="O1562">
        <v>12.830053789999999</v>
      </c>
      <c r="P1562">
        <v>14.56868869</v>
      </c>
      <c r="Q1562">
        <v>16.12344938</v>
      </c>
    </row>
    <row r="1563" spans="1:17" x14ac:dyDescent="0.25">
      <c r="A1563" t="s">
        <v>5</v>
      </c>
      <c r="B1563" t="s">
        <v>6</v>
      </c>
      <c r="C1563" t="s">
        <v>262</v>
      </c>
      <c r="D1563" t="s">
        <v>132</v>
      </c>
      <c r="E1563" t="s">
        <v>27</v>
      </c>
      <c r="F1563">
        <v>0.356335385</v>
      </c>
      <c r="G1563">
        <v>0.56677579899999997</v>
      </c>
      <c r="H1563">
        <v>0.84085378300000002</v>
      </c>
      <c r="I1563">
        <v>1.1673655169999999</v>
      </c>
      <c r="J1563">
        <v>1.9413786479999999</v>
      </c>
      <c r="K1563">
        <v>2.9781512920000002</v>
      </c>
      <c r="L1563">
        <v>5.2813411979999998</v>
      </c>
      <c r="M1563">
        <v>9.8422982640000001</v>
      </c>
      <c r="N1563">
        <v>14.845454869999999</v>
      </c>
      <c r="O1563">
        <v>18.226132310000001</v>
      </c>
      <c r="P1563">
        <v>19.88561176</v>
      </c>
      <c r="Q1563">
        <v>20.918216699999999</v>
      </c>
    </row>
    <row r="1564" spans="1:17" x14ac:dyDescent="0.25">
      <c r="A1564" t="s">
        <v>5</v>
      </c>
      <c r="B1564" t="s">
        <v>6</v>
      </c>
      <c r="C1564" t="s">
        <v>262</v>
      </c>
      <c r="D1564" t="s">
        <v>133</v>
      </c>
      <c r="E1564" t="s">
        <v>27</v>
      </c>
      <c r="F1564">
        <v>2.5711434510000002</v>
      </c>
      <c r="G1564">
        <v>3.543692488</v>
      </c>
      <c r="H1564">
        <v>4.8628258689999999</v>
      </c>
      <c r="I1564">
        <v>6.3943201180000004</v>
      </c>
      <c r="J1564">
        <v>9.5085661029999997</v>
      </c>
      <c r="K1564">
        <v>12.903199770000001</v>
      </c>
      <c r="L1564">
        <v>18.035494629999999</v>
      </c>
      <c r="M1564">
        <v>26.48097186</v>
      </c>
      <c r="N1564">
        <v>34.148063</v>
      </c>
      <c r="O1564">
        <v>39.712268819999998</v>
      </c>
      <c r="P1564">
        <v>44.418939809999998</v>
      </c>
      <c r="Q1564">
        <v>49.357811300000002</v>
      </c>
    </row>
    <row r="1565" spans="1:17" x14ac:dyDescent="0.25">
      <c r="A1565" t="s">
        <v>5</v>
      </c>
      <c r="B1565" t="s">
        <v>6</v>
      </c>
      <c r="C1565" t="s">
        <v>262</v>
      </c>
      <c r="D1565" t="s">
        <v>134</v>
      </c>
      <c r="E1565" t="s">
        <v>27</v>
      </c>
      <c r="F1565">
        <v>2.6888120000000001E-3</v>
      </c>
      <c r="G1565">
        <v>4.4379370000000003E-3</v>
      </c>
      <c r="H1565">
        <v>6.6539490000000001E-3</v>
      </c>
      <c r="I1565">
        <v>1.0343731E-2</v>
      </c>
      <c r="J1565">
        <v>1.8787311000000001E-2</v>
      </c>
      <c r="K1565">
        <v>4.0516285999999999E-2</v>
      </c>
      <c r="L1565">
        <v>0.121209425</v>
      </c>
      <c r="M1565">
        <v>0.30526076099999999</v>
      </c>
      <c r="N1565">
        <v>0.53566175699999996</v>
      </c>
      <c r="O1565">
        <v>0.69814969000000004</v>
      </c>
      <c r="P1565">
        <v>0.77396270300000003</v>
      </c>
      <c r="Q1565">
        <v>0.81975675999999997</v>
      </c>
    </row>
    <row r="1566" spans="1:17" x14ac:dyDescent="0.25">
      <c r="A1566" t="s">
        <v>5</v>
      </c>
      <c r="B1566" t="s">
        <v>6</v>
      </c>
      <c r="C1566" t="s">
        <v>262</v>
      </c>
      <c r="D1566" t="s">
        <v>135</v>
      </c>
      <c r="E1566" t="s">
        <v>27</v>
      </c>
      <c r="F1566">
        <v>5.4130230000000003E-3</v>
      </c>
      <c r="G1566">
        <v>8.4601929999999995E-3</v>
      </c>
      <c r="H1566">
        <v>1.2529607999999999E-2</v>
      </c>
      <c r="I1566">
        <v>1.8348342E-2</v>
      </c>
      <c r="J1566">
        <v>3.1878838999999999E-2</v>
      </c>
      <c r="K1566">
        <v>5.7010698999999998E-2</v>
      </c>
      <c r="L1566">
        <v>0.12966044199999999</v>
      </c>
      <c r="M1566">
        <v>0.28583936799999998</v>
      </c>
      <c r="N1566">
        <v>0.45257620100000001</v>
      </c>
      <c r="O1566">
        <v>0.56252732100000002</v>
      </c>
      <c r="P1566">
        <v>0.61499762899999999</v>
      </c>
      <c r="Q1566">
        <v>0.64697700199999997</v>
      </c>
    </row>
    <row r="1567" spans="1:17" x14ac:dyDescent="0.25">
      <c r="A1567" t="s">
        <v>5</v>
      </c>
      <c r="B1567" t="s">
        <v>6</v>
      </c>
      <c r="C1567" t="s">
        <v>262</v>
      </c>
      <c r="D1567" t="s">
        <v>136</v>
      </c>
      <c r="E1567" t="s">
        <v>27</v>
      </c>
      <c r="F1567" s="1">
        <v>8.5500000000000005E-9</v>
      </c>
      <c r="G1567" s="1">
        <v>8.0900000000000003E-8</v>
      </c>
      <c r="H1567" s="1">
        <v>5.8599999999999998E-7</v>
      </c>
      <c r="I1567" s="1">
        <v>7.2099999999999996E-6</v>
      </c>
      <c r="J1567" s="1">
        <v>9.59E-5</v>
      </c>
      <c r="K1567">
        <v>7.5473900000000004E-4</v>
      </c>
      <c r="L1567">
        <v>3.8531279999999999E-3</v>
      </c>
      <c r="M1567">
        <v>9.2072620000000008E-3</v>
      </c>
      <c r="N1567">
        <v>1.1608835E-2</v>
      </c>
      <c r="O1567">
        <v>7.8467780000000004E-3</v>
      </c>
      <c r="P1567">
        <v>4.0978350000000002E-3</v>
      </c>
      <c r="Q1567">
        <v>3.0289119999999999E-3</v>
      </c>
    </row>
    <row r="1568" spans="1:17" x14ac:dyDescent="0.25">
      <c r="A1568" t="s">
        <v>5</v>
      </c>
      <c r="B1568" t="s">
        <v>6</v>
      </c>
      <c r="C1568" t="s">
        <v>262</v>
      </c>
      <c r="D1568" t="s">
        <v>137</v>
      </c>
      <c r="E1568" t="s">
        <v>27</v>
      </c>
      <c r="F1568">
        <v>0.26155622699999997</v>
      </c>
      <c r="G1568">
        <v>0.38239117900000003</v>
      </c>
      <c r="H1568">
        <v>0.53166375099999996</v>
      </c>
      <c r="I1568">
        <v>0.71439719999999995</v>
      </c>
      <c r="J1568">
        <v>0.96064633700000002</v>
      </c>
      <c r="K1568">
        <v>1.305839186</v>
      </c>
      <c r="L1568">
        <v>1.85403037</v>
      </c>
      <c r="M1568">
        <v>2.6615064940000002</v>
      </c>
      <c r="N1568">
        <v>3.6780042489999998</v>
      </c>
      <c r="O1568">
        <v>4.7243196860000003</v>
      </c>
      <c r="P1568">
        <v>5.6303656950000001</v>
      </c>
      <c r="Q1568">
        <v>6.2771056740000004</v>
      </c>
    </row>
    <row r="1569" spans="1:17" x14ac:dyDescent="0.25">
      <c r="A1569" t="s">
        <v>5</v>
      </c>
      <c r="B1569" t="s">
        <v>6</v>
      </c>
      <c r="C1569" t="s">
        <v>262</v>
      </c>
      <c r="D1569" t="s">
        <v>138</v>
      </c>
      <c r="E1569" t="s">
        <v>27</v>
      </c>
      <c r="F1569">
        <v>0.68525571399999996</v>
      </c>
      <c r="G1569">
        <v>1.0173204600000001</v>
      </c>
      <c r="H1569">
        <v>1.44863629</v>
      </c>
      <c r="I1569">
        <v>1.9724854359999999</v>
      </c>
      <c r="J1569">
        <v>2.6480874659999998</v>
      </c>
      <c r="K1569">
        <v>3.550305458</v>
      </c>
      <c r="L1569">
        <v>4.9743005120000001</v>
      </c>
      <c r="M1569">
        <v>7.1262031219999997</v>
      </c>
      <c r="N1569">
        <v>9.9921341720000001</v>
      </c>
      <c r="O1569">
        <v>13.18302439</v>
      </c>
      <c r="P1569">
        <v>16.16022568</v>
      </c>
      <c r="Q1569">
        <v>18.31501381</v>
      </c>
    </row>
    <row r="1570" spans="1:17" x14ac:dyDescent="0.25">
      <c r="A1570" t="s">
        <v>5</v>
      </c>
      <c r="B1570" t="s">
        <v>6</v>
      </c>
      <c r="C1570" t="s">
        <v>262</v>
      </c>
      <c r="D1570" t="s">
        <v>139</v>
      </c>
      <c r="E1570" t="s">
        <v>27</v>
      </c>
      <c r="F1570">
        <v>9.5513272999999996E-2</v>
      </c>
      <c r="G1570">
        <v>0.14735996500000001</v>
      </c>
      <c r="H1570">
        <v>0.21841826</v>
      </c>
      <c r="I1570">
        <v>0.307356095</v>
      </c>
      <c r="J1570">
        <v>0.41474622300000002</v>
      </c>
      <c r="K1570">
        <v>0.54649212000000003</v>
      </c>
      <c r="L1570">
        <v>0.746928594</v>
      </c>
      <c r="M1570">
        <v>1.0521694619999999</v>
      </c>
      <c r="N1570">
        <v>1.48627278</v>
      </c>
      <c r="O1570">
        <v>2.0193753440000002</v>
      </c>
      <c r="P1570">
        <v>2.5624631600000001</v>
      </c>
      <c r="Q1570">
        <v>2.964290906</v>
      </c>
    </row>
    <row r="1571" spans="1:17" x14ac:dyDescent="0.25">
      <c r="A1571" t="s">
        <v>5</v>
      </c>
      <c r="B1571" t="s">
        <v>6</v>
      </c>
      <c r="C1571" t="s">
        <v>262</v>
      </c>
      <c r="D1571" t="s">
        <v>140</v>
      </c>
      <c r="E1571" t="s">
        <v>27</v>
      </c>
      <c r="F1571">
        <v>7.0333057000000004E-2</v>
      </c>
      <c r="G1571">
        <v>0.105784292</v>
      </c>
      <c r="H1571">
        <v>0.147687244</v>
      </c>
      <c r="I1571">
        <v>0.20288255999999999</v>
      </c>
      <c r="J1571">
        <v>0.27240942600000001</v>
      </c>
      <c r="K1571">
        <v>0.36814828999999999</v>
      </c>
      <c r="L1571">
        <v>0.52135491099999998</v>
      </c>
      <c r="M1571">
        <v>0.74560731999999996</v>
      </c>
      <c r="N1571">
        <v>1.0315521190000001</v>
      </c>
      <c r="O1571">
        <v>1.338926633</v>
      </c>
      <c r="P1571">
        <v>1.625380775</v>
      </c>
      <c r="Q1571">
        <v>1.8454422690000001</v>
      </c>
    </row>
    <row r="1572" spans="1:17" x14ac:dyDescent="0.25">
      <c r="A1572" t="s">
        <v>5</v>
      </c>
      <c r="B1572" t="s">
        <v>6</v>
      </c>
      <c r="C1572" t="s">
        <v>262</v>
      </c>
      <c r="D1572" t="s">
        <v>141</v>
      </c>
      <c r="E1572" t="s">
        <v>27</v>
      </c>
      <c r="F1572">
        <v>2.477585E-3</v>
      </c>
      <c r="G1572">
        <v>3.7950340000000001E-3</v>
      </c>
      <c r="H1572">
        <v>5.6738759999999996E-3</v>
      </c>
      <c r="I1572">
        <v>7.9384469999999995E-3</v>
      </c>
      <c r="J1572">
        <v>1.0652106E-2</v>
      </c>
      <c r="K1572">
        <v>1.3884534E-2</v>
      </c>
      <c r="L1572">
        <v>1.8812061000000001E-2</v>
      </c>
      <c r="M1572">
        <v>2.6664509999999999E-2</v>
      </c>
      <c r="N1572">
        <v>3.8438535000000003E-2</v>
      </c>
      <c r="O1572">
        <v>5.3462937000000002E-2</v>
      </c>
      <c r="P1572">
        <v>6.9037680000000004E-2</v>
      </c>
      <c r="Q1572">
        <v>8.0488849000000001E-2</v>
      </c>
    </row>
    <row r="1573" spans="1:17" x14ac:dyDescent="0.25">
      <c r="A1573" t="s">
        <v>5</v>
      </c>
      <c r="B1573" t="s">
        <v>6</v>
      </c>
      <c r="C1573" t="s">
        <v>262</v>
      </c>
      <c r="D1573" t="s">
        <v>142</v>
      </c>
      <c r="E1573" t="s">
        <v>27</v>
      </c>
      <c r="F1573">
        <v>1.8756020000000001E-3</v>
      </c>
      <c r="G1573">
        <v>2.604365E-3</v>
      </c>
      <c r="H1573">
        <v>1.810489E-3</v>
      </c>
      <c r="I1573">
        <v>2.992364E-3</v>
      </c>
      <c r="J1573">
        <v>5.5863620000000001E-3</v>
      </c>
      <c r="K1573">
        <v>9.5476459999999999E-3</v>
      </c>
      <c r="L1573">
        <v>1.6058135000000001E-2</v>
      </c>
      <c r="M1573">
        <v>2.3528328000000001E-2</v>
      </c>
      <c r="N1573">
        <v>2.7294847000000001E-2</v>
      </c>
      <c r="O1573">
        <v>2.4713643E-2</v>
      </c>
      <c r="P1573">
        <v>2.7990562E-2</v>
      </c>
      <c r="Q1573">
        <v>4.1138806999999999E-2</v>
      </c>
    </row>
    <row r="1574" spans="1:17" x14ac:dyDescent="0.25">
      <c r="A1574" t="s">
        <v>5</v>
      </c>
      <c r="B1574" t="s">
        <v>6</v>
      </c>
      <c r="C1574" t="s">
        <v>262</v>
      </c>
      <c r="D1574" t="s">
        <v>143</v>
      </c>
      <c r="E1574" t="s">
        <v>27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</row>
    <row r="1575" spans="1:17" x14ac:dyDescent="0.25">
      <c r="A1575" t="s">
        <v>5</v>
      </c>
      <c r="B1575" t="s">
        <v>6</v>
      </c>
      <c r="C1575" t="s">
        <v>262</v>
      </c>
      <c r="D1575" t="s">
        <v>144</v>
      </c>
      <c r="E1575" t="s">
        <v>27</v>
      </c>
      <c r="F1575" s="1">
        <v>8.14E-6</v>
      </c>
      <c r="G1575" s="1">
        <v>3.2199999999999997E-5</v>
      </c>
      <c r="H1575">
        <v>1.6265999999999999E-4</v>
      </c>
      <c r="I1575">
        <v>5.5069400000000001E-4</v>
      </c>
      <c r="J1575">
        <v>1.2738879999999999E-3</v>
      </c>
      <c r="K1575">
        <v>2.333894E-3</v>
      </c>
      <c r="L1575">
        <v>4.3182560000000004E-3</v>
      </c>
      <c r="M1575">
        <v>6.7777310000000004E-3</v>
      </c>
      <c r="N1575">
        <v>6.7713649999999997E-3</v>
      </c>
      <c r="O1575">
        <v>3.6640309999999999E-3</v>
      </c>
      <c r="P1575">
        <v>1.252384E-3</v>
      </c>
      <c r="Q1575">
        <v>8.9438600000000005E-4</v>
      </c>
    </row>
    <row r="1576" spans="1:17" x14ac:dyDescent="0.25">
      <c r="A1576" t="s">
        <v>5</v>
      </c>
      <c r="B1576" t="s">
        <v>6</v>
      </c>
      <c r="C1576" t="s">
        <v>262</v>
      </c>
      <c r="D1576" t="s">
        <v>145</v>
      </c>
      <c r="E1576" t="s">
        <v>27</v>
      </c>
      <c r="F1576" s="1">
        <v>4.32E-5</v>
      </c>
      <c r="G1576" s="1">
        <v>6.1299999999999999E-5</v>
      </c>
      <c r="H1576" s="1">
        <v>4.88E-5</v>
      </c>
      <c r="I1576" s="1">
        <v>9.1799999999999995E-5</v>
      </c>
      <c r="J1576">
        <v>2.40998E-4</v>
      </c>
      <c r="K1576">
        <v>4.08238E-4</v>
      </c>
      <c r="L1576">
        <v>5.0564000000000002E-4</v>
      </c>
      <c r="M1576">
        <v>6.2545999999999999E-4</v>
      </c>
      <c r="N1576">
        <v>6.9484799999999997E-4</v>
      </c>
      <c r="O1576">
        <v>6.3367499999999999E-4</v>
      </c>
      <c r="P1576">
        <v>6.7407700000000003E-4</v>
      </c>
      <c r="Q1576">
        <v>9.4408399999999998E-4</v>
      </c>
    </row>
    <row r="1577" spans="1:17" x14ac:dyDescent="0.25">
      <c r="A1577" t="s">
        <v>5</v>
      </c>
      <c r="B1577" t="s">
        <v>6</v>
      </c>
      <c r="C1577" t="s">
        <v>262</v>
      </c>
      <c r="D1577" t="s">
        <v>146</v>
      </c>
      <c r="E1577" t="s">
        <v>27</v>
      </c>
      <c r="F1577" s="1">
        <v>2.5899999999999999E-5</v>
      </c>
      <c r="G1577" s="1">
        <v>2.4199999999999999E-5</v>
      </c>
      <c r="H1577" s="1">
        <v>2.4000000000000001E-5</v>
      </c>
      <c r="I1577" s="1">
        <v>1.8099999999999999E-5</v>
      </c>
      <c r="J1577" s="1">
        <v>3.3800000000000002E-5</v>
      </c>
      <c r="K1577" s="1">
        <v>8.4599999999999996E-5</v>
      </c>
      <c r="L1577" s="1">
        <v>4.1300000000000001E-5</v>
      </c>
      <c r="M1577" s="1">
        <v>5.1199999999999998E-5</v>
      </c>
      <c r="N1577" s="1">
        <v>4.0500000000000002E-5</v>
      </c>
      <c r="O1577" s="1">
        <v>2.9899999999999998E-5</v>
      </c>
      <c r="P1577" s="1">
        <v>4.6699999999999997E-5</v>
      </c>
      <c r="Q1577" s="1">
        <v>3.5899999999999998E-5</v>
      </c>
    </row>
    <row r="1578" spans="1:17" x14ac:dyDescent="0.25">
      <c r="A1578" t="s">
        <v>5</v>
      </c>
      <c r="B1578" t="s">
        <v>6</v>
      </c>
      <c r="C1578" t="s">
        <v>262</v>
      </c>
      <c r="D1578" t="s">
        <v>147</v>
      </c>
      <c r="E1578" t="s">
        <v>148</v>
      </c>
      <c r="F1578">
        <v>165442.90770000001</v>
      </c>
      <c r="G1578">
        <v>210324.2726</v>
      </c>
      <c r="H1578">
        <v>269035.47850000003</v>
      </c>
      <c r="I1578">
        <v>332312.7537</v>
      </c>
      <c r="J1578">
        <v>444564.64079999999</v>
      </c>
      <c r="K1578">
        <v>550511.09420000005</v>
      </c>
      <c r="L1578">
        <v>666846.66610000003</v>
      </c>
      <c r="M1578">
        <v>799954.72400000005</v>
      </c>
      <c r="N1578">
        <v>921244.64870000002</v>
      </c>
      <c r="O1578">
        <v>1037320.628</v>
      </c>
      <c r="P1578">
        <v>1147141.629</v>
      </c>
      <c r="Q1578">
        <v>1237280.6580000001</v>
      </c>
    </row>
    <row r="1579" spans="1:17" x14ac:dyDescent="0.25">
      <c r="A1579" t="s">
        <v>5</v>
      </c>
      <c r="B1579" t="s">
        <v>6</v>
      </c>
      <c r="C1579" t="s">
        <v>262</v>
      </c>
      <c r="D1579" t="s">
        <v>149</v>
      </c>
      <c r="E1579" t="s">
        <v>148</v>
      </c>
      <c r="F1579">
        <v>5746.2677089999997</v>
      </c>
      <c r="G1579">
        <v>6442.0112680000002</v>
      </c>
      <c r="H1579">
        <v>6551.6505219999999</v>
      </c>
      <c r="I1579">
        <v>7082.7501400000001</v>
      </c>
      <c r="J1579">
        <v>7939.2462290000003</v>
      </c>
      <c r="K1579">
        <v>8755.4048949999997</v>
      </c>
      <c r="L1579">
        <v>9555.6373170000006</v>
      </c>
      <c r="M1579">
        <v>10024.29169</v>
      </c>
      <c r="N1579">
        <v>10162.731889999999</v>
      </c>
      <c r="O1579">
        <v>10187.34556</v>
      </c>
      <c r="P1579">
        <v>10115.420459999999</v>
      </c>
      <c r="Q1579">
        <v>9977.5089110000008</v>
      </c>
    </row>
    <row r="1580" spans="1:17" x14ac:dyDescent="0.25">
      <c r="A1580" t="s">
        <v>5</v>
      </c>
      <c r="B1580" t="s">
        <v>6</v>
      </c>
      <c r="C1580" t="s">
        <v>262</v>
      </c>
      <c r="D1580" t="s">
        <v>150</v>
      </c>
      <c r="E1580" t="s">
        <v>148</v>
      </c>
      <c r="F1580">
        <v>805639.23620000004</v>
      </c>
      <c r="G1580">
        <v>742809.13280000002</v>
      </c>
      <c r="H1580">
        <v>946905.76980000001</v>
      </c>
      <c r="I1580">
        <v>1032357.497</v>
      </c>
      <c r="J1580">
        <v>1076293.426</v>
      </c>
      <c r="K1580">
        <v>1074741.7309999999</v>
      </c>
      <c r="L1580">
        <v>1059992.3689999999</v>
      </c>
      <c r="M1580">
        <v>1016516.998</v>
      </c>
      <c r="N1580">
        <v>969384.6531</v>
      </c>
      <c r="O1580">
        <v>917880.36490000004</v>
      </c>
      <c r="P1580">
        <v>865268.34759999998</v>
      </c>
      <c r="Q1580">
        <v>822538.29619999998</v>
      </c>
    </row>
    <row r="1581" spans="1:17" x14ac:dyDescent="0.25">
      <c r="A1581" t="s">
        <v>5</v>
      </c>
      <c r="B1581" t="s">
        <v>6</v>
      </c>
      <c r="C1581" t="s">
        <v>262</v>
      </c>
      <c r="D1581" t="s">
        <v>151</v>
      </c>
      <c r="E1581" t="s">
        <v>148</v>
      </c>
      <c r="F1581">
        <v>20957.539779999999</v>
      </c>
      <c r="G1581">
        <v>29816.140439999999</v>
      </c>
      <c r="H1581">
        <v>45266.728629999998</v>
      </c>
      <c r="I1581">
        <v>59109.267160000003</v>
      </c>
      <c r="J1581">
        <v>68692.530140000003</v>
      </c>
      <c r="K1581">
        <v>80259.731320000006</v>
      </c>
      <c r="L1581">
        <v>90206.032609999995</v>
      </c>
      <c r="M1581">
        <v>100331.6819</v>
      </c>
      <c r="N1581">
        <v>109567.28049999999</v>
      </c>
      <c r="O1581">
        <v>117756.5631</v>
      </c>
      <c r="P1581">
        <v>124442.0404</v>
      </c>
      <c r="Q1581">
        <v>129822.4143</v>
      </c>
    </row>
    <row r="1582" spans="1:17" x14ac:dyDescent="0.25">
      <c r="A1582" t="s">
        <v>5</v>
      </c>
      <c r="B1582" t="s">
        <v>6</v>
      </c>
      <c r="C1582" t="s">
        <v>262</v>
      </c>
      <c r="D1582" t="s">
        <v>152</v>
      </c>
      <c r="E1582" t="s">
        <v>148</v>
      </c>
      <c r="F1582">
        <v>31.875247689999998</v>
      </c>
      <c r="G1582">
        <v>35.939716439999998</v>
      </c>
      <c r="H1582">
        <v>46.32147535</v>
      </c>
      <c r="I1582">
        <v>55.33696089</v>
      </c>
      <c r="J1582">
        <v>63.049381359999998</v>
      </c>
      <c r="K1582">
        <v>69.466291600000005</v>
      </c>
      <c r="L1582">
        <v>75.745520959999993</v>
      </c>
      <c r="M1582">
        <v>81.491509179999994</v>
      </c>
      <c r="N1582">
        <v>85.535523920000003</v>
      </c>
      <c r="O1582">
        <v>88.154668950000001</v>
      </c>
      <c r="P1582">
        <v>88.891995600000001</v>
      </c>
      <c r="Q1582">
        <v>87.73416512</v>
      </c>
    </row>
    <row r="1583" spans="1:17" x14ac:dyDescent="0.25">
      <c r="A1583" t="s">
        <v>5</v>
      </c>
      <c r="B1583" t="s">
        <v>6</v>
      </c>
      <c r="C1583" t="s">
        <v>262</v>
      </c>
      <c r="D1583" t="s">
        <v>153</v>
      </c>
      <c r="E1583" t="s">
        <v>148</v>
      </c>
      <c r="F1583">
        <v>13.035675469999999</v>
      </c>
      <c r="G1583">
        <v>16.176465910000001</v>
      </c>
      <c r="H1583">
        <v>19.342033399999998</v>
      </c>
      <c r="I1583">
        <v>23.07146286</v>
      </c>
      <c r="J1583">
        <v>27.677519870000001</v>
      </c>
      <c r="K1583">
        <v>32.886930190000001</v>
      </c>
      <c r="L1583">
        <v>38.628212759999997</v>
      </c>
      <c r="M1583">
        <v>45.441874439999999</v>
      </c>
      <c r="N1583">
        <v>51.91873502</v>
      </c>
      <c r="O1583">
        <v>55.720509489999998</v>
      </c>
      <c r="P1583">
        <v>58.127739849999998</v>
      </c>
      <c r="Q1583">
        <v>60.05353796</v>
      </c>
    </row>
    <row r="1584" spans="1:17" x14ac:dyDescent="0.25">
      <c r="A1584" t="s">
        <v>5</v>
      </c>
      <c r="B1584" t="s">
        <v>6</v>
      </c>
      <c r="C1584" t="s">
        <v>262</v>
      </c>
      <c r="D1584" t="s">
        <v>154</v>
      </c>
      <c r="E1584" t="s">
        <v>148</v>
      </c>
      <c r="F1584">
        <v>2.5848433009999998</v>
      </c>
      <c r="G1584">
        <v>3.0236846320000001</v>
      </c>
      <c r="H1584">
        <v>5.3454747600000001</v>
      </c>
      <c r="I1584">
        <v>5.8743554700000002</v>
      </c>
      <c r="J1584">
        <v>9.3294390180000004</v>
      </c>
      <c r="K1584">
        <v>11.73543604</v>
      </c>
      <c r="L1584">
        <v>14.007612269999999</v>
      </c>
      <c r="M1584">
        <v>16.12947994</v>
      </c>
      <c r="N1584">
        <v>19.054590480000002</v>
      </c>
      <c r="O1584">
        <v>22.94900406</v>
      </c>
      <c r="P1584">
        <v>26.794164519999999</v>
      </c>
      <c r="Q1584">
        <v>30.136270570000001</v>
      </c>
    </row>
    <row r="1585" spans="1:17" x14ac:dyDescent="0.25">
      <c r="A1585" t="s">
        <v>5</v>
      </c>
      <c r="B1585" t="s">
        <v>6</v>
      </c>
      <c r="C1585" t="s">
        <v>262</v>
      </c>
      <c r="D1585" t="s">
        <v>155</v>
      </c>
      <c r="E1585" t="s">
        <v>148</v>
      </c>
      <c r="F1585">
        <v>1.466035306</v>
      </c>
      <c r="G1585">
        <v>1.6153259959999999</v>
      </c>
      <c r="H1585">
        <v>2.6974405570000002</v>
      </c>
      <c r="I1585">
        <v>3.2201227129999999</v>
      </c>
      <c r="J1585">
        <v>4.1980275950000001</v>
      </c>
      <c r="K1585">
        <v>4.7251335379999997</v>
      </c>
      <c r="L1585">
        <v>5.1567410569999996</v>
      </c>
      <c r="M1585">
        <v>5.486490485</v>
      </c>
      <c r="N1585">
        <v>5.9188828830000002</v>
      </c>
      <c r="O1585">
        <v>6.4197501609999996</v>
      </c>
      <c r="P1585">
        <v>6.8107370080000003</v>
      </c>
      <c r="Q1585">
        <v>7.0822390950000003</v>
      </c>
    </row>
    <row r="1586" spans="1:17" x14ac:dyDescent="0.25">
      <c r="A1586" t="s">
        <v>5</v>
      </c>
      <c r="B1586" t="s">
        <v>6</v>
      </c>
      <c r="C1586" t="s">
        <v>262</v>
      </c>
      <c r="D1586" t="s">
        <v>156</v>
      </c>
      <c r="E1586" t="s">
        <v>148</v>
      </c>
      <c r="F1586">
        <v>184.84131120000001</v>
      </c>
      <c r="G1586">
        <v>187.88181850000001</v>
      </c>
      <c r="H1586">
        <v>197.5457724</v>
      </c>
      <c r="I1586">
        <v>218.91097500000001</v>
      </c>
      <c r="J1586">
        <v>235.12160280000001</v>
      </c>
      <c r="K1586">
        <v>247.22558050000001</v>
      </c>
      <c r="L1586">
        <v>257.21000179999999</v>
      </c>
      <c r="M1586">
        <v>265.5494162</v>
      </c>
      <c r="N1586">
        <v>272.41463649999997</v>
      </c>
      <c r="O1586">
        <v>277.38607569999999</v>
      </c>
      <c r="P1586">
        <v>280.85401899999999</v>
      </c>
      <c r="Q1586">
        <v>283.08674919999999</v>
      </c>
    </row>
    <row r="1587" spans="1:17" x14ac:dyDescent="0.25">
      <c r="A1587" t="s">
        <v>5</v>
      </c>
      <c r="B1587" t="s">
        <v>6</v>
      </c>
      <c r="C1587" t="s">
        <v>262</v>
      </c>
      <c r="D1587" t="s">
        <v>157</v>
      </c>
      <c r="E1587" t="s">
        <v>158</v>
      </c>
      <c r="F1587">
        <v>35437875214</v>
      </c>
      <c r="G1587">
        <v>37652789332</v>
      </c>
      <c r="H1587">
        <v>39951404429</v>
      </c>
      <c r="I1587">
        <v>41797157126</v>
      </c>
      <c r="J1587">
        <v>43310033052</v>
      </c>
      <c r="K1587">
        <v>45749081959</v>
      </c>
      <c r="L1587">
        <v>48246699807</v>
      </c>
      <c r="M1587">
        <v>50607979073</v>
      </c>
      <c r="N1587">
        <v>52806598936</v>
      </c>
      <c r="O1587">
        <v>54798100740</v>
      </c>
      <c r="P1587">
        <v>56393226872</v>
      </c>
      <c r="Q1587">
        <v>57575968299</v>
      </c>
    </row>
    <row r="1588" spans="1:17" x14ac:dyDescent="0.25">
      <c r="A1588" t="s">
        <v>5</v>
      </c>
      <c r="B1588" t="s">
        <v>6</v>
      </c>
      <c r="C1588" t="s">
        <v>262</v>
      </c>
      <c r="D1588" t="s">
        <v>159</v>
      </c>
      <c r="E1588" t="s">
        <v>158</v>
      </c>
      <c r="F1588">
        <v>14794474167</v>
      </c>
      <c r="G1588">
        <v>16747477801</v>
      </c>
      <c r="H1588">
        <v>18946772311</v>
      </c>
      <c r="I1588">
        <v>21203827086</v>
      </c>
      <c r="J1588">
        <v>23369585277</v>
      </c>
      <c r="K1588">
        <v>26021131388</v>
      </c>
      <c r="L1588">
        <v>28864264890</v>
      </c>
      <c r="M1588">
        <v>31754558616</v>
      </c>
      <c r="N1588">
        <v>34622989957</v>
      </c>
      <c r="O1588">
        <v>37405707432</v>
      </c>
      <c r="P1588">
        <v>39878064237</v>
      </c>
      <c r="Q1588">
        <v>41874731586</v>
      </c>
    </row>
    <row r="1589" spans="1:17" x14ac:dyDescent="0.25">
      <c r="A1589" t="s">
        <v>5</v>
      </c>
      <c r="B1589" t="s">
        <v>6</v>
      </c>
      <c r="C1589" t="s">
        <v>262</v>
      </c>
      <c r="D1589" t="s">
        <v>160</v>
      </c>
      <c r="E1589" t="s">
        <v>158</v>
      </c>
      <c r="F1589">
        <v>5542144155</v>
      </c>
      <c r="G1589">
        <v>6312846585</v>
      </c>
      <c r="H1589">
        <v>7208799073</v>
      </c>
      <c r="I1589">
        <v>8152435454</v>
      </c>
      <c r="J1589">
        <v>9070539512</v>
      </c>
      <c r="K1589">
        <v>10201965267</v>
      </c>
      <c r="L1589">
        <v>11425129015</v>
      </c>
      <c r="M1589">
        <v>12688950718</v>
      </c>
      <c r="N1589">
        <v>13965742853</v>
      </c>
      <c r="O1589">
        <v>15231203944</v>
      </c>
      <c r="P1589">
        <v>16406388894</v>
      </c>
      <c r="Q1589">
        <v>17393805148</v>
      </c>
    </row>
    <row r="1590" spans="1:17" x14ac:dyDescent="0.25">
      <c r="A1590" t="s">
        <v>5</v>
      </c>
      <c r="B1590" t="s">
        <v>6</v>
      </c>
      <c r="C1590" t="s">
        <v>262</v>
      </c>
      <c r="D1590" t="s">
        <v>161</v>
      </c>
      <c r="E1590" t="s">
        <v>158</v>
      </c>
      <c r="F1590">
        <v>723512592.70000005</v>
      </c>
      <c r="G1590">
        <v>906936472.10000002</v>
      </c>
      <c r="H1590">
        <v>1187835691</v>
      </c>
      <c r="I1590">
        <v>1652905857</v>
      </c>
      <c r="J1590">
        <v>2495785367</v>
      </c>
      <c r="K1590">
        <v>3663711970</v>
      </c>
      <c r="L1590">
        <v>4997312570</v>
      </c>
      <c r="M1590">
        <v>6405809635</v>
      </c>
      <c r="N1590">
        <v>7874275329</v>
      </c>
      <c r="O1590">
        <v>9326052424</v>
      </c>
      <c r="P1590">
        <v>10844733464</v>
      </c>
      <c r="Q1590">
        <v>12267403494</v>
      </c>
    </row>
    <row r="1591" spans="1:17" x14ac:dyDescent="0.25">
      <c r="A1591" t="s">
        <v>5</v>
      </c>
      <c r="B1591" t="s">
        <v>6</v>
      </c>
      <c r="C1591" t="s">
        <v>262</v>
      </c>
      <c r="D1591" t="s">
        <v>162</v>
      </c>
      <c r="E1591" t="s">
        <v>158</v>
      </c>
      <c r="F1591">
        <v>495057879.30000001</v>
      </c>
      <c r="G1591">
        <v>624469921.29999995</v>
      </c>
      <c r="H1591">
        <v>809934102.10000002</v>
      </c>
      <c r="I1591">
        <v>1071257056</v>
      </c>
      <c r="J1591">
        <v>1451679294</v>
      </c>
      <c r="K1591">
        <v>1900209111</v>
      </c>
      <c r="L1591">
        <v>2368943351</v>
      </c>
      <c r="M1591">
        <v>2844359669</v>
      </c>
      <c r="N1591">
        <v>3333031043</v>
      </c>
      <c r="O1591">
        <v>3817012350</v>
      </c>
      <c r="P1591">
        <v>4317900249</v>
      </c>
      <c r="Q1591">
        <v>4775806729</v>
      </c>
    </row>
    <row r="1592" spans="1:17" x14ac:dyDescent="0.25">
      <c r="A1592" t="s">
        <v>5</v>
      </c>
      <c r="B1592" t="s">
        <v>6</v>
      </c>
      <c r="C1592" t="s">
        <v>262</v>
      </c>
      <c r="D1592" t="s">
        <v>163</v>
      </c>
      <c r="E1592" t="s">
        <v>158</v>
      </c>
      <c r="F1592">
        <v>643398421.60000002</v>
      </c>
      <c r="G1592">
        <v>818712521.20000005</v>
      </c>
      <c r="H1592">
        <v>1095148130</v>
      </c>
      <c r="I1592">
        <v>1550300433</v>
      </c>
      <c r="J1592">
        <v>2297432645</v>
      </c>
      <c r="K1592">
        <v>3231366132</v>
      </c>
      <c r="L1592">
        <v>4217773472</v>
      </c>
      <c r="M1592">
        <v>5197619284</v>
      </c>
      <c r="N1592">
        <v>6175245918</v>
      </c>
      <c r="O1592">
        <v>7124652853</v>
      </c>
      <c r="P1592">
        <v>8105507826</v>
      </c>
      <c r="Q1592">
        <v>9006883090</v>
      </c>
    </row>
    <row r="1593" spans="1:17" x14ac:dyDescent="0.25">
      <c r="A1593" t="s">
        <v>5</v>
      </c>
      <c r="B1593" t="s">
        <v>6</v>
      </c>
      <c r="C1593" t="s">
        <v>262</v>
      </c>
      <c r="D1593" t="s">
        <v>164</v>
      </c>
      <c r="E1593" t="s">
        <v>158</v>
      </c>
      <c r="F1593">
        <v>6226461170</v>
      </c>
      <c r="G1593">
        <v>7619493391</v>
      </c>
      <c r="H1593">
        <v>9454466045</v>
      </c>
      <c r="I1593">
        <v>11698281971</v>
      </c>
      <c r="J1593">
        <v>14419433696</v>
      </c>
      <c r="K1593">
        <v>17136297162</v>
      </c>
      <c r="L1593">
        <v>19658232111</v>
      </c>
      <c r="M1593">
        <v>22002242074</v>
      </c>
      <c r="N1593">
        <v>24235759145</v>
      </c>
      <c r="O1593">
        <v>26321371896</v>
      </c>
      <c r="P1593">
        <v>28319015361</v>
      </c>
      <c r="Q1593">
        <v>29976487241</v>
      </c>
    </row>
    <row r="1594" spans="1:17" x14ac:dyDescent="0.25">
      <c r="A1594" t="s">
        <v>5</v>
      </c>
      <c r="B1594" t="s">
        <v>6</v>
      </c>
      <c r="C1594" t="s">
        <v>262</v>
      </c>
      <c r="D1594" t="s">
        <v>165</v>
      </c>
      <c r="E1594" t="s">
        <v>166</v>
      </c>
      <c r="F1594">
        <v>147.40523630000001</v>
      </c>
      <c r="G1594">
        <v>187.33388930000001</v>
      </c>
      <c r="H1594">
        <v>239.6573253</v>
      </c>
      <c r="I1594">
        <v>295.99832520000001</v>
      </c>
      <c r="J1594">
        <v>395.2800158</v>
      </c>
      <c r="K1594">
        <v>488.11721560000001</v>
      </c>
      <c r="L1594">
        <v>589.12510139999995</v>
      </c>
      <c r="M1594">
        <v>704.66831749999994</v>
      </c>
      <c r="N1594">
        <v>809.76904979999995</v>
      </c>
      <c r="O1594">
        <v>910.01862349999999</v>
      </c>
      <c r="P1594">
        <v>1004.723834</v>
      </c>
      <c r="Q1594">
        <v>1082.681585</v>
      </c>
    </row>
    <row r="1595" spans="1:17" x14ac:dyDescent="0.25">
      <c r="A1595" t="s">
        <v>5</v>
      </c>
      <c r="B1595" t="s">
        <v>6</v>
      </c>
      <c r="C1595" t="s">
        <v>262</v>
      </c>
      <c r="D1595" t="s">
        <v>167</v>
      </c>
      <c r="E1595" t="s">
        <v>166</v>
      </c>
      <c r="F1595">
        <v>276.11579010000003</v>
      </c>
      <c r="G1595">
        <v>355.96984400000002</v>
      </c>
      <c r="H1595">
        <v>471.58258369999999</v>
      </c>
      <c r="I1595">
        <v>586.99577499999998</v>
      </c>
      <c r="J1595">
        <v>729.71878270000002</v>
      </c>
      <c r="K1595">
        <v>874.93974249999997</v>
      </c>
      <c r="L1595">
        <v>1019.799294</v>
      </c>
      <c r="M1595">
        <v>1177.461994</v>
      </c>
      <c r="N1595">
        <v>1319.555398</v>
      </c>
      <c r="O1595">
        <v>1452.6746989999999</v>
      </c>
      <c r="P1595">
        <v>1574.029329</v>
      </c>
      <c r="Q1595">
        <v>1673.050389</v>
      </c>
    </row>
    <row r="1596" spans="1:17" x14ac:dyDescent="0.25">
      <c r="A1596" t="s">
        <v>5</v>
      </c>
      <c r="B1596" t="s">
        <v>6</v>
      </c>
      <c r="C1596" t="s">
        <v>262</v>
      </c>
      <c r="D1596" t="s">
        <v>168</v>
      </c>
      <c r="E1596" t="s">
        <v>166</v>
      </c>
      <c r="F1596">
        <v>27.213736359999999</v>
      </c>
      <c r="G1596">
        <v>33.039479579999998</v>
      </c>
      <c r="H1596">
        <v>39.887689809999998</v>
      </c>
      <c r="I1596">
        <v>47.499122020000001</v>
      </c>
      <c r="J1596">
        <v>56.376222599999998</v>
      </c>
      <c r="K1596">
        <v>66.072649290000001</v>
      </c>
      <c r="L1596">
        <v>76.650071440000005</v>
      </c>
      <c r="M1596">
        <v>88.964771299999995</v>
      </c>
      <c r="N1596">
        <v>100.4890383</v>
      </c>
      <c r="O1596">
        <v>107.38671720000001</v>
      </c>
      <c r="P1596">
        <v>111.7460897</v>
      </c>
      <c r="Q1596">
        <v>115.0708073</v>
      </c>
    </row>
    <row r="1597" spans="1:17" x14ac:dyDescent="0.25">
      <c r="A1597" t="s">
        <v>5</v>
      </c>
      <c r="B1597" t="s">
        <v>6</v>
      </c>
      <c r="C1597" t="s">
        <v>262</v>
      </c>
      <c r="D1597" t="s">
        <v>169</v>
      </c>
      <c r="E1597" t="s">
        <v>166</v>
      </c>
      <c r="F1597">
        <v>2.6733795000000001E-2</v>
      </c>
      <c r="G1597">
        <v>3.0413339000000001E-2</v>
      </c>
      <c r="H1597">
        <v>5.2401784999999999E-2</v>
      </c>
      <c r="I1597">
        <v>5.9792890000000001E-2</v>
      </c>
      <c r="J1597">
        <v>8.7059134999999996E-2</v>
      </c>
      <c r="K1597">
        <v>0.104719096</v>
      </c>
      <c r="L1597">
        <v>0.120825947</v>
      </c>
      <c r="M1597">
        <v>0.13523496800000001</v>
      </c>
      <c r="N1597">
        <v>0.15490722400000001</v>
      </c>
      <c r="O1597">
        <v>0.180453051</v>
      </c>
      <c r="P1597">
        <v>0.204782623</v>
      </c>
      <c r="Q1597">
        <v>0.22533977799999999</v>
      </c>
    </row>
    <row r="1598" spans="1:17" x14ac:dyDescent="0.25">
      <c r="A1598" t="s">
        <v>5</v>
      </c>
      <c r="B1598" t="s">
        <v>6</v>
      </c>
      <c r="C1598" t="s">
        <v>262</v>
      </c>
      <c r="D1598" t="s">
        <v>170</v>
      </c>
      <c r="E1598" t="s">
        <v>166</v>
      </c>
      <c r="F1598">
        <v>73.014115540000006</v>
      </c>
      <c r="G1598">
        <v>74.883497349999999</v>
      </c>
      <c r="H1598">
        <v>79.732151619999996</v>
      </c>
      <c r="I1598">
        <v>90.576278529999996</v>
      </c>
      <c r="J1598">
        <v>99.04794751</v>
      </c>
      <c r="K1598">
        <v>105.9198945</v>
      </c>
      <c r="L1598">
        <v>112.1937971</v>
      </c>
      <c r="M1598">
        <v>117.9992195</v>
      </c>
      <c r="N1598">
        <v>123.2098354</v>
      </c>
      <c r="O1598">
        <v>127.6135439</v>
      </c>
      <c r="P1598">
        <v>131.35364390000001</v>
      </c>
      <c r="Q1598">
        <v>134.3241443</v>
      </c>
    </row>
    <row r="1599" spans="1:17" x14ac:dyDescent="0.25">
      <c r="A1599" t="s">
        <v>5</v>
      </c>
      <c r="B1599" t="s">
        <v>6</v>
      </c>
      <c r="C1599" t="s">
        <v>262</v>
      </c>
      <c r="D1599" t="s">
        <v>171</v>
      </c>
      <c r="E1599" t="s">
        <v>166</v>
      </c>
      <c r="F1599">
        <v>22.556239349999998</v>
      </c>
      <c r="G1599">
        <v>29.076521710000002</v>
      </c>
      <c r="H1599">
        <v>38.452533930000001</v>
      </c>
      <c r="I1599">
        <v>48.772274609999997</v>
      </c>
      <c r="J1599">
        <v>68.480860590000006</v>
      </c>
      <c r="K1599">
        <v>89.502077459999995</v>
      </c>
      <c r="L1599">
        <v>114.0817393</v>
      </c>
      <c r="M1599">
        <v>141.0327388</v>
      </c>
      <c r="N1599">
        <v>166.81416340000001</v>
      </c>
      <c r="O1599">
        <v>193.9196762</v>
      </c>
      <c r="P1599">
        <v>220.5163646</v>
      </c>
      <c r="Q1599">
        <v>241.37126749999999</v>
      </c>
    </row>
    <row r="1600" spans="1:17" x14ac:dyDescent="0.25">
      <c r="A1600" t="s">
        <v>5</v>
      </c>
      <c r="B1600" t="s">
        <v>6</v>
      </c>
      <c r="C1600" t="s">
        <v>262</v>
      </c>
      <c r="D1600" t="s">
        <v>172</v>
      </c>
      <c r="E1600" t="s">
        <v>166</v>
      </c>
      <c r="F1600">
        <v>49.080228660000003</v>
      </c>
      <c r="G1600">
        <v>59.10896966</v>
      </c>
      <c r="H1600">
        <v>73.856843190000006</v>
      </c>
      <c r="I1600">
        <v>89.528397940000005</v>
      </c>
      <c r="J1600">
        <v>114.1137241</v>
      </c>
      <c r="K1600">
        <v>139.56168589999999</v>
      </c>
      <c r="L1600">
        <v>167.82608010000001</v>
      </c>
      <c r="M1600">
        <v>197.43575749999999</v>
      </c>
      <c r="N1600">
        <v>224.95600920000001</v>
      </c>
      <c r="O1600">
        <v>253.41986829999999</v>
      </c>
      <c r="P1600">
        <v>280.85234329999997</v>
      </c>
      <c r="Q1600">
        <v>302.16311289999999</v>
      </c>
    </row>
    <row r="1601" spans="1:17" x14ac:dyDescent="0.25">
      <c r="A1601" t="s">
        <v>5</v>
      </c>
      <c r="B1601" t="s">
        <v>6</v>
      </c>
      <c r="C1601" t="s">
        <v>262</v>
      </c>
      <c r="D1601" t="s">
        <v>173</v>
      </c>
      <c r="E1601" t="s">
        <v>166</v>
      </c>
      <c r="F1601">
        <v>4.0369513509999999</v>
      </c>
      <c r="G1601">
        <v>4.647064941</v>
      </c>
      <c r="H1601">
        <v>5.7679870129999999</v>
      </c>
      <c r="I1601">
        <v>6.8478421650000003</v>
      </c>
      <c r="J1601">
        <v>7.9094969559999999</v>
      </c>
      <c r="K1601">
        <v>8.9308132320000002</v>
      </c>
      <c r="L1601">
        <v>9.9985633870000008</v>
      </c>
      <c r="M1601">
        <v>11.13965093</v>
      </c>
      <c r="N1601">
        <v>12.126466349999999</v>
      </c>
      <c r="O1601">
        <v>12.7655802</v>
      </c>
      <c r="P1601">
        <v>13.153064880000001</v>
      </c>
      <c r="Q1601">
        <v>13.36824184</v>
      </c>
    </row>
    <row r="1602" spans="1:17" x14ac:dyDescent="0.25">
      <c r="A1602" t="s">
        <v>5</v>
      </c>
      <c r="B1602" t="s">
        <v>6</v>
      </c>
      <c r="C1602" t="s">
        <v>262</v>
      </c>
      <c r="D1602" t="s">
        <v>174</v>
      </c>
      <c r="E1602" t="s">
        <v>166</v>
      </c>
      <c r="F1602">
        <v>0.20198867000000001</v>
      </c>
      <c r="G1602">
        <v>0.229789669</v>
      </c>
      <c r="H1602">
        <v>0.39592459800000002</v>
      </c>
      <c r="I1602">
        <v>0.45176849899999999</v>
      </c>
      <c r="J1602">
        <v>0.65778013400000002</v>
      </c>
      <c r="K1602">
        <v>0.79121094599999997</v>
      </c>
      <c r="L1602">
        <v>0.91290715099999997</v>
      </c>
      <c r="M1602">
        <v>1.021775313</v>
      </c>
      <c r="N1602">
        <v>1.17041014</v>
      </c>
      <c r="O1602">
        <v>1.3634230540000001</v>
      </c>
      <c r="P1602">
        <v>1.5472464880000001</v>
      </c>
      <c r="Q1602">
        <v>1.7025672140000001</v>
      </c>
    </row>
    <row r="1603" spans="1:17" x14ac:dyDescent="0.25">
      <c r="A1603" t="s">
        <v>5</v>
      </c>
      <c r="B1603" t="s">
        <v>6</v>
      </c>
      <c r="C1603" t="s">
        <v>262</v>
      </c>
      <c r="D1603" t="s">
        <v>175</v>
      </c>
      <c r="E1603" t="s">
        <v>166</v>
      </c>
      <c r="F1603">
        <v>0.80235291799999997</v>
      </c>
      <c r="G1603">
        <v>0.82289557499999999</v>
      </c>
      <c r="H1603">
        <v>0.87617749</v>
      </c>
      <c r="I1603">
        <v>0.99534372000000004</v>
      </c>
      <c r="J1603">
        <v>1.0884389839999999</v>
      </c>
      <c r="K1603">
        <v>1.163954884</v>
      </c>
      <c r="L1603">
        <v>1.232898869</v>
      </c>
      <c r="M1603">
        <v>1.2966947200000001</v>
      </c>
      <c r="N1603">
        <v>1.353954235</v>
      </c>
      <c r="O1603">
        <v>1.402346637</v>
      </c>
      <c r="P1603">
        <v>1.4434466370000001</v>
      </c>
      <c r="Q1603">
        <v>1.4760894980000001</v>
      </c>
    </row>
    <row r="1604" spans="1:17" x14ac:dyDescent="0.25">
      <c r="A1604" t="s">
        <v>5</v>
      </c>
      <c r="B1604" t="s">
        <v>6</v>
      </c>
      <c r="C1604" t="s">
        <v>262</v>
      </c>
      <c r="D1604" t="s">
        <v>176</v>
      </c>
      <c r="E1604" t="s">
        <v>166</v>
      </c>
      <c r="F1604">
        <v>4.3265128050000001</v>
      </c>
      <c r="G1604">
        <v>5.8957111590000002</v>
      </c>
      <c r="H1604">
        <v>8.7409599629999999</v>
      </c>
      <c r="I1604">
        <v>12.01916739</v>
      </c>
      <c r="J1604">
        <v>19.279835049999999</v>
      </c>
      <c r="K1604">
        <v>28.3538505</v>
      </c>
      <c r="L1604">
        <v>39.364611539999999</v>
      </c>
      <c r="M1604">
        <v>50.640126610000003</v>
      </c>
      <c r="N1604">
        <v>61.967699699999997</v>
      </c>
      <c r="O1604">
        <v>75.119587339999995</v>
      </c>
      <c r="P1604">
        <v>88.53526943</v>
      </c>
      <c r="Q1604">
        <v>98.655191270000003</v>
      </c>
    </row>
    <row r="1605" spans="1:17" x14ac:dyDescent="0.25">
      <c r="A1605" t="s">
        <v>5</v>
      </c>
      <c r="B1605" t="s">
        <v>6</v>
      </c>
      <c r="C1605" t="s">
        <v>262</v>
      </c>
      <c r="D1605" t="s">
        <v>177</v>
      </c>
      <c r="E1605" t="s">
        <v>166</v>
      </c>
      <c r="F1605">
        <v>5.178359747</v>
      </c>
      <c r="G1605">
        <v>7.0511029020000002</v>
      </c>
      <c r="H1605">
        <v>10.39109618</v>
      </c>
      <c r="I1605">
        <v>14.13332142</v>
      </c>
      <c r="J1605">
        <v>21.76444845</v>
      </c>
      <c r="K1605">
        <v>31.30945655</v>
      </c>
      <c r="L1605">
        <v>42.74960669</v>
      </c>
      <c r="M1605">
        <v>54.486745319999997</v>
      </c>
      <c r="N1605">
        <v>66.268772249999998</v>
      </c>
      <c r="O1605">
        <v>79.827397820000002</v>
      </c>
      <c r="P1605">
        <v>93.568200709999999</v>
      </c>
      <c r="Q1605">
        <v>103.93499730000001</v>
      </c>
    </row>
    <row r="1606" spans="1:17" x14ac:dyDescent="0.25">
      <c r="A1606" t="s">
        <v>5</v>
      </c>
      <c r="B1606" t="s">
        <v>6</v>
      </c>
      <c r="C1606" t="s">
        <v>262</v>
      </c>
      <c r="D1606" t="s">
        <v>178</v>
      </c>
      <c r="E1606" t="s">
        <v>166</v>
      </c>
      <c r="F1606">
        <v>5.9567496999999997E-2</v>
      </c>
      <c r="G1606">
        <v>6.8693295000000001E-2</v>
      </c>
      <c r="H1606">
        <v>8.0509669000000006E-2</v>
      </c>
      <c r="I1606">
        <v>9.4035098999999997E-2</v>
      </c>
      <c r="J1606">
        <v>0.109495095</v>
      </c>
      <c r="K1606">
        <v>0.12634336099999999</v>
      </c>
      <c r="L1606">
        <v>0.144893088</v>
      </c>
      <c r="M1606">
        <v>0.166782283</v>
      </c>
      <c r="N1606">
        <v>0.187846296</v>
      </c>
      <c r="O1606">
        <v>0.202400687</v>
      </c>
      <c r="P1606">
        <v>0.214197057</v>
      </c>
      <c r="Q1606">
        <v>0.22529428200000001</v>
      </c>
    </row>
    <row r="1607" spans="1:17" x14ac:dyDescent="0.25">
      <c r="A1607" t="s">
        <v>5</v>
      </c>
      <c r="B1607" t="s">
        <v>6</v>
      </c>
      <c r="C1607" t="s">
        <v>262</v>
      </c>
      <c r="D1607" t="s">
        <v>179</v>
      </c>
      <c r="E1607" t="s">
        <v>166</v>
      </c>
      <c r="F1607">
        <v>7.20052E-4</v>
      </c>
      <c r="G1607">
        <v>8.4229800000000001E-4</v>
      </c>
      <c r="H1607">
        <v>1.4890719999999999E-3</v>
      </c>
      <c r="I1607">
        <v>1.6364000000000001E-3</v>
      </c>
      <c r="J1607">
        <v>2.5988719999999999E-3</v>
      </c>
      <c r="K1607">
        <v>3.2691030000000002E-3</v>
      </c>
      <c r="L1607">
        <v>3.9020560000000001E-3</v>
      </c>
      <c r="M1607">
        <v>4.4931379999999998E-3</v>
      </c>
      <c r="N1607">
        <v>5.3079759999999998E-3</v>
      </c>
      <c r="O1607">
        <v>6.3928309999999999E-3</v>
      </c>
      <c r="P1607">
        <v>7.4639650000000004E-3</v>
      </c>
      <c r="Q1607">
        <v>8.3949639999999996E-3</v>
      </c>
    </row>
    <row r="1608" spans="1:17" x14ac:dyDescent="0.25">
      <c r="A1608" t="s">
        <v>5</v>
      </c>
      <c r="B1608" t="s">
        <v>6</v>
      </c>
      <c r="C1608" t="s">
        <v>262</v>
      </c>
      <c r="D1608" t="s">
        <v>180</v>
      </c>
      <c r="E1608" t="s">
        <v>166</v>
      </c>
      <c r="F1608">
        <v>0.80235291799999997</v>
      </c>
      <c r="G1608">
        <v>0.82289557499999999</v>
      </c>
      <c r="H1608">
        <v>0.87617749</v>
      </c>
      <c r="I1608">
        <v>0.99534372000000004</v>
      </c>
      <c r="J1608">
        <v>1.0884389839999999</v>
      </c>
      <c r="K1608">
        <v>1.163954884</v>
      </c>
      <c r="L1608">
        <v>1.232898869</v>
      </c>
      <c r="M1608">
        <v>1.2966947200000001</v>
      </c>
      <c r="N1608">
        <v>1.353954235</v>
      </c>
      <c r="O1608">
        <v>1.402346637</v>
      </c>
      <c r="P1608">
        <v>1.4434466370000001</v>
      </c>
      <c r="Q1608">
        <v>1.4760894980000001</v>
      </c>
    </row>
    <row r="1609" spans="1:17" x14ac:dyDescent="0.25">
      <c r="A1609" t="s">
        <v>5</v>
      </c>
      <c r="B1609" t="s">
        <v>6</v>
      </c>
      <c r="C1609" t="s">
        <v>262</v>
      </c>
      <c r="D1609" t="s">
        <v>181</v>
      </c>
      <c r="E1609" t="s">
        <v>166</v>
      </c>
      <c r="F1609">
        <v>6.1972067040000001</v>
      </c>
      <c r="G1609">
        <v>7.8968063309999996</v>
      </c>
      <c r="H1609">
        <v>10.168212990000001</v>
      </c>
      <c r="I1609">
        <v>12.62506928</v>
      </c>
      <c r="J1609">
        <v>17.026576110000001</v>
      </c>
      <c r="K1609">
        <v>21.262970540000001</v>
      </c>
      <c r="L1609">
        <v>25.949105809999999</v>
      </c>
      <c r="M1609">
        <v>31.247710399999999</v>
      </c>
      <c r="N1609">
        <v>36.110916250000002</v>
      </c>
      <c r="O1609">
        <v>40.855808930000002</v>
      </c>
      <c r="P1609">
        <v>45.388876080000003</v>
      </c>
      <c r="Q1609">
        <v>49.081667430000003</v>
      </c>
    </row>
    <row r="1610" spans="1:17" x14ac:dyDescent="0.25">
      <c r="A1610" t="s">
        <v>5</v>
      </c>
      <c r="B1610" t="s">
        <v>6</v>
      </c>
      <c r="C1610" t="s">
        <v>262</v>
      </c>
      <c r="D1610" t="s">
        <v>182</v>
      </c>
      <c r="E1610" t="s">
        <v>166</v>
      </c>
      <c r="F1610">
        <v>8.6702393769999997</v>
      </c>
      <c r="G1610">
        <v>10.877788929999999</v>
      </c>
      <c r="H1610">
        <v>13.65109988</v>
      </c>
      <c r="I1610">
        <v>16.712069540000002</v>
      </c>
      <c r="J1610">
        <v>21.680784920000001</v>
      </c>
      <c r="K1610">
        <v>26.48027038</v>
      </c>
      <c r="L1610">
        <v>31.637517519999999</v>
      </c>
      <c r="M1610">
        <v>37.304057839999999</v>
      </c>
      <c r="N1610">
        <v>42.42376599</v>
      </c>
      <c r="O1610">
        <v>47.38635541</v>
      </c>
      <c r="P1610">
        <v>52.077844499999998</v>
      </c>
      <c r="Q1610">
        <v>55.875068710000001</v>
      </c>
    </row>
    <row r="1611" spans="1:17" x14ac:dyDescent="0.25">
      <c r="A1611" t="s">
        <v>5</v>
      </c>
      <c r="B1611" t="s">
        <v>6</v>
      </c>
      <c r="C1611" t="s">
        <v>262</v>
      </c>
      <c r="D1611" t="s">
        <v>183</v>
      </c>
      <c r="E1611" t="s">
        <v>166</v>
      </c>
      <c r="F1611">
        <v>4.9236901E-2</v>
      </c>
      <c r="G1611">
        <v>5.2149580000000001E-2</v>
      </c>
      <c r="H1611">
        <v>6.1512099000000001E-2</v>
      </c>
      <c r="I1611">
        <v>7.0587386000000002E-2</v>
      </c>
      <c r="J1611">
        <v>7.8552300000000005E-2</v>
      </c>
      <c r="K1611">
        <v>8.5660078000000001E-2</v>
      </c>
      <c r="L1611">
        <v>9.3122883000000004E-2</v>
      </c>
      <c r="M1611">
        <v>0.101061901</v>
      </c>
      <c r="N1611">
        <v>0.10835552399999999</v>
      </c>
      <c r="O1611">
        <v>0.115836408</v>
      </c>
      <c r="P1611">
        <v>0.12381784</v>
      </c>
      <c r="Q1611">
        <v>0.13178859400000001</v>
      </c>
    </row>
    <row r="1612" spans="1:17" x14ac:dyDescent="0.25">
      <c r="A1612" t="s">
        <v>5</v>
      </c>
      <c r="B1612" t="s">
        <v>6</v>
      </c>
      <c r="C1612" t="s">
        <v>262</v>
      </c>
      <c r="D1612" t="s">
        <v>184</v>
      </c>
      <c r="E1612" t="s">
        <v>166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</row>
    <row r="1613" spans="1:17" x14ac:dyDescent="0.25">
      <c r="A1613" t="s">
        <v>5</v>
      </c>
      <c r="B1613" t="s">
        <v>6</v>
      </c>
      <c r="C1613" t="s">
        <v>262</v>
      </c>
      <c r="D1613" t="s">
        <v>185</v>
      </c>
      <c r="E1613" t="s">
        <v>166</v>
      </c>
      <c r="F1613">
        <v>4.8141175000000001E-2</v>
      </c>
      <c r="G1613">
        <v>4.9373735000000002E-2</v>
      </c>
      <c r="H1613">
        <v>5.2570648999999997E-2</v>
      </c>
      <c r="I1613">
        <v>5.9720623E-2</v>
      </c>
      <c r="J1613">
        <v>6.5306339000000005E-2</v>
      </c>
      <c r="K1613">
        <v>6.9837292999999995E-2</v>
      </c>
      <c r="L1613">
        <v>7.3973932000000006E-2</v>
      </c>
      <c r="M1613">
        <v>7.7801682999999996E-2</v>
      </c>
      <c r="N1613">
        <v>8.1237253999999995E-2</v>
      </c>
      <c r="O1613">
        <v>8.4140798000000003E-2</v>
      </c>
      <c r="P1613">
        <v>8.6606797999999999E-2</v>
      </c>
      <c r="Q1613">
        <v>8.8565370000000004E-2</v>
      </c>
    </row>
    <row r="1614" spans="1:17" x14ac:dyDescent="0.25">
      <c r="A1614" t="s">
        <v>5</v>
      </c>
      <c r="B1614" t="s">
        <v>6</v>
      </c>
      <c r="C1614" t="s">
        <v>262</v>
      </c>
      <c r="D1614" t="s">
        <v>186</v>
      </c>
      <c r="E1614" t="s">
        <v>166</v>
      </c>
      <c r="F1614">
        <v>29.037869480000001</v>
      </c>
      <c r="G1614">
        <v>37.052521200000001</v>
      </c>
      <c r="H1614">
        <v>47.722249380000001</v>
      </c>
      <c r="I1614">
        <v>59.198644309999999</v>
      </c>
      <c r="J1614">
        <v>79.747514559999999</v>
      </c>
      <c r="K1614">
        <v>99.306756179999994</v>
      </c>
      <c r="L1614">
        <v>120.6331864</v>
      </c>
      <c r="M1614">
        <v>144.83916719999999</v>
      </c>
      <c r="N1614">
        <v>167.38085649999999</v>
      </c>
      <c r="O1614">
        <v>189.80379769999999</v>
      </c>
      <c r="P1614">
        <v>211.4140787</v>
      </c>
      <c r="Q1614">
        <v>228.93384449999999</v>
      </c>
    </row>
    <row r="1615" spans="1:17" x14ac:dyDescent="0.25">
      <c r="A1615" t="s">
        <v>5</v>
      </c>
      <c r="B1615" t="s">
        <v>6</v>
      </c>
      <c r="C1615" t="s">
        <v>262</v>
      </c>
      <c r="D1615" t="s">
        <v>187</v>
      </c>
      <c r="E1615" t="s">
        <v>166</v>
      </c>
      <c r="F1615">
        <v>50.317645339999999</v>
      </c>
      <c r="G1615">
        <v>64.408799779999995</v>
      </c>
      <c r="H1615">
        <v>84.906855379999996</v>
      </c>
      <c r="I1615">
        <v>105.5272551</v>
      </c>
      <c r="J1615">
        <v>132.90225290000001</v>
      </c>
      <c r="K1615">
        <v>160.5255631</v>
      </c>
      <c r="L1615">
        <v>188.58349329999999</v>
      </c>
      <c r="M1615">
        <v>219.2094415</v>
      </c>
      <c r="N1615">
        <v>247.4063146</v>
      </c>
      <c r="O1615">
        <v>274.87293340000002</v>
      </c>
      <c r="P1615">
        <v>300.56134600000001</v>
      </c>
      <c r="Q1615">
        <v>321.27491789999999</v>
      </c>
    </row>
    <row r="1616" spans="1:17" x14ac:dyDescent="0.25">
      <c r="A1616" t="s">
        <v>5</v>
      </c>
      <c r="B1616" t="s">
        <v>6</v>
      </c>
      <c r="C1616" t="s">
        <v>262</v>
      </c>
      <c r="D1616" t="s">
        <v>188</v>
      </c>
      <c r="E1616" t="s">
        <v>166</v>
      </c>
      <c r="F1616">
        <v>0.20248263899999999</v>
      </c>
      <c r="G1616">
        <v>0.22233443</v>
      </c>
      <c r="H1616">
        <v>0.27645027799999999</v>
      </c>
      <c r="I1616">
        <v>0.32511959600000001</v>
      </c>
      <c r="J1616">
        <v>0.36711139399999998</v>
      </c>
      <c r="K1616">
        <v>0.40290195099999998</v>
      </c>
      <c r="L1616">
        <v>0.43882442900000002</v>
      </c>
      <c r="M1616">
        <v>0.47366425600000001</v>
      </c>
      <c r="N1616">
        <v>0.50120942800000001</v>
      </c>
      <c r="O1616">
        <v>0.52393758499999998</v>
      </c>
      <c r="P1616">
        <v>0.540752911</v>
      </c>
      <c r="Q1616">
        <v>0.55070081400000004</v>
      </c>
    </row>
    <row r="1617" spans="1:17" x14ac:dyDescent="0.25">
      <c r="A1617" t="s">
        <v>5</v>
      </c>
      <c r="B1617" t="s">
        <v>6</v>
      </c>
      <c r="C1617" t="s">
        <v>262</v>
      </c>
      <c r="D1617" t="s">
        <v>189</v>
      </c>
      <c r="E1617" t="s">
        <v>166</v>
      </c>
      <c r="F1617">
        <v>1.5594714000000001E-2</v>
      </c>
      <c r="G1617">
        <v>1.7741113999999999E-2</v>
      </c>
      <c r="H1617">
        <v>3.0567707999999999E-2</v>
      </c>
      <c r="I1617">
        <v>3.4879186E-2</v>
      </c>
      <c r="J1617">
        <v>5.0784495999999998E-2</v>
      </c>
      <c r="K1617">
        <v>6.1086138999999998E-2</v>
      </c>
      <c r="L1617">
        <v>7.0481801999999996E-2</v>
      </c>
      <c r="M1617">
        <v>7.8887065000000006E-2</v>
      </c>
      <c r="N1617">
        <v>9.0362548000000001E-2</v>
      </c>
      <c r="O1617">
        <v>0.10526428</v>
      </c>
      <c r="P1617">
        <v>0.11945653000000001</v>
      </c>
      <c r="Q1617">
        <v>0.13144820400000001</v>
      </c>
    </row>
    <row r="1618" spans="1:17" x14ac:dyDescent="0.25">
      <c r="A1618" t="s">
        <v>5</v>
      </c>
      <c r="B1618" t="s">
        <v>6</v>
      </c>
      <c r="C1618" t="s">
        <v>262</v>
      </c>
      <c r="D1618" t="s">
        <v>190</v>
      </c>
      <c r="E1618" t="s">
        <v>166</v>
      </c>
      <c r="F1618">
        <v>1.6047058359999999</v>
      </c>
      <c r="G1618">
        <v>1.6457911510000001</v>
      </c>
      <c r="H1618">
        <v>1.7523549810000001</v>
      </c>
      <c r="I1618">
        <v>1.9906874400000001</v>
      </c>
      <c r="J1618">
        <v>2.1768779669999998</v>
      </c>
      <c r="K1618">
        <v>2.3279097690000001</v>
      </c>
      <c r="L1618">
        <v>2.465797738</v>
      </c>
      <c r="M1618">
        <v>2.5933894390000001</v>
      </c>
      <c r="N1618">
        <v>2.7079084710000001</v>
      </c>
      <c r="O1618">
        <v>2.8046932729999998</v>
      </c>
      <c r="P1618">
        <v>2.8868932730000001</v>
      </c>
      <c r="Q1618">
        <v>2.9521789960000002</v>
      </c>
    </row>
    <row r="1619" spans="1:17" x14ac:dyDescent="0.25">
      <c r="A1619" t="s">
        <v>5</v>
      </c>
      <c r="B1619" t="s">
        <v>6</v>
      </c>
      <c r="C1619" t="s">
        <v>262</v>
      </c>
      <c r="D1619" t="s">
        <v>191</v>
      </c>
      <c r="E1619" t="s">
        <v>166</v>
      </c>
      <c r="F1619">
        <v>2689.941323</v>
      </c>
      <c r="G1619">
        <v>2968.7250170000002</v>
      </c>
      <c r="H1619">
        <v>3277.6954219999998</v>
      </c>
      <c r="I1619">
        <v>3579.74604</v>
      </c>
      <c r="J1619">
        <v>3861.6180119999999</v>
      </c>
      <c r="K1619">
        <v>4226.4485709999999</v>
      </c>
      <c r="L1619">
        <v>4615.0005149999997</v>
      </c>
      <c r="M1619">
        <v>5005.4211180000002</v>
      </c>
      <c r="N1619">
        <v>5389.3692419999998</v>
      </c>
      <c r="O1619">
        <v>5758.7102850000001</v>
      </c>
      <c r="P1619">
        <v>6083.4414029999998</v>
      </c>
      <c r="Q1619">
        <v>6344.0445950000003</v>
      </c>
    </row>
    <row r="1620" spans="1:17" x14ac:dyDescent="0.25">
      <c r="A1620" t="s">
        <v>5</v>
      </c>
      <c r="B1620" t="s">
        <v>6</v>
      </c>
      <c r="C1620" t="s">
        <v>262</v>
      </c>
      <c r="D1620" t="s">
        <v>192</v>
      </c>
      <c r="E1620" t="s">
        <v>166</v>
      </c>
      <c r="F1620">
        <v>699.56201729999998</v>
      </c>
      <c r="G1620">
        <v>862.38464710000005</v>
      </c>
      <c r="H1620">
        <v>1085.623738</v>
      </c>
      <c r="I1620">
        <v>1382.2846199999999</v>
      </c>
      <c r="J1620">
        <v>1787.424248</v>
      </c>
      <c r="K1620">
        <v>2240.3412790000002</v>
      </c>
      <c r="L1620">
        <v>2695.2253759999999</v>
      </c>
      <c r="M1620">
        <v>3139.8279950000001</v>
      </c>
      <c r="N1620">
        <v>3579.9266040000002</v>
      </c>
      <c r="O1620">
        <v>4002.6542920000002</v>
      </c>
      <c r="P1620">
        <v>4427.1461470000004</v>
      </c>
      <c r="Q1620">
        <v>4803.4810680000001</v>
      </c>
    </row>
    <row r="1621" spans="1:17" x14ac:dyDescent="0.25">
      <c r="A1621" t="s">
        <v>5</v>
      </c>
      <c r="B1621" t="s">
        <v>6</v>
      </c>
      <c r="C1621" t="s">
        <v>262</v>
      </c>
      <c r="D1621" t="s">
        <v>193</v>
      </c>
      <c r="E1621" t="s">
        <v>166</v>
      </c>
      <c r="F1621">
        <v>152.51370919999999</v>
      </c>
      <c r="G1621">
        <v>163.9419034</v>
      </c>
      <c r="H1621">
        <v>176.12648479999999</v>
      </c>
      <c r="I1621">
        <v>186.82590200000001</v>
      </c>
      <c r="J1621">
        <v>196.17337169999999</v>
      </c>
      <c r="K1621">
        <v>209.7175421</v>
      </c>
      <c r="L1621">
        <v>223.8438859</v>
      </c>
      <c r="M1621">
        <v>237.5852505</v>
      </c>
      <c r="N1621">
        <v>250.7184283</v>
      </c>
      <c r="O1621">
        <v>262.9703968</v>
      </c>
      <c r="P1621">
        <v>273.24943999999999</v>
      </c>
      <c r="Q1621">
        <v>281.1880314</v>
      </c>
    </row>
    <row r="1622" spans="1:17" x14ac:dyDescent="0.25">
      <c r="A1622" t="s">
        <v>5</v>
      </c>
      <c r="B1622" t="s">
        <v>6</v>
      </c>
      <c r="C1622" t="s">
        <v>262</v>
      </c>
      <c r="D1622" t="s">
        <v>194</v>
      </c>
      <c r="E1622" t="s">
        <v>166</v>
      </c>
      <c r="F1622">
        <v>43.116472100000003</v>
      </c>
      <c r="G1622">
        <v>53.04719695</v>
      </c>
      <c r="H1622">
        <v>66.507129789999993</v>
      </c>
      <c r="I1622">
        <v>83.971982609999998</v>
      </c>
      <c r="J1622">
        <v>107.03766589999999</v>
      </c>
      <c r="K1622">
        <v>132.05490979999999</v>
      </c>
      <c r="L1622">
        <v>156.67995980000001</v>
      </c>
      <c r="M1622">
        <v>180.45070229999999</v>
      </c>
      <c r="N1622">
        <v>203.7721808</v>
      </c>
      <c r="O1622">
        <v>226.0396709</v>
      </c>
      <c r="P1622">
        <v>248.1828481</v>
      </c>
      <c r="Q1622">
        <v>267.55198280000002</v>
      </c>
    </row>
    <row r="1623" spans="1:17" x14ac:dyDescent="0.25">
      <c r="A1623" t="s">
        <v>5</v>
      </c>
      <c r="B1623" t="s">
        <v>6</v>
      </c>
      <c r="C1623" t="s">
        <v>262</v>
      </c>
      <c r="D1623" t="s">
        <v>195</v>
      </c>
      <c r="E1623" t="s">
        <v>166</v>
      </c>
      <c r="F1623">
        <v>63.26705905</v>
      </c>
      <c r="G1623">
        <v>67.361198610000002</v>
      </c>
      <c r="H1623">
        <v>71.625400119999995</v>
      </c>
      <c r="I1623">
        <v>75.110031489999997</v>
      </c>
      <c r="J1623">
        <v>78.003057190000007</v>
      </c>
      <c r="K1623">
        <v>82.557720290000006</v>
      </c>
      <c r="L1623">
        <v>87.238468100000006</v>
      </c>
      <c r="M1623">
        <v>91.684637910000006</v>
      </c>
      <c r="N1623">
        <v>95.840694159999998</v>
      </c>
      <c r="O1623">
        <v>99.620925319999998</v>
      </c>
      <c r="P1623">
        <v>102.66213759999999</v>
      </c>
      <c r="Q1623">
        <v>104.9240482</v>
      </c>
    </row>
    <row r="1624" spans="1:17" x14ac:dyDescent="0.25">
      <c r="A1624" t="s">
        <v>5</v>
      </c>
      <c r="B1624" t="s">
        <v>6</v>
      </c>
      <c r="C1624" t="s">
        <v>262</v>
      </c>
      <c r="D1624" t="s">
        <v>196</v>
      </c>
      <c r="E1624" t="s">
        <v>166</v>
      </c>
      <c r="F1624">
        <v>27.076003360000001</v>
      </c>
      <c r="G1624">
        <v>33.370854970000003</v>
      </c>
      <c r="H1624">
        <v>41.98305371</v>
      </c>
      <c r="I1624">
        <v>53.371413560000001</v>
      </c>
      <c r="J1624">
        <v>68.807245750000007</v>
      </c>
      <c r="K1624">
        <v>85.943007679999994</v>
      </c>
      <c r="L1624">
        <v>103.0724264</v>
      </c>
      <c r="M1624">
        <v>119.7669593</v>
      </c>
      <c r="N1624">
        <v>136.26148209999999</v>
      </c>
      <c r="O1624">
        <v>152.08827439999999</v>
      </c>
      <c r="P1624">
        <v>167.9516706</v>
      </c>
      <c r="Q1624">
        <v>181.9772523</v>
      </c>
    </row>
    <row r="1625" spans="1:17" x14ac:dyDescent="0.25">
      <c r="A1625" t="s">
        <v>5</v>
      </c>
      <c r="B1625" t="s">
        <v>6</v>
      </c>
      <c r="C1625" t="s">
        <v>262</v>
      </c>
      <c r="D1625" t="s">
        <v>197</v>
      </c>
      <c r="E1625" t="s">
        <v>166</v>
      </c>
      <c r="F1625">
        <v>51597.721160000001</v>
      </c>
      <c r="G1625">
        <v>56361.672019999998</v>
      </c>
      <c r="H1625">
        <v>61592.53312</v>
      </c>
      <c r="I1625">
        <v>66552.06005</v>
      </c>
      <c r="J1625">
        <v>71107.279630000005</v>
      </c>
      <c r="K1625">
        <v>77188.543170000004</v>
      </c>
      <c r="L1625">
        <v>83618.611560000005</v>
      </c>
      <c r="M1625">
        <v>90027.24222</v>
      </c>
      <c r="N1625">
        <v>96290.065029999998</v>
      </c>
      <c r="O1625">
        <v>102275.9244</v>
      </c>
      <c r="P1625">
        <v>107505.101</v>
      </c>
      <c r="Q1625">
        <v>111682.6575</v>
      </c>
    </row>
    <row r="1626" spans="1:17" x14ac:dyDescent="0.25">
      <c r="A1626" t="s">
        <v>5</v>
      </c>
      <c r="B1626" t="s">
        <v>6</v>
      </c>
      <c r="C1626" t="s">
        <v>262</v>
      </c>
      <c r="D1626" t="s">
        <v>198</v>
      </c>
      <c r="E1626" t="s">
        <v>166</v>
      </c>
      <c r="F1626">
        <v>7283.4408569999996</v>
      </c>
      <c r="G1626">
        <v>8969.7852899999998</v>
      </c>
      <c r="H1626">
        <v>11271.031940000001</v>
      </c>
      <c r="I1626">
        <v>14303.54492</v>
      </c>
      <c r="J1626">
        <v>18408.459159999999</v>
      </c>
      <c r="K1626">
        <v>22968.479640000001</v>
      </c>
      <c r="L1626">
        <v>27533.429919999999</v>
      </c>
      <c r="M1626">
        <v>31989.11001</v>
      </c>
      <c r="N1626">
        <v>36395.479010000003</v>
      </c>
      <c r="O1626">
        <v>40623.313649999996</v>
      </c>
      <c r="P1626">
        <v>44859.55618</v>
      </c>
      <c r="Q1626">
        <v>48605.026469999997</v>
      </c>
    </row>
    <row r="1627" spans="1:17" x14ac:dyDescent="0.25">
      <c r="A1627" t="s">
        <v>5</v>
      </c>
      <c r="B1627" t="s">
        <v>6</v>
      </c>
      <c r="C1627" t="s">
        <v>262</v>
      </c>
      <c r="D1627" t="s">
        <v>199</v>
      </c>
      <c r="E1627" t="s">
        <v>166</v>
      </c>
      <c r="F1627">
        <v>167.89148710000001</v>
      </c>
      <c r="G1627">
        <v>183.59235430000001</v>
      </c>
      <c r="H1627">
        <v>200.7205798</v>
      </c>
      <c r="I1627">
        <v>216.94052020000001</v>
      </c>
      <c r="J1627">
        <v>231.7860627</v>
      </c>
      <c r="K1627">
        <v>251.54214759999999</v>
      </c>
      <c r="L1627">
        <v>272.45752379999999</v>
      </c>
      <c r="M1627">
        <v>293.23918250000003</v>
      </c>
      <c r="N1627">
        <v>313.45856629999997</v>
      </c>
      <c r="O1627">
        <v>332.67810960000003</v>
      </c>
      <c r="P1627">
        <v>349.21109619999999</v>
      </c>
      <c r="Q1627">
        <v>362.22981929999997</v>
      </c>
    </row>
    <row r="1628" spans="1:17" x14ac:dyDescent="0.25">
      <c r="A1628" t="s">
        <v>5</v>
      </c>
      <c r="B1628" t="s">
        <v>6</v>
      </c>
      <c r="C1628" t="s">
        <v>262</v>
      </c>
      <c r="D1628" t="s">
        <v>200</v>
      </c>
      <c r="E1628" t="s">
        <v>166</v>
      </c>
      <c r="F1628">
        <v>68.077351379999996</v>
      </c>
      <c r="G1628">
        <v>83.634231459999995</v>
      </c>
      <c r="H1628">
        <v>104.5906154</v>
      </c>
      <c r="I1628">
        <v>131.4841198</v>
      </c>
      <c r="J1628">
        <v>166.560879</v>
      </c>
      <c r="K1628">
        <v>204.22940750000001</v>
      </c>
      <c r="L1628">
        <v>241.08986780000001</v>
      </c>
      <c r="M1628">
        <v>276.55358239999998</v>
      </c>
      <c r="N1628">
        <v>311.2503868</v>
      </c>
      <c r="O1628">
        <v>344.28910020000001</v>
      </c>
      <c r="P1628">
        <v>376.9985337</v>
      </c>
      <c r="Q1628">
        <v>405.45349709999999</v>
      </c>
    </row>
    <row r="1629" spans="1:17" x14ac:dyDescent="0.25">
      <c r="A1629" t="s">
        <v>5</v>
      </c>
      <c r="B1629" t="s">
        <v>6</v>
      </c>
      <c r="C1629" t="s">
        <v>262</v>
      </c>
      <c r="D1629" t="s">
        <v>201</v>
      </c>
      <c r="E1629" t="s">
        <v>166</v>
      </c>
      <c r="F1629">
        <v>2713.519581</v>
      </c>
      <c r="G1629">
        <v>2943.11895</v>
      </c>
      <c r="H1629">
        <v>3192.7561300000002</v>
      </c>
      <c r="I1629">
        <v>3422.990362</v>
      </c>
      <c r="J1629">
        <v>3630.8621199999998</v>
      </c>
      <c r="K1629">
        <v>3916.8961380000001</v>
      </c>
      <c r="L1629">
        <v>4217.8982420000002</v>
      </c>
      <c r="M1629">
        <v>4515.5292470000004</v>
      </c>
      <c r="N1629">
        <v>4804.4031519999999</v>
      </c>
      <c r="O1629">
        <v>5078.5445820000004</v>
      </c>
      <c r="P1629">
        <v>5315.5080369999996</v>
      </c>
      <c r="Q1629">
        <v>5503.2782319999997</v>
      </c>
    </row>
    <row r="1630" spans="1:17" x14ac:dyDescent="0.25">
      <c r="A1630" t="s">
        <v>5</v>
      </c>
      <c r="B1630" t="s">
        <v>6</v>
      </c>
      <c r="C1630" t="s">
        <v>262</v>
      </c>
      <c r="D1630" t="s">
        <v>202</v>
      </c>
      <c r="E1630" t="s">
        <v>166</v>
      </c>
      <c r="F1630">
        <v>138.01256789999999</v>
      </c>
      <c r="G1630">
        <v>170.0051871</v>
      </c>
      <c r="H1630">
        <v>213.6021561</v>
      </c>
      <c r="I1630">
        <v>270.92724670000001</v>
      </c>
      <c r="J1630">
        <v>348.68552099999999</v>
      </c>
      <c r="K1630">
        <v>435.50713359999997</v>
      </c>
      <c r="L1630">
        <v>522.93111220000003</v>
      </c>
      <c r="M1630">
        <v>608.78659200000004</v>
      </c>
      <c r="N1630">
        <v>694.16258719999996</v>
      </c>
      <c r="O1630">
        <v>776.35140030000002</v>
      </c>
      <c r="P1630">
        <v>858.92813330000001</v>
      </c>
      <c r="Q1630">
        <v>932.18029720000004</v>
      </c>
    </row>
    <row r="1631" spans="1:17" x14ac:dyDescent="0.25">
      <c r="A1631" t="s">
        <v>5</v>
      </c>
      <c r="B1631" t="s">
        <v>6</v>
      </c>
      <c r="C1631" t="s">
        <v>262</v>
      </c>
      <c r="D1631" t="s">
        <v>203</v>
      </c>
      <c r="E1631" t="s">
        <v>166</v>
      </c>
      <c r="F1631">
        <v>84.385130020000005</v>
      </c>
      <c r="G1631">
        <v>127.0619854</v>
      </c>
      <c r="H1631">
        <v>195.0567135</v>
      </c>
      <c r="I1631">
        <v>300.51553259999997</v>
      </c>
      <c r="J1631">
        <v>390.86529999999999</v>
      </c>
      <c r="K1631">
        <v>483.28986200000003</v>
      </c>
      <c r="L1631">
        <v>554.29447730000004</v>
      </c>
      <c r="M1631">
        <v>618.50707520000003</v>
      </c>
      <c r="N1631">
        <v>675.82727850000003</v>
      </c>
      <c r="O1631">
        <v>748.13952040000004</v>
      </c>
      <c r="P1631">
        <v>837.13018150000005</v>
      </c>
      <c r="Q1631">
        <v>905.7974845</v>
      </c>
    </row>
    <row r="1632" spans="1:17" x14ac:dyDescent="0.25">
      <c r="A1632" t="s">
        <v>5</v>
      </c>
      <c r="B1632" t="s">
        <v>6</v>
      </c>
      <c r="C1632" t="s">
        <v>262</v>
      </c>
      <c r="D1632" t="s">
        <v>204</v>
      </c>
      <c r="E1632" t="s">
        <v>166</v>
      </c>
      <c r="F1632">
        <v>772.15928489999999</v>
      </c>
      <c r="G1632">
        <v>1130.903947</v>
      </c>
      <c r="H1632">
        <v>1679.020714</v>
      </c>
      <c r="I1632">
        <v>2061.0610919999999</v>
      </c>
      <c r="J1632">
        <v>2359.0559050000002</v>
      </c>
      <c r="K1632">
        <v>2865.1732609999999</v>
      </c>
      <c r="L1632">
        <v>3296.125775</v>
      </c>
      <c r="M1632">
        <v>3552.4594240000001</v>
      </c>
      <c r="N1632">
        <v>3770.1019179999998</v>
      </c>
      <c r="O1632">
        <v>3973.4697679999999</v>
      </c>
      <c r="P1632">
        <v>4144.6218680000002</v>
      </c>
      <c r="Q1632">
        <v>4251.4977719999997</v>
      </c>
    </row>
    <row r="1633" spans="1:17" x14ac:dyDescent="0.25">
      <c r="A1633" t="s">
        <v>5</v>
      </c>
      <c r="B1633" t="s">
        <v>6</v>
      </c>
      <c r="C1633" t="s">
        <v>262</v>
      </c>
      <c r="D1633" t="s">
        <v>205</v>
      </c>
      <c r="E1633" t="s">
        <v>166</v>
      </c>
      <c r="F1633">
        <v>0.56211494500000003</v>
      </c>
      <c r="G1633">
        <v>0.90213486200000004</v>
      </c>
      <c r="H1633">
        <v>2.3051250539999999</v>
      </c>
      <c r="I1633">
        <v>5.7625040509999996</v>
      </c>
      <c r="J1633">
        <v>9.3979382699999992</v>
      </c>
      <c r="K1633">
        <v>13.30310295</v>
      </c>
      <c r="L1633">
        <v>16.396245889999999</v>
      </c>
      <c r="M1633">
        <v>19.75359074</v>
      </c>
      <c r="N1633">
        <v>22.97002238</v>
      </c>
      <c r="O1633">
        <v>26.783071329999999</v>
      </c>
      <c r="P1633">
        <v>31.671598700000001</v>
      </c>
      <c r="Q1633">
        <v>35.676517869999998</v>
      </c>
    </row>
    <row r="1634" spans="1:17" x14ac:dyDescent="0.25">
      <c r="A1634" t="s">
        <v>5</v>
      </c>
      <c r="B1634" t="s">
        <v>6</v>
      </c>
      <c r="C1634" t="s">
        <v>262</v>
      </c>
      <c r="D1634" t="s">
        <v>206</v>
      </c>
      <c r="E1634" t="s">
        <v>166</v>
      </c>
      <c r="F1634">
        <v>1.438261308</v>
      </c>
      <c r="G1634">
        <v>2.2181876790000001</v>
      </c>
      <c r="H1634">
        <v>3.9034334820000001</v>
      </c>
      <c r="I1634">
        <v>6.9237692099999997</v>
      </c>
      <c r="J1634">
        <v>9.8093137969999997</v>
      </c>
      <c r="K1634">
        <v>12.963850369999999</v>
      </c>
      <c r="L1634">
        <v>15.433368939999999</v>
      </c>
      <c r="M1634">
        <v>17.883121500000001</v>
      </c>
      <c r="N1634">
        <v>20.423016220000001</v>
      </c>
      <c r="O1634">
        <v>23.412428160000001</v>
      </c>
      <c r="P1634">
        <v>26.937027919999998</v>
      </c>
      <c r="Q1634">
        <v>29.765839929999999</v>
      </c>
    </row>
    <row r="1635" spans="1:17" x14ac:dyDescent="0.25">
      <c r="A1635" t="s">
        <v>5</v>
      </c>
      <c r="B1635" t="s">
        <v>6</v>
      </c>
      <c r="C1635" t="s">
        <v>262</v>
      </c>
      <c r="D1635" t="s">
        <v>207</v>
      </c>
      <c r="E1635" t="s">
        <v>166</v>
      </c>
      <c r="F1635">
        <v>1.4350800000000001E-4</v>
      </c>
      <c r="G1635">
        <v>8.5480699999999996E-4</v>
      </c>
      <c r="H1635">
        <v>5.0024781999999997E-2</v>
      </c>
      <c r="I1635">
        <v>0.125492202</v>
      </c>
      <c r="J1635">
        <v>0.14499332000000001</v>
      </c>
      <c r="K1635">
        <v>0.172845727</v>
      </c>
      <c r="L1635">
        <v>0.17050981700000001</v>
      </c>
      <c r="M1635">
        <v>0.128935511</v>
      </c>
      <c r="N1635">
        <v>7.3583624E-2</v>
      </c>
      <c r="O1635">
        <v>3.7114165999999997E-2</v>
      </c>
      <c r="P1635">
        <v>1.7433279999999999E-2</v>
      </c>
      <c r="Q1635">
        <v>4.7870960000000002E-3</v>
      </c>
    </row>
    <row r="1636" spans="1:17" x14ac:dyDescent="0.25">
      <c r="A1636" t="s">
        <v>5</v>
      </c>
      <c r="B1636" t="s">
        <v>6</v>
      </c>
      <c r="C1636" t="s">
        <v>262</v>
      </c>
      <c r="D1636" t="s">
        <v>208</v>
      </c>
      <c r="E1636" t="s">
        <v>166</v>
      </c>
      <c r="F1636">
        <v>32.643039119999997</v>
      </c>
      <c r="G1636">
        <v>46.980966940000002</v>
      </c>
      <c r="H1636">
        <v>68.794568749999996</v>
      </c>
      <c r="I1636">
        <v>99.179721360000002</v>
      </c>
      <c r="J1636">
        <v>129.17666779999999</v>
      </c>
      <c r="K1636">
        <v>154.32987919999999</v>
      </c>
      <c r="L1636">
        <v>181.30456240000001</v>
      </c>
      <c r="M1636">
        <v>206.9946118</v>
      </c>
      <c r="N1636">
        <v>232.41238559999999</v>
      </c>
      <c r="O1636">
        <v>260.40172589999997</v>
      </c>
      <c r="P1636">
        <v>293.04741569999999</v>
      </c>
      <c r="Q1636">
        <v>323.24886850000001</v>
      </c>
    </row>
    <row r="1637" spans="1:17" x14ac:dyDescent="0.25">
      <c r="A1637" t="s">
        <v>5</v>
      </c>
      <c r="B1637" t="s">
        <v>6</v>
      </c>
      <c r="C1637" t="s">
        <v>262</v>
      </c>
      <c r="D1637" t="s">
        <v>209</v>
      </c>
      <c r="E1637" t="s">
        <v>166</v>
      </c>
      <c r="F1637">
        <v>98.318521579999995</v>
      </c>
      <c r="G1637">
        <v>141.6780986</v>
      </c>
      <c r="H1637">
        <v>208.05313889999999</v>
      </c>
      <c r="I1637">
        <v>300.80425680000002</v>
      </c>
      <c r="J1637">
        <v>393.02306549999997</v>
      </c>
      <c r="K1637">
        <v>470.93261460000002</v>
      </c>
      <c r="L1637">
        <v>554.58960500000001</v>
      </c>
      <c r="M1637">
        <v>634.69484580000005</v>
      </c>
      <c r="N1637">
        <v>714.40164849999996</v>
      </c>
      <c r="O1637">
        <v>802.24394940000002</v>
      </c>
      <c r="P1637">
        <v>904.89473199999998</v>
      </c>
      <c r="Q1637">
        <v>1000.128285</v>
      </c>
    </row>
    <row r="1638" spans="1:17" x14ac:dyDescent="0.25">
      <c r="A1638" t="s">
        <v>5</v>
      </c>
      <c r="B1638" t="s">
        <v>6</v>
      </c>
      <c r="C1638" t="s">
        <v>262</v>
      </c>
      <c r="D1638" t="s">
        <v>210</v>
      </c>
      <c r="E1638" t="s">
        <v>166</v>
      </c>
      <c r="F1638">
        <v>17.541742729999999</v>
      </c>
      <c r="G1638">
        <v>25.198107870000001</v>
      </c>
      <c r="H1638">
        <v>36.496437700000001</v>
      </c>
      <c r="I1638">
        <v>52.377786839999999</v>
      </c>
      <c r="J1638">
        <v>68.054138379999998</v>
      </c>
      <c r="K1638">
        <v>81.816546500000001</v>
      </c>
      <c r="L1638">
        <v>96.547409310000006</v>
      </c>
      <c r="M1638">
        <v>110.4341469</v>
      </c>
      <c r="N1638">
        <v>124.03760440000001</v>
      </c>
      <c r="O1638">
        <v>139.11412899999999</v>
      </c>
      <c r="P1638">
        <v>155.82982659999999</v>
      </c>
      <c r="Q1638">
        <v>170.86490330000001</v>
      </c>
    </row>
    <row r="1639" spans="1:17" x14ac:dyDescent="0.25">
      <c r="A1639" t="s">
        <v>5</v>
      </c>
      <c r="B1639" t="s">
        <v>6</v>
      </c>
      <c r="C1639" t="s">
        <v>262</v>
      </c>
      <c r="D1639" t="s">
        <v>211</v>
      </c>
      <c r="E1639" t="s">
        <v>166</v>
      </c>
      <c r="F1639">
        <v>9.9155251260000004</v>
      </c>
      <c r="G1639">
        <v>14.256091530000001</v>
      </c>
      <c r="H1639">
        <v>20.603263999999999</v>
      </c>
      <c r="I1639">
        <v>29.55975432</v>
      </c>
      <c r="J1639">
        <v>38.566207120000001</v>
      </c>
      <c r="K1639">
        <v>46.854299480000002</v>
      </c>
      <c r="L1639">
        <v>55.738236309999998</v>
      </c>
      <c r="M1639">
        <v>64.15776932</v>
      </c>
      <c r="N1639">
        <v>72.446635630000003</v>
      </c>
      <c r="O1639">
        <v>81.639629850000006</v>
      </c>
      <c r="P1639">
        <v>91.686272869999996</v>
      </c>
      <c r="Q1639">
        <v>100.8486951</v>
      </c>
    </row>
    <row r="1640" spans="1:17" x14ac:dyDescent="0.25">
      <c r="A1640" t="s">
        <v>5</v>
      </c>
      <c r="B1640" t="s">
        <v>6</v>
      </c>
      <c r="C1640" t="s">
        <v>262</v>
      </c>
      <c r="D1640" t="s">
        <v>212</v>
      </c>
      <c r="E1640" t="s">
        <v>166</v>
      </c>
      <c r="F1640">
        <v>0.452487627</v>
      </c>
      <c r="G1640">
        <v>0.65030695299999997</v>
      </c>
      <c r="H1640">
        <v>0.96127241299999999</v>
      </c>
      <c r="I1640">
        <v>1.401821682</v>
      </c>
      <c r="J1640">
        <v>1.842477548</v>
      </c>
      <c r="K1640">
        <v>2.211343034</v>
      </c>
      <c r="L1640">
        <v>2.6163176909999999</v>
      </c>
      <c r="M1640">
        <v>3.0105885090000002</v>
      </c>
      <c r="N1640">
        <v>3.4092503650000001</v>
      </c>
      <c r="O1640">
        <v>3.8516231350000001</v>
      </c>
      <c r="P1640">
        <v>4.378014641</v>
      </c>
      <c r="Q1640">
        <v>4.8689763419999998</v>
      </c>
    </row>
    <row r="1641" spans="1:17" x14ac:dyDescent="0.25">
      <c r="A1641" t="s">
        <v>5</v>
      </c>
      <c r="B1641" t="s">
        <v>6</v>
      </c>
      <c r="C1641" t="s">
        <v>262</v>
      </c>
      <c r="D1641" t="s">
        <v>213</v>
      </c>
      <c r="E1641" t="s">
        <v>166</v>
      </c>
      <c r="F1641">
        <v>0.266398305</v>
      </c>
      <c r="G1641">
        <v>0.434383662</v>
      </c>
      <c r="H1641">
        <v>1.0307898959999999</v>
      </c>
      <c r="I1641">
        <v>2.4362245919999999</v>
      </c>
      <c r="J1641">
        <v>3.9659139090000002</v>
      </c>
      <c r="K1641">
        <v>5.2782239889999998</v>
      </c>
      <c r="L1641">
        <v>6.196899567</v>
      </c>
      <c r="M1641">
        <v>7.2664954850000001</v>
      </c>
      <c r="N1641">
        <v>8.0940234590000006</v>
      </c>
      <c r="O1641">
        <v>8.9851331410000004</v>
      </c>
      <c r="P1641">
        <v>10.219560319999999</v>
      </c>
      <c r="Q1641">
        <v>11.181311409999999</v>
      </c>
    </row>
    <row r="1642" spans="1:17" x14ac:dyDescent="0.25">
      <c r="A1642" t="s">
        <v>5</v>
      </c>
      <c r="B1642" t="s">
        <v>6</v>
      </c>
      <c r="C1642" t="s">
        <v>262</v>
      </c>
      <c r="D1642" t="s">
        <v>214</v>
      </c>
      <c r="E1642" t="s">
        <v>166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</row>
    <row r="1643" spans="1:17" x14ac:dyDescent="0.25">
      <c r="A1643" t="s">
        <v>5</v>
      </c>
      <c r="B1643" t="s">
        <v>6</v>
      </c>
      <c r="C1643" t="s">
        <v>262</v>
      </c>
      <c r="D1643" t="s">
        <v>215</v>
      </c>
      <c r="E1643" t="s">
        <v>166</v>
      </c>
      <c r="F1643">
        <v>6.6482549999999996E-3</v>
      </c>
      <c r="G1643">
        <v>1.5889192E-2</v>
      </c>
      <c r="H1643">
        <v>3.0152332E-2</v>
      </c>
      <c r="I1643">
        <v>8.0348316000000003E-2</v>
      </c>
      <c r="J1643">
        <v>0.13736396000000001</v>
      </c>
      <c r="K1643">
        <v>0.13444194300000001</v>
      </c>
      <c r="L1643">
        <v>0.12588738699999999</v>
      </c>
      <c r="M1643">
        <v>0.107192633</v>
      </c>
      <c r="N1643">
        <v>8.6297240999999997E-2</v>
      </c>
      <c r="O1643">
        <v>6.8390652999999996E-2</v>
      </c>
      <c r="P1643">
        <v>6.3094907000000006E-2</v>
      </c>
      <c r="Q1643">
        <v>6.2757597999999998E-2</v>
      </c>
    </row>
    <row r="1644" spans="1:17" x14ac:dyDescent="0.25">
      <c r="A1644" t="s">
        <v>5</v>
      </c>
      <c r="B1644" t="s">
        <v>6</v>
      </c>
      <c r="C1644" t="s">
        <v>262</v>
      </c>
      <c r="D1644" t="s">
        <v>216</v>
      </c>
      <c r="E1644" t="s">
        <v>166</v>
      </c>
      <c r="F1644">
        <v>6.0527740000000003E-3</v>
      </c>
      <c r="G1644">
        <v>9.8137780000000004E-3</v>
      </c>
      <c r="H1644">
        <v>2.3367664999999999E-2</v>
      </c>
      <c r="I1644">
        <v>5.5332290999999999E-2</v>
      </c>
      <c r="J1644">
        <v>8.9902467E-2</v>
      </c>
      <c r="K1644">
        <v>0.119129127</v>
      </c>
      <c r="L1644">
        <v>0.13963703299999999</v>
      </c>
      <c r="M1644">
        <v>0.163882413</v>
      </c>
      <c r="N1644">
        <v>0.183000779</v>
      </c>
      <c r="O1644">
        <v>0.20327014400000001</v>
      </c>
      <c r="P1644">
        <v>0.23132792399999999</v>
      </c>
      <c r="Q1644">
        <v>0.25331404600000001</v>
      </c>
    </row>
    <row r="1645" spans="1:17" x14ac:dyDescent="0.25">
      <c r="A1645" t="s">
        <v>5</v>
      </c>
      <c r="B1645" t="s">
        <v>6</v>
      </c>
      <c r="C1645" t="s">
        <v>262</v>
      </c>
      <c r="D1645" t="s">
        <v>217</v>
      </c>
      <c r="E1645" t="s">
        <v>166</v>
      </c>
      <c r="F1645">
        <v>1.73499E-4</v>
      </c>
      <c r="G1645">
        <v>1.77479E-4</v>
      </c>
      <c r="H1645">
        <v>1.71936E-4</v>
      </c>
      <c r="I1645">
        <v>5.3472700000000003E-4</v>
      </c>
      <c r="J1645">
        <v>1.0750969999999999E-3</v>
      </c>
      <c r="K1645">
        <v>7.9241000000000001E-4</v>
      </c>
      <c r="L1645">
        <v>6.3570300000000005E-4</v>
      </c>
      <c r="M1645">
        <v>5.9899699999999998E-4</v>
      </c>
      <c r="N1645">
        <v>6.9097799999999997E-4</v>
      </c>
      <c r="O1645">
        <v>6.4911999999999999E-4</v>
      </c>
      <c r="P1645">
        <v>4.5098000000000002E-4</v>
      </c>
      <c r="Q1645">
        <v>2.66178E-4</v>
      </c>
    </row>
    <row r="1646" spans="1:17" x14ac:dyDescent="0.25">
      <c r="A1646" t="s">
        <v>5</v>
      </c>
      <c r="B1646" t="s">
        <v>6</v>
      </c>
      <c r="C1646" t="s">
        <v>262</v>
      </c>
      <c r="D1646" t="s">
        <v>218</v>
      </c>
      <c r="E1646" t="s">
        <v>219</v>
      </c>
      <c r="F1646">
        <v>3500.9793300000001</v>
      </c>
      <c r="G1646">
        <v>4550.9662799999996</v>
      </c>
      <c r="H1646">
        <v>6029.9681200000005</v>
      </c>
      <c r="I1646">
        <v>7577.5170799999996</v>
      </c>
      <c r="J1646">
        <v>10362.81042</v>
      </c>
      <c r="K1646">
        <v>12835.186900000001</v>
      </c>
      <c r="L1646">
        <v>15485.615320000001</v>
      </c>
      <c r="M1646">
        <v>18422.045880000001</v>
      </c>
      <c r="N1646">
        <v>20982.332620000001</v>
      </c>
      <c r="O1646">
        <v>23334.155279999999</v>
      </c>
      <c r="P1646">
        <v>25474.220440000001</v>
      </c>
      <c r="Q1646">
        <v>27163.491300000002</v>
      </c>
    </row>
    <row r="1647" spans="1:17" x14ac:dyDescent="0.25">
      <c r="A1647" t="s">
        <v>5</v>
      </c>
      <c r="B1647" t="s">
        <v>6</v>
      </c>
      <c r="C1647" t="s">
        <v>262</v>
      </c>
      <c r="D1647" t="s">
        <v>220</v>
      </c>
      <c r="E1647" t="s">
        <v>219</v>
      </c>
      <c r="F1647">
        <v>8304.3912419999997</v>
      </c>
      <c r="G1647">
        <v>9401.3965680000001</v>
      </c>
      <c r="H1647">
        <v>9564.8363599999993</v>
      </c>
      <c r="I1647">
        <v>10378.58066</v>
      </c>
      <c r="J1647">
        <v>11672.405339999999</v>
      </c>
      <c r="K1647">
        <v>12942.026739999999</v>
      </c>
      <c r="L1647">
        <v>14194.125120000001</v>
      </c>
      <c r="M1647">
        <v>14964.06558</v>
      </c>
      <c r="N1647">
        <v>15220.29514</v>
      </c>
      <c r="O1647">
        <v>15293.184579999999</v>
      </c>
      <c r="P1647">
        <v>15212.042799999999</v>
      </c>
      <c r="Q1647">
        <v>15024.27922</v>
      </c>
    </row>
    <row r="1648" spans="1:17" x14ac:dyDescent="0.25">
      <c r="A1648" t="s">
        <v>5</v>
      </c>
      <c r="B1648" t="s">
        <v>6</v>
      </c>
      <c r="C1648" t="s">
        <v>262</v>
      </c>
      <c r="D1648" t="s">
        <v>221</v>
      </c>
      <c r="E1648" t="s">
        <v>219</v>
      </c>
      <c r="F1648">
        <v>1933.534167</v>
      </c>
      <c r="G1648">
        <v>1782.7419190000001</v>
      </c>
      <c r="H1648">
        <v>2272.5738470000001</v>
      </c>
      <c r="I1648">
        <v>2477.6579919999999</v>
      </c>
      <c r="J1648">
        <v>2583.1042219999999</v>
      </c>
      <c r="K1648">
        <v>2579.3801539999999</v>
      </c>
      <c r="L1648">
        <v>2543.9816850000002</v>
      </c>
      <c r="M1648">
        <v>2439.6407960000001</v>
      </c>
      <c r="N1648">
        <v>2326.5231669999998</v>
      </c>
      <c r="O1648">
        <v>2202.9128759999999</v>
      </c>
      <c r="P1648">
        <v>2076.6440339999999</v>
      </c>
      <c r="Q1648">
        <v>1974.091911</v>
      </c>
    </row>
    <row r="1649" spans="1:17" x14ac:dyDescent="0.25">
      <c r="A1649" t="s">
        <v>5</v>
      </c>
      <c r="B1649" t="s">
        <v>6</v>
      </c>
      <c r="C1649" t="s">
        <v>262</v>
      </c>
      <c r="D1649" t="s">
        <v>222</v>
      </c>
      <c r="E1649" t="s">
        <v>223</v>
      </c>
      <c r="F1649">
        <v>3581.6884719999998</v>
      </c>
      <c r="G1649">
        <v>5092.1452040000004</v>
      </c>
      <c r="H1649">
        <v>7730.2980740000003</v>
      </c>
      <c r="I1649">
        <v>10088.076510000001</v>
      </c>
      <c r="J1649">
        <v>11710.846960000001</v>
      </c>
      <c r="K1649">
        <v>13706.4863</v>
      </c>
      <c r="L1649">
        <v>15411.762559999999</v>
      </c>
      <c r="M1649">
        <v>17149.43204</v>
      </c>
      <c r="N1649">
        <v>18738.75216</v>
      </c>
      <c r="O1649">
        <v>20152.506720000001</v>
      </c>
      <c r="P1649">
        <v>21310.737099999998</v>
      </c>
      <c r="Q1649">
        <v>22244.598979999999</v>
      </c>
    </row>
    <row r="1650" spans="1:17" x14ac:dyDescent="0.25">
      <c r="A1650" t="s">
        <v>5</v>
      </c>
      <c r="B1650" t="s">
        <v>6</v>
      </c>
      <c r="C1650" t="s">
        <v>262</v>
      </c>
      <c r="D1650" t="s">
        <v>224</v>
      </c>
      <c r="E1650" t="s">
        <v>219</v>
      </c>
      <c r="F1650">
        <v>1765.754846</v>
      </c>
      <c r="G1650">
        <v>1990.9093439999999</v>
      </c>
      <c r="H1650">
        <v>2566.0151839999999</v>
      </c>
      <c r="I1650">
        <v>3065.4352180000001</v>
      </c>
      <c r="J1650">
        <v>3492.67092</v>
      </c>
      <c r="K1650">
        <v>3848.1407960000001</v>
      </c>
      <c r="L1650">
        <v>4195.9837299999999</v>
      </c>
      <c r="M1650">
        <v>4514.2873440000003</v>
      </c>
      <c r="N1650">
        <v>4738.3087759999999</v>
      </c>
      <c r="O1650">
        <v>4883.3984099999998</v>
      </c>
      <c r="P1650">
        <v>4924.2432099999996</v>
      </c>
      <c r="Q1650">
        <v>4860.1042639999996</v>
      </c>
    </row>
    <row r="1651" spans="1:17" x14ac:dyDescent="0.25">
      <c r="A1651" t="s">
        <v>5</v>
      </c>
      <c r="B1651" t="s">
        <v>6</v>
      </c>
      <c r="C1651" t="s">
        <v>262</v>
      </c>
      <c r="D1651" t="s">
        <v>225</v>
      </c>
      <c r="E1651" t="s">
        <v>223</v>
      </c>
      <c r="F1651">
        <v>1638.88417</v>
      </c>
      <c r="G1651">
        <v>2033.7537540000001</v>
      </c>
      <c r="H1651">
        <v>2431.738382</v>
      </c>
      <c r="I1651">
        <v>2900.6134259999999</v>
      </c>
      <c r="J1651">
        <v>3479.7007100000001</v>
      </c>
      <c r="K1651">
        <v>4134.6433820000002</v>
      </c>
      <c r="L1651">
        <v>4856.4546259999997</v>
      </c>
      <c r="M1651">
        <v>5713.0885840000001</v>
      </c>
      <c r="N1651">
        <v>6527.3788979999999</v>
      </c>
      <c r="O1651">
        <v>7005.3493740000004</v>
      </c>
      <c r="P1651">
        <v>7307.9935859999996</v>
      </c>
      <c r="Q1651">
        <v>7550.110694</v>
      </c>
    </row>
    <row r="1652" spans="1:17" x14ac:dyDescent="0.25">
      <c r="A1652" t="s">
        <v>5</v>
      </c>
      <c r="B1652" t="s">
        <v>6</v>
      </c>
      <c r="C1652" t="s">
        <v>262</v>
      </c>
      <c r="D1652" t="s">
        <v>226</v>
      </c>
      <c r="E1652" t="s">
        <v>219</v>
      </c>
      <c r="F1652">
        <v>930.41949999999997</v>
      </c>
      <c r="G1652">
        <v>1088.381312</v>
      </c>
      <c r="H1652">
        <v>1924.114298</v>
      </c>
      <c r="I1652">
        <v>2114.485964</v>
      </c>
      <c r="J1652">
        <v>3358.1501760000001</v>
      </c>
      <c r="K1652">
        <v>4224.1935999999996</v>
      </c>
      <c r="L1652">
        <v>5042.0679639999998</v>
      </c>
      <c r="M1652">
        <v>5805.8384640000004</v>
      </c>
      <c r="N1652">
        <v>6858.7378360000002</v>
      </c>
      <c r="O1652">
        <v>8260.5397699999994</v>
      </c>
      <c r="P1652">
        <v>9644.6129440000004</v>
      </c>
      <c r="Q1652">
        <v>10847.61068</v>
      </c>
    </row>
    <row r="1653" spans="1:17" x14ac:dyDescent="0.25">
      <c r="A1653" t="s">
        <v>5</v>
      </c>
      <c r="B1653" t="s">
        <v>6</v>
      </c>
      <c r="C1653" t="s">
        <v>262</v>
      </c>
      <c r="D1653" t="s">
        <v>227</v>
      </c>
      <c r="E1653" t="s">
        <v>223</v>
      </c>
      <c r="F1653">
        <v>94.062094500000001</v>
      </c>
      <c r="G1653">
        <v>103.64071439999999</v>
      </c>
      <c r="H1653">
        <v>173.07012159999999</v>
      </c>
      <c r="I1653">
        <v>206.60586119999999</v>
      </c>
      <c r="J1653">
        <v>269.34908510000002</v>
      </c>
      <c r="K1653">
        <v>303.1686588</v>
      </c>
      <c r="L1653">
        <v>330.86097089999998</v>
      </c>
      <c r="M1653">
        <v>352.01797970000001</v>
      </c>
      <c r="N1653">
        <v>379.76065030000001</v>
      </c>
      <c r="O1653">
        <v>411.89672849999999</v>
      </c>
      <c r="P1653">
        <v>436.98278310000001</v>
      </c>
      <c r="Q1653">
        <v>454.40259209999999</v>
      </c>
    </row>
    <row r="1654" spans="1:17" x14ac:dyDescent="0.25">
      <c r="A1654" t="s">
        <v>5</v>
      </c>
      <c r="B1654" t="s">
        <v>6</v>
      </c>
      <c r="C1654" t="s">
        <v>262</v>
      </c>
      <c r="D1654" t="s">
        <v>228</v>
      </c>
      <c r="E1654" t="s">
        <v>223</v>
      </c>
      <c r="F1654">
        <v>17400.054479999999</v>
      </c>
      <c r="G1654">
        <v>18803.088609999999</v>
      </c>
      <c r="H1654">
        <v>21462.699629999999</v>
      </c>
      <c r="I1654">
        <v>26178.894219999998</v>
      </c>
      <c r="J1654">
        <v>30081.100869999998</v>
      </c>
      <c r="K1654">
        <v>33636.4427</v>
      </c>
      <c r="L1654">
        <v>37207.898500000003</v>
      </c>
      <c r="M1654">
        <v>40802.152620000001</v>
      </c>
      <c r="N1654">
        <v>44270.337639999998</v>
      </c>
      <c r="O1654">
        <v>47506.287279999997</v>
      </c>
      <c r="P1654">
        <v>50519.13265</v>
      </c>
      <c r="Q1654">
        <v>53073.745369999997</v>
      </c>
    </row>
    <row r="1655" spans="1:17" x14ac:dyDescent="0.25">
      <c r="A1655" t="s">
        <v>5</v>
      </c>
      <c r="B1655" t="s">
        <v>6</v>
      </c>
      <c r="C1655" t="s">
        <v>262</v>
      </c>
      <c r="D1655" t="s">
        <v>229</v>
      </c>
      <c r="E1655" t="s">
        <v>230</v>
      </c>
      <c r="F1655">
        <v>2417.631907</v>
      </c>
      <c r="G1655">
        <v>2508.5025439999999</v>
      </c>
      <c r="H1655">
        <v>2583.7113850000001</v>
      </c>
      <c r="I1655">
        <v>2635.011833</v>
      </c>
      <c r="J1655">
        <v>2672.2355090000001</v>
      </c>
      <c r="K1655">
        <v>2695.50992</v>
      </c>
      <c r="L1655">
        <v>2704.3403039999998</v>
      </c>
      <c r="M1655">
        <v>2699.0614599999999</v>
      </c>
      <c r="N1655">
        <v>2681.2533020000001</v>
      </c>
      <c r="O1655">
        <v>2650.6395240000002</v>
      </c>
      <c r="P1655">
        <v>2608.1250110000001</v>
      </c>
      <c r="Q1655">
        <v>2561.6287440000001</v>
      </c>
    </row>
    <row r="1656" spans="1:17" x14ac:dyDescent="0.25">
      <c r="A1656" t="s">
        <v>5</v>
      </c>
      <c r="B1656" t="s">
        <v>6</v>
      </c>
      <c r="C1656" t="s">
        <v>262</v>
      </c>
      <c r="D1656" t="s">
        <v>231</v>
      </c>
      <c r="E1656" t="s">
        <v>230</v>
      </c>
      <c r="F1656">
        <v>853.98264410000002</v>
      </c>
      <c r="G1656">
        <v>922.16717779999999</v>
      </c>
      <c r="H1656">
        <v>993.88076760000001</v>
      </c>
      <c r="I1656">
        <v>1064.250358</v>
      </c>
      <c r="J1656">
        <v>1128.022009</v>
      </c>
      <c r="K1656">
        <v>1184.2087349999999</v>
      </c>
      <c r="L1656">
        <v>1234.073639</v>
      </c>
      <c r="M1656">
        <v>1277.0389909999999</v>
      </c>
      <c r="N1656">
        <v>1312.4797169999999</v>
      </c>
      <c r="O1656">
        <v>1339.671423</v>
      </c>
      <c r="P1656">
        <v>1358.742068</v>
      </c>
      <c r="Q1656">
        <v>1369.052574</v>
      </c>
    </row>
    <row r="1657" spans="1:17" x14ac:dyDescent="0.25">
      <c r="A1657" t="s">
        <v>5</v>
      </c>
      <c r="B1657" t="s">
        <v>6</v>
      </c>
      <c r="C1657" t="s">
        <v>262</v>
      </c>
      <c r="D1657" t="s">
        <v>232</v>
      </c>
      <c r="E1657" t="s">
        <v>230</v>
      </c>
      <c r="F1657">
        <v>390.84204849999998</v>
      </c>
      <c r="G1657">
        <v>429.91447870000002</v>
      </c>
      <c r="H1657">
        <v>472.69508130000003</v>
      </c>
      <c r="I1657">
        <v>516.41562910000005</v>
      </c>
      <c r="J1657">
        <v>556.67227439999999</v>
      </c>
      <c r="K1657">
        <v>592.81386459999999</v>
      </c>
      <c r="L1657">
        <v>625.76082729999996</v>
      </c>
      <c r="M1657">
        <v>655.07827220000001</v>
      </c>
      <c r="N1657">
        <v>680.20481619999998</v>
      </c>
      <c r="O1657">
        <v>700.67457149999996</v>
      </c>
      <c r="P1657">
        <v>716.52091089999999</v>
      </c>
      <c r="Q1657">
        <v>726.75843740000005</v>
      </c>
    </row>
    <row r="1658" spans="1:17" x14ac:dyDescent="0.25">
      <c r="A1658" t="s">
        <v>5</v>
      </c>
      <c r="B1658" t="s">
        <v>6</v>
      </c>
      <c r="C1658" t="s">
        <v>262</v>
      </c>
      <c r="D1658" t="s">
        <v>233</v>
      </c>
      <c r="E1658" t="s">
        <v>27</v>
      </c>
      <c r="F1658">
        <v>114.5555188</v>
      </c>
      <c r="G1658">
        <v>132.41504259999999</v>
      </c>
      <c r="H1658">
        <v>182.24011419999999</v>
      </c>
      <c r="I1658">
        <v>190.50436869999999</v>
      </c>
      <c r="J1658">
        <v>242.65216119999999</v>
      </c>
      <c r="K1658">
        <v>244.96748410000001</v>
      </c>
      <c r="L1658">
        <v>247.4185105</v>
      </c>
      <c r="M1658">
        <v>243.5187784</v>
      </c>
      <c r="N1658">
        <v>234.4858639</v>
      </c>
      <c r="O1658">
        <v>226.21752710000001</v>
      </c>
      <c r="P1658">
        <v>220.1499944</v>
      </c>
      <c r="Q1658">
        <v>215.47706740000001</v>
      </c>
    </row>
    <row r="1659" spans="1:17" x14ac:dyDescent="0.25">
      <c r="A1659" t="s">
        <v>5</v>
      </c>
      <c r="B1659" t="s">
        <v>6</v>
      </c>
      <c r="C1659" t="s">
        <v>262</v>
      </c>
      <c r="D1659" t="s">
        <v>234</v>
      </c>
      <c r="E1659" t="s">
        <v>27</v>
      </c>
      <c r="F1659">
        <v>2159.9305829999998</v>
      </c>
      <c r="G1659">
        <v>2610.1172799999999</v>
      </c>
      <c r="H1659">
        <v>3013.263512</v>
      </c>
      <c r="I1659">
        <v>2911.168588</v>
      </c>
      <c r="J1659">
        <v>3500.6697629999999</v>
      </c>
      <c r="K1659">
        <v>3644.408895</v>
      </c>
      <c r="L1659">
        <v>3672.9740270000002</v>
      </c>
      <c r="M1659">
        <v>3592.5256829999998</v>
      </c>
      <c r="N1659">
        <v>3510.2650269999999</v>
      </c>
      <c r="O1659">
        <v>3378.5768859999998</v>
      </c>
      <c r="P1659">
        <v>3298.5762110000001</v>
      </c>
      <c r="Q1659">
        <v>3336.2660219999998</v>
      </c>
    </row>
    <row r="1660" spans="1:17" x14ac:dyDescent="0.25">
      <c r="A1660" t="s">
        <v>5</v>
      </c>
      <c r="B1660" t="s">
        <v>6</v>
      </c>
      <c r="C1660" t="s">
        <v>262</v>
      </c>
      <c r="D1660" t="s">
        <v>235</v>
      </c>
      <c r="E1660" t="s">
        <v>27</v>
      </c>
      <c r="F1660">
        <v>7.7645609750000002</v>
      </c>
      <c r="G1660">
        <v>9.3173393969999996</v>
      </c>
      <c r="H1660">
        <v>13.58235292</v>
      </c>
      <c r="I1660">
        <v>14.45238456</v>
      </c>
      <c r="J1660">
        <v>18.79764978</v>
      </c>
      <c r="K1660">
        <v>18.671456559999999</v>
      </c>
      <c r="L1660">
        <v>19.450901720000001</v>
      </c>
      <c r="M1660">
        <v>19.197864419999998</v>
      </c>
      <c r="N1660">
        <v>19.316061210000001</v>
      </c>
      <c r="O1660">
        <v>19.979972530000001</v>
      </c>
      <c r="P1660">
        <v>20.03963044</v>
      </c>
      <c r="Q1660">
        <v>19.369019160000001</v>
      </c>
    </row>
    <row r="1661" spans="1:17" x14ac:dyDescent="0.25">
      <c r="A1661" t="s">
        <v>5</v>
      </c>
      <c r="B1661" t="s">
        <v>6</v>
      </c>
      <c r="C1661" t="s">
        <v>262</v>
      </c>
      <c r="D1661" t="s">
        <v>236</v>
      </c>
      <c r="E1661" t="s">
        <v>27</v>
      </c>
      <c r="F1661">
        <v>3.2951200749999998</v>
      </c>
      <c r="G1661">
        <v>4.5281016669999996</v>
      </c>
      <c r="H1661">
        <v>6.3602826720000003</v>
      </c>
      <c r="I1661">
        <v>7.1942371740000004</v>
      </c>
      <c r="J1661">
        <v>9.3961443619999994</v>
      </c>
      <c r="K1661">
        <v>10.131095070000001</v>
      </c>
      <c r="L1661">
        <v>10.465928509999999</v>
      </c>
      <c r="M1661">
        <v>10.52863382</v>
      </c>
      <c r="N1661">
        <v>11.05920439</v>
      </c>
      <c r="O1661">
        <v>11.86032569</v>
      </c>
      <c r="P1661">
        <v>12.24457716</v>
      </c>
      <c r="Q1661">
        <v>12.063810070000001</v>
      </c>
    </row>
    <row r="1662" spans="1:17" x14ac:dyDescent="0.25">
      <c r="A1662" t="s">
        <v>5</v>
      </c>
      <c r="B1662" t="s">
        <v>6</v>
      </c>
      <c r="C1662" t="s">
        <v>262</v>
      </c>
      <c r="D1662" t="s">
        <v>237</v>
      </c>
      <c r="E1662" t="s">
        <v>27</v>
      </c>
      <c r="F1662">
        <v>8.9513364989999999</v>
      </c>
      <c r="G1662">
        <v>10.832286010000001</v>
      </c>
      <c r="H1662">
        <v>13.41576369</v>
      </c>
      <c r="I1662">
        <v>13.92979053</v>
      </c>
      <c r="J1662">
        <v>16.886269460000001</v>
      </c>
      <c r="K1662">
        <v>16.338479979999999</v>
      </c>
      <c r="L1662">
        <v>15.86127952</v>
      </c>
      <c r="M1662">
        <v>14.846458500000001</v>
      </c>
      <c r="N1662">
        <v>13.72366362</v>
      </c>
      <c r="O1662">
        <v>12.55234606</v>
      </c>
      <c r="P1662">
        <v>11.89587875</v>
      </c>
      <c r="Q1662">
        <v>11.63178402</v>
      </c>
    </row>
    <row r="1663" spans="1:17" x14ac:dyDescent="0.25">
      <c r="A1663" t="s">
        <v>5</v>
      </c>
      <c r="B1663" t="s">
        <v>6</v>
      </c>
      <c r="C1663" t="s">
        <v>262</v>
      </c>
      <c r="D1663" t="s">
        <v>238</v>
      </c>
      <c r="E1663" t="s">
        <v>27</v>
      </c>
      <c r="F1663">
        <v>80.822520960000006</v>
      </c>
      <c r="G1663">
        <v>96.503375539999993</v>
      </c>
      <c r="H1663">
        <v>106.34531269999999</v>
      </c>
      <c r="I1663">
        <v>93.57099977</v>
      </c>
      <c r="J1663">
        <v>115.8907983</v>
      </c>
      <c r="K1663">
        <v>117.96664850000001</v>
      </c>
      <c r="L1663">
        <v>117.40361489999999</v>
      </c>
      <c r="M1663">
        <v>112.8725221</v>
      </c>
      <c r="N1663">
        <v>107.57889249999999</v>
      </c>
      <c r="O1663">
        <v>100.15107500000001</v>
      </c>
      <c r="P1663">
        <v>93.031806029999998</v>
      </c>
      <c r="Q1663">
        <v>92.569227490000003</v>
      </c>
    </row>
    <row r="1664" spans="1:17" x14ac:dyDescent="0.25">
      <c r="A1664" t="s">
        <v>5</v>
      </c>
      <c r="B1664" t="s">
        <v>6</v>
      </c>
      <c r="C1664" t="s">
        <v>262</v>
      </c>
      <c r="D1664" t="s">
        <v>239</v>
      </c>
      <c r="E1664" t="s">
        <v>27</v>
      </c>
      <c r="F1664">
        <v>61.312442359999999</v>
      </c>
      <c r="G1664">
        <v>76.061764460000006</v>
      </c>
      <c r="H1664">
        <v>84.388793460000002</v>
      </c>
      <c r="I1664">
        <v>102.97916050000001</v>
      </c>
      <c r="J1664">
        <v>111.9419726</v>
      </c>
      <c r="K1664">
        <v>131.3490042</v>
      </c>
      <c r="L1664">
        <v>154.5618083</v>
      </c>
      <c r="M1664">
        <v>179.7738315</v>
      </c>
      <c r="N1664">
        <v>207.16524190000001</v>
      </c>
      <c r="O1664">
        <v>232.65520559999999</v>
      </c>
      <c r="P1664">
        <v>255.77412609999999</v>
      </c>
      <c r="Q1664">
        <v>274.6971168</v>
      </c>
    </row>
    <row r="1665" spans="1:17" x14ac:dyDescent="0.25">
      <c r="A1665" t="s">
        <v>5</v>
      </c>
      <c r="B1665" t="s">
        <v>6</v>
      </c>
      <c r="C1665" t="s">
        <v>262</v>
      </c>
      <c r="D1665" t="s">
        <v>240</v>
      </c>
      <c r="E1665" t="s">
        <v>27</v>
      </c>
      <c r="F1665">
        <v>62.369877260000003</v>
      </c>
      <c r="G1665">
        <v>69.703509530000005</v>
      </c>
      <c r="H1665">
        <v>74.074756030000003</v>
      </c>
      <c r="I1665">
        <v>92.421650110000002</v>
      </c>
      <c r="J1665">
        <v>165.6710454</v>
      </c>
      <c r="K1665">
        <v>260.98306780000001</v>
      </c>
      <c r="L1665">
        <v>367.27942389999998</v>
      </c>
      <c r="M1665">
        <v>483.97220119999997</v>
      </c>
      <c r="N1665">
        <v>609.07465100000002</v>
      </c>
      <c r="O1665">
        <v>731.12295080000001</v>
      </c>
      <c r="P1665">
        <v>800.1682065</v>
      </c>
      <c r="Q1665">
        <v>851.83791919999999</v>
      </c>
    </row>
    <row r="1666" spans="1:17" x14ac:dyDescent="0.25">
      <c r="A1666" t="s">
        <v>5</v>
      </c>
      <c r="B1666" t="s">
        <v>6</v>
      </c>
      <c r="C1666" t="s">
        <v>262</v>
      </c>
      <c r="D1666" t="s">
        <v>241</v>
      </c>
      <c r="E1666" t="s">
        <v>27</v>
      </c>
      <c r="F1666">
        <v>6.2835390999999996</v>
      </c>
      <c r="G1666">
        <v>7.2649699940000003</v>
      </c>
      <c r="H1666">
        <v>8.2523229279999999</v>
      </c>
      <c r="I1666">
        <v>10.26963889</v>
      </c>
      <c r="J1666">
        <v>11.05812832</v>
      </c>
      <c r="K1666">
        <v>13.20524191</v>
      </c>
      <c r="L1666">
        <v>15.869431090000001</v>
      </c>
      <c r="M1666">
        <v>18.644385329999999</v>
      </c>
      <c r="N1666">
        <v>21.712832519999999</v>
      </c>
      <c r="O1666">
        <v>24.623251339999999</v>
      </c>
      <c r="P1666">
        <v>27.379704060000002</v>
      </c>
      <c r="Q1666">
        <v>29.719961319999999</v>
      </c>
    </row>
    <row r="1667" spans="1:17" x14ac:dyDescent="0.25">
      <c r="A1667" t="s">
        <v>5</v>
      </c>
      <c r="B1667" t="s">
        <v>6</v>
      </c>
      <c r="C1667" t="s">
        <v>262</v>
      </c>
      <c r="D1667" t="s">
        <v>242</v>
      </c>
      <c r="E1667" t="s">
        <v>27</v>
      </c>
      <c r="F1667">
        <v>1.6136338109999999</v>
      </c>
      <c r="G1667">
        <v>1.852265005</v>
      </c>
      <c r="H1667">
        <v>2.0772021889999999</v>
      </c>
      <c r="I1667">
        <v>2.9220774280000001</v>
      </c>
      <c r="J1667">
        <v>2.9011570870000001</v>
      </c>
      <c r="K1667">
        <v>3.6636757100000001</v>
      </c>
      <c r="L1667">
        <v>4.6396359839999999</v>
      </c>
      <c r="M1667">
        <v>5.8195342869999998</v>
      </c>
      <c r="N1667">
        <v>7.1408072520000001</v>
      </c>
      <c r="O1667">
        <v>8.4333805510000008</v>
      </c>
      <c r="P1667">
        <v>9.6020832049999996</v>
      </c>
      <c r="Q1667">
        <v>10.6137067</v>
      </c>
    </row>
    <row r="1668" spans="1:17" x14ac:dyDescent="0.25">
      <c r="A1668" t="s">
        <v>5</v>
      </c>
      <c r="B1668" t="s">
        <v>6</v>
      </c>
      <c r="C1668" t="s">
        <v>262</v>
      </c>
      <c r="D1668" t="s">
        <v>243</v>
      </c>
      <c r="E1668" t="s">
        <v>27</v>
      </c>
      <c r="F1668">
        <v>1.225974071</v>
      </c>
      <c r="G1668">
        <v>1.411322261</v>
      </c>
      <c r="H1668">
        <v>1.5244949169999999</v>
      </c>
      <c r="I1668">
        <v>2.0079717449999999</v>
      </c>
      <c r="J1668">
        <v>2.2934503140000002</v>
      </c>
      <c r="K1668">
        <v>2.8796511370000002</v>
      </c>
      <c r="L1668">
        <v>3.3724904580000001</v>
      </c>
      <c r="M1668">
        <v>3.6974654469999999</v>
      </c>
      <c r="N1668">
        <v>3.7739974549999999</v>
      </c>
      <c r="O1668">
        <v>3.6194796999999999</v>
      </c>
      <c r="P1668">
        <v>3.8621081849999999</v>
      </c>
      <c r="Q1668">
        <v>4.1450251949999997</v>
      </c>
    </row>
    <row r="1669" spans="1:17" x14ac:dyDescent="0.25">
      <c r="A1669" t="s">
        <v>5</v>
      </c>
      <c r="B1669" t="s">
        <v>6</v>
      </c>
      <c r="C1669" t="s">
        <v>262</v>
      </c>
      <c r="D1669" t="s">
        <v>244</v>
      </c>
      <c r="E1669" t="s">
        <v>27</v>
      </c>
      <c r="F1669">
        <v>12.92076831</v>
      </c>
      <c r="G1669">
        <v>14.398020450000001</v>
      </c>
      <c r="H1669">
        <v>15.36412636</v>
      </c>
      <c r="I1669">
        <v>16.6036997</v>
      </c>
      <c r="J1669">
        <v>18.393586590000002</v>
      </c>
      <c r="K1669">
        <v>20.855643059999998</v>
      </c>
      <c r="L1669">
        <v>23.25827181</v>
      </c>
      <c r="M1669">
        <v>25.472108550000002</v>
      </c>
      <c r="N1669">
        <v>27.363107209999999</v>
      </c>
      <c r="O1669">
        <v>28.88642372</v>
      </c>
      <c r="P1669">
        <v>30.70208289</v>
      </c>
      <c r="Q1669">
        <v>32.286395859999999</v>
      </c>
    </row>
    <row r="1670" spans="1:17" x14ac:dyDescent="0.25">
      <c r="A1670" t="s">
        <v>5</v>
      </c>
      <c r="B1670" t="s">
        <v>6</v>
      </c>
      <c r="C1670" t="s">
        <v>262</v>
      </c>
      <c r="D1670" t="s">
        <v>245</v>
      </c>
      <c r="E1670" t="s">
        <v>27</v>
      </c>
      <c r="F1670">
        <v>3.0582123729999999</v>
      </c>
      <c r="G1670">
        <v>3.5802872639999999</v>
      </c>
      <c r="H1670">
        <v>4.1517676579999998</v>
      </c>
      <c r="I1670">
        <v>5.7293353089999997</v>
      </c>
      <c r="J1670">
        <v>8.4660941689999998</v>
      </c>
      <c r="K1670">
        <v>12.895098559999999</v>
      </c>
      <c r="L1670">
        <v>18.36235537</v>
      </c>
      <c r="M1670">
        <v>24.86214468</v>
      </c>
      <c r="N1670">
        <v>32.439827170000001</v>
      </c>
      <c r="O1670">
        <v>40.29486215</v>
      </c>
      <c r="P1670">
        <v>44.864699309999999</v>
      </c>
      <c r="Q1670">
        <v>48.303319799999997</v>
      </c>
    </row>
    <row r="1671" spans="1:17" x14ac:dyDescent="0.25">
      <c r="A1671" t="s">
        <v>5</v>
      </c>
      <c r="B1671" t="s">
        <v>6</v>
      </c>
      <c r="C1671" t="s">
        <v>262</v>
      </c>
      <c r="D1671" t="s">
        <v>246</v>
      </c>
      <c r="E1671" t="s">
        <v>27</v>
      </c>
      <c r="F1671">
        <v>0</v>
      </c>
      <c r="G1671">
        <v>0</v>
      </c>
      <c r="H1671">
        <v>0</v>
      </c>
      <c r="I1671">
        <v>6.2042212650000002</v>
      </c>
      <c r="J1671">
        <v>55.552853689999999</v>
      </c>
      <c r="K1671">
        <v>122.15665559999999</v>
      </c>
      <c r="L1671">
        <v>201.9390271</v>
      </c>
      <c r="M1671">
        <v>296.17576179999998</v>
      </c>
      <c r="N1671">
        <v>405.50751129999998</v>
      </c>
      <c r="O1671">
        <v>518.97344220000002</v>
      </c>
      <c r="P1671">
        <v>572.43555379999998</v>
      </c>
      <c r="Q1671">
        <v>609.27174339999999</v>
      </c>
    </row>
    <row r="1672" spans="1:17" x14ac:dyDescent="0.25">
      <c r="A1672" t="s">
        <v>5</v>
      </c>
      <c r="B1672" t="s">
        <v>6</v>
      </c>
      <c r="C1672" t="s">
        <v>262</v>
      </c>
      <c r="D1672" t="s">
        <v>247</v>
      </c>
      <c r="E1672" t="s">
        <v>27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</row>
    <row r="1673" spans="1:17" x14ac:dyDescent="0.25">
      <c r="A1673" t="s">
        <v>5</v>
      </c>
      <c r="B1673" t="s">
        <v>6</v>
      </c>
      <c r="C1673" t="s">
        <v>262</v>
      </c>
      <c r="D1673" t="s">
        <v>248</v>
      </c>
      <c r="E1673" t="s">
        <v>27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</row>
    <row r="1674" spans="1:17" x14ac:dyDescent="0.25">
      <c r="A1674" t="s">
        <v>5</v>
      </c>
      <c r="B1674" t="s">
        <v>6</v>
      </c>
      <c r="C1674" t="s">
        <v>262</v>
      </c>
      <c r="D1674" t="s">
        <v>249</v>
      </c>
      <c r="E1674" t="s">
        <v>27</v>
      </c>
      <c r="F1674">
        <v>0.18737036600000001</v>
      </c>
      <c r="G1674">
        <v>0.21166259700000001</v>
      </c>
      <c r="H1674">
        <v>0.23855343600000001</v>
      </c>
      <c r="I1674">
        <v>0.38765773599999998</v>
      </c>
      <c r="J1674">
        <v>1.1397219700000001</v>
      </c>
      <c r="K1674">
        <v>2.275232156</v>
      </c>
      <c r="L1674">
        <v>3.7159867229999999</v>
      </c>
      <c r="M1674">
        <v>5.4754518760000002</v>
      </c>
      <c r="N1674">
        <v>7.5726370159999998</v>
      </c>
      <c r="O1674">
        <v>9.7744703069999996</v>
      </c>
      <c r="P1674">
        <v>10.92298315</v>
      </c>
      <c r="Q1674">
        <v>11.758282919999999</v>
      </c>
    </row>
    <row r="1675" spans="1:17" x14ac:dyDescent="0.25">
      <c r="A1675" t="s">
        <v>5</v>
      </c>
      <c r="B1675" t="s">
        <v>6</v>
      </c>
      <c r="C1675" t="s">
        <v>262</v>
      </c>
      <c r="D1675" t="s">
        <v>250</v>
      </c>
      <c r="E1675" t="s">
        <v>27</v>
      </c>
      <c r="F1675">
        <v>5.6953824060000002</v>
      </c>
      <c r="G1675">
        <v>6.089817665</v>
      </c>
      <c r="H1675">
        <v>6.5015002329999998</v>
      </c>
      <c r="I1675">
        <v>7.607210824</v>
      </c>
      <c r="J1675">
        <v>11.934458709999999</v>
      </c>
      <c r="K1675">
        <v>17.600857179999998</v>
      </c>
      <c r="L1675">
        <v>24.089345139999999</v>
      </c>
      <c r="M1675">
        <v>31.475803039999999</v>
      </c>
      <c r="N1675">
        <v>39.780252249999997</v>
      </c>
      <c r="O1675">
        <v>48.192692450000003</v>
      </c>
      <c r="P1675">
        <v>52.146218050000002</v>
      </c>
      <c r="Q1675">
        <v>54.817757229999998</v>
      </c>
    </row>
    <row r="1676" spans="1:17" x14ac:dyDescent="0.25">
      <c r="A1676" t="s">
        <v>5</v>
      </c>
      <c r="B1676" t="s">
        <v>6</v>
      </c>
      <c r="C1676" t="s">
        <v>262</v>
      </c>
      <c r="D1676" t="s">
        <v>251</v>
      </c>
      <c r="E1676" t="s">
        <v>27</v>
      </c>
      <c r="F1676">
        <v>12.094852680000001</v>
      </c>
      <c r="G1676">
        <v>14.7315022</v>
      </c>
      <c r="H1676">
        <v>17.745071200000002</v>
      </c>
      <c r="I1676">
        <v>28.815464129999999</v>
      </c>
      <c r="J1676">
        <v>23.053102890000002</v>
      </c>
      <c r="K1676">
        <v>24.01797848</v>
      </c>
      <c r="L1676">
        <v>24.74069089</v>
      </c>
      <c r="M1676">
        <v>24.871053369999998</v>
      </c>
      <c r="N1676">
        <v>24.155809640000001</v>
      </c>
      <c r="O1676">
        <v>22.376676750000001</v>
      </c>
      <c r="P1676">
        <v>23.91213106</v>
      </c>
      <c r="Q1676">
        <v>25.641832669999999</v>
      </c>
    </row>
    <row r="1677" spans="1:17" x14ac:dyDescent="0.25">
      <c r="A1677" t="s">
        <v>5</v>
      </c>
      <c r="B1677" t="s">
        <v>6</v>
      </c>
      <c r="C1677" t="s">
        <v>262</v>
      </c>
      <c r="D1677" t="s">
        <v>252</v>
      </c>
      <c r="E1677" t="s">
        <v>27</v>
      </c>
      <c r="F1677">
        <v>1051.377931</v>
      </c>
      <c r="G1677">
        <v>1146.03432</v>
      </c>
      <c r="H1677">
        <v>1243.8025259999999</v>
      </c>
      <c r="I1677">
        <v>1391.4022150000001</v>
      </c>
      <c r="J1677">
        <v>1365.881355</v>
      </c>
      <c r="K1677">
        <v>1371.52925</v>
      </c>
      <c r="L1677">
        <v>1372.016183</v>
      </c>
      <c r="M1677">
        <v>1365.0307809999999</v>
      </c>
      <c r="N1677">
        <v>1343.456864</v>
      </c>
      <c r="O1677">
        <v>1323.1284659999999</v>
      </c>
      <c r="P1677">
        <v>1413.858995</v>
      </c>
      <c r="Q1677">
        <v>1507.8571790000001</v>
      </c>
    </row>
    <row r="1678" spans="1:17" x14ac:dyDescent="0.25">
      <c r="A1678" t="s">
        <v>5</v>
      </c>
      <c r="B1678" t="s">
        <v>6</v>
      </c>
      <c r="C1678" t="s">
        <v>262</v>
      </c>
      <c r="D1678" t="s">
        <v>253</v>
      </c>
      <c r="E1678" t="s">
        <v>27</v>
      </c>
      <c r="F1678">
        <v>0.83281466100000001</v>
      </c>
      <c r="G1678">
        <v>0.96074566500000003</v>
      </c>
      <c r="H1678">
        <v>1.118841113</v>
      </c>
      <c r="I1678">
        <v>2.3716681479999999</v>
      </c>
      <c r="J1678">
        <v>1.5065147649999999</v>
      </c>
      <c r="K1678">
        <v>1.768577906</v>
      </c>
      <c r="L1678">
        <v>2.1217770900000001</v>
      </c>
      <c r="M1678">
        <v>2.5279966090000001</v>
      </c>
      <c r="N1678">
        <v>3.004096836</v>
      </c>
      <c r="O1678">
        <v>3.4606915969999998</v>
      </c>
      <c r="P1678">
        <v>3.9401660600000001</v>
      </c>
      <c r="Q1678">
        <v>4.3367123760000004</v>
      </c>
    </row>
    <row r="1679" spans="1:17" x14ac:dyDescent="0.25">
      <c r="A1679" t="s">
        <v>5</v>
      </c>
      <c r="B1679" t="s">
        <v>6</v>
      </c>
      <c r="C1679" t="s">
        <v>262</v>
      </c>
      <c r="D1679" t="s">
        <v>254</v>
      </c>
      <c r="E1679" t="s">
        <v>27</v>
      </c>
      <c r="F1679">
        <v>0.61222697299999995</v>
      </c>
      <c r="G1679">
        <v>0.707005353</v>
      </c>
      <c r="H1679">
        <v>0.81555955700000005</v>
      </c>
      <c r="I1679">
        <v>1.180287858</v>
      </c>
      <c r="J1679">
        <v>1.067931706</v>
      </c>
      <c r="K1679">
        <v>1.2645013389999999</v>
      </c>
      <c r="L1679">
        <v>1.541917961</v>
      </c>
      <c r="M1679">
        <v>1.9024884010000001</v>
      </c>
      <c r="N1679">
        <v>2.3008162140000001</v>
      </c>
      <c r="O1679">
        <v>2.6644371109999998</v>
      </c>
      <c r="P1679">
        <v>3.1066261640000001</v>
      </c>
      <c r="Q1679">
        <v>3.505267495</v>
      </c>
    </row>
    <row r="1680" spans="1:17" x14ac:dyDescent="0.25">
      <c r="A1680" t="s">
        <v>5</v>
      </c>
      <c r="B1680" t="s">
        <v>6</v>
      </c>
      <c r="C1680" t="s">
        <v>262</v>
      </c>
      <c r="D1680" t="s">
        <v>255</v>
      </c>
      <c r="E1680" t="s">
        <v>27</v>
      </c>
      <c r="F1680">
        <v>3.2709147230000002</v>
      </c>
      <c r="G1680">
        <v>3.7180754130000002</v>
      </c>
      <c r="H1680">
        <v>4.2201648030000003</v>
      </c>
      <c r="I1680">
        <v>5.2156224949999999</v>
      </c>
      <c r="J1680">
        <v>4.2712202330000002</v>
      </c>
      <c r="K1680">
        <v>3.7821416829999999</v>
      </c>
      <c r="L1680">
        <v>3.200991401</v>
      </c>
      <c r="M1680">
        <v>2.5339786759999998</v>
      </c>
      <c r="N1680">
        <v>1.839296721</v>
      </c>
      <c r="O1680">
        <v>1.2478721749999999</v>
      </c>
      <c r="P1680">
        <v>1.280870824</v>
      </c>
      <c r="Q1680">
        <v>1.3909150669999999</v>
      </c>
    </row>
    <row r="1681" spans="1:17" x14ac:dyDescent="0.25">
      <c r="A1681" t="s">
        <v>5</v>
      </c>
      <c r="B1681" t="s">
        <v>6</v>
      </c>
      <c r="C1681" t="s">
        <v>262</v>
      </c>
      <c r="D1681" t="s">
        <v>256</v>
      </c>
      <c r="E1681" t="s">
        <v>27</v>
      </c>
      <c r="F1681">
        <v>38.352121799999999</v>
      </c>
      <c r="G1681">
        <v>41.013032250000002</v>
      </c>
      <c r="H1681">
        <v>43.785111010000001</v>
      </c>
      <c r="I1681">
        <v>47.162557960000001</v>
      </c>
      <c r="J1681">
        <v>44.580707599999997</v>
      </c>
      <c r="K1681">
        <v>42.109245000000001</v>
      </c>
      <c r="L1681">
        <v>39.476941269999998</v>
      </c>
      <c r="M1681">
        <v>36.633176929999998</v>
      </c>
      <c r="N1681">
        <v>33.521598660000002</v>
      </c>
      <c r="O1681">
        <v>30.795701829999999</v>
      </c>
      <c r="P1681">
        <v>32.140772259999999</v>
      </c>
      <c r="Q1681">
        <v>33.821216440000001</v>
      </c>
    </row>
    <row r="1682" spans="1:17" x14ac:dyDescent="0.25">
      <c r="A1682" t="s">
        <v>5</v>
      </c>
      <c r="B1682" t="s">
        <v>6</v>
      </c>
      <c r="C1682" t="s">
        <v>263</v>
      </c>
      <c r="D1682" t="s">
        <v>8</v>
      </c>
      <c r="E1682" t="s">
        <v>9</v>
      </c>
      <c r="F1682">
        <v>65547.802309999999</v>
      </c>
      <c r="G1682">
        <v>58847.248180000002</v>
      </c>
      <c r="H1682">
        <v>82473.177320000003</v>
      </c>
      <c r="I1682">
        <v>88367.53138</v>
      </c>
      <c r="J1682">
        <v>118821.1948</v>
      </c>
      <c r="K1682">
        <v>115956.046</v>
      </c>
      <c r="L1682">
        <v>142739.73139999999</v>
      </c>
      <c r="M1682">
        <v>154796.84789999999</v>
      </c>
      <c r="N1682">
        <v>168038.51060000001</v>
      </c>
      <c r="O1682">
        <v>183082.8481</v>
      </c>
      <c r="P1682">
        <v>197208.98610000001</v>
      </c>
      <c r="Q1682">
        <v>211136.26569999999</v>
      </c>
    </row>
    <row r="1683" spans="1:17" x14ac:dyDescent="0.25">
      <c r="A1683" t="s">
        <v>5</v>
      </c>
      <c r="B1683" t="s">
        <v>6</v>
      </c>
      <c r="C1683" t="s">
        <v>263</v>
      </c>
      <c r="D1683" t="s">
        <v>10</v>
      </c>
      <c r="E1683" t="s">
        <v>9</v>
      </c>
      <c r="F1683">
        <v>1029.0607339999999</v>
      </c>
      <c r="G1683">
        <v>834.72180279999998</v>
      </c>
      <c r="H1683">
        <v>1053.836951</v>
      </c>
      <c r="I1683">
        <v>1128.4628760000001</v>
      </c>
      <c r="J1683">
        <v>1526.2973059999999</v>
      </c>
      <c r="K1683">
        <v>1414.0872890000001</v>
      </c>
      <c r="L1683">
        <v>1574.579432</v>
      </c>
      <c r="M1683">
        <v>1559.9633289999999</v>
      </c>
      <c r="N1683">
        <v>1611.563562</v>
      </c>
      <c r="O1683">
        <v>1662.8211799999999</v>
      </c>
      <c r="P1683">
        <v>1663.4646660000001</v>
      </c>
      <c r="Q1683">
        <v>1659.703857</v>
      </c>
    </row>
    <row r="1684" spans="1:17" x14ac:dyDescent="0.25">
      <c r="A1684" t="s">
        <v>5</v>
      </c>
      <c r="B1684" t="s">
        <v>6</v>
      </c>
      <c r="C1684" t="s">
        <v>263</v>
      </c>
      <c r="D1684" t="s">
        <v>11</v>
      </c>
      <c r="E1684" t="s">
        <v>9</v>
      </c>
      <c r="F1684">
        <v>101603.3927</v>
      </c>
      <c r="G1684">
        <v>134839.6194</v>
      </c>
      <c r="H1684">
        <v>167307.446</v>
      </c>
      <c r="I1684">
        <v>120627.09819999999</v>
      </c>
      <c r="J1684">
        <v>182678.21410000001</v>
      </c>
      <c r="K1684">
        <v>139966.90419999999</v>
      </c>
      <c r="L1684">
        <v>152999.47099999999</v>
      </c>
      <c r="M1684">
        <v>136931.4088</v>
      </c>
      <c r="N1684">
        <v>135826.03890000001</v>
      </c>
      <c r="O1684">
        <v>128516.87760000001</v>
      </c>
      <c r="P1684">
        <v>124343.9084</v>
      </c>
      <c r="Q1684">
        <v>121053.2993</v>
      </c>
    </row>
    <row r="1685" spans="1:17" x14ac:dyDescent="0.25">
      <c r="A1685" t="s">
        <v>5</v>
      </c>
      <c r="B1685" t="s">
        <v>6</v>
      </c>
      <c r="C1685" t="s">
        <v>263</v>
      </c>
      <c r="D1685" t="s">
        <v>12</v>
      </c>
      <c r="E1685" t="s">
        <v>9</v>
      </c>
      <c r="F1685">
        <v>8362.0980720000007</v>
      </c>
      <c r="G1685">
        <v>8468.2303869999996</v>
      </c>
      <c r="H1685">
        <v>12451.02231</v>
      </c>
      <c r="I1685">
        <v>12948.07504</v>
      </c>
      <c r="J1685">
        <v>13808.547200000001</v>
      </c>
      <c r="K1685">
        <v>16740.537069999998</v>
      </c>
      <c r="L1685">
        <v>17817.613840000002</v>
      </c>
      <c r="M1685">
        <v>19332.073090000002</v>
      </c>
      <c r="N1685">
        <v>20971.880969999998</v>
      </c>
      <c r="O1685">
        <v>21916.626929999999</v>
      </c>
      <c r="P1685">
        <v>22961.1106</v>
      </c>
      <c r="Q1685">
        <v>24287.674660000001</v>
      </c>
    </row>
    <row r="1686" spans="1:17" x14ac:dyDescent="0.25">
      <c r="A1686" t="s">
        <v>5</v>
      </c>
      <c r="B1686" t="s">
        <v>6</v>
      </c>
      <c r="C1686" t="s">
        <v>263</v>
      </c>
      <c r="D1686" t="s">
        <v>13</v>
      </c>
      <c r="E1686" t="s">
        <v>9</v>
      </c>
      <c r="F1686">
        <v>2.1615971539999999</v>
      </c>
      <c r="G1686">
        <v>2.6356044679999999</v>
      </c>
      <c r="H1686">
        <v>4.0095275929999996</v>
      </c>
      <c r="I1686">
        <v>2.6410956350000001</v>
      </c>
      <c r="J1686">
        <v>4.2968044230000002</v>
      </c>
      <c r="K1686">
        <v>2.9898021250000002</v>
      </c>
      <c r="L1686">
        <v>3.3907784670000001</v>
      </c>
      <c r="M1686">
        <v>3.3824368859999998</v>
      </c>
      <c r="N1686">
        <v>3.4399601039999999</v>
      </c>
      <c r="O1686">
        <v>3.5446156489999998</v>
      </c>
      <c r="P1686">
        <v>3.381028487</v>
      </c>
      <c r="Q1686">
        <v>3.060091017</v>
      </c>
    </row>
    <row r="1687" spans="1:17" x14ac:dyDescent="0.25">
      <c r="A1687" t="s">
        <v>5</v>
      </c>
      <c r="B1687" t="s">
        <v>6</v>
      </c>
      <c r="C1687" t="s">
        <v>263</v>
      </c>
      <c r="D1687" t="s">
        <v>14</v>
      </c>
      <c r="E1687" t="s">
        <v>9</v>
      </c>
      <c r="F1687">
        <v>4.6838435140000003</v>
      </c>
      <c r="G1687">
        <v>2.8170422039999998</v>
      </c>
      <c r="H1687">
        <v>2.7756154120000001</v>
      </c>
      <c r="I1687">
        <v>3.7189370230000001</v>
      </c>
      <c r="J1687">
        <v>4.5394490210000003</v>
      </c>
      <c r="K1687">
        <v>5.245632166</v>
      </c>
      <c r="L1687">
        <v>5.8709350420000002</v>
      </c>
      <c r="M1687">
        <v>6.2024643030000002</v>
      </c>
      <c r="N1687">
        <v>5.5099610979999998</v>
      </c>
      <c r="O1687">
        <v>4.8324194269999996</v>
      </c>
      <c r="P1687">
        <v>5.1764117929999998</v>
      </c>
      <c r="Q1687">
        <v>5.6750687600000003</v>
      </c>
    </row>
    <row r="1688" spans="1:17" x14ac:dyDescent="0.25">
      <c r="A1688" t="s">
        <v>5</v>
      </c>
      <c r="B1688" t="s">
        <v>6</v>
      </c>
      <c r="C1688" t="s">
        <v>263</v>
      </c>
      <c r="D1688" t="s">
        <v>15</v>
      </c>
      <c r="E1688" t="s">
        <v>9</v>
      </c>
      <c r="F1688">
        <v>0.82091007599999999</v>
      </c>
      <c r="G1688">
        <v>0.86405342200000002</v>
      </c>
      <c r="H1688">
        <v>1.525483141</v>
      </c>
      <c r="I1688">
        <v>2.6835304830000002</v>
      </c>
      <c r="J1688">
        <v>1.828872595</v>
      </c>
      <c r="K1688">
        <v>1.194256226</v>
      </c>
      <c r="L1688">
        <v>1.7197821600000001</v>
      </c>
      <c r="M1688">
        <v>2.3511742409999998</v>
      </c>
      <c r="N1688">
        <v>3.0684147359999998</v>
      </c>
      <c r="O1688">
        <v>3.2177246839999998</v>
      </c>
      <c r="P1688">
        <v>3.4369096520000002</v>
      </c>
      <c r="Q1688">
        <v>3.8821536729999999</v>
      </c>
    </row>
    <row r="1689" spans="1:17" x14ac:dyDescent="0.25">
      <c r="A1689" t="s">
        <v>5</v>
      </c>
      <c r="B1689" t="s">
        <v>6</v>
      </c>
      <c r="C1689" t="s">
        <v>263</v>
      </c>
      <c r="D1689" t="s">
        <v>16</v>
      </c>
      <c r="E1689" t="s">
        <v>9</v>
      </c>
      <c r="F1689">
        <v>0.392405699</v>
      </c>
      <c r="G1689">
        <v>0.40364388600000001</v>
      </c>
      <c r="H1689">
        <v>0.71716749300000004</v>
      </c>
      <c r="I1689">
        <v>1.133468189</v>
      </c>
      <c r="J1689">
        <v>0.79433963299999999</v>
      </c>
      <c r="K1689">
        <v>0.58529992799999997</v>
      </c>
      <c r="L1689">
        <v>0.76959625899999995</v>
      </c>
      <c r="M1689">
        <v>0.95228533999999998</v>
      </c>
      <c r="N1689">
        <v>1.104048828</v>
      </c>
      <c r="O1689">
        <v>1.0647322960000001</v>
      </c>
      <c r="P1689">
        <v>1.0452672730000001</v>
      </c>
      <c r="Q1689">
        <v>1.108831269</v>
      </c>
    </row>
    <row r="1690" spans="1:17" x14ac:dyDescent="0.25">
      <c r="A1690" t="s">
        <v>5</v>
      </c>
      <c r="B1690" t="s">
        <v>6</v>
      </c>
      <c r="C1690" t="s">
        <v>263</v>
      </c>
      <c r="D1690" t="s">
        <v>17</v>
      </c>
      <c r="E1690" t="s">
        <v>9</v>
      </c>
      <c r="F1690">
        <v>12.367415449999999</v>
      </c>
      <c r="G1690">
        <v>6.5211090360000004</v>
      </c>
      <c r="H1690">
        <v>11.0297749</v>
      </c>
      <c r="I1690">
        <v>15.635068990000001</v>
      </c>
      <c r="J1690">
        <v>12.44636433</v>
      </c>
      <c r="K1690">
        <v>12.755775030000001</v>
      </c>
      <c r="L1690">
        <v>12.619454319999999</v>
      </c>
      <c r="M1690">
        <v>12.70717672</v>
      </c>
      <c r="N1690">
        <v>12.775956819999999</v>
      </c>
      <c r="O1690">
        <v>13.250905639999999</v>
      </c>
      <c r="P1690">
        <v>12.90608931</v>
      </c>
      <c r="Q1690">
        <v>13.28327006</v>
      </c>
    </row>
    <row r="1691" spans="1:17" x14ac:dyDescent="0.25">
      <c r="A1691" t="s">
        <v>5</v>
      </c>
      <c r="B1691" t="s">
        <v>6</v>
      </c>
      <c r="C1691" t="s">
        <v>263</v>
      </c>
      <c r="D1691" t="s">
        <v>18</v>
      </c>
      <c r="E1691" t="s">
        <v>19</v>
      </c>
      <c r="F1691">
        <v>2236775663</v>
      </c>
      <c r="G1691">
        <v>2322479470</v>
      </c>
      <c r="H1691">
        <v>2277757920</v>
      </c>
      <c r="I1691">
        <v>1974326426</v>
      </c>
      <c r="J1691">
        <v>2394320155</v>
      </c>
      <c r="K1691">
        <v>2701703050</v>
      </c>
      <c r="L1691">
        <v>2755725757</v>
      </c>
      <c r="M1691">
        <v>2822488996</v>
      </c>
      <c r="N1691">
        <v>2898711649</v>
      </c>
      <c r="O1691">
        <v>2969001716</v>
      </c>
      <c r="P1691">
        <v>3079391657</v>
      </c>
      <c r="Q1691">
        <v>3208402031</v>
      </c>
    </row>
    <row r="1692" spans="1:17" x14ac:dyDescent="0.25">
      <c r="A1692" t="s">
        <v>5</v>
      </c>
      <c r="B1692" t="s">
        <v>6</v>
      </c>
      <c r="C1692" t="s">
        <v>263</v>
      </c>
      <c r="D1692" t="s">
        <v>20</v>
      </c>
      <c r="E1692" t="s">
        <v>19</v>
      </c>
      <c r="F1692">
        <v>1155696694</v>
      </c>
      <c r="G1692">
        <v>1194202612</v>
      </c>
      <c r="H1692">
        <v>1288354365</v>
      </c>
      <c r="I1692">
        <v>1198845325</v>
      </c>
      <c r="J1692">
        <v>1459630615</v>
      </c>
      <c r="K1692">
        <v>1672212368</v>
      </c>
      <c r="L1692">
        <v>1777053780</v>
      </c>
      <c r="M1692">
        <v>1870259613</v>
      </c>
      <c r="N1692">
        <v>1958860473</v>
      </c>
      <c r="O1692">
        <v>2031860096</v>
      </c>
      <c r="P1692">
        <v>2105351850</v>
      </c>
      <c r="Q1692">
        <v>2219218880</v>
      </c>
    </row>
    <row r="1693" spans="1:17" x14ac:dyDescent="0.25">
      <c r="A1693" t="s">
        <v>5</v>
      </c>
      <c r="B1693" t="s">
        <v>6</v>
      </c>
      <c r="C1693" t="s">
        <v>263</v>
      </c>
      <c r="D1693" t="s">
        <v>21</v>
      </c>
      <c r="E1693" t="s">
        <v>19</v>
      </c>
      <c r="F1693">
        <v>555932516.60000002</v>
      </c>
      <c r="G1693">
        <v>543853186.20000005</v>
      </c>
      <c r="H1693">
        <v>625851678.20000005</v>
      </c>
      <c r="I1693">
        <v>569896198.79999995</v>
      </c>
      <c r="J1693">
        <v>698477332.5</v>
      </c>
      <c r="K1693">
        <v>798990943.20000005</v>
      </c>
      <c r="L1693">
        <v>847299703.29999995</v>
      </c>
      <c r="M1693">
        <v>892328258.39999998</v>
      </c>
      <c r="N1693">
        <v>935350824.20000005</v>
      </c>
      <c r="O1693">
        <v>974323306.60000002</v>
      </c>
      <c r="P1693">
        <v>1020467124</v>
      </c>
      <c r="Q1693">
        <v>1081074669</v>
      </c>
    </row>
    <row r="1694" spans="1:17" x14ac:dyDescent="0.25">
      <c r="A1694" t="s">
        <v>5</v>
      </c>
      <c r="B1694" t="s">
        <v>6</v>
      </c>
      <c r="C1694" t="s">
        <v>263</v>
      </c>
      <c r="D1694" t="s">
        <v>22</v>
      </c>
      <c r="E1694" t="s">
        <v>19</v>
      </c>
      <c r="F1694">
        <v>230889889.5</v>
      </c>
      <c r="G1694">
        <v>190648314</v>
      </c>
      <c r="H1694">
        <v>267978576.69999999</v>
      </c>
      <c r="I1694">
        <v>357685510</v>
      </c>
      <c r="J1694">
        <v>449360945.89999998</v>
      </c>
      <c r="K1694">
        <v>556168676.89999998</v>
      </c>
      <c r="L1694">
        <v>619615859.20000005</v>
      </c>
      <c r="M1694">
        <v>688527750.39999998</v>
      </c>
      <c r="N1694">
        <v>754758118.20000005</v>
      </c>
      <c r="O1694">
        <v>839040380.79999995</v>
      </c>
      <c r="P1694">
        <v>976156017</v>
      </c>
      <c r="Q1694">
        <v>1108355444</v>
      </c>
    </row>
    <row r="1695" spans="1:17" x14ac:dyDescent="0.25">
      <c r="A1695" t="s">
        <v>5</v>
      </c>
      <c r="B1695" t="s">
        <v>6</v>
      </c>
      <c r="C1695" t="s">
        <v>263</v>
      </c>
      <c r="D1695" t="s">
        <v>23</v>
      </c>
      <c r="E1695" t="s">
        <v>19</v>
      </c>
      <c r="F1695">
        <v>100582060</v>
      </c>
      <c r="G1695">
        <v>98947748.849999994</v>
      </c>
      <c r="H1695">
        <v>125886018.8</v>
      </c>
      <c r="I1695">
        <v>158432413.40000001</v>
      </c>
      <c r="J1695">
        <v>192462873.5</v>
      </c>
      <c r="K1695">
        <v>222999200.5</v>
      </c>
      <c r="L1695">
        <v>241077524.30000001</v>
      </c>
      <c r="M1695">
        <v>264243327.90000001</v>
      </c>
      <c r="N1695">
        <v>288106584.5</v>
      </c>
      <c r="O1695">
        <v>317068859</v>
      </c>
      <c r="P1695">
        <v>358433929.5</v>
      </c>
      <c r="Q1695">
        <v>395528457.69999999</v>
      </c>
    </row>
    <row r="1696" spans="1:17" x14ac:dyDescent="0.25">
      <c r="A1696" t="s">
        <v>5</v>
      </c>
      <c r="B1696" t="s">
        <v>6</v>
      </c>
      <c r="C1696" t="s">
        <v>263</v>
      </c>
      <c r="D1696" t="s">
        <v>24</v>
      </c>
      <c r="E1696" t="s">
        <v>19</v>
      </c>
      <c r="F1696">
        <v>163905962.30000001</v>
      </c>
      <c r="G1696">
        <v>155741320.40000001</v>
      </c>
      <c r="H1696">
        <v>205126205.90000001</v>
      </c>
      <c r="I1696">
        <v>275453137.5</v>
      </c>
      <c r="J1696">
        <v>352593252.5</v>
      </c>
      <c r="K1696">
        <v>415583117.5</v>
      </c>
      <c r="L1696">
        <v>449662043.30000001</v>
      </c>
      <c r="M1696">
        <v>488175334.10000002</v>
      </c>
      <c r="N1696">
        <v>529862635.89999998</v>
      </c>
      <c r="O1696">
        <v>588183444.89999998</v>
      </c>
      <c r="P1696">
        <v>675580675.79999995</v>
      </c>
      <c r="Q1696">
        <v>750548655.79999995</v>
      </c>
    </row>
    <row r="1697" spans="1:17" x14ac:dyDescent="0.25">
      <c r="A1697" t="s">
        <v>5</v>
      </c>
      <c r="B1697" t="s">
        <v>6</v>
      </c>
      <c r="C1697" t="s">
        <v>263</v>
      </c>
      <c r="D1697" t="s">
        <v>25</v>
      </c>
      <c r="E1697" t="s">
        <v>19</v>
      </c>
      <c r="F1697">
        <v>762269522.79999995</v>
      </c>
      <c r="G1697">
        <v>902088379.39999998</v>
      </c>
      <c r="H1697">
        <v>984254075.70000005</v>
      </c>
      <c r="I1697">
        <v>1144711556</v>
      </c>
      <c r="J1697">
        <v>1353733423</v>
      </c>
      <c r="K1697">
        <v>1442043765</v>
      </c>
      <c r="L1697">
        <v>1496628170</v>
      </c>
      <c r="M1697">
        <v>1579929606</v>
      </c>
      <c r="N1697">
        <v>1671504651</v>
      </c>
      <c r="O1697">
        <v>1780039302</v>
      </c>
      <c r="P1697">
        <v>1903383755</v>
      </c>
      <c r="Q1697">
        <v>1984810029</v>
      </c>
    </row>
    <row r="1698" spans="1:17" x14ac:dyDescent="0.25">
      <c r="A1698" t="s">
        <v>5</v>
      </c>
      <c r="B1698" t="s">
        <v>6</v>
      </c>
      <c r="C1698" t="s">
        <v>263</v>
      </c>
      <c r="D1698" t="s">
        <v>26</v>
      </c>
      <c r="E1698" t="s">
        <v>27</v>
      </c>
      <c r="F1698">
        <v>58.35153459</v>
      </c>
      <c r="G1698">
        <v>52.442197389999997</v>
      </c>
      <c r="H1698">
        <v>73.592623169999996</v>
      </c>
      <c r="I1698">
        <v>78.651902620000001</v>
      </c>
      <c r="J1698">
        <v>105.01102090000001</v>
      </c>
      <c r="K1698">
        <v>101.94487239999999</v>
      </c>
      <c r="L1698">
        <v>125.62862079999999</v>
      </c>
      <c r="M1698">
        <v>136.45342489999999</v>
      </c>
      <c r="N1698">
        <v>147.73432099999999</v>
      </c>
      <c r="O1698">
        <v>160.46090649999999</v>
      </c>
      <c r="P1698">
        <v>172.7117308</v>
      </c>
      <c r="Q1698">
        <v>184.8789257</v>
      </c>
    </row>
    <row r="1699" spans="1:17" x14ac:dyDescent="0.25">
      <c r="A1699" t="s">
        <v>5</v>
      </c>
      <c r="B1699" t="s">
        <v>6</v>
      </c>
      <c r="C1699" t="s">
        <v>263</v>
      </c>
      <c r="D1699" t="s">
        <v>28</v>
      </c>
      <c r="E1699" t="s">
        <v>27</v>
      </c>
      <c r="F1699">
        <v>102.2650524</v>
      </c>
      <c r="G1699">
        <v>96.654301930000003</v>
      </c>
      <c r="H1699">
        <v>136.24897250000001</v>
      </c>
      <c r="I1699">
        <v>145.5263353</v>
      </c>
      <c r="J1699">
        <v>180.28874350000001</v>
      </c>
      <c r="K1699">
        <v>186.460049</v>
      </c>
      <c r="L1699">
        <v>218.4468995</v>
      </c>
      <c r="M1699">
        <v>236.7150264</v>
      </c>
      <c r="N1699">
        <v>254.62489110000001</v>
      </c>
      <c r="O1699">
        <v>273.36502969999998</v>
      </c>
      <c r="P1699">
        <v>290.61935340000002</v>
      </c>
      <c r="Q1699">
        <v>307.97761379999997</v>
      </c>
    </row>
    <row r="1700" spans="1:17" x14ac:dyDescent="0.25">
      <c r="A1700" t="s">
        <v>5</v>
      </c>
      <c r="B1700" t="s">
        <v>6</v>
      </c>
      <c r="C1700" t="s">
        <v>263</v>
      </c>
      <c r="D1700" t="s">
        <v>29</v>
      </c>
      <c r="E1700" t="s">
        <v>27</v>
      </c>
      <c r="F1700">
        <v>8.1732548450000007</v>
      </c>
      <c r="G1700">
        <v>5.1330923049999999</v>
      </c>
      <c r="H1700">
        <v>5.2901051839999997</v>
      </c>
      <c r="I1700">
        <v>6.6409309179999996</v>
      </c>
      <c r="J1700">
        <v>8.3031026479999994</v>
      </c>
      <c r="K1700">
        <v>9.2640927340000001</v>
      </c>
      <c r="L1700">
        <v>10.38468357</v>
      </c>
      <c r="M1700">
        <v>10.95038203</v>
      </c>
      <c r="N1700">
        <v>9.8244942260000006</v>
      </c>
      <c r="O1700">
        <v>8.7387151999999997</v>
      </c>
      <c r="P1700">
        <v>9.3257847649999999</v>
      </c>
      <c r="Q1700">
        <v>10.15777381</v>
      </c>
    </row>
    <row r="1701" spans="1:17" x14ac:dyDescent="0.25">
      <c r="A1701" t="s">
        <v>5</v>
      </c>
      <c r="B1701" t="s">
        <v>6</v>
      </c>
      <c r="C1701" t="s">
        <v>263</v>
      </c>
      <c r="D1701" t="s">
        <v>30</v>
      </c>
      <c r="E1701" t="s">
        <v>27</v>
      </c>
      <c r="F1701">
        <v>7.8589809999999993E-3</v>
      </c>
      <c r="G1701">
        <v>8.1910609999999995E-3</v>
      </c>
      <c r="H1701">
        <v>1.4500412000000001E-2</v>
      </c>
      <c r="I1701">
        <v>2.4402981000000001E-2</v>
      </c>
      <c r="J1701">
        <v>1.6819628E-2</v>
      </c>
      <c r="K1701">
        <v>1.1557680000000001E-2</v>
      </c>
      <c r="L1701">
        <v>1.6011628E-2</v>
      </c>
      <c r="M1701">
        <v>2.1028706000000001E-2</v>
      </c>
      <c r="N1701">
        <v>2.6246917000000002E-2</v>
      </c>
      <c r="O1701">
        <v>2.672155E-2</v>
      </c>
      <c r="P1701">
        <v>2.7748253000000001E-2</v>
      </c>
      <c r="Q1701">
        <v>3.0723225999999999E-2</v>
      </c>
    </row>
    <row r="1702" spans="1:17" x14ac:dyDescent="0.25">
      <c r="A1702" t="s">
        <v>5</v>
      </c>
      <c r="B1702" t="s">
        <v>6</v>
      </c>
      <c r="C1702" t="s">
        <v>263</v>
      </c>
      <c r="D1702" t="s">
        <v>31</v>
      </c>
      <c r="E1702" t="s">
        <v>27</v>
      </c>
      <c r="F1702">
        <v>7.5145943490000002</v>
      </c>
      <c r="G1702">
        <v>3.5547485139999999</v>
      </c>
      <c r="H1702">
        <v>6.3029830919999998</v>
      </c>
      <c r="I1702">
        <v>9.3877028350000007</v>
      </c>
      <c r="J1702">
        <v>7.4133670660000002</v>
      </c>
      <c r="K1702">
        <v>7.887131567</v>
      </c>
      <c r="L1702">
        <v>8.0356246000000002</v>
      </c>
      <c r="M1702">
        <v>8.5377293119999997</v>
      </c>
      <c r="N1702">
        <v>9.3269529280000008</v>
      </c>
      <c r="O1702">
        <v>12.30912275</v>
      </c>
      <c r="P1702">
        <v>9.2579253619999999</v>
      </c>
      <c r="Q1702">
        <v>9.6226366999999993</v>
      </c>
    </row>
    <row r="1703" spans="1:17" x14ac:dyDescent="0.25">
      <c r="A1703" t="s">
        <v>5</v>
      </c>
      <c r="B1703" t="s">
        <v>6</v>
      </c>
      <c r="C1703" t="s">
        <v>263</v>
      </c>
      <c r="D1703" t="s">
        <v>32</v>
      </c>
      <c r="E1703" t="s">
        <v>27</v>
      </c>
      <c r="F1703">
        <v>9.0196340759999991</v>
      </c>
      <c r="G1703">
        <v>8.1639248959999993</v>
      </c>
      <c r="H1703">
        <v>12.35177195</v>
      </c>
      <c r="I1703">
        <v>13.452749239999999</v>
      </c>
      <c r="J1703">
        <v>20.57574095</v>
      </c>
      <c r="K1703">
        <v>21.2508409</v>
      </c>
      <c r="L1703">
        <v>25.332977899999999</v>
      </c>
      <c r="M1703">
        <v>26.999692509999999</v>
      </c>
      <c r="N1703">
        <v>31.017668149999999</v>
      </c>
      <c r="O1703">
        <v>35.576232160000004</v>
      </c>
      <c r="P1703">
        <v>38.726363429999999</v>
      </c>
      <c r="Q1703">
        <v>41.281795039999999</v>
      </c>
    </row>
    <row r="1704" spans="1:17" x14ac:dyDescent="0.25">
      <c r="A1704" t="s">
        <v>5</v>
      </c>
      <c r="B1704" t="s">
        <v>6</v>
      </c>
      <c r="C1704" t="s">
        <v>263</v>
      </c>
      <c r="D1704" t="s">
        <v>33</v>
      </c>
      <c r="E1704" t="s">
        <v>27</v>
      </c>
      <c r="F1704">
        <v>14.360861269999999</v>
      </c>
      <c r="G1704">
        <v>13.2773799</v>
      </c>
      <c r="H1704">
        <v>19.114903179999999</v>
      </c>
      <c r="I1704">
        <v>20.213866419999999</v>
      </c>
      <c r="J1704">
        <v>29.161174500000001</v>
      </c>
      <c r="K1704">
        <v>29.728243030000002</v>
      </c>
      <c r="L1704">
        <v>34.68610185</v>
      </c>
      <c r="M1704">
        <v>36.565656079999997</v>
      </c>
      <c r="N1704">
        <v>41.050586379999999</v>
      </c>
      <c r="O1704">
        <v>45.951548819999999</v>
      </c>
      <c r="P1704">
        <v>49.31134874</v>
      </c>
      <c r="Q1704">
        <v>52.094471009999999</v>
      </c>
    </row>
    <row r="1705" spans="1:17" x14ac:dyDescent="0.25">
      <c r="A1705" t="s">
        <v>5</v>
      </c>
      <c r="B1705" t="s">
        <v>6</v>
      </c>
      <c r="C1705" t="s">
        <v>263</v>
      </c>
      <c r="D1705" t="s">
        <v>34</v>
      </c>
      <c r="E1705" t="s">
        <v>27</v>
      </c>
      <c r="F1705">
        <v>0.63441578499999995</v>
      </c>
      <c r="G1705">
        <v>0.49325313900000001</v>
      </c>
      <c r="H1705">
        <v>0.60522158299999995</v>
      </c>
      <c r="I1705">
        <v>0.58144159399999995</v>
      </c>
      <c r="J1705">
        <v>0.80888307400000004</v>
      </c>
      <c r="K1705">
        <v>0.76565077100000001</v>
      </c>
      <c r="L1705">
        <v>0.86445183800000003</v>
      </c>
      <c r="M1705">
        <v>0.90153793000000004</v>
      </c>
      <c r="N1705">
        <v>0.848199798</v>
      </c>
      <c r="O1705">
        <v>0.80339791699999996</v>
      </c>
      <c r="P1705">
        <v>0.83960837300000002</v>
      </c>
      <c r="Q1705">
        <v>0.88281394599999996</v>
      </c>
    </row>
    <row r="1706" spans="1:17" x14ac:dyDescent="0.25">
      <c r="A1706" t="s">
        <v>5</v>
      </c>
      <c r="B1706" t="s">
        <v>6</v>
      </c>
      <c r="C1706" t="s">
        <v>263</v>
      </c>
      <c r="D1706" t="s">
        <v>35</v>
      </c>
      <c r="E1706" t="s">
        <v>27</v>
      </c>
      <c r="F1706">
        <v>5.9378967999999997E-2</v>
      </c>
      <c r="G1706">
        <v>6.1888015999999997E-2</v>
      </c>
      <c r="H1706">
        <v>0.109558671</v>
      </c>
      <c r="I1706">
        <v>0.184378077</v>
      </c>
      <c r="J1706">
        <v>0.127081637</v>
      </c>
      <c r="K1706">
        <v>8.7324694999999994E-2</v>
      </c>
      <c r="L1706">
        <v>0.120976748</v>
      </c>
      <c r="M1706">
        <v>0.15888356000000001</v>
      </c>
      <c r="N1706">
        <v>0.19831003999999999</v>
      </c>
      <c r="O1706">
        <v>0.20189615399999999</v>
      </c>
      <c r="P1706">
        <v>0.20965347000000001</v>
      </c>
      <c r="Q1706">
        <v>0.23213104100000001</v>
      </c>
    </row>
    <row r="1707" spans="1:17" x14ac:dyDescent="0.25">
      <c r="A1707" t="s">
        <v>5</v>
      </c>
      <c r="B1707" t="s">
        <v>6</v>
      </c>
      <c r="C1707" t="s">
        <v>263</v>
      </c>
      <c r="D1707" t="s">
        <v>36</v>
      </c>
      <c r="E1707" t="s">
        <v>27</v>
      </c>
      <c r="F1707">
        <v>8.2577960000000006E-2</v>
      </c>
      <c r="G1707">
        <v>3.9063170000000001E-2</v>
      </c>
      <c r="H1707">
        <v>6.9263549999999993E-2</v>
      </c>
      <c r="I1707">
        <v>0.10316156999999999</v>
      </c>
      <c r="J1707">
        <v>8.1465572E-2</v>
      </c>
      <c r="K1707">
        <v>8.6671775000000006E-2</v>
      </c>
      <c r="L1707">
        <v>8.8303566999999999E-2</v>
      </c>
      <c r="M1707">
        <v>9.3821201000000007E-2</v>
      </c>
      <c r="N1707">
        <v>0.10249398799999999</v>
      </c>
      <c r="O1707">
        <v>0.13526508500000001</v>
      </c>
      <c r="P1707">
        <v>0.10173544399999999</v>
      </c>
      <c r="Q1707">
        <v>0.10574326000000001</v>
      </c>
    </row>
    <row r="1708" spans="1:17" x14ac:dyDescent="0.25">
      <c r="A1708" t="s">
        <v>5</v>
      </c>
      <c r="B1708" t="s">
        <v>6</v>
      </c>
      <c r="C1708" t="s">
        <v>263</v>
      </c>
      <c r="D1708" t="s">
        <v>37</v>
      </c>
      <c r="E1708" t="s">
        <v>27</v>
      </c>
      <c r="F1708">
        <v>1.797454925</v>
      </c>
      <c r="G1708">
        <v>1.673246716</v>
      </c>
      <c r="H1708">
        <v>3.191218584</v>
      </c>
      <c r="I1708">
        <v>3.6633880099999998</v>
      </c>
      <c r="J1708">
        <v>7.3937662680000003</v>
      </c>
      <c r="K1708">
        <v>8.2213805170000001</v>
      </c>
      <c r="L1708">
        <v>9.1313797619999999</v>
      </c>
      <c r="M1708">
        <v>9.3979227040000008</v>
      </c>
      <c r="N1708">
        <v>11.77346528</v>
      </c>
      <c r="O1708">
        <v>14.491395880000001</v>
      </c>
      <c r="P1708">
        <v>15.975060170000001</v>
      </c>
      <c r="Q1708">
        <v>16.906479220000001</v>
      </c>
    </row>
    <row r="1709" spans="1:17" x14ac:dyDescent="0.25">
      <c r="A1709" t="s">
        <v>5</v>
      </c>
      <c r="B1709" t="s">
        <v>6</v>
      </c>
      <c r="C1709" t="s">
        <v>263</v>
      </c>
      <c r="D1709" t="s">
        <v>38</v>
      </c>
      <c r="E1709" t="s">
        <v>27</v>
      </c>
      <c r="F1709">
        <v>2.101403865</v>
      </c>
      <c r="G1709">
        <v>1.9791966379999999</v>
      </c>
      <c r="H1709">
        <v>3.6329727890000001</v>
      </c>
      <c r="I1709">
        <v>4.1365165470000003</v>
      </c>
      <c r="J1709">
        <v>7.9309925979999996</v>
      </c>
      <c r="K1709">
        <v>8.8553532589999993</v>
      </c>
      <c r="L1709">
        <v>9.8358585470000008</v>
      </c>
      <c r="M1709">
        <v>10.18726215</v>
      </c>
      <c r="N1709">
        <v>12.63597768</v>
      </c>
      <c r="O1709">
        <v>15.411380019999999</v>
      </c>
      <c r="P1709">
        <v>16.945149359999998</v>
      </c>
      <c r="Q1709">
        <v>17.92747855</v>
      </c>
    </row>
    <row r="1710" spans="1:17" x14ac:dyDescent="0.25">
      <c r="A1710" t="s">
        <v>5</v>
      </c>
      <c r="B1710" t="s">
        <v>6</v>
      </c>
      <c r="C1710" t="s">
        <v>263</v>
      </c>
      <c r="D1710" t="s">
        <v>39</v>
      </c>
      <c r="E1710" t="s">
        <v>27</v>
      </c>
      <c r="F1710">
        <v>1.3988614999999999E-2</v>
      </c>
      <c r="G1710">
        <v>9.1869010000000008E-3</v>
      </c>
      <c r="H1710">
        <v>9.9262710000000004E-3</v>
      </c>
      <c r="I1710">
        <v>1.1662258999999999E-2</v>
      </c>
      <c r="J1710">
        <v>1.534724E-2</v>
      </c>
      <c r="K1710">
        <v>1.6389541000000001E-2</v>
      </c>
      <c r="L1710">
        <v>1.8567051000000001E-2</v>
      </c>
      <c r="M1710">
        <v>1.9759054000000002E-2</v>
      </c>
      <c r="N1710">
        <v>1.8373631000000001E-2</v>
      </c>
      <c r="O1710">
        <v>1.7219905000000001E-2</v>
      </c>
      <c r="P1710">
        <v>1.8923200000000001E-2</v>
      </c>
      <c r="Q1710">
        <v>2.1225245E-2</v>
      </c>
    </row>
    <row r="1711" spans="1:17" x14ac:dyDescent="0.25">
      <c r="A1711" t="s">
        <v>5</v>
      </c>
      <c r="B1711" t="s">
        <v>6</v>
      </c>
      <c r="C1711" t="s">
        <v>263</v>
      </c>
      <c r="D1711" t="s">
        <v>40</v>
      </c>
      <c r="E1711" t="s">
        <v>27</v>
      </c>
      <c r="F1711">
        <v>2.2867800000000001E-4</v>
      </c>
      <c r="G1711">
        <v>2.40697E-4</v>
      </c>
      <c r="H1711">
        <v>4.2494899999999999E-4</v>
      </c>
      <c r="I1711">
        <v>7.4754200000000002E-4</v>
      </c>
      <c r="J1711">
        <v>5.0946300000000004E-4</v>
      </c>
      <c r="K1711">
        <v>3.3268000000000002E-4</v>
      </c>
      <c r="L1711">
        <v>4.7907400000000001E-4</v>
      </c>
      <c r="M1711">
        <v>6.5495899999999999E-4</v>
      </c>
      <c r="N1711">
        <v>8.5475799999999995E-4</v>
      </c>
      <c r="O1711">
        <v>8.9635099999999998E-4</v>
      </c>
      <c r="P1711">
        <v>9.5740899999999999E-4</v>
      </c>
      <c r="Q1711">
        <v>1.081439E-3</v>
      </c>
    </row>
    <row r="1712" spans="1:17" x14ac:dyDescent="0.25">
      <c r="A1712" t="s">
        <v>5</v>
      </c>
      <c r="B1712" t="s">
        <v>6</v>
      </c>
      <c r="C1712" t="s">
        <v>263</v>
      </c>
      <c r="D1712" t="s">
        <v>41</v>
      </c>
      <c r="E1712" t="s">
        <v>27</v>
      </c>
      <c r="F1712">
        <v>8.2577960000000006E-2</v>
      </c>
      <c r="G1712">
        <v>3.9063170000000001E-2</v>
      </c>
      <c r="H1712">
        <v>6.9263549999999993E-2</v>
      </c>
      <c r="I1712">
        <v>0.10316156999999999</v>
      </c>
      <c r="J1712">
        <v>8.1465572E-2</v>
      </c>
      <c r="K1712">
        <v>8.6671775000000006E-2</v>
      </c>
      <c r="L1712">
        <v>8.8303566999999999E-2</v>
      </c>
      <c r="M1712">
        <v>9.3821201000000007E-2</v>
      </c>
      <c r="N1712">
        <v>0.10249398799999999</v>
      </c>
      <c r="O1712">
        <v>0.13526508500000001</v>
      </c>
      <c r="P1712">
        <v>0.10173544399999999</v>
      </c>
      <c r="Q1712">
        <v>0.10574326000000001</v>
      </c>
    </row>
    <row r="1713" spans="1:17" x14ac:dyDescent="0.25">
      <c r="A1713" t="s">
        <v>5</v>
      </c>
      <c r="B1713" t="s">
        <v>6</v>
      </c>
      <c r="C1713" t="s">
        <v>263</v>
      </c>
      <c r="D1713" t="s">
        <v>42</v>
      </c>
      <c r="E1713" t="s">
        <v>27</v>
      </c>
      <c r="F1713">
        <v>2.458422138</v>
      </c>
      <c r="G1713">
        <v>2.2119357929999999</v>
      </c>
      <c r="H1713">
        <v>3.1534792559999998</v>
      </c>
      <c r="I1713">
        <v>3.3804761989999998</v>
      </c>
      <c r="J1713">
        <v>4.64153723</v>
      </c>
      <c r="K1713">
        <v>4.5632510149999996</v>
      </c>
      <c r="L1713">
        <v>5.5802803369999996</v>
      </c>
      <c r="M1713">
        <v>6.0316225899999996</v>
      </c>
      <c r="N1713">
        <v>6.6065805800000001</v>
      </c>
      <c r="O1713">
        <v>7.261342419</v>
      </c>
      <c r="P1713">
        <v>7.8369377770000002</v>
      </c>
      <c r="Q1713">
        <v>8.3846409089999998</v>
      </c>
    </row>
    <row r="1714" spans="1:17" x14ac:dyDescent="0.25">
      <c r="A1714" t="s">
        <v>5</v>
      </c>
      <c r="B1714" t="s">
        <v>6</v>
      </c>
      <c r="C1714" t="s">
        <v>263</v>
      </c>
      <c r="D1714" t="s">
        <v>43</v>
      </c>
      <c r="E1714" t="s">
        <v>27</v>
      </c>
      <c r="F1714">
        <v>3.0381980149999999</v>
      </c>
      <c r="G1714">
        <v>2.7361960930000002</v>
      </c>
      <c r="H1714">
        <v>3.8614330670000001</v>
      </c>
      <c r="I1714">
        <v>4.1372145549999999</v>
      </c>
      <c r="J1714">
        <v>5.5639683379999996</v>
      </c>
      <c r="K1714">
        <v>5.5181901</v>
      </c>
      <c r="L1714">
        <v>6.6332920030000002</v>
      </c>
      <c r="M1714">
        <v>7.1291446719999998</v>
      </c>
      <c r="N1714">
        <v>7.7633740070000004</v>
      </c>
      <c r="O1714">
        <v>8.4713136060000007</v>
      </c>
      <c r="P1714">
        <v>9.0798656750000006</v>
      </c>
      <c r="Q1714">
        <v>9.661384194</v>
      </c>
    </row>
    <row r="1715" spans="1:17" x14ac:dyDescent="0.25">
      <c r="A1715" t="s">
        <v>5</v>
      </c>
      <c r="B1715" t="s">
        <v>6</v>
      </c>
      <c r="C1715" t="s">
        <v>263</v>
      </c>
      <c r="D1715" t="s">
        <v>44</v>
      </c>
      <c r="E1715" t="s">
        <v>27</v>
      </c>
      <c r="F1715">
        <v>3.1862549999999998E-3</v>
      </c>
      <c r="G1715">
        <v>3.5886960000000002E-3</v>
      </c>
      <c r="H1715">
        <v>5.3842059999999999E-3</v>
      </c>
      <c r="I1715">
        <v>3.7157330000000001E-3</v>
      </c>
      <c r="J1715">
        <v>6.5716849999999999E-3</v>
      </c>
      <c r="K1715">
        <v>4.8366190000000003E-3</v>
      </c>
      <c r="L1715">
        <v>5.7485779999999998E-3</v>
      </c>
      <c r="M1715">
        <v>6.1891369999999999E-3</v>
      </c>
      <c r="N1715">
        <v>6.8460209999999999E-3</v>
      </c>
      <c r="O1715">
        <v>7.7946509999999997E-3</v>
      </c>
      <c r="P1715">
        <v>8.8432770000000001E-3</v>
      </c>
      <c r="Q1715">
        <v>1.0091045999999999E-2</v>
      </c>
    </row>
    <row r="1716" spans="1:17" x14ac:dyDescent="0.25">
      <c r="A1716" t="s">
        <v>5</v>
      </c>
      <c r="B1716" t="s">
        <v>6</v>
      </c>
      <c r="C1716" t="s">
        <v>263</v>
      </c>
      <c r="D1716" t="s">
        <v>45</v>
      </c>
      <c r="E1716" t="s">
        <v>27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</row>
    <row r="1717" spans="1:17" x14ac:dyDescent="0.25">
      <c r="A1717" t="s">
        <v>5</v>
      </c>
      <c r="B1717" t="s">
        <v>6</v>
      </c>
      <c r="C1717" t="s">
        <v>263</v>
      </c>
      <c r="D1717" t="s">
        <v>46</v>
      </c>
      <c r="E1717" t="s">
        <v>27</v>
      </c>
      <c r="F1717">
        <v>4.9546779999999997E-3</v>
      </c>
      <c r="G1717">
        <v>2.3437900000000001E-3</v>
      </c>
      <c r="H1717">
        <v>4.1558130000000004E-3</v>
      </c>
      <c r="I1717">
        <v>6.1896939999999999E-3</v>
      </c>
      <c r="J1717">
        <v>4.887934E-3</v>
      </c>
      <c r="K1717">
        <v>5.2003070000000004E-3</v>
      </c>
      <c r="L1717">
        <v>5.2982139999999999E-3</v>
      </c>
      <c r="M1717">
        <v>5.6292720000000003E-3</v>
      </c>
      <c r="N1717">
        <v>6.1496390000000001E-3</v>
      </c>
      <c r="O1717">
        <v>8.1159049999999996E-3</v>
      </c>
      <c r="P1717">
        <v>6.104127E-3</v>
      </c>
      <c r="Q1717">
        <v>6.3445960000000001E-3</v>
      </c>
    </row>
    <row r="1718" spans="1:17" x14ac:dyDescent="0.25">
      <c r="A1718" t="s">
        <v>5</v>
      </c>
      <c r="B1718" t="s">
        <v>6</v>
      </c>
      <c r="C1718" t="s">
        <v>263</v>
      </c>
      <c r="D1718" t="s">
        <v>47</v>
      </c>
      <c r="E1718" t="s">
        <v>27</v>
      </c>
      <c r="F1718">
        <v>11.51376254</v>
      </c>
      <c r="G1718">
        <v>10.375787259999999</v>
      </c>
      <c r="H1718">
        <v>14.73284628</v>
      </c>
      <c r="I1718">
        <v>15.81793047</v>
      </c>
      <c r="J1718">
        <v>21.6741399</v>
      </c>
      <c r="K1718">
        <v>21.138062130000002</v>
      </c>
      <c r="L1718">
        <v>25.787738390000001</v>
      </c>
      <c r="M1718">
        <v>27.965332329999999</v>
      </c>
      <c r="N1718">
        <v>30.752712429999999</v>
      </c>
      <c r="O1718">
        <v>33.924418199999998</v>
      </c>
      <c r="P1718">
        <v>36.657226729999998</v>
      </c>
      <c r="Q1718">
        <v>39.171715319999997</v>
      </c>
    </row>
    <row r="1719" spans="1:17" x14ac:dyDescent="0.25">
      <c r="A1719" t="s">
        <v>5</v>
      </c>
      <c r="B1719" t="s">
        <v>6</v>
      </c>
      <c r="C1719" t="s">
        <v>263</v>
      </c>
      <c r="D1719" t="s">
        <v>48</v>
      </c>
      <c r="E1719" t="s">
        <v>27</v>
      </c>
      <c r="F1719">
        <v>18.37932223</v>
      </c>
      <c r="G1719">
        <v>17.287054919999999</v>
      </c>
      <c r="H1719">
        <v>24.48700839</v>
      </c>
      <c r="I1719">
        <v>26.137951860000001</v>
      </c>
      <c r="J1719">
        <v>33.43324767</v>
      </c>
      <c r="K1719">
        <v>34.213058070000002</v>
      </c>
      <c r="L1719">
        <v>40.150500510000001</v>
      </c>
      <c r="M1719">
        <v>43.439911889999998</v>
      </c>
      <c r="N1719">
        <v>47.259217</v>
      </c>
      <c r="O1719">
        <v>51.347403749999998</v>
      </c>
      <c r="P1719">
        <v>54.839007510000002</v>
      </c>
      <c r="Q1719">
        <v>58.138912689999998</v>
      </c>
    </row>
    <row r="1720" spans="1:17" x14ac:dyDescent="0.25">
      <c r="A1720" t="s">
        <v>5</v>
      </c>
      <c r="B1720" t="s">
        <v>6</v>
      </c>
      <c r="C1720" t="s">
        <v>263</v>
      </c>
      <c r="D1720" t="s">
        <v>49</v>
      </c>
      <c r="E1720" t="s">
        <v>27</v>
      </c>
      <c r="F1720">
        <v>1.3460465E-2</v>
      </c>
      <c r="G1720">
        <v>1.5886892E-2</v>
      </c>
      <c r="H1720">
        <v>2.4035201999999999E-2</v>
      </c>
      <c r="I1720">
        <v>1.6131968999999999E-2</v>
      </c>
      <c r="J1720">
        <v>2.7178695999999999E-2</v>
      </c>
      <c r="K1720">
        <v>1.9379383E-2</v>
      </c>
      <c r="L1720">
        <v>2.2445262000000001E-2</v>
      </c>
      <c r="M1720">
        <v>2.3196218000000001E-2</v>
      </c>
      <c r="N1720">
        <v>2.4568725E-2</v>
      </c>
      <c r="O1720">
        <v>2.6628812000000002E-2</v>
      </c>
      <c r="P1720">
        <v>2.7896845E-2</v>
      </c>
      <c r="Q1720">
        <v>2.8949341E-2</v>
      </c>
    </row>
    <row r="1721" spans="1:17" x14ac:dyDescent="0.25">
      <c r="A1721" t="s">
        <v>5</v>
      </c>
      <c r="B1721" t="s">
        <v>6</v>
      </c>
      <c r="C1721" t="s">
        <v>263</v>
      </c>
      <c r="D1721" t="s">
        <v>50</v>
      </c>
      <c r="E1721" t="s">
        <v>27</v>
      </c>
      <c r="F1721">
        <v>4.5844060000000001E-3</v>
      </c>
      <c r="G1721">
        <v>4.7781189999999999E-3</v>
      </c>
      <c r="H1721">
        <v>8.458574E-3</v>
      </c>
      <c r="I1721">
        <v>1.4235072E-2</v>
      </c>
      <c r="J1721">
        <v>9.8114499999999993E-3</v>
      </c>
      <c r="K1721">
        <v>6.7419799999999998E-3</v>
      </c>
      <c r="L1721">
        <v>9.3401170000000002E-3</v>
      </c>
      <c r="M1721">
        <v>1.2266745000000001E-2</v>
      </c>
      <c r="N1721">
        <v>1.5310702000000001E-2</v>
      </c>
      <c r="O1721">
        <v>1.5587571E-2</v>
      </c>
      <c r="P1721">
        <v>1.6186480999999999E-2</v>
      </c>
      <c r="Q1721">
        <v>1.7921882E-2</v>
      </c>
    </row>
    <row r="1722" spans="1:17" x14ac:dyDescent="0.25">
      <c r="A1722" t="s">
        <v>5</v>
      </c>
      <c r="B1722" t="s">
        <v>6</v>
      </c>
      <c r="C1722" t="s">
        <v>263</v>
      </c>
      <c r="D1722" t="s">
        <v>51</v>
      </c>
      <c r="E1722" t="s">
        <v>27</v>
      </c>
      <c r="F1722">
        <v>0.16515592000000001</v>
      </c>
      <c r="G1722">
        <v>7.8126341000000002E-2</v>
      </c>
      <c r="H1722">
        <v>0.13852710100000001</v>
      </c>
      <c r="I1722">
        <v>0.20632313899999999</v>
      </c>
      <c r="J1722">
        <v>0.162931144</v>
      </c>
      <c r="K1722">
        <v>0.17334355100000001</v>
      </c>
      <c r="L1722">
        <v>0.176607134</v>
      </c>
      <c r="M1722">
        <v>0.18764240200000001</v>
      </c>
      <c r="N1722">
        <v>0.20498797599999999</v>
      </c>
      <c r="O1722">
        <v>0.27053017000000001</v>
      </c>
      <c r="P1722">
        <v>0.20347088699999999</v>
      </c>
      <c r="Q1722">
        <v>0.21148652100000001</v>
      </c>
    </row>
    <row r="1723" spans="1:17" x14ac:dyDescent="0.25">
      <c r="A1723" t="s">
        <v>5</v>
      </c>
      <c r="B1723" t="s">
        <v>6</v>
      </c>
      <c r="C1723" t="s">
        <v>263</v>
      </c>
      <c r="D1723" t="s">
        <v>52</v>
      </c>
      <c r="E1723" t="s">
        <v>27</v>
      </c>
      <c r="F1723">
        <v>206.2700293</v>
      </c>
      <c r="G1723">
        <v>209.64161179999999</v>
      </c>
      <c r="H1723">
        <v>223.25286220000001</v>
      </c>
      <c r="I1723">
        <v>201.15876420000001</v>
      </c>
      <c r="J1723">
        <v>245.0094632</v>
      </c>
      <c r="K1723">
        <v>278.93132910000003</v>
      </c>
      <c r="L1723">
        <v>292.2643372</v>
      </c>
      <c r="M1723">
        <v>304.6910105</v>
      </c>
      <c r="N1723">
        <v>316.92057840000001</v>
      </c>
      <c r="O1723">
        <v>327.45691829999998</v>
      </c>
      <c r="P1723">
        <v>339.73578259999999</v>
      </c>
      <c r="Q1723">
        <v>357.1983553</v>
      </c>
    </row>
    <row r="1724" spans="1:17" x14ac:dyDescent="0.25">
      <c r="A1724" t="s">
        <v>5</v>
      </c>
      <c r="B1724" t="s">
        <v>6</v>
      </c>
      <c r="C1724" t="s">
        <v>263</v>
      </c>
      <c r="D1724" t="s">
        <v>53</v>
      </c>
      <c r="E1724" t="s">
        <v>27</v>
      </c>
      <c r="F1724">
        <v>107.8881007</v>
      </c>
      <c r="G1724">
        <v>116.1875763</v>
      </c>
      <c r="H1724">
        <v>136.15934909999999</v>
      </c>
      <c r="I1724">
        <v>166.45717909999999</v>
      </c>
      <c r="J1724">
        <v>201.94747720000001</v>
      </c>
      <c r="K1724">
        <v>226.26430149999999</v>
      </c>
      <c r="L1724">
        <v>240.539455</v>
      </c>
      <c r="M1724">
        <v>258.57048229999998</v>
      </c>
      <c r="N1724">
        <v>277.51767690000003</v>
      </c>
      <c r="O1724">
        <v>301.37340590000002</v>
      </c>
      <c r="P1724">
        <v>334.31436780000001</v>
      </c>
      <c r="Q1724">
        <v>361.61962</v>
      </c>
    </row>
    <row r="1725" spans="1:17" x14ac:dyDescent="0.25">
      <c r="A1725" t="s">
        <v>5</v>
      </c>
      <c r="B1725" t="s">
        <v>6</v>
      </c>
      <c r="C1725" t="s">
        <v>263</v>
      </c>
      <c r="D1725" t="s">
        <v>54</v>
      </c>
      <c r="E1725" t="s">
        <v>27</v>
      </c>
      <c r="F1725">
        <v>10.26675144</v>
      </c>
      <c r="G1725">
        <v>10.57369076</v>
      </c>
      <c r="H1725">
        <v>10.680052959999999</v>
      </c>
      <c r="I1725">
        <v>9.3829770519999993</v>
      </c>
      <c r="J1725">
        <v>11.39678393</v>
      </c>
      <c r="K1725">
        <v>12.89949945</v>
      </c>
      <c r="L1725">
        <v>13.288408410000001</v>
      </c>
      <c r="M1725">
        <v>13.698050070000001</v>
      </c>
      <c r="N1725">
        <v>14.13273409</v>
      </c>
      <c r="O1725">
        <v>14.52012133</v>
      </c>
      <c r="P1725">
        <v>15.05515967</v>
      </c>
      <c r="Q1725">
        <v>15.73908436</v>
      </c>
    </row>
    <row r="1726" spans="1:17" x14ac:dyDescent="0.25">
      <c r="A1726" t="s">
        <v>5</v>
      </c>
      <c r="B1726" t="s">
        <v>6</v>
      </c>
      <c r="C1726" t="s">
        <v>263</v>
      </c>
      <c r="D1726" t="s">
        <v>55</v>
      </c>
      <c r="E1726" t="s">
        <v>27</v>
      </c>
      <c r="F1726">
        <v>6.2046086499999999</v>
      </c>
      <c r="G1726">
        <v>6.8725969869999997</v>
      </c>
      <c r="H1726">
        <v>7.890326494</v>
      </c>
      <c r="I1726">
        <v>9.5170499290000006</v>
      </c>
      <c r="J1726">
        <v>11.46940438</v>
      </c>
      <c r="K1726">
        <v>12.674654110000001</v>
      </c>
      <c r="L1726">
        <v>13.386640359999999</v>
      </c>
      <c r="M1726">
        <v>14.32197056</v>
      </c>
      <c r="N1726">
        <v>15.31715608</v>
      </c>
      <c r="O1726">
        <v>16.556308380000001</v>
      </c>
      <c r="P1726">
        <v>18.202296749999999</v>
      </c>
      <c r="Q1726">
        <v>19.51491</v>
      </c>
    </row>
    <row r="1727" spans="1:17" x14ac:dyDescent="0.25">
      <c r="A1727" t="s">
        <v>5</v>
      </c>
      <c r="B1727" t="s">
        <v>6</v>
      </c>
      <c r="C1727" t="s">
        <v>263</v>
      </c>
      <c r="D1727" t="s">
        <v>56</v>
      </c>
      <c r="E1727" t="s">
        <v>27</v>
      </c>
      <c r="F1727">
        <v>4.0214007040000004</v>
      </c>
      <c r="G1727">
        <v>4.1729530170000002</v>
      </c>
      <c r="H1727">
        <v>4.1085855520000001</v>
      </c>
      <c r="I1727">
        <v>3.5703326839999998</v>
      </c>
      <c r="J1727">
        <v>4.3300333159999997</v>
      </c>
      <c r="K1727">
        <v>4.8879868850000001</v>
      </c>
      <c r="L1727">
        <v>4.9942566819999996</v>
      </c>
      <c r="M1727">
        <v>5.1198310859999996</v>
      </c>
      <c r="N1727">
        <v>5.2611314179999997</v>
      </c>
      <c r="O1727">
        <v>5.3896298470000001</v>
      </c>
      <c r="P1727">
        <v>5.5855674390000001</v>
      </c>
      <c r="Q1727">
        <v>5.8213965720000003</v>
      </c>
    </row>
    <row r="1728" spans="1:17" x14ac:dyDescent="0.25">
      <c r="A1728" t="s">
        <v>5</v>
      </c>
      <c r="B1728" t="s">
        <v>6</v>
      </c>
      <c r="C1728" t="s">
        <v>263</v>
      </c>
      <c r="D1728" t="s">
        <v>57</v>
      </c>
      <c r="E1728" t="s">
        <v>27</v>
      </c>
      <c r="F1728">
        <v>4.1140335859999997</v>
      </c>
      <c r="G1728">
        <v>4.4592998819999998</v>
      </c>
      <c r="H1728">
        <v>5.2034078519999998</v>
      </c>
      <c r="I1728">
        <v>6.3434766470000001</v>
      </c>
      <c r="J1728">
        <v>7.6849575559999996</v>
      </c>
      <c r="K1728">
        <v>8.5834081189999996</v>
      </c>
      <c r="L1728">
        <v>9.1111055570000001</v>
      </c>
      <c r="M1728">
        <v>9.7841099370000002</v>
      </c>
      <c r="N1728">
        <v>10.493896810000001</v>
      </c>
      <c r="O1728">
        <v>11.38558295</v>
      </c>
      <c r="P1728">
        <v>12.605947</v>
      </c>
      <c r="Q1728">
        <v>13.609060980000001</v>
      </c>
    </row>
    <row r="1729" spans="1:17" x14ac:dyDescent="0.25">
      <c r="A1729" t="s">
        <v>5</v>
      </c>
      <c r="B1729" t="s">
        <v>6</v>
      </c>
      <c r="C1729" t="s">
        <v>263</v>
      </c>
      <c r="D1729" t="s">
        <v>58</v>
      </c>
      <c r="E1729" t="s">
        <v>27</v>
      </c>
      <c r="F1729">
        <v>3695.7423130000002</v>
      </c>
      <c r="G1729">
        <v>3801.4253520000002</v>
      </c>
      <c r="H1729">
        <v>3944.1196030000001</v>
      </c>
      <c r="I1729">
        <v>3537.1471710000001</v>
      </c>
      <c r="J1729">
        <v>4303.2089370000003</v>
      </c>
      <c r="K1729">
        <v>4894.7428330000002</v>
      </c>
      <c r="L1729">
        <v>5102.9629779999996</v>
      </c>
      <c r="M1729">
        <v>5306.7518239999999</v>
      </c>
      <c r="N1729">
        <v>5511.5510109999996</v>
      </c>
      <c r="O1729">
        <v>5690.4824010000002</v>
      </c>
      <c r="P1729">
        <v>5911.8591459999998</v>
      </c>
      <c r="Q1729">
        <v>6205.8157950000004</v>
      </c>
    </row>
    <row r="1730" spans="1:17" x14ac:dyDescent="0.25">
      <c r="A1730" t="s">
        <v>5</v>
      </c>
      <c r="B1730" t="s">
        <v>6</v>
      </c>
      <c r="C1730" t="s">
        <v>263</v>
      </c>
      <c r="D1730" t="s">
        <v>59</v>
      </c>
      <c r="E1730" t="s">
        <v>27</v>
      </c>
      <c r="F1730">
        <v>1102.881601</v>
      </c>
      <c r="G1730">
        <v>1194.377377</v>
      </c>
      <c r="H1730">
        <v>1392.3698039999999</v>
      </c>
      <c r="I1730">
        <v>1694.9753270000001</v>
      </c>
      <c r="J1730">
        <v>2051.3643729999999</v>
      </c>
      <c r="K1730">
        <v>2292.0293419999998</v>
      </c>
      <c r="L1730">
        <v>2434.089755</v>
      </c>
      <c r="M1730">
        <v>2614.6610409999998</v>
      </c>
      <c r="N1730">
        <v>2804.1043340000001</v>
      </c>
      <c r="O1730">
        <v>3041.1793389999998</v>
      </c>
      <c r="P1730">
        <v>3366.5882459999998</v>
      </c>
      <c r="Q1730">
        <v>3635.3523679999998</v>
      </c>
    </row>
    <row r="1731" spans="1:17" x14ac:dyDescent="0.25">
      <c r="A1731" t="s">
        <v>5</v>
      </c>
      <c r="B1731" t="s">
        <v>6</v>
      </c>
      <c r="C1731" t="s">
        <v>263</v>
      </c>
      <c r="D1731" t="s">
        <v>60</v>
      </c>
      <c r="E1731" t="s">
        <v>27</v>
      </c>
      <c r="F1731">
        <v>12.162403060000001</v>
      </c>
      <c r="G1731">
        <v>12.43876386</v>
      </c>
      <c r="H1731">
        <v>12.97779761</v>
      </c>
      <c r="I1731">
        <v>11.60066187</v>
      </c>
      <c r="J1731">
        <v>14.10791302</v>
      </c>
      <c r="K1731">
        <v>16.024404489999998</v>
      </c>
      <c r="L1731">
        <v>16.69748517</v>
      </c>
      <c r="M1731">
        <v>17.33216921</v>
      </c>
      <c r="N1731">
        <v>17.968562970000001</v>
      </c>
      <c r="O1731">
        <v>18.51243569</v>
      </c>
      <c r="P1731">
        <v>19.161404940000001</v>
      </c>
      <c r="Q1731">
        <v>20.094956539999998</v>
      </c>
    </row>
    <row r="1732" spans="1:17" x14ac:dyDescent="0.25">
      <c r="A1732" t="s">
        <v>5</v>
      </c>
      <c r="B1732" t="s">
        <v>6</v>
      </c>
      <c r="C1732" t="s">
        <v>263</v>
      </c>
      <c r="D1732" t="s">
        <v>61</v>
      </c>
      <c r="E1732" t="s">
        <v>27</v>
      </c>
      <c r="F1732">
        <v>9.5414109590000002</v>
      </c>
      <c r="G1732">
        <v>10.66147709</v>
      </c>
      <c r="H1732">
        <v>12.14150557</v>
      </c>
      <c r="I1732">
        <v>14.557536949999999</v>
      </c>
      <c r="J1732">
        <v>17.489703509999998</v>
      </c>
      <c r="K1732">
        <v>19.2405331</v>
      </c>
      <c r="L1732">
        <v>20.28306654</v>
      </c>
      <c r="M1732">
        <v>21.666598789999998</v>
      </c>
      <c r="N1732">
        <v>23.137360229999999</v>
      </c>
      <c r="O1732">
        <v>24.955071090000001</v>
      </c>
      <c r="P1732">
        <v>27.340894649999999</v>
      </c>
      <c r="Q1732">
        <v>29.22191501</v>
      </c>
    </row>
    <row r="1733" spans="1:17" x14ac:dyDescent="0.25">
      <c r="A1733" t="s">
        <v>5</v>
      </c>
      <c r="B1733" t="s">
        <v>6</v>
      </c>
      <c r="C1733" t="s">
        <v>263</v>
      </c>
      <c r="D1733" t="s">
        <v>62</v>
      </c>
      <c r="E1733" t="s">
        <v>27</v>
      </c>
      <c r="F1733">
        <v>190.4336309</v>
      </c>
      <c r="G1733">
        <v>195.6949424</v>
      </c>
      <c r="H1733">
        <v>201.16206210000001</v>
      </c>
      <c r="I1733">
        <v>178.78865730000001</v>
      </c>
      <c r="J1733">
        <v>217.4239298</v>
      </c>
      <c r="K1733">
        <v>246.82113889999999</v>
      </c>
      <c r="L1733">
        <v>256.07012420000001</v>
      </c>
      <c r="M1733">
        <v>265.39074140000002</v>
      </c>
      <c r="N1733">
        <v>274.93898309999997</v>
      </c>
      <c r="O1733">
        <v>283.38872880000002</v>
      </c>
      <c r="P1733">
        <v>294.36009639999997</v>
      </c>
      <c r="Q1733">
        <v>308.57246459999999</v>
      </c>
    </row>
    <row r="1734" spans="1:17" x14ac:dyDescent="0.25">
      <c r="A1734" t="s">
        <v>5</v>
      </c>
      <c r="B1734" t="s">
        <v>6</v>
      </c>
      <c r="C1734" t="s">
        <v>263</v>
      </c>
      <c r="D1734" t="s">
        <v>63</v>
      </c>
      <c r="E1734" t="s">
        <v>27</v>
      </c>
      <c r="F1734">
        <v>21.18335562</v>
      </c>
      <c r="G1734">
        <v>22.746949579999999</v>
      </c>
      <c r="H1734">
        <v>26.64792052</v>
      </c>
      <c r="I1734">
        <v>32.427385780000002</v>
      </c>
      <c r="J1734">
        <v>39.168784080000002</v>
      </c>
      <c r="K1734">
        <v>43.912109010000002</v>
      </c>
      <c r="L1734">
        <v>46.739064849999998</v>
      </c>
      <c r="M1734">
        <v>50.324850650000002</v>
      </c>
      <c r="N1734">
        <v>54.046235070000002</v>
      </c>
      <c r="O1734">
        <v>58.648797170000002</v>
      </c>
      <c r="P1734">
        <v>65.01557889</v>
      </c>
      <c r="Q1734">
        <v>70.365943139999999</v>
      </c>
    </row>
    <row r="1735" spans="1:17" x14ac:dyDescent="0.25">
      <c r="A1735" t="s">
        <v>5</v>
      </c>
      <c r="B1735" t="s">
        <v>6</v>
      </c>
      <c r="C1735" t="s">
        <v>263</v>
      </c>
      <c r="D1735" t="s">
        <v>64</v>
      </c>
      <c r="E1735" t="s">
        <v>27</v>
      </c>
      <c r="F1735">
        <v>10.125882150000001</v>
      </c>
      <c r="G1735">
        <v>17.275891489999999</v>
      </c>
      <c r="H1735">
        <v>25.341392809999999</v>
      </c>
      <c r="I1735">
        <v>36.238227989999999</v>
      </c>
      <c r="J1735">
        <v>30.56975718</v>
      </c>
      <c r="K1735">
        <v>42.014585879999998</v>
      </c>
      <c r="L1735">
        <v>42.693348520000001</v>
      </c>
      <c r="M1735">
        <v>47.685950699999999</v>
      </c>
      <c r="N1735">
        <v>53.94690121</v>
      </c>
      <c r="O1735">
        <v>65.465340019999999</v>
      </c>
      <c r="P1735">
        <v>77.639532419999995</v>
      </c>
      <c r="Q1735">
        <v>80.518129590000001</v>
      </c>
    </row>
    <row r="1736" spans="1:17" x14ac:dyDescent="0.25">
      <c r="A1736" t="s">
        <v>5</v>
      </c>
      <c r="B1736" t="s">
        <v>6</v>
      </c>
      <c r="C1736" t="s">
        <v>263</v>
      </c>
      <c r="D1736" t="s">
        <v>65</v>
      </c>
      <c r="E1736" t="s">
        <v>27</v>
      </c>
      <c r="F1736">
        <v>84.722820479999996</v>
      </c>
      <c r="G1736">
        <v>154.51828689999999</v>
      </c>
      <c r="H1736">
        <v>213.73825540000001</v>
      </c>
      <c r="I1736">
        <v>187.20182449999999</v>
      </c>
      <c r="J1736">
        <v>133.24474549999999</v>
      </c>
      <c r="K1736">
        <v>168.3378567</v>
      </c>
      <c r="L1736">
        <v>167.89305759999999</v>
      </c>
      <c r="M1736">
        <v>152.36902309999999</v>
      </c>
      <c r="N1736">
        <v>156.00621849999999</v>
      </c>
      <c r="O1736">
        <v>166.6378225</v>
      </c>
      <c r="P1736">
        <v>176.0831536</v>
      </c>
      <c r="Q1736">
        <v>167.5366057</v>
      </c>
    </row>
    <row r="1737" spans="1:17" x14ac:dyDescent="0.25">
      <c r="A1737" t="s">
        <v>5</v>
      </c>
      <c r="B1737" t="s">
        <v>6</v>
      </c>
      <c r="C1737" t="s">
        <v>263</v>
      </c>
      <c r="D1737" t="s">
        <v>66</v>
      </c>
      <c r="E1737" t="s">
        <v>27</v>
      </c>
      <c r="F1737">
        <v>8.7209613000000005E-2</v>
      </c>
      <c r="G1737">
        <v>0.21033013</v>
      </c>
      <c r="H1737">
        <v>0.53485341900000005</v>
      </c>
      <c r="I1737">
        <v>1.0820236480000001</v>
      </c>
      <c r="J1737">
        <v>1.127682216</v>
      </c>
      <c r="K1737">
        <v>1.9335710989999999</v>
      </c>
      <c r="L1737">
        <v>1.890076307</v>
      </c>
      <c r="M1737">
        <v>1.994839045</v>
      </c>
      <c r="N1737">
        <v>2.3092571749999999</v>
      </c>
      <c r="O1737">
        <v>2.8770732730000002</v>
      </c>
      <c r="P1737">
        <v>3.5594032389999999</v>
      </c>
      <c r="Q1737">
        <v>3.7247266589999999</v>
      </c>
    </row>
    <row r="1738" spans="1:17" x14ac:dyDescent="0.25">
      <c r="A1738" t="s">
        <v>5</v>
      </c>
      <c r="B1738" t="s">
        <v>6</v>
      </c>
      <c r="C1738" t="s">
        <v>263</v>
      </c>
      <c r="D1738" t="s">
        <v>67</v>
      </c>
      <c r="E1738" t="s">
        <v>27</v>
      </c>
      <c r="F1738">
        <v>0.25662861999999997</v>
      </c>
      <c r="G1738">
        <v>0.48241565400000003</v>
      </c>
      <c r="H1738">
        <v>0.72325427499999995</v>
      </c>
      <c r="I1738">
        <v>1.074886515</v>
      </c>
      <c r="J1738">
        <v>1.0101290249999999</v>
      </c>
      <c r="K1738">
        <v>1.508476661</v>
      </c>
      <c r="L1738">
        <v>1.4778489610000001</v>
      </c>
      <c r="M1738">
        <v>1.6281001429999999</v>
      </c>
      <c r="N1738">
        <v>1.940460407</v>
      </c>
      <c r="O1738">
        <v>2.3414863389999998</v>
      </c>
      <c r="P1738">
        <v>2.7487331080000001</v>
      </c>
      <c r="Q1738">
        <v>2.8712580660000002</v>
      </c>
    </row>
    <row r="1739" spans="1:17" x14ac:dyDescent="0.25">
      <c r="A1739" t="s">
        <v>5</v>
      </c>
      <c r="B1739" t="s">
        <v>6</v>
      </c>
      <c r="C1739" t="s">
        <v>263</v>
      </c>
      <c r="D1739" t="s">
        <v>68</v>
      </c>
      <c r="E1739" t="s">
        <v>27</v>
      </c>
      <c r="F1739">
        <v>1.691623E-3</v>
      </c>
      <c r="G1739">
        <v>3.1934588E-2</v>
      </c>
      <c r="H1739">
        <v>0.107387816</v>
      </c>
      <c r="I1739">
        <v>5.5069528E-2</v>
      </c>
      <c r="J1739">
        <v>1.104872E-2</v>
      </c>
      <c r="K1739">
        <v>2.1447276000000001E-2</v>
      </c>
      <c r="L1739">
        <v>1.2786891E-2</v>
      </c>
      <c r="M1739">
        <v>6.5838789999999999E-3</v>
      </c>
      <c r="N1739">
        <v>6.8527960000000004E-3</v>
      </c>
      <c r="O1739">
        <v>2.1812631999999998E-2</v>
      </c>
      <c r="P1739">
        <v>2.6631222999999999E-2</v>
      </c>
      <c r="Q1739">
        <v>2.4415168000000001E-2</v>
      </c>
    </row>
    <row r="1740" spans="1:17" x14ac:dyDescent="0.25">
      <c r="A1740" t="s">
        <v>5</v>
      </c>
      <c r="B1740" t="s">
        <v>6</v>
      </c>
      <c r="C1740" t="s">
        <v>263</v>
      </c>
      <c r="D1740" t="s">
        <v>69</v>
      </c>
      <c r="E1740" t="s">
        <v>27</v>
      </c>
      <c r="F1740">
        <v>6.7680223020000003</v>
      </c>
      <c r="G1740">
        <v>9.8055387790000008</v>
      </c>
      <c r="H1740">
        <v>12.643414099999999</v>
      </c>
      <c r="I1740">
        <v>15.69429828</v>
      </c>
      <c r="J1740">
        <v>12.37638209</v>
      </c>
      <c r="K1740">
        <v>14.56320949</v>
      </c>
      <c r="L1740">
        <v>16.663516080000001</v>
      </c>
      <c r="M1740">
        <v>18.294049569999999</v>
      </c>
      <c r="N1740">
        <v>21.405610800000002</v>
      </c>
      <c r="O1740">
        <v>26.41463723</v>
      </c>
      <c r="P1740">
        <v>30.308295430000001</v>
      </c>
      <c r="Q1740">
        <v>32.076964920000002</v>
      </c>
    </row>
    <row r="1741" spans="1:17" x14ac:dyDescent="0.25">
      <c r="A1741" t="s">
        <v>5</v>
      </c>
      <c r="B1741" t="s">
        <v>6</v>
      </c>
      <c r="C1741" t="s">
        <v>263</v>
      </c>
      <c r="D1741" t="s">
        <v>70</v>
      </c>
      <c r="E1741" t="s">
        <v>27</v>
      </c>
      <c r="F1741">
        <v>19.924996579999998</v>
      </c>
      <c r="G1741">
        <v>29.170427069999999</v>
      </c>
      <c r="H1741">
        <v>38.027107800000003</v>
      </c>
      <c r="I1741">
        <v>47.564461229999999</v>
      </c>
      <c r="J1741">
        <v>37.623035870000002</v>
      </c>
      <c r="K1741">
        <v>44.136885280000001</v>
      </c>
      <c r="L1741">
        <v>49.956223489999999</v>
      </c>
      <c r="M1741">
        <v>54.502631460000003</v>
      </c>
      <c r="N1741">
        <v>64.036457490000004</v>
      </c>
      <c r="O1741">
        <v>80.131359950000004</v>
      </c>
      <c r="P1741">
        <v>93.086778050000007</v>
      </c>
      <c r="Q1741">
        <v>99.07768849</v>
      </c>
    </row>
    <row r="1742" spans="1:17" x14ac:dyDescent="0.25">
      <c r="A1742" t="s">
        <v>5</v>
      </c>
      <c r="B1742" t="s">
        <v>6</v>
      </c>
      <c r="C1742" t="s">
        <v>263</v>
      </c>
      <c r="D1742" t="s">
        <v>71</v>
      </c>
      <c r="E1742" t="s">
        <v>27</v>
      </c>
      <c r="F1742">
        <v>3.4900454029999999</v>
      </c>
      <c r="G1742">
        <v>5.0248429979999996</v>
      </c>
      <c r="H1742">
        <v>6.5439604720000002</v>
      </c>
      <c r="I1742">
        <v>8.3649373550000004</v>
      </c>
      <c r="J1742">
        <v>6.4999276159999999</v>
      </c>
      <c r="K1742">
        <v>7.6039254270000001</v>
      </c>
      <c r="L1742">
        <v>8.4204827360000003</v>
      </c>
      <c r="M1742">
        <v>9.0131943010000004</v>
      </c>
      <c r="N1742">
        <v>10.38751647</v>
      </c>
      <c r="O1742">
        <v>12.74013141</v>
      </c>
      <c r="P1742">
        <v>14.57669005</v>
      </c>
      <c r="Q1742">
        <v>15.488744110000001</v>
      </c>
    </row>
    <row r="1743" spans="1:17" x14ac:dyDescent="0.25">
      <c r="A1743" t="s">
        <v>5</v>
      </c>
      <c r="B1743" t="s">
        <v>6</v>
      </c>
      <c r="C1743" t="s">
        <v>263</v>
      </c>
      <c r="D1743" t="s">
        <v>72</v>
      </c>
      <c r="E1743" t="s">
        <v>27</v>
      </c>
      <c r="F1743">
        <v>2.2146546200000001</v>
      </c>
      <c r="G1743">
        <v>3.0962420389999998</v>
      </c>
      <c r="H1743">
        <v>3.9374795909999998</v>
      </c>
      <c r="I1743">
        <v>5.0355676049999998</v>
      </c>
      <c r="J1743">
        <v>4.0230858520000004</v>
      </c>
      <c r="K1743">
        <v>4.8185223590000001</v>
      </c>
      <c r="L1743">
        <v>5.4129842369999999</v>
      </c>
      <c r="M1743">
        <v>5.8700375630000003</v>
      </c>
      <c r="N1743">
        <v>6.7430382130000002</v>
      </c>
      <c r="O1743">
        <v>8.1280988450000002</v>
      </c>
      <c r="P1743">
        <v>9.2502302049999994</v>
      </c>
      <c r="Q1743">
        <v>9.9902719009999998</v>
      </c>
    </row>
    <row r="1744" spans="1:17" x14ac:dyDescent="0.25">
      <c r="A1744" t="s">
        <v>5</v>
      </c>
      <c r="B1744" t="s">
        <v>6</v>
      </c>
      <c r="C1744" t="s">
        <v>263</v>
      </c>
      <c r="D1744" t="s">
        <v>73</v>
      </c>
      <c r="E1744" t="s">
        <v>27</v>
      </c>
      <c r="F1744">
        <v>8.4867168000000007E-2</v>
      </c>
      <c r="G1744">
        <v>0.124212246</v>
      </c>
      <c r="H1744">
        <v>0.166862539</v>
      </c>
      <c r="I1744">
        <v>0.21360101300000001</v>
      </c>
      <c r="J1744">
        <v>0.16703179600000001</v>
      </c>
      <c r="K1744">
        <v>0.19281166199999999</v>
      </c>
      <c r="L1744">
        <v>0.21681800900000001</v>
      </c>
      <c r="M1744">
        <v>0.23674199600000001</v>
      </c>
      <c r="N1744">
        <v>0.27799612800000001</v>
      </c>
      <c r="O1744">
        <v>0.35157187400000001</v>
      </c>
      <c r="P1744">
        <v>0.41472609799999999</v>
      </c>
      <c r="Q1744">
        <v>0.44029571299999998</v>
      </c>
    </row>
    <row r="1745" spans="1:17" x14ac:dyDescent="0.25">
      <c r="A1745" t="s">
        <v>5</v>
      </c>
      <c r="B1745" t="s">
        <v>6</v>
      </c>
      <c r="C1745" t="s">
        <v>263</v>
      </c>
      <c r="D1745" t="s">
        <v>74</v>
      </c>
      <c r="E1745" t="s">
        <v>27</v>
      </c>
      <c r="F1745">
        <v>4.4576184999999997E-2</v>
      </c>
      <c r="G1745">
        <v>5.8475621999999998E-2</v>
      </c>
      <c r="H1745">
        <v>0.16566460899999999</v>
      </c>
      <c r="I1745">
        <v>0.402155865</v>
      </c>
      <c r="J1745">
        <v>0.34416711300000002</v>
      </c>
      <c r="K1745">
        <v>0.52785533100000004</v>
      </c>
      <c r="L1745">
        <v>0.55990579299999998</v>
      </c>
      <c r="M1745">
        <v>0.45931555200000002</v>
      </c>
      <c r="N1745">
        <v>0.33710366000000003</v>
      </c>
      <c r="O1745">
        <v>0.33243543399999997</v>
      </c>
      <c r="P1745">
        <v>0.53629897000000004</v>
      </c>
      <c r="Q1745">
        <v>0.64625025800000002</v>
      </c>
    </row>
    <row r="1746" spans="1:17" x14ac:dyDescent="0.25">
      <c r="A1746" t="s">
        <v>5</v>
      </c>
      <c r="B1746" t="s">
        <v>6</v>
      </c>
      <c r="C1746" t="s">
        <v>263</v>
      </c>
      <c r="D1746" t="s">
        <v>75</v>
      </c>
      <c r="E1746" t="s">
        <v>27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</row>
    <row r="1747" spans="1:17" x14ac:dyDescent="0.25">
      <c r="A1747" t="s">
        <v>5</v>
      </c>
      <c r="B1747" t="s">
        <v>6</v>
      </c>
      <c r="C1747" t="s">
        <v>263</v>
      </c>
      <c r="D1747" t="s">
        <v>76</v>
      </c>
      <c r="E1747" t="s">
        <v>27</v>
      </c>
      <c r="F1747">
        <v>4.8772879999999996E-3</v>
      </c>
      <c r="G1747">
        <v>3.6557690000000001E-3</v>
      </c>
      <c r="H1747">
        <v>6.9635690000000002E-3</v>
      </c>
      <c r="I1747">
        <v>2.3054096999999999E-2</v>
      </c>
      <c r="J1747">
        <v>3.3207219999999999E-3</v>
      </c>
      <c r="K1747">
        <v>2.531111E-3</v>
      </c>
      <c r="L1747">
        <v>2.810524E-3</v>
      </c>
      <c r="M1747">
        <v>4.8952090000000002E-3</v>
      </c>
      <c r="N1747">
        <v>6.3260299999999998E-3</v>
      </c>
      <c r="O1747">
        <v>4.1714159999999998E-3</v>
      </c>
      <c r="P1747">
        <v>5.6212329999999998E-3</v>
      </c>
      <c r="Q1747">
        <v>6.4979490000000003E-3</v>
      </c>
    </row>
    <row r="1748" spans="1:17" x14ac:dyDescent="0.25">
      <c r="A1748" t="s">
        <v>5</v>
      </c>
      <c r="B1748" t="s">
        <v>6</v>
      </c>
      <c r="C1748" t="s">
        <v>263</v>
      </c>
      <c r="D1748" t="s">
        <v>77</v>
      </c>
      <c r="E1748" t="s">
        <v>27</v>
      </c>
      <c r="F1748">
        <v>9.7486399999999998E-4</v>
      </c>
      <c r="G1748">
        <v>1.307639E-3</v>
      </c>
      <c r="H1748">
        <v>3.7601940000000001E-3</v>
      </c>
      <c r="I1748">
        <v>9.1486559999999998E-3</v>
      </c>
      <c r="J1748">
        <v>7.8872609999999996E-3</v>
      </c>
      <c r="K1748">
        <v>1.2125706999999999E-2</v>
      </c>
      <c r="L1748">
        <v>1.2869185999999999E-2</v>
      </c>
      <c r="M1748">
        <v>1.0674263999999999E-2</v>
      </c>
      <c r="N1748">
        <v>7.9700020000000003E-3</v>
      </c>
      <c r="O1748">
        <v>7.776051E-3</v>
      </c>
      <c r="P1748">
        <v>1.2490009E-2</v>
      </c>
      <c r="Q1748">
        <v>1.5036384999999999E-2</v>
      </c>
    </row>
    <row r="1749" spans="1:17" x14ac:dyDescent="0.25">
      <c r="A1749" t="s">
        <v>5</v>
      </c>
      <c r="B1749" t="s">
        <v>6</v>
      </c>
      <c r="C1749" t="s">
        <v>263</v>
      </c>
      <c r="D1749" t="s">
        <v>78</v>
      </c>
      <c r="E1749" t="s">
        <v>27</v>
      </c>
      <c r="F1749">
        <v>1.11427E-4</v>
      </c>
      <c r="G1749" s="1">
        <v>4.2299999999999998E-5</v>
      </c>
      <c r="H1749" s="1">
        <v>5.41E-5</v>
      </c>
      <c r="I1749">
        <v>2.2927099999999999E-4</v>
      </c>
      <c r="J1749" s="1">
        <v>3.0000000000000001E-5</v>
      </c>
      <c r="K1749" s="1">
        <v>2.0100000000000001E-5</v>
      </c>
      <c r="L1749" s="1">
        <v>2.5400000000000001E-5</v>
      </c>
      <c r="M1749" s="1">
        <v>9.7100000000000002E-5</v>
      </c>
      <c r="N1749">
        <v>1.53747E-4</v>
      </c>
      <c r="O1749" s="1">
        <v>9.2299999999999994E-5</v>
      </c>
      <c r="P1749">
        <v>1.1552099999999999E-4</v>
      </c>
      <c r="Q1749">
        <v>1.3081400000000001E-4</v>
      </c>
    </row>
    <row r="1750" spans="1:17" x14ac:dyDescent="0.25">
      <c r="A1750" t="s">
        <v>5</v>
      </c>
      <c r="B1750" t="s">
        <v>6</v>
      </c>
      <c r="C1750" t="s">
        <v>263</v>
      </c>
      <c r="D1750" t="s">
        <v>79</v>
      </c>
      <c r="E1750" t="s">
        <v>9</v>
      </c>
      <c r="F1750">
        <v>41702.339359999998</v>
      </c>
      <c r="G1750">
        <v>48322.935949999999</v>
      </c>
      <c r="H1750">
        <v>54871.059979999998</v>
      </c>
      <c r="I1750">
        <v>84131.769759999996</v>
      </c>
      <c r="J1750">
        <v>63775.799290000003</v>
      </c>
      <c r="K1750">
        <v>78479.244609999994</v>
      </c>
      <c r="L1750">
        <v>93051.207009999998</v>
      </c>
      <c r="M1750">
        <v>106908.8532</v>
      </c>
      <c r="N1750">
        <v>122291.7138</v>
      </c>
      <c r="O1750">
        <v>138630.4596</v>
      </c>
      <c r="P1750">
        <v>153793.27189999999</v>
      </c>
      <c r="Q1750">
        <v>166914.4823</v>
      </c>
    </row>
    <row r="1751" spans="1:17" x14ac:dyDescent="0.25">
      <c r="A1751" t="s">
        <v>5</v>
      </c>
      <c r="B1751" t="s">
        <v>6</v>
      </c>
      <c r="C1751" t="s">
        <v>263</v>
      </c>
      <c r="D1751" t="s">
        <v>80</v>
      </c>
      <c r="E1751" t="s">
        <v>9</v>
      </c>
      <c r="F1751">
        <v>631.29582349999998</v>
      </c>
      <c r="G1751">
        <v>728.81951530000003</v>
      </c>
      <c r="H1751">
        <v>872.79800599999999</v>
      </c>
      <c r="I1751">
        <v>981.59868159999996</v>
      </c>
      <c r="J1751">
        <v>974.18120090000002</v>
      </c>
      <c r="K1751">
        <v>1096.4747649999999</v>
      </c>
      <c r="L1751">
        <v>1260.624511</v>
      </c>
      <c r="M1751">
        <v>1380.4928649999999</v>
      </c>
      <c r="N1751">
        <v>1472.4289450000001</v>
      </c>
      <c r="O1751">
        <v>1543.1413970000001</v>
      </c>
      <c r="P1751">
        <v>1581.5297350000001</v>
      </c>
      <c r="Q1751">
        <v>1618.277151</v>
      </c>
    </row>
    <row r="1752" spans="1:17" x14ac:dyDescent="0.25">
      <c r="A1752" t="s">
        <v>5</v>
      </c>
      <c r="B1752" t="s">
        <v>6</v>
      </c>
      <c r="C1752" t="s">
        <v>263</v>
      </c>
      <c r="D1752" t="s">
        <v>81</v>
      </c>
      <c r="E1752" t="s">
        <v>9</v>
      </c>
      <c r="F1752">
        <v>137249.79629999999</v>
      </c>
      <c r="G1752">
        <v>126227.6069</v>
      </c>
      <c r="H1752">
        <v>113128.621</v>
      </c>
      <c r="I1752">
        <v>129742.31660000001</v>
      </c>
      <c r="J1752">
        <v>156481.1042</v>
      </c>
      <c r="K1752">
        <v>142590.4915</v>
      </c>
      <c r="L1752">
        <v>157021.41080000001</v>
      </c>
      <c r="M1752">
        <v>147943.9142</v>
      </c>
      <c r="N1752">
        <v>147719.00109999999</v>
      </c>
      <c r="O1752">
        <v>140211.12059999999</v>
      </c>
      <c r="P1752">
        <v>134992.2703</v>
      </c>
      <c r="Q1752">
        <v>130487.57490000001</v>
      </c>
    </row>
    <row r="1753" spans="1:17" x14ac:dyDescent="0.25">
      <c r="A1753" t="s">
        <v>5</v>
      </c>
      <c r="B1753" t="s">
        <v>6</v>
      </c>
      <c r="C1753" t="s">
        <v>263</v>
      </c>
      <c r="D1753" t="s">
        <v>82</v>
      </c>
      <c r="E1753" t="s">
        <v>9</v>
      </c>
      <c r="F1753">
        <v>4597.7801220000001</v>
      </c>
      <c r="G1753">
        <v>5451.0210310000002</v>
      </c>
      <c r="H1753">
        <v>6760.7375679999996</v>
      </c>
      <c r="I1753">
        <v>9027.3780189999998</v>
      </c>
      <c r="J1753">
        <v>10807.498079999999</v>
      </c>
      <c r="K1753">
        <v>12630.90264</v>
      </c>
      <c r="L1753">
        <v>13616.09316</v>
      </c>
      <c r="M1753">
        <v>15536.46434</v>
      </c>
      <c r="N1753">
        <v>17595.27331</v>
      </c>
      <c r="O1753">
        <v>18858.642830000001</v>
      </c>
      <c r="P1753">
        <v>20239.74137</v>
      </c>
      <c r="Q1753">
        <v>21559.161329999999</v>
      </c>
    </row>
    <row r="1754" spans="1:17" x14ac:dyDescent="0.25">
      <c r="A1754" t="s">
        <v>5</v>
      </c>
      <c r="B1754" t="s">
        <v>6</v>
      </c>
      <c r="C1754" t="s">
        <v>263</v>
      </c>
      <c r="D1754" t="s">
        <v>83</v>
      </c>
      <c r="E1754" t="s">
        <v>9</v>
      </c>
      <c r="F1754">
        <v>1.2070910189999999</v>
      </c>
      <c r="G1754">
        <v>1.319935544</v>
      </c>
      <c r="H1754">
        <v>1.2129109469999999</v>
      </c>
      <c r="I1754">
        <v>2.0976111940000002</v>
      </c>
      <c r="J1754">
        <v>1.3587303230000001</v>
      </c>
      <c r="K1754">
        <v>1.5244915569999999</v>
      </c>
      <c r="L1754">
        <v>1.786921438</v>
      </c>
      <c r="M1754">
        <v>2.1462810050000001</v>
      </c>
      <c r="N1754">
        <v>2.5532927249999999</v>
      </c>
      <c r="O1754">
        <v>2.9171626939999999</v>
      </c>
      <c r="P1754">
        <v>3.1588359750000001</v>
      </c>
      <c r="Q1754">
        <v>3.2655526940000001</v>
      </c>
    </row>
    <row r="1755" spans="1:17" x14ac:dyDescent="0.25">
      <c r="A1755" t="s">
        <v>5</v>
      </c>
      <c r="B1755" t="s">
        <v>6</v>
      </c>
      <c r="C1755" t="s">
        <v>263</v>
      </c>
      <c r="D1755" t="s">
        <v>84</v>
      </c>
      <c r="E1755" t="s">
        <v>9</v>
      </c>
      <c r="F1755">
        <v>1.1469265639999999</v>
      </c>
      <c r="G1755">
        <v>1.6643792369999999</v>
      </c>
      <c r="H1755">
        <v>1.5631872449999999</v>
      </c>
      <c r="I1755">
        <v>1.957320097</v>
      </c>
      <c r="J1755">
        <v>1.788152892</v>
      </c>
      <c r="K1755">
        <v>1.999618533</v>
      </c>
      <c r="L1755">
        <v>2.2847274460000002</v>
      </c>
      <c r="M1755">
        <v>2.619227923</v>
      </c>
      <c r="N1755">
        <v>2.9581507610000002</v>
      </c>
      <c r="O1755">
        <v>3.2950106419999998</v>
      </c>
      <c r="P1755">
        <v>3.6716077989999998</v>
      </c>
      <c r="Q1755">
        <v>4.0612375519999997</v>
      </c>
    </row>
    <row r="1756" spans="1:17" x14ac:dyDescent="0.25">
      <c r="A1756" t="s">
        <v>5</v>
      </c>
      <c r="B1756" t="s">
        <v>6</v>
      </c>
      <c r="C1756" t="s">
        <v>263</v>
      </c>
      <c r="D1756" t="s">
        <v>85</v>
      </c>
      <c r="E1756" t="s">
        <v>9</v>
      </c>
      <c r="F1756">
        <v>0.32975983800000003</v>
      </c>
      <c r="G1756">
        <v>0.43893324500000003</v>
      </c>
      <c r="H1756">
        <v>0.56004703</v>
      </c>
      <c r="I1756">
        <v>2.814101199</v>
      </c>
      <c r="J1756">
        <v>0.28472953000000001</v>
      </c>
      <c r="K1756">
        <v>0.47872141099999999</v>
      </c>
      <c r="L1756">
        <v>0.92895975600000003</v>
      </c>
      <c r="M1756">
        <v>1.5068554160000001</v>
      </c>
      <c r="N1756">
        <v>1.7304432320000001</v>
      </c>
      <c r="O1756">
        <v>1.659561638</v>
      </c>
      <c r="P1756">
        <v>1.8272613980000001</v>
      </c>
      <c r="Q1756">
        <v>2.231892325</v>
      </c>
    </row>
    <row r="1757" spans="1:17" x14ac:dyDescent="0.25">
      <c r="A1757" t="s">
        <v>5</v>
      </c>
      <c r="B1757" t="s">
        <v>6</v>
      </c>
      <c r="C1757" t="s">
        <v>263</v>
      </c>
      <c r="D1757" t="s">
        <v>86</v>
      </c>
      <c r="E1757" t="s">
        <v>9</v>
      </c>
      <c r="F1757">
        <v>0.14991642599999999</v>
      </c>
      <c r="G1757">
        <v>0.20243287500000001</v>
      </c>
      <c r="H1757">
        <v>0.24270282300000001</v>
      </c>
      <c r="I1757">
        <v>0.59042121700000005</v>
      </c>
      <c r="J1757">
        <v>0.28439804499999999</v>
      </c>
      <c r="K1757">
        <v>0.39024987799999999</v>
      </c>
      <c r="L1757">
        <v>0.57075180199999997</v>
      </c>
      <c r="M1757">
        <v>0.75289918899999997</v>
      </c>
      <c r="N1757">
        <v>0.80923476000000005</v>
      </c>
      <c r="O1757">
        <v>0.76352721499999998</v>
      </c>
      <c r="P1757">
        <v>0.77754605899999996</v>
      </c>
      <c r="Q1757">
        <v>0.869226532</v>
      </c>
    </row>
    <row r="1758" spans="1:17" x14ac:dyDescent="0.25">
      <c r="A1758" t="s">
        <v>5</v>
      </c>
      <c r="B1758" t="s">
        <v>6</v>
      </c>
      <c r="C1758" t="s">
        <v>263</v>
      </c>
      <c r="D1758" t="s">
        <v>87</v>
      </c>
      <c r="E1758" t="s">
        <v>9</v>
      </c>
      <c r="F1758">
        <v>7.3251933259999999</v>
      </c>
      <c r="G1758">
        <v>9.4646881720000007</v>
      </c>
      <c r="H1758">
        <v>7.9056629669999996</v>
      </c>
      <c r="I1758">
        <v>8.4774926809999993</v>
      </c>
      <c r="J1758">
        <v>8.9154564690000004</v>
      </c>
      <c r="K1758">
        <v>9.1810180549999991</v>
      </c>
      <c r="L1758">
        <v>9.3750927859999997</v>
      </c>
      <c r="M1758">
        <v>9.6906307030000001</v>
      </c>
      <c r="N1758">
        <v>10.1275791</v>
      </c>
      <c r="O1758">
        <v>10.639270489999999</v>
      </c>
      <c r="P1758">
        <v>11.195190820000001</v>
      </c>
      <c r="Q1758">
        <v>11.66403352</v>
      </c>
    </row>
    <row r="1759" spans="1:17" x14ac:dyDescent="0.25">
      <c r="A1759" t="s">
        <v>5</v>
      </c>
      <c r="B1759" t="s">
        <v>6</v>
      </c>
      <c r="C1759" t="s">
        <v>263</v>
      </c>
      <c r="D1759" t="s">
        <v>88</v>
      </c>
      <c r="E1759" t="s">
        <v>19</v>
      </c>
      <c r="F1759">
        <v>1165935978</v>
      </c>
      <c r="G1759">
        <v>1284375210</v>
      </c>
      <c r="H1759">
        <v>1340156619</v>
      </c>
      <c r="I1759">
        <v>1423488342</v>
      </c>
      <c r="J1759">
        <v>1465918271</v>
      </c>
      <c r="K1759">
        <v>1547880224</v>
      </c>
      <c r="L1759">
        <v>1639850593</v>
      </c>
      <c r="M1759">
        <v>1737229900</v>
      </c>
      <c r="N1759">
        <v>1837263219</v>
      </c>
      <c r="O1759">
        <v>1937191271</v>
      </c>
      <c r="P1759">
        <v>2033775913</v>
      </c>
      <c r="Q1759">
        <v>2112965167</v>
      </c>
    </row>
    <row r="1760" spans="1:17" x14ac:dyDescent="0.25">
      <c r="A1760" t="s">
        <v>5</v>
      </c>
      <c r="B1760" t="s">
        <v>6</v>
      </c>
      <c r="C1760" t="s">
        <v>263</v>
      </c>
      <c r="D1760" t="s">
        <v>89</v>
      </c>
      <c r="E1760" t="s">
        <v>19</v>
      </c>
      <c r="F1760">
        <v>378369661.69999999</v>
      </c>
      <c r="G1760">
        <v>439660706.39999998</v>
      </c>
      <c r="H1760">
        <v>493814436.89999998</v>
      </c>
      <c r="I1760">
        <v>548389452.10000002</v>
      </c>
      <c r="J1760">
        <v>599934153.79999995</v>
      </c>
      <c r="K1760">
        <v>665324128.79999995</v>
      </c>
      <c r="L1760">
        <v>737398776.60000002</v>
      </c>
      <c r="M1760">
        <v>814796975.60000002</v>
      </c>
      <c r="N1760">
        <v>896712467.70000005</v>
      </c>
      <c r="O1760">
        <v>982159748.10000002</v>
      </c>
      <c r="P1760">
        <v>1069755305</v>
      </c>
      <c r="Q1760">
        <v>1147063610</v>
      </c>
    </row>
    <row r="1761" spans="1:17" x14ac:dyDescent="0.25">
      <c r="A1761" t="s">
        <v>5</v>
      </c>
      <c r="B1761" t="s">
        <v>6</v>
      </c>
      <c r="C1761" t="s">
        <v>263</v>
      </c>
      <c r="D1761" t="s">
        <v>90</v>
      </c>
      <c r="E1761" t="s">
        <v>19</v>
      </c>
      <c r="F1761">
        <v>161970151.5</v>
      </c>
      <c r="G1761">
        <v>195712643.69999999</v>
      </c>
      <c r="H1761">
        <v>212008002.69999999</v>
      </c>
      <c r="I1761">
        <v>236988486.69999999</v>
      </c>
      <c r="J1761">
        <v>260826718</v>
      </c>
      <c r="K1761">
        <v>289909896.80000001</v>
      </c>
      <c r="L1761">
        <v>322332330.80000001</v>
      </c>
      <c r="M1761">
        <v>357426916.39999998</v>
      </c>
      <c r="N1761">
        <v>394965136</v>
      </c>
      <c r="O1761">
        <v>434625867.19999999</v>
      </c>
      <c r="P1761">
        <v>476009496.80000001</v>
      </c>
      <c r="Q1761">
        <v>513489248.89999998</v>
      </c>
    </row>
    <row r="1762" spans="1:17" x14ac:dyDescent="0.25">
      <c r="A1762" t="s">
        <v>5</v>
      </c>
      <c r="B1762" t="s">
        <v>6</v>
      </c>
      <c r="C1762" t="s">
        <v>263</v>
      </c>
      <c r="D1762" t="s">
        <v>91</v>
      </c>
      <c r="E1762" t="s">
        <v>19</v>
      </c>
      <c r="F1762">
        <v>66680889.280000001</v>
      </c>
      <c r="G1762">
        <v>105958813.3</v>
      </c>
      <c r="H1762">
        <v>99995780.25</v>
      </c>
      <c r="I1762">
        <v>181132588</v>
      </c>
      <c r="J1762">
        <v>121448519.09999999</v>
      </c>
      <c r="K1762">
        <v>148489080.90000001</v>
      </c>
      <c r="L1762">
        <v>181726823.40000001</v>
      </c>
      <c r="M1762">
        <v>219793288.80000001</v>
      </c>
      <c r="N1762">
        <v>262225297.59999999</v>
      </c>
      <c r="O1762">
        <v>308434435</v>
      </c>
      <c r="P1762">
        <v>359286986</v>
      </c>
      <c r="Q1762">
        <v>409291851.39999998</v>
      </c>
    </row>
    <row r="1763" spans="1:17" x14ac:dyDescent="0.25">
      <c r="A1763" t="s">
        <v>5</v>
      </c>
      <c r="B1763" t="s">
        <v>6</v>
      </c>
      <c r="C1763" t="s">
        <v>263</v>
      </c>
      <c r="D1763" t="s">
        <v>92</v>
      </c>
      <c r="E1763" t="s">
        <v>19</v>
      </c>
      <c r="F1763">
        <v>31851394.02</v>
      </c>
      <c r="G1763">
        <v>44047218.810000002</v>
      </c>
      <c r="H1763">
        <v>46717470.759999998</v>
      </c>
      <c r="I1763">
        <v>72989985.769999996</v>
      </c>
      <c r="J1763">
        <v>57266424.840000004</v>
      </c>
      <c r="K1763">
        <v>68639056.180000007</v>
      </c>
      <c r="L1763">
        <v>81845025.609999999</v>
      </c>
      <c r="M1763">
        <v>96390075.930000007</v>
      </c>
      <c r="N1763">
        <v>112205167.3</v>
      </c>
      <c r="O1763">
        <v>129180944.7</v>
      </c>
      <c r="P1763">
        <v>147553895.09999999</v>
      </c>
      <c r="Q1763">
        <v>165182288.59999999</v>
      </c>
    </row>
    <row r="1764" spans="1:17" x14ac:dyDescent="0.25">
      <c r="A1764" t="s">
        <v>5</v>
      </c>
      <c r="B1764" t="s">
        <v>6</v>
      </c>
      <c r="C1764" t="s">
        <v>263</v>
      </c>
      <c r="D1764" t="s">
        <v>93</v>
      </c>
      <c r="E1764" t="s">
        <v>19</v>
      </c>
      <c r="F1764">
        <v>52889960.530000001</v>
      </c>
      <c r="G1764">
        <v>72349839.629999995</v>
      </c>
      <c r="H1764">
        <v>78727583.840000004</v>
      </c>
      <c r="I1764">
        <v>123780004.09999999</v>
      </c>
      <c r="J1764">
        <v>95118270.329999998</v>
      </c>
      <c r="K1764">
        <v>115871420</v>
      </c>
      <c r="L1764">
        <v>140644747.59999999</v>
      </c>
      <c r="M1764">
        <v>168189677.90000001</v>
      </c>
      <c r="N1764">
        <v>198093917.69999999</v>
      </c>
      <c r="O1764">
        <v>230131336.19999999</v>
      </c>
      <c r="P1764">
        <v>265037070.09999999</v>
      </c>
      <c r="Q1764">
        <v>298899810.19999999</v>
      </c>
    </row>
    <row r="1765" spans="1:17" x14ac:dyDescent="0.25">
      <c r="A1765" t="s">
        <v>5</v>
      </c>
      <c r="B1765" t="s">
        <v>6</v>
      </c>
      <c r="C1765" t="s">
        <v>263</v>
      </c>
      <c r="D1765" t="s">
        <v>94</v>
      </c>
      <c r="E1765" t="s">
        <v>19</v>
      </c>
      <c r="F1765">
        <v>288214051.19999999</v>
      </c>
      <c r="G1765">
        <v>337959935.80000001</v>
      </c>
      <c r="H1765">
        <v>395854830.80000001</v>
      </c>
      <c r="I1765">
        <v>496499132</v>
      </c>
      <c r="J1765">
        <v>487990658</v>
      </c>
      <c r="K1765">
        <v>563318204.5</v>
      </c>
      <c r="L1765">
        <v>644561233.10000002</v>
      </c>
      <c r="M1765">
        <v>728894046.5</v>
      </c>
      <c r="N1765">
        <v>815810580.10000002</v>
      </c>
      <c r="O1765">
        <v>904911122</v>
      </c>
      <c r="P1765">
        <v>996666379.89999998</v>
      </c>
      <c r="Q1765">
        <v>1079648984</v>
      </c>
    </row>
    <row r="1766" spans="1:17" x14ac:dyDescent="0.25">
      <c r="A1766" t="s">
        <v>5</v>
      </c>
      <c r="B1766" t="s">
        <v>6</v>
      </c>
      <c r="C1766" t="s">
        <v>263</v>
      </c>
      <c r="D1766" t="s">
        <v>95</v>
      </c>
      <c r="E1766" t="s">
        <v>27</v>
      </c>
      <c r="F1766">
        <v>37.151493080000002</v>
      </c>
      <c r="G1766">
        <v>43.040118870000001</v>
      </c>
      <c r="H1766">
        <v>48.87626109</v>
      </c>
      <c r="I1766">
        <v>74.959846880000001</v>
      </c>
      <c r="J1766">
        <v>56.839144640000001</v>
      </c>
      <c r="K1766">
        <v>69.771157790000004</v>
      </c>
      <c r="L1766">
        <v>82.298484900000005</v>
      </c>
      <c r="M1766">
        <v>94.226442570000003</v>
      </c>
      <c r="N1766">
        <v>107.6517654</v>
      </c>
      <c r="O1766">
        <v>121.9495951</v>
      </c>
      <c r="P1766">
        <v>135.18283199999999</v>
      </c>
      <c r="Q1766">
        <v>146.56464270000001</v>
      </c>
    </row>
    <row r="1767" spans="1:17" x14ac:dyDescent="0.25">
      <c r="A1767" t="s">
        <v>5</v>
      </c>
      <c r="B1767" t="s">
        <v>6</v>
      </c>
      <c r="C1767" t="s">
        <v>263</v>
      </c>
      <c r="D1767" t="s">
        <v>96</v>
      </c>
      <c r="E1767" t="s">
        <v>27</v>
      </c>
      <c r="F1767">
        <v>64.682838329999996</v>
      </c>
      <c r="G1767">
        <v>75.493216380000007</v>
      </c>
      <c r="H1767">
        <v>89.078794579999993</v>
      </c>
      <c r="I1767">
        <v>126.8211714</v>
      </c>
      <c r="J1767">
        <v>117.1088129</v>
      </c>
      <c r="K1767">
        <v>136.77928639999999</v>
      </c>
      <c r="L1767">
        <v>157.26112040000001</v>
      </c>
      <c r="M1767">
        <v>179.28304320000001</v>
      </c>
      <c r="N1767">
        <v>201.1529845</v>
      </c>
      <c r="O1767">
        <v>222.7567852</v>
      </c>
      <c r="P1767">
        <v>242.49012569999999</v>
      </c>
      <c r="Q1767">
        <v>259.3242171</v>
      </c>
    </row>
    <row r="1768" spans="1:17" x14ac:dyDescent="0.25">
      <c r="A1768" t="s">
        <v>5</v>
      </c>
      <c r="B1768" t="s">
        <v>6</v>
      </c>
      <c r="C1768" t="s">
        <v>263</v>
      </c>
      <c r="D1768" t="s">
        <v>97</v>
      </c>
      <c r="E1768" t="s">
        <v>27</v>
      </c>
      <c r="F1768">
        <v>2.126452505</v>
      </c>
      <c r="G1768">
        <v>3.0074305209999999</v>
      </c>
      <c r="H1768">
        <v>2.8205938050000001</v>
      </c>
      <c r="I1768">
        <v>3.6230731</v>
      </c>
      <c r="J1768">
        <v>3.2207056700000001</v>
      </c>
      <c r="K1768">
        <v>3.6008445459999998</v>
      </c>
      <c r="L1768">
        <v>4.1185973589999998</v>
      </c>
      <c r="M1768">
        <v>4.7347310980000001</v>
      </c>
      <c r="N1768">
        <v>5.3674310759999999</v>
      </c>
      <c r="O1768">
        <v>5.9916089430000001</v>
      </c>
      <c r="P1768">
        <v>6.6643262959999996</v>
      </c>
      <c r="Q1768">
        <v>7.3382371820000003</v>
      </c>
    </row>
    <row r="1769" spans="1:17" x14ac:dyDescent="0.25">
      <c r="A1769" t="s">
        <v>5</v>
      </c>
      <c r="B1769" t="s">
        <v>6</v>
      </c>
      <c r="C1769" t="s">
        <v>263</v>
      </c>
      <c r="D1769" t="s">
        <v>98</v>
      </c>
      <c r="E1769" t="s">
        <v>27</v>
      </c>
      <c r="F1769">
        <v>3.0904230000000001E-3</v>
      </c>
      <c r="G1769">
        <v>4.138442E-3</v>
      </c>
      <c r="H1769">
        <v>5.1459030000000003E-3</v>
      </c>
      <c r="I1769">
        <v>2.0430367000000001E-2</v>
      </c>
      <c r="J1769">
        <v>4.0050190000000003E-3</v>
      </c>
      <c r="K1769">
        <v>5.9753819999999996E-3</v>
      </c>
      <c r="L1769">
        <v>9.9862660000000006E-3</v>
      </c>
      <c r="M1769">
        <v>1.4707104E-2</v>
      </c>
      <c r="N1769">
        <v>1.641165E-2</v>
      </c>
      <c r="O1769">
        <v>1.5631063000000001E-2</v>
      </c>
      <c r="P1769">
        <v>1.6665988E-2</v>
      </c>
      <c r="Q1769">
        <v>1.9662138999999999E-2</v>
      </c>
    </row>
    <row r="1770" spans="1:17" x14ac:dyDescent="0.25">
      <c r="A1770" t="s">
        <v>5</v>
      </c>
      <c r="B1770" t="s">
        <v>6</v>
      </c>
      <c r="C1770" t="s">
        <v>263</v>
      </c>
      <c r="D1770" t="s">
        <v>99</v>
      </c>
      <c r="E1770" t="s">
        <v>27</v>
      </c>
      <c r="F1770">
        <v>4.1132964850000002</v>
      </c>
      <c r="G1770">
        <v>6.0824018969999996</v>
      </c>
      <c r="H1770">
        <v>4.6695672000000004</v>
      </c>
      <c r="I1770">
        <v>5.0833826200000001</v>
      </c>
      <c r="J1770">
        <v>5.4209458579999996</v>
      </c>
      <c r="K1770">
        <v>5.5556309309999996</v>
      </c>
      <c r="L1770">
        <v>5.6635607480000001</v>
      </c>
      <c r="M1770">
        <v>6.0407589240000004</v>
      </c>
      <c r="N1770">
        <v>6.6161555439999997</v>
      </c>
      <c r="O1770">
        <v>7.141751105</v>
      </c>
      <c r="P1770">
        <v>7.5360458460000004</v>
      </c>
      <c r="Q1770">
        <v>7.8622336940000004</v>
      </c>
    </row>
    <row r="1771" spans="1:17" x14ac:dyDescent="0.25">
      <c r="A1771" t="s">
        <v>5</v>
      </c>
      <c r="B1771" t="s">
        <v>6</v>
      </c>
      <c r="C1771" t="s">
        <v>263</v>
      </c>
      <c r="D1771" t="s">
        <v>100</v>
      </c>
      <c r="E1771" t="s">
        <v>27</v>
      </c>
      <c r="F1771">
        <v>5.688919458</v>
      </c>
      <c r="G1771">
        <v>6.6085457160000001</v>
      </c>
      <c r="H1771">
        <v>7.5447511919999997</v>
      </c>
      <c r="I1771">
        <v>11.97803334</v>
      </c>
      <c r="J1771">
        <v>9.2441167320000002</v>
      </c>
      <c r="K1771">
        <v>12.122663579999999</v>
      </c>
      <c r="L1771">
        <v>15.580648569999999</v>
      </c>
      <c r="M1771">
        <v>18.67659991</v>
      </c>
      <c r="N1771">
        <v>21.527463969999999</v>
      </c>
      <c r="O1771">
        <v>24.701585349999998</v>
      </c>
      <c r="P1771">
        <v>28.00103077</v>
      </c>
      <c r="Q1771">
        <v>31.132098620000001</v>
      </c>
    </row>
    <row r="1772" spans="1:17" x14ac:dyDescent="0.25">
      <c r="A1772" t="s">
        <v>5</v>
      </c>
      <c r="B1772" t="s">
        <v>6</v>
      </c>
      <c r="C1772" t="s">
        <v>263</v>
      </c>
      <c r="D1772" t="s">
        <v>101</v>
      </c>
      <c r="E1772" t="s">
        <v>27</v>
      </c>
      <c r="F1772">
        <v>9.5246174379999999</v>
      </c>
      <c r="G1772">
        <v>10.81743833</v>
      </c>
      <c r="H1772">
        <v>12.34694575</v>
      </c>
      <c r="I1772">
        <v>17.700939120000001</v>
      </c>
      <c r="J1772">
        <v>15.527393780000001</v>
      </c>
      <c r="K1772">
        <v>18.95639035</v>
      </c>
      <c r="L1772">
        <v>23.276939179999999</v>
      </c>
      <c r="M1772">
        <v>27.070041079999999</v>
      </c>
      <c r="N1772">
        <v>30.575631090000002</v>
      </c>
      <c r="O1772">
        <v>34.213274900000002</v>
      </c>
      <c r="P1772">
        <v>37.895933730000003</v>
      </c>
      <c r="Q1772">
        <v>41.365204419999998</v>
      </c>
    </row>
    <row r="1773" spans="1:17" x14ac:dyDescent="0.25">
      <c r="A1773" t="s">
        <v>5</v>
      </c>
      <c r="B1773" t="s">
        <v>6</v>
      </c>
      <c r="C1773" t="s">
        <v>263</v>
      </c>
      <c r="D1773" t="s">
        <v>102</v>
      </c>
      <c r="E1773" t="s">
        <v>27</v>
      </c>
      <c r="F1773">
        <v>0.21825916000000001</v>
      </c>
      <c r="G1773">
        <v>0.27719303499999998</v>
      </c>
      <c r="H1773">
        <v>0.25825666899999999</v>
      </c>
      <c r="I1773">
        <v>0.370554624</v>
      </c>
      <c r="J1773">
        <v>0.29254108299999998</v>
      </c>
      <c r="K1773">
        <v>0.326900582</v>
      </c>
      <c r="L1773">
        <v>0.37601467700000002</v>
      </c>
      <c r="M1773">
        <v>0.43807196599999998</v>
      </c>
      <c r="N1773">
        <v>0.50514418699999997</v>
      </c>
      <c r="O1773">
        <v>0.56922947400000001</v>
      </c>
      <c r="P1773">
        <v>0.62781906799999998</v>
      </c>
      <c r="Q1773">
        <v>0.67697429499999995</v>
      </c>
    </row>
    <row r="1774" spans="1:17" x14ac:dyDescent="0.25">
      <c r="A1774" t="s">
        <v>5</v>
      </c>
      <c r="B1774" t="s">
        <v>6</v>
      </c>
      <c r="C1774" t="s">
        <v>263</v>
      </c>
      <c r="D1774" t="s">
        <v>103</v>
      </c>
      <c r="E1774" t="s">
        <v>27</v>
      </c>
      <c r="F1774">
        <v>2.3349865000000001E-2</v>
      </c>
      <c r="G1774">
        <v>3.1268232E-2</v>
      </c>
      <c r="H1774">
        <v>3.8880152000000001E-2</v>
      </c>
      <c r="I1774">
        <v>0.15436277500000001</v>
      </c>
      <c r="J1774">
        <v>3.0260144999999999E-2</v>
      </c>
      <c r="K1774">
        <v>4.5147329E-2</v>
      </c>
      <c r="L1774">
        <v>7.5451787000000006E-2</v>
      </c>
      <c r="M1774">
        <v>0.111120342</v>
      </c>
      <c r="N1774">
        <v>0.123999135</v>
      </c>
      <c r="O1774">
        <v>0.118101361</v>
      </c>
      <c r="P1774">
        <v>0.125920797</v>
      </c>
      <c r="Q1774">
        <v>0.14855838499999999</v>
      </c>
    </row>
    <row r="1775" spans="1:17" x14ac:dyDescent="0.25">
      <c r="A1775" t="s">
        <v>5</v>
      </c>
      <c r="B1775" t="s">
        <v>6</v>
      </c>
      <c r="C1775" t="s">
        <v>263</v>
      </c>
      <c r="D1775" t="s">
        <v>104</v>
      </c>
      <c r="E1775" t="s">
        <v>27</v>
      </c>
      <c r="F1775">
        <v>4.5201060000000001E-2</v>
      </c>
      <c r="G1775">
        <v>6.6839580999999995E-2</v>
      </c>
      <c r="H1775">
        <v>5.1313925000000003E-2</v>
      </c>
      <c r="I1775">
        <v>5.5861346999999999E-2</v>
      </c>
      <c r="J1775">
        <v>5.9570834000000003E-2</v>
      </c>
      <c r="K1775">
        <v>6.1050888999999997E-2</v>
      </c>
      <c r="L1775">
        <v>6.2236931000000002E-2</v>
      </c>
      <c r="M1775">
        <v>6.6381966000000001E-2</v>
      </c>
      <c r="N1775">
        <v>7.2705006000000003E-2</v>
      </c>
      <c r="O1775">
        <v>7.8480780999999999E-2</v>
      </c>
      <c r="P1775">
        <v>8.2813690999999995E-2</v>
      </c>
      <c r="Q1775">
        <v>8.6398171999999995E-2</v>
      </c>
    </row>
    <row r="1776" spans="1:17" x14ac:dyDescent="0.25">
      <c r="A1776" t="s">
        <v>5</v>
      </c>
      <c r="B1776" t="s">
        <v>6</v>
      </c>
      <c r="C1776" t="s">
        <v>263</v>
      </c>
      <c r="D1776" t="s">
        <v>105</v>
      </c>
      <c r="E1776" t="s">
        <v>27</v>
      </c>
      <c r="F1776">
        <v>1.0939146639999999</v>
      </c>
      <c r="G1776">
        <v>1.284078619</v>
      </c>
      <c r="H1776">
        <v>1.496531262</v>
      </c>
      <c r="I1776">
        <v>2.6845394279999999</v>
      </c>
      <c r="J1776">
        <v>2.1895807430000001</v>
      </c>
      <c r="K1776">
        <v>3.389055656</v>
      </c>
      <c r="L1776">
        <v>5.0903699910000002</v>
      </c>
      <c r="M1776">
        <v>6.5550104869999997</v>
      </c>
      <c r="N1776">
        <v>7.6620869230000004</v>
      </c>
      <c r="O1776">
        <v>8.9546069760000009</v>
      </c>
      <c r="P1776">
        <v>10.46842515</v>
      </c>
      <c r="Q1776">
        <v>12.0303413</v>
      </c>
    </row>
    <row r="1777" spans="1:17" x14ac:dyDescent="0.25">
      <c r="A1777" t="s">
        <v>5</v>
      </c>
      <c r="B1777" t="s">
        <v>6</v>
      </c>
      <c r="C1777" t="s">
        <v>263</v>
      </c>
      <c r="D1777" t="s">
        <v>106</v>
      </c>
      <c r="E1777" t="s">
        <v>27</v>
      </c>
      <c r="F1777">
        <v>1.2747326619999999</v>
      </c>
      <c r="G1777">
        <v>1.4985849630000001</v>
      </c>
      <c r="H1777">
        <v>1.7635831099999999</v>
      </c>
      <c r="I1777">
        <v>3.0338925959999998</v>
      </c>
      <c r="J1777">
        <v>2.6005260990000001</v>
      </c>
      <c r="K1777">
        <v>3.8621252639999999</v>
      </c>
      <c r="L1777">
        <v>5.625958207</v>
      </c>
      <c r="M1777">
        <v>7.1760053499999996</v>
      </c>
      <c r="N1777">
        <v>8.3638700190000002</v>
      </c>
      <c r="O1777">
        <v>9.7309527150000008</v>
      </c>
      <c r="P1777">
        <v>11.31721684</v>
      </c>
      <c r="Q1777">
        <v>12.937225829999999</v>
      </c>
    </row>
    <row r="1778" spans="1:17" x14ac:dyDescent="0.25">
      <c r="A1778" t="s">
        <v>5</v>
      </c>
      <c r="B1778" t="s">
        <v>6</v>
      </c>
      <c r="C1778" t="s">
        <v>263</v>
      </c>
      <c r="D1778" t="s">
        <v>107</v>
      </c>
      <c r="E1778" t="s">
        <v>27</v>
      </c>
      <c r="F1778">
        <v>4.1420950000000002E-3</v>
      </c>
      <c r="G1778">
        <v>5.5822800000000002E-3</v>
      </c>
      <c r="H1778">
        <v>5.2354819999999996E-3</v>
      </c>
      <c r="I1778">
        <v>6.8268519999999996E-3</v>
      </c>
      <c r="J1778">
        <v>5.9473540000000002E-3</v>
      </c>
      <c r="K1778">
        <v>6.6192259999999998E-3</v>
      </c>
      <c r="L1778">
        <v>7.5232850000000002E-3</v>
      </c>
      <c r="M1778">
        <v>8.6205699999999993E-3</v>
      </c>
      <c r="N1778">
        <v>9.7887870000000002E-3</v>
      </c>
      <c r="O1778">
        <v>1.0969124E-2</v>
      </c>
      <c r="P1778">
        <v>1.2232275000000001E-2</v>
      </c>
      <c r="Q1778">
        <v>1.3483389E-2</v>
      </c>
    </row>
    <row r="1779" spans="1:17" x14ac:dyDescent="0.25">
      <c r="A1779" t="s">
        <v>5</v>
      </c>
      <c r="B1779" t="s">
        <v>6</v>
      </c>
      <c r="C1779" t="s">
        <v>263</v>
      </c>
      <c r="D1779" t="s">
        <v>108</v>
      </c>
      <c r="E1779" t="s">
        <v>27</v>
      </c>
      <c r="F1779" s="1">
        <v>9.1899999999999998E-5</v>
      </c>
      <c r="G1779">
        <v>1.2227200000000001E-4</v>
      </c>
      <c r="H1779">
        <v>1.5601100000000001E-4</v>
      </c>
      <c r="I1779">
        <v>7.8391500000000005E-4</v>
      </c>
      <c r="J1779" s="1">
        <v>7.9300000000000003E-5</v>
      </c>
      <c r="K1779">
        <v>1.33356E-4</v>
      </c>
      <c r="L1779">
        <v>2.5877700000000002E-4</v>
      </c>
      <c r="M1779">
        <v>4.1975999999999998E-4</v>
      </c>
      <c r="N1779">
        <v>4.8204399999999999E-4</v>
      </c>
      <c r="O1779">
        <v>4.62299E-4</v>
      </c>
      <c r="P1779">
        <v>5.0901400000000002E-4</v>
      </c>
      <c r="Q1779">
        <v>6.2173100000000004E-4</v>
      </c>
    </row>
    <row r="1780" spans="1:17" x14ac:dyDescent="0.25">
      <c r="A1780" t="s">
        <v>5</v>
      </c>
      <c r="B1780" t="s">
        <v>6</v>
      </c>
      <c r="C1780" t="s">
        <v>263</v>
      </c>
      <c r="D1780" t="s">
        <v>109</v>
      </c>
      <c r="E1780" t="s">
        <v>27</v>
      </c>
      <c r="F1780">
        <v>4.5201060000000001E-2</v>
      </c>
      <c r="G1780">
        <v>6.6839580999999995E-2</v>
      </c>
      <c r="H1780">
        <v>5.1313925000000003E-2</v>
      </c>
      <c r="I1780">
        <v>5.5861346999999999E-2</v>
      </c>
      <c r="J1780">
        <v>5.9570834000000003E-2</v>
      </c>
      <c r="K1780">
        <v>6.1050888999999997E-2</v>
      </c>
      <c r="L1780">
        <v>6.2236931000000002E-2</v>
      </c>
      <c r="M1780">
        <v>6.6381966000000001E-2</v>
      </c>
      <c r="N1780">
        <v>7.2705006000000003E-2</v>
      </c>
      <c r="O1780">
        <v>7.8480780999999999E-2</v>
      </c>
      <c r="P1780">
        <v>8.2813690999999995E-2</v>
      </c>
      <c r="Q1780">
        <v>8.6398171999999995E-2</v>
      </c>
    </row>
    <row r="1781" spans="1:17" x14ac:dyDescent="0.25">
      <c r="A1781" t="s">
        <v>5</v>
      </c>
      <c r="B1781" t="s">
        <v>6</v>
      </c>
      <c r="C1781" t="s">
        <v>263</v>
      </c>
      <c r="D1781" t="s">
        <v>110</v>
      </c>
      <c r="E1781" t="s">
        <v>27</v>
      </c>
      <c r="F1781">
        <v>1.562184963</v>
      </c>
      <c r="G1781">
        <v>1.810807652</v>
      </c>
      <c r="H1781">
        <v>2.0584294889999999</v>
      </c>
      <c r="I1781">
        <v>3.178200446</v>
      </c>
      <c r="J1781">
        <v>2.4179496779999998</v>
      </c>
      <c r="K1781">
        <v>3.0045776129999999</v>
      </c>
      <c r="L1781">
        <v>3.6045508100000001</v>
      </c>
      <c r="M1781">
        <v>4.1687483719999996</v>
      </c>
      <c r="N1781">
        <v>4.77415653</v>
      </c>
      <c r="O1781">
        <v>5.4218888769999998</v>
      </c>
      <c r="P1781">
        <v>6.035145462</v>
      </c>
      <c r="Q1781">
        <v>6.5755299599999999</v>
      </c>
    </row>
    <row r="1782" spans="1:17" x14ac:dyDescent="0.25">
      <c r="A1782" t="s">
        <v>5</v>
      </c>
      <c r="B1782" t="s">
        <v>6</v>
      </c>
      <c r="C1782" t="s">
        <v>263</v>
      </c>
      <c r="D1782" t="s">
        <v>111</v>
      </c>
      <c r="E1782" t="s">
        <v>27</v>
      </c>
      <c r="F1782">
        <v>1.91667353</v>
      </c>
      <c r="G1782">
        <v>2.2255193800000002</v>
      </c>
      <c r="H1782">
        <v>2.5649232940000002</v>
      </c>
      <c r="I1782">
        <v>3.7907871690000001</v>
      </c>
      <c r="J1782">
        <v>3.0833146930000002</v>
      </c>
      <c r="K1782">
        <v>3.7512184670000002</v>
      </c>
      <c r="L1782">
        <v>4.4478831689999998</v>
      </c>
      <c r="M1782">
        <v>5.1122856900000002</v>
      </c>
      <c r="N1782">
        <v>5.8006886839999998</v>
      </c>
      <c r="O1782">
        <v>6.5158341460000004</v>
      </c>
      <c r="P1782">
        <v>7.1828651609999996</v>
      </c>
      <c r="Q1782">
        <v>7.7703247969999998</v>
      </c>
    </row>
    <row r="1783" spans="1:17" x14ac:dyDescent="0.25">
      <c r="A1783" t="s">
        <v>5</v>
      </c>
      <c r="B1783" t="s">
        <v>6</v>
      </c>
      <c r="C1783" t="s">
        <v>263</v>
      </c>
      <c r="D1783" t="s">
        <v>112</v>
      </c>
      <c r="E1783" t="s">
        <v>27</v>
      </c>
      <c r="F1783">
        <v>2.086652E-3</v>
      </c>
      <c r="G1783">
        <v>2.2353730000000001E-3</v>
      </c>
      <c r="H1783">
        <v>2.0773850000000002E-3</v>
      </c>
      <c r="I1783">
        <v>3.2356709999999999E-3</v>
      </c>
      <c r="J1783">
        <v>2.3051389999999999E-3</v>
      </c>
      <c r="K1783">
        <v>2.5355239999999999E-3</v>
      </c>
      <c r="L1783">
        <v>2.8605150000000001E-3</v>
      </c>
      <c r="M1783">
        <v>3.3158509999999999E-3</v>
      </c>
      <c r="N1783">
        <v>3.8755180000000001E-3</v>
      </c>
      <c r="O1783">
        <v>4.4412820000000004E-3</v>
      </c>
      <c r="P1783">
        <v>4.9224109999999998E-3</v>
      </c>
      <c r="Q1783">
        <v>5.2792359999999997E-3</v>
      </c>
    </row>
    <row r="1784" spans="1:17" x14ac:dyDescent="0.25">
      <c r="A1784" t="s">
        <v>5</v>
      </c>
      <c r="B1784" t="s">
        <v>6</v>
      </c>
      <c r="C1784" t="s">
        <v>263</v>
      </c>
      <c r="D1784" t="s">
        <v>113</v>
      </c>
      <c r="E1784" t="s">
        <v>27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</row>
    <row r="1785" spans="1:17" x14ac:dyDescent="0.25">
      <c r="A1785" t="s">
        <v>5</v>
      </c>
      <c r="B1785" t="s">
        <v>6</v>
      </c>
      <c r="C1785" t="s">
        <v>263</v>
      </c>
      <c r="D1785" t="s">
        <v>114</v>
      </c>
      <c r="E1785" t="s">
        <v>27</v>
      </c>
      <c r="F1785">
        <v>2.7120640000000001E-3</v>
      </c>
      <c r="G1785">
        <v>4.0103750000000001E-3</v>
      </c>
      <c r="H1785">
        <v>3.0788360000000002E-3</v>
      </c>
      <c r="I1785">
        <v>3.351681E-3</v>
      </c>
      <c r="J1785">
        <v>3.5742500000000002E-3</v>
      </c>
      <c r="K1785">
        <v>3.6630529999999999E-3</v>
      </c>
      <c r="L1785">
        <v>3.7342159999999998E-3</v>
      </c>
      <c r="M1785">
        <v>3.9829180000000002E-3</v>
      </c>
      <c r="N1785">
        <v>4.3623000000000004E-3</v>
      </c>
      <c r="O1785">
        <v>4.7088470000000004E-3</v>
      </c>
      <c r="P1785">
        <v>4.968821E-3</v>
      </c>
      <c r="Q1785">
        <v>5.18389E-3</v>
      </c>
    </row>
    <row r="1786" spans="1:17" x14ac:dyDescent="0.25">
      <c r="A1786" t="s">
        <v>5</v>
      </c>
      <c r="B1786" t="s">
        <v>6</v>
      </c>
      <c r="C1786" t="s">
        <v>263</v>
      </c>
      <c r="D1786" t="s">
        <v>115</v>
      </c>
      <c r="E1786" t="s">
        <v>27</v>
      </c>
      <c r="F1786">
        <v>7.3183714310000001</v>
      </c>
      <c r="G1786">
        <v>8.4815495179999996</v>
      </c>
      <c r="H1786">
        <v>9.6410983320000003</v>
      </c>
      <c r="I1786">
        <v>14.87794381</v>
      </c>
      <c r="J1786">
        <v>11.30464465</v>
      </c>
      <c r="K1786">
        <v>14.008631169999999</v>
      </c>
      <c r="L1786">
        <v>16.728611109999999</v>
      </c>
      <c r="M1786">
        <v>19.309701990000001</v>
      </c>
      <c r="N1786">
        <v>22.132174330000002</v>
      </c>
      <c r="O1786">
        <v>25.20066448</v>
      </c>
      <c r="P1786">
        <v>28.126135040000001</v>
      </c>
      <c r="Q1786">
        <v>30.692133689999999</v>
      </c>
    </row>
    <row r="1787" spans="1:17" x14ac:dyDescent="0.25">
      <c r="A1787" t="s">
        <v>5</v>
      </c>
      <c r="B1787" t="s">
        <v>6</v>
      </c>
      <c r="C1787" t="s">
        <v>263</v>
      </c>
      <c r="D1787" t="s">
        <v>116</v>
      </c>
      <c r="E1787" t="s">
        <v>27</v>
      </c>
      <c r="F1787">
        <v>11.694438890000001</v>
      </c>
      <c r="G1787">
        <v>13.59397684</v>
      </c>
      <c r="H1787">
        <v>15.91603918</v>
      </c>
      <c r="I1787">
        <v>22.911200940000001</v>
      </c>
      <c r="J1787">
        <v>20.652999869999999</v>
      </c>
      <c r="K1787">
        <v>24.373583969999999</v>
      </c>
      <c r="L1787">
        <v>28.330636330000001</v>
      </c>
      <c r="M1787">
        <v>32.43566534</v>
      </c>
      <c r="N1787">
        <v>36.561343139999998</v>
      </c>
      <c r="O1787">
        <v>40.74709782</v>
      </c>
      <c r="P1787">
        <v>44.671967420000001</v>
      </c>
      <c r="Q1787">
        <v>48.07429114</v>
      </c>
    </row>
    <row r="1788" spans="1:17" x14ac:dyDescent="0.25">
      <c r="A1788" t="s">
        <v>5</v>
      </c>
      <c r="B1788" t="s">
        <v>6</v>
      </c>
      <c r="C1788" t="s">
        <v>263</v>
      </c>
      <c r="D1788" t="s">
        <v>117</v>
      </c>
      <c r="E1788" t="s">
        <v>27</v>
      </c>
      <c r="F1788">
        <v>8.0616179999999996E-3</v>
      </c>
      <c r="G1788">
        <v>8.7330800000000007E-3</v>
      </c>
      <c r="H1788">
        <v>8.0662200000000007E-3</v>
      </c>
      <c r="I1788">
        <v>1.3316852000000001E-2</v>
      </c>
      <c r="J1788">
        <v>8.9969660000000003E-3</v>
      </c>
      <c r="K1788">
        <v>1.0004440999999999E-2</v>
      </c>
      <c r="L1788">
        <v>1.1528978E-2</v>
      </c>
      <c r="M1788">
        <v>1.3634888E-2</v>
      </c>
      <c r="N1788">
        <v>1.6097970999999999E-2</v>
      </c>
      <c r="O1788">
        <v>1.8415964999999999E-2</v>
      </c>
      <c r="P1788">
        <v>2.0142324E-2</v>
      </c>
      <c r="Q1788">
        <v>2.1160604999999999E-2</v>
      </c>
    </row>
    <row r="1789" spans="1:17" x14ac:dyDescent="0.25">
      <c r="A1789" t="s">
        <v>5</v>
      </c>
      <c r="B1789" t="s">
        <v>6</v>
      </c>
      <c r="C1789" t="s">
        <v>263</v>
      </c>
      <c r="D1789" t="s">
        <v>118</v>
      </c>
      <c r="E1789" t="s">
        <v>27</v>
      </c>
      <c r="F1789">
        <v>1.8027469999999999E-3</v>
      </c>
      <c r="G1789">
        <v>2.4140910000000002E-3</v>
      </c>
      <c r="H1789">
        <v>3.0017759999999998E-3</v>
      </c>
      <c r="I1789">
        <v>1.1917713999999999E-2</v>
      </c>
      <c r="J1789">
        <v>2.3362610000000001E-3</v>
      </c>
      <c r="K1789">
        <v>3.485639E-3</v>
      </c>
      <c r="L1789">
        <v>5.825322E-3</v>
      </c>
      <c r="M1789">
        <v>8.5791440000000004E-3</v>
      </c>
      <c r="N1789">
        <v>9.5734630000000008E-3</v>
      </c>
      <c r="O1789">
        <v>9.1181200000000004E-3</v>
      </c>
      <c r="P1789">
        <v>9.7218259999999994E-3</v>
      </c>
      <c r="Q1789">
        <v>1.1469581E-2</v>
      </c>
    </row>
    <row r="1790" spans="1:17" x14ac:dyDescent="0.25">
      <c r="A1790" t="s">
        <v>5</v>
      </c>
      <c r="B1790" t="s">
        <v>6</v>
      </c>
      <c r="C1790" t="s">
        <v>263</v>
      </c>
      <c r="D1790" t="s">
        <v>119</v>
      </c>
      <c r="E1790" t="s">
        <v>27</v>
      </c>
      <c r="F1790">
        <v>9.0402121000000002E-2</v>
      </c>
      <c r="G1790">
        <v>0.13367916299999999</v>
      </c>
      <c r="H1790">
        <v>0.10262785100000001</v>
      </c>
      <c r="I1790">
        <v>0.111722695</v>
      </c>
      <c r="J1790">
        <v>0.11914166700000001</v>
      </c>
      <c r="K1790">
        <v>0.12210177899999999</v>
      </c>
      <c r="L1790">
        <v>0.124473863</v>
      </c>
      <c r="M1790">
        <v>0.132763932</v>
      </c>
      <c r="N1790">
        <v>0.14541001200000001</v>
      </c>
      <c r="O1790">
        <v>0.156961563</v>
      </c>
      <c r="P1790">
        <v>0.16562738099999999</v>
      </c>
      <c r="Q1790">
        <v>0.17279634499999999</v>
      </c>
    </row>
    <row r="1791" spans="1:17" x14ac:dyDescent="0.25">
      <c r="A1791" t="s">
        <v>5</v>
      </c>
      <c r="B1791" t="s">
        <v>6</v>
      </c>
      <c r="C1791" t="s">
        <v>263</v>
      </c>
      <c r="D1791" t="s">
        <v>120</v>
      </c>
      <c r="E1791" t="s">
        <v>27</v>
      </c>
      <c r="F1791">
        <v>78.995416419999998</v>
      </c>
      <c r="G1791">
        <v>90.421511699999996</v>
      </c>
      <c r="H1791">
        <v>97.263924500000002</v>
      </c>
      <c r="I1791">
        <v>106.1126556</v>
      </c>
      <c r="J1791">
        <v>113.2047876</v>
      </c>
      <c r="K1791">
        <v>123.0467218</v>
      </c>
      <c r="L1791">
        <v>133.9731165</v>
      </c>
      <c r="M1791">
        <v>145.68308250000001</v>
      </c>
      <c r="N1791">
        <v>158.01568599999999</v>
      </c>
      <c r="O1791">
        <v>170.789523</v>
      </c>
      <c r="P1791">
        <v>183.77724409999999</v>
      </c>
      <c r="Q1791">
        <v>195.1588313</v>
      </c>
    </row>
    <row r="1792" spans="1:17" x14ac:dyDescent="0.25">
      <c r="A1792" t="s">
        <v>5</v>
      </c>
      <c r="B1792" t="s">
        <v>6</v>
      </c>
      <c r="C1792" t="s">
        <v>263</v>
      </c>
      <c r="D1792" t="s">
        <v>121</v>
      </c>
      <c r="E1792" t="s">
        <v>27</v>
      </c>
      <c r="F1792">
        <v>37.87917075</v>
      </c>
      <c r="G1792">
        <v>48.011791639999998</v>
      </c>
      <c r="H1792">
        <v>53.499660040000002</v>
      </c>
      <c r="I1792">
        <v>74.841380130000005</v>
      </c>
      <c r="J1792">
        <v>65.593719629999995</v>
      </c>
      <c r="K1792">
        <v>77.147636700000007</v>
      </c>
      <c r="L1792">
        <v>90.224428110000005</v>
      </c>
      <c r="M1792">
        <v>104.3108402</v>
      </c>
      <c r="N1792">
        <v>119.2812272</v>
      </c>
      <c r="O1792">
        <v>135.02653480000001</v>
      </c>
      <c r="P1792">
        <v>151.7452347</v>
      </c>
      <c r="Q1792">
        <v>167.4724697</v>
      </c>
    </row>
    <row r="1793" spans="1:17" x14ac:dyDescent="0.25">
      <c r="A1793" t="s">
        <v>5</v>
      </c>
      <c r="B1793" t="s">
        <v>6</v>
      </c>
      <c r="C1793" t="s">
        <v>263</v>
      </c>
      <c r="D1793" t="s">
        <v>122</v>
      </c>
      <c r="E1793" t="s">
        <v>27</v>
      </c>
      <c r="F1793">
        <v>4.853322125</v>
      </c>
      <c r="G1793">
        <v>5.4063831310000001</v>
      </c>
      <c r="H1793">
        <v>5.6890927119999999</v>
      </c>
      <c r="I1793">
        <v>6.0912549089999999</v>
      </c>
      <c r="J1793">
        <v>6.3394418589999999</v>
      </c>
      <c r="K1793">
        <v>6.7536497500000001</v>
      </c>
      <c r="L1793">
        <v>7.2163467539999999</v>
      </c>
      <c r="M1793">
        <v>7.7086130060000002</v>
      </c>
      <c r="N1793">
        <v>8.2194680160000004</v>
      </c>
      <c r="O1793">
        <v>8.7375744940000004</v>
      </c>
      <c r="P1793">
        <v>9.2494094550000003</v>
      </c>
      <c r="Q1793">
        <v>9.6817990799999993</v>
      </c>
    </row>
    <row r="1794" spans="1:17" x14ac:dyDescent="0.25">
      <c r="A1794" t="s">
        <v>5</v>
      </c>
      <c r="B1794" t="s">
        <v>6</v>
      </c>
      <c r="C1794" t="s">
        <v>263</v>
      </c>
      <c r="D1794" t="s">
        <v>123</v>
      </c>
      <c r="E1794" t="s">
        <v>27</v>
      </c>
      <c r="F1794">
        <v>2.2256935750000002</v>
      </c>
      <c r="G1794">
        <v>2.7555557730000002</v>
      </c>
      <c r="H1794">
        <v>3.1193971650000001</v>
      </c>
      <c r="I1794">
        <v>4.2297131339999998</v>
      </c>
      <c r="J1794">
        <v>3.8303622289999999</v>
      </c>
      <c r="K1794">
        <v>4.4818140440000001</v>
      </c>
      <c r="L1794">
        <v>5.2098124290000003</v>
      </c>
      <c r="M1794">
        <v>5.986516151</v>
      </c>
      <c r="N1794">
        <v>6.8055956200000001</v>
      </c>
      <c r="O1794">
        <v>7.6617537220000003</v>
      </c>
      <c r="P1794">
        <v>8.5643688450000006</v>
      </c>
      <c r="Q1794">
        <v>9.4057857079999998</v>
      </c>
    </row>
    <row r="1795" spans="1:17" x14ac:dyDescent="0.25">
      <c r="A1795" t="s">
        <v>5</v>
      </c>
      <c r="B1795" t="s">
        <v>6</v>
      </c>
      <c r="C1795" t="s">
        <v>263</v>
      </c>
      <c r="D1795" t="s">
        <v>124</v>
      </c>
      <c r="E1795" t="s">
        <v>27</v>
      </c>
      <c r="F1795">
        <v>2.0639379039999999</v>
      </c>
      <c r="G1795">
        <v>2.2769217830000001</v>
      </c>
      <c r="H1795">
        <v>2.3801297350000001</v>
      </c>
      <c r="I1795">
        <v>2.5314208479999998</v>
      </c>
      <c r="J1795">
        <v>2.6111301789999999</v>
      </c>
      <c r="K1795">
        <v>2.7611328620000002</v>
      </c>
      <c r="L1795">
        <v>2.9292089720000001</v>
      </c>
      <c r="M1795">
        <v>3.1072620729999998</v>
      </c>
      <c r="N1795">
        <v>3.2904404220000001</v>
      </c>
      <c r="O1795">
        <v>3.473865397</v>
      </c>
      <c r="P1795">
        <v>3.6517895399999998</v>
      </c>
      <c r="Q1795">
        <v>3.798396324</v>
      </c>
    </row>
    <row r="1796" spans="1:17" x14ac:dyDescent="0.25">
      <c r="A1796" t="s">
        <v>5</v>
      </c>
      <c r="B1796" t="s">
        <v>6</v>
      </c>
      <c r="C1796" t="s">
        <v>263</v>
      </c>
      <c r="D1796" t="s">
        <v>125</v>
      </c>
      <c r="E1796" t="s">
        <v>27</v>
      </c>
      <c r="F1796">
        <v>1.451044545</v>
      </c>
      <c r="G1796">
        <v>1.8290986929999999</v>
      </c>
      <c r="H1796">
        <v>2.0464454440000002</v>
      </c>
      <c r="I1796">
        <v>2.8429089670000001</v>
      </c>
      <c r="J1796">
        <v>2.5098935720000002</v>
      </c>
      <c r="K1796">
        <v>2.9489420160000002</v>
      </c>
      <c r="L1796">
        <v>3.4444519919999999</v>
      </c>
      <c r="M1796">
        <v>3.9770693320000001</v>
      </c>
      <c r="N1796">
        <v>4.5421585220000003</v>
      </c>
      <c r="O1796">
        <v>5.1357425330000002</v>
      </c>
      <c r="P1796">
        <v>5.7651089659999997</v>
      </c>
      <c r="Q1796">
        <v>6.3560250729999996</v>
      </c>
    </row>
    <row r="1797" spans="1:17" x14ac:dyDescent="0.25">
      <c r="A1797" t="s">
        <v>5</v>
      </c>
      <c r="B1797" t="s">
        <v>6</v>
      </c>
      <c r="C1797" t="s">
        <v>263</v>
      </c>
      <c r="D1797" t="s">
        <v>126</v>
      </c>
      <c r="E1797" t="s">
        <v>27</v>
      </c>
      <c r="F1797">
        <v>1559.8413840000001</v>
      </c>
      <c r="G1797">
        <v>1759.5783180000001</v>
      </c>
      <c r="H1797">
        <v>1882.650093</v>
      </c>
      <c r="I1797">
        <v>2037.197574</v>
      </c>
      <c r="J1797">
        <v>2153.049176</v>
      </c>
      <c r="K1797">
        <v>2322.5717220000001</v>
      </c>
      <c r="L1797">
        <v>2511.1947930000001</v>
      </c>
      <c r="M1797">
        <v>2712.8663019999999</v>
      </c>
      <c r="N1797">
        <v>2924.1311839999998</v>
      </c>
      <c r="O1797">
        <v>3141.2417009999999</v>
      </c>
      <c r="P1797">
        <v>3359.5190429999998</v>
      </c>
      <c r="Q1797">
        <v>3547.8941070000001</v>
      </c>
    </row>
    <row r="1798" spans="1:17" x14ac:dyDescent="0.25">
      <c r="A1798" t="s">
        <v>5</v>
      </c>
      <c r="B1798" t="s">
        <v>6</v>
      </c>
      <c r="C1798" t="s">
        <v>263</v>
      </c>
      <c r="D1798" t="s">
        <v>127</v>
      </c>
      <c r="E1798" t="s">
        <v>27</v>
      </c>
      <c r="F1798">
        <v>388.88908679999997</v>
      </c>
      <c r="G1798">
        <v>491.07652660000002</v>
      </c>
      <c r="H1798">
        <v>547.94890050000004</v>
      </c>
      <c r="I1798">
        <v>761.97593240000003</v>
      </c>
      <c r="J1798">
        <v>672.19827769999995</v>
      </c>
      <c r="K1798">
        <v>789.36071189999996</v>
      </c>
      <c r="L1798">
        <v>921.58251859999996</v>
      </c>
      <c r="M1798">
        <v>1063.746189</v>
      </c>
      <c r="N1798">
        <v>1214.6203390000001</v>
      </c>
      <c r="O1798">
        <v>1373.105789</v>
      </c>
      <c r="P1798">
        <v>1541.107933</v>
      </c>
      <c r="Q1798">
        <v>1698.8303639999999</v>
      </c>
    </row>
    <row r="1799" spans="1:17" x14ac:dyDescent="0.25">
      <c r="A1799" t="s">
        <v>5</v>
      </c>
      <c r="B1799" t="s">
        <v>6</v>
      </c>
      <c r="C1799" t="s">
        <v>263</v>
      </c>
      <c r="D1799" t="s">
        <v>128</v>
      </c>
      <c r="E1799" t="s">
        <v>27</v>
      </c>
      <c r="F1799">
        <v>5.0260041729999996</v>
      </c>
      <c r="G1799">
        <v>5.6889259040000004</v>
      </c>
      <c r="H1799">
        <v>6.0777193279999997</v>
      </c>
      <c r="I1799">
        <v>6.5854780880000003</v>
      </c>
      <c r="J1799">
        <v>6.9599953470000004</v>
      </c>
      <c r="K1799">
        <v>7.510396547</v>
      </c>
      <c r="L1799">
        <v>8.1215986499999993</v>
      </c>
      <c r="M1799">
        <v>8.7745862300000006</v>
      </c>
      <c r="N1799">
        <v>9.4586526559999999</v>
      </c>
      <c r="O1799">
        <v>10.16218297</v>
      </c>
      <c r="P1799">
        <v>10.87084739</v>
      </c>
      <c r="Q1799">
        <v>11.484706689999999</v>
      </c>
    </row>
    <row r="1800" spans="1:17" x14ac:dyDescent="0.25">
      <c r="A1800" t="s">
        <v>5</v>
      </c>
      <c r="B1800" t="s">
        <v>6</v>
      </c>
      <c r="C1800" t="s">
        <v>263</v>
      </c>
      <c r="D1800" t="s">
        <v>129</v>
      </c>
      <c r="E1800" t="s">
        <v>27</v>
      </c>
      <c r="F1800">
        <v>3.4485645250000001</v>
      </c>
      <c r="G1800">
        <v>4.2420624189999998</v>
      </c>
      <c r="H1800">
        <v>4.8156273199999999</v>
      </c>
      <c r="I1800">
        <v>6.4640597660000001</v>
      </c>
      <c r="J1800">
        <v>5.9172249109999999</v>
      </c>
      <c r="K1800">
        <v>6.9075769400000002</v>
      </c>
      <c r="L1800">
        <v>8.0092724329999996</v>
      </c>
      <c r="M1800">
        <v>9.1809035540000004</v>
      </c>
      <c r="N1800">
        <v>10.41318671</v>
      </c>
      <c r="O1800">
        <v>11.69816232</v>
      </c>
      <c r="P1800">
        <v>13.048821780000001</v>
      </c>
      <c r="Q1800">
        <v>14.30341044</v>
      </c>
    </row>
    <row r="1801" spans="1:17" x14ac:dyDescent="0.25">
      <c r="A1801" t="s">
        <v>5</v>
      </c>
      <c r="B1801" t="s">
        <v>6</v>
      </c>
      <c r="C1801" t="s">
        <v>263</v>
      </c>
      <c r="D1801" t="s">
        <v>130</v>
      </c>
      <c r="E1801" t="s">
        <v>27</v>
      </c>
      <c r="F1801">
        <v>84.256190590000003</v>
      </c>
      <c r="G1801">
        <v>94.577616019999994</v>
      </c>
      <c r="H1801">
        <v>100.3647867</v>
      </c>
      <c r="I1801">
        <v>108.104556</v>
      </c>
      <c r="J1801">
        <v>113.4990557</v>
      </c>
      <c r="K1801">
        <v>121.77470460000001</v>
      </c>
      <c r="L1801">
        <v>131.002183</v>
      </c>
      <c r="M1801">
        <v>140.85250600000001</v>
      </c>
      <c r="N1801">
        <v>151.1382218</v>
      </c>
      <c r="O1801">
        <v>161.66021230000001</v>
      </c>
      <c r="P1801">
        <v>172.17547819999999</v>
      </c>
      <c r="Q1801">
        <v>181.1868805</v>
      </c>
    </row>
    <row r="1802" spans="1:17" x14ac:dyDescent="0.25">
      <c r="A1802" t="s">
        <v>5</v>
      </c>
      <c r="B1802" t="s">
        <v>6</v>
      </c>
      <c r="C1802" t="s">
        <v>263</v>
      </c>
      <c r="D1802" t="s">
        <v>131</v>
      </c>
      <c r="E1802" t="s">
        <v>27</v>
      </c>
      <c r="F1802">
        <v>7.403375477</v>
      </c>
      <c r="G1802">
        <v>9.4410644670000003</v>
      </c>
      <c r="H1802">
        <v>10.445467259999999</v>
      </c>
      <c r="I1802">
        <v>14.6834601</v>
      </c>
      <c r="J1802">
        <v>12.82010502</v>
      </c>
      <c r="K1802">
        <v>15.06265698</v>
      </c>
      <c r="L1802">
        <v>17.59843579</v>
      </c>
      <c r="M1802">
        <v>20.331480259999999</v>
      </c>
      <c r="N1802">
        <v>23.23966089</v>
      </c>
      <c r="O1802">
        <v>26.300783030000002</v>
      </c>
      <c r="P1802">
        <v>29.550534119999998</v>
      </c>
      <c r="Q1802">
        <v>32.606716749999997</v>
      </c>
    </row>
    <row r="1803" spans="1:17" x14ac:dyDescent="0.25">
      <c r="A1803" t="s">
        <v>5</v>
      </c>
      <c r="B1803" t="s">
        <v>6</v>
      </c>
      <c r="C1803" t="s">
        <v>263</v>
      </c>
      <c r="D1803" t="s">
        <v>132</v>
      </c>
      <c r="E1803" t="s">
        <v>27</v>
      </c>
      <c r="F1803">
        <v>2.3971585649999998</v>
      </c>
      <c r="G1803">
        <v>3.2941535609999999</v>
      </c>
      <c r="H1803">
        <v>4.2748486730000002</v>
      </c>
      <c r="I1803">
        <v>4.9344516580000004</v>
      </c>
      <c r="J1803">
        <v>6.139477597</v>
      </c>
      <c r="K1803">
        <v>8.766332706</v>
      </c>
      <c r="L1803">
        <v>13.447151379999999</v>
      </c>
      <c r="M1803">
        <v>20.393625279999998</v>
      </c>
      <c r="N1803">
        <v>26.3617311</v>
      </c>
      <c r="O1803">
        <v>31.606061449999999</v>
      </c>
      <c r="P1803">
        <v>37.510954210000001</v>
      </c>
      <c r="Q1803">
        <v>41.948797280000001</v>
      </c>
    </row>
    <row r="1804" spans="1:17" x14ac:dyDescent="0.25">
      <c r="A1804" t="s">
        <v>5</v>
      </c>
      <c r="B1804" t="s">
        <v>6</v>
      </c>
      <c r="C1804" t="s">
        <v>263</v>
      </c>
      <c r="D1804" t="s">
        <v>133</v>
      </c>
      <c r="E1804" t="s">
        <v>27</v>
      </c>
      <c r="F1804">
        <v>16.14162533</v>
      </c>
      <c r="G1804">
        <v>20.956575999999998</v>
      </c>
      <c r="H1804">
        <v>26.20354322</v>
      </c>
      <c r="I1804">
        <v>30.606885980000001</v>
      </c>
      <c r="J1804">
        <v>36.408010500000003</v>
      </c>
      <c r="K1804">
        <v>45.584800559999998</v>
      </c>
      <c r="L1804">
        <v>56.200604939999998</v>
      </c>
      <c r="M1804">
        <v>69.688861410000001</v>
      </c>
      <c r="N1804">
        <v>75.43041049</v>
      </c>
      <c r="O1804">
        <v>78.075614560000005</v>
      </c>
      <c r="P1804">
        <v>84.617245089999997</v>
      </c>
      <c r="Q1804">
        <v>94.491820489999995</v>
      </c>
    </row>
    <row r="1805" spans="1:17" x14ac:dyDescent="0.25">
      <c r="A1805" t="s">
        <v>5</v>
      </c>
      <c r="B1805" t="s">
        <v>6</v>
      </c>
      <c r="C1805" t="s">
        <v>263</v>
      </c>
      <c r="D1805" t="s">
        <v>134</v>
      </c>
      <c r="E1805" t="s">
        <v>27</v>
      </c>
      <c r="F1805">
        <v>1.9766808E-2</v>
      </c>
      <c r="G1805">
        <v>2.7762563000000001E-2</v>
      </c>
      <c r="H1805">
        <v>3.6340089999999999E-2</v>
      </c>
      <c r="I1805">
        <v>4.4052052000000001E-2</v>
      </c>
      <c r="J1805">
        <v>5.9962930999999997E-2</v>
      </c>
      <c r="K1805">
        <v>0.117896609</v>
      </c>
      <c r="L1805">
        <v>0.27275147700000002</v>
      </c>
      <c r="M1805">
        <v>0.54973387699999998</v>
      </c>
      <c r="N1805">
        <v>0.89959643099999997</v>
      </c>
      <c r="O1805">
        <v>1.2649478119999999</v>
      </c>
      <c r="P1805">
        <v>1.6234751350000001</v>
      </c>
      <c r="Q1805">
        <v>1.8467681419999999</v>
      </c>
    </row>
    <row r="1806" spans="1:17" x14ac:dyDescent="0.25">
      <c r="A1806" t="s">
        <v>5</v>
      </c>
      <c r="B1806" t="s">
        <v>6</v>
      </c>
      <c r="C1806" t="s">
        <v>263</v>
      </c>
      <c r="D1806" t="s">
        <v>135</v>
      </c>
      <c r="E1806" t="s">
        <v>27</v>
      </c>
      <c r="F1806">
        <v>6.3805112999999997E-2</v>
      </c>
      <c r="G1806">
        <v>8.0772245000000006E-2</v>
      </c>
      <c r="H1806">
        <v>0.10071907300000001</v>
      </c>
      <c r="I1806">
        <v>0.12286227299999999</v>
      </c>
      <c r="J1806">
        <v>0.15215184600000001</v>
      </c>
      <c r="K1806">
        <v>0.26818298200000001</v>
      </c>
      <c r="L1806">
        <v>0.40061933</v>
      </c>
      <c r="M1806">
        <v>0.65268482999999999</v>
      </c>
      <c r="N1806">
        <v>0.85920446800000005</v>
      </c>
      <c r="O1806">
        <v>1.0630129669999999</v>
      </c>
      <c r="P1806">
        <v>1.28774425</v>
      </c>
      <c r="Q1806">
        <v>1.4369596440000001</v>
      </c>
    </row>
    <row r="1807" spans="1:17" x14ac:dyDescent="0.25">
      <c r="A1807" t="s">
        <v>5</v>
      </c>
      <c r="B1807" t="s">
        <v>6</v>
      </c>
      <c r="C1807" t="s">
        <v>263</v>
      </c>
      <c r="D1807" t="s">
        <v>136</v>
      </c>
      <c r="E1807" t="s">
        <v>27</v>
      </c>
      <c r="F1807">
        <v>9.7582099999999998E-4</v>
      </c>
      <c r="G1807">
        <v>2.6310209999999999E-3</v>
      </c>
      <c r="H1807">
        <v>3.8494610000000002E-3</v>
      </c>
      <c r="I1807">
        <v>3.361967E-3</v>
      </c>
      <c r="J1807">
        <v>4.2929760000000004E-3</v>
      </c>
      <c r="K1807">
        <v>1.5196454E-2</v>
      </c>
      <c r="L1807">
        <v>5.1640988999999998E-2</v>
      </c>
      <c r="M1807">
        <v>7.8476986999999998E-2</v>
      </c>
      <c r="N1807">
        <v>5.6733868999999999E-2</v>
      </c>
      <c r="O1807">
        <v>2.1385152000000001E-2</v>
      </c>
      <c r="P1807">
        <v>9.2578490000000003E-3</v>
      </c>
      <c r="Q1807">
        <v>8.3160779999999993E-3</v>
      </c>
    </row>
    <row r="1808" spans="1:17" x14ac:dyDescent="0.25">
      <c r="A1808" t="s">
        <v>5</v>
      </c>
      <c r="B1808" t="s">
        <v>6</v>
      </c>
      <c r="C1808" t="s">
        <v>263</v>
      </c>
      <c r="D1808" t="s">
        <v>137</v>
      </c>
      <c r="E1808" t="s">
        <v>27</v>
      </c>
      <c r="F1808">
        <v>2.4179312159999999</v>
      </c>
      <c r="G1808">
        <v>3.027476037</v>
      </c>
      <c r="H1808">
        <v>3.5569907089999999</v>
      </c>
      <c r="I1808">
        <v>3.978500044</v>
      </c>
      <c r="J1808">
        <v>4.3839366970000002</v>
      </c>
      <c r="K1808">
        <v>4.9677726360000003</v>
      </c>
      <c r="L1808">
        <v>5.98486487</v>
      </c>
      <c r="M1808">
        <v>7.3997494179999999</v>
      </c>
      <c r="N1808">
        <v>9.1391302860000003</v>
      </c>
      <c r="O1808">
        <v>10.887779869999999</v>
      </c>
      <c r="P1808">
        <v>12.480248120000001</v>
      </c>
      <c r="Q1808">
        <v>13.789637859999999</v>
      </c>
    </row>
    <row r="1809" spans="1:17" x14ac:dyDescent="0.25">
      <c r="A1809" t="s">
        <v>5</v>
      </c>
      <c r="B1809" t="s">
        <v>6</v>
      </c>
      <c r="C1809" t="s">
        <v>263</v>
      </c>
      <c r="D1809" t="s">
        <v>138</v>
      </c>
      <c r="E1809" t="s">
        <v>27</v>
      </c>
      <c r="F1809">
        <v>6.5912862399999996</v>
      </c>
      <c r="G1809">
        <v>8.4052342000000007</v>
      </c>
      <c r="H1809">
        <v>10.186274620000001</v>
      </c>
      <c r="I1809">
        <v>11.66144708</v>
      </c>
      <c r="J1809">
        <v>12.814564000000001</v>
      </c>
      <c r="K1809">
        <v>14.158438459999999</v>
      </c>
      <c r="L1809">
        <v>16.593040890000001</v>
      </c>
      <c r="M1809">
        <v>20.313678379999999</v>
      </c>
      <c r="N1809">
        <v>25.339902290000001</v>
      </c>
      <c r="O1809">
        <v>30.913864700000001</v>
      </c>
      <c r="P1809">
        <v>36.239361860000002</v>
      </c>
      <c r="Q1809">
        <v>40.388998119999997</v>
      </c>
    </row>
    <row r="1810" spans="1:17" x14ac:dyDescent="0.25">
      <c r="A1810" t="s">
        <v>5</v>
      </c>
      <c r="B1810" t="s">
        <v>6</v>
      </c>
      <c r="C1810" t="s">
        <v>263</v>
      </c>
      <c r="D1810" t="s">
        <v>139</v>
      </c>
      <c r="E1810" t="s">
        <v>27</v>
      </c>
      <c r="F1810">
        <v>0.97140938200000004</v>
      </c>
      <c r="G1810">
        <v>1.2917746219999999</v>
      </c>
      <c r="H1810">
        <v>1.6387515210000001</v>
      </c>
      <c r="I1810">
        <v>1.9974793630000001</v>
      </c>
      <c r="J1810">
        <v>2.1878099930000001</v>
      </c>
      <c r="K1810">
        <v>2.3178454419999999</v>
      </c>
      <c r="L1810">
        <v>2.6359592460000001</v>
      </c>
      <c r="M1810">
        <v>3.1633586120000001</v>
      </c>
      <c r="N1810">
        <v>3.9713116510000002</v>
      </c>
      <c r="O1810">
        <v>4.9651285950000004</v>
      </c>
      <c r="P1810">
        <v>5.9609330849999997</v>
      </c>
      <c r="Q1810">
        <v>6.7000481699999996</v>
      </c>
    </row>
    <row r="1811" spans="1:17" x14ac:dyDescent="0.25">
      <c r="A1811" t="s">
        <v>5</v>
      </c>
      <c r="B1811" t="s">
        <v>6</v>
      </c>
      <c r="C1811" t="s">
        <v>263</v>
      </c>
      <c r="D1811" t="s">
        <v>140</v>
      </c>
      <c r="E1811" t="s">
        <v>27</v>
      </c>
      <c r="F1811">
        <v>0.68243205100000004</v>
      </c>
      <c r="G1811">
        <v>0.89183016299999995</v>
      </c>
      <c r="H1811">
        <v>1.0599525670000001</v>
      </c>
      <c r="I1811">
        <v>1.299960158</v>
      </c>
      <c r="J1811">
        <v>1.4154852010000001</v>
      </c>
      <c r="K1811">
        <v>1.528523659</v>
      </c>
      <c r="L1811">
        <v>1.839722681</v>
      </c>
      <c r="M1811">
        <v>2.2423111069999999</v>
      </c>
      <c r="N1811">
        <v>2.7609340370000002</v>
      </c>
      <c r="O1811">
        <v>3.314243958</v>
      </c>
      <c r="P1811">
        <v>3.8553562910000001</v>
      </c>
      <c r="Q1811">
        <v>4.3274811160000004</v>
      </c>
    </row>
    <row r="1812" spans="1:17" x14ac:dyDescent="0.25">
      <c r="A1812" t="s">
        <v>5</v>
      </c>
      <c r="B1812" t="s">
        <v>6</v>
      </c>
      <c r="C1812" t="s">
        <v>263</v>
      </c>
      <c r="D1812" t="s">
        <v>141</v>
      </c>
      <c r="E1812" t="s">
        <v>27</v>
      </c>
      <c r="F1812">
        <v>2.4186038999999999E-2</v>
      </c>
      <c r="G1812">
        <v>3.1972269999999997E-2</v>
      </c>
      <c r="H1812">
        <v>4.0989383999999997E-2</v>
      </c>
      <c r="I1812">
        <v>4.8427911999999997E-2</v>
      </c>
      <c r="J1812">
        <v>5.2935384000000002E-2</v>
      </c>
      <c r="K1812">
        <v>5.6306941999999999E-2</v>
      </c>
      <c r="L1812">
        <v>6.3031757999999993E-2</v>
      </c>
      <c r="M1812">
        <v>7.6057463000000006E-2</v>
      </c>
      <c r="N1812">
        <v>9.6918765000000004E-2</v>
      </c>
      <c r="O1812">
        <v>0.123430336</v>
      </c>
      <c r="P1812">
        <v>0.150201271</v>
      </c>
      <c r="Q1812">
        <v>0.16964627900000001</v>
      </c>
    </row>
    <row r="1813" spans="1:17" x14ac:dyDescent="0.25">
      <c r="A1813" t="s">
        <v>5</v>
      </c>
      <c r="B1813" t="s">
        <v>6</v>
      </c>
      <c r="C1813" t="s">
        <v>263</v>
      </c>
      <c r="D1813" t="s">
        <v>142</v>
      </c>
      <c r="E1813" t="s">
        <v>27</v>
      </c>
      <c r="F1813">
        <v>1.3792789999999999E-2</v>
      </c>
      <c r="G1813">
        <v>2.5199955999999999E-2</v>
      </c>
      <c r="H1813">
        <v>1.8637713E-2</v>
      </c>
      <c r="I1813">
        <v>1.9779574000000001E-2</v>
      </c>
      <c r="J1813">
        <v>2.8932357999999998E-2</v>
      </c>
      <c r="K1813">
        <v>5.8182577999999999E-2</v>
      </c>
      <c r="L1813">
        <v>8.2660857000000004E-2</v>
      </c>
      <c r="M1813">
        <v>7.6022265000000006E-2</v>
      </c>
      <c r="N1813">
        <v>5.0469011000000001E-2</v>
      </c>
      <c r="O1813">
        <v>4.0889307E-2</v>
      </c>
      <c r="P1813">
        <v>5.1036722999999999E-2</v>
      </c>
      <c r="Q1813">
        <v>7.7131897000000005E-2</v>
      </c>
    </row>
    <row r="1814" spans="1:17" x14ac:dyDescent="0.25">
      <c r="A1814" t="s">
        <v>5</v>
      </c>
      <c r="B1814" t="s">
        <v>6</v>
      </c>
      <c r="C1814" t="s">
        <v>263</v>
      </c>
      <c r="D1814" t="s">
        <v>143</v>
      </c>
      <c r="E1814" t="s">
        <v>27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</row>
    <row r="1815" spans="1:17" x14ac:dyDescent="0.25">
      <c r="A1815" t="s">
        <v>5</v>
      </c>
      <c r="B1815" t="s">
        <v>6</v>
      </c>
      <c r="C1815" t="s">
        <v>263</v>
      </c>
      <c r="D1815" t="s">
        <v>144</v>
      </c>
      <c r="E1815" t="s">
        <v>27</v>
      </c>
      <c r="F1815" s="1">
        <v>6.3700000000000003E-5</v>
      </c>
      <c r="G1815">
        <v>2.7441199999999997E-4</v>
      </c>
      <c r="H1815">
        <v>9.2005400000000001E-4</v>
      </c>
      <c r="I1815">
        <v>2.2578870000000001E-3</v>
      </c>
      <c r="J1815">
        <v>3.754E-3</v>
      </c>
      <c r="K1815">
        <v>4.84958E-3</v>
      </c>
      <c r="L1815">
        <v>7.2919810000000003E-3</v>
      </c>
      <c r="M1815">
        <v>9.60015E-3</v>
      </c>
      <c r="N1815">
        <v>8.2485890000000006E-3</v>
      </c>
      <c r="O1815">
        <v>4.2855109999999997E-3</v>
      </c>
      <c r="P1815">
        <v>1.635205E-3</v>
      </c>
      <c r="Q1815">
        <v>1.392208E-3</v>
      </c>
    </row>
    <row r="1816" spans="1:17" x14ac:dyDescent="0.25">
      <c r="A1816" t="s">
        <v>5</v>
      </c>
      <c r="B1816" t="s">
        <v>6</v>
      </c>
      <c r="C1816" t="s">
        <v>263</v>
      </c>
      <c r="D1816" t="s">
        <v>145</v>
      </c>
      <c r="E1816" t="s">
        <v>27</v>
      </c>
      <c r="F1816">
        <v>3.1700700000000001E-4</v>
      </c>
      <c r="G1816">
        <v>5.8426500000000004E-4</v>
      </c>
      <c r="H1816">
        <v>4.4293499999999999E-4</v>
      </c>
      <c r="I1816">
        <v>4.9170400000000003E-4</v>
      </c>
      <c r="J1816">
        <v>8.3085500000000003E-4</v>
      </c>
      <c r="K1816">
        <v>1.5611119999999999E-3</v>
      </c>
      <c r="L1816">
        <v>2.0482819999999998E-3</v>
      </c>
      <c r="M1816">
        <v>1.8332590000000001E-3</v>
      </c>
      <c r="N1816">
        <v>1.2570070000000001E-3</v>
      </c>
      <c r="O1816">
        <v>1.084607E-3</v>
      </c>
      <c r="P1816">
        <v>1.31645E-3</v>
      </c>
      <c r="Q1816">
        <v>1.933611E-3</v>
      </c>
    </row>
    <row r="1817" spans="1:17" x14ac:dyDescent="0.25">
      <c r="A1817" t="s">
        <v>5</v>
      </c>
      <c r="B1817" t="s">
        <v>6</v>
      </c>
      <c r="C1817" t="s">
        <v>263</v>
      </c>
      <c r="D1817" t="s">
        <v>146</v>
      </c>
      <c r="E1817" t="s">
        <v>27</v>
      </c>
      <c r="F1817">
        <v>1.3700999999999999E-4</v>
      </c>
      <c r="G1817">
        <v>1.1035900000000001E-4</v>
      </c>
      <c r="H1817" s="1">
        <v>5.6900000000000001E-5</v>
      </c>
      <c r="I1817" s="1">
        <v>3.1300000000000002E-5</v>
      </c>
      <c r="J1817" s="1">
        <v>5.8E-5</v>
      </c>
      <c r="K1817" s="1">
        <v>9.8999999999999994E-5</v>
      </c>
      <c r="L1817" s="1">
        <v>5.5899999999999997E-5</v>
      </c>
      <c r="M1817" s="1">
        <v>6.0699999999999998E-5</v>
      </c>
      <c r="N1817" s="1">
        <v>4.4400000000000002E-5</v>
      </c>
      <c r="O1817" s="1">
        <v>3.96E-5</v>
      </c>
      <c r="P1817" s="1">
        <v>9.5199999999999997E-5</v>
      </c>
      <c r="Q1817" s="1">
        <v>9.7999999999999997E-5</v>
      </c>
    </row>
    <row r="1818" spans="1:17" x14ac:dyDescent="0.25">
      <c r="A1818" t="s">
        <v>5</v>
      </c>
      <c r="B1818" t="s">
        <v>6</v>
      </c>
      <c r="C1818" t="s">
        <v>263</v>
      </c>
      <c r="D1818" t="s">
        <v>147</v>
      </c>
      <c r="E1818" t="s">
        <v>148</v>
      </c>
      <c r="F1818">
        <v>736003.66020000004</v>
      </c>
      <c r="G1818">
        <v>819126.41599999997</v>
      </c>
      <c r="H1818">
        <v>921472.81330000004</v>
      </c>
      <c r="I1818">
        <v>990422.49540000001</v>
      </c>
      <c r="J1818">
        <v>1199940.5430000001</v>
      </c>
      <c r="K1818">
        <v>1386572.192</v>
      </c>
      <c r="L1818">
        <v>1608726.828</v>
      </c>
      <c r="M1818">
        <v>1856587.797</v>
      </c>
      <c r="N1818">
        <v>2088116.3130000001</v>
      </c>
      <c r="O1818">
        <v>2312647.1129999999</v>
      </c>
      <c r="P1818">
        <v>2531022.352</v>
      </c>
      <c r="Q1818">
        <v>2723152.361</v>
      </c>
    </row>
    <row r="1819" spans="1:17" x14ac:dyDescent="0.25">
      <c r="A1819" t="s">
        <v>5</v>
      </c>
      <c r="B1819" t="s">
        <v>6</v>
      </c>
      <c r="C1819" t="s">
        <v>263</v>
      </c>
      <c r="D1819" t="s">
        <v>149</v>
      </c>
      <c r="E1819" t="s">
        <v>148</v>
      </c>
      <c r="F1819">
        <v>10472.191860000001</v>
      </c>
      <c r="G1819">
        <v>11800.107830000001</v>
      </c>
      <c r="H1819">
        <v>12428.38061</v>
      </c>
      <c r="I1819">
        <v>13325.50049</v>
      </c>
      <c r="J1819">
        <v>15135.63983</v>
      </c>
      <c r="K1819">
        <v>16827.93636</v>
      </c>
      <c r="L1819">
        <v>18628.830470000001</v>
      </c>
      <c r="M1819">
        <v>19958.51081</v>
      </c>
      <c r="N1819">
        <v>20829.52534</v>
      </c>
      <c r="O1819">
        <v>21537.443039999998</v>
      </c>
      <c r="P1819">
        <v>22051.432720000001</v>
      </c>
      <c r="Q1819">
        <v>22311.59548</v>
      </c>
    </row>
    <row r="1820" spans="1:17" x14ac:dyDescent="0.25">
      <c r="A1820" t="s">
        <v>5</v>
      </c>
      <c r="B1820" t="s">
        <v>6</v>
      </c>
      <c r="C1820" t="s">
        <v>263</v>
      </c>
      <c r="D1820" t="s">
        <v>150</v>
      </c>
      <c r="E1820" t="s">
        <v>148</v>
      </c>
      <c r="F1820">
        <v>1324781.3899999999</v>
      </c>
      <c r="G1820">
        <v>1184073.588</v>
      </c>
      <c r="H1820">
        <v>1439342.335</v>
      </c>
      <c r="I1820">
        <v>1539167.7990000001</v>
      </c>
      <c r="J1820">
        <v>1587950.527</v>
      </c>
      <c r="K1820">
        <v>1589894.2180000001</v>
      </c>
      <c r="L1820">
        <v>1578712.713</v>
      </c>
      <c r="M1820">
        <v>1530274.639</v>
      </c>
      <c r="N1820">
        <v>1472074.6240000001</v>
      </c>
      <c r="O1820">
        <v>1412720.9110000001</v>
      </c>
      <c r="P1820">
        <v>1357120.6370000001</v>
      </c>
      <c r="Q1820">
        <v>1312729.6510000001</v>
      </c>
    </row>
    <row r="1821" spans="1:17" x14ac:dyDescent="0.25">
      <c r="A1821" t="s">
        <v>5</v>
      </c>
      <c r="B1821" t="s">
        <v>6</v>
      </c>
      <c r="C1821" t="s">
        <v>263</v>
      </c>
      <c r="D1821" t="s">
        <v>151</v>
      </c>
      <c r="E1821" t="s">
        <v>148</v>
      </c>
      <c r="F1821">
        <v>62002.851369999997</v>
      </c>
      <c r="G1821">
        <v>75574.904320000001</v>
      </c>
      <c r="H1821">
        <v>100298.4951</v>
      </c>
      <c r="I1821">
        <v>122976.9289</v>
      </c>
      <c r="J1821">
        <v>136500.38709999999</v>
      </c>
      <c r="K1821">
        <v>153667.75640000001</v>
      </c>
      <c r="L1821">
        <v>173640.34760000001</v>
      </c>
      <c r="M1821">
        <v>191609.72839999999</v>
      </c>
      <c r="N1821">
        <v>207809.68229999999</v>
      </c>
      <c r="O1821">
        <v>222586.5741</v>
      </c>
      <c r="P1821">
        <v>235442.24179999999</v>
      </c>
      <c r="Q1821">
        <v>246275.64309999999</v>
      </c>
    </row>
    <row r="1822" spans="1:17" x14ac:dyDescent="0.25">
      <c r="A1822" t="s">
        <v>5</v>
      </c>
      <c r="B1822" t="s">
        <v>6</v>
      </c>
      <c r="C1822" t="s">
        <v>263</v>
      </c>
      <c r="D1822" t="s">
        <v>152</v>
      </c>
      <c r="E1822" t="s">
        <v>148</v>
      </c>
      <c r="F1822">
        <v>49.662486870000002</v>
      </c>
      <c r="G1822">
        <v>54.48334861</v>
      </c>
      <c r="H1822">
        <v>66.59888565</v>
      </c>
      <c r="I1822">
        <v>76.916402020000007</v>
      </c>
      <c r="J1822">
        <v>86.034916050000007</v>
      </c>
      <c r="K1822">
        <v>93.751900289999995</v>
      </c>
      <c r="L1822">
        <v>101.51727940000001</v>
      </c>
      <c r="M1822">
        <v>108.5001156</v>
      </c>
      <c r="N1822">
        <v>113.49984120000001</v>
      </c>
      <c r="O1822">
        <v>117.18617759999999</v>
      </c>
      <c r="P1822">
        <v>119.1601428</v>
      </c>
      <c r="Q1822">
        <v>119.0186446</v>
      </c>
    </row>
    <row r="1823" spans="1:17" x14ac:dyDescent="0.25">
      <c r="A1823" t="s">
        <v>5</v>
      </c>
      <c r="B1823" t="s">
        <v>6</v>
      </c>
      <c r="C1823" t="s">
        <v>263</v>
      </c>
      <c r="D1823" t="s">
        <v>153</v>
      </c>
      <c r="E1823" t="s">
        <v>148</v>
      </c>
      <c r="F1823">
        <v>72.254750400000006</v>
      </c>
      <c r="G1823">
        <v>82.594014990000005</v>
      </c>
      <c r="H1823">
        <v>88.79039281</v>
      </c>
      <c r="I1823">
        <v>96.907180319999995</v>
      </c>
      <c r="J1823">
        <v>108.6081935</v>
      </c>
      <c r="K1823">
        <v>123.9615135</v>
      </c>
      <c r="L1823">
        <v>141.10912590000001</v>
      </c>
      <c r="M1823">
        <v>159.4222398</v>
      </c>
      <c r="N1823">
        <v>174.67689340000001</v>
      </c>
      <c r="O1823">
        <v>183.7567177</v>
      </c>
      <c r="P1823">
        <v>191.265118</v>
      </c>
      <c r="Q1823">
        <v>198.12543930000001</v>
      </c>
    </row>
    <row r="1824" spans="1:17" x14ac:dyDescent="0.25">
      <c r="A1824" t="s">
        <v>5</v>
      </c>
      <c r="B1824" t="s">
        <v>6</v>
      </c>
      <c r="C1824" t="s">
        <v>263</v>
      </c>
      <c r="D1824" t="s">
        <v>154</v>
      </c>
      <c r="E1824" t="s">
        <v>148</v>
      </c>
      <c r="F1824">
        <v>10.408774770000001</v>
      </c>
      <c r="G1824">
        <v>11.750657820000001</v>
      </c>
      <c r="H1824">
        <v>16.632453649999999</v>
      </c>
      <c r="I1824">
        <v>16.048337320000002</v>
      </c>
      <c r="J1824">
        <v>23.502203739999999</v>
      </c>
      <c r="K1824">
        <v>27.359464450000001</v>
      </c>
      <c r="L1824">
        <v>31.253917650000002</v>
      </c>
      <c r="M1824">
        <v>35.142701879999997</v>
      </c>
      <c r="N1824">
        <v>40.74504031</v>
      </c>
      <c r="O1824">
        <v>48.287747199999998</v>
      </c>
      <c r="P1824">
        <v>56.238417759999997</v>
      </c>
      <c r="Q1824">
        <v>63.414836899999997</v>
      </c>
    </row>
    <row r="1825" spans="1:17" x14ac:dyDescent="0.25">
      <c r="A1825" t="s">
        <v>5</v>
      </c>
      <c r="B1825" t="s">
        <v>6</v>
      </c>
      <c r="C1825" t="s">
        <v>263</v>
      </c>
      <c r="D1825" t="s">
        <v>155</v>
      </c>
      <c r="E1825" t="s">
        <v>148</v>
      </c>
      <c r="F1825">
        <v>5.2141132380000004</v>
      </c>
      <c r="G1825">
        <v>5.7600053109999996</v>
      </c>
      <c r="H1825">
        <v>8.1911098239999998</v>
      </c>
      <c r="I1825">
        <v>10.09927018</v>
      </c>
      <c r="J1825">
        <v>13.70987248</v>
      </c>
      <c r="K1825">
        <v>14.83131556</v>
      </c>
      <c r="L1825">
        <v>15.836144320000001</v>
      </c>
      <c r="M1825">
        <v>16.763227579999999</v>
      </c>
      <c r="N1825">
        <v>18.04073928</v>
      </c>
      <c r="O1825">
        <v>19.579738320000001</v>
      </c>
      <c r="P1825">
        <v>20.98472293</v>
      </c>
      <c r="Q1825">
        <v>22.087970259999999</v>
      </c>
    </row>
    <row r="1826" spans="1:17" x14ac:dyDescent="0.25">
      <c r="A1826" t="s">
        <v>5</v>
      </c>
      <c r="B1826" t="s">
        <v>6</v>
      </c>
      <c r="C1826" t="s">
        <v>263</v>
      </c>
      <c r="D1826" t="s">
        <v>156</v>
      </c>
      <c r="E1826" t="s">
        <v>148</v>
      </c>
      <c r="F1826">
        <v>351.64257129999999</v>
      </c>
      <c r="G1826">
        <v>345.98454950000001</v>
      </c>
      <c r="H1826">
        <v>351.59573210000002</v>
      </c>
      <c r="I1826">
        <v>383.05468919999998</v>
      </c>
      <c r="J1826">
        <v>406.36707730000001</v>
      </c>
      <c r="K1826">
        <v>424.43840660000001</v>
      </c>
      <c r="L1826">
        <v>441.08454039999998</v>
      </c>
      <c r="M1826">
        <v>456.63907740000002</v>
      </c>
      <c r="N1826">
        <v>470.75458509999999</v>
      </c>
      <c r="O1826">
        <v>484.0569299</v>
      </c>
      <c r="P1826">
        <v>494.07052190000002</v>
      </c>
      <c r="Q1826">
        <v>501.22042599999997</v>
      </c>
    </row>
    <row r="1827" spans="1:17" x14ac:dyDescent="0.25">
      <c r="A1827" t="s">
        <v>5</v>
      </c>
      <c r="B1827" t="s">
        <v>6</v>
      </c>
      <c r="C1827" t="s">
        <v>263</v>
      </c>
      <c r="D1827" t="s">
        <v>157</v>
      </c>
      <c r="E1827" t="s">
        <v>158</v>
      </c>
      <c r="F1827">
        <v>74808143522</v>
      </c>
      <c r="G1827">
        <v>80391527144</v>
      </c>
      <c r="H1827">
        <v>84974496616</v>
      </c>
      <c r="I1827">
        <v>89237601366</v>
      </c>
      <c r="J1827">
        <v>92344308489</v>
      </c>
      <c r="K1827">
        <v>97880849420</v>
      </c>
      <c r="L1827" s="1">
        <v>103578000000</v>
      </c>
      <c r="M1827" s="1">
        <v>109066000000</v>
      </c>
      <c r="N1827" s="1">
        <v>114412000000</v>
      </c>
      <c r="O1827" s="1">
        <v>119636000000</v>
      </c>
      <c r="P1827" s="1">
        <v>124811000000</v>
      </c>
      <c r="Q1827" s="1">
        <v>129534000000</v>
      </c>
    </row>
    <row r="1828" spans="1:17" x14ac:dyDescent="0.25">
      <c r="A1828" t="s">
        <v>5</v>
      </c>
      <c r="B1828" t="s">
        <v>6</v>
      </c>
      <c r="C1828" t="s">
        <v>263</v>
      </c>
      <c r="D1828" t="s">
        <v>159</v>
      </c>
      <c r="E1828" t="s">
        <v>158</v>
      </c>
      <c r="F1828">
        <v>32776175618</v>
      </c>
      <c r="G1828">
        <v>36730474905</v>
      </c>
      <c r="H1828">
        <v>40453446179</v>
      </c>
      <c r="I1828">
        <v>44413785602</v>
      </c>
      <c r="J1828">
        <v>47879286432</v>
      </c>
      <c r="K1828">
        <v>52716713770</v>
      </c>
      <c r="L1828">
        <v>57877534391</v>
      </c>
      <c r="M1828">
        <v>63130247322</v>
      </c>
      <c r="N1828">
        <v>68424710747</v>
      </c>
      <c r="O1828">
        <v>73712385860</v>
      </c>
      <c r="P1828">
        <v>78900595958</v>
      </c>
      <c r="Q1828">
        <v>83541889311</v>
      </c>
    </row>
    <row r="1829" spans="1:17" x14ac:dyDescent="0.25">
      <c r="A1829" t="s">
        <v>5</v>
      </c>
      <c r="B1829" t="s">
        <v>6</v>
      </c>
      <c r="C1829" t="s">
        <v>263</v>
      </c>
      <c r="D1829" t="s">
        <v>160</v>
      </c>
      <c r="E1829" t="s">
        <v>158</v>
      </c>
      <c r="F1829">
        <v>15615689501</v>
      </c>
      <c r="G1829">
        <v>17493170170</v>
      </c>
      <c r="H1829">
        <v>19364058192</v>
      </c>
      <c r="I1829">
        <v>21403665469</v>
      </c>
      <c r="J1829">
        <v>23172450990</v>
      </c>
      <c r="K1829">
        <v>25627449746</v>
      </c>
      <c r="L1829">
        <v>28231125741</v>
      </c>
      <c r="M1829">
        <v>30889647891</v>
      </c>
      <c r="N1829">
        <v>33578639786</v>
      </c>
      <c r="O1829">
        <v>36283954513</v>
      </c>
      <c r="P1829">
        <v>38987678577</v>
      </c>
      <c r="Q1829">
        <v>41438986801</v>
      </c>
    </row>
    <row r="1830" spans="1:17" x14ac:dyDescent="0.25">
      <c r="A1830" t="s">
        <v>5</v>
      </c>
      <c r="B1830" t="s">
        <v>6</v>
      </c>
      <c r="C1830" t="s">
        <v>263</v>
      </c>
      <c r="D1830" t="s">
        <v>161</v>
      </c>
      <c r="E1830" t="s">
        <v>158</v>
      </c>
      <c r="F1830">
        <v>4495732536</v>
      </c>
      <c r="G1830">
        <v>5028079922</v>
      </c>
      <c r="H1830">
        <v>5739048350</v>
      </c>
      <c r="I1830">
        <v>6619106641</v>
      </c>
      <c r="J1830">
        <v>7956094262</v>
      </c>
      <c r="K1830">
        <v>9855419079</v>
      </c>
      <c r="L1830">
        <v>11991262232</v>
      </c>
      <c r="M1830">
        <v>14269001906</v>
      </c>
      <c r="N1830">
        <v>16694071457</v>
      </c>
      <c r="O1830">
        <v>19246693937</v>
      </c>
      <c r="P1830">
        <v>22149784273</v>
      </c>
      <c r="Q1830">
        <v>25074029269</v>
      </c>
    </row>
    <row r="1831" spans="1:17" x14ac:dyDescent="0.25">
      <c r="A1831" t="s">
        <v>5</v>
      </c>
      <c r="B1831" t="s">
        <v>6</v>
      </c>
      <c r="C1831" t="s">
        <v>263</v>
      </c>
      <c r="D1831" t="s">
        <v>162</v>
      </c>
      <c r="E1831" t="s">
        <v>158</v>
      </c>
      <c r="F1831">
        <v>2018778705</v>
      </c>
      <c r="G1831">
        <v>2304491666</v>
      </c>
      <c r="H1831">
        <v>2667245778</v>
      </c>
      <c r="I1831">
        <v>3094660918</v>
      </c>
      <c r="J1831">
        <v>3670436637</v>
      </c>
      <c r="K1831">
        <v>4410453461</v>
      </c>
      <c r="L1831">
        <v>5197462437</v>
      </c>
      <c r="M1831">
        <v>6017322616</v>
      </c>
      <c r="N1831">
        <v>6883242618</v>
      </c>
      <c r="O1831">
        <v>7792349212</v>
      </c>
      <c r="P1831">
        <v>8799750567</v>
      </c>
      <c r="Q1831">
        <v>9778039417</v>
      </c>
    </row>
    <row r="1832" spans="1:17" x14ac:dyDescent="0.25">
      <c r="A1832" t="s">
        <v>5</v>
      </c>
      <c r="B1832" t="s">
        <v>6</v>
      </c>
      <c r="C1832" t="s">
        <v>263</v>
      </c>
      <c r="D1832" t="s">
        <v>163</v>
      </c>
      <c r="E1832" t="s">
        <v>158</v>
      </c>
      <c r="F1832">
        <v>3382576081</v>
      </c>
      <c r="G1832">
        <v>3833637539</v>
      </c>
      <c r="H1832">
        <v>4395373031</v>
      </c>
      <c r="I1832">
        <v>5118935904</v>
      </c>
      <c r="J1832">
        <v>6196903311</v>
      </c>
      <c r="K1832">
        <v>7625216208</v>
      </c>
      <c r="L1832">
        <v>9156827942</v>
      </c>
      <c r="M1832">
        <v>10730411638</v>
      </c>
      <c r="N1832">
        <v>12369274533</v>
      </c>
      <c r="O1832">
        <v>14090972382</v>
      </c>
      <c r="P1832">
        <v>16036915602</v>
      </c>
      <c r="Q1832">
        <v>17951967069</v>
      </c>
    </row>
    <row r="1833" spans="1:17" x14ac:dyDescent="0.25">
      <c r="A1833" t="s">
        <v>5</v>
      </c>
      <c r="B1833" t="s">
        <v>6</v>
      </c>
      <c r="C1833" t="s">
        <v>263</v>
      </c>
      <c r="D1833" t="s">
        <v>164</v>
      </c>
      <c r="E1833" t="s">
        <v>158</v>
      </c>
      <c r="F1833">
        <v>16942897513</v>
      </c>
      <c r="G1833">
        <v>19538817493</v>
      </c>
      <c r="H1833">
        <v>22520504605</v>
      </c>
      <c r="I1833">
        <v>25756527275</v>
      </c>
      <c r="J1833">
        <v>29647023779</v>
      </c>
      <c r="K1833">
        <v>34033812386</v>
      </c>
      <c r="L1833">
        <v>38344727668</v>
      </c>
      <c r="M1833">
        <v>42590385570</v>
      </c>
      <c r="N1833">
        <v>46864983026</v>
      </c>
      <c r="O1833">
        <v>51184378605</v>
      </c>
      <c r="P1833">
        <v>55665536424</v>
      </c>
      <c r="Q1833">
        <v>59662120252</v>
      </c>
    </row>
    <row r="1834" spans="1:17" x14ac:dyDescent="0.25">
      <c r="A1834" t="s">
        <v>5</v>
      </c>
      <c r="B1834" t="s">
        <v>6</v>
      </c>
      <c r="C1834" t="s">
        <v>263</v>
      </c>
      <c r="D1834" t="s">
        <v>165</v>
      </c>
      <c r="E1834" t="s">
        <v>166</v>
      </c>
      <c r="F1834">
        <v>655.55530569999996</v>
      </c>
      <c r="G1834">
        <v>729.5417903</v>
      </c>
      <c r="H1834">
        <v>821.19498480000004</v>
      </c>
      <c r="I1834">
        <v>882.93257129999995</v>
      </c>
      <c r="J1834">
        <v>1066.817616</v>
      </c>
      <c r="K1834">
        <v>1227.52225</v>
      </c>
      <c r="L1834">
        <v>1419.4185669999999</v>
      </c>
      <c r="M1834">
        <v>1636.5944239999999</v>
      </c>
      <c r="N1834">
        <v>1839.387788</v>
      </c>
      <c r="O1834">
        <v>2033.9987550000001</v>
      </c>
      <c r="P1834">
        <v>2222.1495249999998</v>
      </c>
      <c r="Q1834">
        <v>2388.0834049999999</v>
      </c>
    </row>
    <row r="1835" spans="1:17" x14ac:dyDescent="0.25">
      <c r="A1835" t="s">
        <v>5</v>
      </c>
      <c r="B1835" t="s">
        <v>6</v>
      </c>
      <c r="C1835" t="s">
        <v>263</v>
      </c>
      <c r="D1835" t="s">
        <v>167</v>
      </c>
      <c r="E1835" t="s">
        <v>166</v>
      </c>
      <c r="F1835">
        <v>988.66281140000001</v>
      </c>
      <c r="G1835">
        <v>1125.014643</v>
      </c>
      <c r="H1835">
        <v>1321.5843669999999</v>
      </c>
      <c r="I1835">
        <v>1479.9774359999999</v>
      </c>
      <c r="J1835">
        <v>1727.2804020000001</v>
      </c>
      <c r="K1835">
        <v>1967.94353</v>
      </c>
      <c r="L1835">
        <v>2253.7902479999998</v>
      </c>
      <c r="M1835">
        <v>2550.7571630000002</v>
      </c>
      <c r="N1835">
        <v>2823.220867</v>
      </c>
      <c r="O1835">
        <v>3081.441014</v>
      </c>
      <c r="P1835">
        <v>3324.6781799999999</v>
      </c>
      <c r="Q1835">
        <v>3536.0048670000001</v>
      </c>
    </row>
    <row r="1836" spans="1:17" x14ac:dyDescent="0.25">
      <c r="A1836" t="s">
        <v>5</v>
      </c>
      <c r="B1836" t="s">
        <v>6</v>
      </c>
      <c r="C1836" t="s">
        <v>263</v>
      </c>
      <c r="D1836" t="s">
        <v>168</v>
      </c>
      <c r="E1836" t="s">
        <v>166</v>
      </c>
      <c r="F1836">
        <v>129.00863440000001</v>
      </c>
      <c r="G1836">
        <v>147.00175350000001</v>
      </c>
      <c r="H1836">
        <v>159.24812829999999</v>
      </c>
      <c r="I1836">
        <v>174.4530676</v>
      </c>
      <c r="J1836">
        <v>195.47373690000001</v>
      </c>
      <c r="K1836">
        <v>222.38663579999999</v>
      </c>
      <c r="L1836">
        <v>252.33897250000001</v>
      </c>
      <c r="M1836">
        <v>284.18168680000002</v>
      </c>
      <c r="N1836">
        <v>310.68260889999999</v>
      </c>
      <c r="O1836">
        <v>326.7790445</v>
      </c>
      <c r="P1836">
        <v>340.12527519999998</v>
      </c>
      <c r="Q1836">
        <v>352.16313050000002</v>
      </c>
    </row>
    <row r="1837" spans="1:17" x14ac:dyDescent="0.25">
      <c r="A1837" t="s">
        <v>5</v>
      </c>
      <c r="B1837" t="s">
        <v>6</v>
      </c>
      <c r="C1837" t="s">
        <v>263</v>
      </c>
      <c r="D1837" t="s">
        <v>169</v>
      </c>
      <c r="E1837" t="s">
        <v>166</v>
      </c>
      <c r="F1837">
        <v>0.101706375</v>
      </c>
      <c r="G1837">
        <v>0.113728727</v>
      </c>
      <c r="H1837">
        <v>0.16130597999999999</v>
      </c>
      <c r="I1837">
        <v>0.17458196100000001</v>
      </c>
      <c r="J1837">
        <v>0.246351759</v>
      </c>
      <c r="K1837">
        <v>0.27704810000000002</v>
      </c>
      <c r="L1837">
        <v>0.30694124900000003</v>
      </c>
      <c r="M1837">
        <v>0.336132879</v>
      </c>
      <c r="N1837">
        <v>0.37768650500000001</v>
      </c>
      <c r="O1837">
        <v>0.432071123</v>
      </c>
      <c r="P1837">
        <v>0.487523241</v>
      </c>
      <c r="Q1837">
        <v>0.536152772</v>
      </c>
    </row>
    <row r="1838" spans="1:17" x14ac:dyDescent="0.25">
      <c r="A1838" t="s">
        <v>5</v>
      </c>
      <c r="B1838" t="s">
        <v>6</v>
      </c>
      <c r="C1838" t="s">
        <v>263</v>
      </c>
      <c r="D1838" t="s">
        <v>170</v>
      </c>
      <c r="E1838" t="s">
        <v>166</v>
      </c>
      <c r="F1838">
        <v>174.57192549999999</v>
      </c>
      <c r="G1838">
        <v>169.91352470000001</v>
      </c>
      <c r="H1838">
        <v>171.2993305</v>
      </c>
      <c r="I1838">
        <v>190.15847600000001</v>
      </c>
      <c r="J1838">
        <v>204.13622760000001</v>
      </c>
      <c r="K1838">
        <v>215.82885010000001</v>
      </c>
      <c r="L1838">
        <v>227.86037619999999</v>
      </c>
      <c r="M1838">
        <v>240.41905829999999</v>
      </c>
      <c r="N1838">
        <v>253.5974664</v>
      </c>
      <c r="O1838">
        <v>276.01084789999999</v>
      </c>
      <c r="P1838">
        <v>290.30324839999997</v>
      </c>
      <c r="Q1838">
        <v>297.88362460000002</v>
      </c>
    </row>
    <row r="1839" spans="1:17" x14ac:dyDescent="0.25">
      <c r="A1839" t="s">
        <v>5</v>
      </c>
      <c r="B1839" t="s">
        <v>6</v>
      </c>
      <c r="C1839" t="s">
        <v>263</v>
      </c>
      <c r="D1839" t="s">
        <v>171</v>
      </c>
      <c r="E1839" t="s">
        <v>166</v>
      </c>
      <c r="F1839">
        <v>100.5917956</v>
      </c>
      <c r="G1839">
        <v>112.4329141</v>
      </c>
      <c r="H1839">
        <v>129.7814118</v>
      </c>
      <c r="I1839">
        <v>143.2537221</v>
      </c>
      <c r="J1839">
        <v>185.89728579999999</v>
      </c>
      <c r="K1839">
        <v>231.1530267</v>
      </c>
      <c r="L1839">
        <v>280.26564969999998</v>
      </c>
      <c r="M1839">
        <v>325.1847985</v>
      </c>
      <c r="N1839">
        <v>370.24544650000001</v>
      </c>
      <c r="O1839">
        <v>422.67298010000002</v>
      </c>
      <c r="P1839">
        <v>477.27653570000001</v>
      </c>
      <c r="Q1839">
        <v>522.85418230000005</v>
      </c>
    </row>
    <row r="1840" spans="1:17" x14ac:dyDescent="0.25">
      <c r="A1840" t="s">
        <v>5</v>
      </c>
      <c r="B1840" t="s">
        <v>6</v>
      </c>
      <c r="C1840" t="s">
        <v>263</v>
      </c>
      <c r="D1840" t="s">
        <v>172</v>
      </c>
      <c r="E1840" t="s">
        <v>166</v>
      </c>
      <c r="F1840">
        <v>152.65255619999999</v>
      </c>
      <c r="G1840">
        <v>170.04622950000001</v>
      </c>
      <c r="H1840">
        <v>196.4568658</v>
      </c>
      <c r="I1840">
        <v>218.1414801</v>
      </c>
      <c r="J1840">
        <v>269.07316120000002</v>
      </c>
      <c r="K1840">
        <v>322.39663560000002</v>
      </c>
      <c r="L1840">
        <v>380.25272530000001</v>
      </c>
      <c r="M1840">
        <v>431.91730209999997</v>
      </c>
      <c r="N1840">
        <v>482.1952579</v>
      </c>
      <c r="O1840">
        <v>539.23502729999996</v>
      </c>
      <c r="P1840">
        <v>597.5857767</v>
      </c>
      <c r="Q1840">
        <v>645.86341730000004</v>
      </c>
    </row>
    <row r="1841" spans="1:17" x14ac:dyDescent="0.25">
      <c r="A1841" t="s">
        <v>5</v>
      </c>
      <c r="B1841" t="s">
        <v>6</v>
      </c>
      <c r="C1841" t="s">
        <v>263</v>
      </c>
      <c r="D1841" t="s">
        <v>173</v>
      </c>
      <c r="E1841" t="s">
        <v>166</v>
      </c>
      <c r="F1841">
        <v>11.264851889999999</v>
      </c>
      <c r="G1841">
        <v>12.64542969</v>
      </c>
      <c r="H1841">
        <v>14.22805726</v>
      </c>
      <c r="I1841">
        <v>15.86504697</v>
      </c>
      <c r="J1841">
        <v>17.759749830000001</v>
      </c>
      <c r="K1841">
        <v>19.900040430000001</v>
      </c>
      <c r="L1841">
        <v>22.233067779999999</v>
      </c>
      <c r="M1841">
        <v>24.6437141</v>
      </c>
      <c r="N1841">
        <v>26.62952984</v>
      </c>
      <c r="O1841">
        <v>27.95829784</v>
      </c>
      <c r="P1841">
        <v>29.056062579999999</v>
      </c>
      <c r="Q1841">
        <v>29.964012499999999</v>
      </c>
    </row>
    <row r="1842" spans="1:17" x14ac:dyDescent="0.25">
      <c r="A1842" t="s">
        <v>5</v>
      </c>
      <c r="B1842" t="s">
        <v>6</v>
      </c>
      <c r="C1842" t="s">
        <v>263</v>
      </c>
      <c r="D1842" t="s">
        <v>174</v>
      </c>
      <c r="E1842" t="s">
        <v>166</v>
      </c>
      <c r="F1842">
        <v>0.76844816999999999</v>
      </c>
      <c r="G1842">
        <v>0.85928371699999995</v>
      </c>
      <c r="H1842">
        <v>1.218756293</v>
      </c>
      <c r="I1842">
        <v>1.3190637030000001</v>
      </c>
      <c r="J1842">
        <v>1.861324398</v>
      </c>
      <c r="K1842">
        <v>2.0932523129999998</v>
      </c>
      <c r="L1842">
        <v>2.319111661</v>
      </c>
      <c r="M1842">
        <v>2.539670638</v>
      </c>
      <c r="N1842">
        <v>2.8536313739999999</v>
      </c>
      <c r="O1842">
        <v>3.264537373</v>
      </c>
      <c r="P1842">
        <v>3.6835089339999998</v>
      </c>
      <c r="Q1842">
        <v>4.0509320579999999</v>
      </c>
    </row>
    <row r="1843" spans="1:17" x14ac:dyDescent="0.25">
      <c r="A1843" t="s">
        <v>5</v>
      </c>
      <c r="B1843" t="s">
        <v>6</v>
      </c>
      <c r="C1843" t="s">
        <v>263</v>
      </c>
      <c r="D1843" t="s">
        <v>175</v>
      </c>
      <c r="E1843" t="s">
        <v>166</v>
      </c>
      <c r="F1843">
        <v>1.9183728069999999</v>
      </c>
      <c r="G1843">
        <v>1.8671815899999999</v>
      </c>
      <c r="H1843">
        <v>1.8824102250000001</v>
      </c>
      <c r="I1843">
        <v>2.089653582</v>
      </c>
      <c r="J1843">
        <v>2.2432552480000001</v>
      </c>
      <c r="K1843">
        <v>2.3717456050000001</v>
      </c>
      <c r="L1843">
        <v>2.5039601779999998</v>
      </c>
      <c r="M1843">
        <v>2.641967674</v>
      </c>
      <c r="N1843">
        <v>2.7867853450000002</v>
      </c>
      <c r="O1843">
        <v>3.0330862409999999</v>
      </c>
      <c r="P1843">
        <v>3.1901455869999999</v>
      </c>
      <c r="Q1843">
        <v>3.2734464239999999</v>
      </c>
    </row>
    <row r="1844" spans="1:17" x14ac:dyDescent="0.25">
      <c r="A1844" t="s">
        <v>5</v>
      </c>
      <c r="B1844" t="s">
        <v>6</v>
      </c>
      <c r="C1844" t="s">
        <v>263</v>
      </c>
      <c r="D1844" t="s">
        <v>176</v>
      </c>
      <c r="E1844" t="s">
        <v>166</v>
      </c>
      <c r="F1844">
        <v>19.496449009999999</v>
      </c>
      <c r="G1844">
        <v>22.167104899999998</v>
      </c>
      <c r="H1844">
        <v>28.004460689999998</v>
      </c>
      <c r="I1844">
        <v>33.643311420000003</v>
      </c>
      <c r="J1844">
        <v>52.97513352</v>
      </c>
      <c r="K1844">
        <v>77.008505369999995</v>
      </c>
      <c r="L1844">
        <v>100.0038222</v>
      </c>
      <c r="M1844">
        <v>115.8080501</v>
      </c>
      <c r="N1844">
        <v>133.37942839999999</v>
      </c>
      <c r="O1844">
        <v>158.73440500000001</v>
      </c>
      <c r="P1844">
        <v>186.9921262</v>
      </c>
      <c r="Q1844">
        <v>209.6132767</v>
      </c>
    </row>
    <row r="1845" spans="1:17" x14ac:dyDescent="0.25">
      <c r="A1845" t="s">
        <v>5</v>
      </c>
      <c r="B1845" t="s">
        <v>6</v>
      </c>
      <c r="C1845" t="s">
        <v>263</v>
      </c>
      <c r="D1845" t="s">
        <v>177</v>
      </c>
      <c r="E1845" t="s">
        <v>166</v>
      </c>
      <c r="F1845">
        <v>21.834986300000001</v>
      </c>
      <c r="G1845">
        <v>24.977207809999999</v>
      </c>
      <c r="H1845">
        <v>31.627833370000001</v>
      </c>
      <c r="I1845">
        <v>38.027608669999999</v>
      </c>
      <c r="J1845">
        <v>57.89799455</v>
      </c>
      <c r="K1845">
        <v>82.668192689999998</v>
      </c>
      <c r="L1845">
        <v>106.5523525</v>
      </c>
      <c r="M1845">
        <v>123.20224260000001</v>
      </c>
      <c r="N1845">
        <v>141.60178020000001</v>
      </c>
      <c r="O1845">
        <v>167.72374679999999</v>
      </c>
      <c r="P1845">
        <v>196.62990640000001</v>
      </c>
      <c r="Q1845">
        <v>219.7648465</v>
      </c>
    </row>
    <row r="1846" spans="1:17" x14ac:dyDescent="0.25">
      <c r="A1846" t="s">
        <v>5</v>
      </c>
      <c r="B1846" t="s">
        <v>6</v>
      </c>
      <c r="C1846" t="s">
        <v>263</v>
      </c>
      <c r="D1846" t="s">
        <v>178</v>
      </c>
      <c r="E1846" t="s">
        <v>166</v>
      </c>
      <c r="F1846">
        <v>0.23115406299999999</v>
      </c>
      <c r="G1846">
        <v>0.26081380500000001</v>
      </c>
      <c r="H1846">
        <v>0.28308180300000002</v>
      </c>
      <c r="I1846">
        <v>0.310505429</v>
      </c>
      <c r="J1846">
        <v>0.34754537299999999</v>
      </c>
      <c r="K1846">
        <v>0.39417671100000001</v>
      </c>
      <c r="L1846">
        <v>0.446491107</v>
      </c>
      <c r="M1846">
        <v>0.50309233399999997</v>
      </c>
      <c r="N1846">
        <v>0.55216614600000002</v>
      </c>
      <c r="O1846">
        <v>0.58633421900000005</v>
      </c>
      <c r="P1846">
        <v>0.61858901499999996</v>
      </c>
      <c r="Q1846">
        <v>0.65045166399999998</v>
      </c>
    </row>
    <row r="1847" spans="1:17" x14ac:dyDescent="0.25">
      <c r="A1847" t="s">
        <v>5</v>
      </c>
      <c r="B1847" t="s">
        <v>6</v>
      </c>
      <c r="C1847" t="s">
        <v>263</v>
      </c>
      <c r="D1847" t="s">
        <v>179</v>
      </c>
      <c r="E1847" t="s">
        <v>166</v>
      </c>
      <c r="F1847">
        <v>2.899539E-3</v>
      </c>
      <c r="G1847">
        <v>3.2733430000000002E-3</v>
      </c>
      <c r="H1847">
        <v>4.6332489999999999E-3</v>
      </c>
      <c r="I1847">
        <v>4.470534E-3</v>
      </c>
      <c r="J1847">
        <v>6.5469339999999999E-3</v>
      </c>
      <c r="K1847">
        <v>7.6214380000000003E-3</v>
      </c>
      <c r="L1847">
        <v>8.7063039999999998E-3</v>
      </c>
      <c r="M1847">
        <v>9.7895900000000008E-3</v>
      </c>
      <c r="N1847">
        <v>1.1350215E-2</v>
      </c>
      <c r="O1847">
        <v>1.3451362999999999E-2</v>
      </c>
      <c r="P1847">
        <v>1.5666156000000001E-2</v>
      </c>
      <c r="Q1847">
        <v>1.7665268000000001E-2</v>
      </c>
    </row>
    <row r="1848" spans="1:17" x14ac:dyDescent="0.25">
      <c r="A1848" t="s">
        <v>5</v>
      </c>
      <c r="B1848" t="s">
        <v>6</v>
      </c>
      <c r="C1848" t="s">
        <v>263</v>
      </c>
      <c r="D1848" t="s">
        <v>180</v>
      </c>
      <c r="E1848" t="s">
        <v>166</v>
      </c>
      <c r="F1848">
        <v>1.9183728069999999</v>
      </c>
      <c r="G1848">
        <v>1.8671815899999999</v>
      </c>
      <c r="H1848">
        <v>1.8824102250000001</v>
      </c>
      <c r="I1848">
        <v>2.089653582</v>
      </c>
      <c r="J1848">
        <v>2.2432552480000001</v>
      </c>
      <c r="K1848">
        <v>2.3717456050000001</v>
      </c>
      <c r="L1848">
        <v>2.5039601779999998</v>
      </c>
      <c r="M1848">
        <v>2.641967674</v>
      </c>
      <c r="N1848">
        <v>2.7867853450000002</v>
      </c>
      <c r="O1848">
        <v>3.0330862409999999</v>
      </c>
      <c r="P1848">
        <v>3.1901455869999999</v>
      </c>
      <c r="Q1848">
        <v>3.2734464239999999</v>
      </c>
    </row>
    <row r="1849" spans="1:17" x14ac:dyDescent="0.25">
      <c r="A1849" t="s">
        <v>5</v>
      </c>
      <c r="B1849" t="s">
        <v>6</v>
      </c>
      <c r="C1849" t="s">
        <v>263</v>
      </c>
      <c r="D1849" t="s">
        <v>181</v>
      </c>
      <c r="E1849" t="s">
        <v>166</v>
      </c>
      <c r="F1849">
        <v>27.57769064</v>
      </c>
      <c r="G1849">
        <v>30.7154387</v>
      </c>
      <c r="H1849">
        <v>34.749250529999998</v>
      </c>
      <c r="I1849">
        <v>37.55891347</v>
      </c>
      <c r="J1849">
        <v>46.019581420000002</v>
      </c>
      <c r="K1849">
        <v>53.784148139999999</v>
      </c>
      <c r="L1849">
        <v>62.80064187</v>
      </c>
      <c r="M1849">
        <v>72.476813829999998</v>
      </c>
      <c r="N1849">
        <v>81.622169850000006</v>
      </c>
      <c r="O1849">
        <v>90.808470959999994</v>
      </c>
      <c r="P1849">
        <v>99.885753300000005</v>
      </c>
      <c r="Q1849">
        <v>107.79551859999999</v>
      </c>
    </row>
    <row r="1850" spans="1:17" x14ac:dyDescent="0.25">
      <c r="A1850" t="s">
        <v>5</v>
      </c>
      <c r="B1850" t="s">
        <v>6</v>
      </c>
      <c r="C1850" t="s">
        <v>263</v>
      </c>
      <c r="D1850" t="s">
        <v>182</v>
      </c>
      <c r="E1850" t="s">
        <v>166</v>
      </c>
      <c r="F1850">
        <v>32.757649020000002</v>
      </c>
      <c r="G1850">
        <v>36.736689259999999</v>
      </c>
      <c r="H1850">
        <v>41.698440609999999</v>
      </c>
      <c r="I1850">
        <v>45.470686739999998</v>
      </c>
      <c r="J1850">
        <v>54.907725300000003</v>
      </c>
      <c r="K1850">
        <v>63.675829989999997</v>
      </c>
      <c r="L1850">
        <v>73.787411270000007</v>
      </c>
      <c r="M1850">
        <v>84.330472029999996</v>
      </c>
      <c r="N1850">
        <v>94.158064609999997</v>
      </c>
      <c r="O1850">
        <v>103.9588183</v>
      </c>
      <c r="P1850">
        <v>113.54912059999999</v>
      </c>
      <c r="Q1850">
        <v>121.83908769999999</v>
      </c>
    </row>
    <row r="1851" spans="1:17" x14ac:dyDescent="0.25">
      <c r="A1851" t="s">
        <v>5</v>
      </c>
      <c r="B1851" t="s">
        <v>6</v>
      </c>
      <c r="C1851" t="s">
        <v>263</v>
      </c>
      <c r="D1851" t="s">
        <v>183</v>
      </c>
      <c r="E1851" t="s">
        <v>166</v>
      </c>
      <c r="F1851">
        <v>7.7928831000000004E-2</v>
      </c>
      <c r="G1851">
        <v>8.3261942000000005E-2</v>
      </c>
      <c r="H1851">
        <v>9.6808652999999995E-2</v>
      </c>
      <c r="I1851">
        <v>0.109677502</v>
      </c>
      <c r="J1851">
        <v>0.12220903900000001</v>
      </c>
      <c r="K1851">
        <v>0.13402566299999999</v>
      </c>
      <c r="L1851">
        <v>0.147182328</v>
      </c>
      <c r="M1851">
        <v>0.16169677299999999</v>
      </c>
      <c r="N1851">
        <v>0.17615173100000001</v>
      </c>
      <c r="O1851">
        <v>0.192066498</v>
      </c>
      <c r="P1851">
        <v>0.21040947900000001</v>
      </c>
      <c r="Q1851">
        <v>0.229702566</v>
      </c>
    </row>
    <row r="1852" spans="1:17" x14ac:dyDescent="0.25">
      <c r="A1852" t="s">
        <v>5</v>
      </c>
      <c r="B1852" t="s">
        <v>6</v>
      </c>
      <c r="C1852" t="s">
        <v>263</v>
      </c>
      <c r="D1852" t="s">
        <v>184</v>
      </c>
      <c r="E1852" t="s">
        <v>166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</row>
    <row r="1853" spans="1:17" x14ac:dyDescent="0.25">
      <c r="A1853" t="s">
        <v>5</v>
      </c>
      <c r="B1853" t="s">
        <v>6</v>
      </c>
      <c r="C1853" t="s">
        <v>263</v>
      </c>
      <c r="D1853" t="s">
        <v>185</v>
      </c>
      <c r="E1853" t="s">
        <v>166</v>
      </c>
      <c r="F1853">
        <v>0.115102368</v>
      </c>
      <c r="G1853">
        <v>0.11203089500000001</v>
      </c>
      <c r="H1853">
        <v>0.112944614</v>
      </c>
      <c r="I1853">
        <v>0.12537921499999999</v>
      </c>
      <c r="J1853">
        <v>0.13459531499999999</v>
      </c>
      <c r="K1853">
        <v>0.14230473599999999</v>
      </c>
      <c r="L1853">
        <v>0.15023761099999999</v>
      </c>
      <c r="M1853">
        <v>0.15851805999999999</v>
      </c>
      <c r="N1853">
        <v>0.16720712099999999</v>
      </c>
      <c r="O1853">
        <v>0.181985174</v>
      </c>
      <c r="P1853">
        <v>0.191408735</v>
      </c>
      <c r="Q1853">
        <v>0.196406785</v>
      </c>
    </row>
    <row r="1854" spans="1:17" x14ac:dyDescent="0.25">
      <c r="A1854" t="s">
        <v>5</v>
      </c>
      <c r="B1854" t="s">
        <v>6</v>
      </c>
      <c r="C1854" t="s">
        <v>263</v>
      </c>
      <c r="D1854" t="s">
        <v>186</v>
      </c>
      <c r="E1854" t="s">
        <v>166</v>
      </c>
      <c r="F1854">
        <v>129.17554079999999</v>
      </c>
      <c r="G1854">
        <v>143.9174811</v>
      </c>
      <c r="H1854">
        <v>162.72059089999999</v>
      </c>
      <c r="I1854">
        <v>175.7341902</v>
      </c>
      <c r="J1854">
        <v>215.21000470000001</v>
      </c>
      <c r="K1854">
        <v>250.87736570000001</v>
      </c>
      <c r="L1854">
        <v>291.71162190000001</v>
      </c>
      <c r="M1854">
        <v>336.0099821</v>
      </c>
      <c r="N1854">
        <v>378.63778170000001</v>
      </c>
      <c r="O1854">
        <v>422.23384750000002</v>
      </c>
      <c r="P1854">
        <v>465.63200719999998</v>
      </c>
      <c r="Q1854">
        <v>503.19471950000002</v>
      </c>
    </row>
    <row r="1855" spans="1:17" x14ac:dyDescent="0.25">
      <c r="A1855" t="s">
        <v>5</v>
      </c>
      <c r="B1855" t="s">
        <v>6</v>
      </c>
      <c r="C1855" t="s">
        <v>263</v>
      </c>
      <c r="D1855" t="s">
        <v>187</v>
      </c>
      <c r="E1855" t="s">
        <v>166</v>
      </c>
      <c r="F1855">
        <v>182.6001894</v>
      </c>
      <c r="G1855">
        <v>206.80780540000001</v>
      </c>
      <c r="H1855">
        <v>241.85196619999999</v>
      </c>
      <c r="I1855">
        <v>269.75564100000003</v>
      </c>
      <c r="J1855">
        <v>319.27843619999999</v>
      </c>
      <c r="K1855">
        <v>367.38092160000002</v>
      </c>
      <c r="L1855">
        <v>422.70923590000001</v>
      </c>
      <c r="M1855">
        <v>479.30606410000001</v>
      </c>
      <c r="N1855">
        <v>532.73291670000003</v>
      </c>
      <c r="O1855">
        <v>586.24835970000004</v>
      </c>
      <c r="P1855">
        <v>638.2370214</v>
      </c>
      <c r="Q1855">
        <v>682.82269480000002</v>
      </c>
    </row>
    <row r="1856" spans="1:17" x14ac:dyDescent="0.25">
      <c r="A1856" t="s">
        <v>5</v>
      </c>
      <c r="B1856" t="s">
        <v>6</v>
      </c>
      <c r="C1856" t="s">
        <v>263</v>
      </c>
      <c r="D1856" t="s">
        <v>188</v>
      </c>
      <c r="E1856" t="s">
        <v>166</v>
      </c>
      <c r="F1856">
        <v>0.31763004700000003</v>
      </c>
      <c r="G1856">
        <v>0.34450656099999999</v>
      </c>
      <c r="H1856">
        <v>0.41230618600000002</v>
      </c>
      <c r="I1856">
        <v>0.47240651099999997</v>
      </c>
      <c r="J1856">
        <v>0.527575978</v>
      </c>
      <c r="K1856">
        <v>0.57641324599999999</v>
      </c>
      <c r="L1856">
        <v>0.627801253</v>
      </c>
      <c r="M1856">
        <v>0.67876870600000005</v>
      </c>
      <c r="N1856">
        <v>0.722464365</v>
      </c>
      <c r="O1856">
        <v>0.76400205600000004</v>
      </c>
      <c r="P1856">
        <v>0.80365694399999998</v>
      </c>
      <c r="Q1856">
        <v>0.83735173699999998</v>
      </c>
    </row>
    <row r="1857" spans="1:17" x14ac:dyDescent="0.25">
      <c r="A1857" t="s">
        <v>5</v>
      </c>
      <c r="B1857" t="s">
        <v>6</v>
      </c>
      <c r="C1857" t="s">
        <v>263</v>
      </c>
      <c r="D1857" t="s">
        <v>189</v>
      </c>
      <c r="E1857" t="s">
        <v>166</v>
      </c>
      <c r="F1857">
        <v>5.9328719000000002E-2</v>
      </c>
      <c r="G1857">
        <v>6.6341758000000001E-2</v>
      </c>
      <c r="H1857">
        <v>9.4095155E-2</v>
      </c>
      <c r="I1857">
        <v>0.101839477</v>
      </c>
      <c r="J1857">
        <v>0.14370519300000001</v>
      </c>
      <c r="K1857">
        <v>0.16161139199999999</v>
      </c>
      <c r="L1857">
        <v>0.17904906200000001</v>
      </c>
      <c r="M1857">
        <v>0.19607751200000001</v>
      </c>
      <c r="N1857">
        <v>0.220317128</v>
      </c>
      <c r="O1857">
        <v>0.25204148799999998</v>
      </c>
      <c r="P1857">
        <v>0.28438855699999999</v>
      </c>
      <c r="Q1857">
        <v>0.31275578399999998</v>
      </c>
    </row>
    <row r="1858" spans="1:17" x14ac:dyDescent="0.25">
      <c r="A1858" t="s">
        <v>5</v>
      </c>
      <c r="B1858" t="s">
        <v>6</v>
      </c>
      <c r="C1858" t="s">
        <v>263</v>
      </c>
      <c r="D1858" t="s">
        <v>190</v>
      </c>
      <c r="E1858" t="s">
        <v>166</v>
      </c>
      <c r="F1858">
        <v>3.8367456149999999</v>
      </c>
      <c r="G1858">
        <v>3.734363181</v>
      </c>
      <c r="H1858">
        <v>3.7648204509999998</v>
      </c>
      <c r="I1858">
        <v>4.1793071639999999</v>
      </c>
      <c r="J1858">
        <v>4.4865104960000002</v>
      </c>
      <c r="K1858">
        <v>4.7434912100000002</v>
      </c>
      <c r="L1858">
        <v>5.0079203550000004</v>
      </c>
      <c r="M1858">
        <v>5.283935348</v>
      </c>
      <c r="N1858">
        <v>5.5735706900000004</v>
      </c>
      <c r="O1858">
        <v>6.0661724819999998</v>
      </c>
      <c r="P1858">
        <v>6.380291175</v>
      </c>
      <c r="Q1858">
        <v>6.5468928489999998</v>
      </c>
    </row>
    <row r="1859" spans="1:17" x14ac:dyDescent="0.25">
      <c r="A1859" t="s">
        <v>5</v>
      </c>
      <c r="B1859" t="s">
        <v>6</v>
      </c>
      <c r="C1859" t="s">
        <v>263</v>
      </c>
      <c r="D1859" t="s">
        <v>191</v>
      </c>
      <c r="E1859" t="s">
        <v>166</v>
      </c>
      <c r="F1859">
        <v>6235.730141</v>
      </c>
      <c r="G1859">
        <v>6871.8746490000003</v>
      </c>
      <c r="H1859">
        <v>7460.3128079999997</v>
      </c>
      <c r="I1859">
        <v>8071.0881570000001</v>
      </c>
      <c r="J1859">
        <v>8582.3318789999994</v>
      </c>
      <c r="K1859">
        <v>9332.3737789999996</v>
      </c>
      <c r="L1859">
        <v>10123.38961</v>
      </c>
      <c r="M1859">
        <v>10917.88436</v>
      </c>
      <c r="N1859">
        <v>11711.926520000001</v>
      </c>
      <c r="O1859">
        <v>12501.484850000001</v>
      </c>
      <c r="P1859">
        <v>13279.76706</v>
      </c>
      <c r="Q1859">
        <v>13980.35788</v>
      </c>
    </row>
    <row r="1860" spans="1:17" x14ac:dyDescent="0.25">
      <c r="A1860" t="s">
        <v>5</v>
      </c>
      <c r="B1860" t="s">
        <v>6</v>
      </c>
      <c r="C1860" t="s">
        <v>263</v>
      </c>
      <c r="D1860" t="s">
        <v>192</v>
      </c>
      <c r="E1860" t="s">
        <v>166</v>
      </c>
      <c r="F1860">
        <v>2308.091962</v>
      </c>
      <c r="G1860">
        <v>2641.6637139999998</v>
      </c>
      <c r="H1860">
        <v>3039.2273110000001</v>
      </c>
      <c r="I1860">
        <v>3493.048076</v>
      </c>
      <c r="J1860">
        <v>4085.2509850000001</v>
      </c>
      <c r="K1860">
        <v>4810.4405489999999</v>
      </c>
      <c r="L1860">
        <v>5560.4515860000001</v>
      </c>
      <c r="M1860">
        <v>6321.9173499999997</v>
      </c>
      <c r="N1860">
        <v>7106.9073660000004</v>
      </c>
      <c r="O1860">
        <v>7916.9998539999997</v>
      </c>
      <c r="P1860">
        <v>8797.4448639999991</v>
      </c>
      <c r="Q1860">
        <v>9631.7232390000008</v>
      </c>
    </row>
    <row r="1861" spans="1:17" x14ac:dyDescent="0.25">
      <c r="A1861" t="s">
        <v>5</v>
      </c>
      <c r="B1861" t="s">
        <v>6</v>
      </c>
      <c r="C1861" t="s">
        <v>263</v>
      </c>
      <c r="D1861" t="s">
        <v>193</v>
      </c>
      <c r="E1861" t="s">
        <v>166</v>
      </c>
      <c r="F1861">
        <v>332.21964300000002</v>
      </c>
      <c r="G1861">
        <v>359.9390128</v>
      </c>
      <c r="H1861">
        <v>383.84769669999997</v>
      </c>
      <c r="I1861">
        <v>407.18227919999998</v>
      </c>
      <c r="J1861">
        <v>425.31706939999998</v>
      </c>
      <c r="K1861">
        <v>454.84682609999999</v>
      </c>
      <c r="L1861">
        <v>485.5556004</v>
      </c>
      <c r="M1861">
        <v>515.68473549999999</v>
      </c>
      <c r="N1861">
        <v>545.36553719999995</v>
      </c>
      <c r="O1861">
        <v>574.58618060000003</v>
      </c>
      <c r="P1861">
        <v>603.44325079999999</v>
      </c>
      <c r="Q1861">
        <v>629.59413870000003</v>
      </c>
    </row>
    <row r="1862" spans="1:17" x14ac:dyDescent="0.25">
      <c r="A1862" t="s">
        <v>5</v>
      </c>
      <c r="B1862" t="s">
        <v>6</v>
      </c>
      <c r="C1862" t="s">
        <v>263</v>
      </c>
      <c r="D1862" t="s">
        <v>194</v>
      </c>
      <c r="E1862" t="s">
        <v>166</v>
      </c>
      <c r="F1862">
        <v>134.17755510000001</v>
      </c>
      <c r="G1862">
        <v>153.9337568</v>
      </c>
      <c r="H1862">
        <v>177.22631469999999</v>
      </c>
      <c r="I1862">
        <v>203.46111450000001</v>
      </c>
      <c r="J1862">
        <v>236.94242120000001</v>
      </c>
      <c r="K1862">
        <v>277.05615069999999</v>
      </c>
      <c r="L1862">
        <v>318.00005870000001</v>
      </c>
      <c r="M1862">
        <v>359.25203629999999</v>
      </c>
      <c r="N1862">
        <v>401.54145829999999</v>
      </c>
      <c r="O1862">
        <v>444.98446530000001</v>
      </c>
      <c r="P1862">
        <v>491.71569090000003</v>
      </c>
      <c r="Q1862">
        <v>535.4107831</v>
      </c>
    </row>
    <row r="1863" spans="1:17" x14ac:dyDescent="0.25">
      <c r="A1863" t="s">
        <v>5</v>
      </c>
      <c r="B1863" t="s">
        <v>6</v>
      </c>
      <c r="C1863" t="s">
        <v>263</v>
      </c>
      <c r="D1863" t="s">
        <v>195</v>
      </c>
      <c r="E1863" t="s">
        <v>166</v>
      </c>
      <c r="F1863">
        <v>133.8450071</v>
      </c>
      <c r="G1863">
        <v>144.03157329999999</v>
      </c>
      <c r="H1863">
        <v>152.45681010000001</v>
      </c>
      <c r="I1863">
        <v>160.35781059999999</v>
      </c>
      <c r="J1863">
        <v>166.1891052</v>
      </c>
      <c r="K1863">
        <v>176.3968146</v>
      </c>
      <c r="L1863">
        <v>186.92194470000001</v>
      </c>
      <c r="M1863">
        <v>197.09144889999999</v>
      </c>
      <c r="N1863">
        <v>207.01334879999999</v>
      </c>
      <c r="O1863">
        <v>216.7134605</v>
      </c>
      <c r="P1863">
        <v>226.30084070000001</v>
      </c>
      <c r="Q1863">
        <v>235.0264066</v>
      </c>
    </row>
    <row r="1864" spans="1:17" x14ac:dyDescent="0.25">
      <c r="A1864" t="s">
        <v>5</v>
      </c>
      <c r="B1864" t="s">
        <v>6</v>
      </c>
      <c r="C1864" t="s">
        <v>263</v>
      </c>
      <c r="D1864" t="s">
        <v>196</v>
      </c>
      <c r="E1864" t="s">
        <v>166</v>
      </c>
      <c r="F1864">
        <v>88.203808559999999</v>
      </c>
      <c r="G1864">
        <v>101.0134705</v>
      </c>
      <c r="H1864">
        <v>116.24684190000001</v>
      </c>
      <c r="I1864">
        <v>133.5913012</v>
      </c>
      <c r="J1864">
        <v>156.11334880000001</v>
      </c>
      <c r="K1864">
        <v>183.55735630000001</v>
      </c>
      <c r="L1864">
        <v>211.85472469999999</v>
      </c>
      <c r="M1864">
        <v>240.5352499</v>
      </c>
      <c r="N1864">
        <v>270.0688265</v>
      </c>
      <c r="O1864">
        <v>300.52229779999999</v>
      </c>
      <c r="P1864">
        <v>333.55042550000002</v>
      </c>
      <c r="Q1864">
        <v>364.75728570000001</v>
      </c>
    </row>
    <row r="1865" spans="1:17" x14ac:dyDescent="0.25">
      <c r="A1865" t="s">
        <v>5</v>
      </c>
      <c r="B1865" t="s">
        <v>6</v>
      </c>
      <c r="C1865" t="s">
        <v>263</v>
      </c>
      <c r="D1865" t="s">
        <v>197</v>
      </c>
      <c r="E1865" t="s">
        <v>166</v>
      </c>
      <c r="F1865">
        <v>114193.75229999999</v>
      </c>
      <c r="G1865">
        <v>125062.0689</v>
      </c>
      <c r="H1865">
        <v>134820.2341</v>
      </c>
      <c r="I1865">
        <v>144730.81219999999</v>
      </c>
      <c r="J1865">
        <v>152863.93369999999</v>
      </c>
      <c r="K1865">
        <v>165223.2421</v>
      </c>
      <c r="L1865">
        <v>178218.93770000001</v>
      </c>
      <c r="M1865">
        <v>191195.86410000001</v>
      </c>
      <c r="N1865">
        <v>204133.5705</v>
      </c>
      <c r="O1865">
        <v>216981.2548</v>
      </c>
      <c r="P1865">
        <v>229687.24280000001</v>
      </c>
      <c r="Q1865">
        <v>241169.9718</v>
      </c>
    </row>
    <row r="1866" spans="1:17" x14ac:dyDescent="0.25">
      <c r="A1866" t="s">
        <v>5</v>
      </c>
      <c r="B1866" t="s">
        <v>6</v>
      </c>
      <c r="C1866" t="s">
        <v>263</v>
      </c>
      <c r="D1866" t="s">
        <v>198</v>
      </c>
      <c r="E1866" t="s">
        <v>166</v>
      </c>
      <c r="F1866">
        <v>23644.099160000002</v>
      </c>
      <c r="G1866">
        <v>27071.74051</v>
      </c>
      <c r="H1866">
        <v>31147.696400000001</v>
      </c>
      <c r="I1866">
        <v>35776.397629999999</v>
      </c>
      <c r="J1866">
        <v>41778.421549999999</v>
      </c>
      <c r="K1866">
        <v>49095.27044</v>
      </c>
      <c r="L1866">
        <v>56645.633040000001</v>
      </c>
      <c r="M1866">
        <v>64303.974770000001</v>
      </c>
      <c r="N1866">
        <v>72191.928969999994</v>
      </c>
      <c r="O1866">
        <v>80321.937170000005</v>
      </c>
      <c r="P1866">
        <v>89135.578250000006</v>
      </c>
      <c r="Q1866">
        <v>97465.287419999993</v>
      </c>
    </row>
    <row r="1867" spans="1:17" x14ac:dyDescent="0.25">
      <c r="A1867" t="s">
        <v>5</v>
      </c>
      <c r="B1867" t="s">
        <v>6</v>
      </c>
      <c r="C1867" t="s">
        <v>263</v>
      </c>
      <c r="D1867" t="s">
        <v>199</v>
      </c>
      <c r="E1867" t="s">
        <v>166</v>
      </c>
      <c r="F1867">
        <v>377.35749600000003</v>
      </c>
      <c r="G1867">
        <v>413.38820190000001</v>
      </c>
      <c r="H1867">
        <v>445.91646680000002</v>
      </c>
      <c r="I1867">
        <v>479.0177678</v>
      </c>
      <c r="J1867">
        <v>506.16136549999999</v>
      </c>
      <c r="K1867">
        <v>547.10975940000003</v>
      </c>
      <c r="L1867">
        <v>590.12351039999999</v>
      </c>
      <c r="M1867">
        <v>632.98940279999999</v>
      </c>
      <c r="N1867">
        <v>675.59274440000002</v>
      </c>
      <c r="O1867">
        <v>717.75511310000002</v>
      </c>
      <c r="P1867">
        <v>759.16315599999996</v>
      </c>
      <c r="Q1867">
        <v>796.39478029999998</v>
      </c>
    </row>
    <row r="1868" spans="1:17" x14ac:dyDescent="0.25">
      <c r="A1868" t="s">
        <v>5</v>
      </c>
      <c r="B1868" t="s">
        <v>6</v>
      </c>
      <c r="C1868" t="s">
        <v>263</v>
      </c>
      <c r="D1868" t="s">
        <v>200</v>
      </c>
      <c r="E1868" t="s">
        <v>166</v>
      </c>
      <c r="F1868">
        <v>207.17872259999999</v>
      </c>
      <c r="G1868">
        <v>237.80784059999999</v>
      </c>
      <c r="H1868">
        <v>273.77231399999999</v>
      </c>
      <c r="I1868">
        <v>313.99596000000003</v>
      </c>
      <c r="J1868">
        <v>364.87979300000001</v>
      </c>
      <c r="K1868">
        <v>425.39417930000002</v>
      </c>
      <c r="L1868">
        <v>486.91386610000001</v>
      </c>
      <c r="M1868">
        <v>548.7579528</v>
      </c>
      <c r="N1868">
        <v>612.02517279999995</v>
      </c>
      <c r="O1868">
        <v>676.86542929999996</v>
      </c>
      <c r="P1868">
        <v>746.30797680000001</v>
      </c>
      <c r="Q1868">
        <v>810.92104759999995</v>
      </c>
    </row>
    <row r="1869" spans="1:17" x14ac:dyDescent="0.25">
      <c r="A1869" t="s">
        <v>5</v>
      </c>
      <c r="B1869" t="s">
        <v>6</v>
      </c>
      <c r="C1869" t="s">
        <v>263</v>
      </c>
      <c r="D1869" t="s">
        <v>201</v>
      </c>
      <c r="E1869" t="s">
        <v>166</v>
      </c>
      <c r="F1869">
        <v>5997.1939519999996</v>
      </c>
      <c r="G1869">
        <v>6537.6097479999999</v>
      </c>
      <c r="H1869">
        <v>7016.2577860000001</v>
      </c>
      <c r="I1869">
        <v>7495.6005139999997</v>
      </c>
      <c r="J1869">
        <v>7881.0447020000001</v>
      </c>
      <c r="K1869">
        <v>8481.9585939999997</v>
      </c>
      <c r="L1869">
        <v>9111.0551990000004</v>
      </c>
      <c r="M1869">
        <v>9735.2910250000004</v>
      </c>
      <c r="N1869">
        <v>10355.10102</v>
      </c>
      <c r="O1869">
        <v>10968.979310000001</v>
      </c>
      <c r="P1869">
        <v>11576.530290000001</v>
      </c>
      <c r="Q1869">
        <v>12126.637839999999</v>
      </c>
    </row>
    <row r="1870" spans="1:17" x14ac:dyDescent="0.25">
      <c r="A1870" t="s">
        <v>5</v>
      </c>
      <c r="B1870" t="s">
        <v>6</v>
      </c>
      <c r="C1870" t="s">
        <v>263</v>
      </c>
      <c r="D1870" t="s">
        <v>202</v>
      </c>
      <c r="E1870" t="s">
        <v>166</v>
      </c>
      <c r="F1870">
        <v>451.61819120000001</v>
      </c>
      <c r="G1870">
        <v>516.8259683</v>
      </c>
      <c r="H1870">
        <v>594.76985290000005</v>
      </c>
      <c r="I1870">
        <v>683.09051269999998</v>
      </c>
      <c r="J1870">
        <v>797.57171110000002</v>
      </c>
      <c r="K1870">
        <v>937.79856089999998</v>
      </c>
      <c r="L1870">
        <v>1083.0517749999999</v>
      </c>
      <c r="M1870">
        <v>1230.9467279999999</v>
      </c>
      <c r="N1870">
        <v>1383.721965</v>
      </c>
      <c r="O1870">
        <v>1541.3496729999999</v>
      </c>
      <c r="P1870">
        <v>1712.4261180000001</v>
      </c>
      <c r="Q1870">
        <v>1874.5689629999999</v>
      </c>
    </row>
    <row r="1871" spans="1:17" x14ac:dyDescent="0.25">
      <c r="A1871" t="s">
        <v>5</v>
      </c>
      <c r="B1871" t="s">
        <v>6</v>
      </c>
      <c r="C1871" t="s">
        <v>263</v>
      </c>
      <c r="D1871" t="s">
        <v>203</v>
      </c>
      <c r="E1871" t="s">
        <v>166</v>
      </c>
      <c r="F1871">
        <v>254.77175790000001</v>
      </c>
      <c r="G1871">
        <v>324.68044750000001</v>
      </c>
      <c r="H1871">
        <v>430.0131682</v>
      </c>
      <c r="I1871">
        <v>586.53204989999995</v>
      </c>
      <c r="J1871">
        <v>708.68344779999995</v>
      </c>
      <c r="K1871">
        <v>874.92471369999998</v>
      </c>
      <c r="L1871">
        <v>1021.155699</v>
      </c>
      <c r="M1871">
        <v>1157.617326</v>
      </c>
      <c r="N1871">
        <v>1295.543177</v>
      </c>
      <c r="O1871">
        <v>1464.8395700000001</v>
      </c>
      <c r="P1871">
        <v>1665.4824610000001</v>
      </c>
      <c r="Q1871">
        <v>1834.4163530000001</v>
      </c>
    </row>
    <row r="1872" spans="1:17" x14ac:dyDescent="0.25">
      <c r="A1872" t="s">
        <v>5</v>
      </c>
      <c r="B1872" t="s">
        <v>6</v>
      </c>
      <c r="C1872" t="s">
        <v>263</v>
      </c>
      <c r="D1872" t="s">
        <v>204</v>
      </c>
      <c r="E1872" t="s">
        <v>166</v>
      </c>
      <c r="F1872">
        <v>2737.7235169999999</v>
      </c>
      <c r="G1872">
        <v>3405.532072</v>
      </c>
      <c r="H1872">
        <v>4343.2056329999996</v>
      </c>
      <c r="I1872">
        <v>5126.1803250000003</v>
      </c>
      <c r="J1872">
        <v>5610.3639999999996</v>
      </c>
      <c r="K1872">
        <v>6224.1292810000004</v>
      </c>
      <c r="L1872">
        <v>6782.5915439999999</v>
      </c>
      <c r="M1872">
        <v>7195.9923529999996</v>
      </c>
      <c r="N1872">
        <v>7598.871392</v>
      </c>
      <c r="O1872">
        <v>8041.6824319999996</v>
      </c>
      <c r="P1872">
        <v>8499.0119749999994</v>
      </c>
      <c r="Q1872">
        <v>8818.0427319999999</v>
      </c>
    </row>
    <row r="1873" spans="1:17" x14ac:dyDescent="0.25">
      <c r="A1873" t="s">
        <v>5</v>
      </c>
      <c r="B1873" t="s">
        <v>6</v>
      </c>
      <c r="C1873" t="s">
        <v>263</v>
      </c>
      <c r="D1873" t="s">
        <v>205</v>
      </c>
      <c r="E1873" t="s">
        <v>166</v>
      </c>
      <c r="F1873">
        <v>1.807714877</v>
      </c>
      <c r="G1873">
        <v>2.720552713</v>
      </c>
      <c r="H1873">
        <v>5.2131193570000001</v>
      </c>
      <c r="I1873">
        <v>10.40297734</v>
      </c>
      <c r="J1873">
        <v>15.74157376</v>
      </c>
      <c r="K1873">
        <v>24.819946210000001</v>
      </c>
      <c r="L1873">
        <v>32.906570360000003</v>
      </c>
      <c r="M1873">
        <v>40.132096199999999</v>
      </c>
      <c r="N1873">
        <v>47.180399919999999</v>
      </c>
      <c r="O1873">
        <v>55.24102723</v>
      </c>
      <c r="P1873">
        <v>64.920667750000007</v>
      </c>
      <c r="Q1873">
        <v>73.132786789999997</v>
      </c>
    </row>
    <row r="1874" spans="1:17" x14ac:dyDescent="0.25">
      <c r="A1874" t="s">
        <v>5</v>
      </c>
      <c r="B1874" t="s">
        <v>6</v>
      </c>
      <c r="C1874" t="s">
        <v>263</v>
      </c>
      <c r="D1874" t="s">
        <v>206</v>
      </c>
      <c r="E1874" t="s">
        <v>166</v>
      </c>
      <c r="F1874">
        <v>6.300952047</v>
      </c>
      <c r="G1874">
        <v>8.3091690889999992</v>
      </c>
      <c r="H1874">
        <v>11.421845100000001</v>
      </c>
      <c r="I1874">
        <v>16.18196631</v>
      </c>
      <c r="J1874">
        <v>20.471852210000002</v>
      </c>
      <c r="K1874">
        <v>26.6733206</v>
      </c>
      <c r="L1874">
        <v>32.059468750000001</v>
      </c>
      <c r="M1874">
        <v>36.93654532</v>
      </c>
      <c r="N1874">
        <v>42.342825009999999</v>
      </c>
      <c r="O1874">
        <v>48.735191880000002</v>
      </c>
      <c r="P1874">
        <v>56.040136169999997</v>
      </c>
      <c r="Q1874">
        <v>62.317460019999999</v>
      </c>
    </row>
    <row r="1875" spans="1:17" x14ac:dyDescent="0.25">
      <c r="A1875" t="s">
        <v>5</v>
      </c>
      <c r="B1875" t="s">
        <v>6</v>
      </c>
      <c r="C1875" t="s">
        <v>263</v>
      </c>
      <c r="D1875" t="s">
        <v>207</v>
      </c>
      <c r="E1875" t="s">
        <v>166</v>
      </c>
      <c r="F1875">
        <v>6.6777090999999997E-2</v>
      </c>
      <c r="G1875">
        <v>0.213294923</v>
      </c>
      <c r="H1875">
        <v>0.73098669999999999</v>
      </c>
      <c r="I1875">
        <v>0.98952450700000005</v>
      </c>
      <c r="J1875">
        <v>1.023303222</v>
      </c>
      <c r="K1875">
        <v>1.054557333</v>
      </c>
      <c r="L1875">
        <v>0.86028684099999997</v>
      </c>
      <c r="M1875">
        <v>0.50082130199999997</v>
      </c>
      <c r="N1875">
        <v>0.25141593800000001</v>
      </c>
      <c r="O1875">
        <v>0.25355333800000002</v>
      </c>
      <c r="P1875">
        <v>0.34042020699999997</v>
      </c>
      <c r="Q1875">
        <v>0.41076861599999998</v>
      </c>
    </row>
    <row r="1876" spans="1:17" x14ac:dyDescent="0.25">
      <c r="A1876" t="s">
        <v>5</v>
      </c>
      <c r="B1876" t="s">
        <v>6</v>
      </c>
      <c r="C1876" t="s">
        <v>263</v>
      </c>
      <c r="D1876" t="s">
        <v>208</v>
      </c>
      <c r="E1876" t="s">
        <v>166</v>
      </c>
      <c r="F1876">
        <v>148.49573509999999</v>
      </c>
      <c r="G1876">
        <v>176.6504228</v>
      </c>
      <c r="H1876">
        <v>217.61229169999999</v>
      </c>
      <c r="I1876">
        <v>271.80399269999998</v>
      </c>
      <c r="J1876">
        <v>321.1798551</v>
      </c>
      <c r="K1876">
        <v>362.88854509999999</v>
      </c>
      <c r="L1876">
        <v>415.15009950000001</v>
      </c>
      <c r="M1876">
        <v>469.67969449999998</v>
      </c>
      <c r="N1876">
        <v>526.79188710000005</v>
      </c>
      <c r="O1876">
        <v>598.13684079999996</v>
      </c>
      <c r="P1876">
        <v>683.0090864</v>
      </c>
      <c r="Q1876">
        <v>763.52713759999995</v>
      </c>
    </row>
    <row r="1877" spans="1:17" x14ac:dyDescent="0.25">
      <c r="A1877" t="s">
        <v>5</v>
      </c>
      <c r="B1877" t="s">
        <v>6</v>
      </c>
      <c r="C1877" t="s">
        <v>263</v>
      </c>
      <c r="D1877" t="s">
        <v>209</v>
      </c>
      <c r="E1877" t="s">
        <v>166</v>
      </c>
      <c r="F1877">
        <v>453.50669729999998</v>
      </c>
      <c r="G1877">
        <v>539.93812790000004</v>
      </c>
      <c r="H1877">
        <v>665.35949040000003</v>
      </c>
      <c r="I1877">
        <v>831.41211339999995</v>
      </c>
      <c r="J1877">
        <v>983.53244029999996</v>
      </c>
      <c r="K1877">
        <v>1113.768728</v>
      </c>
      <c r="L1877">
        <v>1277.0435299999999</v>
      </c>
      <c r="M1877">
        <v>1447.77963</v>
      </c>
      <c r="N1877">
        <v>1627.6426690000001</v>
      </c>
      <c r="O1877">
        <v>1853.3295989999999</v>
      </c>
      <c r="P1877">
        <v>2123.3506309999998</v>
      </c>
      <c r="Q1877">
        <v>2380.9700130000001</v>
      </c>
    </row>
    <row r="1878" spans="1:17" x14ac:dyDescent="0.25">
      <c r="A1878" t="s">
        <v>5</v>
      </c>
      <c r="B1878" t="s">
        <v>6</v>
      </c>
      <c r="C1878" t="s">
        <v>263</v>
      </c>
      <c r="D1878" t="s">
        <v>210</v>
      </c>
      <c r="E1878" t="s">
        <v>166</v>
      </c>
      <c r="F1878">
        <v>81.291586960000004</v>
      </c>
      <c r="G1878">
        <v>97.145944330000006</v>
      </c>
      <c r="H1878">
        <v>119.3098634</v>
      </c>
      <c r="I1878">
        <v>148.806421</v>
      </c>
      <c r="J1878">
        <v>175.33694779999999</v>
      </c>
      <c r="K1878">
        <v>198.2685362</v>
      </c>
      <c r="L1878">
        <v>226.7762922</v>
      </c>
      <c r="M1878">
        <v>256.18616320000001</v>
      </c>
      <c r="N1878">
        <v>286.40372070000001</v>
      </c>
      <c r="O1878">
        <v>322.75177600000001</v>
      </c>
      <c r="P1878">
        <v>364.26226600000001</v>
      </c>
      <c r="Q1878">
        <v>402.97875790000001</v>
      </c>
    </row>
    <row r="1879" spans="1:17" x14ac:dyDescent="0.25">
      <c r="A1879" t="s">
        <v>5</v>
      </c>
      <c r="B1879" t="s">
        <v>6</v>
      </c>
      <c r="C1879" t="s">
        <v>263</v>
      </c>
      <c r="D1879" t="s">
        <v>211</v>
      </c>
      <c r="E1879" t="s">
        <v>166</v>
      </c>
      <c r="F1879">
        <v>48.161673399999998</v>
      </c>
      <c r="G1879">
        <v>57.681851260000002</v>
      </c>
      <c r="H1879">
        <v>70.659885939999995</v>
      </c>
      <c r="I1879">
        <v>88.001634760000002</v>
      </c>
      <c r="J1879">
        <v>103.6972488</v>
      </c>
      <c r="K1879">
        <v>117.9214715</v>
      </c>
      <c r="L1879">
        <v>135.5875518</v>
      </c>
      <c r="M1879">
        <v>153.78799480000001</v>
      </c>
      <c r="N1879">
        <v>172.54993669999999</v>
      </c>
      <c r="O1879">
        <v>195.05970120000001</v>
      </c>
      <c r="P1879">
        <v>220.89949179999999</v>
      </c>
      <c r="Q1879">
        <v>245.51345710000001</v>
      </c>
    </row>
    <row r="1880" spans="1:17" x14ac:dyDescent="0.25">
      <c r="A1880" t="s">
        <v>5</v>
      </c>
      <c r="B1880" t="s">
        <v>6</v>
      </c>
      <c r="C1880" t="s">
        <v>263</v>
      </c>
      <c r="D1880" t="s">
        <v>212</v>
      </c>
      <c r="E1880" t="s">
        <v>166</v>
      </c>
      <c r="F1880">
        <v>2.0106540040000001</v>
      </c>
      <c r="G1880">
        <v>2.3954840580000001</v>
      </c>
      <c r="H1880">
        <v>2.9583472510000002</v>
      </c>
      <c r="I1880">
        <v>3.7180195180000002</v>
      </c>
      <c r="J1880">
        <v>4.4195121369999999</v>
      </c>
      <c r="K1880">
        <v>5.013131521</v>
      </c>
      <c r="L1880">
        <v>5.7620833259999999</v>
      </c>
      <c r="M1880">
        <v>6.5575438439999996</v>
      </c>
      <c r="N1880">
        <v>7.4033616999999996</v>
      </c>
      <c r="O1880">
        <v>8.4516235910000006</v>
      </c>
      <c r="P1880">
        <v>9.7065127009999994</v>
      </c>
      <c r="Q1880">
        <v>10.90057296</v>
      </c>
    </row>
    <row r="1881" spans="1:17" x14ac:dyDescent="0.25">
      <c r="A1881" t="s">
        <v>5</v>
      </c>
      <c r="B1881" t="s">
        <v>6</v>
      </c>
      <c r="C1881" t="s">
        <v>263</v>
      </c>
      <c r="D1881" t="s">
        <v>213</v>
      </c>
      <c r="E1881" t="s">
        <v>166</v>
      </c>
      <c r="F1881">
        <v>1.083073655</v>
      </c>
      <c r="G1881">
        <v>1.260072195</v>
      </c>
      <c r="H1881">
        <v>1.9538098049999999</v>
      </c>
      <c r="I1881">
        <v>3.6831271980000002</v>
      </c>
      <c r="J1881">
        <v>5.5295087839999999</v>
      </c>
      <c r="K1881">
        <v>7.8745190819999999</v>
      </c>
      <c r="L1881">
        <v>10.27944477</v>
      </c>
      <c r="M1881">
        <v>12.16343496</v>
      </c>
      <c r="N1881">
        <v>13.598748820000001</v>
      </c>
      <c r="O1881">
        <v>15.04600338</v>
      </c>
      <c r="P1881">
        <v>17.453169150000001</v>
      </c>
      <c r="Q1881">
        <v>19.965454449999999</v>
      </c>
    </row>
    <row r="1882" spans="1:17" x14ac:dyDescent="0.25">
      <c r="A1882" t="s">
        <v>5</v>
      </c>
      <c r="B1882" t="s">
        <v>6</v>
      </c>
      <c r="C1882" t="s">
        <v>263</v>
      </c>
      <c r="D1882" t="s">
        <v>214</v>
      </c>
      <c r="E1882" t="s">
        <v>166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</row>
    <row r="1883" spans="1:17" x14ac:dyDescent="0.25">
      <c r="A1883" t="s">
        <v>5</v>
      </c>
      <c r="B1883" t="s">
        <v>6</v>
      </c>
      <c r="C1883" t="s">
        <v>263</v>
      </c>
      <c r="D1883" t="s">
        <v>215</v>
      </c>
      <c r="E1883" t="s">
        <v>166</v>
      </c>
      <c r="F1883">
        <v>3.0491943000000001E-2</v>
      </c>
      <c r="G1883">
        <v>5.0713947000000002E-2</v>
      </c>
      <c r="H1883">
        <v>7.1668411000000001E-2</v>
      </c>
      <c r="I1883">
        <v>0.14120613800000001</v>
      </c>
      <c r="J1883">
        <v>0.19631468099999999</v>
      </c>
      <c r="K1883">
        <v>0.18502780199999999</v>
      </c>
      <c r="L1883">
        <v>0.16887384699999999</v>
      </c>
      <c r="M1883">
        <v>0.141146676</v>
      </c>
      <c r="N1883">
        <v>0.12934966000000001</v>
      </c>
      <c r="O1883">
        <v>0.122109933</v>
      </c>
      <c r="P1883">
        <v>0.13559939300000001</v>
      </c>
      <c r="Q1883">
        <v>0.15711734899999999</v>
      </c>
    </row>
    <row r="1884" spans="1:17" x14ac:dyDescent="0.25">
      <c r="A1884" t="s">
        <v>5</v>
      </c>
      <c r="B1884" t="s">
        <v>6</v>
      </c>
      <c r="C1884" t="s">
        <v>263</v>
      </c>
      <c r="D1884" t="s">
        <v>216</v>
      </c>
      <c r="E1884" t="s">
        <v>166</v>
      </c>
      <c r="F1884">
        <v>2.4581759000000002E-2</v>
      </c>
      <c r="G1884">
        <v>2.8423084000000001E-2</v>
      </c>
      <c r="H1884">
        <v>4.4107128000000002E-2</v>
      </c>
      <c r="I1884">
        <v>8.3344027000000001E-2</v>
      </c>
      <c r="J1884">
        <v>0.124954654</v>
      </c>
      <c r="K1884">
        <v>0.177615622</v>
      </c>
      <c r="L1884">
        <v>0.23207375299999999</v>
      </c>
      <c r="M1884">
        <v>0.27503906500000003</v>
      </c>
      <c r="N1884">
        <v>0.30879603100000003</v>
      </c>
      <c r="O1884">
        <v>0.34213460600000001</v>
      </c>
      <c r="P1884">
        <v>0.39742810899999997</v>
      </c>
      <c r="Q1884">
        <v>0.45527905800000001</v>
      </c>
    </row>
    <row r="1885" spans="1:17" x14ac:dyDescent="0.25">
      <c r="A1885" t="s">
        <v>5</v>
      </c>
      <c r="B1885" t="s">
        <v>6</v>
      </c>
      <c r="C1885" t="s">
        <v>263</v>
      </c>
      <c r="D1885" t="s">
        <v>217</v>
      </c>
      <c r="E1885" t="s">
        <v>166</v>
      </c>
      <c r="F1885">
        <v>7.5309300000000003E-4</v>
      </c>
      <c r="G1885">
        <v>5.3168499999999995E-4</v>
      </c>
      <c r="H1885">
        <v>3.14207E-4</v>
      </c>
      <c r="I1885">
        <v>8.0290099999999996E-4</v>
      </c>
      <c r="J1885">
        <v>1.3326670000000001E-3</v>
      </c>
      <c r="K1885">
        <v>9.6300800000000001E-4</v>
      </c>
      <c r="L1885">
        <v>7.3231499999999998E-4</v>
      </c>
      <c r="M1885">
        <v>7.0170200000000001E-4</v>
      </c>
      <c r="N1885">
        <v>1.2545639999999999E-3</v>
      </c>
      <c r="O1885">
        <v>1.577132E-3</v>
      </c>
      <c r="P1885">
        <v>1.7300670000000001E-3</v>
      </c>
      <c r="Q1885">
        <v>1.828894E-3</v>
      </c>
    </row>
    <row r="1886" spans="1:17" x14ac:dyDescent="0.25">
      <c r="A1886" t="s">
        <v>5</v>
      </c>
      <c r="B1886" t="s">
        <v>6</v>
      </c>
      <c r="C1886" t="s">
        <v>263</v>
      </c>
      <c r="D1886" t="s">
        <v>218</v>
      </c>
      <c r="E1886" t="s">
        <v>219</v>
      </c>
      <c r="F1886">
        <v>19379.575959999998</v>
      </c>
      <c r="G1886">
        <v>20604.824199999999</v>
      </c>
      <c r="H1886">
        <v>22867.401460000001</v>
      </c>
      <c r="I1886">
        <v>24396.26787</v>
      </c>
      <c r="J1886">
        <v>29583.046129999999</v>
      </c>
      <c r="K1886">
        <v>33959.35196</v>
      </c>
      <c r="L1886">
        <v>39123.635399999999</v>
      </c>
      <c r="M1886">
        <v>44761.026189999997</v>
      </c>
      <c r="N1886">
        <v>49867.243600000002</v>
      </c>
      <c r="O1886">
        <v>54681.208879999998</v>
      </c>
      <c r="P1886">
        <v>59237.717559999997</v>
      </c>
      <c r="Q1886">
        <v>63168.008620000001</v>
      </c>
    </row>
    <row r="1887" spans="1:17" x14ac:dyDescent="0.25">
      <c r="A1887" t="s">
        <v>5</v>
      </c>
      <c r="B1887" t="s">
        <v>6</v>
      </c>
      <c r="C1887" t="s">
        <v>263</v>
      </c>
      <c r="D1887" t="s">
        <v>220</v>
      </c>
      <c r="E1887" t="s">
        <v>219</v>
      </c>
      <c r="F1887">
        <v>13810.593989999999</v>
      </c>
      <c r="G1887">
        <v>15673.01196</v>
      </c>
      <c r="H1887">
        <v>16507.40452</v>
      </c>
      <c r="I1887">
        <v>17779.735479999999</v>
      </c>
      <c r="J1887">
        <v>20246.137030000002</v>
      </c>
      <c r="K1887">
        <v>22608.404129999999</v>
      </c>
      <c r="L1887">
        <v>25104.438890000001</v>
      </c>
      <c r="M1887">
        <v>26955.56437</v>
      </c>
      <c r="N1887">
        <v>28121.479950000001</v>
      </c>
      <c r="O1887">
        <v>29026.823130000001</v>
      </c>
      <c r="P1887">
        <v>29647.56006</v>
      </c>
      <c r="Q1887">
        <v>29932.52275</v>
      </c>
    </row>
    <row r="1888" spans="1:17" x14ac:dyDescent="0.25">
      <c r="A1888" t="s">
        <v>5</v>
      </c>
      <c r="B1888" t="s">
        <v>6</v>
      </c>
      <c r="C1888" t="s">
        <v>263</v>
      </c>
      <c r="D1888" t="s">
        <v>221</v>
      </c>
      <c r="E1888" t="s">
        <v>219</v>
      </c>
      <c r="F1888">
        <v>3179.4753369999999</v>
      </c>
      <c r="G1888">
        <v>2841.7766120000001</v>
      </c>
      <c r="H1888">
        <v>3454.4216040000001</v>
      </c>
      <c r="I1888">
        <v>3694.0027169999998</v>
      </c>
      <c r="J1888">
        <v>3811.0812639999999</v>
      </c>
      <c r="K1888">
        <v>3815.7461239999998</v>
      </c>
      <c r="L1888">
        <v>3788.9105119999999</v>
      </c>
      <c r="M1888">
        <v>3672.659134</v>
      </c>
      <c r="N1888">
        <v>3532.9790969999999</v>
      </c>
      <c r="O1888">
        <v>3390.5301869999998</v>
      </c>
      <c r="P1888">
        <v>3257.0895289999999</v>
      </c>
      <c r="Q1888">
        <v>3150.5511620000002</v>
      </c>
    </row>
    <row r="1889" spans="1:17" x14ac:dyDescent="0.25">
      <c r="A1889" t="s">
        <v>5</v>
      </c>
      <c r="B1889" t="s">
        <v>6</v>
      </c>
      <c r="C1889" t="s">
        <v>263</v>
      </c>
      <c r="D1889" t="s">
        <v>222</v>
      </c>
      <c r="E1889" t="s">
        <v>223</v>
      </c>
      <c r="F1889">
        <v>10668.36894</v>
      </c>
      <c r="G1889">
        <v>12983.305469999999</v>
      </c>
      <c r="H1889">
        <v>17221.428339999999</v>
      </c>
      <c r="I1889">
        <v>21092.901279999998</v>
      </c>
      <c r="J1889">
        <v>23360.76729</v>
      </c>
      <c r="K1889">
        <v>26302.702880000001</v>
      </c>
      <c r="L1889">
        <v>29759.84102</v>
      </c>
      <c r="M1889">
        <v>32845.900730000001</v>
      </c>
      <c r="N1889">
        <v>35627.442360000001</v>
      </c>
      <c r="O1889">
        <v>38168.17452</v>
      </c>
      <c r="P1889">
        <v>40382.121709999999</v>
      </c>
      <c r="Q1889">
        <v>42249.384019999998</v>
      </c>
    </row>
    <row r="1890" spans="1:17" x14ac:dyDescent="0.25">
      <c r="A1890" t="s">
        <v>5</v>
      </c>
      <c r="B1890" t="s">
        <v>6</v>
      </c>
      <c r="C1890" t="s">
        <v>263</v>
      </c>
      <c r="D1890" t="s">
        <v>224</v>
      </c>
      <c r="E1890" t="s">
        <v>219</v>
      </c>
      <c r="F1890">
        <v>2751.09319</v>
      </c>
      <c r="G1890">
        <v>3018.1486829999999</v>
      </c>
      <c r="H1890">
        <v>3689.29855</v>
      </c>
      <c r="I1890">
        <v>4260.8456230000002</v>
      </c>
      <c r="J1890">
        <v>4765.9730030000001</v>
      </c>
      <c r="K1890">
        <v>5193.4615180000001</v>
      </c>
      <c r="L1890">
        <v>5623.6309080000001</v>
      </c>
      <c r="M1890">
        <v>6010.4507020000001</v>
      </c>
      <c r="N1890">
        <v>6287.4145049999997</v>
      </c>
      <c r="O1890">
        <v>6491.6220569999996</v>
      </c>
      <c r="P1890">
        <v>6600.9714359999998</v>
      </c>
      <c r="Q1890">
        <v>6593.13303</v>
      </c>
    </row>
    <row r="1891" spans="1:17" x14ac:dyDescent="0.25">
      <c r="A1891" t="s">
        <v>5</v>
      </c>
      <c r="B1891" t="s">
        <v>6</v>
      </c>
      <c r="C1891" t="s">
        <v>263</v>
      </c>
      <c r="D1891" t="s">
        <v>225</v>
      </c>
      <c r="E1891" t="s">
        <v>223</v>
      </c>
      <c r="F1891">
        <v>9084.0836720000007</v>
      </c>
      <c r="G1891">
        <v>10383.966990000001</v>
      </c>
      <c r="H1891">
        <v>11162.99417</v>
      </c>
      <c r="I1891">
        <v>12183.461010000001</v>
      </c>
      <c r="J1891">
        <v>13654.54744</v>
      </c>
      <c r="K1891">
        <v>15584.812830000001</v>
      </c>
      <c r="L1891">
        <v>17740.66203</v>
      </c>
      <c r="M1891">
        <v>20043.041570000001</v>
      </c>
      <c r="N1891">
        <v>21960.902320000001</v>
      </c>
      <c r="O1891">
        <v>23102.445029999999</v>
      </c>
      <c r="P1891">
        <v>24046.423599999998</v>
      </c>
      <c r="Q1891">
        <v>24908.923750000002</v>
      </c>
    </row>
    <row r="1892" spans="1:17" x14ac:dyDescent="0.25">
      <c r="A1892" t="s">
        <v>5</v>
      </c>
      <c r="B1892" t="s">
        <v>6</v>
      </c>
      <c r="C1892" t="s">
        <v>263</v>
      </c>
      <c r="D1892" t="s">
        <v>226</v>
      </c>
      <c r="E1892" t="s">
        <v>219</v>
      </c>
      <c r="F1892">
        <v>3746.6592310000001</v>
      </c>
      <c r="G1892">
        <v>4229.6727099999998</v>
      </c>
      <c r="H1892">
        <v>5986.8848529999996</v>
      </c>
      <c r="I1892">
        <v>5776.6310149999999</v>
      </c>
      <c r="J1892">
        <v>8459.6650969999992</v>
      </c>
      <c r="K1892">
        <v>9848.0937799999992</v>
      </c>
      <c r="L1892">
        <v>11249.909970000001</v>
      </c>
      <c r="M1892">
        <v>12649.68561</v>
      </c>
      <c r="N1892">
        <v>14666.2585</v>
      </c>
      <c r="O1892">
        <v>17381.27088</v>
      </c>
      <c r="P1892">
        <v>20243.1306</v>
      </c>
      <c r="Q1892">
        <v>22826.296979999999</v>
      </c>
    </row>
    <row r="1893" spans="1:17" x14ac:dyDescent="0.25">
      <c r="A1893" t="s">
        <v>5</v>
      </c>
      <c r="B1893" t="s">
        <v>6</v>
      </c>
      <c r="C1893" t="s">
        <v>263</v>
      </c>
      <c r="D1893" t="s">
        <v>227</v>
      </c>
      <c r="E1893" t="s">
        <v>223</v>
      </c>
      <c r="F1893">
        <v>334.54201970000003</v>
      </c>
      <c r="G1893">
        <v>369.56692770000001</v>
      </c>
      <c r="H1893">
        <v>525.54869810000002</v>
      </c>
      <c r="I1893">
        <v>647.97791889999996</v>
      </c>
      <c r="J1893">
        <v>879.63728830000002</v>
      </c>
      <c r="K1893">
        <v>951.59004689999995</v>
      </c>
      <c r="L1893">
        <v>1016.060731</v>
      </c>
      <c r="M1893">
        <v>1075.543195</v>
      </c>
      <c r="N1893">
        <v>1157.509452</v>
      </c>
      <c r="O1893">
        <v>1256.2529629999999</v>
      </c>
      <c r="P1893">
        <v>1346.3979919999999</v>
      </c>
      <c r="Q1893">
        <v>1417.183295</v>
      </c>
    </row>
    <row r="1894" spans="1:17" x14ac:dyDescent="0.25">
      <c r="A1894" t="s">
        <v>5</v>
      </c>
      <c r="B1894" t="s">
        <v>6</v>
      </c>
      <c r="C1894" t="s">
        <v>263</v>
      </c>
      <c r="D1894" t="s">
        <v>228</v>
      </c>
      <c r="E1894" t="s">
        <v>223</v>
      </c>
      <c r="F1894">
        <v>57752.431170000003</v>
      </c>
      <c r="G1894">
        <v>57768.526559999998</v>
      </c>
      <c r="H1894">
        <v>60807.960590000002</v>
      </c>
      <c r="I1894">
        <v>71032.210730000006</v>
      </c>
      <c r="J1894">
        <v>78847.252299999993</v>
      </c>
      <c r="K1894">
        <v>86000.089250000005</v>
      </c>
      <c r="L1894">
        <v>93796.836670000004</v>
      </c>
      <c r="M1894">
        <v>102387.936</v>
      </c>
      <c r="N1894">
        <v>111973.44259999999</v>
      </c>
      <c r="O1894">
        <v>130034.2738</v>
      </c>
      <c r="P1894">
        <v>141845.61550000001</v>
      </c>
      <c r="Q1894">
        <v>148186.98310000001</v>
      </c>
    </row>
    <row r="1895" spans="1:17" x14ac:dyDescent="0.25">
      <c r="A1895" t="s">
        <v>5</v>
      </c>
      <c r="B1895" t="s">
        <v>6</v>
      </c>
      <c r="C1895" t="s">
        <v>263</v>
      </c>
      <c r="D1895" t="s">
        <v>229</v>
      </c>
      <c r="E1895" t="s">
        <v>230</v>
      </c>
      <c r="F1895">
        <v>4010.1249809999999</v>
      </c>
      <c r="G1895">
        <v>4210.92605</v>
      </c>
      <c r="H1895">
        <v>4397.3630730000004</v>
      </c>
      <c r="I1895">
        <v>4545.9041850000003</v>
      </c>
      <c r="J1895">
        <v>4676.3996319999997</v>
      </c>
      <c r="K1895">
        <v>4789.1302159999996</v>
      </c>
      <c r="L1895">
        <v>4881.9128440000004</v>
      </c>
      <c r="M1895">
        <v>4954.6947030000001</v>
      </c>
      <c r="N1895">
        <v>5007.8102859999999</v>
      </c>
      <c r="O1895">
        <v>5039.8558800000001</v>
      </c>
      <c r="P1895">
        <v>5049.9324559999995</v>
      </c>
      <c r="Q1895">
        <v>5041.9582259999997</v>
      </c>
    </row>
    <row r="1896" spans="1:17" x14ac:dyDescent="0.25">
      <c r="A1896" t="s">
        <v>5</v>
      </c>
      <c r="B1896" t="s">
        <v>6</v>
      </c>
      <c r="C1896" t="s">
        <v>263</v>
      </c>
      <c r="D1896" t="s">
        <v>231</v>
      </c>
      <c r="E1896" t="s">
        <v>230</v>
      </c>
      <c r="F1896">
        <v>1676.1670710000001</v>
      </c>
      <c r="G1896">
        <v>1812.4952149999999</v>
      </c>
      <c r="H1896">
        <v>1957.778284</v>
      </c>
      <c r="I1896">
        <v>2099.846916</v>
      </c>
      <c r="J1896">
        <v>2234.0554339999999</v>
      </c>
      <c r="K1896">
        <v>2359.1524610000001</v>
      </c>
      <c r="L1896">
        <v>2476.5764920000001</v>
      </c>
      <c r="M1896">
        <v>2585.3622730000002</v>
      </c>
      <c r="N1896">
        <v>2683.531868</v>
      </c>
      <c r="O1896">
        <v>2769.2316219999998</v>
      </c>
      <c r="P1896">
        <v>2841.243258</v>
      </c>
      <c r="Q1896">
        <v>2893.7128550000002</v>
      </c>
    </row>
    <row r="1897" spans="1:17" x14ac:dyDescent="0.25">
      <c r="A1897" t="s">
        <v>5</v>
      </c>
      <c r="B1897" t="s">
        <v>6</v>
      </c>
      <c r="C1897" t="s">
        <v>263</v>
      </c>
      <c r="D1897" t="s">
        <v>232</v>
      </c>
      <c r="E1897" t="s">
        <v>230</v>
      </c>
      <c r="F1897">
        <v>856.32494799999995</v>
      </c>
      <c r="G1897">
        <v>934.68673479999995</v>
      </c>
      <c r="H1897">
        <v>1021.4388709999999</v>
      </c>
      <c r="I1897">
        <v>1109.5686820000001</v>
      </c>
      <c r="J1897">
        <v>1193.386555</v>
      </c>
      <c r="K1897">
        <v>1271.94703</v>
      </c>
      <c r="L1897">
        <v>1346.5634829999999</v>
      </c>
      <c r="M1897">
        <v>1416.6171179999999</v>
      </c>
      <c r="N1897">
        <v>1480.7330979999999</v>
      </c>
      <c r="O1897">
        <v>1537.8213410000001</v>
      </c>
      <c r="P1897">
        <v>1587.1814939999999</v>
      </c>
      <c r="Q1897">
        <v>1624.4120700000001</v>
      </c>
    </row>
    <row r="1898" spans="1:17" x14ac:dyDescent="0.25">
      <c r="A1898" t="s">
        <v>5</v>
      </c>
      <c r="B1898" t="s">
        <v>6</v>
      </c>
      <c r="C1898" t="s">
        <v>263</v>
      </c>
      <c r="D1898" t="s">
        <v>233</v>
      </c>
      <c r="E1898" t="s">
        <v>27</v>
      </c>
      <c r="F1898">
        <v>292.23087700000002</v>
      </c>
      <c r="G1898">
        <v>271.94814439999999</v>
      </c>
      <c r="H1898">
        <v>338.4982392</v>
      </c>
      <c r="I1898">
        <v>347.28498630000001</v>
      </c>
      <c r="J1898">
        <v>424.89812949999998</v>
      </c>
      <c r="K1898">
        <v>460.02883809999997</v>
      </c>
      <c r="L1898">
        <v>472.31933299999997</v>
      </c>
      <c r="M1898">
        <v>469.9991617</v>
      </c>
      <c r="N1898">
        <v>466.1026</v>
      </c>
      <c r="O1898">
        <v>474.68540410000003</v>
      </c>
      <c r="P1898">
        <v>496.52794870000002</v>
      </c>
      <c r="Q1898">
        <v>518.07395399999996</v>
      </c>
    </row>
    <row r="1899" spans="1:17" x14ac:dyDescent="0.25">
      <c r="A1899" t="s">
        <v>5</v>
      </c>
      <c r="B1899" t="s">
        <v>6</v>
      </c>
      <c r="C1899" t="s">
        <v>263</v>
      </c>
      <c r="D1899" t="s">
        <v>234</v>
      </c>
      <c r="E1899" t="s">
        <v>27</v>
      </c>
      <c r="F1899">
        <v>4792.8697819999998</v>
      </c>
      <c r="G1899">
        <v>5051.8105109999997</v>
      </c>
      <c r="H1899">
        <v>5450.1033969999999</v>
      </c>
      <c r="I1899">
        <v>5280.6682799999999</v>
      </c>
      <c r="J1899">
        <v>6127.231213</v>
      </c>
      <c r="K1899">
        <v>6711.6176519999999</v>
      </c>
      <c r="L1899">
        <v>6734.4957919999997</v>
      </c>
      <c r="M1899">
        <v>6731.2981390000004</v>
      </c>
      <c r="N1899">
        <v>6719.733056</v>
      </c>
      <c r="O1899">
        <v>6738.4681449999998</v>
      </c>
      <c r="P1899">
        <v>7079.264424</v>
      </c>
      <c r="Q1899">
        <v>7464.79943</v>
      </c>
    </row>
    <row r="1900" spans="1:17" x14ac:dyDescent="0.25">
      <c r="A1900" t="s">
        <v>5</v>
      </c>
      <c r="B1900" t="s">
        <v>6</v>
      </c>
      <c r="C1900" t="s">
        <v>263</v>
      </c>
      <c r="D1900" t="s">
        <v>235</v>
      </c>
      <c r="E1900" t="s">
        <v>27</v>
      </c>
      <c r="F1900">
        <v>19.6257023</v>
      </c>
      <c r="G1900">
        <v>18.600241230000002</v>
      </c>
      <c r="H1900">
        <v>25.473625930000001</v>
      </c>
      <c r="I1900">
        <v>26.650673319999999</v>
      </c>
      <c r="J1900">
        <v>36.095301409999998</v>
      </c>
      <c r="K1900">
        <v>36.967322369999998</v>
      </c>
      <c r="L1900">
        <v>38.572001399999998</v>
      </c>
      <c r="M1900">
        <v>37.347934270000003</v>
      </c>
      <c r="N1900">
        <v>39.676259270000003</v>
      </c>
      <c r="O1900">
        <v>43.569045299999999</v>
      </c>
      <c r="P1900">
        <v>46.116573000000002</v>
      </c>
      <c r="Q1900">
        <v>47.107087880000002</v>
      </c>
    </row>
    <row r="1901" spans="1:17" x14ac:dyDescent="0.25">
      <c r="A1901" t="s">
        <v>5</v>
      </c>
      <c r="B1901" t="s">
        <v>6</v>
      </c>
      <c r="C1901" t="s">
        <v>263</v>
      </c>
      <c r="D1901" t="s">
        <v>236</v>
      </c>
      <c r="E1901" t="s">
        <v>27</v>
      </c>
      <c r="F1901">
        <v>8.9047677000000007</v>
      </c>
      <c r="G1901">
        <v>9.6106217590000007</v>
      </c>
      <c r="H1901">
        <v>12.551719719999999</v>
      </c>
      <c r="I1901">
        <v>13.739367570000001</v>
      </c>
      <c r="J1901">
        <v>18.471674839999999</v>
      </c>
      <c r="K1901">
        <v>20.53968961</v>
      </c>
      <c r="L1901">
        <v>20.549799700000001</v>
      </c>
      <c r="M1901">
        <v>20.079114090000001</v>
      </c>
      <c r="N1901">
        <v>22.458196090000001</v>
      </c>
      <c r="O1901">
        <v>25.781816719999998</v>
      </c>
      <c r="P1901">
        <v>27.954679550000002</v>
      </c>
      <c r="Q1901">
        <v>28.923776010000001</v>
      </c>
    </row>
    <row r="1902" spans="1:17" x14ac:dyDescent="0.25">
      <c r="A1902" t="s">
        <v>5</v>
      </c>
      <c r="B1902" t="s">
        <v>6</v>
      </c>
      <c r="C1902" t="s">
        <v>263</v>
      </c>
      <c r="D1902" t="s">
        <v>237</v>
      </c>
      <c r="E1902" t="s">
        <v>27</v>
      </c>
      <c r="F1902">
        <v>21.963022630000001</v>
      </c>
      <c r="G1902">
        <v>22.645950209999999</v>
      </c>
      <c r="H1902">
        <v>25.571133029999999</v>
      </c>
      <c r="I1902">
        <v>25.839159680000002</v>
      </c>
      <c r="J1902">
        <v>30.48562914</v>
      </c>
      <c r="K1902">
        <v>30.797084309999999</v>
      </c>
      <c r="L1902">
        <v>29.940476530000002</v>
      </c>
      <c r="M1902">
        <v>28.524911710000001</v>
      </c>
      <c r="N1902">
        <v>27.2229375</v>
      </c>
      <c r="O1902">
        <v>26.476642290000001</v>
      </c>
      <c r="P1902">
        <v>27.503930860000001</v>
      </c>
      <c r="Q1902">
        <v>28.673873589999999</v>
      </c>
    </row>
    <row r="1903" spans="1:17" x14ac:dyDescent="0.25">
      <c r="A1903" t="s">
        <v>5</v>
      </c>
      <c r="B1903" t="s">
        <v>6</v>
      </c>
      <c r="C1903" t="s">
        <v>263</v>
      </c>
      <c r="D1903" t="s">
        <v>238</v>
      </c>
      <c r="E1903" t="s">
        <v>27</v>
      </c>
      <c r="F1903">
        <v>181.7452438</v>
      </c>
      <c r="G1903">
        <v>184.90440359999999</v>
      </c>
      <c r="H1903">
        <v>192.0434353</v>
      </c>
      <c r="I1903">
        <v>170.3432152</v>
      </c>
      <c r="J1903">
        <v>206.02351060000001</v>
      </c>
      <c r="K1903">
        <v>225.99396350000001</v>
      </c>
      <c r="L1903">
        <v>222.3050757</v>
      </c>
      <c r="M1903">
        <v>218.0713725</v>
      </c>
      <c r="N1903">
        <v>213.24834100000001</v>
      </c>
      <c r="O1903">
        <v>208.49007990000001</v>
      </c>
      <c r="P1903">
        <v>214.78691319999999</v>
      </c>
      <c r="Q1903">
        <v>225.6714743</v>
      </c>
    </row>
    <row r="1904" spans="1:17" x14ac:dyDescent="0.25">
      <c r="A1904" t="s">
        <v>5</v>
      </c>
      <c r="B1904" t="s">
        <v>6</v>
      </c>
      <c r="C1904" t="s">
        <v>263</v>
      </c>
      <c r="D1904" t="s">
        <v>239</v>
      </c>
      <c r="E1904" t="s">
        <v>27</v>
      </c>
      <c r="F1904">
        <v>149.12132829999999</v>
      </c>
      <c r="G1904">
        <v>177.42456749999999</v>
      </c>
      <c r="H1904">
        <v>196.7952373</v>
      </c>
      <c r="I1904">
        <v>220.75699119999999</v>
      </c>
      <c r="J1904">
        <v>243.35743840000001</v>
      </c>
      <c r="K1904">
        <v>279.43140190000003</v>
      </c>
      <c r="L1904">
        <v>320.6161108</v>
      </c>
      <c r="M1904">
        <v>367.14526649999999</v>
      </c>
      <c r="N1904">
        <v>415.12615369999997</v>
      </c>
      <c r="O1904">
        <v>463.44589869999999</v>
      </c>
      <c r="P1904">
        <v>509.15221880000001</v>
      </c>
      <c r="Q1904">
        <v>548.78083079999999</v>
      </c>
    </row>
    <row r="1905" spans="1:17" x14ac:dyDescent="0.25">
      <c r="A1905" t="s">
        <v>5</v>
      </c>
      <c r="B1905" t="s">
        <v>6</v>
      </c>
      <c r="C1905" t="s">
        <v>263</v>
      </c>
      <c r="D1905" t="s">
        <v>240</v>
      </c>
      <c r="E1905" t="s">
        <v>27</v>
      </c>
      <c r="F1905">
        <v>110.40194940000001</v>
      </c>
      <c r="G1905">
        <v>127.6809327</v>
      </c>
      <c r="H1905">
        <v>138.15137340000001</v>
      </c>
      <c r="I1905">
        <v>175.03043210000001</v>
      </c>
      <c r="J1905">
        <v>298.62861720000001</v>
      </c>
      <c r="K1905">
        <v>468.93317300000001</v>
      </c>
      <c r="L1905">
        <v>659.03117220000001</v>
      </c>
      <c r="M1905">
        <v>867.27014489999999</v>
      </c>
      <c r="N1905">
        <v>1090.648156</v>
      </c>
      <c r="O1905">
        <v>1310.377342</v>
      </c>
      <c r="P1905">
        <v>1439.221235</v>
      </c>
      <c r="Q1905">
        <v>1541.170889</v>
      </c>
    </row>
    <row r="1906" spans="1:17" x14ac:dyDescent="0.25">
      <c r="A1906" t="s">
        <v>5</v>
      </c>
      <c r="B1906" t="s">
        <v>6</v>
      </c>
      <c r="C1906" t="s">
        <v>263</v>
      </c>
      <c r="D1906" t="s">
        <v>241</v>
      </c>
      <c r="E1906" t="s">
        <v>27</v>
      </c>
      <c r="F1906">
        <v>15.565024080000001</v>
      </c>
      <c r="G1906">
        <v>17.956459639999999</v>
      </c>
      <c r="H1906">
        <v>20.081477960000001</v>
      </c>
      <c r="I1906">
        <v>22.802216430000001</v>
      </c>
      <c r="J1906">
        <v>24.58042223</v>
      </c>
      <c r="K1906">
        <v>28.8147491</v>
      </c>
      <c r="L1906">
        <v>34.176250940000003</v>
      </c>
      <c r="M1906">
        <v>39.404913690000001</v>
      </c>
      <c r="N1906">
        <v>44.676320789999998</v>
      </c>
      <c r="O1906">
        <v>50.220868490000001</v>
      </c>
      <c r="P1906">
        <v>55.744943980000002</v>
      </c>
      <c r="Q1906">
        <v>60.682034450000003</v>
      </c>
    </row>
    <row r="1907" spans="1:17" x14ac:dyDescent="0.25">
      <c r="A1907" t="s">
        <v>5</v>
      </c>
      <c r="B1907" t="s">
        <v>6</v>
      </c>
      <c r="C1907" t="s">
        <v>263</v>
      </c>
      <c r="D1907" t="s">
        <v>242</v>
      </c>
      <c r="E1907" t="s">
        <v>27</v>
      </c>
      <c r="F1907">
        <v>3.9011238129999999</v>
      </c>
      <c r="G1907">
        <v>4.6292838769999998</v>
      </c>
      <c r="H1907">
        <v>5.1373553059999999</v>
      </c>
      <c r="I1907">
        <v>6.5461324579999998</v>
      </c>
      <c r="J1907">
        <v>6.6127330469999999</v>
      </c>
      <c r="K1907">
        <v>8.229577377</v>
      </c>
      <c r="L1907">
        <v>10.40247316</v>
      </c>
      <c r="M1907">
        <v>12.63513627</v>
      </c>
      <c r="N1907">
        <v>14.746000820000001</v>
      </c>
      <c r="O1907">
        <v>17.035518660000001</v>
      </c>
      <c r="P1907">
        <v>19.31505361</v>
      </c>
      <c r="Q1907">
        <v>21.438776390000001</v>
      </c>
    </row>
    <row r="1908" spans="1:17" x14ac:dyDescent="0.25">
      <c r="A1908" t="s">
        <v>5</v>
      </c>
      <c r="B1908" t="s">
        <v>6</v>
      </c>
      <c r="C1908" t="s">
        <v>263</v>
      </c>
      <c r="D1908" t="s">
        <v>243</v>
      </c>
      <c r="E1908" t="s">
        <v>27</v>
      </c>
      <c r="F1908">
        <v>2.456946957</v>
      </c>
      <c r="G1908">
        <v>2.8791921349999998</v>
      </c>
      <c r="H1908">
        <v>3.1581990599999998</v>
      </c>
      <c r="I1908">
        <v>3.8806121669999998</v>
      </c>
      <c r="J1908">
        <v>4.4987725789999997</v>
      </c>
      <c r="K1908">
        <v>5.5665369030000003</v>
      </c>
      <c r="L1908">
        <v>6.4481363030000001</v>
      </c>
      <c r="M1908">
        <v>7.0093247590000001</v>
      </c>
      <c r="N1908">
        <v>7.113865154</v>
      </c>
      <c r="O1908">
        <v>6.8055809920000003</v>
      </c>
      <c r="P1908">
        <v>7.2715794279999999</v>
      </c>
      <c r="Q1908">
        <v>7.8395876070000003</v>
      </c>
    </row>
    <row r="1909" spans="1:17" x14ac:dyDescent="0.25">
      <c r="A1909" t="s">
        <v>5</v>
      </c>
      <c r="B1909" t="s">
        <v>6</v>
      </c>
      <c r="C1909" t="s">
        <v>263</v>
      </c>
      <c r="D1909" t="s">
        <v>244</v>
      </c>
      <c r="E1909" t="s">
        <v>27</v>
      </c>
      <c r="F1909">
        <v>20.800140649999999</v>
      </c>
      <c r="G1909">
        <v>23.609202109999998</v>
      </c>
      <c r="H1909">
        <v>25.146853199999999</v>
      </c>
      <c r="I1909">
        <v>28.166461529999999</v>
      </c>
      <c r="J1909">
        <v>30.996498030000001</v>
      </c>
      <c r="K1909">
        <v>35.476903669999999</v>
      </c>
      <c r="L1909">
        <v>39.89947695</v>
      </c>
      <c r="M1909">
        <v>43.999642010000002</v>
      </c>
      <c r="N1909">
        <v>47.548578759999998</v>
      </c>
      <c r="O1909">
        <v>50.503447379999997</v>
      </c>
      <c r="P1909">
        <v>54.064315379999996</v>
      </c>
      <c r="Q1909">
        <v>57.319870399999999</v>
      </c>
    </row>
    <row r="1910" spans="1:17" x14ac:dyDescent="0.25">
      <c r="A1910" t="s">
        <v>5</v>
      </c>
      <c r="B1910" t="s">
        <v>6</v>
      </c>
      <c r="C1910" t="s">
        <v>263</v>
      </c>
      <c r="D1910" t="s">
        <v>245</v>
      </c>
      <c r="E1910" t="s">
        <v>27</v>
      </c>
      <c r="F1910">
        <v>7.7051658999999999</v>
      </c>
      <c r="G1910">
        <v>8.9467157830000001</v>
      </c>
      <c r="H1910">
        <v>10.125767420000001</v>
      </c>
      <c r="I1910">
        <v>13.48802001</v>
      </c>
      <c r="J1910">
        <v>18.013711870000002</v>
      </c>
      <c r="K1910">
        <v>26.463872290000001</v>
      </c>
      <c r="L1910">
        <v>36.668338120000001</v>
      </c>
      <c r="M1910">
        <v>48.78054684</v>
      </c>
      <c r="N1910">
        <v>62.70170238</v>
      </c>
      <c r="O1910">
        <v>77.351023220000002</v>
      </c>
      <c r="P1910">
        <v>86.084921449999996</v>
      </c>
      <c r="Q1910">
        <v>92.993282910000005</v>
      </c>
    </row>
    <row r="1911" spans="1:17" x14ac:dyDescent="0.25">
      <c r="A1911" t="s">
        <v>5</v>
      </c>
      <c r="B1911" t="s">
        <v>6</v>
      </c>
      <c r="C1911" t="s">
        <v>263</v>
      </c>
      <c r="D1911" t="s">
        <v>246</v>
      </c>
      <c r="E1911" t="s">
        <v>27</v>
      </c>
      <c r="F1911">
        <v>0</v>
      </c>
      <c r="G1911">
        <v>0</v>
      </c>
      <c r="H1911">
        <v>0</v>
      </c>
      <c r="I1911">
        <v>11.190071509999999</v>
      </c>
      <c r="J1911">
        <v>99.581261190000006</v>
      </c>
      <c r="K1911">
        <v>218.6960918</v>
      </c>
      <c r="L1911">
        <v>361.37505010000001</v>
      </c>
      <c r="M1911">
        <v>529.71623520000003</v>
      </c>
      <c r="N1911">
        <v>725.31681030000004</v>
      </c>
      <c r="O1911">
        <v>929.58543510000004</v>
      </c>
      <c r="P1911">
        <v>1029.1316650000001</v>
      </c>
      <c r="Q1911">
        <v>1101.8121389999999</v>
      </c>
    </row>
    <row r="1912" spans="1:17" x14ac:dyDescent="0.25">
      <c r="A1912" t="s">
        <v>5</v>
      </c>
      <c r="B1912" t="s">
        <v>6</v>
      </c>
      <c r="C1912" t="s">
        <v>263</v>
      </c>
      <c r="D1912" t="s">
        <v>247</v>
      </c>
      <c r="E1912" t="s">
        <v>27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</row>
    <row r="1913" spans="1:17" x14ac:dyDescent="0.25">
      <c r="A1913" t="s">
        <v>5</v>
      </c>
      <c r="B1913" t="s">
        <v>6</v>
      </c>
      <c r="C1913" t="s">
        <v>263</v>
      </c>
      <c r="D1913" t="s">
        <v>248</v>
      </c>
      <c r="E1913" t="s">
        <v>27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</row>
    <row r="1914" spans="1:17" x14ac:dyDescent="0.25">
      <c r="A1914" t="s">
        <v>5</v>
      </c>
      <c r="B1914" t="s">
        <v>6</v>
      </c>
      <c r="C1914" t="s">
        <v>263</v>
      </c>
      <c r="D1914" t="s">
        <v>249</v>
      </c>
      <c r="E1914" t="s">
        <v>27</v>
      </c>
      <c r="F1914">
        <v>0.41685359300000002</v>
      </c>
      <c r="G1914">
        <v>0.47341635100000001</v>
      </c>
      <c r="H1914">
        <v>0.53524866299999996</v>
      </c>
      <c r="I1914">
        <v>0.85444677300000005</v>
      </c>
      <c r="J1914">
        <v>2.366753305</v>
      </c>
      <c r="K1914">
        <v>4.6438224940000001</v>
      </c>
      <c r="L1914">
        <v>7.4659080119999999</v>
      </c>
      <c r="M1914">
        <v>10.8489176</v>
      </c>
      <c r="N1914">
        <v>14.83049289</v>
      </c>
      <c r="O1914">
        <v>19.045984430000001</v>
      </c>
      <c r="P1914">
        <v>21.263075229999998</v>
      </c>
      <c r="Q1914">
        <v>22.946071889999999</v>
      </c>
    </row>
    <row r="1915" spans="1:17" x14ac:dyDescent="0.25">
      <c r="A1915" t="s">
        <v>5</v>
      </c>
      <c r="B1915" t="s">
        <v>6</v>
      </c>
      <c r="C1915" t="s">
        <v>263</v>
      </c>
      <c r="D1915" t="s">
        <v>250</v>
      </c>
      <c r="E1915" t="s">
        <v>27</v>
      </c>
      <c r="F1915">
        <v>9.165956606</v>
      </c>
      <c r="G1915">
        <v>9.9842026300000004</v>
      </c>
      <c r="H1915">
        <v>10.81214406</v>
      </c>
      <c r="I1915">
        <v>12.967145240000001</v>
      </c>
      <c r="J1915">
        <v>20.142341009999999</v>
      </c>
      <c r="K1915">
        <v>29.932588559999999</v>
      </c>
      <c r="L1915">
        <v>41.299301730000003</v>
      </c>
      <c r="M1915">
        <v>54.333401799999997</v>
      </c>
      <c r="N1915">
        <v>69.097440989999996</v>
      </c>
      <c r="O1915">
        <v>84.231834590000005</v>
      </c>
      <c r="P1915">
        <v>91.797999360000006</v>
      </c>
      <c r="Q1915">
        <v>97.289400319999999</v>
      </c>
    </row>
    <row r="1916" spans="1:17" x14ac:dyDescent="0.25">
      <c r="A1916" t="s">
        <v>5</v>
      </c>
      <c r="B1916" t="s">
        <v>6</v>
      </c>
      <c r="C1916" t="s">
        <v>263</v>
      </c>
      <c r="D1916" t="s">
        <v>251</v>
      </c>
      <c r="E1916" t="s">
        <v>27</v>
      </c>
      <c r="F1916">
        <v>35.802653300000003</v>
      </c>
      <c r="G1916">
        <v>42.996036850000003</v>
      </c>
      <c r="H1916">
        <v>48.267158379999998</v>
      </c>
      <c r="I1916">
        <v>91.189813380000004</v>
      </c>
      <c r="J1916">
        <v>53.734173050000003</v>
      </c>
      <c r="K1916">
        <v>54.033109539999998</v>
      </c>
      <c r="L1916">
        <v>53.481037649999998</v>
      </c>
      <c r="M1916">
        <v>52.01074654</v>
      </c>
      <c r="N1916">
        <v>48.173370339999998</v>
      </c>
      <c r="O1916">
        <v>43.459642709999997</v>
      </c>
      <c r="P1916">
        <v>47.034741420000003</v>
      </c>
      <c r="Q1916">
        <v>51.21710444</v>
      </c>
    </row>
    <row r="1917" spans="1:17" x14ac:dyDescent="0.25">
      <c r="A1917" t="s">
        <v>5</v>
      </c>
      <c r="B1917" t="s">
        <v>6</v>
      </c>
      <c r="C1917" t="s">
        <v>263</v>
      </c>
      <c r="D1917" t="s">
        <v>252</v>
      </c>
      <c r="E1917" t="s">
        <v>27</v>
      </c>
      <c r="F1917">
        <v>1861.0614330000001</v>
      </c>
      <c r="G1917">
        <v>2152.3357219999998</v>
      </c>
      <c r="H1917">
        <v>2328.837438</v>
      </c>
      <c r="I1917">
        <v>2655.2213360000001</v>
      </c>
      <c r="J1917">
        <v>2476.2601500000001</v>
      </c>
      <c r="K1917">
        <v>2484.0464080000002</v>
      </c>
      <c r="L1917">
        <v>2485.1647349999998</v>
      </c>
      <c r="M1917">
        <v>2469.628651</v>
      </c>
      <c r="N1917">
        <v>2423.5568699999999</v>
      </c>
      <c r="O1917">
        <v>2383.3741920000002</v>
      </c>
      <c r="P1917">
        <v>2553.1306829999999</v>
      </c>
      <c r="Q1917">
        <v>2738.6222619999999</v>
      </c>
    </row>
    <row r="1918" spans="1:17" x14ac:dyDescent="0.25">
      <c r="A1918" t="s">
        <v>5</v>
      </c>
      <c r="B1918" t="s">
        <v>6</v>
      </c>
      <c r="C1918" t="s">
        <v>263</v>
      </c>
      <c r="D1918" t="s">
        <v>253</v>
      </c>
      <c r="E1918" t="s">
        <v>27</v>
      </c>
      <c r="F1918">
        <v>2.3166590600000001</v>
      </c>
      <c r="G1918">
        <v>2.718030041</v>
      </c>
      <c r="H1918">
        <v>3.0984200820000001</v>
      </c>
      <c r="I1918">
        <v>7.8442587890000004</v>
      </c>
      <c r="J1918">
        <v>3.7506746149999999</v>
      </c>
      <c r="K1918">
        <v>4.2507954799999998</v>
      </c>
      <c r="L1918">
        <v>4.9565535179999998</v>
      </c>
      <c r="M1918">
        <v>5.6985234570000003</v>
      </c>
      <c r="N1918">
        <v>6.5053789310000001</v>
      </c>
      <c r="O1918">
        <v>7.391908162</v>
      </c>
      <c r="P1918">
        <v>8.3873650239999993</v>
      </c>
      <c r="Q1918">
        <v>9.2308941299999994</v>
      </c>
    </row>
    <row r="1919" spans="1:17" x14ac:dyDescent="0.25">
      <c r="A1919" t="s">
        <v>5</v>
      </c>
      <c r="B1919" t="s">
        <v>6</v>
      </c>
      <c r="C1919" t="s">
        <v>263</v>
      </c>
      <c r="D1919" t="s">
        <v>254</v>
      </c>
      <c r="E1919" t="s">
        <v>27</v>
      </c>
      <c r="F1919">
        <v>1.6845804849999999</v>
      </c>
      <c r="G1919">
        <v>2.021052369</v>
      </c>
      <c r="H1919">
        <v>2.2706229759999998</v>
      </c>
      <c r="I1919">
        <v>3.3488762040000002</v>
      </c>
      <c r="J1919">
        <v>2.7428822080000002</v>
      </c>
      <c r="K1919">
        <v>3.20869399</v>
      </c>
      <c r="L1919">
        <v>3.909555299</v>
      </c>
      <c r="M1919">
        <v>4.5974519760000003</v>
      </c>
      <c r="N1919">
        <v>5.1548394919999998</v>
      </c>
      <c r="O1919">
        <v>5.773295718</v>
      </c>
      <c r="P1919">
        <v>6.6590337000000002</v>
      </c>
      <c r="Q1919">
        <v>7.5197485029999998</v>
      </c>
    </row>
    <row r="1920" spans="1:17" x14ac:dyDescent="0.25">
      <c r="A1920" t="s">
        <v>5</v>
      </c>
      <c r="B1920" t="s">
        <v>6</v>
      </c>
      <c r="C1920" t="s">
        <v>263</v>
      </c>
      <c r="D1920" t="s">
        <v>255</v>
      </c>
      <c r="E1920" t="s">
        <v>27</v>
      </c>
      <c r="F1920">
        <v>7.547539263</v>
      </c>
      <c r="G1920">
        <v>8.8448586149999997</v>
      </c>
      <c r="H1920">
        <v>9.814874219</v>
      </c>
      <c r="I1920">
        <v>12.16367462</v>
      </c>
      <c r="J1920">
        <v>9.1581748360000006</v>
      </c>
      <c r="K1920">
        <v>8.0366335020000008</v>
      </c>
      <c r="L1920">
        <v>6.786033346</v>
      </c>
      <c r="M1920">
        <v>5.3714270119999998</v>
      </c>
      <c r="N1920">
        <v>3.890104875</v>
      </c>
      <c r="O1920">
        <v>2.6786192660000001</v>
      </c>
      <c r="P1920">
        <v>2.7373252610000001</v>
      </c>
      <c r="Q1920">
        <v>2.9613058849999998</v>
      </c>
    </row>
    <row r="1921" spans="1:17" x14ac:dyDescent="0.25">
      <c r="A1921" t="s">
        <v>5</v>
      </c>
      <c r="B1921" t="s">
        <v>6</v>
      </c>
      <c r="C1921" t="s">
        <v>263</v>
      </c>
      <c r="D1921" t="s">
        <v>256</v>
      </c>
      <c r="E1921" t="s">
        <v>27</v>
      </c>
      <c r="F1921">
        <v>61.740100030000001</v>
      </c>
      <c r="G1921">
        <v>70.495773260000007</v>
      </c>
      <c r="H1921">
        <v>74.911128129999994</v>
      </c>
      <c r="I1921">
        <v>81.768164530000007</v>
      </c>
      <c r="J1921">
        <v>75.300865029999997</v>
      </c>
      <c r="K1921">
        <v>71.640082280000001</v>
      </c>
      <c r="L1921">
        <v>67.761370580000005</v>
      </c>
      <c r="M1921">
        <v>63.337970089999999</v>
      </c>
      <c r="N1921">
        <v>58.304452740000002</v>
      </c>
      <c r="O1921">
        <v>53.8965441</v>
      </c>
      <c r="P1921">
        <v>56.655717510000002</v>
      </c>
      <c r="Q1921">
        <v>60.108191169999998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95"/>
  <sheetViews>
    <sheetView tabSelected="1" workbookViewId="0">
      <selection activeCell="Q52" sqref="Q52"/>
    </sheetView>
  </sheetViews>
  <sheetFormatPr defaultRowHeight="15" x14ac:dyDescent="0.25"/>
  <cols>
    <col min="1" max="2" width="20.28515625" customWidth="1"/>
    <col min="3" max="3" width="20" customWidth="1"/>
    <col min="4" max="4" width="12.7109375" customWidth="1"/>
    <col min="5" max="5" width="12.140625" customWidth="1"/>
    <col min="6" max="9" width="10.5703125" customWidth="1"/>
    <col min="10" max="12" width="10.5703125" bestFit="1" customWidth="1"/>
    <col min="13" max="13" width="10.5703125" customWidth="1"/>
    <col min="18" max="18" width="15.28515625" customWidth="1"/>
  </cols>
  <sheetData>
    <row r="1" spans="1:24" x14ac:dyDescent="0.25">
      <c r="A1" t="s">
        <v>267</v>
      </c>
      <c r="B1" t="s">
        <v>2</v>
      </c>
      <c r="C1" t="s">
        <v>266</v>
      </c>
      <c r="D1" t="s">
        <v>4</v>
      </c>
      <c r="E1">
        <f>template_IRP_newest_CP_7reg!I1</f>
        <v>2020</v>
      </c>
      <c r="F1">
        <f>template_IRP_newest_CP_7reg!J1</f>
        <v>2025</v>
      </c>
      <c r="G1">
        <f>template_IRP_newest_CP_7reg!K1</f>
        <v>2030</v>
      </c>
      <c r="H1">
        <f>template_IRP_newest_CP_7reg!L1</f>
        <v>2035</v>
      </c>
      <c r="I1">
        <f>template_IRP_newest_CP_7reg!M1</f>
        <v>2040</v>
      </c>
      <c r="J1">
        <f>template_IRP_newest_CP_7reg!N1</f>
        <v>2045</v>
      </c>
      <c r="K1">
        <f>template_IRP_newest_CP_7reg!O1</f>
        <v>2050</v>
      </c>
      <c r="L1">
        <f>template_IRP_newest_CP_7reg!P1</f>
        <v>2055</v>
      </c>
      <c r="M1">
        <f>template_IRP_newest_CP_7reg!Q1</f>
        <v>2060</v>
      </c>
      <c r="O1" t="s">
        <v>272</v>
      </c>
      <c r="Q1" t="s">
        <v>273</v>
      </c>
      <c r="U1" t="s">
        <v>272</v>
      </c>
      <c r="W1" t="s">
        <v>273</v>
      </c>
    </row>
    <row r="2" spans="1:24" x14ac:dyDescent="0.25">
      <c r="A2" t="s">
        <v>264</v>
      </c>
      <c r="B2" t="s">
        <v>7</v>
      </c>
      <c r="C2" s="3" t="s">
        <v>268</v>
      </c>
      <c r="D2" s="3" t="s">
        <v>265</v>
      </c>
      <c r="E2" s="4">
        <f>template_IRP_newest_CP_7reg!I147/(template_IRP_newest_CP_7reg!I215*1000000)</f>
        <v>63.067180710637018</v>
      </c>
      <c r="F2" s="4">
        <f>template_IRP_newest_CP_7reg!J147/(template_IRP_newest_CP_7reg!J215*1000000)</f>
        <v>63.310232064291931</v>
      </c>
      <c r="G2" s="4">
        <f>template_IRP_newest_CP_7reg!K147/(template_IRP_newest_CP_7reg!K215*1000000)</f>
        <v>63.994949495432479</v>
      </c>
      <c r="H2" s="4">
        <f>template_IRP_newest_CP_7reg!L147/(template_IRP_newest_CP_7reg!L215*1000000)</f>
        <v>64.530307282206024</v>
      </c>
      <c r="I2" s="4">
        <f>template_IRP_newest_CP_7reg!M147/(template_IRP_newest_CP_7reg!M215*1000000)</f>
        <v>64.964155404607823</v>
      </c>
      <c r="J2" s="4">
        <f>template_IRP_newest_CP_7reg!N147/(template_IRP_newest_CP_7reg!N215*1000000)</f>
        <v>65.345250768331312</v>
      </c>
      <c r="K2" s="4">
        <f>template_IRP_newest_CP_7reg!O147/(template_IRP_newest_CP_7reg!O215*1000000)</f>
        <v>65.677148397040483</v>
      </c>
      <c r="L2" s="4">
        <f>template_IRP_newest_CP_7reg!P147/(template_IRP_newest_CP_7reg!P215*1000000)</f>
        <v>65.975056441944972</v>
      </c>
      <c r="M2" s="4">
        <f>template_IRP_newest_CP_7reg!Q147/(template_IRP_newest_CP_7reg!Q215*1000000)</f>
        <v>66.241506957028889</v>
      </c>
      <c r="O2">
        <v>147</v>
      </c>
      <c r="P2">
        <v>215</v>
      </c>
      <c r="Q2">
        <v>150</v>
      </c>
      <c r="R2">
        <v>215</v>
      </c>
      <c r="S2">
        <v>0</v>
      </c>
      <c r="U2">
        <f>$O$2+(240*S2)</f>
        <v>147</v>
      </c>
      <c r="V2">
        <f>$P$2+(240*S2)</f>
        <v>215</v>
      </c>
      <c r="W2">
        <f>$Q$2+(240*S6)</f>
        <v>150</v>
      </c>
      <c r="X2">
        <f>$R$2+(240*S6)</f>
        <v>215</v>
      </c>
    </row>
    <row r="3" spans="1:24" x14ac:dyDescent="0.25">
      <c r="C3" s="3" t="s">
        <v>269</v>
      </c>
      <c r="D3" s="3" t="s">
        <v>265</v>
      </c>
      <c r="E3" s="4">
        <f>template_IRP_newest_CP_7reg!I148/(template_IRP_newest_CP_7reg!I216*1000000)</f>
        <v>41.253433483130813</v>
      </c>
      <c r="F3" s="4">
        <f>template_IRP_newest_CP_7reg!J148/(template_IRP_newest_CP_7reg!J216*1000000)</f>
        <v>41.377867812352498</v>
      </c>
      <c r="G3" s="4">
        <f>template_IRP_newest_CP_7reg!K148/(template_IRP_newest_CP_7reg!K216*1000000)</f>
        <v>41.962745470825368</v>
      </c>
      <c r="H3" s="4">
        <f>template_IRP_newest_CP_7reg!L148/(template_IRP_newest_CP_7reg!L216*1000000)</f>
        <v>42.513752509203087</v>
      </c>
      <c r="I3" s="4">
        <f>template_IRP_newest_CP_7reg!M148/(template_IRP_newest_CP_7reg!M216*1000000)</f>
        <v>43.009214117619649</v>
      </c>
      <c r="J3" s="4">
        <f>template_IRP_newest_CP_7reg!N148/(template_IRP_newest_CP_7reg!N216*1000000)</f>
        <v>43.45229507569146</v>
      </c>
      <c r="K3" s="4">
        <f>template_IRP_newest_CP_7reg!O148/(template_IRP_newest_CP_7reg!O216*1000000)</f>
        <v>43.84765122727665</v>
      </c>
      <c r="L3" s="4">
        <f>template_IRP_newest_CP_7reg!P148/(template_IRP_newest_CP_7reg!P216*1000000)</f>
        <v>44.187204580817323</v>
      </c>
      <c r="M3" s="4">
        <f>template_IRP_newest_CP_7reg!Q148/(template_IRP_newest_CP_7reg!Q216*1000000)</f>
        <v>44.479319822291899</v>
      </c>
      <c r="S3">
        <v>0</v>
      </c>
    </row>
    <row r="4" spans="1:24" x14ac:dyDescent="0.25">
      <c r="C4" s="3" t="s">
        <v>270</v>
      </c>
      <c r="D4" s="3" t="s">
        <v>265</v>
      </c>
      <c r="E4" s="4">
        <f>template_IRP_newest_CP_7reg!I149/(template_IRP_newest_CP_7reg!I217*1000000)</f>
        <v>28.913505668269327</v>
      </c>
      <c r="F4" s="4">
        <f>template_IRP_newest_CP_7reg!J149/(template_IRP_newest_CP_7reg!J217*1000000)</f>
        <v>29.04658612342655</v>
      </c>
      <c r="G4" s="4">
        <f>template_IRP_newest_CP_7reg!K149/(template_IRP_newest_CP_7reg!K217*1000000)</f>
        <v>29.487454250861969</v>
      </c>
      <c r="H4" s="4">
        <f>template_IRP_newest_CP_7reg!L149/(template_IRP_newest_CP_7reg!L217*1000000)</f>
        <v>29.899246904910243</v>
      </c>
      <c r="I4" s="4">
        <f>template_IRP_newest_CP_7reg!M149/(template_IRP_newest_CP_7reg!M217*1000000)</f>
        <v>30.272948064999191</v>
      </c>
      <c r="J4" s="4">
        <f>template_IRP_newest_CP_7reg!N149/(template_IRP_newest_CP_7reg!N217*1000000)</f>
        <v>30.612187551857346</v>
      </c>
      <c r="K4" s="4">
        <f>template_IRP_newest_CP_7reg!O149/(template_IRP_newest_CP_7reg!O217*1000000)</f>
        <v>30.918718516529825</v>
      </c>
      <c r="L4" s="4">
        <f>template_IRP_newest_CP_7reg!P149/(template_IRP_newest_CP_7reg!P217*1000000)</f>
        <v>31.182835739956463</v>
      </c>
      <c r="M4" s="4">
        <f>template_IRP_newest_CP_7reg!Q149/(template_IRP_newest_CP_7reg!Q217*1000000)</f>
        <v>31.407412545765119</v>
      </c>
      <c r="S4">
        <v>0</v>
      </c>
    </row>
    <row r="5" spans="1:24" x14ac:dyDescent="0.25">
      <c r="C5" t="s">
        <v>274</v>
      </c>
      <c r="D5" t="s">
        <v>265</v>
      </c>
      <c r="E5" s="2">
        <f>SUM(template_IRP_newest_CP_7reg!I147:I149)/(SUM(template_IRP_newest_CP_7reg!I215:I217)*1000000)</f>
        <v>54.273115656584466</v>
      </c>
      <c r="F5" s="2">
        <f>SUM(template_IRP_newest_CP_7reg!J147:J149)/(SUM(template_IRP_newest_CP_7reg!J215:J217)*1000000)</f>
        <v>54.361129515559092</v>
      </c>
      <c r="G5" s="2">
        <f>SUM(template_IRP_newest_CP_7reg!K147:K149)/(SUM(template_IRP_newest_CP_7reg!K215:K217)*1000000)</f>
        <v>54.883215080345984</v>
      </c>
      <c r="H5" s="2">
        <f>SUM(template_IRP_newest_CP_7reg!L147:L149)/(SUM(template_IRP_newest_CP_7reg!L215:L217)*1000000)</f>
        <v>55.301182163893642</v>
      </c>
      <c r="I5" s="2">
        <f>SUM(template_IRP_newest_CP_7reg!M147:M149)/(SUM(template_IRP_newest_CP_7reg!M215:M217)*1000000)</f>
        <v>55.641827420866328</v>
      </c>
      <c r="J5" s="2">
        <f>SUM(template_IRP_newest_CP_7reg!N147:N149)/(SUM(template_IRP_newest_CP_7reg!N215:N217)*1000000)</f>
        <v>55.93907994337664</v>
      </c>
      <c r="K5" s="2">
        <f>SUM(template_IRP_newest_CP_7reg!O147:O149)/(SUM(template_IRP_newest_CP_7reg!O215:O217)*1000000)</f>
        <v>56.196567006943397</v>
      </c>
      <c r="L5" s="2">
        <f>SUM(template_IRP_newest_CP_7reg!P147:P149)/(SUM(template_IRP_newest_CP_7reg!P215:P217)*1000000)</f>
        <v>56.421872394631549</v>
      </c>
      <c r="M5" s="2">
        <f>SUM(template_IRP_newest_CP_7reg!Q147:Q149)/(SUM(template_IRP_newest_CP_7reg!Q215:Q217)*1000000)</f>
        <v>56.62587084102023</v>
      </c>
      <c r="O5" t="str">
        <f>"$=SUM(template_IRP_newest_CP_7reg!I" &amp; U2 &amp; ":I" &amp; U2+2 &amp; ")/(SUM(template_IRP_newest_CP_7reg!I" &amp; V2 &amp; ":I" &amp; V1+2 &amp; ")*1000000)"</f>
        <v>$=SUM(template_IRP_newest_CP_7reg!I147:I149)/(SUM(template_IRP_newest_CP_7reg!I215:I2)*1000000)</v>
      </c>
      <c r="S5">
        <v>0</v>
      </c>
    </row>
    <row r="6" spans="1:24" x14ac:dyDescent="0.25">
      <c r="C6" t="s">
        <v>271</v>
      </c>
      <c r="D6" t="s">
        <v>265</v>
      </c>
      <c r="E6" s="2">
        <f>SUM(template_IRP_newest_CP_7reg!I150:I153)/(SUM(template_IRP_newest_CP_7reg!I215:I217)*1000000)</f>
        <v>21.721340681178223</v>
      </c>
      <c r="F6" s="2">
        <f>SUM(template_IRP_newest_CP_7reg!J150:J153)/(SUM(template_IRP_newest_CP_7reg!J215:J217)*1000000)</f>
        <v>22.087585142632168</v>
      </c>
      <c r="G6" s="2">
        <f>SUM(template_IRP_newest_CP_7reg!K150:K153)/(SUM(template_IRP_newest_CP_7reg!K215:K217)*1000000)</f>
        <v>22.632819145861351</v>
      </c>
      <c r="H6" s="2">
        <f>SUM(template_IRP_newest_CP_7reg!L150:L153)/(SUM(template_IRP_newest_CP_7reg!L215:L217)*1000000)</f>
        <v>23.074194772921778</v>
      </c>
      <c r="I6" s="2">
        <f>SUM(template_IRP_newest_CP_7reg!M150:M153)/(SUM(template_IRP_newest_CP_7reg!M215:M217)*1000000)</f>
        <v>23.436564900962992</v>
      </c>
      <c r="J6" s="2">
        <f>SUM(template_IRP_newest_CP_7reg!N150:N153)/(SUM(template_IRP_newest_CP_7reg!N215:N217)*1000000)</f>
        <v>23.736899373162991</v>
      </c>
      <c r="K6" s="2">
        <f>SUM(template_IRP_newest_CP_7reg!O150:O153)/(SUM(template_IRP_newest_CP_7reg!O215:O217)*1000000)</f>
        <v>23.972456429175978</v>
      </c>
      <c r="L6" s="2">
        <f>SUM(template_IRP_newest_CP_7reg!P150:P153)/(SUM(template_IRP_newest_CP_7reg!P215:P217)*1000000)</f>
        <v>24.164124460016023</v>
      </c>
      <c r="M6" s="2">
        <f>SUM(template_IRP_newest_CP_7reg!Q150:Q153)/(SUM(template_IRP_newest_CP_7reg!Q215:Q217)*1000000)</f>
        <v>24.320381756026471</v>
      </c>
      <c r="O6" t="str">
        <f>"$=SUM(template_IRP_newest_CP_7reg!I" &amp; W2 &amp; ":I" &amp; W2+3 &amp; ")/(SUM(template_IRP_newest_CP_7reg!I" &amp; X2 &amp; ":I" &amp; X2+3 &amp; ")*1000000)"</f>
        <v>$=SUM(template_IRP_newest_CP_7reg!I150:I153)/(SUM(template_IRP_newest_CP_7reg!I215:I218)*1000000)</v>
      </c>
      <c r="S6">
        <v>0</v>
      </c>
    </row>
    <row r="7" spans="1:24" x14ac:dyDescent="0.25">
      <c r="B7" t="s">
        <v>257</v>
      </c>
      <c r="C7" s="3" t="s">
        <v>268</v>
      </c>
      <c r="D7" s="3" t="s">
        <v>265</v>
      </c>
      <c r="E7" s="4">
        <f>template_IRP_newest_CP_7reg!I387/(template_IRP_newest_CP_7reg!I455*1000000)</f>
        <v>20.599714333705286</v>
      </c>
      <c r="F7" s="4">
        <f>template_IRP_newest_CP_7reg!J387/(template_IRP_newest_CP_7reg!J455*1000000)</f>
        <v>20.605737169280555</v>
      </c>
      <c r="G7" s="4">
        <f>template_IRP_newest_CP_7reg!K387/(template_IRP_newest_CP_7reg!K455*1000000)</f>
        <v>21.976190481103497</v>
      </c>
      <c r="H7" s="4">
        <f>template_IRP_newest_CP_7reg!L387/(template_IRP_newest_CP_7reg!L455*1000000)</f>
        <v>23.314219882421476</v>
      </c>
      <c r="I7" s="4">
        <f>template_IRP_newest_CP_7reg!M387/(template_IRP_newest_CP_7reg!M455*1000000)</f>
        <v>24.632304582384762</v>
      </c>
      <c r="J7" s="4">
        <f>template_IRP_newest_CP_7reg!N387/(template_IRP_newest_CP_7reg!N455*1000000)</f>
        <v>26.003146099353845</v>
      </c>
      <c r="K7" s="4">
        <f>template_IRP_newest_CP_7reg!O387/(template_IRP_newest_CP_7reg!O455*1000000)</f>
        <v>27.426114952863237</v>
      </c>
      <c r="L7" s="4">
        <f>template_IRP_newest_CP_7reg!P387/(template_IRP_newest_CP_7reg!P455*1000000)</f>
        <v>29.051278040825064</v>
      </c>
      <c r="M7" s="4">
        <f>template_IRP_newest_CP_7reg!Q387/(template_IRP_newest_CP_7reg!Q455*1000000)</f>
        <v>30.633997171333874</v>
      </c>
      <c r="O7" t="str">
        <f>"$=template_IRP_newest_CP_7reg!I"&amp;U7&amp;"/(template_IRP_newest_CP_7reg!I"&amp;V7&amp;"*1000000)"</f>
        <v>$=template_IRP_newest_CP_7reg!I387/(template_IRP_newest_CP_7reg!I455*1000000)</v>
      </c>
      <c r="S7">
        <v>1</v>
      </c>
      <c r="U7">
        <f>$O$2+(240*S7)</f>
        <v>387</v>
      </c>
      <c r="V7">
        <f>$P$2+(240*S7)</f>
        <v>455</v>
      </c>
      <c r="W7">
        <f>$Q$2+(240*S11)</f>
        <v>390</v>
      </c>
      <c r="X7">
        <f>$R$2+(240*S11)</f>
        <v>455</v>
      </c>
    </row>
    <row r="8" spans="1:24" x14ac:dyDescent="0.25">
      <c r="C8" s="3" t="s">
        <v>269</v>
      </c>
      <c r="D8" s="3" t="s">
        <v>265</v>
      </c>
      <c r="E8" s="4">
        <f>template_IRP_newest_CP_7reg!I388/(template_IRP_newest_CP_7reg!I456*1000000)</f>
        <v>19.725419342322823</v>
      </c>
      <c r="F8" s="4">
        <f>template_IRP_newest_CP_7reg!J388/(template_IRP_newest_CP_7reg!J456*1000000)</f>
        <v>19.839370517519836</v>
      </c>
      <c r="G8" s="4">
        <f>template_IRP_newest_CP_7reg!K388/(template_IRP_newest_CP_7reg!K456*1000000)</f>
        <v>21.244320693560073</v>
      </c>
      <c r="H8" s="4">
        <f>template_IRP_newest_CP_7reg!L388/(template_IRP_newest_CP_7reg!L456*1000000)</f>
        <v>22.615960447683612</v>
      </c>
      <c r="I8" s="4">
        <f>template_IRP_newest_CP_7reg!M388/(template_IRP_newest_CP_7reg!M456*1000000)</f>
        <v>23.973417919330593</v>
      </c>
      <c r="J8" s="4">
        <f>template_IRP_newest_CP_7reg!N388/(template_IRP_newest_CP_7reg!N456*1000000)</f>
        <v>25.386431142850242</v>
      </c>
      <c r="K8" s="4">
        <f>template_IRP_newest_CP_7reg!O388/(template_IRP_newest_CP_7reg!O456*1000000)</f>
        <v>26.860475293944678</v>
      </c>
      <c r="L8" s="4">
        <f>template_IRP_newest_CP_7reg!P388/(template_IRP_newest_CP_7reg!P456*1000000)</f>
        <v>28.542446703980882</v>
      </c>
      <c r="M8" s="4">
        <f>template_IRP_newest_CP_7reg!Q388/(template_IRP_newest_CP_7reg!Q456*1000000)</f>
        <v>30.180900194426542</v>
      </c>
      <c r="S8">
        <v>1</v>
      </c>
    </row>
    <row r="9" spans="1:24" x14ac:dyDescent="0.25">
      <c r="C9" s="3" t="s">
        <v>270</v>
      </c>
      <c r="D9" s="3" t="s">
        <v>265</v>
      </c>
      <c r="E9" s="4">
        <f>template_IRP_newest_CP_7reg!I389/(template_IRP_newest_CP_7reg!I457*1000000)</f>
        <v>14.492123132893481</v>
      </c>
      <c r="F9" s="4">
        <f>template_IRP_newest_CP_7reg!J389/(template_IRP_newest_CP_7reg!J457*1000000)</f>
        <v>14.580552464064699</v>
      </c>
      <c r="G9" s="4">
        <f>template_IRP_newest_CP_7reg!K389/(template_IRP_newest_CP_7reg!K457*1000000)</f>
        <v>15.604318768359557</v>
      </c>
      <c r="H9" s="4">
        <f>template_IRP_newest_CP_7reg!L389/(template_IRP_newest_CP_7reg!L457*1000000)</f>
        <v>16.625663856928739</v>
      </c>
      <c r="I9" s="4">
        <f>template_IRP_newest_CP_7reg!M389/(template_IRP_newest_CP_7reg!M457*1000000)</f>
        <v>17.643980956827189</v>
      </c>
      <c r="J9" s="4">
        <f>template_IRP_newest_CP_7reg!N389/(template_IRP_newest_CP_7reg!N457*1000000)</f>
        <v>18.703252691230098</v>
      </c>
      <c r="K9" s="4">
        <f>template_IRP_newest_CP_7reg!O389/(template_IRP_newest_CP_7reg!O457*1000000)</f>
        <v>19.816556788124007</v>
      </c>
      <c r="L9" s="4">
        <f>template_IRP_newest_CP_7reg!P389/(template_IRP_newest_CP_7reg!P457*1000000)</f>
        <v>21.094143056344564</v>
      </c>
      <c r="M9" s="4">
        <f>template_IRP_newest_CP_7reg!Q389/(template_IRP_newest_CP_7reg!Q457*1000000)</f>
        <v>22.341894755857755</v>
      </c>
      <c r="S9">
        <v>1</v>
      </c>
    </row>
    <row r="10" spans="1:24" x14ac:dyDescent="0.25">
      <c r="C10" t="s">
        <v>274</v>
      </c>
      <c r="D10" t="s">
        <v>265</v>
      </c>
      <c r="E10" s="2">
        <f>SUM(template_IRP_newest_CP_7reg!I387:I389)/(SUM(template_IRP_newest_CP_7reg!I455:I457)*1000000)</f>
        <v>19.131338817485751</v>
      </c>
      <c r="F10" s="2">
        <f>SUM(template_IRP_newest_CP_7reg!J387:J389)/(SUM(template_IRP_newest_CP_7reg!J455:J457)*1000000)</f>
        <v>19.172853425102975</v>
      </c>
      <c r="G10" s="2">
        <f>SUM(template_IRP_newest_CP_7reg!K387:K389)/(SUM(template_IRP_newest_CP_7reg!K455:K457)*1000000)</f>
        <v>20.471926896216434</v>
      </c>
      <c r="H10" s="2">
        <f>SUM(template_IRP_newest_CP_7reg!L387:L389)/(SUM(template_IRP_newest_CP_7reg!L455:L457)*1000000)</f>
        <v>21.744564615014156</v>
      </c>
      <c r="I10" s="2">
        <f>SUM(template_IRP_newest_CP_7reg!M387:M389)/(SUM(template_IRP_newest_CP_7reg!M455:M457)*1000000)</f>
        <v>23.003028514062812</v>
      </c>
      <c r="J10" s="2">
        <f>SUM(template_IRP_newest_CP_7reg!N387:N389)/(SUM(template_IRP_newest_CP_7reg!N455:N457)*1000000)</f>
        <v>24.313265669491027</v>
      </c>
      <c r="K10" s="2">
        <f>SUM(template_IRP_newest_CP_7reg!O387:O389)/(SUM(template_IRP_newest_CP_7reg!O455:O457)*1000000)</f>
        <v>25.679512688872133</v>
      </c>
      <c r="L10" s="2">
        <f>SUM(template_IRP_newest_CP_7reg!P387:P389)/(SUM(template_IRP_newest_CP_7reg!P455:P457)*1000000)</f>
        <v>27.242603443577757</v>
      </c>
      <c r="M10" s="2">
        <f>SUM(template_IRP_newest_CP_7reg!Q387:Q389)/(SUM(template_IRP_newest_CP_7reg!Q455:Q457)*1000000)</f>
        <v>28.766927473722959</v>
      </c>
      <c r="O10" t="str">
        <f>"$=SUM(template_IRP_newest_CP_7reg!I" &amp; U7 &amp; ":I" &amp; U7+2 &amp; ")/(SUM(template_IRP_newest_CP_7reg!I" &amp; V7 &amp; ":I" &amp; V7+2 &amp; ")*1000000)"</f>
        <v>$=SUM(template_IRP_newest_CP_7reg!I387:I389)/(SUM(template_IRP_newest_CP_7reg!I455:I457)*1000000)</v>
      </c>
      <c r="S10">
        <v>1</v>
      </c>
    </row>
    <row r="11" spans="1:24" x14ac:dyDescent="0.25">
      <c r="C11" t="s">
        <v>271</v>
      </c>
      <c r="D11" t="s">
        <v>265</v>
      </c>
      <c r="E11" s="2">
        <f>SUM(template_IRP_newest_CP_7reg!I390:I393)/(SUM(template_IRP_newest_CP_7reg!I455:I457)*1000000)</f>
        <v>4.3544380102920464</v>
      </c>
      <c r="F11" s="2">
        <f>SUM(template_IRP_newest_CP_7reg!J390:J393)/(SUM(template_IRP_newest_CP_7reg!J455:J457)*1000000)</f>
        <v>4.6911463468687558</v>
      </c>
      <c r="G11" s="2">
        <f>SUM(template_IRP_newest_CP_7reg!K390:K393)/(SUM(template_IRP_newest_CP_7reg!K455:K457)*1000000)</f>
        <v>5.3747304390269752</v>
      </c>
      <c r="H11" s="2">
        <f>SUM(template_IRP_newest_CP_7reg!L390:L393)/(SUM(template_IRP_newest_CP_7reg!L455:L457)*1000000)</f>
        <v>6.1239122614603101</v>
      </c>
      <c r="I11" s="2">
        <f>SUM(template_IRP_newest_CP_7reg!M390:M393)/(SUM(template_IRP_newest_CP_7reg!M455:M457)*1000000)</f>
        <v>6.9333286233119749</v>
      </c>
      <c r="J11" s="2">
        <f>SUM(template_IRP_newest_CP_7reg!N390:N393)/(SUM(template_IRP_newest_CP_7reg!N455:N457)*1000000)</f>
        <v>7.8543206088298438</v>
      </c>
      <c r="K11" s="2">
        <f>SUM(template_IRP_newest_CP_7reg!O390:O393)/(SUM(template_IRP_newest_CP_7reg!O455:O457)*1000000)</f>
        <v>8.9140778597740447</v>
      </c>
      <c r="L11" s="2">
        <f>SUM(template_IRP_newest_CP_7reg!P390:P393)/(SUM(template_IRP_newest_CP_7reg!P455:P457)*1000000)</f>
        <v>10.218092202823049</v>
      </c>
      <c r="M11" s="2">
        <f>SUM(template_IRP_newest_CP_7reg!Q390:Q393)/(SUM(template_IRP_newest_CP_7reg!Q455:Q457)*1000000)</f>
        <v>11.469466750811558</v>
      </c>
      <c r="O11" t="str">
        <f>"$=SUM(template_IRP_newest_CP_7reg!I" &amp; W7 &amp; ":I" &amp; W7+3 &amp; ")/(SUM(template_IRP_newest_CP_7reg!I" &amp; X7 &amp; ":I" &amp; X7+3 &amp; ")*1000000)"</f>
        <v>$=SUM(template_IRP_newest_CP_7reg!I390:I393)/(SUM(template_IRP_newest_CP_7reg!I455:I458)*1000000)</v>
      </c>
      <c r="S11">
        <v>1</v>
      </c>
    </row>
    <row r="12" spans="1:24" x14ac:dyDescent="0.25">
      <c r="B12" t="s">
        <v>258</v>
      </c>
      <c r="C12" s="3" t="s">
        <v>268</v>
      </c>
      <c r="D12" s="3" t="s">
        <v>265</v>
      </c>
      <c r="E12" s="4">
        <f>template_IRP_newest_CP_7reg!I627/(template_IRP_newest_CP_7reg!I695*1000000)</f>
        <v>43.555628326497761</v>
      </c>
      <c r="F12" s="4">
        <f>template_IRP_newest_CP_7reg!J627/(template_IRP_newest_CP_7reg!J695*1000000)</f>
        <v>43.685131875688299</v>
      </c>
      <c r="G12" s="4">
        <f>template_IRP_newest_CP_7reg!K627/(template_IRP_newest_CP_7reg!K695*1000000)</f>
        <v>44.877127910289545</v>
      </c>
      <c r="H12" s="4">
        <f>template_IRP_newest_CP_7reg!L627/(template_IRP_newest_CP_7reg!L695*1000000)</f>
        <v>45.958890171468447</v>
      </c>
      <c r="I12" s="4">
        <f>template_IRP_newest_CP_7reg!M627/(template_IRP_newest_CP_7reg!M695*1000000)</f>
        <v>46.949674046685487</v>
      </c>
      <c r="J12" s="4">
        <f>template_IRP_newest_CP_7reg!N627/(template_IRP_newest_CP_7reg!N695*1000000)</f>
        <v>47.84740296438126</v>
      </c>
      <c r="K12" s="4">
        <f>template_IRP_newest_CP_7reg!O627/(template_IRP_newest_CP_7reg!O695*1000000)</f>
        <v>48.658437293875139</v>
      </c>
      <c r="L12" s="4">
        <f>template_IRP_newest_CP_7reg!P627/(template_IRP_newest_CP_7reg!P695*1000000)</f>
        <v>49.344247829014456</v>
      </c>
      <c r="M12" s="4">
        <f>template_IRP_newest_CP_7reg!Q627/(template_IRP_newest_CP_7reg!Q695*1000000)</f>
        <v>49.893466159573535</v>
      </c>
      <c r="O12" t="str">
        <f>"$=template_IRP_newest_CP_7reg!I"&amp;U12&amp;"/(template_IRP_newest_CP_7reg!I"&amp;V12&amp;"*1000000)"</f>
        <v>$=template_IRP_newest_CP_7reg!I627/(template_IRP_newest_CP_7reg!I695*1000000)</v>
      </c>
      <c r="S12">
        <v>2</v>
      </c>
      <c r="U12">
        <f>$O$2+(240*S12)</f>
        <v>627</v>
      </c>
      <c r="V12">
        <f>$P$2+(240*S12)</f>
        <v>695</v>
      </c>
      <c r="W12">
        <f>$Q$2+(240*S16)</f>
        <v>630</v>
      </c>
      <c r="X12">
        <f>$R$2+(240*S16)</f>
        <v>695</v>
      </c>
    </row>
    <row r="13" spans="1:24" x14ac:dyDescent="0.25">
      <c r="C13" s="3" t="s">
        <v>269</v>
      </c>
      <c r="D13" s="3" t="s">
        <v>265</v>
      </c>
      <c r="E13" s="4">
        <f>template_IRP_newest_CP_7reg!I628/(template_IRP_newest_CP_7reg!I696*1000000)</f>
        <v>38.482423282024435</v>
      </c>
      <c r="F13" s="4">
        <f>template_IRP_newest_CP_7reg!J628/(template_IRP_newest_CP_7reg!J696*1000000)</f>
        <v>38.880358209773718</v>
      </c>
      <c r="G13" s="4">
        <f>template_IRP_newest_CP_7reg!K628/(template_IRP_newest_CP_7reg!K696*1000000)</f>
        <v>40.068193199964689</v>
      </c>
      <c r="H13" s="4">
        <f>template_IRP_newest_CP_7reg!L628/(template_IRP_newest_CP_7reg!L696*1000000)</f>
        <v>41.235932106829921</v>
      </c>
      <c r="I13" s="4">
        <f>template_IRP_newest_CP_7reg!M628/(template_IRP_newest_CP_7reg!M696*1000000)</f>
        <v>42.382388023075222</v>
      </c>
      <c r="J13" s="4">
        <f>template_IRP_newest_CP_7reg!N628/(template_IRP_newest_CP_7reg!N696*1000000)</f>
        <v>43.481554522578371</v>
      </c>
      <c r="K13" s="4">
        <f>template_IRP_newest_CP_7reg!O628/(template_IRP_newest_CP_7reg!O696*1000000)</f>
        <v>44.528342527584066</v>
      </c>
      <c r="L13" s="4">
        <f>template_IRP_newest_CP_7reg!P628/(template_IRP_newest_CP_7reg!P696*1000000)</f>
        <v>45.448753177532268</v>
      </c>
      <c r="M13" s="4">
        <f>template_IRP_newest_CP_7reg!Q628/(template_IRP_newest_CP_7reg!Q696*1000000)</f>
        <v>46.202797783725522</v>
      </c>
      <c r="S13">
        <v>2</v>
      </c>
    </row>
    <row r="14" spans="1:24" x14ac:dyDescent="0.25">
      <c r="C14" s="3" t="s">
        <v>270</v>
      </c>
      <c r="D14" s="3" t="s">
        <v>265</v>
      </c>
      <c r="E14" s="4">
        <f>template_IRP_newest_CP_7reg!I629/(template_IRP_newest_CP_7reg!I697*1000000)</f>
        <v>42.551359611342662</v>
      </c>
      <c r="F14" s="4">
        <f>template_IRP_newest_CP_7reg!J629/(template_IRP_newest_CP_7reg!J697*1000000)</f>
        <v>43.323873907661145</v>
      </c>
      <c r="G14" s="4">
        <f>template_IRP_newest_CP_7reg!K629/(template_IRP_newest_CP_7reg!K697*1000000)</f>
        <v>45.107379862838378</v>
      </c>
      <c r="H14" s="4">
        <f>template_IRP_newest_CP_7reg!L629/(template_IRP_newest_CP_7reg!L697*1000000)</f>
        <v>46.790627664708666</v>
      </c>
      <c r="I14" s="4">
        <f>template_IRP_newest_CP_7reg!M629/(template_IRP_newest_CP_7reg!M697*1000000)</f>
        <v>48.388549973756923</v>
      </c>
      <c r="J14" s="4">
        <f>template_IRP_newest_CP_7reg!N629/(template_IRP_newest_CP_7reg!N697*1000000)</f>
        <v>49.874348412518145</v>
      </c>
      <c r="K14" s="4">
        <f>template_IRP_newest_CP_7reg!O629/(template_IRP_newest_CP_7reg!O697*1000000)</f>
        <v>51.258039714600734</v>
      </c>
      <c r="L14" s="4">
        <f>template_IRP_newest_CP_7reg!P629/(template_IRP_newest_CP_7reg!P697*1000000)</f>
        <v>52.477400407425648</v>
      </c>
      <c r="M14" s="4">
        <f>template_IRP_newest_CP_7reg!Q629/(template_IRP_newest_CP_7reg!Q697*1000000)</f>
        <v>53.476716633915238</v>
      </c>
      <c r="S14">
        <v>2</v>
      </c>
    </row>
    <row r="15" spans="1:24" x14ac:dyDescent="0.25">
      <c r="C15" t="s">
        <v>274</v>
      </c>
      <c r="D15" t="s">
        <v>265</v>
      </c>
      <c r="E15" s="2">
        <f>SUM(template_IRP_newest_CP_7reg!I627:I629)/(SUM(template_IRP_newest_CP_7reg!I695:I697)*1000000)</f>
        <v>41.26013698982252</v>
      </c>
      <c r="F15" s="2">
        <f>SUM(template_IRP_newest_CP_7reg!J627:J629)/(SUM(template_IRP_newest_CP_7reg!J695:J697)*1000000)</f>
        <v>41.640870035307799</v>
      </c>
      <c r="G15" s="2">
        <f>SUM(template_IRP_newest_CP_7reg!K627:K629)/(SUM(template_IRP_newest_CP_7reg!K695:K697)*1000000)</f>
        <v>42.965946728322436</v>
      </c>
      <c r="H15" s="2">
        <f>SUM(template_IRP_newest_CP_7reg!L627:L629)/(SUM(template_IRP_newest_CP_7reg!L695:L697)*1000000)</f>
        <v>44.223664446210037</v>
      </c>
      <c r="I15" s="2">
        <f>SUM(template_IRP_newest_CP_7reg!M627:M629)/(SUM(template_IRP_newest_CP_7reg!M695:M697)*1000000)</f>
        <v>45.424284852106915</v>
      </c>
      <c r="J15" s="2">
        <f>SUM(template_IRP_newest_CP_7reg!N627:N629)/(SUM(template_IRP_newest_CP_7reg!N695:N697)*1000000)</f>
        <v>46.549803011252649</v>
      </c>
      <c r="K15" s="2">
        <f>SUM(template_IRP_newest_CP_7reg!O627:O629)/(SUM(template_IRP_newest_CP_7reg!O695:O697)*1000000)</f>
        <v>47.602601931450643</v>
      </c>
      <c r="L15" s="2">
        <f>SUM(template_IRP_newest_CP_7reg!P627:P629)/(SUM(template_IRP_newest_CP_7reg!P695:P697)*1000000)</f>
        <v>48.522632251750913</v>
      </c>
      <c r="M15" s="2">
        <f>SUM(template_IRP_newest_CP_7reg!Q627:Q629)/(SUM(template_IRP_newest_CP_7reg!Q695:Q697)*1000000)</f>
        <v>49.274253808584888</v>
      </c>
      <c r="O15" t="str">
        <f>"$=SUM(template_IRP_newest_CP_7reg!I" &amp; U12 &amp; ":I" &amp; U12+2 &amp; ")/(SUM(template_IRP_newest_CP_7reg!I" &amp; V12 &amp; ":I" &amp; V12+2 &amp; ")*1000000)"</f>
        <v>$=SUM(template_IRP_newest_CP_7reg!I627:I629)/(SUM(template_IRP_newest_CP_7reg!I695:I697)*1000000)</v>
      </c>
      <c r="S15">
        <v>2</v>
      </c>
    </row>
    <row r="16" spans="1:24" x14ac:dyDescent="0.25">
      <c r="C16" t="s">
        <v>271</v>
      </c>
      <c r="D16" t="s">
        <v>265</v>
      </c>
      <c r="E16" s="2">
        <f>SUM(template_IRP_newest_CP_7reg!I630:I633)/(SUM(template_IRP_newest_CP_7reg!I695:I697)*1000000)</f>
        <v>14.419514314306666</v>
      </c>
      <c r="F16" s="2">
        <f>SUM(template_IRP_newest_CP_7reg!J630:J633)/(SUM(template_IRP_newest_CP_7reg!J695:J697)*1000000)</f>
        <v>15.231921776142112</v>
      </c>
      <c r="G16" s="2">
        <f>SUM(template_IRP_newest_CP_7reg!K630:K633)/(SUM(template_IRP_newest_CP_7reg!K695:K697)*1000000)</f>
        <v>16.281688454771583</v>
      </c>
      <c r="H16" s="2">
        <f>SUM(template_IRP_newest_CP_7reg!L630:L633)/(SUM(template_IRP_newest_CP_7reg!L695:L697)*1000000)</f>
        <v>17.337899032343159</v>
      </c>
      <c r="I16" s="2">
        <f>SUM(template_IRP_newest_CP_7reg!M630:M633)/(SUM(template_IRP_newest_CP_7reg!M695:M697)*1000000)</f>
        <v>18.361068418355867</v>
      </c>
      <c r="J16" s="2">
        <f>SUM(template_IRP_newest_CP_7reg!N630:N633)/(SUM(template_IRP_newest_CP_7reg!N695:N697)*1000000)</f>
        <v>19.317425184075741</v>
      </c>
      <c r="K16" s="2">
        <f>SUM(template_IRP_newest_CP_7reg!O630:O633)/(SUM(template_IRP_newest_CP_7reg!O695:O697)*1000000)</f>
        <v>20.198540460198057</v>
      </c>
      <c r="L16" s="2">
        <f>SUM(template_IRP_newest_CP_7reg!P630:P633)/(SUM(template_IRP_newest_CP_7reg!P695:P697)*1000000)</f>
        <v>21.053731430367819</v>
      </c>
      <c r="M16" s="2">
        <f>SUM(template_IRP_newest_CP_7reg!Q630:Q633)/(SUM(template_IRP_newest_CP_7reg!Q695:Q697)*1000000)</f>
        <v>21.773706281107422</v>
      </c>
      <c r="O16" t="str">
        <f>"$=SUM(template_IRP_newest_CP_7reg!I" &amp; W12 &amp; ":I" &amp; W12+3 &amp; ")/(SUM(template_IRP_newest_CP_7reg!I" &amp; X12 &amp; ":I" &amp; X12+3 &amp; ")*1000000)"</f>
        <v>$=SUM(template_IRP_newest_CP_7reg!I630:I633)/(SUM(template_IRP_newest_CP_7reg!I695:I698)*1000000)</v>
      </c>
      <c r="S16">
        <v>2</v>
      </c>
    </row>
    <row r="17" spans="2:24" x14ac:dyDescent="0.25">
      <c r="B17" t="s">
        <v>259</v>
      </c>
      <c r="C17" s="3" t="s">
        <v>268</v>
      </c>
      <c r="D17" s="3" t="s">
        <v>265</v>
      </c>
      <c r="E17" s="4">
        <f>template_IRP_newest_CP_7reg!I867/(template_IRP_newest_CP_7reg!I935*1000000)</f>
        <v>20.941501863853759</v>
      </c>
      <c r="F17" s="4">
        <f>template_IRP_newest_CP_7reg!J867/(template_IRP_newest_CP_7reg!J935*1000000)</f>
        <v>21.188612482724867</v>
      </c>
      <c r="G17" s="4">
        <f>template_IRP_newest_CP_7reg!K867/(template_IRP_newest_CP_7reg!K935*1000000)</f>
        <v>22.318021250923643</v>
      </c>
      <c r="H17" s="4">
        <f>template_IRP_newest_CP_7reg!L867/(template_IRP_newest_CP_7reg!L935*1000000)</f>
        <v>23.454809058085555</v>
      </c>
      <c r="I17" s="4">
        <f>template_IRP_newest_CP_7reg!M867/(template_IRP_newest_CP_7reg!M935*1000000)</f>
        <v>24.540847189343083</v>
      </c>
      <c r="J17" s="4">
        <f>template_IRP_newest_CP_7reg!N867/(template_IRP_newest_CP_7reg!N935*1000000)</f>
        <v>25.57433379471782</v>
      </c>
      <c r="K17" s="4">
        <f>template_IRP_newest_CP_7reg!O867/(template_IRP_newest_CP_7reg!O935*1000000)</f>
        <v>26.522064419386474</v>
      </c>
      <c r="L17" s="4">
        <f>template_IRP_newest_CP_7reg!P867/(template_IRP_newest_CP_7reg!P935*1000000)</f>
        <v>27.382363320197921</v>
      </c>
      <c r="M17" s="4">
        <f>template_IRP_newest_CP_7reg!Q867/(template_IRP_newest_CP_7reg!Q935*1000000)</f>
        <v>28.183456168885602</v>
      </c>
      <c r="O17" t="str">
        <f>"$=template_IRP_newest_CP_7reg!I"&amp;U17&amp;"/(template_IRP_newest_CP_7reg!I"&amp;V17&amp;"*1000000)"</f>
        <v>$=template_IRP_newest_CP_7reg!I867/(template_IRP_newest_CP_7reg!I935*1000000)</v>
      </c>
      <c r="S17">
        <v>3</v>
      </c>
      <c r="U17">
        <f>$O$2+(240*S17)</f>
        <v>867</v>
      </c>
      <c r="V17">
        <f>$P$2+(240*S17)</f>
        <v>935</v>
      </c>
      <c r="W17">
        <f>$Q$2+(240*S21)</f>
        <v>870</v>
      </c>
      <c r="X17">
        <f>$R$2+(240*S21)</f>
        <v>935</v>
      </c>
    </row>
    <row r="18" spans="2:24" x14ac:dyDescent="0.25">
      <c r="C18" s="3" t="s">
        <v>269</v>
      </c>
      <c r="D18" s="3" t="s">
        <v>265</v>
      </c>
      <c r="E18" s="4">
        <f>template_IRP_newest_CP_7reg!I868/(template_IRP_newest_CP_7reg!I936*1000000)</f>
        <v>20.221506341746757</v>
      </c>
      <c r="F18" s="4">
        <f>template_IRP_newest_CP_7reg!J868/(template_IRP_newest_CP_7reg!J936*1000000)</f>
        <v>20.583872019932603</v>
      </c>
      <c r="G18" s="4">
        <f>template_IRP_newest_CP_7reg!K868/(template_IRP_newest_CP_7reg!K936*1000000)</f>
        <v>21.80259906965594</v>
      </c>
      <c r="H18" s="4">
        <f>template_IRP_newest_CP_7reg!L868/(template_IRP_newest_CP_7reg!L936*1000000)</f>
        <v>23.026617323004956</v>
      </c>
      <c r="I18" s="4">
        <f>template_IRP_newest_CP_7reg!M868/(template_IRP_newest_CP_7reg!M936*1000000)</f>
        <v>24.198424613747846</v>
      </c>
      <c r="J18" s="4">
        <f>template_IRP_newest_CP_7reg!N868/(template_IRP_newest_CP_7reg!N936*1000000)</f>
        <v>25.312440872956227</v>
      </c>
      <c r="K18" s="4">
        <f>template_IRP_newest_CP_7reg!O868/(template_IRP_newest_CP_7reg!O936*1000000)</f>
        <v>26.337465362890349</v>
      </c>
      <c r="L18" s="4">
        <f>template_IRP_newest_CP_7reg!P868/(template_IRP_newest_CP_7reg!P936*1000000)</f>
        <v>27.270988737397087</v>
      </c>
      <c r="M18" s="4">
        <f>template_IRP_newest_CP_7reg!Q868/(template_IRP_newest_CP_7reg!Q936*1000000)</f>
        <v>28.135680839468424</v>
      </c>
      <c r="S18">
        <v>3</v>
      </c>
    </row>
    <row r="19" spans="2:24" x14ac:dyDescent="0.25">
      <c r="C19" s="3" t="s">
        <v>270</v>
      </c>
      <c r="D19" s="3" t="s">
        <v>265</v>
      </c>
      <c r="E19" s="4">
        <f>template_IRP_newest_CP_7reg!I869/(template_IRP_newest_CP_7reg!I937*1000000)</f>
        <v>18.630112983623288</v>
      </c>
      <c r="F19" s="4">
        <f>template_IRP_newest_CP_7reg!J869/(template_IRP_newest_CP_7reg!J937*1000000)</f>
        <v>18.930032238140353</v>
      </c>
      <c r="G19" s="4">
        <f>template_IRP_newest_CP_7reg!K869/(template_IRP_newest_CP_7reg!K937*1000000)</f>
        <v>20.02282236882948</v>
      </c>
      <c r="H19" s="4">
        <f>template_IRP_newest_CP_7reg!L869/(template_IRP_newest_CP_7reg!L937*1000000)</f>
        <v>21.116547962351639</v>
      </c>
      <c r="I19" s="4">
        <f>template_IRP_newest_CP_7reg!M869/(template_IRP_newest_CP_7reg!M937*1000000)</f>
        <v>22.158806728360048</v>
      </c>
      <c r="J19" s="4">
        <f>template_IRP_newest_CP_7reg!N869/(template_IRP_newest_CP_7reg!N937*1000000)</f>
        <v>23.146836040326679</v>
      </c>
      <c r="K19" s="4">
        <f>template_IRP_newest_CP_7reg!O869/(template_IRP_newest_CP_7reg!O937*1000000)</f>
        <v>24.053053470533197</v>
      </c>
      <c r="L19" s="4">
        <f>template_IRP_newest_CP_7reg!P869/(template_IRP_newest_CP_7reg!P937*1000000)</f>
        <v>24.875180986834888</v>
      </c>
      <c r="M19" s="4">
        <f>template_IRP_newest_CP_7reg!Q869/(template_IRP_newest_CP_7reg!Q937*1000000)</f>
        <v>25.637631971016678</v>
      </c>
      <c r="S19">
        <v>3</v>
      </c>
    </row>
    <row r="20" spans="2:24" x14ac:dyDescent="0.25">
      <c r="C20" t="s">
        <v>274</v>
      </c>
      <c r="D20" t="s">
        <v>265</v>
      </c>
      <c r="E20" s="2">
        <f>SUM(template_IRP_newest_CP_7reg!I867:I869)/(SUM(template_IRP_newest_CP_7reg!I935:I937)*1000000)</f>
        <v>20.343442418036357</v>
      </c>
      <c r="F20" s="2">
        <f>SUM(template_IRP_newest_CP_7reg!J867:J869)/(SUM(template_IRP_newest_CP_7reg!J935:J937)*1000000)</f>
        <v>20.623047739159606</v>
      </c>
      <c r="G20" s="2">
        <f>SUM(template_IRP_newest_CP_7reg!K867:K869)/(SUM(template_IRP_newest_CP_7reg!K935:K937)*1000000)</f>
        <v>21.764586591448143</v>
      </c>
      <c r="H20" s="2">
        <f>SUM(template_IRP_newest_CP_7reg!L867:L869)/(SUM(template_IRP_newest_CP_7reg!L935:L937)*1000000)</f>
        <v>22.912301233732808</v>
      </c>
      <c r="I20" s="2">
        <f>SUM(template_IRP_newest_CP_7reg!M867:M869)/(SUM(template_IRP_newest_CP_7reg!M935:M937)*1000000)</f>
        <v>24.009186979982445</v>
      </c>
      <c r="J20" s="2">
        <f>SUM(template_IRP_newest_CP_7reg!N867:N869)/(SUM(template_IRP_newest_CP_7reg!N935:N937)*1000000)</f>
        <v>25.052420461955847</v>
      </c>
      <c r="K20" s="2">
        <f>SUM(template_IRP_newest_CP_7reg!O867:O869)/(SUM(template_IRP_newest_CP_7reg!O935:O937)*1000000)</f>
        <v>26.010374035486961</v>
      </c>
      <c r="L20" s="2">
        <f>SUM(template_IRP_newest_CP_7reg!P867:P869)/(SUM(template_IRP_newest_CP_7reg!P935:P937)*1000000)</f>
        <v>26.88085810743387</v>
      </c>
      <c r="M20" s="2">
        <f>SUM(template_IRP_newest_CP_7reg!Q867:Q869)/(SUM(template_IRP_newest_CP_7reg!Q935:Q937)*1000000)</f>
        <v>27.690121038838722</v>
      </c>
      <c r="O20" t="str">
        <f>"$=SUM(template_IRP_newest_CP_7reg!I" &amp; U17 &amp; ":I" &amp; U17+2 &amp; ")/(SUM(template_IRP_newest_CP_7reg!I" &amp; V17 &amp; ":I" &amp; V17+2 &amp; ")*1000000)"</f>
        <v>$=SUM(template_IRP_newest_CP_7reg!I867:I869)/(SUM(template_IRP_newest_CP_7reg!I935:I937)*1000000)</v>
      </c>
      <c r="S20">
        <v>3</v>
      </c>
    </row>
    <row r="21" spans="2:24" x14ac:dyDescent="0.25">
      <c r="C21" t="s">
        <v>271</v>
      </c>
      <c r="D21" t="s">
        <v>265</v>
      </c>
      <c r="E21" s="2">
        <f>SUM(template_IRP_newest_CP_7reg!I870:I873)/(SUM(template_IRP_newest_CP_7reg!I935:I937)*1000000)</f>
        <v>4.517984316760348</v>
      </c>
      <c r="F21" s="2">
        <f>SUM(template_IRP_newest_CP_7reg!J870:J873)/(SUM(template_IRP_newest_CP_7reg!J935:J937)*1000000)</f>
        <v>5.1597039195949099</v>
      </c>
      <c r="G21" s="2">
        <f>SUM(template_IRP_newest_CP_7reg!K870:K873)/(SUM(template_IRP_newest_CP_7reg!K935:K937)*1000000)</f>
        <v>6.2817422633311004</v>
      </c>
      <c r="H21" s="2">
        <f>SUM(template_IRP_newest_CP_7reg!L870:L873)/(SUM(template_IRP_newest_CP_7reg!L935:L937)*1000000)</f>
        <v>7.4447168363400822</v>
      </c>
      <c r="I21" s="2">
        <f>SUM(template_IRP_newest_CP_7reg!M870:M873)/(SUM(template_IRP_newest_CP_7reg!M935:M937)*1000000)</f>
        <v>8.5430111841426193</v>
      </c>
      <c r="J21" s="2">
        <f>SUM(template_IRP_newest_CP_7reg!N870:N873)/(SUM(template_IRP_newest_CP_7reg!N935:N937)*1000000)</f>
        <v>9.5510035285759738</v>
      </c>
      <c r="K21" s="2">
        <f>SUM(template_IRP_newest_CP_7reg!O870:O873)/(SUM(template_IRP_newest_CP_7reg!O935:O937)*1000000)</f>
        <v>10.478010217596868</v>
      </c>
      <c r="L21" s="2">
        <f>SUM(template_IRP_newest_CP_7reg!P870:P873)/(SUM(template_IRP_newest_CP_7reg!P935:P937)*1000000)</f>
        <v>11.469118330501711</v>
      </c>
      <c r="M21" s="2">
        <f>SUM(template_IRP_newest_CP_7reg!Q870:Q873)/(SUM(template_IRP_newest_CP_7reg!Q935:Q937)*1000000)</f>
        <v>12.484213099392218</v>
      </c>
      <c r="O21" t="str">
        <f>"$=SUM(template_IRP_newest_CP_7reg!I" &amp; W17 &amp; ":I" &amp; W17+3 &amp; ")/(SUM(template_IRP_newest_CP_7reg!I" &amp; X17 &amp; ":I" &amp; X17+3 &amp; ")*1000000)"</f>
        <v>$=SUM(template_IRP_newest_CP_7reg!I870:I873)/(SUM(template_IRP_newest_CP_7reg!I935:I938)*1000000)</v>
      </c>
      <c r="S21">
        <v>3</v>
      </c>
    </row>
    <row r="22" spans="2:24" x14ac:dyDescent="0.25">
      <c r="B22" t="s">
        <v>260</v>
      </c>
      <c r="C22" s="3" t="s">
        <v>268</v>
      </c>
      <c r="D22" s="3" t="s">
        <v>265</v>
      </c>
      <c r="E22" s="4">
        <f>template_IRP_newest_CP_7reg!I1107/(template_IRP_newest_CP_7reg!I1175*1000000)</f>
        <v>10.316274480663806</v>
      </c>
      <c r="F22" s="4">
        <f>template_IRP_newest_CP_7reg!J1107/(template_IRP_newest_CP_7reg!J1175*1000000)</f>
        <v>10.218233967401408</v>
      </c>
      <c r="G22" s="4">
        <f>template_IRP_newest_CP_7reg!K1107/(template_IRP_newest_CP_7reg!K1175*1000000)</f>
        <v>10.608184813384774</v>
      </c>
      <c r="H22" s="4">
        <f>template_IRP_newest_CP_7reg!L1107/(template_IRP_newest_CP_7reg!L1175*1000000)</f>
        <v>11.140591627392137</v>
      </c>
      <c r="I22" s="4">
        <f>template_IRP_newest_CP_7reg!M1107/(template_IRP_newest_CP_7reg!M1175*1000000)</f>
        <v>11.720125787825454</v>
      </c>
      <c r="J22" s="4">
        <f>template_IRP_newest_CP_7reg!N1107/(template_IRP_newest_CP_7reg!N1175*1000000)</f>
        <v>12.408247645216637</v>
      </c>
      <c r="K22" s="4">
        <f>template_IRP_newest_CP_7reg!O1107/(template_IRP_newest_CP_7reg!O1175*1000000)</f>
        <v>13.255593874314481</v>
      </c>
      <c r="L22" s="4">
        <f>template_IRP_newest_CP_7reg!P1107/(template_IRP_newest_CP_7reg!P1175*1000000)</f>
        <v>14.426939650349139</v>
      </c>
      <c r="M22" s="4">
        <f>template_IRP_newest_CP_7reg!Q1107/(template_IRP_newest_CP_7reg!Q1175*1000000)</f>
        <v>15.757993126022596</v>
      </c>
      <c r="O22" t="str">
        <f>"$=template_IRP_newest_CP_7reg!I"&amp;U22&amp;"/(template_IRP_newest_CP_7reg!I"&amp;V22&amp;"*1000000)"</f>
        <v>$=template_IRP_newest_CP_7reg!I1107/(template_IRP_newest_CP_7reg!I1175*1000000)</v>
      </c>
      <c r="S22">
        <v>4</v>
      </c>
      <c r="U22">
        <f>$O$2+(240*S22)</f>
        <v>1107</v>
      </c>
      <c r="V22">
        <f>$P$2+(240*S22)</f>
        <v>1175</v>
      </c>
      <c r="W22">
        <f>$Q$2+(240*S26)</f>
        <v>1110</v>
      </c>
      <c r="X22">
        <f>$R$2+(240*S26)</f>
        <v>1175</v>
      </c>
    </row>
    <row r="23" spans="2:24" x14ac:dyDescent="0.25">
      <c r="C23" s="3" t="s">
        <v>269</v>
      </c>
      <c r="D23" s="3" t="s">
        <v>265</v>
      </c>
      <c r="E23" s="4">
        <f>template_IRP_newest_CP_7reg!I1108/(template_IRP_newest_CP_7reg!I1176*1000000)</f>
        <v>10.45774250059087</v>
      </c>
      <c r="F23" s="4">
        <f>template_IRP_newest_CP_7reg!J1108/(template_IRP_newest_CP_7reg!J1176*1000000)</f>
        <v>10.459930978861768</v>
      </c>
      <c r="G23" s="4">
        <f>template_IRP_newest_CP_7reg!K1108/(template_IRP_newest_CP_7reg!K1176*1000000)</f>
        <v>11.007089716292977</v>
      </c>
      <c r="H23" s="4">
        <f>template_IRP_newest_CP_7reg!L1108/(template_IRP_newest_CP_7reg!L1176*1000000)</f>
        <v>11.709961218510641</v>
      </c>
      <c r="I23" s="4">
        <f>template_IRP_newest_CP_7reg!M1108/(template_IRP_newest_CP_7reg!M1176*1000000)</f>
        <v>12.454807973919232</v>
      </c>
      <c r="J23" s="4">
        <f>template_IRP_newest_CP_7reg!N1108/(template_IRP_newest_CP_7reg!N1176*1000000)</f>
        <v>13.299582905238617</v>
      </c>
      <c r="K23" s="4">
        <f>template_IRP_newest_CP_7reg!O1108/(template_IRP_newest_CP_7reg!O1176*1000000)</f>
        <v>14.296498314506872</v>
      </c>
      <c r="L23" s="4">
        <f>template_IRP_newest_CP_7reg!P1108/(template_IRP_newest_CP_7reg!P1176*1000000)</f>
        <v>15.63840892863028</v>
      </c>
      <c r="M23" s="4">
        <f>template_IRP_newest_CP_7reg!Q1108/(template_IRP_newest_CP_7reg!Q1176*1000000)</f>
        <v>17.14792042820477</v>
      </c>
      <c r="S23">
        <v>4</v>
      </c>
    </row>
    <row r="24" spans="2:24" x14ac:dyDescent="0.25">
      <c r="C24" s="3" t="s">
        <v>270</v>
      </c>
      <c r="D24" s="3" t="s">
        <v>265</v>
      </c>
      <c r="E24" s="4">
        <f>template_IRP_newest_CP_7reg!I1109/(template_IRP_newest_CP_7reg!I1177*1000000)</f>
        <v>10.233975738847494</v>
      </c>
      <c r="F24" s="4">
        <f>template_IRP_newest_CP_7reg!J1109/(template_IRP_newest_CP_7reg!J1177*1000000)</f>
        <v>10.172913784172511</v>
      </c>
      <c r="G24" s="4">
        <f>template_IRP_newest_CP_7reg!K1109/(template_IRP_newest_CP_7reg!K1177*1000000)</f>
        <v>10.673046084445907</v>
      </c>
      <c r="H24" s="4">
        <f>template_IRP_newest_CP_7reg!L1109/(template_IRP_newest_CP_7reg!L1177*1000000)</f>
        <v>11.324210424211058</v>
      </c>
      <c r="I24" s="4">
        <f>template_IRP_newest_CP_7reg!M1109/(template_IRP_newest_CP_7reg!M1177*1000000)</f>
        <v>12.011009686490118</v>
      </c>
      <c r="J24" s="4">
        <f>template_IRP_newest_CP_7reg!N1109/(template_IRP_newest_CP_7reg!N1177*1000000)</f>
        <v>12.788296211198462</v>
      </c>
      <c r="K24" s="4">
        <f>template_IRP_newest_CP_7reg!O1109/(template_IRP_newest_CP_7reg!O1177*1000000)</f>
        <v>13.704447612133098</v>
      </c>
      <c r="L24" s="4">
        <f>template_IRP_newest_CP_7reg!P1109/(template_IRP_newest_CP_7reg!P1177*1000000)</f>
        <v>14.937037579550724</v>
      </c>
      <c r="M24" s="4">
        <f>template_IRP_newest_CP_7reg!Q1109/(template_IRP_newest_CP_7reg!Q1177*1000000)</f>
        <v>16.323098714455924</v>
      </c>
      <c r="S24">
        <v>4</v>
      </c>
    </row>
    <row r="25" spans="2:24" x14ac:dyDescent="0.25">
      <c r="C25" t="s">
        <v>274</v>
      </c>
      <c r="D25" t="s">
        <v>265</v>
      </c>
      <c r="E25" s="2">
        <f>SUM(template_IRP_newest_CP_7reg!I1107:I1109)/(SUM(template_IRP_newest_CP_7reg!I1175:I1177)*1000000)</f>
        <v>10.341579684247879</v>
      </c>
      <c r="F25" s="2">
        <f>SUM(template_IRP_newest_CP_7reg!J1107:J1109)/(SUM(template_IRP_newest_CP_7reg!J1175:J1177)*1000000)</f>
        <v>10.274234530053732</v>
      </c>
      <c r="G25" s="2">
        <f>SUM(template_IRP_newest_CP_7reg!K1107:K1109)/(SUM(template_IRP_newest_CP_7reg!K1175:K1177)*1000000)</f>
        <v>10.720666019752077</v>
      </c>
      <c r="H25" s="2">
        <f>SUM(template_IRP_newest_CP_7reg!L1107:L1109)/(SUM(template_IRP_newest_CP_7reg!L1175:L1177)*1000000)</f>
        <v>11.316703232498694</v>
      </c>
      <c r="I25" s="2">
        <f>SUM(template_IRP_newest_CP_7reg!M1107:M1109)/(SUM(template_IRP_newest_CP_7reg!M1175:M1177)*1000000)</f>
        <v>11.959402234600924</v>
      </c>
      <c r="J25" s="2">
        <f>SUM(template_IRP_newest_CP_7reg!N1107:N1109)/(SUM(template_IRP_newest_CP_7reg!N1175:N1177)*1000000)</f>
        <v>12.707901978901736</v>
      </c>
      <c r="K25" s="2">
        <f>SUM(template_IRP_newest_CP_7reg!O1107:O1109)/(SUM(template_IRP_newest_CP_7reg!O1175:O1177)*1000000)</f>
        <v>13.612462410520488</v>
      </c>
      <c r="L25" s="2">
        <f>SUM(template_IRP_newest_CP_7reg!P1107:P1109)/(SUM(template_IRP_newest_CP_7reg!P1175:P1177)*1000000)</f>
        <v>14.847301452288574</v>
      </c>
      <c r="M25" s="2">
        <f>SUM(template_IRP_newest_CP_7reg!Q1107:Q1109)/(SUM(template_IRP_newest_CP_7reg!Q1175:Q1177)*1000000)</f>
        <v>16.243764777538207</v>
      </c>
      <c r="O25" t="str">
        <f>"$=SUM(template_IRP_newest_CP_7reg!I" &amp; U22 &amp; ":I" &amp; U22+2 &amp; ")/(SUM(template_IRP_newest_CP_7reg!I" &amp; V22 &amp; ":I" &amp; V22+2 &amp; ")*1000000)"</f>
        <v>$=SUM(template_IRP_newest_CP_7reg!I1107:I1109)/(SUM(template_IRP_newest_CP_7reg!I1175:I1177)*1000000)</v>
      </c>
      <c r="S25">
        <v>4</v>
      </c>
    </row>
    <row r="26" spans="2:24" x14ac:dyDescent="0.25">
      <c r="C26" t="s">
        <v>271</v>
      </c>
      <c r="D26" t="s">
        <v>265</v>
      </c>
      <c r="E26" s="2">
        <f>SUM(template_IRP_newest_CP_7reg!I1110:I1113)/(SUM(template_IRP_newest_CP_7reg!I1175:I1178)*1000000)</f>
        <v>1.6907306945022595</v>
      </c>
      <c r="F26" s="2">
        <f>SUM(template_IRP_newest_CP_7reg!J1110:J1113)/(SUM(template_IRP_newest_CP_7reg!J1175:J1178)*1000000)</f>
        <v>1.7782830488237868</v>
      </c>
      <c r="G26" s="2">
        <f>SUM(template_IRP_newest_CP_7reg!K1110:K1113)/(SUM(template_IRP_newest_CP_7reg!K1175:K1178)*1000000)</f>
        <v>2.0044083228826914</v>
      </c>
      <c r="H26" s="2">
        <f>SUM(template_IRP_newest_CP_7reg!L1110:L1113)/(SUM(template_IRP_newest_CP_7reg!L1175:L1178)*1000000)</f>
        <v>2.3178733456576648</v>
      </c>
      <c r="I26" s="2">
        <f>SUM(template_IRP_newest_CP_7reg!M1110:M1113)/(SUM(template_IRP_newest_CP_7reg!M1175:M1178)*1000000)</f>
        <v>2.7282879871836165</v>
      </c>
      <c r="J26" s="2">
        <f>SUM(template_IRP_newest_CP_7reg!N1110:N1113)/(SUM(template_IRP_newest_CP_7reg!N1175:N1178)*1000000)</f>
        <v>3.2504349355169975</v>
      </c>
      <c r="K26" s="2">
        <f>SUM(template_IRP_newest_CP_7reg!O1110:O1113)/(SUM(template_IRP_newest_CP_7reg!O1175:O1178)*1000000)</f>
        <v>3.9402572717837456</v>
      </c>
      <c r="L26" s="2">
        <f>SUM(template_IRP_newest_CP_7reg!P1110:P1113)/(SUM(template_IRP_newest_CP_7reg!P1175:P1178)*1000000)</f>
        <v>4.8285786518187095</v>
      </c>
      <c r="M26" s="2">
        <f>SUM(template_IRP_newest_CP_7reg!Q1110:Q1113)/(SUM(template_IRP_newest_CP_7reg!Q1175:Q1178)*1000000)</f>
        <v>5.7838897332412067</v>
      </c>
      <c r="O26" t="str">
        <f>"$=SUM(template_IRP_newest_CP_7reg!I" &amp; W22 &amp; ":I" &amp; W22+3 &amp; ")/(SUM(template_IRP_newest_CP_7reg!I" &amp; X22 &amp; ":I" &amp; X22+3 &amp; ")*1000000)"</f>
        <v>$=SUM(template_IRP_newest_CP_7reg!I1110:I1113)/(SUM(template_IRP_newest_CP_7reg!I1175:I1178)*1000000)</v>
      </c>
      <c r="S26">
        <v>4</v>
      </c>
    </row>
    <row r="27" spans="2:24" x14ac:dyDescent="0.25">
      <c r="B27" t="s">
        <v>261</v>
      </c>
      <c r="C27" s="3" t="s">
        <v>268</v>
      </c>
      <c r="D27" s="3" t="s">
        <v>265</v>
      </c>
      <c r="E27" s="4">
        <f>template_IRP_newest_CP_7reg!I1347/(template_IRP_newest_CP_7reg!I1415*1000000)</f>
        <v>26.100511283775354</v>
      </c>
      <c r="F27" s="4">
        <f>template_IRP_newest_CP_7reg!J1347/(template_IRP_newest_CP_7reg!J1415*1000000)</f>
        <v>25.741577556403652</v>
      </c>
      <c r="G27" s="4">
        <f>template_IRP_newest_CP_7reg!K1347/(template_IRP_newest_CP_7reg!K1415*1000000)</f>
        <v>26.700919569584613</v>
      </c>
      <c r="H27" s="4">
        <f>template_IRP_newest_CP_7reg!L1347/(template_IRP_newest_CP_7reg!L1415*1000000)</f>
        <v>28.094815371080053</v>
      </c>
      <c r="I27" s="4">
        <f>template_IRP_newest_CP_7reg!M1347/(template_IRP_newest_CP_7reg!M1415*1000000)</f>
        <v>29.308102434398705</v>
      </c>
      <c r="J27" s="4">
        <f>template_IRP_newest_CP_7reg!N1347/(template_IRP_newest_CP_7reg!N1415*1000000)</f>
        <v>30.419160654153721</v>
      </c>
      <c r="K27" s="4">
        <f>template_IRP_newest_CP_7reg!O1347/(template_IRP_newest_CP_7reg!O1415*1000000)</f>
        <v>31.513061995970254</v>
      </c>
      <c r="L27" s="4">
        <f>template_IRP_newest_CP_7reg!P1347/(template_IRP_newest_CP_7reg!P1415*1000000)</f>
        <v>32.703015246766924</v>
      </c>
      <c r="M27" s="4">
        <f>template_IRP_newest_CP_7reg!Q1347/(template_IRP_newest_CP_7reg!Q1415*1000000)</f>
        <v>33.839491701076525</v>
      </c>
      <c r="O27" t="str">
        <f>"$=template_IRP_newest_CP_7reg!I"&amp;U27&amp;"/(template_IRP_newest_CP_7reg!I"&amp;V27&amp;"*1000000)"</f>
        <v>$=template_IRP_newest_CP_7reg!I1347/(template_IRP_newest_CP_7reg!I1415*1000000)</v>
      </c>
      <c r="S27">
        <v>5</v>
      </c>
      <c r="U27">
        <f>$O$2+(240*S27)</f>
        <v>1347</v>
      </c>
      <c r="V27">
        <f>$P$2+(240*S27)</f>
        <v>1415</v>
      </c>
      <c r="W27">
        <f>$Q$2+(240*S31)</f>
        <v>1350</v>
      </c>
      <c r="X27">
        <f>$R$2+(240*S31)</f>
        <v>1415</v>
      </c>
    </row>
    <row r="28" spans="2:24" x14ac:dyDescent="0.25">
      <c r="C28" s="3" t="s">
        <v>269</v>
      </c>
      <c r="D28" s="3" t="s">
        <v>265</v>
      </c>
      <c r="E28" s="4">
        <f>template_IRP_newest_CP_7reg!I1348/(template_IRP_newest_CP_7reg!I1416*1000000)</f>
        <v>16.64039475516692</v>
      </c>
      <c r="F28" s="4">
        <f>template_IRP_newest_CP_7reg!J1348/(template_IRP_newest_CP_7reg!J1416*1000000)</f>
        <v>16.36661153807168</v>
      </c>
      <c r="G28" s="4">
        <f>template_IRP_newest_CP_7reg!K1348/(template_IRP_newest_CP_7reg!K1416*1000000)</f>
        <v>16.936681904834707</v>
      </c>
      <c r="H28" s="4">
        <f>template_IRP_newest_CP_7reg!L1348/(template_IRP_newest_CP_7reg!L1416*1000000)</f>
        <v>17.780851818053701</v>
      </c>
      <c r="I28" s="4">
        <f>template_IRP_newest_CP_7reg!M1348/(template_IRP_newest_CP_7reg!M1416*1000000)</f>
        <v>18.51122902931457</v>
      </c>
      <c r="J28" s="4">
        <f>template_IRP_newest_CP_7reg!N1348/(template_IRP_newest_CP_7reg!N1416*1000000)</f>
        <v>19.177652615364906</v>
      </c>
      <c r="K28" s="4">
        <f>template_IRP_newest_CP_7reg!O1348/(template_IRP_newest_CP_7reg!O1416*1000000)</f>
        <v>19.834765820399078</v>
      </c>
      <c r="L28" s="4">
        <f>template_IRP_newest_CP_7reg!P1348/(template_IRP_newest_CP_7reg!P1416*1000000)</f>
        <v>20.552694598701965</v>
      </c>
      <c r="M28" s="4">
        <f>template_IRP_newest_CP_7reg!Q1348/(template_IRP_newest_CP_7reg!Q1416*1000000)</f>
        <v>21.240517341436846</v>
      </c>
      <c r="S28">
        <v>5</v>
      </c>
    </row>
    <row r="29" spans="2:24" x14ac:dyDescent="0.25">
      <c r="C29" s="3" t="s">
        <v>270</v>
      </c>
      <c r="D29" s="3" t="s">
        <v>265</v>
      </c>
      <c r="E29" s="4">
        <f>template_IRP_newest_CP_7reg!I1349/(template_IRP_newest_CP_7reg!I1417*1000000)</f>
        <v>14.907702600424402</v>
      </c>
      <c r="F29" s="4">
        <f>template_IRP_newest_CP_7reg!J1349/(template_IRP_newest_CP_7reg!J1417*1000000)</f>
        <v>14.664894142419401</v>
      </c>
      <c r="G29" s="4">
        <f>template_IRP_newest_CP_7reg!K1349/(template_IRP_newest_CP_7reg!K1417*1000000)</f>
        <v>15.17853313444685</v>
      </c>
      <c r="H29" s="4">
        <f>template_IRP_newest_CP_7reg!L1349/(template_IRP_newest_CP_7reg!L1417*1000000)</f>
        <v>15.937639564474907</v>
      </c>
      <c r="I29" s="4">
        <f>template_IRP_newest_CP_7reg!M1349/(template_IRP_newest_CP_7reg!M1417*1000000)</f>
        <v>16.595085844551321</v>
      </c>
      <c r="J29" s="4">
        <f>template_IRP_newest_CP_7reg!N1349/(template_IRP_newest_CP_7reg!N1417*1000000)</f>
        <v>17.195265943856072</v>
      </c>
      <c r="K29" s="4">
        <f>template_IRP_newest_CP_7reg!O1349/(template_IRP_newest_CP_7reg!O1417*1000000)</f>
        <v>17.787293280073193</v>
      </c>
      <c r="L29" s="4">
        <f>template_IRP_newest_CP_7reg!P1349/(template_IRP_newest_CP_7reg!P1417*1000000)</f>
        <v>18.433870133425554</v>
      </c>
      <c r="M29" s="4">
        <f>template_IRP_newest_CP_7reg!Q1349/(template_IRP_newest_CP_7reg!Q1417*1000000)</f>
        <v>19.053152910960801</v>
      </c>
      <c r="S29">
        <v>5</v>
      </c>
    </row>
    <row r="30" spans="2:24" x14ac:dyDescent="0.25">
      <c r="C30" t="s">
        <v>274</v>
      </c>
      <c r="D30" t="s">
        <v>265</v>
      </c>
      <c r="E30" s="2">
        <f>SUM(template_IRP_newest_CP_7reg!I1347:I1349)/(SUM(template_IRP_newest_CP_7reg!I1415:I1417)*1000000)</f>
        <v>21.227544135703322</v>
      </c>
      <c r="F30" s="2">
        <f>SUM(template_IRP_newest_CP_7reg!J1347:J1349)/(SUM(template_IRP_newest_CP_7reg!J1415:J1417)*1000000)</f>
        <v>20.843751648911365</v>
      </c>
      <c r="G30" s="2">
        <f>SUM(template_IRP_newest_CP_7reg!K1347:K1349)/(SUM(template_IRP_newest_CP_7reg!K1415:K1417)*1000000)</f>
        <v>21.535746529157944</v>
      </c>
      <c r="H30" s="2">
        <f>SUM(template_IRP_newest_CP_7reg!L1347:L1349)/(SUM(template_IRP_newest_CP_7reg!L1415:L1417)*1000000)</f>
        <v>22.576491439007846</v>
      </c>
      <c r="I30" s="2">
        <f>SUM(template_IRP_newest_CP_7reg!M1347:M1349)/(SUM(template_IRP_newest_CP_7reg!M1415:M1417)*1000000)</f>
        <v>23.471212385250677</v>
      </c>
      <c r="J30" s="2">
        <f>SUM(template_IRP_newest_CP_7reg!N1347:N1349)/(SUM(template_IRP_newest_CP_7reg!N1415:N1417)*1000000)</f>
        <v>24.284745965600884</v>
      </c>
      <c r="K30" s="2">
        <f>SUM(template_IRP_newest_CP_7reg!O1347:O1349)/(SUM(template_IRP_newest_CP_7reg!O1415:O1417)*1000000)</f>
        <v>25.086079554375242</v>
      </c>
      <c r="L30" s="2">
        <f>SUM(template_IRP_newest_CP_7reg!P1347:P1349)/(SUM(template_IRP_newest_CP_7reg!P1415:P1417)*1000000)</f>
        <v>25.964372294445031</v>
      </c>
      <c r="M30" s="2">
        <f>SUM(template_IRP_newest_CP_7reg!Q1347:Q1349)/(SUM(template_IRP_newest_CP_7reg!Q1415:Q1417)*1000000)</f>
        <v>26.807831383349185</v>
      </c>
      <c r="O30" t="str">
        <f>"$=SUM(template_IRP_newest_CP_7reg!I" &amp; U27 &amp; ":I" &amp; U27+2 &amp; ")/(SUM(template_IRP_newest_CP_7reg!I" &amp; V27 &amp; ":I" &amp; V27+2 &amp; ")*1000000)"</f>
        <v>$=SUM(template_IRP_newest_CP_7reg!I1347:I1349)/(SUM(template_IRP_newest_CP_7reg!I1415:I1417)*1000000)</v>
      </c>
      <c r="S30">
        <v>5</v>
      </c>
    </row>
    <row r="31" spans="2:24" x14ac:dyDescent="0.25">
      <c r="C31" t="s">
        <v>271</v>
      </c>
      <c r="D31" t="s">
        <v>265</v>
      </c>
      <c r="E31" s="2">
        <f>SUM(template_IRP_newest_CP_7reg!I1350:I1353)/(SUM(template_IRP_newest_CP_7reg!I1415:I1418)*1000000)</f>
        <v>3.7070780498344162</v>
      </c>
      <c r="F31" s="2">
        <f>SUM(template_IRP_newest_CP_7reg!J1350:J1353)/(SUM(template_IRP_newest_CP_7reg!J1415:J1418)*1000000)</f>
        <v>3.9803616448637325</v>
      </c>
      <c r="G31" s="2">
        <f>SUM(template_IRP_newest_CP_7reg!K1350:K1353)/(SUM(template_IRP_newest_CP_7reg!K1415:K1418)*1000000)</f>
        <v>4.5811527427984258</v>
      </c>
      <c r="H31" s="2">
        <f>SUM(template_IRP_newest_CP_7reg!L1350:L1353)/(SUM(template_IRP_newest_CP_7reg!L1415:L1418)*1000000)</f>
        <v>5.295665547439218</v>
      </c>
      <c r="I31" s="2">
        <f>SUM(template_IRP_newest_CP_7reg!M1350:M1353)/(SUM(template_IRP_newest_CP_7reg!M1415:M1418)*1000000)</f>
        <v>5.9926377344092998</v>
      </c>
      <c r="J31" s="2">
        <f>SUM(template_IRP_newest_CP_7reg!N1350:N1353)/(SUM(template_IRP_newest_CP_7reg!N1415:N1418)*1000000)</f>
        <v>6.704949101838281</v>
      </c>
      <c r="K31" s="2">
        <f>SUM(template_IRP_newest_CP_7reg!O1350:O1353)/(SUM(template_IRP_newest_CP_7reg!O1415:O1418)*1000000)</f>
        <v>7.4258218120194828</v>
      </c>
      <c r="L31" s="2">
        <f>SUM(template_IRP_newest_CP_7reg!P1350:P1353)/(SUM(template_IRP_newest_CP_7reg!P1415:P1418)*1000000)</f>
        <v>8.3319612449040115</v>
      </c>
      <c r="M31" s="2">
        <f>SUM(template_IRP_newest_CP_7reg!Q1350:Q1353)/(SUM(template_IRP_newest_CP_7reg!Q1415:Q1418)*1000000)</f>
        <v>9.159040935739295</v>
      </c>
      <c r="O31" t="str">
        <f>"$=SUM(template_IRP_newest_CP_7reg!I" &amp; W27 &amp; ":I" &amp; W27+3 &amp; ")/(SUM(template_IRP_newest_CP_7reg!I" &amp; X27 &amp; ":I" &amp; X27+3 &amp; ")*1000000)"</f>
        <v>$=SUM(template_IRP_newest_CP_7reg!I1350:I1353)/(SUM(template_IRP_newest_CP_7reg!I1415:I1418)*1000000)</v>
      </c>
      <c r="S31">
        <v>5</v>
      </c>
    </row>
    <row r="32" spans="2:24" x14ac:dyDescent="0.25">
      <c r="B32" t="s">
        <v>262</v>
      </c>
      <c r="C32" s="3" t="s">
        <v>268</v>
      </c>
      <c r="D32" s="3" t="s">
        <v>265</v>
      </c>
      <c r="E32" s="4">
        <f>template_IRP_newest_CP_7reg!I1587/(template_IRP_newest_CP_7reg!I1655*1000000)</f>
        <v>15.862227487006507</v>
      </c>
      <c r="F32" s="4">
        <f>template_IRP_newest_CP_7reg!J1587/(template_IRP_newest_CP_7reg!J1655*1000000)</f>
        <v>16.207416189977739</v>
      </c>
      <c r="G32" s="4">
        <f>template_IRP_newest_CP_7reg!K1587/(template_IRP_newest_CP_7reg!K1655*1000000)</f>
        <v>16.97232928714282</v>
      </c>
      <c r="H32" s="4">
        <f>template_IRP_newest_CP_7reg!L1587/(template_IRP_newest_CP_7reg!L1655*1000000)</f>
        <v>17.840469165673465</v>
      </c>
      <c r="I32" s="4">
        <f>template_IRP_newest_CP_7reg!M1587/(template_IRP_newest_CP_7reg!M1655*1000000)</f>
        <v>18.750213666123781</v>
      </c>
      <c r="J32" s="4">
        <f>template_IRP_newest_CP_7reg!N1587/(template_IRP_newest_CP_7reg!N1655*1000000)</f>
        <v>19.694744579563039</v>
      </c>
      <c r="K32" s="4">
        <f>template_IRP_newest_CP_7reg!O1587/(template_IRP_newest_CP_7reg!O1655*1000000)</f>
        <v>20.673539439759747</v>
      </c>
      <c r="L32" s="4">
        <f>template_IRP_newest_CP_7reg!P1587/(template_IRP_newest_CP_7reg!P1655*1000000)</f>
        <v>21.622133384771256</v>
      </c>
      <c r="M32" s="4">
        <f>template_IRP_newest_CP_7reg!Q1587/(template_IRP_newest_CP_7reg!Q1655*1000000)</f>
        <v>22.476312554603346</v>
      </c>
      <c r="O32" t="str">
        <f>"$=template_IRP_newest_CP_7reg!I"&amp;U32&amp;"/(template_IRP_newest_CP_7reg!I"&amp;V32&amp;"*1000000)"</f>
        <v>$=template_IRP_newest_CP_7reg!I1587/(template_IRP_newest_CP_7reg!I1655*1000000)</v>
      </c>
      <c r="S32">
        <v>6</v>
      </c>
      <c r="U32">
        <f>$O$2+(240*S32)</f>
        <v>1587</v>
      </c>
      <c r="V32">
        <f>$P$2+(240*S32)</f>
        <v>1655</v>
      </c>
      <c r="W32">
        <f>$Q$2+(240*S36)</f>
        <v>1590</v>
      </c>
      <c r="X32">
        <f>$R$2+(240*S36)</f>
        <v>1655</v>
      </c>
    </row>
    <row r="33" spans="1:29" x14ac:dyDescent="0.25">
      <c r="C33" s="3" t="s">
        <v>269</v>
      </c>
      <c r="D33" s="3" t="s">
        <v>265</v>
      </c>
      <c r="E33" s="4">
        <f>template_IRP_newest_CP_7reg!I1588/(template_IRP_newest_CP_7reg!I1656*1000000)</f>
        <v>19.923720886359334</v>
      </c>
      <c r="F33" s="4">
        <f>template_IRP_newest_CP_7reg!J1588/(template_IRP_newest_CP_7reg!J1656*1000000)</f>
        <v>20.717313217777829</v>
      </c>
      <c r="G33" s="4">
        <f>template_IRP_newest_CP_7reg!K1588/(template_IRP_newest_CP_7reg!K1656*1000000)</f>
        <v>21.973433077235324</v>
      </c>
      <c r="H33" s="4">
        <f>template_IRP_newest_CP_7reg!L1588/(template_IRP_newest_CP_7reg!L1656*1000000)</f>
        <v>23.389418570993396</v>
      </c>
      <c r="I33" s="4">
        <f>template_IRP_newest_CP_7reg!M1588/(template_IRP_newest_CP_7reg!M1656*1000000)</f>
        <v>24.865770614516812</v>
      </c>
      <c r="J33" s="4">
        <f>template_IRP_newest_CP_7reg!N1588/(template_IRP_newest_CP_7reg!N1656*1000000)</f>
        <v>26.379828585952922</v>
      </c>
      <c r="K33" s="4">
        <f>template_IRP_newest_CP_7reg!O1588/(template_IRP_newest_CP_7reg!O1656*1000000)</f>
        <v>27.921553591279373</v>
      </c>
      <c r="L33" s="4">
        <f>template_IRP_newest_CP_7reg!P1588/(template_IRP_newest_CP_7reg!P1656*1000000)</f>
        <v>29.349252647854279</v>
      </c>
      <c r="M33" s="4">
        <f>template_IRP_newest_CP_7reg!Q1588/(template_IRP_newest_CP_7reg!Q1656*1000000)</f>
        <v>30.586649761486807</v>
      </c>
      <c r="S33">
        <v>6</v>
      </c>
    </row>
    <row r="34" spans="1:29" x14ac:dyDescent="0.25">
      <c r="C34" s="3" t="s">
        <v>270</v>
      </c>
      <c r="D34" s="3" t="s">
        <v>265</v>
      </c>
      <c r="E34" s="4">
        <f>template_IRP_newest_CP_7reg!I1589/(template_IRP_newest_CP_7reg!I1657*1000000)</f>
        <v>15.786577699454835</v>
      </c>
      <c r="F34" s="4">
        <f>template_IRP_newest_CP_7reg!J1589/(template_IRP_newest_CP_7reg!J1657*1000000)</f>
        <v>16.29421821263962</v>
      </c>
      <c r="G34" s="4">
        <f>template_IRP_newest_CP_7reg!K1589/(template_IRP_newest_CP_7reg!K1657*1000000)</f>
        <v>17.209390461681856</v>
      </c>
      <c r="H34" s="4">
        <f>template_IRP_newest_CP_7reg!L1589/(template_IRP_newest_CP_7reg!L1657*1000000)</f>
        <v>18.257980551925165</v>
      </c>
      <c r="I34" s="4">
        <f>template_IRP_newest_CP_7reg!M1589/(template_IRP_newest_CP_7reg!M1657*1000000)</f>
        <v>19.37012912271646</v>
      </c>
      <c r="J34" s="4">
        <f>template_IRP_newest_CP_7reg!N1589/(template_IRP_newest_CP_7reg!N1657*1000000)</f>
        <v>20.531672990821146</v>
      </c>
      <c r="K34" s="4">
        <f>template_IRP_newest_CP_7reg!O1589/(template_IRP_newest_CP_7reg!O1657*1000000)</f>
        <v>21.737914523418667</v>
      </c>
      <c r="L34" s="4">
        <f>template_IRP_newest_CP_7reg!P1589/(template_IRP_newest_CP_7reg!P1657*1000000)</f>
        <v>22.897292520594323</v>
      </c>
      <c r="M34" s="4">
        <f>template_IRP_newest_CP_7reg!Q1589/(template_IRP_newest_CP_7reg!Q1657*1000000)</f>
        <v>23.933406552838733</v>
      </c>
      <c r="S34">
        <v>6</v>
      </c>
    </row>
    <row r="35" spans="1:29" x14ac:dyDescent="0.25">
      <c r="C35" t="s">
        <v>274</v>
      </c>
      <c r="D35" t="s">
        <v>265</v>
      </c>
      <c r="E35" s="2">
        <f>SUM(template_IRP_newest_CP_7reg!I1587:I1589)/(SUM(template_IRP_newest_CP_7reg!I1655:I1657)*1000000)</f>
        <v>16.878286885858884</v>
      </c>
      <c r="F35" s="2">
        <f>SUM(template_IRP_newest_CP_7reg!J1587:J1589)/(SUM(template_IRP_newest_CP_7reg!J1655:J1657)*1000000)</f>
        <v>17.386132311136755</v>
      </c>
      <c r="G35" s="2">
        <f>SUM(template_IRP_newest_CP_7reg!K1587:K1589)/(SUM(template_IRP_newest_CP_7reg!K1655:K1657)*1000000)</f>
        <v>18.327911145368525</v>
      </c>
      <c r="H35" s="2">
        <f>SUM(template_IRP_newest_CP_7reg!L1587:L1589)/(SUM(template_IRP_newest_CP_7reg!L1655:L1657)*1000000)</f>
        <v>19.398050724990227</v>
      </c>
      <c r="I35" s="2">
        <f>SUM(template_IRP_newest_CP_7reg!M1587:M1589)/(SUM(template_IRP_newest_CP_7reg!M1655:M1657)*1000000)</f>
        <v>20.52425399409384</v>
      </c>
      <c r="J35" s="2">
        <f>SUM(template_IRP_newest_CP_7reg!N1587:N1589)/(SUM(template_IRP_newest_CP_7reg!N1655:N1657)*1000000)</f>
        <v>21.693769861973621</v>
      </c>
      <c r="K35" s="2">
        <f>SUM(template_IRP_newest_CP_7reg!O1587:O1589)/(SUM(template_IRP_newest_CP_7reg!O1655:O1657)*1000000)</f>
        <v>22.902439517731374</v>
      </c>
      <c r="L35" s="2">
        <f>SUM(template_IRP_newest_CP_7reg!P1587:P1589)/(SUM(template_IRP_newest_CP_7reg!P1655:P1657)*1000000)</f>
        <v>24.059010324576139</v>
      </c>
      <c r="M35" s="2">
        <f>SUM(template_IRP_newest_CP_7reg!Q1587:Q1589)/(SUM(template_IRP_newest_CP_7reg!Q1655:Q1657)*1000000)</f>
        <v>25.087711525957232</v>
      </c>
      <c r="O35" t="str">
        <f>"$=SUM(template_IRP_newest_CP_7reg!I" &amp; U32 &amp; ":I" &amp; U32+2 &amp; ")/(SUM(template_IRP_newest_CP_7reg!I" &amp; V32 &amp; ":I" &amp; V32+2 &amp; ")*1000000)"</f>
        <v>$=SUM(template_IRP_newest_CP_7reg!I1587:I1589)/(SUM(template_IRP_newest_CP_7reg!I1655:I1657)*1000000)</v>
      </c>
      <c r="S35">
        <v>6</v>
      </c>
    </row>
    <row r="36" spans="1:29" x14ac:dyDescent="0.25">
      <c r="C36" t="s">
        <v>271</v>
      </c>
      <c r="D36" t="s">
        <v>265</v>
      </c>
      <c r="E36" s="2">
        <f>SUM(template_IRP_newest_CP_7reg!I1590:I1593)/(SUM(template_IRP_newest_CP_7reg!I1655:I1658)*1000000)</f>
        <v>3.6250760028944908</v>
      </c>
      <c r="F36" s="2">
        <f>SUM(template_IRP_newest_CP_7reg!J1590:J1593)/(SUM(template_IRP_newest_CP_7reg!J1655:J1658)*1000000)</f>
        <v>4.4926541608474748</v>
      </c>
      <c r="G36" s="2">
        <f>SUM(template_IRP_newest_CP_7reg!K1590:K1593)/(SUM(template_IRP_newest_CP_7reg!K1655:K1658)*1000000)</f>
        <v>5.4968912251534734</v>
      </c>
      <c r="H36" s="2">
        <f>SUM(template_IRP_newest_CP_7reg!L1590:L1593)/(SUM(template_IRP_newest_CP_7reg!L1655:L1658)*1000000)</f>
        <v>6.4931218581312651</v>
      </c>
      <c r="I36" s="2">
        <f>SUM(template_IRP_newest_CP_7reg!M1590:M1593)/(SUM(template_IRP_newest_CP_7reg!M1655:M1658)*1000000)</f>
        <v>7.4773933459535025</v>
      </c>
      <c r="J36" s="2">
        <f>SUM(template_IRP_newest_CP_7reg!N1590:N1593)/(SUM(template_IRP_newest_CP_7reg!N1655:N1658)*1000000)</f>
        <v>8.4789565828701914</v>
      </c>
      <c r="K36" s="2">
        <f>SUM(template_IRP_newest_CP_7reg!O1590:O1593)/(SUM(template_IRP_newest_CP_7reg!O1655:O1658)*1000000)</f>
        <v>9.4747133870521658</v>
      </c>
      <c r="L36" s="2">
        <f>SUM(template_IRP_newest_CP_7reg!P1590:P1593)/(SUM(template_IRP_newest_CP_7reg!P1655:P1658)*1000000)</f>
        <v>10.520395083135933</v>
      </c>
      <c r="M36" s="2">
        <f>SUM(template_IRP_newest_CP_7reg!Q1590:Q1593)/(SUM(template_IRP_newest_CP_7reg!Q1655:Q1658)*1000000)</f>
        <v>11.497545021055146</v>
      </c>
      <c r="O36" t="str">
        <f>"$=SUM(template_IRP_newest_CP_7reg!I" &amp; W32 &amp; ":I" &amp; W32+3 &amp; ")/(SUM(template_IRP_newest_CP_7reg!I" &amp; X32 &amp; ":I" &amp; X32+3 &amp; ")*1000000)"</f>
        <v>$=SUM(template_IRP_newest_CP_7reg!I1590:I1593)/(SUM(template_IRP_newest_CP_7reg!I1655:I1658)*1000000)</v>
      </c>
      <c r="S36">
        <v>6</v>
      </c>
    </row>
    <row r="37" spans="1:29" x14ac:dyDescent="0.25">
      <c r="B37" t="s">
        <v>263</v>
      </c>
      <c r="C37" s="3" t="s">
        <v>268</v>
      </c>
      <c r="D37" s="3" t="s">
        <v>265</v>
      </c>
      <c r="E37" s="4">
        <f>template_IRP_newest_CP_7reg!I1827/(template_IRP_newest_CP_7reg!I1895*1000000)</f>
        <v>19.63033045449021</v>
      </c>
      <c r="F37" s="4">
        <f>template_IRP_newest_CP_7reg!J1827/(template_IRP_newest_CP_7reg!J1895*1000000)</f>
        <v>19.746881309522777</v>
      </c>
      <c r="G37" s="4">
        <f>template_IRP_newest_CP_7reg!K1827/(template_IRP_newest_CP_7reg!K1895*1000000)</f>
        <v>20.438126550201115</v>
      </c>
      <c r="H37" s="4">
        <f>template_IRP_newest_CP_7reg!L1827/(template_IRP_newest_CP_7reg!L1895*1000000)</f>
        <v>21.216683564373767</v>
      </c>
      <c r="I37" s="4">
        <f>template_IRP_newest_CP_7reg!M1827/(template_IRP_newest_CP_7reg!M1895*1000000)</f>
        <v>22.012658001705336</v>
      </c>
      <c r="J37" s="4">
        <f>template_IRP_newest_CP_7reg!N1827/(template_IRP_newest_CP_7reg!N1895*1000000)</f>
        <v>22.846712128822844</v>
      </c>
      <c r="K37" s="4">
        <f>template_IRP_newest_CP_7reg!O1827/(template_IRP_newest_CP_7reg!O1895*1000000)</f>
        <v>23.737980380502467</v>
      </c>
      <c r="L37" s="4">
        <f>template_IRP_newest_CP_7reg!P1827/(template_IRP_newest_CP_7reg!P1895*1000000)</f>
        <v>24.715380074382523</v>
      </c>
      <c r="M37" s="4">
        <f>template_IRP_newest_CP_7reg!Q1827/(template_IRP_newest_CP_7reg!Q1895*1000000)</f>
        <v>25.691208493562794</v>
      </c>
      <c r="O37" t="str">
        <f>"$=template_IRP_newest_CP_7reg!I"&amp;U37&amp;"/(template_IRP_newest_CP_7reg!I"&amp;V37&amp;"*1000000)"</f>
        <v>$=template_IRP_newest_CP_7reg!I1827/(template_IRP_newest_CP_7reg!I1895*1000000)</v>
      </c>
      <c r="S37">
        <v>7</v>
      </c>
      <c r="U37">
        <f>$O$2+(240*S37)</f>
        <v>1827</v>
      </c>
      <c r="V37">
        <f>$P$2+(240*S37)</f>
        <v>1895</v>
      </c>
      <c r="W37">
        <f>$Q$2+(240*S41)</f>
        <v>1830</v>
      </c>
      <c r="X37">
        <f>$R$2+(240*S41)</f>
        <v>1895</v>
      </c>
    </row>
    <row r="38" spans="1:29" x14ac:dyDescent="0.25">
      <c r="C38" s="3" t="s">
        <v>269</v>
      </c>
      <c r="D38" s="3" t="s">
        <v>265</v>
      </c>
      <c r="E38" s="4">
        <f>template_IRP_newest_CP_7reg!I1828/(template_IRP_newest_CP_7reg!I1896*1000000)</f>
        <v>21.150963560050297</v>
      </c>
      <c r="F38" s="4">
        <f>template_IRP_newest_CP_7reg!J1828/(template_IRP_newest_CP_7reg!J1896*1000000)</f>
        <v>21.431557025545143</v>
      </c>
      <c r="G38" s="4">
        <f>template_IRP_newest_CP_7reg!K1828/(template_IRP_newest_CP_7reg!K1896*1000000)</f>
        <v>22.345615487544364</v>
      </c>
      <c r="H38" s="4">
        <f>template_IRP_newest_CP_7reg!L1828/(template_IRP_newest_CP_7reg!L1896*1000000)</f>
        <v>23.369976488899017</v>
      </c>
      <c r="I38" s="4">
        <f>template_IRP_newest_CP_7reg!M1828/(template_IRP_newest_CP_7reg!M1896*1000000)</f>
        <v>24.418337028158529</v>
      </c>
      <c r="J38" s="4">
        <f>template_IRP_newest_CP_7reg!N1828/(template_IRP_newest_CP_7reg!N1896*1000000)</f>
        <v>25.49800565550802</v>
      </c>
      <c r="K38" s="4">
        <f>template_IRP_newest_CP_7reg!O1828/(template_IRP_newest_CP_7reg!O1896*1000000)</f>
        <v>26.618353363581516</v>
      </c>
      <c r="L38" s="4">
        <f>template_IRP_newest_CP_7reg!P1828/(template_IRP_newest_CP_7reg!P1896*1000000)</f>
        <v>27.769743310729222</v>
      </c>
      <c r="M38" s="4">
        <f>template_IRP_newest_CP_7reg!Q1828/(template_IRP_newest_CP_7reg!Q1896*1000000)</f>
        <v>28.870137949813959</v>
      </c>
      <c r="S38">
        <v>7</v>
      </c>
    </row>
    <row r="39" spans="1:29" x14ac:dyDescent="0.25">
      <c r="C39" s="3" t="s">
        <v>270</v>
      </c>
      <c r="D39" s="3" t="s">
        <v>265</v>
      </c>
      <c r="E39" s="4">
        <f>template_IRP_newest_CP_7reg!I1829/(template_IRP_newest_CP_7reg!I1897*1000000)</f>
        <v>19.290077140984049</v>
      </c>
      <c r="F39" s="4">
        <f>template_IRP_newest_CP_7reg!J1829/(template_IRP_newest_CP_7reg!J1897*1000000)</f>
        <v>19.417389020274324</v>
      </c>
      <c r="G39" s="4">
        <f>template_IRP_newest_CP_7reg!K1829/(template_IRP_newest_CP_7reg!K1897*1000000)</f>
        <v>20.148205185871618</v>
      </c>
      <c r="H39" s="4">
        <f>template_IRP_newest_CP_7reg!L1829/(template_IRP_newest_CP_7reg!L1897*1000000)</f>
        <v>20.965313627920505</v>
      </c>
      <c r="I39" s="4">
        <f>template_IRP_newest_CP_7reg!M1829/(template_IRP_newest_CP_7reg!M1897*1000000)</f>
        <v>21.805219983936407</v>
      </c>
      <c r="J39" s="4">
        <f>template_IRP_newest_CP_7reg!N1829/(template_IRP_newest_CP_7reg!N1897*1000000)</f>
        <v>22.677037361665025</v>
      </c>
      <c r="K39" s="4">
        <f>template_IRP_newest_CP_7reg!O1829/(template_IRP_newest_CP_7reg!O1897*1000000)</f>
        <v>23.594388727500434</v>
      </c>
      <c r="L39" s="4">
        <f>template_IRP_newest_CP_7reg!P1829/(template_IRP_newest_CP_7reg!P1897*1000000)</f>
        <v>24.564095993044635</v>
      </c>
      <c r="M39" s="4">
        <f>template_IRP_newest_CP_7reg!Q1829/(template_IRP_newest_CP_7reg!Q1897*1000000)</f>
        <v>25.510144603271755</v>
      </c>
      <c r="S39">
        <v>7</v>
      </c>
    </row>
    <row r="40" spans="1:29" x14ac:dyDescent="0.25">
      <c r="C40" t="s">
        <v>274</v>
      </c>
      <c r="D40" t="s">
        <v>265</v>
      </c>
      <c r="E40" s="2">
        <f>SUM(template_IRP_newest_CP_7reg!I1827:I1829)/(SUM(template_IRP_newest_CP_7reg!I1895:I1897)*1000000)</f>
        <v>19.993379612390381</v>
      </c>
      <c r="F40" s="2">
        <f>SUM(template_IRP_newest_CP_7reg!J1827:J1829)/(SUM(template_IRP_newest_CP_7reg!J1895:J1897)*1000000)</f>
        <v>20.16278865662693</v>
      </c>
      <c r="G40" s="2">
        <f>SUM(template_IRP_newest_CP_7reg!K1827:K1829)/(SUM(template_IRP_newest_CP_7reg!K1895:K1897)*1000000)</f>
        <v>20.928765493119347</v>
      </c>
      <c r="H40" s="2">
        <f>SUM(template_IRP_newest_CP_7reg!L1827:L1829)/(SUM(template_IRP_newest_CP_7reg!L1895:L1897)*1000000)</f>
        <v>21.790408866673644</v>
      </c>
      <c r="I40" s="2">
        <f>SUM(template_IRP_newest_CP_7reg!M1827:M1829)/(SUM(template_IRP_newest_CP_7reg!M1895:M1897)*1000000)</f>
        <v>22.674253085645432</v>
      </c>
      <c r="J40" s="2">
        <f>SUM(template_IRP_newest_CP_7reg!N1827:N1829)/(SUM(template_IRP_newest_CP_7reg!N1895:N1897)*1000000)</f>
        <v>23.595025617109929</v>
      </c>
      <c r="K40" s="2">
        <f>SUM(template_IRP_newest_CP_7reg!O1827:O1829)/(SUM(template_IRP_newest_CP_7reg!O1895:O1897)*1000000)</f>
        <v>24.56773081134455</v>
      </c>
      <c r="L40" s="2">
        <f>SUM(template_IRP_newest_CP_7reg!P1827:P1829)/(SUM(template_IRP_newest_CP_7reg!P1895:P1897)*1000000)</f>
        <v>25.605626503520568</v>
      </c>
      <c r="M40" s="2">
        <f>SUM(template_IRP_newest_CP_7reg!Q1827:Q1829)/(SUM(template_IRP_newest_CP_7reg!Q1895:Q1897)*1000000)</f>
        <v>26.622663432103867</v>
      </c>
      <c r="O40" t="str">
        <f>"$=SUM(template_IRP_newest_CP_7reg!I" &amp; U37 &amp; ":I" &amp; U37+2 &amp; ")/(SUM(template_IRP_newest_CP_7reg!I" &amp; V37 &amp; ":I" &amp; V37+2 &amp; ")*1000000)"</f>
        <v>$=SUM(template_IRP_newest_CP_7reg!I1827:I1829)/(SUM(template_IRP_newest_CP_7reg!I1895:I1897)*1000000)</v>
      </c>
      <c r="S40">
        <v>7</v>
      </c>
    </row>
    <row r="41" spans="1:29" x14ac:dyDescent="0.25">
      <c r="C41" t="s">
        <v>271</v>
      </c>
      <c r="D41" t="s">
        <v>265</v>
      </c>
      <c r="E41" s="2">
        <f>SUM(template_IRP_newest_CP_7reg!I1830:I1833)/(SUM(template_IRP_newest_CP_7reg!I1895:I1898)*1000000)</f>
        <v>5.0094052337081454</v>
      </c>
      <c r="F41" s="2">
        <f>SUM(template_IRP_newest_CP_7reg!J1830:J1833)/(SUM(template_IRP_newest_CP_7reg!J1895:J1898)*1000000)</f>
        <v>5.5659404997340944</v>
      </c>
      <c r="G41" s="2">
        <f>SUM(template_IRP_newest_CP_7reg!K1830:K1833)/(SUM(template_IRP_newest_CP_7reg!K1895:K1898)*1000000)</f>
        <v>6.2976658674942039</v>
      </c>
      <c r="H41" s="2">
        <f>SUM(template_IRP_newest_CP_7reg!L1830:L1833)/(SUM(template_IRP_newest_CP_7reg!L1895:L1898)*1000000)</f>
        <v>7.0488892906998677</v>
      </c>
      <c r="I41" s="2">
        <f>SUM(template_IRP_newest_CP_7reg!M1830:M1833)/(SUM(template_IRP_newest_CP_7reg!M1895:M1898)*1000000)</f>
        <v>7.8083879363795914</v>
      </c>
      <c r="J41" s="2">
        <f>SUM(template_IRP_newest_CP_7reg!N1830:N1833)/(SUM(template_IRP_newest_CP_7reg!N1895:N1898)*1000000)</f>
        <v>8.5920360576056325</v>
      </c>
      <c r="K41" s="2">
        <f>SUM(template_IRP_newest_CP_7reg!O1830:O1833)/(SUM(template_IRP_newest_CP_7reg!O1895:O1898)*1000000)</f>
        <v>9.3991252146521376</v>
      </c>
      <c r="L41" s="2">
        <f>SUM(template_IRP_newest_CP_7reg!P1830:P1833)/(SUM(template_IRP_newest_CP_7reg!P1895:P1898)*1000000)</f>
        <v>10.291044483559793</v>
      </c>
      <c r="M41" s="2">
        <f>SUM(template_IRP_newest_CP_7reg!Q1830:Q1833)/(SUM(template_IRP_newest_CP_7reg!Q1895:Q1898)*1000000)</f>
        <v>11.159396984514462</v>
      </c>
      <c r="O41" t="str">
        <f>"SUM(template_IRP_newest_CP_7reg!I" &amp; W37 &amp; ":I" &amp; W37+3 &amp; ")/(SUM(template_IRP_newest_CP_7reg!I" &amp; X37 &amp; ":I" &amp; X37+3 &amp; ")*1000000)"</f>
        <v>SUM(template_IRP_newest_CP_7reg!I1830:I1833)/(SUM(template_IRP_newest_CP_7reg!I1895:I1898)*1000000)</v>
      </c>
      <c r="S41">
        <v>7</v>
      </c>
      <c r="AC41" t="s">
        <v>281</v>
      </c>
    </row>
    <row r="42" spans="1:29" x14ac:dyDescent="0.25">
      <c r="A42" t="s">
        <v>285</v>
      </c>
      <c r="B42" t="s">
        <v>7</v>
      </c>
      <c r="C42" t="s">
        <v>274</v>
      </c>
      <c r="D42" s="5" t="s">
        <v>282</v>
      </c>
      <c r="E42" s="2">
        <f>(template_IRP_newest_CP_7reg!F179*1000000000)/SUM(template_IRP_newest_CP_7reg!F147:F149)</f>
        <v>42.345221100824581</v>
      </c>
      <c r="F42" s="2">
        <f>(template_IRP_newest_CP_7reg!G179*1000000000)/SUM(template_IRP_newest_CP_7reg!G147:G149)</f>
        <v>42.578620450050217</v>
      </c>
      <c r="G42" s="2">
        <f>(template_IRP_newest_CP_7reg!H179*1000000000)/SUM(template_IRP_newest_CP_7reg!H147:H149)</f>
        <v>42.792481800589535</v>
      </c>
      <c r="H42" s="2">
        <f>(template_IRP_newest_CP_7reg!I179*1000000000)/SUM(template_IRP_newest_CP_7reg!I147:I149)</f>
        <v>42.99629417338663</v>
      </c>
      <c r="I42" s="2">
        <f>(template_IRP_newest_CP_7reg!J179*1000000000)/SUM(template_IRP_newest_CP_7reg!J147:J149)</f>
        <v>43.160346327890473</v>
      </c>
      <c r="J42" s="2">
        <f>(template_IRP_newest_CP_7reg!K179*1000000000)/SUM(template_IRP_newest_CP_7reg!K147:K149)</f>
        <v>43.339001194194701</v>
      </c>
      <c r="K42" s="2">
        <f>(template_IRP_newest_CP_7reg!L179*1000000000)/SUM(template_IRP_newest_CP_7reg!L147:L149)</f>
        <v>43.51840114432509</v>
      </c>
      <c r="L42" s="2">
        <f>(template_IRP_newest_CP_7reg!M179*1000000000)/SUM(template_IRP_newest_CP_7reg!M147:M149)</f>
        <v>43.691560488693341</v>
      </c>
      <c r="M42" s="2">
        <f>(template_IRP_newest_CP_7reg!N179*1000000000)/SUM(template_IRP_newest_CP_7reg!N147:N149)</f>
        <v>43.853500920510541</v>
      </c>
      <c r="O42" t="str">
        <f>"$=(template_IRP_newest_CP_7reg!F" &amp; U42 &amp; "*1000000000)/SUM(template_IRP_newest_CP_7reg!F" &amp; V42 &amp; ":F" &amp; V42+2 &amp; ")"</f>
        <v>$=(template_IRP_newest_CP_7reg!F189*1000000000)/SUM(template_IRP_newest_CP_7reg!F147:F149)</v>
      </c>
      <c r="S42">
        <v>1</v>
      </c>
      <c r="U42">
        <f>VLOOKUP(O52,Z42:AA47,2,FALSE)</f>
        <v>189</v>
      </c>
      <c r="V42">
        <v>147</v>
      </c>
      <c r="Z42" t="s">
        <v>275</v>
      </c>
      <c r="AA42">
        <v>179</v>
      </c>
      <c r="AC42">
        <v>240</v>
      </c>
    </row>
    <row r="43" spans="1:29" x14ac:dyDescent="0.25">
      <c r="B43" t="s">
        <v>257</v>
      </c>
      <c r="C43" t="s">
        <v>274</v>
      </c>
      <c r="D43" s="5" t="s">
        <v>282</v>
      </c>
      <c r="E43" s="2">
        <f>(template_IRP_newest_CP_7reg!F419*1000000000)/SUM(template_IRP_newest_CP_7reg!F387:F389)</f>
        <v>52.5113116944623</v>
      </c>
      <c r="F43" s="2">
        <f>(template_IRP_newest_CP_7reg!G419*1000000000)/SUM(template_IRP_newest_CP_7reg!G387:G389)</f>
        <v>52.926377319131987</v>
      </c>
      <c r="G43" s="2">
        <f>(template_IRP_newest_CP_7reg!H419*1000000000)/SUM(template_IRP_newest_CP_7reg!H387:H389)</f>
        <v>53.328786497487982</v>
      </c>
      <c r="H43" s="2">
        <f>(template_IRP_newest_CP_7reg!I419*1000000000)/SUM(template_IRP_newest_CP_7reg!I387:I389)</f>
        <v>53.655298381181858</v>
      </c>
      <c r="I43" s="2">
        <f>(template_IRP_newest_CP_7reg!J419*1000000000)/SUM(template_IRP_newest_CP_7reg!J387:J389)</f>
        <v>53.960300371702793</v>
      </c>
      <c r="J43" s="2">
        <f>(template_IRP_newest_CP_7reg!K419*1000000000)/SUM(template_IRP_newest_CP_7reg!K387:K389)</f>
        <v>54.214398980660199</v>
      </c>
      <c r="K43" s="2">
        <f>(template_IRP_newest_CP_7reg!L419*1000000000)/SUM(template_IRP_newest_CP_7reg!L387:L389)</f>
        <v>54.454721569097003</v>
      </c>
      <c r="L43" s="2">
        <f>(template_IRP_newest_CP_7reg!M419*1000000000)/SUM(template_IRP_newest_CP_7reg!M387:M389)</f>
        <v>54.678121732965757</v>
      </c>
      <c r="M43" s="2">
        <f>(template_IRP_newest_CP_7reg!N419*1000000000)/SUM(template_IRP_newest_CP_7reg!N387:N389)</f>
        <v>54.882135493959787</v>
      </c>
      <c r="O43" t="str">
        <f>"$=(template_IRP_newest_CP_7reg!F" &amp; U43 &amp; "*1000000000)/SUM(template_IRP_newest_CP_7reg!F" &amp; V43 &amp; ":F" &amp; V43+2 &amp; ")"</f>
        <v>$=(template_IRP_newest_CP_7reg!F429*1000000000)/SUM(template_IRP_newest_CP_7reg!F387:F389)</v>
      </c>
      <c r="S43">
        <v>2</v>
      </c>
      <c r="U43">
        <f>U42+$AC$42</f>
        <v>429</v>
      </c>
      <c r="V43">
        <f>V42+$AC$42</f>
        <v>387</v>
      </c>
      <c r="Z43" t="s">
        <v>276</v>
      </c>
      <c r="AA43">
        <f>AA42+2</f>
        <v>181</v>
      </c>
    </row>
    <row r="44" spans="1:29" x14ac:dyDescent="0.25">
      <c r="B44" t="s">
        <v>258</v>
      </c>
      <c r="C44" t="s">
        <v>274</v>
      </c>
      <c r="D44" s="5" t="s">
        <v>282</v>
      </c>
      <c r="E44" s="2">
        <f>(template_IRP_newest_CP_7reg!F659*1000000000)/SUM(template_IRP_newest_CP_7reg!F627:F629)</f>
        <v>63.377577576725741</v>
      </c>
      <c r="F44" s="2">
        <f>(template_IRP_newest_CP_7reg!G659*1000000000)/SUM(template_IRP_newest_CP_7reg!G627:G629)</f>
        <v>63.871382255298244</v>
      </c>
      <c r="G44" s="2">
        <f>(template_IRP_newest_CP_7reg!H659*1000000000)/SUM(template_IRP_newest_CP_7reg!H627:H629)</f>
        <v>64.515906905380177</v>
      </c>
      <c r="H44" s="2">
        <f>(template_IRP_newest_CP_7reg!I659*1000000000)/SUM(template_IRP_newest_CP_7reg!I627:I629)</f>
        <v>65.248035450115879</v>
      </c>
      <c r="I44" s="2">
        <f>(template_IRP_newest_CP_7reg!J659*1000000000)/SUM(template_IRP_newest_CP_7reg!J627:J629)</f>
        <v>65.897156056659924</v>
      </c>
      <c r="J44" s="2">
        <f>(template_IRP_newest_CP_7reg!K659*1000000000)/SUM(template_IRP_newest_CP_7reg!K627:K629)</f>
        <v>66.458977244368057</v>
      </c>
      <c r="K44" s="2">
        <f>(template_IRP_newest_CP_7reg!L659*1000000000)/SUM(template_IRP_newest_CP_7reg!L627:L629)</f>
        <v>66.983308612299737</v>
      </c>
      <c r="L44" s="2">
        <f>(template_IRP_newest_CP_7reg!M659*1000000000)/SUM(template_IRP_newest_CP_7reg!M627:M629)</f>
        <v>67.474993144035153</v>
      </c>
      <c r="M44" s="2">
        <f>(template_IRP_newest_CP_7reg!N659*1000000000)/SUM(template_IRP_newest_CP_7reg!N627:N629)</f>
        <v>67.924269681002954</v>
      </c>
      <c r="O44" t="str">
        <f>"$=(template_IRP_newest_CP_7reg!F" &amp; U44 &amp; "*1000000000)/SUM(template_IRP_newest_CP_7reg!F" &amp; V44 &amp; ":F" &amp; V44+2 &amp; ")"</f>
        <v>$=(template_IRP_newest_CP_7reg!F669*1000000000)/SUM(template_IRP_newest_CP_7reg!F627:F629)</v>
      </c>
      <c r="S44">
        <v>3</v>
      </c>
      <c r="U44">
        <f>U43+$AC$42</f>
        <v>669</v>
      </c>
      <c r="V44">
        <f>V43+$AC$42</f>
        <v>627</v>
      </c>
      <c r="Z44" t="s">
        <v>277</v>
      </c>
      <c r="AA44">
        <f>AA43+2</f>
        <v>183</v>
      </c>
    </row>
    <row r="45" spans="1:29" x14ac:dyDescent="0.25">
      <c r="B45" t="s">
        <v>259</v>
      </c>
      <c r="C45" t="s">
        <v>274</v>
      </c>
      <c r="D45" s="5" t="s">
        <v>282</v>
      </c>
      <c r="E45" s="2">
        <f>(template_IRP_newest_CP_7reg!F899*1000000000)/SUM(template_IRP_newest_CP_7reg!F867:F869)</f>
        <v>51.76626112749782</v>
      </c>
      <c r="F45" s="2">
        <f>(template_IRP_newest_CP_7reg!G899*1000000000)/SUM(template_IRP_newest_CP_7reg!G867:G869)</f>
        <v>51.896893044884528</v>
      </c>
      <c r="G45" s="2">
        <f>(template_IRP_newest_CP_7reg!H899*1000000000)/SUM(template_IRP_newest_CP_7reg!H867:H869)</f>
        <v>52.266832396987944</v>
      </c>
      <c r="H45" s="2">
        <f>(template_IRP_newest_CP_7reg!I899*1000000000)/SUM(template_IRP_newest_CP_7reg!I867:I869)</f>
        <v>52.780624458931733</v>
      </c>
      <c r="I45" s="2">
        <f>(template_IRP_newest_CP_7reg!J899*1000000000)/SUM(template_IRP_newest_CP_7reg!J867:J869)</f>
        <v>53.225942160569048</v>
      </c>
      <c r="J45" s="2">
        <f>(template_IRP_newest_CP_7reg!K899*1000000000)/SUM(template_IRP_newest_CP_7reg!K867:K869)</f>
        <v>53.607923718116574</v>
      </c>
      <c r="K45" s="2">
        <f>(template_IRP_newest_CP_7reg!L899*1000000000)/SUM(template_IRP_newest_CP_7reg!L867:L869)</f>
        <v>53.977097039250459</v>
      </c>
      <c r="L45" s="2">
        <f>(template_IRP_newest_CP_7reg!M899*1000000000)/SUM(template_IRP_newest_CP_7reg!M867:M869)</f>
        <v>54.334454420213326</v>
      </c>
      <c r="M45" s="2">
        <f>(template_IRP_newest_CP_7reg!N899*1000000000)/SUM(template_IRP_newest_CP_7reg!N867:N869)</f>
        <v>54.664818452637356</v>
      </c>
      <c r="O45" t="str">
        <f>"$=(template_IRP_newest_CP_7reg!F" &amp; U45 &amp; "*1000000000)/SUM(template_IRP_newest_CP_7reg!F" &amp; V45 &amp; ":F" &amp; V45+2 &amp; ")"</f>
        <v>$=(template_IRP_newest_CP_7reg!F909*1000000000)/SUM(template_IRP_newest_CP_7reg!F867:F869)</v>
      </c>
      <c r="S45">
        <v>4</v>
      </c>
      <c r="U45">
        <f>U44+$AC$42</f>
        <v>909</v>
      </c>
      <c r="V45">
        <f>V44+$AC$42</f>
        <v>867</v>
      </c>
      <c r="Z45" t="s">
        <v>278</v>
      </c>
      <c r="AA45">
        <f t="shared" ref="AA45:AA47" si="0">AA44+2</f>
        <v>185</v>
      </c>
    </row>
    <row r="46" spans="1:29" x14ac:dyDescent="0.25">
      <c r="B46" t="s">
        <v>260</v>
      </c>
      <c r="C46" t="s">
        <v>274</v>
      </c>
      <c r="D46" s="5" t="s">
        <v>282</v>
      </c>
      <c r="E46" s="2">
        <f>(template_IRP_newest_CP_7reg!F1139*1000000000)/SUM(template_IRP_newest_CP_7reg!F1107:F1109)</f>
        <v>47.127222245009612</v>
      </c>
      <c r="F46" s="2">
        <f>(template_IRP_newest_CP_7reg!G1139*1000000000)/SUM(template_IRP_newest_CP_7reg!G1107:G1109)</f>
        <v>47.682024922399663</v>
      </c>
      <c r="G46" s="2">
        <f>(template_IRP_newest_CP_7reg!H1139*1000000000)/SUM(template_IRP_newest_CP_7reg!H1107:H1109)</f>
        <v>48.288250286282853</v>
      </c>
      <c r="H46" s="2">
        <f>(template_IRP_newest_CP_7reg!I1139*1000000000)/SUM(template_IRP_newest_CP_7reg!I1107:I1109)</f>
        <v>48.9343090844744</v>
      </c>
      <c r="I46" s="2">
        <f>(template_IRP_newest_CP_7reg!J1139*1000000000)/SUM(template_IRP_newest_CP_7reg!J1107:J1109)</f>
        <v>49.507242230026094</v>
      </c>
      <c r="J46" s="2">
        <f>(template_IRP_newest_CP_7reg!K1139*1000000000)/SUM(template_IRP_newest_CP_7reg!K1107:K1109)</f>
        <v>50.096023379124553</v>
      </c>
      <c r="K46" s="2">
        <f>(template_IRP_newest_CP_7reg!L1139*1000000000)/SUM(template_IRP_newest_CP_7reg!L1107:L1109)</f>
        <v>50.665941713357157</v>
      </c>
      <c r="L46" s="2">
        <f>(template_IRP_newest_CP_7reg!M1139*1000000000)/SUM(template_IRP_newest_CP_7reg!M1107:M1109)</f>
        <v>51.198932542268764</v>
      </c>
      <c r="M46" s="2">
        <f>(template_IRP_newest_CP_7reg!N1139*1000000000)/SUM(template_IRP_newest_CP_7reg!N1107:N1109)</f>
        <v>51.685449066077226</v>
      </c>
      <c r="O46" t="str">
        <f>"$=(template_IRP_newest_CP_7reg!F" &amp; U46 &amp; "*1000000000)/SUM(template_IRP_newest_CP_7reg!F" &amp; V46 &amp; ":F" &amp; V46+2 &amp; ")"</f>
        <v>$=(template_IRP_newest_CP_7reg!F1149*1000000000)/SUM(template_IRP_newest_CP_7reg!F1107:F1109)</v>
      </c>
      <c r="S46">
        <v>5</v>
      </c>
      <c r="U46">
        <f>U45+$AC$42</f>
        <v>1149</v>
      </c>
      <c r="V46">
        <f>V45+$AC$42</f>
        <v>1107</v>
      </c>
      <c r="Z46" t="s">
        <v>279</v>
      </c>
      <c r="AA46">
        <f>AA45+2</f>
        <v>187</v>
      </c>
    </row>
    <row r="47" spans="1:29" x14ac:dyDescent="0.25">
      <c r="B47" t="s">
        <v>261</v>
      </c>
      <c r="C47" t="s">
        <v>274</v>
      </c>
      <c r="D47" s="5" t="s">
        <v>282</v>
      </c>
      <c r="E47" s="2">
        <f>(template_IRP_newest_CP_7reg!F1379*1000000000)/SUM(template_IRP_newest_CP_7reg!F1347:F1349)</f>
        <v>47.885543306432467</v>
      </c>
      <c r="F47" s="2">
        <f>(template_IRP_newest_CP_7reg!G1379*1000000000)/SUM(template_IRP_newest_CP_7reg!G1347:G1349)</f>
        <v>48.216686899790588</v>
      </c>
      <c r="G47" s="2">
        <f>(template_IRP_newest_CP_7reg!H1379*1000000000)/SUM(template_IRP_newest_CP_7reg!H1347:H1349)</f>
        <v>48.554438144691197</v>
      </c>
      <c r="H47" s="2">
        <f>(template_IRP_newest_CP_7reg!I1379*1000000000)/SUM(template_IRP_newest_CP_7reg!I1347:I1349)</f>
        <v>48.875415307638463</v>
      </c>
      <c r="I47" s="2">
        <f>(template_IRP_newest_CP_7reg!J1379*1000000000)/SUM(template_IRP_newest_CP_7reg!J1347:J1349)</f>
        <v>49.162678375595299</v>
      </c>
      <c r="J47" s="2">
        <f>(template_IRP_newest_CP_7reg!K1379*1000000000)/SUM(template_IRP_newest_CP_7reg!K1347:K1349)</f>
        <v>49.422531573095078</v>
      </c>
      <c r="K47" s="2">
        <f>(template_IRP_newest_CP_7reg!L1379*1000000000)/SUM(template_IRP_newest_CP_7reg!L1347:L1349)</f>
        <v>49.663011993619129</v>
      </c>
      <c r="L47" s="2">
        <f>(template_IRP_newest_CP_7reg!M1379*1000000000)/SUM(template_IRP_newest_CP_7reg!M1347:M1349)</f>
        <v>49.886759811792658</v>
      </c>
      <c r="M47" s="2">
        <f>(template_IRP_newest_CP_7reg!N1379*1000000000)/SUM(template_IRP_newest_CP_7reg!N1347:N1349)</f>
        <v>50.09205275270682</v>
      </c>
      <c r="O47" t="str">
        <f>"$=(template_IRP_newest_CP_7reg!F" &amp; U47 &amp; "*1000000000)/SUM(template_IRP_newest_CP_7reg!F" &amp; V47 &amp; ":F" &amp; V47+2 &amp; ")"</f>
        <v>$=(template_IRP_newest_CP_7reg!F1389*1000000000)/SUM(template_IRP_newest_CP_7reg!F1347:F1349)</v>
      </c>
      <c r="S47">
        <v>6</v>
      </c>
      <c r="U47">
        <f>U46+$AC$42</f>
        <v>1389</v>
      </c>
      <c r="V47">
        <f>V46+$AC$42</f>
        <v>1347</v>
      </c>
      <c r="Z47" t="s">
        <v>280</v>
      </c>
      <c r="AA47">
        <f t="shared" si="0"/>
        <v>189</v>
      </c>
    </row>
    <row r="48" spans="1:29" x14ac:dyDescent="0.25">
      <c r="B48" t="s">
        <v>262</v>
      </c>
      <c r="C48" t="s">
        <v>274</v>
      </c>
      <c r="D48" s="5" t="s">
        <v>282</v>
      </c>
      <c r="E48" s="2">
        <f>(template_IRP_newest_CP_7reg!F1619*1000000000)/SUM(template_IRP_newest_CP_7reg!F1587:F1589)</f>
        <v>48.228879411764815</v>
      </c>
      <c r="F48" s="2">
        <f>(template_IRP_newest_CP_7reg!G1619*1000000000)/SUM(template_IRP_newest_CP_7reg!G1587:G1589)</f>
        <v>48.897591231922654</v>
      </c>
      <c r="G48" s="2">
        <f>(template_IRP_newest_CP_7reg!H1619*1000000000)/SUM(template_IRP_newest_CP_7reg!H1587:H1589)</f>
        <v>49.581687585766673</v>
      </c>
      <c r="H48" s="2">
        <f>(template_IRP_newest_CP_7reg!I1619*1000000000)/SUM(template_IRP_newest_CP_7reg!I1587:I1589)</f>
        <v>50.31024589968581</v>
      </c>
      <c r="I48" s="2">
        <f>(template_IRP_newest_CP_7reg!J1619*1000000000)/SUM(template_IRP_newest_CP_7reg!J1587:J1589)</f>
        <v>50.978349379885884</v>
      </c>
      <c r="J48" s="2">
        <f>(template_IRP_newest_CP_7reg!K1619*1000000000)/SUM(template_IRP_newest_CP_7reg!K1587:K1589)</f>
        <v>51.559549135591311</v>
      </c>
      <c r="K48" s="2">
        <f>(template_IRP_newest_CP_7reg!L1619*1000000000)/SUM(template_IRP_newest_CP_7reg!L1587:L1589)</f>
        <v>52.125639629100696</v>
      </c>
      <c r="L48" s="2">
        <f>(template_IRP_newest_CP_7reg!M1619*1000000000)/SUM(template_IRP_newest_CP_7reg!M1587:M1589)</f>
        <v>52.660102454864656</v>
      </c>
      <c r="M48" s="2">
        <f>(template_IRP_newest_CP_7reg!N1619*1000000000)/SUM(template_IRP_newest_CP_7reg!N1587:N1589)</f>
        <v>53.152045061607168</v>
      </c>
      <c r="O48" t="str">
        <f>"$=(template_IRP_newest_CP_7reg!F" &amp; U48 &amp; "*1000000000)/SUM(template_IRP_newest_CP_7reg!F" &amp; V48 &amp; ":F" &amp; V48+2 &amp; ")"</f>
        <v>$=(template_IRP_newest_CP_7reg!F1629*1000000000)/SUM(template_IRP_newest_CP_7reg!F1587:F1589)</v>
      </c>
      <c r="S48">
        <v>7</v>
      </c>
      <c r="U48">
        <f>U47+$AC$42</f>
        <v>1629</v>
      </c>
      <c r="V48">
        <f>V47+$AC$42</f>
        <v>1587</v>
      </c>
    </row>
    <row r="49" spans="1:25" x14ac:dyDescent="0.25">
      <c r="B49" t="s">
        <v>263</v>
      </c>
      <c r="C49" t="s">
        <v>274</v>
      </c>
      <c r="D49" s="5" t="s">
        <v>282</v>
      </c>
      <c r="E49" s="2">
        <f>(template_IRP_newest_CP_7reg!F1859*1000000000)/SUM(template_IRP_newest_CP_7reg!F1827:F1829)</f>
        <v>50.614689152909669</v>
      </c>
      <c r="F49" s="2">
        <f>(template_IRP_newest_CP_7reg!G1859*1000000000)/SUM(template_IRP_newest_CP_7reg!G1827:G1829)</f>
        <v>51.048292222368694</v>
      </c>
      <c r="G49" s="2">
        <f>(template_IRP_newest_CP_7reg!H1859*1000000000)/SUM(template_IRP_newest_CP_7reg!H1827:H1829)</f>
        <v>51.524343590429531</v>
      </c>
      <c r="H49" s="2">
        <f>(template_IRP_newest_CP_7reg!I1859*1000000000)/SUM(template_IRP_newest_CP_7reg!I1827:I1829)</f>
        <v>52.053048450513032</v>
      </c>
      <c r="I49" s="2">
        <f>(template_IRP_newest_CP_7reg!J1859*1000000000)/SUM(template_IRP_newest_CP_7reg!J1827:J1829)</f>
        <v>52.52472194874715</v>
      </c>
      <c r="J49" s="2">
        <f>(template_IRP_newest_CP_7reg!K1859*1000000000)/SUM(template_IRP_newest_CP_7reg!K1827:K1829)</f>
        <v>52.957146227529329</v>
      </c>
      <c r="K49" s="2">
        <f>(template_IRP_newest_CP_7reg!L1859*1000000000)/SUM(template_IRP_newest_CP_7reg!L1827:L1829)</f>
        <v>53.369011837497112</v>
      </c>
      <c r="L49" s="2">
        <f>(template_IRP_newest_CP_7reg!M1859*1000000000)/SUM(template_IRP_newest_CP_7reg!M1827:M1829)</f>
        <v>53.759934182278556</v>
      </c>
      <c r="M49" s="2">
        <f>(template_IRP_newest_CP_7reg!N1859*1000000000)/SUM(template_IRP_newest_CP_7reg!N1827:N1829)</f>
        <v>54.117817849589706</v>
      </c>
      <c r="O49" t="str">
        <f>"$=(template_IRP_newest_CP_7reg!F" &amp; U49 &amp; "*1000000000)/SUM(template_IRP_newest_CP_7reg!F" &amp; V49 &amp; ":F" &amp; V49+2 &amp; ")"</f>
        <v>$=(template_IRP_newest_CP_7reg!F1869*1000000000)/SUM(template_IRP_newest_CP_7reg!F1827:F1829)</v>
      </c>
      <c r="S49">
        <v>8</v>
      </c>
      <c r="U49">
        <f>U48+$AC$42</f>
        <v>1869</v>
      </c>
      <c r="V49">
        <f>V48+$AC$42</f>
        <v>1827</v>
      </c>
      <c r="X49" t="s">
        <v>283</v>
      </c>
    </row>
    <row r="50" spans="1:25" x14ac:dyDescent="0.25">
      <c r="B50" t="s">
        <v>263</v>
      </c>
      <c r="C50" t="s">
        <v>271</v>
      </c>
      <c r="D50" s="5" t="s">
        <v>282</v>
      </c>
      <c r="E50" s="2">
        <f>(template_IRP_newest_CP_7reg!F1860*1000000000)/SUM(template_IRP_newest_CP_7reg!F1830:F1833)</f>
        <v>85.994533014422245</v>
      </c>
      <c r="F50" s="2">
        <f>(template_IRP_newest_CP_7reg!G1860*1000000000)/SUM(template_IRP_newest_CP_7reg!G1830:G1833)</f>
        <v>86.033591395075618</v>
      </c>
      <c r="G50" s="2">
        <f>(template_IRP_newest_CP_7reg!H1860*1000000000)/SUM(template_IRP_newest_CP_7reg!H1830:H1833)</f>
        <v>86.043047729515592</v>
      </c>
      <c r="H50" s="2">
        <f>(template_IRP_newest_CP_7reg!I1860*1000000000)/SUM(template_IRP_newest_CP_7reg!I1830:I1833)</f>
        <v>86.058494149527633</v>
      </c>
      <c r="I50" s="2">
        <f>(template_IRP_newest_CP_7reg!J1860*1000000000)/SUM(template_IRP_newest_CP_7reg!J1830:J1833)</f>
        <v>86.058807057362856</v>
      </c>
      <c r="J50" s="2">
        <f>(template_IRP_newest_CP_7reg!K1860*1000000000)/SUM(template_IRP_newest_CP_7reg!K1830:K1833)</f>
        <v>86.016076049447918</v>
      </c>
      <c r="K50" s="2">
        <f>(template_IRP_newest_CP_7reg!L1860*1000000000)/SUM(template_IRP_newest_CP_7reg!L1830:L1833)</f>
        <v>85.954977502316595</v>
      </c>
      <c r="L50" s="2">
        <f>(template_IRP_newest_CP_7reg!M1860*1000000000)/SUM(template_IRP_newest_CP_7reg!M1830:M1833)</f>
        <v>85.887305486411663</v>
      </c>
      <c r="M50" s="2">
        <f>(template_IRP_newest_CP_7reg!N1860*1000000000)/SUM(template_IRP_newest_CP_7reg!N1830:N1833)</f>
        <v>85.820220843171541</v>
      </c>
      <c r="O50" t="str">
        <f>"$=(template_IRP_newest_CP_7reg!F" &amp; U50 &amp; "*1000000000)/SUM(template_IRP_newest_CP_7reg!F" &amp; V50 &amp; ":F" &amp; V50+3 &amp; ")"</f>
        <v>$=(template_IRP_newest_CP_7reg!F1870*1000000000)/SUM(template_IRP_newest_CP_7reg!F1830:F1833)</v>
      </c>
      <c r="S50">
        <v>8</v>
      </c>
      <c r="U50">
        <f>U49+1</f>
        <v>1870</v>
      </c>
      <c r="V50">
        <f>U50-(X50-Y50)</f>
        <v>1830</v>
      </c>
      <c r="X50">
        <f>U42+1</f>
        <v>190</v>
      </c>
      <c r="Y50">
        <f>V42+3</f>
        <v>150</v>
      </c>
    </row>
    <row r="51" spans="1:25" x14ac:dyDescent="0.25">
      <c r="A51" t="s">
        <v>286</v>
      </c>
      <c r="B51" t="s">
        <v>7</v>
      </c>
      <c r="C51" t="s">
        <v>274</v>
      </c>
      <c r="D51" s="5" t="s">
        <v>284</v>
      </c>
      <c r="E51" s="2">
        <f>(template_IRP_newest_CP_7reg!F181*1000000000)/SUM(template_IRP_newest_CP_7reg!F147:F149)</f>
        <v>3.1573177616874815</v>
      </c>
      <c r="F51" s="2">
        <f>(template_IRP_newest_CP_7reg!G181*1000000000)/SUM(template_IRP_newest_CP_7reg!G147:G149)</f>
        <v>3.1477250585909982</v>
      </c>
      <c r="G51" s="2">
        <f>(template_IRP_newest_CP_7reg!H181*1000000000)/SUM(template_IRP_newest_CP_7reg!H147:H149)</f>
        <v>3.1391718286528647</v>
      </c>
      <c r="H51" s="2">
        <f>(template_IRP_newest_CP_7reg!I181*1000000000)/SUM(template_IRP_newest_CP_7reg!I147:I149)</f>
        <v>3.1311168190070449</v>
      </c>
      <c r="I51" s="2">
        <f>(template_IRP_newest_CP_7reg!J181*1000000000)/SUM(template_IRP_newest_CP_7reg!J147:J149)</f>
        <v>3.1248356384473528</v>
      </c>
      <c r="J51" s="2">
        <f>(template_IRP_newest_CP_7reg!K181*1000000000)/SUM(template_IRP_newest_CP_7reg!K147:K149)</f>
        <v>3.1177191531421782</v>
      </c>
      <c r="K51" s="2">
        <f>(template_IRP_newest_CP_7reg!L181*1000000000)/SUM(template_IRP_newest_CP_7reg!L147:L149)</f>
        <v>3.1104789889016451</v>
      </c>
      <c r="L51" s="2">
        <f>(template_IRP_newest_CP_7reg!M181*1000000000)/SUM(template_IRP_newest_CP_7reg!M147:M149)</f>
        <v>3.1034585654472626</v>
      </c>
      <c r="M51" s="2">
        <f>(template_IRP_newest_CP_7reg!N181*1000000000)/SUM(template_IRP_newest_CP_7reg!N147:N149)</f>
        <v>3.0968823874354325</v>
      </c>
    </row>
    <row r="52" spans="1:25" x14ac:dyDescent="0.25">
      <c r="B52" t="s">
        <v>257</v>
      </c>
      <c r="C52" t="s">
        <v>274</v>
      </c>
      <c r="D52" s="5" t="s">
        <v>284</v>
      </c>
      <c r="E52" s="2">
        <f>(template_IRP_newest_CP_7reg!F421*1000000000)/SUM(template_IRP_newest_CP_7reg!F387:F389)</f>
        <v>2.5026438812367919</v>
      </c>
      <c r="F52" s="2">
        <f>(template_IRP_newest_CP_7reg!G421*1000000000)/SUM(template_IRP_newest_CP_7reg!G387:G389)</f>
        <v>2.4798793950127247</v>
      </c>
      <c r="G52" s="2">
        <f>(template_IRP_newest_CP_7reg!H421*1000000000)/SUM(template_IRP_newest_CP_7reg!H387:H389)</f>
        <v>2.4623828014633098</v>
      </c>
      <c r="H52" s="2">
        <f>(template_IRP_newest_CP_7reg!I421*1000000000)/SUM(template_IRP_newest_CP_7reg!I387:I389)</f>
        <v>2.4472962386562864</v>
      </c>
      <c r="I52" s="2">
        <f>(template_IRP_newest_CP_7reg!J421*1000000000)/SUM(template_IRP_newest_CP_7reg!J387:J389)</f>
        <v>2.4329819439834415</v>
      </c>
      <c r="J52" s="2">
        <f>(template_IRP_newest_CP_7reg!K421*1000000000)/SUM(template_IRP_newest_CP_7reg!K387:K389)</f>
        <v>2.4205633987387034</v>
      </c>
      <c r="K52" s="2">
        <f>(template_IRP_newest_CP_7reg!L421*1000000000)/SUM(template_IRP_newest_CP_7reg!L387:L389)</f>
        <v>2.4094511263640501</v>
      </c>
      <c r="L52" s="2">
        <f>(template_IRP_newest_CP_7reg!M421*1000000000)/SUM(template_IRP_newest_CP_7reg!M387:M389)</f>
        <v>2.3993180909437464</v>
      </c>
      <c r="M52" s="2">
        <f>(template_IRP_newest_CP_7reg!N421*1000000000)/SUM(template_IRP_newest_CP_7reg!N387:N389)</f>
        <v>2.3900724219522651</v>
      </c>
      <c r="O52" s="6" t="s">
        <v>280</v>
      </c>
    </row>
    <row r="53" spans="1:25" x14ac:dyDescent="0.25">
      <c r="B53" t="s">
        <v>258</v>
      </c>
      <c r="C53" t="s">
        <v>274</v>
      </c>
      <c r="D53" s="5" t="s">
        <v>284</v>
      </c>
      <c r="E53" s="2">
        <f>(template_IRP_newest_CP_7reg!F661*1000000000)/SUM(template_IRP_newest_CP_7reg!F627:F629)</f>
        <v>2.3025097466769076</v>
      </c>
      <c r="F53" s="2">
        <f>(template_IRP_newest_CP_7reg!G661*1000000000)/SUM(template_IRP_newest_CP_7reg!G627:G629)</f>
        <v>2.2919377502500242</v>
      </c>
      <c r="G53" s="2">
        <f>(template_IRP_newest_CP_7reg!H661*1000000000)/SUM(template_IRP_newest_CP_7reg!H627:H629)</f>
        <v>2.2790500833141421</v>
      </c>
      <c r="H53" s="2">
        <f>(template_IRP_newest_CP_7reg!I661*1000000000)/SUM(template_IRP_newest_CP_7reg!I627:I629)</f>
        <v>2.2643027810094578</v>
      </c>
      <c r="I53" s="2">
        <f>(template_IRP_newest_CP_7reg!J661*1000000000)/SUM(template_IRP_newest_CP_7reg!J627:J629)</f>
        <v>2.2499139942743587</v>
      </c>
      <c r="J53" s="2">
        <f>(template_IRP_newest_CP_7reg!K661*1000000000)/SUM(template_IRP_newest_CP_7reg!K627:K629)</f>
        <v>2.2385132613341474</v>
      </c>
      <c r="K53" s="2">
        <f>(template_IRP_newest_CP_7reg!L661*1000000000)/SUM(template_IRP_newest_CP_7reg!L627:L629)</f>
        <v>2.2267218422648019</v>
      </c>
      <c r="L53" s="2">
        <f>(template_IRP_newest_CP_7reg!M661*1000000000)/SUM(template_IRP_newest_CP_7reg!M627:M629)</f>
        <v>2.2148366606930492</v>
      </c>
      <c r="M53" s="2">
        <f>(template_IRP_newest_CP_7reg!N661*1000000000)/SUM(template_IRP_newest_CP_7reg!N627:N629)</f>
        <v>2.2033168792052926</v>
      </c>
    </row>
    <row r="54" spans="1:25" x14ac:dyDescent="0.25">
      <c r="B54" t="s">
        <v>259</v>
      </c>
      <c r="C54" t="s">
        <v>274</v>
      </c>
      <c r="D54" s="5" t="s">
        <v>284</v>
      </c>
      <c r="E54" s="2">
        <f>(template_IRP_newest_CP_7reg!F901*1000000000)/SUM(template_IRP_newest_CP_7reg!F867:F869)</f>
        <v>2.601884008813466</v>
      </c>
      <c r="F54" s="2">
        <f>(template_IRP_newest_CP_7reg!G901*1000000000)/SUM(template_IRP_newest_CP_7reg!G867:G869)</f>
        <v>2.5959632349695951</v>
      </c>
      <c r="G54" s="2">
        <f>(template_IRP_newest_CP_7reg!H901*1000000000)/SUM(template_IRP_newest_CP_7reg!H867:H869)</f>
        <v>2.5791960719844416</v>
      </c>
      <c r="H54" s="2">
        <f>(template_IRP_newest_CP_7reg!I901*1000000000)/SUM(template_IRP_newest_CP_7reg!I867:I869)</f>
        <v>2.5559089140999802</v>
      </c>
      <c r="I54" s="2">
        <f>(template_IRP_newest_CP_7reg!J901*1000000000)/SUM(template_IRP_newest_CP_7reg!J867:J869)</f>
        <v>2.5357252947401046</v>
      </c>
      <c r="J54" s="2">
        <f>(template_IRP_newest_CP_7reg!K901*1000000000)/SUM(template_IRP_newest_CP_7reg!K867:K869)</f>
        <v>2.5184123286807889</v>
      </c>
      <c r="K54" s="2">
        <f>(template_IRP_newest_CP_7reg!L901*1000000000)/SUM(template_IRP_newest_CP_7reg!L867:L869)</f>
        <v>2.5016798845498442</v>
      </c>
      <c r="L54" s="2">
        <f>(template_IRP_newest_CP_7reg!M901*1000000000)/SUM(template_IRP_newest_CP_7reg!M867:M869)</f>
        <v>2.4854829863598176</v>
      </c>
      <c r="M54" s="2">
        <f>(template_IRP_newest_CP_7reg!N901*1000000000)/SUM(template_IRP_newest_CP_7reg!N867:N869)</f>
        <v>2.4705095383674904</v>
      </c>
    </row>
    <row r="55" spans="1:25" x14ac:dyDescent="0.25">
      <c r="B55" t="s">
        <v>260</v>
      </c>
      <c r="C55" t="s">
        <v>274</v>
      </c>
      <c r="D55" s="5" t="s">
        <v>284</v>
      </c>
      <c r="E55" s="2">
        <f>(template_IRP_newest_CP_7reg!F1141*1000000000)/SUM(template_IRP_newest_CP_7reg!F1107:F1109)</f>
        <v>2.8013482182440543</v>
      </c>
      <c r="F55" s="2">
        <f>(template_IRP_newest_CP_7reg!G1141*1000000000)/SUM(template_IRP_newest_CP_7reg!G1107:G1109)</f>
        <v>2.77554627011251</v>
      </c>
      <c r="G55" s="2">
        <f>(template_IRP_newest_CP_7reg!H1141*1000000000)/SUM(template_IRP_newest_CP_7reg!H1107:H1109)</f>
        <v>2.7474706910526887</v>
      </c>
      <c r="H55" s="2">
        <f>(template_IRP_newest_CP_7reg!I1141*1000000000)/SUM(template_IRP_newest_CP_7reg!I1107:I1109)</f>
        <v>2.7175216157405591</v>
      </c>
      <c r="I55" s="2">
        <f>(template_IRP_newest_CP_7reg!J1141*1000000000)/SUM(template_IRP_newest_CP_7reg!J1107:J1109)</f>
        <v>2.6914201322976052</v>
      </c>
      <c r="J55" s="2">
        <f>(template_IRP_newest_CP_7reg!K1141*1000000000)/SUM(template_IRP_newest_CP_7reg!K1107:K1109)</f>
        <v>2.6638895278655741</v>
      </c>
      <c r="K55" s="2">
        <f>(template_IRP_newest_CP_7reg!L1141*1000000000)/SUM(template_IRP_newest_CP_7reg!L1107:L1109)</f>
        <v>2.6371744633938468</v>
      </c>
      <c r="L55" s="2">
        <f>(template_IRP_newest_CP_7reg!M1141*1000000000)/SUM(template_IRP_newest_CP_7reg!M1107:M1109)</f>
        <v>2.612168981414619</v>
      </c>
      <c r="M55" s="2">
        <f>(template_IRP_newest_CP_7reg!N1141*1000000000)/SUM(template_IRP_newest_CP_7reg!N1107:N1109)</f>
        <v>2.5893452718815344</v>
      </c>
    </row>
    <row r="56" spans="1:25" x14ac:dyDescent="0.25">
      <c r="B56" t="s">
        <v>261</v>
      </c>
      <c r="C56" t="s">
        <v>274</v>
      </c>
      <c r="D56" s="5" t="s">
        <v>284</v>
      </c>
      <c r="E56" s="2">
        <f>(template_IRP_newest_CP_7reg!F1381*1000000000)/SUM(template_IRP_newest_CP_7reg!F1347:F1349)</f>
        <v>2.7887624695422257</v>
      </c>
      <c r="F56" s="2">
        <f>(template_IRP_newest_CP_7reg!G1381*1000000000)/SUM(template_IRP_newest_CP_7reg!G1347:G1349)</f>
        <v>2.7741638876795274</v>
      </c>
      <c r="G56" s="2">
        <f>(template_IRP_newest_CP_7reg!H1381*1000000000)/SUM(template_IRP_newest_CP_7reg!H1347:H1349)</f>
        <v>2.7592740043214792</v>
      </c>
      <c r="H56" s="2">
        <f>(template_IRP_newest_CP_7reg!I1381*1000000000)/SUM(template_IRP_newest_CP_7reg!I1347:I1349)</f>
        <v>2.7451236146927611</v>
      </c>
      <c r="I56" s="2">
        <f>(template_IRP_newest_CP_7reg!J1381*1000000000)/SUM(template_IRP_newest_CP_7reg!J1347:J1349)</f>
        <v>2.7324595196031503</v>
      </c>
      <c r="J56" s="2">
        <f>(template_IRP_newest_CP_7reg!K1381*1000000000)/SUM(template_IRP_newest_CP_7reg!K1347:K1349)</f>
        <v>2.7210038003812413</v>
      </c>
      <c r="K56" s="2">
        <f>(template_IRP_newest_CP_7reg!L1381*1000000000)/SUM(template_IRP_newest_CP_7reg!L1347:L1349)</f>
        <v>2.7104021370443561</v>
      </c>
      <c r="L56" s="2">
        <f>(template_IRP_newest_CP_7reg!M1381*1000000000)/SUM(template_IRP_newest_CP_7reg!M1347:M1349)</f>
        <v>2.7005381345194559</v>
      </c>
      <c r="M56" s="2">
        <f>(template_IRP_newest_CP_7reg!N1381*1000000000)/SUM(template_IRP_newest_CP_7reg!N1347:N1349)</f>
        <v>2.6914877235515462</v>
      </c>
    </row>
    <row r="57" spans="1:25" x14ac:dyDescent="0.25">
      <c r="B57" t="s">
        <v>262</v>
      </c>
      <c r="C57" t="s">
        <v>274</v>
      </c>
      <c r="D57" s="5" t="s">
        <v>284</v>
      </c>
      <c r="E57" s="2">
        <f>(template_IRP_newest_CP_7reg!F1621*1000000000)/SUM(template_IRP_newest_CP_7reg!F1587:F1589)</f>
        <v>2.7344705353811785</v>
      </c>
      <c r="F57" s="2">
        <f>(template_IRP_newest_CP_7reg!G1621*1000000000)/SUM(template_IRP_newest_CP_7reg!G1587:G1589)</f>
        <v>2.7002717100209459</v>
      </c>
      <c r="G57" s="2">
        <f>(template_IRP_newest_CP_7reg!H1621*1000000000)/SUM(template_IRP_newest_CP_7reg!H1587:H1589)</f>
        <v>2.6642647411101894</v>
      </c>
      <c r="H57" s="2">
        <f>(template_IRP_newest_CP_7reg!I1621*1000000000)/SUM(template_IRP_newest_CP_7reg!I1587:I1589)</f>
        <v>2.6256770634071578</v>
      </c>
      <c r="I57" s="2">
        <f>(template_IRP_newest_CP_7reg!J1621*1000000000)/SUM(template_IRP_newest_CP_7reg!J1587:J1589)</f>
        <v>2.5897420849177504</v>
      </c>
      <c r="J57" s="2">
        <f>(template_IRP_newest_CP_7reg!K1621*1000000000)/SUM(template_IRP_newest_CP_7reg!K1587:K1589)</f>
        <v>2.558399028132972</v>
      </c>
      <c r="K57" s="2">
        <f>(template_IRP_newest_CP_7reg!L1621*1000000000)/SUM(template_IRP_newest_CP_7reg!L1587:L1589)</f>
        <v>2.5282783158261326</v>
      </c>
      <c r="L57" s="2">
        <f>(template_IRP_newest_CP_7reg!M1621*1000000000)/SUM(template_IRP_newest_CP_7reg!M1587:M1589)</f>
        <v>2.4995426634739912</v>
      </c>
      <c r="M57" s="2">
        <f>(template_IRP_newest_CP_7reg!N1621*1000000000)/SUM(template_IRP_newest_CP_7reg!N1587:N1589)</f>
        <v>2.4726821637909451</v>
      </c>
    </row>
    <row r="58" spans="1:25" x14ac:dyDescent="0.25">
      <c r="B58" t="s">
        <v>263</v>
      </c>
      <c r="C58" t="s">
        <v>274</v>
      </c>
      <c r="D58" s="5" t="s">
        <v>284</v>
      </c>
      <c r="E58" s="2">
        <f>(template_IRP_newest_CP_7reg!F1861*1000000000)/SUM(template_IRP_newest_CP_7reg!F1827:F1829)</f>
        <v>2.6965878222303945</v>
      </c>
      <c r="F58" s="2">
        <f>(template_IRP_newest_CP_7reg!G1861*1000000000)/SUM(template_IRP_newest_CP_7reg!G1827:G1829)</f>
        <v>2.6738368852987069</v>
      </c>
      <c r="G58" s="2">
        <f>(template_IRP_newest_CP_7reg!H1861*1000000000)/SUM(template_IRP_newest_CP_7reg!H1827:H1829)</f>
        <v>2.6510283308707319</v>
      </c>
      <c r="H58" s="2">
        <f>(template_IRP_newest_CP_7reg!I1861*1000000000)/SUM(template_IRP_newest_CP_7reg!I1827:I1829)</f>
        <v>2.6260497339513726</v>
      </c>
      <c r="I58" s="2">
        <f>(template_IRP_newest_CP_7reg!J1861*1000000000)/SUM(template_IRP_newest_CP_7reg!J1827:J1829)</f>
        <v>2.6029826305078734</v>
      </c>
      <c r="J58" s="2">
        <f>(template_IRP_newest_CP_7reg!K1861*1000000000)/SUM(template_IRP_newest_CP_7reg!K1827:K1829)</f>
        <v>2.5810571298705915</v>
      </c>
      <c r="K58" s="2">
        <f>(template_IRP_newest_CP_7reg!L1861*1000000000)/SUM(template_IRP_newest_CP_7reg!L1827:L1829)</f>
        <v>2.5597772666887035</v>
      </c>
      <c r="L58" s="2">
        <f>(template_IRP_newest_CP_7reg!M1861*1000000000)/SUM(template_IRP_newest_CP_7reg!M1827:M1829)</f>
        <v>2.5392444657918807</v>
      </c>
      <c r="M58" s="2">
        <f>(template_IRP_newest_CP_7reg!N1861*1000000000)/SUM(template_IRP_newest_CP_7reg!N1827:N1829)</f>
        <v>2.5199947039655126</v>
      </c>
    </row>
    <row r="59" spans="1:25" x14ac:dyDescent="0.25">
      <c r="B59" t="s">
        <v>263</v>
      </c>
      <c r="C59" t="s">
        <v>271</v>
      </c>
      <c r="D59" s="5" t="s">
        <v>284</v>
      </c>
      <c r="E59" s="2">
        <f>(template_IRP_newest_CP_7reg!F1862*1000000000)/SUM(template_IRP_newest_CP_7reg!F1830:F1833)</f>
        <v>4.9991665764665099</v>
      </c>
      <c r="F59" s="2">
        <f>(template_IRP_newest_CP_7reg!G1862*1000000000)/SUM(template_IRP_newest_CP_7reg!G1830:G1833)</f>
        <v>5.013308039268523</v>
      </c>
      <c r="G59" s="2">
        <f>(template_IRP_newest_CP_7reg!H1862*1000000000)/SUM(template_IRP_newest_CP_7reg!H1830:H1833)</f>
        <v>5.0174240667904586</v>
      </c>
      <c r="H59" s="2">
        <f>(template_IRP_newest_CP_7reg!I1862*1000000000)/SUM(template_IRP_newest_CP_7reg!I1830:I1833)</f>
        <v>5.0126871290890929</v>
      </c>
      <c r="I59" s="2">
        <f>(template_IRP_newest_CP_7reg!J1862*1000000000)/SUM(template_IRP_newest_CP_7reg!J1830:J1833)</f>
        <v>4.9913658143956612</v>
      </c>
      <c r="J59" s="2">
        <f>(template_IRP_newest_CP_7reg!K1862*1000000000)/SUM(template_IRP_newest_CP_7reg!K1830:K1833)</f>
        <v>4.9540749305243104</v>
      </c>
      <c r="K59" s="2">
        <f>(template_IRP_newest_CP_7reg!L1862*1000000000)/SUM(template_IRP_newest_CP_7reg!L1830:L1833)</f>
        <v>4.9157316574995633</v>
      </c>
      <c r="L59" s="2">
        <f>(template_IRP_newest_CP_7reg!M1862*1000000000)/SUM(template_IRP_newest_CP_7reg!M1830:M1833)</f>
        <v>4.8806695311057098</v>
      </c>
      <c r="M59" s="2">
        <f>(template_IRP_newest_CP_7reg!N1862*1000000000)/SUM(template_IRP_newest_CP_7reg!N1830:N1833)</f>
        <v>4.8488568732239692</v>
      </c>
    </row>
    <row r="60" spans="1:25" x14ac:dyDescent="0.25">
      <c r="A60" t="s">
        <v>287</v>
      </c>
      <c r="B60" t="s">
        <v>7</v>
      </c>
      <c r="C60" t="s">
        <v>274</v>
      </c>
      <c r="D60" s="5" t="s">
        <v>290</v>
      </c>
      <c r="E60" s="2">
        <f>(template_IRP_newest_CP_7reg!F183*1000000000)/SUM(template_IRP_newest_CP_7reg!F147:F149)</f>
        <v>1.4114604667366797</v>
      </c>
      <c r="F60" s="2">
        <f>(template_IRP_newest_CP_7reg!G183*1000000000)/SUM(template_IRP_newest_CP_7reg!G147:G149)</f>
        <v>1.4039018244266517</v>
      </c>
      <c r="G60" s="2">
        <f>(template_IRP_newest_CP_7reg!H183*1000000000)/SUM(template_IRP_newest_CP_7reg!H147:H149)</f>
        <v>1.3970932757626044</v>
      </c>
      <c r="H60" s="2">
        <f>(template_IRP_newest_CP_7reg!I183*1000000000)/SUM(template_IRP_newest_CP_7reg!I147:I149)</f>
        <v>1.3906521199404829</v>
      </c>
      <c r="I60" s="2">
        <f>(template_IRP_newest_CP_7reg!J183*1000000000)/SUM(template_IRP_newest_CP_7reg!J147:J149)</f>
        <v>1.3855698930205449</v>
      </c>
      <c r="J60" s="2">
        <f>(template_IRP_newest_CP_7reg!K183*1000000000)/SUM(template_IRP_newest_CP_7reg!K147:K149)</f>
        <v>1.379896084324612</v>
      </c>
      <c r="K60" s="2">
        <f>(template_IRP_newest_CP_7reg!L183*1000000000)/SUM(template_IRP_newest_CP_7reg!L147:L149)</f>
        <v>1.3741509353399342</v>
      </c>
      <c r="L60" s="2">
        <f>(template_IRP_newest_CP_7reg!M183*1000000000)/SUM(template_IRP_newest_CP_7reg!M147:M149)</f>
        <v>1.368589209940096</v>
      </c>
      <c r="M60" s="2">
        <f>(template_IRP_newest_CP_7reg!N183*1000000000)/SUM(template_IRP_newest_CP_7reg!N147:N149)</f>
        <v>1.3633823757024746</v>
      </c>
    </row>
    <row r="61" spans="1:25" x14ac:dyDescent="0.25">
      <c r="B61" t="s">
        <v>257</v>
      </c>
      <c r="C61" t="s">
        <v>274</v>
      </c>
      <c r="D61" s="5" t="s">
        <v>290</v>
      </c>
      <c r="E61" s="2">
        <f>(template_IRP_newest_CP_7reg!F423*1000000000)/SUM(template_IRP_newest_CP_7reg!F387:F389)</f>
        <v>0.96660830038210133</v>
      </c>
      <c r="F61" s="2">
        <f>(template_IRP_newest_CP_7reg!G423*1000000000)/SUM(template_IRP_newest_CP_7reg!G387:G389)</f>
        <v>0.95042032980050728</v>
      </c>
      <c r="G61" s="2">
        <f>(template_IRP_newest_CP_7reg!H423*1000000000)/SUM(template_IRP_newest_CP_7reg!H387:H389)</f>
        <v>0.93692437990635524</v>
      </c>
      <c r="H61" s="2">
        <f>(template_IRP_newest_CP_7reg!I423*1000000000)/SUM(template_IRP_newest_CP_7reg!I387:I389)</f>
        <v>0.9255346341120364</v>
      </c>
      <c r="I61" s="2">
        <f>(template_IRP_newest_CP_7reg!J423*1000000000)/SUM(template_IRP_newest_CP_7reg!J387:J389)</f>
        <v>0.91480188567393894</v>
      </c>
      <c r="J61" s="2">
        <f>(template_IRP_newest_CP_7reg!K423*1000000000)/SUM(template_IRP_newest_CP_7reg!K387:K389)</f>
        <v>0.90560957660236019</v>
      </c>
      <c r="K61" s="2">
        <f>(template_IRP_newest_CP_7reg!L423*1000000000)/SUM(template_IRP_newest_CP_7reg!L387:L389)</f>
        <v>0.89722449617468447</v>
      </c>
      <c r="L61" s="2">
        <f>(template_IRP_newest_CP_7reg!M423*1000000000)/SUM(template_IRP_newest_CP_7reg!M387:M389)</f>
        <v>0.88952692375439013</v>
      </c>
      <c r="M61" s="2">
        <f>(template_IRP_newest_CP_7reg!N423*1000000000)/SUM(template_IRP_newest_CP_7reg!N387:N389)</f>
        <v>0.88250198021666404</v>
      </c>
    </row>
    <row r="62" spans="1:25" x14ac:dyDescent="0.25">
      <c r="B62" t="s">
        <v>258</v>
      </c>
      <c r="C62" t="s">
        <v>274</v>
      </c>
      <c r="D62" s="5" t="s">
        <v>290</v>
      </c>
      <c r="E62" s="2">
        <f>(template_IRP_newest_CP_7reg!F663*1000000000)/SUM(template_IRP_newest_CP_7reg!F627:F629)</f>
        <v>0.74104364467770045</v>
      </c>
      <c r="F62" s="2">
        <f>(template_IRP_newest_CP_7reg!G663*1000000000)/SUM(template_IRP_newest_CP_7reg!G627:G629)</f>
        <v>0.72996870989655349</v>
      </c>
      <c r="G62" s="2">
        <f>(template_IRP_newest_CP_7reg!H663*1000000000)/SUM(template_IRP_newest_CP_7reg!H627:H629)</f>
        <v>0.71592041394015016</v>
      </c>
      <c r="H62" s="2">
        <f>(template_IRP_newest_CP_7reg!I663*1000000000)/SUM(template_IRP_newest_CP_7reg!I627:I629)</f>
        <v>0.69992999624915575</v>
      </c>
      <c r="I62" s="2">
        <f>(template_IRP_newest_CP_7reg!J663*1000000000)/SUM(template_IRP_newest_CP_7reg!J627:J629)</f>
        <v>0.68513019417277599</v>
      </c>
      <c r="J62" s="2">
        <f>(template_IRP_newest_CP_7reg!K663*1000000000)/SUM(template_IRP_newest_CP_7reg!K627:K629)</f>
        <v>0.67280465640603104</v>
      </c>
      <c r="K62" s="2">
        <f>(template_IRP_newest_CP_7reg!L663*1000000000)/SUM(template_IRP_newest_CP_7reg!L627:L629)</f>
        <v>0.66075848174747887</v>
      </c>
      <c r="L62" s="2">
        <f>(template_IRP_newest_CP_7reg!M663*1000000000)/SUM(template_IRP_newest_CP_7reg!M627:M629)</f>
        <v>0.64907252084272782</v>
      </c>
      <c r="M62" s="2">
        <f>(template_IRP_newest_CP_7reg!N663*1000000000)/SUM(template_IRP_newest_CP_7reg!N627:N629)</f>
        <v>0.63808270350002283</v>
      </c>
    </row>
    <row r="63" spans="1:25" x14ac:dyDescent="0.25">
      <c r="B63" t="s">
        <v>259</v>
      </c>
      <c r="C63" t="s">
        <v>274</v>
      </c>
      <c r="D63" s="5" t="s">
        <v>290</v>
      </c>
      <c r="E63" s="2">
        <f>(template_IRP_newest_CP_7reg!F903*1000000000)/SUM(template_IRP_newest_CP_7reg!F867:F869)</f>
        <v>1.0231767754156336</v>
      </c>
      <c r="F63" s="2">
        <f>(template_IRP_newest_CP_7reg!G903*1000000000)/SUM(template_IRP_newest_CP_7reg!G867:G869)</f>
        <v>1.0186701461332941</v>
      </c>
      <c r="G63" s="2">
        <f>(template_IRP_newest_CP_7reg!H903*1000000000)/SUM(template_IRP_newest_CP_7reg!H867:H869)</f>
        <v>1.0059077264310412</v>
      </c>
      <c r="H63" s="2">
        <f>(template_IRP_newest_CP_7reg!I903*1000000000)/SUM(template_IRP_newest_CP_7reg!I867:I869)</f>
        <v>0.98818257760557948</v>
      </c>
      <c r="I63" s="2">
        <f>(template_IRP_newest_CP_7reg!J903*1000000000)/SUM(template_IRP_newest_CP_7reg!J867:J869)</f>
        <v>0.97281970417326857</v>
      </c>
      <c r="J63" s="2">
        <f>(template_IRP_newest_CP_7reg!K903*1000000000)/SUM(template_IRP_newest_CP_7reg!K867:K869)</f>
        <v>0.95964184406362207</v>
      </c>
      <c r="K63" s="2">
        <f>(template_IRP_newest_CP_7reg!L903*1000000000)/SUM(template_IRP_newest_CP_7reg!L867:L869)</f>
        <v>0.94690585152639217</v>
      </c>
      <c r="L63" s="2">
        <f>(template_IRP_newest_CP_7reg!M903*1000000000)/SUM(template_IRP_newest_CP_7reg!M867:M869)</f>
        <v>0.93457749281379743</v>
      </c>
      <c r="M63" s="2">
        <f>(template_IRP_newest_CP_7reg!N903*1000000000)/SUM(template_IRP_newest_CP_7reg!N867:N869)</f>
        <v>0.92318036933268632</v>
      </c>
    </row>
    <row r="64" spans="1:25" x14ac:dyDescent="0.25">
      <c r="B64" t="s">
        <v>260</v>
      </c>
      <c r="C64" t="s">
        <v>274</v>
      </c>
      <c r="D64" s="5" t="s">
        <v>290</v>
      </c>
      <c r="E64" s="2">
        <f>(template_IRP_newest_CP_7reg!F1143*1000000000)/SUM(template_IRP_newest_CP_7reg!F1107:F1109)</f>
        <v>1.177234304029245</v>
      </c>
      <c r="F64" s="2">
        <f>(template_IRP_newest_CP_7reg!G1143*1000000000)/SUM(template_IRP_newest_CP_7reg!G1107:G1109)</f>
        <v>1.1577329580303759</v>
      </c>
      <c r="G64" s="2">
        <f>(template_IRP_newest_CP_7reg!H1143*1000000000)/SUM(template_IRP_newest_CP_7reg!H1107:H1109)</f>
        <v>1.1365024428583563</v>
      </c>
      <c r="H64" s="2">
        <f>(template_IRP_newest_CP_7reg!I1143*1000000000)/SUM(template_IRP_newest_CP_7reg!I1107:I1109)</f>
        <v>1.1138540826592016</v>
      </c>
      <c r="I64" s="2">
        <f>(template_IRP_newest_CP_7reg!J1143*1000000000)/SUM(template_IRP_newest_CP_7reg!J1107:J1109)</f>
        <v>1.0940468280476683</v>
      </c>
      <c r="J64" s="2">
        <f>(template_IRP_newest_CP_7reg!K1143*1000000000)/SUM(template_IRP_newest_CP_7reg!K1107:K1109)</f>
        <v>1.0732723711451566</v>
      </c>
      <c r="K64" s="2">
        <f>(template_IRP_newest_CP_7reg!L1143*1000000000)/SUM(template_IRP_newest_CP_7reg!L1107:L1109)</f>
        <v>1.0531232571537643</v>
      </c>
      <c r="L64" s="2">
        <f>(template_IRP_newest_CP_7reg!M1143*1000000000)/SUM(template_IRP_newest_CP_7reg!M1107:M1109)</f>
        <v>1.0342670085364578</v>
      </c>
      <c r="M64" s="2">
        <f>(template_IRP_newest_CP_7reg!N1143*1000000000)/SUM(template_IRP_newest_CP_7reg!N1107:N1109)</f>
        <v>1.0170552788576028</v>
      </c>
    </row>
    <row r="65" spans="1:13" x14ac:dyDescent="0.25">
      <c r="B65" t="s">
        <v>261</v>
      </c>
      <c r="C65" t="s">
        <v>274</v>
      </c>
      <c r="D65" s="5" t="s">
        <v>290</v>
      </c>
      <c r="E65" s="2">
        <f>(template_IRP_newest_CP_7reg!F1383*1000000000)/SUM(template_IRP_newest_CP_7reg!F1347:F1349)</f>
        <v>1.1620708677979417</v>
      </c>
      <c r="F65" s="2">
        <f>(template_IRP_newest_CP_7reg!G1383*1000000000)/SUM(template_IRP_newest_CP_7reg!G1347:G1349)</f>
        <v>1.1508340395022554</v>
      </c>
      <c r="G65" s="2">
        <f>(template_IRP_newest_CP_7reg!H1383*1000000000)/SUM(template_IRP_newest_CP_7reg!H1347:H1349)</f>
        <v>1.1393729914205124</v>
      </c>
      <c r="H65" s="2">
        <f>(template_IRP_newest_CP_7reg!I1383*1000000000)/SUM(template_IRP_newest_CP_7reg!I1347:I1349)</f>
        <v>1.1284811460247492</v>
      </c>
      <c r="I65" s="2">
        <f>(template_IRP_newest_CP_7reg!J1383*1000000000)/SUM(template_IRP_newest_CP_7reg!J1347:J1349)</f>
        <v>1.1187333328246314</v>
      </c>
      <c r="J65" s="2">
        <f>(template_IRP_newest_CP_7reg!K1383*1000000000)/SUM(template_IRP_newest_CP_7reg!K1347:K1349)</f>
        <v>1.1099156303552973</v>
      </c>
      <c r="K65" s="2">
        <f>(template_IRP_newest_CP_7reg!L1383*1000000000)/SUM(template_IRP_newest_CP_7reg!L1347:L1349)</f>
        <v>1.1017553123497605</v>
      </c>
      <c r="L65" s="2">
        <f>(template_IRP_newest_CP_7reg!M1383*1000000000)/SUM(template_IRP_newest_CP_7reg!M1347:M1349)</f>
        <v>1.0941627879556646</v>
      </c>
      <c r="M65" s="2">
        <f>(template_IRP_newest_CP_7reg!N1383*1000000000)/SUM(template_IRP_newest_CP_7reg!N1347:N1349)</f>
        <v>1.0871965010106255</v>
      </c>
    </row>
    <row r="66" spans="1:13" x14ac:dyDescent="0.25">
      <c r="B66" t="s">
        <v>262</v>
      </c>
      <c r="C66" t="s">
        <v>274</v>
      </c>
      <c r="D66" s="5" t="s">
        <v>290</v>
      </c>
      <c r="E66" s="2">
        <f>(template_IRP_newest_CP_7reg!F1623*1000000000)/SUM(template_IRP_newest_CP_7reg!F1587:F1589)</f>
        <v>1.1343367736573686</v>
      </c>
      <c r="F66" s="2">
        <f>(template_IRP_newest_CP_7reg!G1623*1000000000)/SUM(template_IRP_newest_CP_7reg!G1587:G1589)</f>
        <v>1.1094999825388465</v>
      </c>
      <c r="G66" s="2">
        <f>(template_IRP_newest_CP_7reg!H1623*1000000000)/SUM(template_IRP_newest_CP_7reg!H1587:H1589)</f>
        <v>1.0834771858662879</v>
      </c>
      <c r="H66" s="2">
        <f>(template_IRP_newest_CP_7reg!I1623*1000000000)/SUM(template_IRP_newest_CP_7reg!I1587:I1589)</f>
        <v>1.0556067697458908</v>
      </c>
      <c r="I66" s="2">
        <f>(template_IRP_newest_CP_7reg!J1623*1000000000)/SUM(template_IRP_newest_CP_7reg!J1587:J1589)</f>
        <v>1.0297411835593644</v>
      </c>
      <c r="J66" s="2">
        <f>(template_IRP_newest_CP_7reg!K1623*1000000000)/SUM(template_IRP_newest_CP_7reg!K1587:K1589)</f>
        <v>1.0071431757201095</v>
      </c>
      <c r="K66" s="2">
        <f>(template_IRP_newest_CP_7reg!L1623*1000000000)/SUM(template_IRP_newest_CP_7reg!L1587:L1589)</f>
        <v>0.98534354117518375</v>
      </c>
      <c r="L66" s="2">
        <f>(template_IRP_newest_CP_7reg!M1623*1000000000)/SUM(template_IRP_newest_CP_7reg!M1587:M1589)</f>
        <v>0.96457866622157962</v>
      </c>
      <c r="M66" s="2">
        <f>(template_IRP_newest_CP_7reg!N1623*1000000000)/SUM(template_IRP_newest_CP_7reg!N1587:N1589)</f>
        <v>0.94521801457374166</v>
      </c>
    </row>
    <row r="67" spans="1:13" x14ac:dyDescent="0.25">
      <c r="B67" t="s">
        <v>263</v>
      </c>
      <c r="C67" t="s">
        <v>274</v>
      </c>
      <c r="D67" s="5" t="s">
        <v>290</v>
      </c>
      <c r="E67" s="2">
        <f>(template_IRP_newest_CP_7reg!F1863*1000000000)/SUM(template_IRP_newest_CP_7reg!F1827:F1829)</f>
        <v>1.0864042022108871</v>
      </c>
      <c r="F67" s="2">
        <f>(template_IRP_newest_CP_7reg!G1863*1000000000)/SUM(template_IRP_newest_CP_7reg!G1827:G1829)</f>
        <v>1.0699505183983335</v>
      </c>
      <c r="G67" s="2">
        <f>(template_IRP_newest_CP_7reg!H1863*1000000000)/SUM(template_IRP_newest_CP_7reg!H1827:H1829)</f>
        <v>1.0529366889106546</v>
      </c>
      <c r="H67" s="2">
        <f>(template_IRP_newest_CP_7reg!I1863*1000000000)/SUM(template_IRP_newest_CP_7reg!I1827:I1829)</f>
        <v>1.03419919621874</v>
      </c>
      <c r="I67" s="2">
        <f>(template_IRP_newest_CP_7reg!J1863*1000000000)/SUM(template_IRP_newest_CP_7reg!J1827:J1829)</f>
        <v>1.0170937997515641</v>
      </c>
      <c r="J67" s="2">
        <f>(template_IRP_newest_CP_7reg!K1863*1000000000)/SUM(template_IRP_newest_CP_7reg!K1827:K1829)</f>
        <v>1.0009748994262375</v>
      </c>
      <c r="K67" s="2">
        <f>(template_IRP_newest_CP_7reg!L1863*1000000000)/SUM(template_IRP_newest_CP_7reg!L1827:L1829)</f>
        <v>0.98542482939983189</v>
      </c>
      <c r="L67" s="2">
        <f>(template_IRP_newest_CP_7reg!M1863*1000000000)/SUM(template_IRP_newest_CP_7reg!M1827:M1829)</f>
        <v>0.97048319723675092</v>
      </c>
      <c r="M67" s="2">
        <f>(template_IRP_newest_CP_7reg!N1863*1000000000)/SUM(template_IRP_newest_CP_7reg!N1827:N1829)</f>
        <v>0.95655575397103665</v>
      </c>
    </row>
    <row r="68" spans="1:13" x14ac:dyDescent="0.25">
      <c r="B68" t="s">
        <v>263</v>
      </c>
      <c r="C68" t="s">
        <v>271</v>
      </c>
      <c r="D68" s="5" t="s">
        <v>290</v>
      </c>
      <c r="E68" s="2">
        <f>(template_IRP_newest_CP_7reg!F1864*1000000000)/SUM(template_IRP_newest_CP_7reg!F1830:F1833)</f>
        <v>3.2862838448768446</v>
      </c>
      <c r="F68" s="2">
        <f>(template_IRP_newest_CP_7reg!G1864*1000000000)/SUM(template_IRP_newest_CP_7reg!G1830:G1833)</f>
        <v>3.289802407603319</v>
      </c>
      <c r="G68" s="2">
        <f>(template_IRP_newest_CP_7reg!H1864*1000000000)/SUM(template_IRP_newest_CP_7reg!H1830:H1833)</f>
        <v>3.2910445789315141</v>
      </c>
      <c r="H68" s="2">
        <f>(template_IRP_newest_CP_7reg!I1864*1000000000)/SUM(template_IRP_newest_CP_7reg!I1830:I1833)</f>
        <v>3.2912991641137617</v>
      </c>
      <c r="I68" s="2">
        <f>(template_IRP_newest_CP_7reg!J1864*1000000000)/SUM(template_IRP_newest_CP_7reg!J1830:J1833)</f>
        <v>3.2886421453143568</v>
      </c>
      <c r="J68" s="2">
        <f>(template_IRP_newest_CP_7reg!K1864*1000000000)/SUM(template_IRP_newest_CP_7reg!K1830:K1833)</f>
        <v>3.2822115475927913</v>
      </c>
      <c r="K68" s="2">
        <f>(template_IRP_newest_CP_7reg!L1864*1000000000)/SUM(template_IRP_newest_CP_7reg!L1830:L1833)</f>
        <v>3.274908128180936</v>
      </c>
      <c r="L68" s="2">
        <f>(template_IRP_newest_CP_7reg!M1864*1000000000)/SUM(template_IRP_newest_CP_7reg!M1830:M1833)</f>
        <v>3.2678257789010274</v>
      </c>
      <c r="M68" s="2">
        <f>(template_IRP_newest_CP_7reg!N1864*1000000000)/SUM(template_IRP_newest_CP_7reg!N1830:N1833)</f>
        <v>3.2612450309917516</v>
      </c>
    </row>
    <row r="69" spans="1:13" x14ac:dyDescent="0.25">
      <c r="A69" t="s">
        <v>288</v>
      </c>
      <c r="B69" t="s">
        <v>7</v>
      </c>
      <c r="C69" t="s">
        <v>274</v>
      </c>
      <c r="D69" s="5" t="s">
        <v>291</v>
      </c>
      <c r="E69" s="2">
        <f>(template_IRP_newest_CP_7reg!F185*1000000000)/SUM(template_IRP_newest_CP_7reg!F147:F149)</f>
        <v>882.71837661613972</v>
      </c>
      <c r="F69" s="2">
        <f>(template_IRP_newest_CP_7reg!G185*1000000000)/SUM(template_IRP_newest_CP_7reg!G147:G149)</f>
        <v>883.56599245063092</v>
      </c>
      <c r="G69" s="2">
        <f>(template_IRP_newest_CP_7reg!H185*1000000000)/SUM(template_IRP_newest_CP_7reg!H147:H149)</f>
        <v>884.31603061605847</v>
      </c>
      <c r="H69" s="2">
        <f>(template_IRP_newest_CP_7reg!I185*1000000000)/SUM(template_IRP_newest_CP_7reg!I147:I149)</f>
        <v>885.01991542679536</v>
      </c>
      <c r="I69" s="2">
        <f>(template_IRP_newest_CP_7reg!J185*1000000000)/SUM(template_IRP_newest_CP_7reg!J147:J149)</f>
        <v>885.56406887686535</v>
      </c>
      <c r="J69" s="2">
        <f>(template_IRP_newest_CP_7reg!K185*1000000000)/SUM(template_IRP_newest_CP_7reg!K147:K149)</f>
        <v>886.18733626620315</v>
      </c>
      <c r="K69" s="2">
        <f>(template_IRP_newest_CP_7reg!L185*1000000000)/SUM(template_IRP_newest_CP_7reg!L147:L149)</f>
        <v>886.82358328799603</v>
      </c>
      <c r="L69" s="2">
        <f>(template_IRP_newest_CP_7reg!M185*1000000000)/SUM(template_IRP_newest_CP_7reg!M147:M149)</f>
        <v>887.44121744154074</v>
      </c>
      <c r="M69" s="2">
        <f>(template_IRP_newest_CP_7reg!N185*1000000000)/SUM(template_IRP_newest_CP_7reg!N147:N149)</f>
        <v>888.01999188168168</v>
      </c>
    </row>
    <row r="70" spans="1:13" x14ac:dyDescent="0.25">
      <c r="B70" t="s">
        <v>257</v>
      </c>
      <c r="C70" t="s">
        <v>274</v>
      </c>
      <c r="D70" s="5" t="s">
        <v>291</v>
      </c>
      <c r="E70" s="2">
        <f>(template_IRP_newest_CP_7reg!F425*1000000000)/SUM(template_IRP_newest_CP_7reg!F387:F389)</f>
        <v>946.68494293002914</v>
      </c>
      <c r="F70" s="2">
        <f>(template_IRP_newest_CP_7reg!G425*1000000000)/SUM(template_IRP_newest_CP_7reg!G387:G389)</f>
        <v>948.85157001804214</v>
      </c>
      <c r="G70" s="2">
        <f>(template_IRP_newest_CP_7reg!H425*1000000000)/SUM(template_IRP_newest_CP_7reg!H387:H389)</f>
        <v>950.42302101300038</v>
      </c>
      <c r="H70" s="2">
        <f>(template_IRP_newest_CP_7reg!I425*1000000000)/SUM(template_IRP_newest_CP_7reg!I387:I389)</f>
        <v>951.7987688198524</v>
      </c>
      <c r="I70" s="2">
        <f>(template_IRP_newest_CP_7reg!J425*1000000000)/SUM(template_IRP_newest_CP_7reg!J387:J389)</f>
        <v>953.11212991551065</v>
      </c>
      <c r="J70" s="2">
        <f>(template_IRP_newest_CP_7reg!K425*1000000000)/SUM(template_IRP_newest_CP_7reg!K387:K389)</f>
        <v>954.26064073387511</v>
      </c>
      <c r="K70" s="2">
        <f>(template_IRP_newest_CP_7reg!L425*1000000000)/SUM(template_IRP_newest_CP_7reg!L387:L389)</f>
        <v>955.27456858819244</v>
      </c>
      <c r="L70" s="2">
        <f>(template_IRP_newest_CP_7reg!M425*1000000000)/SUM(template_IRP_newest_CP_7reg!M387:M389)</f>
        <v>956.19483223601662</v>
      </c>
      <c r="M70" s="2">
        <f>(template_IRP_newest_CP_7reg!N425*1000000000)/SUM(template_IRP_newest_CP_7reg!N387:N389)</f>
        <v>957.0344616489956</v>
      </c>
    </row>
    <row r="71" spans="1:13" x14ac:dyDescent="0.25">
      <c r="B71" t="s">
        <v>258</v>
      </c>
      <c r="C71" t="s">
        <v>274</v>
      </c>
      <c r="D71" s="5" t="s">
        <v>291</v>
      </c>
      <c r="E71" s="2">
        <f>(template_IRP_newest_CP_7reg!F665*1000000000)/SUM(template_IRP_newest_CP_7reg!F627:F629)</f>
        <v>959.19237082922587</v>
      </c>
      <c r="F71" s="2">
        <f>(template_IRP_newest_CP_7reg!G665*1000000000)/SUM(template_IRP_newest_CP_7reg!G627:G629)</f>
        <v>959.90899401076592</v>
      </c>
      <c r="G71" s="2">
        <f>(template_IRP_newest_CP_7reg!H665*1000000000)/SUM(template_IRP_newest_CP_7reg!H627:H629)</f>
        <v>960.73280895121627</v>
      </c>
      <c r="H71" s="2">
        <f>(template_IRP_newest_CP_7reg!I665*1000000000)/SUM(template_IRP_newest_CP_7reg!I627:I629)</f>
        <v>961.6848853562218</v>
      </c>
      <c r="I71" s="2">
        <f>(template_IRP_newest_CP_7reg!J665*1000000000)/SUM(template_IRP_newest_CP_7reg!J627:J629)</f>
        <v>962.68274908810201</v>
      </c>
      <c r="J71" s="2">
        <f>(template_IRP_newest_CP_7reg!K665*1000000000)/SUM(template_IRP_newest_CP_7reg!K627:K629)</f>
        <v>963.42020373313096</v>
      </c>
      <c r="K71" s="2">
        <f>(template_IRP_newest_CP_7reg!L665*1000000000)/SUM(template_IRP_newest_CP_7reg!L627:L629)</f>
        <v>964.24369975439595</v>
      </c>
      <c r="L71" s="2">
        <f>(template_IRP_newest_CP_7reg!M665*1000000000)/SUM(template_IRP_newest_CP_7reg!M627:M629)</f>
        <v>965.11331054250059</v>
      </c>
      <c r="M71" s="2">
        <f>(template_IRP_newest_CP_7reg!N665*1000000000)/SUM(template_IRP_newest_CP_7reg!N627:N629)</f>
        <v>965.98528609807329</v>
      </c>
    </row>
    <row r="72" spans="1:13" x14ac:dyDescent="0.25">
      <c r="B72" t="s">
        <v>259</v>
      </c>
      <c r="C72" t="s">
        <v>274</v>
      </c>
      <c r="D72" s="5" t="s">
        <v>291</v>
      </c>
      <c r="E72" s="2">
        <f>(template_IRP_newest_CP_7reg!F905*1000000000)/SUM(template_IRP_newest_CP_7reg!F867:F869)</f>
        <v>935.93383780710872</v>
      </c>
      <c r="F72" s="2">
        <f>(template_IRP_newest_CP_7reg!G905*1000000000)/SUM(template_IRP_newest_CP_7reg!G867:G869)</f>
        <v>936.46992396212522</v>
      </c>
      <c r="G72" s="2">
        <f>(template_IRP_newest_CP_7reg!H905*1000000000)/SUM(template_IRP_newest_CP_7reg!H867:H869)</f>
        <v>937.98807791595289</v>
      </c>
      <c r="H72" s="2">
        <f>(template_IRP_newest_CP_7reg!I905*1000000000)/SUM(template_IRP_newest_CP_7reg!I867:I869)</f>
        <v>940.09657347213283</v>
      </c>
      <c r="I72" s="2">
        <f>(template_IRP_newest_CP_7reg!J905*1000000000)/SUM(template_IRP_newest_CP_7reg!J867:J869)</f>
        <v>941.92406451677743</v>
      </c>
      <c r="J72" s="2">
        <f>(template_IRP_newest_CP_7reg!K905*1000000000)/SUM(template_IRP_newest_CP_7reg!K867:K869)</f>
        <v>943.49163724952803</v>
      </c>
      <c r="K72" s="2">
        <f>(template_IRP_newest_CP_7reg!L905*1000000000)/SUM(template_IRP_newest_CP_7reg!L867:L869)</f>
        <v>945.00664768155855</v>
      </c>
      <c r="L72" s="2">
        <f>(template_IRP_newest_CP_7reg!M905*1000000000)/SUM(template_IRP_newest_CP_7reg!M867:M869)</f>
        <v>946.47316788733838</v>
      </c>
      <c r="M72" s="2">
        <f>(template_IRP_newest_CP_7reg!N905*1000000000)/SUM(template_IRP_newest_CP_7reg!N867:N869)</f>
        <v>947.82891302171504</v>
      </c>
    </row>
    <row r="73" spans="1:13" x14ac:dyDescent="0.25">
      <c r="B73" t="s">
        <v>260</v>
      </c>
      <c r="C73" t="s">
        <v>274</v>
      </c>
      <c r="D73" s="5" t="s">
        <v>291</v>
      </c>
      <c r="E73" s="2">
        <f>(template_IRP_newest_CP_7reg!F1145*1000000000)/SUM(template_IRP_newest_CP_7reg!F1107:F1109)</f>
        <v>917.98797878509697</v>
      </c>
      <c r="F73" s="2">
        <f>(template_IRP_newest_CP_7reg!G1145*1000000000)/SUM(template_IRP_newest_CP_7reg!G1107:G1109)</f>
        <v>920.33154864074982</v>
      </c>
      <c r="G73" s="2">
        <f>(template_IRP_newest_CP_7reg!H1145*1000000000)/SUM(template_IRP_newest_CP_7reg!H1107:H1109)</f>
        <v>922.8829940441434</v>
      </c>
      <c r="H73" s="2">
        <f>(template_IRP_newest_CP_7reg!I1145*1000000000)/SUM(template_IRP_newest_CP_7reg!I1107:I1109)</f>
        <v>925.60362228122472</v>
      </c>
      <c r="I73" s="2">
        <f>(template_IRP_newest_CP_7reg!J1145*1000000000)/SUM(template_IRP_newest_CP_7reg!J1107:J1109)</f>
        <v>927.97475323486822</v>
      </c>
      <c r="J73" s="2">
        <f>(template_IRP_newest_CP_7reg!K1145*1000000000)/SUM(template_IRP_newest_CP_7reg!K1107:K1109)</f>
        <v>930.47755692971668</v>
      </c>
      <c r="K73" s="2">
        <f>(template_IRP_newest_CP_7reg!L1145*1000000000)/SUM(template_IRP_newest_CP_7reg!L1107:L1109)</f>
        <v>932.90623113293759</v>
      </c>
      <c r="L73" s="2">
        <f>(template_IRP_newest_CP_7reg!M1145*1000000000)/SUM(template_IRP_newest_CP_7reg!M1107:M1109)</f>
        <v>935.17954212963036</v>
      </c>
      <c r="M73" s="2">
        <f>(template_IRP_newest_CP_7reg!N1145*1000000000)/SUM(template_IRP_newest_CP_7reg!N1107:N1109)</f>
        <v>937.25440139137743</v>
      </c>
    </row>
    <row r="74" spans="1:13" x14ac:dyDescent="0.25">
      <c r="B74" t="s">
        <v>261</v>
      </c>
      <c r="C74" t="s">
        <v>274</v>
      </c>
      <c r="D74" s="5" t="s">
        <v>291</v>
      </c>
      <c r="E74" s="2">
        <f>(template_IRP_newest_CP_7reg!F1385*1000000000)/SUM(template_IRP_newest_CP_7reg!F1347:F1349)</f>
        <v>918.68409889255008</v>
      </c>
      <c r="F74" s="2">
        <f>(template_IRP_newest_CP_7reg!G1385*1000000000)/SUM(template_IRP_newest_CP_7reg!G1347:G1349)</f>
        <v>919.99361506994387</v>
      </c>
      <c r="G74" s="2">
        <f>(template_IRP_newest_CP_7reg!H1385*1000000000)/SUM(template_IRP_newest_CP_7reg!H1347:H1349)</f>
        <v>921.32926119760805</v>
      </c>
      <c r="H74" s="2">
        <f>(template_IRP_newest_CP_7reg!I1385*1000000000)/SUM(template_IRP_newest_CP_7reg!I1347:I1349)</f>
        <v>922.5985743447327</v>
      </c>
      <c r="I74" s="2">
        <f>(template_IRP_newest_CP_7reg!J1385*1000000000)/SUM(template_IRP_newest_CP_7reg!J1347:J1349)</f>
        <v>923.73456384906933</v>
      </c>
      <c r="J74" s="2">
        <f>(template_IRP_newest_CP_7reg!K1385*1000000000)/SUM(template_IRP_newest_CP_7reg!K1347:K1349)</f>
        <v>924.7621600878681</v>
      </c>
      <c r="K74" s="2">
        <f>(template_IRP_newest_CP_7reg!L1385*1000000000)/SUM(template_IRP_newest_CP_7reg!L1347:L1349)</f>
        <v>925.7131465882934</v>
      </c>
      <c r="L74" s="2">
        <f>(template_IRP_newest_CP_7reg!M1385*1000000000)/SUM(template_IRP_newest_CP_7reg!M1347:M1349)</f>
        <v>926.59796328992479</v>
      </c>
      <c r="M74" s="2">
        <f>(template_IRP_newest_CP_7reg!N1385*1000000000)/SUM(template_IRP_newest_CP_7reg!N1347:N1349)</f>
        <v>927.40979979513963</v>
      </c>
    </row>
    <row r="75" spans="1:13" x14ac:dyDescent="0.25">
      <c r="B75" t="s">
        <v>262</v>
      </c>
      <c r="C75" t="s">
        <v>274</v>
      </c>
      <c r="D75" s="5" t="s">
        <v>291</v>
      </c>
      <c r="E75" s="2">
        <f>(template_IRP_newest_CP_7reg!F1625*1000000000)/SUM(template_IRP_newest_CP_7reg!F1587:F1589)</f>
        <v>925.11321732927843</v>
      </c>
      <c r="F75" s="2">
        <f>(template_IRP_newest_CP_7reg!G1625*1000000000)/SUM(template_IRP_newest_CP_7reg!G1587:G1589)</f>
        <v>928.32781204054936</v>
      </c>
      <c r="G75" s="2">
        <f>(template_IRP_newest_CP_7reg!H1625*1000000000)/SUM(template_IRP_newest_CP_7reg!H1587:H1589)</f>
        <v>931.71004062006671</v>
      </c>
      <c r="H75" s="2">
        <f>(template_IRP_newest_CP_7reg!I1625*1000000000)/SUM(template_IRP_newest_CP_7reg!I1587:I1589)</f>
        <v>935.33185562128767</v>
      </c>
      <c r="I75" s="2">
        <f>(template_IRP_newest_CP_7reg!J1625*1000000000)/SUM(template_IRP_newest_CP_7reg!J1587:J1589)</f>
        <v>938.70800611735456</v>
      </c>
      <c r="J75" s="2">
        <f>(template_IRP_newest_CP_7reg!K1625*1000000000)/SUM(template_IRP_newest_CP_7reg!K1587:K1589)</f>
        <v>941.64318278612882</v>
      </c>
      <c r="K75" s="2">
        <f>(template_IRP_newest_CP_7reg!L1625*1000000000)/SUM(template_IRP_newest_CP_7reg!L1587:L1589)</f>
        <v>944.45788213792071</v>
      </c>
      <c r="L75" s="2">
        <f>(template_IRP_newest_CP_7reg!M1625*1000000000)/SUM(template_IRP_newest_CP_7reg!M1587:M1589)</f>
        <v>947.14184626455574</v>
      </c>
      <c r="M75" s="2">
        <f>(template_IRP_newest_CP_7reg!N1625*1000000000)/SUM(template_IRP_newest_CP_7reg!N1587:N1589)</f>
        <v>949.64988399279639</v>
      </c>
    </row>
    <row r="76" spans="1:13" x14ac:dyDescent="0.25">
      <c r="B76" t="s">
        <v>263</v>
      </c>
      <c r="C76" t="s">
        <v>274</v>
      </c>
      <c r="D76" s="5" t="s">
        <v>291</v>
      </c>
      <c r="E76" s="2">
        <f>(template_IRP_newest_CP_7reg!F1865*1000000000)/SUM(template_IRP_newest_CP_7reg!F1827:F1829)</f>
        <v>926.89727508669353</v>
      </c>
      <c r="F76" s="2">
        <f>(template_IRP_newest_CP_7reg!G1865*1000000000)/SUM(template_IRP_newest_CP_7reg!G1827:G1829)</f>
        <v>929.03397765997397</v>
      </c>
      <c r="G76" s="2">
        <f>(template_IRP_newest_CP_7reg!H1865*1000000000)/SUM(template_IRP_newest_CP_7reg!H1827:H1829)</f>
        <v>931.13040210076724</v>
      </c>
      <c r="H76" s="2">
        <f>(template_IRP_newest_CP_7reg!I1865*1000000000)/SUM(template_IRP_newest_CP_7reg!I1827:I1829)</f>
        <v>933.41564770232287</v>
      </c>
      <c r="I76" s="2">
        <f>(template_IRP_newest_CP_7reg!J1865*1000000000)/SUM(template_IRP_newest_CP_7reg!J1827:J1829)</f>
        <v>935.54242911889844</v>
      </c>
      <c r="J76" s="2">
        <f>(template_IRP_newest_CP_7reg!K1865*1000000000)/SUM(template_IRP_newest_CP_7reg!K1827:K1829)</f>
        <v>937.56975441394616</v>
      </c>
      <c r="K76" s="2">
        <f>(template_IRP_newest_CP_7reg!L1865*1000000000)/SUM(template_IRP_newest_CP_7reg!L1827:L1829)</f>
        <v>939.54386447618515</v>
      </c>
      <c r="L76" s="2">
        <f>(template_IRP_newest_CP_7reg!M1865*1000000000)/SUM(template_IRP_newest_CP_7reg!M1827:M1829)</f>
        <v>941.45319102279586</v>
      </c>
      <c r="M76" s="2">
        <f>(template_IRP_newest_CP_7reg!N1865*1000000000)/SUM(template_IRP_newest_CP_7reg!N1827:N1829)</f>
        <v>943.2490347715551</v>
      </c>
    </row>
    <row r="77" spans="1:13" x14ac:dyDescent="0.25">
      <c r="B77" t="s">
        <v>263</v>
      </c>
      <c r="C77" t="s">
        <v>271</v>
      </c>
      <c r="D77" s="5" t="s">
        <v>291</v>
      </c>
      <c r="E77" s="2">
        <f>(template_IRP_newest_CP_7reg!F1866*1000000000)/SUM(template_IRP_newest_CP_7reg!F1830:F1833)</f>
        <v>880.92818626214398</v>
      </c>
      <c r="F77" s="2">
        <f>(template_IRP_newest_CP_7reg!G1866*1000000000)/SUM(template_IRP_newest_CP_7reg!G1830:G1833)</f>
        <v>881.67129262042636</v>
      </c>
      <c r="G77" s="2">
        <f>(template_IRP_newest_CP_7reg!H1866*1000000000)/SUM(template_IRP_newest_CP_7reg!H1830:H1833)</f>
        <v>881.81713763550113</v>
      </c>
      <c r="H77" s="2">
        <f>(template_IRP_newest_CP_7reg!I1866*1000000000)/SUM(template_IRP_newest_CP_7reg!I1830:I1833)</f>
        <v>881.42586049323222</v>
      </c>
      <c r="I77" s="2">
        <f>(template_IRP_newest_CP_7reg!J1866*1000000000)/SUM(template_IRP_newest_CP_7reg!J1830:J1833)</f>
        <v>880.09307935644995</v>
      </c>
      <c r="J77" s="2">
        <f>(template_IRP_newest_CP_7reg!K1866*1000000000)/SUM(template_IRP_newest_CP_7reg!K1830:K1833)</f>
        <v>877.878537905043</v>
      </c>
      <c r="K77" s="2">
        <f>(template_IRP_newest_CP_7reg!L1866*1000000000)/SUM(template_IRP_newest_CP_7reg!L1830:L1833)</f>
        <v>875.64364840738699</v>
      </c>
      <c r="L77" s="2">
        <f>(template_IRP_newest_CP_7reg!M1866*1000000000)/SUM(template_IRP_newest_CP_7reg!M1830:M1833)</f>
        <v>873.6107764935424</v>
      </c>
      <c r="M77" s="2">
        <f>(template_IRP_newest_CP_7reg!N1866*1000000000)/SUM(template_IRP_newest_CP_7reg!N1830:N1833)</f>
        <v>871.76136795307616</v>
      </c>
    </row>
    <row r="78" spans="1:13" x14ac:dyDescent="0.25">
      <c r="A78" t="s">
        <v>289</v>
      </c>
      <c r="B78" t="s">
        <v>7</v>
      </c>
      <c r="C78" t="s">
        <v>274</v>
      </c>
      <c r="D78" s="5" t="s">
        <v>292</v>
      </c>
      <c r="E78" s="2">
        <f>(template_IRP_newest_CP_7reg!F187*1000000000)/SUM(template_IRP_newest_CP_7reg!F147:F149)</f>
        <v>2.889588903044221</v>
      </c>
      <c r="F78" s="2">
        <f>(template_IRP_newest_CP_7reg!G187*1000000000)/SUM(template_IRP_newest_CP_7reg!G147:G149)</f>
        <v>2.8941751293530813</v>
      </c>
      <c r="G78" s="2">
        <f>(template_IRP_newest_CP_7reg!H187*1000000000)/SUM(template_IRP_newest_CP_7reg!H147:H149)</f>
        <v>2.8984292549788928</v>
      </c>
      <c r="H78" s="2">
        <f>(template_IRP_newest_CP_7reg!I187*1000000000)/SUM(template_IRP_newest_CP_7reg!I147:I149)</f>
        <v>2.9025000434821728</v>
      </c>
      <c r="I78" s="2">
        <f>(template_IRP_newest_CP_7reg!J187*1000000000)/SUM(template_IRP_newest_CP_7reg!J147:J149)</f>
        <v>2.9058470888517207</v>
      </c>
      <c r="J78" s="2">
        <f>(template_IRP_newest_CP_7reg!K187*1000000000)/SUM(template_IRP_newest_CP_7reg!K147:K149)</f>
        <v>2.9094025091917164</v>
      </c>
      <c r="K78" s="2">
        <f>(template_IRP_newest_CP_7reg!L187*1000000000)/SUM(template_IRP_newest_CP_7reg!L147:L149)</f>
        <v>2.9129381188765708</v>
      </c>
      <c r="L78" s="2">
        <f>(template_IRP_newest_CP_7reg!M187*1000000000)/SUM(template_IRP_newest_CP_7reg!M147:M149)</f>
        <v>2.9163370269955302</v>
      </c>
      <c r="M78" s="2">
        <f>(template_IRP_newest_CP_7reg!N187*1000000000)/SUM(template_IRP_newest_CP_7reg!N147:N149)</f>
        <v>2.9195108256947511</v>
      </c>
    </row>
    <row r="79" spans="1:13" x14ac:dyDescent="0.25">
      <c r="B79" t="s">
        <v>257</v>
      </c>
      <c r="C79" t="s">
        <v>274</v>
      </c>
      <c r="D79" s="5" t="s">
        <v>292</v>
      </c>
      <c r="E79" s="2">
        <f>(template_IRP_newest_CP_7reg!F427*1000000000)/SUM(template_IRP_newest_CP_7reg!F387:F389)</f>
        <v>3.0637775089831223</v>
      </c>
      <c r="F79" s="2">
        <f>(template_IRP_newest_CP_7reg!G427*1000000000)/SUM(template_IRP_newest_CP_7reg!G387:G389)</f>
        <v>3.0718527855216231</v>
      </c>
      <c r="G79" s="2">
        <f>(template_IRP_newest_CP_7reg!H427*1000000000)/SUM(template_IRP_newest_CP_7reg!H387:H389)</f>
        <v>3.0797052183718105</v>
      </c>
      <c r="H79" s="2">
        <f>(template_IRP_newest_CP_7reg!I427*1000000000)/SUM(template_IRP_newest_CP_7reg!I387:I389)</f>
        <v>3.0859151661781583</v>
      </c>
      <c r="I79" s="2">
        <f>(template_IRP_newest_CP_7reg!J427*1000000000)/SUM(template_IRP_newest_CP_7reg!J387:J389)</f>
        <v>3.0918952365471077</v>
      </c>
      <c r="J79" s="2">
        <f>(template_IRP_newest_CP_7reg!K427*1000000000)/SUM(template_IRP_newest_CP_7reg!K387:K389)</f>
        <v>3.0966869092649989</v>
      </c>
      <c r="K79" s="2">
        <f>(template_IRP_newest_CP_7reg!L427*1000000000)/SUM(template_IRP_newest_CP_7reg!L387:L389)</f>
        <v>3.1012851163374293</v>
      </c>
      <c r="L79" s="2">
        <f>(template_IRP_newest_CP_7reg!M427*1000000000)/SUM(template_IRP_newest_CP_7reg!M387:M389)</f>
        <v>3.1055946714750764</v>
      </c>
      <c r="M79" s="2">
        <f>(template_IRP_newest_CP_7reg!N427*1000000000)/SUM(template_IRP_newest_CP_7reg!N387:N389)</f>
        <v>3.1095409768825601</v>
      </c>
    </row>
    <row r="80" spans="1:13" x14ac:dyDescent="0.25">
      <c r="B80" t="s">
        <v>258</v>
      </c>
      <c r="C80" t="s">
        <v>274</v>
      </c>
      <c r="D80" s="5" t="s">
        <v>292</v>
      </c>
      <c r="E80" s="2">
        <f>(template_IRP_newest_CP_7reg!F667*1000000000)/SUM(template_IRP_newest_CP_7reg!F627:F629)</f>
        <v>3.3862814755925363</v>
      </c>
      <c r="F80" s="2">
        <f>(template_IRP_newest_CP_7reg!G667*1000000000)/SUM(template_IRP_newest_CP_7reg!G627:G629)</f>
        <v>3.3993640484528944</v>
      </c>
      <c r="G80" s="2">
        <f>(template_IRP_newest_CP_7reg!H667*1000000000)/SUM(template_IRP_newest_CP_7reg!H627:H629)</f>
        <v>3.4160202659104018</v>
      </c>
      <c r="H80" s="2">
        <f>(template_IRP_newest_CP_7reg!I667*1000000000)/SUM(template_IRP_newest_CP_7reg!I627:I629)</f>
        <v>3.4352026801501467</v>
      </c>
      <c r="I80" s="2">
        <f>(template_IRP_newest_CP_7reg!J667*1000000000)/SUM(template_IRP_newest_CP_7reg!J627:J629)</f>
        <v>3.4523265551192668</v>
      </c>
      <c r="J80" s="2">
        <f>(template_IRP_newest_CP_7reg!K667*1000000000)/SUM(template_IRP_newest_CP_7reg!K627:K629)</f>
        <v>3.4668485184993769</v>
      </c>
      <c r="K80" s="2">
        <f>(template_IRP_newest_CP_7reg!L667*1000000000)/SUM(template_IRP_newest_CP_7reg!L627:L629)</f>
        <v>3.4805370999753111</v>
      </c>
      <c r="L80" s="2">
        <f>(template_IRP_newest_CP_7reg!M667*1000000000)/SUM(template_IRP_newest_CP_7reg!M627:M629)</f>
        <v>3.4934804014200576</v>
      </c>
      <c r="M80" s="2">
        <f>(template_IRP_newest_CP_7reg!N667*1000000000)/SUM(template_IRP_newest_CP_7reg!N627:N629)</f>
        <v>3.5053766978613523</v>
      </c>
    </row>
    <row r="81" spans="1:13" x14ac:dyDescent="0.25">
      <c r="B81" t="s">
        <v>259</v>
      </c>
      <c r="C81" t="s">
        <v>274</v>
      </c>
      <c r="D81" s="5" t="s">
        <v>292</v>
      </c>
      <c r="E81" s="2">
        <f>(template_IRP_newest_CP_7reg!F907*1000000000)/SUM(template_IRP_newest_CP_7reg!F867:F869)</f>
        <v>3.0420706262496728</v>
      </c>
      <c r="F81" s="2">
        <f>(template_IRP_newest_CP_7reg!G907*1000000000)/SUM(template_IRP_newest_CP_7reg!G867:G869)</f>
        <v>3.044485778749924</v>
      </c>
      <c r="G81" s="2">
        <f>(template_IRP_newest_CP_7reg!H907*1000000000)/SUM(template_IRP_newest_CP_7reg!H867:H869)</f>
        <v>3.0513253002161465</v>
      </c>
      <c r="H81" s="2">
        <f>(template_IRP_newest_CP_7reg!I907*1000000000)/SUM(template_IRP_newest_CP_7reg!I867:I869)</f>
        <v>3.0608244030262961</v>
      </c>
      <c r="I81" s="2">
        <f>(template_IRP_newest_CP_7reg!J907*1000000000)/SUM(template_IRP_newest_CP_7reg!J867:J869)</f>
        <v>3.0690575357167935</v>
      </c>
      <c r="J81" s="2">
        <f>(template_IRP_newest_CP_7reg!K907*1000000000)/SUM(template_IRP_newest_CP_7reg!K867:K869)</f>
        <v>3.0761196961310202</v>
      </c>
      <c r="K81" s="2">
        <f>(template_IRP_newest_CP_7reg!L907*1000000000)/SUM(template_IRP_newest_CP_7reg!L867:L869)</f>
        <v>3.08294505518435</v>
      </c>
      <c r="L81" s="2">
        <f>(template_IRP_newest_CP_7reg!M907*1000000000)/SUM(template_IRP_newest_CP_7reg!M867:M869)</f>
        <v>3.0895519577678536</v>
      </c>
      <c r="M81" s="2">
        <f>(template_IRP_newest_CP_7reg!N907*1000000000)/SUM(template_IRP_newest_CP_7reg!N867:N869)</f>
        <v>3.095659802452686</v>
      </c>
    </row>
    <row r="82" spans="1:13" x14ac:dyDescent="0.25">
      <c r="B82" t="s">
        <v>260</v>
      </c>
      <c r="C82" t="s">
        <v>274</v>
      </c>
      <c r="D82" s="5" t="s">
        <v>292</v>
      </c>
      <c r="E82" s="2">
        <f>(template_IRP_newest_CP_7reg!F1147*1000000000)/SUM(template_IRP_newest_CP_7reg!F1107:F1109)</f>
        <v>2.9453825725828349</v>
      </c>
      <c r="F82" s="2">
        <f>(template_IRP_newest_CP_7reg!G1147*1000000000)/SUM(template_IRP_newest_CP_7reg!G1107:G1109)</f>
        <v>2.9550062071053742</v>
      </c>
      <c r="G82" s="2">
        <f>(template_IRP_newest_CP_7reg!H1147*1000000000)/SUM(template_IRP_newest_CP_7reg!H1107:H1109)</f>
        <v>2.9658192446934364</v>
      </c>
      <c r="H82" s="2">
        <f>(template_IRP_newest_CP_7reg!I1147*1000000000)/SUM(template_IRP_newest_CP_7reg!I1107:I1109)</f>
        <v>2.9772189550420753</v>
      </c>
      <c r="I82" s="2">
        <f>(template_IRP_newest_CP_7reg!J1147*1000000000)/SUM(template_IRP_newest_CP_7reg!J1107:J1109)</f>
        <v>2.9881186832115167</v>
      </c>
      <c r="J82" s="2">
        <f>(template_IRP_newest_CP_7reg!K1147*1000000000)/SUM(template_IRP_newest_CP_7reg!K1107:K1109)</f>
        <v>2.9982294348878824</v>
      </c>
      <c r="K82" s="2">
        <f>(template_IRP_newest_CP_7reg!L1147*1000000000)/SUM(template_IRP_newest_CP_7reg!L1107:L1109)</f>
        <v>3.0079028253078928</v>
      </c>
      <c r="L82" s="2">
        <f>(template_IRP_newest_CP_7reg!M1147*1000000000)/SUM(template_IRP_newest_CP_7reg!M1107:M1109)</f>
        <v>3.0169165246532854</v>
      </c>
      <c r="M82" s="2">
        <f>(template_IRP_newest_CP_7reg!N1147*1000000000)/SUM(template_IRP_newest_CP_7reg!N1107:N1109)</f>
        <v>3.0251396926908911</v>
      </c>
    </row>
    <row r="83" spans="1:13" x14ac:dyDescent="0.25">
      <c r="B83" t="s">
        <v>261</v>
      </c>
      <c r="C83" t="s">
        <v>274</v>
      </c>
      <c r="D83" s="5" t="s">
        <v>292</v>
      </c>
      <c r="E83" s="2">
        <f>(template_IRP_newest_CP_7reg!F1387*1000000000)/SUM(template_IRP_newest_CP_7reg!F1347:F1349)</f>
        <v>2.966722221727363</v>
      </c>
      <c r="F83" s="2">
        <f>(template_IRP_newest_CP_7reg!G1387*1000000000)/SUM(template_IRP_newest_CP_7reg!G1347:G1349)</f>
        <v>2.9727100580681283</v>
      </c>
      <c r="G83" s="2">
        <f>(template_IRP_newest_CP_7reg!H1387*1000000000)/SUM(template_IRP_newest_CP_7reg!H1347:H1349)</f>
        <v>2.978817376773248</v>
      </c>
      <c r="H83" s="2">
        <f>(template_IRP_newest_CP_7reg!I1387*1000000000)/SUM(template_IRP_newest_CP_7reg!I1347:I1349)</f>
        <v>2.9846213815034601</v>
      </c>
      <c r="I83" s="2">
        <f>(template_IRP_newest_CP_7reg!J1387*1000000000)/SUM(template_IRP_newest_CP_7reg!J1347:J1349)</f>
        <v>2.9898157591692369</v>
      </c>
      <c r="J83" s="2">
        <f>(template_IRP_newest_CP_7reg!K1387*1000000000)/SUM(template_IRP_newest_CP_7reg!K1347:K1349)</f>
        <v>2.9945145011801735</v>
      </c>
      <c r="K83" s="2">
        <f>(template_IRP_newest_CP_7reg!L1387*1000000000)/SUM(template_IRP_newest_CP_7reg!L1347:L1349)</f>
        <v>2.9988629406264997</v>
      </c>
      <c r="L83" s="2">
        <f>(template_IRP_newest_CP_7reg!M1387*1000000000)/SUM(template_IRP_newest_CP_7reg!M1347:M1349)</f>
        <v>3.0029088163770834</v>
      </c>
      <c r="M83" s="2">
        <f>(template_IRP_newest_CP_7reg!N1387*1000000000)/SUM(template_IRP_newest_CP_7reg!N1347:N1349)</f>
        <v>3.0066209840136753</v>
      </c>
    </row>
    <row r="84" spans="1:13" x14ac:dyDescent="0.25">
      <c r="B84" t="s">
        <v>262</v>
      </c>
      <c r="C84" t="s">
        <v>274</v>
      </c>
      <c r="D84" s="5" t="s">
        <v>292</v>
      </c>
      <c r="E84" s="2">
        <f>(template_IRP_newest_CP_7reg!F1627*1000000000)/SUM(template_IRP_newest_CP_7reg!F1587:F1589)</f>
        <v>3.0101839829640653</v>
      </c>
      <c r="F84" s="2">
        <f>(template_IRP_newest_CP_7reg!G1627*1000000000)/SUM(template_IRP_newest_CP_7reg!G1587:G1589)</f>
        <v>3.0239324432073924</v>
      </c>
      <c r="G84" s="2">
        <f>(template_IRP_newest_CP_7reg!H1627*1000000000)/SUM(template_IRP_newest_CP_7reg!H1587:H1589)</f>
        <v>3.0362995331655771</v>
      </c>
      <c r="H84" s="2">
        <f>(template_IRP_newest_CP_7reg!I1627*1000000000)/SUM(template_IRP_newest_CP_7reg!I1587:I1589)</f>
        <v>3.0489120722283851</v>
      </c>
      <c r="I84" s="2">
        <f>(template_IRP_newest_CP_7reg!J1627*1000000000)/SUM(template_IRP_newest_CP_7reg!J1587:J1589)</f>
        <v>3.0598756399494271</v>
      </c>
      <c r="J84" s="2">
        <f>(template_IRP_newest_CP_7reg!K1627*1000000000)/SUM(template_IRP_newest_CP_7reg!K1587:K1589)</f>
        <v>3.068628306007219</v>
      </c>
      <c r="K84" s="2">
        <f>(template_IRP_newest_CP_7reg!L1627*1000000000)/SUM(template_IRP_newest_CP_7reg!L1587:L1589)</f>
        <v>3.077361021667389</v>
      </c>
      <c r="L84" s="2">
        <f>(template_IRP_newest_CP_7reg!M1627*1000000000)/SUM(template_IRP_newest_CP_7reg!M1587:M1589)</f>
        <v>3.0850561881196654</v>
      </c>
      <c r="M84" s="2">
        <f>(template_IRP_newest_CP_7reg!N1627*1000000000)/SUM(template_IRP_newest_CP_7reg!N1587:N1589)</f>
        <v>3.091449684145501</v>
      </c>
    </row>
    <row r="85" spans="1:13" x14ac:dyDescent="0.25">
      <c r="B85" t="s">
        <v>263</v>
      </c>
      <c r="C85" t="s">
        <v>274</v>
      </c>
      <c r="D85" s="5" t="s">
        <v>292</v>
      </c>
      <c r="E85" s="2">
        <f>(template_IRP_newest_CP_7reg!F1867*1000000000)/SUM(template_IRP_newest_CP_7reg!F1827:F1829)</f>
        <v>3.0629664734813855</v>
      </c>
      <c r="F85" s="2">
        <f>(template_IRP_newest_CP_7reg!G1867*1000000000)/SUM(template_IRP_newest_CP_7reg!G1827:G1829)</f>
        <v>3.0708886307962033</v>
      </c>
      <c r="G85" s="2">
        <f>(template_IRP_newest_CP_7reg!H1867*1000000000)/SUM(template_IRP_newest_CP_7reg!H1827:H1829)</f>
        <v>3.0797037388828969</v>
      </c>
      <c r="H85" s="2">
        <f>(template_IRP_newest_CP_7reg!I1867*1000000000)/SUM(template_IRP_newest_CP_7reg!I1827:I1829)</f>
        <v>3.0893399490779472</v>
      </c>
      <c r="I85" s="2">
        <f>(template_IRP_newest_CP_7reg!J1867*1000000000)/SUM(template_IRP_newest_CP_7reg!J1827:J1829)</f>
        <v>3.0977577375140428</v>
      </c>
      <c r="J85" s="2">
        <f>(template_IRP_newest_CP_7reg!K1867*1000000000)/SUM(template_IRP_newest_CP_7reg!K1827:K1829)</f>
        <v>3.1046089898639702</v>
      </c>
      <c r="K85" s="2">
        <f>(template_IRP_newest_CP_7reg!L1867*1000000000)/SUM(template_IRP_newest_CP_7reg!L1827:L1829)</f>
        <v>3.1110438129351965</v>
      </c>
      <c r="L85" s="2">
        <f>(template_IRP_newest_CP_7reg!M1867*1000000000)/SUM(template_IRP_newest_CP_7reg!M1827:M1829)</f>
        <v>3.116855565651715</v>
      </c>
      <c r="M85" s="2">
        <f>(template_IRP_newest_CP_7reg!N1867*1000000000)/SUM(template_IRP_newest_CP_7reg!N1827:N1829)</f>
        <v>3.121741330899642</v>
      </c>
    </row>
    <row r="86" spans="1:13" x14ac:dyDescent="0.25">
      <c r="B86" t="s">
        <v>263</v>
      </c>
      <c r="C86" t="s">
        <v>271</v>
      </c>
      <c r="D86" s="5" t="s">
        <v>292</v>
      </c>
      <c r="E86" s="2">
        <f>(template_IRP_newest_CP_7reg!F1868*1000000000)/SUM(template_IRP_newest_CP_7reg!F1830:F1833)</f>
        <v>7.7190327741852469</v>
      </c>
      <c r="F86" s="2">
        <f>(template_IRP_newest_CP_7reg!G1868*1000000000)/SUM(template_IRP_newest_CP_7reg!G1830:G1833)</f>
        <v>7.7449156303646287</v>
      </c>
      <c r="G86" s="2">
        <f>(template_IRP_newest_CP_7reg!H1868*1000000000)/SUM(template_IRP_newest_CP_7reg!H1830:H1833)</f>
        <v>7.7507214400397082</v>
      </c>
      <c r="H86" s="2">
        <f>(template_IRP_newest_CP_7reg!I1868*1000000000)/SUM(template_IRP_newest_CP_7reg!I1830:I1833)</f>
        <v>7.7359426205147113</v>
      </c>
      <c r="I86" s="2">
        <f>(template_IRP_newest_CP_7reg!J1868*1000000000)/SUM(template_IRP_newest_CP_7reg!J1830:J1833)</f>
        <v>7.6864603472869604</v>
      </c>
      <c r="J86" s="2">
        <f>(template_IRP_newest_CP_7reg!K1868*1000000000)/SUM(template_IRP_newest_CP_7reg!K1830:K1833)</f>
        <v>7.606525370169642</v>
      </c>
      <c r="K86" s="2">
        <f>(template_IRP_newest_CP_7reg!L1868*1000000000)/SUM(template_IRP_newest_CP_7reg!L1830:L1833)</f>
        <v>7.5268473718155118</v>
      </c>
      <c r="L86" s="2">
        <f>(template_IRP_newest_CP_7reg!M1868*1000000000)/SUM(template_IRP_newest_CP_7reg!M1830:M1833)</f>
        <v>7.4552290580375065</v>
      </c>
      <c r="M86" s="2">
        <f>(template_IRP_newest_CP_7reg!N1868*1000000000)/SUM(template_IRP_newest_CP_7reg!N1830:N1833)</f>
        <v>7.3905755044107924</v>
      </c>
    </row>
    <row r="87" spans="1:13" x14ac:dyDescent="0.25">
      <c r="A87" t="s">
        <v>294</v>
      </c>
      <c r="B87" t="s">
        <v>7</v>
      </c>
      <c r="C87" t="s">
        <v>274</v>
      </c>
      <c r="D87" s="5" t="s">
        <v>293</v>
      </c>
      <c r="E87" s="2">
        <f>(template_IRP_newest_CP_7reg!F189*1000000000)/SUM(template_IRP_newest_CP_7reg!F147:F149)</f>
        <v>51.173009412546627</v>
      </c>
      <c r="F87" s="2">
        <f>(template_IRP_newest_CP_7reg!G189*1000000000)/SUM(template_IRP_newest_CP_7reg!G147:G149)</f>
        <v>51.131549657140617</v>
      </c>
      <c r="G87" s="2">
        <f>(template_IRP_newest_CP_7reg!H189*1000000000)/SUM(template_IRP_newest_CP_7reg!H147:H149)</f>
        <v>51.095180117609758</v>
      </c>
      <c r="H87" s="2">
        <f>(template_IRP_newest_CP_7reg!I189*1000000000)/SUM(template_IRP_newest_CP_7reg!I147:I149)</f>
        <v>51.061203300027991</v>
      </c>
      <c r="I87" s="2">
        <f>(template_IRP_newest_CP_7reg!J189*1000000000)/SUM(template_IRP_newest_CP_7reg!J147:J149)</f>
        <v>51.035103515344964</v>
      </c>
      <c r="J87" s="2">
        <f>(template_IRP_newest_CP_7reg!K189*1000000000)/SUM(template_IRP_newest_CP_7reg!K147:K149)</f>
        <v>51.004942427477637</v>
      </c>
      <c r="K87" s="2">
        <f>(template_IRP_newest_CP_7reg!L189*1000000000)/SUM(template_IRP_newest_CP_7reg!L147:L149)</f>
        <v>50.974086028473543</v>
      </c>
      <c r="L87" s="2">
        <f>(template_IRP_newest_CP_7reg!M189*1000000000)/SUM(template_IRP_newest_CP_7reg!M147:M149)</f>
        <v>50.944118339170338</v>
      </c>
      <c r="M87" s="2">
        <f>(template_IRP_newest_CP_7reg!N189*1000000000)/SUM(template_IRP_newest_CP_7reg!N147:N149)</f>
        <v>50.916033214591209</v>
      </c>
    </row>
    <row r="88" spans="1:13" x14ac:dyDescent="0.25">
      <c r="B88" t="s">
        <v>257</v>
      </c>
      <c r="C88" t="s">
        <v>274</v>
      </c>
      <c r="D88" s="5" t="s">
        <v>293</v>
      </c>
      <c r="E88" s="2">
        <f>(template_IRP_newest_CP_7reg!F429*1000000000)/SUM(template_IRP_newest_CP_7reg!F387:F389)</f>
        <v>47.605578496573209</v>
      </c>
      <c r="F88" s="2">
        <f>(template_IRP_newest_CP_7reg!G429*1000000000)/SUM(template_IRP_newest_CP_7reg!G387:G389)</f>
        <v>47.486581190960429</v>
      </c>
      <c r="G88" s="2">
        <f>(template_IRP_newest_CP_7reg!H429*1000000000)/SUM(template_IRP_newest_CP_7reg!H387:H389)</f>
        <v>47.407720021561225</v>
      </c>
      <c r="H88" s="2">
        <f>(template_IRP_newest_CP_7reg!I429*1000000000)/SUM(template_IRP_newest_CP_7reg!I387:I389)</f>
        <v>47.33745949826784</v>
      </c>
      <c r="I88" s="2">
        <f>(template_IRP_newest_CP_7reg!J429*1000000000)/SUM(template_IRP_newest_CP_7reg!J387:J389)</f>
        <v>47.269104198498106</v>
      </c>
      <c r="J88" s="2">
        <f>(template_IRP_newest_CP_7reg!K429*1000000000)/SUM(template_IRP_newest_CP_7reg!K387:K389)</f>
        <v>47.209214185012208</v>
      </c>
      <c r="K88" s="2">
        <f>(template_IRP_newest_CP_7reg!L429*1000000000)/SUM(template_IRP_newest_CP_7reg!L387:L389)</f>
        <v>47.157289856027461</v>
      </c>
      <c r="L88" s="2">
        <f>(template_IRP_newest_CP_7reg!M429*1000000000)/SUM(template_IRP_newest_CP_7reg!M387:M389)</f>
        <v>47.110411722405836</v>
      </c>
      <c r="M88" s="2">
        <f>(template_IRP_newest_CP_7reg!N429*1000000000)/SUM(template_IRP_newest_CP_7reg!N387:N389)</f>
        <v>47.067609169355642</v>
      </c>
    </row>
    <row r="89" spans="1:13" x14ac:dyDescent="0.25">
      <c r="B89" t="s">
        <v>258</v>
      </c>
      <c r="C89" t="s">
        <v>274</v>
      </c>
      <c r="D89" s="5" t="s">
        <v>293</v>
      </c>
      <c r="E89" s="2">
        <f>(template_IRP_newest_CP_7reg!F669*1000000000)/SUM(template_IRP_newest_CP_7reg!F627:F629)</f>
        <v>47.072506901220606</v>
      </c>
      <c r="F89" s="2">
        <f>(template_IRP_newest_CP_7reg!G669*1000000000)/SUM(template_IRP_newest_CP_7reg!G627:G629)</f>
        <v>47.044778401158396</v>
      </c>
      <c r="G89" s="2">
        <f>(template_IRP_newest_CP_7reg!H669*1000000000)/SUM(template_IRP_newest_CP_7reg!H627:H629)</f>
        <v>47.018103937311508</v>
      </c>
      <c r="H89" s="2">
        <f>(template_IRP_newest_CP_7reg!I669*1000000000)/SUM(template_IRP_newest_CP_7reg!I627:I629)</f>
        <v>46.985551129270377</v>
      </c>
      <c r="I89" s="2">
        <f>(template_IRP_newest_CP_7reg!J669*1000000000)/SUM(template_IRP_newest_CP_7reg!J627:J629)</f>
        <v>46.945553343641585</v>
      </c>
      <c r="J89" s="2">
        <f>(template_IRP_newest_CP_7reg!K669*1000000000)/SUM(template_IRP_newest_CP_7reg!K627:K629)</f>
        <v>46.920949986979601</v>
      </c>
      <c r="K89" s="2">
        <f>(template_IRP_newest_CP_7reg!L669*1000000000)/SUM(template_IRP_newest_CP_7reg!L627:L629)</f>
        <v>46.888048360495063</v>
      </c>
      <c r="L89" s="2">
        <f>(template_IRP_newest_CP_7reg!M669*1000000000)/SUM(template_IRP_newest_CP_7reg!M627:M629)</f>
        <v>46.849997869107902</v>
      </c>
      <c r="M89" s="2">
        <f>(template_IRP_newest_CP_7reg!N669*1000000000)/SUM(template_IRP_newest_CP_7reg!N627:N629)</f>
        <v>46.809578527758923</v>
      </c>
    </row>
    <row r="90" spans="1:13" x14ac:dyDescent="0.25">
      <c r="B90" t="s">
        <v>259</v>
      </c>
      <c r="C90" t="s">
        <v>274</v>
      </c>
      <c r="D90" s="5" t="s">
        <v>293</v>
      </c>
      <c r="E90" s="2">
        <f>(template_IRP_newest_CP_7reg!F909*1000000000)/SUM(template_IRP_newest_CP_7reg!F867:F869)</f>
        <v>48.324898841492583</v>
      </c>
      <c r="F90" s="2">
        <f>(template_IRP_newest_CP_7reg!G909*1000000000)/SUM(template_IRP_newest_CP_7reg!G867:G869)</f>
        <v>48.298077720476819</v>
      </c>
      <c r="G90" s="2">
        <f>(template_IRP_newest_CP_7reg!H909*1000000000)/SUM(template_IRP_newest_CP_7reg!H867:H869)</f>
        <v>48.222122381218526</v>
      </c>
      <c r="H90" s="2">
        <f>(template_IRP_newest_CP_7reg!I909*1000000000)/SUM(template_IRP_newest_CP_7reg!I867:I869)</f>
        <v>48.116631456034227</v>
      </c>
      <c r="I90" s="2">
        <f>(template_IRP_newest_CP_7reg!J909*1000000000)/SUM(template_IRP_newest_CP_7reg!J867:J869)</f>
        <v>48.025199574793014</v>
      </c>
      <c r="J90" s="2">
        <f>(template_IRP_newest_CP_7reg!K909*1000000000)/SUM(template_IRP_newest_CP_7reg!K867:K869)</f>
        <v>47.946771764538383</v>
      </c>
      <c r="K90" s="2">
        <f>(template_IRP_newest_CP_7reg!L909*1000000000)/SUM(template_IRP_newest_CP_7reg!L867:L869)</f>
        <v>47.870973708123223</v>
      </c>
      <c r="L90" s="2">
        <f>(template_IRP_newest_CP_7reg!M909*1000000000)/SUM(template_IRP_newest_CP_7reg!M867:M869)</f>
        <v>47.797601683344645</v>
      </c>
      <c r="M90" s="2">
        <f>(template_IRP_newest_CP_7reg!N909*1000000000)/SUM(template_IRP_newest_CP_7reg!N867:N869)</f>
        <v>47.729771894423493</v>
      </c>
    </row>
    <row r="91" spans="1:13" x14ac:dyDescent="0.25">
      <c r="B91" t="s">
        <v>260</v>
      </c>
      <c r="C91" t="s">
        <v>274</v>
      </c>
      <c r="D91" s="5" t="s">
        <v>293</v>
      </c>
      <c r="E91" s="2">
        <f>(template_IRP_newest_CP_7reg!F1149*1000000000)/SUM(template_IRP_newest_CP_7reg!F1107:F1109)</f>
        <v>49.248712296324918</v>
      </c>
      <c r="F91" s="2">
        <f>(template_IRP_newest_CP_7reg!G1149*1000000000)/SUM(template_IRP_newest_CP_7reg!G1107:G1109)</f>
        <v>49.132900935830058</v>
      </c>
      <c r="G91" s="2">
        <f>(template_IRP_newest_CP_7reg!H1149*1000000000)/SUM(template_IRP_newest_CP_7reg!H1107:H1109)</f>
        <v>49.005725200533398</v>
      </c>
      <c r="H91" s="2">
        <f>(template_IRP_newest_CP_7reg!I1149*1000000000)/SUM(template_IRP_newest_CP_7reg!I1107:I1109)</f>
        <v>48.87061838866083</v>
      </c>
      <c r="I91" s="2">
        <f>(template_IRP_newest_CP_7reg!J1149*1000000000)/SUM(template_IRP_newest_CP_7reg!J1107:J1109)</f>
        <v>48.750287006486396</v>
      </c>
      <c r="J91" s="2">
        <f>(template_IRP_newest_CP_7reg!K1149*1000000000)/SUM(template_IRP_newest_CP_7reg!K1107:K1109)</f>
        <v>48.626735370092952</v>
      </c>
      <c r="K91" s="2">
        <f>(template_IRP_newest_CP_7reg!L1149*1000000000)/SUM(template_IRP_newest_CP_7reg!L1107:L1109)</f>
        <v>48.507210106477579</v>
      </c>
      <c r="L91" s="2">
        <f>(template_IRP_newest_CP_7reg!M1149*1000000000)/SUM(template_IRP_newest_CP_7reg!M1107:M1109)</f>
        <v>48.395432165831885</v>
      </c>
      <c r="M91" s="2">
        <f>(template_IRP_newest_CP_7reg!N1149*1000000000)/SUM(template_IRP_newest_CP_7reg!N1107:N1109)</f>
        <v>48.293436273374304</v>
      </c>
    </row>
    <row r="92" spans="1:13" x14ac:dyDescent="0.25">
      <c r="B92" t="s">
        <v>261</v>
      </c>
      <c r="C92" t="s">
        <v>274</v>
      </c>
      <c r="D92" s="5" t="s">
        <v>293</v>
      </c>
      <c r="E92" s="2">
        <f>(template_IRP_newest_CP_7reg!F1389*1000000000)/SUM(template_IRP_newest_CP_7reg!F1347:F1349)</f>
        <v>49.228746999488415</v>
      </c>
      <c r="F92" s="2">
        <f>(template_IRP_newest_CP_7reg!G1389*1000000000)/SUM(template_IRP_newest_CP_7reg!G1347:G1349)</f>
        <v>49.16475390000253</v>
      </c>
      <c r="G92" s="2">
        <f>(template_IRP_newest_CP_7reg!H1389*1000000000)/SUM(template_IRP_newest_CP_7reg!H1347:H1349)</f>
        <v>49.099483875845387</v>
      </c>
      <c r="H92" s="2">
        <f>(template_IRP_newest_CP_7reg!I1389*1000000000)/SUM(template_IRP_newest_CP_7reg!I1347:I1349)</f>
        <v>49.037455458774126</v>
      </c>
      <c r="I92" s="2">
        <f>(template_IRP_newest_CP_7reg!J1389*1000000000)/SUM(template_IRP_newest_CP_7reg!J1347:J1349)</f>
        <v>48.981942231716353</v>
      </c>
      <c r="J92" s="2">
        <f>(template_IRP_newest_CP_7reg!K1389*1000000000)/SUM(template_IRP_newest_CP_7reg!K1347:K1349)</f>
        <v>48.93172591585342</v>
      </c>
      <c r="K92" s="2">
        <f>(template_IRP_newest_CP_7reg!L1389*1000000000)/SUM(template_IRP_newest_CP_7reg!L1347:L1349)</f>
        <v>48.885253377805576</v>
      </c>
      <c r="L92" s="2">
        <f>(template_IRP_newest_CP_7reg!M1389*1000000000)/SUM(template_IRP_newest_CP_7reg!M1347:M1349)</f>
        <v>48.842014391601104</v>
      </c>
      <c r="M92" s="2">
        <f>(template_IRP_newest_CP_7reg!N1389*1000000000)/SUM(template_IRP_newest_CP_7reg!N1347:N1349)</f>
        <v>48.802341798842299</v>
      </c>
    </row>
    <row r="93" spans="1:13" x14ac:dyDescent="0.25">
      <c r="B93" t="s">
        <v>262</v>
      </c>
      <c r="C93" t="s">
        <v>274</v>
      </c>
      <c r="D93" s="5" t="s">
        <v>293</v>
      </c>
      <c r="E93" s="2">
        <f>(template_IRP_newest_CP_7reg!F1629*1000000000)/SUM(template_IRP_newest_CP_7reg!F1587:F1589)</f>
        <v>48.651622076111579</v>
      </c>
      <c r="F93" s="2">
        <f>(template_IRP_newest_CP_7reg!G1629*1000000000)/SUM(template_IRP_newest_CP_7reg!G1587:G1589)</f>
        <v>48.475836104703603</v>
      </c>
      <c r="G93" s="2">
        <f>(template_IRP_newest_CP_7reg!H1629*1000000000)/SUM(template_IRP_newest_CP_7reg!H1587:H1589)</f>
        <v>48.296811202368474</v>
      </c>
      <c r="H93" s="2">
        <f>(template_IRP_newest_CP_7reg!I1629*1000000000)/SUM(template_IRP_newest_CP_7reg!I1587:I1589)</f>
        <v>48.107179922873677</v>
      </c>
      <c r="I93" s="2">
        <f>(template_IRP_newest_CP_7reg!J1629*1000000000)/SUM(template_IRP_newest_CP_7reg!J1587:J1589)</f>
        <v>47.932073324800186</v>
      </c>
      <c r="J93" s="2">
        <f>(template_IRP_newest_CP_7reg!K1629*1000000000)/SUM(template_IRP_newest_CP_7reg!K1587:K1589)</f>
        <v>47.783238218473244</v>
      </c>
      <c r="K93" s="2">
        <f>(template_IRP_newest_CP_7reg!L1629*1000000000)/SUM(template_IRP_newest_CP_7reg!L1587:L1589)</f>
        <v>47.640437534102716</v>
      </c>
      <c r="L93" s="2">
        <f>(template_IRP_newest_CP_7reg!M1629*1000000000)/SUM(template_IRP_newest_CP_7reg!M1587:M1589)</f>
        <v>47.506139279639697</v>
      </c>
      <c r="M93" s="2">
        <f>(template_IRP_newest_CP_7reg!N1629*1000000000)/SUM(template_IRP_newest_CP_7reg!N1587:N1589)</f>
        <v>47.382883109798904</v>
      </c>
    </row>
    <row r="94" spans="1:13" x14ac:dyDescent="0.25">
      <c r="B94" t="s">
        <v>263</v>
      </c>
      <c r="C94" t="s">
        <v>274</v>
      </c>
      <c r="D94" s="5" t="s">
        <v>293</v>
      </c>
      <c r="E94" s="2">
        <f>(template_IRP_newest_CP_7reg!F1869*1000000000)/SUM(template_IRP_newest_CP_7reg!F1827:F1829)</f>
        <v>48.678518923449012</v>
      </c>
      <c r="F94" s="2">
        <f>(template_IRP_newest_CP_7reg!G1869*1000000000)/SUM(template_IRP_newest_CP_7reg!G1827:G1829)</f>
        <v>48.565177611363346</v>
      </c>
      <c r="G94" s="2">
        <f>(template_IRP_newest_CP_7reg!H1869*1000000000)/SUM(template_IRP_newest_CP_7reg!H1827:H1829)</f>
        <v>48.457495843502763</v>
      </c>
      <c r="H94" s="2">
        <f>(template_IRP_newest_CP_7reg!I1869*1000000000)/SUM(template_IRP_newest_CP_7reg!I1827:I1829)</f>
        <v>48.341543188639513</v>
      </c>
      <c r="I94" s="2">
        <f>(template_IRP_newest_CP_7reg!J1869*1000000000)/SUM(template_IRP_newest_CP_7reg!J1827:J1829)</f>
        <v>48.232774900150993</v>
      </c>
      <c r="J94" s="2">
        <f>(template_IRP_newest_CP_7reg!K1869*1000000000)/SUM(template_IRP_newest_CP_7reg!K1827:K1829)</f>
        <v>48.131411385286206</v>
      </c>
      <c r="K94" s="2">
        <f>(template_IRP_newest_CP_7reg!L1869*1000000000)/SUM(template_IRP_newest_CP_7reg!L1827:L1829)</f>
        <v>48.032134640674037</v>
      </c>
      <c r="L94" s="2">
        <f>(template_IRP_newest_CP_7reg!M1869*1000000000)/SUM(template_IRP_newest_CP_7reg!M1827:M1829)</f>
        <v>47.936815182509143</v>
      </c>
      <c r="M94" s="2">
        <f>(template_IRP_newest_CP_7reg!N1869*1000000000)/SUM(template_IRP_newest_CP_7reg!N1827:N1829)</f>
        <v>47.848274138118526</v>
      </c>
    </row>
    <row r="95" spans="1:13" x14ac:dyDescent="0.25">
      <c r="B95" t="s">
        <v>263</v>
      </c>
      <c r="C95" t="s">
        <v>271</v>
      </c>
      <c r="D95" s="5" t="s">
        <v>293</v>
      </c>
      <c r="E95" s="2">
        <f>(template_IRP_newest_CP_7reg!F1870*1000000000)/SUM(template_IRP_newest_CP_7reg!F1830:F1833)</f>
        <v>16.826320654662918</v>
      </c>
      <c r="F95" s="2">
        <f>(template_IRP_newest_CP_7reg!G1870*1000000000)/SUM(template_IRP_newest_CP_7reg!G1830:G1833)</f>
        <v>16.831966136885246</v>
      </c>
      <c r="G95" s="2">
        <f>(template_IRP_newest_CP_7reg!H1870*1000000000)/SUM(template_IRP_newest_CP_7reg!H1830:H1833)</f>
        <v>16.838428193879725</v>
      </c>
      <c r="H95" s="2">
        <f>(template_IRP_newest_CP_7reg!I1870*1000000000)/SUM(template_IRP_newest_CP_7reg!I1830:I1833)</f>
        <v>16.829353507813209</v>
      </c>
      <c r="I95" s="2">
        <f>(template_IRP_newest_CP_7reg!J1870*1000000000)/SUM(template_IRP_newest_CP_7reg!J1830:J1833)</f>
        <v>16.801432825544168</v>
      </c>
      <c r="J95" s="2">
        <f>(template_IRP_newest_CP_7reg!K1870*1000000000)/SUM(template_IRP_newest_CP_7reg!K1830:K1833)</f>
        <v>16.76889081400374</v>
      </c>
      <c r="K95" s="2">
        <f>(template_IRP_newest_CP_7reg!L1870*1000000000)/SUM(template_IRP_newest_CP_7reg!L1830:L1833)</f>
        <v>16.742109793448897</v>
      </c>
      <c r="L95" s="2">
        <f>(template_IRP_newest_CP_7reg!M1870*1000000000)/SUM(template_IRP_newest_CP_7reg!M1830:M1833)</f>
        <v>16.723201492856418</v>
      </c>
      <c r="M95" s="2">
        <f>(template_IRP_newest_CP_7reg!N1870*1000000000)/SUM(template_IRP_newest_CP_7reg!N1830:N1833)</f>
        <v>16.709282745116798</v>
      </c>
    </row>
  </sheetData>
  <phoneticPr fontId="19" type="noConversion"/>
  <dataValidations count="1">
    <dataValidation type="list" allowBlank="1" showInputMessage="1" showErrorMessage="1" sqref="O52" xr:uid="{EA060CD2-5B8E-4844-81F5-FAD6A6132713}">
      <formula1>"Steel,Aluminium,Copper,Concrete,Glass,Wood"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template_IRP_newest_CP_7reg</vt:lpstr>
      <vt:lpstr>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2022-12-19T14:50:11Z</dcterms:created>
  <dcterms:modified xsi:type="dcterms:W3CDTF">2022-12-20T11:20:32Z</dcterms:modified>
</cp:coreProperties>
</file>