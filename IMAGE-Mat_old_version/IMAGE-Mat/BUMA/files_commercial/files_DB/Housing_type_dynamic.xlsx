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urfdrive\Projects\IRP\GRO23\Modelling\2060\BUMA\files_DB\"/>
    </mc:Choice>
  </mc:AlternateContent>
  <xr:revisionPtr revIDLastSave="0" documentId="13_ncr:1_{210A3EB5-7EAD-4986-880D-8A2434E37E41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Fishman 2021" sheetId="2" r:id="rId1"/>
    <sheet name="Housing_type_original" sheetId="5" r:id="rId2"/>
    <sheet name="Housing_type_dynamic" sheetId="1" r:id="rId3"/>
    <sheet name="Housing_type_dynamic_SSP2" sheetId="6" r:id="rId4"/>
    <sheet name="Pivot" sheetId="7" r:id="rId5"/>
  </sheet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D22" i="6" l="1"/>
  <c r="E22" i="6"/>
  <c r="F22" i="6"/>
  <c r="G22" i="6"/>
  <c r="D23" i="6"/>
  <c r="E23" i="6"/>
  <c r="F23" i="6"/>
  <c r="F75" i="6" s="1"/>
  <c r="G23" i="6"/>
  <c r="G75" i="6" s="1"/>
  <c r="D24" i="6"/>
  <c r="E24" i="6"/>
  <c r="F24" i="6"/>
  <c r="G24" i="6"/>
  <c r="D25" i="6"/>
  <c r="E25" i="6"/>
  <c r="F25" i="6"/>
  <c r="F77" i="6" s="1"/>
  <c r="G25" i="6"/>
  <c r="D26" i="6"/>
  <c r="E26" i="6"/>
  <c r="F26" i="6"/>
  <c r="G26" i="6"/>
  <c r="D27" i="6"/>
  <c r="E27" i="6"/>
  <c r="F27" i="6"/>
  <c r="F79" i="6" s="1"/>
  <c r="G27" i="6"/>
  <c r="G79" i="6" s="1"/>
  <c r="D28" i="6"/>
  <c r="E28" i="6"/>
  <c r="F28" i="6"/>
  <c r="G28" i="6"/>
  <c r="D29" i="6"/>
  <c r="E29" i="6"/>
  <c r="F29" i="6"/>
  <c r="F81" i="6" s="1"/>
  <c r="G29" i="6"/>
  <c r="D30" i="6"/>
  <c r="E30" i="6"/>
  <c r="F30" i="6"/>
  <c r="G30" i="6"/>
  <c r="D31" i="6"/>
  <c r="E31" i="6"/>
  <c r="F31" i="6"/>
  <c r="F83" i="6" s="1"/>
  <c r="G31" i="6"/>
  <c r="G83" i="6" s="1"/>
  <c r="D32" i="6"/>
  <c r="E32" i="6"/>
  <c r="F32" i="6"/>
  <c r="G32" i="6"/>
  <c r="D33" i="6"/>
  <c r="E33" i="6"/>
  <c r="F33" i="6"/>
  <c r="F85" i="6" s="1"/>
  <c r="G33" i="6"/>
  <c r="D34" i="6"/>
  <c r="E34" i="6"/>
  <c r="F34" i="6"/>
  <c r="G34" i="6"/>
  <c r="D35" i="6"/>
  <c r="E35" i="6"/>
  <c r="F35" i="6"/>
  <c r="F87" i="6" s="1"/>
  <c r="G35" i="6"/>
  <c r="G87" i="6" s="1"/>
  <c r="D36" i="6"/>
  <c r="E36" i="6"/>
  <c r="F36" i="6"/>
  <c r="G36" i="6"/>
  <c r="D37" i="6"/>
  <c r="E37" i="6"/>
  <c r="F37" i="6"/>
  <c r="F89" i="6" s="1"/>
  <c r="G37" i="6"/>
  <c r="D38" i="6"/>
  <c r="E38" i="6"/>
  <c r="F38" i="6"/>
  <c r="G38" i="6"/>
  <c r="D39" i="6"/>
  <c r="E39" i="6"/>
  <c r="F39" i="6"/>
  <c r="F91" i="6" s="1"/>
  <c r="G39" i="6"/>
  <c r="G91" i="6" s="1"/>
  <c r="D40" i="6"/>
  <c r="E40" i="6"/>
  <c r="F40" i="6"/>
  <c r="G40" i="6"/>
  <c r="D41" i="6"/>
  <c r="E41" i="6"/>
  <c r="F41" i="6"/>
  <c r="F93" i="6" s="1"/>
  <c r="G41" i="6"/>
  <c r="D42" i="6"/>
  <c r="E42" i="6"/>
  <c r="F42" i="6"/>
  <c r="G42" i="6"/>
  <c r="D43" i="6"/>
  <c r="E43" i="6"/>
  <c r="F43" i="6"/>
  <c r="F95" i="6" s="1"/>
  <c r="G43" i="6"/>
  <c r="G95" i="6" s="1"/>
  <c r="D44" i="6"/>
  <c r="E44" i="6"/>
  <c r="F44" i="6"/>
  <c r="G44" i="6"/>
  <c r="D45" i="6"/>
  <c r="E45" i="6"/>
  <c r="F45" i="6"/>
  <c r="F97" i="6" s="1"/>
  <c r="G45" i="6"/>
  <c r="D46" i="6"/>
  <c r="E46" i="6"/>
  <c r="F46" i="6"/>
  <c r="G46" i="6"/>
  <c r="D47" i="6"/>
  <c r="E47" i="6"/>
  <c r="F47" i="6"/>
  <c r="F99" i="6" s="1"/>
  <c r="G47" i="6"/>
  <c r="G99" i="6" s="1"/>
  <c r="D48" i="6"/>
  <c r="E48" i="6"/>
  <c r="F48" i="6"/>
  <c r="G48" i="6"/>
  <c r="D49" i="6"/>
  <c r="E49" i="6"/>
  <c r="F49" i="6"/>
  <c r="F101" i="6" s="1"/>
  <c r="G49" i="6"/>
  <c r="D50" i="6"/>
  <c r="E50" i="6"/>
  <c r="F50" i="6"/>
  <c r="G50" i="6"/>
  <c r="D51" i="6"/>
  <c r="E51" i="6"/>
  <c r="F51" i="6"/>
  <c r="F103" i="6" s="1"/>
  <c r="G51" i="6"/>
  <c r="G103" i="6" s="1"/>
  <c r="D52" i="6"/>
  <c r="D104" i="6" s="1"/>
  <c r="E52" i="6"/>
  <c r="F52" i="6"/>
  <c r="G52" i="6"/>
  <c r="D53" i="6"/>
  <c r="E53" i="6"/>
  <c r="F53" i="6"/>
  <c r="F105" i="6" s="1"/>
  <c r="G53" i="6"/>
  <c r="D4" i="6"/>
  <c r="E4" i="6"/>
  <c r="E56" i="6" s="1"/>
  <c r="F4" i="6"/>
  <c r="G4" i="6"/>
  <c r="D5" i="6"/>
  <c r="E5" i="6"/>
  <c r="E57" i="6" s="1"/>
  <c r="F5" i="6"/>
  <c r="G5" i="6"/>
  <c r="D6" i="6"/>
  <c r="E6" i="6"/>
  <c r="E58" i="6" s="1"/>
  <c r="F6" i="6"/>
  <c r="G6" i="6"/>
  <c r="D7" i="6"/>
  <c r="D59" i="6" s="1"/>
  <c r="E7" i="6"/>
  <c r="E59" i="6" s="1"/>
  <c r="F7" i="6"/>
  <c r="G7" i="6"/>
  <c r="D8" i="6"/>
  <c r="E8" i="6"/>
  <c r="E60" i="6" s="1"/>
  <c r="F8" i="6"/>
  <c r="G8" i="6"/>
  <c r="D9" i="6"/>
  <c r="E9" i="6"/>
  <c r="E61" i="6" s="1"/>
  <c r="F9" i="6"/>
  <c r="G9" i="6"/>
  <c r="D10" i="6"/>
  <c r="E10" i="6"/>
  <c r="E62" i="6" s="1"/>
  <c r="F10" i="6"/>
  <c r="G10" i="6"/>
  <c r="D11" i="6"/>
  <c r="D63" i="6" s="1"/>
  <c r="E11" i="6"/>
  <c r="E63" i="6" s="1"/>
  <c r="F11" i="6"/>
  <c r="G11" i="6"/>
  <c r="D12" i="6"/>
  <c r="E12" i="6"/>
  <c r="E64" i="6" s="1"/>
  <c r="F12" i="6"/>
  <c r="G12" i="6"/>
  <c r="D13" i="6"/>
  <c r="E13" i="6"/>
  <c r="E65" i="6" s="1"/>
  <c r="F13" i="6"/>
  <c r="G13" i="6"/>
  <c r="D14" i="6"/>
  <c r="E14" i="6"/>
  <c r="E66" i="6" s="1"/>
  <c r="F14" i="6"/>
  <c r="G14" i="6"/>
  <c r="D15" i="6"/>
  <c r="D67" i="6" s="1"/>
  <c r="E15" i="6"/>
  <c r="E67" i="6" s="1"/>
  <c r="F15" i="6"/>
  <c r="G15" i="6"/>
  <c r="D16" i="6"/>
  <c r="D68" i="6" s="1"/>
  <c r="E16" i="6"/>
  <c r="E68" i="6" s="1"/>
  <c r="F16" i="6"/>
  <c r="G16" i="6"/>
  <c r="D17" i="6"/>
  <c r="E17" i="6"/>
  <c r="E69" i="6" s="1"/>
  <c r="F17" i="6"/>
  <c r="G17" i="6"/>
  <c r="D18" i="6"/>
  <c r="E18" i="6"/>
  <c r="E70" i="6" s="1"/>
  <c r="F18" i="6"/>
  <c r="G18" i="6"/>
  <c r="D19" i="6"/>
  <c r="D71" i="6" s="1"/>
  <c r="E19" i="6"/>
  <c r="E71" i="6" s="1"/>
  <c r="F19" i="6"/>
  <c r="F71" i="6" s="1"/>
  <c r="G19" i="6"/>
  <c r="D20" i="6"/>
  <c r="E20" i="6"/>
  <c r="E72" i="6" s="1"/>
  <c r="F20" i="6"/>
  <c r="G20" i="6"/>
  <c r="D21" i="6"/>
  <c r="E21" i="6"/>
  <c r="E73" i="6" s="1"/>
  <c r="F21" i="6"/>
  <c r="G21" i="6"/>
  <c r="D3" i="6"/>
  <c r="D55" i="6" s="1"/>
  <c r="E3" i="6"/>
  <c r="E55" i="6" s="1"/>
  <c r="F3" i="6"/>
  <c r="G3" i="6"/>
  <c r="D55" i="1"/>
  <c r="E55" i="1"/>
  <c r="F55" i="1"/>
  <c r="G55" i="1"/>
  <c r="D56" i="1"/>
  <c r="E56" i="1"/>
  <c r="F56" i="1"/>
  <c r="G56" i="1"/>
  <c r="D57" i="1"/>
  <c r="E57" i="1"/>
  <c r="F57" i="1"/>
  <c r="G57" i="1"/>
  <c r="D58" i="1"/>
  <c r="E58" i="1"/>
  <c r="F58" i="1"/>
  <c r="G58" i="1"/>
  <c r="D59" i="1"/>
  <c r="E59" i="1"/>
  <c r="F59" i="1"/>
  <c r="G59" i="1"/>
  <c r="D60" i="1"/>
  <c r="E60" i="1"/>
  <c r="F60" i="1"/>
  <c r="G60" i="1"/>
  <c r="D61" i="1"/>
  <c r="E61" i="1"/>
  <c r="F61" i="1"/>
  <c r="G61" i="1"/>
  <c r="D62" i="1"/>
  <c r="E62" i="1"/>
  <c r="F62" i="1"/>
  <c r="G62" i="1"/>
  <c r="D63" i="1"/>
  <c r="E63" i="1"/>
  <c r="F63" i="1"/>
  <c r="G63" i="1"/>
  <c r="D64" i="1"/>
  <c r="E64" i="1"/>
  <c r="F64" i="1"/>
  <c r="G64" i="1"/>
  <c r="D65" i="1"/>
  <c r="E65" i="1"/>
  <c r="F65" i="1"/>
  <c r="G65" i="1"/>
  <c r="D66" i="1"/>
  <c r="E66" i="1"/>
  <c r="F66" i="1"/>
  <c r="G66" i="1"/>
  <c r="D67" i="1"/>
  <c r="E67" i="1"/>
  <c r="F67" i="1"/>
  <c r="G67" i="1"/>
  <c r="D68" i="1"/>
  <c r="E68" i="1"/>
  <c r="F68" i="1"/>
  <c r="G68" i="1"/>
  <c r="D69" i="1"/>
  <c r="E69" i="1"/>
  <c r="F69" i="1"/>
  <c r="G69" i="1"/>
  <c r="D70" i="1"/>
  <c r="E70" i="1"/>
  <c r="F70" i="1"/>
  <c r="G70" i="1"/>
  <c r="D71" i="1"/>
  <c r="E71" i="1"/>
  <c r="F71" i="1"/>
  <c r="G71" i="1"/>
  <c r="D72" i="1"/>
  <c r="E72" i="1"/>
  <c r="F72" i="1"/>
  <c r="G72" i="1"/>
  <c r="D73" i="1"/>
  <c r="E73" i="1"/>
  <c r="F73" i="1"/>
  <c r="G73" i="1"/>
  <c r="D74" i="1"/>
  <c r="E74" i="1"/>
  <c r="F74" i="1"/>
  <c r="G74" i="1"/>
  <c r="D75" i="1"/>
  <c r="E75" i="1"/>
  <c r="F75" i="1"/>
  <c r="G75" i="1"/>
  <c r="D76" i="1"/>
  <c r="E76" i="1"/>
  <c r="F76" i="1"/>
  <c r="G76" i="1"/>
  <c r="D77" i="1"/>
  <c r="E77" i="1"/>
  <c r="F77" i="1"/>
  <c r="G77" i="1"/>
  <c r="D78" i="1"/>
  <c r="E78" i="1"/>
  <c r="F78" i="1"/>
  <c r="G78" i="1"/>
  <c r="D79" i="1"/>
  <c r="E79" i="1"/>
  <c r="F79" i="1"/>
  <c r="G79" i="1"/>
  <c r="D80" i="1"/>
  <c r="E80" i="1"/>
  <c r="F80" i="1"/>
  <c r="G80" i="1"/>
  <c r="D81" i="1"/>
  <c r="E81" i="1"/>
  <c r="F81" i="1"/>
  <c r="G81" i="1"/>
  <c r="D82" i="1"/>
  <c r="E82" i="1"/>
  <c r="F82" i="1"/>
  <c r="G82" i="1"/>
  <c r="D83" i="1"/>
  <c r="E83" i="1"/>
  <c r="F83" i="1"/>
  <c r="G83" i="1"/>
  <c r="D84" i="1"/>
  <c r="E84" i="1"/>
  <c r="F84" i="1"/>
  <c r="G84" i="1"/>
  <c r="D85" i="1"/>
  <c r="E85" i="1"/>
  <c r="F85" i="1"/>
  <c r="G85" i="1"/>
  <c r="D86" i="1"/>
  <c r="E86" i="1"/>
  <c r="F86" i="1"/>
  <c r="G86" i="1"/>
  <c r="D87" i="1"/>
  <c r="E87" i="1"/>
  <c r="F87" i="1"/>
  <c r="G87" i="1"/>
  <c r="D88" i="1"/>
  <c r="E88" i="1"/>
  <c r="F88" i="1"/>
  <c r="G88" i="1"/>
  <c r="D89" i="1"/>
  <c r="E89" i="1"/>
  <c r="F89" i="1"/>
  <c r="G89" i="1"/>
  <c r="D90" i="1"/>
  <c r="E90" i="1"/>
  <c r="F90" i="1"/>
  <c r="G90" i="1"/>
  <c r="D91" i="1"/>
  <c r="E91" i="1"/>
  <c r="F91" i="1"/>
  <c r="G91" i="1"/>
  <c r="D92" i="1"/>
  <c r="E92" i="1"/>
  <c r="F92" i="1"/>
  <c r="G92" i="1"/>
  <c r="D93" i="1"/>
  <c r="E93" i="1"/>
  <c r="F93" i="1"/>
  <c r="G93" i="1"/>
  <c r="D94" i="1"/>
  <c r="E94" i="1"/>
  <c r="F94" i="1"/>
  <c r="G94" i="1"/>
  <c r="D95" i="1"/>
  <c r="E95" i="1"/>
  <c r="F95" i="1"/>
  <c r="G95" i="1"/>
  <c r="D96" i="1"/>
  <c r="E96" i="1"/>
  <c r="F96" i="1"/>
  <c r="G96" i="1"/>
  <c r="D97" i="1"/>
  <c r="E97" i="1"/>
  <c r="F97" i="1"/>
  <c r="G97" i="1"/>
  <c r="D98" i="1"/>
  <c r="E98" i="1"/>
  <c r="F98" i="1"/>
  <c r="G98" i="1"/>
  <c r="D99" i="1"/>
  <c r="E99" i="1"/>
  <c r="F99" i="1"/>
  <c r="G99" i="1"/>
  <c r="D100" i="1"/>
  <c r="E100" i="1"/>
  <c r="F100" i="1"/>
  <c r="G100" i="1"/>
  <c r="D101" i="1"/>
  <c r="E101" i="1"/>
  <c r="F101" i="1"/>
  <c r="G101" i="1"/>
  <c r="D102" i="1"/>
  <c r="E102" i="1"/>
  <c r="F102" i="1"/>
  <c r="G102" i="1"/>
  <c r="D103" i="1"/>
  <c r="E103" i="1"/>
  <c r="F103" i="1"/>
  <c r="G103" i="1"/>
  <c r="D104" i="1"/>
  <c r="E104" i="1"/>
  <c r="F104" i="1"/>
  <c r="G104" i="1"/>
  <c r="D105" i="1"/>
  <c r="E105" i="1"/>
  <c r="F105" i="1"/>
  <c r="G105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3" i="1"/>
  <c r="E3" i="1"/>
  <c r="F3" i="1"/>
  <c r="G3" i="1"/>
  <c r="G104" i="6"/>
  <c r="F104" i="6"/>
  <c r="E104" i="6"/>
  <c r="G102" i="6"/>
  <c r="F102" i="6"/>
  <c r="E102" i="6"/>
  <c r="D102" i="6"/>
  <c r="G100" i="6"/>
  <c r="F100" i="6"/>
  <c r="E100" i="6"/>
  <c r="D100" i="6"/>
  <c r="G98" i="6"/>
  <c r="F98" i="6"/>
  <c r="E98" i="6"/>
  <c r="D98" i="6"/>
  <c r="G96" i="6"/>
  <c r="F96" i="6"/>
  <c r="E96" i="6"/>
  <c r="D96" i="6"/>
  <c r="G94" i="6"/>
  <c r="F94" i="6"/>
  <c r="E94" i="6"/>
  <c r="D94" i="6"/>
  <c r="G92" i="6"/>
  <c r="F92" i="6"/>
  <c r="E92" i="6"/>
  <c r="D92" i="6"/>
  <c r="G90" i="6"/>
  <c r="F90" i="6"/>
  <c r="E90" i="6"/>
  <c r="D90" i="6"/>
  <c r="G88" i="6"/>
  <c r="F88" i="6"/>
  <c r="E88" i="6"/>
  <c r="D88" i="6"/>
  <c r="G86" i="6"/>
  <c r="F86" i="6"/>
  <c r="E86" i="6"/>
  <c r="D86" i="6"/>
  <c r="G84" i="6"/>
  <c r="F84" i="6"/>
  <c r="E84" i="6"/>
  <c r="D84" i="6"/>
  <c r="G82" i="6"/>
  <c r="F82" i="6"/>
  <c r="E82" i="6"/>
  <c r="D82" i="6"/>
  <c r="G80" i="6"/>
  <c r="F80" i="6"/>
  <c r="E80" i="6"/>
  <c r="D80" i="6"/>
  <c r="G78" i="6"/>
  <c r="F78" i="6"/>
  <c r="E78" i="6"/>
  <c r="D78" i="6"/>
  <c r="G76" i="6"/>
  <c r="F76" i="6"/>
  <c r="E76" i="6"/>
  <c r="D76" i="6"/>
  <c r="G74" i="6"/>
  <c r="F74" i="6"/>
  <c r="E74" i="6"/>
  <c r="D74" i="6"/>
  <c r="G72" i="6"/>
  <c r="F72" i="6"/>
  <c r="G70" i="6"/>
  <c r="F70" i="6"/>
  <c r="G68" i="6"/>
  <c r="F68" i="6"/>
  <c r="G66" i="6"/>
  <c r="F66" i="6"/>
  <c r="G64" i="6"/>
  <c r="F64" i="6"/>
  <c r="G62" i="6"/>
  <c r="F62" i="6"/>
  <c r="G60" i="6"/>
  <c r="F60" i="6"/>
  <c r="G58" i="6"/>
  <c r="F58" i="6"/>
  <c r="G56" i="6"/>
  <c r="F56" i="6"/>
  <c r="D56" i="6"/>
  <c r="G54" i="6"/>
  <c r="F54" i="6"/>
  <c r="E54" i="6"/>
  <c r="D54" i="6"/>
  <c r="G105" i="6"/>
  <c r="E105" i="6"/>
  <c r="D105" i="6"/>
  <c r="E103" i="6"/>
  <c r="D103" i="6"/>
  <c r="G101" i="6"/>
  <c r="E101" i="6"/>
  <c r="D101" i="6"/>
  <c r="E99" i="6"/>
  <c r="D99" i="6"/>
  <c r="G97" i="6"/>
  <c r="E97" i="6"/>
  <c r="D97" i="6"/>
  <c r="E95" i="6"/>
  <c r="D95" i="6"/>
  <c r="G93" i="6"/>
  <c r="E93" i="6"/>
  <c r="D93" i="6"/>
  <c r="E91" i="6"/>
  <c r="D91" i="6"/>
  <c r="G89" i="6"/>
  <c r="E89" i="6"/>
  <c r="D89" i="6"/>
  <c r="E87" i="6"/>
  <c r="D87" i="6"/>
  <c r="G85" i="6"/>
  <c r="E85" i="6"/>
  <c r="D85" i="6"/>
  <c r="E83" i="6"/>
  <c r="D83" i="6"/>
  <c r="G81" i="6"/>
  <c r="E81" i="6"/>
  <c r="D81" i="6"/>
  <c r="E79" i="6"/>
  <c r="D79" i="6"/>
  <c r="G77" i="6"/>
  <c r="E77" i="6"/>
  <c r="D77" i="6"/>
  <c r="E75" i="6"/>
  <c r="D75" i="6"/>
  <c r="G73" i="6"/>
  <c r="F73" i="6"/>
  <c r="D73" i="6"/>
  <c r="G71" i="6"/>
  <c r="G69" i="6"/>
  <c r="F69" i="6"/>
  <c r="D69" i="6"/>
  <c r="G67" i="6"/>
  <c r="F67" i="6"/>
  <c r="G65" i="6"/>
  <c r="F65" i="6"/>
  <c r="D65" i="6"/>
  <c r="G63" i="6"/>
  <c r="F63" i="6"/>
  <c r="G61" i="6"/>
  <c r="F61" i="6"/>
  <c r="D61" i="6"/>
  <c r="G59" i="6"/>
  <c r="F59" i="6"/>
  <c r="G57" i="6"/>
  <c r="F57" i="6"/>
  <c r="D57" i="6"/>
  <c r="G55" i="6"/>
  <c r="F55" i="6"/>
  <c r="G2" i="6"/>
  <c r="F2" i="6"/>
  <c r="E2" i="6"/>
  <c r="D2" i="6"/>
  <c r="E2" i="1"/>
  <c r="E54" i="1" s="1"/>
  <c r="F2" i="1"/>
  <c r="F54" i="1" s="1"/>
  <c r="G2" i="1"/>
  <c r="G54" i="1" s="1"/>
  <c r="D2" i="1"/>
  <c r="D54" i="1" s="1"/>
  <c r="R4" i="2"/>
  <c r="S4" i="2"/>
  <c r="T4" i="2"/>
  <c r="R5" i="2"/>
  <c r="S5" i="2"/>
  <c r="T5" i="2"/>
  <c r="R6" i="2"/>
  <c r="S6" i="2"/>
  <c r="T6" i="2"/>
  <c r="R7" i="2"/>
  <c r="S7" i="2"/>
  <c r="T7" i="2"/>
  <c r="R8" i="2"/>
  <c r="S8" i="2"/>
  <c r="T8" i="2"/>
  <c r="R9" i="2"/>
  <c r="S9" i="2"/>
  <c r="T9" i="2"/>
  <c r="R10" i="2"/>
  <c r="S10" i="2"/>
  <c r="T10" i="2"/>
  <c r="R11" i="2"/>
  <c r="S11" i="2"/>
  <c r="T11" i="2"/>
  <c r="R12" i="2"/>
  <c r="S12" i="2"/>
  <c r="T12" i="2"/>
  <c r="R13" i="2"/>
  <c r="S13" i="2"/>
  <c r="T13" i="2"/>
  <c r="R14" i="2"/>
  <c r="S14" i="2"/>
  <c r="T14" i="2"/>
  <c r="R15" i="2"/>
  <c r="S15" i="2"/>
  <c r="T15" i="2"/>
  <c r="R16" i="2"/>
  <c r="S16" i="2"/>
  <c r="T16" i="2"/>
  <c r="R17" i="2"/>
  <c r="S17" i="2"/>
  <c r="T17" i="2"/>
  <c r="R18" i="2"/>
  <c r="S18" i="2"/>
  <c r="T18" i="2"/>
  <c r="R19" i="2"/>
  <c r="S19" i="2"/>
  <c r="T19" i="2"/>
  <c r="R20" i="2"/>
  <c r="S20" i="2"/>
  <c r="T20" i="2"/>
  <c r="R21" i="2"/>
  <c r="S21" i="2"/>
  <c r="T21" i="2"/>
  <c r="R22" i="2"/>
  <c r="S22" i="2"/>
  <c r="T22" i="2"/>
  <c r="R23" i="2"/>
  <c r="S23" i="2"/>
  <c r="T23" i="2"/>
  <c r="R24" i="2"/>
  <c r="S24" i="2"/>
  <c r="T24" i="2"/>
  <c r="R25" i="2"/>
  <c r="S25" i="2"/>
  <c r="T25" i="2"/>
  <c r="R26" i="2"/>
  <c r="S26" i="2"/>
  <c r="T26" i="2"/>
  <c r="R27" i="2"/>
  <c r="S27" i="2"/>
  <c r="T27" i="2"/>
  <c r="R28" i="2"/>
  <c r="S28" i="2"/>
  <c r="T28" i="2"/>
  <c r="S3" i="2"/>
  <c r="T3" i="2"/>
  <c r="R3" i="2"/>
  <c r="D64" i="6" l="1"/>
  <c r="D60" i="6"/>
  <c r="D72" i="6"/>
  <c r="D70" i="6"/>
  <c r="D66" i="6"/>
  <c r="D62" i="6"/>
  <c r="D58" i="6"/>
</calcChain>
</file>

<file path=xl/sharedStrings.xml><?xml version="1.0" encoding="utf-8"?>
<sst xmlns="http://schemas.openxmlformats.org/spreadsheetml/2006/main" count="320" uniqueCount="34">
  <si>
    <t>Region</t>
  </si>
  <si>
    <t>Area</t>
  </si>
  <si>
    <t>Detached</t>
  </si>
  <si>
    <t>Semi-detached</t>
  </si>
  <si>
    <t>Appartment</t>
  </si>
  <si>
    <t>High-rise</t>
  </si>
  <si>
    <t>Urban</t>
  </si>
  <si>
    <t>Rural</t>
  </si>
  <si>
    <t>time</t>
  </si>
  <si>
    <t>SSP2</t>
  </si>
  <si>
    <t>SSP1</t>
  </si>
  <si>
    <t>Historical</t>
  </si>
  <si>
    <t>2050 LED</t>
  </si>
  <si>
    <t>2050 SSP1</t>
  </si>
  <si>
    <t>2050 SSP2</t>
  </si>
  <si>
    <t>SFH</t>
  </si>
  <si>
    <t>MFH</t>
  </si>
  <si>
    <t>RT</t>
  </si>
  <si>
    <t>Method</t>
  </si>
  <si>
    <t>Methods</t>
  </si>
  <si>
    <t>(Original + SSP2)/2</t>
  </si>
  <si>
    <t>Chosen 2050 target</t>
  </si>
  <si>
    <t>Based on Fishman et al. 2021</t>
  </si>
  <si>
    <t>https://doi.org/10.1111/jiec.13122</t>
  </si>
  <si>
    <t>Values represent proxies as the Fishman et al study does not distinguish between urban and rural fractions of the stock, while we apply this to the urban fraction only. Also, a slightly different definition of building types is used, so it cannot be seen as a 1/1 implemenation of the study. Another thing that is unclear is whether the Fishman numbers relate to the stock or to the annual inflow.</t>
  </si>
  <si>
    <t>Note:</t>
  </si>
  <si>
    <t>Assumptions:</t>
  </si>
  <si>
    <t xml:space="preserve">We assume that the SFH refers to both detached and semi-detached SFHs, so we use apply the sum and the original distribution between detached &amp; semi-detached houses </t>
  </si>
  <si>
    <t>Row Labels</t>
  </si>
  <si>
    <t>Grand Total</t>
  </si>
  <si>
    <t>Sum of Detached</t>
  </si>
  <si>
    <t>Sum of Semi-detached</t>
  </si>
  <si>
    <t>Sum of Appartment</t>
  </si>
  <si>
    <t>Sum of High-rise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</si>
</sst>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8" fillId="0" borderId="0" xfId="42"/>
    <xf numFmtId="0" fontId="0" fillId="0" borderId="0" xfId="0" pivotButton="1"/>
    <xf numFmtId="1" fontId="0" fillId="0" borderId="0" xfId="0" applyNumberFormat="1" applyAlignment="1">
      <alignment horizontal="left"/>
    </xf>
    <xf numFmtId="166" fontId="0" fillId="0" borderId="0" xfId="0" applyNumberFormat="1"/>
    <xf numFmtId="166" fontId="0" fillId="33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2050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A9E-4A0B-973F-7AAB23F7A190}"/>
              </c:ext>
            </c:extLst>
          </c:dPt>
          <c:dPt>
            <c:idx val="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9E-4A0B-973F-7AAB23F7A190}"/>
              </c:ext>
            </c:extLst>
          </c:dPt>
          <c:cat>
            <c:strRef>
              <c:f>Housing_type_dynamic_SSP2!$D$1:$G$1</c:f>
              <c:strCache>
                <c:ptCount val="4"/>
                <c:pt idx="0">
                  <c:v>Detached</c:v>
                </c:pt>
                <c:pt idx="1">
                  <c:v>Semi-detached</c:v>
                </c:pt>
                <c:pt idx="2">
                  <c:v>Appartment</c:v>
                </c:pt>
                <c:pt idx="3">
                  <c:v>High-rise</c:v>
                </c:pt>
              </c:strCache>
            </c:strRef>
          </c:cat>
          <c:val>
            <c:numRef>
              <c:f>Housing_type_dynamic_SSP2!$D$74:$G$74</c:f>
              <c:numCache>
                <c:formatCode>0.000000</c:formatCode>
                <c:ptCount val="4"/>
                <c:pt idx="0">
                  <c:v>0.12833769633507855</c:v>
                </c:pt>
                <c:pt idx="1">
                  <c:v>0.1799956369982548</c:v>
                </c:pt>
                <c:pt idx="2">
                  <c:v>0.34583333333333333</c:v>
                </c:pt>
                <c:pt idx="3">
                  <c:v>0.34583333333333333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E-4A0B-973F-7AAB23F7A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35-48BF-8660-7319B47F0F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35-48BF-8660-7319B47F0FA4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35-48BF-8660-7319B47F0FA4}"/>
              </c:ext>
            </c:extLst>
          </c:dPt>
          <c:dPt>
            <c:idx val="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35-48BF-8660-7319B47F0FA4}"/>
              </c:ext>
            </c:extLst>
          </c:dPt>
          <c:cat>
            <c:strRef>
              <c:f>Housing_type_dynamic_SSP2!$D$1:$G$1</c:f>
              <c:strCache>
                <c:ptCount val="4"/>
                <c:pt idx="0">
                  <c:v>Detached</c:v>
                </c:pt>
                <c:pt idx="1">
                  <c:v>Semi-detached</c:v>
                </c:pt>
                <c:pt idx="2">
                  <c:v>Appartment</c:v>
                </c:pt>
                <c:pt idx="3">
                  <c:v>High-rise</c:v>
                </c:pt>
              </c:strCache>
            </c:strRef>
          </c:cat>
          <c:val>
            <c:numRef>
              <c:f>Housing_type_dynamic_SSP2!$D$22:$G$22</c:f>
              <c:numCache>
                <c:formatCode>0.000000</c:formatCode>
                <c:ptCount val="4"/>
                <c:pt idx="0">
                  <c:v>0.21059602649006626</c:v>
                </c:pt>
                <c:pt idx="1">
                  <c:v>0.29536423841059606</c:v>
                </c:pt>
                <c:pt idx="2">
                  <c:v>0.22913907284768215</c:v>
                </c:pt>
                <c:pt idx="3">
                  <c:v>0.26490066225165571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35-48BF-8660-7319B47F0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[Housing_type_dynamic.xlsx]Pivot!PivotTable1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Pivot!$B$4</c:f>
              <c:strCache>
                <c:ptCount val="1"/>
                <c:pt idx="0">
                  <c:v>Sum of Detached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Pivot!$A$5:$A$7</c:f>
              <c:strCache>
                <c:ptCount val="2"/>
                <c:pt idx="0">
                  <c:v>2020</c:v>
                </c:pt>
                <c:pt idx="1">
                  <c:v>2050</c:v>
                </c:pt>
              </c:strCache>
            </c:strRef>
          </c:cat>
          <c:val>
            <c:numRef>
              <c:f>Pivot!$B$5:$B$7</c:f>
              <c:numCache>
                <c:formatCode>General</c:formatCode>
                <c:ptCount val="2"/>
                <c:pt idx="0">
                  <c:v>0.53846153846153844</c:v>
                </c:pt>
                <c:pt idx="1">
                  <c:v>0.48433420365535246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4-43FA-AE58-1159D6E4D01F}"/>
            </c:ext>
          </c:extLst>
        </c:ser>
        <c:ser>
          <c:idx val="1"/>
          <c:order val="1"/>
          <c:tx>
            <c:strRef>
              <c:f>Pivot!$C$4</c:f>
              <c:strCache>
                <c:ptCount val="1"/>
                <c:pt idx="0">
                  <c:v>Sum of Semi-detached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Pivot!$A$5:$A$7</c:f>
              <c:strCache>
                <c:ptCount val="2"/>
                <c:pt idx="0">
                  <c:v>2020</c:v>
                </c:pt>
                <c:pt idx="1">
                  <c:v>2050</c:v>
                </c:pt>
              </c:strCache>
            </c:strRef>
          </c:cat>
          <c:val>
            <c:numRef>
              <c:f>Pivot!$C$5:$C$7</c:f>
              <c:numCache>
                <c:formatCode>General</c:formatCode>
                <c:ptCount val="2"/>
                <c:pt idx="0">
                  <c:v>1.741654571843251E-2</c:v>
                </c:pt>
                <c:pt idx="1">
                  <c:v>1.5665796344647518E-2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B4-43FA-AE58-1159D6E4D01F}"/>
            </c:ext>
          </c:extLst>
        </c:ser>
        <c:ser>
          <c:idx val="2"/>
          <c:order val="2"/>
          <c:tx>
            <c:strRef>
              <c:f>Pivot!$D$4</c:f>
              <c:strCache>
                <c:ptCount val="1"/>
                <c:pt idx="0">
                  <c:v>Sum of Appartment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Pivot!$A$5:$A$7</c:f>
              <c:strCache>
                <c:ptCount val="2"/>
                <c:pt idx="0">
                  <c:v>2020</c:v>
                </c:pt>
                <c:pt idx="1">
                  <c:v>2050</c:v>
                </c:pt>
              </c:strCache>
            </c:strRef>
          </c:cat>
          <c:val>
            <c:numRef>
              <c:f>Pivot!$D$5:$D$7</c:f>
              <c:numCache>
                <c:formatCode>General</c:formatCode>
                <c:ptCount val="2"/>
                <c:pt idx="0">
                  <c:v>0.25689404934687948</c:v>
                </c:pt>
                <c:pt idx="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B4-43FA-AE58-1159D6E4D01F}"/>
            </c:ext>
          </c:extLst>
        </c:ser>
        <c:ser>
          <c:idx val="3"/>
          <c:order val="3"/>
          <c:tx>
            <c:strRef>
              <c:f>Pivot!$E$4</c:f>
              <c:strCache>
                <c:ptCount val="1"/>
                <c:pt idx="0">
                  <c:v>Sum of High-rise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Pivot!$A$5:$A$7</c:f>
              <c:strCache>
                <c:ptCount val="2"/>
                <c:pt idx="0">
                  <c:v>2020</c:v>
                </c:pt>
                <c:pt idx="1">
                  <c:v>2050</c:v>
                </c:pt>
              </c:strCache>
            </c:strRef>
          </c:cat>
          <c:val>
            <c:numRef>
              <c:f>Pivot!$E$5:$E$7</c:f>
              <c:numCache>
                <c:formatCode>General</c:formatCode>
                <c:ptCount val="2"/>
                <c:pt idx="0">
                  <c:v>0.18722786647314948</c:v>
                </c:pt>
                <c:pt idx="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B4-43FA-AE58-1159D6E4D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991839"/>
        <c:axId val="547990175"/>
      </c:lineChart>
      <c:catAx>
        <c:axId val="54799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47990175"/>
        <c:crosses val="autoZero"/>
        <c:auto val="1"/>
        <c:lblAlgn val="ctr"/>
        <c:lblOffset val="100"/>
        <c:noMultiLvlLbl val="0"/>
      </c:catAx>
      <c:valAx>
        <c:axId val="54799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4799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409575</xdr:colOff>
      <xdr:row>47</xdr:row>
      <xdr:rowOff>185737</xdr:rowOff>
    </xdr:from>
    <xdr:to>
      <xdr:col>19</xdr:col>
      <xdr:colOff>333375</xdr:colOff>
      <xdr:row>62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416DC-57BB-D09E-E456-DFE0DFC2A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447675</xdr:colOff>
      <xdr:row>47</xdr:row>
      <xdr:rowOff>161925</xdr:rowOff>
    </xdr:from>
    <xdr:to>
      <xdr:col>13</xdr:col>
      <xdr:colOff>371475</xdr:colOff>
      <xdr:row>62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9B465B-77B5-4999-8866-667FCD712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0</xdr:row>
      <xdr:rowOff>109537</xdr:rowOff>
    </xdr:from>
    <xdr:to>
      <xdr:col>9</xdr:col>
      <xdr:colOff>990600</xdr:colOff>
      <xdr:row>14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1D0C04-8A33-F679-ADC2-87700BCEC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944.748623032407" createdVersion="8" refreshedVersion="8" minRefreshableVersion="3" recordCount="104" xr:uid="{F77ED651-041E-49D6-89D2-708DEA801437}">
  <cacheSource type="worksheet">
    <worksheetSource ref="A1:G105" sheet="Housing_type_dynamic_SSP2"/>
  </cacheSource>
  <cacheFields count="7">
    <cacheField name="time" numFmtId="1">
      <sharedItems containsSemiMixedTypes="0" containsString="0" containsNumber="1" containsInteger="1" minValue="2020" maxValue="2050" count="2">
        <n v="2020"/>
        <n v="2050"/>
      </sharedItems>
    </cacheField>
    <cacheField name="Region" numFmtId="1">
      <sharedItems containsSemiMixedTypes="0" containsString="0" containsNumber="1" containsInteger="1" minValue="1" maxValue="26" count="2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</cacheField>
    <cacheField name="Area" numFmtId="0">
      <sharedItems count="2">
        <s v="Urban"/>
        <s v="Rural"/>
      </sharedItems>
    </cacheField>
    <cacheField name="Detached" numFmtId="165">
      <sharedItems containsSemiMixedTypes="0" containsString="0" containsNumber="1" minValue="0.12833769633507855" maxValue="0.9565217391304347"/>
    </cacheField>
    <cacheField name="Semi-detached" numFmtId="165">
      <sharedItems containsSemiMixedTypes="0" containsString="0" containsNumber="1" minValue="1.4492753623188404E-2" maxValue="0.479191438763377"/>
    </cacheField>
    <cacheField name="Appartment" numFmtId="165">
      <sharedItems containsSemiMixedTypes="0" containsString="0" containsNumber="1" minValue="2.4154589371980676E-2" maxValue="0.35"/>
    </cacheField>
    <cacheField name="High-rise" numFmtId="165">
      <sharedItems containsSemiMixedTypes="0" containsString="0" containsNumber="1" minValue="0" maxValue="0.512027491408934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x v="0"/>
    <x v="0"/>
    <n v="0.40163934426229508"/>
    <n v="0.20081967213114754"/>
    <n v="0.1721311475409836"/>
    <n v="0.2254098360655738"/>
  </r>
  <r>
    <x v="0"/>
    <x v="0"/>
    <x v="1"/>
    <n v="0.81412639405204457"/>
    <n v="7.434944237918216E-2"/>
    <n v="7.434944237918216E-2"/>
    <n v="3.717472118959108E-2"/>
  </r>
  <r>
    <x v="0"/>
    <x v="1"/>
    <x v="0"/>
    <n v="0.66456494325346782"/>
    <n v="7.1878940731399749E-2"/>
    <n v="8.9533417402269846E-2"/>
    <n v="0.17402269861286254"/>
  </r>
  <r>
    <x v="0"/>
    <x v="1"/>
    <x v="1"/>
    <n v="0.9565217391304347"/>
    <n v="1.4492753623188404E-2"/>
    <n v="2.4154589371980676E-2"/>
    <n v="4.830917874396135E-3"/>
  </r>
  <r>
    <x v="0"/>
    <x v="2"/>
    <x v="0"/>
    <n v="0.40163934426229508"/>
    <n v="0.20081967213114754"/>
    <n v="0.1721311475409836"/>
    <n v="0.2254098360655738"/>
  </r>
  <r>
    <x v="0"/>
    <x v="2"/>
    <x v="1"/>
    <n v="0.81412639405204457"/>
    <n v="7.434944237918216E-2"/>
    <n v="7.434944237918216E-2"/>
    <n v="3.717472118959108E-2"/>
  </r>
  <r>
    <x v="0"/>
    <x v="3"/>
    <x v="0"/>
    <n v="0.40163934426229508"/>
    <n v="0.20081967213114754"/>
    <n v="0.1721311475409836"/>
    <n v="0.2254098360655738"/>
  </r>
  <r>
    <x v="0"/>
    <x v="3"/>
    <x v="1"/>
    <n v="0.81412639405204457"/>
    <n v="7.434944237918216E-2"/>
    <n v="7.434944237918216E-2"/>
    <n v="3.717472118959108E-2"/>
  </r>
  <r>
    <x v="0"/>
    <x v="4"/>
    <x v="0"/>
    <n v="0.40163934426229508"/>
    <n v="0.20081967213114754"/>
    <n v="0.1721311475409836"/>
    <n v="0.2254098360655738"/>
  </r>
  <r>
    <x v="0"/>
    <x v="4"/>
    <x v="1"/>
    <n v="0.81412639405204457"/>
    <n v="7.434944237918216E-2"/>
    <n v="7.434944237918216E-2"/>
    <n v="3.717472118959108E-2"/>
  </r>
  <r>
    <x v="0"/>
    <x v="5"/>
    <x v="0"/>
    <n v="0.40163934426229508"/>
    <n v="0.20081967213114754"/>
    <n v="0.1721311475409836"/>
    <n v="0.2254098360655738"/>
  </r>
  <r>
    <x v="0"/>
    <x v="5"/>
    <x v="1"/>
    <n v="0.81412639405204457"/>
    <n v="7.434944237918216E-2"/>
    <n v="7.434944237918216E-2"/>
    <n v="3.717472118959108E-2"/>
  </r>
  <r>
    <x v="0"/>
    <x v="6"/>
    <x v="0"/>
    <n v="0.40163934426229508"/>
    <n v="0.20081967213114754"/>
    <n v="0.1721311475409836"/>
    <n v="0.2254098360655738"/>
  </r>
  <r>
    <x v="0"/>
    <x v="6"/>
    <x v="1"/>
    <n v="0.81412639405204457"/>
    <n v="7.434944237918216E-2"/>
    <n v="7.434944237918216E-2"/>
    <n v="3.717472118959108E-2"/>
  </r>
  <r>
    <x v="0"/>
    <x v="7"/>
    <x v="0"/>
    <n v="0.40163934426229508"/>
    <n v="0.20081967213114754"/>
    <n v="0.1721311475409836"/>
    <n v="0.2254098360655738"/>
  </r>
  <r>
    <x v="0"/>
    <x v="7"/>
    <x v="1"/>
    <n v="0.81412639405204457"/>
    <n v="7.434944237918216E-2"/>
    <n v="7.434944237918216E-2"/>
    <n v="3.717472118959108E-2"/>
  </r>
  <r>
    <x v="0"/>
    <x v="8"/>
    <x v="0"/>
    <n v="0.40163934426229508"/>
    <n v="0.20081967213114754"/>
    <n v="0.1721311475409836"/>
    <n v="0.2254098360655738"/>
  </r>
  <r>
    <x v="0"/>
    <x v="8"/>
    <x v="1"/>
    <n v="0.81412639405204457"/>
    <n v="7.434944237918216E-2"/>
    <n v="7.434944237918216E-2"/>
    <n v="3.717472118959108E-2"/>
  </r>
  <r>
    <x v="0"/>
    <x v="9"/>
    <x v="0"/>
    <n v="0.40163934426229508"/>
    <n v="0.20081967213114754"/>
    <n v="0.1721311475409836"/>
    <n v="0.2254098360655738"/>
  </r>
  <r>
    <x v="0"/>
    <x v="9"/>
    <x v="1"/>
    <n v="0.81412639405204457"/>
    <n v="7.434944237918216E-2"/>
    <n v="7.434944237918216E-2"/>
    <n v="3.717472118959108E-2"/>
  </r>
  <r>
    <x v="0"/>
    <x v="10"/>
    <x v="0"/>
    <n v="0.21059602649006626"/>
    <n v="0.29536423841059606"/>
    <n v="0.22913907284768215"/>
    <n v="0.26490066225165571"/>
  </r>
  <r>
    <x v="0"/>
    <x v="10"/>
    <x v="1"/>
    <n v="0.55284552845528456"/>
    <n v="0.24796747967479671"/>
    <n v="0.14634146341463411"/>
    <n v="5.2845528455284542E-2"/>
  </r>
  <r>
    <x v="0"/>
    <x v="11"/>
    <x v="0"/>
    <n v="0.33333333333333331"/>
    <n v="6.5292096219931262E-2"/>
    <n v="8.9347079037800675E-2"/>
    <n v="0.51202749140893467"/>
  </r>
  <r>
    <x v="0"/>
    <x v="11"/>
    <x v="1"/>
    <n v="0.81818181818181812"/>
    <n v="5.7416267942583726E-2"/>
    <n v="5.0239234449760764E-2"/>
    <n v="7.4162679425837319E-2"/>
  </r>
  <r>
    <x v="0"/>
    <x v="12"/>
    <x v="0"/>
    <n v="0.40163934426229508"/>
    <n v="0.20081967213114754"/>
    <n v="0.1721311475409836"/>
    <n v="0.2254098360655738"/>
  </r>
  <r>
    <x v="0"/>
    <x v="12"/>
    <x v="1"/>
    <n v="0.81412639405204457"/>
    <n v="7.434944237918216E-2"/>
    <n v="7.434944237918216E-2"/>
    <n v="3.717472118959108E-2"/>
  </r>
  <r>
    <x v="0"/>
    <x v="13"/>
    <x v="0"/>
    <n v="0.40163934426229508"/>
    <n v="0.20081967213114754"/>
    <n v="0.1721311475409836"/>
    <n v="0.2254098360655738"/>
  </r>
  <r>
    <x v="0"/>
    <x v="13"/>
    <x v="1"/>
    <n v="0.81412639405204457"/>
    <n v="7.434944237918216E-2"/>
    <n v="7.434944237918216E-2"/>
    <n v="3.717472118959108E-2"/>
  </r>
  <r>
    <x v="0"/>
    <x v="14"/>
    <x v="0"/>
    <n v="0.40163934426229508"/>
    <n v="0.20081967213114754"/>
    <n v="0.1721311475409836"/>
    <n v="0.2254098360655738"/>
  </r>
  <r>
    <x v="0"/>
    <x v="14"/>
    <x v="1"/>
    <n v="0.81412639405204457"/>
    <n v="7.434944237918216E-2"/>
    <n v="7.434944237918216E-2"/>
    <n v="3.717472118959108E-2"/>
  </r>
  <r>
    <x v="0"/>
    <x v="15"/>
    <x v="0"/>
    <n v="0.40163934426229508"/>
    <n v="0.20081967213114754"/>
    <n v="0.1721311475409836"/>
    <n v="0.2254098360655738"/>
  </r>
  <r>
    <x v="0"/>
    <x v="15"/>
    <x v="1"/>
    <n v="0.81412639405204457"/>
    <n v="7.434944237918216E-2"/>
    <n v="7.434944237918216E-2"/>
    <n v="3.717472118959108E-2"/>
  </r>
  <r>
    <x v="0"/>
    <x v="16"/>
    <x v="0"/>
    <n v="0.40163934426229508"/>
    <n v="0.20081967213114754"/>
    <n v="0.1721311475409836"/>
    <n v="0.2254098360655738"/>
  </r>
  <r>
    <x v="0"/>
    <x v="16"/>
    <x v="1"/>
    <n v="0.81412639405204457"/>
    <n v="7.434944237918216E-2"/>
    <n v="7.434944237918216E-2"/>
    <n v="3.717472118959108E-2"/>
  </r>
  <r>
    <x v="0"/>
    <x v="17"/>
    <x v="0"/>
    <n v="0.40163934426229508"/>
    <n v="0.20081967213114754"/>
    <n v="0.1721311475409836"/>
    <n v="0.2254098360655738"/>
  </r>
  <r>
    <x v="0"/>
    <x v="17"/>
    <x v="1"/>
    <n v="0.81412639405204457"/>
    <n v="7.434944237918216E-2"/>
    <n v="7.434944237918216E-2"/>
    <n v="3.717472118959108E-2"/>
  </r>
  <r>
    <x v="0"/>
    <x v="18"/>
    <x v="0"/>
    <n v="0.40163934426229508"/>
    <n v="0.20081967213114754"/>
    <n v="0.1721311475409836"/>
    <n v="0.2254098360655738"/>
  </r>
  <r>
    <x v="0"/>
    <x v="18"/>
    <x v="1"/>
    <n v="0.81412639405204457"/>
    <n v="7.434944237918216E-2"/>
    <n v="7.434944237918216E-2"/>
    <n v="3.717472118959108E-2"/>
  </r>
  <r>
    <x v="0"/>
    <x v="19"/>
    <x v="0"/>
    <n v="0.40163934426229508"/>
    <n v="0.20081967213114754"/>
    <n v="0.1721311475409836"/>
    <n v="0.2254098360655738"/>
  </r>
  <r>
    <x v="0"/>
    <x v="19"/>
    <x v="1"/>
    <n v="0.81412639405204457"/>
    <n v="7.434944237918216E-2"/>
    <n v="7.434944237918216E-2"/>
    <n v="3.717472118959108E-2"/>
  </r>
  <r>
    <x v="0"/>
    <x v="20"/>
    <x v="0"/>
    <n v="0.40163934426229508"/>
    <n v="0.20081967213114754"/>
    <n v="0.1721311475409836"/>
    <n v="0.2254098360655738"/>
  </r>
  <r>
    <x v="0"/>
    <x v="20"/>
    <x v="1"/>
    <n v="0.81412639405204457"/>
    <n v="7.434944237918216E-2"/>
    <n v="7.434944237918216E-2"/>
    <n v="3.717472118959108E-2"/>
  </r>
  <r>
    <x v="0"/>
    <x v="21"/>
    <x v="0"/>
    <n v="0.40163934426229508"/>
    <n v="0.20081967213114754"/>
    <n v="0.1721311475409836"/>
    <n v="0.2254098360655738"/>
  </r>
  <r>
    <x v="0"/>
    <x v="21"/>
    <x v="1"/>
    <n v="0.81412639405204457"/>
    <n v="7.434944237918216E-2"/>
    <n v="7.434944237918216E-2"/>
    <n v="3.717472118959108E-2"/>
  </r>
  <r>
    <x v="0"/>
    <x v="22"/>
    <x v="0"/>
    <n v="0.53846153846153844"/>
    <n v="1.741654571843251E-2"/>
    <n v="0.25689404934687948"/>
    <n v="0.18722786647314948"/>
  </r>
  <r>
    <x v="0"/>
    <x v="22"/>
    <x v="1"/>
    <n v="0.88424437299035363"/>
    <n v="1.607717041800643E-2"/>
    <n v="9.0032154340836001E-2"/>
    <n v="9.6463022508038575E-3"/>
  </r>
  <r>
    <x v="0"/>
    <x v="23"/>
    <x v="0"/>
    <n v="0.26040428061831156"/>
    <n v="0.479191438763377"/>
    <n v="0.19024970273483949"/>
    <n v="7.0154577883472055E-2"/>
  </r>
  <r>
    <x v="0"/>
    <x v="23"/>
    <x v="1"/>
    <n v="0.90624999999999989"/>
    <n v="0.05"/>
    <n v="4.3749999999999997E-2"/>
    <n v="0"/>
  </r>
  <r>
    <x v="0"/>
    <x v="24"/>
    <x v="0"/>
    <n v="0.40163934426229508"/>
    <n v="0.20081967213114754"/>
    <n v="0.1721311475409836"/>
    <n v="0.2254098360655738"/>
  </r>
  <r>
    <x v="0"/>
    <x v="24"/>
    <x v="1"/>
    <n v="0.81412639405204457"/>
    <n v="7.434944237918216E-2"/>
    <n v="7.434944237918216E-2"/>
    <n v="3.717472118959108E-2"/>
  </r>
  <r>
    <x v="0"/>
    <x v="25"/>
    <x v="0"/>
    <n v="0.40163934426229508"/>
    <n v="0.20081967213114754"/>
    <n v="0.1721311475409836"/>
    <n v="0.2254098360655738"/>
  </r>
  <r>
    <x v="0"/>
    <x v="25"/>
    <x v="1"/>
    <n v="0.81412639405204457"/>
    <n v="7.434944237918216E-2"/>
    <n v="7.434944237918216E-2"/>
    <n v="3.717472118959108E-2"/>
  </r>
  <r>
    <x v="1"/>
    <x v="0"/>
    <x v="0"/>
    <n v="0.3666666666666667"/>
    <n v="0.18333333333333335"/>
    <n v="0.22500000000000001"/>
    <n v="0.22500000000000001"/>
  </r>
  <r>
    <x v="1"/>
    <x v="0"/>
    <x v="1"/>
    <n v="0.81412639405204457"/>
    <n v="7.434944237918216E-2"/>
    <n v="7.434944237918216E-2"/>
    <n v="3.717472118959108E-2"/>
  </r>
  <r>
    <x v="1"/>
    <x v="1"/>
    <x v="0"/>
    <n v="0.49631849315068499"/>
    <n v="5.3681506849315073E-2"/>
    <n v="0.22500000000000001"/>
    <n v="0.22500000000000001"/>
  </r>
  <r>
    <x v="1"/>
    <x v="1"/>
    <x v="1"/>
    <n v="0.9565217391304347"/>
    <n v="1.4492753623188404E-2"/>
    <n v="2.4154589371980676E-2"/>
    <n v="4.830917874396135E-3"/>
  </r>
  <r>
    <x v="1"/>
    <x v="2"/>
    <x v="0"/>
    <n v="0.26666666666666666"/>
    <n v="0.13333333333333333"/>
    <n v="0.3"/>
    <n v="0.3"/>
  </r>
  <r>
    <x v="1"/>
    <x v="2"/>
    <x v="1"/>
    <n v="0.81412639405204457"/>
    <n v="7.434944237918216E-2"/>
    <n v="7.434944237918216E-2"/>
    <n v="3.717472118959108E-2"/>
  </r>
  <r>
    <x v="1"/>
    <x v="3"/>
    <x v="0"/>
    <n v="0.26666666666666666"/>
    <n v="0.13333333333333333"/>
    <n v="0.3"/>
    <n v="0.3"/>
  </r>
  <r>
    <x v="1"/>
    <x v="3"/>
    <x v="1"/>
    <n v="0.81412639405204457"/>
    <n v="7.434944237918216E-2"/>
    <n v="7.434944237918216E-2"/>
    <n v="3.717472118959108E-2"/>
  </r>
  <r>
    <x v="1"/>
    <x v="4"/>
    <x v="0"/>
    <n v="0.26666666666666666"/>
    <n v="0.13333333333333333"/>
    <n v="0.3"/>
    <n v="0.3"/>
  </r>
  <r>
    <x v="1"/>
    <x v="4"/>
    <x v="1"/>
    <n v="0.81412639405204457"/>
    <n v="7.434944237918216E-2"/>
    <n v="7.434944237918216E-2"/>
    <n v="3.717472118959108E-2"/>
  </r>
  <r>
    <x v="1"/>
    <x v="5"/>
    <x v="0"/>
    <n v="0.26666666666666666"/>
    <n v="0.13333333333333333"/>
    <n v="0.3"/>
    <n v="0.3"/>
  </r>
  <r>
    <x v="1"/>
    <x v="5"/>
    <x v="1"/>
    <n v="0.81412639405204457"/>
    <n v="7.434944237918216E-2"/>
    <n v="7.434944237918216E-2"/>
    <n v="3.717472118959108E-2"/>
  </r>
  <r>
    <x v="1"/>
    <x v="6"/>
    <x v="0"/>
    <n v="0.26666666666666666"/>
    <n v="0.13333333333333333"/>
    <n v="0.3"/>
    <n v="0.3"/>
  </r>
  <r>
    <x v="1"/>
    <x v="6"/>
    <x v="1"/>
    <n v="0.81412639405204457"/>
    <n v="7.434944237918216E-2"/>
    <n v="7.434944237918216E-2"/>
    <n v="3.717472118959108E-2"/>
  </r>
  <r>
    <x v="1"/>
    <x v="7"/>
    <x v="0"/>
    <n v="0.26666666666666666"/>
    <n v="0.13333333333333333"/>
    <n v="0.3"/>
    <n v="0.3"/>
  </r>
  <r>
    <x v="1"/>
    <x v="7"/>
    <x v="1"/>
    <n v="0.81412639405204457"/>
    <n v="7.434944237918216E-2"/>
    <n v="7.434944237918216E-2"/>
    <n v="3.717472118959108E-2"/>
  </r>
  <r>
    <x v="1"/>
    <x v="8"/>
    <x v="0"/>
    <n v="0.26666666666666666"/>
    <n v="0.13333333333333333"/>
    <n v="0.3"/>
    <n v="0.3"/>
  </r>
  <r>
    <x v="1"/>
    <x v="8"/>
    <x v="1"/>
    <n v="0.81412639405204457"/>
    <n v="7.434944237918216E-2"/>
    <n v="7.434944237918216E-2"/>
    <n v="3.717472118959108E-2"/>
  </r>
  <r>
    <x v="1"/>
    <x v="9"/>
    <x v="0"/>
    <n v="0.26666666666666666"/>
    <n v="0.13333333333333333"/>
    <n v="0.3"/>
    <n v="0.3"/>
  </r>
  <r>
    <x v="1"/>
    <x v="9"/>
    <x v="1"/>
    <n v="0.81412639405204457"/>
    <n v="7.434944237918216E-2"/>
    <n v="7.434944237918216E-2"/>
    <n v="3.717472118959108E-2"/>
  </r>
  <r>
    <x v="1"/>
    <x v="10"/>
    <x v="0"/>
    <n v="0.12833769633507855"/>
    <n v="0.1799956369982548"/>
    <n v="0.34583333333333333"/>
    <n v="0.34583333333333333"/>
  </r>
  <r>
    <x v="1"/>
    <x v="10"/>
    <x v="1"/>
    <n v="0.55284552845528456"/>
    <n v="0.24796747967479671"/>
    <n v="0.14634146341463411"/>
    <n v="5.2845528455284542E-2"/>
  </r>
  <r>
    <x v="1"/>
    <x v="11"/>
    <x v="0"/>
    <n v="0.25086206896551727"/>
    <n v="4.9137931034482753E-2"/>
    <n v="0.35"/>
    <n v="0.35"/>
  </r>
  <r>
    <x v="1"/>
    <x v="11"/>
    <x v="1"/>
    <n v="0.81818181818181812"/>
    <n v="5.7416267942583726E-2"/>
    <n v="5.0239234449760764E-2"/>
    <n v="7.4162679425837319E-2"/>
  </r>
  <r>
    <x v="1"/>
    <x v="12"/>
    <x v="0"/>
    <n v="0.26666666666666666"/>
    <n v="0.13333333333333333"/>
    <n v="0.3"/>
    <n v="0.3"/>
  </r>
  <r>
    <x v="1"/>
    <x v="12"/>
    <x v="1"/>
    <n v="0.81412639405204457"/>
    <n v="7.434944237918216E-2"/>
    <n v="7.434944237918216E-2"/>
    <n v="3.717472118959108E-2"/>
  </r>
  <r>
    <x v="1"/>
    <x v="13"/>
    <x v="0"/>
    <n v="0.26666666666666666"/>
    <n v="0.13333333333333333"/>
    <n v="0.3"/>
    <n v="0.3"/>
  </r>
  <r>
    <x v="1"/>
    <x v="13"/>
    <x v="1"/>
    <n v="0.81412639405204457"/>
    <n v="7.434944237918216E-2"/>
    <n v="7.434944237918216E-2"/>
    <n v="3.717472118959108E-2"/>
  </r>
  <r>
    <x v="1"/>
    <x v="14"/>
    <x v="0"/>
    <n v="0.26666666666666666"/>
    <n v="0.13333333333333333"/>
    <n v="0.3"/>
    <n v="0.3"/>
  </r>
  <r>
    <x v="1"/>
    <x v="14"/>
    <x v="1"/>
    <n v="0.81412639405204457"/>
    <n v="7.434944237918216E-2"/>
    <n v="7.434944237918216E-2"/>
    <n v="3.717472118959108E-2"/>
  </r>
  <r>
    <x v="1"/>
    <x v="15"/>
    <x v="0"/>
    <n v="0.26666666666666666"/>
    <n v="0.13333333333333333"/>
    <n v="0.3"/>
    <n v="0.3"/>
  </r>
  <r>
    <x v="1"/>
    <x v="15"/>
    <x v="1"/>
    <n v="0.81412639405204457"/>
    <n v="7.434944237918216E-2"/>
    <n v="7.434944237918216E-2"/>
    <n v="3.717472118959108E-2"/>
  </r>
  <r>
    <x v="1"/>
    <x v="16"/>
    <x v="0"/>
    <n v="0.26666666666666666"/>
    <n v="0.13333333333333333"/>
    <n v="0.3"/>
    <n v="0.3"/>
  </r>
  <r>
    <x v="1"/>
    <x v="16"/>
    <x v="1"/>
    <n v="0.81412639405204457"/>
    <n v="7.434944237918216E-2"/>
    <n v="7.434944237918216E-2"/>
    <n v="3.717472118959108E-2"/>
  </r>
  <r>
    <x v="1"/>
    <x v="17"/>
    <x v="0"/>
    <n v="0.26666666666666666"/>
    <n v="0.13333333333333333"/>
    <n v="0.3"/>
    <n v="0.3"/>
  </r>
  <r>
    <x v="1"/>
    <x v="17"/>
    <x v="1"/>
    <n v="0.81412639405204457"/>
    <n v="7.434944237918216E-2"/>
    <n v="7.434944237918216E-2"/>
    <n v="3.717472118959108E-2"/>
  </r>
  <r>
    <x v="1"/>
    <x v="18"/>
    <x v="0"/>
    <n v="0.26666666666666666"/>
    <n v="0.13333333333333333"/>
    <n v="0.3"/>
    <n v="0.3"/>
  </r>
  <r>
    <x v="1"/>
    <x v="18"/>
    <x v="1"/>
    <n v="0.81412639405204457"/>
    <n v="7.434944237918216E-2"/>
    <n v="7.434944237918216E-2"/>
    <n v="3.717472118959108E-2"/>
  </r>
  <r>
    <x v="1"/>
    <x v="19"/>
    <x v="0"/>
    <n v="0.26666666666666666"/>
    <n v="0.13333333333333333"/>
    <n v="0.30000000000000004"/>
    <n v="0.30000000000000004"/>
  </r>
  <r>
    <x v="1"/>
    <x v="19"/>
    <x v="1"/>
    <n v="0.81412639405204457"/>
    <n v="7.434944237918216E-2"/>
    <n v="7.434944237918216E-2"/>
    <n v="3.717472118959108E-2"/>
  </r>
  <r>
    <x v="1"/>
    <x v="20"/>
    <x v="0"/>
    <n v="0.26666666666666666"/>
    <n v="0.13333333333333333"/>
    <n v="0.3"/>
    <n v="0.3"/>
  </r>
  <r>
    <x v="1"/>
    <x v="20"/>
    <x v="1"/>
    <n v="0.81412639405204457"/>
    <n v="7.434944237918216E-2"/>
    <n v="7.434944237918216E-2"/>
    <n v="3.717472118959108E-2"/>
  </r>
  <r>
    <x v="1"/>
    <x v="21"/>
    <x v="0"/>
    <n v="0.26666666666666666"/>
    <n v="0.13333333333333333"/>
    <n v="0.3"/>
    <n v="0.3"/>
  </r>
  <r>
    <x v="1"/>
    <x v="21"/>
    <x v="1"/>
    <n v="0.81412639405204457"/>
    <n v="7.434944237918216E-2"/>
    <n v="7.434944237918216E-2"/>
    <n v="3.717472118959108E-2"/>
  </r>
  <r>
    <x v="1"/>
    <x v="22"/>
    <x v="0"/>
    <n v="0.48433420365535246"/>
    <n v="1.5665796344647518E-2"/>
    <n v="0.25"/>
    <n v="0.25"/>
  </r>
  <r>
    <x v="1"/>
    <x v="22"/>
    <x v="1"/>
    <n v="0.88424437299035363"/>
    <n v="1.607717041800643E-2"/>
    <n v="9.0032154340836001E-2"/>
    <n v="9.6463022508038575E-3"/>
  </r>
  <r>
    <x v="1"/>
    <x v="23"/>
    <x v="0"/>
    <n v="0.14083601286173633"/>
    <n v="0.25916398713826366"/>
    <n v="0.3"/>
    <n v="0.3"/>
  </r>
  <r>
    <x v="1"/>
    <x v="23"/>
    <x v="1"/>
    <n v="0.90624999999999989"/>
    <n v="0.05"/>
    <n v="4.3749999999999997E-2"/>
    <n v="0"/>
  </r>
  <r>
    <x v="1"/>
    <x v="24"/>
    <x v="0"/>
    <n v="0.26666666666666666"/>
    <n v="0.13333333333333333"/>
    <n v="0.3"/>
    <n v="0.3"/>
  </r>
  <r>
    <x v="1"/>
    <x v="24"/>
    <x v="1"/>
    <n v="0.81412639405204457"/>
    <n v="7.434944237918216E-2"/>
    <n v="7.434944237918216E-2"/>
    <n v="3.717472118959108E-2"/>
  </r>
  <r>
    <x v="1"/>
    <x v="25"/>
    <x v="0"/>
    <n v="0.26666666666666666"/>
    <n v="0.13333333333333333"/>
    <n v="0.3"/>
    <n v="0.3"/>
  </r>
  <r>
    <x v="1"/>
    <x v="25"/>
    <x v="1"/>
    <n v="0.81412639405204457"/>
    <n v="7.434944237918216E-2"/>
    <n v="7.434944237918216E-2"/>
    <n v="3.717472118959108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BF3E1-C0F3-4316-8778-9E1B7B1874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E7" firstHeaderRow="0" firstDataRow="1" firstDataCol="1" rowPageCount="2" colPageCount="1"/>
  <pivotFields count="7">
    <pivotField axis="axisRow" numFmtId="1" multipleItemSelectionAllowed="1" showAll="0">
      <items count="3">
        <item x="0"/>
        <item x="1"/>
        <item t="default"/>
      </items>
    </pivotField>
    <pivotField axis="axisPage" numFmtId="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2" hier="-1"/>
    <pageField fld="1" item="22" hier="-1"/>
  </pageFields>
  <dataFields count="4">
    <dataField name="Sum of Detached" fld="3" baseField="0" baseItem="0"/>
    <dataField name="Sum of Semi-detached" fld="4" baseField="0" baseItem="0"/>
    <dataField name="Sum of Appartment" fld="5" baseField="0" baseItem="0"/>
    <dataField name="Sum of High-rise" fld="6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111/jiec.1312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topLeftCell="A13" workbookViewId="0">
      <selection activeCell="F33" sqref="F33"/>
    </sheetView>
  </sheetViews>
  <sheetFormatPr defaultRowHeight="15" x14ac:dyDescent="0.25"/>
  <sheetData>
    <row r="1" spans="1:20" x14ac:dyDescent="0.25">
      <c r="B1" t="s">
        <v>11</v>
      </c>
      <c r="E1" t="s">
        <v>12</v>
      </c>
      <c r="H1" t="s">
        <v>13</v>
      </c>
      <c r="K1" t="s">
        <v>14</v>
      </c>
      <c r="R1" t="s">
        <v>21</v>
      </c>
    </row>
    <row r="2" spans="1:20" x14ac:dyDescent="0.25">
      <c r="B2" t="s">
        <v>15</v>
      </c>
      <c r="C2" t="s">
        <v>16</v>
      </c>
      <c r="D2" t="s">
        <v>17</v>
      </c>
      <c r="E2" t="s">
        <v>15</v>
      </c>
      <c r="F2" t="s">
        <v>16</v>
      </c>
      <c r="G2" t="s">
        <v>17</v>
      </c>
      <c r="H2" t="s">
        <v>15</v>
      </c>
      <c r="I2" t="s">
        <v>16</v>
      </c>
      <c r="J2" t="s">
        <v>17</v>
      </c>
      <c r="K2" t="s">
        <v>15</v>
      </c>
      <c r="L2" t="s">
        <v>16</v>
      </c>
      <c r="M2" t="s">
        <v>17</v>
      </c>
      <c r="O2" t="s">
        <v>18</v>
      </c>
      <c r="R2" t="s">
        <v>15</v>
      </c>
      <c r="S2" t="s">
        <v>16</v>
      </c>
      <c r="T2" t="s">
        <v>17</v>
      </c>
    </row>
    <row r="3" spans="1:20" x14ac:dyDescent="0.25">
      <c r="A3">
        <v>1</v>
      </c>
      <c r="B3" s="1">
        <v>0.84667228305491682</v>
      </c>
      <c r="C3" s="1">
        <v>0.11682392587171189</v>
      </c>
      <c r="D3" s="1">
        <v>2.3841617524839177E-3</v>
      </c>
      <c r="E3" s="1">
        <v>0.1</v>
      </c>
      <c r="F3" s="1">
        <v>0.76500000000000001</v>
      </c>
      <c r="G3" s="1">
        <v>0.13500000000000001</v>
      </c>
      <c r="H3" s="1">
        <v>0.35000000000000003</v>
      </c>
      <c r="I3" s="1">
        <v>0.55249999999999999</v>
      </c>
      <c r="J3" s="1">
        <v>9.7500000000000017E-2</v>
      </c>
      <c r="K3" s="1">
        <v>0.55000000000000004</v>
      </c>
      <c r="L3" s="1">
        <v>0.38250000000000001</v>
      </c>
      <c r="M3" s="1">
        <v>6.7500000000000004E-2</v>
      </c>
      <c r="O3" s="2">
        <v>2</v>
      </c>
      <c r="Q3">
        <v>1</v>
      </c>
      <c r="R3" s="1">
        <f t="shared" ref="R3:R28" si="0">K3</f>
        <v>0.55000000000000004</v>
      </c>
      <c r="S3" s="1">
        <f t="shared" ref="S3:S28" si="1">L3</f>
        <v>0.38250000000000001</v>
      </c>
      <c r="T3" s="1">
        <f t="shared" ref="T3:T28" si="2">M3</f>
        <v>6.7500000000000004E-2</v>
      </c>
    </row>
    <row r="4" spans="1:20" x14ac:dyDescent="0.25">
      <c r="A4">
        <v>2</v>
      </c>
      <c r="B4" s="1">
        <v>0.84667228308769726</v>
      </c>
      <c r="C4" s="1">
        <v>0.11682392582919812</v>
      </c>
      <c r="D4" s="1">
        <v>2.3841617516162884E-3</v>
      </c>
      <c r="E4" s="1">
        <v>0.1</v>
      </c>
      <c r="F4" s="1">
        <v>0.76500000000000001</v>
      </c>
      <c r="G4" s="1">
        <v>0.13500000000000001</v>
      </c>
      <c r="H4" s="1">
        <v>0.35000000000000003</v>
      </c>
      <c r="I4" s="1">
        <v>0.55249999999999999</v>
      </c>
      <c r="J4" s="1">
        <v>9.7500000000000017E-2</v>
      </c>
      <c r="K4" s="1">
        <v>0.55000000000000004</v>
      </c>
      <c r="L4" s="1">
        <v>0.38250000000000001</v>
      </c>
      <c r="M4" s="1">
        <v>6.7500000000000004E-2</v>
      </c>
      <c r="O4" s="2">
        <v>2</v>
      </c>
      <c r="Q4">
        <v>2</v>
      </c>
      <c r="R4" s="1">
        <f t="shared" si="0"/>
        <v>0.55000000000000004</v>
      </c>
      <c r="S4" s="1">
        <f t="shared" si="1"/>
        <v>0.38250000000000001</v>
      </c>
      <c r="T4" s="1">
        <f t="shared" si="2"/>
        <v>6.7500000000000004E-2</v>
      </c>
    </row>
    <row r="5" spans="1:20" x14ac:dyDescent="0.25">
      <c r="A5">
        <v>3</v>
      </c>
      <c r="B5" s="1">
        <v>0.4</v>
      </c>
      <c r="C5" s="1">
        <v>0.58799999999999997</v>
      </c>
      <c r="D5" s="1">
        <v>1.2E-2</v>
      </c>
      <c r="E5" s="1">
        <v>0.2</v>
      </c>
      <c r="F5" s="1">
        <v>0.64000000000000012</v>
      </c>
      <c r="G5" s="1">
        <v>0.16</v>
      </c>
      <c r="H5" s="1">
        <v>0.35</v>
      </c>
      <c r="I5" s="1">
        <v>0.52</v>
      </c>
      <c r="J5" s="1">
        <v>0.13</v>
      </c>
      <c r="K5" s="1">
        <v>0.4</v>
      </c>
      <c r="L5" s="1">
        <v>0.48</v>
      </c>
      <c r="M5" s="1">
        <v>0.12</v>
      </c>
      <c r="O5" s="2">
        <v>2</v>
      </c>
      <c r="Q5">
        <v>3</v>
      </c>
      <c r="R5" s="1">
        <f t="shared" si="0"/>
        <v>0.4</v>
      </c>
      <c r="S5" s="1">
        <f t="shared" si="1"/>
        <v>0.48</v>
      </c>
      <c r="T5" s="1">
        <f t="shared" si="2"/>
        <v>0.12</v>
      </c>
    </row>
    <row r="6" spans="1:20" x14ac:dyDescent="0.25">
      <c r="A6">
        <v>4</v>
      </c>
      <c r="B6" s="1">
        <v>0.25</v>
      </c>
      <c r="C6" s="1">
        <v>0.73499999999999999</v>
      </c>
      <c r="D6" s="1">
        <v>1.4999999999999999E-2</v>
      </c>
      <c r="E6" s="1">
        <v>0.2</v>
      </c>
      <c r="F6" s="1">
        <v>0.64000000000000024</v>
      </c>
      <c r="G6" s="1">
        <v>0.16000000000000003</v>
      </c>
      <c r="H6" s="1">
        <v>0.35</v>
      </c>
      <c r="I6" s="1">
        <v>0.52</v>
      </c>
      <c r="J6" s="1">
        <v>0.13</v>
      </c>
      <c r="K6" s="1">
        <v>0.4</v>
      </c>
      <c r="L6" s="1">
        <v>0.48</v>
      </c>
      <c r="M6" s="1">
        <v>0.12</v>
      </c>
      <c r="O6" s="2">
        <v>2</v>
      </c>
      <c r="Q6">
        <v>4</v>
      </c>
      <c r="R6" s="1">
        <f t="shared" si="0"/>
        <v>0.4</v>
      </c>
      <c r="S6" s="1">
        <f t="shared" si="1"/>
        <v>0.48</v>
      </c>
      <c r="T6" s="1">
        <f t="shared" si="2"/>
        <v>0.12</v>
      </c>
    </row>
    <row r="7" spans="1:20" x14ac:dyDescent="0.25">
      <c r="A7">
        <v>5</v>
      </c>
      <c r="B7" s="1">
        <v>0.25</v>
      </c>
      <c r="C7" s="1">
        <v>0.73499999999999999</v>
      </c>
      <c r="D7" s="1">
        <v>1.4999999999999999E-2</v>
      </c>
      <c r="E7" s="1">
        <v>0.2</v>
      </c>
      <c r="F7" s="1">
        <v>0.64000000000000024</v>
      </c>
      <c r="G7" s="1">
        <v>0.16000000000000003</v>
      </c>
      <c r="H7" s="1">
        <v>0.35</v>
      </c>
      <c r="I7" s="1">
        <v>0.52</v>
      </c>
      <c r="J7" s="1">
        <v>0.13</v>
      </c>
      <c r="K7" s="1">
        <v>0.4</v>
      </c>
      <c r="L7" s="1">
        <v>0.48</v>
      </c>
      <c r="M7" s="1">
        <v>0.12</v>
      </c>
      <c r="O7" s="2">
        <v>2</v>
      </c>
      <c r="Q7">
        <v>5</v>
      </c>
      <c r="R7" s="1">
        <f t="shared" si="0"/>
        <v>0.4</v>
      </c>
      <c r="S7" s="1">
        <f t="shared" si="1"/>
        <v>0.48</v>
      </c>
      <c r="T7" s="1">
        <f t="shared" si="2"/>
        <v>0.12</v>
      </c>
    </row>
    <row r="8" spans="1:20" x14ac:dyDescent="0.25">
      <c r="A8">
        <v>6</v>
      </c>
      <c r="B8" s="1">
        <v>0.25</v>
      </c>
      <c r="C8" s="1">
        <v>0.73499999999999999</v>
      </c>
      <c r="D8" s="1">
        <v>1.4999999999999999E-2</v>
      </c>
      <c r="E8" s="1">
        <v>0.2</v>
      </c>
      <c r="F8" s="1">
        <v>0.64000000000000024</v>
      </c>
      <c r="G8" s="1">
        <v>0.16000000000000003</v>
      </c>
      <c r="H8" s="1">
        <v>0.35</v>
      </c>
      <c r="I8" s="1">
        <v>0.52</v>
      </c>
      <c r="J8" s="1">
        <v>0.13</v>
      </c>
      <c r="K8" s="1">
        <v>0.4</v>
      </c>
      <c r="L8" s="1">
        <v>0.48</v>
      </c>
      <c r="M8" s="1">
        <v>0.12</v>
      </c>
      <c r="O8" s="2">
        <v>2</v>
      </c>
      <c r="Q8">
        <v>6</v>
      </c>
      <c r="R8" s="1">
        <f t="shared" si="0"/>
        <v>0.4</v>
      </c>
      <c r="S8" s="1">
        <f t="shared" si="1"/>
        <v>0.48</v>
      </c>
      <c r="T8" s="1">
        <f t="shared" si="2"/>
        <v>0.12</v>
      </c>
    </row>
    <row r="9" spans="1:20" x14ac:dyDescent="0.25">
      <c r="A9">
        <v>7</v>
      </c>
      <c r="B9" s="1">
        <v>0.5</v>
      </c>
      <c r="C9" s="1">
        <v>0.49</v>
      </c>
      <c r="D9" s="1">
        <v>0.01</v>
      </c>
      <c r="E9" s="1">
        <v>0.2</v>
      </c>
      <c r="F9" s="1">
        <v>0.68</v>
      </c>
      <c r="G9" s="1">
        <v>0.12</v>
      </c>
      <c r="H9" s="1">
        <v>0.3</v>
      </c>
      <c r="I9" s="1">
        <v>0.59499999999999997</v>
      </c>
      <c r="J9" s="1">
        <v>0.10500000000000001</v>
      </c>
      <c r="K9" s="1">
        <v>0.4</v>
      </c>
      <c r="L9" s="1">
        <v>0.51</v>
      </c>
      <c r="M9" s="1">
        <v>0.09</v>
      </c>
      <c r="O9" s="2">
        <v>2</v>
      </c>
      <c r="Q9">
        <v>7</v>
      </c>
      <c r="R9" s="1">
        <f t="shared" si="0"/>
        <v>0.4</v>
      </c>
      <c r="S9" s="1">
        <f t="shared" si="1"/>
        <v>0.51</v>
      </c>
      <c r="T9" s="1">
        <f t="shared" si="2"/>
        <v>0.09</v>
      </c>
    </row>
    <row r="10" spans="1:20" x14ac:dyDescent="0.25">
      <c r="A10">
        <v>8</v>
      </c>
      <c r="B10" s="1">
        <v>0.75</v>
      </c>
      <c r="C10" s="1">
        <v>0.245</v>
      </c>
      <c r="D10" s="1">
        <v>5.0000000000000001E-3</v>
      </c>
      <c r="E10" s="1">
        <v>0.2</v>
      </c>
      <c r="F10" s="1">
        <v>0.68</v>
      </c>
      <c r="G10" s="1">
        <v>0.12</v>
      </c>
      <c r="H10" s="1">
        <v>0.3</v>
      </c>
      <c r="I10" s="1">
        <v>0.59499999999999997</v>
      </c>
      <c r="J10" s="1">
        <v>0.10500000000000001</v>
      </c>
      <c r="K10" s="1">
        <v>0.4</v>
      </c>
      <c r="L10" s="1">
        <v>0.51</v>
      </c>
      <c r="M10" s="1">
        <v>0.09</v>
      </c>
      <c r="O10" s="2">
        <v>2</v>
      </c>
      <c r="Q10">
        <v>8</v>
      </c>
      <c r="R10" s="1">
        <f t="shared" si="0"/>
        <v>0.4</v>
      </c>
      <c r="S10" s="1">
        <f t="shared" si="1"/>
        <v>0.51</v>
      </c>
      <c r="T10" s="1">
        <f t="shared" si="2"/>
        <v>0.09</v>
      </c>
    </row>
    <row r="11" spans="1:20" x14ac:dyDescent="0.25">
      <c r="A11">
        <v>9</v>
      </c>
      <c r="B11" s="1">
        <v>0.75</v>
      </c>
      <c r="C11" s="1">
        <v>0.245</v>
      </c>
      <c r="D11" s="1">
        <v>5.0000000000000001E-3</v>
      </c>
      <c r="E11" s="1">
        <v>0.2</v>
      </c>
      <c r="F11" s="1">
        <v>0.68</v>
      </c>
      <c r="G11" s="1">
        <v>0.12</v>
      </c>
      <c r="H11" s="1">
        <v>0.3</v>
      </c>
      <c r="I11" s="1">
        <v>0.59499999999999997</v>
      </c>
      <c r="J11" s="1">
        <v>0.10500000000000001</v>
      </c>
      <c r="K11" s="1">
        <v>0.4</v>
      </c>
      <c r="L11" s="1">
        <v>0.51</v>
      </c>
      <c r="M11" s="1">
        <v>0.09</v>
      </c>
      <c r="O11" s="2">
        <v>2</v>
      </c>
      <c r="Q11">
        <v>9</v>
      </c>
      <c r="R11" s="1">
        <f t="shared" si="0"/>
        <v>0.4</v>
      </c>
      <c r="S11" s="1">
        <f t="shared" si="1"/>
        <v>0.51</v>
      </c>
      <c r="T11" s="1">
        <f t="shared" si="2"/>
        <v>0.09</v>
      </c>
    </row>
    <row r="12" spans="1:20" x14ac:dyDescent="0.25">
      <c r="A12">
        <v>10</v>
      </c>
      <c r="B12" s="1">
        <v>0.75</v>
      </c>
      <c r="C12" s="1">
        <v>0.245</v>
      </c>
      <c r="D12" s="1">
        <v>5.0000000000000001E-3</v>
      </c>
      <c r="E12" s="1">
        <v>0.2</v>
      </c>
      <c r="F12" s="1">
        <v>0.68</v>
      </c>
      <c r="G12" s="1">
        <v>0.12</v>
      </c>
      <c r="H12" s="1">
        <v>0.3</v>
      </c>
      <c r="I12" s="1">
        <v>0.59499999999999997</v>
      </c>
      <c r="J12" s="1">
        <v>0.10500000000000001</v>
      </c>
      <c r="K12" s="1">
        <v>0.4</v>
      </c>
      <c r="L12" s="1">
        <v>0.51</v>
      </c>
      <c r="M12" s="1">
        <v>0.09</v>
      </c>
      <c r="O12" s="2">
        <v>2</v>
      </c>
      <c r="Q12">
        <v>10</v>
      </c>
      <c r="R12" s="1">
        <f t="shared" si="0"/>
        <v>0.4</v>
      </c>
      <c r="S12" s="1">
        <f t="shared" si="1"/>
        <v>0.51</v>
      </c>
      <c r="T12" s="1">
        <f t="shared" si="2"/>
        <v>0.09</v>
      </c>
    </row>
    <row r="13" spans="1:20" x14ac:dyDescent="0.25">
      <c r="A13">
        <v>11</v>
      </c>
      <c r="B13" s="1">
        <v>0.42313697566885722</v>
      </c>
      <c r="C13" s="1">
        <v>0.56532576384452005</v>
      </c>
      <c r="D13" s="1">
        <v>1.1537260486622855E-2</v>
      </c>
      <c r="E13" s="1">
        <v>0.16666666666666671</v>
      </c>
      <c r="F13" s="1">
        <v>0.70833333333333337</v>
      </c>
      <c r="G13" s="1">
        <v>0.125</v>
      </c>
      <c r="H13" s="1">
        <v>0.22500000000000001</v>
      </c>
      <c r="I13" s="1">
        <v>0.65875000000000006</v>
      </c>
      <c r="J13" s="1">
        <v>0.11625000000000001</v>
      </c>
      <c r="K13" s="1">
        <v>0.30833333333333329</v>
      </c>
      <c r="L13" s="1">
        <v>0.58791666666666664</v>
      </c>
      <c r="M13" s="1">
        <v>0.10375000000000001</v>
      </c>
      <c r="O13" s="2">
        <v>2</v>
      </c>
      <c r="Q13">
        <v>11</v>
      </c>
      <c r="R13" s="1">
        <f t="shared" si="0"/>
        <v>0.30833333333333329</v>
      </c>
      <c r="S13" s="1">
        <f t="shared" si="1"/>
        <v>0.58791666666666664</v>
      </c>
      <c r="T13" s="1">
        <f t="shared" si="2"/>
        <v>0.10375000000000001</v>
      </c>
    </row>
    <row r="14" spans="1:20" x14ac:dyDescent="0.25">
      <c r="A14">
        <v>12</v>
      </c>
      <c r="B14" s="1">
        <v>0.44639478255469994</v>
      </c>
      <c r="C14" s="1">
        <v>0.54253311309639407</v>
      </c>
      <c r="D14" s="1">
        <v>1.1072104348906002E-2</v>
      </c>
      <c r="E14" s="1">
        <v>0.20000000000000004</v>
      </c>
      <c r="F14" s="1">
        <v>0.68</v>
      </c>
      <c r="G14" s="1">
        <v>0.12</v>
      </c>
      <c r="H14" s="1">
        <v>0.25</v>
      </c>
      <c r="I14" s="1">
        <v>0.63749999999999996</v>
      </c>
      <c r="J14" s="1">
        <v>0.11249999999999998</v>
      </c>
      <c r="K14" s="1">
        <v>0.3</v>
      </c>
      <c r="L14" s="1">
        <v>0.59499999999999997</v>
      </c>
      <c r="M14" s="1">
        <v>0.10500000000000002</v>
      </c>
      <c r="O14" s="2">
        <v>2</v>
      </c>
      <c r="Q14">
        <v>12</v>
      </c>
      <c r="R14" s="1">
        <f t="shared" si="0"/>
        <v>0.3</v>
      </c>
      <c r="S14" s="1">
        <f t="shared" si="1"/>
        <v>0.59499999999999997</v>
      </c>
      <c r="T14" s="1">
        <f t="shared" si="2"/>
        <v>0.10500000000000002</v>
      </c>
    </row>
    <row r="15" spans="1:20" x14ac:dyDescent="0.25">
      <c r="A15">
        <v>13</v>
      </c>
      <c r="B15" s="1">
        <v>0.4</v>
      </c>
      <c r="C15" s="1">
        <v>0.58799999999999997</v>
      </c>
      <c r="D15" s="1">
        <v>1.2E-2</v>
      </c>
      <c r="E15" s="1">
        <v>0.2</v>
      </c>
      <c r="F15" s="1">
        <v>0.64000000000000012</v>
      </c>
      <c r="G15" s="1">
        <v>0.16</v>
      </c>
      <c r="H15" s="1">
        <v>0.35</v>
      </c>
      <c r="I15" s="1">
        <v>0.52</v>
      </c>
      <c r="J15" s="1">
        <v>0.13</v>
      </c>
      <c r="K15" s="1">
        <v>0.4</v>
      </c>
      <c r="L15" s="1">
        <v>0.48</v>
      </c>
      <c r="M15" s="1">
        <v>0.12</v>
      </c>
      <c r="O15" s="2">
        <v>2</v>
      </c>
      <c r="Q15">
        <v>13</v>
      </c>
      <c r="R15" s="1">
        <f t="shared" si="0"/>
        <v>0.4</v>
      </c>
      <c r="S15" s="1">
        <f t="shared" si="1"/>
        <v>0.48</v>
      </c>
      <c r="T15" s="1">
        <f t="shared" si="2"/>
        <v>0.12</v>
      </c>
    </row>
    <row r="16" spans="1:20" x14ac:dyDescent="0.25">
      <c r="A16">
        <v>14</v>
      </c>
      <c r="B16" s="1">
        <v>0.25</v>
      </c>
      <c r="C16" s="1">
        <v>0.73499999999999999</v>
      </c>
      <c r="D16" s="1">
        <v>1.4999999999999999E-2</v>
      </c>
      <c r="E16" s="1">
        <v>0.2</v>
      </c>
      <c r="F16" s="1">
        <v>0.68</v>
      </c>
      <c r="G16" s="1">
        <v>0.12</v>
      </c>
      <c r="H16" s="1">
        <v>0.3</v>
      </c>
      <c r="I16" s="1">
        <v>0.59499999999999997</v>
      </c>
      <c r="J16" s="1">
        <v>0.10500000000000001</v>
      </c>
      <c r="K16" s="1">
        <v>0.4</v>
      </c>
      <c r="L16" s="1">
        <v>0.51</v>
      </c>
      <c r="M16" s="1">
        <v>0.09</v>
      </c>
      <c r="O16" s="2">
        <v>2</v>
      </c>
      <c r="Q16">
        <v>14</v>
      </c>
      <c r="R16" s="1">
        <f t="shared" si="0"/>
        <v>0.4</v>
      </c>
      <c r="S16" s="1">
        <f t="shared" si="1"/>
        <v>0.51</v>
      </c>
      <c r="T16" s="1">
        <f t="shared" si="2"/>
        <v>0.09</v>
      </c>
    </row>
    <row r="17" spans="1:20" x14ac:dyDescent="0.25">
      <c r="A17">
        <v>15</v>
      </c>
      <c r="B17" s="1">
        <v>0.25</v>
      </c>
      <c r="C17" s="1">
        <v>0.73499999999999999</v>
      </c>
      <c r="D17" s="1">
        <v>1.4999999999999999E-2</v>
      </c>
      <c r="E17" s="1">
        <v>0.2</v>
      </c>
      <c r="F17" s="1">
        <v>0.68</v>
      </c>
      <c r="G17" s="1">
        <v>0.12</v>
      </c>
      <c r="H17" s="1">
        <v>0.3</v>
      </c>
      <c r="I17" s="1">
        <v>0.59499999999999997</v>
      </c>
      <c r="J17" s="1">
        <v>0.10500000000000001</v>
      </c>
      <c r="K17" s="1">
        <v>0.4</v>
      </c>
      <c r="L17" s="1">
        <v>0.51</v>
      </c>
      <c r="M17" s="1">
        <v>0.09</v>
      </c>
      <c r="O17" s="2">
        <v>2</v>
      </c>
      <c r="Q17">
        <v>15</v>
      </c>
      <c r="R17" s="1">
        <f t="shared" si="0"/>
        <v>0.4</v>
      </c>
      <c r="S17" s="1">
        <f t="shared" si="1"/>
        <v>0.51</v>
      </c>
      <c r="T17" s="1">
        <f t="shared" si="2"/>
        <v>0.09</v>
      </c>
    </row>
    <row r="18" spans="1:20" x14ac:dyDescent="0.25">
      <c r="A18">
        <v>16</v>
      </c>
      <c r="B18" s="1">
        <v>0.25</v>
      </c>
      <c r="C18" s="1">
        <v>0.73499999999999999</v>
      </c>
      <c r="D18" s="1">
        <v>1.4999999999999999E-2</v>
      </c>
      <c r="E18" s="1">
        <v>0.2</v>
      </c>
      <c r="F18" s="1">
        <v>0.68</v>
      </c>
      <c r="G18" s="1">
        <v>0.12</v>
      </c>
      <c r="H18" s="1">
        <v>0.3</v>
      </c>
      <c r="I18" s="1">
        <v>0.59499999999999997</v>
      </c>
      <c r="J18" s="1">
        <v>0.10500000000000001</v>
      </c>
      <c r="K18" s="1">
        <v>0.4</v>
      </c>
      <c r="L18" s="1">
        <v>0.51</v>
      </c>
      <c r="M18" s="1">
        <v>0.09</v>
      </c>
      <c r="O18" s="2">
        <v>2</v>
      </c>
      <c r="Q18">
        <v>16</v>
      </c>
      <c r="R18" s="1">
        <f t="shared" si="0"/>
        <v>0.4</v>
      </c>
      <c r="S18" s="1">
        <f t="shared" si="1"/>
        <v>0.51</v>
      </c>
      <c r="T18" s="1">
        <f t="shared" si="2"/>
        <v>0.09</v>
      </c>
    </row>
    <row r="19" spans="1:20" x14ac:dyDescent="0.25">
      <c r="A19">
        <v>17</v>
      </c>
      <c r="B19" s="1">
        <v>0.5</v>
      </c>
      <c r="C19" s="1">
        <v>0.49</v>
      </c>
      <c r="D19" s="1">
        <v>0.01</v>
      </c>
      <c r="E19" s="1">
        <v>0.2</v>
      </c>
      <c r="F19" s="1">
        <v>0.68</v>
      </c>
      <c r="G19" s="1">
        <v>0.12</v>
      </c>
      <c r="H19" s="1">
        <v>0.3</v>
      </c>
      <c r="I19" s="1">
        <v>0.59499999999999997</v>
      </c>
      <c r="J19" s="1">
        <v>0.10500000000000001</v>
      </c>
      <c r="K19" s="1">
        <v>0.4</v>
      </c>
      <c r="L19" s="1">
        <v>0.51</v>
      </c>
      <c r="M19" s="1">
        <v>0.09</v>
      </c>
      <c r="O19" s="2">
        <v>2</v>
      </c>
      <c r="Q19">
        <v>17</v>
      </c>
      <c r="R19" s="1">
        <f t="shared" si="0"/>
        <v>0.4</v>
      </c>
      <c r="S19" s="1">
        <f t="shared" si="1"/>
        <v>0.51</v>
      </c>
      <c r="T19" s="1">
        <f t="shared" si="2"/>
        <v>0.09</v>
      </c>
    </row>
    <row r="20" spans="1:20" x14ac:dyDescent="0.25">
      <c r="A20">
        <v>18</v>
      </c>
      <c r="B20" s="1">
        <v>0.67200000000000004</v>
      </c>
      <c r="C20" s="1">
        <v>0.32144</v>
      </c>
      <c r="D20" s="1">
        <v>6.5600000000000007E-3</v>
      </c>
      <c r="E20" s="1">
        <v>0.20000000000000004</v>
      </c>
      <c r="F20" s="1">
        <v>0.64000000000000024</v>
      </c>
      <c r="G20" s="1">
        <v>0.16000000000000003</v>
      </c>
      <c r="H20" s="1">
        <v>0.35</v>
      </c>
      <c r="I20" s="1">
        <v>0.52</v>
      </c>
      <c r="J20" s="1">
        <v>0.13</v>
      </c>
      <c r="K20" s="1">
        <v>0.4</v>
      </c>
      <c r="L20" s="1">
        <v>0.48</v>
      </c>
      <c r="M20" s="1">
        <v>0.12</v>
      </c>
      <c r="O20" s="2">
        <v>2</v>
      </c>
      <c r="Q20">
        <v>18</v>
      </c>
      <c r="R20" s="1">
        <f t="shared" si="0"/>
        <v>0.4</v>
      </c>
      <c r="S20" s="1">
        <f t="shared" si="1"/>
        <v>0.48</v>
      </c>
      <c r="T20" s="1">
        <f t="shared" si="2"/>
        <v>0.12</v>
      </c>
    </row>
    <row r="21" spans="1:20" x14ac:dyDescent="0.25">
      <c r="A21">
        <v>19</v>
      </c>
      <c r="B21" s="1">
        <v>0.75</v>
      </c>
      <c r="C21" s="1">
        <v>0.245</v>
      </c>
      <c r="D21" s="1">
        <v>5.0000000000000001E-3</v>
      </c>
      <c r="E21" s="1">
        <v>0.20000000000000004</v>
      </c>
      <c r="F21" s="1">
        <v>0.64000000000000024</v>
      </c>
      <c r="G21" s="1">
        <v>0.16000000000000003</v>
      </c>
      <c r="H21" s="1">
        <v>0.35</v>
      </c>
      <c r="I21" s="1">
        <v>0.52</v>
      </c>
      <c r="J21" s="1">
        <v>0.13</v>
      </c>
      <c r="K21" s="1">
        <v>0.4</v>
      </c>
      <c r="L21" s="1">
        <v>0.48</v>
      </c>
      <c r="M21" s="1">
        <v>0.12</v>
      </c>
      <c r="O21" s="2">
        <v>2</v>
      </c>
      <c r="Q21">
        <v>19</v>
      </c>
      <c r="R21" s="1">
        <f t="shared" si="0"/>
        <v>0.4</v>
      </c>
      <c r="S21" s="1">
        <f t="shared" si="1"/>
        <v>0.48</v>
      </c>
      <c r="T21" s="1">
        <f t="shared" si="2"/>
        <v>0.12</v>
      </c>
    </row>
    <row r="22" spans="1:20" x14ac:dyDescent="0.25">
      <c r="A22">
        <v>20</v>
      </c>
      <c r="B22" s="1">
        <v>0.4219230769230769</v>
      </c>
      <c r="C22" s="1">
        <v>0.52026923076923071</v>
      </c>
      <c r="D22" s="1">
        <v>5.780769230769231E-2</v>
      </c>
      <c r="E22" s="1">
        <v>0.2</v>
      </c>
      <c r="F22" s="1">
        <v>0.6</v>
      </c>
      <c r="G22" s="1">
        <v>0.2</v>
      </c>
      <c r="H22" s="1">
        <v>0.35</v>
      </c>
      <c r="I22" s="1">
        <v>0.48750000000000004</v>
      </c>
      <c r="J22" s="1">
        <v>0.16250000000000001</v>
      </c>
      <c r="K22" s="1">
        <v>0.4</v>
      </c>
      <c r="L22" s="1">
        <v>0.45</v>
      </c>
      <c r="M22" s="1">
        <v>0.15000000000000002</v>
      </c>
      <c r="O22" s="2">
        <v>2</v>
      </c>
      <c r="Q22">
        <v>20</v>
      </c>
      <c r="R22" s="1">
        <f t="shared" si="0"/>
        <v>0.4</v>
      </c>
      <c r="S22" s="1">
        <f t="shared" si="1"/>
        <v>0.45</v>
      </c>
      <c r="T22" s="1">
        <f t="shared" si="2"/>
        <v>0.15000000000000002</v>
      </c>
    </row>
    <row r="23" spans="1:20" x14ac:dyDescent="0.25">
      <c r="A23">
        <v>21</v>
      </c>
      <c r="B23" s="1">
        <v>0.75</v>
      </c>
      <c r="C23" s="1">
        <v>0.245</v>
      </c>
      <c r="D23" s="1">
        <v>5.0000000000000001E-3</v>
      </c>
      <c r="E23" s="1">
        <v>0.20000000000000004</v>
      </c>
      <c r="F23" s="1">
        <v>0.64000000000000024</v>
      </c>
      <c r="G23" s="1">
        <v>0.16000000000000003</v>
      </c>
      <c r="H23" s="1">
        <v>0.35</v>
      </c>
      <c r="I23" s="1">
        <v>0.52</v>
      </c>
      <c r="J23" s="1">
        <v>0.13</v>
      </c>
      <c r="K23" s="1">
        <v>0.4</v>
      </c>
      <c r="L23" s="1">
        <v>0.48</v>
      </c>
      <c r="M23" s="1">
        <v>0.12</v>
      </c>
      <c r="O23" s="2">
        <v>2</v>
      </c>
      <c r="Q23">
        <v>21</v>
      </c>
      <c r="R23" s="1">
        <f t="shared" si="0"/>
        <v>0.4</v>
      </c>
      <c r="S23" s="1">
        <f t="shared" si="1"/>
        <v>0.48</v>
      </c>
      <c r="T23" s="1">
        <f t="shared" si="2"/>
        <v>0.12</v>
      </c>
    </row>
    <row r="24" spans="1:20" x14ac:dyDescent="0.25">
      <c r="A24">
        <v>22</v>
      </c>
      <c r="B24" s="1">
        <v>0.75</v>
      </c>
      <c r="C24" s="1">
        <v>0.245</v>
      </c>
      <c r="D24" s="1">
        <v>5.0000000000000001E-3</v>
      </c>
      <c r="E24" s="1">
        <v>0.20000000000000004</v>
      </c>
      <c r="F24" s="1">
        <v>0.64000000000000024</v>
      </c>
      <c r="G24" s="1">
        <v>0.16000000000000003</v>
      </c>
      <c r="H24" s="1">
        <v>0.35</v>
      </c>
      <c r="I24" s="1">
        <v>0.52</v>
      </c>
      <c r="J24" s="1">
        <v>0.13</v>
      </c>
      <c r="K24" s="1">
        <v>0.4</v>
      </c>
      <c r="L24" s="1">
        <v>0.48</v>
      </c>
      <c r="M24" s="1">
        <v>0.12</v>
      </c>
      <c r="O24" s="2">
        <v>2</v>
      </c>
      <c r="Q24">
        <v>22</v>
      </c>
      <c r="R24" s="1">
        <f t="shared" si="0"/>
        <v>0.4</v>
      </c>
      <c r="S24" s="1">
        <f t="shared" si="1"/>
        <v>0.48</v>
      </c>
      <c r="T24" s="1">
        <f t="shared" si="2"/>
        <v>0.12</v>
      </c>
    </row>
    <row r="25" spans="1:20" x14ac:dyDescent="0.25">
      <c r="A25">
        <v>23</v>
      </c>
      <c r="B25" s="1">
        <v>0.68788850799008838</v>
      </c>
      <c r="C25" s="1">
        <v>0.30586926216971339</v>
      </c>
      <c r="D25" s="1">
        <v>6.2422298401982332E-3</v>
      </c>
      <c r="E25" s="1">
        <v>0.2</v>
      </c>
      <c r="F25" s="1">
        <v>0.68</v>
      </c>
      <c r="G25" s="1">
        <v>0.12</v>
      </c>
      <c r="H25" s="1">
        <v>0.4</v>
      </c>
      <c r="I25" s="1">
        <v>0.51</v>
      </c>
      <c r="J25" s="1">
        <v>0.09</v>
      </c>
      <c r="K25" s="1">
        <v>0.5</v>
      </c>
      <c r="L25" s="1">
        <v>0.42500000000000004</v>
      </c>
      <c r="M25" s="1">
        <v>7.4999999999999997E-2</v>
      </c>
      <c r="O25" s="2">
        <v>2</v>
      </c>
      <c r="Q25">
        <v>23</v>
      </c>
      <c r="R25" s="1">
        <f t="shared" si="0"/>
        <v>0.5</v>
      </c>
      <c r="S25" s="1">
        <f t="shared" si="1"/>
        <v>0.42500000000000004</v>
      </c>
      <c r="T25" s="1">
        <f t="shared" si="2"/>
        <v>7.4999999999999997E-2</v>
      </c>
    </row>
    <row r="26" spans="1:20" x14ac:dyDescent="0.25">
      <c r="A26">
        <v>24</v>
      </c>
      <c r="B26" s="1">
        <v>0.4</v>
      </c>
      <c r="C26" s="1">
        <v>0.58799999999999997</v>
      </c>
      <c r="D26" s="1">
        <v>1.2E-2</v>
      </c>
      <c r="E26" s="1">
        <v>0.2</v>
      </c>
      <c r="F26" s="1">
        <v>0.64000000000000012</v>
      </c>
      <c r="G26" s="1">
        <v>0.16</v>
      </c>
      <c r="H26" s="1">
        <v>0.35</v>
      </c>
      <c r="I26" s="1">
        <v>0.52</v>
      </c>
      <c r="J26" s="1">
        <v>0.13</v>
      </c>
      <c r="K26" s="1">
        <v>0.4</v>
      </c>
      <c r="L26" s="1">
        <v>0.48</v>
      </c>
      <c r="M26" s="1">
        <v>0.12</v>
      </c>
      <c r="O26" s="2">
        <v>2</v>
      </c>
      <c r="Q26">
        <v>24</v>
      </c>
      <c r="R26" s="1">
        <f t="shared" si="0"/>
        <v>0.4</v>
      </c>
      <c r="S26" s="1">
        <f t="shared" si="1"/>
        <v>0.48</v>
      </c>
      <c r="T26" s="1">
        <f t="shared" si="2"/>
        <v>0.12</v>
      </c>
    </row>
    <row r="27" spans="1:20" x14ac:dyDescent="0.25">
      <c r="A27">
        <v>25</v>
      </c>
      <c r="B27" s="1">
        <v>0.75</v>
      </c>
      <c r="C27" s="1">
        <v>0.245</v>
      </c>
      <c r="D27" s="1">
        <v>5.0000000000000001E-3</v>
      </c>
      <c r="E27" s="1">
        <v>0.20000000000000004</v>
      </c>
      <c r="F27" s="1">
        <v>0.64000000000000024</v>
      </c>
      <c r="G27" s="1">
        <v>0.16000000000000003</v>
      </c>
      <c r="H27" s="1">
        <v>0.35</v>
      </c>
      <c r="I27" s="1">
        <v>0.52</v>
      </c>
      <c r="J27" s="1">
        <v>0.13</v>
      </c>
      <c r="K27" s="1">
        <v>0.4</v>
      </c>
      <c r="L27" s="1">
        <v>0.48</v>
      </c>
      <c r="M27" s="1">
        <v>0.12</v>
      </c>
      <c r="O27" s="2">
        <v>2</v>
      </c>
      <c r="Q27">
        <v>25</v>
      </c>
      <c r="R27" s="1">
        <f t="shared" si="0"/>
        <v>0.4</v>
      </c>
      <c r="S27" s="1">
        <f t="shared" si="1"/>
        <v>0.48</v>
      </c>
      <c r="T27" s="1">
        <f t="shared" si="2"/>
        <v>0.12</v>
      </c>
    </row>
    <row r="28" spans="1:20" x14ac:dyDescent="0.25">
      <c r="A28">
        <v>26</v>
      </c>
      <c r="B28" s="1">
        <v>0.75</v>
      </c>
      <c r="C28" s="1">
        <v>0.245</v>
      </c>
      <c r="D28" s="1">
        <v>5.0000000000000001E-3</v>
      </c>
      <c r="E28" s="1">
        <v>0.2</v>
      </c>
      <c r="F28" s="1">
        <v>0.68</v>
      </c>
      <c r="G28" s="1">
        <v>0.12</v>
      </c>
      <c r="H28" s="1">
        <v>0.3</v>
      </c>
      <c r="I28" s="1">
        <v>0.59499999999999997</v>
      </c>
      <c r="J28" s="1">
        <v>0.10500000000000001</v>
      </c>
      <c r="K28" s="1">
        <v>0.4</v>
      </c>
      <c r="L28" s="1">
        <v>0.51</v>
      </c>
      <c r="M28" s="1">
        <v>0.09</v>
      </c>
      <c r="O28" s="2">
        <v>2</v>
      </c>
      <c r="Q28">
        <v>26</v>
      </c>
      <c r="R28" s="1">
        <f t="shared" si="0"/>
        <v>0.4</v>
      </c>
      <c r="S28" s="1">
        <f t="shared" si="1"/>
        <v>0.51</v>
      </c>
      <c r="T28" s="1">
        <f t="shared" si="2"/>
        <v>0.09</v>
      </c>
    </row>
    <row r="31" spans="1:20" x14ac:dyDescent="0.25">
      <c r="B31" t="s">
        <v>19</v>
      </c>
    </row>
    <row r="32" spans="1:20" x14ac:dyDescent="0.25">
      <c r="B32">
        <v>1</v>
      </c>
      <c r="D32" t="s">
        <v>20</v>
      </c>
    </row>
    <row r="33" spans="1:5" x14ac:dyDescent="0.25">
      <c r="B33">
        <v>2</v>
      </c>
      <c r="D33" t="s">
        <v>9</v>
      </c>
    </row>
    <row r="34" spans="1:5" x14ac:dyDescent="0.25">
      <c r="B34">
        <v>3</v>
      </c>
      <c r="D34" t="s">
        <v>10</v>
      </c>
    </row>
    <row r="36" spans="1:5" x14ac:dyDescent="0.25">
      <c r="B36" t="s">
        <v>22</v>
      </c>
      <c r="E36" s="3" t="s">
        <v>23</v>
      </c>
    </row>
    <row r="38" spans="1:5" x14ac:dyDescent="0.25">
      <c r="A38" t="s">
        <v>25</v>
      </c>
      <c r="B38" t="s">
        <v>24</v>
      </c>
    </row>
    <row r="39" spans="1:5" x14ac:dyDescent="0.25">
      <c r="A39" t="s">
        <v>26</v>
      </c>
      <c r="C39" t="s">
        <v>27</v>
      </c>
    </row>
  </sheetData>
  <hyperlinks>
    <hyperlink ref="E3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workbookViewId="0">
      <selection activeCell="H2" sqref="H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0.29399999999999998</v>
      </c>
      <c r="D2">
        <v>0.14699999999999999</v>
      </c>
      <c r="E2">
        <v>0.126</v>
      </c>
      <c r="F2">
        <v>0.16500000000000001</v>
      </c>
    </row>
    <row r="3" spans="1:6" x14ac:dyDescent="0.25">
      <c r="A3">
        <v>1</v>
      </c>
      <c r="B3" t="s">
        <v>7</v>
      </c>
      <c r="C3">
        <v>0.219</v>
      </c>
      <c r="D3">
        <v>0.02</v>
      </c>
      <c r="E3">
        <v>0.02</v>
      </c>
      <c r="F3">
        <v>0.01</v>
      </c>
    </row>
    <row r="4" spans="1:6" x14ac:dyDescent="0.25">
      <c r="A4">
        <v>2</v>
      </c>
      <c r="B4" t="s">
        <v>6</v>
      </c>
      <c r="C4">
        <v>0.52700000000000002</v>
      </c>
      <c r="D4">
        <v>5.7000000000000002E-2</v>
      </c>
      <c r="E4">
        <v>7.0999999999999994E-2</v>
      </c>
      <c r="F4">
        <v>0.13800000000000001</v>
      </c>
    </row>
    <row r="5" spans="1:6" x14ac:dyDescent="0.25">
      <c r="A5">
        <v>2</v>
      </c>
      <c r="B5" t="s">
        <v>7</v>
      </c>
      <c r="C5">
        <v>0.19800000000000001</v>
      </c>
      <c r="D5">
        <v>3.0000000000000001E-3</v>
      </c>
      <c r="E5">
        <v>5.0000000000000001E-3</v>
      </c>
      <c r="F5">
        <v>1E-3</v>
      </c>
    </row>
    <row r="6" spans="1:6" x14ac:dyDescent="0.25">
      <c r="A6">
        <v>3</v>
      </c>
      <c r="B6" t="s">
        <v>6</v>
      </c>
      <c r="C6">
        <v>0.29399999999999998</v>
      </c>
      <c r="D6">
        <v>0.14699999999999999</v>
      </c>
      <c r="E6">
        <v>0.126</v>
      </c>
      <c r="F6">
        <v>0.16500000000000001</v>
      </c>
    </row>
    <row r="7" spans="1:6" x14ac:dyDescent="0.25">
      <c r="A7">
        <v>3</v>
      </c>
      <c r="B7" t="s">
        <v>7</v>
      </c>
      <c r="C7">
        <v>0.219</v>
      </c>
      <c r="D7">
        <v>0.02</v>
      </c>
      <c r="E7">
        <v>0.02</v>
      </c>
      <c r="F7">
        <v>0.01</v>
      </c>
    </row>
    <row r="8" spans="1:6" x14ac:dyDescent="0.25">
      <c r="A8">
        <v>4</v>
      </c>
      <c r="B8" t="s">
        <v>6</v>
      </c>
      <c r="C8">
        <v>0.29399999999999998</v>
      </c>
      <c r="D8">
        <v>0.14699999999999999</v>
      </c>
      <c r="E8">
        <v>0.126</v>
      </c>
      <c r="F8">
        <v>0.16500000000000001</v>
      </c>
    </row>
    <row r="9" spans="1:6" x14ac:dyDescent="0.25">
      <c r="A9">
        <v>4</v>
      </c>
      <c r="B9" t="s">
        <v>7</v>
      </c>
      <c r="C9">
        <v>0.219</v>
      </c>
      <c r="D9">
        <v>0.02</v>
      </c>
      <c r="E9">
        <v>0.02</v>
      </c>
      <c r="F9">
        <v>0.01</v>
      </c>
    </row>
    <row r="10" spans="1:6" x14ac:dyDescent="0.25">
      <c r="A10">
        <v>5</v>
      </c>
      <c r="B10" t="s">
        <v>6</v>
      </c>
      <c r="C10">
        <v>0.29399999999999998</v>
      </c>
      <c r="D10">
        <v>0.14699999999999999</v>
      </c>
      <c r="E10">
        <v>0.126</v>
      </c>
      <c r="F10">
        <v>0.16500000000000001</v>
      </c>
    </row>
    <row r="11" spans="1:6" x14ac:dyDescent="0.25">
      <c r="A11">
        <v>5</v>
      </c>
      <c r="B11" t="s">
        <v>7</v>
      </c>
      <c r="C11">
        <v>0.219</v>
      </c>
      <c r="D11">
        <v>0.02</v>
      </c>
      <c r="E11">
        <v>0.02</v>
      </c>
      <c r="F11">
        <v>0.01</v>
      </c>
    </row>
    <row r="12" spans="1:6" x14ac:dyDescent="0.25">
      <c r="A12">
        <v>6</v>
      </c>
      <c r="B12" t="s">
        <v>6</v>
      </c>
      <c r="C12">
        <v>0.29399999999999998</v>
      </c>
      <c r="D12">
        <v>0.14699999999999999</v>
      </c>
      <c r="E12">
        <v>0.126</v>
      </c>
      <c r="F12">
        <v>0.16500000000000001</v>
      </c>
    </row>
    <row r="13" spans="1:6" x14ac:dyDescent="0.25">
      <c r="A13">
        <v>6</v>
      </c>
      <c r="B13" t="s">
        <v>7</v>
      </c>
      <c r="C13">
        <v>0.219</v>
      </c>
      <c r="D13">
        <v>0.02</v>
      </c>
      <c r="E13">
        <v>0.02</v>
      </c>
      <c r="F13">
        <v>0.01</v>
      </c>
    </row>
    <row r="14" spans="1:6" x14ac:dyDescent="0.25">
      <c r="A14">
        <v>7</v>
      </c>
      <c r="B14" t="s">
        <v>6</v>
      </c>
      <c r="C14">
        <v>0.29399999999999998</v>
      </c>
      <c r="D14">
        <v>0.14699999999999999</v>
      </c>
      <c r="E14">
        <v>0.126</v>
      </c>
      <c r="F14">
        <v>0.16500000000000001</v>
      </c>
    </row>
    <row r="15" spans="1:6" x14ac:dyDescent="0.25">
      <c r="A15">
        <v>7</v>
      </c>
      <c r="B15" t="s">
        <v>7</v>
      </c>
      <c r="C15">
        <v>0.219</v>
      </c>
      <c r="D15">
        <v>0.02</v>
      </c>
      <c r="E15">
        <v>0.02</v>
      </c>
      <c r="F15">
        <v>0.01</v>
      </c>
    </row>
    <row r="16" spans="1:6" x14ac:dyDescent="0.25">
      <c r="A16">
        <v>8</v>
      </c>
      <c r="B16" t="s">
        <v>6</v>
      </c>
      <c r="C16">
        <v>0.29399999999999998</v>
      </c>
      <c r="D16">
        <v>0.14699999999999999</v>
      </c>
      <c r="E16">
        <v>0.126</v>
      </c>
      <c r="F16">
        <v>0.16500000000000001</v>
      </c>
    </row>
    <row r="17" spans="1:6" x14ac:dyDescent="0.25">
      <c r="A17">
        <v>8</v>
      </c>
      <c r="B17" t="s">
        <v>7</v>
      </c>
      <c r="C17">
        <v>0.219</v>
      </c>
      <c r="D17">
        <v>0.02</v>
      </c>
      <c r="E17">
        <v>0.02</v>
      </c>
      <c r="F17">
        <v>0.01</v>
      </c>
    </row>
    <row r="18" spans="1:6" x14ac:dyDescent="0.25">
      <c r="A18">
        <v>9</v>
      </c>
      <c r="B18" t="s">
        <v>6</v>
      </c>
      <c r="C18">
        <v>0.29399999999999998</v>
      </c>
      <c r="D18">
        <v>0.14699999999999999</v>
      </c>
      <c r="E18">
        <v>0.126</v>
      </c>
      <c r="F18">
        <v>0.16500000000000001</v>
      </c>
    </row>
    <row r="19" spans="1:6" x14ac:dyDescent="0.25">
      <c r="A19">
        <v>9</v>
      </c>
      <c r="B19" t="s">
        <v>7</v>
      </c>
      <c r="C19">
        <v>0.219</v>
      </c>
      <c r="D19">
        <v>0.02</v>
      </c>
      <c r="E19">
        <v>0.02</v>
      </c>
      <c r="F19">
        <v>0.01</v>
      </c>
    </row>
    <row r="20" spans="1:6" x14ac:dyDescent="0.25">
      <c r="A20">
        <v>10</v>
      </c>
      <c r="B20" t="s">
        <v>6</v>
      </c>
      <c r="C20">
        <v>0.29399999999999998</v>
      </c>
      <c r="D20">
        <v>0.14699999999999999</v>
      </c>
      <c r="E20">
        <v>0.126</v>
      </c>
      <c r="F20">
        <v>0.16500000000000001</v>
      </c>
    </row>
    <row r="21" spans="1:6" x14ac:dyDescent="0.25">
      <c r="A21">
        <v>10</v>
      </c>
      <c r="B21" t="s">
        <v>7</v>
      </c>
      <c r="C21">
        <v>0.219</v>
      </c>
      <c r="D21">
        <v>0.02</v>
      </c>
      <c r="E21">
        <v>0.02</v>
      </c>
      <c r="F21">
        <v>0.01</v>
      </c>
    </row>
    <row r="22" spans="1:6" x14ac:dyDescent="0.25">
      <c r="A22">
        <v>11</v>
      </c>
      <c r="B22" t="s">
        <v>6</v>
      </c>
      <c r="C22">
        <v>0.159</v>
      </c>
      <c r="D22">
        <v>0.223</v>
      </c>
      <c r="E22">
        <v>0.17299999999999999</v>
      </c>
      <c r="F22">
        <v>0.2</v>
      </c>
    </row>
    <row r="23" spans="1:6" x14ac:dyDescent="0.25">
      <c r="A23">
        <v>11</v>
      </c>
      <c r="B23" t="s">
        <v>7</v>
      </c>
      <c r="C23">
        <v>0.13600000000000001</v>
      </c>
      <c r="D23">
        <v>6.0999999999999999E-2</v>
      </c>
      <c r="E23">
        <v>3.5999999999999997E-2</v>
      </c>
      <c r="F23">
        <v>1.2999999999999999E-2</v>
      </c>
    </row>
    <row r="24" spans="1:6" x14ac:dyDescent="0.25">
      <c r="A24">
        <v>12</v>
      </c>
      <c r="B24" t="s">
        <v>6</v>
      </c>
      <c r="C24">
        <v>0.19400000000000001</v>
      </c>
      <c r="D24">
        <v>3.7999999999999999E-2</v>
      </c>
      <c r="E24">
        <v>5.1999999999999998E-2</v>
      </c>
      <c r="F24">
        <v>0.29799999999999999</v>
      </c>
    </row>
    <row r="25" spans="1:6" x14ac:dyDescent="0.25">
      <c r="A25">
        <v>12</v>
      </c>
      <c r="B25" t="s">
        <v>7</v>
      </c>
      <c r="C25">
        <v>0.34200000000000003</v>
      </c>
      <c r="D25">
        <v>2.4E-2</v>
      </c>
      <c r="E25">
        <v>2.1000000000000001E-2</v>
      </c>
      <c r="F25">
        <v>3.1E-2</v>
      </c>
    </row>
    <row r="26" spans="1:6" x14ac:dyDescent="0.25">
      <c r="A26">
        <v>13</v>
      </c>
      <c r="B26" t="s">
        <v>6</v>
      </c>
      <c r="C26">
        <v>0.29399999999999998</v>
      </c>
      <c r="D26">
        <v>0.14699999999999999</v>
      </c>
      <c r="E26">
        <v>0.126</v>
      </c>
      <c r="F26">
        <v>0.16500000000000001</v>
      </c>
    </row>
    <row r="27" spans="1:6" x14ac:dyDescent="0.25">
      <c r="A27">
        <v>13</v>
      </c>
      <c r="B27" t="s">
        <v>7</v>
      </c>
      <c r="C27">
        <v>0.219</v>
      </c>
      <c r="D27">
        <v>0.02</v>
      </c>
      <c r="E27">
        <v>0.02</v>
      </c>
      <c r="F27">
        <v>0.01</v>
      </c>
    </row>
    <row r="28" spans="1:6" x14ac:dyDescent="0.25">
      <c r="A28">
        <v>14</v>
      </c>
      <c r="B28" t="s">
        <v>6</v>
      </c>
      <c r="C28">
        <v>0.29399999999999998</v>
      </c>
      <c r="D28">
        <v>0.14699999999999999</v>
      </c>
      <c r="E28">
        <v>0.126</v>
      </c>
      <c r="F28">
        <v>0.16500000000000001</v>
      </c>
    </row>
    <row r="29" spans="1:6" x14ac:dyDescent="0.25">
      <c r="A29">
        <v>14</v>
      </c>
      <c r="B29" t="s">
        <v>7</v>
      </c>
      <c r="C29">
        <v>0.219</v>
      </c>
      <c r="D29">
        <v>0.02</v>
      </c>
      <c r="E29">
        <v>0.02</v>
      </c>
      <c r="F29">
        <v>0.01</v>
      </c>
    </row>
    <row r="30" spans="1:6" x14ac:dyDescent="0.25">
      <c r="A30">
        <v>15</v>
      </c>
      <c r="B30" t="s">
        <v>6</v>
      </c>
      <c r="C30">
        <v>0.29399999999999998</v>
      </c>
      <c r="D30">
        <v>0.14699999999999999</v>
      </c>
      <c r="E30">
        <v>0.126</v>
      </c>
      <c r="F30">
        <v>0.16500000000000001</v>
      </c>
    </row>
    <row r="31" spans="1:6" x14ac:dyDescent="0.25">
      <c r="A31">
        <v>15</v>
      </c>
      <c r="B31" t="s">
        <v>7</v>
      </c>
      <c r="C31">
        <v>0.219</v>
      </c>
      <c r="D31">
        <v>0.02</v>
      </c>
      <c r="E31">
        <v>0.02</v>
      </c>
      <c r="F31">
        <v>0.01</v>
      </c>
    </row>
    <row r="32" spans="1:6" x14ac:dyDescent="0.25">
      <c r="A32">
        <v>16</v>
      </c>
      <c r="B32" t="s">
        <v>6</v>
      </c>
      <c r="C32">
        <v>0.29399999999999998</v>
      </c>
      <c r="D32">
        <v>0.14699999999999999</v>
      </c>
      <c r="E32">
        <v>0.126</v>
      </c>
      <c r="F32">
        <v>0.16500000000000001</v>
      </c>
    </row>
    <row r="33" spans="1:6" x14ac:dyDescent="0.25">
      <c r="A33">
        <v>16</v>
      </c>
      <c r="B33" t="s">
        <v>7</v>
      </c>
      <c r="C33">
        <v>0.219</v>
      </c>
      <c r="D33">
        <v>0.02</v>
      </c>
      <c r="E33">
        <v>0.02</v>
      </c>
      <c r="F33">
        <v>0.01</v>
      </c>
    </row>
    <row r="34" spans="1:6" x14ac:dyDescent="0.25">
      <c r="A34">
        <v>17</v>
      </c>
      <c r="B34" t="s">
        <v>6</v>
      </c>
      <c r="C34">
        <v>0.29399999999999998</v>
      </c>
      <c r="D34">
        <v>0.14699999999999999</v>
      </c>
      <c r="E34">
        <v>0.126</v>
      </c>
      <c r="F34">
        <v>0.16500000000000001</v>
      </c>
    </row>
    <row r="35" spans="1:6" x14ac:dyDescent="0.25">
      <c r="A35">
        <v>17</v>
      </c>
      <c r="B35" t="s">
        <v>7</v>
      </c>
      <c r="C35">
        <v>0.219</v>
      </c>
      <c r="D35">
        <v>0.02</v>
      </c>
      <c r="E35">
        <v>0.02</v>
      </c>
      <c r="F35">
        <v>0.01</v>
      </c>
    </row>
    <row r="36" spans="1:6" x14ac:dyDescent="0.25">
      <c r="A36">
        <v>18</v>
      </c>
      <c r="B36" t="s">
        <v>6</v>
      </c>
      <c r="C36">
        <v>0.29399999999999998</v>
      </c>
      <c r="D36">
        <v>0.14699999999999999</v>
      </c>
      <c r="E36">
        <v>0.126</v>
      </c>
      <c r="F36">
        <v>0.16500000000000001</v>
      </c>
    </row>
    <row r="37" spans="1:6" x14ac:dyDescent="0.25">
      <c r="A37">
        <v>18</v>
      </c>
      <c r="B37" t="s">
        <v>7</v>
      </c>
      <c r="C37">
        <v>0.219</v>
      </c>
      <c r="D37">
        <v>0.02</v>
      </c>
      <c r="E37">
        <v>0.02</v>
      </c>
      <c r="F37">
        <v>0.01</v>
      </c>
    </row>
    <row r="38" spans="1:6" x14ac:dyDescent="0.25">
      <c r="A38">
        <v>19</v>
      </c>
      <c r="B38" t="s">
        <v>6</v>
      </c>
      <c r="C38">
        <v>0.29399999999999998</v>
      </c>
      <c r="D38">
        <v>0.14699999999999999</v>
      </c>
      <c r="E38">
        <v>0.126</v>
      </c>
      <c r="F38">
        <v>0.16500000000000001</v>
      </c>
    </row>
    <row r="39" spans="1:6" x14ac:dyDescent="0.25">
      <c r="A39">
        <v>19</v>
      </c>
      <c r="B39" t="s">
        <v>7</v>
      </c>
      <c r="C39">
        <v>0.219</v>
      </c>
      <c r="D39">
        <v>0.02</v>
      </c>
      <c r="E39">
        <v>0.02</v>
      </c>
      <c r="F39">
        <v>0.01</v>
      </c>
    </row>
    <row r="40" spans="1:6" x14ac:dyDescent="0.25">
      <c r="A40">
        <v>20</v>
      </c>
      <c r="B40" t="s">
        <v>6</v>
      </c>
      <c r="C40">
        <v>0.29399999999999998</v>
      </c>
      <c r="D40">
        <v>0.14699999999999999</v>
      </c>
      <c r="E40">
        <v>0.126</v>
      </c>
      <c r="F40">
        <v>0.16500000000000001</v>
      </c>
    </row>
    <row r="41" spans="1:6" x14ac:dyDescent="0.25">
      <c r="A41">
        <v>20</v>
      </c>
      <c r="B41" t="s">
        <v>7</v>
      </c>
      <c r="C41">
        <v>0.219</v>
      </c>
      <c r="D41">
        <v>0.02</v>
      </c>
      <c r="E41">
        <v>0.02</v>
      </c>
      <c r="F41">
        <v>0.01</v>
      </c>
    </row>
    <row r="42" spans="1:6" x14ac:dyDescent="0.25">
      <c r="A42">
        <v>21</v>
      </c>
      <c r="B42" t="s">
        <v>6</v>
      </c>
      <c r="C42">
        <v>0.29399999999999998</v>
      </c>
      <c r="D42">
        <v>0.14699999999999999</v>
      </c>
      <c r="E42">
        <v>0.126</v>
      </c>
      <c r="F42">
        <v>0.16500000000000001</v>
      </c>
    </row>
    <row r="43" spans="1:6" x14ac:dyDescent="0.25">
      <c r="A43">
        <v>21</v>
      </c>
      <c r="B43" t="s">
        <v>7</v>
      </c>
      <c r="C43">
        <v>0.219</v>
      </c>
      <c r="D43">
        <v>0.02</v>
      </c>
      <c r="E43">
        <v>0.02</v>
      </c>
      <c r="F43">
        <v>0.01</v>
      </c>
    </row>
    <row r="44" spans="1:6" x14ac:dyDescent="0.25">
      <c r="A44">
        <v>22</v>
      </c>
      <c r="B44" t="s">
        <v>6</v>
      </c>
      <c r="C44">
        <v>0.29399999999999998</v>
      </c>
      <c r="D44">
        <v>0.14699999999999999</v>
      </c>
      <c r="E44">
        <v>0.126</v>
      </c>
      <c r="F44">
        <v>0.16500000000000001</v>
      </c>
    </row>
    <row r="45" spans="1:6" x14ac:dyDescent="0.25">
      <c r="A45">
        <v>22</v>
      </c>
      <c r="B45" t="s">
        <v>7</v>
      </c>
      <c r="C45">
        <v>0.219</v>
      </c>
      <c r="D45">
        <v>0.02</v>
      </c>
      <c r="E45">
        <v>0.02</v>
      </c>
      <c r="F45">
        <v>0.01</v>
      </c>
    </row>
    <row r="46" spans="1:6" x14ac:dyDescent="0.25">
      <c r="A46">
        <v>23</v>
      </c>
      <c r="B46" t="s">
        <v>6</v>
      </c>
      <c r="C46">
        <v>0.371</v>
      </c>
      <c r="D46">
        <v>1.2E-2</v>
      </c>
      <c r="E46">
        <v>0.17699999999999999</v>
      </c>
      <c r="F46">
        <v>0.129</v>
      </c>
    </row>
    <row r="47" spans="1:6" x14ac:dyDescent="0.25">
      <c r="A47">
        <v>23</v>
      </c>
      <c r="B47" t="s">
        <v>7</v>
      </c>
      <c r="C47">
        <v>0.27500000000000002</v>
      </c>
      <c r="D47">
        <v>5.0000000000000001E-3</v>
      </c>
      <c r="E47">
        <v>2.8000000000000001E-2</v>
      </c>
      <c r="F47">
        <v>3.0000000000000001E-3</v>
      </c>
    </row>
    <row r="48" spans="1:6" x14ac:dyDescent="0.25">
      <c r="A48">
        <v>24</v>
      </c>
      <c r="B48" t="s">
        <v>6</v>
      </c>
      <c r="C48">
        <v>0.219</v>
      </c>
      <c r="D48">
        <v>0.40300000000000002</v>
      </c>
      <c r="E48">
        <v>0.16</v>
      </c>
      <c r="F48">
        <v>5.8999999999999997E-2</v>
      </c>
    </row>
    <row r="49" spans="1:6" x14ac:dyDescent="0.25">
      <c r="A49">
        <v>24</v>
      </c>
      <c r="B49" t="s">
        <v>7</v>
      </c>
      <c r="C49">
        <v>0.14499999999999999</v>
      </c>
      <c r="D49">
        <v>8.0000000000000002E-3</v>
      </c>
      <c r="E49">
        <v>7.0000000000000001E-3</v>
      </c>
      <c r="F49">
        <v>0</v>
      </c>
    </row>
    <row r="50" spans="1:6" x14ac:dyDescent="0.25">
      <c r="A50">
        <v>25</v>
      </c>
      <c r="B50" t="s">
        <v>6</v>
      </c>
      <c r="C50">
        <v>0.29399999999999998</v>
      </c>
      <c r="D50">
        <v>0.14699999999999999</v>
      </c>
      <c r="E50">
        <v>0.126</v>
      </c>
      <c r="F50">
        <v>0.16500000000000001</v>
      </c>
    </row>
    <row r="51" spans="1:6" x14ac:dyDescent="0.25">
      <c r="A51">
        <v>25</v>
      </c>
      <c r="B51" t="s">
        <v>7</v>
      </c>
      <c r="C51">
        <v>0.219</v>
      </c>
      <c r="D51">
        <v>0.02</v>
      </c>
      <c r="E51">
        <v>0.02</v>
      </c>
      <c r="F51">
        <v>0.01</v>
      </c>
    </row>
    <row r="52" spans="1:6" x14ac:dyDescent="0.25">
      <c r="A52">
        <v>26</v>
      </c>
      <c r="B52" t="s">
        <v>6</v>
      </c>
      <c r="C52">
        <v>0.29399999999999998</v>
      </c>
      <c r="D52">
        <v>0.14699999999999999</v>
      </c>
      <c r="E52">
        <v>0.126</v>
      </c>
      <c r="F52">
        <v>0.16500000000000001</v>
      </c>
    </row>
    <row r="53" spans="1:6" x14ac:dyDescent="0.25">
      <c r="A53">
        <v>26</v>
      </c>
      <c r="B53" t="s">
        <v>7</v>
      </c>
      <c r="C53">
        <v>0.219</v>
      </c>
      <c r="D53">
        <v>0.02</v>
      </c>
      <c r="E53">
        <v>0.02</v>
      </c>
      <c r="F53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6"/>
  <sheetViews>
    <sheetView workbookViewId="0"/>
  </sheetViews>
  <sheetFormatPr defaultRowHeight="15" x14ac:dyDescent="0.25"/>
  <sheetData>
    <row r="1" spans="1:7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2">
        <v>2020</v>
      </c>
      <c r="B2" s="2">
        <v>1</v>
      </c>
      <c r="C2" t="s">
        <v>6</v>
      </c>
      <c r="D2" s="6">
        <f>Housing_type_original!C2/SUM(Housing_type_original!$C2:$F2)</f>
        <v>0.40163934426229508</v>
      </c>
      <c r="E2" s="6">
        <f>Housing_type_original!D2/SUM(Housing_type_original!$C2:$F2)</f>
        <v>0.20081967213114754</v>
      </c>
      <c r="F2" s="6">
        <f>Housing_type_original!E2/SUM(Housing_type_original!$C2:$F2)</f>
        <v>0.1721311475409836</v>
      </c>
      <c r="G2" s="6">
        <f>Housing_type_original!F2/SUM(Housing_type_original!$C2:$F2)</f>
        <v>0.2254098360655738</v>
      </c>
    </row>
    <row r="3" spans="1:7" x14ac:dyDescent="0.25">
      <c r="A3" s="2">
        <v>2020</v>
      </c>
      <c r="B3" s="2">
        <v>1</v>
      </c>
      <c r="C3" t="s">
        <v>7</v>
      </c>
      <c r="D3" s="6">
        <f>Housing_type_original!C3/SUM(Housing_type_original!$C3:$F3)</f>
        <v>0.81412639405204457</v>
      </c>
      <c r="E3" s="6">
        <f>Housing_type_original!D3/SUM(Housing_type_original!$C3:$F3)</f>
        <v>7.434944237918216E-2</v>
      </c>
      <c r="F3" s="6">
        <f>Housing_type_original!E3/SUM(Housing_type_original!$C3:$F3)</f>
        <v>7.434944237918216E-2</v>
      </c>
      <c r="G3" s="6">
        <f>Housing_type_original!F3/SUM(Housing_type_original!$C3:$F3)</f>
        <v>3.717472118959108E-2</v>
      </c>
    </row>
    <row r="4" spans="1:7" x14ac:dyDescent="0.25">
      <c r="A4" s="2">
        <v>2020</v>
      </c>
      <c r="B4" s="2">
        <v>2</v>
      </c>
      <c r="C4" t="s">
        <v>6</v>
      </c>
      <c r="D4" s="6">
        <f>Housing_type_original!C4/SUM(Housing_type_original!$C4:$F4)</f>
        <v>0.66456494325346782</v>
      </c>
      <c r="E4" s="6">
        <f>Housing_type_original!D4/SUM(Housing_type_original!$C4:$F4)</f>
        <v>7.1878940731399749E-2</v>
      </c>
      <c r="F4" s="6">
        <f>Housing_type_original!E4/SUM(Housing_type_original!$C4:$F4)</f>
        <v>8.9533417402269846E-2</v>
      </c>
      <c r="G4" s="6">
        <f>Housing_type_original!F4/SUM(Housing_type_original!$C4:$F4)</f>
        <v>0.17402269861286254</v>
      </c>
    </row>
    <row r="5" spans="1:7" x14ac:dyDescent="0.25">
      <c r="A5" s="2">
        <v>2020</v>
      </c>
      <c r="B5" s="2">
        <v>2</v>
      </c>
      <c r="C5" t="s">
        <v>7</v>
      </c>
      <c r="D5" s="6">
        <f>Housing_type_original!C5/SUM(Housing_type_original!$C5:$F5)</f>
        <v>0.9565217391304347</v>
      </c>
      <c r="E5" s="6">
        <f>Housing_type_original!D5/SUM(Housing_type_original!$C5:$F5)</f>
        <v>1.4492753623188404E-2</v>
      </c>
      <c r="F5" s="6">
        <f>Housing_type_original!E5/SUM(Housing_type_original!$C5:$F5)</f>
        <v>2.4154589371980676E-2</v>
      </c>
      <c r="G5" s="6">
        <f>Housing_type_original!F5/SUM(Housing_type_original!$C5:$F5)</f>
        <v>4.830917874396135E-3</v>
      </c>
    </row>
    <row r="6" spans="1:7" x14ac:dyDescent="0.25">
      <c r="A6" s="2">
        <v>2020</v>
      </c>
      <c r="B6" s="2">
        <v>3</v>
      </c>
      <c r="C6" t="s">
        <v>6</v>
      </c>
      <c r="D6" s="6">
        <f>Housing_type_original!C6/SUM(Housing_type_original!$C6:$F6)</f>
        <v>0.40163934426229508</v>
      </c>
      <c r="E6" s="6">
        <f>Housing_type_original!D6/SUM(Housing_type_original!$C6:$F6)</f>
        <v>0.20081967213114754</v>
      </c>
      <c r="F6" s="6">
        <f>Housing_type_original!E6/SUM(Housing_type_original!$C6:$F6)</f>
        <v>0.1721311475409836</v>
      </c>
      <c r="G6" s="6">
        <f>Housing_type_original!F6/SUM(Housing_type_original!$C6:$F6)</f>
        <v>0.2254098360655738</v>
      </c>
    </row>
    <row r="7" spans="1:7" x14ac:dyDescent="0.25">
      <c r="A7" s="2">
        <v>2020</v>
      </c>
      <c r="B7" s="2">
        <v>3</v>
      </c>
      <c r="C7" t="s">
        <v>7</v>
      </c>
      <c r="D7" s="6">
        <f>Housing_type_original!C7/SUM(Housing_type_original!$C7:$F7)</f>
        <v>0.81412639405204457</v>
      </c>
      <c r="E7" s="6">
        <f>Housing_type_original!D7/SUM(Housing_type_original!$C7:$F7)</f>
        <v>7.434944237918216E-2</v>
      </c>
      <c r="F7" s="6">
        <f>Housing_type_original!E7/SUM(Housing_type_original!$C7:$F7)</f>
        <v>7.434944237918216E-2</v>
      </c>
      <c r="G7" s="6">
        <f>Housing_type_original!F7/SUM(Housing_type_original!$C7:$F7)</f>
        <v>3.717472118959108E-2</v>
      </c>
    </row>
    <row r="8" spans="1:7" x14ac:dyDescent="0.25">
      <c r="A8" s="2">
        <v>2020</v>
      </c>
      <c r="B8" s="2">
        <v>4</v>
      </c>
      <c r="C8" t="s">
        <v>6</v>
      </c>
      <c r="D8" s="6">
        <f>Housing_type_original!C8/SUM(Housing_type_original!$C8:$F8)</f>
        <v>0.40163934426229508</v>
      </c>
      <c r="E8" s="6">
        <f>Housing_type_original!D8/SUM(Housing_type_original!$C8:$F8)</f>
        <v>0.20081967213114754</v>
      </c>
      <c r="F8" s="6">
        <f>Housing_type_original!E8/SUM(Housing_type_original!$C8:$F8)</f>
        <v>0.1721311475409836</v>
      </c>
      <c r="G8" s="6">
        <f>Housing_type_original!F8/SUM(Housing_type_original!$C8:$F8)</f>
        <v>0.2254098360655738</v>
      </c>
    </row>
    <row r="9" spans="1:7" x14ac:dyDescent="0.25">
      <c r="A9" s="2">
        <v>2020</v>
      </c>
      <c r="B9" s="2">
        <v>4</v>
      </c>
      <c r="C9" t="s">
        <v>7</v>
      </c>
      <c r="D9" s="6">
        <f>Housing_type_original!C9/SUM(Housing_type_original!$C9:$F9)</f>
        <v>0.81412639405204457</v>
      </c>
      <c r="E9" s="6">
        <f>Housing_type_original!D9/SUM(Housing_type_original!$C9:$F9)</f>
        <v>7.434944237918216E-2</v>
      </c>
      <c r="F9" s="6">
        <f>Housing_type_original!E9/SUM(Housing_type_original!$C9:$F9)</f>
        <v>7.434944237918216E-2</v>
      </c>
      <c r="G9" s="6">
        <f>Housing_type_original!F9/SUM(Housing_type_original!$C9:$F9)</f>
        <v>3.717472118959108E-2</v>
      </c>
    </row>
    <row r="10" spans="1:7" x14ac:dyDescent="0.25">
      <c r="A10" s="2">
        <v>2020</v>
      </c>
      <c r="B10" s="2">
        <v>5</v>
      </c>
      <c r="C10" t="s">
        <v>6</v>
      </c>
      <c r="D10" s="6">
        <f>Housing_type_original!C10/SUM(Housing_type_original!$C10:$F10)</f>
        <v>0.40163934426229508</v>
      </c>
      <c r="E10" s="6">
        <f>Housing_type_original!D10/SUM(Housing_type_original!$C10:$F10)</f>
        <v>0.20081967213114754</v>
      </c>
      <c r="F10" s="6">
        <f>Housing_type_original!E10/SUM(Housing_type_original!$C10:$F10)</f>
        <v>0.1721311475409836</v>
      </c>
      <c r="G10" s="6">
        <f>Housing_type_original!F10/SUM(Housing_type_original!$C10:$F10)</f>
        <v>0.2254098360655738</v>
      </c>
    </row>
    <row r="11" spans="1:7" x14ac:dyDescent="0.25">
      <c r="A11" s="2">
        <v>2020</v>
      </c>
      <c r="B11" s="2">
        <v>5</v>
      </c>
      <c r="C11" t="s">
        <v>7</v>
      </c>
      <c r="D11" s="6">
        <f>Housing_type_original!C11/SUM(Housing_type_original!$C11:$F11)</f>
        <v>0.81412639405204457</v>
      </c>
      <c r="E11" s="6">
        <f>Housing_type_original!D11/SUM(Housing_type_original!$C11:$F11)</f>
        <v>7.434944237918216E-2</v>
      </c>
      <c r="F11" s="6">
        <f>Housing_type_original!E11/SUM(Housing_type_original!$C11:$F11)</f>
        <v>7.434944237918216E-2</v>
      </c>
      <c r="G11" s="6">
        <f>Housing_type_original!F11/SUM(Housing_type_original!$C11:$F11)</f>
        <v>3.717472118959108E-2</v>
      </c>
    </row>
    <row r="12" spans="1:7" x14ac:dyDescent="0.25">
      <c r="A12" s="2">
        <v>2020</v>
      </c>
      <c r="B12" s="2">
        <v>6</v>
      </c>
      <c r="C12" t="s">
        <v>6</v>
      </c>
      <c r="D12" s="6">
        <f>Housing_type_original!C12/SUM(Housing_type_original!$C12:$F12)</f>
        <v>0.40163934426229508</v>
      </c>
      <c r="E12" s="6">
        <f>Housing_type_original!D12/SUM(Housing_type_original!$C12:$F12)</f>
        <v>0.20081967213114754</v>
      </c>
      <c r="F12" s="6">
        <f>Housing_type_original!E12/SUM(Housing_type_original!$C12:$F12)</f>
        <v>0.1721311475409836</v>
      </c>
      <c r="G12" s="6">
        <f>Housing_type_original!F12/SUM(Housing_type_original!$C12:$F12)</f>
        <v>0.2254098360655738</v>
      </c>
    </row>
    <row r="13" spans="1:7" x14ac:dyDescent="0.25">
      <c r="A13" s="2">
        <v>2020</v>
      </c>
      <c r="B13" s="2">
        <v>6</v>
      </c>
      <c r="C13" t="s">
        <v>7</v>
      </c>
      <c r="D13" s="6">
        <f>Housing_type_original!C13/SUM(Housing_type_original!$C13:$F13)</f>
        <v>0.81412639405204457</v>
      </c>
      <c r="E13" s="6">
        <f>Housing_type_original!D13/SUM(Housing_type_original!$C13:$F13)</f>
        <v>7.434944237918216E-2</v>
      </c>
      <c r="F13" s="6">
        <f>Housing_type_original!E13/SUM(Housing_type_original!$C13:$F13)</f>
        <v>7.434944237918216E-2</v>
      </c>
      <c r="G13" s="6">
        <f>Housing_type_original!F13/SUM(Housing_type_original!$C13:$F13)</f>
        <v>3.717472118959108E-2</v>
      </c>
    </row>
    <row r="14" spans="1:7" x14ac:dyDescent="0.25">
      <c r="A14" s="2">
        <v>2020</v>
      </c>
      <c r="B14" s="2">
        <v>7</v>
      </c>
      <c r="C14" t="s">
        <v>6</v>
      </c>
      <c r="D14" s="6">
        <f>Housing_type_original!C14/SUM(Housing_type_original!$C14:$F14)</f>
        <v>0.40163934426229508</v>
      </c>
      <c r="E14" s="6">
        <f>Housing_type_original!D14/SUM(Housing_type_original!$C14:$F14)</f>
        <v>0.20081967213114754</v>
      </c>
      <c r="F14" s="6">
        <f>Housing_type_original!E14/SUM(Housing_type_original!$C14:$F14)</f>
        <v>0.1721311475409836</v>
      </c>
      <c r="G14" s="6">
        <f>Housing_type_original!F14/SUM(Housing_type_original!$C14:$F14)</f>
        <v>0.2254098360655738</v>
      </c>
    </row>
    <row r="15" spans="1:7" x14ac:dyDescent="0.25">
      <c r="A15" s="2">
        <v>2020</v>
      </c>
      <c r="B15" s="2">
        <v>7</v>
      </c>
      <c r="C15" t="s">
        <v>7</v>
      </c>
      <c r="D15" s="6">
        <f>Housing_type_original!C15/SUM(Housing_type_original!$C15:$F15)</f>
        <v>0.81412639405204457</v>
      </c>
      <c r="E15" s="6">
        <f>Housing_type_original!D15/SUM(Housing_type_original!$C15:$F15)</f>
        <v>7.434944237918216E-2</v>
      </c>
      <c r="F15" s="6">
        <f>Housing_type_original!E15/SUM(Housing_type_original!$C15:$F15)</f>
        <v>7.434944237918216E-2</v>
      </c>
      <c r="G15" s="6">
        <f>Housing_type_original!F15/SUM(Housing_type_original!$C15:$F15)</f>
        <v>3.717472118959108E-2</v>
      </c>
    </row>
    <row r="16" spans="1:7" x14ac:dyDescent="0.25">
      <c r="A16" s="2">
        <v>2020</v>
      </c>
      <c r="B16" s="2">
        <v>8</v>
      </c>
      <c r="C16" t="s">
        <v>6</v>
      </c>
      <c r="D16" s="6">
        <f>Housing_type_original!C16/SUM(Housing_type_original!$C16:$F16)</f>
        <v>0.40163934426229508</v>
      </c>
      <c r="E16" s="6">
        <f>Housing_type_original!D16/SUM(Housing_type_original!$C16:$F16)</f>
        <v>0.20081967213114754</v>
      </c>
      <c r="F16" s="6">
        <f>Housing_type_original!E16/SUM(Housing_type_original!$C16:$F16)</f>
        <v>0.1721311475409836</v>
      </c>
      <c r="G16" s="6">
        <f>Housing_type_original!F16/SUM(Housing_type_original!$C16:$F16)</f>
        <v>0.2254098360655738</v>
      </c>
    </row>
    <row r="17" spans="1:7" x14ac:dyDescent="0.25">
      <c r="A17" s="2">
        <v>2020</v>
      </c>
      <c r="B17" s="2">
        <v>8</v>
      </c>
      <c r="C17" t="s">
        <v>7</v>
      </c>
      <c r="D17" s="6">
        <f>Housing_type_original!C17/SUM(Housing_type_original!$C17:$F17)</f>
        <v>0.81412639405204457</v>
      </c>
      <c r="E17" s="6">
        <f>Housing_type_original!D17/SUM(Housing_type_original!$C17:$F17)</f>
        <v>7.434944237918216E-2</v>
      </c>
      <c r="F17" s="6">
        <f>Housing_type_original!E17/SUM(Housing_type_original!$C17:$F17)</f>
        <v>7.434944237918216E-2</v>
      </c>
      <c r="G17" s="6">
        <f>Housing_type_original!F17/SUM(Housing_type_original!$C17:$F17)</f>
        <v>3.717472118959108E-2</v>
      </c>
    </row>
    <row r="18" spans="1:7" x14ac:dyDescent="0.25">
      <c r="A18" s="2">
        <v>2020</v>
      </c>
      <c r="B18" s="2">
        <v>9</v>
      </c>
      <c r="C18" t="s">
        <v>6</v>
      </c>
      <c r="D18" s="6">
        <f>Housing_type_original!C18/SUM(Housing_type_original!$C18:$F18)</f>
        <v>0.40163934426229508</v>
      </c>
      <c r="E18" s="6">
        <f>Housing_type_original!D18/SUM(Housing_type_original!$C18:$F18)</f>
        <v>0.20081967213114754</v>
      </c>
      <c r="F18" s="6">
        <f>Housing_type_original!E18/SUM(Housing_type_original!$C18:$F18)</f>
        <v>0.1721311475409836</v>
      </c>
      <c r="G18" s="6">
        <f>Housing_type_original!F18/SUM(Housing_type_original!$C18:$F18)</f>
        <v>0.2254098360655738</v>
      </c>
    </row>
    <row r="19" spans="1:7" x14ac:dyDescent="0.25">
      <c r="A19" s="2">
        <v>2020</v>
      </c>
      <c r="B19" s="2">
        <v>9</v>
      </c>
      <c r="C19" t="s">
        <v>7</v>
      </c>
      <c r="D19" s="6">
        <f>Housing_type_original!C19/SUM(Housing_type_original!$C19:$F19)</f>
        <v>0.81412639405204457</v>
      </c>
      <c r="E19" s="6">
        <f>Housing_type_original!D19/SUM(Housing_type_original!$C19:$F19)</f>
        <v>7.434944237918216E-2</v>
      </c>
      <c r="F19" s="6">
        <f>Housing_type_original!E19/SUM(Housing_type_original!$C19:$F19)</f>
        <v>7.434944237918216E-2</v>
      </c>
      <c r="G19" s="6">
        <f>Housing_type_original!F19/SUM(Housing_type_original!$C19:$F19)</f>
        <v>3.717472118959108E-2</v>
      </c>
    </row>
    <row r="20" spans="1:7" x14ac:dyDescent="0.25">
      <c r="A20" s="2">
        <v>2020</v>
      </c>
      <c r="B20" s="2">
        <v>10</v>
      </c>
      <c r="C20" t="s">
        <v>6</v>
      </c>
      <c r="D20" s="6">
        <f>Housing_type_original!C20/SUM(Housing_type_original!$C20:$F20)</f>
        <v>0.40163934426229508</v>
      </c>
      <c r="E20" s="6">
        <f>Housing_type_original!D20/SUM(Housing_type_original!$C20:$F20)</f>
        <v>0.20081967213114754</v>
      </c>
      <c r="F20" s="6">
        <f>Housing_type_original!E20/SUM(Housing_type_original!$C20:$F20)</f>
        <v>0.1721311475409836</v>
      </c>
      <c r="G20" s="6">
        <f>Housing_type_original!F20/SUM(Housing_type_original!$C20:$F20)</f>
        <v>0.2254098360655738</v>
      </c>
    </row>
    <row r="21" spans="1:7" x14ac:dyDescent="0.25">
      <c r="A21" s="2">
        <v>2020</v>
      </c>
      <c r="B21" s="2">
        <v>10</v>
      </c>
      <c r="C21" t="s">
        <v>7</v>
      </c>
      <c r="D21" s="6">
        <f>Housing_type_original!C21/SUM(Housing_type_original!$C21:$F21)</f>
        <v>0.81412639405204457</v>
      </c>
      <c r="E21" s="6">
        <f>Housing_type_original!D21/SUM(Housing_type_original!$C21:$F21)</f>
        <v>7.434944237918216E-2</v>
      </c>
      <c r="F21" s="6">
        <f>Housing_type_original!E21/SUM(Housing_type_original!$C21:$F21)</f>
        <v>7.434944237918216E-2</v>
      </c>
      <c r="G21" s="6">
        <f>Housing_type_original!F21/SUM(Housing_type_original!$C21:$F21)</f>
        <v>3.717472118959108E-2</v>
      </c>
    </row>
    <row r="22" spans="1:7" x14ac:dyDescent="0.25">
      <c r="A22" s="2">
        <v>2020</v>
      </c>
      <c r="B22" s="2">
        <v>11</v>
      </c>
      <c r="C22" t="s">
        <v>6</v>
      </c>
      <c r="D22" s="6">
        <f>Housing_type_original!C22/SUM(Housing_type_original!$C22:$F22)</f>
        <v>0.21059602649006626</v>
      </c>
      <c r="E22" s="6">
        <f>Housing_type_original!D22/SUM(Housing_type_original!$C22:$F22)</f>
        <v>0.29536423841059606</v>
      </c>
      <c r="F22" s="6">
        <f>Housing_type_original!E22/SUM(Housing_type_original!$C22:$F22)</f>
        <v>0.22913907284768215</v>
      </c>
      <c r="G22" s="6">
        <f>Housing_type_original!F22/SUM(Housing_type_original!$C22:$F22)</f>
        <v>0.26490066225165571</v>
      </c>
    </row>
    <row r="23" spans="1:7" x14ac:dyDescent="0.25">
      <c r="A23" s="2">
        <v>2020</v>
      </c>
      <c r="B23" s="2">
        <v>11</v>
      </c>
      <c r="C23" t="s">
        <v>7</v>
      </c>
      <c r="D23" s="6">
        <f>Housing_type_original!C23/SUM(Housing_type_original!$C23:$F23)</f>
        <v>0.55284552845528456</v>
      </c>
      <c r="E23" s="6">
        <f>Housing_type_original!D23/SUM(Housing_type_original!$C23:$F23)</f>
        <v>0.24796747967479671</v>
      </c>
      <c r="F23" s="6">
        <f>Housing_type_original!E23/SUM(Housing_type_original!$C23:$F23)</f>
        <v>0.14634146341463411</v>
      </c>
      <c r="G23" s="6">
        <f>Housing_type_original!F23/SUM(Housing_type_original!$C23:$F23)</f>
        <v>5.2845528455284542E-2</v>
      </c>
    </row>
    <row r="24" spans="1:7" x14ac:dyDescent="0.25">
      <c r="A24" s="2">
        <v>2020</v>
      </c>
      <c r="B24" s="2">
        <v>12</v>
      </c>
      <c r="C24" t="s">
        <v>6</v>
      </c>
      <c r="D24" s="6">
        <f>Housing_type_original!C24/SUM(Housing_type_original!$C24:$F24)</f>
        <v>0.33333333333333331</v>
      </c>
      <c r="E24" s="6">
        <f>Housing_type_original!D24/SUM(Housing_type_original!$C24:$F24)</f>
        <v>6.5292096219931262E-2</v>
      </c>
      <c r="F24" s="6">
        <f>Housing_type_original!E24/SUM(Housing_type_original!$C24:$F24)</f>
        <v>8.9347079037800675E-2</v>
      </c>
      <c r="G24" s="6">
        <f>Housing_type_original!F24/SUM(Housing_type_original!$C24:$F24)</f>
        <v>0.51202749140893467</v>
      </c>
    </row>
    <row r="25" spans="1:7" x14ac:dyDescent="0.25">
      <c r="A25" s="2">
        <v>2020</v>
      </c>
      <c r="B25" s="2">
        <v>12</v>
      </c>
      <c r="C25" t="s">
        <v>7</v>
      </c>
      <c r="D25" s="6">
        <f>Housing_type_original!C25/SUM(Housing_type_original!$C25:$F25)</f>
        <v>0.81818181818181812</v>
      </c>
      <c r="E25" s="6">
        <f>Housing_type_original!D25/SUM(Housing_type_original!$C25:$F25)</f>
        <v>5.7416267942583726E-2</v>
      </c>
      <c r="F25" s="6">
        <f>Housing_type_original!E25/SUM(Housing_type_original!$C25:$F25)</f>
        <v>5.0239234449760764E-2</v>
      </c>
      <c r="G25" s="6">
        <f>Housing_type_original!F25/SUM(Housing_type_original!$C25:$F25)</f>
        <v>7.4162679425837319E-2</v>
      </c>
    </row>
    <row r="26" spans="1:7" x14ac:dyDescent="0.25">
      <c r="A26" s="2">
        <v>2020</v>
      </c>
      <c r="B26" s="2">
        <v>13</v>
      </c>
      <c r="C26" t="s">
        <v>6</v>
      </c>
      <c r="D26" s="6">
        <f>Housing_type_original!C26/SUM(Housing_type_original!$C26:$F26)</f>
        <v>0.40163934426229508</v>
      </c>
      <c r="E26" s="6">
        <f>Housing_type_original!D26/SUM(Housing_type_original!$C26:$F26)</f>
        <v>0.20081967213114754</v>
      </c>
      <c r="F26" s="6">
        <f>Housing_type_original!E26/SUM(Housing_type_original!$C26:$F26)</f>
        <v>0.1721311475409836</v>
      </c>
      <c r="G26" s="6">
        <f>Housing_type_original!F26/SUM(Housing_type_original!$C26:$F26)</f>
        <v>0.2254098360655738</v>
      </c>
    </row>
    <row r="27" spans="1:7" x14ac:dyDescent="0.25">
      <c r="A27" s="2">
        <v>2020</v>
      </c>
      <c r="B27" s="2">
        <v>13</v>
      </c>
      <c r="C27" t="s">
        <v>7</v>
      </c>
      <c r="D27" s="6">
        <f>Housing_type_original!C27/SUM(Housing_type_original!$C27:$F27)</f>
        <v>0.81412639405204457</v>
      </c>
      <c r="E27" s="6">
        <f>Housing_type_original!D27/SUM(Housing_type_original!$C27:$F27)</f>
        <v>7.434944237918216E-2</v>
      </c>
      <c r="F27" s="6">
        <f>Housing_type_original!E27/SUM(Housing_type_original!$C27:$F27)</f>
        <v>7.434944237918216E-2</v>
      </c>
      <c r="G27" s="6">
        <f>Housing_type_original!F27/SUM(Housing_type_original!$C27:$F27)</f>
        <v>3.717472118959108E-2</v>
      </c>
    </row>
    <row r="28" spans="1:7" x14ac:dyDescent="0.25">
      <c r="A28" s="2">
        <v>2020</v>
      </c>
      <c r="B28" s="2">
        <v>14</v>
      </c>
      <c r="C28" t="s">
        <v>6</v>
      </c>
      <c r="D28" s="6">
        <f>Housing_type_original!C28/SUM(Housing_type_original!$C28:$F28)</f>
        <v>0.40163934426229508</v>
      </c>
      <c r="E28" s="6">
        <f>Housing_type_original!D28/SUM(Housing_type_original!$C28:$F28)</f>
        <v>0.20081967213114754</v>
      </c>
      <c r="F28" s="6">
        <f>Housing_type_original!E28/SUM(Housing_type_original!$C28:$F28)</f>
        <v>0.1721311475409836</v>
      </c>
      <c r="G28" s="6">
        <f>Housing_type_original!F28/SUM(Housing_type_original!$C28:$F28)</f>
        <v>0.2254098360655738</v>
      </c>
    </row>
    <row r="29" spans="1:7" x14ac:dyDescent="0.25">
      <c r="A29" s="2">
        <v>2020</v>
      </c>
      <c r="B29" s="2">
        <v>14</v>
      </c>
      <c r="C29" t="s">
        <v>7</v>
      </c>
      <c r="D29" s="6">
        <f>Housing_type_original!C29/SUM(Housing_type_original!$C29:$F29)</f>
        <v>0.81412639405204457</v>
      </c>
      <c r="E29" s="6">
        <f>Housing_type_original!D29/SUM(Housing_type_original!$C29:$F29)</f>
        <v>7.434944237918216E-2</v>
      </c>
      <c r="F29" s="6">
        <f>Housing_type_original!E29/SUM(Housing_type_original!$C29:$F29)</f>
        <v>7.434944237918216E-2</v>
      </c>
      <c r="G29" s="6">
        <f>Housing_type_original!F29/SUM(Housing_type_original!$C29:$F29)</f>
        <v>3.717472118959108E-2</v>
      </c>
    </row>
    <row r="30" spans="1:7" x14ac:dyDescent="0.25">
      <c r="A30" s="2">
        <v>2020</v>
      </c>
      <c r="B30" s="2">
        <v>15</v>
      </c>
      <c r="C30" t="s">
        <v>6</v>
      </c>
      <c r="D30" s="6">
        <f>Housing_type_original!C30/SUM(Housing_type_original!$C30:$F30)</f>
        <v>0.40163934426229508</v>
      </c>
      <c r="E30" s="6">
        <f>Housing_type_original!D30/SUM(Housing_type_original!$C30:$F30)</f>
        <v>0.20081967213114754</v>
      </c>
      <c r="F30" s="6">
        <f>Housing_type_original!E30/SUM(Housing_type_original!$C30:$F30)</f>
        <v>0.1721311475409836</v>
      </c>
      <c r="G30" s="6">
        <f>Housing_type_original!F30/SUM(Housing_type_original!$C30:$F30)</f>
        <v>0.2254098360655738</v>
      </c>
    </row>
    <row r="31" spans="1:7" x14ac:dyDescent="0.25">
      <c r="A31" s="2">
        <v>2020</v>
      </c>
      <c r="B31" s="2">
        <v>15</v>
      </c>
      <c r="C31" t="s">
        <v>7</v>
      </c>
      <c r="D31" s="6">
        <f>Housing_type_original!C31/SUM(Housing_type_original!$C31:$F31)</f>
        <v>0.81412639405204457</v>
      </c>
      <c r="E31" s="6">
        <f>Housing_type_original!D31/SUM(Housing_type_original!$C31:$F31)</f>
        <v>7.434944237918216E-2</v>
      </c>
      <c r="F31" s="6">
        <f>Housing_type_original!E31/SUM(Housing_type_original!$C31:$F31)</f>
        <v>7.434944237918216E-2</v>
      </c>
      <c r="G31" s="6">
        <f>Housing_type_original!F31/SUM(Housing_type_original!$C31:$F31)</f>
        <v>3.717472118959108E-2</v>
      </c>
    </row>
    <row r="32" spans="1:7" x14ac:dyDescent="0.25">
      <c r="A32" s="2">
        <v>2020</v>
      </c>
      <c r="B32" s="2">
        <v>16</v>
      </c>
      <c r="C32" t="s">
        <v>6</v>
      </c>
      <c r="D32" s="6">
        <f>Housing_type_original!C32/SUM(Housing_type_original!$C32:$F32)</f>
        <v>0.40163934426229508</v>
      </c>
      <c r="E32" s="6">
        <f>Housing_type_original!D32/SUM(Housing_type_original!$C32:$F32)</f>
        <v>0.20081967213114754</v>
      </c>
      <c r="F32" s="6">
        <f>Housing_type_original!E32/SUM(Housing_type_original!$C32:$F32)</f>
        <v>0.1721311475409836</v>
      </c>
      <c r="G32" s="6">
        <f>Housing_type_original!F32/SUM(Housing_type_original!$C32:$F32)</f>
        <v>0.2254098360655738</v>
      </c>
    </row>
    <row r="33" spans="1:7" x14ac:dyDescent="0.25">
      <c r="A33" s="2">
        <v>2020</v>
      </c>
      <c r="B33" s="2">
        <v>16</v>
      </c>
      <c r="C33" t="s">
        <v>7</v>
      </c>
      <c r="D33" s="6">
        <f>Housing_type_original!C33/SUM(Housing_type_original!$C33:$F33)</f>
        <v>0.81412639405204457</v>
      </c>
      <c r="E33" s="6">
        <f>Housing_type_original!D33/SUM(Housing_type_original!$C33:$F33)</f>
        <v>7.434944237918216E-2</v>
      </c>
      <c r="F33" s="6">
        <f>Housing_type_original!E33/SUM(Housing_type_original!$C33:$F33)</f>
        <v>7.434944237918216E-2</v>
      </c>
      <c r="G33" s="6">
        <f>Housing_type_original!F33/SUM(Housing_type_original!$C33:$F33)</f>
        <v>3.717472118959108E-2</v>
      </c>
    </row>
    <row r="34" spans="1:7" x14ac:dyDescent="0.25">
      <c r="A34" s="2">
        <v>2020</v>
      </c>
      <c r="B34" s="2">
        <v>17</v>
      </c>
      <c r="C34" t="s">
        <v>6</v>
      </c>
      <c r="D34" s="6">
        <f>Housing_type_original!C34/SUM(Housing_type_original!$C34:$F34)</f>
        <v>0.40163934426229508</v>
      </c>
      <c r="E34" s="6">
        <f>Housing_type_original!D34/SUM(Housing_type_original!$C34:$F34)</f>
        <v>0.20081967213114754</v>
      </c>
      <c r="F34" s="6">
        <f>Housing_type_original!E34/SUM(Housing_type_original!$C34:$F34)</f>
        <v>0.1721311475409836</v>
      </c>
      <c r="G34" s="6">
        <f>Housing_type_original!F34/SUM(Housing_type_original!$C34:$F34)</f>
        <v>0.2254098360655738</v>
      </c>
    </row>
    <row r="35" spans="1:7" x14ac:dyDescent="0.25">
      <c r="A35" s="2">
        <v>2020</v>
      </c>
      <c r="B35" s="2">
        <v>17</v>
      </c>
      <c r="C35" t="s">
        <v>7</v>
      </c>
      <c r="D35" s="6">
        <f>Housing_type_original!C35/SUM(Housing_type_original!$C35:$F35)</f>
        <v>0.81412639405204457</v>
      </c>
      <c r="E35" s="6">
        <f>Housing_type_original!D35/SUM(Housing_type_original!$C35:$F35)</f>
        <v>7.434944237918216E-2</v>
      </c>
      <c r="F35" s="6">
        <f>Housing_type_original!E35/SUM(Housing_type_original!$C35:$F35)</f>
        <v>7.434944237918216E-2</v>
      </c>
      <c r="G35" s="6">
        <f>Housing_type_original!F35/SUM(Housing_type_original!$C35:$F35)</f>
        <v>3.717472118959108E-2</v>
      </c>
    </row>
    <row r="36" spans="1:7" x14ac:dyDescent="0.25">
      <c r="A36" s="2">
        <v>2020</v>
      </c>
      <c r="B36" s="2">
        <v>18</v>
      </c>
      <c r="C36" t="s">
        <v>6</v>
      </c>
      <c r="D36" s="6">
        <f>Housing_type_original!C36/SUM(Housing_type_original!$C36:$F36)</f>
        <v>0.40163934426229508</v>
      </c>
      <c r="E36" s="6">
        <f>Housing_type_original!D36/SUM(Housing_type_original!$C36:$F36)</f>
        <v>0.20081967213114754</v>
      </c>
      <c r="F36" s="6">
        <f>Housing_type_original!E36/SUM(Housing_type_original!$C36:$F36)</f>
        <v>0.1721311475409836</v>
      </c>
      <c r="G36" s="6">
        <f>Housing_type_original!F36/SUM(Housing_type_original!$C36:$F36)</f>
        <v>0.2254098360655738</v>
      </c>
    </row>
    <row r="37" spans="1:7" x14ac:dyDescent="0.25">
      <c r="A37" s="2">
        <v>2020</v>
      </c>
      <c r="B37" s="2">
        <v>18</v>
      </c>
      <c r="C37" t="s">
        <v>7</v>
      </c>
      <c r="D37" s="6">
        <f>Housing_type_original!C37/SUM(Housing_type_original!$C37:$F37)</f>
        <v>0.81412639405204457</v>
      </c>
      <c r="E37" s="6">
        <f>Housing_type_original!D37/SUM(Housing_type_original!$C37:$F37)</f>
        <v>7.434944237918216E-2</v>
      </c>
      <c r="F37" s="6">
        <f>Housing_type_original!E37/SUM(Housing_type_original!$C37:$F37)</f>
        <v>7.434944237918216E-2</v>
      </c>
      <c r="G37" s="6">
        <f>Housing_type_original!F37/SUM(Housing_type_original!$C37:$F37)</f>
        <v>3.717472118959108E-2</v>
      </c>
    </row>
    <row r="38" spans="1:7" x14ac:dyDescent="0.25">
      <c r="A38" s="2">
        <v>2020</v>
      </c>
      <c r="B38" s="2">
        <v>19</v>
      </c>
      <c r="C38" t="s">
        <v>6</v>
      </c>
      <c r="D38" s="6">
        <f>Housing_type_original!C38/SUM(Housing_type_original!$C38:$F38)</f>
        <v>0.40163934426229508</v>
      </c>
      <c r="E38" s="6">
        <f>Housing_type_original!D38/SUM(Housing_type_original!$C38:$F38)</f>
        <v>0.20081967213114754</v>
      </c>
      <c r="F38" s="6">
        <f>Housing_type_original!E38/SUM(Housing_type_original!$C38:$F38)</f>
        <v>0.1721311475409836</v>
      </c>
      <c r="G38" s="6">
        <f>Housing_type_original!F38/SUM(Housing_type_original!$C38:$F38)</f>
        <v>0.2254098360655738</v>
      </c>
    </row>
    <row r="39" spans="1:7" x14ac:dyDescent="0.25">
      <c r="A39" s="2">
        <v>2020</v>
      </c>
      <c r="B39" s="2">
        <v>19</v>
      </c>
      <c r="C39" t="s">
        <v>7</v>
      </c>
      <c r="D39" s="6">
        <f>Housing_type_original!C39/SUM(Housing_type_original!$C39:$F39)</f>
        <v>0.81412639405204457</v>
      </c>
      <c r="E39" s="6">
        <f>Housing_type_original!D39/SUM(Housing_type_original!$C39:$F39)</f>
        <v>7.434944237918216E-2</v>
      </c>
      <c r="F39" s="6">
        <f>Housing_type_original!E39/SUM(Housing_type_original!$C39:$F39)</f>
        <v>7.434944237918216E-2</v>
      </c>
      <c r="G39" s="6">
        <f>Housing_type_original!F39/SUM(Housing_type_original!$C39:$F39)</f>
        <v>3.717472118959108E-2</v>
      </c>
    </row>
    <row r="40" spans="1:7" x14ac:dyDescent="0.25">
      <c r="A40" s="2">
        <v>2020</v>
      </c>
      <c r="B40" s="2">
        <v>20</v>
      </c>
      <c r="C40" t="s">
        <v>6</v>
      </c>
      <c r="D40" s="6">
        <f>Housing_type_original!C40/SUM(Housing_type_original!$C40:$F40)</f>
        <v>0.40163934426229508</v>
      </c>
      <c r="E40" s="6">
        <f>Housing_type_original!D40/SUM(Housing_type_original!$C40:$F40)</f>
        <v>0.20081967213114754</v>
      </c>
      <c r="F40" s="6">
        <f>Housing_type_original!E40/SUM(Housing_type_original!$C40:$F40)</f>
        <v>0.1721311475409836</v>
      </c>
      <c r="G40" s="6">
        <f>Housing_type_original!F40/SUM(Housing_type_original!$C40:$F40)</f>
        <v>0.2254098360655738</v>
      </c>
    </row>
    <row r="41" spans="1:7" x14ac:dyDescent="0.25">
      <c r="A41" s="2">
        <v>2020</v>
      </c>
      <c r="B41" s="2">
        <v>20</v>
      </c>
      <c r="C41" t="s">
        <v>7</v>
      </c>
      <c r="D41" s="6">
        <f>Housing_type_original!C41/SUM(Housing_type_original!$C41:$F41)</f>
        <v>0.81412639405204457</v>
      </c>
      <c r="E41" s="6">
        <f>Housing_type_original!D41/SUM(Housing_type_original!$C41:$F41)</f>
        <v>7.434944237918216E-2</v>
      </c>
      <c r="F41" s="6">
        <f>Housing_type_original!E41/SUM(Housing_type_original!$C41:$F41)</f>
        <v>7.434944237918216E-2</v>
      </c>
      <c r="G41" s="6">
        <f>Housing_type_original!F41/SUM(Housing_type_original!$C41:$F41)</f>
        <v>3.717472118959108E-2</v>
      </c>
    </row>
    <row r="42" spans="1:7" x14ac:dyDescent="0.25">
      <c r="A42" s="2">
        <v>2020</v>
      </c>
      <c r="B42" s="2">
        <v>21</v>
      </c>
      <c r="C42" t="s">
        <v>6</v>
      </c>
      <c r="D42" s="6">
        <f>Housing_type_original!C42/SUM(Housing_type_original!$C42:$F42)</f>
        <v>0.40163934426229508</v>
      </c>
      <c r="E42" s="6">
        <f>Housing_type_original!D42/SUM(Housing_type_original!$C42:$F42)</f>
        <v>0.20081967213114754</v>
      </c>
      <c r="F42" s="6">
        <f>Housing_type_original!E42/SUM(Housing_type_original!$C42:$F42)</f>
        <v>0.1721311475409836</v>
      </c>
      <c r="G42" s="6">
        <f>Housing_type_original!F42/SUM(Housing_type_original!$C42:$F42)</f>
        <v>0.2254098360655738</v>
      </c>
    </row>
    <row r="43" spans="1:7" x14ac:dyDescent="0.25">
      <c r="A43" s="2">
        <v>2020</v>
      </c>
      <c r="B43" s="2">
        <v>21</v>
      </c>
      <c r="C43" t="s">
        <v>7</v>
      </c>
      <c r="D43" s="6">
        <f>Housing_type_original!C43/SUM(Housing_type_original!$C43:$F43)</f>
        <v>0.81412639405204457</v>
      </c>
      <c r="E43" s="6">
        <f>Housing_type_original!D43/SUM(Housing_type_original!$C43:$F43)</f>
        <v>7.434944237918216E-2</v>
      </c>
      <c r="F43" s="6">
        <f>Housing_type_original!E43/SUM(Housing_type_original!$C43:$F43)</f>
        <v>7.434944237918216E-2</v>
      </c>
      <c r="G43" s="6">
        <f>Housing_type_original!F43/SUM(Housing_type_original!$C43:$F43)</f>
        <v>3.717472118959108E-2</v>
      </c>
    </row>
    <row r="44" spans="1:7" x14ac:dyDescent="0.25">
      <c r="A44" s="2">
        <v>2020</v>
      </c>
      <c r="B44" s="2">
        <v>22</v>
      </c>
      <c r="C44" t="s">
        <v>6</v>
      </c>
      <c r="D44" s="6">
        <f>Housing_type_original!C44/SUM(Housing_type_original!$C44:$F44)</f>
        <v>0.40163934426229508</v>
      </c>
      <c r="E44" s="6">
        <f>Housing_type_original!D44/SUM(Housing_type_original!$C44:$F44)</f>
        <v>0.20081967213114754</v>
      </c>
      <c r="F44" s="6">
        <f>Housing_type_original!E44/SUM(Housing_type_original!$C44:$F44)</f>
        <v>0.1721311475409836</v>
      </c>
      <c r="G44" s="6">
        <f>Housing_type_original!F44/SUM(Housing_type_original!$C44:$F44)</f>
        <v>0.2254098360655738</v>
      </c>
    </row>
    <row r="45" spans="1:7" x14ac:dyDescent="0.25">
      <c r="A45" s="2">
        <v>2020</v>
      </c>
      <c r="B45" s="2">
        <v>22</v>
      </c>
      <c r="C45" t="s">
        <v>7</v>
      </c>
      <c r="D45" s="6">
        <f>Housing_type_original!C45/SUM(Housing_type_original!$C45:$F45)</f>
        <v>0.81412639405204457</v>
      </c>
      <c r="E45" s="6">
        <f>Housing_type_original!D45/SUM(Housing_type_original!$C45:$F45)</f>
        <v>7.434944237918216E-2</v>
      </c>
      <c r="F45" s="6">
        <f>Housing_type_original!E45/SUM(Housing_type_original!$C45:$F45)</f>
        <v>7.434944237918216E-2</v>
      </c>
      <c r="G45" s="6">
        <f>Housing_type_original!F45/SUM(Housing_type_original!$C45:$F45)</f>
        <v>3.717472118959108E-2</v>
      </c>
    </row>
    <row r="46" spans="1:7" x14ac:dyDescent="0.25">
      <c r="A46" s="2">
        <v>2020</v>
      </c>
      <c r="B46" s="2">
        <v>23</v>
      </c>
      <c r="C46" t="s">
        <v>6</v>
      </c>
      <c r="D46" s="6">
        <f>Housing_type_original!C46/SUM(Housing_type_original!$C46:$F46)</f>
        <v>0.53846153846153844</v>
      </c>
      <c r="E46" s="6">
        <f>Housing_type_original!D46/SUM(Housing_type_original!$C46:$F46)</f>
        <v>1.741654571843251E-2</v>
      </c>
      <c r="F46" s="6">
        <f>Housing_type_original!E46/SUM(Housing_type_original!$C46:$F46)</f>
        <v>0.25689404934687948</v>
      </c>
      <c r="G46" s="6">
        <f>Housing_type_original!F46/SUM(Housing_type_original!$C46:$F46)</f>
        <v>0.18722786647314948</v>
      </c>
    </row>
    <row r="47" spans="1:7" x14ac:dyDescent="0.25">
      <c r="A47" s="2">
        <v>2020</v>
      </c>
      <c r="B47" s="2">
        <v>23</v>
      </c>
      <c r="C47" t="s">
        <v>7</v>
      </c>
      <c r="D47" s="6">
        <f>Housing_type_original!C47/SUM(Housing_type_original!$C47:$F47)</f>
        <v>0.88424437299035363</v>
      </c>
      <c r="E47" s="6">
        <f>Housing_type_original!D47/SUM(Housing_type_original!$C47:$F47)</f>
        <v>1.607717041800643E-2</v>
      </c>
      <c r="F47" s="6">
        <f>Housing_type_original!E47/SUM(Housing_type_original!$C47:$F47)</f>
        <v>9.0032154340836001E-2</v>
      </c>
      <c r="G47" s="6">
        <f>Housing_type_original!F47/SUM(Housing_type_original!$C47:$F47)</f>
        <v>9.6463022508038575E-3</v>
      </c>
    </row>
    <row r="48" spans="1:7" x14ac:dyDescent="0.25">
      <c r="A48" s="2">
        <v>2020</v>
      </c>
      <c r="B48" s="2">
        <v>24</v>
      </c>
      <c r="C48" t="s">
        <v>6</v>
      </c>
      <c r="D48" s="6">
        <f>Housing_type_original!C48/SUM(Housing_type_original!$C48:$F48)</f>
        <v>0.26040428061831156</v>
      </c>
      <c r="E48" s="6">
        <f>Housing_type_original!D48/SUM(Housing_type_original!$C48:$F48)</f>
        <v>0.479191438763377</v>
      </c>
      <c r="F48" s="6">
        <f>Housing_type_original!E48/SUM(Housing_type_original!$C48:$F48)</f>
        <v>0.19024970273483949</v>
      </c>
      <c r="G48" s="6">
        <f>Housing_type_original!F48/SUM(Housing_type_original!$C48:$F48)</f>
        <v>7.0154577883472055E-2</v>
      </c>
    </row>
    <row r="49" spans="1:7" x14ac:dyDescent="0.25">
      <c r="A49" s="2">
        <v>2020</v>
      </c>
      <c r="B49" s="2">
        <v>24</v>
      </c>
      <c r="C49" t="s">
        <v>7</v>
      </c>
      <c r="D49" s="6">
        <f>Housing_type_original!C49/SUM(Housing_type_original!$C49:$F49)</f>
        <v>0.90624999999999989</v>
      </c>
      <c r="E49" s="6">
        <f>Housing_type_original!D49/SUM(Housing_type_original!$C49:$F49)</f>
        <v>0.05</v>
      </c>
      <c r="F49" s="6">
        <f>Housing_type_original!E49/SUM(Housing_type_original!$C49:$F49)</f>
        <v>4.3749999999999997E-2</v>
      </c>
      <c r="G49" s="6">
        <f>Housing_type_original!F49/SUM(Housing_type_original!$C49:$F49)</f>
        <v>0</v>
      </c>
    </row>
    <row r="50" spans="1:7" x14ac:dyDescent="0.25">
      <c r="A50" s="2">
        <v>2020</v>
      </c>
      <c r="B50" s="2">
        <v>25</v>
      </c>
      <c r="C50" t="s">
        <v>6</v>
      </c>
      <c r="D50" s="6">
        <f>Housing_type_original!C50/SUM(Housing_type_original!$C50:$F50)</f>
        <v>0.40163934426229508</v>
      </c>
      <c r="E50" s="6">
        <f>Housing_type_original!D50/SUM(Housing_type_original!$C50:$F50)</f>
        <v>0.20081967213114754</v>
      </c>
      <c r="F50" s="6">
        <f>Housing_type_original!E50/SUM(Housing_type_original!$C50:$F50)</f>
        <v>0.1721311475409836</v>
      </c>
      <c r="G50" s="6">
        <f>Housing_type_original!F50/SUM(Housing_type_original!$C50:$F50)</f>
        <v>0.2254098360655738</v>
      </c>
    </row>
    <row r="51" spans="1:7" x14ac:dyDescent="0.25">
      <c r="A51" s="2">
        <v>2020</v>
      </c>
      <c r="B51" s="2">
        <v>25</v>
      </c>
      <c r="C51" t="s">
        <v>7</v>
      </c>
      <c r="D51" s="6">
        <f>Housing_type_original!C51/SUM(Housing_type_original!$C51:$F51)</f>
        <v>0.81412639405204457</v>
      </c>
      <c r="E51" s="6">
        <f>Housing_type_original!D51/SUM(Housing_type_original!$C51:$F51)</f>
        <v>7.434944237918216E-2</v>
      </c>
      <c r="F51" s="6">
        <f>Housing_type_original!E51/SUM(Housing_type_original!$C51:$F51)</f>
        <v>7.434944237918216E-2</v>
      </c>
      <c r="G51" s="6">
        <f>Housing_type_original!F51/SUM(Housing_type_original!$C51:$F51)</f>
        <v>3.717472118959108E-2</v>
      </c>
    </row>
    <row r="52" spans="1:7" x14ac:dyDescent="0.25">
      <c r="A52" s="2">
        <v>2020</v>
      </c>
      <c r="B52" s="2">
        <v>26</v>
      </c>
      <c r="C52" t="s">
        <v>6</v>
      </c>
      <c r="D52" s="6">
        <f>Housing_type_original!C52/SUM(Housing_type_original!$C52:$F52)</f>
        <v>0.40163934426229508</v>
      </c>
      <c r="E52" s="6">
        <f>Housing_type_original!D52/SUM(Housing_type_original!$C52:$F52)</f>
        <v>0.20081967213114754</v>
      </c>
      <c r="F52" s="6">
        <f>Housing_type_original!E52/SUM(Housing_type_original!$C52:$F52)</f>
        <v>0.1721311475409836</v>
      </c>
      <c r="G52" s="6">
        <f>Housing_type_original!F52/SUM(Housing_type_original!$C52:$F52)</f>
        <v>0.2254098360655738</v>
      </c>
    </row>
    <row r="53" spans="1:7" x14ac:dyDescent="0.25">
      <c r="A53" s="2">
        <v>2020</v>
      </c>
      <c r="B53" s="2">
        <v>26</v>
      </c>
      <c r="C53" t="s">
        <v>7</v>
      </c>
      <c r="D53" s="6">
        <f>Housing_type_original!C53/SUM(Housing_type_original!$C53:$F53)</f>
        <v>0.81412639405204457</v>
      </c>
      <c r="E53" s="6">
        <f>Housing_type_original!D53/SUM(Housing_type_original!$C53:$F53)</f>
        <v>7.434944237918216E-2</v>
      </c>
      <c r="F53" s="6">
        <f>Housing_type_original!E53/SUM(Housing_type_original!$C53:$F53)</f>
        <v>7.434944237918216E-2</v>
      </c>
      <c r="G53" s="6">
        <f>Housing_type_original!F53/SUM(Housing_type_original!$C53:$F53)</f>
        <v>3.717472118959108E-2</v>
      </c>
    </row>
    <row r="54" spans="1:7" x14ac:dyDescent="0.25">
      <c r="A54" s="2">
        <v>2050</v>
      </c>
      <c r="B54" s="2">
        <v>1</v>
      </c>
      <c r="C54" t="s">
        <v>6</v>
      </c>
      <c r="D54" s="6">
        <f>D2</f>
        <v>0.40163934426229508</v>
      </c>
      <c r="E54" s="6">
        <f t="shared" ref="E54:G54" si="0">E2</f>
        <v>0.20081967213114754</v>
      </c>
      <c r="F54" s="6">
        <f t="shared" si="0"/>
        <v>0.1721311475409836</v>
      </c>
      <c r="G54" s="6">
        <f t="shared" si="0"/>
        <v>0.2254098360655738</v>
      </c>
    </row>
    <row r="55" spans="1:7" x14ac:dyDescent="0.25">
      <c r="A55" s="2">
        <v>2050</v>
      </c>
      <c r="B55" s="2">
        <v>1</v>
      </c>
      <c r="C55" t="s">
        <v>7</v>
      </c>
      <c r="D55" s="6">
        <f t="shared" ref="D55:G55" si="1">D3</f>
        <v>0.81412639405204457</v>
      </c>
      <c r="E55" s="6">
        <f t="shared" si="1"/>
        <v>7.434944237918216E-2</v>
      </c>
      <c r="F55" s="6">
        <f t="shared" si="1"/>
        <v>7.434944237918216E-2</v>
      </c>
      <c r="G55" s="6">
        <f t="shared" si="1"/>
        <v>3.717472118959108E-2</v>
      </c>
    </row>
    <row r="56" spans="1:7" x14ac:dyDescent="0.25">
      <c r="A56" s="2">
        <v>2050</v>
      </c>
      <c r="B56" s="2">
        <v>2</v>
      </c>
      <c r="C56" t="s">
        <v>6</v>
      </c>
      <c r="D56" s="6">
        <f t="shared" ref="D56:G56" si="2">D4</f>
        <v>0.66456494325346782</v>
      </c>
      <c r="E56" s="6">
        <f t="shared" si="2"/>
        <v>7.1878940731399749E-2</v>
      </c>
      <c r="F56" s="6">
        <f t="shared" si="2"/>
        <v>8.9533417402269846E-2</v>
      </c>
      <c r="G56" s="6">
        <f t="shared" si="2"/>
        <v>0.17402269861286254</v>
      </c>
    </row>
    <row r="57" spans="1:7" x14ac:dyDescent="0.25">
      <c r="A57" s="2">
        <v>2050</v>
      </c>
      <c r="B57" s="2">
        <v>2</v>
      </c>
      <c r="C57" t="s">
        <v>7</v>
      </c>
      <c r="D57" s="6">
        <f t="shared" ref="D57:G57" si="3">D5</f>
        <v>0.9565217391304347</v>
      </c>
      <c r="E57" s="6">
        <f t="shared" si="3"/>
        <v>1.4492753623188404E-2</v>
      </c>
      <c r="F57" s="6">
        <f t="shared" si="3"/>
        <v>2.4154589371980676E-2</v>
      </c>
      <c r="G57" s="6">
        <f t="shared" si="3"/>
        <v>4.830917874396135E-3</v>
      </c>
    </row>
    <row r="58" spans="1:7" x14ac:dyDescent="0.25">
      <c r="A58" s="2">
        <v>2050</v>
      </c>
      <c r="B58" s="2">
        <v>3</v>
      </c>
      <c r="C58" t="s">
        <v>6</v>
      </c>
      <c r="D58" s="6">
        <f t="shared" ref="D58:G58" si="4">D6</f>
        <v>0.40163934426229508</v>
      </c>
      <c r="E58" s="6">
        <f t="shared" si="4"/>
        <v>0.20081967213114754</v>
      </c>
      <c r="F58" s="6">
        <f t="shared" si="4"/>
        <v>0.1721311475409836</v>
      </c>
      <c r="G58" s="6">
        <f t="shared" si="4"/>
        <v>0.2254098360655738</v>
      </c>
    </row>
    <row r="59" spans="1:7" x14ac:dyDescent="0.25">
      <c r="A59" s="2">
        <v>2050</v>
      </c>
      <c r="B59" s="2">
        <v>3</v>
      </c>
      <c r="C59" t="s">
        <v>7</v>
      </c>
      <c r="D59" s="6">
        <f t="shared" ref="D59:G59" si="5">D7</f>
        <v>0.81412639405204457</v>
      </c>
      <c r="E59" s="6">
        <f t="shared" si="5"/>
        <v>7.434944237918216E-2</v>
      </c>
      <c r="F59" s="6">
        <f t="shared" si="5"/>
        <v>7.434944237918216E-2</v>
      </c>
      <c r="G59" s="6">
        <f t="shared" si="5"/>
        <v>3.717472118959108E-2</v>
      </c>
    </row>
    <row r="60" spans="1:7" x14ac:dyDescent="0.25">
      <c r="A60" s="2">
        <v>2050</v>
      </c>
      <c r="B60" s="2">
        <v>4</v>
      </c>
      <c r="C60" t="s">
        <v>6</v>
      </c>
      <c r="D60" s="6">
        <f t="shared" ref="D60:G60" si="6">D8</f>
        <v>0.40163934426229508</v>
      </c>
      <c r="E60" s="6">
        <f t="shared" si="6"/>
        <v>0.20081967213114754</v>
      </c>
      <c r="F60" s="6">
        <f t="shared" si="6"/>
        <v>0.1721311475409836</v>
      </c>
      <c r="G60" s="6">
        <f t="shared" si="6"/>
        <v>0.2254098360655738</v>
      </c>
    </row>
    <row r="61" spans="1:7" x14ac:dyDescent="0.25">
      <c r="A61" s="2">
        <v>2050</v>
      </c>
      <c r="B61" s="2">
        <v>4</v>
      </c>
      <c r="C61" t="s">
        <v>7</v>
      </c>
      <c r="D61" s="6">
        <f t="shared" ref="D61:G61" si="7">D9</f>
        <v>0.81412639405204457</v>
      </c>
      <c r="E61" s="6">
        <f t="shared" si="7"/>
        <v>7.434944237918216E-2</v>
      </c>
      <c r="F61" s="6">
        <f t="shared" si="7"/>
        <v>7.434944237918216E-2</v>
      </c>
      <c r="G61" s="6">
        <f t="shared" si="7"/>
        <v>3.717472118959108E-2</v>
      </c>
    </row>
    <row r="62" spans="1:7" x14ac:dyDescent="0.25">
      <c r="A62" s="2">
        <v>2050</v>
      </c>
      <c r="B62" s="2">
        <v>5</v>
      </c>
      <c r="C62" t="s">
        <v>6</v>
      </c>
      <c r="D62" s="6">
        <f t="shared" ref="D62:G62" si="8">D10</f>
        <v>0.40163934426229508</v>
      </c>
      <c r="E62" s="6">
        <f t="shared" si="8"/>
        <v>0.20081967213114754</v>
      </c>
      <c r="F62" s="6">
        <f t="shared" si="8"/>
        <v>0.1721311475409836</v>
      </c>
      <c r="G62" s="6">
        <f t="shared" si="8"/>
        <v>0.2254098360655738</v>
      </c>
    </row>
    <row r="63" spans="1:7" x14ac:dyDescent="0.25">
      <c r="A63" s="2">
        <v>2050</v>
      </c>
      <c r="B63" s="2">
        <v>5</v>
      </c>
      <c r="C63" t="s">
        <v>7</v>
      </c>
      <c r="D63" s="6">
        <f t="shared" ref="D63:G63" si="9">D11</f>
        <v>0.81412639405204457</v>
      </c>
      <c r="E63" s="6">
        <f t="shared" si="9"/>
        <v>7.434944237918216E-2</v>
      </c>
      <c r="F63" s="6">
        <f t="shared" si="9"/>
        <v>7.434944237918216E-2</v>
      </c>
      <c r="G63" s="6">
        <f t="shared" si="9"/>
        <v>3.717472118959108E-2</v>
      </c>
    </row>
    <row r="64" spans="1:7" x14ac:dyDescent="0.25">
      <c r="A64" s="2">
        <v>2050</v>
      </c>
      <c r="B64" s="2">
        <v>6</v>
      </c>
      <c r="C64" t="s">
        <v>6</v>
      </c>
      <c r="D64" s="6">
        <f t="shared" ref="D64:G64" si="10">D12</f>
        <v>0.40163934426229508</v>
      </c>
      <c r="E64" s="6">
        <f t="shared" si="10"/>
        <v>0.20081967213114754</v>
      </c>
      <c r="F64" s="6">
        <f t="shared" si="10"/>
        <v>0.1721311475409836</v>
      </c>
      <c r="G64" s="6">
        <f t="shared" si="10"/>
        <v>0.2254098360655738</v>
      </c>
    </row>
    <row r="65" spans="1:7" x14ac:dyDescent="0.25">
      <c r="A65" s="2">
        <v>2050</v>
      </c>
      <c r="B65" s="2">
        <v>6</v>
      </c>
      <c r="C65" t="s">
        <v>7</v>
      </c>
      <c r="D65" s="6">
        <f t="shared" ref="D65:G65" si="11">D13</f>
        <v>0.81412639405204457</v>
      </c>
      <c r="E65" s="6">
        <f t="shared" si="11"/>
        <v>7.434944237918216E-2</v>
      </c>
      <c r="F65" s="6">
        <f t="shared" si="11"/>
        <v>7.434944237918216E-2</v>
      </c>
      <c r="G65" s="6">
        <f t="shared" si="11"/>
        <v>3.717472118959108E-2</v>
      </c>
    </row>
    <row r="66" spans="1:7" x14ac:dyDescent="0.25">
      <c r="A66" s="2">
        <v>2050</v>
      </c>
      <c r="B66" s="2">
        <v>7</v>
      </c>
      <c r="C66" t="s">
        <v>6</v>
      </c>
      <c r="D66" s="6">
        <f t="shared" ref="D66:G66" si="12">D14</f>
        <v>0.40163934426229508</v>
      </c>
      <c r="E66" s="6">
        <f t="shared" si="12"/>
        <v>0.20081967213114754</v>
      </c>
      <c r="F66" s="6">
        <f t="shared" si="12"/>
        <v>0.1721311475409836</v>
      </c>
      <c r="G66" s="6">
        <f t="shared" si="12"/>
        <v>0.2254098360655738</v>
      </c>
    </row>
    <row r="67" spans="1:7" x14ac:dyDescent="0.25">
      <c r="A67" s="2">
        <v>2050</v>
      </c>
      <c r="B67" s="2">
        <v>7</v>
      </c>
      <c r="C67" t="s">
        <v>7</v>
      </c>
      <c r="D67" s="6">
        <f t="shared" ref="D67:G67" si="13">D15</f>
        <v>0.81412639405204457</v>
      </c>
      <c r="E67" s="6">
        <f t="shared" si="13"/>
        <v>7.434944237918216E-2</v>
      </c>
      <c r="F67" s="6">
        <f t="shared" si="13"/>
        <v>7.434944237918216E-2</v>
      </c>
      <c r="G67" s="6">
        <f t="shared" si="13"/>
        <v>3.717472118959108E-2</v>
      </c>
    </row>
    <row r="68" spans="1:7" x14ac:dyDescent="0.25">
      <c r="A68" s="2">
        <v>2050</v>
      </c>
      <c r="B68" s="2">
        <v>8</v>
      </c>
      <c r="C68" t="s">
        <v>6</v>
      </c>
      <c r="D68" s="6">
        <f t="shared" ref="D68:G68" si="14">D16</f>
        <v>0.40163934426229508</v>
      </c>
      <c r="E68" s="6">
        <f t="shared" si="14"/>
        <v>0.20081967213114754</v>
      </c>
      <c r="F68" s="6">
        <f t="shared" si="14"/>
        <v>0.1721311475409836</v>
      </c>
      <c r="G68" s="6">
        <f t="shared" si="14"/>
        <v>0.2254098360655738</v>
      </c>
    </row>
    <row r="69" spans="1:7" x14ac:dyDescent="0.25">
      <c r="A69" s="2">
        <v>2050</v>
      </c>
      <c r="B69" s="2">
        <v>8</v>
      </c>
      <c r="C69" t="s">
        <v>7</v>
      </c>
      <c r="D69" s="6">
        <f t="shared" ref="D69:G69" si="15">D17</f>
        <v>0.81412639405204457</v>
      </c>
      <c r="E69" s="6">
        <f t="shared" si="15"/>
        <v>7.434944237918216E-2</v>
      </c>
      <c r="F69" s="6">
        <f t="shared" si="15"/>
        <v>7.434944237918216E-2</v>
      </c>
      <c r="G69" s="6">
        <f t="shared" si="15"/>
        <v>3.717472118959108E-2</v>
      </c>
    </row>
    <row r="70" spans="1:7" x14ac:dyDescent="0.25">
      <c r="A70" s="2">
        <v>2050</v>
      </c>
      <c r="B70" s="2">
        <v>9</v>
      </c>
      <c r="C70" t="s">
        <v>6</v>
      </c>
      <c r="D70" s="6">
        <f t="shared" ref="D70:G70" si="16">D18</f>
        <v>0.40163934426229508</v>
      </c>
      <c r="E70" s="6">
        <f t="shared" si="16"/>
        <v>0.20081967213114754</v>
      </c>
      <c r="F70" s="6">
        <f t="shared" si="16"/>
        <v>0.1721311475409836</v>
      </c>
      <c r="G70" s="6">
        <f t="shared" si="16"/>
        <v>0.2254098360655738</v>
      </c>
    </row>
    <row r="71" spans="1:7" x14ac:dyDescent="0.25">
      <c r="A71" s="2">
        <v>2050</v>
      </c>
      <c r="B71" s="2">
        <v>9</v>
      </c>
      <c r="C71" t="s">
        <v>7</v>
      </c>
      <c r="D71" s="6">
        <f t="shared" ref="D71:G71" si="17">D19</f>
        <v>0.81412639405204457</v>
      </c>
      <c r="E71" s="6">
        <f t="shared" si="17"/>
        <v>7.434944237918216E-2</v>
      </c>
      <c r="F71" s="6">
        <f t="shared" si="17"/>
        <v>7.434944237918216E-2</v>
      </c>
      <c r="G71" s="6">
        <f t="shared" si="17"/>
        <v>3.717472118959108E-2</v>
      </c>
    </row>
    <row r="72" spans="1:7" x14ac:dyDescent="0.25">
      <c r="A72" s="2">
        <v>2050</v>
      </c>
      <c r="B72" s="2">
        <v>10</v>
      </c>
      <c r="C72" t="s">
        <v>6</v>
      </c>
      <c r="D72" s="6">
        <f t="shared" ref="D72:G72" si="18">D20</f>
        <v>0.40163934426229508</v>
      </c>
      <c r="E72" s="6">
        <f t="shared" si="18"/>
        <v>0.20081967213114754</v>
      </c>
      <c r="F72" s="6">
        <f t="shared" si="18"/>
        <v>0.1721311475409836</v>
      </c>
      <c r="G72" s="6">
        <f t="shared" si="18"/>
        <v>0.2254098360655738</v>
      </c>
    </row>
    <row r="73" spans="1:7" x14ac:dyDescent="0.25">
      <c r="A73" s="2">
        <v>2050</v>
      </c>
      <c r="B73" s="2">
        <v>10</v>
      </c>
      <c r="C73" t="s">
        <v>7</v>
      </c>
      <c r="D73" s="6">
        <f t="shared" ref="D73:G73" si="19">D21</f>
        <v>0.81412639405204457</v>
      </c>
      <c r="E73" s="6">
        <f t="shared" si="19"/>
        <v>7.434944237918216E-2</v>
      </c>
      <c r="F73" s="6">
        <f t="shared" si="19"/>
        <v>7.434944237918216E-2</v>
      </c>
      <c r="G73" s="6">
        <f t="shared" si="19"/>
        <v>3.717472118959108E-2</v>
      </c>
    </row>
    <row r="74" spans="1:7" x14ac:dyDescent="0.25">
      <c r="A74" s="2">
        <v>2050</v>
      </c>
      <c r="B74" s="2">
        <v>11</v>
      </c>
      <c r="C74" t="s">
        <v>6</v>
      </c>
      <c r="D74" s="6">
        <f t="shared" ref="D74:G74" si="20">D22</f>
        <v>0.21059602649006626</v>
      </c>
      <c r="E74" s="6">
        <f t="shared" si="20"/>
        <v>0.29536423841059606</v>
      </c>
      <c r="F74" s="6">
        <f t="shared" si="20"/>
        <v>0.22913907284768215</v>
      </c>
      <c r="G74" s="6">
        <f t="shared" si="20"/>
        <v>0.26490066225165571</v>
      </c>
    </row>
    <row r="75" spans="1:7" x14ac:dyDescent="0.25">
      <c r="A75" s="2">
        <v>2050</v>
      </c>
      <c r="B75" s="2">
        <v>11</v>
      </c>
      <c r="C75" t="s">
        <v>7</v>
      </c>
      <c r="D75" s="6">
        <f t="shared" ref="D75:G75" si="21">D23</f>
        <v>0.55284552845528456</v>
      </c>
      <c r="E75" s="6">
        <f t="shared" si="21"/>
        <v>0.24796747967479671</v>
      </c>
      <c r="F75" s="6">
        <f t="shared" si="21"/>
        <v>0.14634146341463411</v>
      </c>
      <c r="G75" s="6">
        <f t="shared" si="21"/>
        <v>5.2845528455284542E-2</v>
      </c>
    </row>
    <row r="76" spans="1:7" x14ac:dyDescent="0.25">
      <c r="A76" s="2">
        <v>2050</v>
      </c>
      <c r="B76" s="2">
        <v>12</v>
      </c>
      <c r="C76" t="s">
        <v>6</v>
      </c>
      <c r="D76" s="6">
        <f t="shared" ref="D76:G76" si="22">D24</f>
        <v>0.33333333333333331</v>
      </c>
      <c r="E76" s="6">
        <f t="shared" si="22"/>
        <v>6.5292096219931262E-2</v>
      </c>
      <c r="F76" s="6">
        <f t="shared" si="22"/>
        <v>8.9347079037800675E-2</v>
      </c>
      <c r="G76" s="6">
        <f t="shared" si="22"/>
        <v>0.51202749140893467</v>
      </c>
    </row>
    <row r="77" spans="1:7" x14ac:dyDescent="0.25">
      <c r="A77" s="2">
        <v>2050</v>
      </c>
      <c r="B77" s="2">
        <v>12</v>
      </c>
      <c r="C77" t="s">
        <v>7</v>
      </c>
      <c r="D77" s="6">
        <f t="shared" ref="D77:G77" si="23">D25</f>
        <v>0.81818181818181812</v>
      </c>
      <c r="E77" s="6">
        <f t="shared" si="23"/>
        <v>5.7416267942583726E-2</v>
      </c>
      <c r="F77" s="6">
        <f t="shared" si="23"/>
        <v>5.0239234449760764E-2</v>
      </c>
      <c r="G77" s="6">
        <f t="shared" si="23"/>
        <v>7.4162679425837319E-2</v>
      </c>
    </row>
    <row r="78" spans="1:7" x14ac:dyDescent="0.25">
      <c r="A78" s="2">
        <v>2050</v>
      </c>
      <c r="B78" s="2">
        <v>13</v>
      </c>
      <c r="C78" t="s">
        <v>6</v>
      </c>
      <c r="D78" s="6">
        <f t="shared" ref="D78:G78" si="24">D26</f>
        <v>0.40163934426229508</v>
      </c>
      <c r="E78" s="6">
        <f t="shared" si="24"/>
        <v>0.20081967213114754</v>
      </c>
      <c r="F78" s="6">
        <f t="shared" si="24"/>
        <v>0.1721311475409836</v>
      </c>
      <c r="G78" s="6">
        <f t="shared" si="24"/>
        <v>0.2254098360655738</v>
      </c>
    </row>
    <row r="79" spans="1:7" x14ac:dyDescent="0.25">
      <c r="A79" s="2">
        <v>2050</v>
      </c>
      <c r="B79" s="2">
        <v>13</v>
      </c>
      <c r="C79" t="s">
        <v>7</v>
      </c>
      <c r="D79" s="6">
        <f t="shared" ref="D79:G79" si="25">D27</f>
        <v>0.81412639405204457</v>
      </c>
      <c r="E79" s="6">
        <f t="shared" si="25"/>
        <v>7.434944237918216E-2</v>
      </c>
      <c r="F79" s="6">
        <f t="shared" si="25"/>
        <v>7.434944237918216E-2</v>
      </c>
      <c r="G79" s="6">
        <f t="shared" si="25"/>
        <v>3.717472118959108E-2</v>
      </c>
    </row>
    <row r="80" spans="1:7" x14ac:dyDescent="0.25">
      <c r="A80" s="2">
        <v>2050</v>
      </c>
      <c r="B80" s="2">
        <v>14</v>
      </c>
      <c r="C80" t="s">
        <v>6</v>
      </c>
      <c r="D80" s="6">
        <f t="shared" ref="D80:G80" si="26">D28</f>
        <v>0.40163934426229508</v>
      </c>
      <c r="E80" s="6">
        <f t="shared" si="26"/>
        <v>0.20081967213114754</v>
      </c>
      <c r="F80" s="6">
        <f t="shared" si="26"/>
        <v>0.1721311475409836</v>
      </c>
      <c r="G80" s="6">
        <f t="shared" si="26"/>
        <v>0.2254098360655738</v>
      </c>
    </row>
    <row r="81" spans="1:7" x14ac:dyDescent="0.25">
      <c r="A81" s="2">
        <v>2050</v>
      </c>
      <c r="B81" s="2">
        <v>14</v>
      </c>
      <c r="C81" t="s">
        <v>7</v>
      </c>
      <c r="D81" s="6">
        <f t="shared" ref="D81:G81" si="27">D29</f>
        <v>0.81412639405204457</v>
      </c>
      <c r="E81" s="6">
        <f t="shared" si="27"/>
        <v>7.434944237918216E-2</v>
      </c>
      <c r="F81" s="6">
        <f t="shared" si="27"/>
        <v>7.434944237918216E-2</v>
      </c>
      <c r="G81" s="6">
        <f t="shared" si="27"/>
        <v>3.717472118959108E-2</v>
      </c>
    </row>
    <row r="82" spans="1:7" x14ac:dyDescent="0.25">
      <c r="A82" s="2">
        <v>2050</v>
      </c>
      <c r="B82" s="2">
        <v>15</v>
      </c>
      <c r="C82" t="s">
        <v>6</v>
      </c>
      <c r="D82" s="6">
        <f t="shared" ref="D82:G82" si="28">D30</f>
        <v>0.40163934426229508</v>
      </c>
      <c r="E82" s="6">
        <f t="shared" si="28"/>
        <v>0.20081967213114754</v>
      </c>
      <c r="F82" s="6">
        <f t="shared" si="28"/>
        <v>0.1721311475409836</v>
      </c>
      <c r="G82" s="6">
        <f t="shared" si="28"/>
        <v>0.2254098360655738</v>
      </c>
    </row>
    <row r="83" spans="1:7" x14ac:dyDescent="0.25">
      <c r="A83" s="2">
        <v>2050</v>
      </c>
      <c r="B83" s="2">
        <v>15</v>
      </c>
      <c r="C83" t="s">
        <v>7</v>
      </c>
      <c r="D83" s="6">
        <f t="shared" ref="D83:G83" si="29">D31</f>
        <v>0.81412639405204457</v>
      </c>
      <c r="E83" s="6">
        <f t="shared" si="29"/>
        <v>7.434944237918216E-2</v>
      </c>
      <c r="F83" s="6">
        <f t="shared" si="29"/>
        <v>7.434944237918216E-2</v>
      </c>
      <c r="G83" s="6">
        <f t="shared" si="29"/>
        <v>3.717472118959108E-2</v>
      </c>
    </row>
    <row r="84" spans="1:7" x14ac:dyDescent="0.25">
      <c r="A84" s="2">
        <v>2050</v>
      </c>
      <c r="B84" s="2">
        <v>16</v>
      </c>
      <c r="C84" t="s">
        <v>6</v>
      </c>
      <c r="D84" s="6">
        <f t="shared" ref="D84:G84" si="30">D32</f>
        <v>0.40163934426229508</v>
      </c>
      <c r="E84" s="6">
        <f t="shared" si="30"/>
        <v>0.20081967213114754</v>
      </c>
      <c r="F84" s="6">
        <f t="shared" si="30"/>
        <v>0.1721311475409836</v>
      </c>
      <c r="G84" s="6">
        <f t="shared" si="30"/>
        <v>0.2254098360655738</v>
      </c>
    </row>
    <row r="85" spans="1:7" x14ac:dyDescent="0.25">
      <c r="A85" s="2">
        <v>2050</v>
      </c>
      <c r="B85" s="2">
        <v>16</v>
      </c>
      <c r="C85" t="s">
        <v>7</v>
      </c>
      <c r="D85" s="6">
        <f t="shared" ref="D85:G85" si="31">D33</f>
        <v>0.81412639405204457</v>
      </c>
      <c r="E85" s="6">
        <f t="shared" si="31"/>
        <v>7.434944237918216E-2</v>
      </c>
      <c r="F85" s="6">
        <f t="shared" si="31"/>
        <v>7.434944237918216E-2</v>
      </c>
      <c r="G85" s="6">
        <f t="shared" si="31"/>
        <v>3.717472118959108E-2</v>
      </c>
    </row>
    <row r="86" spans="1:7" x14ac:dyDescent="0.25">
      <c r="A86" s="2">
        <v>2050</v>
      </c>
      <c r="B86" s="2">
        <v>17</v>
      </c>
      <c r="C86" t="s">
        <v>6</v>
      </c>
      <c r="D86" s="6">
        <f t="shared" ref="D86:G86" si="32">D34</f>
        <v>0.40163934426229508</v>
      </c>
      <c r="E86" s="6">
        <f t="shared" si="32"/>
        <v>0.20081967213114754</v>
      </c>
      <c r="F86" s="6">
        <f t="shared" si="32"/>
        <v>0.1721311475409836</v>
      </c>
      <c r="G86" s="6">
        <f t="shared" si="32"/>
        <v>0.2254098360655738</v>
      </c>
    </row>
    <row r="87" spans="1:7" x14ac:dyDescent="0.25">
      <c r="A87" s="2">
        <v>2050</v>
      </c>
      <c r="B87" s="2">
        <v>17</v>
      </c>
      <c r="C87" t="s">
        <v>7</v>
      </c>
      <c r="D87" s="6">
        <f t="shared" ref="D87:G87" si="33">D35</f>
        <v>0.81412639405204457</v>
      </c>
      <c r="E87" s="6">
        <f t="shared" si="33"/>
        <v>7.434944237918216E-2</v>
      </c>
      <c r="F87" s="6">
        <f t="shared" si="33"/>
        <v>7.434944237918216E-2</v>
      </c>
      <c r="G87" s="6">
        <f t="shared" si="33"/>
        <v>3.717472118959108E-2</v>
      </c>
    </row>
    <row r="88" spans="1:7" x14ac:dyDescent="0.25">
      <c r="A88" s="2">
        <v>2050</v>
      </c>
      <c r="B88" s="2">
        <v>18</v>
      </c>
      <c r="C88" t="s">
        <v>6</v>
      </c>
      <c r="D88" s="6">
        <f t="shared" ref="D88:G88" si="34">D36</f>
        <v>0.40163934426229508</v>
      </c>
      <c r="E88" s="6">
        <f t="shared" si="34"/>
        <v>0.20081967213114754</v>
      </c>
      <c r="F88" s="6">
        <f t="shared" si="34"/>
        <v>0.1721311475409836</v>
      </c>
      <c r="G88" s="6">
        <f t="shared" si="34"/>
        <v>0.2254098360655738</v>
      </c>
    </row>
    <row r="89" spans="1:7" x14ac:dyDescent="0.25">
      <c r="A89" s="2">
        <v>2050</v>
      </c>
      <c r="B89" s="2">
        <v>18</v>
      </c>
      <c r="C89" t="s">
        <v>7</v>
      </c>
      <c r="D89" s="6">
        <f t="shared" ref="D89:G89" si="35">D37</f>
        <v>0.81412639405204457</v>
      </c>
      <c r="E89" s="6">
        <f t="shared" si="35"/>
        <v>7.434944237918216E-2</v>
      </c>
      <c r="F89" s="6">
        <f t="shared" si="35"/>
        <v>7.434944237918216E-2</v>
      </c>
      <c r="G89" s="6">
        <f t="shared" si="35"/>
        <v>3.717472118959108E-2</v>
      </c>
    </row>
    <row r="90" spans="1:7" x14ac:dyDescent="0.25">
      <c r="A90" s="2">
        <v>2050</v>
      </c>
      <c r="B90" s="2">
        <v>19</v>
      </c>
      <c r="C90" t="s">
        <v>6</v>
      </c>
      <c r="D90" s="6">
        <f t="shared" ref="D90:G90" si="36">D38</f>
        <v>0.40163934426229508</v>
      </c>
      <c r="E90" s="6">
        <f t="shared" si="36"/>
        <v>0.20081967213114754</v>
      </c>
      <c r="F90" s="6">
        <f t="shared" si="36"/>
        <v>0.1721311475409836</v>
      </c>
      <c r="G90" s="6">
        <f t="shared" si="36"/>
        <v>0.2254098360655738</v>
      </c>
    </row>
    <row r="91" spans="1:7" x14ac:dyDescent="0.25">
      <c r="A91" s="2">
        <v>2050</v>
      </c>
      <c r="B91" s="2">
        <v>19</v>
      </c>
      <c r="C91" t="s">
        <v>7</v>
      </c>
      <c r="D91" s="6">
        <f t="shared" ref="D91:G91" si="37">D39</f>
        <v>0.81412639405204457</v>
      </c>
      <c r="E91" s="6">
        <f t="shared" si="37"/>
        <v>7.434944237918216E-2</v>
      </c>
      <c r="F91" s="6">
        <f t="shared" si="37"/>
        <v>7.434944237918216E-2</v>
      </c>
      <c r="G91" s="6">
        <f t="shared" si="37"/>
        <v>3.717472118959108E-2</v>
      </c>
    </row>
    <row r="92" spans="1:7" x14ac:dyDescent="0.25">
      <c r="A92" s="2">
        <v>2050</v>
      </c>
      <c r="B92" s="2">
        <v>20</v>
      </c>
      <c r="C92" t="s">
        <v>6</v>
      </c>
      <c r="D92" s="6">
        <f t="shared" ref="D92:G92" si="38">D40</f>
        <v>0.40163934426229508</v>
      </c>
      <c r="E92" s="6">
        <f t="shared" si="38"/>
        <v>0.20081967213114754</v>
      </c>
      <c r="F92" s="6">
        <f t="shared" si="38"/>
        <v>0.1721311475409836</v>
      </c>
      <c r="G92" s="6">
        <f t="shared" si="38"/>
        <v>0.2254098360655738</v>
      </c>
    </row>
    <row r="93" spans="1:7" x14ac:dyDescent="0.25">
      <c r="A93" s="2">
        <v>2050</v>
      </c>
      <c r="B93" s="2">
        <v>20</v>
      </c>
      <c r="C93" t="s">
        <v>7</v>
      </c>
      <c r="D93" s="6">
        <f t="shared" ref="D93:G93" si="39">D41</f>
        <v>0.81412639405204457</v>
      </c>
      <c r="E93" s="6">
        <f t="shared" si="39"/>
        <v>7.434944237918216E-2</v>
      </c>
      <c r="F93" s="6">
        <f t="shared" si="39"/>
        <v>7.434944237918216E-2</v>
      </c>
      <c r="G93" s="6">
        <f t="shared" si="39"/>
        <v>3.717472118959108E-2</v>
      </c>
    </row>
    <row r="94" spans="1:7" x14ac:dyDescent="0.25">
      <c r="A94" s="2">
        <v>2050</v>
      </c>
      <c r="B94" s="2">
        <v>21</v>
      </c>
      <c r="C94" t="s">
        <v>6</v>
      </c>
      <c r="D94" s="6">
        <f t="shared" ref="D94:G94" si="40">D42</f>
        <v>0.40163934426229508</v>
      </c>
      <c r="E94" s="6">
        <f t="shared" si="40"/>
        <v>0.20081967213114754</v>
      </c>
      <c r="F94" s="6">
        <f t="shared" si="40"/>
        <v>0.1721311475409836</v>
      </c>
      <c r="G94" s="6">
        <f t="shared" si="40"/>
        <v>0.2254098360655738</v>
      </c>
    </row>
    <row r="95" spans="1:7" x14ac:dyDescent="0.25">
      <c r="A95" s="2">
        <v>2050</v>
      </c>
      <c r="B95" s="2">
        <v>21</v>
      </c>
      <c r="C95" t="s">
        <v>7</v>
      </c>
      <c r="D95" s="6">
        <f t="shared" ref="D95:G95" si="41">D43</f>
        <v>0.81412639405204457</v>
      </c>
      <c r="E95" s="6">
        <f t="shared" si="41"/>
        <v>7.434944237918216E-2</v>
      </c>
      <c r="F95" s="6">
        <f t="shared" si="41"/>
        <v>7.434944237918216E-2</v>
      </c>
      <c r="G95" s="6">
        <f t="shared" si="41"/>
        <v>3.717472118959108E-2</v>
      </c>
    </row>
    <row r="96" spans="1:7" x14ac:dyDescent="0.25">
      <c r="A96" s="2">
        <v>2050</v>
      </c>
      <c r="B96" s="2">
        <v>22</v>
      </c>
      <c r="C96" t="s">
        <v>6</v>
      </c>
      <c r="D96" s="6">
        <f t="shared" ref="D96:G96" si="42">D44</f>
        <v>0.40163934426229508</v>
      </c>
      <c r="E96" s="6">
        <f t="shared" si="42"/>
        <v>0.20081967213114754</v>
      </c>
      <c r="F96" s="6">
        <f t="shared" si="42"/>
        <v>0.1721311475409836</v>
      </c>
      <c r="G96" s="6">
        <f t="shared" si="42"/>
        <v>0.2254098360655738</v>
      </c>
    </row>
    <row r="97" spans="1:7" x14ac:dyDescent="0.25">
      <c r="A97" s="2">
        <v>2050</v>
      </c>
      <c r="B97" s="2">
        <v>22</v>
      </c>
      <c r="C97" t="s">
        <v>7</v>
      </c>
      <c r="D97" s="6">
        <f t="shared" ref="D97:G97" si="43">D45</f>
        <v>0.81412639405204457</v>
      </c>
      <c r="E97" s="6">
        <f t="shared" si="43"/>
        <v>7.434944237918216E-2</v>
      </c>
      <c r="F97" s="6">
        <f t="shared" si="43"/>
        <v>7.434944237918216E-2</v>
      </c>
      <c r="G97" s="6">
        <f t="shared" si="43"/>
        <v>3.717472118959108E-2</v>
      </c>
    </row>
    <row r="98" spans="1:7" x14ac:dyDescent="0.25">
      <c r="A98" s="2">
        <v>2050</v>
      </c>
      <c r="B98" s="2">
        <v>23</v>
      </c>
      <c r="C98" t="s">
        <v>6</v>
      </c>
      <c r="D98" s="6">
        <f t="shared" ref="D98:G98" si="44">D46</f>
        <v>0.53846153846153844</v>
      </c>
      <c r="E98" s="6">
        <f t="shared" si="44"/>
        <v>1.741654571843251E-2</v>
      </c>
      <c r="F98" s="6">
        <f t="shared" si="44"/>
        <v>0.25689404934687948</v>
      </c>
      <c r="G98" s="6">
        <f t="shared" si="44"/>
        <v>0.18722786647314948</v>
      </c>
    </row>
    <row r="99" spans="1:7" x14ac:dyDescent="0.25">
      <c r="A99" s="2">
        <v>2050</v>
      </c>
      <c r="B99" s="2">
        <v>23</v>
      </c>
      <c r="C99" t="s">
        <v>7</v>
      </c>
      <c r="D99" s="6">
        <f t="shared" ref="D99:G99" si="45">D47</f>
        <v>0.88424437299035363</v>
      </c>
      <c r="E99" s="6">
        <f t="shared" si="45"/>
        <v>1.607717041800643E-2</v>
      </c>
      <c r="F99" s="6">
        <f t="shared" si="45"/>
        <v>9.0032154340836001E-2</v>
      </c>
      <c r="G99" s="6">
        <f t="shared" si="45"/>
        <v>9.6463022508038575E-3</v>
      </c>
    </row>
    <row r="100" spans="1:7" x14ac:dyDescent="0.25">
      <c r="A100" s="2">
        <v>2050</v>
      </c>
      <c r="B100" s="2">
        <v>24</v>
      </c>
      <c r="C100" t="s">
        <v>6</v>
      </c>
      <c r="D100" s="6">
        <f t="shared" ref="D100:G100" si="46">D48</f>
        <v>0.26040428061831156</v>
      </c>
      <c r="E100" s="6">
        <f t="shared" si="46"/>
        <v>0.479191438763377</v>
      </c>
      <c r="F100" s="6">
        <f t="shared" si="46"/>
        <v>0.19024970273483949</v>
      </c>
      <c r="G100" s="6">
        <f t="shared" si="46"/>
        <v>7.0154577883472055E-2</v>
      </c>
    </row>
    <row r="101" spans="1:7" x14ac:dyDescent="0.25">
      <c r="A101" s="2">
        <v>2050</v>
      </c>
      <c r="B101" s="2">
        <v>24</v>
      </c>
      <c r="C101" t="s">
        <v>7</v>
      </c>
      <c r="D101" s="6">
        <f t="shared" ref="D101:G101" si="47">D49</f>
        <v>0.90624999999999989</v>
      </c>
      <c r="E101" s="6">
        <f t="shared" si="47"/>
        <v>0.05</v>
      </c>
      <c r="F101" s="6">
        <f t="shared" si="47"/>
        <v>4.3749999999999997E-2</v>
      </c>
      <c r="G101" s="6">
        <f t="shared" si="47"/>
        <v>0</v>
      </c>
    </row>
    <row r="102" spans="1:7" x14ac:dyDescent="0.25">
      <c r="A102" s="2">
        <v>2050</v>
      </c>
      <c r="B102" s="2">
        <v>25</v>
      </c>
      <c r="C102" t="s">
        <v>6</v>
      </c>
      <c r="D102" s="6">
        <f t="shared" ref="D102:G102" si="48">D50</f>
        <v>0.40163934426229508</v>
      </c>
      <c r="E102" s="6">
        <f t="shared" si="48"/>
        <v>0.20081967213114754</v>
      </c>
      <c r="F102" s="6">
        <f t="shared" si="48"/>
        <v>0.1721311475409836</v>
      </c>
      <c r="G102" s="6">
        <f t="shared" si="48"/>
        <v>0.2254098360655738</v>
      </c>
    </row>
    <row r="103" spans="1:7" x14ac:dyDescent="0.25">
      <c r="A103" s="2">
        <v>2050</v>
      </c>
      <c r="B103" s="2">
        <v>25</v>
      </c>
      <c r="C103" t="s">
        <v>7</v>
      </c>
      <c r="D103" s="6">
        <f t="shared" ref="D103:G103" si="49">D51</f>
        <v>0.81412639405204457</v>
      </c>
      <c r="E103" s="6">
        <f t="shared" si="49"/>
        <v>7.434944237918216E-2</v>
      </c>
      <c r="F103" s="6">
        <f t="shared" si="49"/>
        <v>7.434944237918216E-2</v>
      </c>
      <c r="G103" s="6">
        <f t="shared" si="49"/>
        <v>3.717472118959108E-2</v>
      </c>
    </row>
    <row r="104" spans="1:7" x14ac:dyDescent="0.25">
      <c r="A104" s="2">
        <v>2050</v>
      </c>
      <c r="B104" s="2">
        <v>26</v>
      </c>
      <c r="C104" t="s">
        <v>6</v>
      </c>
      <c r="D104" s="6">
        <f t="shared" ref="D104:G104" si="50">D52</f>
        <v>0.40163934426229508</v>
      </c>
      <c r="E104" s="6">
        <f t="shared" si="50"/>
        <v>0.20081967213114754</v>
      </c>
      <c r="F104" s="6">
        <f t="shared" si="50"/>
        <v>0.1721311475409836</v>
      </c>
      <c r="G104" s="6">
        <f t="shared" si="50"/>
        <v>0.2254098360655738</v>
      </c>
    </row>
    <row r="105" spans="1:7" x14ac:dyDescent="0.25">
      <c r="A105" s="2">
        <v>2050</v>
      </c>
      <c r="B105" s="2">
        <v>26</v>
      </c>
      <c r="C105" t="s">
        <v>7</v>
      </c>
      <c r="D105" s="6">
        <f t="shared" ref="D105:G105" si="51">D53</f>
        <v>0.81412639405204457</v>
      </c>
      <c r="E105" s="6">
        <f t="shared" si="51"/>
        <v>7.434944237918216E-2</v>
      </c>
      <c r="F105" s="6">
        <f t="shared" si="51"/>
        <v>7.434944237918216E-2</v>
      </c>
      <c r="G105" s="6">
        <f t="shared" si="51"/>
        <v>3.717472118959108E-2</v>
      </c>
    </row>
    <row r="106" spans="1:7" x14ac:dyDescent="0.25">
      <c r="D106" s="1"/>
      <c r="E106" s="1"/>
      <c r="F106" s="1"/>
      <c r="G10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E6D4-C24E-4825-BF2C-519C36CA9C41}">
  <dimension ref="A1:G106"/>
  <sheetViews>
    <sheetView tabSelected="1" topLeftCell="A46" workbookViewId="0">
      <selection activeCell="W57" sqref="W57"/>
    </sheetView>
  </sheetViews>
  <sheetFormatPr defaultRowHeight="15" x14ac:dyDescent="0.25"/>
  <sheetData>
    <row r="1" spans="1:7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2">
        <v>2020</v>
      </c>
      <c r="B2" s="2">
        <v>1</v>
      </c>
      <c r="C2" t="s">
        <v>6</v>
      </c>
      <c r="D2" s="6">
        <f>Housing_type_original!C2/SUM(Housing_type_original!$C2:$F2)</f>
        <v>0.40163934426229508</v>
      </c>
      <c r="E2" s="6">
        <f>Housing_type_original!D2/SUM(Housing_type_original!$C2:$F2)</f>
        <v>0.20081967213114754</v>
      </c>
      <c r="F2" s="6">
        <f>Housing_type_original!E2/SUM(Housing_type_original!$C2:$F2)</f>
        <v>0.1721311475409836</v>
      </c>
      <c r="G2" s="6">
        <f>Housing_type_original!F2/SUM(Housing_type_original!$C2:$F2)</f>
        <v>0.2254098360655738</v>
      </c>
    </row>
    <row r="3" spans="1:7" x14ac:dyDescent="0.25">
      <c r="A3" s="2">
        <v>2020</v>
      </c>
      <c r="B3" s="2">
        <v>1</v>
      </c>
      <c r="C3" t="s">
        <v>7</v>
      </c>
      <c r="D3" s="6">
        <f>Housing_type_original!C3/SUM(Housing_type_original!$C3:$F3)</f>
        <v>0.81412639405204457</v>
      </c>
      <c r="E3" s="6">
        <f>Housing_type_original!D3/SUM(Housing_type_original!$C3:$F3)</f>
        <v>7.434944237918216E-2</v>
      </c>
      <c r="F3" s="6">
        <f>Housing_type_original!E3/SUM(Housing_type_original!$C3:$F3)</f>
        <v>7.434944237918216E-2</v>
      </c>
      <c r="G3" s="6">
        <f>Housing_type_original!F3/SUM(Housing_type_original!$C3:$F3)</f>
        <v>3.717472118959108E-2</v>
      </c>
    </row>
    <row r="4" spans="1:7" x14ac:dyDescent="0.25">
      <c r="A4" s="2">
        <v>2020</v>
      </c>
      <c r="B4" s="2">
        <v>2</v>
      </c>
      <c r="C4" t="s">
        <v>6</v>
      </c>
      <c r="D4" s="6">
        <f>Housing_type_original!C4/SUM(Housing_type_original!$C4:$F4)</f>
        <v>0.66456494325346782</v>
      </c>
      <c r="E4" s="6">
        <f>Housing_type_original!D4/SUM(Housing_type_original!$C4:$F4)</f>
        <v>7.1878940731399749E-2</v>
      </c>
      <c r="F4" s="6">
        <f>Housing_type_original!E4/SUM(Housing_type_original!$C4:$F4)</f>
        <v>8.9533417402269846E-2</v>
      </c>
      <c r="G4" s="6">
        <f>Housing_type_original!F4/SUM(Housing_type_original!$C4:$F4)</f>
        <v>0.17402269861286254</v>
      </c>
    </row>
    <row r="5" spans="1:7" x14ac:dyDescent="0.25">
      <c r="A5" s="2">
        <v>2020</v>
      </c>
      <c r="B5" s="2">
        <v>2</v>
      </c>
      <c r="C5" t="s">
        <v>7</v>
      </c>
      <c r="D5" s="6">
        <f>Housing_type_original!C5/SUM(Housing_type_original!$C5:$F5)</f>
        <v>0.9565217391304347</v>
      </c>
      <c r="E5" s="6">
        <f>Housing_type_original!D5/SUM(Housing_type_original!$C5:$F5)</f>
        <v>1.4492753623188404E-2</v>
      </c>
      <c r="F5" s="6">
        <f>Housing_type_original!E5/SUM(Housing_type_original!$C5:$F5)</f>
        <v>2.4154589371980676E-2</v>
      </c>
      <c r="G5" s="6">
        <f>Housing_type_original!F5/SUM(Housing_type_original!$C5:$F5)</f>
        <v>4.830917874396135E-3</v>
      </c>
    </row>
    <row r="6" spans="1:7" x14ac:dyDescent="0.25">
      <c r="A6" s="2">
        <v>2020</v>
      </c>
      <c r="B6" s="2">
        <v>3</v>
      </c>
      <c r="C6" t="s">
        <v>6</v>
      </c>
      <c r="D6" s="6">
        <f>Housing_type_original!C6/SUM(Housing_type_original!$C6:$F6)</f>
        <v>0.40163934426229508</v>
      </c>
      <c r="E6" s="6">
        <f>Housing_type_original!D6/SUM(Housing_type_original!$C6:$F6)</f>
        <v>0.20081967213114754</v>
      </c>
      <c r="F6" s="6">
        <f>Housing_type_original!E6/SUM(Housing_type_original!$C6:$F6)</f>
        <v>0.1721311475409836</v>
      </c>
      <c r="G6" s="6">
        <f>Housing_type_original!F6/SUM(Housing_type_original!$C6:$F6)</f>
        <v>0.2254098360655738</v>
      </c>
    </row>
    <row r="7" spans="1:7" x14ac:dyDescent="0.25">
      <c r="A7" s="2">
        <v>2020</v>
      </c>
      <c r="B7" s="2">
        <v>3</v>
      </c>
      <c r="C7" t="s">
        <v>7</v>
      </c>
      <c r="D7" s="6">
        <f>Housing_type_original!C7/SUM(Housing_type_original!$C7:$F7)</f>
        <v>0.81412639405204457</v>
      </c>
      <c r="E7" s="6">
        <f>Housing_type_original!D7/SUM(Housing_type_original!$C7:$F7)</f>
        <v>7.434944237918216E-2</v>
      </c>
      <c r="F7" s="6">
        <f>Housing_type_original!E7/SUM(Housing_type_original!$C7:$F7)</f>
        <v>7.434944237918216E-2</v>
      </c>
      <c r="G7" s="6">
        <f>Housing_type_original!F7/SUM(Housing_type_original!$C7:$F7)</f>
        <v>3.717472118959108E-2</v>
      </c>
    </row>
    <row r="8" spans="1:7" x14ac:dyDescent="0.25">
      <c r="A8" s="2">
        <v>2020</v>
      </c>
      <c r="B8" s="2">
        <v>4</v>
      </c>
      <c r="C8" t="s">
        <v>6</v>
      </c>
      <c r="D8" s="6">
        <f>Housing_type_original!C8/SUM(Housing_type_original!$C8:$F8)</f>
        <v>0.40163934426229508</v>
      </c>
      <c r="E8" s="6">
        <f>Housing_type_original!D8/SUM(Housing_type_original!$C8:$F8)</f>
        <v>0.20081967213114754</v>
      </c>
      <c r="F8" s="6">
        <f>Housing_type_original!E8/SUM(Housing_type_original!$C8:$F8)</f>
        <v>0.1721311475409836</v>
      </c>
      <c r="G8" s="6">
        <f>Housing_type_original!F8/SUM(Housing_type_original!$C8:$F8)</f>
        <v>0.2254098360655738</v>
      </c>
    </row>
    <row r="9" spans="1:7" x14ac:dyDescent="0.25">
      <c r="A9" s="2">
        <v>2020</v>
      </c>
      <c r="B9" s="2">
        <v>4</v>
      </c>
      <c r="C9" t="s">
        <v>7</v>
      </c>
      <c r="D9" s="6">
        <f>Housing_type_original!C9/SUM(Housing_type_original!$C9:$F9)</f>
        <v>0.81412639405204457</v>
      </c>
      <c r="E9" s="6">
        <f>Housing_type_original!D9/SUM(Housing_type_original!$C9:$F9)</f>
        <v>7.434944237918216E-2</v>
      </c>
      <c r="F9" s="6">
        <f>Housing_type_original!E9/SUM(Housing_type_original!$C9:$F9)</f>
        <v>7.434944237918216E-2</v>
      </c>
      <c r="G9" s="6">
        <f>Housing_type_original!F9/SUM(Housing_type_original!$C9:$F9)</f>
        <v>3.717472118959108E-2</v>
      </c>
    </row>
    <row r="10" spans="1:7" x14ac:dyDescent="0.25">
      <c r="A10" s="2">
        <v>2020</v>
      </c>
      <c r="B10" s="2">
        <v>5</v>
      </c>
      <c r="C10" t="s">
        <v>6</v>
      </c>
      <c r="D10" s="6">
        <f>Housing_type_original!C10/SUM(Housing_type_original!$C10:$F10)</f>
        <v>0.40163934426229508</v>
      </c>
      <c r="E10" s="6">
        <f>Housing_type_original!D10/SUM(Housing_type_original!$C10:$F10)</f>
        <v>0.20081967213114754</v>
      </c>
      <c r="F10" s="6">
        <f>Housing_type_original!E10/SUM(Housing_type_original!$C10:$F10)</f>
        <v>0.1721311475409836</v>
      </c>
      <c r="G10" s="6">
        <f>Housing_type_original!F10/SUM(Housing_type_original!$C10:$F10)</f>
        <v>0.2254098360655738</v>
      </c>
    </row>
    <row r="11" spans="1:7" x14ac:dyDescent="0.25">
      <c r="A11" s="2">
        <v>2020</v>
      </c>
      <c r="B11" s="2">
        <v>5</v>
      </c>
      <c r="C11" t="s">
        <v>7</v>
      </c>
      <c r="D11" s="6">
        <f>Housing_type_original!C11/SUM(Housing_type_original!$C11:$F11)</f>
        <v>0.81412639405204457</v>
      </c>
      <c r="E11" s="6">
        <f>Housing_type_original!D11/SUM(Housing_type_original!$C11:$F11)</f>
        <v>7.434944237918216E-2</v>
      </c>
      <c r="F11" s="6">
        <f>Housing_type_original!E11/SUM(Housing_type_original!$C11:$F11)</f>
        <v>7.434944237918216E-2</v>
      </c>
      <c r="G11" s="6">
        <f>Housing_type_original!F11/SUM(Housing_type_original!$C11:$F11)</f>
        <v>3.717472118959108E-2</v>
      </c>
    </row>
    <row r="12" spans="1:7" x14ac:dyDescent="0.25">
      <c r="A12" s="2">
        <v>2020</v>
      </c>
      <c r="B12" s="2">
        <v>6</v>
      </c>
      <c r="C12" t="s">
        <v>6</v>
      </c>
      <c r="D12" s="6">
        <f>Housing_type_original!C12/SUM(Housing_type_original!$C12:$F12)</f>
        <v>0.40163934426229508</v>
      </c>
      <c r="E12" s="6">
        <f>Housing_type_original!D12/SUM(Housing_type_original!$C12:$F12)</f>
        <v>0.20081967213114754</v>
      </c>
      <c r="F12" s="6">
        <f>Housing_type_original!E12/SUM(Housing_type_original!$C12:$F12)</f>
        <v>0.1721311475409836</v>
      </c>
      <c r="G12" s="6">
        <f>Housing_type_original!F12/SUM(Housing_type_original!$C12:$F12)</f>
        <v>0.2254098360655738</v>
      </c>
    </row>
    <row r="13" spans="1:7" x14ac:dyDescent="0.25">
      <c r="A13" s="2">
        <v>2020</v>
      </c>
      <c r="B13" s="2">
        <v>6</v>
      </c>
      <c r="C13" t="s">
        <v>7</v>
      </c>
      <c r="D13" s="6">
        <f>Housing_type_original!C13/SUM(Housing_type_original!$C13:$F13)</f>
        <v>0.81412639405204457</v>
      </c>
      <c r="E13" s="6">
        <f>Housing_type_original!D13/SUM(Housing_type_original!$C13:$F13)</f>
        <v>7.434944237918216E-2</v>
      </c>
      <c r="F13" s="6">
        <f>Housing_type_original!E13/SUM(Housing_type_original!$C13:$F13)</f>
        <v>7.434944237918216E-2</v>
      </c>
      <c r="G13" s="6">
        <f>Housing_type_original!F13/SUM(Housing_type_original!$C13:$F13)</f>
        <v>3.717472118959108E-2</v>
      </c>
    </row>
    <row r="14" spans="1:7" x14ac:dyDescent="0.25">
      <c r="A14" s="2">
        <v>2020</v>
      </c>
      <c r="B14" s="2">
        <v>7</v>
      </c>
      <c r="C14" t="s">
        <v>6</v>
      </c>
      <c r="D14" s="6">
        <f>Housing_type_original!C14/SUM(Housing_type_original!$C14:$F14)</f>
        <v>0.40163934426229508</v>
      </c>
      <c r="E14" s="6">
        <f>Housing_type_original!D14/SUM(Housing_type_original!$C14:$F14)</f>
        <v>0.20081967213114754</v>
      </c>
      <c r="F14" s="6">
        <f>Housing_type_original!E14/SUM(Housing_type_original!$C14:$F14)</f>
        <v>0.1721311475409836</v>
      </c>
      <c r="G14" s="6">
        <f>Housing_type_original!F14/SUM(Housing_type_original!$C14:$F14)</f>
        <v>0.2254098360655738</v>
      </c>
    </row>
    <row r="15" spans="1:7" x14ac:dyDescent="0.25">
      <c r="A15" s="2">
        <v>2020</v>
      </c>
      <c r="B15" s="2">
        <v>7</v>
      </c>
      <c r="C15" t="s">
        <v>7</v>
      </c>
      <c r="D15" s="6">
        <f>Housing_type_original!C15/SUM(Housing_type_original!$C15:$F15)</f>
        <v>0.81412639405204457</v>
      </c>
      <c r="E15" s="6">
        <f>Housing_type_original!D15/SUM(Housing_type_original!$C15:$F15)</f>
        <v>7.434944237918216E-2</v>
      </c>
      <c r="F15" s="6">
        <f>Housing_type_original!E15/SUM(Housing_type_original!$C15:$F15)</f>
        <v>7.434944237918216E-2</v>
      </c>
      <c r="G15" s="6">
        <f>Housing_type_original!F15/SUM(Housing_type_original!$C15:$F15)</f>
        <v>3.717472118959108E-2</v>
      </c>
    </row>
    <row r="16" spans="1:7" x14ac:dyDescent="0.25">
      <c r="A16" s="2">
        <v>2020</v>
      </c>
      <c r="B16" s="2">
        <v>8</v>
      </c>
      <c r="C16" t="s">
        <v>6</v>
      </c>
      <c r="D16" s="6">
        <f>Housing_type_original!C16/SUM(Housing_type_original!$C16:$F16)</f>
        <v>0.40163934426229508</v>
      </c>
      <c r="E16" s="6">
        <f>Housing_type_original!D16/SUM(Housing_type_original!$C16:$F16)</f>
        <v>0.20081967213114754</v>
      </c>
      <c r="F16" s="6">
        <f>Housing_type_original!E16/SUM(Housing_type_original!$C16:$F16)</f>
        <v>0.1721311475409836</v>
      </c>
      <c r="G16" s="6">
        <f>Housing_type_original!F16/SUM(Housing_type_original!$C16:$F16)</f>
        <v>0.2254098360655738</v>
      </c>
    </row>
    <row r="17" spans="1:7" x14ac:dyDescent="0.25">
      <c r="A17" s="2">
        <v>2020</v>
      </c>
      <c r="B17" s="2">
        <v>8</v>
      </c>
      <c r="C17" t="s">
        <v>7</v>
      </c>
      <c r="D17" s="6">
        <f>Housing_type_original!C17/SUM(Housing_type_original!$C17:$F17)</f>
        <v>0.81412639405204457</v>
      </c>
      <c r="E17" s="6">
        <f>Housing_type_original!D17/SUM(Housing_type_original!$C17:$F17)</f>
        <v>7.434944237918216E-2</v>
      </c>
      <c r="F17" s="6">
        <f>Housing_type_original!E17/SUM(Housing_type_original!$C17:$F17)</f>
        <v>7.434944237918216E-2</v>
      </c>
      <c r="G17" s="6">
        <f>Housing_type_original!F17/SUM(Housing_type_original!$C17:$F17)</f>
        <v>3.717472118959108E-2</v>
      </c>
    </row>
    <row r="18" spans="1:7" x14ac:dyDescent="0.25">
      <c r="A18" s="2">
        <v>2020</v>
      </c>
      <c r="B18" s="2">
        <v>9</v>
      </c>
      <c r="C18" t="s">
        <v>6</v>
      </c>
      <c r="D18" s="6">
        <f>Housing_type_original!C18/SUM(Housing_type_original!$C18:$F18)</f>
        <v>0.40163934426229508</v>
      </c>
      <c r="E18" s="6">
        <f>Housing_type_original!D18/SUM(Housing_type_original!$C18:$F18)</f>
        <v>0.20081967213114754</v>
      </c>
      <c r="F18" s="6">
        <f>Housing_type_original!E18/SUM(Housing_type_original!$C18:$F18)</f>
        <v>0.1721311475409836</v>
      </c>
      <c r="G18" s="6">
        <f>Housing_type_original!F18/SUM(Housing_type_original!$C18:$F18)</f>
        <v>0.2254098360655738</v>
      </c>
    </row>
    <row r="19" spans="1:7" x14ac:dyDescent="0.25">
      <c r="A19" s="2">
        <v>2020</v>
      </c>
      <c r="B19" s="2">
        <v>9</v>
      </c>
      <c r="C19" t="s">
        <v>7</v>
      </c>
      <c r="D19" s="6">
        <f>Housing_type_original!C19/SUM(Housing_type_original!$C19:$F19)</f>
        <v>0.81412639405204457</v>
      </c>
      <c r="E19" s="6">
        <f>Housing_type_original!D19/SUM(Housing_type_original!$C19:$F19)</f>
        <v>7.434944237918216E-2</v>
      </c>
      <c r="F19" s="6">
        <f>Housing_type_original!E19/SUM(Housing_type_original!$C19:$F19)</f>
        <v>7.434944237918216E-2</v>
      </c>
      <c r="G19" s="6">
        <f>Housing_type_original!F19/SUM(Housing_type_original!$C19:$F19)</f>
        <v>3.717472118959108E-2</v>
      </c>
    </row>
    <row r="20" spans="1:7" x14ac:dyDescent="0.25">
      <c r="A20" s="2">
        <v>2020</v>
      </c>
      <c r="B20" s="2">
        <v>10</v>
      </c>
      <c r="C20" t="s">
        <v>6</v>
      </c>
      <c r="D20" s="6">
        <f>Housing_type_original!C20/SUM(Housing_type_original!$C20:$F20)</f>
        <v>0.40163934426229508</v>
      </c>
      <c r="E20" s="6">
        <f>Housing_type_original!D20/SUM(Housing_type_original!$C20:$F20)</f>
        <v>0.20081967213114754</v>
      </c>
      <c r="F20" s="6">
        <f>Housing_type_original!E20/SUM(Housing_type_original!$C20:$F20)</f>
        <v>0.1721311475409836</v>
      </c>
      <c r="G20" s="6">
        <f>Housing_type_original!F20/SUM(Housing_type_original!$C20:$F20)</f>
        <v>0.2254098360655738</v>
      </c>
    </row>
    <row r="21" spans="1:7" x14ac:dyDescent="0.25">
      <c r="A21" s="2">
        <v>2020</v>
      </c>
      <c r="B21" s="2">
        <v>10</v>
      </c>
      <c r="C21" t="s">
        <v>7</v>
      </c>
      <c r="D21" s="6">
        <f>Housing_type_original!C21/SUM(Housing_type_original!$C21:$F21)</f>
        <v>0.81412639405204457</v>
      </c>
      <c r="E21" s="6">
        <f>Housing_type_original!D21/SUM(Housing_type_original!$C21:$F21)</f>
        <v>7.434944237918216E-2</v>
      </c>
      <c r="F21" s="6">
        <f>Housing_type_original!E21/SUM(Housing_type_original!$C21:$F21)</f>
        <v>7.434944237918216E-2</v>
      </c>
      <c r="G21" s="6">
        <f>Housing_type_original!F21/SUM(Housing_type_original!$C21:$F21)</f>
        <v>3.717472118959108E-2</v>
      </c>
    </row>
    <row r="22" spans="1:7" x14ac:dyDescent="0.25">
      <c r="A22" s="2">
        <v>2020</v>
      </c>
      <c r="B22" s="2">
        <v>11</v>
      </c>
      <c r="C22" t="s">
        <v>6</v>
      </c>
      <c r="D22" s="6">
        <f>Housing_type_original!C22/SUM(Housing_type_original!$C22:$F22)</f>
        <v>0.21059602649006626</v>
      </c>
      <c r="E22" s="6">
        <f>Housing_type_original!D22/SUM(Housing_type_original!$C22:$F22)</f>
        <v>0.29536423841059606</v>
      </c>
      <c r="F22" s="6">
        <f>Housing_type_original!E22/SUM(Housing_type_original!$C22:$F22)</f>
        <v>0.22913907284768215</v>
      </c>
      <c r="G22" s="6">
        <f>Housing_type_original!F22/SUM(Housing_type_original!$C22:$F22)</f>
        <v>0.26490066225165571</v>
      </c>
    </row>
    <row r="23" spans="1:7" x14ac:dyDescent="0.25">
      <c r="A23" s="2">
        <v>2020</v>
      </c>
      <c r="B23" s="2">
        <v>11</v>
      </c>
      <c r="C23" t="s">
        <v>7</v>
      </c>
      <c r="D23" s="6">
        <f>Housing_type_original!C23/SUM(Housing_type_original!$C23:$F23)</f>
        <v>0.55284552845528456</v>
      </c>
      <c r="E23" s="6">
        <f>Housing_type_original!D23/SUM(Housing_type_original!$C23:$F23)</f>
        <v>0.24796747967479671</v>
      </c>
      <c r="F23" s="6">
        <f>Housing_type_original!E23/SUM(Housing_type_original!$C23:$F23)</f>
        <v>0.14634146341463411</v>
      </c>
      <c r="G23" s="6">
        <f>Housing_type_original!F23/SUM(Housing_type_original!$C23:$F23)</f>
        <v>5.2845528455284542E-2</v>
      </c>
    </row>
    <row r="24" spans="1:7" x14ac:dyDescent="0.25">
      <c r="A24" s="2">
        <v>2020</v>
      </c>
      <c r="B24" s="2">
        <v>12</v>
      </c>
      <c r="C24" t="s">
        <v>6</v>
      </c>
      <c r="D24" s="6">
        <f>Housing_type_original!C24/SUM(Housing_type_original!$C24:$F24)</f>
        <v>0.33333333333333331</v>
      </c>
      <c r="E24" s="6">
        <f>Housing_type_original!D24/SUM(Housing_type_original!$C24:$F24)</f>
        <v>6.5292096219931262E-2</v>
      </c>
      <c r="F24" s="6">
        <f>Housing_type_original!E24/SUM(Housing_type_original!$C24:$F24)</f>
        <v>8.9347079037800675E-2</v>
      </c>
      <c r="G24" s="6">
        <f>Housing_type_original!F24/SUM(Housing_type_original!$C24:$F24)</f>
        <v>0.51202749140893467</v>
      </c>
    </row>
    <row r="25" spans="1:7" x14ac:dyDescent="0.25">
      <c r="A25" s="2">
        <v>2020</v>
      </c>
      <c r="B25" s="2">
        <v>12</v>
      </c>
      <c r="C25" t="s">
        <v>7</v>
      </c>
      <c r="D25" s="6">
        <f>Housing_type_original!C25/SUM(Housing_type_original!$C25:$F25)</f>
        <v>0.81818181818181812</v>
      </c>
      <c r="E25" s="6">
        <f>Housing_type_original!D25/SUM(Housing_type_original!$C25:$F25)</f>
        <v>5.7416267942583726E-2</v>
      </c>
      <c r="F25" s="6">
        <f>Housing_type_original!E25/SUM(Housing_type_original!$C25:$F25)</f>
        <v>5.0239234449760764E-2</v>
      </c>
      <c r="G25" s="6">
        <f>Housing_type_original!F25/SUM(Housing_type_original!$C25:$F25)</f>
        <v>7.4162679425837319E-2</v>
      </c>
    </row>
    <row r="26" spans="1:7" x14ac:dyDescent="0.25">
      <c r="A26" s="2">
        <v>2020</v>
      </c>
      <c r="B26" s="2">
        <v>13</v>
      </c>
      <c r="C26" t="s">
        <v>6</v>
      </c>
      <c r="D26" s="6">
        <f>Housing_type_original!C26/SUM(Housing_type_original!$C26:$F26)</f>
        <v>0.40163934426229508</v>
      </c>
      <c r="E26" s="6">
        <f>Housing_type_original!D26/SUM(Housing_type_original!$C26:$F26)</f>
        <v>0.20081967213114754</v>
      </c>
      <c r="F26" s="6">
        <f>Housing_type_original!E26/SUM(Housing_type_original!$C26:$F26)</f>
        <v>0.1721311475409836</v>
      </c>
      <c r="G26" s="6">
        <f>Housing_type_original!F26/SUM(Housing_type_original!$C26:$F26)</f>
        <v>0.2254098360655738</v>
      </c>
    </row>
    <row r="27" spans="1:7" x14ac:dyDescent="0.25">
      <c r="A27" s="2">
        <v>2020</v>
      </c>
      <c r="B27" s="2">
        <v>13</v>
      </c>
      <c r="C27" t="s">
        <v>7</v>
      </c>
      <c r="D27" s="6">
        <f>Housing_type_original!C27/SUM(Housing_type_original!$C27:$F27)</f>
        <v>0.81412639405204457</v>
      </c>
      <c r="E27" s="6">
        <f>Housing_type_original!D27/SUM(Housing_type_original!$C27:$F27)</f>
        <v>7.434944237918216E-2</v>
      </c>
      <c r="F27" s="6">
        <f>Housing_type_original!E27/SUM(Housing_type_original!$C27:$F27)</f>
        <v>7.434944237918216E-2</v>
      </c>
      <c r="G27" s="6">
        <f>Housing_type_original!F27/SUM(Housing_type_original!$C27:$F27)</f>
        <v>3.717472118959108E-2</v>
      </c>
    </row>
    <row r="28" spans="1:7" x14ac:dyDescent="0.25">
      <c r="A28" s="2">
        <v>2020</v>
      </c>
      <c r="B28" s="2">
        <v>14</v>
      </c>
      <c r="C28" t="s">
        <v>6</v>
      </c>
      <c r="D28" s="6">
        <f>Housing_type_original!C28/SUM(Housing_type_original!$C28:$F28)</f>
        <v>0.40163934426229508</v>
      </c>
      <c r="E28" s="6">
        <f>Housing_type_original!D28/SUM(Housing_type_original!$C28:$F28)</f>
        <v>0.20081967213114754</v>
      </c>
      <c r="F28" s="6">
        <f>Housing_type_original!E28/SUM(Housing_type_original!$C28:$F28)</f>
        <v>0.1721311475409836</v>
      </c>
      <c r="G28" s="6">
        <f>Housing_type_original!F28/SUM(Housing_type_original!$C28:$F28)</f>
        <v>0.2254098360655738</v>
      </c>
    </row>
    <row r="29" spans="1:7" x14ac:dyDescent="0.25">
      <c r="A29" s="2">
        <v>2020</v>
      </c>
      <c r="B29" s="2">
        <v>14</v>
      </c>
      <c r="C29" t="s">
        <v>7</v>
      </c>
      <c r="D29" s="6">
        <f>Housing_type_original!C29/SUM(Housing_type_original!$C29:$F29)</f>
        <v>0.81412639405204457</v>
      </c>
      <c r="E29" s="6">
        <f>Housing_type_original!D29/SUM(Housing_type_original!$C29:$F29)</f>
        <v>7.434944237918216E-2</v>
      </c>
      <c r="F29" s="6">
        <f>Housing_type_original!E29/SUM(Housing_type_original!$C29:$F29)</f>
        <v>7.434944237918216E-2</v>
      </c>
      <c r="G29" s="6">
        <f>Housing_type_original!F29/SUM(Housing_type_original!$C29:$F29)</f>
        <v>3.717472118959108E-2</v>
      </c>
    </row>
    <row r="30" spans="1:7" x14ac:dyDescent="0.25">
      <c r="A30" s="2">
        <v>2020</v>
      </c>
      <c r="B30" s="2">
        <v>15</v>
      </c>
      <c r="C30" t="s">
        <v>6</v>
      </c>
      <c r="D30" s="6">
        <f>Housing_type_original!C30/SUM(Housing_type_original!$C30:$F30)</f>
        <v>0.40163934426229508</v>
      </c>
      <c r="E30" s="6">
        <f>Housing_type_original!D30/SUM(Housing_type_original!$C30:$F30)</f>
        <v>0.20081967213114754</v>
      </c>
      <c r="F30" s="6">
        <f>Housing_type_original!E30/SUM(Housing_type_original!$C30:$F30)</f>
        <v>0.1721311475409836</v>
      </c>
      <c r="G30" s="6">
        <f>Housing_type_original!F30/SUM(Housing_type_original!$C30:$F30)</f>
        <v>0.2254098360655738</v>
      </c>
    </row>
    <row r="31" spans="1:7" x14ac:dyDescent="0.25">
      <c r="A31" s="2">
        <v>2020</v>
      </c>
      <c r="B31" s="2">
        <v>15</v>
      </c>
      <c r="C31" t="s">
        <v>7</v>
      </c>
      <c r="D31" s="6">
        <f>Housing_type_original!C31/SUM(Housing_type_original!$C31:$F31)</f>
        <v>0.81412639405204457</v>
      </c>
      <c r="E31" s="6">
        <f>Housing_type_original!D31/SUM(Housing_type_original!$C31:$F31)</f>
        <v>7.434944237918216E-2</v>
      </c>
      <c r="F31" s="6">
        <f>Housing_type_original!E31/SUM(Housing_type_original!$C31:$F31)</f>
        <v>7.434944237918216E-2</v>
      </c>
      <c r="G31" s="6">
        <f>Housing_type_original!F31/SUM(Housing_type_original!$C31:$F31)</f>
        <v>3.717472118959108E-2</v>
      </c>
    </row>
    <row r="32" spans="1:7" x14ac:dyDescent="0.25">
      <c r="A32" s="2">
        <v>2020</v>
      </c>
      <c r="B32" s="2">
        <v>16</v>
      </c>
      <c r="C32" t="s">
        <v>6</v>
      </c>
      <c r="D32" s="6">
        <f>Housing_type_original!C32/SUM(Housing_type_original!$C32:$F32)</f>
        <v>0.40163934426229508</v>
      </c>
      <c r="E32" s="6">
        <f>Housing_type_original!D32/SUM(Housing_type_original!$C32:$F32)</f>
        <v>0.20081967213114754</v>
      </c>
      <c r="F32" s="6">
        <f>Housing_type_original!E32/SUM(Housing_type_original!$C32:$F32)</f>
        <v>0.1721311475409836</v>
      </c>
      <c r="G32" s="6">
        <f>Housing_type_original!F32/SUM(Housing_type_original!$C32:$F32)</f>
        <v>0.2254098360655738</v>
      </c>
    </row>
    <row r="33" spans="1:7" x14ac:dyDescent="0.25">
      <c r="A33" s="2">
        <v>2020</v>
      </c>
      <c r="B33" s="2">
        <v>16</v>
      </c>
      <c r="C33" t="s">
        <v>7</v>
      </c>
      <c r="D33" s="6">
        <f>Housing_type_original!C33/SUM(Housing_type_original!$C33:$F33)</f>
        <v>0.81412639405204457</v>
      </c>
      <c r="E33" s="6">
        <f>Housing_type_original!D33/SUM(Housing_type_original!$C33:$F33)</f>
        <v>7.434944237918216E-2</v>
      </c>
      <c r="F33" s="6">
        <f>Housing_type_original!E33/SUM(Housing_type_original!$C33:$F33)</f>
        <v>7.434944237918216E-2</v>
      </c>
      <c r="G33" s="6">
        <f>Housing_type_original!F33/SUM(Housing_type_original!$C33:$F33)</f>
        <v>3.717472118959108E-2</v>
      </c>
    </row>
    <row r="34" spans="1:7" x14ac:dyDescent="0.25">
      <c r="A34" s="2">
        <v>2020</v>
      </c>
      <c r="B34" s="2">
        <v>17</v>
      </c>
      <c r="C34" t="s">
        <v>6</v>
      </c>
      <c r="D34" s="6">
        <f>Housing_type_original!C34/SUM(Housing_type_original!$C34:$F34)</f>
        <v>0.40163934426229508</v>
      </c>
      <c r="E34" s="6">
        <f>Housing_type_original!D34/SUM(Housing_type_original!$C34:$F34)</f>
        <v>0.20081967213114754</v>
      </c>
      <c r="F34" s="6">
        <f>Housing_type_original!E34/SUM(Housing_type_original!$C34:$F34)</f>
        <v>0.1721311475409836</v>
      </c>
      <c r="G34" s="6">
        <f>Housing_type_original!F34/SUM(Housing_type_original!$C34:$F34)</f>
        <v>0.2254098360655738</v>
      </c>
    </row>
    <row r="35" spans="1:7" x14ac:dyDescent="0.25">
      <c r="A35" s="2">
        <v>2020</v>
      </c>
      <c r="B35" s="2">
        <v>17</v>
      </c>
      <c r="C35" t="s">
        <v>7</v>
      </c>
      <c r="D35" s="6">
        <f>Housing_type_original!C35/SUM(Housing_type_original!$C35:$F35)</f>
        <v>0.81412639405204457</v>
      </c>
      <c r="E35" s="6">
        <f>Housing_type_original!D35/SUM(Housing_type_original!$C35:$F35)</f>
        <v>7.434944237918216E-2</v>
      </c>
      <c r="F35" s="6">
        <f>Housing_type_original!E35/SUM(Housing_type_original!$C35:$F35)</f>
        <v>7.434944237918216E-2</v>
      </c>
      <c r="G35" s="6">
        <f>Housing_type_original!F35/SUM(Housing_type_original!$C35:$F35)</f>
        <v>3.717472118959108E-2</v>
      </c>
    </row>
    <row r="36" spans="1:7" x14ac:dyDescent="0.25">
      <c r="A36" s="2">
        <v>2020</v>
      </c>
      <c r="B36" s="2">
        <v>18</v>
      </c>
      <c r="C36" t="s">
        <v>6</v>
      </c>
      <c r="D36" s="6">
        <f>Housing_type_original!C36/SUM(Housing_type_original!$C36:$F36)</f>
        <v>0.40163934426229508</v>
      </c>
      <c r="E36" s="6">
        <f>Housing_type_original!D36/SUM(Housing_type_original!$C36:$F36)</f>
        <v>0.20081967213114754</v>
      </c>
      <c r="F36" s="6">
        <f>Housing_type_original!E36/SUM(Housing_type_original!$C36:$F36)</f>
        <v>0.1721311475409836</v>
      </c>
      <c r="G36" s="6">
        <f>Housing_type_original!F36/SUM(Housing_type_original!$C36:$F36)</f>
        <v>0.2254098360655738</v>
      </c>
    </row>
    <row r="37" spans="1:7" x14ac:dyDescent="0.25">
      <c r="A37" s="2">
        <v>2020</v>
      </c>
      <c r="B37" s="2">
        <v>18</v>
      </c>
      <c r="C37" t="s">
        <v>7</v>
      </c>
      <c r="D37" s="6">
        <f>Housing_type_original!C37/SUM(Housing_type_original!$C37:$F37)</f>
        <v>0.81412639405204457</v>
      </c>
      <c r="E37" s="6">
        <f>Housing_type_original!D37/SUM(Housing_type_original!$C37:$F37)</f>
        <v>7.434944237918216E-2</v>
      </c>
      <c r="F37" s="6">
        <f>Housing_type_original!E37/SUM(Housing_type_original!$C37:$F37)</f>
        <v>7.434944237918216E-2</v>
      </c>
      <c r="G37" s="6">
        <f>Housing_type_original!F37/SUM(Housing_type_original!$C37:$F37)</f>
        <v>3.717472118959108E-2</v>
      </c>
    </row>
    <row r="38" spans="1:7" x14ac:dyDescent="0.25">
      <c r="A38" s="2">
        <v>2020</v>
      </c>
      <c r="B38" s="2">
        <v>19</v>
      </c>
      <c r="C38" t="s">
        <v>6</v>
      </c>
      <c r="D38" s="6">
        <f>Housing_type_original!C38/SUM(Housing_type_original!$C38:$F38)</f>
        <v>0.40163934426229508</v>
      </c>
      <c r="E38" s="6">
        <f>Housing_type_original!D38/SUM(Housing_type_original!$C38:$F38)</f>
        <v>0.20081967213114754</v>
      </c>
      <c r="F38" s="6">
        <f>Housing_type_original!E38/SUM(Housing_type_original!$C38:$F38)</f>
        <v>0.1721311475409836</v>
      </c>
      <c r="G38" s="6">
        <f>Housing_type_original!F38/SUM(Housing_type_original!$C38:$F38)</f>
        <v>0.2254098360655738</v>
      </c>
    </row>
    <row r="39" spans="1:7" x14ac:dyDescent="0.25">
      <c r="A39" s="2">
        <v>2020</v>
      </c>
      <c r="B39" s="2">
        <v>19</v>
      </c>
      <c r="C39" t="s">
        <v>7</v>
      </c>
      <c r="D39" s="6">
        <f>Housing_type_original!C39/SUM(Housing_type_original!$C39:$F39)</f>
        <v>0.81412639405204457</v>
      </c>
      <c r="E39" s="6">
        <f>Housing_type_original!D39/SUM(Housing_type_original!$C39:$F39)</f>
        <v>7.434944237918216E-2</v>
      </c>
      <c r="F39" s="6">
        <f>Housing_type_original!E39/SUM(Housing_type_original!$C39:$F39)</f>
        <v>7.434944237918216E-2</v>
      </c>
      <c r="G39" s="6">
        <f>Housing_type_original!F39/SUM(Housing_type_original!$C39:$F39)</f>
        <v>3.717472118959108E-2</v>
      </c>
    </row>
    <row r="40" spans="1:7" x14ac:dyDescent="0.25">
      <c r="A40" s="2">
        <v>2020</v>
      </c>
      <c r="B40" s="2">
        <v>20</v>
      </c>
      <c r="C40" t="s">
        <v>6</v>
      </c>
      <c r="D40" s="6">
        <f>Housing_type_original!C40/SUM(Housing_type_original!$C40:$F40)</f>
        <v>0.40163934426229508</v>
      </c>
      <c r="E40" s="6">
        <f>Housing_type_original!D40/SUM(Housing_type_original!$C40:$F40)</f>
        <v>0.20081967213114754</v>
      </c>
      <c r="F40" s="6">
        <f>Housing_type_original!E40/SUM(Housing_type_original!$C40:$F40)</f>
        <v>0.1721311475409836</v>
      </c>
      <c r="G40" s="6">
        <f>Housing_type_original!F40/SUM(Housing_type_original!$C40:$F40)</f>
        <v>0.2254098360655738</v>
      </c>
    </row>
    <row r="41" spans="1:7" x14ac:dyDescent="0.25">
      <c r="A41" s="2">
        <v>2020</v>
      </c>
      <c r="B41" s="2">
        <v>20</v>
      </c>
      <c r="C41" t="s">
        <v>7</v>
      </c>
      <c r="D41" s="6">
        <f>Housing_type_original!C41/SUM(Housing_type_original!$C41:$F41)</f>
        <v>0.81412639405204457</v>
      </c>
      <c r="E41" s="6">
        <f>Housing_type_original!D41/SUM(Housing_type_original!$C41:$F41)</f>
        <v>7.434944237918216E-2</v>
      </c>
      <c r="F41" s="6">
        <f>Housing_type_original!E41/SUM(Housing_type_original!$C41:$F41)</f>
        <v>7.434944237918216E-2</v>
      </c>
      <c r="G41" s="6">
        <f>Housing_type_original!F41/SUM(Housing_type_original!$C41:$F41)</f>
        <v>3.717472118959108E-2</v>
      </c>
    </row>
    <row r="42" spans="1:7" x14ac:dyDescent="0.25">
      <c r="A42" s="2">
        <v>2020</v>
      </c>
      <c r="B42" s="2">
        <v>21</v>
      </c>
      <c r="C42" t="s">
        <v>6</v>
      </c>
      <c r="D42" s="6">
        <f>Housing_type_original!C42/SUM(Housing_type_original!$C42:$F42)</f>
        <v>0.40163934426229508</v>
      </c>
      <c r="E42" s="6">
        <f>Housing_type_original!D42/SUM(Housing_type_original!$C42:$F42)</f>
        <v>0.20081967213114754</v>
      </c>
      <c r="F42" s="6">
        <f>Housing_type_original!E42/SUM(Housing_type_original!$C42:$F42)</f>
        <v>0.1721311475409836</v>
      </c>
      <c r="G42" s="6">
        <f>Housing_type_original!F42/SUM(Housing_type_original!$C42:$F42)</f>
        <v>0.2254098360655738</v>
      </c>
    </row>
    <row r="43" spans="1:7" x14ac:dyDescent="0.25">
      <c r="A43" s="2">
        <v>2020</v>
      </c>
      <c r="B43" s="2">
        <v>21</v>
      </c>
      <c r="C43" t="s">
        <v>7</v>
      </c>
      <c r="D43" s="6">
        <f>Housing_type_original!C43/SUM(Housing_type_original!$C43:$F43)</f>
        <v>0.81412639405204457</v>
      </c>
      <c r="E43" s="6">
        <f>Housing_type_original!D43/SUM(Housing_type_original!$C43:$F43)</f>
        <v>7.434944237918216E-2</v>
      </c>
      <c r="F43" s="6">
        <f>Housing_type_original!E43/SUM(Housing_type_original!$C43:$F43)</f>
        <v>7.434944237918216E-2</v>
      </c>
      <c r="G43" s="6">
        <f>Housing_type_original!F43/SUM(Housing_type_original!$C43:$F43)</f>
        <v>3.717472118959108E-2</v>
      </c>
    </row>
    <row r="44" spans="1:7" x14ac:dyDescent="0.25">
      <c r="A44" s="2">
        <v>2020</v>
      </c>
      <c r="B44" s="2">
        <v>22</v>
      </c>
      <c r="C44" t="s">
        <v>6</v>
      </c>
      <c r="D44" s="6">
        <f>Housing_type_original!C44/SUM(Housing_type_original!$C44:$F44)</f>
        <v>0.40163934426229508</v>
      </c>
      <c r="E44" s="6">
        <f>Housing_type_original!D44/SUM(Housing_type_original!$C44:$F44)</f>
        <v>0.20081967213114754</v>
      </c>
      <c r="F44" s="6">
        <f>Housing_type_original!E44/SUM(Housing_type_original!$C44:$F44)</f>
        <v>0.1721311475409836</v>
      </c>
      <c r="G44" s="6">
        <f>Housing_type_original!F44/SUM(Housing_type_original!$C44:$F44)</f>
        <v>0.2254098360655738</v>
      </c>
    </row>
    <row r="45" spans="1:7" x14ac:dyDescent="0.25">
      <c r="A45" s="2">
        <v>2020</v>
      </c>
      <c r="B45" s="2">
        <v>22</v>
      </c>
      <c r="C45" t="s">
        <v>7</v>
      </c>
      <c r="D45" s="6">
        <f>Housing_type_original!C45/SUM(Housing_type_original!$C45:$F45)</f>
        <v>0.81412639405204457</v>
      </c>
      <c r="E45" s="6">
        <f>Housing_type_original!D45/SUM(Housing_type_original!$C45:$F45)</f>
        <v>7.434944237918216E-2</v>
      </c>
      <c r="F45" s="6">
        <f>Housing_type_original!E45/SUM(Housing_type_original!$C45:$F45)</f>
        <v>7.434944237918216E-2</v>
      </c>
      <c r="G45" s="6">
        <f>Housing_type_original!F45/SUM(Housing_type_original!$C45:$F45)</f>
        <v>3.717472118959108E-2</v>
      </c>
    </row>
    <row r="46" spans="1:7" x14ac:dyDescent="0.25">
      <c r="A46" s="2">
        <v>2020</v>
      </c>
      <c r="B46" s="2">
        <v>23</v>
      </c>
      <c r="C46" t="s">
        <v>6</v>
      </c>
      <c r="D46" s="6">
        <f>Housing_type_original!C46/SUM(Housing_type_original!$C46:$F46)</f>
        <v>0.53846153846153844</v>
      </c>
      <c r="E46" s="6">
        <f>Housing_type_original!D46/SUM(Housing_type_original!$C46:$F46)</f>
        <v>1.741654571843251E-2</v>
      </c>
      <c r="F46" s="6">
        <f>Housing_type_original!E46/SUM(Housing_type_original!$C46:$F46)</f>
        <v>0.25689404934687948</v>
      </c>
      <c r="G46" s="6">
        <f>Housing_type_original!F46/SUM(Housing_type_original!$C46:$F46)</f>
        <v>0.18722786647314948</v>
      </c>
    </row>
    <row r="47" spans="1:7" x14ac:dyDescent="0.25">
      <c r="A47" s="2">
        <v>2020</v>
      </c>
      <c r="B47" s="2">
        <v>23</v>
      </c>
      <c r="C47" t="s">
        <v>7</v>
      </c>
      <c r="D47" s="6">
        <f>Housing_type_original!C47/SUM(Housing_type_original!$C47:$F47)</f>
        <v>0.88424437299035363</v>
      </c>
      <c r="E47" s="6">
        <f>Housing_type_original!D47/SUM(Housing_type_original!$C47:$F47)</f>
        <v>1.607717041800643E-2</v>
      </c>
      <c r="F47" s="6">
        <f>Housing_type_original!E47/SUM(Housing_type_original!$C47:$F47)</f>
        <v>9.0032154340836001E-2</v>
      </c>
      <c r="G47" s="6">
        <f>Housing_type_original!F47/SUM(Housing_type_original!$C47:$F47)</f>
        <v>9.6463022508038575E-3</v>
      </c>
    </row>
    <row r="48" spans="1:7" x14ac:dyDescent="0.25">
      <c r="A48" s="2">
        <v>2020</v>
      </c>
      <c r="B48" s="2">
        <v>24</v>
      </c>
      <c r="C48" t="s">
        <v>6</v>
      </c>
      <c r="D48" s="6">
        <f>Housing_type_original!C48/SUM(Housing_type_original!$C48:$F48)</f>
        <v>0.26040428061831156</v>
      </c>
      <c r="E48" s="6">
        <f>Housing_type_original!D48/SUM(Housing_type_original!$C48:$F48)</f>
        <v>0.479191438763377</v>
      </c>
      <c r="F48" s="6">
        <f>Housing_type_original!E48/SUM(Housing_type_original!$C48:$F48)</f>
        <v>0.19024970273483949</v>
      </c>
      <c r="G48" s="6">
        <f>Housing_type_original!F48/SUM(Housing_type_original!$C48:$F48)</f>
        <v>7.0154577883472055E-2</v>
      </c>
    </row>
    <row r="49" spans="1:7" x14ac:dyDescent="0.25">
      <c r="A49" s="2">
        <v>2020</v>
      </c>
      <c r="B49" s="2">
        <v>24</v>
      </c>
      <c r="C49" t="s">
        <v>7</v>
      </c>
      <c r="D49" s="6">
        <f>Housing_type_original!C49/SUM(Housing_type_original!$C49:$F49)</f>
        <v>0.90624999999999989</v>
      </c>
      <c r="E49" s="6">
        <f>Housing_type_original!D49/SUM(Housing_type_original!$C49:$F49)</f>
        <v>0.05</v>
      </c>
      <c r="F49" s="6">
        <f>Housing_type_original!E49/SUM(Housing_type_original!$C49:$F49)</f>
        <v>4.3749999999999997E-2</v>
      </c>
      <c r="G49" s="6">
        <f>Housing_type_original!F49/SUM(Housing_type_original!$C49:$F49)</f>
        <v>0</v>
      </c>
    </row>
    <row r="50" spans="1:7" x14ac:dyDescent="0.25">
      <c r="A50" s="2">
        <v>2020</v>
      </c>
      <c r="B50" s="2">
        <v>25</v>
      </c>
      <c r="C50" t="s">
        <v>6</v>
      </c>
      <c r="D50" s="6">
        <f>Housing_type_original!C50/SUM(Housing_type_original!$C50:$F50)</f>
        <v>0.40163934426229508</v>
      </c>
      <c r="E50" s="6">
        <f>Housing_type_original!D50/SUM(Housing_type_original!$C50:$F50)</f>
        <v>0.20081967213114754</v>
      </c>
      <c r="F50" s="6">
        <f>Housing_type_original!E50/SUM(Housing_type_original!$C50:$F50)</f>
        <v>0.1721311475409836</v>
      </c>
      <c r="G50" s="6">
        <f>Housing_type_original!F50/SUM(Housing_type_original!$C50:$F50)</f>
        <v>0.2254098360655738</v>
      </c>
    </row>
    <row r="51" spans="1:7" x14ac:dyDescent="0.25">
      <c r="A51" s="2">
        <v>2020</v>
      </c>
      <c r="B51" s="2">
        <v>25</v>
      </c>
      <c r="C51" t="s">
        <v>7</v>
      </c>
      <c r="D51" s="6">
        <f>Housing_type_original!C51/SUM(Housing_type_original!$C51:$F51)</f>
        <v>0.81412639405204457</v>
      </c>
      <c r="E51" s="6">
        <f>Housing_type_original!D51/SUM(Housing_type_original!$C51:$F51)</f>
        <v>7.434944237918216E-2</v>
      </c>
      <c r="F51" s="6">
        <f>Housing_type_original!E51/SUM(Housing_type_original!$C51:$F51)</f>
        <v>7.434944237918216E-2</v>
      </c>
      <c r="G51" s="6">
        <f>Housing_type_original!F51/SUM(Housing_type_original!$C51:$F51)</f>
        <v>3.717472118959108E-2</v>
      </c>
    </row>
    <row r="52" spans="1:7" x14ac:dyDescent="0.25">
      <c r="A52" s="2">
        <v>2020</v>
      </c>
      <c r="B52" s="2">
        <v>26</v>
      </c>
      <c r="C52" t="s">
        <v>6</v>
      </c>
      <c r="D52" s="6">
        <f>Housing_type_original!C52/SUM(Housing_type_original!$C52:$F52)</f>
        <v>0.40163934426229508</v>
      </c>
      <c r="E52" s="6">
        <f>Housing_type_original!D52/SUM(Housing_type_original!$C52:$F52)</f>
        <v>0.20081967213114754</v>
      </c>
      <c r="F52" s="6">
        <f>Housing_type_original!E52/SUM(Housing_type_original!$C52:$F52)</f>
        <v>0.1721311475409836</v>
      </c>
      <c r="G52" s="6">
        <f>Housing_type_original!F52/SUM(Housing_type_original!$C52:$F52)</f>
        <v>0.2254098360655738</v>
      </c>
    </row>
    <row r="53" spans="1:7" x14ac:dyDescent="0.25">
      <c r="A53" s="2">
        <v>2020</v>
      </c>
      <c r="B53" s="2">
        <v>26</v>
      </c>
      <c r="C53" t="s">
        <v>7</v>
      </c>
      <c r="D53" s="6">
        <f>Housing_type_original!C53/SUM(Housing_type_original!$C53:$F53)</f>
        <v>0.81412639405204457</v>
      </c>
      <c r="E53" s="6">
        <f>Housing_type_original!D53/SUM(Housing_type_original!$C53:$F53)</f>
        <v>7.434944237918216E-2</v>
      </c>
      <c r="F53" s="6">
        <f>Housing_type_original!E53/SUM(Housing_type_original!$C53:$F53)</f>
        <v>7.434944237918216E-2</v>
      </c>
      <c r="G53" s="6">
        <f>Housing_type_original!F53/SUM(Housing_type_original!$C53:$F53)</f>
        <v>3.717472118959108E-2</v>
      </c>
    </row>
    <row r="54" spans="1:7" x14ac:dyDescent="0.25">
      <c r="A54" s="2">
        <v>2050</v>
      </c>
      <c r="B54" s="2">
        <v>1</v>
      </c>
      <c r="C54" t="s">
        <v>6</v>
      </c>
      <c r="D54" s="7">
        <f>VLOOKUP($B54,'Fishman 2021'!$Q$3:$T$28,2,FALSE)*(D2/SUM($D2:$E2))</f>
        <v>0.3666666666666667</v>
      </c>
      <c r="E54" s="7">
        <f>VLOOKUP($B54,'Fishman 2021'!$Q$3:$T$28,2,FALSE)*(E2/SUM($D2:$E2))</f>
        <v>0.18333333333333335</v>
      </c>
      <c r="F54" s="7">
        <f>(VLOOKUP($B54,'Fishman 2021'!$Q$3:$T$28,3,FALSE)+VLOOKUP($B54,'Fishman 2021'!$Q$3:$T$28,4,FALSE))*0.5</f>
        <v>0.22500000000000001</v>
      </c>
      <c r="G54" s="7">
        <f>(VLOOKUP($B54,'Fishman 2021'!$Q$3:$T$28,3,FALSE)+VLOOKUP($B54,'Fishman 2021'!$Q$3:$T$28,4,FALSE))*0.5</f>
        <v>0.22500000000000001</v>
      </c>
    </row>
    <row r="55" spans="1:7" x14ac:dyDescent="0.25">
      <c r="A55" s="2">
        <v>2050</v>
      </c>
      <c r="B55" s="2">
        <v>1</v>
      </c>
      <c r="C55" t="s">
        <v>7</v>
      </c>
      <c r="D55" s="6">
        <f t="shared" ref="D55:G69" si="0">D3</f>
        <v>0.81412639405204457</v>
      </c>
      <c r="E55" s="6">
        <f t="shared" si="0"/>
        <v>7.434944237918216E-2</v>
      </c>
      <c r="F55" s="6">
        <f t="shared" si="0"/>
        <v>7.434944237918216E-2</v>
      </c>
      <c r="G55" s="6">
        <f t="shared" si="0"/>
        <v>3.717472118959108E-2</v>
      </c>
    </row>
    <row r="56" spans="1:7" x14ac:dyDescent="0.25">
      <c r="A56" s="2">
        <v>2050</v>
      </c>
      <c r="B56" s="2">
        <v>2</v>
      </c>
      <c r="C56" t="s">
        <v>6</v>
      </c>
      <c r="D56" s="7">
        <f>VLOOKUP($B56,'Fishman 2021'!$Q$3:$T$28,2,FALSE)*(D4/SUM($D4:$E4))</f>
        <v>0.49631849315068499</v>
      </c>
      <c r="E56" s="7">
        <f>VLOOKUP($B56,'Fishman 2021'!$Q$3:$T$28,2,FALSE)*(E4/SUM($D4:$E4))</f>
        <v>5.3681506849315073E-2</v>
      </c>
      <c r="F56" s="7">
        <f>(VLOOKUP($B56,'Fishman 2021'!$Q$3:$T$28,3,FALSE)+VLOOKUP($B56,'Fishman 2021'!$Q$3:$T$28,4,FALSE))*0.5</f>
        <v>0.22500000000000001</v>
      </c>
      <c r="G56" s="7">
        <f>(VLOOKUP($B56,'Fishman 2021'!$Q$3:$T$28,3,FALSE)+VLOOKUP($B56,'Fishman 2021'!$Q$3:$T$28,4,FALSE))*0.5</f>
        <v>0.22500000000000001</v>
      </c>
    </row>
    <row r="57" spans="1:7" x14ac:dyDescent="0.25">
      <c r="A57" s="2">
        <v>2050</v>
      </c>
      <c r="B57" s="2">
        <v>2</v>
      </c>
      <c r="C57" t="s">
        <v>7</v>
      </c>
      <c r="D57" s="6">
        <f t="shared" si="0"/>
        <v>0.9565217391304347</v>
      </c>
      <c r="E57" s="6">
        <f t="shared" si="0"/>
        <v>1.4492753623188404E-2</v>
      </c>
      <c r="F57" s="6">
        <f t="shared" si="0"/>
        <v>2.4154589371980676E-2</v>
      </c>
      <c r="G57" s="6">
        <f t="shared" si="0"/>
        <v>4.830917874396135E-3</v>
      </c>
    </row>
    <row r="58" spans="1:7" x14ac:dyDescent="0.25">
      <c r="A58" s="2">
        <v>2050</v>
      </c>
      <c r="B58" s="2">
        <v>3</v>
      </c>
      <c r="C58" t="s">
        <v>6</v>
      </c>
      <c r="D58" s="7">
        <f>VLOOKUP($B58,'Fishman 2021'!$Q$3:$T$28,2,FALSE)*(D6/SUM($D6:$E6))</f>
        <v>0.26666666666666666</v>
      </c>
      <c r="E58" s="7">
        <f>VLOOKUP($B58,'Fishman 2021'!$Q$3:$T$28,2,FALSE)*(E6/SUM($D6:$E6))</f>
        <v>0.13333333333333333</v>
      </c>
      <c r="F58" s="7">
        <f>(VLOOKUP($B58,'Fishman 2021'!$Q$3:$T$28,3,FALSE)+VLOOKUP($B58,'Fishman 2021'!$Q$3:$T$28,4,FALSE))*0.5</f>
        <v>0.3</v>
      </c>
      <c r="G58" s="7">
        <f>(VLOOKUP($B58,'Fishman 2021'!$Q$3:$T$28,3,FALSE)+VLOOKUP($B58,'Fishman 2021'!$Q$3:$T$28,4,FALSE))*0.5</f>
        <v>0.3</v>
      </c>
    </row>
    <row r="59" spans="1:7" x14ac:dyDescent="0.25">
      <c r="A59" s="2">
        <v>2050</v>
      </c>
      <c r="B59" s="2">
        <v>3</v>
      </c>
      <c r="C59" t="s">
        <v>7</v>
      </c>
      <c r="D59" s="6">
        <f t="shared" si="0"/>
        <v>0.81412639405204457</v>
      </c>
      <c r="E59" s="6">
        <f t="shared" si="0"/>
        <v>7.434944237918216E-2</v>
      </c>
      <c r="F59" s="6">
        <f t="shared" si="0"/>
        <v>7.434944237918216E-2</v>
      </c>
      <c r="G59" s="6">
        <f t="shared" si="0"/>
        <v>3.717472118959108E-2</v>
      </c>
    </row>
    <row r="60" spans="1:7" x14ac:dyDescent="0.25">
      <c r="A60" s="2">
        <v>2050</v>
      </c>
      <c r="B60" s="2">
        <v>4</v>
      </c>
      <c r="C60" t="s">
        <v>6</v>
      </c>
      <c r="D60" s="7">
        <f>VLOOKUP($B60,'Fishman 2021'!$Q$3:$T$28,2,FALSE)*(D8/SUM($D8:$E8))</f>
        <v>0.26666666666666666</v>
      </c>
      <c r="E60" s="7">
        <f>VLOOKUP($B60,'Fishman 2021'!$Q$3:$T$28,2,FALSE)*(E8/SUM($D8:$E8))</f>
        <v>0.13333333333333333</v>
      </c>
      <c r="F60" s="7">
        <f>(VLOOKUP($B60,'Fishman 2021'!$Q$3:$T$28,3,FALSE)+VLOOKUP($B60,'Fishman 2021'!$Q$3:$T$28,4,FALSE))*0.5</f>
        <v>0.3</v>
      </c>
      <c r="G60" s="7">
        <f>(VLOOKUP($B60,'Fishman 2021'!$Q$3:$T$28,3,FALSE)+VLOOKUP($B60,'Fishman 2021'!$Q$3:$T$28,4,FALSE))*0.5</f>
        <v>0.3</v>
      </c>
    </row>
    <row r="61" spans="1:7" x14ac:dyDescent="0.25">
      <c r="A61" s="2">
        <v>2050</v>
      </c>
      <c r="B61" s="2">
        <v>4</v>
      </c>
      <c r="C61" t="s">
        <v>7</v>
      </c>
      <c r="D61" s="6">
        <f t="shared" si="0"/>
        <v>0.81412639405204457</v>
      </c>
      <c r="E61" s="6">
        <f t="shared" si="0"/>
        <v>7.434944237918216E-2</v>
      </c>
      <c r="F61" s="6">
        <f t="shared" si="0"/>
        <v>7.434944237918216E-2</v>
      </c>
      <c r="G61" s="6">
        <f t="shared" si="0"/>
        <v>3.717472118959108E-2</v>
      </c>
    </row>
    <row r="62" spans="1:7" x14ac:dyDescent="0.25">
      <c r="A62" s="2">
        <v>2050</v>
      </c>
      <c r="B62" s="2">
        <v>5</v>
      </c>
      <c r="C62" t="s">
        <v>6</v>
      </c>
      <c r="D62" s="7">
        <f>VLOOKUP($B62,'Fishman 2021'!$Q$3:$T$28,2,FALSE)*(D10/SUM($D10:$E10))</f>
        <v>0.26666666666666666</v>
      </c>
      <c r="E62" s="7">
        <f>VLOOKUP($B62,'Fishman 2021'!$Q$3:$T$28,2,FALSE)*(E10/SUM($D10:$E10))</f>
        <v>0.13333333333333333</v>
      </c>
      <c r="F62" s="7">
        <f>(VLOOKUP($B62,'Fishman 2021'!$Q$3:$T$28,3,FALSE)+VLOOKUP($B62,'Fishman 2021'!$Q$3:$T$28,4,FALSE))*0.5</f>
        <v>0.3</v>
      </c>
      <c r="G62" s="7">
        <f>(VLOOKUP($B62,'Fishman 2021'!$Q$3:$T$28,3,FALSE)+VLOOKUP($B62,'Fishman 2021'!$Q$3:$T$28,4,FALSE))*0.5</f>
        <v>0.3</v>
      </c>
    </row>
    <row r="63" spans="1:7" x14ac:dyDescent="0.25">
      <c r="A63" s="2">
        <v>2050</v>
      </c>
      <c r="B63" s="2">
        <v>5</v>
      </c>
      <c r="C63" t="s">
        <v>7</v>
      </c>
      <c r="D63" s="6">
        <f t="shared" si="0"/>
        <v>0.81412639405204457</v>
      </c>
      <c r="E63" s="6">
        <f t="shared" si="0"/>
        <v>7.434944237918216E-2</v>
      </c>
      <c r="F63" s="6">
        <f t="shared" si="0"/>
        <v>7.434944237918216E-2</v>
      </c>
      <c r="G63" s="6">
        <f t="shared" si="0"/>
        <v>3.717472118959108E-2</v>
      </c>
    </row>
    <row r="64" spans="1:7" x14ac:dyDescent="0.25">
      <c r="A64" s="2">
        <v>2050</v>
      </c>
      <c r="B64" s="2">
        <v>6</v>
      </c>
      <c r="C64" t="s">
        <v>6</v>
      </c>
      <c r="D64" s="7">
        <f>VLOOKUP($B64,'Fishman 2021'!$Q$3:$T$28,2,FALSE)*(D12/SUM($D12:$E12))</f>
        <v>0.26666666666666666</v>
      </c>
      <c r="E64" s="7">
        <f>VLOOKUP($B64,'Fishman 2021'!$Q$3:$T$28,2,FALSE)*(E12/SUM($D12:$E12))</f>
        <v>0.13333333333333333</v>
      </c>
      <c r="F64" s="7">
        <f>(VLOOKUP($B64,'Fishman 2021'!$Q$3:$T$28,3,FALSE)+VLOOKUP($B64,'Fishman 2021'!$Q$3:$T$28,4,FALSE))*0.5</f>
        <v>0.3</v>
      </c>
      <c r="G64" s="7">
        <f>(VLOOKUP($B64,'Fishman 2021'!$Q$3:$T$28,3,FALSE)+VLOOKUP($B64,'Fishman 2021'!$Q$3:$T$28,4,FALSE))*0.5</f>
        <v>0.3</v>
      </c>
    </row>
    <row r="65" spans="1:7" x14ac:dyDescent="0.25">
      <c r="A65" s="2">
        <v>2050</v>
      </c>
      <c r="B65" s="2">
        <v>6</v>
      </c>
      <c r="C65" t="s">
        <v>7</v>
      </c>
      <c r="D65" s="6">
        <f t="shared" si="0"/>
        <v>0.81412639405204457</v>
      </c>
      <c r="E65" s="6">
        <f t="shared" si="0"/>
        <v>7.434944237918216E-2</v>
      </c>
      <c r="F65" s="6">
        <f t="shared" si="0"/>
        <v>7.434944237918216E-2</v>
      </c>
      <c r="G65" s="6">
        <f t="shared" si="0"/>
        <v>3.717472118959108E-2</v>
      </c>
    </row>
    <row r="66" spans="1:7" x14ac:dyDescent="0.25">
      <c r="A66" s="2">
        <v>2050</v>
      </c>
      <c r="B66" s="2">
        <v>7</v>
      </c>
      <c r="C66" t="s">
        <v>6</v>
      </c>
      <c r="D66" s="7">
        <f>VLOOKUP($B66,'Fishman 2021'!$Q$3:$T$28,2,FALSE)*(D14/SUM($D14:$E14))</f>
        <v>0.26666666666666666</v>
      </c>
      <c r="E66" s="7">
        <f>VLOOKUP($B66,'Fishman 2021'!$Q$3:$T$28,2,FALSE)*(E14/SUM($D14:$E14))</f>
        <v>0.13333333333333333</v>
      </c>
      <c r="F66" s="7">
        <f>(VLOOKUP($B66,'Fishman 2021'!$Q$3:$T$28,3,FALSE)+VLOOKUP($B66,'Fishman 2021'!$Q$3:$T$28,4,FALSE))*0.5</f>
        <v>0.3</v>
      </c>
      <c r="G66" s="7">
        <f>(VLOOKUP($B66,'Fishman 2021'!$Q$3:$T$28,3,FALSE)+VLOOKUP($B66,'Fishman 2021'!$Q$3:$T$28,4,FALSE))*0.5</f>
        <v>0.3</v>
      </c>
    </row>
    <row r="67" spans="1:7" x14ac:dyDescent="0.25">
      <c r="A67" s="2">
        <v>2050</v>
      </c>
      <c r="B67" s="2">
        <v>7</v>
      </c>
      <c r="C67" t="s">
        <v>7</v>
      </c>
      <c r="D67" s="6">
        <f t="shared" si="0"/>
        <v>0.81412639405204457</v>
      </c>
      <c r="E67" s="6">
        <f t="shared" si="0"/>
        <v>7.434944237918216E-2</v>
      </c>
      <c r="F67" s="6">
        <f t="shared" si="0"/>
        <v>7.434944237918216E-2</v>
      </c>
      <c r="G67" s="6">
        <f t="shared" si="0"/>
        <v>3.717472118959108E-2</v>
      </c>
    </row>
    <row r="68" spans="1:7" x14ac:dyDescent="0.25">
      <c r="A68" s="2">
        <v>2050</v>
      </c>
      <c r="B68" s="2">
        <v>8</v>
      </c>
      <c r="C68" t="s">
        <v>6</v>
      </c>
      <c r="D68" s="7">
        <f>VLOOKUP($B68,'Fishman 2021'!$Q$3:$T$28,2,FALSE)*(D16/SUM($D16:$E16))</f>
        <v>0.26666666666666666</v>
      </c>
      <c r="E68" s="7">
        <f>VLOOKUP($B68,'Fishman 2021'!$Q$3:$T$28,2,FALSE)*(E16/SUM($D16:$E16))</f>
        <v>0.13333333333333333</v>
      </c>
      <c r="F68" s="7">
        <f>(VLOOKUP($B68,'Fishman 2021'!$Q$3:$T$28,3,FALSE)+VLOOKUP($B68,'Fishman 2021'!$Q$3:$T$28,4,FALSE))*0.5</f>
        <v>0.3</v>
      </c>
      <c r="G68" s="7">
        <f>(VLOOKUP($B68,'Fishman 2021'!$Q$3:$T$28,3,FALSE)+VLOOKUP($B68,'Fishman 2021'!$Q$3:$T$28,4,FALSE))*0.5</f>
        <v>0.3</v>
      </c>
    </row>
    <row r="69" spans="1:7" x14ac:dyDescent="0.25">
      <c r="A69" s="2">
        <v>2050</v>
      </c>
      <c r="B69" s="2">
        <v>8</v>
      </c>
      <c r="C69" t="s">
        <v>7</v>
      </c>
      <c r="D69" s="6">
        <f t="shared" si="0"/>
        <v>0.81412639405204457</v>
      </c>
      <c r="E69" s="6">
        <f t="shared" si="0"/>
        <v>7.434944237918216E-2</v>
      </c>
      <c r="F69" s="6">
        <f t="shared" si="0"/>
        <v>7.434944237918216E-2</v>
      </c>
      <c r="G69" s="6">
        <f t="shared" si="0"/>
        <v>3.717472118959108E-2</v>
      </c>
    </row>
    <row r="70" spans="1:7" x14ac:dyDescent="0.25">
      <c r="A70" s="2">
        <v>2050</v>
      </c>
      <c r="B70" s="2">
        <v>9</v>
      </c>
      <c r="C70" t="s">
        <v>6</v>
      </c>
      <c r="D70" s="7">
        <f>VLOOKUP($B70,'Fishman 2021'!$Q$3:$T$28,2,FALSE)*(D18/SUM($D18:$E18))</f>
        <v>0.26666666666666666</v>
      </c>
      <c r="E70" s="7">
        <f>VLOOKUP($B70,'Fishman 2021'!$Q$3:$T$28,2,FALSE)*(E18/SUM($D18:$E18))</f>
        <v>0.13333333333333333</v>
      </c>
      <c r="F70" s="7">
        <f>(VLOOKUP($B70,'Fishman 2021'!$Q$3:$T$28,3,FALSE)+VLOOKUP($B70,'Fishman 2021'!$Q$3:$T$28,4,FALSE))*0.5</f>
        <v>0.3</v>
      </c>
      <c r="G70" s="7">
        <f>(VLOOKUP($B70,'Fishman 2021'!$Q$3:$T$28,3,FALSE)+VLOOKUP($B70,'Fishman 2021'!$Q$3:$T$28,4,FALSE))*0.5</f>
        <v>0.3</v>
      </c>
    </row>
    <row r="71" spans="1:7" x14ac:dyDescent="0.25">
      <c r="A71" s="2">
        <v>2050</v>
      </c>
      <c r="B71" s="2">
        <v>9</v>
      </c>
      <c r="C71" t="s">
        <v>7</v>
      </c>
      <c r="D71" s="6">
        <f t="shared" ref="D71:G85" si="1">D19</f>
        <v>0.81412639405204457</v>
      </c>
      <c r="E71" s="6">
        <f t="shared" si="1"/>
        <v>7.434944237918216E-2</v>
      </c>
      <c r="F71" s="6">
        <f t="shared" si="1"/>
        <v>7.434944237918216E-2</v>
      </c>
      <c r="G71" s="6">
        <f t="shared" si="1"/>
        <v>3.717472118959108E-2</v>
      </c>
    </row>
    <row r="72" spans="1:7" x14ac:dyDescent="0.25">
      <c r="A72" s="2">
        <v>2050</v>
      </c>
      <c r="B72" s="2">
        <v>10</v>
      </c>
      <c r="C72" t="s">
        <v>6</v>
      </c>
      <c r="D72" s="7">
        <f>VLOOKUP($B72,'Fishman 2021'!$Q$3:$T$28,2,FALSE)*(D20/SUM($D20:$E20))</f>
        <v>0.26666666666666666</v>
      </c>
      <c r="E72" s="7">
        <f>VLOOKUP($B72,'Fishman 2021'!$Q$3:$T$28,2,FALSE)*(E20/SUM($D20:$E20))</f>
        <v>0.13333333333333333</v>
      </c>
      <c r="F72" s="7">
        <f>(VLOOKUP($B72,'Fishman 2021'!$Q$3:$T$28,3,FALSE)+VLOOKUP($B72,'Fishman 2021'!$Q$3:$T$28,4,FALSE))*0.5</f>
        <v>0.3</v>
      </c>
      <c r="G72" s="7">
        <f>(VLOOKUP($B72,'Fishman 2021'!$Q$3:$T$28,3,FALSE)+VLOOKUP($B72,'Fishman 2021'!$Q$3:$T$28,4,FALSE))*0.5</f>
        <v>0.3</v>
      </c>
    </row>
    <row r="73" spans="1:7" x14ac:dyDescent="0.25">
      <c r="A73" s="2">
        <v>2050</v>
      </c>
      <c r="B73" s="2">
        <v>10</v>
      </c>
      <c r="C73" t="s">
        <v>7</v>
      </c>
      <c r="D73" s="6">
        <f t="shared" si="1"/>
        <v>0.81412639405204457</v>
      </c>
      <c r="E73" s="6">
        <f t="shared" si="1"/>
        <v>7.434944237918216E-2</v>
      </c>
      <c r="F73" s="6">
        <f t="shared" si="1"/>
        <v>7.434944237918216E-2</v>
      </c>
      <c r="G73" s="6">
        <f t="shared" si="1"/>
        <v>3.717472118959108E-2</v>
      </c>
    </row>
    <row r="74" spans="1:7" x14ac:dyDescent="0.25">
      <c r="A74" s="2">
        <v>2050</v>
      </c>
      <c r="B74" s="2">
        <v>11</v>
      </c>
      <c r="C74" t="s">
        <v>6</v>
      </c>
      <c r="D74" s="7">
        <f>VLOOKUP($B74,'Fishman 2021'!$Q$3:$T$28,2,FALSE)*(D22/SUM($D22:$E22))</f>
        <v>0.12833769633507855</v>
      </c>
      <c r="E74" s="7">
        <f>VLOOKUP($B74,'Fishman 2021'!$Q$3:$T$28,2,FALSE)*(E22/SUM($D22:$E22))</f>
        <v>0.1799956369982548</v>
      </c>
      <c r="F74" s="7">
        <f>(VLOOKUP($B74,'Fishman 2021'!$Q$3:$T$28,3,FALSE)+VLOOKUP($B74,'Fishman 2021'!$Q$3:$T$28,4,FALSE))*0.5</f>
        <v>0.34583333333333333</v>
      </c>
      <c r="G74" s="7">
        <f>(VLOOKUP($B74,'Fishman 2021'!$Q$3:$T$28,3,FALSE)+VLOOKUP($B74,'Fishman 2021'!$Q$3:$T$28,4,FALSE))*0.5</f>
        <v>0.34583333333333333</v>
      </c>
    </row>
    <row r="75" spans="1:7" x14ac:dyDescent="0.25">
      <c r="A75" s="2">
        <v>2050</v>
      </c>
      <c r="B75" s="2">
        <v>11</v>
      </c>
      <c r="C75" t="s">
        <v>7</v>
      </c>
      <c r="D75" s="6">
        <f t="shared" si="1"/>
        <v>0.55284552845528456</v>
      </c>
      <c r="E75" s="6">
        <f t="shared" si="1"/>
        <v>0.24796747967479671</v>
      </c>
      <c r="F75" s="6">
        <f t="shared" si="1"/>
        <v>0.14634146341463411</v>
      </c>
      <c r="G75" s="6">
        <f t="shared" si="1"/>
        <v>5.2845528455284542E-2</v>
      </c>
    </row>
    <row r="76" spans="1:7" x14ac:dyDescent="0.25">
      <c r="A76" s="2">
        <v>2050</v>
      </c>
      <c r="B76" s="2">
        <v>12</v>
      </c>
      <c r="C76" t="s">
        <v>6</v>
      </c>
      <c r="D76" s="7">
        <f>VLOOKUP($B76,'Fishman 2021'!$Q$3:$T$28,2,FALSE)*(D24/SUM($D24:$E24))</f>
        <v>0.25086206896551727</v>
      </c>
      <c r="E76" s="7">
        <f>VLOOKUP($B76,'Fishman 2021'!$Q$3:$T$28,2,FALSE)*(E24/SUM($D24:$E24))</f>
        <v>4.9137931034482753E-2</v>
      </c>
      <c r="F76" s="7">
        <f>(VLOOKUP($B76,'Fishman 2021'!$Q$3:$T$28,3,FALSE)+VLOOKUP($B76,'Fishman 2021'!$Q$3:$T$28,4,FALSE))*0.5</f>
        <v>0.35</v>
      </c>
      <c r="G76" s="7">
        <f>(VLOOKUP($B76,'Fishman 2021'!$Q$3:$T$28,3,FALSE)+VLOOKUP($B76,'Fishman 2021'!$Q$3:$T$28,4,FALSE))*0.5</f>
        <v>0.35</v>
      </c>
    </row>
    <row r="77" spans="1:7" x14ac:dyDescent="0.25">
      <c r="A77" s="2">
        <v>2050</v>
      </c>
      <c r="B77" s="2">
        <v>12</v>
      </c>
      <c r="C77" t="s">
        <v>7</v>
      </c>
      <c r="D77" s="6">
        <f t="shared" si="1"/>
        <v>0.81818181818181812</v>
      </c>
      <c r="E77" s="6">
        <f t="shared" si="1"/>
        <v>5.7416267942583726E-2</v>
      </c>
      <c r="F77" s="6">
        <f t="shared" si="1"/>
        <v>5.0239234449760764E-2</v>
      </c>
      <c r="G77" s="6">
        <f t="shared" si="1"/>
        <v>7.4162679425837319E-2</v>
      </c>
    </row>
    <row r="78" spans="1:7" x14ac:dyDescent="0.25">
      <c r="A78" s="2">
        <v>2050</v>
      </c>
      <c r="B78" s="2">
        <v>13</v>
      </c>
      <c r="C78" t="s">
        <v>6</v>
      </c>
      <c r="D78" s="7">
        <f>VLOOKUP($B78,'Fishman 2021'!$Q$3:$T$28,2,FALSE)*(D26/SUM($D26:$E26))</f>
        <v>0.26666666666666666</v>
      </c>
      <c r="E78" s="7">
        <f>VLOOKUP($B78,'Fishman 2021'!$Q$3:$T$28,2,FALSE)*(E26/SUM($D26:$E26))</f>
        <v>0.13333333333333333</v>
      </c>
      <c r="F78" s="7">
        <f>(VLOOKUP($B78,'Fishman 2021'!$Q$3:$T$28,3,FALSE)+VLOOKUP($B78,'Fishman 2021'!$Q$3:$T$28,4,FALSE))*0.5</f>
        <v>0.3</v>
      </c>
      <c r="G78" s="7">
        <f>(VLOOKUP($B78,'Fishman 2021'!$Q$3:$T$28,3,FALSE)+VLOOKUP($B78,'Fishman 2021'!$Q$3:$T$28,4,FALSE))*0.5</f>
        <v>0.3</v>
      </c>
    </row>
    <row r="79" spans="1:7" x14ac:dyDescent="0.25">
      <c r="A79" s="2">
        <v>2050</v>
      </c>
      <c r="B79" s="2">
        <v>13</v>
      </c>
      <c r="C79" t="s">
        <v>7</v>
      </c>
      <c r="D79" s="6">
        <f t="shared" si="1"/>
        <v>0.81412639405204457</v>
      </c>
      <c r="E79" s="6">
        <f t="shared" si="1"/>
        <v>7.434944237918216E-2</v>
      </c>
      <c r="F79" s="6">
        <f t="shared" si="1"/>
        <v>7.434944237918216E-2</v>
      </c>
      <c r="G79" s="6">
        <f t="shared" si="1"/>
        <v>3.717472118959108E-2</v>
      </c>
    </row>
    <row r="80" spans="1:7" x14ac:dyDescent="0.25">
      <c r="A80" s="2">
        <v>2050</v>
      </c>
      <c r="B80" s="2">
        <v>14</v>
      </c>
      <c r="C80" t="s">
        <v>6</v>
      </c>
      <c r="D80" s="7">
        <f>VLOOKUP($B80,'Fishman 2021'!$Q$3:$T$28,2,FALSE)*(D28/SUM($D28:$E28))</f>
        <v>0.26666666666666666</v>
      </c>
      <c r="E80" s="7">
        <f>VLOOKUP($B80,'Fishman 2021'!$Q$3:$T$28,2,FALSE)*(E28/SUM($D28:$E28))</f>
        <v>0.13333333333333333</v>
      </c>
      <c r="F80" s="7">
        <f>(VLOOKUP($B80,'Fishman 2021'!$Q$3:$T$28,3,FALSE)+VLOOKUP($B80,'Fishman 2021'!$Q$3:$T$28,4,FALSE))*0.5</f>
        <v>0.3</v>
      </c>
      <c r="G80" s="7">
        <f>(VLOOKUP($B80,'Fishman 2021'!$Q$3:$T$28,3,FALSE)+VLOOKUP($B80,'Fishman 2021'!$Q$3:$T$28,4,FALSE))*0.5</f>
        <v>0.3</v>
      </c>
    </row>
    <row r="81" spans="1:7" x14ac:dyDescent="0.25">
      <c r="A81" s="2">
        <v>2050</v>
      </c>
      <c r="B81" s="2">
        <v>14</v>
      </c>
      <c r="C81" t="s">
        <v>7</v>
      </c>
      <c r="D81" s="6">
        <f t="shared" si="1"/>
        <v>0.81412639405204457</v>
      </c>
      <c r="E81" s="6">
        <f t="shared" si="1"/>
        <v>7.434944237918216E-2</v>
      </c>
      <c r="F81" s="6">
        <f t="shared" si="1"/>
        <v>7.434944237918216E-2</v>
      </c>
      <c r="G81" s="6">
        <f t="shared" si="1"/>
        <v>3.717472118959108E-2</v>
      </c>
    </row>
    <row r="82" spans="1:7" x14ac:dyDescent="0.25">
      <c r="A82" s="2">
        <v>2050</v>
      </c>
      <c r="B82" s="2">
        <v>15</v>
      </c>
      <c r="C82" t="s">
        <v>6</v>
      </c>
      <c r="D82" s="7">
        <f>VLOOKUP($B82,'Fishman 2021'!$Q$3:$T$28,2,FALSE)*(D30/SUM($D30:$E30))</f>
        <v>0.26666666666666666</v>
      </c>
      <c r="E82" s="7">
        <f>VLOOKUP($B82,'Fishman 2021'!$Q$3:$T$28,2,FALSE)*(E30/SUM($D30:$E30))</f>
        <v>0.13333333333333333</v>
      </c>
      <c r="F82" s="7">
        <f>(VLOOKUP($B82,'Fishman 2021'!$Q$3:$T$28,3,FALSE)+VLOOKUP($B82,'Fishman 2021'!$Q$3:$T$28,4,FALSE))*0.5</f>
        <v>0.3</v>
      </c>
      <c r="G82" s="7">
        <f>(VLOOKUP($B82,'Fishman 2021'!$Q$3:$T$28,3,FALSE)+VLOOKUP($B82,'Fishman 2021'!$Q$3:$T$28,4,FALSE))*0.5</f>
        <v>0.3</v>
      </c>
    </row>
    <row r="83" spans="1:7" x14ac:dyDescent="0.25">
      <c r="A83" s="2">
        <v>2050</v>
      </c>
      <c r="B83" s="2">
        <v>15</v>
      </c>
      <c r="C83" t="s">
        <v>7</v>
      </c>
      <c r="D83" s="6">
        <f t="shared" si="1"/>
        <v>0.81412639405204457</v>
      </c>
      <c r="E83" s="6">
        <f t="shared" si="1"/>
        <v>7.434944237918216E-2</v>
      </c>
      <c r="F83" s="6">
        <f t="shared" si="1"/>
        <v>7.434944237918216E-2</v>
      </c>
      <c r="G83" s="6">
        <f t="shared" si="1"/>
        <v>3.717472118959108E-2</v>
      </c>
    </row>
    <row r="84" spans="1:7" x14ac:dyDescent="0.25">
      <c r="A84" s="2">
        <v>2050</v>
      </c>
      <c r="B84" s="2">
        <v>16</v>
      </c>
      <c r="C84" t="s">
        <v>6</v>
      </c>
      <c r="D84" s="7">
        <f>VLOOKUP($B84,'Fishman 2021'!$Q$3:$T$28,2,FALSE)*(D32/SUM($D32:$E32))</f>
        <v>0.26666666666666666</v>
      </c>
      <c r="E84" s="7">
        <f>VLOOKUP($B84,'Fishman 2021'!$Q$3:$T$28,2,FALSE)*(E32/SUM($D32:$E32))</f>
        <v>0.13333333333333333</v>
      </c>
      <c r="F84" s="7">
        <f>(VLOOKUP($B84,'Fishman 2021'!$Q$3:$T$28,3,FALSE)+VLOOKUP($B84,'Fishman 2021'!$Q$3:$T$28,4,FALSE))*0.5</f>
        <v>0.3</v>
      </c>
      <c r="G84" s="7">
        <f>(VLOOKUP($B84,'Fishman 2021'!$Q$3:$T$28,3,FALSE)+VLOOKUP($B84,'Fishman 2021'!$Q$3:$T$28,4,FALSE))*0.5</f>
        <v>0.3</v>
      </c>
    </row>
    <row r="85" spans="1:7" x14ac:dyDescent="0.25">
      <c r="A85" s="2">
        <v>2050</v>
      </c>
      <c r="B85" s="2">
        <v>16</v>
      </c>
      <c r="C85" t="s">
        <v>7</v>
      </c>
      <c r="D85" s="6">
        <f t="shared" si="1"/>
        <v>0.81412639405204457</v>
      </c>
      <c r="E85" s="6">
        <f t="shared" si="1"/>
        <v>7.434944237918216E-2</v>
      </c>
      <c r="F85" s="6">
        <f t="shared" si="1"/>
        <v>7.434944237918216E-2</v>
      </c>
      <c r="G85" s="6">
        <f t="shared" si="1"/>
        <v>3.717472118959108E-2</v>
      </c>
    </row>
    <row r="86" spans="1:7" x14ac:dyDescent="0.25">
      <c r="A86" s="2">
        <v>2050</v>
      </c>
      <c r="B86" s="2">
        <v>17</v>
      </c>
      <c r="C86" t="s">
        <v>6</v>
      </c>
      <c r="D86" s="7">
        <f>VLOOKUP($B86,'Fishman 2021'!$Q$3:$T$28,2,FALSE)*(D34/SUM($D34:$E34))</f>
        <v>0.26666666666666666</v>
      </c>
      <c r="E86" s="7">
        <f>VLOOKUP($B86,'Fishman 2021'!$Q$3:$T$28,2,FALSE)*(E34/SUM($D34:$E34))</f>
        <v>0.13333333333333333</v>
      </c>
      <c r="F86" s="7">
        <f>(VLOOKUP($B86,'Fishman 2021'!$Q$3:$T$28,3,FALSE)+VLOOKUP($B86,'Fishman 2021'!$Q$3:$T$28,4,FALSE))*0.5</f>
        <v>0.3</v>
      </c>
      <c r="G86" s="7">
        <f>(VLOOKUP($B86,'Fishman 2021'!$Q$3:$T$28,3,FALSE)+VLOOKUP($B86,'Fishman 2021'!$Q$3:$T$28,4,FALSE))*0.5</f>
        <v>0.3</v>
      </c>
    </row>
    <row r="87" spans="1:7" x14ac:dyDescent="0.25">
      <c r="A87" s="2">
        <v>2050</v>
      </c>
      <c r="B87" s="2">
        <v>17</v>
      </c>
      <c r="C87" t="s">
        <v>7</v>
      </c>
      <c r="D87" s="6">
        <f t="shared" ref="D87:G101" si="2">D35</f>
        <v>0.81412639405204457</v>
      </c>
      <c r="E87" s="6">
        <f t="shared" si="2"/>
        <v>7.434944237918216E-2</v>
      </c>
      <c r="F87" s="6">
        <f t="shared" si="2"/>
        <v>7.434944237918216E-2</v>
      </c>
      <c r="G87" s="6">
        <f t="shared" si="2"/>
        <v>3.717472118959108E-2</v>
      </c>
    </row>
    <row r="88" spans="1:7" x14ac:dyDescent="0.25">
      <c r="A88" s="2">
        <v>2050</v>
      </c>
      <c r="B88" s="2">
        <v>18</v>
      </c>
      <c r="C88" t="s">
        <v>6</v>
      </c>
      <c r="D88" s="7">
        <f>VLOOKUP($B88,'Fishman 2021'!$Q$3:$T$28,2,FALSE)*(D36/SUM($D36:$E36))</f>
        <v>0.26666666666666666</v>
      </c>
      <c r="E88" s="7">
        <f>VLOOKUP($B88,'Fishman 2021'!$Q$3:$T$28,2,FALSE)*(E36/SUM($D36:$E36))</f>
        <v>0.13333333333333333</v>
      </c>
      <c r="F88" s="7">
        <f>(VLOOKUP($B88,'Fishman 2021'!$Q$3:$T$28,3,FALSE)+VLOOKUP($B88,'Fishman 2021'!$Q$3:$T$28,4,FALSE))*0.5</f>
        <v>0.3</v>
      </c>
      <c r="G88" s="7">
        <f>(VLOOKUP($B88,'Fishman 2021'!$Q$3:$T$28,3,FALSE)+VLOOKUP($B88,'Fishman 2021'!$Q$3:$T$28,4,FALSE))*0.5</f>
        <v>0.3</v>
      </c>
    </row>
    <row r="89" spans="1:7" x14ac:dyDescent="0.25">
      <c r="A89" s="2">
        <v>2050</v>
      </c>
      <c r="B89" s="2">
        <v>18</v>
      </c>
      <c r="C89" t="s">
        <v>7</v>
      </c>
      <c r="D89" s="6">
        <f t="shared" si="2"/>
        <v>0.81412639405204457</v>
      </c>
      <c r="E89" s="6">
        <f t="shared" si="2"/>
        <v>7.434944237918216E-2</v>
      </c>
      <c r="F89" s="6">
        <f t="shared" si="2"/>
        <v>7.434944237918216E-2</v>
      </c>
      <c r="G89" s="6">
        <f t="shared" si="2"/>
        <v>3.717472118959108E-2</v>
      </c>
    </row>
    <row r="90" spans="1:7" x14ac:dyDescent="0.25">
      <c r="A90" s="2">
        <v>2050</v>
      </c>
      <c r="B90" s="2">
        <v>19</v>
      </c>
      <c r="C90" t="s">
        <v>6</v>
      </c>
      <c r="D90" s="7">
        <f>VLOOKUP($B90,'Fishman 2021'!$Q$3:$T$28,2,FALSE)*(D38/SUM($D38:$E38))</f>
        <v>0.26666666666666666</v>
      </c>
      <c r="E90" s="7">
        <f>VLOOKUP($B90,'Fishman 2021'!$Q$3:$T$28,2,FALSE)*(E38/SUM($D38:$E38))</f>
        <v>0.13333333333333333</v>
      </c>
      <c r="F90" s="7">
        <f>(VLOOKUP($B90,'Fishman 2021'!$Q$3:$T$28,3,FALSE)+VLOOKUP($B90,'Fishman 2021'!$Q$3:$T$28,4,FALSE))*0.5</f>
        <v>0.3</v>
      </c>
      <c r="G90" s="7">
        <f>(VLOOKUP($B90,'Fishman 2021'!$Q$3:$T$28,3,FALSE)+VLOOKUP($B90,'Fishman 2021'!$Q$3:$T$28,4,FALSE))*0.5</f>
        <v>0.3</v>
      </c>
    </row>
    <row r="91" spans="1:7" x14ac:dyDescent="0.25">
      <c r="A91" s="2">
        <v>2050</v>
      </c>
      <c r="B91" s="2">
        <v>19</v>
      </c>
      <c r="C91" t="s">
        <v>7</v>
      </c>
      <c r="D91" s="6">
        <f t="shared" si="2"/>
        <v>0.81412639405204457</v>
      </c>
      <c r="E91" s="6">
        <f t="shared" si="2"/>
        <v>7.434944237918216E-2</v>
      </c>
      <c r="F91" s="6">
        <f t="shared" si="2"/>
        <v>7.434944237918216E-2</v>
      </c>
      <c r="G91" s="6">
        <f t="shared" si="2"/>
        <v>3.717472118959108E-2</v>
      </c>
    </row>
    <row r="92" spans="1:7" x14ac:dyDescent="0.25">
      <c r="A92" s="2">
        <v>2050</v>
      </c>
      <c r="B92" s="2">
        <v>20</v>
      </c>
      <c r="C92" t="s">
        <v>6</v>
      </c>
      <c r="D92" s="7">
        <f>VLOOKUP($B92,'Fishman 2021'!$Q$3:$T$28,2,FALSE)*(D40/SUM($D40:$E40))</f>
        <v>0.26666666666666666</v>
      </c>
      <c r="E92" s="7">
        <f>VLOOKUP($B92,'Fishman 2021'!$Q$3:$T$28,2,FALSE)*(E40/SUM($D40:$E40))</f>
        <v>0.13333333333333333</v>
      </c>
      <c r="F92" s="7">
        <f>(VLOOKUP($B92,'Fishman 2021'!$Q$3:$T$28,3,FALSE)+VLOOKUP($B92,'Fishman 2021'!$Q$3:$T$28,4,FALSE))*0.5</f>
        <v>0.30000000000000004</v>
      </c>
      <c r="G92" s="7">
        <f>(VLOOKUP($B92,'Fishman 2021'!$Q$3:$T$28,3,FALSE)+VLOOKUP($B92,'Fishman 2021'!$Q$3:$T$28,4,FALSE))*0.5</f>
        <v>0.30000000000000004</v>
      </c>
    </row>
    <row r="93" spans="1:7" x14ac:dyDescent="0.25">
      <c r="A93" s="2">
        <v>2050</v>
      </c>
      <c r="B93" s="2">
        <v>20</v>
      </c>
      <c r="C93" t="s">
        <v>7</v>
      </c>
      <c r="D93" s="6">
        <f t="shared" si="2"/>
        <v>0.81412639405204457</v>
      </c>
      <c r="E93" s="6">
        <f t="shared" si="2"/>
        <v>7.434944237918216E-2</v>
      </c>
      <c r="F93" s="6">
        <f t="shared" si="2"/>
        <v>7.434944237918216E-2</v>
      </c>
      <c r="G93" s="6">
        <f t="shared" si="2"/>
        <v>3.717472118959108E-2</v>
      </c>
    </row>
    <row r="94" spans="1:7" x14ac:dyDescent="0.25">
      <c r="A94" s="2">
        <v>2050</v>
      </c>
      <c r="B94" s="2">
        <v>21</v>
      </c>
      <c r="C94" t="s">
        <v>6</v>
      </c>
      <c r="D94" s="7">
        <f>VLOOKUP($B94,'Fishman 2021'!$Q$3:$T$28,2,FALSE)*(D42/SUM($D42:$E42))</f>
        <v>0.26666666666666666</v>
      </c>
      <c r="E94" s="7">
        <f>VLOOKUP($B94,'Fishman 2021'!$Q$3:$T$28,2,FALSE)*(E42/SUM($D42:$E42))</f>
        <v>0.13333333333333333</v>
      </c>
      <c r="F94" s="7">
        <f>(VLOOKUP($B94,'Fishman 2021'!$Q$3:$T$28,3,FALSE)+VLOOKUP($B94,'Fishman 2021'!$Q$3:$T$28,4,FALSE))*0.5</f>
        <v>0.3</v>
      </c>
      <c r="G94" s="7">
        <f>(VLOOKUP($B94,'Fishman 2021'!$Q$3:$T$28,3,FALSE)+VLOOKUP($B94,'Fishman 2021'!$Q$3:$T$28,4,FALSE))*0.5</f>
        <v>0.3</v>
      </c>
    </row>
    <row r="95" spans="1:7" x14ac:dyDescent="0.25">
      <c r="A95" s="2">
        <v>2050</v>
      </c>
      <c r="B95" s="2">
        <v>21</v>
      </c>
      <c r="C95" t="s">
        <v>7</v>
      </c>
      <c r="D95" s="6">
        <f t="shared" si="2"/>
        <v>0.81412639405204457</v>
      </c>
      <c r="E95" s="6">
        <f t="shared" si="2"/>
        <v>7.434944237918216E-2</v>
      </c>
      <c r="F95" s="6">
        <f t="shared" si="2"/>
        <v>7.434944237918216E-2</v>
      </c>
      <c r="G95" s="6">
        <f t="shared" si="2"/>
        <v>3.717472118959108E-2</v>
      </c>
    </row>
    <row r="96" spans="1:7" x14ac:dyDescent="0.25">
      <c r="A96" s="2">
        <v>2050</v>
      </c>
      <c r="B96" s="2">
        <v>22</v>
      </c>
      <c r="C96" t="s">
        <v>6</v>
      </c>
      <c r="D96" s="7">
        <f>VLOOKUP($B96,'Fishman 2021'!$Q$3:$T$28,2,FALSE)*(D44/SUM($D44:$E44))</f>
        <v>0.26666666666666666</v>
      </c>
      <c r="E96" s="7">
        <f>VLOOKUP($B96,'Fishman 2021'!$Q$3:$T$28,2,FALSE)*(E44/SUM($D44:$E44))</f>
        <v>0.13333333333333333</v>
      </c>
      <c r="F96" s="7">
        <f>(VLOOKUP($B96,'Fishman 2021'!$Q$3:$T$28,3,FALSE)+VLOOKUP($B96,'Fishman 2021'!$Q$3:$T$28,4,FALSE))*0.5</f>
        <v>0.3</v>
      </c>
      <c r="G96" s="7">
        <f>(VLOOKUP($B96,'Fishman 2021'!$Q$3:$T$28,3,FALSE)+VLOOKUP($B96,'Fishman 2021'!$Q$3:$T$28,4,FALSE))*0.5</f>
        <v>0.3</v>
      </c>
    </row>
    <row r="97" spans="1:7" x14ac:dyDescent="0.25">
      <c r="A97" s="2">
        <v>2050</v>
      </c>
      <c r="B97" s="2">
        <v>22</v>
      </c>
      <c r="C97" t="s">
        <v>7</v>
      </c>
      <c r="D97" s="6">
        <f t="shared" si="2"/>
        <v>0.81412639405204457</v>
      </c>
      <c r="E97" s="6">
        <f t="shared" si="2"/>
        <v>7.434944237918216E-2</v>
      </c>
      <c r="F97" s="6">
        <f t="shared" si="2"/>
        <v>7.434944237918216E-2</v>
      </c>
      <c r="G97" s="6">
        <f t="shared" si="2"/>
        <v>3.717472118959108E-2</v>
      </c>
    </row>
    <row r="98" spans="1:7" x14ac:dyDescent="0.25">
      <c r="A98" s="2">
        <v>2050</v>
      </c>
      <c r="B98" s="2">
        <v>23</v>
      </c>
      <c r="C98" t="s">
        <v>6</v>
      </c>
      <c r="D98" s="7">
        <f>VLOOKUP($B98,'Fishman 2021'!$Q$3:$T$28,2,FALSE)*(D46/SUM($D46:$E46))</f>
        <v>0.48433420365535246</v>
      </c>
      <c r="E98" s="7">
        <f>VLOOKUP($B98,'Fishman 2021'!$Q$3:$T$28,2,FALSE)*(E46/SUM($D46:$E46))</f>
        <v>1.5665796344647518E-2</v>
      </c>
      <c r="F98" s="7">
        <f>(VLOOKUP($B98,'Fishman 2021'!$Q$3:$T$28,3,FALSE)+VLOOKUP($B98,'Fishman 2021'!$Q$3:$T$28,4,FALSE))*0.5</f>
        <v>0.25</v>
      </c>
      <c r="G98" s="7">
        <f>(VLOOKUP($B98,'Fishman 2021'!$Q$3:$T$28,3,FALSE)+VLOOKUP($B98,'Fishman 2021'!$Q$3:$T$28,4,FALSE))*0.5</f>
        <v>0.25</v>
      </c>
    </row>
    <row r="99" spans="1:7" x14ac:dyDescent="0.25">
      <c r="A99" s="2">
        <v>2050</v>
      </c>
      <c r="B99" s="2">
        <v>23</v>
      </c>
      <c r="C99" t="s">
        <v>7</v>
      </c>
      <c r="D99" s="6">
        <f t="shared" si="2"/>
        <v>0.88424437299035363</v>
      </c>
      <c r="E99" s="6">
        <f t="shared" si="2"/>
        <v>1.607717041800643E-2</v>
      </c>
      <c r="F99" s="6">
        <f t="shared" si="2"/>
        <v>9.0032154340836001E-2</v>
      </c>
      <c r="G99" s="6">
        <f t="shared" si="2"/>
        <v>9.6463022508038575E-3</v>
      </c>
    </row>
    <row r="100" spans="1:7" x14ac:dyDescent="0.25">
      <c r="A100" s="2">
        <v>2050</v>
      </c>
      <c r="B100" s="2">
        <v>24</v>
      </c>
      <c r="C100" t="s">
        <v>6</v>
      </c>
      <c r="D100" s="7">
        <f>VLOOKUP($B100,'Fishman 2021'!$Q$3:$T$28,2,FALSE)*(D48/SUM($D48:$E48))</f>
        <v>0.14083601286173633</v>
      </c>
      <c r="E100" s="7">
        <f>VLOOKUP($B100,'Fishman 2021'!$Q$3:$T$28,2,FALSE)*(E48/SUM($D48:$E48))</f>
        <v>0.25916398713826366</v>
      </c>
      <c r="F100" s="7">
        <f>(VLOOKUP($B100,'Fishman 2021'!$Q$3:$T$28,3,FALSE)+VLOOKUP($B100,'Fishman 2021'!$Q$3:$T$28,4,FALSE))*0.5</f>
        <v>0.3</v>
      </c>
      <c r="G100" s="7">
        <f>(VLOOKUP($B100,'Fishman 2021'!$Q$3:$T$28,3,FALSE)+VLOOKUP($B100,'Fishman 2021'!$Q$3:$T$28,4,FALSE))*0.5</f>
        <v>0.3</v>
      </c>
    </row>
    <row r="101" spans="1:7" x14ac:dyDescent="0.25">
      <c r="A101" s="2">
        <v>2050</v>
      </c>
      <c r="B101" s="2">
        <v>24</v>
      </c>
      <c r="C101" t="s">
        <v>7</v>
      </c>
      <c r="D101" s="6">
        <f t="shared" si="2"/>
        <v>0.90624999999999989</v>
      </c>
      <c r="E101" s="6">
        <f t="shared" si="2"/>
        <v>0.05</v>
      </c>
      <c r="F101" s="6">
        <f t="shared" si="2"/>
        <v>4.3749999999999997E-2</v>
      </c>
      <c r="G101" s="6">
        <f t="shared" si="2"/>
        <v>0</v>
      </c>
    </row>
    <row r="102" spans="1:7" x14ac:dyDescent="0.25">
      <c r="A102" s="2">
        <v>2050</v>
      </c>
      <c r="B102" s="2">
        <v>25</v>
      </c>
      <c r="C102" t="s">
        <v>6</v>
      </c>
      <c r="D102" s="7">
        <f>VLOOKUP($B102,'Fishman 2021'!$Q$3:$T$28,2,FALSE)*(D50/SUM($D50:$E50))</f>
        <v>0.26666666666666666</v>
      </c>
      <c r="E102" s="7">
        <f>VLOOKUP($B102,'Fishman 2021'!$Q$3:$T$28,2,FALSE)*(E50/SUM($D50:$E50))</f>
        <v>0.13333333333333333</v>
      </c>
      <c r="F102" s="7">
        <f>(VLOOKUP($B102,'Fishman 2021'!$Q$3:$T$28,3,FALSE)+VLOOKUP($B102,'Fishman 2021'!$Q$3:$T$28,4,FALSE))*0.5</f>
        <v>0.3</v>
      </c>
      <c r="G102" s="7">
        <f>(VLOOKUP($B102,'Fishman 2021'!$Q$3:$T$28,3,FALSE)+VLOOKUP($B102,'Fishman 2021'!$Q$3:$T$28,4,FALSE))*0.5</f>
        <v>0.3</v>
      </c>
    </row>
    <row r="103" spans="1:7" x14ac:dyDescent="0.25">
      <c r="A103" s="2">
        <v>2050</v>
      </c>
      <c r="B103" s="2">
        <v>25</v>
      </c>
      <c r="C103" t="s">
        <v>7</v>
      </c>
      <c r="D103" s="6">
        <f t="shared" ref="D103:G105" si="3">D51</f>
        <v>0.81412639405204457</v>
      </c>
      <c r="E103" s="6">
        <f t="shared" si="3"/>
        <v>7.434944237918216E-2</v>
      </c>
      <c r="F103" s="6">
        <f t="shared" si="3"/>
        <v>7.434944237918216E-2</v>
      </c>
      <c r="G103" s="6">
        <f t="shared" si="3"/>
        <v>3.717472118959108E-2</v>
      </c>
    </row>
    <row r="104" spans="1:7" x14ac:dyDescent="0.25">
      <c r="A104" s="2">
        <v>2050</v>
      </c>
      <c r="B104" s="2">
        <v>26</v>
      </c>
      <c r="C104" t="s">
        <v>6</v>
      </c>
      <c r="D104" s="7">
        <f>VLOOKUP($B104,'Fishman 2021'!$Q$3:$T$28,2,FALSE)*(D52/SUM($D52:$E52))</f>
        <v>0.26666666666666666</v>
      </c>
      <c r="E104" s="7">
        <f>VLOOKUP($B104,'Fishman 2021'!$Q$3:$T$28,2,FALSE)*(E52/SUM($D52:$E52))</f>
        <v>0.13333333333333333</v>
      </c>
      <c r="F104" s="7">
        <f>(VLOOKUP($B104,'Fishman 2021'!$Q$3:$T$28,3,FALSE)+VLOOKUP($B104,'Fishman 2021'!$Q$3:$T$28,4,FALSE))*0.5</f>
        <v>0.3</v>
      </c>
      <c r="G104" s="7">
        <f>(VLOOKUP($B104,'Fishman 2021'!$Q$3:$T$28,3,FALSE)+VLOOKUP($B104,'Fishman 2021'!$Q$3:$T$28,4,FALSE))*0.5</f>
        <v>0.3</v>
      </c>
    </row>
    <row r="105" spans="1:7" x14ac:dyDescent="0.25">
      <c r="A105" s="2">
        <v>2050</v>
      </c>
      <c r="B105" s="2">
        <v>26</v>
      </c>
      <c r="C105" t="s">
        <v>7</v>
      </c>
      <c r="D105" s="6">
        <f t="shared" si="3"/>
        <v>0.81412639405204457</v>
      </c>
      <c r="E105" s="6">
        <f t="shared" si="3"/>
        <v>7.434944237918216E-2</v>
      </c>
      <c r="F105" s="6">
        <f t="shared" si="3"/>
        <v>7.434944237918216E-2</v>
      </c>
      <c r="G105" s="6">
        <f t="shared" si="3"/>
        <v>3.717472118959108E-2</v>
      </c>
    </row>
    <row r="106" spans="1:7" x14ac:dyDescent="0.25">
      <c r="D106" s="1"/>
      <c r="E106" s="1"/>
      <c r="F106" s="1"/>
      <c r="G106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DF06-C08A-4E17-B40C-D12B144B610F}">
  <dimension ref="A1:E7"/>
  <sheetViews>
    <sheetView workbookViewId="0">
      <selection activeCell="C2" sqref="C2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21.42578125" bestFit="1" customWidth="1"/>
    <col min="4" max="4" width="18.5703125" bestFit="1" customWidth="1"/>
    <col min="5" max="5" width="15.7109375" bestFit="1" customWidth="1"/>
    <col min="6" max="6" width="18.5703125" bestFit="1" customWidth="1"/>
    <col min="7" max="7" width="12" bestFit="1" customWidth="1"/>
    <col min="8" max="8" width="15.7109375" bestFit="1" customWidth="1"/>
    <col min="9" max="9" width="12" bestFit="1" customWidth="1"/>
    <col min="10" max="10" width="21.140625" bestFit="1" customWidth="1"/>
    <col min="11" max="11" width="26.42578125" bestFit="1" customWidth="1"/>
    <col min="12" max="12" width="23.5703125" bestFit="1" customWidth="1"/>
    <col min="13" max="13" width="20.7109375" bestFit="1" customWidth="1"/>
  </cols>
  <sheetData>
    <row r="1" spans="1:5" x14ac:dyDescent="0.25">
      <c r="A1" s="4" t="s">
        <v>1</v>
      </c>
      <c r="B1" t="s">
        <v>6</v>
      </c>
    </row>
    <row r="2" spans="1:5" x14ac:dyDescent="0.25">
      <c r="A2" s="4" t="s">
        <v>0</v>
      </c>
      <c r="B2" s="5">
        <v>23</v>
      </c>
    </row>
    <row r="4" spans="1:5" x14ac:dyDescent="0.25">
      <c r="A4" s="4" t="s">
        <v>28</v>
      </c>
      <c r="B4" t="s">
        <v>30</v>
      </c>
      <c r="C4" t="s">
        <v>31</v>
      </c>
      <c r="D4" t="s">
        <v>32</v>
      </c>
      <c r="E4" t="s">
        <v>33</v>
      </c>
    </row>
    <row r="5" spans="1:5" x14ac:dyDescent="0.25">
      <c r="A5" s="5">
        <v>2020</v>
      </c>
      <c r="B5">
        <v>0.53846153846153844</v>
      </c>
      <c r="C5">
        <v>1.741654571843251E-2</v>
      </c>
      <c r="D5">
        <v>0.25689404934687948</v>
      </c>
      <c r="E5">
        <v>0.18722786647314948</v>
      </c>
    </row>
    <row r="6" spans="1:5" x14ac:dyDescent="0.25">
      <c r="A6" s="5">
        <v>2050</v>
      </c>
      <c r="B6">
        <v>0.48433420365535246</v>
      </c>
      <c r="C6">
        <v>1.5665796344647518E-2</v>
      </c>
      <c r="D6">
        <v>0.25</v>
      </c>
      <c r="E6">
        <v>0.25</v>
      </c>
    </row>
    <row r="7" spans="1:5" x14ac:dyDescent="0.25">
      <c r="A7" s="5" t="s">
        <v>29</v>
      </c>
      <c r="B7">
        <v>1.0227957421168909</v>
      </c>
      <c r="C7">
        <v>3.3082342063080028E-2</v>
      </c>
      <c r="D7">
        <v>0.50689404934687943</v>
      </c>
      <c r="E7">
        <v>0.43722786647314948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Fishman 2021</vt:lpstr>
      <vt:lpstr>Housing_type_original</vt:lpstr>
      <vt:lpstr>Housing_type_dynamic</vt:lpstr>
      <vt:lpstr>Housing_type_dynamic_SSP2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2023-01-18T10:30:55Z</dcterms:created>
  <dcterms:modified xsi:type="dcterms:W3CDTF">2023-03-01T10:33:33Z</dcterms:modified>
</cp:coreProperties>
</file>